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updateLinks="never" codeName="ThisWorkbook" defaultThemeVersion="124226"/>
  <mc:AlternateContent xmlns:mc="http://schemas.openxmlformats.org/markup-compatibility/2006">
    <mc:Choice Requires="x15">
      <x15ac:absPath xmlns:x15ac="http://schemas.microsoft.com/office/spreadsheetml/2010/11/ac" url="S:\Commun\BT METHODES Maintenance\MARQUENET\10 - Projets\10 - 010 - ERP IFS\10 - PeTools\"/>
    </mc:Choice>
  </mc:AlternateContent>
  <xr:revisionPtr revIDLastSave="0" documentId="13_ncr:1_{C5D54F73-70A8-4573-A51F-0A7D565AD13A}" xr6:coauthVersionLast="47" xr6:coauthVersionMax="47" xr10:uidLastSave="{00000000-0000-0000-0000-000000000000}"/>
  <bookViews>
    <workbookView xWindow="-28920" yWindow="-105" windowWidth="29040" windowHeight="15840" tabRatio="784" firstSheet="1" activeTab="5" xr2:uid="{00000000-000D-0000-FFFF-FFFF00000000}"/>
  </bookViews>
  <sheets>
    <sheet name="DMS_SAP" sheetId="24" state="hidden" r:id="rId1"/>
    <sheet name="Aide" sheetId="25" r:id="rId2"/>
    <sheet name="creationSap" sheetId="8" r:id="rId3"/>
    <sheet name="list" sheetId="19" r:id="rId4"/>
    <sheet name="Chemin_accès" sheetId="21" r:id="rId5"/>
    <sheet name="7.MENG" sheetId="1" r:id="rId6"/>
    <sheet name="KPI" sheetId="10" r:id="rId7"/>
  </sheets>
  <functionGroups builtInGroupCount="19"/>
  <externalReferences>
    <externalReference r:id="rId8"/>
  </externalReferences>
  <definedNames>
    <definedName name="_xlnm._FilterDatabase" localSheetId="5" hidden="1">'7.MENG'!$A$2:$AB$2</definedName>
    <definedName name="TEST1" localSheetId="1">'[1]Listing DMS MDD'!#REF!</definedName>
    <definedName name="TEST1" localSheetId="0">#REF!</definedName>
    <definedName name="TEST1">'[1]Listing DMS MDD'!#REF!</definedName>
    <definedName name="TEST2" localSheetId="1">'[1]Listing DMS MDD'!#REF!</definedName>
    <definedName name="TEST2" localSheetId="0">#REF!</definedName>
    <definedName name="TEST2">'[1]Listing DMS MDD'!#REF!</definedName>
    <definedName name="TEST3" localSheetId="1">'[1]Listing DMS MDD'!#REF!</definedName>
    <definedName name="TEST3" localSheetId="0">#REF!</definedName>
    <definedName name="TEST3">'[1]Listing DMS MDD'!#REF!</definedName>
    <definedName name="TESTKEYS" localSheetId="1">'[1]Listing DMS MDD'!#REF!</definedName>
    <definedName name="TESTKEYS" localSheetId="0">#REF!</definedName>
    <definedName name="TESTKEYS">'[1]Listing DMS MDD'!#REF!</definedName>
    <definedName name="TESTVKEY" localSheetId="1">#REF!</definedName>
    <definedName name="TESTVKEY">#REF!</definedName>
    <definedName name="Z_0EF03FB2_E8B1_47F2_9208_E204933E1F15_.wvu.FilterData" localSheetId="5" hidden="1">'7.MENG'!$F$2:$AB$2</definedName>
    <definedName name="Z_0EF03FB2_E8B1_47F2_9208_E204933E1F15_.wvu.PrintArea" localSheetId="5" hidden="1">'7.MENG'!$H$2:$W$426</definedName>
    <definedName name="Z_41F7FD2A_BA5B_4731_A557_2BD58F51B02E_.wvu.FilterData" localSheetId="5" hidden="1">'7.MENG'!$F$2:$AB$2</definedName>
    <definedName name="Z_41F7FD2A_BA5B_4731_A557_2BD58F51B02E_.wvu.PrintArea" localSheetId="5" hidden="1">'7.MENG'!$H$2:$W$426</definedName>
    <definedName name="Z_850E940B_2428_4553_BF71_40EDCB2E1D07_.wvu.FilterData" localSheetId="5" hidden="1">'7.MENG'!$F$2:$AB$2</definedName>
    <definedName name="Z_850E940B_2428_4553_BF71_40EDCB2E1D07_.wvu.PrintArea" localSheetId="5" hidden="1">'7.MENG'!$H$2:$W$426</definedName>
    <definedName name="Z_CF0A3741_DD40_423F_97D7_0C00E4DC3A32_.wvu.FilterData" localSheetId="5" hidden="1">'7.MENG'!$F$2:$AB$2</definedName>
    <definedName name="Z_CF0A3741_DD40_423F_97D7_0C00E4DC3A32_.wvu.PrintArea" localSheetId="5" hidden="1">'7.MENG'!$H$2:$W$426</definedName>
    <definedName name="_xlnm.Print_Area" localSheetId="5">'7.MENG'!$A$452:$R$477</definedName>
  </definedNames>
  <calcPr calcId="191029"/>
  <customWorkbookViews>
    <customWorkbookView name="Chaix, Florian - Affichage personnalisé" guid="{0EF03FB2-E8B1-47F2-9208-E204933E1F15}" mergeInterval="0" personalView="1" maximized="1" xWindow="-8" yWindow="-8" windowWidth="1936" windowHeight="1056" activeSheetId="1"/>
    <customWorkbookView name="Barentin, Fabrice - Affichage personnalisé" guid="{41F7FD2A-BA5B-4731-A557-2BD58F51B02E}" mergeInterval="0" personalView="1" maximized="1" windowWidth="1680" windowHeight="803" activeSheetId="17"/>
    <customWorkbookView name="Valzolgher, Marie - Affichage personnalisé" guid="{850E940B-2428-4553-BF71-40EDCB2E1D07}" mergeInterval="0" personalView="1" maximized="1" windowWidth="1680" windowHeight="825" activeSheetId="4"/>
    <customWorkbookView name="Ozouf, Mathieu - Affichage personnalisé" guid="{CF0A3741-DD40-423F-97D7-0C00E4DC3A32}" mergeInterval="0" personalView="1" maximized="1" xWindow="-9" yWindow="-9" windowWidth="1938" windowHeight="1048" activeSheetId="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34" i="1" l="1"/>
  <c r="AC34" i="1"/>
  <c r="AB34" i="1"/>
  <c r="U34" i="1"/>
  <c r="T34" i="1"/>
  <c r="A34" i="1"/>
  <c r="W34" i="1" s="1"/>
  <c r="Z34" i="1" s="1"/>
  <c r="AD33" i="1"/>
  <c r="AC33" i="1"/>
  <c r="AB33" i="1"/>
  <c r="U33" i="1"/>
  <c r="T33" i="1"/>
  <c r="A33" i="1"/>
  <c r="W33" i="1" s="1"/>
  <c r="Z33" i="1" s="1"/>
  <c r="AD32" i="1"/>
  <c r="AC32" i="1"/>
  <c r="AB32" i="1"/>
  <c r="U32" i="1"/>
  <c r="T32" i="1"/>
  <c r="A32" i="1"/>
  <c r="W32" i="1" s="1"/>
  <c r="Z32" i="1" s="1"/>
  <c r="B34" i="1" l="1"/>
  <c r="B33" i="1"/>
  <c r="B32" i="1"/>
  <c r="AD50" i="1"/>
  <c r="AC50" i="1"/>
  <c r="AB50" i="1"/>
  <c r="U50" i="1"/>
  <c r="T50" i="1"/>
  <c r="A50" i="1"/>
  <c r="W50" i="1" s="1"/>
  <c r="Z50" i="1" s="1"/>
  <c r="AD49" i="1"/>
  <c r="AC49" i="1"/>
  <c r="AB49" i="1"/>
  <c r="U49" i="1"/>
  <c r="T49" i="1"/>
  <c r="A49" i="1"/>
  <c r="W49" i="1" s="1"/>
  <c r="Z49" i="1" s="1"/>
  <c r="AD48" i="1"/>
  <c r="AC48" i="1"/>
  <c r="AB48" i="1"/>
  <c r="U48" i="1"/>
  <c r="T48" i="1"/>
  <c r="A48" i="1"/>
  <c r="W48" i="1" s="1"/>
  <c r="Z48" i="1" s="1"/>
  <c r="AD47" i="1"/>
  <c r="AC47" i="1"/>
  <c r="AB47" i="1"/>
  <c r="U47" i="1"/>
  <c r="T47" i="1"/>
  <c r="A47" i="1"/>
  <c r="W47" i="1" s="1"/>
  <c r="Z47" i="1" s="1"/>
  <c r="AD46" i="1"/>
  <c r="AC46" i="1"/>
  <c r="AB46" i="1"/>
  <c r="U46" i="1"/>
  <c r="T46" i="1"/>
  <c r="A46" i="1"/>
  <c r="W46" i="1" s="1"/>
  <c r="Z46" i="1" s="1"/>
  <c r="AD45" i="1"/>
  <c r="AC45" i="1"/>
  <c r="AB45" i="1"/>
  <c r="U45" i="1"/>
  <c r="T45" i="1"/>
  <c r="A45" i="1"/>
  <c r="W45" i="1" s="1"/>
  <c r="Z45" i="1" s="1"/>
  <c r="B50" i="1" l="1"/>
  <c r="B49" i="1"/>
  <c r="B48" i="1"/>
  <c r="B47" i="1"/>
  <c r="B46" i="1"/>
  <c r="B45" i="1"/>
  <c r="AD44" i="1"/>
  <c r="AC44" i="1"/>
  <c r="AB44" i="1"/>
  <c r="U44" i="1"/>
  <c r="T44" i="1"/>
  <c r="A44" i="1"/>
  <c r="W44" i="1" s="1"/>
  <c r="Z44" i="1" s="1"/>
  <c r="AD43" i="1"/>
  <c r="AC43" i="1"/>
  <c r="AB43" i="1"/>
  <c r="U43" i="1"/>
  <c r="T43" i="1"/>
  <c r="A43" i="1"/>
  <c r="W43" i="1" s="1"/>
  <c r="Z43" i="1" s="1"/>
  <c r="AD42" i="1"/>
  <c r="AC42" i="1"/>
  <c r="AB42" i="1"/>
  <c r="U42" i="1"/>
  <c r="T42" i="1"/>
  <c r="A42" i="1"/>
  <c r="W42" i="1" s="1"/>
  <c r="Z42" i="1" s="1"/>
  <c r="AD41" i="1"/>
  <c r="AC41" i="1"/>
  <c r="AB41" i="1"/>
  <c r="U41" i="1"/>
  <c r="T41" i="1"/>
  <c r="A41" i="1"/>
  <c r="W41" i="1" s="1"/>
  <c r="Z41" i="1" s="1"/>
  <c r="AD40" i="1"/>
  <c r="AC40" i="1"/>
  <c r="AB40" i="1"/>
  <c r="U40" i="1"/>
  <c r="T40" i="1"/>
  <c r="A40" i="1"/>
  <c r="W40" i="1" s="1"/>
  <c r="Z40" i="1" s="1"/>
  <c r="AD39" i="1"/>
  <c r="AC39" i="1"/>
  <c r="AB39" i="1"/>
  <c r="U39" i="1"/>
  <c r="T39" i="1"/>
  <c r="A39" i="1"/>
  <c r="W39" i="1" s="1"/>
  <c r="Z39" i="1" s="1"/>
  <c r="AD31" i="1"/>
  <c r="AC31" i="1"/>
  <c r="AB31" i="1"/>
  <c r="U31" i="1"/>
  <c r="T31" i="1"/>
  <c r="A31" i="1"/>
  <c r="W31" i="1" s="1"/>
  <c r="Z31" i="1" s="1"/>
  <c r="AD30" i="1"/>
  <c r="AC30" i="1"/>
  <c r="AB30" i="1"/>
  <c r="U30" i="1"/>
  <c r="T30" i="1"/>
  <c r="A30" i="1"/>
  <c r="W30" i="1" s="1"/>
  <c r="Z30" i="1" s="1"/>
  <c r="AD29" i="1"/>
  <c r="AC29" i="1"/>
  <c r="AB29" i="1"/>
  <c r="U29" i="1"/>
  <c r="T29" i="1"/>
  <c r="A29" i="1"/>
  <c r="W29" i="1" s="1"/>
  <c r="Z29" i="1" s="1"/>
  <c r="AD28" i="1"/>
  <c r="AC28" i="1"/>
  <c r="AB28" i="1"/>
  <c r="U28" i="1"/>
  <c r="T28" i="1"/>
  <c r="A28" i="1"/>
  <c r="W28" i="1" s="1"/>
  <c r="Z28" i="1" s="1"/>
  <c r="AD27" i="1"/>
  <c r="AC27" i="1"/>
  <c r="AB27" i="1"/>
  <c r="U27" i="1"/>
  <c r="T27" i="1"/>
  <c r="A27" i="1"/>
  <c r="B27" i="1" s="1"/>
  <c r="B44" i="1" l="1"/>
  <c r="B43" i="1"/>
  <c r="B42" i="1"/>
  <c r="B41" i="1"/>
  <c r="B40" i="1"/>
  <c r="B39" i="1"/>
  <c r="B31" i="1"/>
  <c r="B30" i="1"/>
  <c r="B29" i="1"/>
  <c r="B28" i="1"/>
  <c r="W27" i="1"/>
  <c r="Z27" i="1" s="1"/>
  <c r="AD16" i="1"/>
  <c r="AC16" i="1"/>
  <c r="AB16" i="1"/>
  <c r="U16" i="1"/>
  <c r="T16" i="1"/>
  <c r="A16" i="1"/>
  <c r="W16" i="1" s="1"/>
  <c r="Z16" i="1" s="1"/>
  <c r="AD15" i="1"/>
  <c r="AC15" i="1"/>
  <c r="AB15" i="1"/>
  <c r="U15" i="1"/>
  <c r="T15" i="1"/>
  <c r="A15" i="1"/>
  <c r="W15" i="1" s="1"/>
  <c r="Z15" i="1" s="1"/>
  <c r="AD14" i="1"/>
  <c r="AC14" i="1"/>
  <c r="AB14" i="1"/>
  <c r="U14" i="1"/>
  <c r="T14" i="1"/>
  <c r="A14" i="1"/>
  <c r="W14" i="1" s="1"/>
  <c r="Z14" i="1" s="1"/>
  <c r="AD13" i="1"/>
  <c r="AC13" i="1"/>
  <c r="AB13" i="1"/>
  <c r="U13" i="1"/>
  <c r="T13" i="1"/>
  <c r="A13" i="1"/>
  <c r="W13" i="1" s="1"/>
  <c r="Z13" i="1" s="1"/>
  <c r="AD12" i="1"/>
  <c r="AC12" i="1"/>
  <c r="AB12" i="1"/>
  <c r="U12" i="1"/>
  <c r="T12" i="1"/>
  <c r="A12" i="1"/>
  <c r="W12" i="1" s="1"/>
  <c r="Z12" i="1" s="1"/>
  <c r="AD11" i="1"/>
  <c r="AC11" i="1"/>
  <c r="AB11" i="1"/>
  <c r="U11" i="1"/>
  <c r="T11" i="1"/>
  <c r="A11" i="1"/>
  <c r="W11" i="1" s="1"/>
  <c r="Z11" i="1" s="1"/>
  <c r="AD10" i="1"/>
  <c r="AC10" i="1"/>
  <c r="AB10" i="1"/>
  <c r="U10" i="1"/>
  <c r="T10" i="1"/>
  <c r="A10" i="1"/>
  <c r="W10" i="1" s="1"/>
  <c r="Z10" i="1" s="1"/>
  <c r="AD9" i="1"/>
  <c r="T9" i="1" s="1"/>
  <c r="AC9" i="1"/>
  <c r="AB9" i="1"/>
  <c r="U9" i="1"/>
  <c r="A9" i="1"/>
  <c r="B9" i="1" s="1"/>
  <c r="B16" i="1" l="1"/>
  <c r="B15" i="1"/>
  <c r="B14" i="1"/>
  <c r="B13" i="1"/>
  <c r="B12" i="1"/>
  <c r="B11" i="1"/>
  <c r="B10" i="1"/>
  <c r="W9" i="1"/>
  <c r="Z9" i="1" s="1"/>
  <c r="T3" i="1"/>
  <c r="T5" i="1"/>
  <c r="T6" i="1"/>
  <c r="T7" i="1"/>
  <c r="T8" i="1"/>
  <c r="T26" i="1"/>
  <c r="T35" i="1"/>
  <c r="T36" i="1"/>
  <c r="T37" i="1"/>
  <c r="T38"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AD3" i="1" l="1"/>
  <c r="AD5" i="1"/>
  <c r="AD6" i="1"/>
  <c r="AD7" i="1"/>
  <c r="AD8" i="1"/>
  <c r="AD26" i="1"/>
  <c r="AD35" i="1"/>
  <c r="AD36" i="1"/>
  <c r="AD37" i="1"/>
  <c r="AD38" i="1"/>
  <c r="AD51" i="1"/>
  <c r="AD52" i="1"/>
  <c r="AD53" i="1"/>
  <c r="AD54" i="1"/>
  <c r="AD55" i="1"/>
  <c r="AD56" i="1"/>
  <c r="AD57" i="1"/>
  <c r="AD58" i="1"/>
  <c r="AD59" i="1"/>
  <c r="AD60" i="1"/>
  <c r="AD61" i="1"/>
  <c r="AD62" i="1"/>
  <c r="AD63" i="1"/>
  <c r="AD64" i="1"/>
  <c r="AD65" i="1"/>
  <c r="AD66" i="1"/>
  <c r="AD67" i="1"/>
  <c r="AD68" i="1"/>
  <c r="AD69" i="1"/>
  <c r="AD70" i="1"/>
  <c r="AD71" i="1"/>
  <c r="AD72" i="1"/>
  <c r="AD73" i="1"/>
  <c r="AD74" i="1"/>
  <c r="AD75" i="1"/>
  <c r="AD76" i="1"/>
  <c r="AD77" i="1"/>
  <c r="AD78" i="1"/>
  <c r="AD79" i="1"/>
  <c r="AD80" i="1"/>
  <c r="AD81" i="1"/>
  <c r="AD82" i="1"/>
  <c r="AD83" i="1"/>
  <c r="AD84" i="1"/>
  <c r="AD85" i="1"/>
  <c r="AD86" i="1"/>
  <c r="AD87" i="1"/>
  <c r="AD88" i="1"/>
  <c r="AD89" i="1"/>
  <c r="AD90" i="1"/>
  <c r="AD91" i="1"/>
  <c r="AD92" i="1"/>
  <c r="AD93" i="1"/>
  <c r="AD94" i="1"/>
  <c r="AD95" i="1"/>
  <c r="AD96" i="1"/>
  <c r="AD97" i="1"/>
  <c r="AD98" i="1"/>
  <c r="AD99" i="1"/>
  <c r="AD100" i="1"/>
  <c r="AD101" i="1"/>
  <c r="AD102" i="1"/>
  <c r="AD103" i="1"/>
  <c r="AD104" i="1"/>
  <c r="AD105" i="1"/>
  <c r="AD106" i="1"/>
  <c r="AD107" i="1"/>
  <c r="AD108" i="1"/>
  <c r="AD109" i="1"/>
  <c r="AD110" i="1"/>
  <c r="AD111" i="1"/>
  <c r="AD112" i="1"/>
  <c r="AD113" i="1"/>
  <c r="AD114" i="1"/>
  <c r="AD115" i="1"/>
  <c r="AD116" i="1"/>
  <c r="AD117" i="1"/>
  <c r="AD118" i="1"/>
  <c r="AD119" i="1"/>
  <c r="AD120" i="1"/>
  <c r="AD121" i="1"/>
  <c r="AD122" i="1"/>
  <c r="AD123" i="1"/>
  <c r="AD124" i="1"/>
  <c r="AD125" i="1"/>
  <c r="AD126" i="1"/>
  <c r="AD127" i="1"/>
  <c r="AD128" i="1"/>
  <c r="AD129" i="1"/>
  <c r="AD130" i="1"/>
  <c r="AD131" i="1"/>
  <c r="AD132" i="1"/>
  <c r="AD133" i="1"/>
  <c r="AD134" i="1"/>
  <c r="AD135" i="1"/>
  <c r="AD136" i="1"/>
  <c r="AD137" i="1"/>
  <c r="AD138" i="1"/>
  <c r="AD139" i="1"/>
  <c r="AD140" i="1"/>
  <c r="AD141" i="1"/>
  <c r="AD142" i="1"/>
  <c r="AD143" i="1"/>
  <c r="AD144" i="1"/>
  <c r="AD145" i="1"/>
  <c r="AD146" i="1"/>
  <c r="AD147" i="1"/>
  <c r="AD148" i="1"/>
  <c r="AD149" i="1"/>
  <c r="AD150" i="1"/>
  <c r="AD151" i="1"/>
  <c r="AD152" i="1"/>
  <c r="AD153" i="1"/>
  <c r="AD154" i="1"/>
  <c r="AD155" i="1"/>
  <c r="AD156" i="1"/>
  <c r="AD157" i="1"/>
  <c r="AD158" i="1"/>
  <c r="AD159" i="1"/>
  <c r="AD160" i="1"/>
  <c r="AD161" i="1"/>
  <c r="AD162" i="1"/>
  <c r="AD163" i="1"/>
  <c r="AD164" i="1"/>
  <c r="AD165" i="1"/>
  <c r="AD166" i="1"/>
  <c r="AD167" i="1"/>
  <c r="AD168" i="1"/>
  <c r="AD169" i="1"/>
  <c r="AD170" i="1"/>
  <c r="AD171" i="1"/>
  <c r="AD172" i="1"/>
  <c r="AD173" i="1"/>
  <c r="AD174" i="1"/>
  <c r="AD175" i="1"/>
  <c r="AD176" i="1"/>
  <c r="AD177" i="1"/>
  <c r="AD178" i="1"/>
  <c r="AD179" i="1"/>
  <c r="AD180" i="1"/>
  <c r="AD181" i="1"/>
  <c r="AD182" i="1"/>
  <c r="AD183" i="1"/>
  <c r="AD184" i="1"/>
  <c r="AD185" i="1"/>
  <c r="AD186" i="1"/>
  <c r="AD187" i="1"/>
  <c r="AD188" i="1"/>
  <c r="AD189" i="1"/>
  <c r="AD190" i="1"/>
  <c r="AD191" i="1"/>
  <c r="AD192" i="1"/>
  <c r="AD193" i="1"/>
  <c r="AD194" i="1"/>
  <c r="AD195" i="1"/>
  <c r="AD196" i="1"/>
  <c r="AD197" i="1"/>
  <c r="AD198" i="1"/>
  <c r="AD199" i="1"/>
  <c r="AD200" i="1"/>
  <c r="AD201" i="1"/>
  <c r="AD202" i="1"/>
  <c r="AD203" i="1"/>
  <c r="AD204" i="1"/>
  <c r="AD205" i="1"/>
  <c r="AD206" i="1"/>
  <c r="AD207" i="1"/>
  <c r="AD208" i="1"/>
  <c r="AD209" i="1"/>
  <c r="AD210" i="1"/>
  <c r="AD211" i="1"/>
  <c r="AD212" i="1"/>
  <c r="AD213" i="1"/>
  <c r="AD214" i="1"/>
  <c r="AD215" i="1"/>
  <c r="AD216" i="1"/>
  <c r="AD217" i="1"/>
  <c r="AD218" i="1"/>
  <c r="AD219" i="1"/>
  <c r="AD220" i="1"/>
  <c r="AD221" i="1"/>
  <c r="AD222" i="1"/>
  <c r="AD223" i="1"/>
  <c r="AD224" i="1"/>
  <c r="AD225" i="1"/>
  <c r="AD226" i="1"/>
  <c r="AD227" i="1"/>
  <c r="AD228" i="1"/>
  <c r="AD229" i="1"/>
  <c r="AD230" i="1"/>
  <c r="AD231" i="1"/>
  <c r="AD232" i="1"/>
  <c r="AD233" i="1"/>
  <c r="AD234" i="1"/>
  <c r="AD235" i="1"/>
  <c r="AD236" i="1"/>
  <c r="AD237" i="1"/>
  <c r="AD238" i="1"/>
  <c r="AD239" i="1"/>
  <c r="AD240" i="1"/>
  <c r="AD241" i="1"/>
  <c r="AD242" i="1"/>
  <c r="AD243" i="1"/>
  <c r="AD244" i="1"/>
  <c r="AD245" i="1"/>
  <c r="AD246" i="1"/>
  <c r="AD247" i="1"/>
  <c r="AD248" i="1"/>
  <c r="AD249" i="1"/>
  <c r="AD250" i="1"/>
  <c r="AD251" i="1"/>
  <c r="AD252" i="1"/>
  <c r="AD253" i="1"/>
  <c r="AD254" i="1"/>
  <c r="AD255" i="1"/>
  <c r="AD256" i="1"/>
  <c r="AD257" i="1"/>
  <c r="AD258" i="1"/>
  <c r="AD259" i="1"/>
  <c r="AD260" i="1"/>
  <c r="AD261" i="1"/>
  <c r="AD262" i="1"/>
  <c r="AD263" i="1"/>
  <c r="AD264" i="1"/>
  <c r="AD265" i="1"/>
  <c r="AD266" i="1"/>
  <c r="AD267" i="1"/>
  <c r="AD268" i="1"/>
  <c r="AD269" i="1"/>
  <c r="AD270" i="1"/>
  <c r="AD271" i="1"/>
  <c r="AD272" i="1"/>
  <c r="AD273" i="1"/>
  <c r="AD274" i="1"/>
  <c r="AD275" i="1"/>
  <c r="AD276" i="1"/>
  <c r="AD277" i="1"/>
  <c r="AD278" i="1"/>
  <c r="AD279" i="1"/>
  <c r="AD280" i="1"/>
  <c r="AD281" i="1"/>
  <c r="AD282" i="1"/>
  <c r="AD283" i="1"/>
  <c r="AD284" i="1"/>
  <c r="AD285" i="1"/>
  <c r="AD286" i="1"/>
  <c r="AD287" i="1"/>
  <c r="AD288" i="1"/>
  <c r="AD289" i="1"/>
  <c r="AD290" i="1"/>
  <c r="AD291" i="1"/>
  <c r="AD292" i="1"/>
  <c r="AD293" i="1"/>
  <c r="AD294" i="1"/>
  <c r="AD295" i="1"/>
  <c r="AD296" i="1"/>
  <c r="AD297" i="1"/>
  <c r="AD298" i="1"/>
  <c r="AD299" i="1"/>
  <c r="AD300" i="1"/>
  <c r="AD301" i="1"/>
  <c r="AD302" i="1"/>
  <c r="AD303" i="1"/>
  <c r="AD304" i="1"/>
  <c r="AD305" i="1"/>
  <c r="AD306" i="1"/>
  <c r="AD307" i="1"/>
  <c r="AD308" i="1"/>
  <c r="AD309" i="1"/>
  <c r="AD310" i="1"/>
  <c r="AD311" i="1"/>
  <c r="AD312" i="1"/>
  <c r="AD313" i="1"/>
  <c r="AD314" i="1"/>
  <c r="AD315" i="1"/>
  <c r="AD316" i="1"/>
  <c r="AD317" i="1"/>
  <c r="AD318" i="1"/>
  <c r="AD319" i="1"/>
  <c r="AD320" i="1"/>
  <c r="AD321" i="1"/>
  <c r="AD322" i="1"/>
  <c r="AD323" i="1"/>
  <c r="AD324" i="1"/>
  <c r="AD325" i="1"/>
  <c r="AD326" i="1"/>
  <c r="AD327" i="1"/>
  <c r="AD328" i="1"/>
  <c r="AD329" i="1"/>
  <c r="AD330" i="1"/>
  <c r="AD331" i="1"/>
  <c r="AD332" i="1"/>
  <c r="AD333" i="1"/>
  <c r="AD334" i="1"/>
  <c r="AD335" i="1"/>
  <c r="AD336" i="1"/>
  <c r="AD337" i="1"/>
  <c r="AD338" i="1"/>
  <c r="AD339" i="1"/>
  <c r="AD340" i="1"/>
  <c r="AD341" i="1"/>
  <c r="AD342" i="1"/>
  <c r="AD343" i="1"/>
  <c r="AD344" i="1"/>
  <c r="AD345" i="1"/>
  <c r="AD346" i="1"/>
  <c r="AD347" i="1"/>
  <c r="AD348" i="1"/>
  <c r="AD349" i="1"/>
  <c r="AD350" i="1"/>
  <c r="AD351" i="1"/>
  <c r="AD352" i="1"/>
  <c r="AD353" i="1"/>
  <c r="AD354" i="1"/>
  <c r="AD355" i="1"/>
  <c r="AD356" i="1"/>
  <c r="AD357" i="1"/>
  <c r="AD358" i="1"/>
  <c r="AD359" i="1"/>
  <c r="AD360" i="1"/>
  <c r="AD361" i="1"/>
  <c r="AD362" i="1"/>
  <c r="AD363" i="1"/>
  <c r="AD364" i="1"/>
  <c r="AD365" i="1"/>
  <c r="AD366" i="1"/>
  <c r="AD367" i="1"/>
  <c r="AD368" i="1"/>
  <c r="AD369" i="1"/>
  <c r="AD370" i="1"/>
  <c r="AD371" i="1"/>
  <c r="AD372" i="1"/>
  <c r="AD373" i="1"/>
  <c r="AD374" i="1"/>
  <c r="AD375" i="1"/>
  <c r="AD376" i="1"/>
  <c r="AD377" i="1"/>
  <c r="AD378" i="1"/>
  <c r="AD379" i="1"/>
  <c r="AD380" i="1"/>
  <c r="AD381" i="1"/>
  <c r="AD382" i="1"/>
  <c r="AD383" i="1"/>
  <c r="AD384" i="1"/>
  <c r="AD385" i="1"/>
  <c r="AD386" i="1"/>
  <c r="AD387" i="1"/>
  <c r="AD388" i="1"/>
  <c r="AD389" i="1"/>
  <c r="AD390" i="1"/>
  <c r="AD391" i="1"/>
  <c r="AD392" i="1"/>
  <c r="AD393" i="1"/>
  <c r="AD394" i="1"/>
  <c r="AD395" i="1"/>
  <c r="AD396" i="1"/>
  <c r="AD397" i="1"/>
  <c r="AD398" i="1"/>
  <c r="AD399" i="1"/>
  <c r="AD400" i="1"/>
  <c r="AD401" i="1"/>
  <c r="AD402" i="1"/>
  <c r="AD403"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D540" i="1"/>
  <c r="AD541" i="1"/>
  <c r="AD542" i="1"/>
  <c r="AD543" i="1"/>
  <c r="AD544" i="1"/>
  <c r="AD545" i="1"/>
  <c r="AD546" i="1"/>
  <c r="AD547" i="1"/>
  <c r="AD548" i="1"/>
  <c r="AD549" i="1"/>
  <c r="AD550" i="1"/>
  <c r="AD551" i="1"/>
  <c r="AD552" i="1"/>
  <c r="AD553" i="1"/>
  <c r="AD554" i="1"/>
  <c r="AD555" i="1"/>
  <c r="AD556" i="1"/>
  <c r="AD557" i="1"/>
  <c r="AD558" i="1"/>
  <c r="AD559" i="1"/>
  <c r="AD560" i="1"/>
  <c r="AD561" i="1"/>
  <c r="AD562" i="1"/>
  <c r="AD563" i="1"/>
  <c r="AD564" i="1"/>
  <c r="AD565" i="1"/>
  <c r="AD566" i="1"/>
  <c r="AD567" i="1"/>
  <c r="AD568" i="1"/>
  <c r="AD569" i="1"/>
  <c r="AD570" i="1"/>
  <c r="AD571" i="1"/>
  <c r="AD572" i="1"/>
  <c r="AD573" i="1"/>
  <c r="AD574" i="1"/>
  <c r="AD575" i="1"/>
  <c r="AD576" i="1"/>
  <c r="AD577" i="1"/>
  <c r="AD578" i="1"/>
  <c r="AD579" i="1"/>
  <c r="AD580" i="1"/>
  <c r="AD581" i="1"/>
  <c r="AD582" i="1"/>
  <c r="AD583" i="1"/>
  <c r="AD584" i="1"/>
  <c r="AD585" i="1"/>
  <c r="AD586" i="1"/>
  <c r="AD587" i="1"/>
  <c r="AD588" i="1"/>
  <c r="AD589" i="1"/>
  <c r="AD590" i="1"/>
  <c r="AD591" i="1"/>
  <c r="AD592" i="1"/>
  <c r="AD593" i="1"/>
  <c r="AD594" i="1"/>
  <c r="AD595" i="1"/>
  <c r="AD596" i="1"/>
  <c r="AD597" i="1"/>
  <c r="AD598" i="1"/>
  <c r="AD599" i="1"/>
  <c r="AD600" i="1"/>
  <c r="AD601" i="1"/>
  <c r="AD602" i="1"/>
  <c r="AD603" i="1"/>
  <c r="AD604" i="1"/>
  <c r="AD605" i="1"/>
  <c r="AD606" i="1"/>
  <c r="AD607" i="1"/>
  <c r="AD608" i="1"/>
  <c r="AD609" i="1"/>
  <c r="AD610" i="1"/>
  <c r="AD611" i="1"/>
  <c r="AD612" i="1"/>
  <c r="AD613" i="1"/>
  <c r="AD614" i="1"/>
  <c r="AD615" i="1"/>
  <c r="AD616" i="1"/>
  <c r="AD617" i="1"/>
  <c r="AD618" i="1"/>
  <c r="AD619" i="1"/>
  <c r="AD620" i="1"/>
  <c r="AD621" i="1"/>
  <c r="AD622" i="1"/>
  <c r="AD623" i="1"/>
  <c r="AD624" i="1"/>
  <c r="AD625" i="1"/>
  <c r="AD626" i="1"/>
  <c r="AD627" i="1"/>
  <c r="AD628" i="1"/>
  <c r="AD629" i="1"/>
  <c r="AD630" i="1"/>
  <c r="AD631" i="1"/>
  <c r="AD632" i="1"/>
  <c r="AD633" i="1"/>
  <c r="AD634" i="1"/>
  <c r="AD635" i="1"/>
  <c r="AD636" i="1"/>
  <c r="AD637" i="1"/>
  <c r="AD638" i="1"/>
  <c r="AD639" i="1"/>
  <c r="AD640" i="1"/>
  <c r="AD641" i="1"/>
  <c r="AD642" i="1"/>
  <c r="AD643" i="1"/>
  <c r="AD644" i="1"/>
  <c r="AD645" i="1"/>
  <c r="AD646" i="1"/>
  <c r="AD647" i="1"/>
  <c r="AD648" i="1"/>
  <c r="AD649" i="1"/>
  <c r="AD650" i="1"/>
  <c r="AD651" i="1"/>
  <c r="AD652" i="1"/>
  <c r="AD653" i="1"/>
  <c r="AD654" i="1"/>
  <c r="AD655" i="1"/>
  <c r="AD656" i="1"/>
  <c r="AD657" i="1"/>
  <c r="AD658" i="1"/>
  <c r="AD659" i="1"/>
  <c r="AD660" i="1"/>
  <c r="AD661" i="1"/>
  <c r="AD662" i="1"/>
  <c r="AD663" i="1"/>
  <c r="AD664" i="1"/>
  <c r="AD665" i="1"/>
  <c r="AD666" i="1"/>
  <c r="AD667" i="1"/>
  <c r="AD668" i="1"/>
  <c r="AD669" i="1"/>
  <c r="AD670" i="1"/>
  <c r="AD671" i="1"/>
  <c r="AD672" i="1"/>
  <c r="AD673" i="1"/>
  <c r="AD674" i="1"/>
  <c r="AD675" i="1"/>
  <c r="AD676" i="1"/>
  <c r="AD677" i="1"/>
  <c r="AD678" i="1"/>
  <c r="AD679" i="1"/>
  <c r="AD680" i="1"/>
  <c r="AD681" i="1"/>
  <c r="AD682" i="1"/>
  <c r="AD683" i="1"/>
  <c r="AD684" i="1"/>
  <c r="AD685" i="1"/>
  <c r="AD686" i="1"/>
  <c r="AD687" i="1"/>
  <c r="AD688" i="1"/>
  <c r="AD689" i="1"/>
  <c r="AD690" i="1"/>
  <c r="AD691" i="1"/>
  <c r="AD692" i="1"/>
  <c r="AD693" i="1"/>
  <c r="AD694" i="1"/>
  <c r="AD695" i="1"/>
  <c r="AD696" i="1"/>
  <c r="AD697" i="1"/>
  <c r="AD698" i="1"/>
  <c r="AD699" i="1"/>
  <c r="AD700" i="1"/>
  <c r="AD701" i="1"/>
  <c r="AD702" i="1"/>
  <c r="AD703" i="1"/>
  <c r="AD704" i="1"/>
  <c r="AD705" i="1"/>
  <c r="AD706" i="1"/>
  <c r="AD707" i="1"/>
  <c r="AD708" i="1"/>
  <c r="AD709" i="1"/>
  <c r="AD710" i="1"/>
  <c r="AD711" i="1"/>
  <c r="AD712" i="1"/>
  <c r="AD713" i="1"/>
  <c r="AD714" i="1"/>
  <c r="AD715" i="1"/>
  <c r="AD716" i="1"/>
  <c r="AD717" i="1"/>
  <c r="AD718" i="1"/>
  <c r="AD719" i="1"/>
  <c r="AD720" i="1"/>
  <c r="AD721" i="1"/>
  <c r="AD722" i="1"/>
  <c r="AD723" i="1"/>
  <c r="AD724" i="1"/>
  <c r="AD725" i="1"/>
  <c r="AD726" i="1"/>
  <c r="AD727" i="1"/>
  <c r="AD728" i="1"/>
  <c r="AD729" i="1"/>
  <c r="AD730" i="1"/>
  <c r="AD731" i="1"/>
  <c r="AD732" i="1"/>
  <c r="AD733" i="1"/>
  <c r="AD734" i="1"/>
  <c r="AD735" i="1"/>
  <c r="AD736" i="1"/>
  <c r="AD737" i="1"/>
  <c r="AD738" i="1"/>
  <c r="AD739" i="1"/>
  <c r="AD740" i="1"/>
  <c r="AD741" i="1"/>
  <c r="AD742" i="1"/>
  <c r="AD743" i="1"/>
  <c r="AD744" i="1"/>
  <c r="AD745" i="1"/>
  <c r="AD746" i="1"/>
  <c r="AD747" i="1"/>
  <c r="AD748" i="1"/>
  <c r="AD749" i="1"/>
  <c r="AD750" i="1"/>
  <c r="AD751" i="1"/>
  <c r="AD752" i="1"/>
  <c r="AD753" i="1"/>
  <c r="AD754" i="1"/>
  <c r="AD755" i="1"/>
  <c r="AD756" i="1"/>
  <c r="AD757" i="1"/>
  <c r="AD758" i="1"/>
  <c r="AD759" i="1"/>
  <c r="AD760" i="1"/>
  <c r="AD761" i="1"/>
  <c r="AD762" i="1"/>
  <c r="AD763" i="1"/>
  <c r="AD764" i="1"/>
  <c r="AD765" i="1"/>
  <c r="AD766" i="1"/>
  <c r="AD767" i="1"/>
  <c r="AD768" i="1"/>
  <c r="AD769" i="1"/>
  <c r="AD770" i="1"/>
  <c r="AD771" i="1"/>
  <c r="AD772" i="1"/>
  <c r="AD773" i="1"/>
  <c r="AD774" i="1"/>
  <c r="AD775" i="1"/>
  <c r="AD776" i="1"/>
  <c r="AD777" i="1"/>
  <c r="AD778" i="1"/>
  <c r="AD779" i="1"/>
  <c r="AD780" i="1"/>
  <c r="AD781" i="1"/>
  <c r="AD782" i="1"/>
  <c r="AD783" i="1"/>
  <c r="AD784" i="1"/>
  <c r="AD785" i="1"/>
  <c r="AD786" i="1"/>
  <c r="AD787" i="1"/>
  <c r="AD788" i="1"/>
  <c r="AD789" i="1"/>
  <c r="AD790" i="1"/>
  <c r="AD791" i="1"/>
  <c r="AD792" i="1"/>
  <c r="AD793" i="1"/>
  <c r="AD794" i="1"/>
  <c r="AD795" i="1"/>
  <c r="AD796" i="1"/>
  <c r="AD797" i="1"/>
  <c r="AD798" i="1"/>
  <c r="AD799" i="1"/>
  <c r="AD800" i="1"/>
  <c r="AD801" i="1"/>
  <c r="AD802" i="1"/>
  <c r="AD803" i="1"/>
  <c r="AD804" i="1"/>
  <c r="AD805" i="1"/>
  <c r="AD806" i="1"/>
  <c r="AD807" i="1"/>
  <c r="AD808" i="1"/>
  <c r="AD809" i="1"/>
  <c r="AD810" i="1"/>
  <c r="AD811" i="1"/>
  <c r="AD812" i="1"/>
  <c r="AD813" i="1"/>
  <c r="AD814" i="1"/>
  <c r="AD815" i="1"/>
  <c r="AD816" i="1"/>
  <c r="AD817" i="1"/>
  <c r="AD818" i="1"/>
  <c r="AD819" i="1"/>
  <c r="AD820" i="1"/>
  <c r="AD821" i="1"/>
  <c r="AD822" i="1"/>
  <c r="AD823" i="1"/>
  <c r="AD824" i="1"/>
  <c r="AD825" i="1"/>
  <c r="AD826" i="1"/>
  <c r="AD827" i="1"/>
  <c r="AD828" i="1"/>
  <c r="AD829" i="1"/>
  <c r="AD830" i="1"/>
  <c r="AD831" i="1"/>
  <c r="AD832" i="1"/>
  <c r="AD833" i="1"/>
  <c r="AD834" i="1"/>
  <c r="AD835" i="1"/>
  <c r="AD836" i="1"/>
  <c r="AD837" i="1"/>
  <c r="AD838" i="1"/>
  <c r="AD839" i="1"/>
  <c r="AD840" i="1"/>
  <c r="AD841" i="1"/>
  <c r="AD842" i="1"/>
  <c r="AD843" i="1"/>
  <c r="AD844" i="1"/>
  <c r="AD845" i="1"/>
  <c r="AD846" i="1"/>
  <c r="AD847" i="1"/>
  <c r="AD848" i="1"/>
  <c r="AD849" i="1"/>
  <c r="AD850" i="1"/>
  <c r="AD851" i="1"/>
  <c r="AD852" i="1"/>
  <c r="AD853" i="1"/>
  <c r="AD854" i="1"/>
  <c r="AD855" i="1"/>
  <c r="AD856" i="1"/>
  <c r="AD857" i="1"/>
  <c r="AD858" i="1"/>
  <c r="AD859" i="1"/>
  <c r="AD860" i="1"/>
  <c r="AD861" i="1"/>
  <c r="AD862" i="1"/>
  <c r="AD863" i="1"/>
  <c r="AD864" i="1"/>
  <c r="AD865" i="1"/>
  <c r="AD866" i="1"/>
  <c r="AD867" i="1"/>
  <c r="AD868" i="1"/>
  <c r="AD869" i="1"/>
  <c r="AD870" i="1"/>
  <c r="AD871" i="1"/>
  <c r="AD872" i="1"/>
  <c r="AD873" i="1"/>
  <c r="AD874" i="1"/>
  <c r="AD875" i="1"/>
  <c r="AD876" i="1"/>
  <c r="AD877" i="1"/>
  <c r="AD878" i="1"/>
  <c r="AD879" i="1"/>
  <c r="AD880" i="1"/>
  <c r="AD881" i="1"/>
  <c r="AD882" i="1"/>
  <c r="AD883" i="1"/>
  <c r="AD884" i="1"/>
  <c r="AD885" i="1"/>
  <c r="AD886" i="1"/>
  <c r="AD887" i="1"/>
  <c r="AD888" i="1"/>
  <c r="AD889" i="1"/>
  <c r="AD890" i="1"/>
  <c r="AD891" i="1"/>
  <c r="AD892" i="1"/>
  <c r="AD893" i="1"/>
  <c r="AD894" i="1"/>
  <c r="AD895" i="1"/>
  <c r="AD896" i="1"/>
  <c r="AD897" i="1"/>
  <c r="AD898" i="1"/>
  <c r="AD899" i="1"/>
  <c r="AD900" i="1"/>
  <c r="AD901" i="1"/>
  <c r="AD902" i="1"/>
  <c r="AD903" i="1"/>
  <c r="AD904" i="1"/>
  <c r="AD905" i="1"/>
  <c r="AD906" i="1"/>
  <c r="AD907" i="1"/>
  <c r="AD908" i="1"/>
  <c r="AD909" i="1"/>
  <c r="AD910" i="1"/>
  <c r="AD911" i="1"/>
  <c r="AD912" i="1"/>
  <c r="AD913" i="1"/>
  <c r="AD914" i="1"/>
  <c r="AD915" i="1"/>
  <c r="AD916" i="1"/>
  <c r="AD917" i="1"/>
  <c r="AD918" i="1"/>
  <c r="AD919" i="1"/>
  <c r="AD920" i="1"/>
  <c r="AD921" i="1"/>
  <c r="AD922" i="1"/>
  <c r="AD923" i="1"/>
  <c r="AD924" i="1"/>
  <c r="AD925" i="1"/>
  <c r="AD926" i="1"/>
  <c r="AD927" i="1"/>
  <c r="AD928" i="1"/>
  <c r="AD929" i="1"/>
  <c r="AD930" i="1"/>
  <c r="AD931" i="1"/>
  <c r="AD932" i="1"/>
  <c r="AD933" i="1"/>
  <c r="AD934" i="1"/>
  <c r="AD935" i="1"/>
  <c r="AD936" i="1"/>
  <c r="AD937" i="1"/>
  <c r="AD938" i="1"/>
  <c r="AD939" i="1"/>
  <c r="AD940" i="1"/>
  <c r="AD941" i="1"/>
  <c r="AD942" i="1"/>
  <c r="AD943" i="1"/>
  <c r="AD944" i="1"/>
  <c r="AD945" i="1"/>
  <c r="AD946" i="1"/>
  <c r="AD947" i="1"/>
  <c r="AD948" i="1"/>
  <c r="AD949" i="1"/>
  <c r="AD950" i="1"/>
  <c r="AD951" i="1"/>
  <c r="AD952" i="1"/>
  <c r="AD953" i="1"/>
  <c r="AD954" i="1"/>
  <c r="AD955" i="1"/>
  <c r="AD956" i="1"/>
  <c r="AD957" i="1"/>
  <c r="AD958" i="1"/>
  <c r="AD959" i="1"/>
  <c r="AD960" i="1"/>
  <c r="AD961" i="1"/>
  <c r="AD962" i="1"/>
  <c r="AD963" i="1"/>
  <c r="AD964" i="1"/>
  <c r="AD965" i="1"/>
  <c r="AD966" i="1"/>
  <c r="AD967" i="1"/>
  <c r="AD968" i="1"/>
  <c r="AD969" i="1"/>
  <c r="AD970" i="1"/>
  <c r="AD971" i="1"/>
  <c r="AD972" i="1"/>
  <c r="AD973" i="1"/>
  <c r="AD974" i="1"/>
  <c r="AD975" i="1"/>
  <c r="AD976" i="1"/>
  <c r="AD977" i="1"/>
  <c r="AD978" i="1"/>
  <c r="AD979" i="1"/>
  <c r="AD980" i="1"/>
  <c r="AD981" i="1"/>
  <c r="AD982" i="1"/>
  <c r="AD983" i="1"/>
  <c r="AD984" i="1"/>
  <c r="AD985" i="1"/>
  <c r="AD986" i="1"/>
  <c r="AD987" i="1"/>
  <c r="AD988" i="1"/>
  <c r="AD989" i="1"/>
  <c r="AD990" i="1"/>
  <c r="AD991" i="1"/>
  <c r="AD992" i="1"/>
  <c r="AD993" i="1"/>
  <c r="AD994" i="1"/>
  <c r="AD995" i="1"/>
  <c r="AD996" i="1"/>
  <c r="AD997" i="1"/>
  <c r="AD998" i="1"/>
  <c r="AD999" i="1"/>
  <c r="AD1000" i="1"/>
  <c r="AD1001" i="1"/>
  <c r="AD1002" i="1"/>
  <c r="U6" i="1" l="1"/>
  <c r="U5" i="1"/>
  <c r="U7" i="1" l="1"/>
  <c r="U8" i="1"/>
  <c r="U26" i="1"/>
  <c r="U35" i="1"/>
  <c r="U36" i="1"/>
  <c r="U37" i="1"/>
  <c r="U38"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BE21" i="10" l="1"/>
  <c r="BD21" i="10"/>
  <c r="BC21" i="10"/>
  <c r="BB21" i="10"/>
  <c r="BA21" i="10"/>
  <c r="AZ21" i="10"/>
  <c r="AY21" i="10"/>
  <c r="AX21" i="10"/>
  <c r="AW21" i="10"/>
  <c r="AV21" i="10"/>
  <c r="AU21" i="10"/>
  <c r="AT21" i="10"/>
  <c r="AS21" i="10"/>
  <c r="AR21" i="10"/>
  <c r="AQ21" i="10"/>
  <c r="BE20" i="10"/>
  <c r="BD20" i="10"/>
  <c r="BC20" i="10"/>
  <c r="BB20" i="10"/>
  <c r="BA20" i="10"/>
  <c r="AZ20" i="10"/>
  <c r="AY20" i="10"/>
  <c r="AX20" i="10"/>
  <c r="AW20" i="10"/>
  <c r="AV20" i="10"/>
  <c r="AU20" i="10"/>
  <c r="AT20" i="10"/>
  <c r="AS20" i="10"/>
  <c r="AR20" i="10"/>
  <c r="AQ20" i="10"/>
  <c r="AR17" i="10"/>
  <c r="AR12" i="10"/>
  <c r="K7" i="10"/>
  <c r="Y6" i="10"/>
  <c r="K6" i="10"/>
  <c r="Y4" i="10"/>
  <c r="AC1002" i="1"/>
  <c r="AB1002" i="1"/>
  <c r="A1002" i="1"/>
  <c r="AC1001" i="1"/>
  <c r="AB1001" i="1"/>
  <c r="A1001" i="1"/>
  <c r="AC1000" i="1"/>
  <c r="AB1000" i="1"/>
  <c r="A1000" i="1"/>
  <c r="AC999" i="1"/>
  <c r="AB999" i="1"/>
  <c r="A999" i="1"/>
  <c r="AC998" i="1"/>
  <c r="AB998" i="1"/>
  <c r="A998" i="1"/>
  <c r="AC997" i="1"/>
  <c r="AB997" i="1"/>
  <c r="A997" i="1"/>
  <c r="W997" i="1" s="1"/>
  <c r="AC996" i="1"/>
  <c r="AB996" i="1"/>
  <c r="A996" i="1"/>
  <c r="AC995" i="1"/>
  <c r="AB995" i="1"/>
  <c r="A995" i="1"/>
  <c r="W995" i="1" s="1"/>
  <c r="AC994" i="1"/>
  <c r="AB994" i="1"/>
  <c r="A994" i="1"/>
  <c r="AC993" i="1"/>
  <c r="AB993" i="1"/>
  <c r="A993" i="1"/>
  <c r="AC992" i="1"/>
  <c r="AB992" i="1"/>
  <c r="A992" i="1"/>
  <c r="AC991" i="1"/>
  <c r="AB991" i="1"/>
  <c r="A991" i="1"/>
  <c r="AC990" i="1"/>
  <c r="AB990" i="1"/>
  <c r="A990" i="1"/>
  <c r="AC989" i="1"/>
  <c r="AB989" i="1"/>
  <c r="A989" i="1"/>
  <c r="W989" i="1" s="1"/>
  <c r="AC988" i="1"/>
  <c r="AB988" i="1"/>
  <c r="A988" i="1"/>
  <c r="AC987" i="1"/>
  <c r="AB987" i="1"/>
  <c r="A987" i="1"/>
  <c r="AC986" i="1"/>
  <c r="AB986" i="1"/>
  <c r="A986" i="1"/>
  <c r="AC985" i="1"/>
  <c r="AB985" i="1"/>
  <c r="A985" i="1"/>
  <c r="AC984" i="1"/>
  <c r="AB984" i="1"/>
  <c r="A984" i="1"/>
  <c r="AC983" i="1"/>
  <c r="AB983" i="1"/>
  <c r="A983" i="1"/>
  <c r="AC982" i="1"/>
  <c r="AB982" i="1"/>
  <c r="A982" i="1"/>
  <c r="W982" i="1" s="1"/>
  <c r="AC981" i="1"/>
  <c r="AB981" i="1"/>
  <c r="A981" i="1"/>
  <c r="W981" i="1" s="1"/>
  <c r="AC980" i="1"/>
  <c r="AB980" i="1"/>
  <c r="A980" i="1"/>
  <c r="AC979" i="1"/>
  <c r="AB979" i="1"/>
  <c r="A979" i="1"/>
  <c r="AC978" i="1"/>
  <c r="AB978" i="1"/>
  <c r="A978" i="1"/>
  <c r="AC977" i="1"/>
  <c r="AB977" i="1"/>
  <c r="A977" i="1"/>
  <c r="AC976" i="1"/>
  <c r="AB976" i="1"/>
  <c r="A976" i="1"/>
  <c r="AC975" i="1"/>
  <c r="AB975" i="1"/>
  <c r="A975" i="1"/>
  <c r="AC974" i="1"/>
  <c r="AB974" i="1"/>
  <c r="A974" i="1"/>
  <c r="AC973" i="1"/>
  <c r="AB973" i="1"/>
  <c r="A973" i="1"/>
  <c r="W973" i="1" s="1"/>
  <c r="AC972" i="1"/>
  <c r="AB972" i="1"/>
  <c r="A972" i="1"/>
  <c r="AC971" i="1"/>
  <c r="AB971" i="1"/>
  <c r="A971" i="1"/>
  <c r="AC970" i="1"/>
  <c r="AB970" i="1"/>
  <c r="A970" i="1"/>
  <c r="AC969" i="1"/>
  <c r="AB969" i="1"/>
  <c r="A969" i="1"/>
  <c r="AC968" i="1"/>
  <c r="AB968" i="1"/>
  <c r="A968" i="1"/>
  <c r="AC967" i="1"/>
  <c r="AB967" i="1"/>
  <c r="A967" i="1"/>
  <c r="AC966" i="1"/>
  <c r="AB966" i="1"/>
  <c r="A966" i="1"/>
  <c r="W966" i="1" s="1"/>
  <c r="AC965" i="1"/>
  <c r="AB965" i="1"/>
  <c r="A965" i="1"/>
  <c r="W965" i="1" s="1"/>
  <c r="AC964" i="1"/>
  <c r="AB964" i="1"/>
  <c r="A964" i="1"/>
  <c r="AC963" i="1"/>
  <c r="AB963" i="1"/>
  <c r="A963" i="1"/>
  <c r="AC962" i="1"/>
  <c r="AB962" i="1"/>
  <c r="A962" i="1"/>
  <c r="AC961" i="1"/>
  <c r="AB961" i="1"/>
  <c r="A961" i="1"/>
  <c r="AC960" i="1"/>
  <c r="AB960" i="1"/>
  <c r="A960" i="1"/>
  <c r="AC959" i="1"/>
  <c r="AB959" i="1"/>
  <c r="A959" i="1"/>
  <c r="W959" i="1" s="1"/>
  <c r="AC958" i="1"/>
  <c r="AB958" i="1"/>
  <c r="A958" i="1"/>
  <c r="AC957" i="1"/>
  <c r="AB957" i="1"/>
  <c r="A957" i="1"/>
  <c r="W957" i="1" s="1"/>
  <c r="AC956" i="1"/>
  <c r="AB956" i="1"/>
  <c r="A956" i="1"/>
  <c r="AC955" i="1"/>
  <c r="AB955" i="1"/>
  <c r="A955" i="1"/>
  <c r="AC954" i="1"/>
  <c r="AB954" i="1"/>
  <c r="A954" i="1"/>
  <c r="AC953" i="1"/>
  <c r="AB953" i="1"/>
  <c r="A953" i="1"/>
  <c r="AC952" i="1"/>
  <c r="AB952" i="1"/>
  <c r="A952" i="1"/>
  <c r="AC951" i="1"/>
  <c r="AB951" i="1"/>
  <c r="A951" i="1"/>
  <c r="AC950" i="1"/>
  <c r="AB950" i="1"/>
  <c r="A950" i="1"/>
  <c r="AC949" i="1"/>
  <c r="AB949" i="1"/>
  <c r="A949" i="1"/>
  <c r="W949" i="1" s="1"/>
  <c r="AC948" i="1"/>
  <c r="AB948" i="1"/>
  <c r="A948" i="1"/>
  <c r="AC947" i="1"/>
  <c r="AB947" i="1"/>
  <c r="A947" i="1"/>
  <c r="AC946" i="1"/>
  <c r="AB946" i="1"/>
  <c r="A946" i="1"/>
  <c r="AC945" i="1"/>
  <c r="AB945" i="1"/>
  <c r="A945" i="1"/>
  <c r="AC944" i="1"/>
  <c r="AB944" i="1"/>
  <c r="A944" i="1"/>
  <c r="AC943" i="1"/>
  <c r="AB943" i="1"/>
  <c r="A943" i="1"/>
  <c r="AC942" i="1"/>
  <c r="AB942" i="1"/>
  <c r="A942" i="1"/>
  <c r="AC941" i="1"/>
  <c r="AB941" i="1"/>
  <c r="A941" i="1"/>
  <c r="W941" i="1" s="1"/>
  <c r="AC940" i="1"/>
  <c r="AB940" i="1"/>
  <c r="A940" i="1"/>
  <c r="AC939" i="1"/>
  <c r="AB939" i="1"/>
  <c r="A939" i="1"/>
  <c r="AC938" i="1"/>
  <c r="AB938" i="1"/>
  <c r="A938" i="1"/>
  <c r="AC937" i="1"/>
  <c r="AB937" i="1"/>
  <c r="A937" i="1"/>
  <c r="AC936" i="1"/>
  <c r="AB936" i="1"/>
  <c r="A936" i="1"/>
  <c r="AC935" i="1"/>
  <c r="AB935" i="1"/>
  <c r="A935" i="1"/>
  <c r="AC934" i="1"/>
  <c r="AB934" i="1"/>
  <c r="A934" i="1"/>
  <c r="AC933" i="1"/>
  <c r="AB933" i="1"/>
  <c r="A933" i="1"/>
  <c r="W933" i="1" s="1"/>
  <c r="AC932" i="1"/>
  <c r="AB932" i="1"/>
  <c r="A932" i="1"/>
  <c r="AC931" i="1"/>
  <c r="AB931" i="1"/>
  <c r="A931" i="1"/>
  <c r="AC930" i="1"/>
  <c r="AB930" i="1"/>
  <c r="A930" i="1"/>
  <c r="AC929" i="1"/>
  <c r="AB929" i="1"/>
  <c r="A929" i="1"/>
  <c r="AC928" i="1"/>
  <c r="AB928" i="1"/>
  <c r="A928" i="1"/>
  <c r="AC927" i="1"/>
  <c r="AB927" i="1"/>
  <c r="A927" i="1"/>
  <c r="W927" i="1" s="1"/>
  <c r="AC926" i="1"/>
  <c r="AB926" i="1"/>
  <c r="A926" i="1"/>
  <c r="AC925" i="1"/>
  <c r="AB925" i="1"/>
  <c r="A925" i="1"/>
  <c r="W925" i="1" s="1"/>
  <c r="AC924" i="1"/>
  <c r="AB924" i="1"/>
  <c r="A924" i="1"/>
  <c r="AC923" i="1"/>
  <c r="AB923" i="1"/>
  <c r="A923" i="1"/>
  <c r="AC922" i="1"/>
  <c r="AB922" i="1"/>
  <c r="A922" i="1"/>
  <c r="AC921" i="1"/>
  <c r="AB921" i="1"/>
  <c r="A921" i="1"/>
  <c r="AC920" i="1"/>
  <c r="AB920" i="1"/>
  <c r="A920" i="1"/>
  <c r="AC919" i="1"/>
  <c r="AB919" i="1"/>
  <c r="A919" i="1"/>
  <c r="AC918" i="1"/>
  <c r="AB918" i="1"/>
  <c r="A918" i="1"/>
  <c r="AC917" i="1"/>
  <c r="AB917" i="1"/>
  <c r="A917" i="1"/>
  <c r="W917" i="1" s="1"/>
  <c r="AC916" i="1"/>
  <c r="AB916" i="1"/>
  <c r="A916" i="1"/>
  <c r="AC915" i="1"/>
  <c r="AB915" i="1"/>
  <c r="A915" i="1"/>
  <c r="AC914" i="1"/>
  <c r="AB914" i="1"/>
  <c r="A914" i="1"/>
  <c r="AC913" i="1"/>
  <c r="AB913" i="1"/>
  <c r="A913" i="1"/>
  <c r="AC912" i="1"/>
  <c r="AB912" i="1"/>
  <c r="A912" i="1"/>
  <c r="AC911" i="1"/>
  <c r="AB911" i="1"/>
  <c r="A911" i="1"/>
  <c r="W911" i="1" s="1"/>
  <c r="AC910" i="1"/>
  <c r="AB910" i="1"/>
  <c r="A910" i="1"/>
  <c r="AC909" i="1"/>
  <c r="AB909" i="1"/>
  <c r="A909" i="1"/>
  <c r="W909" i="1" s="1"/>
  <c r="AC908" i="1"/>
  <c r="AB908" i="1"/>
  <c r="A908" i="1"/>
  <c r="AC907" i="1"/>
  <c r="AB907" i="1"/>
  <c r="A907" i="1"/>
  <c r="AC906" i="1"/>
  <c r="AB906" i="1"/>
  <c r="A906" i="1"/>
  <c r="AC905" i="1"/>
  <c r="AB905" i="1"/>
  <c r="A905" i="1"/>
  <c r="AC904" i="1"/>
  <c r="AB904" i="1"/>
  <c r="A904" i="1"/>
  <c r="W904" i="1" s="1"/>
  <c r="AC903" i="1"/>
  <c r="AB903" i="1"/>
  <c r="A903" i="1"/>
  <c r="AC902" i="1"/>
  <c r="AB902" i="1"/>
  <c r="A902" i="1"/>
  <c r="W902" i="1" s="1"/>
  <c r="AC901" i="1"/>
  <c r="AB901" i="1"/>
  <c r="A901" i="1"/>
  <c r="W901" i="1" s="1"/>
  <c r="AC900" i="1"/>
  <c r="AB900" i="1"/>
  <c r="A900" i="1"/>
  <c r="AC899" i="1"/>
  <c r="AB899" i="1"/>
  <c r="A899" i="1"/>
  <c r="AC898" i="1"/>
  <c r="AB898" i="1"/>
  <c r="A898" i="1"/>
  <c r="AC897" i="1"/>
  <c r="AB897" i="1"/>
  <c r="A897" i="1"/>
  <c r="AC896" i="1"/>
  <c r="AB896" i="1"/>
  <c r="A896" i="1"/>
  <c r="AC895" i="1"/>
  <c r="AB895" i="1"/>
  <c r="A895" i="1"/>
  <c r="AC894" i="1"/>
  <c r="AB894" i="1"/>
  <c r="A894" i="1"/>
  <c r="AC893" i="1"/>
  <c r="AB893" i="1"/>
  <c r="A893" i="1"/>
  <c r="W893" i="1" s="1"/>
  <c r="AC892" i="1"/>
  <c r="AB892" i="1"/>
  <c r="A892" i="1"/>
  <c r="AC891" i="1"/>
  <c r="AB891" i="1"/>
  <c r="A891" i="1"/>
  <c r="W891" i="1" s="1"/>
  <c r="AC890" i="1"/>
  <c r="AB890" i="1"/>
  <c r="A890" i="1"/>
  <c r="AC889" i="1"/>
  <c r="AB889" i="1"/>
  <c r="A889" i="1"/>
  <c r="AC888" i="1"/>
  <c r="AB888" i="1"/>
  <c r="A888" i="1"/>
  <c r="AC887" i="1"/>
  <c r="AB887" i="1"/>
  <c r="A887" i="1"/>
  <c r="AC886" i="1"/>
  <c r="AB886" i="1"/>
  <c r="A886" i="1"/>
  <c r="AC885" i="1"/>
  <c r="AB885" i="1"/>
  <c r="A885" i="1"/>
  <c r="W885" i="1" s="1"/>
  <c r="AC884" i="1"/>
  <c r="AB884" i="1"/>
  <c r="A884" i="1"/>
  <c r="AC883" i="1"/>
  <c r="AB883" i="1"/>
  <c r="A883" i="1"/>
  <c r="W883" i="1" s="1"/>
  <c r="AC882" i="1"/>
  <c r="AB882" i="1"/>
  <c r="A882" i="1"/>
  <c r="AC881" i="1"/>
  <c r="AB881" i="1"/>
  <c r="A881" i="1"/>
  <c r="AC880" i="1"/>
  <c r="AB880" i="1"/>
  <c r="A880" i="1"/>
  <c r="AC879" i="1"/>
  <c r="AB879" i="1"/>
  <c r="A879" i="1"/>
  <c r="AC878" i="1"/>
  <c r="AB878" i="1"/>
  <c r="A878" i="1"/>
  <c r="W878" i="1" s="1"/>
  <c r="AC877" i="1"/>
  <c r="AB877" i="1"/>
  <c r="A877" i="1"/>
  <c r="W877" i="1" s="1"/>
  <c r="AC876" i="1"/>
  <c r="AB876" i="1"/>
  <c r="A876" i="1"/>
  <c r="AC875" i="1"/>
  <c r="AB875" i="1"/>
  <c r="A875" i="1"/>
  <c r="AC874" i="1"/>
  <c r="AB874" i="1"/>
  <c r="A874" i="1"/>
  <c r="AC873" i="1"/>
  <c r="AB873" i="1"/>
  <c r="A873" i="1"/>
  <c r="AC872" i="1"/>
  <c r="AB872" i="1"/>
  <c r="A872" i="1"/>
  <c r="AC871" i="1"/>
  <c r="AB871" i="1"/>
  <c r="A871" i="1"/>
  <c r="AC870" i="1"/>
  <c r="AB870" i="1"/>
  <c r="A870" i="1"/>
  <c r="AC869" i="1"/>
  <c r="AB869" i="1"/>
  <c r="A869" i="1"/>
  <c r="W869" i="1" s="1"/>
  <c r="AC868" i="1"/>
  <c r="AB868" i="1"/>
  <c r="A868" i="1"/>
  <c r="W868" i="1" s="1"/>
  <c r="AC867" i="1"/>
  <c r="AB867" i="1"/>
  <c r="A867" i="1"/>
  <c r="AC866" i="1"/>
  <c r="AB866" i="1"/>
  <c r="A866" i="1"/>
  <c r="W866" i="1" s="1"/>
  <c r="AC865" i="1"/>
  <c r="AB865" i="1"/>
  <c r="A865" i="1"/>
  <c r="AC864" i="1"/>
  <c r="AB864" i="1"/>
  <c r="A864" i="1"/>
  <c r="AC863" i="1"/>
  <c r="AB863" i="1"/>
  <c r="A863" i="1"/>
  <c r="AC862" i="1"/>
  <c r="AB862" i="1"/>
  <c r="A862" i="1"/>
  <c r="AC861" i="1"/>
  <c r="AB861" i="1"/>
  <c r="A861" i="1"/>
  <c r="W861" i="1" s="1"/>
  <c r="AC860" i="1"/>
  <c r="AB860" i="1"/>
  <c r="A860" i="1"/>
  <c r="AC859" i="1"/>
  <c r="AB859" i="1"/>
  <c r="A859" i="1"/>
  <c r="AC858" i="1"/>
  <c r="AB858" i="1"/>
  <c r="A858" i="1"/>
  <c r="W858" i="1" s="1"/>
  <c r="AC857" i="1"/>
  <c r="AB857" i="1"/>
  <c r="A857" i="1"/>
  <c r="AC856" i="1"/>
  <c r="AB856" i="1"/>
  <c r="A856" i="1"/>
  <c r="AC855" i="1"/>
  <c r="AB855" i="1"/>
  <c r="A855" i="1"/>
  <c r="AC854" i="1"/>
  <c r="AB854" i="1"/>
  <c r="A854" i="1"/>
  <c r="AC853" i="1"/>
  <c r="AB853" i="1"/>
  <c r="A853" i="1"/>
  <c r="W853" i="1" s="1"/>
  <c r="AC852" i="1"/>
  <c r="AB852" i="1"/>
  <c r="A852" i="1"/>
  <c r="AC851" i="1"/>
  <c r="AB851" i="1"/>
  <c r="A851" i="1"/>
  <c r="AC850" i="1"/>
  <c r="AB850" i="1"/>
  <c r="A850" i="1"/>
  <c r="W850" i="1" s="1"/>
  <c r="AC849" i="1"/>
  <c r="AB849" i="1"/>
  <c r="A849" i="1"/>
  <c r="AC848" i="1"/>
  <c r="AB848" i="1"/>
  <c r="A848" i="1"/>
  <c r="AC847" i="1"/>
  <c r="AB847" i="1"/>
  <c r="A847" i="1"/>
  <c r="W847" i="1" s="1"/>
  <c r="AC846" i="1"/>
  <c r="AB846" i="1"/>
  <c r="A846" i="1"/>
  <c r="AC845" i="1"/>
  <c r="AB845" i="1"/>
  <c r="A845" i="1"/>
  <c r="W845" i="1" s="1"/>
  <c r="AC844" i="1"/>
  <c r="AB844" i="1"/>
  <c r="A844" i="1"/>
  <c r="AC843" i="1"/>
  <c r="AB843" i="1"/>
  <c r="A843" i="1"/>
  <c r="AC842" i="1"/>
  <c r="AB842" i="1"/>
  <c r="A842" i="1"/>
  <c r="W842" i="1" s="1"/>
  <c r="AC841" i="1"/>
  <c r="AB841" i="1"/>
  <c r="A841" i="1"/>
  <c r="AC840" i="1"/>
  <c r="AB840" i="1"/>
  <c r="A840" i="1"/>
  <c r="AC839" i="1"/>
  <c r="AB839" i="1"/>
  <c r="A839" i="1"/>
  <c r="W839" i="1" s="1"/>
  <c r="AC838" i="1"/>
  <c r="AB838" i="1"/>
  <c r="A838" i="1"/>
  <c r="AC837" i="1"/>
  <c r="AB837" i="1"/>
  <c r="A837" i="1"/>
  <c r="W837" i="1" s="1"/>
  <c r="AC836" i="1"/>
  <c r="AB836" i="1"/>
  <c r="A836" i="1"/>
  <c r="AC835" i="1"/>
  <c r="AB835" i="1"/>
  <c r="A835" i="1"/>
  <c r="AC834" i="1"/>
  <c r="AB834" i="1"/>
  <c r="A834" i="1"/>
  <c r="W834" i="1" s="1"/>
  <c r="AC833" i="1"/>
  <c r="AB833" i="1"/>
  <c r="A833" i="1"/>
  <c r="AC832" i="1"/>
  <c r="AB832" i="1"/>
  <c r="A832" i="1"/>
  <c r="AC831" i="1"/>
  <c r="AB831" i="1"/>
  <c r="A831" i="1"/>
  <c r="AC830" i="1"/>
  <c r="AB830" i="1"/>
  <c r="A830" i="1"/>
  <c r="AC829" i="1"/>
  <c r="AB829" i="1"/>
  <c r="A829" i="1"/>
  <c r="W829" i="1" s="1"/>
  <c r="AC828" i="1"/>
  <c r="AB828" i="1"/>
  <c r="A828" i="1"/>
  <c r="AC827" i="1"/>
  <c r="AB827" i="1"/>
  <c r="A827" i="1"/>
  <c r="AC826" i="1"/>
  <c r="AB826" i="1"/>
  <c r="A826" i="1"/>
  <c r="W826" i="1" s="1"/>
  <c r="AC825" i="1"/>
  <c r="AB825" i="1"/>
  <c r="A825" i="1"/>
  <c r="AC824" i="1"/>
  <c r="AB824" i="1"/>
  <c r="A824" i="1"/>
  <c r="AC823" i="1"/>
  <c r="AB823" i="1"/>
  <c r="A823" i="1"/>
  <c r="AC822" i="1"/>
  <c r="AB822" i="1"/>
  <c r="A822" i="1"/>
  <c r="AC821" i="1"/>
  <c r="AB821" i="1"/>
  <c r="A821" i="1"/>
  <c r="W821" i="1" s="1"/>
  <c r="AC820" i="1"/>
  <c r="AB820" i="1"/>
  <c r="A820" i="1"/>
  <c r="AC819" i="1"/>
  <c r="AB819" i="1"/>
  <c r="A819" i="1"/>
  <c r="AC818" i="1"/>
  <c r="AB818" i="1"/>
  <c r="A818" i="1"/>
  <c r="AC817" i="1"/>
  <c r="AB817" i="1"/>
  <c r="A817" i="1"/>
  <c r="W817" i="1" s="1"/>
  <c r="AC816" i="1"/>
  <c r="AB816" i="1"/>
  <c r="A816" i="1"/>
  <c r="AC815" i="1"/>
  <c r="AB815" i="1"/>
  <c r="A815" i="1"/>
  <c r="W815" i="1" s="1"/>
  <c r="AC814" i="1"/>
  <c r="AB814" i="1"/>
  <c r="A814" i="1"/>
  <c r="AC813" i="1"/>
  <c r="AB813" i="1"/>
  <c r="A813" i="1"/>
  <c r="W813" i="1" s="1"/>
  <c r="AC812" i="1"/>
  <c r="AB812" i="1"/>
  <c r="A812" i="1"/>
  <c r="AC811" i="1"/>
  <c r="AB811" i="1"/>
  <c r="A811" i="1"/>
  <c r="AC810" i="1"/>
  <c r="AB810" i="1"/>
  <c r="A810" i="1"/>
  <c r="W810" i="1" s="1"/>
  <c r="AC809" i="1"/>
  <c r="AB809" i="1"/>
  <c r="A809" i="1"/>
  <c r="W809" i="1" s="1"/>
  <c r="AC808" i="1"/>
  <c r="AB808" i="1"/>
  <c r="A808" i="1"/>
  <c r="AC807" i="1"/>
  <c r="AB807" i="1"/>
  <c r="A807" i="1"/>
  <c r="W807" i="1" s="1"/>
  <c r="AC806" i="1"/>
  <c r="AB806" i="1"/>
  <c r="A806" i="1"/>
  <c r="AC805" i="1"/>
  <c r="AB805" i="1"/>
  <c r="A805" i="1"/>
  <c r="W805" i="1" s="1"/>
  <c r="AC804" i="1"/>
  <c r="AB804" i="1"/>
  <c r="A804" i="1"/>
  <c r="AC803" i="1"/>
  <c r="AB803" i="1"/>
  <c r="A803" i="1"/>
  <c r="AC802" i="1"/>
  <c r="AB802" i="1"/>
  <c r="A802" i="1"/>
  <c r="AC801" i="1"/>
  <c r="AB801" i="1"/>
  <c r="A801" i="1"/>
  <c r="AC800" i="1"/>
  <c r="AB800" i="1"/>
  <c r="A800" i="1"/>
  <c r="AC799" i="1"/>
  <c r="AB799" i="1"/>
  <c r="A799" i="1"/>
  <c r="W799" i="1" s="1"/>
  <c r="AC798" i="1"/>
  <c r="AB798" i="1"/>
  <c r="A798" i="1"/>
  <c r="AC797" i="1"/>
  <c r="AB797" i="1"/>
  <c r="A797" i="1"/>
  <c r="W797" i="1" s="1"/>
  <c r="AC796" i="1"/>
  <c r="AB796" i="1"/>
  <c r="A796" i="1"/>
  <c r="AC795" i="1"/>
  <c r="AB795" i="1"/>
  <c r="A795" i="1"/>
  <c r="AC794" i="1"/>
  <c r="AB794" i="1"/>
  <c r="A794" i="1"/>
  <c r="AC793" i="1"/>
  <c r="AB793" i="1"/>
  <c r="A793" i="1"/>
  <c r="AC792" i="1"/>
  <c r="AB792" i="1"/>
  <c r="A792" i="1"/>
  <c r="AC791" i="1"/>
  <c r="AB791" i="1"/>
  <c r="A791" i="1"/>
  <c r="AC790" i="1"/>
  <c r="AB790" i="1"/>
  <c r="A790" i="1"/>
  <c r="AC789" i="1"/>
  <c r="AB789" i="1"/>
  <c r="A789" i="1"/>
  <c r="AC788" i="1"/>
  <c r="AB788" i="1"/>
  <c r="A788" i="1"/>
  <c r="AC787" i="1"/>
  <c r="AB787" i="1"/>
  <c r="A787" i="1"/>
  <c r="AC786" i="1"/>
  <c r="AB786" i="1"/>
  <c r="A786" i="1"/>
  <c r="AC785" i="1"/>
  <c r="AB785" i="1"/>
  <c r="A785" i="1"/>
  <c r="W785" i="1" s="1"/>
  <c r="AC784" i="1"/>
  <c r="AB784" i="1"/>
  <c r="A784" i="1"/>
  <c r="AC783" i="1"/>
  <c r="AB783" i="1"/>
  <c r="A783" i="1"/>
  <c r="AC782" i="1"/>
  <c r="AB782" i="1"/>
  <c r="A782" i="1"/>
  <c r="AC781" i="1"/>
  <c r="AB781" i="1"/>
  <c r="A781" i="1"/>
  <c r="AC780" i="1"/>
  <c r="AB780" i="1"/>
  <c r="A780" i="1"/>
  <c r="W780" i="1" s="1"/>
  <c r="AC779" i="1"/>
  <c r="AB779" i="1"/>
  <c r="A779" i="1"/>
  <c r="AC778" i="1"/>
  <c r="AB778" i="1"/>
  <c r="A778" i="1"/>
  <c r="AC777" i="1"/>
  <c r="AB777" i="1"/>
  <c r="A777" i="1"/>
  <c r="AC776" i="1"/>
  <c r="AB776" i="1"/>
  <c r="A776" i="1"/>
  <c r="AC775" i="1"/>
  <c r="AB775" i="1"/>
  <c r="A775" i="1"/>
  <c r="AC774" i="1"/>
  <c r="AB774" i="1"/>
  <c r="A774" i="1"/>
  <c r="AC773" i="1"/>
  <c r="AB773" i="1"/>
  <c r="A773" i="1"/>
  <c r="AC772" i="1"/>
  <c r="AB772" i="1"/>
  <c r="A772" i="1"/>
  <c r="W772" i="1" s="1"/>
  <c r="AC771" i="1"/>
  <c r="AB771" i="1"/>
  <c r="A771" i="1"/>
  <c r="AC770" i="1"/>
  <c r="AB770" i="1"/>
  <c r="A770" i="1"/>
  <c r="AC769" i="1"/>
  <c r="AB769" i="1"/>
  <c r="A769" i="1"/>
  <c r="AC768" i="1"/>
  <c r="AB768" i="1"/>
  <c r="A768" i="1"/>
  <c r="AC767" i="1"/>
  <c r="AB767" i="1"/>
  <c r="A767" i="1"/>
  <c r="AC766" i="1"/>
  <c r="AB766" i="1"/>
  <c r="A766" i="1"/>
  <c r="AC765" i="1"/>
  <c r="AB765" i="1"/>
  <c r="A765" i="1"/>
  <c r="AC764" i="1"/>
  <c r="AB764" i="1"/>
  <c r="A764" i="1"/>
  <c r="W764" i="1" s="1"/>
  <c r="AC763" i="1"/>
  <c r="AB763" i="1"/>
  <c r="A763" i="1"/>
  <c r="AC762" i="1"/>
  <c r="AB762" i="1"/>
  <c r="A762" i="1"/>
  <c r="AC761" i="1"/>
  <c r="AB761" i="1"/>
  <c r="A761" i="1"/>
  <c r="AC760" i="1"/>
  <c r="AB760" i="1"/>
  <c r="A760" i="1"/>
  <c r="AC759" i="1"/>
  <c r="AB759" i="1"/>
  <c r="A759" i="1"/>
  <c r="AC758" i="1"/>
  <c r="AB758" i="1"/>
  <c r="A758" i="1"/>
  <c r="AC757" i="1"/>
  <c r="AB757" i="1"/>
  <c r="A757" i="1"/>
  <c r="AC756" i="1"/>
  <c r="AB756" i="1"/>
  <c r="A756" i="1"/>
  <c r="W756" i="1" s="1"/>
  <c r="AC755" i="1"/>
  <c r="AB755" i="1"/>
  <c r="A755" i="1"/>
  <c r="AC754" i="1"/>
  <c r="AB754" i="1"/>
  <c r="A754" i="1"/>
  <c r="AC753" i="1"/>
  <c r="AB753" i="1"/>
  <c r="A753" i="1"/>
  <c r="AC752" i="1"/>
  <c r="AB752" i="1"/>
  <c r="A752" i="1"/>
  <c r="AC751" i="1"/>
  <c r="AB751" i="1"/>
  <c r="A751" i="1"/>
  <c r="AC750" i="1"/>
  <c r="AB750" i="1"/>
  <c r="A750" i="1"/>
  <c r="AC749" i="1"/>
  <c r="AB749" i="1"/>
  <c r="A749" i="1"/>
  <c r="AC748" i="1"/>
  <c r="AB748" i="1"/>
  <c r="A748" i="1"/>
  <c r="AC747" i="1"/>
  <c r="AB747" i="1"/>
  <c r="A747" i="1"/>
  <c r="W747" i="1" s="1"/>
  <c r="AC746" i="1"/>
  <c r="AB746" i="1"/>
  <c r="A746" i="1"/>
  <c r="AC745" i="1"/>
  <c r="AB745" i="1"/>
  <c r="A745" i="1"/>
  <c r="AC744" i="1"/>
  <c r="AB744" i="1"/>
  <c r="A744" i="1"/>
  <c r="AC743" i="1"/>
  <c r="AB743" i="1"/>
  <c r="A743" i="1"/>
  <c r="AC742" i="1"/>
  <c r="AB742" i="1"/>
  <c r="A742" i="1"/>
  <c r="AC741" i="1"/>
  <c r="AB741" i="1"/>
  <c r="A741" i="1"/>
  <c r="AC740" i="1"/>
  <c r="AB740" i="1"/>
  <c r="A740" i="1"/>
  <c r="AC739" i="1"/>
  <c r="AB739" i="1"/>
  <c r="A739" i="1"/>
  <c r="W739" i="1" s="1"/>
  <c r="AC738" i="1"/>
  <c r="AB738" i="1"/>
  <c r="A738" i="1"/>
  <c r="AC737" i="1"/>
  <c r="AB737" i="1"/>
  <c r="A737" i="1"/>
  <c r="AC736" i="1"/>
  <c r="AB736" i="1"/>
  <c r="A736" i="1"/>
  <c r="AC735" i="1"/>
  <c r="AB735" i="1"/>
  <c r="A735" i="1"/>
  <c r="AC734" i="1"/>
  <c r="AB734" i="1"/>
  <c r="A734" i="1"/>
  <c r="AC733" i="1"/>
  <c r="AB733" i="1"/>
  <c r="A733" i="1"/>
  <c r="AC732" i="1"/>
  <c r="AB732" i="1"/>
  <c r="A732" i="1"/>
  <c r="AC731" i="1"/>
  <c r="AB731" i="1"/>
  <c r="A731" i="1"/>
  <c r="W731" i="1" s="1"/>
  <c r="AC730" i="1"/>
  <c r="AB730" i="1"/>
  <c r="A730" i="1"/>
  <c r="AC729" i="1"/>
  <c r="AB729" i="1"/>
  <c r="A729" i="1"/>
  <c r="AC728" i="1"/>
  <c r="AB728" i="1"/>
  <c r="A728" i="1"/>
  <c r="AC727" i="1"/>
  <c r="AB727" i="1"/>
  <c r="A727" i="1"/>
  <c r="AC726" i="1"/>
  <c r="AB726" i="1"/>
  <c r="A726" i="1"/>
  <c r="AC725" i="1"/>
  <c r="AB725" i="1"/>
  <c r="A725" i="1"/>
  <c r="AC724" i="1"/>
  <c r="AB724" i="1"/>
  <c r="A724" i="1"/>
  <c r="AC723" i="1"/>
  <c r="AB723" i="1"/>
  <c r="A723" i="1"/>
  <c r="W723" i="1" s="1"/>
  <c r="AC722" i="1"/>
  <c r="AB722" i="1"/>
  <c r="A722" i="1"/>
  <c r="AC721" i="1"/>
  <c r="AB721" i="1"/>
  <c r="A721" i="1"/>
  <c r="AC720" i="1"/>
  <c r="AB720" i="1"/>
  <c r="A720" i="1"/>
  <c r="AC719" i="1"/>
  <c r="AB719" i="1"/>
  <c r="A719" i="1"/>
  <c r="AC718" i="1"/>
  <c r="AB718" i="1"/>
  <c r="A718" i="1"/>
  <c r="AC717" i="1"/>
  <c r="AB717" i="1"/>
  <c r="A717" i="1"/>
  <c r="AC716" i="1"/>
  <c r="AB716" i="1"/>
  <c r="A716" i="1"/>
  <c r="AC715" i="1"/>
  <c r="AB715" i="1"/>
  <c r="A715" i="1"/>
  <c r="W715" i="1" s="1"/>
  <c r="AC714" i="1"/>
  <c r="AB714" i="1"/>
  <c r="A714" i="1"/>
  <c r="AC713" i="1"/>
  <c r="AB713" i="1"/>
  <c r="A713" i="1"/>
  <c r="AC712" i="1"/>
  <c r="AB712" i="1"/>
  <c r="A712" i="1"/>
  <c r="AC711" i="1"/>
  <c r="AB711" i="1"/>
  <c r="A711" i="1"/>
  <c r="AC710" i="1"/>
  <c r="AB710" i="1"/>
  <c r="A710" i="1"/>
  <c r="AC709" i="1"/>
  <c r="AB709" i="1"/>
  <c r="A709" i="1"/>
  <c r="AC708" i="1"/>
  <c r="AB708" i="1"/>
  <c r="A708" i="1"/>
  <c r="AC707" i="1"/>
  <c r="AB707" i="1"/>
  <c r="A707" i="1"/>
  <c r="W707" i="1" s="1"/>
  <c r="AC706" i="1"/>
  <c r="AB706" i="1"/>
  <c r="A706" i="1"/>
  <c r="AC705" i="1"/>
  <c r="AB705" i="1"/>
  <c r="A705" i="1"/>
  <c r="AC704" i="1"/>
  <c r="AB704" i="1"/>
  <c r="A704" i="1"/>
  <c r="AC703" i="1"/>
  <c r="AB703" i="1"/>
  <c r="A703" i="1"/>
  <c r="AC702" i="1"/>
  <c r="AB702" i="1"/>
  <c r="A702" i="1"/>
  <c r="AC701" i="1"/>
  <c r="AB701" i="1"/>
  <c r="A701" i="1"/>
  <c r="AC700" i="1"/>
  <c r="AB700" i="1"/>
  <c r="A700" i="1"/>
  <c r="AC699" i="1"/>
  <c r="AB699" i="1"/>
  <c r="A699" i="1"/>
  <c r="W699" i="1" s="1"/>
  <c r="AC698" i="1"/>
  <c r="AB698" i="1"/>
  <c r="A698" i="1"/>
  <c r="AC697" i="1"/>
  <c r="AB697" i="1"/>
  <c r="A697" i="1"/>
  <c r="AC696" i="1"/>
  <c r="AB696" i="1"/>
  <c r="A696" i="1"/>
  <c r="AC695" i="1"/>
  <c r="AB695" i="1"/>
  <c r="A695" i="1"/>
  <c r="AC694" i="1"/>
  <c r="AB694" i="1"/>
  <c r="A694" i="1"/>
  <c r="AC693" i="1"/>
  <c r="AB693" i="1"/>
  <c r="A693" i="1"/>
  <c r="W693" i="1" s="1"/>
  <c r="AC692" i="1"/>
  <c r="AB692" i="1"/>
  <c r="A692" i="1"/>
  <c r="AC691" i="1"/>
  <c r="AB691" i="1"/>
  <c r="A691" i="1"/>
  <c r="W691" i="1" s="1"/>
  <c r="AC690" i="1"/>
  <c r="AB690" i="1"/>
  <c r="A690" i="1"/>
  <c r="AC689" i="1"/>
  <c r="AB689" i="1"/>
  <c r="A689" i="1"/>
  <c r="AC688" i="1"/>
  <c r="AB688" i="1"/>
  <c r="A688" i="1"/>
  <c r="AC687" i="1"/>
  <c r="AB687" i="1"/>
  <c r="A687" i="1"/>
  <c r="AC686" i="1"/>
  <c r="AB686" i="1"/>
  <c r="A686" i="1"/>
  <c r="AC685" i="1"/>
  <c r="AB685" i="1"/>
  <c r="A685" i="1"/>
  <c r="AC684" i="1"/>
  <c r="AB684" i="1"/>
  <c r="A684" i="1"/>
  <c r="AC683" i="1"/>
  <c r="AB683" i="1"/>
  <c r="A683" i="1"/>
  <c r="W683" i="1" s="1"/>
  <c r="AC682" i="1"/>
  <c r="AB682" i="1"/>
  <c r="A682" i="1"/>
  <c r="AC681" i="1"/>
  <c r="AB681" i="1"/>
  <c r="A681" i="1"/>
  <c r="AC680" i="1"/>
  <c r="AB680" i="1"/>
  <c r="A680" i="1"/>
  <c r="AC679" i="1"/>
  <c r="AB679" i="1"/>
  <c r="A679" i="1"/>
  <c r="AC678" i="1"/>
  <c r="AB678" i="1"/>
  <c r="A678" i="1"/>
  <c r="AC677" i="1"/>
  <c r="AB677" i="1"/>
  <c r="A677" i="1"/>
  <c r="W677" i="1" s="1"/>
  <c r="AC676" i="1"/>
  <c r="AB676" i="1"/>
  <c r="A676" i="1"/>
  <c r="AC675" i="1"/>
  <c r="AB675" i="1"/>
  <c r="A675" i="1"/>
  <c r="W675" i="1" s="1"/>
  <c r="AC674" i="1"/>
  <c r="AB674" i="1"/>
  <c r="A674" i="1"/>
  <c r="AC673" i="1"/>
  <c r="AB673" i="1"/>
  <c r="A673" i="1"/>
  <c r="AC672" i="1"/>
  <c r="AB672" i="1"/>
  <c r="A672" i="1"/>
  <c r="W672" i="1" s="1"/>
  <c r="AC671" i="1"/>
  <c r="AB671" i="1"/>
  <c r="A671" i="1"/>
  <c r="AC670" i="1"/>
  <c r="AB670" i="1"/>
  <c r="A670" i="1"/>
  <c r="AC669" i="1"/>
  <c r="AB669" i="1"/>
  <c r="A669" i="1"/>
  <c r="AC668" i="1"/>
  <c r="AB668" i="1"/>
  <c r="A668" i="1"/>
  <c r="AC667" i="1"/>
  <c r="AB667" i="1"/>
  <c r="A667" i="1"/>
  <c r="W667" i="1" s="1"/>
  <c r="AC666" i="1"/>
  <c r="AB666" i="1"/>
  <c r="A666" i="1"/>
  <c r="AC665" i="1"/>
  <c r="AB665" i="1"/>
  <c r="A665" i="1"/>
  <c r="AC664" i="1"/>
  <c r="AB664" i="1"/>
  <c r="A664" i="1"/>
  <c r="AC663" i="1"/>
  <c r="AB663" i="1"/>
  <c r="A663" i="1"/>
  <c r="AC662" i="1"/>
  <c r="AB662" i="1"/>
  <c r="A662" i="1"/>
  <c r="AC661" i="1"/>
  <c r="AB661" i="1"/>
  <c r="A661" i="1"/>
  <c r="AC660" i="1"/>
  <c r="AB660" i="1"/>
  <c r="A660" i="1"/>
  <c r="AC659" i="1"/>
  <c r="AB659" i="1"/>
  <c r="A659" i="1"/>
  <c r="W659" i="1" s="1"/>
  <c r="AC658" i="1"/>
  <c r="AB658" i="1"/>
  <c r="A658" i="1"/>
  <c r="W658" i="1" s="1"/>
  <c r="AC657" i="1"/>
  <c r="AB657" i="1"/>
  <c r="A657" i="1"/>
  <c r="AC656" i="1"/>
  <c r="AB656" i="1"/>
  <c r="A656" i="1"/>
  <c r="AC655" i="1"/>
  <c r="AB655" i="1"/>
  <c r="A655" i="1"/>
  <c r="AC654" i="1"/>
  <c r="AB654" i="1"/>
  <c r="A654" i="1"/>
  <c r="AC653" i="1"/>
  <c r="AB653" i="1"/>
  <c r="A653" i="1"/>
  <c r="AC652" i="1"/>
  <c r="AB652" i="1"/>
  <c r="A652" i="1"/>
  <c r="AC651" i="1"/>
  <c r="AB651" i="1"/>
  <c r="A651" i="1"/>
  <c r="W651" i="1" s="1"/>
  <c r="AC650" i="1"/>
  <c r="AB650" i="1"/>
  <c r="A650" i="1"/>
  <c r="W650" i="1" s="1"/>
  <c r="AC649" i="1"/>
  <c r="AB649" i="1"/>
  <c r="A649" i="1"/>
  <c r="AC648" i="1"/>
  <c r="AB648" i="1"/>
  <c r="A648" i="1"/>
  <c r="AC647" i="1"/>
  <c r="AB647" i="1"/>
  <c r="A647" i="1"/>
  <c r="W647" i="1" s="1"/>
  <c r="AC646" i="1"/>
  <c r="AB646" i="1"/>
  <c r="A646" i="1"/>
  <c r="AC645" i="1"/>
  <c r="AB645" i="1"/>
  <c r="A645" i="1"/>
  <c r="AC644" i="1"/>
  <c r="AB644" i="1"/>
  <c r="A644" i="1"/>
  <c r="AC643" i="1"/>
  <c r="AB643" i="1"/>
  <c r="A643" i="1"/>
  <c r="AC642" i="1"/>
  <c r="AB642" i="1"/>
  <c r="A642" i="1"/>
  <c r="W642" i="1" s="1"/>
  <c r="AC641" i="1"/>
  <c r="AB641" i="1"/>
  <c r="A641" i="1"/>
  <c r="W641" i="1" s="1"/>
  <c r="AC640" i="1"/>
  <c r="AB640" i="1"/>
  <c r="A640" i="1"/>
  <c r="AC639" i="1"/>
  <c r="AB639" i="1"/>
  <c r="A639" i="1"/>
  <c r="AC638" i="1"/>
  <c r="AB638" i="1"/>
  <c r="A638" i="1"/>
  <c r="AC637" i="1"/>
  <c r="AB637" i="1"/>
  <c r="A637" i="1"/>
  <c r="AC636" i="1"/>
  <c r="AB636" i="1"/>
  <c r="A636" i="1"/>
  <c r="AC635" i="1"/>
  <c r="AB635" i="1"/>
  <c r="A635" i="1"/>
  <c r="AC634" i="1"/>
  <c r="AB634" i="1"/>
  <c r="A634" i="1"/>
  <c r="W634" i="1" s="1"/>
  <c r="AC633" i="1"/>
  <c r="AB633" i="1"/>
  <c r="A633" i="1"/>
  <c r="W633" i="1" s="1"/>
  <c r="AC632" i="1"/>
  <c r="AB632" i="1"/>
  <c r="A632" i="1"/>
  <c r="AC631" i="1"/>
  <c r="AB631" i="1"/>
  <c r="A631" i="1"/>
  <c r="AC630" i="1"/>
  <c r="AB630" i="1"/>
  <c r="A630" i="1"/>
  <c r="AC629" i="1"/>
  <c r="AB629" i="1"/>
  <c r="A629" i="1"/>
  <c r="AC628" i="1"/>
  <c r="AB628" i="1"/>
  <c r="A628" i="1"/>
  <c r="AC627" i="1"/>
  <c r="AB627" i="1"/>
  <c r="A627" i="1"/>
  <c r="AC626" i="1"/>
  <c r="AB626" i="1"/>
  <c r="A626" i="1"/>
  <c r="AC625" i="1"/>
  <c r="AB625" i="1"/>
  <c r="A625" i="1"/>
  <c r="W625" i="1" s="1"/>
  <c r="AC624" i="1"/>
  <c r="AB624" i="1"/>
  <c r="A624" i="1"/>
  <c r="AC623" i="1"/>
  <c r="AB623" i="1"/>
  <c r="A623" i="1"/>
  <c r="AC622" i="1"/>
  <c r="AB622" i="1"/>
  <c r="A622" i="1"/>
  <c r="AC621" i="1"/>
  <c r="AB621" i="1"/>
  <c r="A621" i="1"/>
  <c r="AC620" i="1"/>
  <c r="AB620" i="1"/>
  <c r="A620" i="1"/>
  <c r="AC619" i="1"/>
  <c r="AB619" i="1"/>
  <c r="A619" i="1"/>
  <c r="AC618" i="1"/>
  <c r="AB618" i="1"/>
  <c r="A618" i="1"/>
  <c r="AC617" i="1"/>
  <c r="AB617" i="1"/>
  <c r="A617" i="1"/>
  <c r="AC616" i="1"/>
  <c r="AB616" i="1"/>
  <c r="A616" i="1"/>
  <c r="AC615" i="1"/>
  <c r="AB615" i="1"/>
  <c r="A615" i="1"/>
  <c r="W615" i="1" s="1"/>
  <c r="AC614" i="1"/>
  <c r="AB614" i="1"/>
  <c r="A614" i="1"/>
  <c r="W614" i="1" s="1"/>
  <c r="AC613" i="1"/>
  <c r="AB613" i="1"/>
  <c r="A613" i="1"/>
  <c r="AC612" i="1"/>
  <c r="AB612" i="1"/>
  <c r="A612" i="1"/>
  <c r="AC611" i="1"/>
  <c r="AB611" i="1"/>
  <c r="A611" i="1"/>
  <c r="W611" i="1" s="1"/>
  <c r="AC610" i="1"/>
  <c r="AB610" i="1"/>
  <c r="A610" i="1"/>
  <c r="AC609" i="1"/>
  <c r="AB609" i="1"/>
  <c r="A609" i="1"/>
  <c r="AC608" i="1"/>
  <c r="AB608" i="1"/>
  <c r="A608" i="1"/>
  <c r="AC607" i="1"/>
  <c r="AB607" i="1"/>
  <c r="A607" i="1"/>
  <c r="AC606" i="1"/>
  <c r="AB606" i="1"/>
  <c r="A606" i="1"/>
  <c r="AC605" i="1"/>
  <c r="AB605" i="1"/>
  <c r="A605" i="1"/>
  <c r="W605" i="1" s="1"/>
  <c r="AC604" i="1"/>
  <c r="AB604" i="1"/>
  <c r="A604" i="1"/>
  <c r="AC603" i="1"/>
  <c r="AB603" i="1"/>
  <c r="A603" i="1"/>
  <c r="AC602" i="1"/>
  <c r="AB602" i="1"/>
  <c r="A602" i="1"/>
  <c r="AC601" i="1"/>
  <c r="AB601" i="1"/>
  <c r="A601" i="1"/>
  <c r="AC600" i="1"/>
  <c r="AB600" i="1"/>
  <c r="A600" i="1"/>
  <c r="AC599" i="1"/>
  <c r="AB599" i="1"/>
  <c r="A599" i="1"/>
  <c r="AC598" i="1"/>
  <c r="AB598" i="1"/>
  <c r="A598" i="1"/>
  <c r="W598" i="1" s="1"/>
  <c r="AC597" i="1"/>
  <c r="AB597" i="1"/>
  <c r="A597" i="1"/>
  <c r="W597" i="1" s="1"/>
  <c r="AC596" i="1"/>
  <c r="AB596" i="1"/>
  <c r="A596" i="1"/>
  <c r="AC595" i="1"/>
  <c r="AB595" i="1"/>
  <c r="A595" i="1"/>
  <c r="AC594" i="1"/>
  <c r="AB594" i="1"/>
  <c r="A594" i="1"/>
  <c r="AC593" i="1"/>
  <c r="AB593" i="1"/>
  <c r="A593" i="1"/>
  <c r="W593" i="1" s="1"/>
  <c r="AC592" i="1"/>
  <c r="AB592" i="1"/>
  <c r="A592" i="1"/>
  <c r="AC591" i="1"/>
  <c r="AB591" i="1"/>
  <c r="A591" i="1"/>
  <c r="AC590" i="1"/>
  <c r="AB590" i="1"/>
  <c r="A590" i="1"/>
  <c r="W590" i="1" s="1"/>
  <c r="AC589" i="1"/>
  <c r="AB589" i="1"/>
  <c r="A589" i="1"/>
  <c r="AC588" i="1"/>
  <c r="AB588" i="1"/>
  <c r="A588" i="1"/>
  <c r="AC587" i="1"/>
  <c r="AB587" i="1"/>
  <c r="A587" i="1"/>
  <c r="AC586" i="1"/>
  <c r="AB586" i="1"/>
  <c r="A586" i="1"/>
  <c r="AC585" i="1"/>
  <c r="AB585" i="1"/>
  <c r="A585" i="1"/>
  <c r="AC584" i="1"/>
  <c r="AB584" i="1"/>
  <c r="A584" i="1"/>
  <c r="W584" i="1" s="1"/>
  <c r="AC583" i="1"/>
  <c r="AB583" i="1"/>
  <c r="A583" i="1"/>
  <c r="AC582" i="1"/>
  <c r="AB582" i="1"/>
  <c r="A582" i="1"/>
  <c r="W582" i="1" s="1"/>
  <c r="AC581" i="1"/>
  <c r="AB581" i="1"/>
  <c r="A581" i="1"/>
  <c r="AC580" i="1"/>
  <c r="AB580" i="1"/>
  <c r="A580" i="1"/>
  <c r="AC579" i="1"/>
  <c r="AB579" i="1"/>
  <c r="A579" i="1"/>
  <c r="AC578" i="1"/>
  <c r="AB578" i="1"/>
  <c r="A578" i="1"/>
  <c r="AC577" i="1"/>
  <c r="AB577" i="1"/>
  <c r="A577" i="1"/>
  <c r="AC576" i="1"/>
  <c r="AB576" i="1"/>
  <c r="A576" i="1"/>
  <c r="AC575" i="1"/>
  <c r="AB575" i="1"/>
  <c r="A575" i="1"/>
  <c r="W575" i="1" s="1"/>
  <c r="AC574" i="1"/>
  <c r="AB574" i="1"/>
  <c r="A574" i="1"/>
  <c r="W574" i="1" s="1"/>
  <c r="AC573" i="1"/>
  <c r="AB573" i="1"/>
  <c r="A573" i="1"/>
  <c r="AC572" i="1"/>
  <c r="AB572" i="1"/>
  <c r="A572" i="1"/>
  <c r="AC571" i="1"/>
  <c r="AB571" i="1"/>
  <c r="A571" i="1"/>
  <c r="AC570" i="1"/>
  <c r="AB570" i="1"/>
  <c r="A570" i="1"/>
  <c r="W570" i="1" s="1"/>
  <c r="AC569" i="1"/>
  <c r="AB569" i="1"/>
  <c r="A569" i="1"/>
  <c r="AC568" i="1"/>
  <c r="AB568" i="1"/>
  <c r="A568" i="1"/>
  <c r="AC567" i="1"/>
  <c r="AB567" i="1"/>
  <c r="A567" i="1"/>
  <c r="AC566" i="1"/>
  <c r="AB566" i="1"/>
  <c r="A566" i="1"/>
  <c r="W566" i="1" s="1"/>
  <c r="AC565" i="1"/>
  <c r="AB565" i="1"/>
  <c r="A565" i="1"/>
  <c r="AC564" i="1"/>
  <c r="AB564" i="1"/>
  <c r="A564" i="1"/>
  <c r="W564" i="1" s="1"/>
  <c r="AC563" i="1"/>
  <c r="AB563" i="1"/>
  <c r="A563" i="1"/>
  <c r="AC562" i="1"/>
  <c r="AB562" i="1"/>
  <c r="A562" i="1"/>
  <c r="AC561" i="1"/>
  <c r="AB561" i="1"/>
  <c r="A561" i="1"/>
  <c r="W561" i="1" s="1"/>
  <c r="AC560" i="1"/>
  <c r="AB560" i="1"/>
  <c r="A560" i="1"/>
  <c r="AC559" i="1"/>
  <c r="AB559" i="1"/>
  <c r="A559" i="1"/>
  <c r="AC558" i="1"/>
  <c r="AB558" i="1"/>
  <c r="A558" i="1"/>
  <c r="W558" i="1" s="1"/>
  <c r="AC557" i="1"/>
  <c r="AB557" i="1"/>
  <c r="A557" i="1"/>
  <c r="AC556" i="1"/>
  <c r="AB556" i="1"/>
  <c r="A556" i="1"/>
  <c r="AC555" i="1"/>
  <c r="AB555" i="1"/>
  <c r="A555" i="1"/>
  <c r="AC554" i="1"/>
  <c r="AB554" i="1"/>
  <c r="A554" i="1"/>
  <c r="AC553" i="1"/>
  <c r="AB553" i="1"/>
  <c r="A553" i="1"/>
  <c r="AC552" i="1"/>
  <c r="AB552" i="1"/>
  <c r="A552" i="1"/>
  <c r="AC551" i="1"/>
  <c r="AB551" i="1"/>
  <c r="A551" i="1"/>
  <c r="AC550" i="1"/>
  <c r="AB550" i="1"/>
  <c r="A550" i="1"/>
  <c r="W550" i="1" s="1"/>
  <c r="AC549" i="1"/>
  <c r="AB549" i="1"/>
  <c r="A549" i="1"/>
  <c r="AC548" i="1"/>
  <c r="AB548" i="1"/>
  <c r="A548" i="1"/>
  <c r="AC547" i="1"/>
  <c r="AB547" i="1"/>
  <c r="A547" i="1"/>
  <c r="AC546" i="1"/>
  <c r="AB546" i="1"/>
  <c r="A546" i="1"/>
  <c r="AC545" i="1"/>
  <c r="AB545" i="1"/>
  <c r="A545" i="1"/>
  <c r="AC544" i="1"/>
  <c r="AB544" i="1"/>
  <c r="A544" i="1"/>
  <c r="AC543" i="1"/>
  <c r="AB543" i="1"/>
  <c r="A543" i="1"/>
  <c r="AC542" i="1"/>
  <c r="AB542" i="1"/>
  <c r="A542" i="1"/>
  <c r="W542" i="1" s="1"/>
  <c r="AC541" i="1"/>
  <c r="AB541" i="1"/>
  <c r="A541" i="1"/>
  <c r="AC540" i="1"/>
  <c r="AB540" i="1"/>
  <c r="A540" i="1"/>
  <c r="AC539" i="1"/>
  <c r="AB539" i="1"/>
  <c r="A539" i="1"/>
  <c r="AC538" i="1"/>
  <c r="AB538" i="1"/>
  <c r="A538" i="1"/>
  <c r="AC537" i="1"/>
  <c r="AB537" i="1"/>
  <c r="A537" i="1"/>
  <c r="AC536" i="1"/>
  <c r="AB536" i="1"/>
  <c r="A536" i="1"/>
  <c r="AC535" i="1"/>
  <c r="AB535" i="1"/>
  <c r="A535" i="1"/>
  <c r="AC534" i="1"/>
  <c r="AB534" i="1"/>
  <c r="A534" i="1"/>
  <c r="W534" i="1" s="1"/>
  <c r="AC533" i="1"/>
  <c r="AB533" i="1"/>
  <c r="A533" i="1"/>
  <c r="AC532" i="1"/>
  <c r="AB532" i="1"/>
  <c r="A532" i="1"/>
  <c r="AC531" i="1"/>
  <c r="AB531" i="1"/>
  <c r="A531" i="1"/>
  <c r="AC530" i="1"/>
  <c r="AB530" i="1"/>
  <c r="A530" i="1"/>
  <c r="AC529" i="1"/>
  <c r="AB529" i="1"/>
  <c r="A529" i="1"/>
  <c r="AC528" i="1"/>
  <c r="AB528" i="1"/>
  <c r="A528" i="1"/>
  <c r="AC527" i="1"/>
  <c r="AB527" i="1"/>
  <c r="A527" i="1"/>
  <c r="AC526" i="1"/>
  <c r="AB526" i="1"/>
  <c r="A526" i="1"/>
  <c r="W526" i="1" s="1"/>
  <c r="AC525" i="1"/>
  <c r="AB525" i="1"/>
  <c r="A525" i="1"/>
  <c r="AC524" i="1"/>
  <c r="AB524" i="1"/>
  <c r="A524" i="1"/>
  <c r="AC523" i="1"/>
  <c r="AB523" i="1"/>
  <c r="A523" i="1"/>
  <c r="AC522" i="1"/>
  <c r="AB522" i="1"/>
  <c r="A522" i="1"/>
  <c r="AC521" i="1"/>
  <c r="AB521" i="1"/>
  <c r="A521" i="1"/>
  <c r="AC520" i="1"/>
  <c r="AB520" i="1"/>
  <c r="A520" i="1"/>
  <c r="AC519" i="1"/>
  <c r="AB519" i="1"/>
  <c r="A519" i="1"/>
  <c r="AC518" i="1"/>
  <c r="AB518" i="1"/>
  <c r="A518" i="1"/>
  <c r="W518" i="1" s="1"/>
  <c r="AC517" i="1"/>
  <c r="AB517" i="1"/>
  <c r="A517" i="1"/>
  <c r="AC516" i="1"/>
  <c r="AB516" i="1"/>
  <c r="A516" i="1"/>
  <c r="AC515" i="1"/>
  <c r="AB515" i="1"/>
  <c r="A515" i="1"/>
  <c r="AC514" i="1"/>
  <c r="AB514" i="1"/>
  <c r="A514" i="1"/>
  <c r="AC513" i="1"/>
  <c r="AB513" i="1"/>
  <c r="A513" i="1"/>
  <c r="AC512" i="1"/>
  <c r="AB512" i="1"/>
  <c r="A512" i="1"/>
  <c r="AC511" i="1"/>
  <c r="AB511" i="1"/>
  <c r="A511" i="1"/>
  <c r="AC510" i="1"/>
  <c r="AB510" i="1"/>
  <c r="A510" i="1"/>
  <c r="W510" i="1" s="1"/>
  <c r="AC509" i="1"/>
  <c r="AB509" i="1"/>
  <c r="A509" i="1"/>
  <c r="W509" i="1" s="1"/>
  <c r="AC508" i="1"/>
  <c r="AB508" i="1"/>
  <c r="A508" i="1"/>
  <c r="AC507" i="1"/>
  <c r="AB507" i="1"/>
  <c r="A507" i="1"/>
  <c r="AC506" i="1"/>
  <c r="AB506" i="1"/>
  <c r="A506" i="1"/>
  <c r="W506" i="1" s="1"/>
  <c r="AC505" i="1"/>
  <c r="AB505" i="1"/>
  <c r="A505" i="1"/>
  <c r="AC504" i="1"/>
  <c r="AB504" i="1"/>
  <c r="A504" i="1"/>
  <c r="AC503" i="1"/>
  <c r="AB503" i="1"/>
  <c r="A503" i="1"/>
  <c r="W503" i="1" s="1"/>
  <c r="AC502" i="1"/>
  <c r="AB502" i="1"/>
  <c r="A502" i="1"/>
  <c r="W502" i="1" s="1"/>
  <c r="AC501" i="1"/>
  <c r="AB501" i="1"/>
  <c r="A501" i="1"/>
  <c r="AC500" i="1"/>
  <c r="AB500" i="1"/>
  <c r="A500" i="1"/>
  <c r="AC499" i="1"/>
  <c r="AB499" i="1"/>
  <c r="A499" i="1"/>
  <c r="W499" i="1" s="1"/>
  <c r="AC498" i="1"/>
  <c r="AB498" i="1"/>
  <c r="A498" i="1"/>
  <c r="W498" i="1" s="1"/>
  <c r="AC497" i="1"/>
  <c r="AB497" i="1"/>
  <c r="A497" i="1"/>
  <c r="AC496" i="1"/>
  <c r="AB496" i="1"/>
  <c r="A496" i="1"/>
  <c r="W496" i="1" s="1"/>
  <c r="AC495" i="1"/>
  <c r="AB495" i="1"/>
  <c r="A495" i="1"/>
  <c r="W495" i="1" s="1"/>
  <c r="AC494" i="1"/>
  <c r="AB494" i="1"/>
  <c r="A494" i="1"/>
  <c r="W494" i="1" s="1"/>
  <c r="AC493" i="1"/>
  <c r="AB493" i="1"/>
  <c r="A493" i="1"/>
  <c r="AC492" i="1"/>
  <c r="AB492" i="1"/>
  <c r="A492" i="1"/>
  <c r="AC491" i="1"/>
  <c r="AB491" i="1"/>
  <c r="A491" i="1"/>
  <c r="W491" i="1" s="1"/>
  <c r="AC490" i="1"/>
  <c r="AB490" i="1"/>
  <c r="A490" i="1"/>
  <c r="W490" i="1" s="1"/>
  <c r="AC489" i="1"/>
  <c r="AB489" i="1"/>
  <c r="A489" i="1"/>
  <c r="AC488" i="1"/>
  <c r="AB488" i="1"/>
  <c r="A488" i="1"/>
  <c r="AC487" i="1"/>
  <c r="AB487" i="1"/>
  <c r="A487" i="1"/>
  <c r="AC486" i="1"/>
  <c r="AB486" i="1"/>
  <c r="A486" i="1"/>
  <c r="W486" i="1" s="1"/>
  <c r="AC485" i="1"/>
  <c r="AB485" i="1"/>
  <c r="A485" i="1"/>
  <c r="AC484" i="1"/>
  <c r="AB484" i="1"/>
  <c r="A484" i="1"/>
  <c r="W484" i="1" s="1"/>
  <c r="AC483" i="1"/>
  <c r="AB483" i="1"/>
  <c r="A483" i="1"/>
  <c r="W483" i="1" s="1"/>
  <c r="AC482" i="1"/>
  <c r="AB482" i="1"/>
  <c r="A482" i="1"/>
  <c r="AC481" i="1"/>
  <c r="AB481" i="1"/>
  <c r="A481" i="1"/>
  <c r="W481" i="1" s="1"/>
  <c r="AC480" i="1"/>
  <c r="AB480" i="1"/>
  <c r="A480" i="1"/>
  <c r="W480" i="1" s="1"/>
  <c r="AC479" i="1"/>
  <c r="AB479" i="1"/>
  <c r="A479" i="1"/>
  <c r="AC478" i="1"/>
  <c r="AB478" i="1"/>
  <c r="A478" i="1"/>
  <c r="W478" i="1" s="1"/>
  <c r="AC477" i="1"/>
  <c r="AB477" i="1"/>
  <c r="A477" i="1"/>
  <c r="AC476" i="1"/>
  <c r="AB476" i="1"/>
  <c r="A476" i="1"/>
  <c r="AC475" i="1"/>
  <c r="AB475" i="1"/>
  <c r="A475" i="1"/>
  <c r="AC474" i="1"/>
  <c r="AB474" i="1"/>
  <c r="A474" i="1"/>
  <c r="W474" i="1" s="1"/>
  <c r="AC473" i="1"/>
  <c r="AB473" i="1"/>
  <c r="A473" i="1"/>
  <c r="AC472" i="1"/>
  <c r="AB472" i="1"/>
  <c r="A472" i="1"/>
  <c r="AC471" i="1"/>
  <c r="AB471" i="1"/>
  <c r="A471" i="1"/>
  <c r="AC470" i="1"/>
  <c r="AB470" i="1"/>
  <c r="A470" i="1"/>
  <c r="W470" i="1" s="1"/>
  <c r="AC469" i="1"/>
  <c r="AB469" i="1"/>
  <c r="A469" i="1"/>
  <c r="AC468" i="1"/>
  <c r="AB468" i="1"/>
  <c r="A468" i="1"/>
  <c r="AC467" i="1"/>
  <c r="AB467" i="1"/>
  <c r="A467" i="1"/>
  <c r="AC466" i="1"/>
  <c r="AB466" i="1"/>
  <c r="A466" i="1"/>
  <c r="AC465" i="1"/>
  <c r="AB465" i="1"/>
  <c r="A465" i="1"/>
  <c r="AC464" i="1"/>
  <c r="AB464" i="1"/>
  <c r="A464" i="1"/>
  <c r="AC463" i="1"/>
  <c r="AB463" i="1"/>
  <c r="A463" i="1"/>
  <c r="AC462" i="1"/>
  <c r="AB462" i="1"/>
  <c r="A462" i="1"/>
  <c r="W462" i="1" s="1"/>
  <c r="AC461" i="1"/>
  <c r="AB461" i="1"/>
  <c r="A461" i="1"/>
  <c r="W461" i="1" s="1"/>
  <c r="AC460" i="1"/>
  <c r="AB460" i="1"/>
  <c r="A460" i="1"/>
  <c r="AC459" i="1"/>
  <c r="AB459" i="1"/>
  <c r="A459" i="1"/>
  <c r="W459" i="1" s="1"/>
  <c r="AC458" i="1"/>
  <c r="AB458" i="1"/>
  <c r="A458" i="1"/>
  <c r="AC457" i="1"/>
  <c r="AB457" i="1"/>
  <c r="A457" i="1"/>
  <c r="W457" i="1" s="1"/>
  <c r="AC456" i="1"/>
  <c r="AB456" i="1"/>
  <c r="A456" i="1"/>
  <c r="AC455" i="1"/>
  <c r="AB455" i="1"/>
  <c r="A455" i="1"/>
  <c r="W455" i="1" s="1"/>
  <c r="AC454" i="1"/>
  <c r="AB454" i="1"/>
  <c r="A454" i="1"/>
  <c r="W454" i="1" s="1"/>
  <c r="AC453" i="1"/>
  <c r="AB453" i="1"/>
  <c r="A453" i="1"/>
  <c r="AC452" i="1"/>
  <c r="AB452" i="1"/>
  <c r="A452" i="1"/>
  <c r="AC451" i="1"/>
  <c r="AB451" i="1"/>
  <c r="A451" i="1"/>
  <c r="W451" i="1" s="1"/>
  <c r="AC450" i="1"/>
  <c r="AB450" i="1"/>
  <c r="A450" i="1"/>
  <c r="AC449" i="1"/>
  <c r="AB449" i="1"/>
  <c r="A449" i="1"/>
  <c r="W449" i="1" s="1"/>
  <c r="AC448" i="1"/>
  <c r="AB448" i="1"/>
  <c r="A448" i="1"/>
  <c r="W448" i="1" s="1"/>
  <c r="AC447" i="1"/>
  <c r="AB447" i="1"/>
  <c r="A447" i="1"/>
  <c r="AC446" i="1"/>
  <c r="AB446" i="1"/>
  <c r="A446" i="1"/>
  <c r="W446" i="1" s="1"/>
  <c r="AC445" i="1"/>
  <c r="AB445" i="1"/>
  <c r="A445" i="1"/>
  <c r="AC444" i="1"/>
  <c r="AB444" i="1"/>
  <c r="A444" i="1"/>
  <c r="AC443" i="1"/>
  <c r="AB443" i="1"/>
  <c r="A443" i="1"/>
  <c r="W443" i="1" s="1"/>
  <c r="AC442" i="1"/>
  <c r="AB442" i="1"/>
  <c r="A442" i="1"/>
  <c r="W442" i="1" s="1"/>
  <c r="AC441" i="1"/>
  <c r="AB441" i="1"/>
  <c r="A441" i="1"/>
  <c r="AC440" i="1"/>
  <c r="AB440" i="1"/>
  <c r="A440" i="1"/>
  <c r="W440" i="1" s="1"/>
  <c r="AC439" i="1"/>
  <c r="AB439" i="1"/>
  <c r="A439" i="1"/>
  <c r="AC438" i="1"/>
  <c r="AB438" i="1"/>
  <c r="A438" i="1"/>
  <c r="AC437" i="1"/>
  <c r="AB437" i="1"/>
  <c r="A437" i="1"/>
  <c r="AC436" i="1"/>
  <c r="AB436" i="1"/>
  <c r="A436" i="1"/>
  <c r="AC435" i="1"/>
  <c r="AB435" i="1"/>
  <c r="A435" i="1"/>
  <c r="AC434" i="1"/>
  <c r="AB434" i="1"/>
  <c r="A434" i="1"/>
  <c r="W434" i="1" s="1"/>
  <c r="AC433" i="1"/>
  <c r="AB433" i="1"/>
  <c r="A433" i="1"/>
  <c r="AC432" i="1"/>
  <c r="AB432" i="1"/>
  <c r="A432" i="1"/>
  <c r="AC431" i="1"/>
  <c r="AB431" i="1"/>
  <c r="A431" i="1"/>
  <c r="AC430" i="1"/>
  <c r="AB430" i="1"/>
  <c r="A430" i="1"/>
  <c r="AC429" i="1"/>
  <c r="AB429" i="1"/>
  <c r="A429" i="1"/>
  <c r="W429" i="1" s="1"/>
  <c r="AC428" i="1"/>
  <c r="AB428" i="1"/>
  <c r="A428" i="1"/>
  <c r="AC427" i="1"/>
  <c r="AB427" i="1"/>
  <c r="A427" i="1"/>
  <c r="AC426" i="1"/>
  <c r="AB426" i="1"/>
  <c r="A426" i="1"/>
  <c r="W426" i="1" s="1"/>
  <c r="AC425" i="1"/>
  <c r="AB425" i="1"/>
  <c r="A425" i="1"/>
  <c r="AC424" i="1"/>
  <c r="AB424" i="1"/>
  <c r="A424" i="1"/>
  <c r="W424" i="1" s="1"/>
  <c r="AC423" i="1"/>
  <c r="AB423" i="1"/>
  <c r="A423" i="1"/>
  <c r="AC422" i="1"/>
  <c r="AB422" i="1"/>
  <c r="A422" i="1"/>
  <c r="W422" i="1" s="1"/>
  <c r="AC421" i="1"/>
  <c r="AB421" i="1"/>
  <c r="A421" i="1"/>
  <c r="W421" i="1" s="1"/>
  <c r="AC420" i="1"/>
  <c r="AB420" i="1"/>
  <c r="A420" i="1"/>
  <c r="AC419" i="1"/>
  <c r="AB419" i="1"/>
  <c r="A419" i="1"/>
  <c r="AC418" i="1"/>
  <c r="AB418" i="1"/>
  <c r="A418" i="1"/>
  <c r="AC417" i="1"/>
  <c r="AB417" i="1"/>
  <c r="A417" i="1"/>
  <c r="W417" i="1" s="1"/>
  <c r="AC416" i="1"/>
  <c r="AB416" i="1"/>
  <c r="A416" i="1"/>
  <c r="W416" i="1" s="1"/>
  <c r="AC415" i="1"/>
  <c r="AB415" i="1"/>
  <c r="A415" i="1"/>
  <c r="AC414" i="1"/>
  <c r="AB414" i="1"/>
  <c r="A414" i="1"/>
  <c r="AC413" i="1"/>
  <c r="AB413" i="1"/>
  <c r="A413" i="1"/>
  <c r="W413" i="1" s="1"/>
  <c r="AC412" i="1"/>
  <c r="AB412" i="1"/>
  <c r="A412" i="1"/>
  <c r="AC411" i="1"/>
  <c r="AB411" i="1"/>
  <c r="A411" i="1"/>
  <c r="AC410" i="1"/>
  <c r="AB410" i="1"/>
  <c r="A410" i="1"/>
  <c r="W410" i="1" s="1"/>
  <c r="AC409" i="1"/>
  <c r="AB409" i="1"/>
  <c r="A409" i="1"/>
  <c r="AC408" i="1"/>
  <c r="AB408" i="1"/>
  <c r="A408" i="1"/>
  <c r="W408" i="1" s="1"/>
  <c r="AC407" i="1"/>
  <c r="AB407" i="1"/>
  <c r="A407" i="1"/>
  <c r="AC406" i="1"/>
  <c r="AB406" i="1"/>
  <c r="A406" i="1"/>
  <c r="AC405" i="1"/>
  <c r="AB405" i="1"/>
  <c r="A405" i="1"/>
  <c r="W405" i="1" s="1"/>
  <c r="AC404" i="1"/>
  <c r="AB404" i="1"/>
  <c r="A404" i="1"/>
  <c r="AC403" i="1"/>
  <c r="AB403" i="1"/>
  <c r="A403" i="1"/>
  <c r="AC402" i="1"/>
  <c r="AB402" i="1"/>
  <c r="A402" i="1"/>
  <c r="W402" i="1" s="1"/>
  <c r="AC401" i="1"/>
  <c r="AB401" i="1"/>
  <c r="A401" i="1"/>
  <c r="AC400" i="1"/>
  <c r="AB400" i="1"/>
  <c r="A400" i="1"/>
  <c r="AC399" i="1"/>
  <c r="AB399" i="1"/>
  <c r="A399" i="1"/>
  <c r="AC398" i="1"/>
  <c r="AB398" i="1"/>
  <c r="A398" i="1"/>
  <c r="AC397" i="1"/>
  <c r="AB397" i="1"/>
  <c r="A397" i="1"/>
  <c r="W397" i="1" s="1"/>
  <c r="AC396" i="1"/>
  <c r="AB396" i="1"/>
  <c r="A396" i="1"/>
  <c r="AC395" i="1"/>
  <c r="AB395" i="1"/>
  <c r="A395" i="1"/>
  <c r="AC394" i="1"/>
  <c r="AB394" i="1"/>
  <c r="A394" i="1"/>
  <c r="AC393" i="1"/>
  <c r="AB393" i="1"/>
  <c r="A393" i="1"/>
  <c r="AC392" i="1"/>
  <c r="AB392" i="1"/>
  <c r="A392" i="1"/>
  <c r="W392" i="1" s="1"/>
  <c r="AC391" i="1"/>
  <c r="AB391" i="1"/>
  <c r="A391" i="1"/>
  <c r="AC390" i="1"/>
  <c r="AB390" i="1"/>
  <c r="A390" i="1"/>
  <c r="AC389" i="1"/>
  <c r="AB389" i="1"/>
  <c r="A389" i="1"/>
  <c r="W389" i="1" s="1"/>
  <c r="AC388" i="1"/>
  <c r="AB388" i="1"/>
  <c r="A388" i="1"/>
  <c r="AC387" i="1"/>
  <c r="AB387" i="1"/>
  <c r="A387" i="1"/>
  <c r="AC386" i="1"/>
  <c r="AB386" i="1"/>
  <c r="A386" i="1"/>
  <c r="W386" i="1" s="1"/>
  <c r="AC385" i="1"/>
  <c r="AB385" i="1"/>
  <c r="A385" i="1"/>
  <c r="AC384" i="1"/>
  <c r="AB384" i="1"/>
  <c r="A384" i="1"/>
  <c r="W384" i="1" s="1"/>
  <c r="AC383" i="1"/>
  <c r="AB383" i="1"/>
  <c r="A383" i="1"/>
  <c r="AC382" i="1"/>
  <c r="AB382" i="1"/>
  <c r="A382" i="1"/>
  <c r="W382" i="1" s="1"/>
  <c r="AC381" i="1"/>
  <c r="AB381" i="1"/>
  <c r="A381" i="1"/>
  <c r="W381" i="1" s="1"/>
  <c r="AC380" i="1"/>
  <c r="AB380" i="1"/>
  <c r="A380" i="1"/>
  <c r="AC379" i="1"/>
  <c r="AB379" i="1"/>
  <c r="A379" i="1"/>
  <c r="AC378" i="1"/>
  <c r="AB378" i="1"/>
  <c r="A378" i="1"/>
  <c r="W378" i="1" s="1"/>
  <c r="AC377" i="1"/>
  <c r="AB377" i="1"/>
  <c r="A377" i="1"/>
  <c r="AC376" i="1"/>
  <c r="AB376" i="1"/>
  <c r="A376" i="1"/>
  <c r="AC375" i="1"/>
  <c r="AB375" i="1"/>
  <c r="A375" i="1"/>
  <c r="AC374" i="1"/>
  <c r="AB374" i="1"/>
  <c r="A374" i="1"/>
  <c r="AC373" i="1"/>
  <c r="AB373" i="1"/>
  <c r="A373" i="1"/>
  <c r="W373" i="1" s="1"/>
  <c r="AC372" i="1"/>
  <c r="AB372" i="1"/>
  <c r="A372" i="1"/>
  <c r="AC371" i="1"/>
  <c r="AB371" i="1"/>
  <c r="A371" i="1"/>
  <c r="AC370" i="1"/>
  <c r="AB370" i="1"/>
  <c r="A370" i="1"/>
  <c r="AC369" i="1"/>
  <c r="AB369" i="1"/>
  <c r="A369" i="1"/>
  <c r="AC368" i="1"/>
  <c r="AB368" i="1"/>
  <c r="A368" i="1"/>
  <c r="AC367" i="1"/>
  <c r="AB367" i="1"/>
  <c r="A367" i="1"/>
  <c r="AC366" i="1"/>
  <c r="AB366" i="1"/>
  <c r="A366" i="1"/>
  <c r="AC365" i="1"/>
  <c r="AB365" i="1"/>
  <c r="A365" i="1"/>
  <c r="W365" i="1" s="1"/>
  <c r="AC364" i="1"/>
  <c r="AB364" i="1"/>
  <c r="A364" i="1"/>
  <c r="AC363" i="1"/>
  <c r="AB363" i="1"/>
  <c r="A363" i="1"/>
  <c r="AC362" i="1"/>
  <c r="AB362" i="1"/>
  <c r="A362" i="1"/>
  <c r="AC361" i="1"/>
  <c r="AB361" i="1"/>
  <c r="A361" i="1"/>
  <c r="AC360" i="1"/>
  <c r="AB360" i="1"/>
  <c r="A360" i="1"/>
  <c r="W360" i="1" s="1"/>
  <c r="AC359" i="1"/>
  <c r="AB359" i="1"/>
  <c r="A359" i="1"/>
  <c r="AC358" i="1"/>
  <c r="AB358" i="1"/>
  <c r="A358" i="1"/>
  <c r="AC357" i="1"/>
  <c r="AB357" i="1"/>
  <c r="A357" i="1"/>
  <c r="W357" i="1" s="1"/>
  <c r="AC356" i="1"/>
  <c r="AB356" i="1"/>
  <c r="A356" i="1"/>
  <c r="AC355" i="1"/>
  <c r="AB355" i="1"/>
  <c r="A355" i="1"/>
  <c r="AC354" i="1"/>
  <c r="AB354" i="1"/>
  <c r="A354" i="1"/>
  <c r="AC353" i="1"/>
  <c r="AB353" i="1"/>
  <c r="A353" i="1"/>
  <c r="AC352" i="1"/>
  <c r="AB352" i="1"/>
  <c r="A352" i="1"/>
  <c r="AC351" i="1"/>
  <c r="AB351" i="1"/>
  <c r="A351" i="1"/>
  <c r="AC350" i="1"/>
  <c r="AB350" i="1"/>
  <c r="A350" i="1"/>
  <c r="AC349" i="1"/>
  <c r="AB349" i="1"/>
  <c r="A349" i="1"/>
  <c r="W349" i="1" s="1"/>
  <c r="AC348" i="1"/>
  <c r="AB348" i="1"/>
  <c r="A348" i="1"/>
  <c r="AC347" i="1"/>
  <c r="AB347" i="1"/>
  <c r="A347" i="1"/>
  <c r="AC346" i="1"/>
  <c r="AB346" i="1"/>
  <c r="A346" i="1"/>
  <c r="AC345" i="1"/>
  <c r="AB345" i="1"/>
  <c r="A345" i="1"/>
  <c r="AC344" i="1"/>
  <c r="AB344" i="1"/>
  <c r="A344" i="1"/>
  <c r="AC343" i="1"/>
  <c r="AB343" i="1"/>
  <c r="A343" i="1"/>
  <c r="AC342" i="1"/>
  <c r="AB342" i="1"/>
  <c r="A342" i="1"/>
  <c r="W342" i="1" s="1"/>
  <c r="AC341" i="1"/>
  <c r="AB341" i="1"/>
  <c r="A341" i="1"/>
  <c r="W341" i="1" s="1"/>
  <c r="AC340" i="1"/>
  <c r="AB340" i="1"/>
  <c r="A340" i="1"/>
  <c r="AC339" i="1"/>
  <c r="AB339" i="1"/>
  <c r="A339" i="1"/>
  <c r="AC338" i="1"/>
  <c r="AB338" i="1"/>
  <c r="A338" i="1"/>
  <c r="AC337" i="1"/>
  <c r="AB337" i="1"/>
  <c r="A337" i="1"/>
  <c r="AC336" i="1"/>
  <c r="AB336" i="1"/>
  <c r="A336" i="1"/>
  <c r="W336" i="1" s="1"/>
  <c r="AC335" i="1"/>
  <c r="AB335" i="1"/>
  <c r="A335" i="1"/>
  <c r="AC334" i="1"/>
  <c r="AB334" i="1"/>
  <c r="A334" i="1"/>
  <c r="AC333" i="1"/>
  <c r="AB333" i="1"/>
  <c r="A333" i="1"/>
  <c r="W333" i="1" s="1"/>
  <c r="AC332" i="1"/>
  <c r="AB332" i="1"/>
  <c r="A332" i="1"/>
  <c r="AC331" i="1"/>
  <c r="AB331" i="1"/>
  <c r="A331" i="1"/>
  <c r="AC330" i="1"/>
  <c r="AB330" i="1"/>
  <c r="A330" i="1"/>
  <c r="AC329" i="1"/>
  <c r="AB329" i="1"/>
  <c r="A329" i="1"/>
  <c r="AC328" i="1"/>
  <c r="AB328" i="1"/>
  <c r="A328" i="1"/>
  <c r="AC327" i="1"/>
  <c r="AB327" i="1"/>
  <c r="A327" i="1"/>
  <c r="AC326" i="1"/>
  <c r="AB326" i="1"/>
  <c r="A326" i="1"/>
  <c r="AC325" i="1"/>
  <c r="AB325" i="1"/>
  <c r="A325" i="1"/>
  <c r="W325" i="1" s="1"/>
  <c r="AC324" i="1"/>
  <c r="AB324" i="1"/>
  <c r="A324" i="1"/>
  <c r="AC323" i="1"/>
  <c r="AB323" i="1"/>
  <c r="A323" i="1"/>
  <c r="AC322" i="1"/>
  <c r="AB322" i="1"/>
  <c r="A322" i="1"/>
  <c r="AC321" i="1"/>
  <c r="AB321" i="1"/>
  <c r="A321" i="1"/>
  <c r="AC320" i="1"/>
  <c r="AB320" i="1"/>
  <c r="A320" i="1"/>
  <c r="AC319" i="1"/>
  <c r="AB319" i="1"/>
  <c r="A319" i="1"/>
  <c r="AC318" i="1"/>
  <c r="AB318" i="1"/>
  <c r="A318" i="1"/>
  <c r="AC317" i="1"/>
  <c r="AB317" i="1"/>
  <c r="A317" i="1"/>
  <c r="W317" i="1" s="1"/>
  <c r="AC316" i="1"/>
  <c r="AB316" i="1"/>
  <c r="A316" i="1"/>
  <c r="AC315" i="1"/>
  <c r="AB315" i="1"/>
  <c r="A315" i="1"/>
  <c r="AC314" i="1"/>
  <c r="AB314" i="1"/>
  <c r="A314" i="1"/>
  <c r="AC313" i="1"/>
  <c r="AB313" i="1"/>
  <c r="A313" i="1"/>
  <c r="AC312" i="1"/>
  <c r="AB312" i="1"/>
  <c r="A312" i="1"/>
  <c r="AC311" i="1"/>
  <c r="AB311" i="1"/>
  <c r="A311" i="1"/>
  <c r="AC310" i="1"/>
  <c r="AB310" i="1"/>
  <c r="A310" i="1"/>
  <c r="AC309" i="1"/>
  <c r="AB309" i="1"/>
  <c r="A309" i="1"/>
  <c r="W309" i="1" s="1"/>
  <c r="AC308" i="1"/>
  <c r="AB308" i="1"/>
  <c r="A308" i="1"/>
  <c r="AC307" i="1"/>
  <c r="AB307" i="1"/>
  <c r="A307" i="1"/>
  <c r="AC306" i="1"/>
  <c r="AB306" i="1"/>
  <c r="A306" i="1"/>
  <c r="AC305" i="1"/>
  <c r="AB305" i="1"/>
  <c r="A305" i="1"/>
  <c r="AC304" i="1"/>
  <c r="AB304" i="1"/>
  <c r="A304" i="1"/>
  <c r="AC303" i="1"/>
  <c r="AB303" i="1"/>
  <c r="A303" i="1"/>
  <c r="AC302" i="1"/>
  <c r="AB302" i="1"/>
  <c r="A302" i="1"/>
  <c r="AC301" i="1"/>
  <c r="AB301" i="1"/>
  <c r="A301" i="1"/>
  <c r="W301" i="1" s="1"/>
  <c r="AC300" i="1"/>
  <c r="AB300" i="1"/>
  <c r="A300" i="1"/>
  <c r="AC299" i="1"/>
  <c r="AB299" i="1"/>
  <c r="A299" i="1"/>
  <c r="AC298" i="1"/>
  <c r="AB298" i="1"/>
  <c r="A298" i="1"/>
  <c r="AC297" i="1"/>
  <c r="AB297" i="1"/>
  <c r="A297" i="1"/>
  <c r="AC296" i="1"/>
  <c r="AB296" i="1"/>
  <c r="A296" i="1"/>
  <c r="AC295" i="1"/>
  <c r="AB295" i="1"/>
  <c r="A295" i="1"/>
  <c r="AC294" i="1"/>
  <c r="AB294" i="1"/>
  <c r="A294" i="1"/>
  <c r="AC293" i="1"/>
  <c r="AB293" i="1"/>
  <c r="A293" i="1"/>
  <c r="W293" i="1" s="1"/>
  <c r="AC292" i="1"/>
  <c r="AB292" i="1"/>
  <c r="A292" i="1"/>
  <c r="AC291" i="1"/>
  <c r="AB291" i="1"/>
  <c r="A291" i="1"/>
  <c r="AC290" i="1"/>
  <c r="AB290" i="1"/>
  <c r="A290" i="1"/>
  <c r="AC289" i="1"/>
  <c r="AB289" i="1"/>
  <c r="A289" i="1"/>
  <c r="AC288" i="1"/>
  <c r="AB288" i="1"/>
  <c r="A288" i="1"/>
  <c r="AC287" i="1"/>
  <c r="AB287" i="1"/>
  <c r="A287" i="1"/>
  <c r="AC286" i="1"/>
  <c r="AB286" i="1"/>
  <c r="A286" i="1"/>
  <c r="AC285" i="1"/>
  <c r="AB285" i="1"/>
  <c r="A285" i="1"/>
  <c r="W285" i="1" s="1"/>
  <c r="AC284" i="1"/>
  <c r="AB284" i="1"/>
  <c r="A284" i="1"/>
  <c r="AC283" i="1"/>
  <c r="AB283" i="1"/>
  <c r="A283" i="1"/>
  <c r="AC282" i="1"/>
  <c r="AB282" i="1"/>
  <c r="A282" i="1"/>
  <c r="AC281" i="1"/>
  <c r="AB281" i="1"/>
  <c r="A281" i="1"/>
  <c r="AC280" i="1"/>
  <c r="AB280" i="1"/>
  <c r="A280" i="1"/>
  <c r="AC279" i="1"/>
  <c r="AB279" i="1"/>
  <c r="A279" i="1"/>
  <c r="AC278" i="1"/>
  <c r="AB278" i="1"/>
  <c r="A278" i="1"/>
  <c r="AC277" i="1"/>
  <c r="AB277" i="1"/>
  <c r="A277" i="1"/>
  <c r="W277" i="1" s="1"/>
  <c r="AC276" i="1"/>
  <c r="AB276" i="1"/>
  <c r="A276" i="1"/>
  <c r="AC275" i="1"/>
  <c r="AB275" i="1"/>
  <c r="A275" i="1"/>
  <c r="AC274" i="1"/>
  <c r="AB274" i="1"/>
  <c r="A274" i="1"/>
  <c r="AC273" i="1"/>
  <c r="AB273" i="1"/>
  <c r="A273" i="1"/>
  <c r="AC272" i="1"/>
  <c r="AB272" i="1"/>
  <c r="A272" i="1"/>
  <c r="AC271" i="1"/>
  <c r="AB271" i="1"/>
  <c r="A271" i="1"/>
  <c r="AC270" i="1"/>
  <c r="AB270" i="1"/>
  <c r="A270" i="1"/>
  <c r="AC269" i="1"/>
  <c r="AB269" i="1"/>
  <c r="A269" i="1"/>
  <c r="W269" i="1" s="1"/>
  <c r="AC268" i="1"/>
  <c r="AB268" i="1"/>
  <c r="A268" i="1"/>
  <c r="AC267" i="1"/>
  <c r="AB267" i="1"/>
  <c r="A267" i="1"/>
  <c r="AC266" i="1"/>
  <c r="AB266" i="1"/>
  <c r="A266" i="1"/>
  <c r="AC265" i="1"/>
  <c r="AB265" i="1"/>
  <c r="A265" i="1"/>
  <c r="AC264" i="1"/>
  <c r="AB264" i="1"/>
  <c r="A264" i="1"/>
  <c r="AC263" i="1"/>
  <c r="AB263" i="1"/>
  <c r="A263" i="1"/>
  <c r="AC262" i="1"/>
  <c r="AB262" i="1"/>
  <c r="A262" i="1"/>
  <c r="W262" i="1" s="1"/>
  <c r="AC261" i="1"/>
  <c r="AB261" i="1"/>
  <c r="A261" i="1"/>
  <c r="AC260" i="1"/>
  <c r="AB260" i="1"/>
  <c r="A260" i="1"/>
  <c r="AC259" i="1"/>
  <c r="AB259" i="1"/>
  <c r="A259" i="1"/>
  <c r="AC258" i="1"/>
  <c r="AB258" i="1"/>
  <c r="A258" i="1"/>
  <c r="AC257" i="1"/>
  <c r="AB257" i="1"/>
  <c r="A257" i="1"/>
  <c r="AC256" i="1"/>
  <c r="AB256" i="1"/>
  <c r="A256" i="1"/>
  <c r="AC255" i="1"/>
  <c r="AB255" i="1"/>
  <c r="A255" i="1"/>
  <c r="AC254" i="1"/>
  <c r="AB254" i="1"/>
  <c r="A254" i="1"/>
  <c r="AC253" i="1"/>
  <c r="AB253" i="1"/>
  <c r="A253" i="1"/>
  <c r="AC252" i="1"/>
  <c r="AB252" i="1"/>
  <c r="A252" i="1"/>
  <c r="W252" i="1" s="1"/>
  <c r="AC251" i="1"/>
  <c r="AB251" i="1"/>
  <c r="A251" i="1"/>
  <c r="AC250" i="1"/>
  <c r="AB250" i="1"/>
  <c r="A250" i="1"/>
  <c r="AC249" i="1"/>
  <c r="AB249" i="1"/>
  <c r="A249" i="1"/>
  <c r="AC248" i="1"/>
  <c r="AB248" i="1"/>
  <c r="A248" i="1"/>
  <c r="AC247" i="1"/>
  <c r="AB247" i="1"/>
  <c r="A247" i="1"/>
  <c r="AC246" i="1"/>
  <c r="AB246" i="1"/>
  <c r="A246" i="1"/>
  <c r="W246" i="1" s="1"/>
  <c r="AC245" i="1"/>
  <c r="AB245" i="1"/>
  <c r="A245" i="1"/>
  <c r="AC244" i="1"/>
  <c r="AB244" i="1"/>
  <c r="A244" i="1"/>
  <c r="AC243" i="1"/>
  <c r="AB243" i="1"/>
  <c r="A243" i="1"/>
  <c r="AC242" i="1"/>
  <c r="AB242" i="1"/>
  <c r="A242" i="1"/>
  <c r="AC241" i="1"/>
  <c r="AB241" i="1"/>
  <c r="A241" i="1"/>
  <c r="AC240" i="1"/>
  <c r="AB240" i="1"/>
  <c r="A240" i="1"/>
  <c r="AC239" i="1"/>
  <c r="AB239" i="1"/>
  <c r="A239" i="1"/>
  <c r="AC238" i="1"/>
  <c r="AB238" i="1"/>
  <c r="A238" i="1"/>
  <c r="W238" i="1" s="1"/>
  <c r="AC237" i="1"/>
  <c r="AB237" i="1"/>
  <c r="A237" i="1"/>
  <c r="AC236" i="1"/>
  <c r="AB236" i="1"/>
  <c r="A236" i="1"/>
  <c r="AC235" i="1"/>
  <c r="AB235" i="1"/>
  <c r="A235" i="1"/>
  <c r="AC234" i="1"/>
  <c r="AB234" i="1"/>
  <c r="A234" i="1"/>
  <c r="AC233" i="1"/>
  <c r="AB233" i="1"/>
  <c r="A233" i="1"/>
  <c r="AC232" i="1"/>
  <c r="AB232" i="1"/>
  <c r="A232" i="1"/>
  <c r="AC231" i="1"/>
  <c r="AB231" i="1"/>
  <c r="A231" i="1"/>
  <c r="AC230" i="1"/>
  <c r="AB230" i="1"/>
  <c r="A230" i="1"/>
  <c r="W230" i="1" s="1"/>
  <c r="AC229" i="1"/>
  <c r="AB229" i="1"/>
  <c r="A229" i="1"/>
  <c r="AC228" i="1"/>
  <c r="AB228" i="1"/>
  <c r="A228" i="1"/>
  <c r="AC227" i="1"/>
  <c r="AB227" i="1"/>
  <c r="A227" i="1"/>
  <c r="AC226" i="1"/>
  <c r="AB226" i="1"/>
  <c r="A226" i="1"/>
  <c r="AC225" i="1"/>
  <c r="AB225" i="1"/>
  <c r="A225" i="1"/>
  <c r="AC224" i="1"/>
  <c r="AB224" i="1"/>
  <c r="A224" i="1"/>
  <c r="AC223" i="1"/>
  <c r="AB223" i="1"/>
  <c r="A223" i="1"/>
  <c r="AC222" i="1"/>
  <c r="AB222" i="1"/>
  <c r="A222" i="1"/>
  <c r="W222" i="1" s="1"/>
  <c r="AC221" i="1"/>
  <c r="AB221" i="1"/>
  <c r="A221" i="1"/>
  <c r="AC220" i="1"/>
  <c r="AB220" i="1"/>
  <c r="A220" i="1"/>
  <c r="AC219" i="1"/>
  <c r="AB219" i="1"/>
  <c r="A219" i="1"/>
  <c r="AC218" i="1"/>
  <c r="AB218" i="1"/>
  <c r="A218" i="1"/>
  <c r="AC217" i="1"/>
  <c r="AB217" i="1"/>
  <c r="A217" i="1"/>
  <c r="AC216" i="1"/>
  <c r="AB216" i="1"/>
  <c r="A216" i="1"/>
  <c r="AC215" i="1"/>
  <c r="AB215" i="1"/>
  <c r="A215" i="1"/>
  <c r="AC214" i="1"/>
  <c r="AB214" i="1"/>
  <c r="A214" i="1"/>
  <c r="W214" i="1" s="1"/>
  <c r="AC213" i="1"/>
  <c r="AB213" i="1"/>
  <c r="A213" i="1"/>
  <c r="AC212" i="1"/>
  <c r="AB212" i="1"/>
  <c r="A212" i="1"/>
  <c r="AC211" i="1"/>
  <c r="AB211" i="1"/>
  <c r="A211" i="1"/>
  <c r="AC210" i="1"/>
  <c r="AB210" i="1"/>
  <c r="A210" i="1"/>
  <c r="AC209" i="1"/>
  <c r="AB209" i="1"/>
  <c r="A209" i="1"/>
  <c r="AC208" i="1"/>
  <c r="AB208" i="1"/>
  <c r="A208" i="1"/>
  <c r="AC207" i="1"/>
  <c r="AB207" i="1"/>
  <c r="A207" i="1"/>
  <c r="AC206" i="1"/>
  <c r="AB206" i="1"/>
  <c r="A206" i="1"/>
  <c r="W206" i="1" s="1"/>
  <c r="AC205" i="1"/>
  <c r="AB205" i="1"/>
  <c r="A205" i="1"/>
  <c r="AC204" i="1"/>
  <c r="AB204" i="1"/>
  <c r="A204" i="1"/>
  <c r="AC203" i="1"/>
  <c r="AB203" i="1"/>
  <c r="A203" i="1"/>
  <c r="AC202" i="1"/>
  <c r="AB202" i="1"/>
  <c r="A202" i="1"/>
  <c r="AC201" i="1"/>
  <c r="AB201" i="1"/>
  <c r="A201" i="1"/>
  <c r="AC200" i="1"/>
  <c r="AB200" i="1"/>
  <c r="A200" i="1"/>
  <c r="AC199" i="1"/>
  <c r="AB199" i="1"/>
  <c r="A199" i="1"/>
  <c r="AC198" i="1"/>
  <c r="AB198" i="1"/>
  <c r="A198" i="1"/>
  <c r="W198" i="1" s="1"/>
  <c r="AC197" i="1"/>
  <c r="AB197" i="1"/>
  <c r="A197" i="1"/>
  <c r="AC196" i="1"/>
  <c r="AB196" i="1"/>
  <c r="A196" i="1"/>
  <c r="AC195" i="1"/>
  <c r="AB195" i="1"/>
  <c r="A195" i="1"/>
  <c r="AC194" i="1"/>
  <c r="AB194" i="1"/>
  <c r="A194" i="1"/>
  <c r="AC193" i="1"/>
  <c r="AB193" i="1"/>
  <c r="A193" i="1"/>
  <c r="AC192" i="1"/>
  <c r="AB192" i="1"/>
  <c r="A192" i="1"/>
  <c r="AC191" i="1"/>
  <c r="AB191" i="1"/>
  <c r="A191" i="1"/>
  <c r="AC190" i="1"/>
  <c r="AB190" i="1"/>
  <c r="A190" i="1"/>
  <c r="W190" i="1" s="1"/>
  <c r="AC189" i="1"/>
  <c r="AB189" i="1"/>
  <c r="A189" i="1"/>
  <c r="AC188" i="1"/>
  <c r="AB188" i="1"/>
  <c r="A188" i="1"/>
  <c r="AC187" i="1"/>
  <c r="AB187" i="1"/>
  <c r="A187" i="1"/>
  <c r="AC186" i="1"/>
  <c r="AB186" i="1"/>
  <c r="A186" i="1"/>
  <c r="AC185" i="1"/>
  <c r="AB185" i="1"/>
  <c r="A185" i="1"/>
  <c r="AC184" i="1"/>
  <c r="AB184" i="1"/>
  <c r="A184" i="1"/>
  <c r="AC183" i="1"/>
  <c r="AB183" i="1"/>
  <c r="A183" i="1"/>
  <c r="AC182" i="1"/>
  <c r="AB182" i="1"/>
  <c r="A182" i="1"/>
  <c r="W182" i="1" s="1"/>
  <c r="AC181" i="1"/>
  <c r="AB181" i="1"/>
  <c r="A181" i="1"/>
  <c r="AC180" i="1"/>
  <c r="AB180" i="1"/>
  <c r="A180" i="1"/>
  <c r="AC179" i="1"/>
  <c r="AB179" i="1"/>
  <c r="A179" i="1"/>
  <c r="AC178" i="1"/>
  <c r="AB178" i="1"/>
  <c r="A178" i="1"/>
  <c r="AC177" i="1"/>
  <c r="AB177" i="1"/>
  <c r="A177" i="1"/>
  <c r="AC176" i="1"/>
  <c r="AB176" i="1"/>
  <c r="A176" i="1"/>
  <c r="AC175" i="1"/>
  <c r="AB175" i="1"/>
  <c r="A175" i="1"/>
  <c r="AC174" i="1"/>
  <c r="AB174" i="1"/>
  <c r="A174" i="1"/>
  <c r="W174" i="1" s="1"/>
  <c r="AC173" i="1"/>
  <c r="AB173" i="1"/>
  <c r="A173" i="1"/>
  <c r="AC172" i="1"/>
  <c r="AB172" i="1"/>
  <c r="A172" i="1"/>
  <c r="AC171" i="1"/>
  <c r="AB171" i="1"/>
  <c r="A171" i="1"/>
  <c r="AC170" i="1"/>
  <c r="AB170" i="1"/>
  <c r="A170" i="1"/>
  <c r="AC169" i="1"/>
  <c r="AB169" i="1"/>
  <c r="A169" i="1"/>
  <c r="AC168" i="1"/>
  <c r="AB168" i="1"/>
  <c r="A168" i="1"/>
  <c r="AC167" i="1"/>
  <c r="AB167" i="1"/>
  <c r="A167" i="1"/>
  <c r="AC166" i="1"/>
  <c r="AB166" i="1"/>
  <c r="A166" i="1"/>
  <c r="AC165" i="1"/>
  <c r="AB165" i="1"/>
  <c r="A165" i="1"/>
  <c r="AC164" i="1"/>
  <c r="AB164" i="1"/>
  <c r="A164" i="1"/>
  <c r="W164" i="1" s="1"/>
  <c r="AC163" i="1"/>
  <c r="AB163" i="1"/>
  <c r="A163" i="1"/>
  <c r="AC162" i="1"/>
  <c r="AB162" i="1"/>
  <c r="A162" i="1"/>
  <c r="AC161" i="1"/>
  <c r="AB161" i="1"/>
  <c r="A161" i="1"/>
  <c r="AC160" i="1"/>
  <c r="AB160" i="1"/>
  <c r="A160" i="1"/>
  <c r="AC159" i="1"/>
  <c r="AB159" i="1"/>
  <c r="A159" i="1"/>
  <c r="AC158" i="1"/>
  <c r="AB158" i="1"/>
  <c r="A158" i="1"/>
  <c r="AC157" i="1"/>
  <c r="AB157" i="1"/>
  <c r="A157" i="1"/>
  <c r="AC156" i="1"/>
  <c r="AB156" i="1"/>
  <c r="A156" i="1"/>
  <c r="W156" i="1" s="1"/>
  <c r="AC155" i="1"/>
  <c r="AB155" i="1"/>
  <c r="A155" i="1"/>
  <c r="AC154" i="1"/>
  <c r="AB154" i="1"/>
  <c r="A154" i="1"/>
  <c r="AC153" i="1"/>
  <c r="AB153" i="1"/>
  <c r="A153" i="1"/>
  <c r="W153" i="1" s="1"/>
  <c r="AC152" i="1"/>
  <c r="AB152" i="1"/>
  <c r="A152" i="1"/>
  <c r="AC151" i="1"/>
  <c r="AB151" i="1"/>
  <c r="A151" i="1"/>
  <c r="AC150" i="1"/>
  <c r="AB150" i="1"/>
  <c r="A150" i="1"/>
  <c r="AC149" i="1"/>
  <c r="AB149" i="1"/>
  <c r="A149" i="1"/>
  <c r="AC148" i="1"/>
  <c r="AB148" i="1"/>
  <c r="A148" i="1"/>
  <c r="W148" i="1" s="1"/>
  <c r="AC147" i="1"/>
  <c r="AB147" i="1"/>
  <c r="A147" i="1"/>
  <c r="AC146" i="1"/>
  <c r="AB146" i="1"/>
  <c r="A146" i="1"/>
  <c r="AC145" i="1"/>
  <c r="AB145" i="1"/>
  <c r="A145" i="1"/>
  <c r="W145" i="1" s="1"/>
  <c r="AC144" i="1"/>
  <c r="AB144" i="1"/>
  <c r="A144" i="1"/>
  <c r="AC143" i="1"/>
  <c r="AB143" i="1"/>
  <c r="A143" i="1"/>
  <c r="AC142" i="1"/>
  <c r="AB142" i="1"/>
  <c r="A142" i="1"/>
  <c r="AC141" i="1"/>
  <c r="AB141" i="1"/>
  <c r="A141" i="1"/>
  <c r="AC140" i="1"/>
  <c r="AB140" i="1"/>
  <c r="A140" i="1"/>
  <c r="W140" i="1" s="1"/>
  <c r="AC139" i="1"/>
  <c r="AB139" i="1"/>
  <c r="A139" i="1"/>
  <c r="AC138" i="1"/>
  <c r="AB138" i="1"/>
  <c r="A138" i="1"/>
  <c r="AC137" i="1"/>
  <c r="AB137" i="1"/>
  <c r="A137" i="1"/>
  <c r="W137" i="1" s="1"/>
  <c r="AC136" i="1"/>
  <c r="AB136" i="1"/>
  <c r="A136" i="1"/>
  <c r="AC135" i="1"/>
  <c r="AB135" i="1"/>
  <c r="A135" i="1"/>
  <c r="AC134" i="1"/>
  <c r="AB134" i="1"/>
  <c r="A134" i="1"/>
  <c r="AC133" i="1"/>
  <c r="AB133" i="1"/>
  <c r="A133" i="1"/>
  <c r="AC132" i="1"/>
  <c r="AB132" i="1"/>
  <c r="A132" i="1"/>
  <c r="W132" i="1" s="1"/>
  <c r="AC131" i="1"/>
  <c r="AB131" i="1"/>
  <c r="A131" i="1"/>
  <c r="AC130" i="1"/>
  <c r="AB130" i="1"/>
  <c r="A130" i="1"/>
  <c r="AC129" i="1"/>
  <c r="AB129" i="1"/>
  <c r="A129" i="1"/>
  <c r="W129" i="1" s="1"/>
  <c r="AC128" i="1"/>
  <c r="AB128" i="1"/>
  <c r="A128" i="1"/>
  <c r="AC127" i="1"/>
  <c r="AB127" i="1"/>
  <c r="A127" i="1"/>
  <c r="AC126" i="1"/>
  <c r="AB126" i="1"/>
  <c r="A126" i="1"/>
  <c r="AC125" i="1"/>
  <c r="AB125" i="1"/>
  <c r="A125" i="1"/>
  <c r="AC124" i="1"/>
  <c r="AB124" i="1"/>
  <c r="A124" i="1"/>
  <c r="W124" i="1" s="1"/>
  <c r="AC123" i="1"/>
  <c r="AB123" i="1"/>
  <c r="A123" i="1"/>
  <c r="AC122" i="1"/>
  <c r="AB122" i="1"/>
  <c r="A122" i="1"/>
  <c r="AC121" i="1"/>
  <c r="AB121" i="1"/>
  <c r="A121" i="1"/>
  <c r="W121" i="1" s="1"/>
  <c r="AC120" i="1"/>
  <c r="AB120" i="1"/>
  <c r="A120" i="1"/>
  <c r="AC119" i="1"/>
  <c r="AB119" i="1"/>
  <c r="A119" i="1"/>
  <c r="AC118" i="1"/>
  <c r="AB118" i="1"/>
  <c r="A118" i="1"/>
  <c r="AC117" i="1"/>
  <c r="AB117" i="1"/>
  <c r="A117" i="1"/>
  <c r="AC116" i="1"/>
  <c r="AB116" i="1"/>
  <c r="A116" i="1"/>
  <c r="W116" i="1" s="1"/>
  <c r="AC115" i="1"/>
  <c r="AB115" i="1"/>
  <c r="A115" i="1"/>
  <c r="AC114" i="1"/>
  <c r="AB114" i="1"/>
  <c r="A114" i="1"/>
  <c r="AC113" i="1"/>
  <c r="AB113" i="1"/>
  <c r="A113" i="1"/>
  <c r="W113" i="1" s="1"/>
  <c r="AC112" i="1"/>
  <c r="AB112" i="1"/>
  <c r="A112" i="1"/>
  <c r="AC111" i="1"/>
  <c r="AB111" i="1"/>
  <c r="A111" i="1"/>
  <c r="AC110" i="1"/>
  <c r="AB110" i="1"/>
  <c r="A110" i="1"/>
  <c r="AC109" i="1"/>
  <c r="AB109" i="1"/>
  <c r="A109" i="1"/>
  <c r="AC108" i="1"/>
  <c r="AB108" i="1"/>
  <c r="A108" i="1"/>
  <c r="W108" i="1" s="1"/>
  <c r="AC107" i="1"/>
  <c r="AB107" i="1"/>
  <c r="A107" i="1"/>
  <c r="AC106" i="1"/>
  <c r="AB106" i="1"/>
  <c r="A106" i="1"/>
  <c r="AC105" i="1"/>
  <c r="AB105" i="1"/>
  <c r="A105" i="1"/>
  <c r="W105" i="1" s="1"/>
  <c r="AC104" i="1"/>
  <c r="AB104" i="1"/>
  <c r="A104" i="1"/>
  <c r="AC103" i="1"/>
  <c r="AB103" i="1"/>
  <c r="A103" i="1"/>
  <c r="AC102" i="1"/>
  <c r="AB102" i="1"/>
  <c r="A102" i="1"/>
  <c r="AC101" i="1"/>
  <c r="AB101" i="1"/>
  <c r="A101" i="1"/>
  <c r="AC100" i="1"/>
  <c r="AB100" i="1"/>
  <c r="A100" i="1"/>
  <c r="W100" i="1" s="1"/>
  <c r="AC99" i="1"/>
  <c r="AB99" i="1"/>
  <c r="A99" i="1"/>
  <c r="AC98" i="1"/>
  <c r="AB98" i="1"/>
  <c r="A98" i="1"/>
  <c r="AC97" i="1"/>
  <c r="AB97" i="1"/>
  <c r="A97" i="1"/>
  <c r="W97" i="1" s="1"/>
  <c r="AC96" i="1"/>
  <c r="AB96" i="1"/>
  <c r="A96" i="1"/>
  <c r="AC95" i="1"/>
  <c r="AB95" i="1"/>
  <c r="A95" i="1"/>
  <c r="AC94" i="1"/>
  <c r="AB94" i="1"/>
  <c r="A94" i="1"/>
  <c r="AC93" i="1"/>
  <c r="AB93" i="1"/>
  <c r="A93" i="1"/>
  <c r="AC92" i="1"/>
  <c r="AB92" i="1"/>
  <c r="A92" i="1"/>
  <c r="W92" i="1" s="1"/>
  <c r="AC91" i="1"/>
  <c r="AB91" i="1"/>
  <c r="A91" i="1"/>
  <c r="AC90" i="1"/>
  <c r="AB90" i="1"/>
  <c r="A90" i="1"/>
  <c r="AC89" i="1"/>
  <c r="AB89" i="1"/>
  <c r="A89" i="1"/>
  <c r="W89" i="1" s="1"/>
  <c r="AC88" i="1"/>
  <c r="AB88" i="1"/>
  <c r="A88" i="1"/>
  <c r="AC87" i="1"/>
  <c r="AB87" i="1"/>
  <c r="A87" i="1"/>
  <c r="AC86" i="1"/>
  <c r="AB86" i="1"/>
  <c r="A86" i="1"/>
  <c r="AC85" i="1"/>
  <c r="AB85" i="1"/>
  <c r="A85" i="1"/>
  <c r="AC84" i="1"/>
  <c r="AB84" i="1"/>
  <c r="A84" i="1"/>
  <c r="W84" i="1" s="1"/>
  <c r="AC83" i="1"/>
  <c r="AB83" i="1"/>
  <c r="A83" i="1"/>
  <c r="AC82" i="1"/>
  <c r="AB82" i="1"/>
  <c r="A82" i="1"/>
  <c r="AC81" i="1"/>
  <c r="AB81" i="1"/>
  <c r="A81" i="1"/>
  <c r="W81" i="1" s="1"/>
  <c r="AC80" i="1"/>
  <c r="AB80" i="1"/>
  <c r="A80" i="1"/>
  <c r="AC79" i="1"/>
  <c r="AB79" i="1"/>
  <c r="A79" i="1"/>
  <c r="AC78" i="1"/>
  <c r="AB78" i="1"/>
  <c r="A78" i="1"/>
  <c r="AC77" i="1"/>
  <c r="AB77" i="1"/>
  <c r="A77" i="1"/>
  <c r="AC76" i="1"/>
  <c r="AB76" i="1"/>
  <c r="A76" i="1"/>
  <c r="W76" i="1" s="1"/>
  <c r="AC75" i="1"/>
  <c r="AB75" i="1"/>
  <c r="A75" i="1"/>
  <c r="AC74" i="1"/>
  <c r="AB74" i="1"/>
  <c r="A74" i="1"/>
  <c r="AC73" i="1"/>
  <c r="AB73" i="1"/>
  <c r="A73" i="1"/>
  <c r="W73" i="1" s="1"/>
  <c r="AC72" i="1"/>
  <c r="AB72" i="1"/>
  <c r="A72" i="1"/>
  <c r="AC71" i="1"/>
  <c r="AB71" i="1"/>
  <c r="A71" i="1"/>
  <c r="AC70" i="1"/>
  <c r="AB70" i="1"/>
  <c r="A70" i="1"/>
  <c r="AC69" i="1"/>
  <c r="AB69" i="1"/>
  <c r="A69" i="1"/>
  <c r="AC68" i="1"/>
  <c r="AB68" i="1"/>
  <c r="A68" i="1"/>
  <c r="AC67" i="1"/>
  <c r="AB67" i="1"/>
  <c r="A67" i="1"/>
  <c r="AC66" i="1"/>
  <c r="AB66" i="1"/>
  <c r="A66" i="1"/>
  <c r="AC65" i="1"/>
  <c r="AB65" i="1"/>
  <c r="A65" i="1"/>
  <c r="W65" i="1" s="1"/>
  <c r="AC64" i="1"/>
  <c r="AB64" i="1"/>
  <c r="A64" i="1"/>
  <c r="AC63" i="1"/>
  <c r="AB63" i="1"/>
  <c r="A63" i="1"/>
  <c r="AC62" i="1"/>
  <c r="AB62" i="1"/>
  <c r="A62" i="1"/>
  <c r="AC61" i="1"/>
  <c r="AB61" i="1"/>
  <c r="A61" i="1"/>
  <c r="AC60" i="1"/>
  <c r="AB60" i="1"/>
  <c r="A60" i="1"/>
  <c r="AC59" i="1"/>
  <c r="AB59" i="1"/>
  <c r="A59" i="1"/>
  <c r="AC58" i="1"/>
  <c r="AB58" i="1"/>
  <c r="A58" i="1"/>
  <c r="AC57" i="1"/>
  <c r="AB57" i="1"/>
  <c r="A57" i="1"/>
  <c r="AC56" i="1"/>
  <c r="AB56" i="1"/>
  <c r="A56" i="1"/>
  <c r="AC55" i="1"/>
  <c r="AB55" i="1"/>
  <c r="A55" i="1"/>
  <c r="AC54" i="1"/>
  <c r="AB54" i="1"/>
  <c r="A54" i="1"/>
  <c r="AC53" i="1"/>
  <c r="AB53" i="1"/>
  <c r="A53" i="1"/>
  <c r="AC52" i="1"/>
  <c r="AB52" i="1"/>
  <c r="A52" i="1"/>
  <c r="AC51" i="1"/>
  <c r="AB51" i="1"/>
  <c r="A51" i="1"/>
  <c r="AC38" i="1"/>
  <c r="AB38" i="1"/>
  <c r="A38" i="1"/>
  <c r="AC37" i="1"/>
  <c r="AB37" i="1"/>
  <c r="A37" i="1"/>
  <c r="AC36" i="1"/>
  <c r="AB36" i="1"/>
  <c r="A36" i="1"/>
  <c r="AC35" i="1"/>
  <c r="AB35" i="1"/>
  <c r="A35" i="1"/>
  <c r="AC26" i="1"/>
  <c r="AB26" i="1"/>
  <c r="A26" i="1"/>
  <c r="AC8" i="1"/>
  <c r="AB8" i="1"/>
  <c r="A8" i="1"/>
  <c r="AC7" i="1"/>
  <c r="AB7" i="1"/>
  <c r="A7" i="1"/>
  <c r="AC6" i="1"/>
  <c r="AB6" i="1"/>
  <c r="A6" i="1"/>
  <c r="AC5" i="1"/>
  <c r="AB5" i="1"/>
  <c r="A5" i="1"/>
  <c r="AC3" i="1"/>
  <c r="AB3" i="1"/>
  <c r="A3" i="1"/>
  <c r="W3" i="1" s="1"/>
  <c r="W58" i="1" l="1"/>
  <c r="Z58" i="1" s="1"/>
  <c r="B72" i="1"/>
  <c r="W72" i="1"/>
  <c r="Z72" i="1" s="1"/>
  <c r="B112" i="1"/>
  <c r="W112" i="1"/>
  <c r="Z112" i="1" s="1"/>
  <c r="B152" i="1"/>
  <c r="W152" i="1"/>
  <c r="Z152" i="1" s="1"/>
  <c r="B176" i="1"/>
  <c r="W176" i="1"/>
  <c r="Z176" i="1" s="1"/>
  <c r="W188" i="1"/>
  <c r="Z188" i="1" s="1"/>
  <c r="B200" i="1"/>
  <c r="W200" i="1"/>
  <c r="Z200" i="1" s="1"/>
  <c r="W212" i="1"/>
  <c r="Z212" i="1" s="1"/>
  <c r="W226" i="1"/>
  <c r="Z226" i="1" s="1"/>
  <c r="W236" i="1"/>
  <c r="Z236" i="1" s="1"/>
  <c r="W264" i="1"/>
  <c r="Z264" i="1" s="1"/>
  <c r="W278" i="1"/>
  <c r="Z278" i="1" s="1"/>
  <c r="B290" i="1"/>
  <c r="W290" i="1"/>
  <c r="Z290" i="1" s="1"/>
  <c r="W302" i="1"/>
  <c r="Z302" i="1" s="1"/>
  <c r="B314" i="1"/>
  <c r="W314" i="1"/>
  <c r="Z314" i="1" s="1"/>
  <c r="B322" i="1"/>
  <c r="W322" i="1"/>
  <c r="Z322" i="1" s="1"/>
  <c r="W334" i="1"/>
  <c r="Z334" i="1" s="1"/>
  <c r="W340" i="1"/>
  <c r="Z340" i="1" s="1"/>
  <c r="B346" i="1"/>
  <c r="W346" i="1"/>
  <c r="Z346" i="1" s="1"/>
  <c r="B352" i="1"/>
  <c r="W352" i="1"/>
  <c r="Z352" i="1" s="1"/>
  <c r="W358" i="1"/>
  <c r="Z358" i="1" s="1"/>
  <c r="W364" i="1"/>
  <c r="Z364" i="1" s="1"/>
  <c r="B370" i="1"/>
  <c r="W370" i="1"/>
  <c r="Z370" i="1" s="1"/>
  <c r="B376" i="1"/>
  <c r="W376" i="1"/>
  <c r="Z376" i="1" s="1"/>
  <c r="W388" i="1"/>
  <c r="Z388" i="1" s="1"/>
  <c r="B394" i="1"/>
  <c r="W394" i="1"/>
  <c r="Z394" i="1" s="1"/>
  <c r="B400" i="1"/>
  <c r="W400" i="1"/>
  <c r="Z400" i="1" s="1"/>
  <c r="W404" i="1"/>
  <c r="Z404" i="1" s="1"/>
  <c r="W412" i="1"/>
  <c r="Z412" i="1" s="1"/>
  <c r="W420" i="1"/>
  <c r="Z420" i="1" s="1"/>
  <c r="W428" i="1"/>
  <c r="Z428" i="1" s="1"/>
  <c r="W432" i="1"/>
  <c r="Z432" i="1" s="1"/>
  <c r="B436" i="1"/>
  <c r="W436" i="1"/>
  <c r="Z436" i="1" s="1"/>
  <c r="W438" i="1"/>
  <c r="Z438" i="1" s="1"/>
  <c r="W450" i="1"/>
  <c r="Z450" i="1" s="1"/>
  <c r="W452" i="1"/>
  <c r="Z452" i="1" s="1"/>
  <c r="W456" i="1"/>
  <c r="Z456" i="1" s="1"/>
  <c r="B466" i="1"/>
  <c r="W466" i="1"/>
  <c r="Z466" i="1" s="1"/>
  <c r="B468" i="1"/>
  <c r="W468" i="1"/>
  <c r="Z468" i="1" s="1"/>
  <c r="W472" i="1"/>
  <c r="Z472" i="1" s="1"/>
  <c r="W476" i="1"/>
  <c r="Z476" i="1" s="1"/>
  <c r="B488" i="1"/>
  <c r="W488" i="1"/>
  <c r="Z488" i="1" s="1"/>
  <c r="W492" i="1"/>
  <c r="Z492" i="1" s="1"/>
  <c r="B504" i="1"/>
  <c r="W504" i="1"/>
  <c r="Z504" i="1" s="1"/>
  <c r="W516" i="1"/>
  <c r="Z516" i="1" s="1"/>
  <c r="B522" i="1"/>
  <c r="W522" i="1"/>
  <c r="Z522" i="1" s="1"/>
  <c r="B528" i="1"/>
  <c r="W528" i="1"/>
  <c r="Z528" i="1" s="1"/>
  <c r="W540" i="1"/>
  <c r="Z540" i="1" s="1"/>
  <c r="B546" i="1"/>
  <c r="W546" i="1"/>
  <c r="Z546" i="1" s="1"/>
  <c r="B552" i="1"/>
  <c r="W552" i="1"/>
  <c r="Z552" i="1" s="1"/>
  <c r="W556" i="1"/>
  <c r="Z556" i="1" s="1"/>
  <c r="B562" i="1"/>
  <c r="W562" i="1"/>
  <c r="Z562" i="1" s="1"/>
  <c r="B568" i="1"/>
  <c r="W568" i="1"/>
  <c r="Z568" i="1" s="1"/>
  <c r="W580" i="1"/>
  <c r="Z580" i="1" s="1"/>
  <c r="B586" i="1"/>
  <c r="W586" i="1"/>
  <c r="Z586" i="1" s="1"/>
  <c r="B592" i="1"/>
  <c r="W592" i="1"/>
  <c r="Z592" i="1" s="1"/>
  <c r="B604" i="1"/>
  <c r="W604" i="1"/>
  <c r="Z604" i="1" s="1"/>
  <c r="W610" i="1"/>
  <c r="Z610" i="1" s="1"/>
  <c r="B616" i="1"/>
  <c r="W616" i="1"/>
  <c r="Z616" i="1" s="1"/>
  <c r="W620" i="1"/>
  <c r="Z620" i="1" s="1"/>
  <c r="W628" i="1"/>
  <c r="Z628" i="1" s="1"/>
  <c r="W632" i="1"/>
  <c r="Z632" i="1" s="1"/>
  <c r="B638" i="1"/>
  <c r="W638" i="1"/>
  <c r="Z638" i="1" s="1"/>
  <c r="W644" i="1"/>
  <c r="Z644" i="1" s="1"/>
  <c r="W656" i="1"/>
  <c r="Z656" i="1" s="1"/>
  <c r="B662" i="1"/>
  <c r="W662" i="1"/>
  <c r="Z662" i="1" s="1"/>
  <c r="W668" i="1"/>
  <c r="Z668" i="1" s="1"/>
  <c r="W674" i="1"/>
  <c r="Z674" i="1" s="1"/>
  <c r="W680" i="1"/>
  <c r="Z680" i="1" s="1"/>
  <c r="B686" i="1"/>
  <c r="W686" i="1"/>
  <c r="Z686" i="1" s="1"/>
  <c r="W692" i="1"/>
  <c r="Z692" i="1" s="1"/>
  <c r="W698" i="1"/>
  <c r="Z698" i="1" s="1"/>
  <c r="W704" i="1"/>
  <c r="Z704" i="1" s="1"/>
  <c r="B710" i="1"/>
  <c r="W710" i="1"/>
  <c r="Z710" i="1" s="1"/>
  <c r="W716" i="1"/>
  <c r="Z716" i="1" s="1"/>
  <c r="W722" i="1"/>
  <c r="Z722" i="1" s="1"/>
  <c r="B728" i="1"/>
  <c r="W728" i="1"/>
  <c r="Z728" i="1" s="1"/>
  <c r="B734" i="1"/>
  <c r="W734" i="1"/>
  <c r="Z734" i="1" s="1"/>
  <c r="W740" i="1"/>
  <c r="Z740" i="1" s="1"/>
  <c r="W746" i="1"/>
  <c r="Z746" i="1" s="1"/>
  <c r="B752" i="1"/>
  <c r="W752" i="1"/>
  <c r="Z752" i="1" s="1"/>
  <c r="B758" i="1"/>
  <c r="W758" i="1"/>
  <c r="Z758" i="1" s="1"/>
  <c r="W784" i="1"/>
  <c r="Z784" i="1" s="1"/>
  <c r="B792" i="1"/>
  <c r="W792" i="1"/>
  <c r="Z792" i="1" s="1"/>
  <c r="B798" i="1"/>
  <c r="W798" i="1"/>
  <c r="Z798" i="1" s="1"/>
  <c r="W802" i="1"/>
  <c r="Z802" i="1" s="1"/>
  <c r="B808" i="1"/>
  <c r="W808" i="1"/>
  <c r="Z808" i="1" s="1"/>
  <c r="W814" i="1"/>
  <c r="Z814" i="1" s="1"/>
  <c r="B820" i="1"/>
  <c r="W820" i="1"/>
  <c r="Z820" i="1" s="1"/>
  <c r="B832" i="1"/>
  <c r="W832" i="1"/>
  <c r="Z832" i="1" s="1"/>
  <c r="W838" i="1"/>
  <c r="Z838" i="1" s="1"/>
  <c r="B844" i="1"/>
  <c r="W844" i="1"/>
  <c r="Z844" i="1" s="1"/>
  <c r="B856" i="1"/>
  <c r="W856" i="1"/>
  <c r="Z856" i="1" s="1"/>
  <c r="W862" i="1"/>
  <c r="Z862" i="1" s="1"/>
  <c r="W874" i="1"/>
  <c r="Z874" i="1" s="1"/>
  <c r="B880" i="1"/>
  <c r="W880" i="1"/>
  <c r="Z880" i="1" s="1"/>
  <c r="W886" i="1"/>
  <c r="Z886" i="1" s="1"/>
  <c r="B892" i="1"/>
  <c r="W892" i="1"/>
  <c r="Z892" i="1" s="1"/>
  <c r="W898" i="1"/>
  <c r="Z898" i="1" s="1"/>
  <c r="B908" i="1"/>
  <c r="W908" i="1"/>
  <c r="Z908" i="1" s="1"/>
  <c r="W914" i="1"/>
  <c r="Z914" i="1" s="1"/>
  <c r="B920" i="1"/>
  <c r="W920" i="1"/>
  <c r="Z920" i="1" s="1"/>
  <c r="W926" i="1"/>
  <c r="Z926" i="1" s="1"/>
  <c r="B932" i="1"/>
  <c r="W932" i="1"/>
  <c r="Z932" i="1" s="1"/>
  <c r="W938" i="1"/>
  <c r="Z938" i="1" s="1"/>
  <c r="B944" i="1"/>
  <c r="W944" i="1"/>
  <c r="Z944" i="1" s="1"/>
  <c r="W950" i="1"/>
  <c r="Z950" i="1" s="1"/>
  <c r="B956" i="1"/>
  <c r="W956" i="1"/>
  <c r="Z956" i="1" s="1"/>
  <c r="W962" i="1"/>
  <c r="Z962" i="1" s="1"/>
  <c r="B968" i="1"/>
  <c r="W968" i="1"/>
  <c r="Z968" i="1" s="1"/>
  <c r="W974" i="1"/>
  <c r="Z974" i="1" s="1"/>
  <c r="W986" i="1"/>
  <c r="Z986" i="1" s="1"/>
  <c r="B992" i="1"/>
  <c r="W992" i="1"/>
  <c r="Z992" i="1" s="1"/>
  <c r="B1000" i="1"/>
  <c r="W1000" i="1"/>
  <c r="Z1000" i="1" s="1"/>
  <c r="W348" i="1"/>
  <c r="Z348" i="1" s="1"/>
  <c r="B354" i="1"/>
  <c r="W354" i="1"/>
  <c r="Z354" i="1" s="1"/>
  <c r="W366" i="1"/>
  <c r="Z366" i="1" s="1"/>
  <c r="W372" i="1"/>
  <c r="Z372" i="1" s="1"/>
  <c r="W390" i="1"/>
  <c r="Z390" i="1" s="1"/>
  <c r="W398" i="1"/>
  <c r="Z398" i="1" s="1"/>
  <c r="W508" i="1"/>
  <c r="Z508" i="1" s="1"/>
  <c r="B514" i="1"/>
  <c r="W514" i="1"/>
  <c r="Z514" i="1" s="1"/>
  <c r="B520" i="1"/>
  <c r="W520" i="1"/>
  <c r="Z520" i="1" s="1"/>
  <c r="B532" i="1"/>
  <c r="W532" i="1"/>
  <c r="Z532" i="1" s="1"/>
  <c r="B538" i="1"/>
  <c r="W538" i="1"/>
  <c r="Z538" i="1" s="1"/>
  <c r="B544" i="1"/>
  <c r="W544" i="1"/>
  <c r="Z544" i="1" s="1"/>
  <c r="B576" i="1"/>
  <c r="W576" i="1"/>
  <c r="Z576" i="1" s="1"/>
  <c r="W588" i="1"/>
  <c r="Z588" i="1" s="1"/>
  <c r="W594" i="1"/>
  <c r="Z594" i="1" s="1"/>
  <c r="B600" i="1"/>
  <c r="W600" i="1"/>
  <c r="Z600" i="1" s="1"/>
  <c r="W606" i="1"/>
  <c r="Z606" i="1" s="1"/>
  <c r="W612" i="1"/>
  <c r="Z612" i="1" s="1"/>
  <c r="W618" i="1"/>
  <c r="Z618" i="1" s="1"/>
  <c r="B624" i="1"/>
  <c r="W624" i="1"/>
  <c r="Z624" i="1" s="1"/>
  <c r="B630" i="1"/>
  <c r="W630" i="1"/>
  <c r="Z630" i="1" s="1"/>
  <c r="W636" i="1"/>
  <c r="Z636" i="1" s="1"/>
  <c r="B648" i="1"/>
  <c r="W648" i="1"/>
  <c r="Z648" i="1" s="1"/>
  <c r="B654" i="1"/>
  <c r="W654" i="1"/>
  <c r="Z654" i="1" s="1"/>
  <c r="W660" i="1"/>
  <c r="Z660" i="1" s="1"/>
  <c r="W666" i="1"/>
  <c r="Z666" i="1" s="1"/>
  <c r="B670" i="1"/>
  <c r="W670" i="1"/>
  <c r="Z670" i="1" s="1"/>
  <c r="W676" i="1"/>
  <c r="Z676" i="1" s="1"/>
  <c r="W682" i="1"/>
  <c r="Z682" i="1" s="1"/>
  <c r="B688" i="1"/>
  <c r="W688" i="1"/>
  <c r="Z688" i="1" s="1"/>
  <c r="B694" i="1"/>
  <c r="W694" i="1"/>
  <c r="Z694" i="1" s="1"/>
  <c r="W700" i="1"/>
  <c r="Z700" i="1" s="1"/>
  <c r="W706" i="1"/>
  <c r="Z706" i="1" s="1"/>
  <c r="B712" i="1"/>
  <c r="W712" i="1"/>
  <c r="Z712" i="1" s="1"/>
  <c r="B718" i="1"/>
  <c r="W718" i="1"/>
  <c r="Z718" i="1" s="1"/>
  <c r="W724" i="1"/>
  <c r="Z724" i="1" s="1"/>
  <c r="W730" i="1"/>
  <c r="Z730" i="1" s="1"/>
  <c r="B736" i="1"/>
  <c r="W736" i="1"/>
  <c r="Z736" i="1" s="1"/>
  <c r="B742" i="1"/>
  <c r="W742" i="1"/>
  <c r="Z742" i="1" s="1"/>
  <c r="W748" i="1"/>
  <c r="Z748" i="1" s="1"/>
  <c r="W754" i="1"/>
  <c r="Z754" i="1" s="1"/>
  <c r="B760" i="1"/>
  <c r="W760" i="1"/>
  <c r="Z760" i="1" s="1"/>
  <c r="B766" i="1"/>
  <c r="W766" i="1"/>
  <c r="Z766" i="1" s="1"/>
  <c r="W770" i="1"/>
  <c r="Z770" i="1" s="1"/>
  <c r="B776" i="1"/>
  <c r="W776" i="1"/>
  <c r="Z776" i="1" s="1"/>
  <c r="B782" i="1"/>
  <c r="W782" i="1"/>
  <c r="Z782" i="1" s="1"/>
  <c r="B788" i="1"/>
  <c r="W788" i="1"/>
  <c r="Z788" i="1" s="1"/>
  <c r="B794" i="1"/>
  <c r="W794" i="1"/>
  <c r="Z794" i="1" s="1"/>
  <c r="W800" i="1"/>
  <c r="Z800" i="1" s="1"/>
  <c r="W806" i="1"/>
  <c r="Z806" i="1" s="1"/>
  <c r="B812" i="1"/>
  <c r="W812" i="1"/>
  <c r="Z812" i="1" s="1"/>
  <c r="W818" i="1"/>
  <c r="Z818" i="1" s="1"/>
  <c r="B824" i="1"/>
  <c r="W824" i="1"/>
  <c r="Z824" i="1" s="1"/>
  <c r="W830" i="1"/>
  <c r="Z830" i="1" s="1"/>
  <c r="B836" i="1"/>
  <c r="W836" i="1"/>
  <c r="Z836" i="1" s="1"/>
  <c r="B848" i="1"/>
  <c r="W848" i="1"/>
  <c r="Z848" i="1" s="1"/>
  <c r="W854" i="1"/>
  <c r="Z854" i="1" s="1"/>
  <c r="B860" i="1"/>
  <c r="W860" i="1"/>
  <c r="Z860" i="1" s="1"/>
  <c r="B872" i="1"/>
  <c r="W872" i="1"/>
  <c r="Z872" i="1" s="1"/>
  <c r="B884" i="1"/>
  <c r="W884" i="1"/>
  <c r="Z884" i="1" s="1"/>
  <c r="W890" i="1"/>
  <c r="Z890" i="1" s="1"/>
  <c r="B896" i="1"/>
  <c r="W896" i="1"/>
  <c r="Z896" i="1" s="1"/>
  <c r="W910" i="1"/>
  <c r="Z910" i="1" s="1"/>
  <c r="B916" i="1"/>
  <c r="W916" i="1"/>
  <c r="Z916" i="1" s="1"/>
  <c r="W922" i="1"/>
  <c r="Z922" i="1" s="1"/>
  <c r="B928" i="1"/>
  <c r="W928" i="1"/>
  <c r="Z928" i="1" s="1"/>
  <c r="W934" i="1"/>
  <c r="Z934" i="1" s="1"/>
  <c r="B940" i="1"/>
  <c r="W940" i="1"/>
  <c r="Z940" i="1" s="1"/>
  <c r="W946" i="1"/>
  <c r="Z946" i="1" s="1"/>
  <c r="B952" i="1"/>
  <c r="W952" i="1"/>
  <c r="Z952" i="1" s="1"/>
  <c r="W958" i="1"/>
  <c r="Z958" i="1" s="1"/>
  <c r="B972" i="1"/>
  <c r="W972" i="1"/>
  <c r="Z972" i="1" s="1"/>
  <c r="W978" i="1"/>
  <c r="Z978" i="1" s="1"/>
  <c r="B984" i="1"/>
  <c r="W984" i="1"/>
  <c r="Z984" i="1" s="1"/>
  <c r="W990" i="1"/>
  <c r="Z990" i="1" s="1"/>
  <c r="B996" i="1"/>
  <c r="W996" i="1"/>
  <c r="Z996" i="1" s="1"/>
  <c r="W998" i="1"/>
  <c r="Z998" i="1" s="1"/>
  <c r="B36" i="1"/>
  <c r="W36" i="1"/>
  <c r="Z36" i="1" s="1"/>
  <c r="W62" i="1"/>
  <c r="Z62" i="1" s="1"/>
  <c r="W74" i="1"/>
  <c r="Z74" i="1" s="1"/>
  <c r="W86" i="1"/>
  <c r="Z86" i="1" s="1"/>
  <c r="W98" i="1"/>
  <c r="Z98" i="1" s="1"/>
  <c r="B110" i="1"/>
  <c r="W110" i="1"/>
  <c r="Z110" i="1" s="1"/>
  <c r="W122" i="1"/>
  <c r="Z122" i="1" s="1"/>
  <c r="B134" i="1"/>
  <c r="W134" i="1"/>
  <c r="Z134" i="1" s="1"/>
  <c r="B160" i="1"/>
  <c r="W160" i="1"/>
  <c r="Z160" i="1" s="1"/>
  <c r="W172" i="1"/>
  <c r="Z172" i="1" s="1"/>
  <c r="B184" i="1"/>
  <c r="W184" i="1"/>
  <c r="Z184" i="1" s="1"/>
  <c r="W196" i="1"/>
  <c r="Z196" i="1" s="1"/>
  <c r="B208" i="1"/>
  <c r="W208" i="1"/>
  <c r="Z208" i="1" s="1"/>
  <c r="W234" i="1"/>
  <c r="Z234" i="1" s="1"/>
  <c r="W244" i="1"/>
  <c r="Z244" i="1" s="1"/>
  <c r="B260" i="1"/>
  <c r="W260" i="1"/>
  <c r="Z260" i="1" s="1"/>
  <c r="W272" i="1"/>
  <c r="Z272" i="1" s="1"/>
  <c r="W284" i="1"/>
  <c r="Z284" i="1" s="1"/>
  <c r="B298" i="1"/>
  <c r="W298" i="1"/>
  <c r="Z298" i="1" s="1"/>
  <c r="W310" i="1"/>
  <c r="Z310" i="1" s="1"/>
  <c r="B320" i="1"/>
  <c r="W320" i="1"/>
  <c r="Z320" i="1" s="1"/>
  <c r="B330" i="1"/>
  <c r="W330" i="1"/>
  <c r="Z330" i="1" s="1"/>
  <c r="B338" i="1"/>
  <c r="W338" i="1"/>
  <c r="Z338" i="1" s="1"/>
  <c r="B344" i="1"/>
  <c r="W344" i="1"/>
  <c r="Z344" i="1" s="1"/>
  <c r="W350" i="1"/>
  <c r="Z350" i="1" s="1"/>
  <c r="W356" i="1"/>
  <c r="Z356" i="1" s="1"/>
  <c r="B362" i="1"/>
  <c r="W362" i="1"/>
  <c r="Z362" i="1" s="1"/>
  <c r="B368" i="1"/>
  <c r="W368" i="1"/>
  <c r="Z368" i="1" s="1"/>
  <c r="W374" i="1"/>
  <c r="Z374" i="1" s="1"/>
  <c r="W380" i="1"/>
  <c r="Z380" i="1" s="1"/>
  <c r="W396" i="1"/>
  <c r="Z396" i="1" s="1"/>
  <c r="W406" i="1"/>
  <c r="Z406" i="1" s="1"/>
  <c r="W414" i="1"/>
  <c r="Z414" i="1" s="1"/>
  <c r="B418" i="1"/>
  <c r="W418" i="1"/>
  <c r="Z418" i="1" s="1"/>
  <c r="W430" i="1"/>
  <c r="Z430" i="1" s="1"/>
  <c r="W444" i="1"/>
  <c r="Z444" i="1" s="1"/>
  <c r="W458" i="1"/>
  <c r="Z458" i="1" s="1"/>
  <c r="W460" i="1"/>
  <c r="Z460" i="1" s="1"/>
  <c r="W464" i="1"/>
  <c r="Z464" i="1" s="1"/>
  <c r="B482" i="1"/>
  <c r="W482" i="1"/>
  <c r="Z482" i="1" s="1"/>
  <c r="B500" i="1"/>
  <c r="W500" i="1"/>
  <c r="Z500" i="1" s="1"/>
  <c r="B512" i="1"/>
  <c r="W512" i="1"/>
  <c r="Z512" i="1" s="1"/>
  <c r="W524" i="1"/>
  <c r="Z524" i="1" s="1"/>
  <c r="B530" i="1"/>
  <c r="W530" i="1"/>
  <c r="Z530" i="1" s="1"/>
  <c r="B536" i="1"/>
  <c r="W536" i="1"/>
  <c r="Z536" i="1" s="1"/>
  <c r="W548" i="1"/>
  <c r="Z548" i="1" s="1"/>
  <c r="B554" i="1"/>
  <c r="W554" i="1"/>
  <c r="Z554" i="1" s="1"/>
  <c r="B560" i="1"/>
  <c r="W560" i="1"/>
  <c r="Z560" i="1" s="1"/>
  <c r="B572" i="1"/>
  <c r="W572" i="1"/>
  <c r="Z572" i="1" s="1"/>
  <c r="W578" i="1"/>
  <c r="Z578" i="1" s="1"/>
  <c r="B596" i="1"/>
  <c r="W596" i="1"/>
  <c r="Z596" i="1" s="1"/>
  <c r="B602" i="1"/>
  <c r="W602" i="1"/>
  <c r="Z602" i="1" s="1"/>
  <c r="W608" i="1"/>
  <c r="Z608" i="1" s="1"/>
  <c r="W622" i="1"/>
  <c r="Z622" i="1" s="1"/>
  <c r="W626" i="1"/>
  <c r="Z626" i="1" s="1"/>
  <c r="W640" i="1"/>
  <c r="Z640" i="1" s="1"/>
  <c r="B646" i="1"/>
  <c r="W646" i="1"/>
  <c r="Z646" i="1" s="1"/>
  <c r="W652" i="1"/>
  <c r="Z652" i="1" s="1"/>
  <c r="W664" i="1"/>
  <c r="Z664" i="1" s="1"/>
  <c r="B678" i="1"/>
  <c r="W678" i="1"/>
  <c r="Z678" i="1" s="1"/>
  <c r="W684" i="1"/>
  <c r="Z684" i="1" s="1"/>
  <c r="W690" i="1"/>
  <c r="Z690" i="1" s="1"/>
  <c r="W696" i="1"/>
  <c r="Z696" i="1" s="1"/>
  <c r="B702" i="1"/>
  <c r="W702" i="1"/>
  <c r="Z702" i="1" s="1"/>
  <c r="W708" i="1"/>
  <c r="Z708" i="1" s="1"/>
  <c r="W714" i="1"/>
  <c r="Z714" i="1" s="1"/>
  <c r="B720" i="1"/>
  <c r="W720" i="1"/>
  <c r="Z720" i="1" s="1"/>
  <c r="B726" i="1"/>
  <c r="W726" i="1"/>
  <c r="Z726" i="1" s="1"/>
  <c r="W732" i="1"/>
  <c r="Z732" i="1" s="1"/>
  <c r="W738" i="1"/>
  <c r="Z738" i="1" s="1"/>
  <c r="B744" i="1"/>
  <c r="W744" i="1"/>
  <c r="Z744" i="1" s="1"/>
  <c r="B750" i="1"/>
  <c r="W750" i="1"/>
  <c r="Z750" i="1" s="1"/>
  <c r="W762" i="1"/>
  <c r="Z762" i="1" s="1"/>
  <c r="B768" i="1"/>
  <c r="W768" i="1"/>
  <c r="Z768" i="1" s="1"/>
  <c r="B774" i="1"/>
  <c r="W774" i="1"/>
  <c r="Z774" i="1" s="1"/>
  <c r="W778" i="1"/>
  <c r="Z778" i="1" s="1"/>
  <c r="W786" i="1"/>
  <c r="Z786" i="1" s="1"/>
  <c r="W790" i="1"/>
  <c r="Z790" i="1" s="1"/>
  <c r="B796" i="1"/>
  <c r="W796" i="1"/>
  <c r="Z796" i="1" s="1"/>
  <c r="B804" i="1"/>
  <c r="W804" i="1"/>
  <c r="Z804" i="1" s="1"/>
  <c r="B816" i="1"/>
  <c r="W816" i="1"/>
  <c r="Z816" i="1" s="1"/>
  <c r="W822" i="1"/>
  <c r="Z822" i="1" s="1"/>
  <c r="B828" i="1"/>
  <c r="W828" i="1"/>
  <c r="Z828" i="1" s="1"/>
  <c r="B840" i="1"/>
  <c r="W840" i="1"/>
  <c r="Z840" i="1" s="1"/>
  <c r="W846" i="1"/>
  <c r="Z846" i="1" s="1"/>
  <c r="B852" i="1"/>
  <c r="W852" i="1"/>
  <c r="Z852" i="1" s="1"/>
  <c r="B864" i="1"/>
  <c r="W864" i="1"/>
  <c r="Z864" i="1" s="1"/>
  <c r="W870" i="1"/>
  <c r="Z870" i="1" s="1"/>
  <c r="B876" i="1"/>
  <c r="W876" i="1"/>
  <c r="Z876" i="1" s="1"/>
  <c r="W882" i="1"/>
  <c r="Z882" i="1" s="1"/>
  <c r="B888" i="1"/>
  <c r="W888" i="1"/>
  <c r="Z888" i="1" s="1"/>
  <c r="W894" i="1"/>
  <c r="Z894" i="1" s="1"/>
  <c r="B900" i="1"/>
  <c r="W900" i="1"/>
  <c r="Z900" i="1" s="1"/>
  <c r="W906" i="1"/>
  <c r="Z906" i="1" s="1"/>
  <c r="B912" i="1"/>
  <c r="W912" i="1"/>
  <c r="Z912" i="1" s="1"/>
  <c r="W918" i="1"/>
  <c r="Z918" i="1" s="1"/>
  <c r="B924" i="1"/>
  <c r="W924" i="1"/>
  <c r="Z924" i="1" s="1"/>
  <c r="W930" i="1"/>
  <c r="Z930" i="1" s="1"/>
  <c r="B936" i="1"/>
  <c r="W936" i="1"/>
  <c r="Z936" i="1" s="1"/>
  <c r="W942" i="1"/>
  <c r="Z942" i="1" s="1"/>
  <c r="B948" i="1"/>
  <c r="W948" i="1"/>
  <c r="Z948" i="1" s="1"/>
  <c r="W954" i="1"/>
  <c r="Z954" i="1" s="1"/>
  <c r="B960" i="1"/>
  <c r="W960" i="1"/>
  <c r="Z960" i="1" s="1"/>
  <c r="B964" i="1"/>
  <c r="W964" i="1"/>
  <c r="Z964" i="1" s="1"/>
  <c r="W970" i="1"/>
  <c r="Z970" i="1" s="1"/>
  <c r="B976" i="1"/>
  <c r="W976" i="1"/>
  <c r="Z976" i="1" s="1"/>
  <c r="B980" i="1"/>
  <c r="W980" i="1"/>
  <c r="Z980" i="1" s="1"/>
  <c r="B988" i="1"/>
  <c r="W988" i="1"/>
  <c r="Z988" i="1" s="1"/>
  <c r="W994" i="1"/>
  <c r="Z994" i="1" s="1"/>
  <c r="W1002" i="1"/>
  <c r="Z1002" i="1" s="1"/>
  <c r="W8" i="1"/>
  <c r="Z8" i="1" s="1"/>
  <c r="W26" i="1"/>
  <c r="Z26" i="1" s="1"/>
  <c r="B38" i="1"/>
  <c r="W38" i="1"/>
  <c r="Z38" i="1" s="1"/>
  <c r="W60" i="1"/>
  <c r="Z60" i="1" s="1"/>
  <c r="W68" i="1"/>
  <c r="Z68" i="1" s="1"/>
  <c r="B88" i="1"/>
  <c r="W88" i="1"/>
  <c r="Z88" i="1" s="1"/>
  <c r="B96" i="1"/>
  <c r="W96" i="1"/>
  <c r="Z96" i="1" s="1"/>
  <c r="B128" i="1"/>
  <c r="W128" i="1"/>
  <c r="Z128" i="1" s="1"/>
  <c r="B136" i="1"/>
  <c r="W136" i="1"/>
  <c r="Z136" i="1" s="1"/>
  <c r="B144" i="1"/>
  <c r="W144" i="1"/>
  <c r="Z144" i="1" s="1"/>
  <c r="W154" i="1"/>
  <c r="Z154" i="1" s="1"/>
  <c r="B166" i="1"/>
  <c r="W166" i="1"/>
  <c r="Z166" i="1" s="1"/>
  <c r="W178" i="1"/>
  <c r="Z178" i="1" s="1"/>
  <c r="W202" i="1"/>
  <c r="Z202" i="1" s="1"/>
  <c r="W210" i="1"/>
  <c r="Z210" i="1" s="1"/>
  <c r="W220" i="1"/>
  <c r="Z220" i="1" s="1"/>
  <c r="B240" i="1"/>
  <c r="W240" i="1"/>
  <c r="Z240" i="1" s="1"/>
  <c r="B248" i="1"/>
  <c r="W248" i="1"/>
  <c r="Z248" i="1" s="1"/>
  <c r="B258" i="1"/>
  <c r="W258" i="1"/>
  <c r="Z258" i="1" s="1"/>
  <c r="W268" i="1"/>
  <c r="Z268" i="1" s="1"/>
  <c r="W276" i="1"/>
  <c r="Z276" i="1" s="1"/>
  <c r="W286" i="1"/>
  <c r="Z286" i="1" s="1"/>
  <c r="W294" i="1"/>
  <c r="Z294" i="1" s="1"/>
  <c r="B306" i="1"/>
  <c r="W306" i="1"/>
  <c r="Z306" i="1" s="1"/>
  <c r="W316" i="1"/>
  <c r="Z316" i="1" s="1"/>
  <c r="B328" i="1"/>
  <c r="W328" i="1"/>
  <c r="Z328" i="1" s="1"/>
  <c r="W5" i="1"/>
  <c r="W37" i="1"/>
  <c r="Z37" i="1" s="1"/>
  <c r="W53" i="1"/>
  <c r="Z53" i="1" s="1"/>
  <c r="B61" i="1"/>
  <c r="W61" i="1"/>
  <c r="Z61" i="1" s="1"/>
  <c r="W69" i="1"/>
  <c r="Z69" i="1" s="1"/>
  <c r="W133" i="1"/>
  <c r="Z133" i="1" s="1"/>
  <c r="B139" i="1"/>
  <c r="W139" i="1"/>
  <c r="Z139" i="1" s="1"/>
  <c r="B147" i="1"/>
  <c r="W147" i="1"/>
  <c r="Z147" i="1" s="1"/>
  <c r="B151" i="1"/>
  <c r="W151" i="1"/>
  <c r="Z151" i="1" s="1"/>
  <c r="W159" i="1"/>
  <c r="Z159" i="1" s="1"/>
  <c r="W173" i="1"/>
  <c r="Z173" i="1" s="1"/>
  <c r="W181" i="1"/>
  <c r="Z181" i="1" s="1"/>
  <c r="W189" i="1"/>
  <c r="Z189" i="1" s="1"/>
  <c r="B195" i="1"/>
  <c r="W195" i="1"/>
  <c r="Z195" i="1" s="1"/>
  <c r="W199" i="1"/>
  <c r="Z199" i="1" s="1"/>
  <c r="B207" i="1"/>
  <c r="W207" i="1"/>
  <c r="Z207" i="1" s="1"/>
  <c r="W215" i="1"/>
  <c r="Z215" i="1" s="1"/>
  <c r="B223" i="1"/>
  <c r="W223" i="1"/>
  <c r="Z223" i="1" s="1"/>
  <c r="B227" i="1"/>
  <c r="W227" i="1"/>
  <c r="Z227" i="1" s="1"/>
  <c r="W233" i="1"/>
  <c r="Z233" i="1" s="1"/>
  <c r="B243" i="1"/>
  <c r="W243" i="1"/>
  <c r="Z243" i="1" s="1"/>
  <c r="W249" i="1"/>
  <c r="Z249" i="1" s="1"/>
  <c r="B253" i="1"/>
  <c r="W253" i="1"/>
  <c r="Z253" i="1" s="1"/>
  <c r="W261" i="1"/>
  <c r="Z261" i="1" s="1"/>
  <c r="W313" i="1"/>
  <c r="Z313" i="1" s="1"/>
  <c r="W321" i="1"/>
  <c r="Z321" i="1" s="1"/>
  <c r="W339" i="1"/>
  <c r="Z339" i="1" s="1"/>
  <c r="B345" i="1"/>
  <c r="W345" i="1"/>
  <c r="Z345" i="1" s="1"/>
  <c r="W351" i="1"/>
  <c r="Z351" i="1" s="1"/>
  <c r="W361" i="1"/>
  <c r="Z361" i="1" s="1"/>
  <c r="W379" i="1"/>
  <c r="Z379" i="1" s="1"/>
  <c r="W395" i="1"/>
  <c r="Z395" i="1" s="1"/>
  <c r="B437" i="1"/>
  <c r="W437" i="1"/>
  <c r="Z437" i="1" s="1"/>
  <c r="B445" i="1"/>
  <c r="W445" i="1"/>
  <c r="Z445" i="1" s="1"/>
  <c r="B453" i="1"/>
  <c r="W453" i="1"/>
  <c r="Z453" i="1" s="1"/>
  <c r="B469" i="1"/>
  <c r="W469" i="1"/>
  <c r="Z469" i="1" s="1"/>
  <c r="B477" i="1"/>
  <c r="W477" i="1"/>
  <c r="Z477" i="1" s="1"/>
  <c r="B485" i="1"/>
  <c r="W485" i="1"/>
  <c r="Z485" i="1" s="1"/>
  <c r="W511" i="1"/>
  <c r="Z511" i="1" s="1"/>
  <c r="W519" i="1"/>
  <c r="Z519" i="1" s="1"/>
  <c r="W529" i="1"/>
  <c r="Z529" i="1" s="1"/>
  <c r="B537" i="1"/>
  <c r="W537" i="1"/>
  <c r="Z537" i="1" s="1"/>
  <c r="W545" i="1"/>
  <c r="Z545" i="1" s="1"/>
  <c r="W553" i="1"/>
  <c r="Z553" i="1" s="1"/>
  <c r="B569" i="1"/>
  <c r="W569" i="1"/>
  <c r="Z569" i="1" s="1"/>
  <c r="B577" i="1"/>
  <c r="W577" i="1"/>
  <c r="Z577" i="1" s="1"/>
  <c r="W587" i="1"/>
  <c r="Z587" i="1" s="1"/>
  <c r="W613" i="1"/>
  <c r="Z613" i="1" s="1"/>
  <c r="W621" i="1"/>
  <c r="Z621" i="1" s="1"/>
  <c r="W629" i="1"/>
  <c r="Z629" i="1" s="1"/>
  <c r="W637" i="1"/>
  <c r="Z637" i="1" s="1"/>
  <c r="W645" i="1"/>
  <c r="Z645" i="1" s="1"/>
  <c r="W653" i="1"/>
  <c r="Z653" i="1" s="1"/>
  <c r="W661" i="1"/>
  <c r="Z661" i="1" s="1"/>
  <c r="W669" i="1"/>
  <c r="Z669" i="1" s="1"/>
  <c r="W685" i="1"/>
  <c r="Z685" i="1" s="1"/>
  <c r="B701" i="1"/>
  <c r="W701" i="1"/>
  <c r="Z701" i="1" s="1"/>
  <c r="W709" i="1"/>
  <c r="Z709" i="1" s="1"/>
  <c r="B717" i="1"/>
  <c r="W717" i="1"/>
  <c r="Z717" i="1" s="1"/>
  <c r="W725" i="1"/>
  <c r="Z725" i="1" s="1"/>
  <c r="W733" i="1"/>
  <c r="Z733" i="1" s="1"/>
  <c r="W741" i="1"/>
  <c r="Z741" i="1" s="1"/>
  <c r="W749" i="1"/>
  <c r="Z749" i="1" s="1"/>
  <c r="B757" i="1"/>
  <c r="W757" i="1"/>
  <c r="Z757" i="1" s="1"/>
  <c r="B765" i="1"/>
  <c r="W765" i="1"/>
  <c r="Z765" i="1" s="1"/>
  <c r="W771" i="1"/>
  <c r="Z771" i="1" s="1"/>
  <c r="W781" i="1"/>
  <c r="Z781" i="1" s="1"/>
  <c r="W789" i="1"/>
  <c r="Z789" i="1" s="1"/>
  <c r="W795" i="1"/>
  <c r="Z795" i="1" s="1"/>
  <c r="W803" i="1"/>
  <c r="Z803" i="1" s="1"/>
  <c r="B811" i="1"/>
  <c r="W811" i="1"/>
  <c r="Z811" i="1" s="1"/>
  <c r="B819" i="1"/>
  <c r="W819" i="1"/>
  <c r="Z819" i="1" s="1"/>
  <c r="W825" i="1"/>
  <c r="Z825" i="1" s="1"/>
  <c r="B835" i="1"/>
  <c r="W835" i="1"/>
  <c r="Z835" i="1" s="1"/>
  <c r="W851" i="1"/>
  <c r="Z851" i="1" s="1"/>
  <c r="B867" i="1"/>
  <c r="W867" i="1"/>
  <c r="Z867" i="1" s="1"/>
  <c r="B875" i="1"/>
  <c r="W875" i="1"/>
  <c r="Z875" i="1" s="1"/>
  <c r="W899" i="1"/>
  <c r="Z899" i="1" s="1"/>
  <c r="W905" i="1"/>
  <c r="Z905" i="1" s="1"/>
  <c r="W913" i="1"/>
  <c r="Z913" i="1" s="1"/>
  <c r="B931" i="1"/>
  <c r="W931" i="1"/>
  <c r="Z931" i="1" s="1"/>
  <c r="W947" i="1"/>
  <c r="Z947" i="1" s="1"/>
  <c r="B955" i="1"/>
  <c r="W955" i="1"/>
  <c r="Z955" i="1" s="1"/>
  <c r="W961" i="1"/>
  <c r="Z961" i="1" s="1"/>
  <c r="W969" i="1"/>
  <c r="Z969" i="1" s="1"/>
  <c r="W971" i="1"/>
  <c r="Z971" i="1" s="1"/>
  <c r="W983" i="1"/>
  <c r="Z983" i="1" s="1"/>
  <c r="W985" i="1"/>
  <c r="Z985" i="1" s="1"/>
  <c r="B987" i="1"/>
  <c r="W987" i="1"/>
  <c r="Z987" i="1" s="1"/>
  <c r="B991" i="1"/>
  <c r="W991" i="1"/>
  <c r="Z991" i="1" s="1"/>
  <c r="W993" i="1"/>
  <c r="Z993" i="1" s="1"/>
  <c r="W999" i="1"/>
  <c r="Z999" i="1" s="1"/>
  <c r="W1001" i="1"/>
  <c r="Z1001" i="1" s="1"/>
  <c r="W52" i="1"/>
  <c r="Z52" i="1" s="1"/>
  <c r="B64" i="1"/>
  <c r="W64" i="1"/>
  <c r="Z64" i="1" s="1"/>
  <c r="B80" i="1"/>
  <c r="W80" i="1"/>
  <c r="Z80" i="1" s="1"/>
  <c r="B104" i="1"/>
  <c r="W104" i="1"/>
  <c r="Z104" i="1" s="1"/>
  <c r="B120" i="1"/>
  <c r="W120" i="1"/>
  <c r="Z120" i="1" s="1"/>
  <c r="W146" i="1"/>
  <c r="Z146" i="1" s="1"/>
  <c r="B158" i="1"/>
  <c r="W158" i="1"/>
  <c r="Z158" i="1" s="1"/>
  <c r="W170" i="1"/>
  <c r="Z170" i="1" s="1"/>
  <c r="W180" i="1"/>
  <c r="Z180" i="1" s="1"/>
  <c r="B192" i="1"/>
  <c r="W192" i="1"/>
  <c r="Z192" i="1" s="1"/>
  <c r="W218" i="1"/>
  <c r="Z218" i="1" s="1"/>
  <c r="B232" i="1"/>
  <c r="W232" i="1"/>
  <c r="Z232" i="1" s="1"/>
  <c r="B256" i="1"/>
  <c r="W256" i="1"/>
  <c r="Z256" i="1" s="1"/>
  <c r="W270" i="1"/>
  <c r="Z270" i="1" s="1"/>
  <c r="B282" i="1"/>
  <c r="W282" i="1"/>
  <c r="Z282" i="1" s="1"/>
  <c r="B296" i="1"/>
  <c r="W296" i="1"/>
  <c r="Z296" i="1" s="1"/>
  <c r="W308" i="1"/>
  <c r="Z308" i="1" s="1"/>
  <c r="W324" i="1"/>
  <c r="Z324" i="1" s="1"/>
  <c r="W35" i="1"/>
  <c r="Z35" i="1" s="1"/>
  <c r="W51" i="1"/>
  <c r="Z51" i="1" s="1"/>
  <c r="W59" i="1"/>
  <c r="Z59" i="1" s="1"/>
  <c r="W67" i="1"/>
  <c r="Z67" i="1" s="1"/>
  <c r="B75" i="1"/>
  <c r="W75" i="1"/>
  <c r="Z75" i="1" s="1"/>
  <c r="B83" i="1"/>
  <c r="W83" i="1"/>
  <c r="Z83" i="1" s="1"/>
  <c r="B91" i="1"/>
  <c r="W91" i="1"/>
  <c r="Z91" i="1" s="1"/>
  <c r="B99" i="1"/>
  <c r="W99" i="1"/>
  <c r="Z99" i="1" s="1"/>
  <c r="B107" i="1"/>
  <c r="W107" i="1"/>
  <c r="Z107" i="1" s="1"/>
  <c r="B115" i="1"/>
  <c r="W115" i="1"/>
  <c r="Z115" i="1" s="1"/>
  <c r="B123" i="1"/>
  <c r="W123" i="1"/>
  <c r="Z123" i="1" s="1"/>
  <c r="B155" i="1"/>
  <c r="W155" i="1"/>
  <c r="Z155" i="1" s="1"/>
  <c r="B163" i="1"/>
  <c r="W163" i="1"/>
  <c r="Z163" i="1" s="1"/>
  <c r="W169" i="1"/>
  <c r="Z169" i="1" s="1"/>
  <c r="B175" i="1"/>
  <c r="W175" i="1"/>
  <c r="Z175" i="1" s="1"/>
  <c r="W185" i="1"/>
  <c r="Z185" i="1" s="1"/>
  <c r="W193" i="1"/>
  <c r="Z193" i="1" s="1"/>
  <c r="W201" i="1"/>
  <c r="Z201" i="1" s="1"/>
  <c r="B211" i="1"/>
  <c r="W211" i="1"/>
  <c r="Z211" i="1" s="1"/>
  <c r="W221" i="1"/>
  <c r="Z221" i="1" s="1"/>
  <c r="W231" i="1"/>
  <c r="Z231" i="1" s="1"/>
  <c r="B239" i="1"/>
  <c r="W239" i="1"/>
  <c r="Z239" i="1" s="1"/>
  <c r="W247" i="1"/>
  <c r="Z247" i="1" s="1"/>
  <c r="W257" i="1"/>
  <c r="Z257" i="1" s="1"/>
  <c r="W263" i="1"/>
  <c r="Z263" i="1" s="1"/>
  <c r="W273" i="1"/>
  <c r="Z273" i="1" s="1"/>
  <c r="W279" i="1"/>
  <c r="Z279" i="1" s="1"/>
  <c r="B289" i="1"/>
  <c r="W289" i="1"/>
  <c r="Z289" i="1" s="1"/>
  <c r="B297" i="1"/>
  <c r="W297" i="1"/>
  <c r="Z297" i="1" s="1"/>
  <c r="W305" i="1"/>
  <c r="Z305" i="1" s="1"/>
  <c r="B311" i="1"/>
  <c r="W311" i="1"/>
  <c r="Z311" i="1" s="1"/>
  <c r="W319" i="1"/>
  <c r="Z319" i="1" s="1"/>
  <c r="W327" i="1"/>
  <c r="Z327" i="1" s="1"/>
  <c r="W335" i="1"/>
  <c r="Z335" i="1" s="1"/>
  <c r="B343" i="1"/>
  <c r="W343" i="1"/>
  <c r="Z343" i="1" s="1"/>
  <c r="W363" i="1"/>
  <c r="Z363" i="1" s="1"/>
  <c r="B369" i="1"/>
  <c r="W369" i="1"/>
  <c r="Z369" i="1" s="1"/>
  <c r="W377" i="1"/>
  <c r="Z377" i="1" s="1"/>
  <c r="B385" i="1"/>
  <c r="W385" i="1"/>
  <c r="Z385" i="1" s="1"/>
  <c r="W393" i="1"/>
  <c r="Z393" i="1" s="1"/>
  <c r="B401" i="1"/>
  <c r="W401" i="1"/>
  <c r="Z401" i="1" s="1"/>
  <c r="B409" i="1"/>
  <c r="W409" i="1"/>
  <c r="Z409" i="1" s="1"/>
  <c r="W415" i="1"/>
  <c r="Z415" i="1" s="1"/>
  <c r="B425" i="1"/>
  <c r="W425" i="1"/>
  <c r="Z425" i="1" s="1"/>
  <c r="W433" i="1"/>
  <c r="Z433" i="1" s="1"/>
  <c r="W439" i="1"/>
  <c r="Z439" i="1" s="1"/>
  <c r="W447" i="1"/>
  <c r="Z447" i="1" s="1"/>
  <c r="W463" i="1"/>
  <c r="Z463" i="1" s="1"/>
  <c r="W471" i="1"/>
  <c r="Z471" i="1" s="1"/>
  <c r="W479" i="1"/>
  <c r="Z479" i="1" s="1"/>
  <c r="W487" i="1"/>
  <c r="Z487" i="1" s="1"/>
  <c r="B493" i="1"/>
  <c r="W493" i="1"/>
  <c r="Z493" i="1" s="1"/>
  <c r="B501" i="1"/>
  <c r="W501" i="1"/>
  <c r="Z501" i="1" s="1"/>
  <c r="B517" i="1"/>
  <c r="W517" i="1"/>
  <c r="Z517" i="1" s="1"/>
  <c r="B525" i="1"/>
  <c r="W525" i="1"/>
  <c r="Z525" i="1" s="1"/>
  <c r="B533" i="1"/>
  <c r="W533" i="1"/>
  <c r="Z533" i="1" s="1"/>
  <c r="W543" i="1"/>
  <c r="Z543" i="1" s="1"/>
  <c r="W551" i="1"/>
  <c r="Z551" i="1" s="1"/>
  <c r="W559" i="1"/>
  <c r="Z559" i="1" s="1"/>
  <c r="W567" i="1"/>
  <c r="Z567" i="1" s="1"/>
  <c r="W583" i="1"/>
  <c r="Z583" i="1" s="1"/>
  <c r="W591" i="1"/>
  <c r="Z591" i="1" s="1"/>
  <c r="W599" i="1"/>
  <c r="Z599" i="1" s="1"/>
  <c r="B607" i="1"/>
  <c r="W607" i="1"/>
  <c r="Z607" i="1" s="1"/>
  <c r="W623" i="1"/>
  <c r="Z623" i="1" s="1"/>
  <c r="W631" i="1"/>
  <c r="Z631" i="1" s="1"/>
  <c r="W639" i="1"/>
  <c r="Z639" i="1" s="1"/>
  <c r="W657" i="1"/>
  <c r="Z657" i="1" s="1"/>
  <c r="W665" i="1"/>
  <c r="Z665" i="1" s="1"/>
  <c r="W671" i="1"/>
  <c r="Z671" i="1" s="1"/>
  <c r="W689" i="1"/>
  <c r="Z689" i="1" s="1"/>
  <c r="W695" i="1"/>
  <c r="Z695" i="1" s="1"/>
  <c r="W703" i="1"/>
  <c r="Z703" i="1" s="1"/>
  <c r="W721" i="1"/>
  <c r="Z721" i="1" s="1"/>
  <c r="W729" i="1"/>
  <c r="Z729" i="1" s="1"/>
  <c r="W755" i="1"/>
  <c r="Z755" i="1" s="1"/>
  <c r="W763" i="1"/>
  <c r="Z763" i="1" s="1"/>
  <c r="W775" i="1"/>
  <c r="Z775" i="1" s="1"/>
  <c r="W783" i="1"/>
  <c r="Z783" i="1" s="1"/>
  <c r="B791" i="1"/>
  <c r="W791" i="1"/>
  <c r="Z791" i="1" s="1"/>
  <c r="W823" i="1"/>
  <c r="Z823" i="1" s="1"/>
  <c r="W831" i="1"/>
  <c r="Z831" i="1" s="1"/>
  <c r="B855" i="1"/>
  <c r="W855" i="1"/>
  <c r="Z855" i="1" s="1"/>
  <c r="W863" i="1"/>
  <c r="Z863" i="1" s="1"/>
  <c r="B871" i="1"/>
  <c r="W871" i="1"/>
  <c r="Z871" i="1" s="1"/>
  <c r="B879" i="1"/>
  <c r="W879" i="1"/>
  <c r="Z879" i="1" s="1"/>
  <c r="W887" i="1"/>
  <c r="Z887" i="1" s="1"/>
  <c r="B895" i="1"/>
  <c r="W895" i="1"/>
  <c r="Z895" i="1" s="1"/>
  <c r="W903" i="1"/>
  <c r="Z903" i="1" s="1"/>
  <c r="B919" i="1"/>
  <c r="W919" i="1"/>
  <c r="Z919" i="1" s="1"/>
  <c r="W935" i="1"/>
  <c r="Z935" i="1" s="1"/>
  <c r="W943" i="1"/>
  <c r="Z943" i="1" s="1"/>
  <c r="W951" i="1"/>
  <c r="Z951" i="1" s="1"/>
  <c r="W963" i="1"/>
  <c r="Z963" i="1" s="1"/>
  <c r="B975" i="1"/>
  <c r="W975" i="1"/>
  <c r="Z975" i="1" s="1"/>
  <c r="B54" i="1"/>
  <c r="W54" i="1"/>
  <c r="Z54" i="1" s="1"/>
  <c r="W66" i="1"/>
  <c r="Z66" i="1" s="1"/>
  <c r="B78" i="1"/>
  <c r="W78" i="1"/>
  <c r="Z78" i="1" s="1"/>
  <c r="W90" i="1"/>
  <c r="Z90" i="1" s="1"/>
  <c r="B102" i="1"/>
  <c r="W102" i="1"/>
  <c r="Z102" i="1" s="1"/>
  <c r="W114" i="1"/>
  <c r="Z114" i="1" s="1"/>
  <c r="B126" i="1"/>
  <c r="W126" i="1"/>
  <c r="Z126" i="1" s="1"/>
  <c r="W138" i="1"/>
  <c r="Z138" i="1" s="1"/>
  <c r="B150" i="1"/>
  <c r="W150" i="1"/>
  <c r="Z150" i="1" s="1"/>
  <c r="W162" i="1"/>
  <c r="Z162" i="1" s="1"/>
  <c r="W186" i="1"/>
  <c r="Z186" i="1" s="1"/>
  <c r="B224" i="1"/>
  <c r="W224" i="1"/>
  <c r="Z224" i="1" s="1"/>
  <c r="B250" i="1"/>
  <c r="W250" i="1"/>
  <c r="Z250" i="1" s="1"/>
  <c r="B274" i="1"/>
  <c r="W274" i="1"/>
  <c r="Z274" i="1" s="1"/>
  <c r="W288" i="1"/>
  <c r="Z288" i="1" s="1"/>
  <c r="W300" i="1"/>
  <c r="Z300" i="1" s="1"/>
  <c r="B312" i="1"/>
  <c r="W312" i="1"/>
  <c r="Z312" i="1" s="1"/>
  <c r="W326" i="1"/>
  <c r="Z326" i="1" s="1"/>
  <c r="W57" i="1"/>
  <c r="Z57" i="1" s="1"/>
  <c r="W79" i="1"/>
  <c r="Z79" i="1" s="1"/>
  <c r="W85" i="1"/>
  <c r="Z85" i="1" s="1"/>
  <c r="W93" i="1"/>
  <c r="Z93" i="1" s="1"/>
  <c r="W101" i="1"/>
  <c r="Z101" i="1" s="1"/>
  <c r="W109" i="1"/>
  <c r="Z109" i="1" s="1"/>
  <c r="W117" i="1"/>
  <c r="Z117" i="1" s="1"/>
  <c r="W125" i="1"/>
  <c r="Z125" i="1" s="1"/>
  <c r="B131" i="1"/>
  <c r="W131" i="1"/>
  <c r="Z131" i="1" s="1"/>
  <c r="W141" i="1"/>
  <c r="Z141" i="1" s="1"/>
  <c r="W149" i="1"/>
  <c r="Z149" i="1" s="1"/>
  <c r="W157" i="1"/>
  <c r="Z157" i="1" s="1"/>
  <c r="W165" i="1"/>
  <c r="Z165" i="1" s="1"/>
  <c r="B171" i="1"/>
  <c r="W171" i="1"/>
  <c r="Z171" i="1" s="1"/>
  <c r="B179" i="1"/>
  <c r="W179" i="1"/>
  <c r="Z179" i="1" s="1"/>
  <c r="B187" i="1"/>
  <c r="W187" i="1"/>
  <c r="Z187" i="1" s="1"/>
  <c r="W197" i="1"/>
  <c r="Z197" i="1" s="1"/>
  <c r="W205" i="1"/>
  <c r="Z205" i="1" s="1"/>
  <c r="W209" i="1"/>
  <c r="Z209" i="1" s="1"/>
  <c r="W217" i="1"/>
  <c r="Z217" i="1" s="1"/>
  <c r="W225" i="1"/>
  <c r="Z225" i="1" s="1"/>
  <c r="B235" i="1"/>
  <c r="W235" i="1"/>
  <c r="Z235" i="1" s="1"/>
  <c r="W241" i="1"/>
  <c r="Z241" i="1" s="1"/>
  <c r="W251" i="1"/>
  <c r="Z251" i="1" s="1"/>
  <c r="W259" i="1"/>
  <c r="Z259" i="1" s="1"/>
  <c r="W267" i="1"/>
  <c r="Z267" i="1" s="1"/>
  <c r="W275" i="1"/>
  <c r="Z275" i="1" s="1"/>
  <c r="W283" i="1"/>
  <c r="Z283" i="1" s="1"/>
  <c r="W291" i="1"/>
  <c r="Z291" i="1" s="1"/>
  <c r="W299" i="1"/>
  <c r="Z299" i="1" s="1"/>
  <c r="W307" i="1"/>
  <c r="Z307" i="1" s="1"/>
  <c r="W315" i="1"/>
  <c r="Z315" i="1" s="1"/>
  <c r="W331" i="1"/>
  <c r="Z331" i="1" s="1"/>
  <c r="W347" i="1"/>
  <c r="Z347" i="1" s="1"/>
  <c r="W353" i="1"/>
  <c r="Z353" i="1" s="1"/>
  <c r="W371" i="1"/>
  <c r="Z371" i="1" s="1"/>
  <c r="W387" i="1"/>
  <c r="Z387" i="1" s="1"/>
  <c r="W403" i="1"/>
  <c r="Z403" i="1" s="1"/>
  <c r="W411" i="1"/>
  <c r="Z411" i="1" s="1"/>
  <c r="W419" i="1"/>
  <c r="Z419" i="1" s="1"/>
  <c r="W427" i="1"/>
  <c r="Z427" i="1" s="1"/>
  <c r="W431" i="1"/>
  <c r="Z431" i="1" s="1"/>
  <c r="W467" i="1"/>
  <c r="Z467" i="1" s="1"/>
  <c r="W475" i="1"/>
  <c r="Z475" i="1" s="1"/>
  <c r="B497" i="1"/>
  <c r="W497" i="1"/>
  <c r="Z497" i="1" s="1"/>
  <c r="W505" i="1"/>
  <c r="Z505" i="1" s="1"/>
  <c r="W513" i="1"/>
  <c r="Z513" i="1" s="1"/>
  <c r="W521" i="1"/>
  <c r="Z521" i="1" s="1"/>
  <c r="W527" i="1"/>
  <c r="Z527" i="1" s="1"/>
  <c r="W535" i="1"/>
  <c r="Z535" i="1" s="1"/>
  <c r="B541" i="1"/>
  <c r="W541" i="1"/>
  <c r="Z541" i="1" s="1"/>
  <c r="B549" i="1"/>
  <c r="W549" i="1"/>
  <c r="Z549" i="1" s="1"/>
  <c r="B557" i="1"/>
  <c r="W557" i="1"/>
  <c r="Z557" i="1" s="1"/>
  <c r="B565" i="1"/>
  <c r="W565" i="1"/>
  <c r="Z565" i="1" s="1"/>
  <c r="B573" i="1"/>
  <c r="W573" i="1"/>
  <c r="Z573" i="1" s="1"/>
  <c r="B581" i="1"/>
  <c r="W581" i="1"/>
  <c r="Z581" i="1" s="1"/>
  <c r="B589" i="1"/>
  <c r="W589" i="1"/>
  <c r="Z589" i="1" s="1"/>
  <c r="W595" i="1"/>
  <c r="Z595" i="1" s="1"/>
  <c r="W603" i="1"/>
  <c r="Z603" i="1" s="1"/>
  <c r="B617" i="1"/>
  <c r="W617" i="1"/>
  <c r="Z617" i="1" s="1"/>
  <c r="W681" i="1"/>
  <c r="Z681" i="1" s="1"/>
  <c r="W687" i="1"/>
  <c r="Z687" i="1" s="1"/>
  <c r="W713" i="1"/>
  <c r="Z713" i="1" s="1"/>
  <c r="W735" i="1"/>
  <c r="Z735" i="1" s="1"/>
  <c r="W743" i="1"/>
  <c r="Z743" i="1" s="1"/>
  <c r="W751" i="1"/>
  <c r="Z751" i="1" s="1"/>
  <c r="W759" i="1"/>
  <c r="Z759" i="1" s="1"/>
  <c r="W767" i="1"/>
  <c r="Z767" i="1" s="1"/>
  <c r="B773" i="1"/>
  <c r="W773" i="1"/>
  <c r="Z773" i="1" s="1"/>
  <c r="W779" i="1"/>
  <c r="Z779" i="1" s="1"/>
  <c r="W787" i="1"/>
  <c r="Z787" i="1" s="1"/>
  <c r="B827" i="1"/>
  <c r="W827" i="1"/>
  <c r="Z827" i="1" s="1"/>
  <c r="B843" i="1"/>
  <c r="W843" i="1"/>
  <c r="Z843" i="1" s="1"/>
  <c r="W849" i="1"/>
  <c r="Z849" i="1" s="1"/>
  <c r="W857" i="1"/>
  <c r="Z857" i="1" s="1"/>
  <c r="W865" i="1"/>
  <c r="Z865" i="1" s="1"/>
  <c r="W881" i="1"/>
  <c r="Z881" i="1" s="1"/>
  <c r="W897" i="1"/>
  <c r="Z897" i="1" s="1"/>
  <c r="B915" i="1"/>
  <c r="W915" i="1"/>
  <c r="Z915" i="1" s="1"/>
  <c r="W921" i="1"/>
  <c r="Z921" i="1" s="1"/>
  <c r="W929" i="1"/>
  <c r="Z929" i="1" s="1"/>
  <c r="W937" i="1"/>
  <c r="Z937" i="1" s="1"/>
  <c r="W967" i="1"/>
  <c r="Z967" i="1" s="1"/>
  <c r="W979" i="1"/>
  <c r="Z979" i="1" s="1"/>
  <c r="B6" i="1"/>
  <c r="W6" i="1"/>
  <c r="Z6" i="1" s="1"/>
  <c r="W56" i="1"/>
  <c r="Z56" i="1" s="1"/>
  <c r="W70" i="1"/>
  <c r="Z70" i="1" s="1"/>
  <c r="W82" i="1"/>
  <c r="Z82" i="1" s="1"/>
  <c r="W94" i="1"/>
  <c r="Z94" i="1" s="1"/>
  <c r="W106" i="1"/>
  <c r="Z106" i="1" s="1"/>
  <c r="B118" i="1"/>
  <c r="W118" i="1"/>
  <c r="Z118" i="1" s="1"/>
  <c r="W130" i="1"/>
  <c r="Z130" i="1" s="1"/>
  <c r="B142" i="1"/>
  <c r="W142" i="1"/>
  <c r="Z142" i="1" s="1"/>
  <c r="B168" i="1"/>
  <c r="W168" i="1"/>
  <c r="Z168" i="1" s="1"/>
  <c r="W194" i="1"/>
  <c r="Z194" i="1" s="1"/>
  <c r="W204" i="1"/>
  <c r="Z204" i="1" s="1"/>
  <c r="B216" i="1"/>
  <c r="W216" i="1"/>
  <c r="Z216" i="1" s="1"/>
  <c r="W228" i="1"/>
  <c r="Z228" i="1" s="1"/>
  <c r="W242" i="1"/>
  <c r="Z242" i="1" s="1"/>
  <c r="W254" i="1"/>
  <c r="Z254" i="1" s="1"/>
  <c r="B266" i="1"/>
  <c r="W266" i="1"/>
  <c r="Z266" i="1" s="1"/>
  <c r="B280" i="1"/>
  <c r="W280" i="1"/>
  <c r="Z280" i="1" s="1"/>
  <c r="W292" i="1"/>
  <c r="Z292" i="1" s="1"/>
  <c r="B304" i="1"/>
  <c r="W304" i="1"/>
  <c r="Z304" i="1" s="1"/>
  <c r="W318" i="1"/>
  <c r="Z318" i="1" s="1"/>
  <c r="W332" i="1"/>
  <c r="Z332" i="1" s="1"/>
  <c r="W7" i="1"/>
  <c r="Z7" i="1" s="1"/>
  <c r="W55" i="1"/>
  <c r="Z55" i="1" s="1"/>
  <c r="W63" i="1"/>
  <c r="Z63" i="1" s="1"/>
  <c r="W71" i="1"/>
  <c r="Z71" i="1" s="1"/>
  <c r="W77" i="1"/>
  <c r="Z77" i="1" s="1"/>
  <c r="W87" i="1"/>
  <c r="Z87" i="1" s="1"/>
  <c r="W95" i="1"/>
  <c r="Z95" i="1" s="1"/>
  <c r="W103" i="1"/>
  <c r="Z103" i="1" s="1"/>
  <c r="W111" i="1"/>
  <c r="Z111" i="1" s="1"/>
  <c r="W119" i="1"/>
  <c r="Z119" i="1" s="1"/>
  <c r="W127" i="1"/>
  <c r="Z127" i="1" s="1"/>
  <c r="W135" i="1"/>
  <c r="Z135" i="1" s="1"/>
  <c r="W143" i="1"/>
  <c r="Z143" i="1" s="1"/>
  <c r="W161" i="1"/>
  <c r="Z161" i="1" s="1"/>
  <c r="W167" i="1"/>
  <c r="Z167" i="1" s="1"/>
  <c r="W177" i="1"/>
  <c r="Z177" i="1" s="1"/>
  <c r="W183" i="1"/>
  <c r="Z183" i="1" s="1"/>
  <c r="B191" i="1"/>
  <c r="W191" i="1"/>
  <c r="Z191" i="1" s="1"/>
  <c r="B203" i="1"/>
  <c r="W203" i="1"/>
  <c r="Z203" i="1" s="1"/>
  <c r="W213" i="1"/>
  <c r="Z213" i="1" s="1"/>
  <c r="B219" i="1"/>
  <c r="W219" i="1"/>
  <c r="Z219" i="1" s="1"/>
  <c r="W229" i="1"/>
  <c r="Z229" i="1" s="1"/>
  <c r="W237" i="1"/>
  <c r="Z237" i="1" s="1"/>
  <c r="W245" i="1"/>
  <c r="Z245" i="1" s="1"/>
  <c r="W255" i="1"/>
  <c r="Z255" i="1" s="1"/>
  <c r="W265" i="1"/>
  <c r="Z265" i="1" s="1"/>
  <c r="W271" i="1"/>
  <c r="Z271" i="1" s="1"/>
  <c r="B281" i="1"/>
  <c r="W281" i="1"/>
  <c r="Z281" i="1" s="1"/>
  <c r="B287" i="1"/>
  <c r="W287" i="1"/>
  <c r="Z287" i="1" s="1"/>
  <c r="W295" i="1"/>
  <c r="Z295" i="1" s="1"/>
  <c r="W303" i="1"/>
  <c r="Z303" i="1" s="1"/>
  <c r="W323" i="1"/>
  <c r="Z323" i="1" s="1"/>
  <c r="W329" i="1"/>
  <c r="Z329" i="1" s="1"/>
  <c r="W337" i="1"/>
  <c r="Z337" i="1" s="1"/>
  <c r="W355" i="1"/>
  <c r="Z355" i="1" s="1"/>
  <c r="W359" i="1"/>
  <c r="Z359" i="1" s="1"/>
  <c r="W367" i="1"/>
  <c r="Z367" i="1" s="1"/>
  <c r="B375" i="1"/>
  <c r="W375" i="1"/>
  <c r="Z375" i="1" s="1"/>
  <c r="W383" i="1"/>
  <c r="Z383" i="1" s="1"/>
  <c r="B391" i="1"/>
  <c r="W391" i="1"/>
  <c r="Z391" i="1" s="1"/>
  <c r="W399" i="1"/>
  <c r="Z399" i="1" s="1"/>
  <c r="W407" i="1"/>
  <c r="Z407" i="1" s="1"/>
  <c r="W423" i="1"/>
  <c r="Z423" i="1" s="1"/>
  <c r="W435" i="1"/>
  <c r="Z435" i="1" s="1"/>
  <c r="W441" i="1"/>
  <c r="Z441" i="1" s="1"/>
  <c r="W465" i="1"/>
  <c r="Z465" i="1" s="1"/>
  <c r="W473" i="1"/>
  <c r="Z473" i="1" s="1"/>
  <c r="W489" i="1"/>
  <c r="Z489" i="1" s="1"/>
  <c r="W507" i="1"/>
  <c r="Z507" i="1" s="1"/>
  <c r="W515" i="1"/>
  <c r="Z515" i="1" s="1"/>
  <c r="W523" i="1"/>
  <c r="Z523" i="1" s="1"/>
  <c r="W531" i="1"/>
  <c r="Z531" i="1" s="1"/>
  <c r="W539" i="1"/>
  <c r="Z539" i="1" s="1"/>
  <c r="W547" i="1"/>
  <c r="Z547" i="1" s="1"/>
  <c r="W555" i="1"/>
  <c r="Z555" i="1" s="1"/>
  <c r="W563" i="1"/>
  <c r="Z563" i="1" s="1"/>
  <c r="W571" i="1"/>
  <c r="Z571" i="1" s="1"/>
  <c r="W579" i="1"/>
  <c r="Z579" i="1" s="1"/>
  <c r="W585" i="1"/>
  <c r="Z585" i="1" s="1"/>
  <c r="W601" i="1"/>
  <c r="Z601" i="1" s="1"/>
  <c r="B609" i="1"/>
  <c r="W609" i="1"/>
  <c r="Z609" i="1" s="1"/>
  <c r="B619" i="1"/>
  <c r="W619" i="1"/>
  <c r="Z619" i="1" s="1"/>
  <c r="B627" i="1"/>
  <c r="W627" i="1"/>
  <c r="Z627" i="1" s="1"/>
  <c r="B635" i="1"/>
  <c r="W635" i="1"/>
  <c r="Z635" i="1" s="1"/>
  <c r="B643" i="1"/>
  <c r="W643" i="1"/>
  <c r="Z643" i="1" s="1"/>
  <c r="W649" i="1"/>
  <c r="Z649" i="1" s="1"/>
  <c r="W655" i="1"/>
  <c r="Z655" i="1" s="1"/>
  <c r="W663" i="1"/>
  <c r="Z663" i="1" s="1"/>
  <c r="W673" i="1"/>
  <c r="Z673" i="1" s="1"/>
  <c r="W679" i="1"/>
  <c r="Z679" i="1" s="1"/>
  <c r="W697" i="1"/>
  <c r="Z697" i="1" s="1"/>
  <c r="W705" i="1"/>
  <c r="Z705" i="1" s="1"/>
  <c r="W711" i="1"/>
  <c r="Z711" i="1" s="1"/>
  <c r="W719" i="1"/>
  <c r="Z719" i="1" s="1"/>
  <c r="W727" i="1"/>
  <c r="Z727" i="1" s="1"/>
  <c r="W737" i="1"/>
  <c r="Z737" i="1" s="1"/>
  <c r="W745" i="1"/>
  <c r="Z745" i="1" s="1"/>
  <c r="W753" i="1"/>
  <c r="Z753" i="1" s="1"/>
  <c r="W761" i="1"/>
  <c r="Z761" i="1" s="1"/>
  <c r="W769" i="1"/>
  <c r="Z769" i="1" s="1"/>
  <c r="W777" i="1"/>
  <c r="Z777" i="1" s="1"/>
  <c r="W793" i="1"/>
  <c r="Z793" i="1" s="1"/>
  <c r="W801" i="1"/>
  <c r="Z801" i="1" s="1"/>
  <c r="W833" i="1"/>
  <c r="Z833" i="1" s="1"/>
  <c r="W841" i="1"/>
  <c r="Z841" i="1" s="1"/>
  <c r="W859" i="1"/>
  <c r="Z859" i="1" s="1"/>
  <c r="W873" i="1"/>
  <c r="Z873" i="1" s="1"/>
  <c r="W889" i="1"/>
  <c r="Z889" i="1" s="1"/>
  <c r="B907" i="1"/>
  <c r="W907" i="1"/>
  <c r="Z907" i="1" s="1"/>
  <c r="B923" i="1"/>
  <c r="W923" i="1"/>
  <c r="Z923" i="1" s="1"/>
  <c r="W939" i="1"/>
  <c r="Z939" i="1" s="1"/>
  <c r="W945" i="1"/>
  <c r="Z945" i="1" s="1"/>
  <c r="W953" i="1"/>
  <c r="Z953" i="1" s="1"/>
  <c r="W977" i="1"/>
  <c r="Z977" i="1" s="1"/>
  <c r="B4" i="10"/>
  <c r="AT9" i="10"/>
  <c r="AT11" i="10" s="1"/>
  <c r="B951" i="1"/>
  <c r="B513" i="1"/>
  <c r="B273" i="1"/>
  <c r="AA6" i="10"/>
  <c r="B732" i="1"/>
  <c r="B157" i="1"/>
  <c r="B407" i="1"/>
  <c r="B106" i="1"/>
  <c r="B645" i="1"/>
  <c r="B114" i="1"/>
  <c r="B475" i="1"/>
  <c r="B787" i="1"/>
  <c r="B374" i="1"/>
  <c r="B138" i="1"/>
  <c r="B527" i="1"/>
  <c r="B663" i="1"/>
  <c r="B640" i="1"/>
  <c r="B685" i="1"/>
  <c r="B111" i="1"/>
  <c r="B355" i="1"/>
  <c r="B313" i="1"/>
  <c r="B588" i="1"/>
  <c r="B98" i="1"/>
  <c r="B327" i="1"/>
  <c r="B594" i="1"/>
  <c r="B631" i="1"/>
  <c r="B656" i="1"/>
  <c r="B143" i="1"/>
  <c r="B288" i="1"/>
  <c r="B548" i="1"/>
  <c r="B130" i="1"/>
  <c r="B460" i="1"/>
  <c r="B77" i="1"/>
  <c r="B135" i="1"/>
  <c r="B146" i="1"/>
  <c r="B231" i="1"/>
  <c r="B305" i="1"/>
  <c r="B361" i="1"/>
  <c r="B452" i="1"/>
  <c r="B471" i="1"/>
  <c r="B671" i="1"/>
  <c r="B706" i="1"/>
  <c r="B770" i="1"/>
  <c r="B122" i="1"/>
  <c r="B319" i="1"/>
  <c r="B350" i="1"/>
  <c r="B567" i="1"/>
  <c r="B578" i="1"/>
  <c r="B714" i="1"/>
  <c r="B899" i="1"/>
  <c r="B958" i="1"/>
  <c r="B464" i="1"/>
  <c r="B545" i="1"/>
  <c r="B556" i="1"/>
  <c r="B612" i="1"/>
  <c r="B664" i="1"/>
  <c r="B703" i="1"/>
  <c r="B149" i="1"/>
  <c r="B234" i="1"/>
  <c r="B339" i="1"/>
  <c r="B430" i="1"/>
  <c r="B505" i="1"/>
  <c r="B754" i="1"/>
  <c r="B894" i="1"/>
  <c r="B674" i="1"/>
  <c r="B487" i="1"/>
  <c r="B623" i="1"/>
  <c r="B632" i="1"/>
  <c r="B669" i="1"/>
  <c r="B680" i="1"/>
  <c r="B727" i="1"/>
  <c r="B746" i="1"/>
  <c r="B119" i="1"/>
  <c r="B141" i="1"/>
  <c r="B245" i="1"/>
  <c r="B283" i="1"/>
  <c r="B366" i="1"/>
  <c r="B456" i="1"/>
  <c r="B551" i="1"/>
  <c r="B655" i="1"/>
  <c r="B716" i="1"/>
  <c r="B935" i="1"/>
  <c r="B37" i="1"/>
  <c r="B56" i="1"/>
  <c r="B127" i="1"/>
  <c r="B154" i="1"/>
  <c r="B255" i="1"/>
  <c r="B295" i="1"/>
  <c r="B310" i="1"/>
  <c r="B315" i="1"/>
  <c r="B661" i="1"/>
  <c r="B70" i="1"/>
  <c r="B103" i="1"/>
  <c r="B133" i="1"/>
  <c r="B267" i="1"/>
  <c r="B626" i="1"/>
  <c r="B652" i="1"/>
  <c r="B730" i="1"/>
  <c r="B82" i="1"/>
  <c r="B95" i="1"/>
  <c r="B26" i="1"/>
  <c r="B63" i="1"/>
  <c r="B7" i="1"/>
  <c r="B52" i="1"/>
  <c r="B60" i="1"/>
  <c r="B291" i="1"/>
  <c r="B359" i="1"/>
  <c r="B371" i="1"/>
  <c r="B447" i="1"/>
  <c r="B479" i="1"/>
  <c r="B519" i="1"/>
  <c r="B553" i="1"/>
  <c r="B591" i="1"/>
  <c r="B711" i="1"/>
  <c r="B751" i="1"/>
  <c r="B767" i="1"/>
  <c r="B783" i="1"/>
  <c r="B801" i="1"/>
  <c r="B823" i="1"/>
  <c r="B950" i="1"/>
  <c r="B59" i="1"/>
  <c r="B165" i="1"/>
  <c r="B170" i="1"/>
  <c r="B186" i="1"/>
  <c r="B202" i="1"/>
  <c r="B218" i="1"/>
  <c r="B247" i="1"/>
  <c r="B263" i="1"/>
  <c r="B270" i="1"/>
  <c r="B286" i="1"/>
  <c r="B302" i="1"/>
  <c r="B307" i="1"/>
  <c r="B331" i="1"/>
  <c r="B393" i="1"/>
  <c r="B415" i="1"/>
  <c r="B444" i="1"/>
  <c r="B492" i="1"/>
  <c r="B511" i="1"/>
  <c r="B540" i="1"/>
  <c r="B585" i="1"/>
  <c r="B606" i="1"/>
  <c r="B620" i="1"/>
  <c r="B637" i="1"/>
  <c r="B666" i="1"/>
  <c r="B696" i="1"/>
  <c r="B708" i="1"/>
  <c r="B722" i="1"/>
  <c r="B743" i="1"/>
  <c r="B762" i="1"/>
  <c r="B778" i="1"/>
  <c r="B831" i="1"/>
  <c r="B903" i="1"/>
  <c r="B943" i="1"/>
  <c r="B983" i="1"/>
  <c r="B963" i="1"/>
  <c r="B58" i="1"/>
  <c r="B162" i="1"/>
  <c r="B167" i="1"/>
  <c r="B183" i="1"/>
  <c r="B199" i="1"/>
  <c r="B215" i="1"/>
  <c r="B242" i="1"/>
  <c r="B265" i="1"/>
  <c r="B335" i="1"/>
  <c r="B351" i="1"/>
  <c r="B367" i="1"/>
  <c r="B377" i="1"/>
  <c r="B399" i="1"/>
  <c r="B423" i="1"/>
  <c r="B441" i="1"/>
  <c r="B473" i="1"/>
  <c r="B489" i="1"/>
  <c r="B508" i="1"/>
  <c r="B559" i="1"/>
  <c r="B608" i="1"/>
  <c r="B629" i="1"/>
  <c r="B639" i="1"/>
  <c r="B653" i="1"/>
  <c r="B738" i="1"/>
  <c r="B759" i="1"/>
  <c r="B775" i="1"/>
  <c r="B863" i="1"/>
  <c r="B967" i="1"/>
  <c r="B719" i="1"/>
  <c r="B735" i="1"/>
  <c r="B793" i="1"/>
  <c r="B942" i="1"/>
  <c r="B55" i="1"/>
  <c r="B93" i="1"/>
  <c r="B178" i="1"/>
  <c r="B194" i="1"/>
  <c r="B210" i="1"/>
  <c r="B226" i="1"/>
  <c r="B278" i="1"/>
  <c r="B318" i="1"/>
  <c r="B383" i="1"/>
  <c r="B71" i="1"/>
  <c r="B74" i="1"/>
  <c r="B79" i="1"/>
  <c r="B87" i="1"/>
  <c r="B90" i="1"/>
  <c r="B101" i="1"/>
  <c r="B109" i="1"/>
  <c r="B117" i="1"/>
  <c r="B125" i="1"/>
  <c r="B159" i="1"/>
  <c r="B173" i="1"/>
  <c r="B181" i="1"/>
  <c r="B189" i="1"/>
  <c r="B197" i="1"/>
  <c r="B205" i="1"/>
  <c r="B213" i="1"/>
  <c r="B221" i="1"/>
  <c r="B229" i="1"/>
  <c r="B237" i="1"/>
  <c r="B275" i="1"/>
  <c r="Z443" i="1"/>
  <c r="B443" i="1"/>
  <c r="Z448" i="1"/>
  <c r="B448" i="1"/>
  <c r="Z457" i="1"/>
  <c r="B457" i="1"/>
  <c r="B476" i="1"/>
  <c r="B490" i="1"/>
  <c r="Z490" i="1"/>
  <c r="B799" i="1"/>
  <c r="Z799" i="1"/>
  <c r="Z847" i="1"/>
  <c r="B847" i="1"/>
  <c r="B904" i="1"/>
  <c r="Z904" i="1"/>
  <c r="Z995" i="1"/>
  <c r="B995" i="1"/>
  <c r="B384" i="1"/>
  <c r="Z384" i="1"/>
  <c r="Z422" i="1"/>
  <c r="B422" i="1"/>
  <c r="B509" i="1"/>
  <c r="Z509" i="1"/>
  <c r="Z593" i="1"/>
  <c r="B593" i="1"/>
  <c r="B614" i="1"/>
  <c r="Z614" i="1"/>
  <c r="Z647" i="1"/>
  <c r="B647" i="1"/>
  <c r="Z440" i="1"/>
  <c r="B440" i="1"/>
  <c r="B506" i="1"/>
  <c r="Z506" i="1"/>
  <c r="Z959" i="1"/>
  <c r="B959" i="1"/>
  <c r="B5" i="1"/>
  <c r="B8" i="1"/>
  <c r="B53" i="1"/>
  <c r="B86" i="1"/>
  <c r="B94" i="1"/>
  <c r="B257" i="1"/>
  <c r="B271" i="1"/>
  <c r="B279" i="1"/>
  <c r="B299" i="1"/>
  <c r="B321" i="1"/>
  <c r="B329" i="1"/>
  <c r="B337" i="1"/>
  <c r="Z342" i="1"/>
  <c r="B342" i="1"/>
  <c r="B353" i="1"/>
  <c r="B386" i="1"/>
  <c r="Z386" i="1"/>
  <c r="Z417" i="1"/>
  <c r="B417" i="1"/>
  <c r="B424" i="1"/>
  <c r="Z424" i="1"/>
  <c r="B431" i="1"/>
  <c r="B597" i="1"/>
  <c r="Z597" i="1"/>
  <c r="Z642" i="1"/>
  <c r="B642" i="1"/>
  <c r="Z807" i="1"/>
  <c r="B807" i="1"/>
  <c r="B360" i="1"/>
  <c r="Z360" i="1"/>
  <c r="B408" i="1"/>
  <c r="Z408" i="1"/>
  <c r="B426" i="1"/>
  <c r="Z426" i="1"/>
  <c r="B442" i="1"/>
  <c r="Z442" i="1"/>
  <c r="Z451" i="1"/>
  <c r="B451" i="1"/>
  <c r="Z484" i="1"/>
  <c r="B484" i="1"/>
  <c r="Z503" i="1"/>
  <c r="B503" i="1"/>
  <c r="Z575" i="1"/>
  <c r="B575" i="1"/>
  <c r="Z677" i="1"/>
  <c r="B677" i="1"/>
  <c r="Z693" i="1"/>
  <c r="B693" i="1"/>
  <c r="B868" i="1"/>
  <c r="Z868" i="1"/>
  <c r="Z883" i="1"/>
  <c r="B883" i="1"/>
  <c r="Z927" i="1"/>
  <c r="B927" i="1"/>
  <c r="B402" i="1"/>
  <c r="Z402" i="1"/>
  <c r="B480" i="1"/>
  <c r="Z480" i="1"/>
  <c r="Z564" i="1"/>
  <c r="B564" i="1"/>
  <c r="B62" i="1"/>
  <c r="B69" i="1"/>
  <c r="B303" i="1"/>
  <c r="B363" i="1"/>
  <c r="B392" i="1"/>
  <c r="Z392" i="1"/>
  <c r="B410" i="1"/>
  <c r="Z410" i="1"/>
  <c r="B465" i="1"/>
  <c r="B498" i="1"/>
  <c r="Z498" i="1"/>
  <c r="Z561" i="1"/>
  <c r="B561" i="1"/>
  <c r="B570" i="1"/>
  <c r="Z570" i="1"/>
  <c r="Z634" i="1"/>
  <c r="B634" i="1"/>
  <c r="Z658" i="1"/>
  <c r="B658" i="1"/>
  <c r="Z815" i="1"/>
  <c r="B815" i="1"/>
  <c r="B461" i="1"/>
  <c r="Z461" i="1"/>
  <c r="B347" i="1"/>
  <c r="Z481" i="1"/>
  <c r="B481" i="1"/>
  <c r="B584" i="1"/>
  <c r="Z584" i="1"/>
  <c r="Z839" i="1"/>
  <c r="B839" i="1"/>
  <c r="Z891" i="1"/>
  <c r="B891" i="1"/>
  <c r="Z911" i="1"/>
  <c r="B911" i="1"/>
  <c r="Z982" i="1"/>
  <c r="B982" i="1"/>
  <c r="B259" i="1"/>
  <c r="B294" i="1"/>
  <c r="B323" i="1"/>
  <c r="B378" i="1"/>
  <c r="Z378" i="1"/>
  <c r="B416" i="1"/>
  <c r="Z416" i="1"/>
  <c r="Z495" i="1"/>
  <c r="B495" i="1"/>
  <c r="Z650" i="1"/>
  <c r="B650" i="1"/>
  <c r="Z672" i="1"/>
  <c r="B672" i="1"/>
  <c r="Z878" i="1"/>
  <c r="B878" i="1"/>
  <c r="B390" i="1"/>
  <c r="B599" i="1"/>
  <c r="B971" i="1"/>
  <c r="B979" i="1"/>
  <c r="B516" i="1"/>
  <c r="B521" i="1"/>
  <c r="B524" i="1"/>
  <c r="B529" i="1"/>
  <c r="B535" i="1"/>
  <c r="B580" i="1"/>
  <c r="B583" i="1"/>
  <c r="B601" i="1"/>
  <c r="B618" i="1"/>
  <c r="B621" i="1"/>
  <c r="B676" i="1"/>
  <c r="B679" i="1"/>
  <c r="B682" i="1"/>
  <c r="B690" i="1"/>
  <c r="B704" i="1"/>
  <c r="B709" i="1"/>
  <c r="B725" i="1"/>
  <c r="B733" i="1"/>
  <c r="B741" i="1"/>
  <c r="B749" i="1"/>
  <c r="B786" i="1"/>
  <c r="B795" i="1"/>
  <c r="B803" i="1"/>
  <c r="B806" i="1"/>
  <c r="B814" i="1"/>
  <c r="B838" i="1"/>
  <c r="B846" i="1"/>
  <c r="B851" i="1"/>
  <c r="B859" i="1"/>
  <c r="B887" i="1"/>
  <c r="B939" i="1"/>
  <c r="B947" i="1"/>
  <c r="B999" i="1"/>
  <c r="B543" i="1"/>
  <c r="B610" i="1"/>
  <c r="B684" i="1"/>
  <c r="B687" i="1"/>
  <c r="B695" i="1"/>
  <c r="B698" i="1"/>
  <c r="B918" i="1"/>
  <c r="B3" i="1"/>
  <c r="Z105" i="1"/>
  <c r="B105" i="1"/>
  <c r="Z455" i="1"/>
  <c r="B455" i="1"/>
  <c r="B35" i="1"/>
  <c r="B51" i="1"/>
  <c r="B68" i="1"/>
  <c r="Z76" i="1"/>
  <c r="B76" i="1"/>
  <c r="Z92" i="1"/>
  <c r="B92" i="1"/>
  <c r="Z116" i="1"/>
  <c r="B116" i="1"/>
  <c r="Z148" i="1"/>
  <c r="B148" i="1"/>
  <c r="B336" i="1"/>
  <c r="Z336" i="1"/>
  <c r="Z73" i="1"/>
  <c r="B73" i="1"/>
  <c r="Z89" i="1"/>
  <c r="B89" i="1"/>
  <c r="Z113" i="1"/>
  <c r="B113" i="1"/>
  <c r="Z145" i="1"/>
  <c r="B145" i="1"/>
  <c r="Z449" i="1"/>
  <c r="B449" i="1"/>
  <c r="U3" i="1"/>
  <c r="B57" i="1"/>
  <c r="B67" i="1"/>
  <c r="B85" i="1"/>
  <c r="Z124" i="1"/>
  <c r="B124" i="1"/>
  <c r="Z156" i="1"/>
  <c r="B156" i="1"/>
  <c r="Z309" i="1"/>
  <c r="B309" i="1"/>
  <c r="Z121" i="1"/>
  <c r="B121" i="1"/>
  <c r="Z153" i="1"/>
  <c r="B153" i="1"/>
  <c r="Z277" i="1"/>
  <c r="B277" i="1"/>
  <c r="Z382" i="1"/>
  <c r="B382" i="1"/>
  <c r="Z65" i="1"/>
  <c r="B65" i="1"/>
  <c r="Z84" i="1"/>
  <c r="B84" i="1"/>
  <c r="Z100" i="1"/>
  <c r="B100" i="1"/>
  <c r="Z132" i="1"/>
  <c r="B132" i="1"/>
  <c r="Z164" i="1"/>
  <c r="B164" i="1"/>
  <c r="Z252" i="1"/>
  <c r="B252" i="1"/>
  <c r="Z137" i="1"/>
  <c r="B137" i="1"/>
  <c r="C2" i="21"/>
  <c r="B66" i="1"/>
  <c r="Z81" i="1"/>
  <c r="B81" i="1"/>
  <c r="Z97" i="1"/>
  <c r="B97" i="1"/>
  <c r="Z129" i="1"/>
  <c r="B129" i="1"/>
  <c r="Z108" i="1"/>
  <c r="B108" i="1"/>
  <c r="Z140" i="1"/>
  <c r="B140" i="1"/>
  <c r="Z174" i="1"/>
  <c r="B174" i="1"/>
  <c r="Z182" i="1"/>
  <c r="B182" i="1"/>
  <c r="Z190" i="1"/>
  <c r="B190" i="1"/>
  <c r="Z198" i="1"/>
  <c r="B198" i="1"/>
  <c r="Z206" i="1"/>
  <c r="B206" i="1"/>
  <c r="Z214" i="1"/>
  <c r="B214" i="1"/>
  <c r="Z222" i="1"/>
  <c r="B222" i="1"/>
  <c r="Z230" i="1"/>
  <c r="B230" i="1"/>
  <c r="Z238" i="1"/>
  <c r="B238" i="1"/>
  <c r="Z246" i="1"/>
  <c r="B246" i="1"/>
  <c r="Z262" i="1"/>
  <c r="B262" i="1"/>
  <c r="Z413" i="1"/>
  <c r="B413" i="1"/>
  <c r="Z837" i="1"/>
  <c r="B837" i="1"/>
  <c r="Z933" i="1"/>
  <c r="B933" i="1"/>
  <c r="Z333" i="1"/>
  <c r="B333" i="1"/>
  <c r="Z365" i="1"/>
  <c r="B365" i="1"/>
  <c r="Z421" i="1"/>
  <c r="B421" i="1"/>
  <c r="B463" i="1"/>
  <c r="Z756" i="1"/>
  <c r="B756" i="1"/>
  <c r="Z764" i="1"/>
  <c r="B764" i="1"/>
  <c r="Z772" i="1"/>
  <c r="B772" i="1"/>
  <c r="B780" i="1"/>
  <c r="Z780" i="1"/>
  <c r="Z810" i="1"/>
  <c r="B810" i="1"/>
  <c r="Z293" i="1"/>
  <c r="B293" i="1"/>
  <c r="B429" i="1"/>
  <c r="Z429" i="1"/>
  <c r="Z434" i="1"/>
  <c r="B434" i="1"/>
  <c r="Z446" i="1"/>
  <c r="B446" i="1"/>
  <c r="B474" i="1"/>
  <c r="Z474" i="1"/>
  <c r="Z605" i="1"/>
  <c r="B605" i="1"/>
  <c r="B172" i="1"/>
  <c r="B180" i="1"/>
  <c r="B188" i="1"/>
  <c r="B196" i="1"/>
  <c r="B204" i="1"/>
  <c r="B212" i="1"/>
  <c r="B220" i="1"/>
  <c r="B228" i="1"/>
  <c r="B236" i="1"/>
  <c r="B244" i="1"/>
  <c r="B251" i="1"/>
  <c r="B261" i="1"/>
  <c r="Z269" i="1"/>
  <c r="B269" i="1"/>
  <c r="B272" i="1"/>
  <c r="Z317" i="1"/>
  <c r="B317" i="1"/>
  <c r="B326" i="1"/>
  <c r="Z341" i="1"/>
  <c r="B341" i="1"/>
  <c r="Z373" i="1"/>
  <c r="B373" i="1"/>
  <c r="B398" i="1"/>
  <c r="Z558" i="1"/>
  <c r="B558" i="1"/>
  <c r="Z590" i="1"/>
  <c r="B590" i="1"/>
  <c r="B611" i="1"/>
  <c r="Z611" i="1"/>
  <c r="B358" i="1"/>
  <c r="Z381" i="1"/>
  <c r="B381" i="1"/>
  <c r="B406" i="1"/>
  <c r="Z459" i="1"/>
  <c r="B459" i="1"/>
  <c r="B496" i="1"/>
  <c r="Z496" i="1"/>
  <c r="Z285" i="1"/>
  <c r="B285" i="1"/>
  <c r="Z301" i="1"/>
  <c r="B301" i="1"/>
  <c r="Z349" i="1"/>
  <c r="B349" i="1"/>
  <c r="Z389" i="1"/>
  <c r="B389" i="1"/>
  <c r="B414" i="1"/>
  <c r="B450" i="1"/>
  <c r="B161" i="1"/>
  <c r="B169" i="1"/>
  <c r="B177" i="1"/>
  <c r="B185" i="1"/>
  <c r="B193" i="1"/>
  <c r="B201" i="1"/>
  <c r="B209" i="1"/>
  <c r="B217" i="1"/>
  <c r="B225" i="1"/>
  <c r="B233" i="1"/>
  <c r="B241" i="1"/>
  <c r="B249" i="1"/>
  <c r="B254" i="1"/>
  <c r="B264" i="1"/>
  <c r="Z325" i="1"/>
  <c r="B325" i="1"/>
  <c r="B334" i="1"/>
  <c r="Z397" i="1"/>
  <c r="B397" i="1"/>
  <c r="Z526" i="1"/>
  <c r="B526" i="1"/>
  <c r="Z357" i="1"/>
  <c r="B357" i="1"/>
  <c r="Z405" i="1"/>
  <c r="B405" i="1"/>
  <c r="B435" i="1"/>
  <c r="B467" i="1"/>
  <c r="Z478" i="1"/>
  <c r="B478" i="1"/>
  <c r="Z470" i="1"/>
  <c r="B470" i="1"/>
  <c r="Z499" i="1"/>
  <c r="B499" i="1"/>
  <c r="Z502" i="1"/>
  <c r="B502" i="1"/>
  <c r="Z566" i="1"/>
  <c r="B566" i="1"/>
  <c r="B625" i="1"/>
  <c r="Z625" i="1"/>
  <c r="B268" i="1"/>
  <c r="B276" i="1"/>
  <c r="B284" i="1"/>
  <c r="B292" i="1"/>
  <c r="B300" i="1"/>
  <c r="B308" i="1"/>
  <c r="B316" i="1"/>
  <c r="B324" i="1"/>
  <c r="B332" i="1"/>
  <c r="B340" i="1"/>
  <c r="B348" i="1"/>
  <c r="B356" i="1"/>
  <c r="B364" i="1"/>
  <c r="B372" i="1"/>
  <c r="B380" i="1"/>
  <c r="B388" i="1"/>
  <c r="B396" i="1"/>
  <c r="B404" i="1"/>
  <c r="B412" i="1"/>
  <c r="B420" i="1"/>
  <c r="B428" i="1"/>
  <c r="B433" i="1"/>
  <c r="B439" i="1"/>
  <c r="Z454" i="1"/>
  <c r="B454" i="1"/>
  <c r="B458" i="1"/>
  <c r="Z462" i="1"/>
  <c r="B462" i="1"/>
  <c r="Z534" i="1"/>
  <c r="B534" i="1"/>
  <c r="Z574" i="1"/>
  <c r="B574" i="1"/>
  <c r="B379" i="1"/>
  <c r="B387" i="1"/>
  <c r="B395" i="1"/>
  <c r="B403" i="1"/>
  <c r="B411" i="1"/>
  <c r="B419" i="1"/>
  <c r="B427" i="1"/>
  <c r="B432" i="1"/>
  <c r="Z483" i="1"/>
  <c r="B483" i="1"/>
  <c r="Z486" i="1"/>
  <c r="B486" i="1"/>
  <c r="Z598" i="1"/>
  <c r="B598" i="1"/>
  <c r="Z615" i="1"/>
  <c r="B615" i="1"/>
  <c r="Z739" i="1"/>
  <c r="B739" i="1"/>
  <c r="B438" i="1"/>
  <c r="B472" i="1"/>
  <c r="Z510" i="1"/>
  <c r="B510" i="1"/>
  <c r="Z542" i="1"/>
  <c r="B542" i="1"/>
  <c r="Z582" i="1"/>
  <c r="B582" i="1"/>
  <c r="Z491" i="1"/>
  <c r="B491" i="1"/>
  <c r="Z494" i="1"/>
  <c r="B494" i="1"/>
  <c r="Z518" i="1"/>
  <c r="B518" i="1"/>
  <c r="Z550" i="1"/>
  <c r="B550" i="1"/>
  <c r="Z675" i="1"/>
  <c r="B675" i="1"/>
  <c r="Z707" i="1"/>
  <c r="B707" i="1"/>
  <c r="B628" i="1"/>
  <c r="B660" i="1"/>
  <c r="B692" i="1"/>
  <c r="B724" i="1"/>
  <c r="Z747" i="1"/>
  <c r="B747" i="1"/>
  <c r="Z651" i="1"/>
  <c r="B651" i="1"/>
  <c r="Z683" i="1"/>
  <c r="B683" i="1"/>
  <c r="Z715" i="1"/>
  <c r="B715" i="1"/>
  <c r="Z966" i="1"/>
  <c r="B966" i="1"/>
  <c r="B507" i="1"/>
  <c r="B515" i="1"/>
  <c r="B523" i="1"/>
  <c r="B531" i="1"/>
  <c r="B539" i="1"/>
  <c r="B547" i="1"/>
  <c r="B555" i="1"/>
  <c r="B563" i="1"/>
  <c r="B571" i="1"/>
  <c r="B579" i="1"/>
  <c r="B587" i="1"/>
  <c r="B595" i="1"/>
  <c r="B603" i="1"/>
  <c r="B613" i="1"/>
  <c r="B622" i="1"/>
  <c r="Z641" i="1"/>
  <c r="B641" i="1"/>
  <c r="B644" i="1"/>
  <c r="B668" i="1"/>
  <c r="B700" i="1"/>
  <c r="Z997" i="1"/>
  <c r="B997" i="1"/>
  <c r="Z659" i="1"/>
  <c r="B659" i="1"/>
  <c r="Z691" i="1"/>
  <c r="B691" i="1"/>
  <c r="Z723" i="1"/>
  <c r="B723" i="1"/>
  <c r="B740" i="1"/>
  <c r="Z731" i="1"/>
  <c r="B731" i="1"/>
  <c r="Z869" i="1"/>
  <c r="B869" i="1"/>
  <c r="Z633" i="1"/>
  <c r="B633" i="1"/>
  <c r="B636" i="1"/>
  <c r="Z667" i="1"/>
  <c r="B667" i="1"/>
  <c r="Z699" i="1"/>
  <c r="B699" i="1"/>
  <c r="B748" i="1"/>
  <c r="Z785" i="1"/>
  <c r="B785" i="1"/>
  <c r="Z797" i="1"/>
  <c r="B797" i="1"/>
  <c r="Z902" i="1"/>
  <c r="B902" i="1"/>
  <c r="Z813" i="1"/>
  <c r="B813" i="1"/>
  <c r="Z834" i="1"/>
  <c r="B834" i="1"/>
  <c r="Z866" i="1"/>
  <c r="B866" i="1"/>
  <c r="Z877" i="1"/>
  <c r="B877" i="1"/>
  <c r="Z941" i="1"/>
  <c r="B941" i="1"/>
  <c r="B755" i="1"/>
  <c r="B763" i="1"/>
  <c r="B771" i="1"/>
  <c r="B779" i="1"/>
  <c r="B784" i="1"/>
  <c r="B790" i="1"/>
  <c r="B802" i="1"/>
  <c r="B822" i="1"/>
  <c r="Z845" i="1"/>
  <c r="B845" i="1"/>
  <c r="B854" i="1"/>
  <c r="Z885" i="1"/>
  <c r="B885" i="1"/>
  <c r="B910" i="1"/>
  <c r="Z949" i="1"/>
  <c r="B949" i="1"/>
  <c r="B974" i="1"/>
  <c r="Z809" i="1"/>
  <c r="B809" i="1"/>
  <c r="Z842" i="1"/>
  <c r="B842" i="1"/>
  <c r="Z893" i="1"/>
  <c r="B893" i="1"/>
  <c r="Z957" i="1"/>
  <c r="B957" i="1"/>
  <c r="B649" i="1"/>
  <c r="B657" i="1"/>
  <c r="B665" i="1"/>
  <c r="B673" i="1"/>
  <c r="B681" i="1"/>
  <c r="B689" i="1"/>
  <c r="B697" i="1"/>
  <c r="B705" i="1"/>
  <c r="B713" i="1"/>
  <c r="B721" i="1"/>
  <c r="B729" i="1"/>
  <c r="B737" i="1"/>
  <c r="B745" i="1"/>
  <c r="B753" i="1"/>
  <c r="B761" i="1"/>
  <c r="B769" i="1"/>
  <c r="B777" i="1"/>
  <c r="B789" i="1"/>
  <c r="B800" i="1"/>
  <c r="Z821" i="1"/>
  <c r="B821" i="1"/>
  <c r="B830" i="1"/>
  <c r="Z853" i="1"/>
  <c r="B853" i="1"/>
  <c r="B862" i="1"/>
  <c r="Z901" i="1"/>
  <c r="B901" i="1"/>
  <c r="B926" i="1"/>
  <c r="Z965" i="1"/>
  <c r="B965" i="1"/>
  <c r="B990" i="1"/>
  <c r="Z805" i="1"/>
  <c r="B805" i="1"/>
  <c r="B818" i="1"/>
  <c r="Z850" i="1"/>
  <c r="B850" i="1"/>
  <c r="B870" i="1"/>
  <c r="Z909" i="1"/>
  <c r="B909" i="1"/>
  <c r="B934" i="1"/>
  <c r="Z973" i="1"/>
  <c r="B973" i="1"/>
  <c r="B998" i="1"/>
  <c r="Z829" i="1"/>
  <c r="B829" i="1"/>
  <c r="Z861" i="1"/>
  <c r="B861" i="1"/>
  <c r="Z917" i="1"/>
  <c r="B917" i="1"/>
  <c r="Z981" i="1"/>
  <c r="B981" i="1"/>
  <c r="B781" i="1"/>
  <c r="Z817" i="1"/>
  <c r="B817" i="1"/>
  <c r="Z826" i="1"/>
  <c r="B826" i="1"/>
  <c r="Z858" i="1"/>
  <c r="B858" i="1"/>
  <c r="B886" i="1"/>
  <c r="Z925" i="1"/>
  <c r="B925" i="1"/>
  <c r="Z989" i="1"/>
  <c r="B989" i="1"/>
  <c r="B874" i="1"/>
  <c r="B882" i="1"/>
  <c r="B890" i="1"/>
  <c r="B898" i="1"/>
  <c r="B906" i="1"/>
  <c r="B914" i="1"/>
  <c r="B922" i="1"/>
  <c r="B930" i="1"/>
  <c r="B938" i="1"/>
  <c r="B946" i="1"/>
  <c r="B954" i="1"/>
  <c r="B962" i="1"/>
  <c r="B970" i="1"/>
  <c r="B978" i="1"/>
  <c r="B986" i="1"/>
  <c r="B994" i="1"/>
  <c r="B1002" i="1"/>
  <c r="B825" i="1"/>
  <c r="B833" i="1"/>
  <c r="B841" i="1"/>
  <c r="B849" i="1"/>
  <c r="B857" i="1"/>
  <c r="B865" i="1"/>
  <c r="B873" i="1"/>
  <c r="B881" i="1"/>
  <c r="B889" i="1"/>
  <c r="B897" i="1"/>
  <c r="B905" i="1"/>
  <c r="B913" i="1"/>
  <c r="B921" i="1"/>
  <c r="B929" i="1"/>
  <c r="B937" i="1"/>
  <c r="B945" i="1"/>
  <c r="B953" i="1"/>
  <c r="B961" i="1"/>
  <c r="B969" i="1"/>
  <c r="B977" i="1"/>
  <c r="B985" i="1"/>
  <c r="B993" i="1"/>
  <c r="B1001" i="1"/>
  <c r="Z3" i="1" l="1"/>
  <c r="AV10" i="10"/>
  <c r="AT14" i="10" l="1"/>
  <c r="AV15" i="10" s="1"/>
  <c r="Y7" i="10"/>
  <c r="AT16"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Chaix, Florian</author>
  </authors>
  <commentList>
    <comment ref="A1" authorId="0" shapeId="0" xr:uid="{00000000-0006-0000-0400-000001000000}">
      <text>
        <r>
          <rPr>
            <b/>
            <sz val="9"/>
            <color indexed="81"/>
            <rFont val="Tahoma"/>
            <family val="2"/>
          </rPr>
          <t>Chaix, Florian:</t>
        </r>
        <r>
          <rPr>
            <sz val="9"/>
            <color indexed="81"/>
            <rFont val="Tahoma"/>
            <family val="2"/>
          </rPr>
          <t xml:space="preserve">
\\stjn.local\trimet\Donnees_Projets\Dms Sap\Maintenance\PlanEntretien\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Chaix, Florian</author>
    <author>Astiasarain, Paul</author>
  </authors>
  <commentList>
    <comment ref="A2" authorId="0" shapeId="0" xr:uid="{00000000-0006-0000-0500-000001000000}">
      <text>
        <r>
          <rPr>
            <b/>
            <sz val="9"/>
            <color indexed="81"/>
            <rFont val="Tahoma"/>
            <family val="2"/>
          </rPr>
          <t>Chaix, Florian:</t>
        </r>
        <r>
          <rPr>
            <sz val="9"/>
            <color indexed="81"/>
            <rFont val="Tahoma"/>
            <family val="2"/>
          </rPr>
          <t xml:space="preserve">
Formule dans cette colonne / NE PAS TOUCHER
=STXT(CELLULE("filename";$A$1);TROUVE("]";CELLULE("filename";$A$1))+1;32)</t>
        </r>
      </text>
    </comment>
    <comment ref="B2" authorId="0" shapeId="0" xr:uid="{00000000-0006-0000-0500-000002000000}">
      <text>
        <r>
          <rPr>
            <b/>
            <sz val="9"/>
            <color indexed="81"/>
            <rFont val="Tahoma"/>
            <family val="2"/>
          </rPr>
          <t>Chaix, Florian:</t>
        </r>
        <r>
          <rPr>
            <sz val="9"/>
            <color indexed="81"/>
            <rFont val="Tahoma"/>
            <family val="2"/>
          </rPr>
          <t xml:space="preserve">
Formule dans cette colonne / NE PAS TOUCHER
=SI(OU([@[Poste Responsable]]="";[@[Localisation / Classement]]="";[@[Poste technique]]="";[@[Niveau SAP]]="";[@[Poste entretien]]="";[@[Plan Entretien]]="";[@[Gamme en DMS]]="";[@[Groupe de Gamme]]="";[@[Compteur de Gamme]]="");"X";"OK")</t>
        </r>
      </text>
    </comment>
    <comment ref="C2" authorId="0" shapeId="0" xr:uid="{00000000-0006-0000-0500-000003000000}">
      <text>
        <r>
          <rPr>
            <b/>
            <sz val="9"/>
            <color indexed="81"/>
            <rFont val="Tahoma"/>
            <family val="2"/>
          </rPr>
          <t>Chaix, Florian:</t>
        </r>
        <r>
          <rPr>
            <sz val="9"/>
            <color indexed="81"/>
            <rFont val="Tahoma"/>
            <family val="2"/>
          </rPr>
          <t xml:space="preserve">
"" = non crée ; C = Gamme crée ; S = Gamme supprimé
Ne pas modifier la colonne, Pas de formule, inscription dans la cellule par la macro</t>
        </r>
      </text>
    </comment>
    <comment ref="D2" authorId="1" shapeId="0" xr:uid="{00000000-0006-0000-0500-000004000000}">
      <text>
        <r>
          <rPr>
            <b/>
            <sz val="9"/>
            <color indexed="81"/>
            <rFont val="Tahoma"/>
            <family val="2"/>
          </rPr>
          <t>Astiasarain, Paul:</t>
        </r>
        <r>
          <rPr>
            <sz val="9"/>
            <color indexed="81"/>
            <rFont val="Tahoma"/>
            <family val="2"/>
          </rPr>
          <t xml:space="preserve">
Nom au choix du secteur pour classer les PE générés (via hall, machine, bâtiment…)
</t>
        </r>
        <r>
          <rPr>
            <b/>
            <sz val="9"/>
            <color indexed="81"/>
            <rFont val="Tahoma"/>
            <family val="2"/>
          </rPr>
          <t>Chaix, Florian:</t>
        </r>
        <r>
          <rPr>
            <sz val="9"/>
            <color indexed="81"/>
            <rFont val="Tahoma"/>
            <family val="2"/>
          </rPr>
          <t xml:space="preserve">
Pour créer et modifier la liste, utiliser l'onglet list  et modifiant les noms de la colonne Localisation</t>
        </r>
      </text>
    </comment>
    <comment ref="E2" authorId="1" shapeId="0" xr:uid="{00000000-0006-0000-0500-000005000000}">
      <text>
        <r>
          <rPr>
            <b/>
            <sz val="9"/>
            <color indexed="81"/>
            <rFont val="Tahoma"/>
            <family val="2"/>
          </rPr>
          <t>Astiasarain, Paul:</t>
        </r>
        <r>
          <rPr>
            <sz val="9"/>
            <color indexed="81"/>
            <rFont val="Tahoma"/>
            <family val="2"/>
          </rPr>
          <t xml:space="preserve">
Si OUI = Besoin d'un fichier lié à imprimer avec l'ordre</t>
        </r>
      </text>
    </comment>
    <comment ref="F2" authorId="1" shapeId="0" xr:uid="{00000000-0006-0000-0500-000006000000}">
      <text>
        <r>
          <rPr>
            <b/>
            <sz val="9"/>
            <color indexed="81"/>
            <rFont val="Tahoma"/>
            <family val="2"/>
          </rPr>
          <t>Astiasarain, Paul:</t>
        </r>
        <r>
          <rPr>
            <sz val="9"/>
            <color indexed="81"/>
            <rFont val="Tahoma"/>
            <family val="2"/>
          </rPr>
          <t xml:space="preserve">
Désignation SAP
à part cas particulier, max. Txxx-Xxxx (Niveau 5)</t>
        </r>
      </text>
    </comment>
    <comment ref="G2" authorId="1" shapeId="0" xr:uid="{00000000-0006-0000-0500-000007000000}">
      <text>
        <r>
          <rPr>
            <b/>
            <sz val="9"/>
            <color indexed="81"/>
            <rFont val="Tahoma"/>
            <family val="2"/>
          </rPr>
          <t>Astiasarain, Paul:</t>
        </r>
        <r>
          <rPr>
            <sz val="9"/>
            <color indexed="81"/>
            <rFont val="Tahoma"/>
            <family val="2"/>
          </rPr>
          <t xml:space="preserve">
Désignation de l'ensemble sur lequel est fait l'intervention
</t>
        </r>
      </text>
    </comment>
    <comment ref="H2" authorId="1" shapeId="0" xr:uid="{00000000-0006-0000-0500-000008000000}">
      <text>
        <r>
          <rPr>
            <b/>
            <sz val="9"/>
            <color indexed="81"/>
            <rFont val="Tahoma"/>
            <family val="2"/>
          </rPr>
          <t>Astiasarain, Paul:</t>
        </r>
        <r>
          <rPr>
            <sz val="9"/>
            <color indexed="81"/>
            <rFont val="Tahoma"/>
            <family val="2"/>
          </rPr>
          <t xml:space="preserve">
Généré en automatique lors de la création du Plan dans SAP</t>
        </r>
      </text>
    </comment>
    <comment ref="I2" authorId="1" shapeId="0" xr:uid="{00000000-0006-0000-0500-000009000000}">
      <text>
        <r>
          <rPr>
            <b/>
            <sz val="9"/>
            <color indexed="81"/>
            <rFont val="Tahoma"/>
            <family val="2"/>
          </rPr>
          <t>Astiasarain, Paul:</t>
        </r>
        <r>
          <rPr>
            <sz val="9"/>
            <color indexed="81"/>
            <rFont val="Tahoma"/>
            <family val="2"/>
          </rPr>
          <t xml:space="preserve">
Généré en automatique lors de la création du Poste dans SAP</t>
        </r>
      </text>
    </comment>
    <comment ref="J2" authorId="1" shapeId="0" xr:uid="{00000000-0006-0000-0500-00000A000000}">
      <text>
        <r>
          <rPr>
            <b/>
            <sz val="9"/>
            <color indexed="81"/>
            <rFont val="Tahoma"/>
            <family val="2"/>
          </rPr>
          <t>Astiasarain, Paul:</t>
        </r>
        <r>
          <rPr>
            <sz val="9"/>
            <color indexed="81"/>
            <rFont val="Tahoma"/>
            <family val="2"/>
          </rPr>
          <t xml:space="preserve">
Généré en automatique lors de la création de la gamme dans SAP</t>
        </r>
      </text>
    </comment>
    <comment ref="K2" authorId="1" shapeId="0" xr:uid="{00000000-0006-0000-0500-00000B000000}">
      <text>
        <r>
          <rPr>
            <b/>
            <sz val="9"/>
            <color indexed="81"/>
            <rFont val="Tahoma"/>
            <family val="2"/>
          </rPr>
          <t>Astiasarain, Paul:</t>
        </r>
        <r>
          <rPr>
            <sz val="9"/>
            <color indexed="81"/>
            <rFont val="Tahoma"/>
            <family val="2"/>
          </rPr>
          <t xml:space="preserve">
Incrémenté par SAP au fur et à mesure de l'ajout de gamme au sein du même groupe de gammes</t>
        </r>
      </text>
    </comment>
    <comment ref="L2" authorId="1" shapeId="0" xr:uid="{00000000-0006-0000-0500-00000C000000}">
      <text>
        <r>
          <rPr>
            <b/>
            <sz val="9"/>
            <color indexed="81"/>
            <rFont val="Tahoma"/>
            <family val="2"/>
          </rPr>
          <t>Astiasarain, Paul:</t>
        </r>
        <r>
          <rPr>
            <sz val="9"/>
            <color indexed="81"/>
            <rFont val="Tahoma"/>
            <family val="2"/>
          </rPr>
          <t xml:space="preserve">
Fréquence de déclenchement de la gamme dans SAP :
Soit en nb de semaine, mois, année
Soit en nb d'heure pour préventif sur compteur </t>
        </r>
      </text>
    </comment>
    <comment ref="M2" authorId="1" shapeId="0" xr:uid="{00000000-0006-0000-0500-00000D000000}">
      <text>
        <r>
          <rPr>
            <b/>
            <sz val="9"/>
            <color indexed="81"/>
            <rFont val="Tahoma"/>
            <family val="2"/>
          </rPr>
          <t>Astiasarain, Paul:</t>
        </r>
        <r>
          <rPr>
            <sz val="9"/>
            <color indexed="81"/>
            <rFont val="Tahoma"/>
            <family val="2"/>
          </rPr>
          <t xml:space="preserve">
Désignation de la gamme en fonction des choix du secteur</t>
        </r>
      </text>
    </comment>
    <comment ref="N2" authorId="1" shapeId="0" xr:uid="{00000000-0006-0000-0500-00000E000000}">
      <text>
        <r>
          <rPr>
            <b/>
            <sz val="9"/>
            <color indexed="81"/>
            <rFont val="Tahoma"/>
            <family val="2"/>
          </rPr>
          <t>Astiasarain, Paul:</t>
        </r>
        <r>
          <rPr>
            <sz val="9"/>
            <color indexed="81"/>
            <rFont val="Tahoma"/>
            <family val="2"/>
          </rPr>
          <t xml:space="preserve">
Type de maintenance
Possibilité de modifier ou ajouter via onglet List</t>
        </r>
      </text>
    </comment>
    <comment ref="Q2" authorId="1" shapeId="0" xr:uid="{00000000-0006-0000-0500-00000F000000}">
      <text>
        <r>
          <rPr>
            <b/>
            <sz val="9"/>
            <color indexed="81"/>
            <rFont val="Tahoma"/>
            <family val="2"/>
          </rPr>
          <t>Astiasarain, Paul:</t>
        </r>
        <r>
          <rPr>
            <sz val="9"/>
            <color indexed="81"/>
            <rFont val="Tahoma"/>
            <family val="2"/>
          </rPr>
          <t xml:space="preserve">
Jour de déclenchement voulu</t>
        </r>
      </text>
    </comment>
    <comment ref="R2" authorId="1" shapeId="0" xr:uid="{00000000-0006-0000-0500-000010000000}">
      <text>
        <r>
          <rPr>
            <b/>
            <sz val="9"/>
            <color indexed="81"/>
            <rFont val="Tahoma"/>
            <family val="2"/>
          </rPr>
          <t>Astiasarain, Paul:</t>
        </r>
        <r>
          <rPr>
            <sz val="9"/>
            <color indexed="81"/>
            <rFont val="Tahoma"/>
            <family val="2"/>
          </rPr>
          <t xml:space="preserve">
NON= OT non relancé si précédent non clôturé
 si supérieur à 2 semaines</t>
        </r>
      </text>
    </comment>
    <comment ref="S2" authorId="0" shapeId="0" xr:uid="{00000000-0006-0000-0500-000011000000}">
      <text>
        <r>
          <rPr>
            <b/>
            <sz val="9"/>
            <color indexed="81"/>
            <rFont val="Tahoma"/>
            <family val="2"/>
          </rPr>
          <t>Chaix, Florian:</t>
        </r>
        <r>
          <rPr>
            <sz val="9"/>
            <color indexed="81"/>
            <rFont val="Tahoma"/>
            <family val="2"/>
          </rPr>
          <t xml:space="preserve">
Date de premier ordonnancement après revu dans fichier</t>
        </r>
      </text>
    </comment>
    <comment ref="T2" authorId="0" shapeId="0" xr:uid="{00000000-0006-0000-0500-000012000000}">
      <text>
        <r>
          <rPr>
            <b/>
            <sz val="9"/>
            <color indexed="81"/>
            <rFont val="Tahoma"/>
            <family val="2"/>
          </rPr>
          <t>Chaix, Florian:</t>
        </r>
        <r>
          <rPr>
            <sz val="9"/>
            <color indexed="81"/>
            <rFont val="Tahoma"/>
            <family val="2"/>
          </rPr>
          <t xml:space="preserve">
Ne pas remplir se fait en automatique avec la mise à jour du fichier de gamme.
=SI([@[DMS_SAP]]="";"";LIEN_HYPERTEXTE([@[Chemin fichier source]];"X"))</t>
        </r>
      </text>
    </comment>
    <comment ref="U2" authorId="0" shapeId="0" xr:uid="{00000000-0006-0000-0500-000013000000}">
      <text>
        <r>
          <rPr>
            <b/>
            <sz val="9"/>
            <color indexed="81"/>
            <rFont val="Tahoma"/>
            <family val="2"/>
          </rPr>
          <t>Chaix, Florian:</t>
        </r>
        <r>
          <rPr>
            <sz val="9"/>
            <color indexed="81"/>
            <rFont val="Tahoma"/>
            <family val="2"/>
          </rPr>
          <t xml:space="preserve">
Ne pas remplir se fait en automatique avec la mise à jour du fichier de gamme.
=SI([@[Date rév.]]="";"";LIEN_HYPERTEXTE([@[Lien document]];"X"))</t>
        </r>
      </text>
    </comment>
    <comment ref="V2" authorId="0" shapeId="0" xr:uid="{00000000-0006-0000-0500-000014000000}">
      <text>
        <r>
          <rPr>
            <b/>
            <sz val="9"/>
            <color indexed="81"/>
            <rFont val="Tahoma"/>
            <family val="2"/>
          </rPr>
          <t xml:space="preserve">Chaix, Florian:
</t>
        </r>
        <r>
          <rPr>
            <sz val="9"/>
            <color indexed="81"/>
            <rFont val="Tahoma"/>
            <family val="2"/>
          </rPr>
          <t>C'est le nom du document à ajouter à la gamme de SAP pour qu'il s'imprime avec l'ordre.</t>
        </r>
        <r>
          <rPr>
            <sz val="9"/>
            <color indexed="81"/>
            <rFont val="Tahoma"/>
            <family val="2"/>
          </rPr>
          <t xml:space="preserve">
</t>
        </r>
        <r>
          <rPr>
            <b/>
            <sz val="9"/>
            <color indexed="81"/>
            <rFont val="Tahoma"/>
            <family val="2"/>
          </rPr>
          <t>Ne pas remplir se fait en automatique avec la mise à jour du fichier de gamme.</t>
        </r>
      </text>
    </comment>
    <comment ref="W2" authorId="0" shapeId="0" xr:uid="{00000000-0006-0000-0500-000015000000}">
      <text>
        <r>
          <rPr>
            <b/>
            <sz val="9"/>
            <color indexed="81"/>
            <rFont val="Tahoma"/>
            <family val="2"/>
          </rPr>
          <t xml:space="preserve">Chaix, Florian:
</t>
        </r>
        <r>
          <rPr>
            <sz val="9"/>
            <color indexed="81"/>
            <rFont val="Tahoma"/>
            <family val="2"/>
          </rPr>
          <t>Formule dans cette colonne / NE PAS TOUCHER
=Chemin_accès!$B$2&amp;[@[Poste Responsable]]&amp;"\"&amp;[@[Localisation / Classement]]&amp;"\"&amp;[@[Poste technique]]&amp;"_"&amp;[@[Poste entretien]]&amp;".pdf"</t>
        </r>
      </text>
    </comment>
    <comment ref="X2" authorId="0" shapeId="0" xr:uid="{00000000-0006-0000-0500-000016000000}">
      <text>
        <r>
          <rPr>
            <b/>
            <sz val="9"/>
            <color indexed="81"/>
            <rFont val="Tahoma"/>
            <family val="2"/>
          </rPr>
          <t>Chaix, Florian:</t>
        </r>
        <r>
          <rPr>
            <sz val="9"/>
            <color indexed="81"/>
            <rFont val="Tahoma"/>
            <family val="2"/>
          </rPr>
          <t xml:space="preserve">
Charge par personne du préventif en heure (sous format 0,5 pour les demi-heure)</t>
        </r>
      </text>
    </comment>
    <comment ref="Y2" authorId="0" shapeId="0" xr:uid="{00000000-0006-0000-0500-000017000000}">
      <text>
        <r>
          <rPr>
            <b/>
            <sz val="9"/>
            <color indexed="81"/>
            <rFont val="Tahoma"/>
            <family val="2"/>
          </rPr>
          <t>Chaix, Florian:</t>
        </r>
        <r>
          <rPr>
            <sz val="9"/>
            <color indexed="81"/>
            <rFont val="Tahoma"/>
            <family val="2"/>
          </rPr>
          <t xml:space="preserve">
Nombre de personnes pour faire le préventif</t>
        </r>
      </text>
    </comment>
    <comment ref="Z2" authorId="0" shapeId="0" xr:uid="{00000000-0006-0000-0500-000018000000}">
      <text>
        <r>
          <rPr>
            <b/>
            <sz val="9"/>
            <color indexed="81"/>
            <rFont val="Tahoma"/>
            <family val="2"/>
          </rPr>
          <t xml:space="preserve">Chaix, Florian:
</t>
        </r>
        <r>
          <rPr>
            <sz val="9"/>
            <color indexed="81"/>
            <rFont val="Tahoma"/>
            <family val="2"/>
          </rPr>
          <t>Formule dans cette colonne / NE PAS TOUCHER
=SI(ET([@Charge]&lt;&gt;0; [@[Nombre intervenants]]&lt;&gt;0;[@[Lien document]]&lt;&gt;0;[@[DMS_SAP]]&lt;&gt;0)=VRAI;"MIS A JOUR";"")</t>
        </r>
      </text>
    </comment>
    <comment ref="AA2" authorId="0" shapeId="0" xr:uid="{00000000-0006-0000-0500-000019000000}">
      <text>
        <r>
          <rPr>
            <b/>
            <sz val="9"/>
            <color indexed="81"/>
            <rFont val="Tahoma"/>
            <family val="2"/>
          </rPr>
          <t>Chaix, Florian:</t>
        </r>
        <r>
          <rPr>
            <sz val="9"/>
            <color indexed="81"/>
            <rFont val="Tahoma"/>
            <family val="2"/>
          </rPr>
          <t xml:space="preserve">
Ne pas remplir se fait en automatique avec la mise à jour du fichier de gamme.</t>
        </r>
      </text>
    </comment>
    <comment ref="AB2" authorId="0" shapeId="0" xr:uid="{00000000-0006-0000-0500-00001A000000}">
      <text>
        <r>
          <rPr>
            <b/>
            <sz val="9"/>
            <color indexed="81"/>
            <rFont val="Tahoma"/>
            <family val="2"/>
          </rPr>
          <t xml:space="preserve">Chaix, Florian:
</t>
        </r>
        <r>
          <rPr>
            <sz val="9"/>
            <color indexed="81"/>
            <rFont val="Tahoma"/>
            <family val="2"/>
          </rPr>
          <t>Formule dans cette colonne / NE PAS TOUCHER
=SI([Date rév.]&lt;&gt;""; JOURS360([Date rév.];AUJOURDHUI());"")</t>
        </r>
      </text>
    </comment>
    <comment ref="AC2" authorId="0" shapeId="0" xr:uid="{00000000-0006-0000-0500-00001B000000}">
      <text>
        <r>
          <rPr>
            <b/>
            <sz val="9"/>
            <color indexed="81"/>
            <rFont val="Tahoma"/>
            <family val="2"/>
          </rPr>
          <t>Chaix, Florian:</t>
        </r>
        <r>
          <rPr>
            <sz val="9"/>
            <color indexed="81"/>
            <rFont val="Tahoma"/>
            <family val="2"/>
          </rPr>
          <t xml:space="preserve">
Formule dans cette colonne / NE PAS TOUCHER
=SIERREUR(INDEX(Chemin_accès!$B$11:$C$22;EQUIV([@Type];Chemin_accès!$C$11:$C$22;0);1);Chemin_accès!$B$11)</t>
        </r>
      </text>
    </comment>
    <comment ref="AD2" authorId="0" shapeId="0" xr:uid="{00000000-0006-0000-0500-00001C000000}">
      <text>
        <r>
          <rPr>
            <b/>
            <sz val="9"/>
            <color indexed="81"/>
            <rFont val="Tahoma"/>
            <family val="2"/>
          </rPr>
          <t>Chaix, Florian:</t>
        </r>
        <r>
          <rPr>
            <sz val="9"/>
            <color indexed="81"/>
            <rFont val="Tahoma"/>
            <family val="2"/>
          </rPr>
          <t xml:space="preserve">
Formule dans cette colonne / NE PAS TOUCHER
=Chemin_accès!$B$8&amp;[@[Localisation / Classement]]&amp;"\"&amp;[@[Poste technique]]&amp;"_"&amp;[@[Poste entretien]]&amp;".xlsm"</t>
        </r>
      </text>
    </comment>
  </commentList>
</comments>
</file>

<file path=xl/sharedStrings.xml><?xml version="1.0" encoding="utf-8"?>
<sst xmlns="http://schemas.openxmlformats.org/spreadsheetml/2006/main" count="543" uniqueCount="251">
  <si>
    <t>6M</t>
  </si>
  <si>
    <t>TOUR</t>
  </si>
  <si>
    <t>GR</t>
  </si>
  <si>
    <t>O</t>
  </si>
  <si>
    <t>N</t>
  </si>
  <si>
    <t>LUN</t>
  </si>
  <si>
    <t>JEU</t>
  </si>
  <si>
    <t>MER</t>
  </si>
  <si>
    <t>MAR</t>
  </si>
  <si>
    <t>PROD</t>
  </si>
  <si>
    <t>Nombre total PE recensés</t>
  </si>
  <si>
    <t>Parité semaine</t>
  </si>
  <si>
    <t>Jour</t>
  </si>
  <si>
    <t>Décal.</t>
  </si>
  <si>
    <t>CARTOGRAPHIE DES PE</t>
  </si>
  <si>
    <t>Validation</t>
  </si>
  <si>
    <t>Commentaires</t>
  </si>
  <si>
    <t>vert</t>
  </si>
  <si>
    <t>aiguille</t>
  </si>
  <si>
    <t>rien</t>
  </si>
  <si>
    <t>jaune</t>
  </si>
  <si>
    <t>larg</t>
  </si>
  <si>
    <t>val</t>
  </si>
  <si>
    <t>rouge</t>
  </si>
  <si>
    <t>invi</t>
  </si>
  <si>
    <t>Lien document</t>
  </si>
  <si>
    <t>Charge</t>
  </si>
  <si>
    <t>Nombre intervenants</t>
  </si>
  <si>
    <t>3M</t>
  </si>
  <si>
    <t>Niveau SAP</t>
  </si>
  <si>
    <t>Poste entretien</t>
  </si>
  <si>
    <t>Frequence</t>
  </si>
  <si>
    <t>Type</t>
  </si>
  <si>
    <t>Désignation</t>
  </si>
  <si>
    <t>Criticité</t>
  </si>
  <si>
    <t>1S</t>
  </si>
  <si>
    <t>1A</t>
  </si>
  <si>
    <t>2S</t>
  </si>
  <si>
    <t>1M</t>
  </si>
  <si>
    <t>type</t>
  </si>
  <si>
    <t>freq</t>
  </si>
  <si>
    <t>2M</t>
  </si>
  <si>
    <t>4M</t>
  </si>
  <si>
    <t>2A</t>
  </si>
  <si>
    <t>criticité</t>
  </si>
  <si>
    <t>validation</t>
  </si>
  <si>
    <t>parité</t>
  </si>
  <si>
    <t>Paire</t>
  </si>
  <si>
    <t>Impaire</t>
  </si>
  <si>
    <t>jour</t>
  </si>
  <si>
    <t>VEN</t>
  </si>
  <si>
    <t>SAM</t>
  </si>
  <si>
    <t>DIM</t>
  </si>
  <si>
    <t>3A</t>
  </si>
  <si>
    <t>10A</t>
  </si>
  <si>
    <t>5A</t>
  </si>
  <si>
    <t>décal.</t>
  </si>
  <si>
    <t>SUPPRIME</t>
  </si>
  <si>
    <t>MISE A JOUR</t>
  </si>
  <si>
    <t>Nombre PE @ Carto valid</t>
  </si>
  <si>
    <t>Nombre total d'heures</t>
  </si>
  <si>
    <t>REVISION</t>
  </si>
  <si>
    <t>Nb jours depuis la dernière rév.</t>
  </si>
  <si>
    <t>Description</t>
  </si>
  <si>
    <t>Date rév.</t>
  </si>
  <si>
    <t>CTRL MEC</t>
  </si>
  <si>
    <t>CTRL ELEC</t>
  </si>
  <si>
    <t>REGL MEC</t>
  </si>
  <si>
    <t>REGL ELEC</t>
  </si>
  <si>
    <t>CHANG MEC</t>
  </si>
  <si>
    <t>gType</t>
  </si>
  <si>
    <t>procedureMVA</t>
  </si>
  <si>
    <t>Procédure SAP</t>
  </si>
  <si>
    <t>Gamme</t>
  </si>
  <si>
    <t>Lien</t>
  </si>
  <si>
    <t>Date de rév</t>
  </si>
  <si>
    <t>Auteur</t>
  </si>
  <si>
    <t>M. Valzolgher</t>
  </si>
  <si>
    <t>MOZ</t>
  </si>
  <si>
    <t>Création</t>
  </si>
  <si>
    <t>Ajout lien vers dossier de gammes usine</t>
  </si>
  <si>
    <t>Date de validation</t>
  </si>
  <si>
    <t>Nombre "MIS A JOUR"</t>
  </si>
  <si>
    <t>H</t>
  </si>
  <si>
    <t>3S</t>
  </si>
  <si>
    <t>4S</t>
  </si>
  <si>
    <t>10S</t>
  </si>
  <si>
    <t>12S</t>
  </si>
  <si>
    <t>20S</t>
  </si>
  <si>
    <t>26S</t>
  </si>
  <si>
    <t>30S</t>
  </si>
  <si>
    <t>52S</t>
  </si>
  <si>
    <t>104S</t>
  </si>
  <si>
    <t>Poste Responsable</t>
  </si>
  <si>
    <t>Plan Entretien</t>
  </si>
  <si>
    <t>FCX</t>
  </si>
  <si>
    <t>Test de données</t>
  </si>
  <si>
    <t>DMS_SAP</t>
  </si>
  <si>
    <t>Statut doc</t>
  </si>
  <si>
    <t>Localisation / Classement</t>
  </si>
  <si>
    <t>Lien Fichier de gamme Source</t>
  </si>
  <si>
    <t>\\stjn.local\trimet\Donnees_Projets\Dms Sap\Maintenance\PlanEntretien\</t>
  </si>
  <si>
    <t>Fichier des gammes modèles pour création du document</t>
  </si>
  <si>
    <t>Modèle gamme</t>
  </si>
  <si>
    <t>Chemin fichier source</t>
  </si>
  <si>
    <t>Gamme en DMS</t>
  </si>
  <si>
    <t>Lien Fichier DMS SAP en PDF</t>
  </si>
  <si>
    <t>Passage en fichier xlsm pour insertion des macro
Modif des tableau de données pour 7.MFIE
Insertion des colonnes supp nécessaires
Modification du modèle de la gamme initial
Extraction des modèles de gammes dans dossier : S:\Commun\planPreventifUsine\Modèle Gamme
Création du bouton avec selection des lignes à créer et modifier
Ajout de l'export en PDF dans le dossier DMS SAP</t>
  </si>
  <si>
    <t>Code traitement (CODET)</t>
  </si>
  <si>
    <t>N° du document (DOKNR)</t>
  </si>
  <si>
    <t>Type du document (DOKAR)</t>
  </si>
  <si>
    <t>Document partiel (DOKTL)</t>
  </si>
  <si>
    <t>Version (DOKVR)</t>
  </si>
  <si>
    <t>Statut Document (STABK)</t>
  </si>
  <si>
    <t>Description (DKTXT)</t>
  </si>
  <si>
    <t>Gestionnaire (DWNAM)</t>
  </si>
  <si>
    <t>Groupe autorisation
(AUTHORITYGROUP)</t>
  </si>
  <si>
    <t>Document DMS supérieur (PRENR)</t>
  </si>
  <si>
    <t>Type document supérieur (PREAR)</t>
  </si>
  <si>
    <t>Document partiel supérieur (PRETL)</t>
  </si>
  <si>
    <t>Version document supérieur (PREVR)</t>
  </si>
  <si>
    <t>Code Application (DAPPL)</t>
  </si>
  <si>
    <t>Original Document (FILEP)</t>
  </si>
  <si>
    <t>Liaison d’objet code article (MATNR)</t>
  </si>
  <si>
    <t>Liaison d’objet Poste techniques (TPLNR)</t>
  </si>
  <si>
    <t>Découpe du fichier par poste responsable</t>
  </si>
  <si>
    <t>Type de préventif</t>
  </si>
  <si>
    <t>Localisation</t>
  </si>
  <si>
    <t>Chemin d'accès des dosssiers DMS SAP Globale</t>
  </si>
  <si>
    <t>Chemin d'accès des fichiers sources (*.xlsm) des gammes d'entretien</t>
  </si>
  <si>
    <t>Chemin d'accès du fichier PeTool (Ce fichier)</t>
  </si>
  <si>
    <t>voir modification pour changement de destination des dossier</t>
  </si>
  <si>
    <t>Modif des chemins d'accès et des liens vers les fichiers de gammes</t>
  </si>
  <si>
    <t>Groupe de Gamme</t>
  </si>
  <si>
    <t>Compteur de Gamme</t>
  </si>
  <si>
    <t>Version</t>
  </si>
  <si>
    <t>500H</t>
  </si>
  <si>
    <t>1000H</t>
  </si>
  <si>
    <t>Colonne1</t>
  </si>
  <si>
    <t>1.5</t>
  </si>
  <si>
    <t>PREV MECA VEHICULE D'ASTREINTE</t>
  </si>
  <si>
    <t>NON</t>
  </si>
  <si>
    <t>Tuto création de gamme</t>
  </si>
  <si>
    <t>Q:\Maintenance\Formation méthodes de maintenance\SAP Maintenance 2022\procédure création de gammes.docx</t>
  </si>
  <si>
    <t>Tutot stratégie de planification</t>
  </si>
  <si>
    <t>Q:\Maintenance\Formation méthodes de maintenance\SAP Maintenance 2022\procédure gestion des stratégies de planification .docx</t>
  </si>
  <si>
    <t>S:\Commun\BT Maint CARBONE SCELLEMENT\310 - Tutos\Formation outils PETool.pptx</t>
  </si>
  <si>
    <t>\\stjn.local\trimet\Btechnique\Commun\Atelier Central mécanique\Plan entretien\PeTool - 7.MENG.xlsm</t>
  </si>
  <si>
    <t>TRANSPORTEUR DE METAL</t>
  </si>
  <si>
    <t>Poste technique ou N° d'équipement</t>
  </si>
  <si>
    <t>VIDANGE</t>
  </si>
  <si>
    <t>OUI</t>
  </si>
  <si>
    <t>GLAMA 1 TRANSPORT METAL</t>
  </si>
  <si>
    <t>\\stjn.local\trimet\Btechnique\Commun\Atelier Central mécanique\Plan entretien\Modèles préventif\GammeDMS_7.MENG.xlsm</t>
  </si>
  <si>
    <t>C</t>
  </si>
  <si>
    <t>\\stjn.local\trimet\Btechnique\Commun\Atelier Central mécanique\Plan entretien\GammeEntretien\</t>
  </si>
  <si>
    <t>250H</t>
  </si>
  <si>
    <t>COMETTO 1 TRANSPORT METAL</t>
  </si>
  <si>
    <t>T200-X010</t>
  </si>
  <si>
    <t>COMETTO 2 TRANSPORT METAL</t>
  </si>
  <si>
    <t>COMETTO 3 TRANSPORT METAL</t>
  </si>
  <si>
    <t>T200-X030</t>
  </si>
  <si>
    <t>T200-X130</t>
  </si>
  <si>
    <t xml:space="preserve">TRANSPALETTE ANODE </t>
  </si>
  <si>
    <t>T200-X056</t>
  </si>
  <si>
    <t>TRANSPALETTE ANODE TECHMO 1</t>
  </si>
  <si>
    <t>TRANSPALETTE ANODE TECHMO 2</t>
  </si>
  <si>
    <t>TRANSPALETTE ANODE TECHMO 3</t>
  </si>
  <si>
    <t>P/250H 1MMx4 GLAMA 1 ENTRETIEN + GRAISSAGE</t>
  </si>
  <si>
    <t>P/500H 1MMx4 GLAMA 1 ENTRETIEN HYDRAU + GRAISSAGE</t>
  </si>
  <si>
    <t>P/1000H 1MMx8 GLAMA 1 ENTRETIEN HYDRAU + GRAISSAGE</t>
  </si>
  <si>
    <t>P/250H 1MMx4 COMETTO 1 ENTRETIEN + GRAISSAGE</t>
  </si>
  <si>
    <t>P/500H 1MMx4 COMETTO 1 ENTRETIEN HYDRAU + GRAISSAGE</t>
  </si>
  <si>
    <t>P/1000H 1MMx8 COMETTO 1 ENTRETIEN HYDRAU + GRAISSAGE</t>
  </si>
  <si>
    <t>P/250H 1MMx4 COMETTO 2 ENTRETIEN + GRAISSAGE</t>
  </si>
  <si>
    <t>P/500H 1MMx4 COMETTO 2 ENTRETIEN HYDRAU + GRAISSAGE</t>
  </si>
  <si>
    <t>P/1000H 1MMx8 COMETTO 2 ENTRETIEN HYDRAU + GRAISSAGE</t>
  </si>
  <si>
    <t>P/250H 1MMx4 COMETTO 3 ENTRETIEN + GRAISSAGE</t>
  </si>
  <si>
    <t>P/500H 1MMx4 COMETTO 3 ENTRETIEN HYDRAU + GRAISSAGE</t>
  </si>
  <si>
    <t>P/1000H 1MMx8 COMETTO 3 ENTRETIEN HYDRAU + GRAISSAGE</t>
  </si>
  <si>
    <t>P/250H 1MMx4 TECHMO 1 ENTRETIEN + GRAISSAGE</t>
  </si>
  <si>
    <t>P/500H 1MMx4 TECHMO 1 ENTRETIEN HYDRAU + GRAISSAGE</t>
  </si>
  <si>
    <t>P/1000H 1MMx8 TECHMO 1 ENTRETIEN HYDRAU + GRAISSAGE</t>
  </si>
  <si>
    <t>P/250H 1MMx4 TECHMO 2 ENTRETIEN + GRAISSAGE</t>
  </si>
  <si>
    <t>P/500H 1MMx4 TECHMO 2 ENTRETIEN HYDRAU + GRAISSAGE</t>
  </si>
  <si>
    <t>P/1000H 1MMx8 TECHMO 3 ENTRETIEN HYDRAU + GRAISSAGE</t>
  </si>
  <si>
    <t>P/1000H 1MMx8 TECHMO 2 ENTRETIEN HYDRAU + GRAISSAGE</t>
  </si>
  <si>
    <t>P/250H 1MMx4 TECHMO 3 ENTRETIEN + GRAISSAGE</t>
  </si>
  <si>
    <t>P/500H 1MMx4 TECHMO 3 ENTRETIEN HYDRAU + GRAISSAGE</t>
  </si>
  <si>
    <t>TRACTEUR D60</t>
  </si>
  <si>
    <t>TRACTEUR D61</t>
  </si>
  <si>
    <t>TRACTEUR TECHMO D60</t>
  </si>
  <si>
    <t>TRACTEUR TECHMO D61</t>
  </si>
  <si>
    <t>P/500H 1MMx4 TECHMO D60 ENTRETIEN HYDRAU + GRAISSAGE</t>
  </si>
  <si>
    <t>P/250H 1MMx4 TECHMO D60 ENTRETIEN + GRAISSAGE</t>
  </si>
  <si>
    <t>P/1000H 1MMx8 TECHMO D60 ENTRETIEN HYDRAU + GRAISSAGE</t>
  </si>
  <si>
    <t>P/250H 1MMx4 TECHMO D61 ENTRETIEN + GRAISSAGE</t>
  </si>
  <si>
    <t>P/500H 1MMx4 TECHMO D61 ENTRETIEN HYDRAU + GRAISSAGE</t>
  </si>
  <si>
    <t>P/1000H 1MMx8 TECHMO D61 ENTRETIEN HYDRAU + GRAISSAGE</t>
  </si>
  <si>
    <t>BALAYEUSE DULEVO</t>
  </si>
  <si>
    <t>P/250H 1MMx4 HENCON ENTRETIEN + GRAISSAGE</t>
  </si>
  <si>
    <t>P/500H 1MMx4 HENCON ENTRETIEN HYDRAU + GRAISSAGE</t>
  </si>
  <si>
    <t>P/1000H 1MMx8 HENCON ENTRETIEN HYDRAU + GRAISSAGE</t>
  </si>
  <si>
    <t>T200-X210</t>
  </si>
  <si>
    <t>P/250H 1MMx4 BALAYEUSE DULEVO ENTRETIEN + GRAISSAGE</t>
  </si>
  <si>
    <t>MECFOR 1</t>
  </si>
  <si>
    <t>MECFOR 2</t>
  </si>
  <si>
    <t>P/250H 1MMx4 MECFOR 1 ENTRETIEN + GRAISSAGE</t>
  </si>
  <si>
    <t>P/500H 1MMx4 MECFOR 1 ENTRETIEN HYDRAU + GRAISSAGE</t>
  </si>
  <si>
    <t>P/1000H 1MMx8 MECFOR 1 ENTRETIEN HYDRAU + GRAISSAGE</t>
  </si>
  <si>
    <t>P/250H 1MMx4 MECFOR 2 ENTRETIEN + GRAISSAGE</t>
  </si>
  <si>
    <t>P/500H 1MMx4 MECFOR 2 ENTRETIEN HYDRAU + GRAISSAGE</t>
  </si>
  <si>
    <t>P/1000H 1MMx8 MECFOR 2 ENTRETIEN HYDRAU + GRAISSAGE</t>
  </si>
  <si>
    <t>T200-X010_35672</t>
  </si>
  <si>
    <t>MECFOR 3</t>
  </si>
  <si>
    <t>MECFOR 4</t>
  </si>
  <si>
    <t>RFI 1</t>
  </si>
  <si>
    <t>HENCON BAIN</t>
  </si>
  <si>
    <t>HENCON ASPIRATRICE</t>
  </si>
  <si>
    <t>T200-X260</t>
  </si>
  <si>
    <t>VEHICULE ASTREINTE MECA</t>
  </si>
  <si>
    <t>VEHICULE ASTREINTE ELEC</t>
  </si>
  <si>
    <t>VEHICULE D'ASTREINTE MECA</t>
  </si>
  <si>
    <t>VEHICULE D'ASTREINTE ELEC ADDAX</t>
  </si>
  <si>
    <t>PELLE T33</t>
  </si>
  <si>
    <t>PELLE T34</t>
  </si>
  <si>
    <t>TRACTEUR D62</t>
  </si>
  <si>
    <t>LIGIER ELECTRIQUE</t>
  </si>
  <si>
    <t>CHARIOT HELY</t>
  </si>
  <si>
    <t>CHARGEUR LIEBHERR</t>
  </si>
  <si>
    <t>CHARGEUR CAT</t>
  </si>
  <si>
    <t>CHARGEUR TELEGUIDER</t>
  </si>
  <si>
    <t>KALMAR THERMIQUE</t>
  </si>
  <si>
    <t>VOITURES</t>
  </si>
  <si>
    <t>CAMION GRUE</t>
  </si>
  <si>
    <t>CHARIOT TOYOTA MECA</t>
  </si>
  <si>
    <t>CHARIOT TOYOTA ELEC</t>
  </si>
  <si>
    <t>NACELLE</t>
  </si>
  <si>
    <t>GLAMA1</t>
  </si>
  <si>
    <t>GLAMA2</t>
  </si>
  <si>
    <t>GLAMA3</t>
  </si>
  <si>
    <t>P/250H 1MMx4 TRACTEUR D62 ENTRETIEN + GRAISSAGE</t>
  </si>
  <si>
    <t>P/250H 1MMx4 PELLE T33 ENTRETIEN + GRAISSAGE</t>
  </si>
  <si>
    <t>P/250H 1MMx4 PELLE T34 ENTRETIEN + GRAISSAGE</t>
  </si>
  <si>
    <t>T330-O</t>
  </si>
  <si>
    <t>P/250H 1MMx4 MECFOR 3 ENTRETIEN + GRAISSAGE</t>
  </si>
  <si>
    <t>P/1000H 1MMx8 MECFOR 3 ENTRETIEN HYDRAU + GRAISSAGE</t>
  </si>
  <si>
    <t>P/250H 1MMx4 MECFOR 4 ENTRETIEN + GRAISSAGE</t>
  </si>
  <si>
    <t>P/500H 1MMx4 MECFOR 4 ENTRETIEN HYDRAU + GRAISSAGE</t>
  </si>
  <si>
    <t>P/1000H 1MMx8 MECFOR 4 ENTRETIEN HYDRAU + GRAISSAGE</t>
  </si>
  <si>
    <t>P/500H 1MMx4 MECFOR 3 ENTRETIEN HYDRAU + GRAISSAGE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</si>
</sst>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1"/>
      <color rgb="FFFF0000"/>
      <name val="Calibri"/>
      <family val="2"/>
      <scheme val="minor"/>
    </font>
    <font>
      <sz val="11"/>
      <color theme="0"/>
      <name val="Calibri"/>
      <family val="2"/>
      <scheme val="minor"/>
    </font>
    <font>
      <b/>
      <sz val="9"/>
      <color indexed="81"/>
      <name val="Tahoma"/>
      <family val="2"/>
    </font>
    <font>
      <sz val="9"/>
      <color indexed="81"/>
      <name val="Tahoma"/>
      <family val="2"/>
    </font>
    <font>
      <b/>
      <sz val="10"/>
      <color theme="1"/>
      <name val="Arial"/>
      <family val="2"/>
    </font>
    <font>
      <b/>
      <sz val="11"/>
      <color rgb="FFFF0000"/>
      <name val="Calibri"/>
      <family val="2"/>
      <scheme val="minor"/>
    </font>
    <font>
      <sz val="11"/>
      <color theme="1"/>
      <name val="Calibri"/>
      <family val="2"/>
      <scheme val="minor"/>
    </font>
    <font>
      <sz val="10"/>
      <name val="Arial"/>
      <family val="2"/>
    </font>
    <font>
      <u/>
      <sz val="11"/>
      <name val="Calibri"/>
      <family val="2"/>
      <scheme val="minor"/>
    </font>
    <font>
      <strike/>
      <sz val="11"/>
      <color rgb="FFFF0000"/>
      <name val="Calibri"/>
      <family val="2"/>
      <scheme val="minor"/>
    </font>
    <font>
      <sz val="11"/>
      <color rgb="FF006100"/>
      <name val="Calibri"/>
      <family val="2"/>
      <scheme val="minor"/>
    </font>
    <font>
      <b/>
      <sz val="11"/>
      <name val="Calibri"/>
      <family val="2"/>
      <scheme val="minor"/>
    </font>
    <font>
      <sz val="11"/>
      <color rgb="FF000000"/>
      <name val="Calibri"/>
      <family val="2"/>
    </font>
    <font>
      <b/>
      <u/>
      <sz val="11"/>
      <color theme="1"/>
      <name val="Calibri"/>
      <family val="2"/>
      <scheme val="minor"/>
    </font>
    <font>
      <sz val="11"/>
      <color rgb="FFFF00FF"/>
      <name val="Calibri"/>
      <family val="2"/>
      <scheme val="minor"/>
    </font>
    <font>
      <sz val="11"/>
      <color rgb="FFE61EE6"/>
      <name val="Calibri"/>
      <family val="2"/>
      <scheme val="minor"/>
    </font>
  </fonts>
  <fills count="8">
    <fill>
      <patternFill patternType="none"/>
    </fill>
    <fill>
      <patternFill patternType="gray125"/>
    </fill>
    <fill>
      <patternFill patternType="solid">
        <fgColor rgb="FF00FF00"/>
        <bgColor indexed="64"/>
      </patternFill>
    </fill>
    <fill>
      <patternFill patternType="solid">
        <fgColor theme="2" tint="-0.249977111117893"/>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rgb="FFC6EFCE"/>
      </patternFill>
    </fill>
  </fills>
  <borders count="19">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0" fontId="1" fillId="0" borderId="0" applyNumberFormat="0" applyFill="0" applyBorder="0" applyAlignment="0" applyProtection="0"/>
    <xf numFmtId="0" fontId="11" fillId="0" borderId="0"/>
    <xf numFmtId="0" fontId="10" fillId="0" borderId="0"/>
    <xf numFmtId="0" fontId="14" fillId="7" borderId="0" applyNumberFormat="0" applyBorder="0" applyAlignment="0" applyProtection="0"/>
  </cellStyleXfs>
  <cellXfs count="99">
    <xf numFmtId="0" fontId="0" fillId="0" borderId="0" xfId="0"/>
    <xf numFmtId="0" fontId="0" fillId="0" borderId="2" xfId="0" applyBorder="1"/>
    <xf numFmtId="0" fontId="0" fillId="0" borderId="3" xfId="0" applyBorder="1"/>
    <xf numFmtId="0" fontId="0" fillId="0" borderId="4" xfId="0" applyBorder="1"/>
    <xf numFmtId="0" fontId="0" fillId="0" borderId="5" xfId="0" applyBorder="1"/>
    <xf numFmtId="0" fontId="0" fillId="0" borderId="12" xfId="0" applyBorder="1"/>
    <xf numFmtId="0" fontId="0" fillId="0" borderId="13" xfId="0" applyBorder="1"/>
    <xf numFmtId="0" fontId="0" fillId="0" borderId="14" xfId="0" applyBorder="1"/>
    <xf numFmtId="14" fontId="0" fillId="0" borderId="2" xfId="0" applyNumberFormat="1" applyBorder="1"/>
    <xf numFmtId="0" fontId="0" fillId="0" borderId="1" xfId="0" applyBorder="1"/>
    <xf numFmtId="0" fontId="1" fillId="0" borderId="1" xfId="1" applyBorder="1"/>
    <xf numFmtId="14" fontId="0" fillId="0" borderId="1" xfId="0" applyNumberFormat="1" applyBorder="1"/>
    <xf numFmtId="0" fontId="0" fillId="0" borderId="1" xfId="0" applyBorder="1" applyAlignment="1">
      <alignment horizontal="center" vertical="center"/>
    </xf>
    <xf numFmtId="0" fontId="0" fillId="0" borderId="6" xfId="0" applyBorder="1" applyAlignment="1">
      <alignment horizontal="left"/>
    </xf>
    <xf numFmtId="0" fontId="0" fillId="0" borderId="1" xfId="0" applyBorder="1" applyAlignment="1">
      <alignment horizontal="left"/>
    </xf>
    <xf numFmtId="0" fontId="0" fillId="0" borderId="15" xfId="0" applyBorder="1" applyAlignment="1">
      <alignment horizontal="center" vertical="center"/>
    </xf>
    <xf numFmtId="0" fontId="0" fillId="0" borderId="0" xfId="0" applyAlignment="1">
      <alignment horizontal="left"/>
    </xf>
    <xf numFmtId="0" fontId="0" fillId="0" borderId="7" xfId="0" applyBorder="1"/>
    <xf numFmtId="0" fontId="0" fillId="0" borderId="8" xfId="0" applyBorder="1"/>
    <xf numFmtId="0" fontId="3" fillId="0" borderId="0" xfId="0" applyFont="1"/>
    <xf numFmtId="0" fontId="5" fillId="0" borderId="0" xfId="0" applyFont="1"/>
    <xf numFmtId="17" fontId="5" fillId="0" borderId="0" xfId="0" applyNumberFormat="1" applyFont="1"/>
    <xf numFmtId="0" fontId="0" fillId="0" borderId="1" xfId="0" applyBorder="1" applyAlignment="1">
      <alignment vertical="top"/>
    </xf>
    <xf numFmtId="0" fontId="1" fillId="0" borderId="1" xfId="1" applyBorder="1" applyAlignment="1">
      <alignment vertical="top"/>
    </xf>
    <xf numFmtId="14" fontId="0" fillId="0" borderId="1" xfId="0" applyNumberFormat="1" applyBorder="1" applyAlignment="1">
      <alignment vertical="top"/>
    </xf>
    <xf numFmtId="0" fontId="0" fillId="0" borderId="1" xfId="0" applyBorder="1" applyAlignment="1">
      <alignment vertical="top" wrapText="1"/>
    </xf>
    <xf numFmtId="0" fontId="2" fillId="0" borderId="0" xfId="0" applyFont="1"/>
    <xf numFmtId="49" fontId="8" fillId="0" borderId="18" xfId="0" applyNumberFormat="1" applyFont="1" applyBorder="1" applyAlignment="1">
      <alignment horizontal="center" vertical="center" wrapText="1"/>
    </xf>
    <xf numFmtId="49" fontId="8" fillId="0" borderId="8" xfId="0" applyNumberFormat="1" applyFont="1" applyBorder="1" applyAlignment="1">
      <alignment horizontal="center" vertical="center" wrapText="1"/>
    </xf>
    <xf numFmtId="0" fontId="9" fillId="4" borderId="0" xfId="0" applyFont="1" applyFill="1"/>
    <xf numFmtId="0" fontId="2" fillId="6" borderId="1" xfId="0" applyFont="1" applyFill="1" applyBorder="1"/>
    <xf numFmtId="0" fontId="0" fillId="6" borderId="1" xfId="0" applyFill="1" applyBorder="1"/>
    <xf numFmtId="0" fontId="2" fillId="3" borderId="10" xfId="0" applyFont="1" applyFill="1" applyBorder="1" applyAlignment="1" applyProtection="1">
      <alignment vertical="center"/>
      <protection locked="0"/>
    </xf>
    <xf numFmtId="0" fontId="2" fillId="3" borderId="10" xfId="0" applyFont="1" applyFill="1" applyBorder="1" applyAlignment="1" applyProtection="1">
      <alignment horizontal="center" vertical="center"/>
      <protection locked="0"/>
    </xf>
    <xf numFmtId="0" fontId="2" fillId="3" borderId="11" xfId="0" applyFont="1" applyFill="1" applyBorder="1" applyAlignment="1" applyProtection="1">
      <alignment vertical="center"/>
      <protection locked="0"/>
    </xf>
    <xf numFmtId="0" fontId="0" fillId="0" borderId="0" xfId="0" applyAlignment="1" applyProtection="1">
      <alignment horizontal="left" vertical="center"/>
      <protection locked="0"/>
    </xf>
    <xf numFmtId="0" fontId="3" fillId="5" borderId="15" xfId="0" applyFont="1" applyFill="1" applyBorder="1" applyAlignment="1" applyProtection="1">
      <alignment horizontal="center" vertical="top" wrapText="1"/>
      <protection locked="0"/>
    </xf>
    <xf numFmtId="0" fontId="3" fillId="3" borderId="15" xfId="0" applyFont="1" applyFill="1" applyBorder="1" applyAlignment="1" applyProtection="1">
      <alignment horizontal="center" vertical="top" wrapText="1"/>
      <protection locked="0"/>
    </xf>
    <xf numFmtId="14" fontId="3" fillId="3" borderId="15" xfId="0" applyNumberFormat="1" applyFont="1" applyFill="1" applyBorder="1" applyAlignment="1" applyProtection="1">
      <alignment horizontal="center" vertical="top" wrapText="1"/>
      <protection locked="0"/>
    </xf>
    <xf numFmtId="0" fontId="3" fillId="2" borderId="15" xfId="0" applyFont="1" applyFill="1" applyBorder="1" applyAlignment="1" applyProtection="1">
      <alignment horizontal="center" vertical="top" wrapText="1"/>
      <protection locked="0"/>
    </xf>
    <xf numFmtId="0" fontId="5" fillId="0" borderId="15" xfId="0" applyFont="1" applyBorder="1" applyAlignment="1" applyProtection="1">
      <alignment horizontal="center" vertical="top" wrapText="1"/>
      <protection locked="0"/>
    </xf>
    <xf numFmtId="0" fontId="5" fillId="0" borderId="16" xfId="0" applyFont="1" applyBorder="1" applyAlignment="1" applyProtection="1">
      <alignment horizontal="center" vertical="top" wrapText="1"/>
      <protection locked="0"/>
    </xf>
    <xf numFmtId="0" fontId="3" fillId="5" borderId="17" xfId="0" applyFont="1" applyFill="1" applyBorder="1" applyAlignment="1" applyProtection="1">
      <alignment horizontal="center" vertical="top" wrapText="1"/>
      <protection locked="0"/>
    </xf>
    <xf numFmtId="0" fontId="0" fillId="0" borderId="0" xfId="0" applyAlignment="1" applyProtection="1">
      <alignment horizontal="left" vertical="top" wrapText="1"/>
      <protection locked="0"/>
    </xf>
    <xf numFmtId="0" fontId="3" fillId="0" borderId="1" xfId="0" applyFont="1" applyBorder="1" applyAlignment="1">
      <alignment horizontal="left" vertical="center"/>
    </xf>
    <xf numFmtId="0" fontId="3" fillId="0" borderId="1" xfId="0" applyFont="1" applyBorder="1" applyAlignment="1">
      <alignment horizontal="center"/>
    </xf>
    <xf numFmtId="0" fontId="3" fillId="0" borderId="1" xfId="0" applyFont="1" applyBorder="1" applyAlignment="1" applyProtection="1">
      <alignment horizontal="center" vertical="center"/>
      <protection locked="0"/>
    </xf>
    <xf numFmtId="0" fontId="3" fillId="0" borderId="1" xfId="0" applyFont="1" applyBorder="1" applyAlignment="1" applyProtection="1">
      <alignment horizontal="left" vertical="center"/>
      <protection locked="0"/>
    </xf>
    <xf numFmtId="14" fontId="3" fillId="0" borderId="1" xfId="0" applyNumberFormat="1" applyFont="1" applyBorder="1" applyAlignment="1" applyProtection="1">
      <alignment horizontal="center" vertical="center"/>
      <protection locked="0"/>
    </xf>
    <xf numFmtId="0" fontId="12" fillId="0" borderId="1" xfId="1" applyFont="1" applyFill="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1" xfId="0" applyFont="1" applyBorder="1" applyAlignment="1">
      <alignment horizontal="center" vertical="center"/>
    </xf>
    <xf numFmtId="0" fontId="4" fillId="0" borderId="1" xfId="0" applyFont="1" applyBorder="1" applyAlignment="1">
      <alignment horizontal="center"/>
    </xf>
    <xf numFmtId="0" fontId="12" fillId="0" borderId="1" xfId="1" applyFont="1" applyFill="1" applyBorder="1" applyAlignment="1" applyProtection="1">
      <alignment horizontal="center" vertical="center"/>
      <protection locked="0"/>
    </xf>
    <xf numFmtId="0" fontId="12" fillId="0" borderId="1" xfId="1" applyNumberFormat="1" applyFont="1" applyFill="1" applyBorder="1" applyAlignment="1" applyProtection="1">
      <alignment horizontal="left" vertical="center"/>
      <protection locked="0"/>
    </xf>
    <xf numFmtId="0" fontId="13" fillId="0" borderId="1" xfId="0" applyFont="1" applyBorder="1" applyAlignment="1" applyProtection="1">
      <alignment horizontal="left" vertical="center"/>
      <protection locked="0"/>
    </xf>
    <xf numFmtId="0" fontId="13" fillId="0" borderId="1" xfId="0" applyFont="1" applyBorder="1" applyAlignment="1">
      <alignment horizontal="center"/>
    </xf>
    <xf numFmtId="0" fontId="13" fillId="0" borderId="1" xfId="0" applyFont="1" applyBorder="1" applyAlignment="1" applyProtection="1">
      <alignment horizontal="center" vertical="center"/>
      <protection locked="0"/>
    </xf>
    <xf numFmtId="0" fontId="0" fillId="0" borderId="0" xfId="0" applyAlignment="1">
      <alignment horizontal="left"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Alignment="1">
      <alignment horizontal="center"/>
    </xf>
    <xf numFmtId="0" fontId="3" fillId="0" borderId="11" xfId="0" applyFont="1" applyBorder="1" applyAlignment="1">
      <alignment horizontal="center"/>
    </xf>
    <xf numFmtId="0" fontId="0" fillId="0" borderId="1" xfId="0" applyBorder="1" applyAlignment="1">
      <alignment horizontal="center"/>
    </xf>
    <xf numFmtId="14" fontId="0" fillId="0" borderId="0" xfId="0" applyNumberFormat="1"/>
    <xf numFmtId="1" fontId="3" fillId="0" borderId="1" xfId="0" applyNumberFormat="1" applyFont="1" applyBorder="1" applyAlignment="1">
      <alignment horizontal="center" vertical="center"/>
    </xf>
    <xf numFmtId="0" fontId="3" fillId="0" borderId="0" xfId="4" applyNumberFormat="1" applyFont="1" applyFill="1" applyAlignment="1">
      <alignment horizontal="left" vertical="center"/>
    </xf>
    <xf numFmtId="0" fontId="15" fillId="3" borderId="10" xfId="0" applyFont="1" applyFill="1" applyBorder="1" applyAlignment="1">
      <alignment vertical="center"/>
    </xf>
    <xf numFmtId="0" fontId="1" fillId="0" borderId="1" xfId="1" applyNumberFormat="1" applyFill="1" applyBorder="1" applyAlignment="1" applyProtection="1">
      <alignment horizontal="center" vertical="center"/>
      <protection locked="0"/>
    </xf>
    <xf numFmtId="49" fontId="8" fillId="0" borderId="13" xfId="0" applyNumberFormat="1" applyFont="1" applyBorder="1" applyAlignment="1">
      <alignment horizontal="center" vertical="center" wrapText="1"/>
    </xf>
    <xf numFmtId="0" fontId="17" fillId="0" borderId="0" xfId="0" applyFont="1"/>
    <xf numFmtId="0" fontId="1" fillId="0" borderId="0" xfId="1"/>
    <xf numFmtId="0" fontId="18" fillId="3" borderId="15" xfId="0" applyFont="1" applyFill="1" applyBorder="1" applyAlignment="1">
      <alignment horizontal="center" vertical="top" wrapText="1"/>
    </xf>
    <xf numFmtId="0" fontId="18" fillId="3" borderId="15" xfId="0" applyFont="1" applyFill="1" applyBorder="1" applyAlignment="1" applyProtection="1">
      <alignment horizontal="center" vertical="top" wrapText="1"/>
      <protection locked="0"/>
    </xf>
    <xf numFmtId="14" fontId="18" fillId="3" borderId="15" xfId="0" applyNumberFormat="1" applyFont="1" applyFill="1" applyBorder="1" applyAlignment="1" applyProtection="1">
      <alignment horizontal="center" vertical="top" wrapText="1"/>
      <protection locked="0"/>
    </xf>
    <xf numFmtId="0" fontId="18" fillId="2" borderId="15" xfId="0" applyFont="1" applyFill="1" applyBorder="1" applyAlignment="1" applyProtection="1">
      <alignment horizontal="center" vertical="top" wrapText="1"/>
      <protection locked="0"/>
    </xf>
    <xf numFmtId="0" fontId="19" fillId="3" borderId="15" xfId="0" applyFont="1" applyFill="1" applyBorder="1" applyAlignment="1">
      <alignment horizontal="center" vertical="top" wrapText="1"/>
    </xf>
    <xf numFmtId="0" fontId="2" fillId="2" borderId="9"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0" borderId="9" xfId="0" applyFont="1" applyBorder="1" applyAlignment="1" applyProtection="1">
      <alignment horizontal="center" vertical="center"/>
      <protection locked="0"/>
    </xf>
    <xf numFmtId="0" fontId="2" fillId="0" borderId="11" xfId="0" applyFont="1" applyBorder="1" applyAlignment="1" applyProtection="1">
      <alignment horizontal="center" vertical="center"/>
      <protection locked="0"/>
    </xf>
    <xf numFmtId="0" fontId="0" fillId="0" borderId="1" xfId="0" applyBorder="1" applyAlignment="1">
      <alignment horizontal="left"/>
    </xf>
    <xf numFmtId="14" fontId="0" fillId="0" borderId="6" xfId="0" applyNumberFormat="1" applyBorder="1" applyAlignment="1">
      <alignment horizontal="center"/>
    </xf>
    <xf numFmtId="14" fontId="0" fillId="0" borderId="7" xfId="0" applyNumberFormat="1" applyBorder="1" applyAlignment="1">
      <alignment horizontal="center"/>
    </xf>
    <xf numFmtId="14" fontId="0" fillId="0" borderId="8" xfId="0" applyNumberFormat="1" applyBorder="1" applyAlignment="1">
      <alignment horizontal="center"/>
    </xf>
    <xf numFmtId="0" fontId="2" fillId="0" borderId="6"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4" fillId="0" borderId="9" xfId="0" applyFont="1" applyBorder="1" applyAlignment="1">
      <alignment horizontal="center"/>
    </xf>
    <xf numFmtId="0" fontId="4" fillId="0" borderId="10" xfId="0" applyFont="1" applyBorder="1" applyAlignment="1">
      <alignment horizontal="center"/>
    </xf>
    <xf numFmtId="0" fontId="4" fillId="0" borderId="11" xfId="0" applyFont="1" applyBorder="1" applyAlignment="1">
      <alignment horizontal="center"/>
    </xf>
    <xf numFmtId="0" fontId="0" fillId="0" borderId="9" xfId="0" applyBorder="1" applyAlignment="1">
      <alignment horizontal="left"/>
    </xf>
    <xf numFmtId="0" fontId="0" fillId="0" borderId="10" xfId="0" applyBorder="1" applyAlignment="1">
      <alignment horizontal="left"/>
    </xf>
    <xf numFmtId="0" fontId="0" fillId="0" borderId="11" xfId="0" applyBorder="1" applyAlignment="1">
      <alignment horizontal="left"/>
    </xf>
    <xf numFmtId="0" fontId="0" fillId="0" borderId="1"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cellXfs>
  <cellStyles count="5">
    <cellStyle name="Lien hypertexte" xfId="1" builtinId="8"/>
    <cellStyle name="Normal" xfId="0" builtinId="0"/>
    <cellStyle name="Normal 2" xfId="3" xr:uid="{00000000-0005-0000-0000-000002000000}"/>
    <cellStyle name="Normal 3" xfId="2" xr:uid="{00000000-0005-0000-0000-000003000000}"/>
    <cellStyle name="Satisfaisant" xfId="4" builtinId="26"/>
  </cellStyles>
  <dxfs count="1130">
    <dxf>
      <numFmt numFmtId="0" formatCode="General"/>
    </dxf>
    <dxf>
      <font>
        <strike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bottom style="medium">
          <color indexed="64"/>
        </bottom>
      </border>
    </dxf>
    <dxf>
      <font>
        <b/>
        <i val="0"/>
        <strike val="0"/>
        <condense val="0"/>
        <extend val="0"/>
        <outline val="0"/>
        <shadow val="0"/>
        <u val="none"/>
        <vertAlign val="baseline"/>
        <sz val="10"/>
        <color theme="1"/>
        <name val="Arial"/>
        <scheme val="none"/>
      </font>
      <numFmt numFmtId="30" formatCode="@"/>
      <alignment horizontal="center" vertical="center" textRotation="0" wrapText="1" indent="0" justifyLastLine="0" shrinkToFit="0" readingOrder="0"/>
    </dxf>
    <dxf>
      <font>
        <strike val="0"/>
        <outline val="0"/>
        <shadow val="0"/>
        <vertAlign val="baseline"/>
        <sz val="11"/>
        <color auto="1"/>
        <name val="Calibri"/>
        <scheme val="minor"/>
      </font>
      <numFmt numFmtId="0" formatCode="General"/>
      <fill>
        <patternFill patternType="none">
          <fgColor indexed="64"/>
          <bgColor auto="1"/>
        </patternFill>
      </fill>
    </dxf>
    <dxf>
      <font>
        <strike val="0"/>
        <outline val="0"/>
        <shadow val="0"/>
        <vertAlign val="baseline"/>
        <sz val="11"/>
        <color auto="1"/>
        <name val="Calibri"/>
        <scheme val="minor"/>
      </font>
      <numFmt numFmtId="0" formatCode="General"/>
      <fill>
        <patternFill patternType="none">
          <fgColor indexed="64"/>
          <bgColor auto="1"/>
        </patternFill>
      </fill>
      <border outline="0">
        <left style="thin">
          <color indexed="64"/>
        </left>
      </border>
    </dxf>
    <dxf>
      <font>
        <b val="0"/>
        <i val="0"/>
        <strike val="0"/>
        <condense val="0"/>
        <extend val="0"/>
        <outline val="0"/>
        <shadow val="0"/>
        <u val="none"/>
        <vertAlign val="baseline"/>
        <sz val="11"/>
        <color auto="1"/>
        <name val="Calibri"/>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numFmt numFmtId="19" formatCode="dd/mm/yyyy"/>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vertAlign val="baseline"/>
        <sz val="11"/>
        <color auto="1"/>
        <name val="Calibri"/>
        <scheme val="minor"/>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0000"/>
        </patternFill>
      </fill>
      <alignment horizontal="center" vertical="top" textRotation="0" wrapText="1" indent="0" justifyLastLine="0" shrinkToFit="0" readingOrder="0"/>
      <border diagonalUp="0" diagonalDown="0" outline="0">
        <left style="thin">
          <color indexed="64"/>
        </left>
        <right style="thin">
          <color indexed="64"/>
        </right>
        <top/>
        <bottom/>
      </border>
      <protection locked="0" hidden="0"/>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ont>
        <color auto="1"/>
      </font>
    </dxf>
    <dxf>
      <font>
        <strike/>
        <color rgb="FFFF0000"/>
      </font>
    </dxf>
    <dxf>
      <font>
        <color rgb="FF0070C0"/>
      </font>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ill>
        <patternFill>
          <bgColor rgb="FF00FF00"/>
        </patternFill>
      </fill>
    </dxf>
    <dxf>
      <font>
        <color auto="1"/>
      </font>
    </dxf>
    <dxf>
      <font>
        <strike/>
        <color rgb="FFFF0000"/>
      </font>
    </dxf>
    <dxf>
      <font>
        <color rgb="FF0070C0"/>
      </font>
    </dxf>
    <dxf>
      <font>
        <color auto="1"/>
      </font>
    </dxf>
    <dxf>
      <font>
        <strike/>
        <color rgb="FFFF0000"/>
      </font>
    </dxf>
    <dxf>
      <font>
        <color rgb="FF0070C0"/>
      </font>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
      <font>
        <color rgb="FF9C0006"/>
      </font>
      <fill>
        <patternFill>
          <bgColor rgb="FFFFC7CE"/>
        </patternFill>
      </fill>
    </dxf>
    <dxf>
      <font>
        <color rgb="FF9C0006"/>
      </font>
      <fill>
        <patternFill>
          <bgColor rgb="FFFFC7CE"/>
        </patternFill>
      </fill>
    </dxf>
    <dxf>
      <font>
        <color auto="1"/>
      </font>
    </dxf>
    <dxf>
      <font>
        <strike/>
        <color rgb="FFFF0000"/>
      </font>
    </dxf>
    <dxf>
      <font>
        <color rgb="FF0070C0"/>
      </font>
    </dxf>
    <dxf>
      <fill>
        <patternFill>
          <bgColor rgb="FF00B0F0"/>
        </patternFill>
      </fill>
    </dxf>
    <dxf>
      <fill>
        <patternFill>
          <bgColor rgb="FF00B050"/>
        </patternFill>
      </fill>
    </dxf>
    <dxf>
      <fill>
        <patternFill>
          <bgColor rgb="FFFF0000"/>
        </patternFill>
      </fill>
    </dxf>
    <dxf>
      <fill>
        <patternFill>
          <bgColor rgb="FFFFFF00"/>
        </patternFill>
      </fill>
    </dxf>
    <dxf>
      <fill>
        <patternFill>
          <bgColor rgb="FF7030A0"/>
        </patternFill>
      </fill>
    </dxf>
    <dxf>
      <fill>
        <patternFill>
          <bgColor rgb="FF92D050"/>
        </patternFill>
      </fill>
    </dxf>
    <dxf>
      <fill>
        <patternFill>
          <bgColor rgb="FFFFC000"/>
        </patternFill>
      </fill>
    </dxf>
    <dxf>
      <fill>
        <patternFill>
          <bgColor rgb="FFE61EE6"/>
        </patternFill>
      </fill>
    </dxf>
    <dxf>
      <fill>
        <patternFill>
          <bgColor rgb="FF00FF00"/>
        </patternFill>
      </fill>
    </dxf>
  </dxfs>
  <tableStyles count="0" defaultTableStyle="TableStyleMedium2" defaultPivotStyle="PivotStyleMedium9"/>
  <colors>
    <mruColors>
      <color rgb="FFFF00FF"/>
      <color rgb="FF00FF00"/>
      <color rgb="FFE61EE6"/>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KPI!$AV$9:$AV$11</c:f>
              <c:strCache>
                <c:ptCount val="2"/>
                <c:pt idx="1">
                  <c:v>104%</c:v>
                </c:pt>
              </c:strCache>
            </c:strRef>
          </c:cat>
          <c:val>
            <c:numRef>
              <c:f>KPI!$AT$9:$AT$11</c:f>
              <c:numCache>
                <c:formatCode>General</c:formatCode>
                <c:ptCount val="3"/>
                <c:pt idx="0">
                  <c:v>104</c:v>
                </c:pt>
                <c:pt idx="1">
                  <c:v>1</c:v>
                </c:pt>
                <c:pt idx="2">
                  <c:v>95</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KPI!$AR$9:$AR$12</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1"/>
          <c:order val="1"/>
          <c:dPt>
            <c:idx val="0"/>
            <c:bubble3D val="0"/>
            <c:spPr>
              <a:noFill/>
            </c:spPr>
            <c:extLst>
              <c:ext xmlns:c16="http://schemas.microsoft.com/office/drawing/2014/chart" uri="{C3380CC4-5D6E-409C-BE32-E72D297353CC}">
                <c16:uniqueId val="{0000000A-1C6B-40DD-89C8-163D0888B3D4}"/>
              </c:ext>
            </c:extLst>
          </c:dPt>
          <c:dPt>
            <c:idx val="1"/>
            <c:bubble3D val="0"/>
            <c:spPr>
              <a:solidFill>
                <a:schemeClr val="tx1"/>
              </a:solidFill>
            </c:spPr>
            <c:extLst>
              <c:ext xmlns:c16="http://schemas.microsoft.com/office/drawing/2014/chart" uri="{C3380CC4-5D6E-409C-BE32-E72D297353CC}">
                <c16:uniqueId val="{0000000C-1C6B-40DD-89C8-163D0888B3D4}"/>
              </c:ext>
            </c:extLst>
          </c:dPt>
          <c:dPt>
            <c:idx val="2"/>
            <c:bubble3D val="0"/>
            <c:spPr>
              <a:noFill/>
            </c:spPr>
            <c:extLst>
              <c:ext xmlns:c16="http://schemas.microsoft.com/office/drawing/2014/chart" uri="{C3380CC4-5D6E-409C-BE32-E72D297353CC}">
                <c16:uniqueId val="{0000000E-1C6B-40DD-89C8-163D0888B3D4}"/>
              </c:ext>
            </c:extLst>
          </c:dPt>
          <c:dLbls>
            <c:spPr>
              <a:noFill/>
              <a:ln>
                <a:noFill/>
              </a:ln>
              <a:effectLst/>
            </c:spPr>
            <c:dLblPos val="outEnd"/>
            <c:showLegendKey val="0"/>
            <c:showVal val="0"/>
            <c:showCatName val="1"/>
            <c:showSerName val="0"/>
            <c:showPercent val="0"/>
            <c:showBubbleSize val="0"/>
            <c:showLeaderLines val="0"/>
            <c:extLst>
              <c:ext xmlns:c15="http://schemas.microsoft.com/office/drawing/2012/chart" uri="{CE6537A1-D6FC-4f65-9D91-7224C49458BB}"/>
            </c:extLst>
          </c:dLbls>
          <c:cat>
            <c:strRef>
              <c:f>KPI!$AV$14:$AV$16</c:f>
              <c:strCache>
                <c:ptCount val="2"/>
                <c:pt idx="1">
                  <c:v>1,9%</c:v>
                </c:pt>
              </c:strCache>
            </c:strRef>
          </c:cat>
          <c:val>
            <c:numRef>
              <c:f>KPI!$AT$14:$AT$16</c:f>
              <c:numCache>
                <c:formatCode>General</c:formatCode>
                <c:ptCount val="3"/>
                <c:pt idx="0">
                  <c:v>1.9000000000000001</c:v>
                </c:pt>
                <c:pt idx="1">
                  <c:v>1</c:v>
                </c:pt>
                <c:pt idx="2">
                  <c:v>197.1</c:v>
                </c:pt>
              </c:numCache>
            </c:numRef>
          </c:val>
          <c:extLst>
            <c:ext xmlns:c16="http://schemas.microsoft.com/office/drawing/2014/chart" uri="{C3380CC4-5D6E-409C-BE32-E72D297353CC}">
              <c16:uniqueId val="{0000000F-1C6B-40DD-89C8-163D0888B3D4}"/>
            </c:ext>
          </c:extLst>
        </c:ser>
        <c:dLbls>
          <c:showLegendKey val="0"/>
          <c:showVal val="0"/>
          <c:showCatName val="0"/>
          <c:showSerName val="0"/>
          <c:showPercent val="0"/>
          <c:showBubbleSize val="0"/>
          <c:showLeaderLines val="0"/>
        </c:dLbls>
        <c:firstSliceAng val="270"/>
      </c:pieChart>
      <c:doughnutChart>
        <c:varyColors val="1"/>
        <c:ser>
          <c:idx val="0"/>
          <c:order val="0"/>
          <c:dPt>
            <c:idx val="0"/>
            <c:bubble3D val="0"/>
            <c:spPr>
              <a:solidFill>
                <a:srgbClr val="FF0000"/>
              </a:solidFill>
              <a:scene3d>
                <a:camera prst="orthographicFront"/>
                <a:lightRig rig="threePt" dir="t"/>
              </a:scene3d>
              <a:sp3d>
                <a:bevelT w="139700" prst="cross"/>
              </a:sp3d>
            </c:spPr>
            <c:extLst>
              <c:ext xmlns:c16="http://schemas.microsoft.com/office/drawing/2014/chart" uri="{C3380CC4-5D6E-409C-BE32-E72D297353CC}">
                <c16:uniqueId val="{00000001-1C6B-40DD-89C8-163D0888B3D4}"/>
              </c:ext>
            </c:extLst>
          </c:dPt>
          <c:dPt>
            <c:idx val="1"/>
            <c:bubble3D val="0"/>
            <c:spPr>
              <a:solidFill>
                <a:srgbClr val="FFFF00"/>
              </a:solidFill>
              <a:scene3d>
                <a:camera prst="orthographicFront"/>
                <a:lightRig rig="threePt" dir="t"/>
              </a:scene3d>
              <a:sp3d>
                <a:bevelT w="139700" prst="cross"/>
              </a:sp3d>
            </c:spPr>
            <c:extLst>
              <c:ext xmlns:c16="http://schemas.microsoft.com/office/drawing/2014/chart" uri="{C3380CC4-5D6E-409C-BE32-E72D297353CC}">
                <c16:uniqueId val="{00000003-1C6B-40DD-89C8-163D0888B3D4}"/>
              </c:ext>
            </c:extLst>
          </c:dPt>
          <c:dPt>
            <c:idx val="2"/>
            <c:bubble3D val="0"/>
            <c:spPr>
              <a:solidFill>
                <a:srgbClr val="92D050"/>
              </a:solidFill>
              <a:scene3d>
                <a:camera prst="orthographicFront"/>
                <a:lightRig rig="threePt" dir="t"/>
              </a:scene3d>
              <a:sp3d>
                <a:bevelT w="139700" prst="cross"/>
              </a:sp3d>
            </c:spPr>
            <c:extLst>
              <c:ext xmlns:c16="http://schemas.microsoft.com/office/drawing/2014/chart" uri="{C3380CC4-5D6E-409C-BE32-E72D297353CC}">
                <c16:uniqueId val="{00000005-1C6B-40DD-89C8-163D0888B3D4}"/>
              </c:ext>
            </c:extLst>
          </c:dPt>
          <c:dPt>
            <c:idx val="3"/>
            <c:bubble3D val="0"/>
            <c:spPr>
              <a:noFill/>
            </c:spPr>
            <c:extLst>
              <c:ext xmlns:c16="http://schemas.microsoft.com/office/drawing/2014/chart" uri="{C3380CC4-5D6E-409C-BE32-E72D297353CC}">
                <c16:uniqueId val="{00000007-1C6B-40DD-89C8-163D0888B3D4}"/>
              </c:ext>
            </c:extLst>
          </c:dPt>
          <c:val>
            <c:numRef>
              <c:f>KPI!$AR$14:$AR$17</c:f>
              <c:numCache>
                <c:formatCode>General</c:formatCode>
                <c:ptCount val="4"/>
                <c:pt idx="0">
                  <c:v>70</c:v>
                </c:pt>
                <c:pt idx="1">
                  <c:v>20</c:v>
                </c:pt>
                <c:pt idx="2">
                  <c:v>10</c:v>
                </c:pt>
                <c:pt idx="3">
                  <c:v>100</c:v>
                </c:pt>
              </c:numCache>
            </c:numRef>
          </c:val>
          <c:extLst>
            <c:ext xmlns:c16="http://schemas.microsoft.com/office/drawing/2014/chart" uri="{C3380CC4-5D6E-409C-BE32-E72D297353CC}">
              <c16:uniqueId val="{00000008-1C6B-40DD-89C8-163D0888B3D4}"/>
            </c:ext>
          </c:extLst>
        </c:ser>
        <c:dLbls>
          <c:showLegendKey val="0"/>
          <c:showVal val="0"/>
          <c:showCatName val="0"/>
          <c:showSerName val="0"/>
          <c:showPercent val="0"/>
          <c:showBubbleSize val="0"/>
          <c:showLeaderLines val="1"/>
        </c:dLbls>
        <c:firstSliceAng val="270"/>
        <c:holeSize val="50"/>
      </c:doughnutChart>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fr-FR"/>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MIS A JOUR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KPI!$AQ$19:$BE$19</c:f>
              <c:numCache>
                <c:formatCode>mmm\-yy</c:formatCode>
                <c:ptCount val="15"/>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numCache>
            </c:numRef>
          </c:cat>
          <c:val>
            <c:numRef>
              <c:f>KPI!$AQ$21:$BE$21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1BA5-4CC1-8BFB-90157AE84D62}"/>
            </c:ext>
          </c:extLst>
        </c:ser>
        <c:dLbls>
          <c:showLegendKey val="0"/>
          <c:showVal val="0"/>
          <c:showCatName val="0"/>
          <c:showSerName val="0"/>
          <c:showPercent val="0"/>
          <c:showBubbleSize val="0"/>
        </c:dLbls>
        <c:gapWidth val="219"/>
        <c:overlap val="-27"/>
        <c:axId val="1247820864"/>
        <c:axId val="1247823040"/>
      </c:barChart>
      <c:dateAx>
        <c:axId val="12478208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47823040"/>
        <c:crosses val="autoZero"/>
        <c:auto val="1"/>
        <c:lblOffset val="100"/>
        <c:baseTimeUnit val="months"/>
      </c:dateAx>
      <c:valAx>
        <c:axId val="1247823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47820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CARTOGRAPHIE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noFill/>
            </a:ln>
            <a:effectLst/>
          </c:spPr>
          <c:invertIfNegative val="0"/>
          <c:cat>
            <c:numRef>
              <c:f>KPI!$AQ$19:$BE$19</c:f>
              <c:numCache>
                <c:formatCode>mmm\-yy</c:formatCode>
                <c:ptCount val="15"/>
                <c:pt idx="0">
                  <c:v>44470</c:v>
                </c:pt>
                <c:pt idx="1">
                  <c:v>44501</c:v>
                </c:pt>
                <c:pt idx="2">
                  <c:v>44531</c:v>
                </c:pt>
                <c:pt idx="3">
                  <c:v>44562</c:v>
                </c:pt>
                <c:pt idx="4">
                  <c:v>44593</c:v>
                </c:pt>
                <c:pt idx="5">
                  <c:v>44621</c:v>
                </c:pt>
                <c:pt idx="6">
                  <c:v>44652</c:v>
                </c:pt>
                <c:pt idx="7">
                  <c:v>44682</c:v>
                </c:pt>
                <c:pt idx="8">
                  <c:v>44713</c:v>
                </c:pt>
                <c:pt idx="9">
                  <c:v>44743</c:v>
                </c:pt>
                <c:pt idx="10">
                  <c:v>44774</c:v>
                </c:pt>
                <c:pt idx="11">
                  <c:v>44805</c:v>
                </c:pt>
                <c:pt idx="12">
                  <c:v>44835</c:v>
                </c:pt>
                <c:pt idx="13">
                  <c:v>44866</c:v>
                </c:pt>
                <c:pt idx="14">
                  <c:v>44896</c:v>
                </c:pt>
              </c:numCache>
            </c:numRef>
          </c:cat>
          <c:val>
            <c:numRef>
              <c:f>KPI!$AQ$20:$BE$20</c:f>
              <c:numCache>
                <c:formatCode>General</c:formatCode>
                <c:ptCount val="15"/>
                <c:pt idx="0">
                  <c:v>0</c:v>
                </c:pt>
                <c:pt idx="1">
                  <c:v>0</c:v>
                </c:pt>
                <c:pt idx="2">
                  <c:v>0</c:v>
                </c:pt>
                <c:pt idx="3">
                  <c:v>46</c:v>
                </c:pt>
                <c:pt idx="4">
                  <c:v>0</c:v>
                </c:pt>
                <c:pt idx="5">
                  <c:v>0</c:v>
                </c:pt>
                <c:pt idx="6">
                  <c:v>0</c:v>
                </c:pt>
                <c:pt idx="7">
                  <c:v>0</c:v>
                </c:pt>
                <c:pt idx="8">
                  <c:v>0</c:v>
                </c:pt>
                <c:pt idx="9">
                  <c:v>1</c:v>
                </c:pt>
                <c:pt idx="10">
                  <c:v>0</c:v>
                </c:pt>
                <c:pt idx="11">
                  <c:v>0</c:v>
                </c:pt>
                <c:pt idx="12">
                  <c:v>0</c:v>
                </c:pt>
                <c:pt idx="13">
                  <c:v>0</c:v>
                </c:pt>
                <c:pt idx="14">
                  <c:v>0</c:v>
                </c:pt>
              </c:numCache>
            </c:numRef>
          </c:val>
          <c:extLst>
            <c:ext xmlns:c16="http://schemas.microsoft.com/office/drawing/2014/chart" uri="{C3380CC4-5D6E-409C-BE32-E72D297353CC}">
              <c16:uniqueId val="{00000000-6E91-4D67-A34B-1B3201060A3F}"/>
            </c:ext>
          </c:extLst>
        </c:ser>
        <c:dLbls>
          <c:showLegendKey val="0"/>
          <c:showVal val="0"/>
          <c:showCatName val="0"/>
          <c:showSerName val="0"/>
          <c:showPercent val="0"/>
          <c:showBubbleSize val="0"/>
        </c:dLbls>
        <c:gapWidth val="219"/>
        <c:overlap val="-27"/>
        <c:axId val="1249496880"/>
        <c:axId val="1249497424"/>
      </c:barChart>
      <c:dateAx>
        <c:axId val="1249496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49497424"/>
        <c:crosses val="autoZero"/>
        <c:auto val="1"/>
        <c:lblOffset val="100"/>
        <c:baseTimeUnit val="months"/>
      </c:dateAx>
      <c:valAx>
        <c:axId val="1249497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49496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1</xdr:row>
          <xdr:rowOff>7620</xdr:rowOff>
        </xdr:from>
        <xdr:to>
          <xdr:col>0</xdr:col>
          <xdr:colOff>289560</xdr:colOff>
          <xdr:row>1</xdr:row>
          <xdr:rowOff>182880</xdr:rowOff>
        </xdr:to>
        <xdr:sp macro="" textlink="">
          <xdr:nvSpPr>
            <xdr:cNvPr id="23553" name="Bouton1" hidden="1">
              <a:extLst>
                <a:ext uri="{63B3BB69-23CF-44E3-9099-C40C66FF867C}">
                  <a14:compatExt spid="_x0000_s23553"/>
                </a:ext>
                <a:ext uri="{FF2B5EF4-FFF2-40B4-BE49-F238E27FC236}">
                  <a16:creationId xmlns:a16="http://schemas.microsoft.com/office/drawing/2014/main" id="{00000000-0008-0000-04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xdr:row>
          <xdr:rowOff>7620</xdr:rowOff>
        </xdr:from>
        <xdr:to>
          <xdr:col>0</xdr:col>
          <xdr:colOff>289560</xdr:colOff>
          <xdr:row>7</xdr:row>
          <xdr:rowOff>182880</xdr:rowOff>
        </xdr:to>
        <xdr:sp macro="" textlink="">
          <xdr:nvSpPr>
            <xdr:cNvPr id="23554" name="Bouton1" hidden="1">
              <a:extLst>
                <a:ext uri="{63B3BB69-23CF-44E3-9099-C40C66FF867C}">
                  <a14:compatExt spid="_x0000_s23554"/>
                </a:ext>
                <a:ext uri="{FF2B5EF4-FFF2-40B4-BE49-F238E27FC236}">
                  <a16:creationId xmlns:a16="http://schemas.microsoft.com/office/drawing/2014/main" id="{00000000-0008-0000-04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7620</xdr:rowOff>
        </xdr:from>
        <xdr:to>
          <xdr:col>0</xdr:col>
          <xdr:colOff>289560</xdr:colOff>
          <xdr:row>10</xdr:row>
          <xdr:rowOff>182880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4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7620</xdr:rowOff>
        </xdr:from>
        <xdr:to>
          <xdr:col>0</xdr:col>
          <xdr:colOff>289560</xdr:colOff>
          <xdr:row>11</xdr:row>
          <xdr:rowOff>182880</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400-000004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xdr:row>
          <xdr:rowOff>7620</xdr:rowOff>
        </xdr:from>
        <xdr:to>
          <xdr:col>0</xdr:col>
          <xdr:colOff>289560</xdr:colOff>
          <xdr:row>4</xdr:row>
          <xdr:rowOff>182880</xdr:rowOff>
        </xdr:to>
        <xdr:sp macro="" textlink="">
          <xdr:nvSpPr>
            <xdr:cNvPr id="23558" name="Button 6" hidden="1">
              <a:extLst>
                <a:ext uri="{63B3BB69-23CF-44E3-9099-C40C66FF867C}">
                  <a14:compatExt spid="_x0000_s23558"/>
                </a:ext>
                <a:ext uri="{FF2B5EF4-FFF2-40B4-BE49-F238E27FC236}">
                  <a16:creationId xmlns:a16="http://schemas.microsoft.com/office/drawing/2014/main" id="{00000000-0008-0000-0400-000006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7620</xdr:rowOff>
        </xdr:from>
        <xdr:to>
          <xdr:col>0</xdr:col>
          <xdr:colOff>289560</xdr:colOff>
          <xdr:row>12</xdr:row>
          <xdr:rowOff>182880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400-000008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7620</xdr:rowOff>
        </xdr:from>
        <xdr:to>
          <xdr:col>0</xdr:col>
          <xdr:colOff>289560</xdr:colOff>
          <xdr:row>13</xdr:row>
          <xdr:rowOff>182880</xdr:rowOff>
        </xdr:to>
        <xdr:sp macro="" textlink="">
          <xdr:nvSpPr>
            <xdr:cNvPr id="23561" name="Button 9" hidden="1">
              <a:extLst>
                <a:ext uri="{63B3BB69-23CF-44E3-9099-C40C66FF867C}">
                  <a14:compatExt spid="_x0000_s23561"/>
                </a:ext>
                <a:ext uri="{FF2B5EF4-FFF2-40B4-BE49-F238E27FC236}">
                  <a16:creationId xmlns:a16="http://schemas.microsoft.com/office/drawing/2014/main" id="{00000000-0008-0000-0400-000009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45720</xdr:colOff>
          <xdr:row>0</xdr:row>
          <xdr:rowOff>30480</xdr:rowOff>
        </xdr:from>
        <xdr:to>
          <xdr:col>4</xdr:col>
          <xdr:colOff>152400</xdr:colOff>
          <xdr:row>0</xdr:row>
          <xdr:rowOff>487680</xdr:rowOff>
        </xdr:to>
        <xdr:sp macro="" textlink="">
          <xdr:nvSpPr>
            <xdr:cNvPr id="11297" name="Button 33" hidden="1">
              <a:extLst>
                <a:ext uri="{63B3BB69-23CF-44E3-9099-C40C66FF867C}">
                  <a14:compatExt spid="_x0000_s11297"/>
                </a:ext>
                <a:ext uri="{FF2B5EF4-FFF2-40B4-BE49-F238E27FC236}">
                  <a16:creationId xmlns:a16="http://schemas.microsoft.com/office/drawing/2014/main" id="{00000000-0008-0000-0500-00002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des fichiers de gamme DMS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426720</xdr:colOff>
          <xdr:row>0</xdr:row>
          <xdr:rowOff>30480</xdr:rowOff>
        </xdr:from>
        <xdr:to>
          <xdr:col>6</xdr:col>
          <xdr:colOff>1859280</xdr:colOff>
          <xdr:row>0</xdr:row>
          <xdr:rowOff>487680</xdr:rowOff>
        </xdr:to>
        <xdr:sp macro="" textlink="">
          <xdr:nvSpPr>
            <xdr:cNvPr id="11307" name="Button 43" hidden="1">
              <a:extLst>
                <a:ext uri="{63B3BB69-23CF-44E3-9099-C40C66FF867C}">
                  <a14:compatExt spid="_x0000_s11307"/>
                </a:ext>
                <a:ext uri="{FF2B5EF4-FFF2-40B4-BE49-F238E27FC236}">
                  <a16:creationId xmlns:a16="http://schemas.microsoft.com/office/drawing/2014/main" id="{00000000-0008-0000-0500-00002B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Création / Modification / Suppression DMS SAP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2232660</xdr:colOff>
          <xdr:row>0</xdr:row>
          <xdr:rowOff>30480</xdr:rowOff>
        </xdr:from>
        <xdr:to>
          <xdr:col>7</xdr:col>
          <xdr:colOff>236220</xdr:colOff>
          <xdr:row>0</xdr:row>
          <xdr:rowOff>487680</xdr:rowOff>
        </xdr:to>
        <xdr:sp macro="" textlink="">
          <xdr:nvSpPr>
            <xdr:cNvPr id="11338" name="Button 74" hidden="1">
              <a:extLst>
                <a:ext uri="{63B3BB69-23CF-44E3-9099-C40C66FF867C}">
                  <a14:compatExt spid="_x0000_s11338"/>
                </a:ext>
                <a:ext uri="{FF2B5EF4-FFF2-40B4-BE49-F238E27FC236}">
                  <a16:creationId xmlns:a16="http://schemas.microsoft.com/office/drawing/2014/main" id="{00000000-0008-0000-0500-00004A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avancé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45720</xdr:colOff>
          <xdr:row>0</xdr:row>
          <xdr:rowOff>30480</xdr:rowOff>
        </xdr:from>
        <xdr:to>
          <xdr:col>1</xdr:col>
          <xdr:colOff>236220</xdr:colOff>
          <xdr:row>0</xdr:row>
          <xdr:rowOff>487680</xdr:rowOff>
        </xdr:to>
        <xdr:sp macro="" textlink="">
          <xdr:nvSpPr>
            <xdr:cNvPr id="11369" name="Button 105" hidden="1">
              <a:extLst>
                <a:ext uri="{63B3BB69-23CF-44E3-9099-C40C66FF867C}">
                  <a14:compatExt spid="_x0000_s11369"/>
                </a:ext>
                <a:ext uri="{FF2B5EF4-FFF2-40B4-BE49-F238E27FC236}">
                  <a16:creationId xmlns:a16="http://schemas.microsoft.com/office/drawing/2014/main" id="{00000000-0008-0000-0500-000069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Mode normal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220980</xdr:colOff>
          <xdr:row>0</xdr:row>
          <xdr:rowOff>38100</xdr:rowOff>
        </xdr:from>
        <xdr:to>
          <xdr:col>6</xdr:col>
          <xdr:colOff>365760</xdr:colOff>
          <xdr:row>0</xdr:row>
          <xdr:rowOff>487680</xdr:rowOff>
        </xdr:to>
        <xdr:sp macro="" textlink="">
          <xdr:nvSpPr>
            <xdr:cNvPr id="11377" name="Button 113" hidden="1">
              <a:extLst>
                <a:ext uri="{63B3BB69-23CF-44E3-9099-C40C66FF867C}">
                  <a14:compatExt spid="_x0000_s11377"/>
                </a:ext>
                <a:ext uri="{FF2B5EF4-FFF2-40B4-BE49-F238E27FC236}">
                  <a16:creationId xmlns:a16="http://schemas.microsoft.com/office/drawing/2014/main" id="{00000000-0008-0000-0500-00007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Suppression des fichiers gamme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xdr:rowOff>
    </xdr:from>
    <xdr:to>
      <xdr:col>6</xdr:col>
      <xdr:colOff>0</xdr:colOff>
      <xdr:row>1</xdr:row>
      <xdr:rowOff>148940</xdr:rowOff>
    </xdr:to>
    <xdr:pic>
      <xdr:nvPicPr>
        <xdr:cNvPr id="14" name="Picture 17" descr="Trimet Aluminium Logo Vector Logo - Download Free SVG Icon | Worldvectorlogo">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1"/>
          <a:ext cx="1143000" cy="331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xdr:row>
      <xdr:rowOff>0</xdr:rowOff>
    </xdr:from>
    <xdr:to>
      <xdr:col>14</xdr:col>
      <xdr:colOff>0</xdr:colOff>
      <xdr:row>17</xdr:row>
      <xdr:rowOff>0</xdr:rowOff>
    </xdr:to>
    <xdr:graphicFrame macro="">
      <xdr:nvGraphicFramePr>
        <xdr:cNvPr id="6" name="Graphique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8</xdr:row>
      <xdr:rowOff>0</xdr:rowOff>
    </xdr:from>
    <xdr:to>
      <xdr:col>28</xdr:col>
      <xdr:colOff>0</xdr:colOff>
      <xdr:row>17</xdr:row>
      <xdr:rowOff>0</xdr:rowOff>
    </xdr:to>
    <xdr:graphicFrame macro="">
      <xdr:nvGraphicFramePr>
        <xdr:cNvPr id="7" name="Graphique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27</xdr:row>
      <xdr:rowOff>167640</xdr:rowOff>
    </xdr:from>
    <xdr:to>
      <xdr:col>28</xdr:col>
      <xdr:colOff>0</xdr:colOff>
      <xdr:row>37</xdr:row>
      <xdr:rowOff>0</xdr:rowOff>
    </xdr:to>
    <xdr:graphicFrame macro="">
      <xdr:nvGraphicFramePr>
        <xdr:cNvPr id="2" name="Graphique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18</xdr:row>
      <xdr:rowOff>0</xdr:rowOff>
    </xdr:from>
    <xdr:to>
      <xdr:col>28</xdr:col>
      <xdr:colOff>0</xdr:colOff>
      <xdr:row>27</xdr:row>
      <xdr:rowOff>15240</xdr:rowOff>
    </xdr:to>
    <xdr:graphicFrame macro="">
      <xdr:nvGraphicFramePr>
        <xdr:cNvPr id="13" name="Graphique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0.21186</cdr:x>
      <cdr:y>0.78305</cdr:y>
    </cdr:from>
    <cdr:to>
      <cdr:x>0.78308</cdr:x>
      <cdr:y>0.88889</cdr:y>
    </cdr:to>
    <cdr:sp macro="" textlink="">
      <cdr:nvSpPr>
        <cdr:cNvPr id="2" name="ZoneTexte 12"/>
        <cdr:cNvSpPr txBox="1"/>
      </cdr:nvSpPr>
      <cdr:spPr>
        <a:xfrm xmlns:a="http://schemas.openxmlformats.org/drawingml/2006/main">
          <a:off x="484312" y="1288838"/>
          <a:ext cx="1305809" cy="17420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CARTO VALIDE</a:t>
          </a:r>
        </a:p>
      </cdr:txBody>
    </cdr:sp>
  </cdr:relSizeAnchor>
</c:userShapes>
</file>

<file path=xl/drawings/drawing5.xml><?xml version="1.0" encoding="utf-8"?>
<c:userShapes xmlns:c="http://schemas.openxmlformats.org/drawingml/2006/chart">
  <cdr:relSizeAnchor xmlns:cdr="http://schemas.openxmlformats.org/drawingml/2006/chartDrawing">
    <cdr:from>
      <cdr:x>0.21186</cdr:x>
      <cdr:y>0.78305</cdr:y>
    </cdr:from>
    <cdr:to>
      <cdr:x>0.81944</cdr:x>
      <cdr:y>0.88426</cdr:y>
    </cdr:to>
    <cdr:sp macro="" textlink="">
      <cdr:nvSpPr>
        <cdr:cNvPr id="2" name="ZoneTexte 12"/>
        <cdr:cNvSpPr txBox="1"/>
      </cdr:nvSpPr>
      <cdr:spPr>
        <a:xfrm xmlns:a="http://schemas.openxmlformats.org/drawingml/2006/main">
          <a:off x="464939" y="1288838"/>
          <a:ext cx="1333381" cy="166582"/>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fr-FR" sz="1100"/>
            <a:t>% MIS A JOUR</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Q:\Dms%20Sap\Maintenance\%23ZAS36\Outils%20de%20gestion%20DMS%20MD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ossier article"/>
      <sheetName val="MDD"/>
      <sheetName val="Listing DMS MDD"/>
      <sheetName val="Outils de gestion DMS MDD"/>
      <sheetName val="list"/>
    </sheetNames>
    <sheetDataSet>
      <sheetData sheetId="0" refreshError="1"/>
      <sheetData sheetId="1"/>
      <sheetData sheetId="2"/>
      <sheetData sheetId="3" refreshError="1"/>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DMS" displayName="DMS" ref="A1:R2" insertRow="1" totalsRowShown="0" headerRowDxfId="11" headerRowBorderDxfId="10">
  <autoFilter ref="A1:R2" xr:uid="{00000000-0009-0000-0100-000002000000}"/>
  <tableColumns count="18">
    <tableColumn id="1" xr3:uid="{00000000-0010-0000-0000-000001000000}" name="Code traitement (CODET)" dataDxfId="9"/>
    <tableColumn id="2" xr3:uid="{00000000-0010-0000-0000-000002000000}" name="N° du document (DOKNR)"/>
    <tableColumn id="3" xr3:uid="{00000000-0010-0000-0000-000003000000}" name="Type du document (DOKAR)" dataDxfId="8"/>
    <tableColumn id="4" xr3:uid="{00000000-0010-0000-0000-000004000000}" name="Document partiel (DOKTL)" dataDxfId="7"/>
    <tableColumn id="5" xr3:uid="{00000000-0010-0000-0000-000005000000}" name="Version (DOKVR)" dataDxfId="6"/>
    <tableColumn id="6" xr3:uid="{00000000-0010-0000-0000-000006000000}" name="Statut Document (STABK)"/>
    <tableColumn id="7" xr3:uid="{00000000-0010-0000-0000-000007000000}" name="Description (DKTXT)" dataDxfId="5"/>
    <tableColumn id="8" xr3:uid="{00000000-0010-0000-0000-000008000000}" name="Gestionnaire (DWNAM)" dataDxfId="4"/>
    <tableColumn id="9" xr3:uid="{00000000-0010-0000-0000-000009000000}" name="Groupe autorisation_x000a_(AUTHORITYGROUP)" dataDxfId="3"/>
    <tableColumn id="10" xr3:uid="{00000000-0010-0000-0000-00000A000000}" name="Document DMS supérieur (PRENR)"/>
    <tableColumn id="11" xr3:uid="{00000000-0010-0000-0000-00000B000000}" name="Type document supérieur (PREAR)"/>
    <tableColumn id="12" xr3:uid="{00000000-0010-0000-0000-00000C000000}" name="Document partiel supérieur (PRETL)"/>
    <tableColumn id="13" xr3:uid="{00000000-0010-0000-0000-00000D000000}" name="Version document supérieur (PREVR)"/>
    <tableColumn id="14" xr3:uid="{00000000-0010-0000-0000-00000E000000}" name="Code Application (DAPPL)" dataDxfId="2"/>
    <tableColumn id="15" xr3:uid="{00000000-0010-0000-0000-00000F000000}" name="Original Document (FILEP)" dataDxfId="1" dataCellStyle="Satisfaisant"/>
    <tableColumn id="16" xr3:uid="{00000000-0010-0000-0000-000010000000}" name="Liaison d’objet code article (MATNR)" dataDxfId="0"/>
    <tableColumn id="17" xr3:uid="{00000000-0010-0000-0000-000011000000}" name="Liaison d’objet Poste techniques (TPLNR)"/>
    <tableColumn id="19" xr3:uid="{00000000-0010-0000-0000-000013000000}" name="Colonne1"/>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au1" displayName="Tableau1" ref="A2:AD1002" totalsRowShown="0" headerRowDxfId="45" dataDxfId="43" headerRowBorderDxfId="44" tableBorderDxfId="42">
  <autoFilter ref="A2:AD1002" xr:uid="{00000000-0009-0000-0100-000001000000}"/>
  <tableColumns count="30">
    <tableColumn id="1" xr3:uid="{00000000-0010-0000-0100-000001000000}" name="Poste Responsable" dataDxfId="41">
      <calculatedColumnFormula>MID(CELL("filename",$A$1),FIND("]",CELL("filename",$A$1))+1,32)</calculatedColumnFormula>
    </tableColumn>
    <tableColumn id="23" xr3:uid="{00000000-0010-0000-0100-000017000000}" name="Test de données" dataDxfId="40" dataCellStyle="Normal">
      <calculatedColumnFormula>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calculatedColumnFormula>
    </tableColumn>
    <tableColumn id="22" xr3:uid="{00000000-0010-0000-0100-000016000000}" name="Statut doc" dataDxfId="39"/>
    <tableColumn id="2" xr3:uid="{00000000-0010-0000-0100-000002000000}" name="Localisation / Classement" dataDxfId="38"/>
    <tableColumn id="28" xr3:uid="{00000000-0010-0000-0100-00001C000000}" name="Gamme en DMS" dataDxfId="37"/>
    <tableColumn id="3" xr3:uid="{00000000-0010-0000-0100-000003000000}" name="Poste technique ou N° d'équipement" dataDxfId="36"/>
    <tableColumn id="4" xr3:uid="{00000000-0010-0000-0100-000004000000}" name="Niveau SAP" dataDxfId="35"/>
    <tableColumn id="5" xr3:uid="{00000000-0010-0000-0100-000005000000}" name="Plan Entretien" dataDxfId="34" dataCellStyle="Normal"/>
    <tableColumn id="6" xr3:uid="{00000000-0010-0000-0100-000006000000}" name="Poste entretien" dataDxfId="33" dataCellStyle="Normal"/>
    <tableColumn id="30" xr3:uid="{00000000-0010-0000-0100-00001E000000}" name="Groupe de Gamme" dataDxfId="32"/>
    <tableColumn id="29" xr3:uid="{00000000-0010-0000-0100-00001D000000}" name="Compteur de Gamme" dataDxfId="31"/>
    <tableColumn id="7" xr3:uid="{00000000-0010-0000-0100-000007000000}" name="Frequence" dataDxfId="30"/>
    <tableColumn id="8" xr3:uid="{00000000-0010-0000-0100-000008000000}" name="Désignation" dataDxfId="29"/>
    <tableColumn id="9" xr3:uid="{00000000-0010-0000-0100-000009000000}" name="Type" dataDxfId="28"/>
    <tableColumn id="10" xr3:uid="{00000000-0010-0000-0100-00000A000000}" name="Criticité" dataDxfId="27"/>
    <tableColumn id="11" xr3:uid="{00000000-0010-0000-0100-00000B000000}" name="Parité semaine" dataDxfId="26"/>
    <tableColumn id="12" xr3:uid="{00000000-0010-0000-0100-00000C000000}" name="Jour" dataDxfId="25"/>
    <tableColumn id="13" xr3:uid="{00000000-0010-0000-0100-00000D000000}" name="Décal." dataDxfId="24"/>
    <tableColumn id="14" xr3:uid="{00000000-0010-0000-0100-00000E000000}" name="Date de validation" dataDxfId="23"/>
    <tableColumn id="25" xr3:uid="{00000000-0010-0000-0100-000019000000}" name="Lien Fichier de gamme Source" dataDxfId="22" dataCellStyle="Lien hypertexte">
      <calculatedColumnFormula>IF(Tableau1[[#This Row],[DMS_SAP]]="","",HYPERLINK(Tableau1[[#This Row],[Chemin fichier source]],"X"))</calculatedColumnFormula>
    </tableColumn>
    <tableColumn id="26" xr3:uid="{00000000-0010-0000-0100-00001A000000}" name="Lien Fichier DMS SAP en PDF" dataDxfId="21" dataCellStyle="Lien hypertexte">
      <calculatedColumnFormula>IF(Tableau1[[#This Row],[Date rév.]]="","",HYPERLINK(Tableau1[[#This Row],[Lien document]],"X"))</calculatedColumnFormula>
    </tableColumn>
    <tableColumn id="15" xr3:uid="{00000000-0010-0000-0100-00000F000000}" name="DMS_SAP" dataDxfId="20"/>
    <tableColumn id="16" xr3:uid="{00000000-0010-0000-0100-000010000000}" name="Lien document" dataDxfId="19" dataCellStyle="Lien hypertexte">
      <calculatedColumnFormula>Chemin_accès!$B$2&amp;Tableau1[[#This Row],[Poste Responsable]]&amp;"\"&amp;Tableau1[[#This Row],[Localisation / Classement]]&amp;"\"&amp;Tableau1[[#This Row],[Poste technique ou N° d''équipement]]&amp;"_"&amp;Tableau1[[#This Row],[Plan Entretien]]&amp;".pdf"</calculatedColumnFormula>
    </tableColumn>
    <tableColumn id="17" xr3:uid="{00000000-0010-0000-0100-000011000000}" name="Charge" dataDxfId="18"/>
    <tableColumn id="18" xr3:uid="{00000000-0010-0000-0100-000012000000}" name="Nombre intervenants" dataDxfId="17"/>
    <tableColumn id="19" xr3:uid="{00000000-0010-0000-0100-000013000000}" name="Validation" dataDxfId="16">
      <calculatedColumnFormula>IF(AND(Tableau1[[#This Row],[Charge]]&lt;&gt;0, Tableau1[[#This Row],[Nombre intervenants]]&lt;&gt;0,Tableau1[[#This Row],[Lien document]]&lt;&gt;0,Tableau1[[#This Row],[DMS_SAP]]&lt;&gt;0)=TRUE,"MIS A JOUR","")</calculatedColumnFormula>
    </tableColumn>
    <tableColumn id="20" xr3:uid="{00000000-0010-0000-0100-000014000000}" name="Date rév." dataDxfId="15"/>
    <tableColumn id="21" xr3:uid="{00000000-0010-0000-0100-000015000000}" name="Nb jours depuis la dernière rév." dataDxfId="14">
      <calculatedColumnFormula>IF(Tableau1[[#This Row],[Date rév.]]&lt;&gt;"", DAYS360(Tableau1[[#This Row],[Date rév.]],TODAY()),"")</calculatedColumnFormula>
    </tableColumn>
    <tableColumn id="24" xr3:uid="{00000000-0010-0000-0100-000018000000}" name="Modèle gamme" dataDxfId="13">
      <calculatedColumnFormula>IFERROR(INDEX(Chemin_accès!$B$11:$C$22,MATCH(Tableau1[[#This Row],[Type]],Chemin_accès!$C$11:$C$22,0),1),Chemin_accès!$B$11)</calculatedColumnFormula>
    </tableColumn>
    <tableColumn id="27" xr3:uid="{00000000-0010-0000-0100-00001B000000}" name="Chemin fichier source" dataDxfId="12">
      <calculatedColumnFormula>Chemin_accès!$B$8&amp;Tableau1[[#This Row],[Localisation / Classement]]&amp;"\"&amp;Tableau1[[#This Row],[Poste technique ou N° d''équipement]]&amp;"_"&amp;Tableau1[[#This Row],[Plan Entretien]]&amp;".xlsm"</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Btechnique/BT%20Maint%20CARBONE%20SCELLEMENT/310%20-%20Tutos/Formation%20outils%20PETool.pptx" TargetMode="External"/><Relationship Id="rId2" Type="http://schemas.openxmlformats.org/officeDocument/2006/relationships/hyperlink" Target="file:///\\stjn.local\donnees_projets\Maintenance\Formation%20m&#233;thodes%20de%20maintenance\SAP%20Maintenance%202022\proc&#233;dure%20gestion%20des%20strat&#233;gies%20de%20planification%20.docx" TargetMode="External"/><Relationship Id="rId1" Type="http://schemas.openxmlformats.org/officeDocument/2006/relationships/hyperlink" Target="file:///\\stjn.local\donnees_projets\Maintenance\Formation%20m&#233;thodes%20de%20maintenance\SAP%20Maintenance%202022\proc&#233;dure%20cr&#233;ation%20de%20gammes.docx"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file:///\\stjn.local\Btechnique\Commun\planPreventifUsine\procedureSap.docx" TargetMode="External"/><Relationship Id="rId2" Type="http://schemas.openxmlformats.org/officeDocument/2006/relationships/hyperlink" Target="file:///\\stjn.local\Btechnique\Commun\planPreventifUsine\procedureSap.docx" TargetMode="External"/><Relationship Id="rId1" Type="http://schemas.openxmlformats.org/officeDocument/2006/relationships/hyperlink" Target="file:///\\stjn.local\Btechnique\Commun\planPreventifUsine\procedureSap.docx"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2.xml"/><Relationship Id="rId3" Type="http://schemas.openxmlformats.org/officeDocument/2006/relationships/printerSettings" Target="../printerSettings/printerSettings6.bin"/><Relationship Id="rId7" Type="http://schemas.openxmlformats.org/officeDocument/2006/relationships/vmlDrawing" Target="../drawings/vmlDrawing2.vml"/><Relationship Id="rId12" Type="http://schemas.openxmlformats.org/officeDocument/2006/relationships/ctrlProp" Target="../ctrlProps/ctrlProp1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drawing" Target="../drawings/drawing2.xml"/><Relationship Id="rId11" Type="http://schemas.openxmlformats.org/officeDocument/2006/relationships/ctrlProp" Target="../ctrlProps/ctrlProp11.xml"/><Relationship Id="rId5" Type="http://schemas.openxmlformats.org/officeDocument/2006/relationships/printerSettings" Target="../printerSettings/printerSettings8.bin"/><Relationship Id="rId10" Type="http://schemas.openxmlformats.org/officeDocument/2006/relationships/ctrlProp" Target="../ctrlProps/ctrlProp10.xml"/><Relationship Id="rId4" Type="http://schemas.openxmlformats.org/officeDocument/2006/relationships/printerSettings" Target="../printerSettings/printerSettings7.bin"/><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drawing" Target="../drawings/drawing3.xml"/><Relationship Id="rId5" Type="http://schemas.openxmlformats.org/officeDocument/2006/relationships/printerSettings" Target="../printerSettings/printerSettings13.bin"/><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R2"/>
  <sheetViews>
    <sheetView workbookViewId="0">
      <selection activeCell="A2" sqref="A2"/>
    </sheetView>
  </sheetViews>
  <sheetFormatPr baseColWidth="10" defaultRowHeight="14.4" x14ac:dyDescent="0.3"/>
  <cols>
    <col min="1" max="1" width="6.109375" customWidth="1"/>
    <col min="2" max="2" width="15.44140625" customWidth="1"/>
    <col min="3" max="3" width="6.44140625" customWidth="1"/>
    <col min="4" max="5" width="7.44140625" customWidth="1"/>
    <col min="6" max="6" width="6" customWidth="1"/>
    <col min="7" max="7" width="29.6640625" customWidth="1"/>
    <col min="8" max="8" width="12.44140625" customWidth="1"/>
    <col min="9" max="9" width="7.6640625" customWidth="1"/>
    <col min="10" max="10" width="14" customWidth="1"/>
    <col min="11" max="13" width="5.44140625" customWidth="1"/>
    <col min="15" max="15" width="69.88671875" bestFit="1" customWidth="1"/>
    <col min="16" max="17" width="9.33203125" customWidth="1"/>
  </cols>
  <sheetData>
    <row r="1" spans="1:18" ht="119.4" thickBot="1" x14ac:dyDescent="0.35">
      <c r="A1" s="27" t="s">
        <v>108</v>
      </c>
      <c r="B1" s="28" t="s">
        <v>109</v>
      </c>
      <c r="C1" s="28" t="s">
        <v>110</v>
      </c>
      <c r="D1" s="28" t="s">
        <v>111</v>
      </c>
      <c r="E1" s="28" t="s">
        <v>112</v>
      </c>
      <c r="F1" s="28" t="s">
        <v>113</v>
      </c>
      <c r="G1" s="28" t="s">
        <v>114</v>
      </c>
      <c r="H1" s="28" t="s">
        <v>115</v>
      </c>
      <c r="I1" s="28" t="s">
        <v>116</v>
      </c>
      <c r="J1" s="28" t="s">
        <v>117</v>
      </c>
      <c r="K1" s="28" t="s">
        <v>118</v>
      </c>
      <c r="L1" s="28" t="s">
        <v>119</v>
      </c>
      <c r="M1" s="28" t="s">
        <v>120</v>
      </c>
      <c r="N1" s="28" t="s">
        <v>121</v>
      </c>
      <c r="O1" s="28" t="s">
        <v>122</v>
      </c>
      <c r="P1" s="28" t="s">
        <v>123</v>
      </c>
      <c r="Q1" s="28" t="s">
        <v>124</v>
      </c>
      <c r="R1" s="69" t="s">
        <v>138</v>
      </c>
    </row>
    <row r="2" spans="1:18" x14ac:dyDescent="0.3">
      <c r="O2" s="66"/>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tabColor rgb="FFFF99CC"/>
  </sheetPr>
  <dimension ref="A1:A6"/>
  <sheetViews>
    <sheetView workbookViewId="0">
      <selection activeCell="P13" sqref="P13:Q13"/>
    </sheetView>
  </sheetViews>
  <sheetFormatPr baseColWidth="10" defaultRowHeight="14.4" x14ac:dyDescent="0.3"/>
  <sheetData>
    <row r="1" spans="1:1" x14ac:dyDescent="0.3">
      <c r="A1" s="70" t="s">
        <v>142</v>
      </c>
    </row>
    <row r="2" spans="1:1" x14ac:dyDescent="0.3">
      <c r="A2" s="71" t="s">
        <v>143</v>
      </c>
    </row>
    <row r="3" spans="1:1" x14ac:dyDescent="0.3">
      <c r="A3" s="70" t="s">
        <v>144</v>
      </c>
    </row>
    <row r="4" spans="1:1" x14ac:dyDescent="0.3">
      <c r="A4" s="71" t="s">
        <v>145</v>
      </c>
    </row>
    <row r="6" spans="1:1" x14ac:dyDescent="0.3">
      <c r="A6" s="71" t="s">
        <v>146</v>
      </c>
    </row>
  </sheetData>
  <hyperlinks>
    <hyperlink ref="A2" r:id="rId1" xr:uid="{00000000-0004-0000-0100-000000000000}"/>
    <hyperlink ref="A4" r:id="rId2" xr:uid="{00000000-0004-0000-0100-000001000000}"/>
    <hyperlink ref="A6" r:id="rId3" xr:uid="{00000000-0004-0000-0100-000002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8">
    <tabColor rgb="FF92D050"/>
  </sheetPr>
  <dimension ref="A1:E16"/>
  <sheetViews>
    <sheetView showGridLines="0" workbookViewId="0">
      <selection activeCell="C22" sqref="C22"/>
    </sheetView>
  </sheetViews>
  <sheetFormatPr baseColWidth="10" defaultRowHeight="14.4" x14ac:dyDescent="0.3"/>
  <cols>
    <col min="1" max="1" width="20" customWidth="1"/>
    <col min="2" max="2" width="15.33203125" customWidth="1"/>
    <col min="4" max="4" width="13.109375" bestFit="1" customWidth="1"/>
    <col min="5" max="5" width="91.44140625" customWidth="1"/>
  </cols>
  <sheetData>
    <row r="1" spans="1:5" x14ac:dyDescent="0.3">
      <c r="A1" s="12" t="s">
        <v>72</v>
      </c>
      <c r="B1" s="12" t="s">
        <v>74</v>
      </c>
      <c r="C1" s="12" t="s">
        <v>75</v>
      </c>
      <c r="D1" s="12" t="s">
        <v>76</v>
      </c>
      <c r="E1" s="15" t="s">
        <v>63</v>
      </c>
    </row>
    <row r="2" spans="1:5" x14ac:dyDescent="0.3">
      <c r="A2" s="9" t="s">
        <v>73</v>
      </c>
      <c r="B2" s="10" t="s">
        <v>71</v>
      </c>
      <c r="C2" s="11">
        <v>44474</v>
      </c>
      <c r="D2" s="9" t="s">
        <v>77</v>
      </c>
      <c r="E2" s="14" t="s">
        <v>79</v>
      </c>
    </row>
    <row r="3" spans="1:5" x14ac:dyDescent="0.3">
      <c r="A3" s="9" t="s">
        <v>73</v>
      </c>
      <c r="B3" s="10" t="s">
        <v>71</v>
      </c>
      <c r="C3" s="11">
        <v>44475</v>
      </c>
      <c r="D3" s="9" t="s">
        <v>78</v>
      </c>
      <c r="E3" s="9" t="s">
        <v>80</v>
      </c>
    </row>
    <row r="4" spans="1:5" ht="100.8" x14ac:dyDescent="0.3">
      <c r="A4" s="22" t="s">
        <v>73</v>
      </c>
      <c r="B4" s="23" t="s">
        <v>71</v>
      </c>
      <c r="C4" s="24">
        <v>44489</v>
      </c>
      <c r="D4" s="22" t="s">
        <v>95</v>
      </c>
      <c r="E4" s="25" t="s">
        <v>107</v>
      </c>
    </row>
    <row r="5" spans="1:5" x14ac:dyDescent="0.3">
      <c r="A5" s="9" t="s">
        <v>73</v>
      </c>
      <c r="B5" s="10" t="s">
        <v>71</v>
      </c>
      <c r="C5" s="11">
        <v>44494</v>
      </c>
      <c r="D5" s="9" t="s">
        <v>95</v>
      </c>
      <c r="E5" s="9" t="s">
        <v>125</v>
      </c>
    </row>
    <row r="6" spans="1:5" x14ac:dyDescent="0.3">
      <c r="A6" s="9" t="s">
        <v>73</v>
      </c>
      <c r="B6" s="10" t="s">
        <v>71</v>
      </c>
      <c r="C6" s="11">
        <v>44504</v>
      </c>
      <c r="D6" s="9" t="s">
        <v>95</v>
      </c>
      <c r="E6" s="9" t="s">
        <v>132</v>
      </c>
    </row>
    <row r="7" spans="1:5" x14ac:dyDescent="0.3">
      <c r="A7" s="9"/>
      <c r="B7" s="9"/>
      <c r="C7" s="9"/>
      <c r="D7" s="9"/>
      <c r="E7" s="9"/>
    </row>
    <row r="8" spans="1:5" x14ac:dyDescent="0.3">
      <c r="A8" s="9"/>
      <c r="B8" s="9"/>
      <c r="C8" s="9"/>
      <c r="D8" s="9"/>
      <c r="E8" s="9"/>
    </row>
    <row r="9" spans="1:5" x14ac:dyDescent="0.3">
      <c r="A9" s="9"/>
      <c r="B9" s="9"/>
      <c r="C9" s="9"/>
      <c r="D9" s="9"/>
      <c r="E9" s="9"/>
    </row>
    <row r="10" spans="1:5" x14ac:dyDescent="0.3">
      <c r="A10" s="9"/>
      <c r="B10" s="9"/>
      <c r="C10" s="9"/>
      <c r="D10" s="9"/>
      <c r="E10" s="9"/>
    </row>
    <row r="11" spans="1:5" x14ac:dyDescent="0.3">
      <c r="A11" s="9"/>
      <c r="B11" s="9"/>
      <c r="C11" s="9"/>
      <c r="D11" s="9"/>
      <c r="E11" s="9"/>
    </row>
    <row r="12" spans="1:5" x14ac:dyDescent="0.3">
      <c r="A12" s="9"/>
      <c r="B12" s="9"/>
      <c r="C12" s="9"/>
      <c r="D12" s="9"/>
      <c r="E12" s="9"/>
    </row>
    <row r="13" spans="1:5" x14ac:dyDescent="0.3">
      <c r="A13" s="9"/>
      <c r="B13" s="9"/>
      <c r="C13" s="9"/>
      <c r="D13" s="9"/>
      <c r="E13" s="9"/>
    </row>
    <row r="14" spans="1:5" x14ac:dyDescent="0.3">
      <c r="A14" s="9"/>
      <c r="B14" s="9"/>
      <c r="C14" s="9"/>
      <c r="D14" s="9"/>
      <c r="E14" s="9"/>
    </row>
    <row r="15" spans="1:5" x14ac:dyDescent="0.3">
      <c r="A15" s="9"/>
      <c r="B15" s="9"/>
      <c r="C15" s="9"/>
      <c r="D15" s="9"/>
      <c r="E15" s="9"/>
    </row>
    <row r="16" spans="1:5" x14ac:dyDescent="0.3">
      <c r="A16" s="9"/>
      <c r="B16" s="9"/>
      <c r="C16" s="9"/>
      <c r="D16" s="9"/>
      <c r="E16" s="9"/>
    </row>
  </sheetData>
  <customSheetViews>
    <customSheetView guid="{0EF03FB2-E8B1-47F2-9208-E204933E1F15}" showGridLines="0">
      <selection activeCell="B4" sqref="B4"/>
      <pageMargins left="0.7" right="0.7" top="0.75" bottom="0.75" header="0.3" footer="0.3"/>
    </customSheetView>
    <customSheetView guid="{41F7FD2A-BA5B-4731-A557-2BD58F51B02E}" showGridLines="0">
      <selection activeCell="B4" sqref="B4"/>
      <pageMargins left="0.7" right="0.7" top="0.75" bottom="0.75" header="0.3" footer="0.3"/>
    </customSheetView>
    <customSheetView guid="{850E940B-2428-4553-BF71-40EDCB2E1D07}" showGridLines="0">
      <selection activeCell="B4" sqref="B4"/>
      <pageMargins left="0.7" right="0.7" top="0.75" bottom="0.75" header="0.3" footer="0.3"/>
    </customSheetView>
    <customSheetView guid="{CF0A3741-DD40-423F-97D7-0C00E4DC3A32}" showGridLines="0">
      <selection activeCell="D16" sqref="D16"/>
      <pageMargins left="0.7" right="0.7" top="0.75" bottom="0.75" header="0.3" footer="0.3"/>
    </customSheetView>
  </customSheetViews>
  <hyperlinks>
    <hyperlink ref="B2" r:id="rId1" xr:uid="{00000000-0004-0000-0200-000000000000}"/>
    <hyperlink ref="B3" r:id="rId2" xr:uid="{00000000-0004-0000-0200-000001000000}"/>
    <hyperlink ref="B4" r:id="rId3" xr:uid="{00000000-0004-0000-0200-000002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9"/>
  <dimension ref="A2:I34"/>
  <sheetViews>
    <sheetView workbookViewId="0">
      <selection activeCell="I35" sqref="I35"/>
    </sheetView>
  </sheetViews>
  <sheetFormatPr baseColWidth="10" defaultRowHeight="14.4" x14ac:dyDescent="0.3"/>
  <cols>
    <col min="8" max="8" width="18.88671875" customWidth="1"/>
    <col min="9" max="9" width="26.6640625" customWidth="1"/>
  </cols>
  <sheetData>
    <row r="2" spans="1:9" x14ac:dyDescent="0.3">
      <c r="A2" t="s">
        <v>40</v>
      </c>
      <c r="B2" t="s">
        <v>39</v>
      </c>
      <c r="C2" t="s">
        <v>44</v>
      </c>
      <c r="D2" t="s">
        <v>46</v>
      </c>
      <c r="E2" t="s">
        <v>49</v>
      </c>
      <c r="F2" t="s">
        <v>56</v>
      </c>
      <c r="G2" t="s">
        <v>45</v>
      </c>
      <c r="H2" t="s">
        <v>70</v>
      </c>
      <c r="I2" t="s">
        <v>127</v>
      </c>
    </row>
    <row r="4" spans="1:9" x14ac:dyDescent="0.3">
      <c r="A4" t="s">
        <v>35</v>
      </c>
      <c r="B4" t="s">
        <v>65</v>
      </c>
      <c r="C4">
        <v>1</v>
      </c>
      <c r="D4" t="s">
        <v>47</v>
      </c>
      <c r="E4" t="s">
        <v>5</v>
      </c>
      <c r="F4" t="s">
        <v>3</v>
      </c>
      <c r="G4" t="s">
        <v>3</v>
      </c>
      <c r="H4" t="s">
        <v>65</v>
      </c>
      <c r="I4" t="s">
        <v>220</v>
      </c>
    </row>
    <row r="5" spans="1:9" x14ac:dyDescent="0.3">
      <c r="A5" t="s">
        <v>37</v>
      </c>
      <c r="B5" t="s">
        <v>66</v>
      </c>
      <c r="C5">
        <v>2</v>
      </c>
      <c r="D5" t="s">
        <v>48</v>
      </c>
      <c r="E5" t="s">
        <v>8</v>
      </c>
      <c r="F5" t="s">
        <v>4</v>
      </c>
      <c r="G5" t="s">
        <v>4</v>
      </c>
      <c r="H5" t="s">
        <v>66</v>
      </c>
      <c r="I5" t="s">
        <v>148</v>
      </c>
    </row>
    <row r="6" spans="1:9" x14ac:dyDescent="0.3">
      <c r="A6" t="s">
        <v>84</v>
      </c>
      <c r="B6" t="s">
        <v>67</v>
      </c>
      <c r="C6">
        <v>3</v>
      </c>
      <c r="E6" t="s">
        <v>7</v>
      </c>
      <c r="G6" t="s">
        <v>57</v>
      </c>
      <c r="H6" t="s">
        <v>67</v>
      </c>
      <c r="I6" t="s">
        <v>163</v>
      </c>
    </row>
    <row r="7" spans="1:9" x14ac:dyDescent="0.3">
      <c r="A7" t="s">
        <v>85</v>
      </c>
      <c r="B7" t="s">
        <v>68</v>
      </c>
      <c r="E7" t="s">
        <v>6</v>
      </c>
      <c r="H7" t="s">
        <v>68</v>
      </c>
      <c r="I7" t="s">
        <v>189</v>
      </c>
    </row>
    <row r="8" spans="1:9" x14ac:dyDescent="0.3">
      <c r="A8" t="s">
        <v>86</v>
      </c>
      <c r="B8" t="s">
        <v>69</v>
      </c>
      <c r="E8" t="s">
        <v>50</v>
      </c>
      <c r="H8" t="s">
        <v>69</v>
      </c>
      <c r="I8" t="s">
        <v>190</v>
      </c>
    </row>
    <row r="9" spans="1:9" x14ac:dyDescent="0.3">
      <c r="A9" t="s">
        <v>87</v>
      </c>
      <c r="B9" t="s">
        <v>2</v>
      </c>
      <c r="E9" t="s">
        <v>51</v>
      </c>
      <c r="H9" t="s">
        <v>150</v>
      </c>
      <c r="I9" t="s">
        <v>226</v>
      </c>
    </row>
    <row r="10" spans="1:9" x14ac:dyDescent="0.3">
      <c r="A10" t="s">
        <v>88</v>
      </c>
      <c r="B10" t="s">
        <v>1</v>
      </c>
      <c r="E10" t="s">
        <v>52</v>
      </c>
      <c r="I10" t="s">
        <v>217</v>
      </c>
    </row>
    <row r="11" spans="1:9" x14ac:dyDescent="0.3">
      <c r="A11" t="s">
        <v>89</v>
      </c>
      <c r="B11" t="s">
        <v>9</v>
      </c>
      <c r="I11" t="s">
        <v>199</v>
      </c>
    </row>
    <row r="12" spans="1:9" x14ac:dyDescent="0.3">
      <c r="A12" t="s">
        <v>90</v>
      </c>
      <c r="I12" t="s">
        <v>216</v>
      </c>
    </row>
    <row r="13" spans="1:9" x14ac:dyDescent="0.3">
      <c r="A13" t="s">
        <v>91</v>
      </c>
      <c r="I13" t="s">
        <v>205</v>
      </c>
    </row>
    <row r="14" spans="1:9" x14ac:dyDescent="0.3">
      <c r="A14" t="s">
        <v>92</v>
      </c>
      <c r="I14" t="s">
        <v>206</v>
      </c>
    </row>
    <row r="15" spans="1:9" x14ac:dyDescent="0.3">
      <c r="A15" t="s">
        <v>38</v>
      </c>
      <c r="I15" t="s">
        <v>214</v>
      </c>
    </row>
    <row r="16" spans="1:9" x14ac:dyDescent="0.3">
      <c r="A16" t="s">
        <v>41</v>
      </c>
      <c r="I16" t="s">
        <v>215</v>
      </c>
    </row>
    <row r="17" spans="1:9" x14ac:dyDescent="0.3">
      <c r="A17" t="s">
        <v>28</v>
      </c>
      <c r="I17" t="s">
        <v>224</v>
      </c>
    </row>
    <row r="18" spans="1:9" x14ac:dyDescent="0.3">
      <c r="A18" t="s">
        <v>42</v>
      </c>
      <c r="I18" t="s">
        <v>225</v>
      </c>
    </row>
    <row r="19" spans="1:9" x14ac:dyDescent="0.3">
      <c r="A19" t="s">
        <v>0</v>
      </c>
      <c r="I19" t="s">
        <v>221</v>
      </c>
    </row>
    <row r="20" spans="1:9" x14ac:dyDescent="0.3">
      <c r="A20" t="s">
        <v>36</v>
      </c>
      <c r="I20" t="s">
        <v>227</v>
      </c>
    </row>
    <row r="21" spans="1:9" x14ac:dyDescent="0.3">
      <c r="A21" t="s">
        <v>43</v>
      </c>
      <c r="I21" t="s">
        <v>232</v>
      </c>
    </row>
    <row r="22" spans="1:9" x14ac:dyDescent="0.3">
      <c r="A22" t="s">
        <v>53</v>
      </c>
      <c r="I22" t="s">
        <v>228</v>
      </c>
    </row>
    <row r="23" spans="1:9" x14ac:dyDescent="0.3">
      <c r="A23" t="s">
        <v>55</v>
      </c>
      <c r="I23" t="s">
        <v>229</v>
      </c>
    </row>
    <row r="24" spans="1:9" x14ac:dyDescent="0.3">
      <c r="A24" t="s">
        <v>54</v>
      </c>
      <c r="I24" t="s">
        <v>230</v>
      </c>
    </row>
    <row r="25" spans="1:9" x14ac:dyDescent="0.3">
      <c r="A25" t="s">
        <v>156</v>
      </c>
      <c r="I25" t="s">
        <v>231</v>
      </c>
    </row>
    <row r="26" spans="1:9" x14ac:dyDescent="0.3">
      <c r="A26" t="s">
        <v>136</v>
      </c>
      <c r="I26" t="s">
        <v>233</v>
      </c>
    </row>
    <row r="27" spans="1:9" x14ac:dyDescent="0.3">
      <c r="A27" t="s">
        <v>137</v>
      </c>
      <c r="I27" t="s">
        <v>234</v>
      </c>
    </row>
    <row r="28" spans="1:9" x14ac:dyDescent="0.3">
      <c r="I28" t="s">
        <v>235</v>
      </c>
    </row>
    <row r="29" spans="1:9" x14ac:dyDescent="0.3">
      <c r="I29" t="s">
        <v>236</v>
      </c>
    </row>
    <row r="30" spans="1:9" x14ac:dyDescent="0.3">
      <c r="I30" t="s">
        <v>237</v>
      </c>
    </row>
    <row r="31" spans="1:9" x14ac:dyDescent="0.3">
      <c r="I31" t="s">
        <v>238</v>
      </c>
    </row>
    <row r="32" spans="1:9" x14ac:dyDescent="0.3">
      <c r="I32" t="s">
        <v>239</v>
      </c>
    </row>
    <row r="33" spans="9:9" x14ac:dyDescent="0.3">
      <c r="I33" t="s">
        <v>240</v>
      </c>
    </row>
    <row r="34" spans="9:9" x14ac:dyDescent="0.3">
      <c r="I34" t="s">
        <v>218</v>
      </c>
    </row>
  </sheetData>
  <sortState xmlns:xlrd2="http://schemas.microsoft.com/office/spreadsheetml/2017/richdata2" ref="I4:I11">
    <sortCondition ref="I4"/>
  </sortState>
  <customSheetViews>
    <customSheetView guid="{0EF03FB2-E8B1-47F2-9208-E204933E1F15}">
      <selection activeCell="D20" sqref="D20"/>
      <pageMargins left="0.7" right="0.7" top="0.75" bottom="0.75" header="0.3" footer="0.3"/>
    </customSheetView>
    <customSheetView guid="{41F7FD2A-BA5B-4731-A557-2BD58F51B02E}">
      <selection activeCell="D20" sqref="D20"/>
      <pageMargins left="0.7" right="0.7" top="0.75" bottom="0.75" header="0.3" footer="0.3"/>
    </customSheetView>
    <customSheetView guid="{850E940B-2428-4553-BF71-40EDCB2E1D07}">
      <selection activeCell="D20" sqref="D20"/>
      <pageMargins left="0.7" right="0.7" top="0.75" bottom="0.75" header="0.3" footer="0.3"/>
    </customSheetView>
    <customSheetView guid="{CF0A3741-DD40-423F-97D7-0C00E4DC3A32}">
      <selection activeCell="D20" sqref="D20"/>
      <pageMargins left="0.7" right="0.7" top="0.75" bottom="0.75" header="0.3" footer="0.3"/>
    </customSheetView>
  </customSheetView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20"/>
  <dimension ref="A1:D22"/>
  <sheetViews>
    <sheetView workbookViewId="0">
      <selection activeCell="B16" sqref="B16"/>
    </sheetView>
  </sheetViews>
  <sheetFormatPr baseColWidth="10" defaultRowHeight="14.4" x14ac:dyDescent="0.3"/>
  <cols>
    <col min="1" max="1" width="4.88671875" customWidth="1"/>
    <col min="2" max="2" width="142" customWidth="1"/>
    <col min="3" max="3" width="20.6640625" customWidth="1"/>
  </cols>
  <sheetData>
    <row r="1" spans="1:4" x14ac:dyDescent="0.3">
      <c r="A1" s="30" t="s">
        <v>128</v>
      </c>
      <c r="B1" s="31"/>
      <c r="C1" s="30" t="s">
        <v>93</v>
      </c>
      <c r="D1" s="30" t="s">
        <v>135</v>
      </c>
    </row>
    <row r="2" spans="1:4" x14ac:dyDescent="0.3">
      <c r="A2" s="9"/>
      <c r="B2" t="s">
        <v>101</v>
      </c>
      <c r="C2" s="9" t="str">
        <f ca="1">'7.MENG'!A3</f>
        <v>7.MENG</v>
      </c>
      <c r="D2" s="9" t="s">
        <v>139</v>
      </c>
    </row>
    <row r="3" spans="1:4" x14ac:dyDescent="0.3">
      <c r="C3" s="26"/>
    </row>
    <row r="4" spans="1:4" x14ac:dyDescent="0.3">
      <c r="A4" s="30" t="s">
        <v>130</v>
      </c>
      <c r="B4" s="31"/>
    </row>
    <row r="5" spans="1:4" x14ac:dyDescent="0.3">
      <c r="A5" s="9"/>
      <c r="B5" t="s">
        <v>147</v>
      </c>
    </row>
    <row r="7" spans="1:4" x14ac:dyDescent="0.3">
      <c r="A7" s="30" t="s">
        <v>129</v>
      </c>
      <c r="B7" s="31"/>
    </row>
    <row r="8" spans="1:4" x14ac:dyDescent="0.3">
      <c r="A8" s="9"/>
      <c r="B8" t="s">
        <v>155</v>
      </c>
      <c r="C8" s="29" t="s">
        <v>131</v>
      </c>
    </row>
    <row r="10" spans="1:4" x14ac:dyDescent="0.3">
      <c r="A10" s="30" t="s">
        <v>102</v>
      </c>
      <c r="B10" s="31"/>
      <c r="C10" s="30" t="s">
        <v>126</v>
      </c>
    </row>
    <row r="11" spans="1:4" x14ac:dyDescent="0.3">
      <c r="A11" s="9"/>
      <c r="B11" t="s">
        <v>153</v>
      </c>
      <c r="C11" s="9"/>
    </row>
    <row r="12" spans="1:4" x14ac:dyDescent="0.3">
      <c r="A12" s="9"/>
      <c r="B12" s="9"/>
      <c r="C12" s="9"/>
    </row>
    <row r="13" spans="1:4" ht="15.75" customHeight="1" x14ac:dyDescent="0.3">
      <c r="A13" s="9"/>
      <c r="B13" s="9"/>
      <c r="C13" s="9"/>
    </row>
    <row r="14" spans="1:4" x14ac:dyDescent="0.3">
      <c r="A14" s="9"/>
      <c r="B14" s="9"/>
      <c r="C14" s="9"/>
    </row>
    <row r="15" spans="1:4" x14ac:dyDescent="0.3">
      <c r="A15" s="9"/>
      <c r="B15" s="9"/>
      <c r="C15" s="9"/>
    </row>
    <row r="16" spans="1:4" x14ac:dyDescent="0.3">
      <c r="A16" s="9"/>
      <c r="B16" s="9"/>
      <c r="C16" s="9"/>
    </row>
    <row r="17" spans="1:3" x14ac:dyDescent="0.3">
      <c r="A17" s="9"/>
      <c r="B17" s="9"/>
      <c r="C17" s="9"/>
    </row>
    <row r="18" spans="1:3" x14ac:dyDescent="0.3">
      <c r="A18" s="9"/>
      <c r="B18" s="9"/>
      <c r="C18" s="9"/>
    </row>
    <row r="19" spans="1:3" x14ac:dyDescent="0.3">
      <c r="A19" s="9"/>
      <c r="B19" s="9"/>
      <c r="C19" s="9"/>
    </row>
    <row r="20" spans="1:3" x14ac:dyDescent="0.3">
      <c r="A20" s="9"/>
      <c r="B20" s="9"/>
      <c r="C20" s="9"/>
    </row>
    <row r="21" spans="1:3" x14ac:dyDescent="0.3">
      <c r="A21" s="9"/>
      <c r="B21" s="9"/>
      <c r="C21" s="9"/>
    </row>
    <row r="22" spans="1:3" x14ac:dyDescent="0.3">
      <c r="A22" s="9"/>
      <c r="B22" s="9"/>
      <c r="C22"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outon1">
              <controlPr defaultSize="0" print="0" autoFill="0" autoPict="0" macro="[0]!Feuil20.CommandButton1">
                <anchor moveWithCells="1" sizeWithCells="1">
                  <from>
                    <xdr:col>0</xdr:col>
                    <xdr:colOff>22860</xdr:colOff>
                    <xdr:row>1</xdr:row>
                    <xdr:rowOff>7620</xdr:rowOff>
                  </from>
                  <to>
                    <xdr:col>0</xdr:col>
                    <xdr:colOff>289560</xdr:colOff>
                    <xdr:row>1</xdr:row>
                    <xdr:rowOff>182880</xdr:rowOff>
                  </to>
                </anchor>
              </controlPr>
            </control>
          </mc:Choice>
        </mc:AlternateContent>
        <mc:AlternateContent xmlns:mc="http://schemas.openxmlformats.org/markup-compatibility/2006">
          <mc:Choice Requires="x14">
            <control shapeId="23554" r:id="rId5" name="Button 2">
              <controlPr defaultSize="0" print="0" autoFill="0" autoPict="0" macro="[0]!Feuil20.CommandButton3">
                <anchor moveWithCells="1" sizeWithCells="1">
                  <from>
                    <xdr:col>0</xdr:col>
                    <xdr:colOff>22860</xdr:colOff>
                    <xdr:row>7</xdr:row>
                    <xdr:rowOff>7620</xdr:rowOff>
                  </from>
                  <to>
                    <xdr:col>0</xdr:col>
                    <xdr:colOff>289560</xdr:colOff>
                    <xdr:row>7</xdr:row>
                    <xdr:rowOff>182880</xdr:rowOff>
                  </to>
                </anchor>
              </controlPr>
            </control>
          </mc:Choice>
        </mc:AlternateContent>
        <mc:AlternateContent xmlns:mc="http://schemas.openxmlformats.org/markup-compatibility/2006">
          <mc:Choice Requires="x14">
            <control shapeId="23555" r:id="rId6" name="Button 3">
              <controlPr defaultSize="0" print="0" autoFill="0" autoPict="0" macro="[0]!Feuil20.CommandButton4">
                <anchor moveWithCells="1" sizeWithCells="1">
                  <from>
                    <xdr:col>0</xdr:col>
                    <xdr:colOff>22860</xdr:colOff>
                    <xdr:row>10</xdr:row>
                    <xdr:rowOff>7620</xdr:rowOff>
                  </from>
                  <to>
                    <xdr:col>0</xdr:col>
                    <xdr:colOff>289560</xdr:colOff>
                    <xdr:row>10</xdr:row>
                    <xdr:rowOff>182880</xdr:rowOff>
                  </to>
                </anchor>
              </controlPr>
            </control>
          </mc:Choice>
        </mc:AlternateContent>
        <mc:AlternateContent xmlns:mc="http://schemas.openxmlformats.org/markup-compatibility/2006">
          <mc:Choice Requires="x14">
            <control shapeId="23556" r:id="rId7" name="Button 4">
              <controlPr defaultSize="0" print="0" autoFill="0" autoPict="0" macro="[0]!Feuil20.CommandButton5">
                <anchor moveWithCells="1" sizeWithCells="1">
                  <from>
                    <xdr:col>0</xdr:col>
                    <xdr:colOff>22860</xdr:colOff>
                    <xdr:row>11</xdr:row>
                    <xdr:rowOff>7620</xdr:rowOff>
                  </from>
                  <to>
                    <xdr:col>0</xdr:col>
                    <xdr:colOff>289560</xdr:colOff>
                    <xdr:row>11</xdr:row>
                    <xdr:rowOff>182880</xdr:rowOff>
                  </to>
                </anchor>
              </controlPr>
            </control>
          </mc:Choice>
        </mc:AlternateContent>
        <mc:AlternateContent xmlns:mc="http://schemas.openxmlformats.org/markup-compatibility/2006">
          <mc:Choice Requires="x14">
            <control shapeId="23558" r:id="rId8" name="Button 6">
              <controlPr defaultSize="0" print="0" autoFill="0" autoPict="0" macro="[0]!Feuil20.CommandButton2">
                <anchor moveWithCells="1" sizeWithCells="1">
                  <from>
                    <xdr:col>0</xdr:col>
                    <xdr:colOff>22860</xdr:colOff>
                    <xdr:row>4</xdr:row>
                    <xdr:rowOff>7620</xdr:rowOff>
                  </from>
                  <to>
                    <xdr:col>0</xdr:col>
                    <xdr:colOff>289560</xdr:colOff>
                    <xdr:row>4</xdr:row>
                    <xdr:rowOff>182880</xdr:rowOff>
                  </to>
                </anchor>
              </controlPr>
            </control>
          </mc:Choice>
        </mc:AlternateContent>
        <mc:AlternateContent xmlns:mc="http://schemas.openxmlformats.org/markup-compatibility/2006">
          <mc:Choice Requires="x14">
            <control shapeId="23560" r:id="rId9" name="Button 8">
              <controlPr defaultSize="0" print="0" autoFill="0" autoPict="0" macro="[0]!Feuil20.CommandButton6">
                <anchor moveWithCells="1" sizeWithCells="1">
                  <from>
                    <xdr:col>0</xdr:col>
                    <xdr:colOff>22860</xdr:colOff>
                    <xdr:row>12</xdr:row>
                    <xdr:rowOff>7620</xdr:rowOff>
                  </from>
                  <to>
                    <xdr:col>0</xdr:col>
                    <xdr:colOff>289560</xdr:colOff>
                    <xdr:row>12</xdr:row>
                    <xdr:rowOff>182880</xdr:rowOff>
                  </to>
                </anchor>
              </controlPr>
            </control>
          </mc:Choice>
        </mc:AlternateContent>
        <mc:AlternateContent xmlns:mc="http://schemas.openxmlformats.org/markup-compatibility/2006">
          <mc:Choice Requires="x14">
            <control shapeId="23561" r:id="rId10" name="Button 9">
              <controlPr defaultSize="0" print="0" autoFill="0" autoPict="0" macro="[0]!Feuil20.CommandButton7">
                <anchor moveWithCells="1" sizeWithCells="1">
                  <from>
                    <xdr:col>0</xdr:col>
                    <xdr:colOff>22860</xdr:colOff>
                    <xdr:row>13</xdr:row>
                    <xdr:rowOff>7620</xdr:rowOff>
                  </from>
                  <to>
                    <xdr:col>0</xdr:col>
                    <xdr:colOff>289560</xdr:colOff>
                    <xdr:row>13</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list!$B$3:$B$11</xm:f>
          </x14:formula1>
          <xm:sqref>C11:C22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1">
    <tabColor rgb="FF00B0F0"/>
    <pageSetUpPr autoPageBreaks="0" fitToPage="1"/>
  </sheetPr>
  <dimension ref="A1:AD1002"/>
  <sheetViews>
    <sheetView tabSelected="1" topLeftCell="D1" zoomScale="85" zoomScaleNormal="85" workbookViewId="0">
      <pane ySplit="2" topLeftCell="A3" activePane="bottomLeft" state="frozenSplit"/>
      <selection pane="bottomLeft" activeCell="M54" sqref="M54"/>
    </sheetView>
  </sheetViews>
  <sheetFormatPr baseColWidth="10" defaultColWidth="9.109375" defaultRowHeight="14.4" x14ac:dyDescent="0.3"/>
  <cols>
    <col min="1" max="1" width="7.5546875" style="58" hidden="1" customWidth="1"/>
    <col min="2" max="2" width="5" style="58" hidden="1" customWidth="1"/>
    <col min="3" max="3" width="4.109375" style="35" hidden="1" customWidth="1"/>
    <col min="4" max="4" width="25.5546875" style="35" customWidth="1"/>
    <col min="5" max="5" width="6.44140625" style="35" customWidth="1"/>
    <col min="6" max="6" width="13.6640625" style="35" customWidth="1"/>
    <col min="7" max="7" width="40.33203125" style="35" bestFit="1" customWidth="1"/>
    <col min="8" max="9" width="9.6640625" style="35" customWidth="1"/>
    <col min="10" max="10" width="10.109375" style="35" customWidth="1"/>
    <col min="11" max="11" width="8" style="35" customWidth="1"/>
    <col min="12" max="12" width="7.5546875" style="35" customWidth="1"/>
    <col min="13" max="13" width="57.44140625" style="35" bestFit="1" customWidth="1"/>
    <col min="14" max="14" width="11.88671875" style="35" customWidth="1"/>
    <col min="15" max="15" width="7.6640625" style="35" customWidth="1"/>
    <col min="16" max="16" width="9.6640625" style="35" customWidth="1"/>
    <col min="17" max="17" width="7.5546875" style="35" customWidth="1"/>
    <col min="18" max="18" width="7.44140625" style="35" customWidth="1"/>
    <col min="19" max="19" width="13.33203125" style="59" bestFit="1" customWidth="1"/>
    <col min="20" max="20" width="9.44140625" style="59" customWidth="1"/>
    <col min="21" max="21" width="9" style="35" customWidth="1"/>
    <col min="22" max="22" width="15.5546875" style="35" customWidth="1"/>
    <col min="23" max="23" width="8.44140625" style="50" hidden="1" customWidth="1"/>
    <col min="24" max="25" width="6.109375" style="35" customWidth="1"/>
    <col min="26" max="26" width="12.33203125" style="35" hidden="1" customWidth="1"/>
    <col min="27" max="27" width="11.88671875" style="60" bestFit="1" customWidth="1"/>
    <col min="28" max="28" width="12.33203125" style="60" customWidth="1"/>
    <col min="29" max="29" width="9.6640625" style="35" hidden="1" customWidth="1"/>
    <col min="30" max="30" width="40.44140625" style="35" hidden="1" customWidth="1"/>
    <col min="31" max="38" width="9.109375" style="35"/>
    <col min="39" max="39" width="10.6640625" style="35" bestFit="1" customWidth="1"/>
    <col min="40" max="16384" width="9.109375" style="35"/>
  </cols>
  <sheetData>
    <row r="1" spans="1:30" ht="41.25" customHeight="1" x14ac:dyDescent="0.3">
      <c r="A1" s="67"/>
      <c r="B1" s="32"/>
      <c r="C1" s="32"/>
      <c r="D1" s="32"/>
      <c r="E1" s="32"/>
      <c r="F1" s="32"/>
      <c r="G1" s="32"/>
      <c r="H1" s="32"/>
      <c r="I1" s="32"/>
      <c r="J1" s="32"/>
      <c r="K1" s="32"/>
      <c r="L1" s="32"/>
      <c r="M1" s="33" t="s">
        <v>14</v>
      </c>
      <c r="N1" s="32"/>
      <c r="O1" s="32"/>
      <c r="P1" s="32"/>
      <c r="Q1" s="32"/>
      <c r="R1" s="32"/>
      <c r="S1" s="34"/>
      <c r="T1" s="33"/>
      <c r="U1" s="77" t="s">
        <v>58</v>
      </c>
      <c r="V1" s="78"/>
      <c r="W1" s="78"/>
      <c r="X1" s="78"/>
      <c r="Y1" s="78"/>
      <c r="Z1" s="79"/>
      <c r="AA1" s="80" t="s">
        <v>61</v>
      </c>
      <c r="AB1" s="81"/>
    </row>
    <row r="2" spans="1:30" s="43" customFormat="1" ht="72" x14ac:dyDescent="0.3">
      <c r="A2" s="36" t="s">
        <v>93</v>
      </c>
      <c r="B2" s="36" t="s">
        <v>96</v>
      </c>
      <c r="C2" s="36" t="s">
        <v>98</v>
      </c>
      <c r="D2" s="76" t="s">
        <v>99</v>
      </c>
      <c r="E2" s="72" t="s">
        <v>105</v>
      </c>
      <c r="F2" s="73" t="s">
        <v>149</v>
      </c>
      <c r="G2" s="73" t="s">
        <v>29</v>
      </c>
      <c r="H2" s="37" t="s">
        <v>94</v>
      </c>
      <c r="I2" s="37" t="s">
        <v>30</v>
      </c>
      <c r="J2" s="37" t="s">
        <v>133</v>
      </c>
      <c r="K2" s="37" t="s">
        <v>134</v>
      </c>
      <c r="L2" s="73" t="s">
        <v>31</v>
      </c>
      <c r="M2" s="73" t="s">
        <v>33</v>
      </c>
      <c r="N2" s="73" t="s">
        <v>32</v>
      </c>
      <c r="O2" s="37" t="s">
        <v>34</v>
      </c>
      <c r="P2" s="37" t="s">
        <v>11</v>
      </c>
      <c r="Q2" s="37" t="s">
        <v>12</v>
      </c>
      <c r="R2" s="37" t="s">
        <v>13</v>
      </c>
      <c r="S2" s="74" t="s">
        <v>81</v>
      </c>
      <c r="T2" s="38" t="s">
        <v>100</v>
      </c>
      <c r="U2" s="39" t="s">
        <v>106</v>
      </c>
      <c r="V2" s="39" t="s">
        <v>97</v>
      </c>
      <c r="W2" s="36" t="s">
        <v>25</v>
      </c>
      <c r="X2" s="75" t="s">
        <v>26</v>
      </c>
      <c r="Y2" s="75" t="s">
        <v>27</v>
      </c>
      <c r="Z2" s="36" t="s">
        <v>15</v>
      </c>
      <c r="AA2" s="40" t="s">
        <v>64</v>
      </c>
      <c r="AB2" s="41" t="s">
        <v>62</v>
      </c>
      <c r="AC2" s="42" t="s">
        <v>103</v>
      </c>
      <c r="AD2" s="42" t="s">
        <v>104</v>
      </c>
    </row>
    <row r="3" spans="1:30" x14ac:dyDescent="0.3">
      <c r="A3" s="44" t="str">
        <f t="shared" ref="A3:A64" ca="1" si="0">MID(CELL("filename",$A$1),FIND("]",CELL("filename",$A$1))+1,32)</f>
        <v>7.MENG</v>
      </c>
      <c r="B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OK</v>
      </c>
      <c r="C3" s="46"/>
      <c r="D3" s="44" t="s">
        <v>220</v>
      </c>
      <c r="E3" s="44" t="s">
        <v>141</v>
      </c>
      <c r="F3" s="44">
        <v>121248</v>
      </c>
      <c r="G3" s="44" t="s">
        <v>222</v>
      </c>
      <c r="H3" s="45">
        <v>35307</v>
      </c>
      <c r="I3" s="45">
        <v>70199</v>
      </c>
      <c r="J3" s="45">
        <v>523174</v>
      </c>
      <c r="K3" s="45">
        <v>1</v>
      </c>
      <c r="L3" s="46" t="s">
        <v>85</v>
      </c>
      <c r="M3" s="44" t="s">
        <v>140</v>
      </c>
      <c r="N3" s="46" t="s">
        <v>65</v>
      </c>
      <c r="O3" s="46"/>
      <c r="P3" s="47"/>
      <c r="Q3" s="46" t="s">
        <v>5</v>
      </c>
      <c r="R3" s="46" t="s">
        <v>3</v>
      </c>
      <c r="S3" s="48">
        <v>44754</v>
      </c>
      <c r="T3" s="68" t="str">
        <f>IF(Tableau1[[#This Row],[DMS_SAP]]="","",HYPERLINK(Tableau1[[#This Row],[Chemin fichier source]],"X"))</f>
        <v/>
      </c>
      <c r="U3" s="68" t="str">
        <f>IF(Tableau1[[#This Row],[Date rév.]]="","",HYPERLINK(Tableau1[[#This Row],[Lien document]],"X"))</f>
        <v/>
      </c>
      <c r="V3" s="47"/>
      <c r="W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Sap\Maintenance\PlanEntretien\7.MENG\VEHICULE ASTREINTE MECA\121248_35307.pdf</v>
      </c>
      <c r="X3" s="47">
        <v>4</v>
      </c>
      <c r="Y3" s="47">
        <v>1</v>
      </c>
      <c r="Z3" s="44" t="str">
        <f ca="1">IF(AND(Tableau1[[#This Row],[Charge]]&lt;&gt;0, Tableau1[[#This Row],[Nombre intervenants]]&lt;&gt;0,Tableau1[[#This Row],[Lien document]]&lt;&gt;0,Tableau1[[#This Row],[DMS_SAP]]&lt;&gt;0)=TRUE,"MIS A JOUR","")</f>
        <v/>
      </c>
      <c r="AA3" s="48"/>
      <c r="AB3" s="65" t="str">
        <f ca="1">IF(Tableau1[[#This Row],[Date rév.]]&lt;&gt;"", DAYS360(Tableau1[[#This Row],[Date rév.]],TODAY()),"")</f>
        <v/>
      </c>
      <c r="AC3" s="50" t="str">
        <f>IFERROR(INDEX(Chemin_accès!$B$11:$C$22,MATCH(Tableau1[[#This Row],[Type]],Chemin_accès!$C$11:$C$22,0),1),Chemin_accès!$B$11)</f>
        <v>\\stjn.local\trimet\Btechnique\Commun\Atelier Central mécanique\Plan entretien\Modèles préventif\GammeDMS_7.MENG.xlsm</v>
      </c>
      <c r="AD3" s="50" t="str">
        <f>Chemin_accès!$B$8&amp;Tableau1[[#This Row],[Localisation / Classement]]&amp;"\"&amp;Tableau1[[#This Row],[Poste technique ou N° d''équipement]]&amp;"_"&amp;Tableau1[[#This Row],[Plan Entretien]]&amp;".xlsm"</f>
        <v>\\stjn.local\trimet\Btechnique\Commun\Atelier Central mécanique\Plan entretien\GammeEntretien\VEHICULE ASTREINTE MECA\121248_35307.xlsm</v>
      </c>
    </row>
    <row r="4" spans="1:30" x14ac:dyDescent="0.3">
      <c r="A4" s="44"/>
      <c r="B4" s="45"/>
      <c r="C4" s="51"/>
      <c r="D4" s="44" t="s">
        <v>221</v>
      </c>
      <c r="E4" s="44" t="s">
        <v>141</v>
      </c>
      <c r="F4" s="44">
        <v>122867</v>
      </c>
      <c r="G4" s="47" t="s">
        <v>223</v>
      </c>
      <c r="H4" s="45"/>
      <c r="I4" s="45"/>
      <c r="J4" s="45"/>
      <c r="K4" s="45"/>
      <c r="L4" s="46"/>
      <c r="M4" s="44" t="s">
        <v>140</v>
      </c>
      <c r="N4" s="46" t="s">
        <v>65</v>
      </c>
      <c r="O4" s="46"/>
      <c r="P4" s="47"/>
      <c r="Q4" s="46"/>
      <c r="R4" s="46"/>
      <c r="S4" s="48">
        <v>45698</v>
      </c>
      <c r="T4" s="68"/>
      <c r="U4" s="68"/>
      <c r="V4" s="47"/>
      <c r="W4" s="49"/>
      <c r="X4" s="47">
        <v>4</v>
      </c>
      <c r="Y4" s="47">
        <v>1</v>
      </c>
      <c r="Z4" s="44"/>
      <c r="AA4" s="48"/>
      <c r="AB4" s="65"/>
      <c r="AC4" s="50"/>
      <c r="AD4" s="50"/>
    </row>
    <row r="5" spans="1:30" x14ac:dyDescent="0.3">
      <c r="A5" s="44" t="str">
        <f t="shared" ca="1" si="0"/>
        <v>7.MENG</v>
      </c>
      <c r="B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 s="51"/>
      <c r="D5" s="44" t="s">
        <v>148</v>
      </c>
      <c r="E5" s="44" t="s">
        <v>151</v>
      </c>
      <c r="F5" s="47">
        <v>121367</v>
      </c>
      <c r="G5" s="47" t="s">
        <v>152</v>
      </c>
      <c r="H5" s="45">
        <v>35674</v>
      </c>
      <c r="I5" s="45"/>
      <c r="J5" s="45"/>
      <c r="K5" s="45"/>
      <c r="L5" s="46" t="s">
        <v>37</v>
      </c>
      <c r="M5" s="44" t="s">
        <v>168</v>
      </c>
      <c r="N5" s="46" t="s">
        <v>65</v>
      </c>
      <c r="O5" s="46"/>
      <c r="P5" s="47"/>
      <c r="Q5" s="47"/>
      <c r="R5" s="47"/>
      <c r="S5" s="48">
        <v>44579</v>
      </c>
      <c r="T5" s="68" t="str">
        <f>IF(Tableau1[[#This Row],[DMS_SAP]]="","",HYPERLINK(Tableau1[[#This Row],[Chemin fichier source]],"X"))</f>
        <v/>
      </c>
      <c r="U5" s="68" t="str">
        <f>IF(Tableau1[[#This Row],[Date rév.]]="","",HYPERLINK(Tableau1[[#This Row],[Lien document]],"X"))</f>
        <v/>
      </c>
      <c r="V5" s="47"/>
      <c r="W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Sap\Maintenance\PlanEntretien\7.MENG\TRANSPORTEUR DE METAL\121367_35674.pdf</v>
      </c>
      <c r="X5" s="47">
        <v>4</v>
      </c>
      <c r="Y5" s="47">
        <v>1</v>
      </c>
      <c r="Z5" s="44"/>
      <c r="AA5" s="48"/>
      <c r="AB5" s="65" t="str">
        <f ca="1">IF(Tableau1[[#This Row],[Date rév.]]&lt;&gt;"", DAYS360(Tableau1[[#This Row],[Date rév.]],TODAY()),"")</f>
        <v/>
      </c>
      <c r="AC5" s="50" t="str">
        <f>IFERROR(INDEX(Chemin_accès!$B$11:$C$22,MATCH(Tableau1[[#This Row],[Type]],Chemin_accès!$C$11:$C$22,0),1),Chemin_accès!$B$11)</f>
        <v>\\stjn.local\trimet\Btechnique\Commun\Atelier Central mécanique\Plan entretien\Modèles préventif\GammeDMS_7.MENG.xlsm</v>
      </c>
      <c r="AD5" s="50" t="str">
        <f>Chemin_accès!$B$8&amp;Tableau1[[#This Row],[Localisation / Classement]]&amp;"\"&amp;Tableau1[[#This Row],[Poste technique ou N° d''équipement]]&amp;"_"&amp;Tableau1[[#This Row],[Plan Entretien]]&amp;".xlsm"</f>
        <v>\\stjn.local\trimet\Btechnique\Commun\Atelier Central mécanique\Plan entretien\GammeEntretien\TRANSPORTEUR DE METAL\121367_35674.xlsm</v>
      </c>
    </row>
    <row r="6" spans="1:30" x14ac:dyDescent="0.3">
      <c r="A6" s="44" t="str">
        <f t="shared" ca="1" si="0"/>
        <v>7.MENG</v>
      </c>
      <c r="B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 s="51"/>
      <c r="D6" s="44" t="s">
        <v>148</v>
      </c>
      <c r="E6" s="44" t="s">
        <v>151</v>
      </c>
      <c r="F6" s="47">
        <v>121367</v>
      </c>
      <c r="G6" s="47" t="s">
        <v>152</v>
      </c>
      <c r="H6" s="45">
        <v>35673</v>
      </c>
      <c r="I6" s="45"/>
      <c r="J6" s="45"/>
      <c r="K6" s="45"/>
      <c r="L6" s="46" t="s">
        <v>85</v>
      </c>
      <c r="M6" s="44" t="s">
        <v>169</v>
      </c>
      <c r="N6" s="46" t="s">
        <v>65</v>
      </c>
      <c r="O6" s="46"/>
      <c r="P6" s="47"/>
      <c r="Q6" s="46"/>
      <c r="R6" s="46"/>
      <c r="S6" s="48">
        <v>44579</v>
      </c>
      <c r="T6" s="68" t="str">
        <f>IF(Tableau1[[#This Row],[DMS_SAP]]="","",HYPERLINK(Tableau1[[#This Row],[Chemin fichier source]],"X"))</f>
        <v/>
      </c>
      <c r="U6" s="68" t="str">
        <f>IF(Tableau1[[#This Row],[Date rév.]]="","",HYPERLINK(Tableau1[[#This Row],[Lien document]],"X"))</f>
        <v/>
      </c>
      <c r="V6" s="47"/>
      <c r="W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Sap\Maintenance\PlanEntretien\7.MENG\TRANSPORTEUR DE METAL\121367_35673.pdf</v>
      </c>
      <c r="X6" s="47">
        <v>4</v>
      </c>
      <c r="Y6" s="47">
        <v>1</v>
      </c>
      <c r="Z6" s="44" t="str">
        <f ca="1">IF(AND(Tableau1[[#This Row],[Charge]]&lt;&gt;0, Tableau1[[#This Row],[Nombre intervenants]]&lt;&gt;0,Tableau1[[#This Row],[Lien document]]&lt;&gt;0,Tableau1[[#This Row],[DMS_SAP]]&lt;&gt;0)=TRUE,"MIS A JOUR","")</f>
        <v/>
      </c>
      <c r="AA6" s="48"/>
      <c r="AB6" s="65" t="str">
        <f ca="1">IF(Tableau1[[#This Row],[Date rév.]]&lt;&gt;"", DAYS360(Tableau1[[#This Row],[Date rév.]],TODAY()),"")</f>
        <v/>
      </c>
      <c r="AC6" s="50" t="str">
        <f>IFERROR(INDEX(Chemin_accès!$B$11:$C$22,MATCH(Tableau1[[#This Row],[Type]],Chemin_accès!$C$11:$C$22,0),1),Chemin_accès!$B$11)</f>
        <v>\\stjn.local\trimet\Btechnique\Commun\Atelier Central mécanique\Plan entretien\Modèles préventif\GammeDMS_7.MENG.xlsm</v>
      </c>
      <c r="AD6" s="50" t="str">
        <f>Chemin_accès!$B$8&amp;Tableau1[[#This Row],[Localisation / Classement]]&amp;"\"&amp;Tableau1[[#This Row],[Poste technique ou N° d''équipement]]&amp;"_"&amp;Tableau1[[#This Row],[Plan Entretien]]&amp;".xlsm"</f>
        <v>\\stjn.local\trimet\Btechnique\Commun\Atelier Central mécanique\Plan entretien\GammeEntretien\TRANSPORTEUR DE METAL\121367_35673.xlsm</v>
      </c>
    </row>
    <row r="7" spans="1:30" x14ac:dyDescent="0.3">
      <c r="A7" s="44" t="str">
        <f t="shared" ca="1" si="0"/>
        <v>7.MENG</v>
      </c>
      <c r="B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 s="51"/>
      <c r="D7" s="44" t="s">
        <v>148</v>
      </c>
      <c r="E7" s="44" t="s">
        <v>151</v>
      </c>
      <c r="F7" s="44">
        <v>121367</v>
      </c>
      <c r="G7" s="44" t="s">
        <v>152</v>
      </c>
      <c r="H7" s="45">
        <v>35675</v>
      </c>
      <c r="I7" s="45"/>
      <c r="J7" s="45"/>
      <c r="K7" s="45"/>
      <c r="L7" s="46" t="s">
        <v>86</v>
      </c>
      <c r="M7" s="44" t="s">
        <v>170</v>
      </c>
      <c r="N7" s="46" t="s">
        <v>65</v>
      </c>
      <c r="O7" s="46"/>
      <c r="P7" s="47"/>
      <c r="Q7" s="46"/>
      <c r="R7" s="46"/>
      <c r="S7" s="48">
        <v>44579</v>
      </c>
      <c r="T7" s="68" t="str">
        <f>IF(Tableau1[[#This Row],[DMS_SAP]]="","",HYPERLINK(Tableau1[[#This Row],[Chemin fichier source]],"X"))</f>
        <v/>
      </c>
      <c r="U7" s="68" t="str">
        <f>IF(Tableau1[[#This Row],[Date rév.]]="","",HYPERLINK(Tableau1[[#This Row],[Lien document]],"X"))</f>
        <v/>
      </c>
      <c r="V7" s="47"/>
      <c r="W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Sap\Maintenance\PlanEntretien\7.MENG\TRANSPORTEUR DE METAL\121367_35675.pdf</v>
      </c>
      <c r="X7" s="47">
        <v>8</v>
      </c>
      <c r="Y7" s="47">
        <v>1</v>
      </c>
      <c r="Z7" s="44" t="str">
        <f ca="1">IF(AND(Tableau1[[#This Row],[Charge]]&lt;&gt;0, Tableau1[[#This Row],[Nombre intervenants]]&lt;&gt;0,Tableau1[[#This Row],[Lien document]]&lt;&gt;0,Tableau1[[#This Row],[DMS_SAP]]&lt;&gt;0)=TRUE,"MIS A JOUR","")</f>
        <v/>
      </c>
      <c r="AA7" s="48"/>
      <c r="AB7" s="65" t="str">
        <f ca="1">IF(Tableau1[[#This Row],[Date rév.]]&lt;&gt;"", DAYS360(Tableau1[[#This Row],[Date rév.]],TODAY()),"")</f>
        <v/>
      </c>
      <c r="AC7" s="50" t="str">
        <f>IFERROR(INDEX(Chemin_accès!$B$11:$C$22,MATCH(Tableau1[[#This Row],[Type]],Chemin_accès!$C$11:$C$22,0),1),Chemin_accès!$B$11)</f>
        <v>\\stjn.local\trimet\Btechnique\Commun\Atelier Central mécanique\Plan entretien\Modèles préventif\GammeDMS_7.MENG.xlsm</v>
      </c>
      <c r="AD7" s="50" t="str">
        <f>Chemin_accès!$B$8&amp;Tableau1[[#This Row],[Localisation / Classement]]&amp;"\"&amp;Tableau1[[#This Row],[Poste technique ou N° d''équipement]]&amp;"_"&amp;Tableau1[[#This Row],[Plan Entretien]]&amp;".xlsm"</f>
        <v>\\stjn.local\trimet\Btechnique\Commun\Atelier Central mécanique\Plan entretien\GammeEntretien\TRANSPORTEUR DE METAL\121367_35675.xlsm</v>
      </c>
    </row>
    <row r="8" spans="1:30" x14ac:dyDescent="0.3">
      <c r="A8" s="44" t="str">
        <f t="shared" ca="1" si="0"/>
        <v>7.MENG</v>
      </c>
      <c r="B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 s="51"/>
      <c r="D8" s="44" t="s">
        <v>148</v>
      </c>
      <c r="E8" s="44" t="s">
        <v>151</v>
      </c>
      <c r="F8" s="47" t="s">
        <v>158</v>
      </c>
      <c r="G8" s="47" t="s">
        <v>157</v>
      </c>
      <c r="H8" s="45"/>
      <c r="I8" s="52"/>
      <c r="J8" s="45"/>
      <c r="K8" s="45"/>
      <c r="L8" s="46" t="s">
        <v>37</v>
      </c>
      <c r="M8" s="44" t="s">
        <v>171</v>
      </c>
      <c r="N8" s="46" t="s">
        <v>65</v>
      </c>
      <c r="O8" s="46"/>
      <c r="P8" s="47"/>
      <c r="Q8" s="46"/>
      <c r="R8" s="46"/>
      <c r="S8" s="48">
        <v>44579</v>
      </c>
      <c r="T8" s="68" t="str">
        <f>IF(Tableau1[[#This Row],[DMS_SAP]]="","",HYPERLINK(Tableau1[[#This Row],[Chemin fichier source]],"X"))</f>
        <v/>
      </c>
      <c r="U8" s="68" t="str">
        <f>IF(Tableau1[[#This Row],[Date rév.]]="","",HYPERLINK(Tableau1[[#This Row],[Lien document]],"X"))</f>
        <v/>
      </c>
      <c r="V8" s="47"/>
      <c r="W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Sap\Maintenance\PlanEntretien\7.MENG\TRANSPORTEUR DE METAL\T200-X010_.pdf</v>
      </c>
      <c r="X8" s="47">
        <v>4</v>
      </c>
      <c r="Y8" s="47">
        <v>1</v>
      </c>
      <c r="Z8" s="44" t="str">
        <f ca="1">IF(AND(Tableau1[[#This Row],[Charge]]&lt;&gt;0, Tableau1[[#This Row],[Nombre intervenants]]&lt;&gt;0,Tableau1[[#This Row],[Lien document]]&lt;&gt;0,Tableau1[[#This Row],[DMS_SAP]]&lt;&gt;0)=TRUE,"MIS A JOUR","")</f>
        <v/>
      </c>
      <c r="AA8" s="48"/>
      <c r="AB8" s="65" t="str">
        <f ca="1">IF(Tableau1[[#This Row],[Date rév.]]&lt;&gt;"", DAYS360(Tableau1[[#This Row],[Date rév.]],TODAY()),"")</f>
        <v/>
      </c>
      <c r="AC8" s="50" t="str">
        <f>IFERROR(INDEX(Chemin_accès!$B$11:$C$22,MATCH(Tableau1[[#This Row],[Type]],Chemin_accès!$C$11:$C$22,0),1),Chemin_accès!$B$11)</f>
        <v>\\stjn.local\trimet\Btechnique\Commun\Atelier Central mécanique\Plan entretien\Modèles préventif\GammeDMS_7.MENG.xlsm</v>
      </c>
      <c r="AD8" s="50" t="str">
        <f>Chemin_accès!$B$8&amp;Tableau1[[#This Row],[Localisation / Classement]]&amp;"\"&amp;Tableau1[[#This Row],[Poste technique ou N° d''équipement]]&amp;"_"&amp;Tableau1[[#This Row],[Plan Entretien]]&amp;".xlsm"</f>
        <v>\\stjn.local\trimet\Btechnique\Commun\Atelier Central mécanique\Plan entretien\GammeEntretien\TRANSPORTEUR DE METAL\T200-X010_.xlsm</v>
      </c>
    </row>
    <row r="9" spans="1:30" x14ac:dyDescent="0.3">
      <c r="A9" s="44" t="str">
        <f t="shared" ca="1" si="0"/>
        <v>7.MENG</v>
      </c>
      <c r="B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OK</v>
      </c>
      <c r="C9" s="51" t="s">
        <v>154</v>
      </c>
      <c r="D9" s="44" t="s">
        <v>148</v>
      </c>
      <c r="E9" s="44" t="s">
        <v>151</v>
      </c>
      <c r="F9" s="47" t="s">
        <v>158</v>
      </c>
      <c r="G9" s="47" t="s">
        <v>157</v>
      </c>
      <c r="H9" s="45">
        <v>35672</v>
      </c>
      <c r="I9" s="52">
        <v>70578</v>
      </c>
      <c r="J9" s="45">
        <v>523293</v>
      </c>
      <c r="K9" s="45">
        <v>2</v>
      </c>
      <c r="L9" s="46" t="s">
        <v>85</v>
      </c>
      <c r="M9" s="44" t="s">
        <v>172</v>
      </c>
      <c r="N9" s="46" t="s">
        <v>65</v>
      </c>
      <c r="O9" s="46"/>
      <c r="P9" s="47"/>
      <c r="Q9" s="46"/>
      <c r="R9" s="46"/>
      <c r="S9" s="48">
        <v>44579</v>
      </c>
      <c r="T9" s="68" t="str">
        <f>IF(Tableau1[[#This Row],[DMS_SAP]]="","",HYPERLINK(Tableau1[[#This Row],[Chemin fichier source]],"X"))</f>
        <v>X</v>
      </c>
      <c r="U9" s="68" t="str">
        <f>IF(Tableau1[[#This Row],[Date rév.]]="","",HYPERLINK(Tableau1[[#This Row],[Lien document]],"X"))</f>
        <v/>
      </c>
      <c r="V9" s="47" t="s">
        <v>213</v>
      </c>
      <c r="W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Sap\Maintenance\PlanEntretien\7.MENG\TRANSPORTEUR DE METAL\T200-X010_35672.pdf</v>
      </c>
      <c r="X9" s="47">
        <v>4</v>
      </c>
      <c r="Y9" s="47">
        <v>1</v>
      </c>
      <c r="Z9" s="44" t="str">
        <f ca="1">IF(AND(Tableau1[[#This Row],[Charge]]&lt;&gt;0, Tableau1[[#This Row],[Nombre intervenants]]&lt;&gt;0,Tableau1[[#This Row],[Lien document]]&lt;&gt;0,Tableau1[[#This Row],[DMS_SAP]]&lt;&gt;0)=TRUE,"MIS A JOUR","")</f>
        <v>MIS A JOUR</v>
      </c>
      <c r="AA9" s="48"/>
      <c r="AB9" s="65" t="str">
        <f ca="1">IF(Tableau1[[#This Row],[Date rév.]]&lt;&gt;"", DAYS360(Tableau1[[#This Row],[Date rév.]],TODAY()),"")</f>
        <v/>
      </c>
      <c r="AC9" s="50" t="str">
        <f>IFERROR(INDEX(Chemin_accès!$B$11:$C$22,MATCH(Tableau1[[#This Row],[Type]],Chemin_accès!$C$11:$C$22,0),1),Chemin_accès!$B$11)</f>
        <v>\\stjn.local\trimet\Btechnique\Commun\Atelier Central mécanique\Plan entretien\Modèles préventif\GammeDMS_7.MENG.xlsm</v>
      </c>
      <c r="AD9" s="50" t="str">
        <f>Chemin_accès!$B$8&amp;Tableau1[[#This Row],[Localisation / Classement]]&amp;"\"&amp;Tableau1[[#This Row],[Poste technique ou N° d''équipement]]&amp;"_"&amp;Tableau1[[#This Row],[Plan Entretien]]&amp;".xlsm"</f>
        <v>\\stjn.local\trimet\Btechnique\Commun\Atelier Central mécanique\Plan entretien\GammeEntretien\TRANSPORTEUR DE METAL\T200-X010_35672.xlsm</v>
      </c>
    </row>
    <row r="10" spans="1:30" x14ac:dyDescent="0.3">
      <c r="A10" s="44" t="str">
        <f t="shared" ca="1" si="0"/>
        <v>7.MENG</v>
      </c>
      <c r="B1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0" s="51"/>
      <c r="D10" s="44" t="s">
        <v>148</v>
      </c>
      <c r="E10" s="44" t="s">
        <v>151</v>
      </c>
      <c r="F10" s="47" t="s">
        <v>158</v>
      </c>
      <c r="G10" s="47" t="s">
        <v>157</v>
      </c>
      <c r="H10" s="45"/>
      <c r="I10" s="52"/>
      <c r="J10" s="45"/>
      <c r="K10" s="45"/>
      <c r="L10" s="46" t="s">
        <v>86</v>
      </c>
      <c r="M10" s="44" t="s">
        <v>173</v>
      </c>
      <c r="N10" s="46" t="s">
        <v>65</v>
      </c>
      <c r="O10" s="46"/>
      <c r="P10" s="47"/>
      <c r="Q10" s="46"/>
      <c r="R10" s="46"/>
      <c r="S10" s="48">
        <v>44579</v>
      </c>
      <c r="T10" s="68" t="str">
        <f>IF(Tableau1[[#This Row],[DMS_SAP]]="","",HYPERLINK(Tableau1[[#This Row],[Chemin fichier source]],"X"))</f>
        <v/>
      </c>
      <c r="U10" s="68" t="str">
        <f>IF(Tableau1[[#This Row],[Date rév.]]="","",HYPERLINK(Tableau1[[#This Row],[Lien document]],"X"))</f>
        <v/>
      </c>
      <c r="V10" s="47"/>
      <c r="W1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Sap\Maintenance\PlanEntretien\7.MENG\TRANSPORTEUR DE METAL\T200-X010_.pdf</v>
      </c>
      <c r="X10" s="47">
        <v>8</v>
      </c>
      <c r="Y10" s="47">
        <v>1</v>
      </c>
      <c r="Z10" s="44" t="str">
        <f ca="1">IF(AND(Tableau1[[#This Row],[Charge]]&lt;&gt;0, Tableau1[[#This Row],[Nombre intervenants]]&lt;&gt;0,Tableau1[[#This Row],[Lien document]]&lt;&gt;0,Tableau1[[#This Row],[DMS_SAP]]&lt;&gt;0)=TRUE,"MIS A JOUR","")</f>
        <v/>
      </c>
      <c r="AA10" s="48"/>
      <c r="AB10" s="65" t="str">
        <f ca="1">IF(Tableau1[[#This Row],[Date rév.]]&lt;&gt;"", DAYS360(Tableau1[[#This Row],[Date rév.]],TODAY()),"")</f>
        <v/>
      </c>
      <c r="AC10" s="50" t="str">
        <f>IFERROR(INDEX(Chemin_accès!$B$11:$C$22,MATCH(Tableau1[[#This Row],[Type]],Chemin_accès!$C$11:$C$22,0),1),Chemin_accès!$B$11)</f>
        <v>\\stjn.local\trimet\Btechnique\Commun\Atelier Central mécanique\Plan entretien\Modèles préventif\GammeDMS_7.MENG.xlsm</v>
      </c>
      <c r="AD10" s="50" t="str">
        <f>Chemin_accès!$B$8&amp;Tableau1[[#This Row],[Localisation / Classement]]&amp;"\"&amp;Tableau1[[#This Row],[Poste technique ou N° d''équipement]]&amp;"_"&amp;Tableau1[[#This Row],[Plan Entretien]]&amp;".xlsm"</f>
        <v>\\stjn.local\trimet\Btechnique\Commun\Atelier Central mécanique\Plan entretien\GammeEntretien\TRANSPORTEUR DE METAL\T200-X010_.xlsm</v>
      </c>
    </row>
    <row r="11" spans="1:30" x14ac:dyDescent="0.3">
      <c r="A11" s="44" t="str">
        <f t="shared" ca="1" si="0"/>
        <v>7.MENG</v>
      </c>
      <c r="B1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1" s="51"/>
      <c r="D11" s="44" t="s">
        <v>148</v>
      </c>
      <c r="E11" s="44" t="s">
        <v>151</v>
      </c>
      <c r="F11" s="47" t="s">
        <v>162</v>
      </c>
      <c r="G11" s="47" t="s">
        <v>159</v>
      </c>
      <c r="H11" s="45"/>
      <c r="I11" s="52"/>
      <c r="J11" s="45"/>
      <c r="K11" s="45"/>
      <c r="L11" s="46" t="s">
        <v>37</v>
      </c>
      <c r="M11" s="44" t="s">
        <v>174</v>
      </c>
      <c r="N11" s="46" t="s">
        <v>65</v>
      </c>
      <c r="O11" s="46"/>
      <c r="P11" s="47"/>
      <c r="Q11" s="46"/>
      <c r="R11" s="46"/>
      <c r="S11" s="48">
        <v>44579</v>
      </c>
      <c r="T11" s="68" t="str">
        <f>IF(Tableau1[[#This Row],[DMS_SAP]]="","",HYPERLINK(Tableau1[[#This Row],[Chemin fichier source]],"X"))</f>
        <v/>
      </c>
      <c r="U11" s="68" t="str">
        <f>IF(Tableau1[[#This Row],[Date rév.]]="","",HYPERLINK(Tableau1[[#This Row],[Lien document]],"X"))</f>
        <v/>
      </c>
      <c r="V11" s="47"/>
      <c r="W1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Sap\Maintenance\PlanEntretien\7.MENG\TRANSPORTEUR DE METAL\T200-X130_.pdf</v>
      </c>
      <c r="X11" s="47">
        <v>4</v>
      </c>
      <c r="Y11" s="47">
        <v>1</v>
      </c>
      <c r="Z11" s="44" t="str">
        <f ca="1">IF(AND(Tableau1[[#This Row],[Charge]]&lt;&gt;0, Tableau1[[#This Row],[Nombre intervenants]]&lt;&gt;0,Tableau1[[#This Row],[Lien document]]&lt;&gt;0,Tableau1[[#This Row],[DMS_SAP]]&lt;&gt;0)=TRUE,"MIS A JOUR","")</f>
        <v/>
      </c>
      <c r="AA11" s="48"/>
      <c r="AB11" s="65" t="str">
        <f ca="1">IF(Tableau1[[#This Row],[Date rév.]]&lt;&gt;"", DAYS360(Tableau1[[#This Row],[Date rév.]],TODAY()),"")</f>
        <v/>
      </c>
      <c r="AC11" s="50" t="str">
        <f>IFERROR(INDEX(Chemin_accès!$B$11:$C$22,MATCH(Tableau1[[#This Row],[Type]],Chemin_accès!$C$11:$C$22,0),1),Chemin_accès!$B$11)</f>
        <v>\\stjn.local\trimet\Btechnique\Commun\Atelier Central mécanique\Plan entretien\Modèles préventif\GammeDMS_7.MENG.xlsm</v>
      </c>
      <c r="AD11" s="50" t="str">
        <f>Chemin_accès!$B$8&amp;Tableau1[[#This Row],[Localisation / Classement]]&amp;"\"&amp;Tableau1[[#This Row],[Poste technique ou N° d''équipement]]&amp;"_"&amp;Tableau1[[#This Row],[Plan Entretien]]&amp;".xlsm"</f>
        <v>\\stjn.local\trimet\Btechnique\Commun\Atelier Central mécanique\Plan entretien\GammeEntretien\TRANSPORTEUR DE METAL\T200-X130_.xlsm</v>
      </c>
    </row>
    <row r="12" spans="1:30" x14ac:dyDescent="0.3">
      <c r="A12" s="44" t="str">
        <f t="shared" ca="1" si="0"/>
        <v>7.MENG</v>
      </c>
      <c r="B1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2" s="51"/>
      <c r="D12" s="44" t="s">
        <v>148</v>
      </c>
      <c r="E12" s="44" t="s">
        <v>151</v>
      </c>
      <c r="F12" s="44" t="s">
        <v>162</v>
      </c>
      <c r="G12" s="44" t="s">
        <v>159</v>
      </c>
      <c r="H12" s="45"/>
      <c r="I12" s="52"/>
      <c r="J12" s="45"/>
      <c r="K12" s="45"/>
      <c r="L12" s="46" t="s">
        <v>85</v>
      </c>
      <c r="M12" s="44" t="s">
        <v>175</v>
      </c>
      <c r="N12" s="46" t="s">
        <v>65</v>
      </c>
      <c r="O12" s="46"/>
      <c r="P12" s="47"/>
      <c r="Q12" s="46"/>
      <c r="R12" s="46"/>
      <c r="S12" s="48">
        <v>44579</v>
      </c>
      <c r="T12" s="68" t="str">
        <f>IF(Tableau1[[#This Row],[DMS_SAP]]="","",HYPERLINK(Tableau1[[#This Row],[Chemin fichier source]],"X"))</f>
        <v/>
      </c>
      <c r="U12" s="68" t="str">
        <f>IF(Tableau1[[#This Row],[Date rév.]]="","",HYPERLINK(Tableau1[[#This Row],[Lien document]],"X"))</f>
        <v/>
      </c>
      <c r="V12" s="47"/>
      <c r="W1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Sap\Maintenance\PlanEntretien\7.MENG\TRANSPORTEUR DE METAL\T200-X130_.pdf</v>
      </c>
      <c r="X12" s="47">
        <v>4</v>
      </c>
      <c r="Y12" s="47">
        <v>1</v>
      </c>
      <c r="Z12" s="44" t="str">
        <f ca="1">IF(AND(Tableau1[[#This Row],[Charge]]&lt;&gt;0, Tableau1[[#This Row],[Nombre intervenants]]&lt;&gt;0,Tableau1[[#This Row],[Lien document]]&lt;&gt;0,Tableau1[[#This Row],[DMS_SAP]]&lt;&gt;0)=TRUE,"MIS A JOUR","")</f>
        <v/>
      </c>
      <c r="AA12" s="48"/>
      <c r="AB12" s="65" t="str">
        <f ca="1">IF(Tableau1[[#This Row],[Date rév.]]&lt;&gt;"", DAYS360(Tableau1[[#This Row],[Date rév.]],TODAY()),"")</f>
        <v/>
      </c>
      <c r="AC12" s="50" t="str">
        <f>IFERROR(INDEX(Chemin_accès!$B$11:$C$22,MATCH(Tableau1[[#This Row],[Type]],Chemin_accès!$C$11:$C$22,0),1),Chemin_accès!$B$11)</f>
        <v>\\stjn.local\trimet\Btechnique\Commun\Atelier Central mécanique\Plan entretien\Modèles préventif\GammeDMS_7.MENG.xlsm</v>
      </c>
      <c r="AD12" s="50" t="str">
        <f>Chemin_accès!$B$8&amp;Tableau1[[#This Row],[Localisation / Classement]]&amp;"\"&amp;Tableau1[[#This Row],[Poste technique ou N° d''équipement]]&amp;"_"&amp;Tableau1[[#This Row],[Plan Entretien]]&amp;".xlsm"</f>
        <v>\\stjn.local\trimet\Btechnique\Commun\Atelier Central mécanique\Plan entretien\GammeEntretien\TRANSPORTEUR DE METAL\T200-X130_.xlsm</v>
      </c>
    </row>
    <row r="13" spans="1:30" x14ac:dyDescent="0.3">
      <c r="A13" s="44" t="str">
        <f t="shared" ca="1" si="0"/>
        <v>7.MENG</v>
      </c>
      <c r="B1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3" s="51"/>
      <c r="D13" s="44" t="s">
        <v>148</v>
      </c>
      <c r="E13" s="44" t="s">
        <v>151</v>
      </c>
      <c r="F13" s="47" t="s">
        <v>162</v>
      </c>
      <c r="G13" s="47" t="s">
        <v>159</v>
      </c>
      <c r="H13" s="45"/>
      <c r="I13" s="52"/>
      <c r="J13" s="45"/>
      <c r="K13" s="45"/>
      <c r="L13" s="46" t="s">
        <v>86</v>
      </c>
      <c r="M13" s="44" t="s">
        <v>176</v>
      </c>
      <c r="N13" s="46" t="s">
        <v>65</v>
      </c>
      <c r="O13" s="46"/>
      <c r="P13" s="47"/>
      <c r="Q13" s="46"/>
      <c r="R13" s="46"/>
      <c r="S13" s="48">
        <v>44579</v>
      </c>
      <c r="T13" s="68" t="str">
        <f>IF(Tableau1[[#This Row],[DMS_SAP]]="","",HYPERLINK(Tableau1[[#This Row],[Chemin fichier source]],"X"))</f>
        <v/>
      </c>
      <c r="U13" s="68" t="str">
        <f>IF(Tableau1[[#This Row],[Date rév.]]="","",HYPERLINK(Tableau1[[#This Row],[Lien document]],"X"))</f>
        <v/>
      </c>
      <c r="V13" s="47"/>
      <c r="W1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Sap\Maintenance\PlanEntretien\7.MENG\TRANSPORTEUR DE METAL\T200-X130_.pdf</v>
      </c>
      <c r="X13" s="47">
        <v>8</v>
      </c>
      <c r="Y13" s="47">
        <v>1</v>
      </c>
      <c r="Z13" s="44" t="str">
        <f ca="1">IF(AND(Tableau1[[#This Row],[Charge]]&lt;&gt;0, Tableau1[[#This Row],[Nombre intervenants]]&lt;&gt;0,Tableau1[[#This Row],[Lien document]]&lt;&gt;0,Tableau1[[#This Row],[DMS_SAP]]&lt;&gt;0)=TRUE,"MIS A JOUR","")</f>
        <v/>
      </c>
      <c r="AA13" s="48"/>
      <c r="AB13" s="65" t="str">
        <f ca="1">IF(Tableau1[[#This Row],[Date rév.]]&lt;&gt;"", DAYS360(Tableau1[[#This Row],[Date rév.]],TODAY()),"")</f>
        <v/>
      </c>
      <c r="AC13" s="50" t="str">
        <f>IFERROR(INDEX(Chemin_accès!$B$11:$C$22,MATCH(Tableau1[[#This Row],[Type]],Chemin_accès!$C$11:$C$22,0),1),Chemin_accès!$B$11)</f>
        <v>\\stjn.local\trimet\Btechnique\Commun\Atelier Central mécanique\Plan entretien\Modèles préventif\GammeDMS_7.MENG.xlsm</v>
      </c>
      <c r="AD13" s="50" t="str">
        <f>Chemin_accès!$B$8&amp;Tableau1[[#This Row],[Localisation / Classement]]&amp;"\"&amp;Tableau1[[#This Row],[Poste technique ou N° d''équipement]]&amp;"_"&amp;Tableau1[[#This Row],[Plan Entretien]]&amp;".xlsm"</f>
        <v>\\stjn.local\trimet\Btechnique\Commun\Atelier Central mécanique\Plan entretien\GammeEntretien\TRANSPORTEUR DE METAL\T200-X130_.xlsm</v>
      </c>
    </row>
    <row r="14" spans="1:30" x14ac:dyDescent="0.3">
      <c r="A14" s="44" t="str">
        <f t="shared" ca="1" si="0"/>
        <v>7.MENG</v>
      </c>
      <c r="B1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4" s="51"/>
      <c r="D14" s="44" t="s">
        <v>148</v>
      </c>
      <c r="E14" s="44" t="s">
        <v>151</v>
      </c>
      <c r="F14" s="44" t="s">
        <v>161</v>
      </c>
      <c r="G14" s="44" t="s">
        <v>160</v>
      </c>
      <c r="H14" s="45"/>
      <c r="I14" s="52"/>
      <c r="J14" s="45"/>
      <c r="K14" s="45"/>
      <c r="L14" s="46" t="s">
        <v>37</v>
      </c>
      <c r="M14" s="44" t="s">
        <v>177</v>
      </c>
      <c r="N14" s="46" t="s">
        <v>65</v>
      </c>
      <c r="O14" s="46"/>
      <c r="P14" s="47"/>
      <c r="Q14" s="46"/>
      <c r="R14" s="46"/>
      <c r="S14" s="48">
        <v>44579</v>
      </c>
      <c r="T14" s="68" t="str">
        <f>IF(Tableau1[[#This Row],[DMS_SAP]]="","",HYPERLINK(Tableau1[[#This Row],[Chemin fichier source]],"X"))</f>
        <v/>
      </c>
      <c r="U14" s="68" t="str">
        <f>IF(Tableau1[[#This Row],[Date rév.]]="","",HYPERLINK(Tableau1[[#This Row],[Lien document]],"X"))</f>
        <v/>
      </c>
      <c r="V14" s="47"/>
      <c r="W1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Sap\Maintenance\PlanEntretien\7.MENG\TRANSPORTEUR DE METAL\T200-X030_.pdf</v>
      </c>
      <c r="X14" s="47">
        <v>4</v>
      </c>
      <c r="Y14" s="47">
        <v>1</v>
      </c>
      <c r="Z14" s="44" t="str">
        <f ca="1">IF(AND(Tableau1[[#This Row],[Charge]]&lt;&gt;0, Tableau1[[#This Row],[Nombre intervenants]]&lt;&gt;0,Tableau1[[#This Row],[Lien document]]&lt;&gt;0,Tableau1[[#This Row],[DMS_SAP]]&lt;&gt;0)=TRUE,"MIS A JOUR","")</f>
        <v/>
      </c>
      <c r="AA14" s="48"/>
      <c r="AB14" s="65" t="str">
        <f ca="1">IF(Tableau1[[#This Row],[Date rév.]]&lt;&gt;"", DAYS360(Tableau1[[#This Row],[Date rév.]],TODAY()),"")</f>
        <v/>
      </c>
      <c r="AC14" s="50" t="str">
        <f>IFERROR(INDEX(Chemin_accès!$B$11:$C$22,MATCH(Tableau1[[#This Row],[Type]],Chemin_accès!$C$11:$C$22,0),1),Chemin_accès!$B$11)</f>
        <v>\\stjn.local\trimet\Btechnique\Commun\Atelier Central mécanique\Plan entretien\Modèles préventif\GammeDMS_7.MENG.xlsm</v>
      </c>
      <c r="AD14" s="50" t="str">
        <f>Chemin_accès!$B$8&amp;Tableau1[[#This Row],[Localisation / Classement]]&amp;"\"&amp;Tableau1[[#This Row],[Poste technique ou N° d''équipement]]&amp;"_"&amp;Tableau1[[#This Row],[Plan Entretien]]&amp;".xlsm"</f>
        <v>\\stjn.local\trimet\Btechnique\Commun\Atelier Central mécanique\Plan entretien\GammeEntretien\TRANSPORTEUR DE METAL\T200-X030_.xlsm</v>
      </c>
    </row>
    <row r="15" spans="1:30" x14ac:dyDescent="0.3">
      <c r="A15" s="44" t="str">
        <f t="shared" ca="1" si="0"/>
        <v>7.MENG</v>
      </c>
      <c r="B1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5" s="51"/>
      <c r="D15" s="44" t="s">
        <v>148</v>
      </c>
      <c r="E15" s="44" t="s">
        <v>151</v>
      </c>
      <c r="F15" s="47" t="s">
        <v>161</v>
      </c>
      <c r="G15" s="47" t="s">
        <v>160</v>
      </c>
      <c r="H15" s="45"/>
      <c r="I15" s="52"/>
      <c r="J15" s="45"/>
      <c r="K15" s="45"/>
      <c r="L15" s="46" t="s">
        <v>85</v>
      </c>
      <c r="M15" s="44" t="s">
        <v>178</v>
      </c>
      <c r="N15" s="46" t="s">
        <v>65</v>
      </c>
      <c r="O15" s="46"/>
      <c r="P15" s="47"/>
      <c r="Q15" s="46"/>
      <c r="R15" s="46"/>
      <c r="S15" s="48">
        <v>44579</v>
      </c>
      <c r="T15" s="68" t="str">
        <f>IF(Tableau1[[#This Row],[DMS_SAP]]="","",HYPERLINK(Tableau1[[#This Row],[Chemin fichier source]],"X"))</f>
        <v/>
      </c>
      <c r="U15" s="68" t="str">
        <f>IF(Tableau1[[#This Row],[Date rév.]]="","",HYPERLINK(Tableau1[[#This Row],[Lien document]],"X"))</f>
        <v/>
      </c>
      <c r="V15" s="47"/>
      <c r="W1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Sap\Maintenance\PlanEntretien\7.MENG\TRANSPORTEUR DE METAL\T200-X030_.pdf</v>
      </c>
      <c r="X15" s="47">
        <v>4</v>
      </c>
      <c r="Y15" s="47">
        <v>1</v>
      </c>
      <c r="Z15" s="44" t="str">
        <f ca="1">IF(AND(Tableau1[[#This Row],[Charge]]&lt;&gt;0, Tableau1[[#This Row],[Nombre intervenants]]&lt;&gt;0,Tableau1[[#This Row],[Lien document]]&lt;&gt;0,Tableau1[[#This Row],[DMS_SAP]]&lt;&gt;0)=TRUE,"MIS A JOUR","")</f>
        <v/>
      </c>
      <c r="AA15" s="48"/>
      <c r="AB15" s="65" t="str">
        <f ca="1">IF(Tableau1[[#This Row],[Date rév.]]&lt;&gt;"", DAYS360(Tableau1[[#This Row],[Date rév.]],TODAY()),"")</f>
        <v/>
      </c>
      <c r="AC15" s="50" t="str">
        <f>IFERROR(INDEX(Chemin_accès!$B$11:$C$22,MATCH(Tableau1[[#This Row],[Type]],Chemin_accès!$C$11:$C$22,0),1),Chemin_accès!$B$11)</f>
        <v>\\stjn.local\trimet\Btechnique\Commun\Atelier Central mécanique\Plan entretien\Modèles préventif\GammeDMS_7.MENG.xlsm</v>
      </c>
      <c r="AD15" s="50" t="str">
        <f>Chemin_accès!$B$8&amp;Tableau1[[#This Row],[Localisation / Classement]]&amp;"\"&amp;Tableau1[[#This Row],[Poste technique ou N° d''équipement]]&amp;"_"&amp;Tableau1[[#This Row],[Plan Entretien]]&amp;".xlsm"</f>
        <v>\\stjn.local\trimet\Btechnique\Commun\Atelier Central mécanique\Plan entretien\GammeEntretien\TRANSPORTEUR DE METAL\T200-X030_.xlsm</v>
      </c>
    </row>
    <row r="16" spans="1:30" x14ac:dyDescent="0.3">
      <c r="A16" s="44" t="str">
        <f t="shared" ca="1" si="0"/>
        <v>7.MENG</v>
      </c>
      <c r="B1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6" s="51"/>
      <c r="D16" s="44" t="s">
        <v>148</v>
      </c>
      <c r="E16" s="44" t="s">
        <v>151</v>
      </c>
      <c r="F16" s="47" t="s">
        <v>161</v>
      </c>
      <c r="G16" s="47" t="s">
        <v>160</v>
      </c>
      <c r="H16" s="45"/>
      <c r="I16" s="52"/>
      <c r="J16" s="45"/>
      <c r="K16" s="45"/>
      <c r="L16" s="46" t="s">
        <v>86</v>
      </c>
      <c r="M16" s="44" t="s">
        <v>179</v>
      </c>
      <c r="N16" s="46" t="s">
        <v>65</v>
      </c>
      <c r="O16" s="46"/>
      <c r="P16" s="47"/>
      <c r="Q16" s="46"/>
      <c r="R16" s="46"/>
      <c r="S16" s="48">
        <v>44579</v>
      </c>
      <c r="T16" s="68" t="str">
        <f>IF(Tableau1[[#This Row],[DMS_SAP]]="","",HYPERLINK(Tableau1[[#This Row],[Chemin fichier source]],"X"))</f>
        <v/>
      </c>
      <c r="U16" s="68" t="str">
        <f>IF(Tableau1[[#This Row],[Date rév.]]="","",HYPERLINK(Tableau1[[#This Row],[Lien document]],"X"))</f>
        <v/>
      </c>
      <c r="V16" s="47"/>
      <c r="W1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Sap\Maintenance\PlanEntretien\7.MENG\TRANSPORTEUR DE METAL\T200-X030_.pdf</v>
      </c>
      <c r="X16" s="47">
        <v>8</v>
      </c>
      <c r="Y16" s="47">
        <v>1</v>
      </c>
      <c r="Z16" s="44" t="str">
        <f ca="1">IF(AND(Tableau1[[#This Row],[Charge]]&lt;&gt;0, Tableau1[[#This Row],[Nombre intervenants]]&lt;&gt;0,Tableau1[[#This Row],[Lien document]]&lt;&gt;0,Tableau1[[#This Row],[DMS_SAP]]&lt;&gt;0)=TRUE,"MIS A JOUR","")</f>
        <v/>
      </c>
      <c r="AA16" s="48"/>
      <c r="AB16" s="65" t="str">
        <f ca="1">IF(Tableau1[[#This Row],[Date rév.]]&lt;&gt;"", DAYS360(Tableau1[[#This Row],[Date rév.]],TODAY()),"")</f>
        <v/>
      </c>
      <c r="AC16" s="50" t="str">
        <f>IFERROR(INDEX(Chemin_accès!$B$11:$C$22,MATCH(Tableau1[[#This Row],[Type]],Chemin_accès!$C$11:$C$22,0),1),Chemin_accès!$B$11)</f>
        <v>\\stjn.local\trimet\Btechnique\Commun\Atelier Central mécanique\Plan entretien\Modèles préventif\GammeDMS_7.MENG.xlsm</v>
      </c>
      <c r="AD16" s="50" t="str">
        <f>Chemin_accès!$B$8&amp;Tableau1[[#This Row],[Localisation / Classement]]&amp;"\"&amp;Tableau1[[#This Row],[Poste technique ou N° d''équipement]]&amp;"_"&amp;Tableau1[[#This Row],[Plan Entretien]]&amp;".xlsm"</f>
        <v>\\stjn.local\trimet\Btechnique\Commun\Atelier Central mécanique\Plan entretien\GammeEntretien\TRANSPORTEUR DE METAL\T200-X030_.xlsm</v>
      </c>
    </row>
    <row r="17" spans="1:30" x14ac:dyDescent="0.3">
      <c r="A17" s="44"/>
      <c r="B17" s="45"/>
      <c r="C17" s="46"/>
      <c r="D17" s="44" t="s">
        <v>163</v>
      </c>
      <c r="E17" s="44" t="s">
        <v>151</v>
      </c>
      <c r="F17" s="47" t="s">
        <v>164</v>
      </c>
      <c r="G17" s="47" t="s">
        <v>165</v>
      </c>
      <c r="H17" s="45">
        <v>35683</v>
      </c>
      <c r="I17" s="52"/>
      <c r="J17" s="45"/>
      <c r="K17" s="45"/>
      <c r="L17" s="46" t="s">
        <v>37</v>
      </c>
      <c r="M17" s="44" t="s">
        <v>180</v>
      </c>
      <c r="N17" s="46" t="s">
        <v>65</v>
      </c>
      <c r="O17" s="46"/>
      <c r="P17" s="47"/>
      <c r="Q17" s="46"/>
      <c r="R17" s="46"/>
      <c r="S17" s="48">
        <v>44579</v>
      </c>
      <c r="T17" s="68"/>
      <c r="U17" s="68"/>
      <c r="V17" s="47"/>
      <c r="W17" s="49"/>
      <c r="X17" s="47">
        <v>4</v>
      </c>
      <c r="Y17" s="47">
        <v>1</v>
      </c>
      <c r="Z17" s="44"/>
      <c r="AA17" s="48"/>
      <c r="AB17" s="65"/>
      <c r="AC17" s="50"/>
      <c r="AD17" s="50"/>
    </row>
    <row r="18" spans="1:30" x14ac:dyDescent="0.3">
      <c r="A18" s="44"/>
      <c r="B18" s="45"/>
      <c r="C18" s="46"/>
      <c r="D18" s="44" t="s">
        <v>163</v>
      </c>
      <c r="E18" s="44" t="s">
        <v>151</v>
      </c>
      <c r="F18" s="47" t="s">
        <v>164</v>
      </c>
      <c r="G18" s="47" t="s">
        <v>165</v>
      </c>
      <c r="H18" s="45">
        <v>35684</v>
      </c>
      <c r="I18" s="52"/>
      <c r="J18" s="45"/>
      <c r="K18" s="45"/>
      <c r="L18" s="46" t="s">
        <v>85</v>
      </c>
      <c r="M18" s="44" t="s">
        <v>181</v>
      </c>
      <c r="N18" s="46" t="s">
        <v>65</v>
      </c>
      <c r="O18" s="46"/>
      <c r="P18" s="47"/>
      <c r="Q18" s="46"/>
      <c r="R18" s="46"/>
      <c r="S18" s="48">
        <v>44579</v>
      </c>
      <c r="T18" s="68"/>
      <c r="U18" s="68"/>
      <c r="V18" s="47"/>
      <c r="W18" s="49"/>
      <c r="X18" s="47">
        <v>4</v>
      </c>
      <c r="Y18" s="47">
        <v>1</v>
      </c>
      <c r="Z18" s="44"/>
      <c r="AA18" s="48"/>
      <c r="AB18" s="65"/>
      <c r="AC18" s="50"/>
      <c r="AD18" s="50"/>
    </row>
    <row r="19" spans="1:30" x14ac:dyDescent="0.3">
      <c r="A19" s="44"/>
      <c r="B19" s="45"/>
      <c r="C19" s="46"/>
      <c r="D19" s="44" t="s">
        <v>163</v>
      </c>
      <c r="E19" s="44" t="s">
        <v>151</v>
      </c>
      <c r="F19" s="47" t="s">
        <v>164</v>
      </c>
      <c r="G19" s="47" t="s">
        <v>165</v>
      </c>
      <c r="H19" s="45">
        <v>35685</v>
      </c>
      <c r="I19" s="52"/>
      <c r="J19" s="45"/>
      <c r="K19" s="45"/>
      <c r="L19" s="46" t="s">
        <v>86</v>
      </c>
      <c r="M19" s="44" t="s">
        <v>182</v>
      </c>
      <c r="N19" s="46" t="s">
        <v>65</v>
      </c>
      <c r="O19" s="46"/>
      <c r="P19" s="47"/>
      <c r="Q19" s="46"/>
      <c r="R19" s="46"/>
      <c r="S19" s="48">
        <v>44579</v>
      </c>
      <c r="T19" s="68"/>
      <c r="U19" s="68"/>
      <c r="V19" s="47"/>
      <c r="W19" s="49"/>
      <c r="X19" s="47">
        <v>8</v>
      </c>
      <c r="Y19" s="47">
        <v>1</v>
      </c>
      <c r="Z19" s="44"/>
      <c r="AA19" s="48"/>
      <c r="AB19" s="65"/>
      <c r="AC19" s="50"/>
      <c r="AD19" s="50"/>
    </row>
    <row r="20" spans="1:30" x14ac:dyDescent="0.3">
      <c r="A20" s="44"/>
      <c r="B20" s="45"/>
      <c r="C20" s="46"/>
      <c r="D20" s="44" t="s">
        <v>163</v>
      </c>
      <c r="E20" s="44" t="s">
        <v>151</v>
      </c>
      <c r="F20" s="47">
        <v>122949</v>
      </c>
      <c r="G20" s="47" t="s">
        <v>166</v>
      </c>
      <c r="H20" s="45">
        <v>35686</v>
      </c>
      <c r="I20" s="52"/>
      <c r="J20" s="45"/>
      <c r="K20" s="45"/>
      <c r="L20" s="46" t="s">
        <v>37</v>
      </c>
      <c r="M20" s="44" t="s">
        <v>183</v>
      </c>
      <c r="N20" s="46" t="s">
        <v>65</v>
      </c>
      <c r="O20" s="46"/>
      <c r="P20" s="47"/>
      <c r="Q20" s="46"/>
      <c r="R20" s="46"/>
      <c r="S20" s="48">
        <v>44579</v>
      </c>
      <c r="T20" s="68"/>
      <c r="U20" s="68"/>
      <c r="V20" s="47"/>
      <c r="W20" s="49"/>
      <c r="X20" s="47">
        <v>4</v>
      </c>
      <c r="Y20" s="47">
        <v>1</v>
      </c>
      <c r="Z20" s="44"/>
      <c r="AA20" s="48"/>
      <c r="AB20" s="65"/>
      <c r="AC20" s="50"/>
      <c r="AD20" s="50"/>
    </row>
    <row r="21" spans="1:30" x14ac:dyDescent="0.3">
      <c r="A21" s="44"/>
      <c r="B21" s="45"/>
      <c r="C21" s="46"/>
      <c r="D21" s="44" t="s">
        <v>163</v>
      </c>
      <c r="E21" s="44" t="s">
        <v>151</v>
      </c>
      <c r="F21" s="47">
        <v>122949</v>
      </c>
      <c r="G21" s="47" t="s">
        <v>166</v>
      </c>
      <c r="H21" s="45">
        <v>35687</v>
      </c>
      <c r="I21" s="52"/>
      <c r="J21" s="45"/>
      <c r="K21" s="45"/>
      <c r="L21" s="46" t="s">
        <v>85</v>
      </c>
      <c r="M21" s="44" t="s">
        <v>184</v>
      </c>
      <c r="N21" s="46" t="s">
        <v>65</v>
      </c>
      <c r="O21" s="46"/>
      <c r="P21" s="47"/>
      <c r="Q21" s="46"/>
      <c r="R21" s="46"/>
      <c r="S21" s="48">
        <v>44579</v>
      </c>
      <c r="T21" s="68"/>
      <c r="U21" s="68"/>
      <c r="V21" s="47"/>
      <c r="W21" s="49"/>
      <c r="X21" s="47">
        <v>4</v>
      </c>
      <c r="Y21" s="47">
        <v>1</v>
      </c>
      <c r="Z21" s="44"/>
      <c r="AA21" s="48"/>
      <c r="AB21" s="65"/>
      <c r="AC21" s="50"/>
      <c r="AD21" s="50"/>
    </row>
    <row r="22" spans="1:30" x14ac:dyDescent="0.3">
      <c r="A22" s="44"/>
      <c r="B22" s="45"/>
      <c r="C22" s="46"/>
      <c r="D22" s="44" t="s">
        <v>163</v>
      </c>
      <c r="E22" s="44" t="s">
        <v>151</v>
      </c>
      <c r="F22" s="44">
        <v>122949</v>
      </c>
      <c r="G22" s="44" t="s">
        <v>166</v>
      </c>
      <c r="H22" s="45">
        <v>35688</v>
      </c>
      <c r="I22" s="52"/>
      <c r="J22" s="45"/>
      <c r="K22" s="45"/>
      <c r="L22" s="46" t="s">
        <v>86</v>
      </c>
      <c r="M22" s="44" t="s">
        <v>186</v>
      </c>
      <c r="N22" s="46" t="s">
        <v>65</v>
      </c>
      <c r="O22" s="46"/>
      <c r="P22" s="47"/>
      <c r="Q22" s="46"/>
      <c r="R22" s="46"/>
      <c r="S22" s="48">
        <v>44579</v>
      </c>
      <c r="T22" s="68"/>
      <c r="U22" s="68"/>
      <c r="V22" s="47"/>
      <c r="W22" s="49"/>
      <c r="X22" s="47">
        <v>8</v>
      </c>
      <c r="Y22" s="47">
        <v>1</v>
      </c>
      <c r="Z22" s="44"/>
      <c r="AA22" s="48"/>
      <c r="AB22" s="65"/>
      <c r="AC22" s="50"/>
      <c r="AD22" s="50"/>
    </row>
    <row r="23" spans="1:30" x14ac:dyDescent="0.3">
      <c r="A23" s="44"/>
      <c r="B23" s="45"/>
      <c r="C23" s="46"/>
      <c r="D23" s="44" t="s">
        <v>163</v>
      </c>
      <c r="E23" s="44" t="s">
        <v>151</v>
      </c>
      <c r="F23" s="47">
        <v>122950</v>
      </c>
      <c r="G23" s="47" t="s">
        <v>167</v>
      </c>
      <c r="H23" s="45">
        <v>35689</v>
      </c>
      <c r="I23" s="52"/>
      <c r="J23" s="45"/>
      <c r="K23" s="45"/>
      <c r="L23" s="46" t="s">
        <v>37</v>
      </c>
      <c r="M23" s="44" t="s">
        <v>187</v>
      </c>
      <c r="N23" s="46" t="s">
        <v>65</v>
      </c>
      <c r="O23" s="46"/>
      <c r="P23" s="47"/>
      <c r="Q23" s="46"/>
      <c r="R23" s="46"/>
      <c r="S23" s="48">
        <v>44579</v>
      </c>
      <c r="T23" s="68"/>
      <c r="U23" s="68"/>
      <c r="V23" s="47"/>
      <c r="W23" s="49"/>
      <c r="X23" s="47">
        <v>8</v>
      </c>
      <c r="Y23" s="47">
        <v>1</v>
      </c>
      <c r="Z23" s="44"/>
      <c r="AA23" s="48"/>
      <c r="AB23" s="65"/>
      <c r="AC23" s="50"/>
      <c r="AD23" s="50"/>
    </row>
    <row r="24" spans="1:30" x14ac:dyDescent="0.3">
      <c r="A24" s="44"/>
      <c r="B24" s="45"/>
      <c r="C24" s="46"/>
      <c r="D24" s="44" t="s">
        <v>163</v>
      </c>
      <c r="E24" s="44" t="s">
        <v>151</v>
      </c>
      <c r="F24" s="44">
        <v>122950</v>
      </c>
      <c r="G24" s="44" t="s">
        <v>167</v>
      </c>
      <c r="H24" s="45">
        <v>35690</v>
      </c>
      <c r="I24" s="52"/>
      <c r="J24" s="45"/>
      <c r="K24" s="45"/>
      <c r="L24" s="46" t="s">
        <v>85</v>
      </c>
      <c r="M24" s="44" t="s">
        <v>188</v>
      </c>
      <c r="N24" s="46" t="s">
        <v>65</v>
      </c>
      <c r="O24" s="46"/>
      <c r="P24" s="47"/>
      <c r="Q24" s="46"/>
      <c r="R24" s="46"/>
      <c r="S24" s="48">
        <v>44579</v>
      </c>
      <c r="T24" s="68"/>
      <c r="U24" s="68"/>
      <c r="V24" s="47"/>
      <c r="W24" s="49"/>
      <c r="X24" s="47">
        <v>8</v>
      </c>
      <c r="Y24" s="47">
        <v>1</v>
      </c>
      <c r="Z24" s="44"/>
      <c r="AA24" s="48"/>
      <c r="AB24" s="65"/>
      <c r="AC24" s="50"/>
      <c r="AD24" s="50"/>
    </row>
    <row r="25" spans="1:30" x14ac:dyDescent="0.3">
      <c r="A25" s="44"/>
      <c r="B25" s="45"/>
      <c r="C25" s="46"/>
      <c r="D25" s="44" t="s">
        <v>163</v>
      </c>
      <c r="E25" s="44" t="s">
        <v>151</v>
      </c>
      <c r="F25" s="47">
        <v>122950</v>
      </c>
      <c r="G25" s="47" t="s">
        <v>167</v>
      </c>
      <c r="H25" s="45">
        <v>35691</v>
      </c>
      <c r="I25" s="52"/>
      <c r="J25" s="45"/>
      <c r="K25" s="45"/>
      <c r="L25" s="46" t="s">
        <v>86</v>
      </c>
      <c r="M25" s="44" t="s">
        <v>185</v>
      </c>
      <c r="N25" s="46" t="s">
        <v>65</v>
      </c>
      <c r="O25" s="46"/>
      <c r="P25" s="47"/>
      <c r="Q25" s="46"/>
      <c r="R25" s="46"/>
      <c r="S25" s="48">
        <v>44579</v>
      </c>
      <c r="T25" s="68"/>
      <c r="U25" s="68"/>
      <c r="V25" s="47"/>
      <c r="W25" s="49"/>
      <c r="X25" s="47">
        <v>8</v>
      </c>
      <c r="Y25" s="47">
        <v>1</v>
      </c>
      <c r="Z25" s="44"/>
      <c r="AA25" s="48"/>
      <c r="AB25" s="65"/>
      <c r="AC25" s="50"/>
      <c r="AD25" s="50"/>
    </row>
    <row r="26" spans="1:30" x14ac:dyDescent="0.3">
      <c r="A26" s="44" t="str">
        <f t="shared" ca="1" si="0"/>
        <v>7.MENG</v>
      </c>
      <c r="B2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6" s="53"/>
      <c r="D26" s="44" t="s">
        <v>189</v>
      </c>
      <c r="E26" s="44" t="s">
        <v>151</v>
      </c>
      <c r="F26" s="47">
        <v>122943</v>
      </c>
      <c r="G26" s="47" t="s">
        <v>191</v>
      </c>
      <c r="H26" s="45">
        <v>35692</v>
      </c>
      <c r="I26" s="52"/>
      <c r="J26" s="45"/>
      <c r="K26" s="45"/>
      <c r="L26" s="46" t="s">
        <v>37</v>
      </c>
      <c r="M26" s="44" t="s">
        <v>194</v>
      </c>
      <c r="N26" s="46" t="s">
        <v>65</v>
      </c>
      <c r="O26" s="46"/>
      <c r="P26" s="47"/>
      <c r="Q26" s="46"/>
      <c r="R26" s="46"/>
      <c r="S26" s="48">
        <v>44579</v>
      </c>
      <c r="T26" s="68" t="str">
        <f>IF(Tableau1[[#This Row],[DMS_SAP]]="","",HYPERLINK(Tableau1[[#This Row],[Chemin fichier source]],"X"))</f>
        <v/>
      </c>
      <c r="U26" s="68" t="str">
        <f>IF(Tableau1[[#This Row],[Date rév.]]="","",HYPERLINK(Tableau1[[#This Row],[Lien document]],"X"))</f>
        <v/>
      </c>
      <c r="V26" s="47"/>
      <c r="W2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Sap\Maintenance\PlanEntretien\7.MENG\TRACTEUR D60\122943_35692.pdf</v>
      </c>
      <c r="X26" s="47">
        <v>4</v>
      </c>
      <c r="Y26" s="47">
        <v>1</v>
      </c>
      <c r="Z26" s="44" t="str">
        <f ca="1">IF(AND(Tableau1[[#This Row],[Charge]]&lt;&gt;0, Tableau1[[#This Row],[Nombre intervenants]]&lt;&gt;0,Tableau1[[#This Row],[Lien document]]&lt;&gt;0,Tableau1[[#This Row],[DMS_SAP]]&lt;&gt;0)=TRUE,"MIS A JOUR","")</f>
        <v/>
      </c>
      <c r="AA26" s="48"/>
      <c r="AB26" s="65" t="str">
        <f ca="1">IF(Tableau1[[#This Row],[Date rév.]]&lt;&gt;"", DAYS360(Tableau1[[#This Row],[Date rév.]],TODAY()),"")</f>
        <v/>
      </c>
      <c r="AC26" s="50" t="str">
        <f>IFERROR(INDEX(Chemin_accès!$B$11:$C$22,MATCH(Tableau1[[#This Row],[Type]],Chemin_accès!$C$11:$C$22,0),1),Chemin_accès!$B$11)</f>
        <v>\\stjn.local\trimet\Btechnique\Commun\Atelier Central mécanique\Plan entretien\Modèles préventif\GammeDMS_7.MENG.xlsm</v>
      </c>
      <c r="AD26" s="50" t="str">
        <f>Chemin_accès!$B$8&amp;Tableau1[[#This Row],[Localisation / Classement]]&amp;"\"&amp;Tableau1[[#This Row],[Poste technique ou N° d''équipement]]&amp;"_"&amp;Tableau1[[#This Row],[Plan Entretien]]&amp;".xlsm"</f>
        <v>\\stjn.local\trimet\Btechnique\Commun\Atelier Central mécanique\Plan entretien\GammeEntretien\TRACTEUR D60\122943_35692.xlsm</v>
      </c>
    </row>
    <row r="27" spans="1:30" x14ac:dyDescent="0.3">
      <c r="A27" s="44" t="str">
        <f t="shared" ca="1" si="0"/>
        <v>7.MENG</v>
      </c>
      <c r="B2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7" s="53"/>
      <c r="D27" s="44" t="s">
        <v>189</v>
      </c>
      <c r="E27" s="44" t="s">
        <v>151</v>
      </c>
      <c r="F27" s="47">
        <v>122943</v>
      </c>
      <c r="G27" s="47" t="s">
        <v>191</v>
      </c>
      <c r="H27" s="45">
        <v>35693</v>
      </c>
      <c r="I27" s="52"/>
      <c r="J27" s="45"/>
      <c r="K27" s="45"/>
      <c r="L27" s="46" t="s">
        <v>85</v>
      </c>
      <c r="M27" s="44" t="s">
        <v>193</v>
      </c>
      <c r="N27" s="46" t="s">
        <v>65</v>
      </c>
      <c r="O27" s="46"/>
      <c r="P27" s="47"/>
      <c r="Q27" s="46"/>
      <c r="R27" s="46"/>
      <c r="S27" s="48">
        <v>44579</v>
      </c>
      <c r="T27" s="68" t="str">
        <f>IF(Tableau1[[#This Row],[DMS_SAP]]="","",HYPERLINK(Tableau1[[#This Row],[Chemin fichier source]],"X"))</f>
        <v/>
      </c>
      <c r="U27" s="68" t="str">
        <f>IF(Tableau1[[#This Row],[Date rév.]]="","",HYPERLINK(Tableau1[[#This Row],[Lien document]],"X"))</f>
        <v/>
      </c>
      <c r="V27" s="47"/>
      <c r="W2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Sap\Maintenance\PlanEntretien\7.MENG\TRACTEUR D60\122943_35693.pdf</v>
      </c>
      <c r="X27" s="47">
        <v>4</v>
      </c>
      <c r="Y27" s="47">
        <v>1</v>
      </c>
      <c r="Z27" s="44" t="str">
        <f ca="1">IF(AND(Tableau1[[#This Row],[Charge]]&lt;&gt;0, Tableau1[[#This Row],[Nombre intervenants]]&lt;&gt;0,Tableau1[[#This Row],[Lien document]]&lt;&gt;0,Tableau1[[#This Row],[DMS_SAP]]&lt;&gt;0)=TRUE,"MIS A JOUR","")</f>
        <v/>
      </c>
      <c r="AA27" s="48"/>
      <c r="AB27" s="65" t="str">
        <f ca="1">IF(Tableau1[[#This Row],[Date rév.]]&lt;&gt;"", DAYS360(Tableau1[[#This Row],[Date rév.]],TODAY()),"")</f>
        <v/>
      </c>
      <c r="AC27" s="50" t="str">
        <f>IFERROR(INDEX(Chemin_accès!$B$11:$C$22,MATCH(Tableau1[[#This Row],[Type]],Chemin_accès!$C$11:$C$22,0),1),Chemin_accès!$B$11)</f>
        <v>\\stjn.local\trimet\Btechnique\Commun\Atelier Central mécanique\Plan entretien\Modèles préventif\GammeDMS_7.MENG.xlsm</v>
      </c>
      <c r="AD27" s="50" t="str">
        <f>Chemin_accès!$B$8&amp;Tableau1[[#This Row],[Localisation / Classement]]&amp;"\"&amp;Tableau1[[#This Row],[Poste technique ou N° d''équipement]]&amp;"_"&amp;Tableau1[[#This Row],[Plan Entretien]]&amp;".xlsm"</f>
        <v>\\stjn.local\trimet\Btechnique\Commun\Atelier Central mécanique\Plan entretien\GammeEntretien\TRACTEUR D60\122943_35693.xlsm</v>
      </c>
    </row>
    <row r="28" spans="1:30" x14ac:dyDescent="0.3">
      <c r="A28" s="44" t="str">
        <f t="shared" ca="1" si="0"/>
        <v>7.MENG</v>
      </c>
      <c r="B2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8" s="53"/>
      <c r="D28" s="44" t="s">
        <v>189</v>
      </c>
      <c r="E28" s="44" t="s">
        <v>151</v>
      </c>
      <c r="F28" s="44">
        <v>122943</v>
      </c>
      <c r="G28" s="44" t="s">
        <v>191</v>
      </c>
      <c r="H28" s="45">
        <v>35694</v>
      </c>
      <c r="I28" s="52"/>
      <c r="J28" s="45"/>
      <c r="K28" s="45"/>
      <c r="L28" s="46" t="s">
        <v>86</v>
      </c>
      <c r="M28" s="44" t="s">
        <v>195</v>
      </c>
      <c r="N28" s="46" t="s">
        <v>65</v>
      </c>
      <c r="O28" s="46"/>
      <c r="P28" s="47"/>
      <c r="Q28" s="46"/>
      <c r="R28" s="46"/>
      <c r="S28" s="48">
        <v>44579</v>
      </c>
      <c r="T28" s="68" t="str">
        <f>IF(Tableau1[[#This Row],[DMS_SAP]]="","",HYPERLINK(Tableau1[[#This Row],[Chemin fichier source]],"X"))</f>
        <v/>
      </c>
      <c r="U28" s="68" t="str">
        <f>IF(Tableau1[[#This Row],[Date rév.]]="","",HYPERLINK(Tableau1[[#This Row],[Lien document]],"X"))</f>
        <v/>
      </c>
      <c r="V28" s="47"/>
      <c r="W2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Sap\Maintenance\PlanEntretien\7.MENG\TRACTEUR D60\122943_35694.pdf</v>
      </c>
      <c r="X28" s="47">
        <v>8</v>
      </c>
      <c r="Y28" s="47">
        <v>1</v>
      </c>
      <c r="Z28" s="44" t="str">
        <f ca="1">IF(AND(Tableau1[[#This Row],[Charge]]&lt;&gt;0, Tableau1[[#This Row],[Nombre intervenants]]&lt;&gt;0,Tableau1[[#This Row],[Lien document]]&lt;&gt;0,Tableau1[[#This Row],[DMS_SAP]]&lt;&gt;0)=TRUE,"MIS A JOUR","")</f>
        <v/>
      </c>
      <c r="AA28" s="48"/>
      <c r="AB28" s="65" t="str">
        <f ca="1">IF(Tableau1[[#This Row],[Date rév.]]&lt;&gt;"", DAYS360(Tableau1[[#This Row],[Date rév.]],TODAY()),"")</f>
        <v/>
      </c>
      <c r="AC28" s="50" t="str">
        <f>IFERROR(INDEX(Chemin_accès!$B$11:$C$22,MATCH(Tableau1[[#This Row],[Type]],Chemin_accès!$C$11:$C$22,0),1),Chemin_accès!$B$11)</f>
        <v>\\stjn.local\trimet\Btechnique\Commun\Atelier Central mécanique\Plan entretien\Modèles préventif\GammeDMS_7.MENG.xlsm</v>
      </c>
      <c r="AD28" s="50" t="str">
        <f>Chemin_accès!$B$8&amp;Tableau1[[#This Row],[Localisation / Classement]]&amp;"\"&amp;Tableau1[[#This Row],[Poste technique ou N° d''équipement]]&amp;"_"&amp;Tableau1[[#This Row],[Plan Entretien]]&amp;".xlsm"</f>
        <v>\\stjn.local\trimet\Btechnique\Commun\Atelier Central mécanique\Plan entretien\GammeEntretien\TRACTEUR D60\122943_35694.xlsm</v>
      </c>
    </row>
    <row r="29" spans="1:30" x14ac:dyDescent="0.3">
      <c r="A29" s="44" t="str">
        <f t="shared" ca="1" si="0"/>
        <v>7.MENG</v>
      </c>
      <c r="B2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9" s="53"/>
      <c r="D29" s="44" t="s">
        <v>190</v>
      </c>
      <c r="E29" s="44" t="s">
        <v>151</v>
      </c>
      <c r="F29" s="44">
        <v>122944</v>
      </c>
      <c r="G29" s="44" t="s">
        <v>192</v>
      </c>
      <c r="H29" s="45">
        <v>35695</v>
      </c>
      <c r="I29" s="52"/>
      <c r="J29" s="45"/>
      <c r="K29" s="45"/>
      <c r="L29" s="46" t="s">
        <v>37</v>
      </c>
      <c r="M29" s="44" t="s">
        <v>196</v>
      </c>
      <c r="N29" s="46" t="s">
        <v>65</v>
      </c>
      <c r="O29" s="46"/>
      <c r="P29" s="47"/>
      <c r="Q29" s="46"/>
      <c r="R29" s="46"/>
      <c r="S29" s="48">
        <v>44579</v>
      </c>
      <c r="T29" s="68" t="str">
        <f>IF(Tableau1[[#This Row],[DMS_SAP]]="","",HYPERLINK(Tableau1[[#This Row],[Chemin fichier source]],"X"))</f>
        <v/>
      </c>
      <c r="U29" s="68" t="str">
        <f>IF(Tableau1[[#This Row],[Date rév.]]="","",HYPERLINK(Tableau1[[#This Row],[Lien document]],"X"))</f>
        <v/>
      </c>
      <c r="V29" s="47"/>
      <c r="W2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Sap\Maintenance\PlanEntretien\7.MENG\TRACTEUR D61\122944_35695.pdf</v>
      </c>
      <c r="X29" s="47">
        <v>4</v>
      </c>
      <c r="Y29" s="47">
        <v>1</v>
      </c>
      <c r="Z29" s="44" t="str">
        <f ca="1">IF(AND(Tableau1[[#This Row],[Charge]]&lt;&gt;0, Tableau1[[#This Row],[Nombre intervenants]]&lt;&gt;0,Tableau1[[#This Row],[Lien document]]&lt;&gt;0,Tableau1[[#This Row],[DMS_SAP]]&lt;&gt;0)=TRUE,"MIS A JOUR","")</f>
        <v/>
      </c>
      <c r="AA29" s="48"/>
      <c r="AB29" s="65" t="str">
        <f ca="1">IF(Tableau1[[#This Row],[Date rév.]]&lt;&gt;"", DAYS360(Tableau1[[#This Row],[Date rév.]],TODAY()),"")</f>
        <v/>
      </c>
      <c r="AC29" s="50" t="str">
        <f>IFERROR(INDEX(Chemin_accès!$B$11:$C$22,MATCH(Tableau1[[#This Row],[Type]],Chemin_accès!$C$11:$C$22,0),1),Chemin_accès!$B$11)</f>
        <v>\\stjn.local\trimet\Btechnique\Commun\Atelier Central mécanique\Plan entretien\Modèles préventif\GammeDMS_7.MENG.xlsm</v>
      </c>
      <c r="AD29" s="50" t="str">
        <f>Chemin_accès!$B$8&amp;Tableau1[[#This Row],[Localisation / Classement]]&amp;"\"&amp;Tableau1[[#This Row],[Poste technique ou N° d''équipement]]&amp;"_"&amp;Tableau1[[#This Row],[Plan Entretien]]&amp;".xlsm"</f>
        <v>\\stjn.local\trimet\Btechnique\Commun\Atelier Central mécanique\Plan entretien\GammeEntretien\TRACTEUR D61\122944_35695.xlsm</v>
      </c>
    </row>
    <row r="30" spans="1:30" x14ac:dyDescent="0.3">
      <c r="A30" s="44" t="str">
        <f t="shared" ca="1" si="0"/>
        <v>7.MENG</v>
      </c>
      <c r="B3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0" s="53"/>
      <c r="D30" s="44" t="s">
        <v>190</v>
      </c>
      <c r="E30" s="44" t="s">
        <v>151</v>
      </c>
      <c r="F30" s="47">
        <v>122944</v>
      </c>
      <c r="G30" s="47" t="s">
        <v>192</v>
      </c>
      <c r="H30" s="45">
        <v>35696</v>
      </c>
      <c r="I30" s="52"/>
      <c r="J30" s="45"/>
      <c r="K30" s="45"/>
      <c r="L30" s="46" t="s">
        <v>85</v>
      </c>
      <c r="M30" s="44" t="s">
        <v>197</v>
      </c>
      <c r="N30" s="46" t="s">
        <v>65</v>
      </c>
      <c r="O30" s="46"/>
      <c r="P30" s="47"/>
      <c r="Q30" s="46"/>
      <c r="R30" s="46"/>
      <c r="S30" s="48">
        <v>44579</v>
      </c>
      <c r="T30" s="68" t="str">
        <f>IF(Tableau1[[#This Row],[DMS_SAP]]="","",HYPERLINK(Tableau1[[#This Row],[Chemin fichier source]],"X"))</f>
        <v/>
      </c>
      <c r="U30" s="68" t="str">
        <f>IF(Tableau1[[#This Row],[Date rév.]]="","",HYPERLINK(Tableau1[[#This Row],[Lien document]],"X"))</f>
        <v/>
      </c>
      <c r="V30" s="47"/>
      <c r="W3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Sap\Maintenance\PlanEntretien\7.MENG\TRACTEUR D61\122944_35696.pdf</v>
      </c>
      <c r="X30" s="47">
        <v>4</v>
      </c>
      <c r="Y30" s="47">
        <v>1</v>
      </c>
      <c r="Z30" s="44" t="str">
        <f ca="1">IF(AND(Tableau1[[#This Row],[Charge]]&lt;&gt;0, Tableau1[[#This Row],[Nombre intervenants]]&lt;&gt;0,Tableau1[[#This Row],[Lien document]]&lt;&gt;0,Tableau1[[#This Row],[DMS_SAP]]&lt;&gt;0)=TRUE,"MIS A JOUR","")</f>
        <v/>
      </c>
      <c r="AA30" s="48"/>
      <c r="AB30" s="65" t="str">
        <f ca="1">IF(Tableau1[[#This Row],[Date rév.]]&lt;&gt;"", DAYS360(Tableau1[[#This Row],[Date rév.]],TODAY()),"")</f>
        <v/>
      </c>
      <c r="AC30" s="50" t="str">
        <f>IFERROR(INDEX(Chemin_accès!$B$11:$C$22,MATCH(Tableau1[[#This Row],[Type]],Chemin_accès!$C$11:$C$22,0),1),Chemin_accès!$B$11)</f>
        <v>\\stjn.local\trimet\Btechnique\Commun\Atelier Central mécanique\Plan entretien\Modèles préventif\GammeDMS_7.MENG.xlsm</v>
      </c>
      <c r="AD30" s="50" t="str">
        <f>Chemin_accès!$B$8&amp;Tableau1[[#This Row],[Localisation / Classement]]&amp;"\"&amp;Tableau1[[#This Row],[Poste technique ou N° d''équipement]]&amp;"_"&amp;Tableau1[[#This Row],[Plan Entretien]]&amp;".xlsm"</f>
        <v>\\stjn.local\trimet\Btechnique\Commun\Atelier Central mécanique\Plan entretien\GammeEntretien\TRACTEUR D61\122944_35696.xlsm</v>
      </c>
    </row>
    <row r="31" spans="1:30" x14ac:dyDescent="0.3">
      <c r="A31" s="44" t="str">
        <f t="shared" ca="1" si="0"/>
        <v>7.MENG</v>
      </c>
      <c r="B3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1" s="53"/>
      <c r="D31" s="44" t="s">
        <v>190</v>
      </c>
      <c r="E31" s="44" t="s">
        <v>151</v>
      </c>
      <c r="F31" s="47">
        <v>122944</v>
      </c>
      <c r="G31" s="47" t="s">
        <v>192</v>
      </c>
      <c r="H31" s="45">
        <v>35697</v>
      </c>
      <c r="I31" s="52"/>
      <c r="J31" s="45"/>
      <c r="K31" s="45"/>
      <c r="L31" s="46" t="s">
        <v>86</v>
      </c>
      <c r="M31" s="44" t="s">
        <v>198</v>
      </c>
      <c r="N31" s="46" t="s">
        <v>65</v>
      </c>
      <c r="O31" s="46"/>
      <c r="P31" s="47"/>
      <c r="Q31" s="46"/>
      <c r="R31" s="46"/>
      <c r="S31" s="48">
        <v>44579</v>
      </c>
      <c r="T31" s="68" t="str">
        <f>IF(Tableau1[[#This Row],[DMS_SAP]]="","",HYPERLINK(Tableau1[[#This Row],[Chemin fichier source]],"X"))</f>
        <v/>
      </c>
      <c r="U31" s="68" t="str">
        <f>IF(Tableau1[[#This Row],[Date rév.]]="","",HYPERLINK(Tableau1[[#This Row],[Lien document]],"X"))</f>
        <v/>
      </c>
      <c r="V31" s="47"/>
      <c r="W3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Sap\Maintenance\PlanEntretien\7.MENG\TRACTEUR D61\122944_35697.pdf</v>
      </c>
      <c r="X31" s="47">
        <v>8</v>
      </c>
      <c r="Y31" s="47">
        <v>1</v>
      </c>
      <c r="Z31" s="44" t="str">
        <f ca="1">IF(AND(Tableau1[[#This Row],[Charge]]&lt;&gt;0, Tableau1[[#This Row],[Nombre intervenants]]&lt;&gt;0,Tableau1[[#This Row],[Lien document]]&lt;&gt;0,Tableau1[[#This Row],[DMS_SAP]]&lt;&gt;0)=TRUE,"MIS A JOUR","")</f>
        <v/>
      </c>
      <c r="AA31" s="48"/>
      <c r="AB31" s="65" t="str">
        <f ca="1">IF(Tableau1[[#This Row],[Date rév.]]&lt;&gt;"", DAYS360(Tableau1[[#This Row],[Date rév.]],TODAY()),"")</f>
        <v/>
      </c>
      <c r="AC31" s="50" t="str">
        <f>IFERROR(INDEX(Chemin_accès!$B$11:$C$22,MATCH(Tableau1[[#This Row],[Type]],Chemin_accès!$C$11:$C$22,0),1),Chemin_accès!$B$11)</f>
        <v>\\stjn.local\trimet\Btechnique\Commun\Atelier Central mécanique\Plan entretien\Modèles préventif\GammeDMS_7.MENG.xlsm</v>
      </c>
      <c r="AD31" s="50" t="str">
        <f>Chemin_accès!$B$8&amp;Tableau1[[#This Row],[Localisation / Classement]]&amp;"\"&amp;Tableau1[[#This Row],[Poste technique ou N° d''équipement]]&amp;"_"&amp;Tableau1[[#This Row],[Plan Entretien]]&amp;".xlsm"</f>
        <v>\\stjn.local\trimet\Btechnique\Commun\Atelier Central mécanique\Plan entretien\GammeEntretien\TRACTEUR D61\122944_35697.xlsm</v>
      </c>
    </row>
    <row r="32" spans="1:30" x14ac:dyDescent="0.3">
      <c r="A32" s="44" t="str">
        <f t="shared" ca="1" si="0"/>
        <v>7.MENG</v>
      </c>
      <c r="B3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2" s="46"/>
      <c r="D32" s="44" t="s">
        <v>218</v>
      </c>
      <c r="E32" s="44" t="s">
        <v>151</v>
      </c>
      <c r="F32" s="47" t="s">
        <v>219</v>
      </c>
      <c r="G32" s="47" t="s">
        <v>218</v>
      </c>
      <c r="H32" s="45">
        <v>35698</v>
      </c>
      <c r="I32" s="45"/>
      <c r="J32" s="45"/>
      <c r="K32" s="45"/>
      <c r="L32" s="46" t="s">
        <v>37</v>
      </c>
      <c r="M32" s="44" t="s">
        <v>200</v>
      </c>
      <c r="N32" s="46" t="s">
        <v>65</v>
      </c>
      <c r="O32" s="46"/>
      <c r="P32" s="47"/>
      <c r="Q32" s="46"/>
      <c r="R32" s="46"/>
      <c r="S32" s="48">
        <v>44579</v>
      </c>
      <c r="T32" s="68" t="str">
        <f>IF(Tableau1[[#This Row],[DMS_SAP]]="","",HYPERLINK(Tableau1[[#This Row],[Chemin fichier source]],"X"))</f>
        <v/>
      </c>
      <c r="U32" s="68" t="str">
        <f>IF(Tableau1[[#This Row],[Date rév.]]="","",HYPERLINK(Tableau1[[#This Row],[Lien document]],"X"))</f>
        <v/>
      </c>
      <c r="V32" s="47"/>
      <c r="W3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Sap\Maintenance\PlanEntretien\7.MENG\HENCON ASPIRATRICE\T200-X260_35698.pdf</v>
      </c>
      <c r="X32" s="47">
        <v>4</v>
      </c>
      <c r="Y32" s="47">
        <v>1</v>
      </c>
      <c r="Z32" s="44" t="str">
        <f ca="1">IF(AND(Tableau1[[#This Row],[Charge]]&lt;&gt;0, Tableau1[[#This Row],[Nombre intervenants]]&lt;&gt;0,Tableau1[[#This Row],[Lien document]]&lt;&gt;0,Tableau1[[#This Row],[DMS_SAP]]&lt;&gt;0)=TRUE,"MIS A JOUR","")</f>
        <v/>
      </c>
      <c r="AA32" s="48"/>
      <c r="AB32" s="65" t="str">
        <f ca="1">IF(Tableau1[[#This Row],[Date rév.]]&lt;&gt;"", DAYS360(Tableau1[[#This Row],[Date rév.]],TODAY()),"")</f>
        <v/>
      </c>
      <c r="AC32" s="50" t="str">
        <f>IFERROR(INDEX(Chemin_accès!$B$11:$C$22,MATCH(Tableau1[[#This Row],[Type]],Chemin_accès!$C$11:$C$22,0),1),Chemin_accès!$B$11)</f>
        <v>\\stjn.local\trimet\Btechnique\Commun\Atelier Central mécanique\Plan entretien\Modèles préventif\GammeDMS_7.MENG.xlsm</v>
      </c>
      <c r="AD32" s="50" t="str">
        <f>Chemin_accès!$B$8&amp;Tableau1[[#This Row],[Localisation / Classement]]&amp;"\"&amp;Tableau1[[#This Row],[Poste technique ou N° d''équipement]]&amp;"_"&amp;Tableau1[[#This Row],[Plan Entretien]]&amp;".xlsm"</f>
        <v>\\stjn.local\trimet\Btechnique\Commun\Atelier Central mécanique\Plan entretien\GammeEntretien\HENCON ASPIRATRICE\T200-X260_35698.xlsm</v>
      </c>
    </row>
    <row r="33" spans="1:30" x14ac:dyDescent="0.3">
      <c r="A33" s="44" t="str">
        <f t="shared" ca="1" si="0"/>
        <v>7.MENG</v>
      </c>
      <c r="B3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3" s="46"/>
      <c r="D33" s="44" t="s">
        <v>218</v>
      </c>
      <c r="E33" s="44" t="s">
        <v>151</v>
      </c>
      <c r="F33" s="47" t="s">
        <v>219</v>
      </c>
      <c r="G33" s="47" t="s">
        <v>218</v>
      </c>
      <c r="H33" s="45">
        <v>35699</v>
      </c>
      <c r="I33" s="45"/>
      <c r="J33" s="45"/>
      <c r="K33" s="45"/>
      <c r="L33" s="46" t="s">
        <v>85</v>
      </c>
      <c r="M33" s="44" t="s">
        <v>201</v>
      </c>
      <c r="N33" s="46" t="s">
        <v>65</v>
      </c>
      <c r="O33" s="46"/>
      <c r="P33" s="47"/>
      <c r="Q33" s="46"/>
      <c r="R33" s="46"/>
      <c r="S33" s="48">
        <v>44579</v>
      </c>
      <c r="T33" s="68" t="str">
        <f>IF(Tableau1[[#This Row],[DMS_SAP]]="","",HYPERLINK(Tableau1[[#This Row],[Chemin fichier source]],"X"))</f>
        <v/>
      </c>
      <c r="U33" s="68" t="str">
        <f>IF(Tableau1[[#This Row],[Date rév.]]="","",HYPERLINK(Tableau1[[#This Row],[Lien document]],"X"))</f>
        <v/>
      </c>
      <c r="V33" s="47"/>
      <c r="W3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Sap\Maintenance\PlanEntretien\7.MENG\HENCON ASPIRATRICE\T200-X260_35699.pdf</v>
      </c>
      <c r="X33" s="47">
        <v>4</v>
      </c>
      <c r="Y33" s="47">
        <v>1</v>
      </c>
      <c r="Z33" s="44" t="str">
        <f ca="1">IF(AND(Tableau1[[#This Row],[Charge]]&lt;&gt;0, Tableau1[[#This Row],[Nombre intervenants]]&lt;&gt;0,Tableau1[[#This Row],[Lien document]]&lt;&gt;0,Tableau1[[#This Row],[DMS_SAP]]&lt;&gt;0)=TRUE,"MIS A JOUR","")</f>
        <v/>
      </c>
      <c r="AA33" s="48"/>
      <c r="AB33" s="65" t="str">
        <f ca="1">IF(Tableau1[[#This Row],[Date rév.]]&lt;&gt;"", DAYS360(Tableau1[[#This Row],[Date rév.]],TODAY()),"")</f>
        <v/>
      </c>
      <c r="AC33" s="50" t="str">
        <f>IFERROR(INDEX(Chemin_accès!$B$11:$C$22,MATCH(Tableau1[[#This Row],[Type]],Chemin_accès!$C$11:$C$22,0),1),Chemin_accès!$B$11)</f>
        <v>\\stjn.local\trimet\Btechnique\Commun\Atelier Central mécanique\Plan entretien\Modèles préventif\GammeDMS_7.MENG.xlsm</v>
      </c>
      <c r="AD33" s="50" t="str">
        <f>Chemin_accès!$B$8&amp;Tableau1[[#This Row],[Localisation / Classement]]&amp;"\"&amp;Tableau1[[#This Row],[Poste technique ou N° d''équipement]]&amp;"_"&amp;Tableau1[[#This Row],[Plan Entretien]]&amp;".xlsm"</f>
        <v>\\stjn.local\trimet\Btechnique\Commun\Atelier Central mécanique\Plan entretien\GammeEntretien\HENCON ASPIRATRICE\T200-X260_35699.xlsm</v>
      </c>
    </row>
    <row r="34" spans="1:30" x14ac:dyDescent="0.3">
      <c r="A34" s="44" t="str">
        <f t="shared" ca="1" si="0"/>
        <v>7.MENG</v>
      </c>
      <c r="B3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4" s="53"/>
      <c r="D34" s="44" t="s">
        <v>218</v>
      </c>
      <c r="E34" s="44" t="s">
        <v>151</v>
      </c>
      <c r="F34" s="47" t="s">
        <v>219</v>
      </c>
      <c r="G34" s="47" t="s">
        <v>218</v>
      </c>
      <c r="H34" s="45">
        <v>35700</v>
      </c>
      <c r="I34" s="45"/>
      <c r="J34" s="45"/>
      <c r="K34" s="45"/>
      <c r="L34" s="46" t="s">
        <v>86</v>
      </c>
      <c r="M34" s="44" t="s">
        <v>202</v>
      </c>
      <c r="N34" s="46" t="s">
        <v>65</v>
      </c>
      <c r="O34" s="46"/>
      <c r="P34" s="47"/>
      <c r="Q34" s="46"/>
      <c r="R34" s="46"/>
      <c r="S34" s="48">
        <v>44579</v>
      </c>
      <c r="T34" s="68" t="str">
        <f>IF(Tableau1[[#This Row],[DMS_SAP]]="","",HYPERLINK(Tableau1[[#This Row],[Chemin fichier source]],"X"))</f>
        <v/>
      </c>
      <c r="U34" s="68" t="str">
        <f>IF(Tableau1[[#This Row],[Date rév.]]="","",HYPERLINK(Tableau1[[#This Row],[Lien document]],"X"))</f>
        <v/>
      </c>
      <c r="V34" s="47"/>
      <c r="W3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Sap\Maintenance\PlanEntretien\7.MENG\HENCON ASPIRATRICE\T200-X260_35700.pdf</v>
      </c>
      <c r="X34" s="47">
        <v>8</v>
      </c>
      <c r="Y34" s="47">
        <v>1</v>
      </c>
      <c r="Z34" s="44" t="str">
        <f ca="1">IF(AND(Tableau1[[#This Row],[Charge]]&lt;&gt;0, Tableau1[[#This Row],[Nombre intervenants]]&lt;&gt;0,Tableau1[[#This Row],[Lien document]]&lt;&gt;0,Tableau1[[#This Row],[DMS_SAP]]&lt;&gt;0)=TRUE,"MIS A JOUR","")</f>
        <v/>
      </c>
      <c r="AA34" s="48"/>
      <c r="AB34" s="65" t="str">
        <f ca="1">IF(Tableau1[[#This Row],[Date rév.]]&lt;&gt;"", DAYS360(Tableau1[[#This Row],[Date rév.]],TODAY()),"")</f>
        <v/>
      </c>
      <c r="AC34" s="50" t="str">
        <f>IFERROR(INDEX(Chemin_accès!$B$11:$C$22,MATCH(Tableau1[[#This Row],[Type]],Chemin_accès!$C$11:$C$22,0),1),Chemin_accès!$B$11)</f>
        <v>\\stjn.local\trimet\Btechnique\Commun\Atelier Central mécanique\Plan entretien\Modèles préventif\GammeDMS_7.MENG.xlsm</v>
      </c>
      <c r="AD34" s="50" t="str">
        <f>Chemin_accès!$B$8&amp;Tableau1[[#This Row],[Localisation / Classement]]&amp;"\"&amp;Tableau1[[#This Row],[Poste technique ou N° d''équipement]]&amp;"_"&amp;Tableau1[[#This Row],[Plan Entretien]]&amp;".xlsm"</f>
        <v>\\stjn.local\trimet\Btechnique\Commun\Atelier Central mécanique\Plan entretien\GammeEntretien\HENCON ASPIRATRICE\T200-X260_35700.xlsm</v>
      </c>
    </row>
    <row r="35" spans="1:30" x14ac:dyDescent="0.3">
      <c r="A35" s="44" t="str">
        <f t="shared" ca="1" si="0"/>
        <v>7.MENG</v>
      </c>
      <c r="B3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5" s="46"/>
      <c r="D35" s="44" t="s">
        <v>217</v>
      </c>
      <c r="E35" s="44" t="s">
        <v>151</v>
      </c>
      <c r="F35" s="47">
        <v>122935</v>
      </c>
      <c r="G35" s="47" t="s">
        <v>217</v>
      </c>
      <c r="H35" s="45">
        <v>35701</v>
      </c>
      <c r="I35" s="45"/>
      <c r="J35" s="45"/>
      <c r="K35" s="45"/>
      <c r="L35" s="46" t="s">
        <v>37</v>
      </c>
      <c r="M35" s="44" t="s">
        <v>200</v>
      </c>
      <c r="N35" s="46" t="s">
        <v>65</v>
      </c>
      <c r="O35" s="46"/>
      <c r="P35" s="47"/>
      <c r="Q35" s="46"/>
      <c r="R35" s="46"/>
      <c r="S35" s="48">
        <v>44579</v>
      </c>
      <c r="T35" s="68" t="str">
        <f>IF(Tableau1[[#This Row],[DMS_SAP]]="","",HYPERLINK(Tableau1[[#This Row],[Chemin fichier source]],"X"))</f>
        <v/>
      </c>
      <c r="U35" s="68" t="str">
        <f>IF(Tableau1[[#This Row],[Date rév.]]="","",HYPERLINK(Tableau1[[#This Row],[Lien document]],"X"))</f>
        <v/>
      </c>
      <c r="V35" s="47"/>
      <c r="W3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Sap\Maintenance\PlanEntretien\7.MENG\HENCON BAIN\122935_35701.pdf</v>
      </c>
      <c r="X35" s="47">
        <v>4</v>
      </c>
      <c r="Y35" s="47">
        <v>1</v>
      </c>
      <c r="Z35" s="44" t="str">
        <f ca="1">IF(AND(Tableau1[[#This Row],[Charge]]&lt;&gt;0, Tableau1[[#This Row],[Nombre intervenants]]&lt;&gt;0,Tableau1[[#This Row],[Lien document]]&lt;&gt;0,Tableau1[[#This Row],[DMS_SAP]]&lt;&gt;0)=TRUE,"MIS A JOUR","")</f>
        <v/>
      </c>
      <c r="AA35" s="48"/>
      <c r="AB35" s="65" t="str">
        <f ca="1">IF(Tableau1[[#This Row],[Date rév.]]&lt;&gt;"", DAYS360(Tableau1[[#This Row],[Date rév.]],TODAY()),"")</f>
        <v/>
      </c>
      <c r="AC35" s="50" t="str">
        <f>IFERROR(INDEX(Chemin_accès!$B$11:$C$22,MATCH(Tableau1[[#This Row],[Type]],Chemin_accès!$C$11:$C$22,0),1),Chemin_accès!$B$11)</f>
        <v>\\stjn.local\trimet\Btechnique\Commun\Atelier Central mécanique\Plan entretien\Modèles préventif\GammeDMS_7.MENG.xlsm</v>
      </c>
      <c r="AD35" s="50" t="str">
        <f>Chemin_accès!$B$8&amp;Tableau1[[#This Row],[Localisation / Classement]]&amp;"\"&amp;Tableau1[[#This Row],[Poste technique ou N° d''équipement]]&amp;"_"&amp;Tableau1[[#This Row],[Plan Entretien]]&amp;".xlsm"</f>
        <v>\\stjn.local\trimet\Btechnique\Commun\Atelier Central mécanique\Plan entretien\GammeEntretien\HENCON BAIN\122935_35701.xlsm</v>
      </c>
    </row>
    <row r="36" spans="1:30" x14ac:dyDescent="0.3">
      <c r="A36" s="44" t="str">
        <f t="shared" ca="1" si="0"/>
        <v>7.MENG</v>
      </c>
      <c r="B3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6" s="46"/>
      <c r="D36" s="44" t="s">
        <v>217</v>
      </c>
      <c r="E36" s="44" t="s">
        <v>151</v>
      </c>
      <c r="F36" s="44">
        <v>122935</v>
      </c>
      <c r="G36" s="44" t="s">
        <v>217</v>
      </c>
      <c r="H36" s="45">
        <v>35702</v>
      </c>
      <c r="I36" s="45"/>
      <c r="J36" s="45"/>
      <c r="K36" s="45"/>
      <c r="L36" s="46" t="s">
        <v>85</v>
      </c>
      <c r="M36" s="44" t="s">
        <v>201</v>
      </c>
      <c r="N36" s="46" t="s">
        <v>65</v>
      </c>
      <c r="O36" s="46"/>
      <c r="P36" s="47"/>
      <c r="Q36" s="46"/>
      <c r="R36" s="46"/>
      <c r="S36" s="48">
        <v>44579</v>
      </c>
      <c r="T36" s="68" t="str">
        <f>IF(Tableau1[[#This Row],[DMS_SAP]]="","",HYPERLINK(Tableau1[[#This Row],[Chemin fichier source]],"X"))</f>
        <v/>
      </c>
      <c r="U36" s="68" t="str">
        <f>IF(Tableau1[[#This Row],[Date rév.]]="","",HYPERLINK(Tableau1[[#This Row],[Lien document]],"X"))</f>
        <v/>
      </c>
      <c r="V36" s="47"/>
      <c r="W3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Sap\Maintenance\PlanEntretien\7.MENG\HENCON BAIN\122935_35702.pdf</v>
      </c>
      <c r="X36" s="47">
        <v>4</v>
      </c>
      <c r="Y36" s="47">
        <v>1</v>
      </c>
      <c r="Z36" s="44" t="str">
        <f ca="1">IF(AND(Tableau1[[#This Row],[Charge]]&lt;&gt;0, Tableau1[[#This Row],[Nombre intervenants]]&lt;&gt;0,Tableau1[[#This Row],[Lien document]]&lt;&gt;0,Tableau1[[#This Row],[DMS_SAP]]&lt;&gt;0)=TRUE,"MIS A JOUR","")</f>
        <v/>
      </c>
      <c r="AA36" s="48"/>
      <c r="AB36" s="65" t="str">
        <f ca="1">IF(Tableau1[[#This Row],[Date rév.]]&lt;&gt;"", DAYS360(Tableau1[[#This Row],[Date rév.]],TODAY()),"")</f>
        <v/>
      </c>
      <c r="AC36" s="50" t="str">
        <f>IFERROR(INDEX(Chemin_accès!$B$11:$C$22,MATCH(Tableau1[[#This Row],[Type]],Chemin_accès!$C$11:$C$22,0),1),Chemin_accès!$B$11)</f>
        <v>\\stjn.local\trimet\Btechnique\Commun\Atelier Central mécanique\Plan entretien\Modèles préventif\GammeDMS_7.MENG.xlsm</v>
      </c>
      <c r="AD36" s="50" t="str">
        <f>Chemin_accès!$B$8&amp;Tableau1[[#This Row],[Localisation / Classement]]&amp;"\"&amp;Tableau1[[#This Row],[Poste technique ou N° d''équipement]]&amp;"_"&amp;Tableau1[[#This Row],[Plan Entretien]]&amp;".xlsm"</f>
        <v>\\stjn.local\trimet\Btechnique\Commun\Atelier Central mécanique\Plan entretien\GammeEntretien\HENCON BAIN\122935_35702.xlsm</v>
      </c>
    </row>
    <row r="37" spans="1:30" x14ac:dyDescent="0.3">
      <c r="A37" s="44" t="str">
        <f t="shared" ca="1" si="0"/>
        <v>7.MENG</v>
      </c>
      <c r="B3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7" s="53"/>
      <c r="D37" s="44" t="s">
        <v>217</v>
      </c>
      <c r="E37" s="44" t="s">
        <v>151</v>
      </c>
      <c r="F37" s="47">
        <v>122935</v>
      </c>
      <c r="G37" s="47" t="s">
        <v>217</v>
      </c>
      <c r="H37" s="45">
        <v>35703</v>
      </c>
      <c r="I37" s="45"/>
      <c r="J37" s="45"/>
      <c r="K37" s="45"/>
      <c r="L37" s="46" t="s">
        <v>86</v>
      </c>
      <c r="M37" s="44" t="s">
        <v>202</v>
      </c>
      <c r="N37" s="46" t="s">
        <v>65</v>
      </c>
      <c r="O37" s="46"/>
      <c r="P37" s="47"/>
      <c r="Q37" s="46"/>
      <c r="R37" s="46"/>
      <c r="S37" s="48">
        <v>44579</v>
      </c>
      <c r="T37" s="68" t="str">
        <f>IF(Tableau1[[#This Row],[DMS_SAP]]="","",HYPERLINK(Tableau1[[#This Row],[Chemin fichier source]],"X"))</f>
        <v/>
      </c>
      <c r="U37" s="68" t="str">
        <f>IF(Tableau1[[#This Row],[Date rév.]]="","",HYPERLINK(Tableau1[[#This Row],[Lien document]],"X"))</f>
        <v/>
      </c>
      <c r="V37" s="47"/>
      <c r="W3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Sap\Maintenance\PlanEntretien\7.MENG\HENCON BAIN\122935_35703.pdf</v>
      </c>
      <c r="X37" s="47">
        <v>8</v>
      </c>
      <c r="Y37" s="47">
        <v>1</v>
      </c>
      <c r="Z37" s="44" t="str">
        <f ca="1">IF(AND(Tableau1[[#This Row],[Charge]]&lt;&gt;0, Tableau1[[#This Row],[Nombre intervenants]]&lt;&gt;0,Tableau1[[#This Row],[Lien document]]&lt;&gt;0,Tableau1[[#This Row],[DMS_SAP]]&lt;&gt;0)=TRUE,"MIS A JOUR","")</f>
        <v/>
      </c>
      <c r="AA37" s="48"/>
      <c r="AB37" s="65" t="str">
        <f ca="1">IF(Tableau1[[#This Row],[Date rév.]]&lt;&gt;"", DAYS360(Tableau1[[#This Row],[Date rév.]],TODAY()),"")</f>
        <v/>
      </c>
      <c r="AC37" s="50" t="str">
        <f>IFERROR(INDEX(Chemin_accès!$B$11:$C$22,MATCH(Tableau1[[#This Row],[Type]],Chemin_accès!$C$11:$C$22,0),1),Chemin_accès!$B$11)</f>
        <v>\\stjn.local\trimet\Btechnique\Commun\Atelier Central mécanique\Plan entretien\Modèles préventif\GammeDMS_7.MENG.xlsm</v>
      </c>
      <c r="AD37" s="50" t="str">
        <f>Chemin_accès!$B$8&amp;Tableau1[[#This Row],[Localisation / Classement]]&amp;"\"&amp;Tableau1[[#This Row],[Poste technique ou N° d''équipement]]&amp;"_"&amp;Tableau1[[#This Row],[Plan Entretien]]&amp;".xlsm"</f>
        <v>\\stjn.local\trimet\Btechnique\Commun\Atelier Central mécanique\Plan entretien\GammeEntretien\HENCON BAIN\122935_35703.xlsm</v>
      </c>
    </row>
    <row r="38" spans="1:30" x14ac:dyDescent="0.3">
      <c r="A38" s="44" t="str">
        <f t="shared" ca="1" si="0"/>
        <v>7.MENG</v>
      </c>
      <c r="B3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8" s="53"/>
      <c r="D38" s="44" t="s">
        <v>199</v>
      </c>
      <c r="E38" s="44" t="s">
        <v>151</v>
      </c>
      <c r="F38" s="47" t="s">
        <v>203</v>
      </c>
      <c r="G38" s="47" t="s">
        <v>199</v>
      </c>
      <c r="H38" s="45">
        <v>35704</v>
      </c>
      <c r="I38" s="45"/>
      <c r="J38" s="45"/>
      <c r="K38" s="45"/>
      <c r="L38" s="46" t="s">
        <v>37</v>
      </c>
      <c r="M38" s="44" t="s">
        <v>204</v>
      </c>
      <c r="N38" s="46" t="s">
        <v>65</v>
      </c>
      <c r="O38" s="46"/>
      <c r="P38" s="47"/>
      <c r="Q38" s="46"/>
      <c r="R38" s="46"/>
      <c r="S38" s="48">
        <v>44579</v>
      </c>
      <c r="T38" s="68" t="str">
        <f>IF(Tableau1[[#This Row],[DMS_SAP]]="","",HYPERLINK(Tableau1[[#This Row],[Chemin fichier source]],"X"))</f>
        <v/>
      </c>
      <c r="U38" s="68" t="str">
        <f>IF(Tableau1[[#This Row],[Date rév.]]="","",HYPERLINK(Tableau1[[#This Row],[Lien document]],"X"))</f>
        <v/>
      </c>
      <c r="V38" s="47"/>
      <c r="W3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Sap\Maintenance\PlanEntretien\7.MENG\BALAYEUSE DULEVO\T200-X210_35704.pdf</v>
      </c>
      <c r="X38" s="47">
        <v>4</v>
      </c>
      <c r="Y38" s="47">
        <v>1</v>
      </c>
      <c r="Z38" s="44" t="str">
        <f ca="1">IF(AND(Tableau1[[#This Row],[Charge]]&lt;&gt;0, Tableau1[[#This Row],[Nombre intervenants]]&lt;&gt;0,Tableau1[[#This Row],[Lien document]]&lt;&gt;0,Tableau1[[#This Row],[DMS_SAP]]&lt;&gt;0)=TRUE,"MIS A JOUR","")</f>
        <v/>
      </c>
      <c r="AA38" s="48"/>
      <c r="AB38" s="65" t="str">
        <f ca="1">IF(Tableau1[[#This Row],[Date rév.]]&lt;&gt;"", DAYS360(Tableau1[[#This Row],[Date rév.]],TODAY()),"")</f>
        <v/>
      </c>
      <c r="AC38" s="50" t="str">
        <f>IFERROR(INDEX(Chemin_accès!$B$11:$C$22,MATCH(Tableau1[[#This Row],[Type]],Chemin_accès!$C$11:$C$22,0),1),Chemin_accès!$B$11)</f>
        <v>\\stjn.local\trimet\Btechnique\Commun\Atelier Central mécanique\Plan entretien\Modèles préventif\GammeDMS_7.MENG.xlsm</v>
      </c>
      <c r="AD38" s="50" t="str">
        <f>Chemin_accès!$B$8&amp;Tableau1[[#This Row],[Localisation / Classement]]&amp;"\"&amp;Tableau1[[#This Row],[Poste technique ou N° d''équipement]]&amp;"_"&amp;Tableau1[[#This Row],[Plan Entretien]]&amp;".xlsm"</f>
        <v>\\stjn.local\trimet\Btechnique\Commun\Atelier Central mécanique\Plan entretien\GammeEntretien\BALAYEUSE DULEVO\T200-X210_35704.xlsm</v>
      </c>
    </row>
    <row r="39" spans="1:30" x14ac:dyDescent="0.3">
      <c r="A39" s="44" t="str">
        <f t="shared" ca="1" si="0"/>
        <v>7.MENG</v>
      </c>
      <c r="B3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9" s="53"/>
      <c r="D39" s="44" t="s">
        <v>205</v>
      </c>
      <c r="E39" s="44" t="s">
        <v>151</v>
      </c>
      <c r="F39" s="47">
        <v>121800</v>
      </c>
      <c r="G39" s="47" t="s">
        <v>205</v>
      </c>
      <c r="H39" s="45">
        <v>35705</v>
      </c>
      <c r="I39" s="45"/>
      <c r="J39" s="45"/>
      <c r="K39" s="45"/>
      <c r="L39" s="46" t="s">
        <v>37</v>
      </c>
      <c r="M39" s="44" t="s">
        <v>207</v>
      </c>
      <c r="N39" s="46" t="s">
        <v>65</v>
      </c>
      <c r="O39" s="46"/>
      <c r="P39" s="47"/>
      <c r="Q39" s="46"/>
      <c r="R39" s="46"/>
      <c r="S39" s="48">
        <v>44579</v>
      </c>
      <c r="T39" s="68" t="str">
        <f>IF(Tableau1[[#This Row],[DMS_SAP]]="","",HYPERLINK(Tableau1[[#This Row],[Chemin fichier source]],"X"))</f>
        <v/>
      </c>
      <c r="U39" s="68" t="str">
        <f>IF(Tableau1[[#This Row],[Date rév.]]="","",HYPERLINK(Tableau1[[#This Row],[Lien document]],"X"))</f>
        <v/>
      </c>
      <c r="V39" s="47"/>
      <c r="W3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Sap\Maintenance\PlanEntretien\7.MENG\MECFOR 1\121800_35705.pdf</v>
      </c>
      <c r="X39" s="47">
        <v>4</v>
      </c>
      <c r="Y39" s="47">
        <v>1</v>
      </c>
      <c r="Z39" s="44" t="str">
        <f ca="1">IF(AND(Tableau1[[#This Row],[Charge]]&lt;&gt;0, Tableau1[[#This Row],[Nombre intervenants]]&lt;&gt;0,Tableau1[[#This Row],[Lien document]]&lt;&gt;0,Tableau1[[#This Row],[DMS_SAP]]&lt;&gt;0)=TRUE,"MIS A JOUR","")</f>
        <v/>
      </c>
      <c r="AA39" s="48"/>
      <c r="AB39" s="65" t="str">
        <f ca="1">IF(Tableau1[[#This Row],[Date rév.]]&lt;&gt;"", DAYS360(Tableau1[[#This Row],[Date rév.]],TODAY()),"")</f>
        <v/>
      </c>
      <c r="AC39" s="50" t="str">
        <f>IFERROR(INDEX(Chemin_accès!$B$11:$C$22,MATCH(Tableau1[[#This Row],[Type]],Chemin_accès!$C$11:$C$22,0),1),Chemin_accès!$B$11)</f>
        <v>\\stjn.local\trimet\Btechnique\Commun\Atelier Central mécanique\Plan entretien\Modèles préventif\GammeDMS_7.MENG.xlsm</v>
      </c>
      <c r="AD39" s="50" t="str">
        <f>Chemin_accès!$B$8&amp;Tableau1[[#This Row],[Localisation / Classement]]&amp;"\"&amp;Tableau1[[#This Row],[Poste technique ou N° d''équipement]]&amp;"_"&amp;Tableau1[[#This Row],[Plan Entretien]]&amp;".xlsm"</f>
        <v>\\stjn.local\trimet\Btechnique\Commun\Atelier Central mécanique\Plan entretien\GammeEntretien\MECFOR 1\121800_35705.xlsm</v>
      </c>
    </row>
    <row r="40" spans="1:30" x14ac:dyDescent="0.3">
      <c r="A40" s="44" t="str">
        <f t="shared" ca="1" si="0"/>
        <v>7.MENG</v>
      </c>
      <c r="B4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0" s="53"/>
      <c r="D40" s="44" t="s">
        <v>205</v>
      </c>
      <c r="E40" s="44" t="s">
        <v>151</v>
      </c>
      <c r="F40" s="47">
        <v>121800</v>
      </c>
      <c r="G40" s="47" t="s">
        <v>205</v>
      </c>
      <c r="H40" s="45">
        <v>35706</v>
      </c>
      <c r="I40" s="45"/>
      <c r="J40" s="45"/>
      <c r="K40" s="45"/>
      <c r="L40" s="46" t="s">
        <v>85</v>
      </c>
      <c r="M40" s="44" t="s">
        <v>208</v>
      </c>
      <c r="N40" s="46" t="s">
        <v>65</v>
      </c>
      <c r="O40" s="46"/>
      <c r="P40" s="47"/>
      <c r="Q40" s="46"/>
      <c r="R40" s="46"/>
      <c r="S40" s="48">
        <v>44579</v>
      </c>
      <c r="T40" s="68" t="str">
        <f>IF(Tableau1[[#This Row],[DMS_SAP]]="","",HYPERLINK(Tableau1[[#This Row],[Chemin fichier source]],"X"))</f>
        <v/>
      </c>
      <c r="U40" s="68" t="str">
        <f>IF(Tableau1[[#This Row],[Date rév.]]="","",HYPERLINK(Tableau1[[#This Row],[Lien document]],"X"))</f>
        <v/>
      </c>
      <c r="V40" s="47"/>
      <c r="W4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Sap\Maintenance\PlanEntretien\7.MENG\MECFOR 1\121800_35706.pdf</v>
      </c>
      <c r="X40" s="47">
        <v>4</v>
      </c>
      <c r="Y40" s="47">
        <v>1</v>
      </c>
      <c r="Z40" s="44" t="str">
        <f ca="1">IF(AND(Tableau1[[#This Row],[Charge]]&lt;&gt;0, Tableau1[[#This Row],[Nombre intervenants]]&lt;&gt;0,Tableau1[[#This Row],[Lien document]]&lt;&gt;0,Tableau1[[#This Row],[DMS_SAP]]&lt;&gt;0)=TRUE,"MIS A JOUR","")</f>
        <v/>
      </c>
      <c r="AA40" s="48"/>
      <c r="AB40" s="65" t="str">
        <f ca="1">IF(Tableau1[[#This Row],[Date rév.]]&lt;&gt;"", DAYS360(Tableau1[[#This Row],[Date rév.]],TODAY()),"")</f>
        <v/>
      </c>
      <c r="AC40" s="50" t="str">
        <f>IFERROR(INDEX(Chemin_accès!$B$11:$C$22,MATCH(Tableau1[[#This Row],[Type]],Chemin_accès!$C$11:$C$22,0),1),Chemin_accès!$B$11)</f>
        <v>\\stjn.local\trimet\Btechnique\Commun\Atelier Central mécanique\Plan entretien\Modèles préventif\GammeDMS_7.MENG.xlsm</v>
      </c>
      <c r="AD40" s="50" t="str">
        <f>Chemin_accès!$B$8&amp;Tableau1[[#This Row],[Localisation / Classement]]&amp;"\"&amp;Tableau1[[#This Row],[Poste technique ou N° d''équipement]]&amp;"_"&amp;Tableau1[[#This Row],[Plan Entretien]]&amp;".xlsm"</f>
        <v>\\stjn.local\trimet\Btechnique\Commun\Atelier Central mécanique\Plan entretien\GammeEntretien\MECFOR 1\121800_35706.xlsm</v>
      </c>
    </row>
    <row r="41" spans="1:30" x14ac:dyDescent="0.3">
      <c r="A41" s="44" t="str">
        <f t="shared" ca="1" si="0"/>
        <v>7.MENG</v>
      </c>
      <c r="B4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1" s="53"/>
      <c r="D41" s="44" t="s">
        <v>205</v>
      </c>
      <c r="E41" s="44" t="s">
        <v>151</v>
      </c>
      <c r="F41" s="47">
        <v>121800</v>
      </c>
      <c r="G41" s="47" t="s">
        <v>205</v>
      </c>
      <c r="H41" s="45">
        <v>35707</v>
      </c>
      <c r="I41" s="45"/>
      <c r="J41" s="45"/>
      <c r="K41" s="45"/>
      <c r="L41" s="46" t="s">
        <v>86</v>
      </c>
      <c r="M41" s="44" t="s">
        <v>209</v>
      </c>
      <c r="N41" s="46" t="s">
        <v>65</v>
      </c>
      <c r="O41" s="46"/>
      <c r="P41" s="47"/>
      <c r="Q41" s="46"/>
      <c r="R41" s="46"/>
      <c r="S41" s="48">
        <v>44579</v>
      </c>
      <c r="T41" s="68" t="str">
        <f>IF(Tableau1[[#This Row],[DMS_SAP]]="","",HYPERLINK(Tableau1[[#This Row],[Chemin fichier source]],"X"))</f>
        <v/>
      </c>
      <c r="U41" s="68" t="str">
        <f>IF(Tableau1[[#This Row],[Date rév.]]="","",HYPERLINK(Tableau1[[#This Row],[Lien document]],"X"))</f>
        <v/>
      </c>
      <c r="V41" s="47"/>
      <c r="W4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Sap\Maintenance\PlanEntretien\7.MENG\MECFOR 1\121800_35707.pdf</v>
      </c>
      <c r="X41" s="47">
        <v>8</v>
      </c>
      <c r="Y41" s="47">
        <v>1</v>
      </c>
      <c r="Z41" s="44" t="str">
        <f ca="1">IF(AND(Tableau1[[#This Row],[Charge]]&lt;&gt;0, Tableau1[[#This Row],[Nombre intervenants]]&lt;&gt;0,Tableau1[[#This Row],[Lien document]]&lt;&gt;0,Tableau1[[#This Row],[DMS_SAP]]&lt;&gt;0)=TRUE,"MIS A JOUR","")</f>
        <v/>
      </c>
      <c r="AA41" s="48"/>
      <c r="AB41" s="65" t="str">
        <f ca="1">IF(Tableau1[[#This Row],[Date rév.]]&lt;&gt;"", DAYS360(Tableau1[[#This Row],[Date rév.]],TODAY()),"")</f>
        <v/>
      </c>
      <c r="AC41" s="50" t="str">
        <f>IFERROR(INDEX(Chemin_accès!$B$11:$C$22,MATCH(Tableau1[[#This Row],[Type]],Chemin_accès!$C$11:$C$22,0),1),Chemin_accès!$B$11)</f>
        <v>\\stjn.local\trimet\Btechnique\Commun\Atelier Central mécanique\Plan entretien\Modèles préventif\GammeDMS_7.MENG.xlsm</v>
      </c>
      <c r="AD41" s="50" t="str">
        <f>Chemin_accès!$B$8&amp;Tableau1[[#This Row],[Localisation / Classement]]&amp;"\"&amp;Tableau1[[#This Row],[Poste technique ou N° d''équipement]]&amp;"_"&amp;Tableau1[[#This Row],[Plan Entretien]]&amp;".xlsm"</f>
        <v>\\stjn.local\trimet\Btechnique\Commun\Atelier Central mécanique\Plan entretien\GammeEntretien\MECFOR 1\121800_35707.xlsm</v>
      </c>
    </row>
    <row r="42" spans="1:30" x14ac:dyDescent="0.3">
      <c r="A42" s="44" t="str">
        <f t="shared" ca="1" si="0"/>
        <v>7.MENG</v>
      </c>
      <c r="B4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2" s="53"/>
      <c r="D42" s="44" t="s">
        <v>206</v>
      </c>
      <c r="E42" s="44" t="s">
        <v>151</v>
      </c>
      <c r="F42" s="47">
        <v>121801</v>
      </c>
      <c r="G42" s="47" t="s">
        <v>206</v>
      </c>
      <c r="H42" s="45">
        <v>35708</v>
      </c>
      <c r="I42" s="45"/>
      <c r="J42" s="45"/>
      <c r="K42" s="45"/>
      <c r="L42" s="46" t="s">
        <v>37</v>
      </c>
      <c r="M42" s="44" t="s">
        <v>210</v>
      </c>
      <c r="N42" s="46" t="s">
        <v>65</v>
      </c>
      <c r="O42" s="46"/>
      <c r="P42" s="47"/>
      <c r="Q42" s="46"/>
      <c r="R42" s="46"/>
      <c r="S42" s="48">
        <v>44579</v>
      </c>
      <c r="T42" s="68" t="str">
        <f>IF(Tableau1[[#This Row],[DMS_SAP]]="","",HYPERLINK(Tableau1[[#This Row],[Chemin fichier source]],"X"))</f>
        <v/>
      </c>
      <c r="U42" s="68" t="str">
        <f>IF(Tableau1[[#This Row],[Date rév.]]="","",HYPERLINK(Tableau1[[#This Row],[Lien document]],"X"))</f>
        <v/>
      </c>
      <c r="V42" s="47"/>
      <c r="W4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Sap\Maintenance\PlanEntretien\7.MENG\MECFOR 2\121801_35708.pdf</v>
      </c>
      <c r="X42" s="47">
        <v>4</v>
      </c>
      <c r="Y42" s="47">
        <v>1</v>
      </c>
      <c r="Z42" s="44" t="str">
        <f ca="1">IF(AND(Tableau1[[#This Row],[Charge]]&lt;&gt;0, Tableau1[[#This Row],[Nombre intervenants]]&lt;&gt;0,Tableau1[[#This Row],[Lien document]]&lt;&gt;0,Tableau1[[#This Row],[DMS_SAP]]&lt;&gt;0)=TRUE,"MIS A JOUR","")</f>
        <v/>
      </c>
      <c r="AA42" s="48"/>
      <c r="AB42" s="65" t="str">
        <f ca="1">IF(Tableau1[[#This Row],[Date rév.]]&lt;&gt;"", DAYS360(Tableau1[[#This Row],[Date rév.]],TODAY()),"")</f>
        <v/>
      </c>
      <c r="AC42" s="50" t="str">
        <f>IFERROR(INDEX(Chemin_accès!$B$11:$C$22,MATCH(Tableau1[[#This Row],[Type]],Chemin_accès!$C$11:$C$22,0),1),Chemin_accès!$B$11)</f>
        <v>\\stjn.local\trimet\Btechnique\Commun\Atelier Central mécanique\Plan entretien\Modèles préventif\GammeDMS_7.MENG.xlsm</v>
      </c>
      <c r="AD42" s="50" t="str">
        <f>Chemin_accès!$B$8&amp;Tableau1[[#This Row],[Localisation / Classement]]&amp;"\"&amp;Tableau1[[#This Row],[Poste technique ou N° d''équipement]]&amp;"_"&amp;Tableau1[[#This Row],[Plan Entretien]]&amp;".xlsm"</f>
        <v>\\stjn.local\trimet\Btechnique\Commun\Atelier Central mécanique\Plan entretien\GammeEntretien\MECFOR 2\121801_35708.xlsm</v>
      </c>
    </row>
    <row r="43" spans="1:30" x14ac:dyDescent="0.3">
      <c r="A43" s="44" t="str">
        <f t="shared" ca="1" si="0"/>
        <v>7.MENG</v>
      </c>
      <c r="B4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3" s="53"/>
      <c r="D43" s="44" t="s">
        <v>206</v>
      </c>
      <c r="E43" s="44" t="s">
        <v>151</v>
      </c>
      <c r="F43" s="47">
        <v>121801</v>
      </c>
      <c r="G43" s="47" t="s">
        <v>206</v>
      </c>
      <c r="H43" s="45">
        <v>35709</v>
      </c>
      <c r="I43" s="45"/>
      <c r="J43" s="45"/>
      <c r="K43" s="45"/>
      <c r="L43" s="46" t="s">
        <v>85</v>
      </c>
      <c r="M43" s="44" t="s">
        <v>211</v>
      </c>
      <c r="N43" s="46" t="s">
        <v>65</v>
      </c>
      <c r="O43" s="46"/>
      <c r="P43" s="47"/>
      <c r="Q43" s="46"/>
      <c r="R43" s="46"/>
      <c r="S43" s="48">
        <v>44579</v>
      </c>
      <c r="T43" s="68" t="str">
        <f>IF(Tableau1[[#This Row],[DMS_SAP]]="","",HYPERLINK(Tableau1[[#This Row],[Chemin fichier source]],"X"))</f>
        <v/>
      </c>
      <c r="U43" s="68" t="str">
        <f>IF(Tableau1[[#This Row],[Date rév.]]="","",HYPERLINK(Tableau1[[#This Row],[Lien document]],"X"))</f>
        <v/>
      </c>
      <c r="V43" s="47"/>
      <c r="W4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Sap\Maintenance\PlanEntretien\7.MENG\MECFOR 2\121801_35709.pdf</v>
      </c>
      <c r="X43" s="47">
        <v>4</v>
      </c>
      <c r="Y43" s="47">
        <v>1</v>
      </c>
      <c r="Z43" s="44" t="str">
        <f ca="1">IF(AND(Tableau1[[#This Row],[Charge]]&lt;&gt;0, Tableau1[[#This Row],[Nombre intervenants]]&lt;&gt;0,Tableau1[[#This Row],[Lien document]]&lt;&gt;0,Tableau1[[#This Row],[DMS_SAP]]&lt;&gt;0)=TRUE,"MIS A JOUR","")</f>
        <v/>
      </c>
      <c r="AA43" s="48"/>
      <c r="AB43" s="65" t="str">
        <f ca="1">IF(Tableau1[[#This Row],[Date rév.]]&lt;&gt;"", DAYS360(Tableau1[[#This Row],[Date rév.]],TODAY()),"")</f>
        <v/>
      </c>
      <c r="AC43" s="50" t="str">
        <f>IFERROR(INDEX(Chemin_accès!$B$11:$C$22,MATCH(Tableau1[[#This Row],[Type]],Chemin_accès!$C$11:$C$22,0),1),Chemin_accès!$B$11)</f>
        <v>\\stjn.local\trimet\Btechnique\Commun\Atelier Central mécanique\Plan entretien\Modèles préventif\GammeDMS_7.MENG.xlsm</v>
      </c>
      <c r="AD43" s="50" t="str">
        <f>Chemin_accès!$B$8&amp;Tableau1[[#This Row],[Localisation / Classement]]&amp;"\"&amp;Tableau1[[#This Row],[Poste technique ou N° d''équipement]]&amp;"_"&amp;Tableau1[[#This Row],[Plan Entretien]]&amp;".xlsm"</f>
        <v>\\stjn.local\trimet\Btechnique\Commun\Atelier Central mécanique\Plan entretien\GammeEntretien\MECFOR 2\121801_35709.xlsm</v>
      </c>
    </row>
    <row r="44" spans="1:30" x14ac:dyDescent="0.3">
      <c r="A44" s="44" t="str">
        <f t="shared" ca="1" si="0"/>
        <v>7.MENG</v>
      </c>
      <c r="B4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4" s="53"/>
      <c r="D44" s="44" t="s">
        <v>206</v>
      </c>
      <c r="E44" s="44" t="s">
        <v>151</v>
      </c>
      <c r="F44" s="44">
        <v>121801</v>
      </c>
      <c r="G44" s="44" t="s">
        <v>206</v>
      </c>
      <c r="H44" s="45">
        <v>35710</v>
      </c>
      <c r="I44" s="45"/>
      <c r="J44" s="45"/>
      <c r="K44" s="45"/>
      <c r="L44" s="46" t="s">
        <v>86</v>
      </c>
      <c r="M44" s="44" t="s">
        <v>212</v>
      </c>
      <c r="N44" s="46" t="s">
        <v>65</v>
      </c>
      <c r="O44" s="46"/>
      <c r="P44" s="47"/>
      <c r="Q44" s="46"/>
      <c r="R44" s="46"/>
      <c r="S44" s="48">
        <v>44579</v>
      </c>
      <c r="T44" s="68" t="str">
        <f>IF(Tableau1[[#This Row],[DMS_SAP]]="","",HYPERLINK(Tableau1[[#This Row],[Chemin fichier source]],"X"))</f>
        <v/>
      </c>
      <c r="U44" s="68" t="str">
        <f>IF(Tableau1[[#This Row],[Date rév.]]="","",HYPERLINK(Tableau1[[#This Row],[Lien document]],"X"))</f>
        <v/>
      </c>
      <c r="V44" s="47"/>
      <c r="W4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Sap\Maintenance\PlanEntretien\7.MENG\MECFOR 2\121801_35710.pdf</v>
      </c>
      <c r="X44" s="47">
        <v>8</v>
      </c>
      <c r="Y44" s="47">
        <v>1</v>
      </c>
      <c r="Z44" s="44" t="str">
        <f ca="1">IF(AND(Tableau1[[#This Row],[Charge]]&lt;&gt;0, Tableau1[[#This Row],[Nombre intervenants]]&lt;&gt;0,Tableau1[[#This Row],[Lien document]]&lt;&gt;0,Tableau1[[#This Row],[DMS_SAP]]&lt;&gt;0)=TRUE,"MIS A JOUR","")</f>
        <v/>
      </c>
      <c r="AA44" s="48"/>
      <c r="AB44" s="65" t="str">
        <f ca="1">IF(Tableau1[[#This Row],[Date rév.]]&lt;&gt;"", DAYS360(Tableau1[[#This Row],[Date rév.]],TODAY()),"")</f>
        <v/>
      </c>
      <c r="AC44" s="50" t="str">
        <f>IFERROR(INDEX(Chemin_accès!$B$11:$C$22,MATCH(Tableau1[[#This Row],[Type]],Chemin_accès!$C$11:$C$22,0),1),Chemin_accès!$B$11)</f>
        <v>\\stjn.local\trimet\Btechnique\Commun\Atelier Central mécanique\Plan entretien\Modèles préventif\GammeDMS_7.MENG.xlsm</v>
      </c>
      <c r="AD44" s="50" t="str">
        <f>Chemin_accès!$B$8&amp;Tableau1[[#This Row],[Localisation / Classement]]&amp;"\"&amp;Tableau1[[#This Row],[Poste technique ou N° d''équipement]]&amp;"_"&amp;Tableau1[[#This Row],[Plan Entretien]]&amp;".xlsm"</f>
        <v>\\stjn.local\trimet\Btechnique\Commun\Atelier Central mécanique\Plan entretien\GammeEntretien\MECFOR 2\121801_35710.xlsm</v>
      </c>
    </row>
    <row r="45" spans="1:30" x14ac:dyDescent="0.3">
      <c r="A45" s="44" t="str">
        <f t="shared" ca="1" si="0"/>
        <v>7.MENG</v>
      </c>
      <c r="B4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5" s="53"/>
      <c r="D45" s="44" t="s">
        <v>214</v>
      </c>
      <c r="E45" s="44" t="s">
        <v>151</v>
      </c>
      <c r="F45" s="47">
        <v>122868</v>
      </c>
      <c r="G45" s="47" t="s">
        <v>214</v>
      </c>
      <c r="H45" s="45">
        <v>35711</v>
      </c>
      <c r="I45" s="45"/>
      <c r="J45" s="45"/>
      <c r="K45" s="45"/>
      <c r="L45" s="46" t="s">
        <v>37</v>
      </c>
      <c r="M45" s="44" t="s">
        <v>245</v>
      </c>
      <c r="N45" s="46" t="s">
        <v>65</v>
      </c>
      <c r="O45" s="46"/>
      <c r="P45" s="47"/>
      <c r="Q45" s="46"/>
      <c r="R45" s="46"/>
      <c r="S45" s="48">
        <v>44579</v>
      </c>
      <c r="T45" s="68" t="str">
        <f>IF(Tableau1[[#This Row],[DMS_SAP]]="","",HYPERLINK(Tableau1[[#This Row],[Chemin fichier source]],"X"))</f>
        <v/>
      </c>
      <c r="U45" s="68" t="str">
        <f>IF(Tableau1[[#This Row],[Date rév.]]="","",HYPERLINK(Tableau1[[#This Row],[Lien document]],"X"))</f>
        <v/>
      </c>
      <c r="V45" s="47"/>
      <c r="W4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Sap\Maintenance\PlanEntretien\7.MENG\MECFOR 3\122868_35711.pdf</v>
      </c>
      <c r="X45" s="47">
        <v>4</v>
      </c>
      <c r="Y45" s="47">
        <v>1</v>
      </c>
      <c r="Z45" s="44" t="str">
        <f ca="1">IF(AND(Tableau1[[#This Row],[Charge]]&lt;&gt;0, Tableau1[[#This Row],[Nombre intervenants]]&lt;&gt;0,Tableau1[[#This Row],[Lien document]]&lt;&gt;0,Tableau1[[#This Row],[DMS_SAP]]&lt;&gt;0)=TRUE,"MIS A JOUR","")</f>
        <v/>
      </c>
      <c r="AA45" s="48"/>
      <c r="AB45" s="65" t="str">
        <f ca="1">IF(Tableau1[[#This Row],[Date rév.]]&lt;&gt;"", DAYS360(Tableau1[[#This Row],[Date rév.]],TODAY()),"")</f>
        <v/>
      </c>
      <c r="AC45" s="50" t="str">
        <f>IFERROR(INDEX(Chemin_accès!$B$11:$C$22,MATCH(Tableau1[[#This Row],[Type]],Chemin_accès!$C$11:$C$22,0),1),Chemin_accès!$B$11)</f>
        <v>\\stjn.local\trimet\Btechnique\Commun\Atelier Central mécanique\Plan entretien\Modèles préventif\GammeDMS_7.MENG.xlsm</v>
      </c>
      <c r="AD45" s="50" t="str">
        <f>Chemin_accès!$B$8&amp;Tableau1[[#This Row],[Localisation / Classement]]&amp;"\"&amp;Tableau1[[#This Row],[Poste technique ou N° d''équipement]]&amp;"_"&amp;Tableau1[[#This Row],[Plan Entretien]]&amp;".xlsm"</f>
        <v>\\stjn.local\trimet\Btechnique\Commun\Atelier Central mécanique\Plan entretien\GammeEntretien\MECFOR 3\122868_35711.xlsm</v>
      </c>
    </row>
    <row r="46" spans="1:30" x14ac:dyDescent="0.3">
      <c r="A46" s="44" t="str">
        <f t="shared" ca="1" si="0"/>
        <v>7.MENG</v>
      </c>
      <c r="B4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6" s="53"/>
      <c r="D46" s="44" t="s">
        <v>214</v>
      </c>
      <c r="E46" s="44" t="s">
        <v>151</v>
      </c>
      <c r="F46" s="47">
        <v>122868</v>
      </c>
      <c r="G46" s="47" t="s">
        <v>214</v>
      </c>
      <c r="H46" s="45">
        <v>35712</v>
      </c>
      <c r="I46" s="45"/>
      <c r="J46" s="45"/>
      <c r="K46" s="45"/>
      <c r="L46" s="46" t="s">
        <v>85</v>
      </c>
      <c r="M46" s="44" t="s">
        <v>250</v>
      </c>
      <c r="N46" s="46" t="s">
        <v>65</v>
      </c>
      <c r="O46" s="46"/>
      <c r="P46" s="47"/>
      <c r="Q46" s="46"/>
      <c r="R46" s="46"/>
      <c r="S46" s="48">
        <v>44579</v>
      </c>
      <c r="T46" s="68" t="str">
        <f>IF(Tableau1[[#This Row],[DMS_SAP]]="","",HYPERLINK(Tableau1[[#This Row],[Chemin fichier source]],"X"))</f>
        <v/>
      </c>
      <c r="U46" s="68" t="str">
        <f>IF(Tableau1[[#This Row],[Date rév.]]="","",HYPERLINK(Tableau1[[#This Row],[Lien document]],"X"))</f>
        <v/>
      </c>
      <c r="V46" s="47"/>
      <c r="W4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Sap\Maintenance\PlanEntretien\7.MENG\MECFOR 3\122868_35712.pdf</v>
      </c>
      <c r="X46" s="47">
        <v>4</v>
      </c>
      <c r="Y46" s="47">
        <v>1</v>
      </c>
      <c r="Z46" s="44" t="str">
        <f ca="1">IF(AND(Tableau1[[#This Row],[Charge]]&lt;&gt;0, Tableau1[[#This Row],[Nombre intervenants]]&lt;&gt;0,Tableau1[[#This Row],[Lien document]]&lt;&gt;0,Tableau1[[#This Row],[DMS_SAP]]&lt;&gt;0)=TRUE,"MIS A JOUR","")</f>
        <v/>
      </c>
      <c r="AA46" s="48"/>
      <c r="AB46" s="65" t="str">
        <f ca="1">IF(Tableau1[[#This Row],[Date rév.]]&lt;&gt;"", DAYS360(Tableau1[[#This Row],[Date rév.]],TODAY()),"")</f>
        <v/>
      </c>
      <c r="AC46" s="50" t="str">
        <f>IFERROR(INDEX(Chemin_accès!$B$11:$C$22,MATCH(Tableau1[[#This Row],[Type]],Chemin_accès!$C$11:$C$22,0),1),Chemin_accès!$B$11)</f>
        <v>\\stjn.local\trimet\Btechnique\Commun\Atelier Central mécanique\Plan entretien\Modèles préventif\GammeDMS_7.MENG.xlsm</v>
      </c>
      <c r="AD46" s="50" t="str">
        <f>Chemin_accès!$B$8&amp;Tableau1[[#This Row],[Localisation / Classement]]&amp;"\"&amp;Tableau1[[#This Row],[Poste technique ou N° d''équipement]]&amp;"_"&amp;Tableau1[[#This Row],[Plan Entretien]]&amp;".xlsm"</f>
        <v>\\stjn.local\trimet\Btechnique\Commun\Atelier Central mécanique\Plan entretien\GammeEntretien\MECFOR 3\122868_35712.xlsm</v>
      </c>
    </row>
    <row r="47" spans="1:30" x14ac:dyDescent="0.3">
      <c r="A47" s="44" t="str">
        <f t="shared" ca="1" si="0"/>
        <v>7.MENG</v>
      </c>
      <c r="B4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7" s="53"/>
      <c r="D47" s="44" t="s">
        <v>214</v>
      </c>
      <c r="E47" s="44" t="s">
        <v>151</v>
      </c>
      <c r="F47" s="47">
        <v>122868</v>
      </c>
      <c r="G47" s="47" t="s">
        <v>214</v>
      </c>
      <c r="H47" s="45">
        <v>35713</v>
      </c>
      <c r="I47" s="45"/>
      <c r="J47" s="45"/>
      <c r="K47" s="45"/>
      <c r="L47" s="46" t="s">
        <v>86</v>
      </c>
      <c r="M47" s="44" t="s">
        <v>246</v>
      </c>
      <c r="N47" s="46" t="s">
        <v>65</v>
      </c>
      <c r="O47" s="46"/>
      <c r="P47" s="47"/>
      <c r="Q47" s="46"/>
      <c r="R47" s="46"/>
      <c r="S47" s="48">
        <v>44579</v>
      </c>
      <c r="T47" s="68" t="str">
        <f>IF(Tableau1[[#This Row],[DMS_SAP]]="","",HYPERLINK(Tableau1[[#This Row],[Chemin fichier source]],"X"))</f>
        <v/>
      </c>
      <c r="U47" s="68" t="str">
        <f>IF(Tableau1[[#This Row],[Date rév.]]="","",HYPERLINK(Tableau1[[#This Row],[Lien document]],"X"))</f>
        <v/>
      </c>
      <c r="V47" s="47"/>
      <c r="W4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Sap\Maintenance\PlanEntretien\7.MENG\MECFOR 3\122868_35713.pdf</v>
      </c>
      <c r="X47" s="47">
        <v>8</v>
      </c>
      <c r="Y47" s="47">
        <v>1</v>
      </c>
      <c r="Z47" s="44" t="str">
        <f ca="1">IF(AND(Tableau1[[#This Row],[Charge]]&lt;&gt;0, Tableau1[[#This Row],[Nombre intervenants]]&lt;&gt;0,Tableau1[[#This Row],[Lien document]]&lt;&gt;0,Tableau1[[#This Row],[DMS_SAP]]&lt;&gt;0)=TRUE,"MIS A JOUR","")</f>
        <v/>
      </c>
      <c r="AA47" s="48"/>
      <c r="AB47" s="65" t="str">
        <f ca="1">IF(Tableau1[[#This Row],[Date rév.]]&lt;&gt;"", DAYS360(Tableau1[[#This Row],[Date rév.]],TODAY()),"")</f>
        <v/>
      </c>
      <c r="AC47" s="50" t="str">
        <f>IFERROR(INDEX(Chemin_accès!$B$11:$C$22,MATCH(Tableau1[[#This Row],[Type]],Chemin_accès!$C$11:$C$22,0),1),Chemin_accès!$B$11)</f>
        <v>\\stjn.local\trimet\Btechnique\Commun\Atelier Central mécanique\Plan entretien\Modèles préventif\GammeDMS_7.MENG.xlsm</v>
      </c>
      <c r="AD47" s="50" t="str">
        <f>Chemin_accès!$B$8&amp;Tableau1[[#This Row],[Localisation / Classement]]&amp;"\"&amp;Tableau1[[#This Row],[Poste technique ou N° d''équipement]]&amp;"_"&amp;Tableau1[[#This Row],[Plan Entretien]]&amp;".xlsm"</f>
        <v>\\stjn.local\trimet\Btechnique\Commun\Atelier Central mécanique\Plan entretien\GammeEntretien\MECFOR 3\122868_35713.xlsm</v>
      </c>
    </row>
    <row r="48" spans="1:30" x14ac:dyDescent="0.3">
      <c r="A48" s="44" t="str">
        <f t="shared" ca="1" si="0"/>
        <v>7.MENG</v>
      </c>
      <c r="B4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8" s="53"/>
      <c r="D48" s="44" t="s">
        <v>215</v>
      </c>
      <c r="E48" s="44" t="s">
        <v>151</v>
      </c>
      <c r="F48" s="47">
        <v>122869</v>
      </c>
      <c r="G48" s="47" t="s">
        <v>215</v>
      </c>
      <c r="H48" s="45">
        <v>35714</v>
      </c>
      <c r="I48" s="45"/>
      <c r="J48" s="45"/>
      <c r="K48" s="45"/>
      <c r="L48" s="46" t="s">
        <v>37</v>
      </c>
      <c r="M48" s="44" t="s">
        <v>247</v>
      </c>
      <c r="N48" s="46" t="s">
        <v>65</v>
      </c>
      <c r="O48" s="46"/>
      <c r="P48" s="47"/>
      <c r="Q48" s="46"/>
      <c r="R48" s="46"/>
      <c r="S48" s="48">
        <v>44579</v>
      </c>
      <c r="T48" s="68" t="str">
        <f>IF(Tableau1[[#This Row],[DMS_SAP]]="","",HYPERLINK(Tableau1[[#This Row],[Chemin fichier source]],"X"))</f>
        <v/>
      </c>
      <c r="U48" s="68" t="str">
        <f>IF(Tableau1[[#This Row],[Date rév.]]="","",HYPERLINK(Tableau1[[#This Row],[Lien document]],"X"))</f>
        <v/>
      </c>
      <c r="V48" s="47"/>
      <c r="W4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Sap\Maintenance\PlanEntretien\7.MENG\MECFOR 4\122869_35714.pdf</v>
      </c>
      <c r="X48" s="47">
        <v>4</v>
      </c>
      <c r="Y48" s="47">
        <v>1</v>
      </c>
      <c r="Z48" s="44" t="str">
        <f ca="1">IF(AND(Tableau1[[#This Row],[Charge]]&lt;&gt;0, Tableau1[[#This Row],[Nombre intervenants]]&lt;&gt;0,Tableau1[[#This Row],[Lien document]]&lt;&gt;0,Tableau1[[#This Row],[DMS_SAP]]&lt;&gt;0)=TRUE,"MIS A JOUR","")</f>
        <v/>
      </c>
      <c r="AA48" s="48"/>
      <c r="AB48" s="65" t="str">
        <f ca="1">IF(Tableau1[[#This Row],[Date rév.]]&lt;&gt;"", DAYS360(Tableau1[[#This Row],[Date rév.]],TODAY()),"")</f>
        <v/>
      </c>
      <c r="AC48" s="50" t="str">
        <f>IFERROR(INDEX(Chemin_accès!$B$11:$C$22,MATCH(Tableau1[[#This Row],[Type]],Chemin_accès!$C$11:$C$22,0),1),Chemin_accès!$B$11)</f>
        <v>\\stjn.local\trimet\Btechnique\Commun\Atelier Central mécanique\Plan entretien\Modèles préventif\GammeDMS_7.MENG.xlsm</v>
      </c>
      <c r="AD48" s="50" t="str">
        <f>Chemin_accès!$B$8&amp;Tableau1[[#This Row],[Localisation / Classement]]&amp;"\"&amp;Tableau1[[#This Row],[Poste technique ou N° d''équipement]]&amp;"_"&amp;Tableau1[[#This Row],[Plan Entretien]]&amp;".xlsm"</f>
        <v>\\stjn.local\trimet\Btechnique\Commun\Atelier Central mécanique\Plan entretien\GammeEntretien\MECFOR 4\122869_35714.xlsm</v>
      </c>
    </row>
    <row r="49" spans="1:30" x14ac:dyDescent="0.3">
      <c r="A49" s="44" t="str">
        <f t="shared" ca="1" si="0"/>
        <v>7.MENG</v>
      </c>
      <c r="B4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9" s="53"/>
      <c r="D49" s="44" t="s">
        <v>215</v>
      </c>
      <c r="E49" s="44" t="s">
        <v>151</v>
      </c>
      <c r="F49" s="47">
        <v>122869</v>
      </c>
      <c r="G49" s="47" t="s">
        <v>215</v>
      </c>
      <c r="H49" s="45">
        <v>35715</v>
      </c>
      <c r="I49" s="45"/>
      <c r="J49" s="45"/>
      <c r="K49" s="45"/>
      <c r="L49" s="46" t="s">
        <v>85</v>
      </c>
      <c r="M49" s="44" t="s">
        <v>248</v>
      </c>
      <c r="N49" s="46" t="s">
        <v>65</v>
      </c>
      <c r="O49" s="46"/>
      <c r="P49" s="47"/>
      <c r="Q49" s="46"/>
      <c r="R49" s="46"/>
      <c r="S49" s="48">
        <v>44579</v>
      </c>
      <c r="T49" s="68" t="str">
        <f>IF(Tableau1[[#This Row],[DMS_SAP]]="","",HYPERLINK(Tableau1[[#This Row],[Chemin fichier source]],"X"))</f>
        <v/>
      </c>
      <c r="U49" s="68" t="str">
        <f>IF(Tableau1[[#This Row],[Date rév.]]="","",HYPERLINK(Tableau1[[#This Row],[Lien document]],"X"))</f>
        <v/>
      </c>
      <c r="V49" s="47"/>
      <c r="W4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Sap\Maintenance\PlanEntretien\7.MENG\MECFOR 4\122869_35715.pdf</v>
      </c>
      <c r="X49" s="47">
        <v>4</v>
      </c>
      <c r="Y49" s="47">
        <v>1</v>
      </c>
      <c r="Z49" s="44" t="str">
        <f ca="1">IF(AND(Tableau1[[#This Row],[Charge]]&lt;&gt;0, Tableau1[[#This Row],[Nombre intervenants]]&lt;&gt;0,Tableau1[[#This Row],[Lien document]]&lt;&gt;0,Tableau1[[#This Row],[DMS_SAP]]&lt;&gt;0)=TRUE,"MIS A JOUR","")</f>
        <v/>
      </c>
      <c r="AA49" s="48"/>
      <c r="AB49" s="65" t="str">
        <f ca="1">IF(Tableau1[[#This Row],[Date rév.]]&lt;&gt;"", DAYS360(Tableau1[[#This Row],[Date rév.]],TODAY()),"")</f>
        <v/>
      </c>
      <c r="AC49" s="50" t="str">
        <f>IFERROR(INDEX(Chemin_accès!$B$11:$C$22,MATCH(Tableau1[[#This Row],[Type]],Chemin_accès!$C$11:$C$22,0),1),Chemin_accès!$B$11)</f>
        <v>\\stjn.local\trimet\Btechnique\Commun\Atelier Central mécanique\Plan entretien\Modèles préventif\GammeDMS_7.MENG.xlsm</v>
      </c>
      <c r="AD49" s="50" t="str">
        <f>Chemin_accès!$B$8&amp;Tableau1[[#This Row],[Localisation / Classement]]&amp;"\"&amp;Tableau1[[#This Row],[Poste technique ou N° d''équipement]]&amp;"_"&amp;Tableau1[[#This Row],[Plan Entretien]]&amp;".xlsm"</f>
        <v>\\stjn.local\trimet\Btechnique\Commun\Atelier Central mécanique\Plan entretien\GammeEntretien\MECFOR 4\122869_35715.xlsm</v>
      </c>
    </row>
    <row r="50" spans="1:30" x14ac:dyDescent="0.3">
      <c r="A50" s="44" t="str">
        <f t="shared" ca="1" si="0"/>
        <v>7.MENG</v>
      </c>
      <c r="B5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0" s="53"/>
      <c r="D50" s="44" t="s">
        <v>215</v>
      </c>
      <c r="E50" s="44" t="s">
        <v>151</v>
      </c>
      <c r="F50" s="47">
        <v>122869</v>
      </c>
      <c r="G50" s="47" t="s">
        <v>215</v>
      </c>
      <c r="H50" s="45">
        <v>35716</v>
      </c>
      <c r="I50" s="45"/>
      <c r="J50" s="45"/>
      <c r="K50" s="45"/>
      <c r="L50" s="46" t="s">
        <v>86</v>
      </c>
      <c r="M50" s="44" t="s">
        <v>249</v>
      </c>
      <c r="N50" s="46" t="s">
        <v>65</v>
      </c>
      <c r="O50" s="46"/>
      <c r="P50" s="47"/>
      <c r="Q50" s="46"/>
      <c r="R50" s="46"/>
      <c r="S50" s="48">
        <v>44579</v>
      </c>
      <c r="T50" s="68" t="str">
        <f>IF(Tableau1[[#This Row],[DMS_SAP]]="","",HYPERLINK(Tableau1[[#This Row],[Chemin fichier source]],"X"))</f>
        <v/>
      </c>
      <c r="U50" s="68" t="str">
        <f>IF(Tableau1[[#This Row],[Date rév.]]="","",HYPERLINK(Tableau1[[#This Row],[Lien document]],"X"))</f>
        <v/>
      </c>
      <c r="V50" s="47"/>
      <c r="W5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Sap\Maintenance\PlanEntretien\7.MENG\MECFOR 4\122869_35716.pdf</v>
      </c>
      <c r="X50" s="47">
        <v>8</v>
      </c>
      <c r="Y50" s="47">
        <v>1</v>
      </c>
      <c r="Z50" s="44" t="str">
        <f ca="1">IF(AND(Tableau1[[#This Row],[Charge]]&lt;&gt;0, Tableau1[[#This Row],[Nombre intervenants]]&lt;&gt;0,Tableau1[[#This Row],[Lien document]]&lt;&gt;0,Tableau1[[#This Row],[DMS_SAP]]&lt;&gt;0)=TRUE,"MIS A JOUR","")</f>
        <v/>
      </c>
      <c r="AA50" s="48"/>
      <c r="AB50" s="65" t="str">
        <f ca="1">IF(Tableau1[[#This Row],[Date rév.]]&lt;&gt;"", DAYS360(Tableau1[[#This Row],[Date rév.]],TODAY()),"")</f>
        <v/>
      </c>
      <c r="AC50" s="50" t="str">
        <f>IFERROR(INDEX(Chemin_accès!$B$11:$C$22,MATCH(Tableau1[[#This Row],[Type]],Chemin_accès!$C$11:$C$22,0),1),Chemin_accès!$B$11)</f>
        <v>\\stjn.local\trimet\Btechnique\Commun\Atelier Central mécanique\Plan entretien\Modèles préventif\GammeDMS_7.MENG.xlsm</v>
      </c>
      <c r="AD50" s="50" t="str">
        <f>Chemin_accès!$B$8&amp;Tableau1[[#This Row],[Localisation / Classement]]&amp;"\"&amp;Tableau1[[#This Row],[Poste technique ou N° d''équipement]]&amp;"_"&amp;Tableau1[[#This Row],[Plan Entretien]]&amp;".xlsm"</f>
        <v>\\stjn.local\trimet\Btechnique\Commun\Atelier Central mécanique\Plan entretien\GammeEntretien\MECFOR 4\122869_35716.xlsm</v>
      </c>
    </row>
    <row r="51" spans="1:30" x14ac:dyDescent="0.3">
      <c r="A51" s="44" t="str">
        <f t="shared" ca="1" si="0"/>
        <v>7.MENG</v>
      </c>
      <c r="B5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1" s="46"/>
      <c r="D51" s="44" t="s">
        <v>216</v>
      </c>
      <c r="E51" s="44"/>
      <c r="F51" s="47" t="s">
        <v>244</v>
      </c>
      <c r="G51" s="47" t="s">
        <v>216</v>
      </c>
      <c r="H51" s="45"/>
      <c r="I51" s="45"/>
      <c r="J51" s="45"/>
      <c r="K51" s="45"/>
      <c r="L51" s="46" t="s">
        <v>36</v>
      </c>
      <c r="M51" s="44"/>
      <c r="N51" s="46" t="s">
        <v>65</v>
      </c>
      <c r="O51" s="46"/>
      <c r="P51" s="47"/>
      <c r="Q51" s="46"/>
      <c r="R51" s="46"/>
      <c r="S51" s="48">
        <v>45729</v>
      </c>
      <c r="T51" s="68" t="str">
        <f>IF(Tableau1[[#This Row],[DMS_SAP]]="","",HYPERLINK(Tableau1[[#This Row],[Chemin fichier source]],"X"))</f>
        <v/>
      </c>
      <c r="U51" s="68" t="str">
        <f>IF(Tableau1[[#This Row],[Date rév.]]="","",HYPERLINK(Tableau1[[#This Row],[Lien document]],"X"))</f>
        <v/>
      </c>
      <c r="V51" s="47"/>
      <c r="W5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Sap\Maintenance\PlanEntretien\7.MENG\RFI 1\T330-O_.pdf</v>
      </c>
      <c r="X51" s="47">
        <v>1</v>
      </c>
      <c r="Y51" s="47">
        <v>1</v>
      </c>
      <c r="Z51" s="44" t="str">
        <f ca="1">IF(AND(Tableau1[[#This Row],[Charge]]&lt;&gt;0, Tableau1[[#This Row],[Nombre intervenants]]&lt;&gt;0,Tableau1[[#This Row],[Lien document]]&lt;&gt;0,Tableau1[[#This Row],[DMS_SAP]]&lt;&gt;0)=TRUE,"MIS A JOUR","")</f>
        <v/>
      </c>
      <c r="AA51" s="48"/>
      <c r="AB51" s="65" t="str">
        <f ca="1">IF(Tableau1[[#This Row],[Date rév.]]&lt;&gt;"", DAYS360(Tableau1[[#This Row],[Date rév.]],TODAY()),"")</f>
        <v/>
      </c>
      <c r="AC51" s="50" t="str">
        <f>IFERROR(INDEX(Chemin_accès!$B$11:$C$22,MATCH(Tableau1[[#This Row],[Type]],Chemin_accès!$C$11:$C$22,0),1),Chemin_accès!$B$11)</f>
        <v>\\stjn.local\trimet\Btechnique\Commun\Atelier Central mécanique\Plan entretien\Modèles préventif\GammeDMS_7.MENG.xlsm</v>
      </c>
      <c r="AD51" s="50" t="str">
        <f>Chemin_accès!$B$8&amp;Tableau1[[#This Row],[Localisation / Classement]]&amp;"\"&amp;Tableau1[[#This Row],[Poste technique ou N° d''équipement]]&amp;"_"&amp;Tableau1[[#This Row],[Plan Entretien]]&amp;".xlsm"</f>
        <v>\\stjn.local\trimet\Btechnique\Commun\Atelier Central mécanique\Plan entretien\GammeEntretien\RFI 1\T330-O_.xlsm</v>
      </c>
    </row>
    <row r="52" spans="1:30" x14ac:dyDescent="0.3">
      <c r="A52" s="44" t="str">
        <f t="shared" ca="1" si="0"/>
        <v>7.MENG</v>
      </c>
      <c r="B5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2" s="46"/>
      <c r="D52" s="44" t="s">
        <v>226</v>
      </c>
      <c r="E52" s="44"/>
      <c r="F52" s="47">
        <v>122945</v>
      </c>
      <c r="G52" s="47" t="s">
        <v>226</v>
      </c>
      <c r="H52" s="45"/>
      <c r="I52" s="45"/>
      <c r="J52" s="45"/>
      <c r="K52" s="45"/>
      <c r="L52" s="46" t="s">
        <v>38</v>
      </c>
      <c r="M52" s="44" t="s">
        <v>241</v>
      </c>
      <c r="N52" s="46" t="s">
        <v>65</v>
      </c>
      <c r="O52" s="46"/>
      <c r="P52" s="47"/>
      <c r="Q52" s="46"/>
      <c r="R52" s="46"/>
      <c r="S52" s="48">
        <v>45729</v>
      </c>
      <c r="T52" s="68" t="str">
        <f>IF(Tableau1[[#This Row],[DMS_SAP]]="","",HYPERLINK(Tableau1[[#This Row],[Chemin fichier source]],"X"))</f>
        <v/>
      </c>
      <c r="U52" s="68" t="str">
        <f>IF(Tableau1[[#This Row],[Date rév.]]="","",HYPERLINK(Tableau1[[#This Row],[Lien document]],"X"))</f>
        <v/>
      </c>
      <c r="V52" s="47"/>
      <c r="W5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Sap\Maintenance\PlanEntretien\7.MENG\TRACTEUR D62\122945_.pdf</v>
      </c>
      <c r="X52" s="47">
        <v>4</v>
      </c>
      <c r="Y52" s="47">
        <v>1</v>
      </c>
      <c r="Z52" s="44" t="str">
        <f ca="1">IF(AND(Tableau1[[#This Row],[Charge]]&lt;&gt;0, Tableau1[[#This Row],[Nombre intervenants]]&lt;&gt;0,Tableau1[[#This Row],[Lien document]]&lt;&gt;0,Tableau1[[#This Row],[DMS_SAP]]&lt;&gt;0)=TRUE,"MIS A JOUR","")</f>
        <v/>
      </c>
      <c r="AA52" s="48"/>
      <c r="AB52" s="65" t="str">
        <f ca="1">IF(Tableau1[[#This Row],[Date rév.]]&lt;&gt;"", DAYS360(Tableau1[[#This Row],[Date rév.]],TODAY()),"")</f>
        <v/>
      </c>
      <c r="AC52" s="50" t="str">
        <f>IFERROR(INDEX(Chemin_accès!$B$11:$C$22,MATCH(Tableau1[[#This Row],[Type]],Chemin_accès!$C$11:$C$22,0),1),Chemin_accès!$B$11)</f>
        <v>\\stjn.local\trimet\Btechnique\Commun\Atelier Central mécanique\Plan entretien\Modèles préventif\GammeDMS_7.MENG.xlsm</v>
      </c>
      <c r="AD52" s="50" t="str">
        <f>Chemin_accès!$B$8&amp;Tableau1[[#This Row],[Localisation / Classement]]&amp;"\"&amp;Tableau1[[#This Row],[Poste technique ou N° d''équipement]]&amp;"_"&amp;Tableau1[[#This Row],[Plan Entretien]]&amp;".xlsm"</f>
        <v>\\stjn.local\trimet\Btechnique\Commun\Atelier Central mécanique\Plan entretien\GammeEntretien\TRACTEUR D62\122945_.xlsm</v>
      </c>
    </row>
    <row r="53" spans="1:30" x14ac:dyDescent="0.3">
      <c r="A53" s="44" t="str">
        <f t="shared" ca="1" si="0"/>
        <v>7.MENG</v>
      </c>
      <c r="B5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3" s="46"/>
      <c r="D53" s="44" t="s">
        <v>224</v>
      </c>
      <c r="E53" s="44"/>
      <c r="F53" s="47">
        <v>122946</v>
      </c>
      <c r="G53" s="47" t="s">
        <v>224</v>
      </c>
      <c r="H53" s="45"/>
      <c r="I53" s="45"/>
      <c r="J53" s="45"/>
      <c r="K53" s="45"/>
      <c r="L53" s="46" t="s">
        <v>85</v>
      </c>
      <c r="M53" s="44" t="s">
        <v>242</v>
      </c>
      <c r="N53" s="46" t="s">
        <v>65</v>
      </c>
      <c r="O53" s="46"/>
      <c r="P53" s="47"/>
      <c r="Q53" s="46"/>
      <c r="R53" s="46"/>
      <c r="S53" s="48">
        <v>45729</v>
      </c>
      <c r="T53" s="68" t="str">
        <f>IF(Tableau1[[#This Row],[DMS_SAP]]="","",HYPERLINK(Tableau1[[#This Row],[Chemin fichier source]],"X"))</f>
        <v/>
      </c>
      <c r="U53" s="68" t="str">
        <f>IF(Tableau1[[#This Row],[Date rév.]]="","",HYPERLINK(Tableau1[[#This Row],[Lien document]],"X"))</f>
        <v/>
      </c>
      <c r="V53" s="47"/>
      <c r="W5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Sap\Maintenance\PlanEntretien\7.MENG\PELLE T33\122946_.pdf</v>
      </c>
      <c r="X53" s="47">
        <v>4</v>
      </c>
      <c r="Y53" s="47">
        <v>1</v>
      </c>
      <c r="Z53" s="44" t="str">
        <f ca="1">IF(AND(Tableau1[[#This Row],[Charge]]&lt;&gt;0, Tableau1[[#This Row],[Nombre intervenants]]&lt;&gt;0,Tableau1[[#This Row],[Lien document]]&lt;&gt;0,Tableau1[[#This Row],[DMS_SAP]]&lt;&gt;0)=TRUE,"MIS A JOUR","")</f>
        <v/>
      </c>
      <c r="AA53" s="48"/>
      <c r="AB53" s="65" t="str">
        <f ca="1">IF(Tableau1[[#This Row],[Date rév.]]&lt;&gt;"", DAYS360(Tableau1[[#This Row],[Date rév.]],TODAY()),"")</f>
        <v/>
      </c>
      <c r="AC53" s="50" t="str">
        <f>IFERROR(INDEX(Chemin_accès!$B$11:$C$22,MATCH(Tableau1[[#This Row],[Type]],Chemin_accès!$C$11:$C$22,0),1),Chemin_accès!$B$11)</f>
        <v>\\stjn.local\trimet\Btechnique\Commun\Atelier Central mécanique\Plan entretien\Modèles préventif\GammeDMS_7.MENG.xlsm</v>
      </c>
      <c r="AD53" s="50" t="str">
        <f>Chemin_accès!$B$8&amp;Tableau1[[#This Row],[Localisation / Classement]]&amp;"\"&amp;Tableau1[[#This Row],[Poste technique ou N° d''équipement]]&amp;"_"&amp;Tableau1[[#This Row],[Plan Entretien]]&amp;".xlsm"</f>
        <v>\\stjn.local\trimet\Btechnique\Commun\Atelier Central mécanique\Plan entretien\GammeEntretien\PELLE T33\122946_.xlsm</v>
      </c>
    </row>
    <row r="54" spans="1:30" x14ac:dyDescent="0.3">
      <c r="A54" s="44" t="str">
        <f t="shared" ca="1" si="0"/>
        <v>7.MENG</v>
      </c>
      <c r="B5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4" s="46"/>
      <c r="D54" s="44" t="s">
        <v>225</v>
      </c>
      <c r="E54" s="44"/>
      <c r="F54" s="47">
        <v>122947</v>
      </c>
      <c r="G54" s="47" t="s">
        <v>225</v>
      </c>
      <c r="H54" s="45"/>
      <c r="I54" s="45"/>
      <c r="J54" s="45"/>
      <c r="K54" s="45"/>
      <c r="L54" s="46" t="s">
        <v>85</v>
      </c>
      <c r="M54" s="44" t="s">
        <v>243</v>
      </c>
      <c r="N54" s="46" t="s">
        <v>65</v>
      </c>
      <c r="O54" s="46"/>
      <c r="P54" s="47"/>
      <c r="Q54" s="46"/>
      <c r="R54" s="46"/>
      <c r="S54" s="48">
        <v>45729</v>
      </c>
      <c r="T54" s="68" t="str">
        <f>IF(Tableau1[[#This Row],[DMS_SAP]]="","",HYPERLINK(Tableau1[[#This Row],[Chemin fichier source]],"X"))</f>
        <v/>
      </c>
      <c r="U54" s="68" t="str">
        <f>IF(Tableau1[[#This Row],[Date rév.]]="","",HYPERLINK(Tableau1[[#This Row],[Lien document]],"X"))</f>
        <v/>
      </c>
      <c r="V54" s="47"/>
      <c r="W5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Sap\Maintenance\PlanEntretien\7.MENG\PELLE T34\122947_.pdf</v>
      </c>
      <c r="X54" s="47">
        <v>4</v>
      </c>
      <c r="Y54" s="47">
        <v>1</v>
      </c>
      <c r="Z54" s="44" t="str">
        <f ca="1">IF(AND(Tableau1[[#This Row],[Charge]]&lt;&gt;0, Tableau1[[#This Row],[Nombre intervenants]]&lt;&gt;0,Tableau1[[#This Row],[Lien document]]&lt;&gt;0,Tableau1[[#This Row],[DMS_SAP]]&lt;&gt;0)=TRUE,"MIS A JOUR","")</f>
        <v/>
      </c>
      <c r="AA54" s="48"/>
      <c r="AB54" s="65" t="str">
        <f ca="1">IF(Tableau1[[#This Row],[Date rév.]]&lt;&gt;"", DAYS360(Tableau1[[#This Row],[Date rév.]],TODAY()),"")</f>
        <v/>
      </c>
      <c r="AC54" s="50" t="str">
        <f>IFERROR(INDEX(Chemin_accès!$B$11:$C$22,MATCH(Tableau1[[#This Row],[Type]],Chemin_accès!$C$11:$C$22,0),1),Chemin_accès!$B$11)</f>
        <v>\\stjn.local\trimet\Btechnique\Commun\Atelier Central mécanique\Plan entretien\Modèles préventif\GammeDMS_7.MENG.xlsm</v>
      </c>
      <c r="AD54" s="50" t="str">
        <f>Chemin_accès!$B$8&amp;Tableau1[[#This Row],[Localisation / Classement]]&amp;"\"&amp;Tableau1[[#This Row],[Poste technique ou N° d''équipement]]&amp;"_"&amp;Tableau1[[#This Row],[Plan Entretien]]&amp;".xlsm"</f>
        <v>\\stjn.local\trimet\Btechnique\Commun\Atelier Central mécanique\Plan entretien\GammeEntretien\PELLE T34\122947_.xlsm</v>
      </c>
    </row>
    <row r="55" spans="1:30" x14ac:dyDescent="0.3">
      <c r="A55" s="44" t="str">
        <f t="shared" ca="1" si="0"/>
        <v>7.MENG</v>
      </c>
      <c r="B5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5" s="46"/>
      <c r="D55" s="44" t="s">
        <v>227</v>
      </c>
      <c r="E55" s="44"/>
      <c r="F55" s="47"/>
      <c r="G55" s="47" t="s">
        <v>227</v>
      </c>
      <c r="H55" s="45"/>
      <c r="I55" s="45"/>
      <c r="J55" s="45"/>
      <c r="K55" s="45"/>
      <c r="L55" s="46" t="s">
        <v>35</v>
      </c>
      <c r="M55" s="44"/>
      <c r="N55" s="46" t="s">
        <v>65</v>
      </c>
      <c r="O55" s="46"/>
      <c r="P55" s="47"/>
      <c r="Q55" s="46"/>
      <c r="R55" s="46"/>
      <c r="S55" s="48">
        <v>45729</v>
      </c>
      <c r="T55" s="68" t="str">
        <f>IF(Tableau1[[#This Row],[DMS_SAP]]="","",HYPERLINK(Tableau1[[#This Row],[Chemin fichier source]],"X"))</f>
        <v/>
      </c>
      <c r="U55" s="68" t="str">
        <f>IF(Tableau1[[#This Row],[Date rév.]]="","",HYPERLINK(Tableau1[[#This Row],[Lien document]],"X"))</f>
        <v/>
      </c>
      <c r="V55" s="47"/>
      <c r="W5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Sap\Maintenance\PlanEntretien\7.MENG\LIGIER ELECTRIQUE\_.pdf</v>
      </c>
      <c r="X55" s="47">
        <v>8</v>
      </c>
      <c r="Y55" s="47">
        <v>1</v>
      </c>
      <c r="Z55" s="44" t="str">
        <f ca="1">IF(AND(Tableau1[[#This Row],[Charge]]&lt;&gt;0, Tableau1[[#This Row],[Nombre intervenants]]&lt;&gt;0,Tableau1[[#This Row],[Lien document]]&lt;&gt;0,Tableau1[[#This Row],[DMS_SAP]]&lt;&gt;0)=TRUE,"MIS A JOUR","")</f>
        <v/>
      </c>
      <c r="AA55" s="48"/>
      <c r="AB55" s="65" t="str">
        <f ca="1">IF(Tableau1[[#This Row],[Date rév.]]&lt;&gt;"", DAYS360(Tableau1[[#This Row],[Date rév.]],TODAY()),"")</f>
        <v/>
      </c>
      <c r="AC55" s="50" t="str">
        <f>IFERROR(INDEX(Chemin_accès!$B$11:$C$22,MATCH(Tableau1[[#This Row],[Type]],Chemin_accès!$C$11:$C$22,0),1),Chemin_accès!$B$11)</f>
        <v>\\stjn.local\trimet\Btechnique\Commun\Atelier Central mécanique\Plan entretien\Modèles préventif\GammeDMS_7.MENG.xlsm</v>
      </c>
      <c r="AD55" s="50" t="str">
        <f>Chemin_accès!$B$8&amp;Tableau1[[#This Row],[Localisation / Classement]]&amp;"\"&amp;Tableau1[[#This Row],[Poste technique ou N° d''équipement]]&amp;"_"&amp;Tableau1[[#This Row],[Plan Entretien]]&amp;".xlsm"</f>
        <v>\\stjn.local\trimet\Btechnique\Commun\Atelier Central mécanique\Plan entretien\GammeEntretien\LIGIER ELECTRIQUE\_.xlsm</v>
      </c>
    </row>
    <row r="56" spans="1:30" x14ac:dyDescent="0.3">
      <c r="A56" s="44" t="str">
        <f t="shared" ca="1" si="0"/>
        <v>7.MENG</v>
      </c>
      <c r="B5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6" s="46"/>
      <c r="D56" s="44"/>
      <c r="E56" s="44"/>
      <c r="F56" s="47"/>
      <c r="G56" s="47"/>
      <c r="H56" s="45"/>
      <c r="I56" s="45"/>
      <c r="J56" s="45"/>
      <c r="K56" s="45"/>
      <c r="L56" s="46"/>
      <c r="M56" s="44"/>
      <c r="N56" s="46"/>
      <c r="O56" s="46"/>
      <c r="P56" s="47"/>
      <c r="Q56" s="46"/>
      <c r="R56" s="46"/>
      <c r="S56" s="48"/>
      <c r="T56" s="68" t="str">
        <f>IF(Tableau1[[#This Row],[DMS_SAP]]="","",HYPERLINK(Tableau1[[#This Row],[Chemin fichier source]],"X"))</f>
        <v/>
      </c>
      <c r="U56" s="68" t="str">
        <f>IF(Tableau1[[#This Row],[Date rév.]]="","",HYPERLINK(Tableau1[[#This Row],[Lien document]],"X"))</f>
        <v/>
      </c>
      <c r="V56" s="47"/>
      <c r="W5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6" s="47"/>
      <c r="Y56" s="47"/>
      <c r="Z56" s="44" t="str">
        <f ca="1">IF(AND(Tableau1[[#This Row],[Charge]]&lt;&gt;0, Tableau1[[#This Row],[Nombre intervenants]]&lt;&gt;0,Tableau1[[#This Row],[Lien document]]&lt;&gt;0,Tableau1[[#This Row],[DMS_SAP]]&lt;&gt;0)=TRUE,"MIS A JOUR","")</f>
        <v/>
      </c>
      <c r="AA56" s="48"/>
      <c r="AB56" s="65" t="str">
        <f ca="1">IF(Tableau1[[#This Row],[Date rév.]]&lt;&gt;"", DAYS360(Tableau1[[#This Row],[Date rév.]],TODAY()),"")</f>
        <v/>
      </c>
      <c r="AC56" s="50" t="str">
        <f>IFERROR(INDEX(Chemin_accès!$B$11:$C$22,MATCH(Tableau1[[#This Row],[Type]],Chemin_accès!$C$11:$C$22,0),1),Chemin_accès!$B$11)</f>
        <v>\\stjn.local\trimet\Btechnique\Commun\Atelier Central mécanique\Plan entretien\Modèles préventif\GammeDMS_7.MENG.xlsm</v>
      </c>
      <c r="AD56" s="50" t="str">
        <f>Chemin_accès!$B$8&amp;Tableau1[[#This Row],[Localisation / Classement]]&amp;"\"&amp;Tableau1[[#This Row],[Poste technique ou N° d''équipement]]&amp;"_"&amp;Tableau1[[#This Row],[Plan Entretien]]&amp;".xlsm"</f>
        <v>\\stjn.local\trimet\Btechnique\Commun\Atelier Central mécanique\Plan entretien\GammeEntretien\\_.xlsm</v>
      </c>
    </row>
    <row r="57" spans="1:30" x14ac:dyDescent="0.3">
      <c r="A57" s="44" t="str">
        <f t="shared" ca="1" si="0"/>
        <v>7.MENG</v>
      </c>
      <c r="B5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7" s="46"/>
      <c r="D57" s="44"/>
      <c r="E57" s="44"/>
      <c r="F57" s="44"/>
      <c r="G57" s="44"/>
      <c r="H57" s="45"/>
      <c r="I57" s="45"/>
      <c r="J57" s="45"/>
      <c r="K57" s="45"/>
      <c r="L57" s="46"/>
      <c r="M57" s="44"/>
      <c r="N57" s="46"/>
      <c r="O57" s="46"/>
      <c r="P57" s="47"/>
      <c r="Q57" s="46"/>
      <c r="R57" s="46"/>
      <c r="S57" s="48"/>
      <c r="T57" s="68" t="str">
        <f>IF(Tableau1[[#This Row],[DMS_SAP]]="","",HYPERLINK(Tableau1[[#This Row],[Chemin fichier source]],"X"))</f>
        <v/>
      </c>
      <c r="U57" s="68" t="str">
        <f>IF(Tableau1[[#This Row],[Date rév.]]="","",HYPERLINK(Tableau1[[#This Row],[Lien document]],"X"))</f>
        <v/>
      </c>
      <c r="V57" s="47"/>
      <c r="W5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7" s="47"/>
      <c r="Y57" s="47"/>
      <c r="Z57" s="44" t="str">
        <f ca="1">IF(AND(Tableau1[[#This Row],[Charge]]&lt;&gt;0, Tableau1[[#This Row],[Nombre intervenants]]&lt;&gt;0,Tableau1[[#This Row],[Lien document]]&lt;&gt;0,Tableau1[[#This Row],[DMS_SAP]]&lt;&gt;0)=TRUE,"MIS A JOUR","")</f>
        <v/>
      </c>
      <c r="AA57" s="48"/>
      <c r="AB57" s="65" t="str">
        <f ca="1">IF(Tableau1[[#This Row],[Date rév.]]&lt;&gt;"", DAYS360(Tableau1[[#This Row],[Date rév.]],TODAY()),"")</f>
        <v/>
      </c>
      <c r="AC57" s="50" t="str">
        <f>IFERROR(INDEX(Chemin_accès!$B$11:$C$22,MATCH(Tableau1[[#This Row],[Type]],Chemin_accès!$C$11:$C$22,0),1),Chemin_accès!$B$11)</f>
        <v>\\stjn.local\trimet\Btechnique\Commun\Atelier Central mécanique\Plan entretien\Modèles préventif\GammeDMS_7.MENG.xlsm</v>
      </c>
      <c r="AD57" s="50" t="str">
        <f>Chemin_accès!$B$8&amp;Tableau1[[#This Row],[Localisation / Classement]]&amp;"\"&amp;Tableau1[[#This Row],[Poste technique ou N° d''équipement]]&amp;"_"&amp;Tableau1[[#This Row],[Plan Entretien]]&amp;".xlsm"</f>
        <v>\\stjn.local\trimet\Btechnique\Commun\Atelier Central mécanique\Plan entretien\GammeEntretien\\_.xlsm</v>
      </c>
    </row>
    <row r="58" spans="1:30" x14ac:dyDescent="0.3">
      <c r="A58" s="44" t="str">
        <f t="shared" ca="1" si="0"/>
        <v>7.MENG</v>
      </c>
      <c r="B5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8" s="53"/>
      <c r="D58" s="44"/>
      <c r="E58" s="44"/>
      <c r="F58" s="47"/>
      <c r="G58" s="47"/>
      <c r="H58" s="45"/>
      <c r="I58" s="45"/>
      <c r="J58" s="45"/>
      <c r="K58" s="45"/>
      <c r="L58" s="46"/>
      <c r="M58" s="44"/>
      <c r="N58" s="46"/>
      <c r="O58" s="46"/>
      <c r="P58" s="47"/>
      <c r="Q58" s="46"/>
      <c r="R58" s="46"/>
      <c r="S58" s="48"/>
      <c r="T58" s="68" t="str">
        <f>IF(Tableau1[[#This Row],[DMS_SAP]]="","",HYPERLINK(Tableau1[[#This Row],[Chemin fichier source]],"X"))</f>
        <v/>
      </c>
      <c r="U58" s="68" t="str">
        <f>IF(Tableau1[[#This Row],[Date rév.]]="","",HYPERLINK(Tableau1[[#This Row],[Lien document]],"X"))</f>
        <v/>
      </c>
      <c r="V58" s="47"/>
      <c r="W5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8" s="47"/>
      <c r="Y58" s="47"/>
      <c r="Z58" s="44" t="str">
        <f ca="1">IF(AND(Tableau1[[#This Row],[Charge]]&lt;&gt;0, Tableau1[[#This Row],[Nombre intervenants]]&lt;&gt;0,Tableau1[[#This Row],[Lien document]]&lt;&gt;0,Tableau1[[#This Row],[DMS_SAP]]&lt;&gt;0)=TRUE,"MIS A JOUR","")</f>
        <v/>
      </c>
      <c r="AA58" s="48"/>
      <c r="AB58" s="65" t="str">
        <f ca="1">IF(Tableau1[[#This Row],[Date rév.]]&lt;&gt;"", DAYS360(Tableau1[[#This Row],[Date rév.]],TODAY()),"")</f>
        <v/>
      </c>
      <c r="AC58" s="50" t="str">
        <f>IFERROR(INDEX(Chemin_accès!$B$11:$C$22,MATCH(Tableau1[[#This Row],[Type]],Chemin_accès!$C$11:$C$22,0),1),Chemin_accès!$B$11)</f>
        <v>\\stjn.local\trimet\Btechnique\Commun\Atelier Central mécanique\Plan entretien\Modèles préventif\GammeDMS_7.MENG.xlsm</v>
      </c>
      <c r="AD58" s="50" t="str">
        <f>Chemin_accès!$B$8&amp;Tableau1[[#This Row],[Localisation / Classement]]&amp;"\"&amp;Tableau1[[#This Row],[Poste technique ou N° d''équipement]]&amp;"_"&amp;Tableau1[[#This Row],[Plan Entretien]]&amp;".xlsm"</f>
        <v>\\stjn.local\trimet\Btechnique\Commun\Atelier Central mécanique\Plan entretien\GammeEntretien\\_.xlsm</v>
      </c>
    </row>
    <row r="59" spans="1:30" x14ac:dyDescent="0.3">
      <c r="A59" s="44" t="str">
        <f t="shared" ca="1" si="0"/>
        <v>7.MENG</v>
      </c>
      <c r="B5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9" s="53"/>
      <c r="D59" s="44"/>
      <c r="E59" s="44"/>
      <c r="F59" s="47"/>
      <c r="G59" s="47"/>
      <c r="H59" s="45"/>
      <c r="I59" s="45"/>
      <c r="J59" s="45"/>
      <c r="K59" s="45"/>
      <c r="L59" s="46"/>
      <c r="M59" s="44"/>
      <c r="N59" s="46"/>
      <c r="O59" s="46"/>
      <c r="P59" s="47"/>
      <c r="Q59" s="46"/>
      <c r="R59" s="46"/>
      <c r="S59" s="48"/>
      <c r="T59" s="68" t="str">
        <f>IF(Tableau1[[#This Row],[DMS_SAP]]="","",HYPERLINK(Tableau1[[#This Row],[Chemin fichier source]],"X"))</f>
        <v/>
      </c>
      <c r="U59" s="68" t="str">
        <f>IF(Tableau1[[#This Row],[Date rév.]]="","",HYPERLINK(Tableau1[[#This Row],[Lien document]],"X"))</f>
        <v/>
      </c>
      <c r="V59" s="47"/>
      <c r="W5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9" s="47"/>
      <c r="Y59" s="47"/>
      <c r="Z59" s="44" t="str">
        <f ca="1">IF(AND(Tableau1[[#This Row],[Charge]]&lt;&gt;0, Tableau1[[#This Row],[Nombre intervenants]]&lt;&gt;0,Tableau1[[#This Row],[Lien document]]&lt;&gt;0,Tableau1[[#This Row],[DMS_SAP]]&lt;&gt;0)=TRUE,"MIS A JOUR","")</f>
        <v/>
      </c>
      <c r="AA59" s="48"/>
      <c r="AB59" s="65" t="str">
        <f ca="1">IF(Tableau1[[#This Row],[Date rév.]]&lt;&gt;"", DAYS360(Tableau1[[#This Row],[Date rév.]],TODAY()),"")</f>
        <v/>
      </c>
      <c r="AC59" s="50" t="str">
        <f>IFERROR(INDEX(Chemin_accès!$B$11:$C$22,MATCH(Tableau1[[#This Row],[Type]],Chemin_accès!$C$11:$C$22,0),1),Chemin_accès!$B$11)</f>
        <v>\\stjn.local\trimet\Btechnique\Commun\Atelier Central mécanique\Plan entretien\Modèles préventif\GammeDMS_7.MENG.xlsm</v>
      </c>
      <c r="AD59" s="50" t="str">
        <f>Chemin_accès!$B$8&amp;Tableau1[[#This Row],[Localisation / Classement]]&amp;"\"&amp;Tableau1[[#This Row],[Poste technique ou N° d''équipement]]&amp;"_"&amp;Tableau1[[#This Row],[Plan Entretien]]&amp;".xlsm"</f>
        <v>\\stjn.local\trimet\Btechnique\Commun\Atelier Central mécanique\Plan entretien\GammeEntretien\\_.xlsm</v>
      </c>
    </row>
    <row r="60" spans="1:30" x14ac:dyDescent="0.3">
      <c r="A60" s="44" t="str">
        <f t="shared" ca="1" si="0"/>
        <v>7.MENG</v>
      </c>
      <c r="B6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0" s="53"/>
      <c r="D60" s="44"/>
      <c r="E60" s="44"/>
      <c r="F60" s="47"/>
      <c r="G60" s="47"/>
      <c r="H60" s="45"/>
      <c r="I60" s="45"/>
      <c r="J60" s="45"/>
      <c r="K60" s="45"/>
      <c r="L60" s="46"/>
      <c r="M60" s="44"/>
      <c r="N60" s="46"/>
      <c r="O60" s="46"/>
      <c r="P60" s="47"/>
      <c r="Q60" s="46"/>
      <c r="R60" s="46"/>
      <c r="S60" s="48"/>
      <c r="T60" s="68" t="str">
        <f>IF(Tableau1[[#This Row],[DMS_SAP]]="","",HYPERLINK(Tableau1[[#This Row],[Chemin fichier source]],"X"))</f>
        <v/>
      </c>
      <c r="U60" s="68" t="str">
        <f>IF(Tableau1[[#This Row],[Date rév.]]="","",HYPERLINK(Tableau1[[#This Row],[Lien document]],"X"))</f>
        <v/>
      </c>
      <c r="V60" s="47"/>
      <c r="W6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0" s="47"/>
      <c r="Y60" s="47"/>
      <c r="Z60" s="44" t="str">
        <f ca="1">IF(AND(Tableau1[[#This Row],[Charge]]&lt;&gt;0, Tableau1[[#This Row],[Nombre intervenants]]&lt;&gt;0,Tableau1[[#This Row],[Lien document]]&lt;&gt;0,Tableau1[[#This Row],[DMS_SAP]]&lt;&gt;0)=TRUE,"MIS A JOUR","")</f>
        <v/>
      </c>
      <c r="AA60" s="48"/>
      <c r="AB60" s="65" t="str">
        <f ca="1">IF(Tableau1[[#This Row],[Date rév.]]&lt;&gt;"", DAYS360(Tableau1[[#This Row],[Date rév.]],TODAY()),"")</f>
        <v/>
      </c>
      <c r="AC60" s="50" t="str">
        <f>IFERROR(INDEX(Chemin_accès!$B$11:$C$22,MATCH(Tableau1[[#This Row],[Type]],Chemin_accès!$C$11:$C$22,0),1),Chemin_accès!$B$11)</f>
        <v>\\stjn.local\trimet\Btechnique\Commun\Atelier Central mécanique\Plan entretien\Modèles préventif\GammeDMS_7.MENG.xlsm</v>
      </c>
      <c r="AD60" s="50" t="str">
        <f>Chemin_accès!$B$8&amp;Tableau1[[#This Row],[Localisation / Classement]]&amp;"\"&amp;Tableau1[[#This Row],[Poste technique ou N° d''équipement]]&amp;"_"&amp;Tableau1[[#This Row],[Plan Entretien]]&amp;".xlsm"</f>
        <v>\\stjn.local\trimet\Btechnique\Commun\Atelier Central mécanique\Plan entretien\GammeEntretien\\_.xlsm</v>
      </c>
    </row>
    <row r="61" spans="1:30" x14ac:dyDescent="0.3">
      <c r="A61" s="44" t="str">
        <f t="shared" ca="1" si="0"/>
        <v>7.MENG</v>
      </c>
      <c r="B6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1" s="46"/>
      <c r="D61" s="44"/>
      <c r="E61" s="44"/>
      <c r="F61" s="47"/>
      <c r="G61" s="47"/>
      <c r="H61" s="45"/>
      <c r="I61" s="45"/>
      <c r="J61" s="45"/>
      <c r="K61" s="45"/>
      <c r="L61" s="46"/>
      <c r="M61" s="44"/>
      <c r="N61" s="46"/>
      <c r="O61" s="46"/>
      <c r="P61" s="47"/>
      <c r="Q61" s="46"/>
      <c r="R61" s="46"/>
      <c r="S61" s="48"/>
      <c r="T61" s="68" t="str">
        <f>IF(Tableau1[[#This Row],[DMS_SAP]]="","",HYPERLINK(Tableau1[[#This Row],[Chemin fichier source]],"X"))</f>
        <v/>
      </c>
      <c r="U61" s="68" t="str">
        <f>IF(Tableau1[[#This Row],[Date rév.]]="","",HYPERLINK(Tableau1[[#This Row],[Lien document]],"X"))</f>
        <v/>
      </c>
      <c r="V61" s="47"/>
      <c r="W6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1" s="47"/>
      <c r="Y61" s="47"/>
      <c r="Z61" s="44" t="str">
        <f ca="1">IF(AND(Tableau1[[#This Row],[Charge]]&lt;&gt;0, Tableau1[[#This Row],[Nombre intervenants]]&lt;&gt;0,Tableau1[[#This Row],[Lien document]]&lt;&gt;0,Tableau1[[#This Row],[DMS_SAP]]&lt;&gt;0)=TRUE,"MIS A JOUR","")</f>
        <v/>
      </c>
      <c r="AA61" s="48"/>
      <c r="AB61" s="65" t="str">
        <f ca="1">IF(Tableau1[[#This Row],[Date rév.]]&lt;&gt;"", DAYS360(Tableau1[[#This Row],[Date rév.]],TODAY()),"")</f>
        <v/>
      </c>
      <c r="AC61" s="50" t="str">
        <f>IFERROR(INDEX(Chemin_accès!$B$11:$C$22,MATCH(Tableau1[[#This Row],[Type]],Chemin_accès!$C$11:$C$22,0),1),Chemin_accès!$B$11)</f>
        <v>\\stjn.local\trimet\Btechnique\Commun\Atelier Central mécanique\Plan entretien\Modèles préventif\GammeDMS_7.MENG.xlsm</v>
      </c>
      <c r="AD61" s="50" t="str">
        <f>Chemin_accès!$B$8&amp;Tableau1[[#This Row],[Localisation / Classement]]&amp;"\"&amp;Tableau1[[#This Row],[Poste technique ou N° d''équipement]]&amp;"_"&amp;Tableau1[[#This Row],[Plan Entretien]]&amp;".xlsm"</f>
        <v>\\stjn.local\trimet\Btechnique\Commun\Atelier Central mécanique\Plan entretien\GammeEntretien\\_.xlsm</v>
      </c>
    </row>
    <row r="62" spans="1:30" x14ac:dyDescent="0.3">
      <c r="A62" s="44" t="str">
        <f t="shared" ca="1" si="0"/>
        <v>7.MENG</v>
      </c>
      <c r="B6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2" s="46"/>
      <c r="D62" s="44"/>
      <c r="E62" s="44"/>
      <c r="F62" s="47"/>
      <c r="G62" s="47"/>
      <c r="H62" s="45"/>
      <c r="I62" s="45"/>
      <c r="J62" s="45"/>
      <c r="K62" s="45"/>
      <c r="L62" s="46"/>
      <c r="M62" s="44"/>
      <c r="N62" s="46"/>
      <c r="O62" s="46"/>
      <c r="P62" s="47"/>
      <c r="Q62" s="46"/>
      <c r="R62" s="46"/>
      <c r="S62" s="48"/>
      <c r="T62" s="68" t="str">
        <f>IF(Tableau1[[#This Row],[DMS_SAP]]="","",HYPERLINK(Tableau1[[#This Row],[Chemin fichier source]],"X"))</f>
        <v/>
      </c>
      <c r="U62" s="68" t="str">
        <f>IF(Tableau1[[#This Row],[Date rév.]]="","",HYPERLINK(Tableau1[[#This Row],[Lien document]],"X"))</f>
        <v/>
      </c>
      <c r="V62" s="47"/>
      <c r="W6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2" s="47"/>
      <c r="Y62" s="47"/>
      <c r="Z62" s="44" t="str">
        <f ca="1">IF(AND(Tableau1[[#This Row],[Charge]]&lt;&gt;0, Tableau1[[#This Row],[Nombre intervenants]]&lt;&gt;0,Tableau1[[#This Row],[Lien document]]&lt;&gt;0,Tableau1[[#This Row],[DMS_SAP]]&lt;&gt;0)=TRUE,"MIS A JOUR","")</f>
        <v/>
      </c>
      <c r="AA62" s="48"/>
      <c r="AB62" s="65" t="str">
        <f ca="1">IF(Tableau1[[#This Row],[Date rév.]]&lt;&gt;"", DAYS360(Tableau1[[#This Row],[Date rév.]],TODAY()),"")</f>
        <v/>
      </c>
      <c r="AC62" s="50" t="str">
        <f>IFERROR(INDEX(Chemin_accès!$B$11:$C$22,MATCH(Tableau1[[#This Row],[Type]],Chemin_accès!$C$11:$C$22,0),1),Chemin_accès!$B$11)</f>
        <v>\\stjn.local\trimet\Btechnique\Commun\Atelier Central mécanique\Plan entretien\Modèles préventif\GammeDMS_7.MENG.xlsm</v>
      </c>
      <c r="AD62" s="50" t="str">
        <f>Chemin_accès!$B$8&amp;Tableau1[[#This Row],[Localisation / Classement]]&amp;"\"&amp;Tableau1[[#This Row],[Poste technique ou N° d''équipement]]&amp;"_"&amp;Tableau1[[#This Row],[Plan Entretien]]&amp;".xlsm"</f>
        <v>\\stjn.local\trimet\Btechnique\Commun\Atelier Central mécanique\Plan entretien\GammeEntretien\\_.xlsm</v>
      </c>
    </row>
    <row r="63" spans="1:30" x14ac:dyDescent="0.3">
      <c r="A63" s="44" t="str">
        <f t="shared" ca="1" si="0"/>
        <v>7.MENG</v>
      </c>
      <c r="B6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3" s="46"/>
      <c r="D63" s="44"/>
      <c r="E63" s="44"/>
      <c r="F63" s="47"/>
      <c r="G63" s="47"/>
      <c r="H63" s="45"/>
      <c r="I63" s="45"/>
      <c r="J63" s="45"/>
      <c r="K63" s="45"/>
      <c r="L63" s="46"/>
      <c r="M63" s="44"/>
      <c r="N63" s="46"/>
      <c r="O63" s="46"/>
      <c r="P63" s="47"/>
      <c r="Q63" s="46"/>
      <c r="R63" s="46"/>
      <c r="S63" s="48"/>
      <c r="T63" s="68" t="str">
        <f>IF(Tableau1[[#This Row],[DMS_SAP]]="","",HYPERLINK(Tableau1[[#This Row],[Chemin fichier source]],"X"))</f>
        <v/>
      </c>
      <c r="U63" s="68" t="str">
        <f>IF(Tableau1[[#This Row],[Date rév.]]="","",HYPERLINK(Tableau1[[#This Row],[Lien document]],"X"))</f>
        <v/>
      </c>
      <c r="V63" s="47"/>
      <c r="W6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3" s="47"/>
      <c r="Y63" s="47"/>
      <c r="Z63" s="44" t="str">
        <f ca="1">IF(AND(Tableau1[[#This Row],[Charge]]&lt;&gt;0, Tableau1[[#This Row],[Nombre intervenants]]&lt;&gt;0,Tableau1[[#This Row],[Lien document]]&lt;&gt;0,Tableau1[[#This Row],[DMS_SAP]]&lt;&gt;0)=TRUE,"MIS A JOUR","")</f>
        <v/>
      </c>
      <c r="AA63" s="48"/>
      <c r="AB63" s="65" t="str">
        <f ca="1">IF(Tableau1[[#This Row],[Date rév.]]&lt;&gt;"", DAYS360(Tableau1[[#This Row],[Date rév.]],TODAY()),"")</f>
        <v/>
      </c>
      <c r="AC63" s="50" t="str">
        <f>IFERROR(INDEX(Chemin_accès!$B$11:$C$22,MATCH(Tableau1[[#This Row],[Type]],Chemin_accès!$C$11:$C$22,0),1),Chemin_accès!$B$11)</f>
        <v>\\stjn.local\trimet\Btechnique\Commun\Atelier Central mécanique\Plan entretien\Modèles préventif\GammeDMS_7.MENG.xlsm</v>
      </c>
      <c r="AD63" s="50" t="str">
        <f>Chemin_accès!$B$8&amp;Tableau1[[#This Row],[Localisation / Classement]]&amp;"\"&amp;Tableau1[[#This Row],[Poste technique ou N° d''équipement]]&amp;"_"&amp;Tableau1[[#This Row],[Plan Entretien]]&amp;".xlsm"</f>
        <v>\\stjn.local\trimet\Btechnique\Commun\Atelier Central mécanique\Plan entretien\GammeEntretien\\_.xlsm</v>
      </c>
    </row>
    <row r="64" spans="1:30" x14ac:dyDescent="0.3">
      <c r="A64" s="44" t="str">
        <f t="shared" ca="1" si="0"/>
        <v>7.MENG</v>
      </c>
      <c r="B6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4" s="46"/>
      <c r="D64" s="44"/>
      <c r="E64" s="44"/>
      <c r="F64" s="47"/>
      <c r="G64" s="47"/>
      <c r="H64" s="45"/>
      <c r="I64" s="45"/>
      <c r="J64" s="45"/>
      <c r="K64" s="45"/>
      <c r="L64" s="46"/>
      <c r="M64" s="44"/>
      <c r="N64" s="46"/>
      <c r="O64" s="46"/>
      <c r="P64" s="47"/>
      <c r="Q64" s="46"/>
      <c r="R64" s="46"/>
      <c r="S64" s="48"/>
      <c r="T64" s="68" t="str">
        <f>IF(Tableau1[[#This Row],[DMS_SAP]]="","",HYPERLINK(Tableau1[[#This Row],[Chemin fichier source]],"X"))</f>
        <v/>
      </c>
      <c r="U64" s="68" t="str">
        <f>IF(Tableau1[[#This Row],[Date rév.]]="","",HYPERLINK(Tableau1[[#This Row],[Lien document]],"X"))</f>
        <v/>
      </c>
      <c r="V64" s="47"/>
      <c r="W6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4" s="47"/>
      <c r="Y64" s="47"/>
      <c r="Z64" s="44" t="str">
        <f ca="1">IF(AND(Tableau1[[#This Row],[Charge]]&lt;&gt;0, Tableau1[[#This Row],[Nombre intervenants]]&lt;&gt;0,Tableau1[[#This Row],[Lien document]]&lt;&gt;0,Tableau1[[#This Row],[DMS_SAP]]&lt;&gt;0)=TRUE,"MIS A JOUR","")</f>
        <v/>
      </c>
      <c r="AA64" s="48"/>
      <c r="AB64" s="65" t="str">
        <f ca="1">IF(Tableau1[[#This Row],[Date rév.]]&lt;&gt;"", DAYS360(Tableau1[[#This Row],[Date rév.]],TODAY()),"")</f>
        <v/>
      </c>
      <c r="AC64" s="50" t="str">
        <f>IFERROR(INDEX(Chemin_accès!$B$11:$C$22,MATCH(Tableau1[[#This Row],[Type]],Chemin_accès!$C$11:$C$22,0),1),Chemin_accès!$B$11)</f>
        <v>\\stjn.local\trimet\Btechnique\Commun\Atelier Central mécanique\Plan entretien\Modèles préventif\GammeDMS_7.MENG.xlsm</v>
      </c>
      <c r="AD64" s="50" t="str">
        <f>Chemin_accès!$B$8&amp;Tableau1[[#This Row],[Localisation / Classement]]&amp;"\"&amp;Tableau1[[#This Row],[Poste technique ou N° d''équipement]]&amp;"_"&amp;Tableau1[[#This Row],[Plan Entretien]]&amp;".xlsm"</f>
        <v>\\stjn.local\trimet\Btechnique\Commun\Atelier Central mécanique\Plan entretien\GammeEntretien\\_.xlsm</v>
      </c>
    </row>
    <row r="65" spans="1:30" x14ac:dyDescent="0.3">
      <c r="A65" s="44" t="str">
        <f t="shared" ref="A65:A128" ca="1" si="1">MID(CELL("filename",$A$1),FIND("]",CELL("filename",$A$1))+1,32)</f>
        <v>7.MENG</v>
      </c>
      <c r="B6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5" s="46"/>
      <c r="D65" s="44"/>
      <c r="E65" s="44"/>
      <c r="F65" s="47"/>
      <c r="G65" s="47"/>
      <c r="H65" s="45"/>
      <c r="I65" s="45"/>
      <c r="J65" s="45"/>
      <c r="K65" s="45"/>
      <c r="L65" s="46"/>
      <c r="M65" s="44"/>
      <c r="N65" s="46"/>
      <c r="O65" s="46"/>
      <c r="P65" s="47"/>
      <c r="Q65" s="46"/>
      <c r="R65" s="46"/>
      <c r="S65" s="48"/>
      <c r="T65" s="68" t="str">
        <f>IF(Tableau1[[#This Row],[DMS_SAP]]="","",HYPERLINK(Tableau1[[#This Row],[Chemin fichier source]],"X"))</f>
        <v/>
      </c>
      <c r="U65" s="68" t="str">
        <f>IF(Tableau1[[#This Row],[Date rév.]]="","",HYPERLINK(Tableau1[[#This Row],[Lien document]],"X"))</f>
        <v/>
      </c>
      <c r="V65" s="47"/>
      <c r="W6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5" s="47"/>
      <c r="Y65" s="47"/>
      <c r="Z65" s="44" t="str">
        <f ca="1">IF(AND(Tableau1[[#This Row],[Charge]]&lt;&gt;0, Tableau1[[#This Row],[Nombre intervenants]]&lt;&gt;0,Tableau1[[#This Row],[Lien document]]&lt;&gt;0,Tableau1[[#This Row],[DMS_SAP]]&lt;&gt;0)=TRUE,"MIS A JOUR","")</f>
        <v/>
      </c>
      <c r="AA65" s="48"/>
      <c r="AB65" s="65" t="str">
        <f ca="1">IF(Tableau1[[#This Row],[Date rév.]]&lt;&gt;"", DAYS360(Tableau1[[#This Row],[Date rév.]],TODAY()),"")</f>
        <v/>
      </c>
      <c r="AC65" s="50" t="str">
        <f>IFERROR(INDEX(Chemin_accès!$B$11:$C$22,MATCH(Tableau1[[#This Row],[Type]],Chemin_accès!$C$11:$C$22,0),1),Chemin_accès!$B$11)</f>
        <v>\\stjn.local\trimet\Btechnique\Commun\Atelier Central mécanique\Plan entretien\Modèles préventif\GammeDMS_7.MENG.xlsm</v>
      </c>
      <c r="AD65" s="50" t="str">
        <f>Chemin_accès!$B$8&amp;Tableau1[[#This Row],[Localisation / Classement]]&amp;"\"&amp;Tableau1[[#This Row],[Poste technique ou N° d''équipement]]&amp;"_"&amp;Tableau1[[#This Row],[Plan Entretien]]&amp;".xlsm"</f>
        <v>\\stjn.local\trimet\Btechnique\Commun\Atelier Central mécanique\Plan entretien\GammeEntretien\\_.xlsm</v>
      </c>
    </row>
    <row r="66" spans="1:30" x14ac:dyDescent="0.3">
      <c r="A66" s="44" t="str">
        <f t="shared" ca="1" si="1"/>
        <v>7.MENG</v>
      </c>
      <c r="B6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6" s="46"/>
      <c r="D66" s="44"/>
      <c r="E66" s="44"/>
      <c r="F66" s="47"/>
      <c r="G66" s="47"/>
      <c r="H66" s="45"/>
      <c r="I66" s="45"/>
      <c r="J66" s="45"/>
      <c r="K66" s="45"/>
      <c r="L66" s="46"/>
      <c r="M66" s="44"/>
      <c r="N66" s="46"/>
      <c r="O66" s="46"/>
      <c r="P66" s="47"/>
      <c r="Q66" s="46"/>
      <c r="R66" s="46"/>
      <c r="S66" s="48"/>
      <c r="T66" s="68" t="str">
        <f>IF(Tableau1[[#This Row],[DMS_SAP]]="","",HYPERLINK(Tableau1[[#This Row],[Chemin fichier source]],"X"))</f>
        <v/>
      </c>
      <c r="U66" s="68" t="str">
        <f>IF(Tableau1[[#This Row],[Date rév.]]="","",HYPERLINK(Tableau1[[#This Row],[Lien document]],"X"))</f>
        <v/>
      </c>
      <c r="V66" s="47"/>
      <c r="W6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6" s="47"/>
      <c r="Y66" s="47"/>
      <c r="Z66" s="44" t="str">
        <f ca="1">IF(AND(Tableau1[[#This Row],[Charge]]&lt;&gt;0, Tableau1[[#This Row],[Nombre intervenants]]&lt;&gt;0,Tableau1[[#This Row],[Lien document]]&lt;&gt;0,Tableau1[[#This Row],[DMS_SAP]]&lt;&gt;0)=TRUE,"MIS A JOUR","")</f>
        <v/>
      </c>
      <c r="AA66" s="48"/>
      <c r="AB66" s="65" t="str">
        <f ca="1">IF(Tableau1[[#This Row],[Date rév.]]&lt;&gt;"", DAYS360(Tableau1[[#This Row],[Date rév.]],TODAY()),"")</f>
        <v/>
      </c>
      <c r="AC66" s="50" t="str">
        <f>IFERROR(INDEX(Chemin_accès!$B$11:$C$22,MATCH(Tableau1[[#This Row],[Type]],Chemin_accès!$C$11:$C$22,0),1),Chemin_accès!$B$11)</f>
        <v>\\stjn.local\trimet\Btechnique\Commun\Atelier Central mécanique\Plan entretien\Modèles préventif\GammeDMS_7.MENG.xlsm</v>
      </c>
      <c r="AD66" s="50" t="str">
        <f>Chemin_accès!$B$8&amp;Tableau1[[#This Row],[Localisation / Classement]]&amp;"\"&amp;Tableau1[[#This Row],[Poste technique ou N° d''équipement]]&amp;"_"&amp;Tableau1[[#This Row],[Plan Entretien]]&amp;".xlsm"</f>
        <v>\\stjn.local\trimet\Btechnique\Commun\Atelier Central mécanique\Plan entretien\GammeEntretien\\_.xlsm</v>
      </c>
    </row>
    <row r="67" spans="1:30" x14ac:dyDescent="0.3">
      <c r="A67" s="44" t="str">
        <f t="shared" ca="1" si="1"/>
        <v>7.MENG</v>
      </c>
      <c r="B6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7" s="46"/>
      <c r="D67" s="44"/>
      <c r="E67" s="44"/>
      <c r="F67" s="47"/>
      <c r="G67" s="47"/>
      <c r="H67" s="45"/>
      <c r="I67" s="45"/>
      <c r="J67" s="45"/>
      <c r="K67" s="45"/>
      <c r="L67" s="46"/>
      <c r="M67" s="44"/>
      <c r="N67" s="46"/>
      <c r="O67" s="46"/>
      <c r="P67" s="47"/>
      <c r="Q67" s="46"/>
      <c r="R67" s="46"/>
      <c r="S67" s="48"/>
      <c r="T67" s="68" t="str">
        <f>IF(Tableau1[[#This Row],[DMS_SAP]]="","",HYPERLINK(Tableau1[[#This Row],[Chemin fichier source]],"X"))</f>
        <v/>
      </c>
      <c r="U67" s="68" t="str">
        <f>IF(Tableau1[[#This Row],[Date rév.]]="","",HYPERLINK(Tableau1[[#This Row],[Lien document]],"X"))</f>
        <v/>
      </c>
      <c r="V67" s="47"/>
      <c r="W6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7" s="47"/>
      <c r="Y67" s="47"/>
      <c r="Z67" s="44" t="str">
        <f ca="1">IF(AND(Tableau1[[#This Row],[Charge]]&lt;&gt;0, Tableau1[[#This Row],[Nombre intervenants]]&lt;&gt;0,Tableau1[[#This Row],[Lien document]]&lt;&gt;0,Tableau1[[#This Row],[DMS_SAP]]&lt;&gt;0)=TRUE,"MIS A JOUR","")</f>
        <v/>
      </c>
      <c r="AA67" s="48"/>
      <c r="AB67" s="65" t="str">
        <f ca="1">IF(Tableau1[[#This Row],[Date rév.]]&lt;&gt;"", DAYS360(Tableau1[[#This Row],[Date rév.]],TODAY()),"")</f>
        <v/>
      </c>
      <c r="AC67" s="50" t="str">
        <f>IFERROR(INDEX(Chemin_accès!$B$11:$C$22,MATCH(Tableau1[[#This Row],[Type]],Chemin_accès!$C$11:$C$22,0),1),Chemin_accès!$B$11)</f>
        <v>\\stjn.local\trimet\Btechnique\Commun\Atelier Central mécanique\Plan entretien\Modèles préventif\GammeDMS_7.MENG.xlsm</v>
      </c>
      <c r="AD67" s="50" t="str">
        <f>Chemin_accès!$B$8&amp;Tableau1[[#This Row],[Localisation / Classement]]&amp;"\"&amp;Tableau1[[#This Row],[Poste technique ou N° d''équipement]]&amp;"_"&amp;Tableau1[[#This Row],[Plan Entretien]]&amp;".xlsm"</f>
        <v>\\stjn.local\trimet\Btechnique\Commun\Atelier Central mécanique\Plan entretien\GammeEntretien\\_.xlsm</v>
      </c>
    </row>
    <row r="68" spans="1:30" x14ac:dyDescent="0.3">
      <c r="A68" s="44" t="str">
        <f t="shared" ca="1" si="1"/>
        <v>7.MENG</v>
      </c>
      <c r="B6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8" s="46"/>
      <c r="D68" s="44"/>
      <c r="E68" s="44"/>
      <c r="F68" s="47"/>
      <c r="G68" s="47"/>
      <c r="H68" s="45"/>
      <c r="I68" s="45"/>
      <c r="J68" s="45"/>
      <c r="K68" s="45"/>
      <c r="L68" s="46"/>
      <c r="M68" s="44"/>
      <c r="N68" s="46"/>
      <c r="O68" s="46"/>
      <c r="P68" s="47"/>
      <c r="Q68" s="46"/>
      <c r="R68" s="46"/>
      <c r="S68" s="48"/>
      <c r="T68" s="68" t="str">
        <f>IF(Tableau1[[#This Row],[DMS_SAP]]="","",HYPERLINK(Tableau1[[#This Row],[Chemin fichier source]],"X"))</f>
        <v/>
      </c>
      <c r="U68" s="68" t="str">
        <f>IF(Tableau1[[#This Row],[Date rév.]]="","",HYPERLINK(Tableau1[[#This Row],[Lien document]],"X"))</f>
        <v/>
      </c>
      <c r="V68" s="47"/>
      <c r="W6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8" s="47"/>
      <c r="Y68" s="47"/>
      <c r="Z68" s="44" t="str">
        <f ca="1">IF(AND(Tableau1[[#This Row],[Charge]]&lt;&gt;0, Tableau1[[#This Row],[Nombre intervenants]]&lt;&gt;0,Tableau1[[#This Row],[Lien document]]&lt;&gt;0,Tableau1[[#This Row],[DMS_SAP]]&lt;&gt;0)=TRUE,"MIS A JOUR","")</f>
        <v/>
      </c>
      <c r="AA68" s="48"/>
      <c r="AB68" s="65" t="str">
        <f ca="1">IF(Tableau1[[#This Row],[Date rév.]]&lt;&gt;"", DAYS360(Tableau1[[#This Row],[Date rév.]],TODAY()),"")</f>
        <v/>
      </c>
      <c r="AC68" s="50" t="str">
        <f>IFERROR(INDEX(Chemin_accès!$B$11:$C$22,MATCH(Tableau1[[#This Row],[Type]],Chemin_accès!$C$11:$C$22,0),1),Chemin_accès!$B$11)</f>
        <v>\\stjn.local\trimet\Btechnique\Commun\Atelier Central mécanique\Plan entretien\Modèles préventif\GammeDMS_7.MENG.xlsm</v>
      </c>
      <c r="AD68" s="50" t="str">
        <f>Chemin_accès!$B$8&amp;Tableau1[[#This Row],[Localisation / Classement]]&amp;"\"&amp;Tableau1[[#This Row],[Poste technique ou N° d''équipement]]&amp;"_"&amp;Tableau1[[#This Row],[Plan Entretien]]&amp;".xlsm"</f>
        <v>\\stjn.local\trimet\Btechnique\Commun\Atelier Central mécanique\Plan entretien\GammeEntretien\\_.xlsm</v>
      </c>
    </row>
    <row r="69" spans="1:30" x14ac:dyDescent="0.3">
      <c r="A69" s="44" t="str">
        <f t="shared" ca="1" si="1"/>
        <v>7.MENG</v>
      </c>
      <c r="B6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9" s="46"/>
      <c r="D69" s="44"/>
      <c r="E69" s="44"/>
      <c r="F69" s="47"/>
      <c r="G69" s="47"/>
      <c r="H69" s="45"/>
      <c r="I69" s="45"/>
      <c r="J69" s="45"/>
      <c r="K69" s="45"/>
      <c r="L69" s="46"/>
      <c r="M69" s="44"/>
      <c r="N69" s="46"/>
      <c r="O69" s="46"/>
      <c r="P69" s="47"/>
      <c r="Q69" s="46"/>
      <c r="R69" s="46"/>
      <c r="S69" s="48"/>
      <c r="T69" s="68" t="str">
        <f>IF(Tableau1[[#This Row],[DMS_SAP]]="","",HYPERLINK(Tableau1[[#This Row],[Chemin fichier source]],"X"))</f>
        <v/>
      </c>
      <c r="U69" s="68" t="str">
        <f>IF(Tableau1[[#This Row],[Date rév.]]="","",HYPERLINK(Tableau1[[#This Row],[Lien document]],"X"))</f>
        <v/>
      </c>
      <c r="V69" s="47"/>
      <c r="W6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9" s="47"/>
      <c r="Y69" s="47"/>
      <c r="Z69" s="44" t="str">
        <f ca="1">IF(AND(Tableau1[[#This Row],[Charge]]&lt;&gt;0, Tableau1[[#This Row],[Nombre intervenants]]&lt;&gt;0,Tableau1[[#This Row],[Lien document]]&lt;&gt;0,Tableau1[[#This Row],[DMS_SAP]]&lt;&gt;0)=TRUE,"MIS A JOUR","")</f>
        <v/>
      </c>
      <c r="AA69" s="48"/>
      <c r="AB69" s="65" t="str">
        <f ca="1">IF(Tableau1[[#This Row],[Date rév.]]&lt;&gt;"", DAYS360(Tableau1[[#This Row],[Date rév.]],TODAY()),"")</f>
        <v/>
      </c>
      <c r="AC69" s="50" t="str">
        <f>IFERROR(INDEX(Chemin_accès!$B$11:$C$22,MATCH(Tableau1[[#This Row],[Type]],Chemin_accès!$C$11:$C$22,0),1),Chemin_accès!$B$11)</f>
        <v>\\stjn.local\trimet\Btechnique\Commun\Atelier Central mécanique\Plan entretien\Modèles préventif\GammeDMS_7.MENG.xlsm</v>
      </c>
      <c r="AD69" s="50" t="str">
        <f>Chemin_accès!$B$8&amp;Tableau1[[#This Row],[Localisation / Classement]]&amp;"\"&amp;Tableau1[[#This Row],[Poste technique ou N° d''équipement]]&amp;"_"&amp;Tableau1[[#This Row],[Plan Entretien]]&amp;".xlsm"</f>
        <v>\\stjn.local\trimet\Btechnique\Commun\Atelier Central mécanique\Plan entretien\GammeEntretien\\_.xlsm</v>
      </c>
    </row>
    <row r="70" spans="1:30" x14ac:dyDescent="0.3">
      <c r="A70" s="44" t="str">
        <f t="shared" ca="1" si="1"/>
        <v>7.MENG</v>
      </c>
      <c r="B7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0" s="46"/>
      <c r="D70" s="44"/>
      <c r="E70" s="44"/>
      <c r="F70" s="47"/>
      <c r="G70" s="47"/>
      <c r="H70" s="45"/>
      <c r="I70" s="45"/>
      <c r="J70" s="45"/>
      <c r="K70" s="45"/>
      <c r="L70" s="46"/>
      <c r="M70" s="44"/>
      <c r="N70" s="46"/>
      <c r="O70" s="46"/>
      <c r="P70" s="47"/>
      <c r="Q70" s="46"/>
      <c r="R70" s="46"/>
      <c r="S70" s="48"/>
      <c r="T70" s="68" t="str">
        <f>IF(Tableau1[[#This Row],[DMS_SAP]]="","",HYPERLINK(Tableau1[[#This Row],[Chemin fichier source]],"X"))</f>
        <v/>
      </c>
      <c r="U70" s="68" t="str">
        <f>IF(Tableau1[[#This Row],[Date rév.]]="","",HYPERLINK(Tableau1[[#This Row],[Lien document]],"X"))</f>
        <v/>
      </c>
      <c r="V70" s="47"/>
      <c r="W7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0" s="47"/>
      <c r="Y70" s="47"/>
      <c r="Z70" s="44" t="str">
        <f ca="1">IF(AND(Tableau1[[#This Row],[Charge]]&lt;&gt;0, Tableau1[[#This Row],[Nombre intervenants]]&lt;&gt;0,Tableau1[[#This Row],[Lien document]]&lt;&gt;0,Tableau1[[#This Row],[DMS_SAP]]&lt;&gt;0)=TRUE,"MIS A JOUR","")</f>
        <v/>
      </c>
      <c r="AA70" s="48"/>
      <c r="AB70" s="65" t="str">
        <f ca="1">IF(Tableau1[[#This Row],[Date rév.]]&lt;&gt;"", DAYS360(Tableau1[[#This Row],[Date rév.]],TODAY()),"")</f>
        <v/>
      </c>
      <c r="AC70" s="50" t="str">
        <f>IFERROR(INDEX(Chemin_accès!$B$11:$C$22,MATCH(Tableau1[[#This Row],[Type]],Chemin_accès!$C$11:$C$22,0),1),Chemin_accès!$B$11)</f>
        <v>\\stjn.local\trimet\Btechnique\Commun\Atelier Central mécanique\Plan entretien\Modèles préventif\GammeDMS_7.MENG.xlsm</v>
      </c>
      <c r="AD70" s="50" t="str">
        <f>Chemin_accès!$B$8&amp;Tableau1[[#This Row],[Localisation / Classement]]&amp;"\"&amp;Tableau1[[#This Row],[Poste technique ou N° d''équipement]]&amp;"_"&amp;Tableau1[[#This Row],[Plan Entretien]]&amp;".xlsm"</f>
        <v>\\stjn.local\trimet\Btechnique\Commun\Atelier Central mécanique\Plan entretien\GammeEntretien\\_.xlsm</v>
      </c>
    </row>
    <row r="71" spans="1:30" x14ac:dyDescent="0.3">
      <c r="A71" s="44" t="str">
        <f t="shared" ca="1" si="1"/>
        <v>7.MENG</v>
      </c>
      <c r="B7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1" s="46"/>
      <c r="D71" s="44"/>
      <c r="E71" s="44"/>
      <c r="F71" s="47"/>
      <c r="G71" s="47"/>
      <c r="H71" s="45"/>
      <c r="I71" s="45"/>
      <c r="J71" s="45"/>
      <c r="K71" s="45"/>
      <c r="L71" s="46"/>
      <c r="M71" s="44"/>
      <c r="N71" s="46"/>
      <c r="O71" s="46"/>
      <c r="P71" s="47"/>
      <c r="Q71" s="46"/>
      <c r="R71" s="46"/>
      <c r="S71" s="48"/>
      <c r="T71" s="68" t="str">
        <f>IF(Tableau1[[#This Row],[DMS_SAP]]="","",HYPERLINK(Tableau1[[#This Row],[Chemin fichier source]],"X"))</f>
        <v/>
      </c>
      <c r="U71" s="68" t="str">
        <f>IF(Tableau1[[#This Row],[Date rév.]]="","",HYPERLINK(Tableau1[[#This Row],[Lien document]],"X"))</f>
        <v/>
      </c>
      <c r="V71" s="47"/>
      <c r="W7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1" s="47"/>
      <c r="Y71" s="47"/>
      <c r="Z71" s="44" t="str">
        <f ca="1">IF(AND(Tableau1[[#This Row],[Charge]]&lt;&gt;0, Tableau1[[#This Row],[Nombre intervenants]]&lt;&gt;0,Tableau1[[#This Row],[Lien document]]&lt;&gt;0,Tableau1[[#This Row],[DMS_SAP]]&lt;&gt;0)=TRUE,"MIS A JOUR","")</f>
        <v/>
      </c>
      <c r="AA71" s="48"/>
      <c r="AB71" s="65" t="str">
        <f ca="1">IF(Tableau1[[#This Row],[Date rév.]]&lt;&gt;"", DAYS360(Tableau1[[#This Row],[Date rév.]],TODAY()),"")</f>
        <v/>
      </c>
      <c r="AC71" s="50" t="str">
        <f>IFERROR(INDEX(Chemin_accès!$B$11:$C$22,MATCH(Tableau1[[#This Row],[Type]],Chemin_accès!$C$11:$C$22,0),1),Chemin_accès!$B$11)</f>
        <v>\\stjn.local\trimet\Btechnique\Commun\Atelier Central mécanique\Plan entretien\Modèles préventif\GammeDMS_7.MENG.xlsm</v>
      </c>
      <c r="AD71" s="50" t="str">
        <f>Chemin_accès!$B$8&amp;Tableau1[[#This Row],[Localisation / Classement]]&amp;"\"&amp;Tableau1[[#This Row],[Poste technique ou N° d''équipement]]&amp;"_"&amp;Tableau1[[#This Row],[Plan Entretien]]&amp;".xlsm"</f>
        <v>\\stjn.local\trimet\Btechnique\Commun\Atelier Central mécanique\Plan entretien\GammeEntretien\\_.xlsm</v>
      </c>
    </row>
    <row r="72" spans="1:30" x14ac:dyDescent="0.3">
      <c r="A72" s="44" t="str">
        <f t="shared" ca="1" si="1"/>
        <v>7.MENG</v>
      </c>
      <c r="B7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2" s="46"/>
      <c r="D72" s="44"/>
      <c r="E72" s="44"/>
      <c r="F72" s="47"/>
      <c r="G72" s="47"/>
      <c r="H72" s="45"/>
      <c r="I72" s="45"/>
      <c r="J72" s="45"/>
      <c r="K72" s="45"/>
      <c r="L72" s="46"/>
      <c r="M72" s="44"/>
      <c r="N72" s="46"/>
      <c r="O72" s="46"/>
      <c r="P72" s="47"/>
      <c r="Q72" s="46"/>
      <c r="R72" s="46"/>
      <c r="S72" s="48"/>
      <c r="T72" s="68" t="str">
        <f>IF(Tableau1[[#This Row],[DMS_SAP]]="","",HYPERLINK(Tableau1[[#This Row],[Chemin fichier source]],"X"))</f>
        <v/>
      </c>
      <c r="U72" s="68" t="str">
        <f>IF(Tableau1[[#This Row],[Date rév.]]="","",HYPERLINK(Tableau1[[#This Row],[Lien document]],"X"))</f>
        <v/>
      </c>
      <c r="V72" s="47"/>
      <c r="W7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2" s="47"/>
      <c r="Y72" s="47"/>
      <c r="Z72" s="44" t="str">
        <f ca="1">IF(AND(Tableau1[[#This Row],[Charge]]&lt;&gt;0, Tableau1[[#This Row],[Nombre intervenants]]&lt;&gt;0,Tableau1[[#This Row],[Lien document]]&lt;&gt;0,Tableau1[[#This Row],[DMS_SAP]]&lt;&gt;0)=TRUE,"MIS A JOUR","")</f>
        <v/>
      </c>
      <c r="AA72" s="48"/>
      <c r="AB72" s="65" t="str">
        <f ca="1">IF(Tableau1[[#This Row],[Date rév.]]&lt;&gt;"", DAYS360(Tableau1[[#This Row],[Date rév.]],TODAY()),"")</f>
        <v/>
      </c>
      <c r="AC72" s="50" t="str">
        <f>IFERROR(INDEX(Chemin_accès!$B$11:$C$22,MATCH(Tableau1[[#This Row],[Type]],Chemin_accès!$C$11:$C$22,0),1),Chemin_accès!$B$11)</f>
        <v>\\stjn.local\trimet\Btechnique\Commun\Atelier Central mécanique\Plan entretien\Modèles préventif\GammeDMS_7.MENG.xlsm</v>
      </c>
      <c r="AD72" s="50" t="str">
        <f>Chemin_accès!$B$8&amp;Tableau1[[#This Row],[Localisation / Classement]]&amp;"\"&amp;Tableau1[[#This Row],[Poste technique ou N° d''équipement]]&amp;"_"&amp;Tableau1[[#This Row],[Plan Entretien]]&amp;".xlsm"</f>
        <v>\\stjn.local\trimet\Btechnique\Commun\Atelier Central mécanique\Plan entretien\GammeEntretien\\_.xlsm</v>
      </c>
    </row>
    <row r="73" spans="1:30" x14ac:dyDescent="0.3">
      <c r="A73" s="44" t="str">
        <f t="shared" ca="1" si="1"/>
        <v>7.MENG</v>
      </c>
      <c r="B7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3" s="46"/>
      <c r="D73" s="44"/>
      <c r="E73" s="44"/>
      <c r="F73" s="44"/>
      <c r="G73" s="44"/>
      <c r="H73" s="45"/>
      <c r="I73" s="45"/>
      <c r="J73" s="45"/>
      <c r="K73" s="45"/>
      <c r="L73" s="46"/>
      <c r="M73" s="44"/>
      <c r="N73" s="46"/>
      <c r="O73" s="46"/>
      <c r="P73" s="47"/>
      <c r="Q73" s="46"/>
      <c r="R73" s="46"/>
      <c r="S73" s="48"/>
      <c r="T73" s="68" t="str">
        <f>IF(Tableau1[[#This Row],[DMS_SAP]]="","",HYPERLINK(Tableau1[[#This Row],[Chemin fichier source]],"X"))</f>
        <v/>
      </c>
      <c r="U73" s="68" t="str">
        <f>IF(Tableau1[[#This Row],[Date rév.]]="","",HYPERLINK(Tableau1[[#This Row],[Lien document]],"X"))</f>
        <v/>
      </c>
      <c r="V73" s="47"/>
      <c r="W7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3" s="47"/>
      <c r="Y73" s="47"/>
      <c r="Z73" s="44" t="str">
        <f ca="1">IF(AND(Tableau1[[#This Row],[Charge]]&lt;&gt;0, Tableau1[[#This Row],[Nombre intervenants]]&lt;&gt;0,Tableau1[[#This Row],[Lien document]]&lt;&gt;0,Tableau1[[#This Row],[DMS_SAP]]&lt;&gt;0)=TRUE,"MIS A JOUR","")</f>
        <v/>
      </c>
      <c r="AA73" s="48"/>
      <c r="AB73" s="65" t="str">
        <f ca="1">IF(Tableau1[[#This Row],[Date rév.]]&lt;&gt;"", DAYS360(Tableau1[[#This Row],[Date rév.]],TODAY()),"")</f>
        <v/>
      </c>
      <c r="AC73" s="50" t="str">
        <f>IFERROR(INDEX(Chemin_accès!$B$11:$C$22,MATCH(Tableau1[[#This Row],[Type]],Chemin_accès!$C$11:$C$22,0),1),Chemin_accès!$B$11)</f>
        <v>\\stjn.local\trimet\Btechnique\Commun\Atelier Central mécanique\Plan entretien\Modèles préventif\GammeDMS_7.MENG.xlsm</v>
      </c>
      <c r="AD73" s="50" t="str">
        <f>Chemin_accès!$B$8&amp;Tableau1[[#This Row],[Localisation / Classement]]&amp;"\"&amp;Tableau1[[#This Row],[Poste technique ou N° d''équipement]]&amp;"_"&amp;Tableau1[[#This Row],[Plan Entretien]]&amp;".xlsm"</f>
        <v>\\stjn.local\trimet\Btechnique\Commun\Atelier Central mécanique\Plan entretien\GammeEntretien\\_.xlsm</v>
      </c>
    </row>
    <row r="74" spans="1:30" x14ac:dyDescent="0.3">
      <c r="A74" s="44" t="str">
        <f t="shared" ca="1" si="1"/>
        <v>7.MENG</v>
      </c>
      <c r="B7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4" s="46"/>
      <c r="D74" s="44"/>
      <c r="E74" s="44"/>
      <c r="F74" s="47"/>
      <c r="G74" s="47"/>
      <c r="H74" s="45"/>
      <c r="I74" s="45"/>
      <c r="J74" s="45"/>
      <c r="K74" s="45"/>
      <c r="L74" s="46"/>
      <c r="M74" s="44"/>
      <c r="N74" s="46"/>
      <c r="O74" s="46"/>
      <c r="P74" s="47"/>
      <c r="Q74" s="46"/>
      <c r="R74" s="46"/>
      <c r="S74" s="48"/>
      <c r="T74" s="68" t="str">
        <f>IF(Tableau1[[#This Row],[DMS_SAP]]="","",HYPERLINK(Tableau1[[#This Row],[Chemin fichier source]],"X"))</f>
        <v/>
      </c>
      <c r="U74" s="68" t="str">
        <f>IF(Tableau1[[#This Row],[Date rév.]]="","",HYPERLINK(Tableau1[[#This Row],[Lien document]],"X"))</f>
        <v/>
      </c>
      <c r="V74" s="47"/>
      <c r="W7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4" s="47"/>
      <c r="Y74" s="47"/>
      <c r="Z74" s="44" t="str">
        <f ca="1">IF(AND(Tableau1[[#This Row],[Charge]]&lt;&gt;0, Tableau1[[#This Row],[Nombre intervenants]]&lt;&gt;0,Tableau1[[#This Row],[Lien document]]&lt;&gt;0,Tableau1[[#This Row],[DMS_SAP]]&lt;&gt;0)=TRUE,"MIS A JOUR","")</f>
        <v/>
      </c>
      <c r="AA74" s="48"/>
      <c r="AB74" s="65" t="str">
        <f ca="1">IF(Tableau1[[#This Row],[Date rév.]]&lt;&gt;"", DAYS360(Tableau1[[#This Row],[Date rév.]],TODAY()),"")</f>
        <v/>
      </c>
      <c r="AC74" s="50" t="str">
        <f>IFERROR(INDEX(Chemin_accès!$B$11:$C$22,MATCH(Tableau1[[#This Row],[Type]],Chemin_accès!$C$11:$C$22,0),1),Chemin_accès!$B$11)</f>
        <v>\\stjn.local\trimet\Btechnique\Commun\Atelier Central mécanique\Plan entretien\Modèles préventif\GammeDMS_7.MENG.xlsm</v>
      </c>
      <c r="AD74" s="50" t="str">
        <f>Chemin_accès!$B$8&amp;Tableau1[[#This Row],[Localisation / Classement]]&amp;"\"&amp;Tableau1[[#This Row],[Poste technique ou N° d''équipement]]&amp;"_"&amp;Tableau1[[#This Row],[Plan Entretien]]&amp;".xlsm"</f>
        <v>\\stjn.local\trimet\Btechnique\Commun\Atelier Central mécanique\Plan entretien\GammeEntretien\\_.xlsm</v>
      </c>
    </row>
    <row r="75" spans="1:30" x14ac:dyDescent="0.3">
      <c r="A75" s="44" t="str">
        <f t="shared" ca="1" si="1"/>
        <v>7.MENG</v>
      </c>
      <c r="B7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5" s="46"/>
      <c r="D75" s="44"/>
      <c r="E75" s="44"/>
      <c r="F75" s="47"/>
      <c r="G75" s="47"/>
      <c r="H75" s="45"/>
      <c r="I75" s="45"/>
      <c r="J75" s="45"/>
      <c r="K75" s="45"/>
      <c r="L75" s="46"/>
      <c r="M75" s="44"/>
      <c r="N75" s="46"/>
      <c r="O75" s="46"/>
      <c r="P75" s="47"/>
      <c r="Q75" s="46"/>
      <c r="R75" s="46"/>
      <c r="S75" s="48"/>
      <c r="T75" s="68" t="str">
        <f>IF(Tableau1[[#This Row],[DMS_SAP]]="","",HYPERLINK(Tableau1[[#This Row],[Chemin fichier source]],"X"))</f>
        <v/>
      </c>
      <c r="U75" s="68" t="str">
        <f>IF(Tableau1[[#This Row],[Date rév.]]="","",HYPERLINK(Tableau1[[#This Row],[Lien document]],"X"))</f>
        <v/>
      </c>
      <c r="V75" s="47"/>
      <c r="W7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5" s="47"/>
      <c r="Y75" s="47"/>
      <c r="Z75" s="44" t="str">
        <f ca="1">IF(AND(Tableau1[[#This Row],[Charge]]&lt;&gt;0, Tableau1[[#This Row],[Nombre intervenants]]&lt;&gt;0,Tableau1[[#This Row],[Lien document]]&lt;&gt;0,Tableau1[[#This Row],[DMS_SAP]]&lt;&gt;0)=TRUE,"MIS A JOUR","")</f>
        <v/>
      </c>
      <c r="AA75" s="48"/>
      <c r="AB75" s="65" t="str">
        <f ca="1">IF(Tableau1[[#This Row],[Date rév.]]&lt;&gt;"", DAYS360(Tableau1[[#This Row],[Date rév.]],TODAY()),"")</f>
        <v/>
      </c>
      <c r="AC75" s="50" t="str">
        <f>IFERROR(INDEX(Chemin_accès!$B$11:$C$22,MATCH(Tableau1[[#This Row],[Type]],Chemin_accès!$C$11:$C$22,0),1),Chemin_accès!$B$11)</f>
        <v>\\stjn.local\trimet\Btechnique\Commun\Atelier Central mécanique\Plan entretien\Modèles préventif\GammeDMS_7.MENG.xlsm</v>
      </c>
      <c r="AD75" s="50" t="str">
        <f>Chemin_accès!$B$8&amp;Tableau1[[#This Row],[Localisation / Classement]]&amp;"\"&amp;Tableau1[[#This Row],[Poste technique ou N° d''équipement]]&amp;"_"&amp;Tableau1[[#This Row],[Plan Entretien]]&amp;".xlsm"</f>
        <v>\\stjn.local\trimet\Btechnique\Commun\Atelier Central mécanique\Plan entretien\GammeEntretien\\_.xlsm</v>
      </c>
    </row>
    <row r="76" spans="1:30" x14ac:dyDescent="0.3">
      <c r="A76" s="44" t="str">
        <f t="shared" ca="1" si="1"/>
        <v>7.MENG</v>
      </c>
      <c r="B7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6" s="46"/>
      <c r="D76" s="44"/>
      <c r="E76" s="44"/>
      <c r="F76" s="47"/>
      <c r="G76" s="47"/>
      <c r="H76" s="45"/>
      <c r="I76" s="45"/>
      <c r="J76" s="45"/>
      <c r="K76" s="45"/>
      <c r="L76" s="46"/>
      <c r="M76" s="44"/>
      <c r="N76" s="46"/>
      <c r="O76" s="46"/>
      <c r="P76" s="47"/>
      <c r="Q76" s="46"/>
      <c r="R76" s="46"/>
      <c r="S76" s="48"/>
      <c r="T76" s="68" t="str">
        <f>IF(Tableau1[[#This Row],[DMS_SAP]]="","",HYPERLINK(Tableau1[[#This Row],[Chemin fichier source]],"X"))</f>
        <v/>
      </c>
      <c r="U76" s="68" t="str">
        <f>IF(Tableau1[[#This Row],[Date rév.]]="","",HYPERLINK(Tableau1[[#This Row],[Lien document]],"X"))</f>
        <v/>
      </c>
      <c r="V76" s="47"/>
      <c r="W7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6" s="47"/>
      <c r="Y76" s="47"/>
      <c r="Z76" s="44" t="str">
        <f ca="1">IF(AND(Tableau1[[#This Row],[Charge]]&lt;&gt;0, Tableau1[[#This Row],[Nombre intervenants]]&lt;&gt;0,Tableau1[[#This Row],[Lien document]]&lt;&gt;0,Tableau1[[#This Row],[DMS_SAP]]&lt;&gt;0)=TRUE,"MIS A JOUR","")</f>
        <v/>
      </c>
      <c r="AA76" s="48"/>
      <c r="AB76" s="65" t="str">
        <f ca="1">IF(Tableau1[[#This Row],[Date rév.]]&lt;&gt;"", DAYS360(Tableau1[[#This Row],[Date rév.]],TODAY()),"")</f>
        <v/>
      </c>
      <c r="AC76" s="50" t="str">
        <f>IFERROR(INDEX(Chemin_accès!$B$11:$C$22,MATCH(Tableau1[[#This Row],[Type]],Chemin_accès!$C$11:$C$22,0),1),Chemin_accès!$B$11)</f>
        <v>\\stjn.local\trimet\Btechnique\Commun\Atelier Central mécanique\Plan entretien\Modèles préventif\GammeDMS_7.MENG.xlsm</v>
      </c>
      <c r="AD76" s="50" t="str">
        <f>Chemin_accès!$B$8&amp;Tableau1[[#This Row],[Localisation / Classement]]&amp;"\"&amp;Tableau1[[#This Row],[Poste technique ou N° d''équipement]]&amp;"_"&amp;Tableau1[[#This Row],[Plan Entretien]]&amp;".xlsm"</f>
        <v>\\stjn.local\trimet\Btechnique\Commun\Atelier Central mécanique\Plan entretien\GammeEntretien\\_.xlsm</v>
      </c>
    </row>
    <row r="77" spans="1:30" x14ac:dyDescent="0.3">
      <c r="A77" s="44" t="str">
        <f t="shared" ca="1" si="1"/>
        <v>7.MENG</v>
      </c>
      <c r="B7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7" s="46"/>
      <c r="D77" s="44"/>
      <c r="E77" s="44"/>
      <c r="F77" s="47"/>
      <c r="G77" s="47"/>
      <c r="H77" s="45"/>
      <c r="I77" s="45"/>
      <c r="J77" s="45"/>
      <c r="K77" s="45"/>
      <c r="L77" s="46"/>
      <c r="M77" s="44"/>
      <c r="N77" s="46"/>
      <c r="O77" s="46"/>
      <c r="P77" s="47"/>
      <c r="Q77" s="46"/>
      <c r="R77" s="46"/>
      <c r="S77" s="48"/>
      <c r="T77" s="68" t="str">
        <f>IF(Tableau1[[#This Row],[DMS_SAP]]="","",HYPERLINK(Tableau1[[#This Row],[Chemin fichier source]],"X"))</f>
        <v/>
      </c>
      <c r="U77" s="68" t="str">
        <f>IF(Tableau1[[#This Row],[Date rév.]]="","",HYPERLINK(Tableau1[[#This Row],[Lien document]],"X"))</f>
        <v/>
      </c>
      <c r="V77" s="47"/>
      <c r="W7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7" s="47"/>
      <c r="Y77" s="47"/>
      <c r="Z77" s="44" t="str">
        <f ca="1">IF(AND(Tableau1[[#This Row],[Charge]]&lt;&gt;0, Tableau1[[#This Row],[Nombre intervenants]]&lt;&gt;0,Tableau1[[#This Row],[Lien document]]&lt;&gt;0,Tableau1[[#This Row],[DMS_SAP]]&lt;&gt;0)=TRUE,"MIS A JOUR","")</f>
        <v/>
      </c>
      <c r="AA77" s="48"/>
      <c r="AB77" s="65" t="str">
        <f ca="1">IF(Tableau1[[#This Row],[Date rév.]]&lt;&gt;"", DAYS360(Tableau1[[#This Row],[Date rév.]],TODAY()),"")</f>
        <v/>
      </c>
      <c r="AC77" s="50" t="str">
        <f>IFERROR(INDEX(Chemin_accès!$B$11:$C$22,MATCH(Tableau1[[#This Row],[Type]],Chemin_accès!$C$11:$C$22,0),1),Chemin_accès!$B$11)</f>
        <v>\\stjn.local\trimet\Btechnique\Commun\Atelier Central mécanique\Plan entretien\Modèles préventif\GammeDMS_7.MENG.xlsm</v>
      </c>
      <c r="AD77" s="50" t="str">
        <f>Chemin_accès!$B$8&amp;Tableau1[[#This Row],[Localisation / Classement]]&amp;"\"&amp;Tableau1[[#This Row],[Poste technique ou N° d''équipement]]&amp;"_"&amp;Tableau1[[#This Row],[Plan Entretien]]&amp;".xlsm"</f>
        <v>\\stjn.local\trimet\Btechnique\Commun\Atelier Central mécanique\Plan entretien\GammeEntretien\\_.xlsm</v>
      </c>
    </row>
    <row r="78" spans="1:30" x14ac:dyDescent="0.3">
      <c r="A78" s="44" t="str">
        <f t="shared" ca="1" si="1"/>
        <v>7.MENG</v>
      </c>
      <c r="B7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8" s="46"/>
      <c r="D78" s="44"/>
      <c r="E78" s="44"/>
      <c r="F78" s="47"/>
      <c r="G78" s="47"/>
      <c r="H78" s="45"/>
      <c r="I78" s="45"/>
      <c r="J78" s="45"/>
      <c r="K78" s="45"/>
      <c r="L78" s="46"/>
      <c r="M78" s="44"/>
      <c r="N78" s="46"/>
      <c r="O78" s="46"/>
      <c r="P78" s="47"/>
      <c r="Q78" s="46"/>
      <c r="R78" s="46"/>
      <c r="S78" s="48"/>
      <c r="T78" s="68" t="str">
        <f>IF(Tableau1[[#This Row],[DMS_SAP]]="","",HYPERLINK(Tableau1[[#This Row],[Chemin fichier source]],"X"))</f>
        <v/>
      </c>
      <c r="U78" s="68" t="str">
        <f>IF(Tableau1[[#This Row],[Date rév.]]="","",HYPERLINK(Tableau1[[#This Row],[Lien document]],"X"))</f>
        <v/>
      </c>
      <c r="V78" s="47"/>
      <c r="W7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8" s="47"/>
      <c r="Y78" s="47"/>
      <c r="Z78" s="44" t="str">
        <f ca="1">IF(AND(Tableau1[[#This Row],[Charge]]&lt;&gt;0, Tableau1[[#This Row],[Nombre intervenants]]&lt;&gt;0,Tableau1[[#This Row],[Lien document]]&lt;&gt;0,Tableau1[[#This Row],[DMS_SAP]]&lt;&gt;0)=TRUE,"MIS A JOUR","")</f>
        <v/>
      </c>
      <c r="AA78" s="48"/>
      <c r="AB78" s="65" t="str">
        <f ca="1">IF(Tableau1[[#This Row],[Date rév.]]&lt;&gt;"", DAYS360(Tableau1[[#This Row],[Date rév.]],TODAY()),"")</f>
        <v/>
      </c>
      <c r="AC78" s="50" t="str">
        <f>IFERROR(INDEX(Chemin_accès!$B$11:$C$22,MATCH(Tableau1[[#This Row],[Type]],Chemin_accès!$C$11:$C$22,0),1),Chemin_accès!$B$11)</f>
        <v>\\stjn.local\trimet\Btechnique\Commun\Atelier Central mécanique\Plan entretien\Modèles préventif\GammeDMS_7.MENG.xlsm</v>
      </c>
      <c r="AD78" s="50" t="str">
        <f>Chemin_accès!$B$8&amp;Tableau1[[#This Row],[Localisation / Classement]]&amp;"\"&amp;Tableau1[[#This Row],[Poste technique ou N° d''équipement]]&amp;"_"&amp;Tableau1[[#This Row],[Plan Entretien]]&amp;".xlsm"</f>
        <v>\\stjn.local\trimet\Btechnique\Commun\Atelier Central mécanique\Plan entretien\GammeEntretien\\_.xlsm</v>
      </c>
    </row>
    <row r="79" spans="1:30" x14ac:dyDescent="0.3">
      <c r="A79" s="44" t="str">
        <f t="shared" ca="1" si="1"/>
        <v>7.MENG</v>
      </c>
      <c r="B7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9" s="46"/>
      <c r="D79" s="44"/>
      <c r="E79" s="44"/>
      <c r="F79" s="47"/>
      <c r="G79" s="47"/>
      <c r="H79" s="45"/>
      <c r="I79" s="45"/>
      <c r="J79" s="45"/>
      <c r="K79" s="45"/>
      <c r="L79" s="46"/>
      <c r="M79" s="44"/>
      <c r="N79" s="46"/>
      <c r="O79" s="46"/>
      <c r="P79" s="47"/>
      <c r="Q79" s="46"/>
      <c r="R79" s="46"/>
      <c r="S79" s="48"/>
      <c r="T79" s="68" t="str">
        <f>IF(Tableau1[[#This Row],[DMS_SAP]]="","",HYPERLINK(Tableau1[[#This Row],[Chemin fichier source]],"X"))</f>
        <v/>
      </c>
      <c r="U79" s="68" t="str">
        <f>IF(Tableau1[[#This Row],[Date rév.]]="","",HYPERLINK(Tableau1[[#This Row],[Lien document]],"X"))</f>
        <v/>
      </c>
      <c r="V79" s="47"/>
      <c r="W7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9" s="47"/>
      <c r="Y79" s="47"/>
      <c r="Z79" s="44" t="str">
        <f ca="1">IF(AND(Tableau1[[#This Row],[Charge]]&lt;&gt;0, Tableau1[[#This Row],[Nombre intervenants]]&lt;&gt;0,Tableau1[[#This Row],[Lien document]]&lt;&gt;0,Tableau1[[#This Row],[DMS_SAP]]&lt;&gt;0)=TRUE,"MIS A JOUR","")</f>
        <v/>
      </c>
      <c r="AA79" s="48"/>
      <c r="AB79" s="65" t="str">
        <f ca="1">IF(Tableau1[[#This Row],[Date rév.]]&lt;&gt;"", DAYS360(Tableau1[[#This Row],[Date rév.]],TODAY()),"")</f>
        <v/>
      </c>
      <c r="AC79" s="50" t="str">
        <f>IFERROR(INDEX(Chemin_accès!$B$11:$C$22,MATCH(Tableau1[[#This Row],[Type]],Chemin_accès!$C$11:$C$22,0),1),Chemin_accès!$B$11)</f>
        <v>\\stjn.local\trimet\Btechnique\Commun\Atelier Central mécanique\Plan entretien\Modèles préventif\GammeDMS_7.MENG.xlsm</v>
      </c>
      <c r="AD79" s="50" t="str">
        <f>Chemin_accès!$B$8&amp;Tableau1[[#This Row],[Localisation / Classement]]&amp;"\"&amp;Tableau1[[#This Row],[Poste technique ou N° d''équipement]]&amp;"_"&amp;Tableau1[[#This Row],[Plan Entretien]]&amp;".xlsm"</f>
        <v>\\stjn.local\trimet\Btechnique\Commun\Atelier Central mécanique\Plan entretien\GammeEntretien\\_.xlsm</v>
      </c>
    </row>
    <row r="80" spans="1:30" x14ac:dyDescent="0.3">
      <c r="A80" s="44" t="str">
        <f t="shared" ca="1" si="1"/>
        <v>7.MENG</v>
      </c>
      <c r="B8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0" s="46"/>
      <c r="D80" s="44"/>
      <c r="E80" s="44"/>
      <c r="F80" s="47"/>
      <c r="G80" s="47"/>
      <c r="H80" s="45"/>
      <c r="I80" s="45"/>
      <c r="J80" s="45"/>
      <c r="K80" s="45"/>
      <c r="L80" s="46"/>
      <c r="M80" s="44"/>
      <c r="N80" s="46"/>
      <c r="O80" s="46"/>
      <c r="P80" s="47"/>
      <c r="Q80" s="46"/>
      <c r="R80" s="46"/>
      <c r="S80" s="48"/>
      <c r="T80" s="68" t="str">
        <f>IF(Tableau1[[#This Row],[DMS_SAP]]="","",HYPERLINK(Tableau1[[#This Row],[Chemin fichier source]],"X"))</f>
        <v/>
      </c>
      <c r="U80" s="68" t="str">
        <f>IF(Tableau1[[#This Row],[Date rév.]]="","",HYPERLINK(Tableau1[[#This Row],[Lien document]],"X"))</f>
        <v/>
      </c>
      <c r="V80" s="47"/>
      <c r="W8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0" s="47"/>
      <c r="Y80" s="47"/>
      <c r="Z80" s="44" t="str">
        <f ca="1">IF(AND(Tableau1[[#This Row],[Charge]]&lt;&gt;0, Tableau1[[#This Row],[Nombre intervenants]]&lt;&gt;0,Tableau1[[#This Row],[Lien document]]&lt;&gt;0,Tableau1[[#This Row],[DMS_SAP]]&lt;&gt;0)=TRUE,"MIS A JOUR","")</f>
        <v/>
      </c>
      <c r="AA80" s="48"/>
      <c r="AB80" s="65" t="str">
        <f ca="1">IF(Tableau1[[#This Row],[Date rév.]]&lt;&gt;"", DAYS360(Tableau1[[#This Row],[Date rév.]],TODAY()),"")</f>
        <v/>
      </c>
      <c r="AC80" s="50" t="str">
        <f>IFERROR(INDEX(Chemin_accès!$B$11:$C$22,MATCH(Tableau1[[#This Row],[Type]],Chemin_accès!$C$11:$C$22,0),1),Chemin_accès!$B$11)</f>
        <v>\\stjn.local\trimet\Btechnique\Commun\Atelier Central mécanique\Plan entretien\Modèles préventif\GammeDMS_7.MENG.xlsm</v>
      </c>
      <c r="AD80" s="50" t="str">
        <f>Chemin_accès!$B$8&amp;Tableau1[[#This Row],[Localisation / Classement]]&amp;"\"&amp;Tableau1[[#This Row],[Poste technique ou N° d''équipement]]&amp;"_"&amp;Tableau1[[#This Row],[Plan Entretien]]&amp;".xlsm"</f>
        <v>\\stjn.local\trimet\Btechnique\Commun\Atelier Central mécanique\Plan entretien\GammeEntretien\\_.xlsm</v>
      </c>
    </row>
    <row r="81" spans="1:30" x14ac:dyDescent="0.3">
      <c r="A81" s="44" t="str">
        <f t="shared" ca="1" si="1"/>
        <v>7.MENG</v>
      </c>
      <c r="B8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1" s="46"/>
      <c r="D81" s="44"/>
      <c r="E81" s="44"/>
      <c r="F81" s="47"/>
      <c r="G81" s="47"/>
      <c r="H81" s="45"/>
      <c r="I81" s="45"/>
      <c r="J81" s="45"/>
      <c r="K81" s="45"/>
      <c r="L81" s="46"/>
      <c r="M81" s="44"/>
      <c r="N81" s="46"/>
      <c r="O81" s="46"/>
      <c r="P81" s="47"/>
      <c r="Q81" s="46"/>
      <c r="R81" s="46"/>
      <c r="S81" s="48"/>
      <c r="T81" s="68" t="str">
        <f>IF(Tableau1[[#This Row],[DMS_SAP]]="","",HYPERLINK(Tableau1[[#This Row],[Chemin fichier source]],"X"))</f>
        <v/>
      </c>
      <c r="U81" s="68" t="str">
        <f>IF(Tableau1[[#This Row],[Date rév.]]="","",HYPERLINK(Tableau1[[#This Row],[Lien document]],"X"))</f>
        <v/>
      </c>
      <c r="V81" s="47"/>
      <c r="W8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1" s="47"/>
      <c r="Y81" s="47"/>
      <c r="Z81" s="44" t="str">
        <f ca="1">IF(AND(Tableau1[[#This Row],[Charge]]&lt;&gt;0, Tableau1[[#This Row],[Nombre intervenants]]&lt;&gt;0,Tableau1[[#This Row],[Lien document]]&lt;&gt;0,Tableau1[[#This Row],[DMS_SAP]]&lt;&gt;0)=TRUE,"MIS A JOUR","")</f>
        <v/>
      </c>
      <c r="AA81" s="48"/>
      <c r="AB81" s="65" t="str">
        <f ca="1">IF(Tableau1[[#This Row],[Date rév.]]&lt;&gt;"", DAYS360(Tableau1[[#This Row],[Date rév.]],TODAY()),"")</f>
        <v/>
      </c>
      <c r="AC81" s="50" t="str">
        <f>IFERROR(INDEX(Chemin_accès!$B$11:$C$22,MATCH(Tableau1[[#This Row],[Type]],Chemin_accès!$C$11:$C$22,0),1),Chemin_accès!$B$11)</f>
        <v>\\stjn.local\trimet\Btechnique\Commun\Atelier Central mécanique\Plan entretien\Modèles préventif\GammeDMS_7.MENG.xlsm</v>
      </c>
      <c r="AD81" s="50" t="str">
        <f>Chemin_accès!$B$8&amp;Tableau1[[#This Row],[Localisation / Classement]]&amp;"\"&amp;Tableau1[[#This Row],[Poste technique ou N° d''équipement]]&amp;"_"&amp;Tableau1[[#This Row],[Plan Entretien]]&amp;".xlsm"</f>
        <v>\\stjn.local\trimet\Btechnique\Commun\Atelier Central mécanique\Plan entretien\GammeEntretien\\_.xlsm</v>
      </c>
    </row>
    <row r="82" spans="1:30" x14ac:dyDescent="0.3">
      <c r="A82" s="44" t="str">
        <f t="shared" ca="1" si="1"/>
        <v>7.MENG</v>
      </c>
      <c r="B8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2" s="46"/>
      <c r="D82" s="44"/>
      <c r="E82" s="44"/>
      <c r="F82" s="47"/>
      <c r="G82" s="47"/>
      <c r="H82" s="45"/>
      <c r="I82" s="45"/>
      <c r="J82" s="45"/>
      <c r="K82" s="45"/>
      <c r="L82" s="46"/>
      <c r="M82" s="44"/>
      <c r="N82" s="46"/>
      <c r="O82" s="46"/>
      <c r="P82" s="47"/>
      <c r="Q82" s="46"/>
      <c r="R82" s="46"/>
      <c r="S82" s="48"/>
      <c r="T82" s="68" t="str">
        <f>IF(Tableau1[[#This Row],[DMS_SAP]]="","",HYPERLINK(Tableau1[[#This Row],[Chemin fichier source]],"X"))</f>
        <v/>
      </c>
      <c r="U82" s="68" t="str">
        <f>IF(Tableau1[[#This Row],[Date rév.]]="","",HYPERLINK(Tableau1[[#This Row],[Lien document]],"X"))</f>
        <v/>
      </c>
      <c r="V82" s="47"/>
      <c r="W8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2" s="47"/>
      <c r="Y82" s="47"/>
      <c r="Z82" s="44" t="str">
        <f ca="1">IF(AND(Tableau1[[#This Row],[Charge]]&lt;&gt;0, Tableau1[[#This Row],[Nombre intervenants]]&lt;&gt;0,Tableau1[[#This Row],[Lien document]]&lt;&gt;0,Tableau1[[#This Row],[DMS_SAP]]&lt;&gt;0)=TRUE,"MIS A JOUR","")</f>
        <v/>
      </c>
      <c r="AA82" s="48"/>
      <c r="AB82" s="65" t="str">
        <f ca="1">IF(Tableau1[[#This Row],[Date rév.]]&lt;&gt;"", DAYS360(Tableau1[[#This Row],[Date rév.]],TODAY()),"")</f>
        <v/>
      </c>
      <c r="AC82" s="50" t="str">
        <f>IFERROR(INDEX(Chemin_accès!$B$11:$C$22,MATCH(Tableau1[[#This Row],[Type]],Chemin_accès!$C$11:$C$22,0),1),Chemin_accès!$B$11)</f>
        <v>\\stjn.local\trimet\Btechnique\Commun\Atelier Central mécanique\Plan entretien\Modèles préventif\GammeDMS_7.MENG.xlsm</v>
      </c>
      <c r="AD82" s="50" t="str">
        <f>Chemin_accès!$B$8&amp;Tableau1[[#This Row],[Localisation / Classement]]&amp;"\"&amp;Tableau1[[#This Row],[Poste technique ou N° d''équipement]]&amp;"_"&amp;Tableau1[[#This Row],[Plan Entretien]]&amp;".xlsm"</f>
        <v>\\stjn.local\trimet\Btechnique\Commun\Atelier Central mécanique\Plan entretien\GammeEntretien\\_.xlsm</v>
      </c>
    </row>
    <row r="83" spans="1:30" x14ac:dyDescent="0.3">
      <c r="A83" s="44" t="str">
        <f t="shared" ca="1" si="1"/>
        <v>7.MENG</v>
      </c>
      <c r="B8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3" s="46"/>
      <c r="D83" s="44"/>
      <c r="E83" s="44"/>
      <c r="F83" s="47"/>
      <c r="G83" s="47"/>
      <c r="H83" s="45"/>
      <c r="I83" s="45"/>
      <c r="J83" s="45"/>
      <c r="K83" s="45"/>
      <c r="L83" s="46"/>
      <c r="M83" s="44"/>
      <c r="N83" s="46"/>
      <c r="O83" s="46"/>
      <c r="P83" s="47"/>
      <c r="Q83" s="46"/>
      <c r="R83" s="46"/>
      <c r="S83" s="48"/>
      <c r="T83" s="68" t="str">
        <f>IF(Tableau1[[#This Row],[DMS_SAP]]="","",HYPERLINK(Tableau1[[#This Row],[Chemin fichier source]],"X"))</f>
        <v/>
      </c>
      <c r="U83" s="68" t="str">
        <f>IF(Tableau1[[#This Row],[Date rév.]]="","",HYPERLINK(Tableau1[[#This Row],[Lien document]],"X"))</f>
        <v/>
      </c>
      <c r="V83" s="47"/>
      <c r="W8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3" s="47"/>
      <c r="Y83" s="47"/>
      <c r="Z83" s="44" t="str">
        <f ca="1">IF(AND(Tableau1[[#This Row],[Charge]]&lt;&gt;0, Tableau1[[#This Row],[Nombre intervenants]]&lt;&gt;0,Tableau1[[#This Row],[Lien document]]&lt;&gt;0,Tableau1[[#This Row],[DMS_SAP]]&lt;&gt;0)=TRUE,"MIS A JOUR","")</f>
        <v/>
      </c>
      <c r="AA83" s="48"/>
      <c r="AB83" s="65" t="str">
        <f ca="1">IF(Tableau1[[#This Row],[Date rév.]]&lt;&gt;"", DAYS360(Tableau1[[#This Row],[Date rév.]],TODAY()),"")</f>
        <v/>
      </c>
      <c r="AC83" s="50" t="str">
        <f>IFERROR(INDEX(Chemin_accès!$B$11:$C$22,MATCH(Tableau1[[#This Row],[Type]],Chemin_accès!$C$11:$C$22,0),1),Chemin_accès!$B$11)</f>
        <v>\\stjn.local\trimet\Btechnique\Commun\Atelier Central mécanique\Plan entretien\Modèles préventif\GammeDMS_7.MENG.xlsm</v>
      </c>
      <c r="AD83" s="50" t="str">
        <f>Chemin_accès!$B$8&amp;Tableau1[[#This Row],[Localisation / Classement]]&amp;"\"&amp;Tableau1[[#This Row],[Poste technique ou N° d''équipement]]&amp;"_"&amp;Tableau1[[#This Row],[Plan Entretien]]&amp;".xlsm"</f>
        <v>\\stjn.local\trimet\Btechnique\Commun\Atelier Central mécanique\Plan entretien\GammeEntretien\\_.xlsm</v>
      </c>
    </row>
    <row r="84" spans="1:30" x14ac:dyDescent="0.3">
      <c r="A84" s="44" t="str">
        <f t="shared" ca="1" si="1"/>
        <v>7.MENG</v>
      </c>
      <c r="B8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4" s="46"/>
      <c r="D84" s="44"/>
      <c r="E84" s="44"/>
      <c r="F84" s="47"/>
      <c r="G84" s="47"/>
      <c r="H84" s="45"/>
      <c r="I84" s="45"/>
      <c r="J84" s="45"/>
      <c r="K84" s="45"/>
      <c r="L84" s="46"/>
      <c r="M84" s="44"/>
      <c r="N84" s="46"/>
      <c r="O84" s="46"/>
      <c r="P84" s="47"/>
      <c r="Q84" s="46"/>
      <c r="R84" s="46"/>
      <c r="S84" s="48"/>
      <c r="T84" s="68" t="str">
        <f>IF(Tableau1[[#This Row],[DMS_SAP]]="","",HYPERLINK(Tableau1[[#This Row],[Chemin fichier source]],"X"))</f>
        <v/>
      </c>
      <c r="U84" s="68" t="str">
        <f>IF(Tableau1[[#This Row],[Date rév.]]="","",HYPERLINK(Tableau1[[#This Row],[Lien document]],"X"))</f>
        <v/>
      </c>
      <c r="V84" s="47"/>
      <c r="W8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4" s="47"/>
      <c r="Y84" s="47"/>
      <c r="Z84" s="44" t="str">
        <f ca="1">IF(AND(Tableau1[[#This Row],[Charge]]&lt;&gt;0, Tableau1[[#This Row],[Nombre intervenants]]&lt;&gt;0,Tableau1[[#This Row],[Lien document]]&lt;&gt;0,Tableau1[[#This Row],[DMS_SAP]]&lt;&gt;0)=TRUE,"MIS A JOUR","")</f>
        <v/>
      </c>
      <c r="AA84" s="48"/>
      <c r="AB84" s="65" t="str">
        <f ca="1">IF(Tableau1[[#This Row],[Date rév.]]&lt;&gt;"", DAYS360(Tableau1[[#This Row],[Date rév.]],TODAY()),"")</f>
        <v/>
      </c>
      <c r="AC84" s="50" t="str">
        <f>IFERROR(INDEX(Chemin_accès!$B$11:$C$22,MATCH(Tableau1[[#This Row],[Type]],Chemin_accès!$C$11:$C$22,0),1),Chemin_accès!$B$11)</f>
        <v>\\stjn.local\trimet\Btechnique\Commun\Atelier Central mécanique\Plan entretien\Modèles préventif\GammeDMS_7.MENG.xlsm</v>
      </c>
      <c r="AD84" s="50" t="str">
        <f>Chemin_accès!$B$8&amp;Tableau1[[#This Row],[Localisation / Classement]]&amp;"\"&amp;Tableau1[[#This Row],[Poste technique ou N° d''équipement]]&amp;"_"&amp;Tableau1[[#This Row],[Plan Entretien]]&amp;".xlsm"</f>
        <v>\\stjn.local\trimet\Btechnique\Commun\Atelier Central mécanique\Plan entretien\GammeEntretien\\_.xlsm</v>
      </c>
    </row>
    <row r="85" spans="1:30" x14ac:dyDescent="0.3">
      <c r="A85" s="44" t="str">
        <f t="shared" ca="1" si="1"/>
        <v>7.MENG</v>
      </c>
      <c r="B8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5" s="46"/>
      <c r="D85" s="44"/>
      <c r="E85" s="44"/>
      <c r="F85" s="47"/>
      <c r="G85" s="47"/>
      <c r="H85" s="45"/>
      <c r="I85" s="45"/>
      <c r="J85" s="45"/>
      <c r="K85" s="45"/>
      <c r="L85" s="46"/>
      <c r="M85" s="44"/>
      <c r="N85" s="46"/>
      <c r="O85" s="46"/>
      <c r="P85" s="47"/>
      <c r="Q85" s="46"/>
      <c r="R85" s="46"/>
      <c r="S85" s="48"/>
      <c r="T85" s="68" t="str">
        <f>IF(Tableau1[[#This Row],[DMS_SAP]]="","",HYPERLINK(Tableau1[[#This Row],[Chemin fichier source]],"X"))</f>
        <v/>
      </c>
      <c r="U85" s="68" t="str">
        <f>IF(Tableau1[[#This Row],[Date rév.]]="","",HYPERLINK(Tableau1[[#This Row],[Lien document]],"X"))</f>
        <v/>
      </c>
      <c r="V85" s="47"/>
      <c r="W8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5" s="47"/>
      <c r="Y85" s="47"/>
      <c r="Z85" s="44" t="str">
        <f ca="1">IF(AND(Tableau1[[#This Row],[Charge]]&lt;&gt;0, Tableau1[[#This Row],[Nombre intervenants]]&lt;&gt;0,Tableau1[[#This Row],[Lien document]]&lt;&gt;0,Tableau1[[#This Row],[DMS_SAP]]&lt;&gt;0)=TRUE,"MIS A JOUR","")</f>
        <v/>
      </c>
      <c r="AA85" s="48"/>
      <c r="AB85" s="65" t="str">
        <f ca="1">IF(Tableau1[[#This Row],[Date rév.]]&lt;&gt;"", DAYS360(Tableau1[[#This Row],[Date rév.]],TODAY()),"")</f>
        <v/>
      </c>
      <c r="AC85" s="50" t="str">
        <f>IFERROR(INDEX(Chemin_accès!$B$11:$C$22,MATCH(Tableau1[[#This Row],[Type]],Chemin_accès!$C$11:$C$22,0),1),Chemin_accès!$B$11)</f>
        <v>\\stjn.local\trimet\Btechnique\Commun\Atelier Central mécanique\Plan entretien\Modèles préventif\GammeDMS_7.MENG.xlsm</v>
      </c>
      <c r="AD85" s="50" t="str">
        <f>Chemin_accès!$B$8&amp;Tableau1[[#This Row],[Localisation / Classement]]&amp;"\"&amp;Tableau1[[#This Row],[Poste technique ou N° d''équipement]]&amp;"_"&amp;Tableau1[[#This Row],[Plan Entretien]]&amp;".xlsm"</f>
        <v>\\stjn.local\trimet\Btechnique\Commun\Atelier Central mécanique\Plan entretien\GammeEntretien\\_.xlsm</v>
      </c>
    </row>
    <row r="86" spans="1:30" x14ac:dyDescent="0.3">
      <c r="A86" s="44" t="str">
        <f t="shared" ca="1" si="1"/>
        <v>7.MENG</v>
      </c>
      <c r="B8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6" s="46"/>
      <c r="D86" s="44"/>
      <c r="E86" s="44"/>
      <c r="F86" s="47"/>
      <c r="G86" s="47"/>
      <c r="H86" s="45"/>
      <c r="I86" s="45"/>
      <c r="J86" s="45"/>
      <c r="K86" s="45"/>
      <c r="L86" s="46"/>
      <c r="M86" s="44"/>
      <c r="N86" s="46"/>
      <c r="O86" s="46"/>
      <c r="P86" s="47"/>
      <c r="Q86" s="46"/>
      <c r="R86" s="46"/>
      <c r="S86" s="48"/>
      <c r="T86" s="68" t="str">
        <f>IF(Tableau1[[#This Row],[DMS_SAP]]="","",HYPERLINK(Tableau1[[#This Row],[Chemin fichier source]],"X"))</f>
        <v/>
      </c>
      <c r="U86" s="68" t="str">
        <f>IF(Tableau1[[#This Row],[Date rév.]]="","",HYPERLINK(Tableau1[[#This Row],[Lien document]],"X"))</f>
        <v/>
      </c>
      <c r="V86" s="47"/>
      <c r="W8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6" s="47"/>
      <c r="Y86" s="47"/>
      <c r="Z86" s="44" t="str">
        <f ca="1">IF(AND(Tableau1[[#This Row],[Charge]]&lt;&gt;0, Tableau1[[#This Row],[Nombre intervenants]]&lt;&gt;0,Tableau1[[#This Row],[Lien document]]&lt;&gt;0,Tableau1[[#This Row],[DMS_SAP]]&lt;&gt;0)=TRUE,"MIS A JOUR","")</f>
        <v/>
      </c>
      <c r="AA86" s="48"/>
      <c r="AB86" s="65" t="str">
        <f ca="1">IF(Tableau1[[#This Row],[Date rév.]]&lt;&gt;"", DAYS360(Tableau1[[#This Row],[Date rév.]],TODAY()),"")</f>
        <v/>
      </c>
      <c r="AC86" s="50" t="str">
        <f>IFERROR(INDEX(Chemin_accès!$B$11:$C$22,MATCH(Tableau1[[#This Row],[Type]],Chemin_accès!$C$11:$C$22,0),1),Chemin_accès!$B$11)</f>
        <v>\\stjn.local\trimet\Btechnique\Commun\Atelier Central mécanique\Plan entretien\Modèles préventif\GammeDMS_7.MENG.xlsm</v>
      </c>
      <c r="AD86" s="50" t="str">
        <f>Chemin_accès!$B$8&amp;Tableau1[[#This Row],[Localisation / Classement]]&amp;"\"&amp;Tableau1[[#This Row],[Poste technique ou N° d''équipement]]&amp;"_"&amp;Tableau1[[#This Row],[Plan Entretien]]&amp;".xlsm"</f>
        <v>\\stjn.local\trimet\Btechnique\Commun\Atelier Central mécanique\Plan entretien\GammeEntretien\\_.xlsm</v>
      </c>
    </row>
    <row r="87" spans="1:30" x14ac:dyDescent="0.3">
      <c r="A87" s="44" t="str">
        <f t="shared" ca="1" si="1"/>
        <v>7.MENG</v>
      </c>
      <c r="B8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7" s="53"/>
      <c r="D87" s="44"/>
      <c r="E87" s="44"/>
      <c r="F87" s="44"/>
      <c r="G87" s="44"/>
      <c r="H87" s="45"/>
      <c r="I87" s="45"/>
      <c r="J87" s="45"/>
      <c r="K87" s="45"/>
      <c r="L87" s="46"/>
      <c r="M87" s="44"/>
      <c r="N87" s="46"/>
      <c r="O87" s="46"/>
      <c r="P87" s="47"/>
      <c r="Q87" s="46"/>
      <c r="R87" s="46"/>
      <c r="S87" s="48"/>
      <c r="T87" s="68" t="str">
        <f>IF(Tableau1[[#This Row],[DMS_SAP]]="","",HYPERLINK(Tableau1[[#This Row],[Chemin fichier source]],"X"))</f>
        <v/>
      </c>
      <c r="U87" s="68" t="str">
        <f>IF(Tableau1[[#This Row],[Date rév.]]="","",HYPERLINK(Tableau1[[#This Row],[Lien document]],"X"))</f>
        <v/>
      </c>
      <c r="V87" s="47"/>
      <c r="W8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7" s="47"/>
      <c r="Y87" s="47"/>
      <c r="Z87" s="44" t="str">
        <f ca="1">IF(AND(Tableau1[[#This Row],[Charge]]&lt;&gt;0, Tableau1[[#This Row],[Nombre intervenants]]&lt;&gt;0,Tableau1[[#This Row],[Lien document]]&lt;&gt;0,Tableau1[[#This Row],[DMS_SAP]]&lt;&gt;0)=TRUE,"MIS A JOUR","")</f>
        <v/>
      </c>
      <c r="AA87" s="48"/>
      <c r="AB87" s="65" t="str">
        <f ca="1">IF(Tableau1[[#This Row],[Date rév.]]&lt;&gt;"", DAYS360(Tableau1[[#This Row],[Date rév.]],TODAY()),"")</f>
        <v/>
      </c>
      <c r="AC87" s="50" t="str">
        <f>IFERROR(INDEX(Chemin_accès!$B$11:$C$22,MATCH(Tableau1[[#This Row],[Type]],Chemin_accès!$C$11:$C$22,0),1),Chemin_accès!$B$11)</f>
        <v>\\stjn.local\trimet\Btechnique\Commun\Atelier Central mécanique\Plan entretien\Modèles préventif\GammeDMS_7.MENG.xlsm</v>
      </c>
      <c r="AD87" s="50" t="str">
        <f>Chemin_accès!$B$8&amp;Tableau1[[#This Row],[Localisation / Classement]]&amp;"\"&amp;Tableau1[[#This Row],[Poste technique ou N° d''équipement]]&amp;"_"&amp;Tableau1[[#This Row],[Plan Entretien]]&amp;".xlsm"</f>
        <v>\\stjn.local\trimet\Btechnique\Commun\Atelier Central mécanique\Plan entretien\GammeEntretien\\_.xlsm</v>
      </c>
    </row>
    <row r="88" spans="1:30" x14ac:dyDescent="0.3">
      <c r="A88" s="44" t="str">
        <f t="shared" ca="1" si="1"/>
        <v>7.MENG</v>
      </c>
      <c r="B8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8" s="46"/>
      <c r="D88" s="44"/>
      <c r="E88" s="44"/>
      <c r="F88" s="47"/>
      <c r="G88" s="47"/>
      <c r="H88" s="45"/>
      <c r="I88" s="45"/>
      <c r="J88" s="45"/>
      <c r="K88" s="45"/>
      <c r="L88" s="46"/>
      <c r="M88" s="44"/>
      <c r="N88" s="46"/>
      <c r="O88" s="46"/>
      <c r="P88" s="47"/>
      <c r="Q88" s="46"/>
      <c r="R88" s="46"/>
      <c r="S88" s="48"/>
      <c r="T88" s="68" t="str">
        <f>IF(Tableau1[[#This Row],[DMS_SAP]]="","",HYPERLINK(Tableau1[[#This Row],[Chemin fichier source]],"X"))</f>
        <v/>
      </c>
      <c r="U88" s="68" t="str">
        <f>IF(Tableau1[[#This Row],[Date rév.]]="","",HYPERLINK(Tableau1[[#This Row],[Lien document]],"X"))</f>
        <v/>
      </c>
      <c r="V88" s="47"/>
      <c r="W8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8" s="47"/>
      <c r="Y88" s="47"/>
      <c r="Z88" s="44" t="str">
        <f ca="1">IF(AND(Tableau1[[#This Row],[Charge]]&lt;&gt;0, Tableau1[[#This Row],[Nombre intervenants]]&lt;&gt;0,Tableau1[[#This Row],[Lien document]]&lt;&gt;0,Tableau1[[#This Row],[DMS_SAP]]&lt;&gt;0)=TRUE,"MIS A JOUR","")</f>
        <v/>
      </c>
      <c r="AA88" s="48"/>
      <c r="AB88" s="65" t="str">
        <f ca="1">IF(Tableau1[[#This Row],[Date rév.]]&lt;&gt;"", DAYS360(Tableau1[[#This Row],[Date rév.]],TODAY()),"")</f>
        <v/>
      </c>
      <c r="AC88" s="50" t="str">
        <f>IFERROR(INDEX(Chemin_accès!$B$11:$C$22,MATCH(Tableau1[[#This Row],[Type]],Chemin_accès!$C$11:$C$22,0),1),Chemin_accès!$B$11)</f>
        <v>\\stjn.local\trimet\Btechnique\Commun\Atelier Central mécanique\Plan entretien\Modèles préventif\GammeDMS_7.MENG.xlsm</v>
      </c>
      <c r="AD88" s="50" t="str">
        <f>Chemin_accès!$B$8&amp;Tableau1[[#This Row],[Localisation / Classement]]&amp;"\"&amp;Tableau1[[#This Row],[Poste technique ou N° d''équipement]]&amp;"_"&amp;Tableau1[[#This Row],[Plan Entretien]]&amp;".xlsm"</f>
        <v>\\stjn.local\trimet\Btechnique\Commun\Atelier Central mécanique\Plan entretien\GammeEntretien\\_.xlsm</v>
      </c>
    </row>
    <row r="89" spans="1:30" x14ac:dyDescent="0.3">
      <c r="A89" s="44" t="str">
        <f t="shared" ca="1" si="1"/>
        <v>7.MENG</v>
      </c>
      <c r="B8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9" s="46"/>
      <c r="D89" s="44"/>
      <c r="E89" s="44"/>
      <c r="F89" s="47"/>
      <c r="G89" s="47"/>
      <c r="H89" s="45"/>
      <c r="I89" s="45"/>
      <c r="J89" s="45"/>
      <c r="K89" s="45"/>
      <c r="L89" s="46"/>
      <c r="M89" s="44"/>
      <c r="N89" s="46"/>
      <c r="O89" s="46"/>
      <c r="P89" s="47"/>
      <c r="Q89" s="46"/>
      <c r="R89" s="46"/>
      <c r="S89" s="48"/>
      <c r="T89" s="68" t="str">
        <f>IF(Tableau1[[#This Row],[DMS_SAP]]="","",HYPERLINK(Tableau1[[#This Row],[Chemin fichier source]],"X"))</f>
        <v/>
      </c>
      <c r="U89" s="68" t="str">
        <f>IF(Tableau1[[#This Row],[Date rév.]]="","",HYPERLINK(Tableau1[[#This Row],[Lien document]],"X"))</f>
        <v/>
      </c>
      <c r="V89" s="47"/>
      <c r="W8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9" s="47"/>
      <c r="Y89" s="47"/>
      <c r="Z89" s="44" t="str">
        <f ca="1">IF(AND(Tableau1[[#This Row],[Charge]]&lt;&gt;0, Tableau1[[#This Row],[Nombre intervenants]]&lt;&gt;0,Tableau1[[#This Row],[Lien document]]&lt;&gt;0,Tableau1[[#This Row],[DMS_SAP]]&lt;&gt;0)=TRUE,"MIS A JOUR","")</f>
        <v/>
      </c>
      <c r="AA89" s="48"/>
      <c r="AB89" s="65" t="str">
        <f ca="1">IF(Tableau1[[#This Row],[Date rév.]]&lt;&gt;"", DAYS360(Tableau1[[#This Row],[Date rév.]],TODAY()),"")</f>
        <v/>
      </c>
      <c r="AC89" s="50" t="str">
        <f>IFERROR(INDEX(Chemin_accès!$B$11:$C$22,MATCH(Tableau1[[#This Row],[Type]],Chemin_accès!$C$11:$C$22,0),1),Chemin_accès!$B$11)</f>
        <v>\\stjn.local\trimet\Btechnique\Commun\Atelier Central mécanique\Plan entretien\Modèles préventif\GammeDMS_7.MENG.xlsm</v>
      </c>
      <c r="AD89" s="50" t="str">
        <f>Chemin_accès!$B$8&amp;Tableau1[[#This Row],[Localisation / Classement]]&amp;"\"&amp;Tableau1[[#This Row],[Poste technique ou N° d''équipement]]&amp;"_"&amp;Tableau1[[#This Row],[Plan Entretien]]&amp;".xlsm"</f>
        <v>\\stjn.local\trimet\Btechnique\Commun\Atelier Central mécanique\Plan entretien\GammeEntretien\\_.xlsm</v>
      </c>
    </row>
    <row r="90" spans="1:30" x14ac:dyDescent="0.3">
      <c r="A90" s="44" t="str">
        <f t="shared" ca="1" si="1"/>
        <v>7.MENG</v>
      </c>
      <c r="B9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0" s="46"/>
      <c r="D90" s="44"/>
      <c r="E90" s="44"/>
      <c r="F90" s="47"/>
      <c r="G90" s="47"/>
      <c r="H90" s="45"/>
      <c r="I90" s="45"/>
      <c r="J90" s="45"/>
      <c r="K90" s="45"/>
      <c r="L90" s="46"/>
      <c r="M90" s="44"/>
      <c r="N90" s="46"/>
      <c r="O90" s="46"/>
      <c r="P90" s="47"/>
      <c r="Q90" s="46"/>
      <c r="R90" s="46"/>
      <c r="S90" s="48"/>
      <c r="T90" s="68" t="str">
        <f>IF(Tableau1[[#This Row],[DMS_SAP]]="","",HYPERLINK(Tableau1[[#This Row],[Chemin fichier source]],"X"))</f>
        <v/>
      </c>
      <c r="U90" s="68" t="str">
        <f>IF(Tableau1[[#This Row],[Date rév.]]="","",HYPERLINK(Tableau1[[#This Row],[Lien document]],"X"))</f>
        <v/>
      </c>
      <c r="V90" s="47"/>
      <c r="W9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0" s="47"/>
      <c r="Y90" s="47"/>
      <c r="Z90" s="44" t="str">
        <f ca="1">IF(AND(Tableau1[[#This Row],[Charge]]&lt;&gt;0, Tableau1[[#This Row],[Nombre intervenants]]&lt;&gt;0,Tableau1[[#This Row],[Lien document]]&lt;&gt;0,Tableau1[[#This Row],[DMS_SAP]]&lt;&gt;0)=TRUE,"MIS A JOUR","")</f>
        <v/>
      </c>
      <c r="AA90" s="48"/>
      <c r="AB90" s="65" t="str">
        <f ca="1">IF(Tableau1[[#This Row],[Date rév.]]&lt;&gt;"", DAYS360(Tableau1[[#This Row],[Date rév.]],TODAY()),"")</f>
        <v/>
      </c>
      <c r="AC90" s="50" t="str">
        <f>IFERROR(INDEX(Chemin_accès!$B$11:$C$22,MATCH(Tableau1[[#This Row],[Type]],Chemin_accès!$C$11:$C$22,0),1),Chemin_accès!$B$11)</f>
        <v>\\stjn.local\trimet\Btechnique\Commun\Atelier Central mécanique\Plan entretien\Modèles préventif\GammeDMS_7.MENG.xlsm</v>
      </c>
      <c r="AD90" s="50" t="str">
        <f>Chemin_accès!$B$8&amp;Tableau1[[#This Row],[Localisation / Classement]]&amp;"\"&amp;Tableau1[[#This Row],[Poste technique ou N° d''équipement]]&amp;"_"&amp;Tableau1[[#This Row],[Plan Entretien]]&amp;".xlsm"</f>
        <v>\\stjn.local\trimet\Btechnique\Commun\Atelier Central mécanique\Plan entretien\GammeEntretien\\_.xlsm</v>
      </c>
    </row>
    <row r="91" spans="1:30" x14ac:dyDescent="0.3">
      <c r="A91" s="44" t="str">
        <f t="shared" ca="1" si="1"/>
        <v>7.MENG</v>
      </c>
      <c r="B9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1" s="46"/>
      <c r="D91" s="44"/>
      <c r="E91" s="44"/>
      <c r="F91" s="47"/>
      <c r="G91" s="47"/>
      <c r="H91" s="45"/>
      <c r="I91" s="45"/>
      <c r="J91" s="45"/>
      <c r="K91" s="45"/>
      <c r="L91" s="46"/>
      <c r="M91" s="44"/>
      <c r="N91" s="46"/>
      <c r="O91" s="46"/>
      <c r="P91" s="47"/>
      <c r="Q91" s="46"/>
      <c r="R91" s="46"/>
      <c r="S91" s="48"/>
      <c r="T91" s="68" t="str">
        <f>IF(Tableau1[[#This Row],[DMS_SAP]]="","",HYPERLINK(Tableau1[[#This Row],[Chemin fichier source]],"X"))</f>
        <v/>
      </c>
      <c r="U91" s="68" t="str">
        <f>IF(Tableau1[[#This Row],[Date rév.]]="","",HYPERLINK(Tableau1[[#This Row],[Lien document]],"X"))</f>
        <v/>
      </c>
      <c r="V91" s="47"/>
      <c r="W9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1" s="47"/>
      <c r="Y91" s="47"/>
      <c r="Z91" s="44" t="str">
        <f ca="1">IF(AND(Tableau1[[#This Row],[Charge]]&lt;&gt;0, Tableau1[[#This Row],[Nombre intervenants]]&lt;&gt;0,Tableau1[[#This Row],[Lien document]]&lt;&gt;0,Tableau1[[#This Row],[DMS_SAP]]&lt;&gt;0)=TRUE,"MIS A JOUR","")</f>
        <v/>
      </c>
      <c r="AA91" s="48"/>
      <c r="AB91" s="65" t="str">
        <f ca="1">IF(Tableau1[[#This Row],[Date rév.]]&lt;&gt;"", DAYS360(Tableau1[[#This Row],[Date rév.]],TODAY()),"")</f>
        <v/>
      </c>
      <c r="AC91" s="50" t="str">
        <f>IFERROR(INDEX(Chemin_accès!$B$11:$C$22,MATCH(Tableau1[[#This Row],[Type]],Chemin_accès!$C$11:$C$22,0),1),Chemin_accès!$B$11)</f>
        <v>\\stjn.local\trimet\Btechnique\Commun\Atelier Central mécanique\Plan entretien\Modèles préventif\GammeDMS_7.MENG.xlsm</v>
      </c>
      <c r="AD91" s="50" t="str">
        <f>Chemin_accès!$B$8&amp;Tableau1[[#This Row],[Localisation / Classement]]&amp;"\"&amp;Tableau1[[#This Row],[Poste technique ou N° d''équipement]]&amp;"_"&amp;Tableau1[[#This Row],[Plan Entretien]]&amp;".xlsm"</f>
        <v>\\stjn.local\trimet\Btechnique\Commun\Atelier Central mécanique\Plan entretien\GammeEntretien\\_.xlsm</v>
      </c>
    </row>
    <row r="92" spans="1:30" x14ac:dyDescent="0.3">
      <c r="A92" s="44" t="str">
        <f t="shared" ca="1" si="1"/>
        <v>7.MENG</v>
      </c>
      <c r="B9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2" s="46"/>
      <c r="D92" s="44"/>
      <c r="E92" s="44"/>
      <c r="F92" s="47"/>
      <c r="G92" s="47"/>
      <c r="H92" s="45"/>
      <c r="I92" s="45"/>
      <c r="J92" s="45"/>
      <c r="K92" s="45"/>
      <c r="L92" s="46"/>
      <c r="M92" s="44"/>
      <c r="N92" s="46"/>
      <c r="O92" s="46"/>
      <c r="P92" s="47"/>
      <c r="Q92" s="46"/>
      <c r="R92" s="46"/>
      <c r="S92" s="48"/>
      <c r="T92" s="68" t="str">
        <f>IF(Tableau1[[#This Row],[DMS_SAP]]="","",HYPERLINK(Tableau1[[#This Row],[Chemin fichier source]],"X"))</f>
        <v/>
      </c>
      <c r="U92" s="68" t="str">
        <f>IF(Tableau1[[#This Row],[Date rév.]]="","",HYPERLINK(Tableau1[[#This Row],[Lien document]],"X"))</f>
        <v/>
      </c>
      <c r="V92" s="47"/>
      <c r="W9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2" s="47"/>
      <c r="Y92" s="47"/>
      <c r="Z92" s="44" t="str">
        <f ca="1">IF(AND(Tableau1[[#This Row],[Charge]]&lt;&gt;0, Tableau1[[#This Row],[Nombre intervenants]]&lt;&gt;0,Tableau1[[#This Row],[Lien document]]&lt;&gt;0,Tableau1[[#This Row],[DMS_SAP]]&lt;&gt;0)=TRUE,"MIS A JOUR","")</f>
        <v/>
      </c>
      <c r="AA92" s="48"/>
      <c r="AB92" s="65" t="str">
        <f ca="1">IF(Tableau1[[#This Row],[Date rév.]]&lt;&gt;"", DAYS360(Tableau1[[#This Row],[Date rév.]],TODAY()),"")</f>
        <v/>
      </c>
      <c r="AC92" s="50" t="str">
        <f>IFERROR(INDEX(Chemin_accès!$B$11:$C$22,MATCH(Tableau1[[#This Row],[Type]],Chemin_accès!$C$11:$C$22,0),1),Chemin_accès!$B$11)</f>
        <v>\\stjn.local\trimet\Btechnique\Commun\Atelier Central mécanique\Plan entretien\Modèles préventif\GammeDMS_7.MENG.xlsm</v>
      </c>
      <c r="AD92" s="50" t="str">
        <f>Chemin_accès!$B$8&amp;Tableau1[[#This Row],[Localisation / Classement]]&amp;"\"&amp;Tableau1[[#This Row],[Poste technique ou N° d''équipement]]&amp;"_"&amp;Tableau1[[#This Row],[Plan Entretien]]&amp;".xlsm"</f>
        <v>\\stjn.local\trimet\Btechnique\Commun\Atelier Central mécanique\Plan entretien\GammeEntretien\\_.xlsm</v>
      </c>
    </row>
    <row r="93" spans="1:30" x14ac:dyDescent="0.3">
      <c r="A93" s="44" t="str">
        <f t="shared" ca="1" si="1"/>
        <v>7.MENG</v>
      </c>
      <c r="B9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3" s="46"/>
      <c r="D93" s="44"/>
      <c r="E93" s="44"/>
      <c r="F93" s="47"/>
      <c r="G93" s="47"/>
      <c r="H93" s="45"/>
      <c r="I93" s="45"/>
      <c r="J93" s="45"/>
      <c r="K93" s="45"/>
      <c r="L93" s="46"/>
      <c r="M93" s="44"/>
      <c r="N93" s="46"/>
      <c r="O93" s="46"/>
      <c r="P93" s="47"/>
      <c r="Q93" s="46"/>
      <c r="R93" s="46"/>
      <c r="S93" s="48"/>
      <c r="T93" s="68" t="str">
        <f>IF(Tableau1[[#This Row],[DMS_SAP]]="","",HYPERLINK(Tableau1[[#This Row],[Chemin fichier source]],"X"))</f>
        <v/>
      </c>
      <c r="U93" s="68" t="str">
        <f>IF(Tableau1[[#This Row],[Date rév.]]="","",HYPERLINK(Tableau1[[#This Row],[Lien document]],"X"))</f>
        <v/>
      </c>
      <c r="V93" s="47"/>
      <c r="W9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3" s="47"/>
      <c r="Y93" s="47"/>
      <c r="Z93" s="44" t="str">
        <f ca="1">IF(AND(Tableau1[[#This Row],[Charge]]&lt;&gt;0, Tableau1[[#This Row],[Nombre intervenants]]&lt;&gt;0,Tableau1[[#This Row],[Lien document]]&lt;&gt;0,Tableau1[[#This Row],[DMS_SAP]]&lt;&gt;0)=TRUE,"MIS A JOUR","")</f>
        <v/>
      </c>
      <c r="AA93" s="48"/>
      <c r="AB93" s="65" t="str">
        <f ca="1">IF(Tableau1[[#This Row],[Date rév.]]&lt;&gt;"", DAYS360(Tableau1[[#This Row],[Date rév.]],TODAY()),"")</f>
        <v/>
      </c>
      <c r="AC93" s="50" t="str">
        <f>IFERROR(INDEX(Chemin_accès!$B$11:$C$22,MATCH(Tableau1[[#This Row],[Type]],Chemin_accès!$C$11:$C$22,0),1),Chemin_accès!$B$11)</f>
        <v>\\stjn.local\trimet\Btechnique\Commun\Atelier Central mécanique\Plan entretien\Modèles préventif\GammeDMS_7.MENG.xlsm</v>
      </c>
      <c r="AD93" s="50" t="str">
        <f>Chemin_accès!$B$8&amp;Tableau1[[#This Row],[Localisation / Classement]]&amp;"\"&amp;Tableau1[[#This Row],[Poste technique ou N° d''équipement]]&amp;"_"&amp;Tableau1[[#This Row],[Plan Entretien]]&amp;".xlsm"</f>
        <v>\\stjn.local\trimet\Btechnique\Commun\Atelier Central mécanique\Plan entretien\GammeEntretien\\_.xlsm</v>
      </c>
    </row>
    <row r="94" spans="1:30" x14ac:dyDescent="0.3">
      <c r="A94" s="44" t="str">
        <f t="shared" ca="1" si="1"/>
        <v>7.MENG</v>
      </c>
      <c r="B9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4" s="46"/>
      <c r="D94" s="44"/>
      <c r="E94" s="44"/>
      <c r="F94" s="47"/>
      <c r="G94" s="47"/>
      <c r="H94" s="45"/>
      <c r="I94" s="45"/>
      <c r="J94" s="45"/>
      <c r="K94" s="45"/>
      <c r="L94" s="46"/>
      <c r="M94" s="44"/>
      <c r="N94" s="46"/>
      <c r="O94" s="46"/>
      <c r="P94" s="47"/>
      <c r="Q94" s="46"/>
      <c r="R94" s="46"/>
      <c r="S94" s="48"/>
      <c r="T94" s="68" t="str">
        <f>IF(Tableau1[[#This Row],[DMS_SAP]]="","",HYPERLINK(Tableau1[[#This Row],[Chemin fichier source]],"X"))</f>
        <v/>
      </c>
      <c r="U94" s="68" t="str">
        <f>IF(Tableau1[[#This Row],[Date rév.]]="","",HYPERLINK(Tableau1[[#This Row],[Lien document]],"X"))</f>
        <v/>
      </c>
      <c r="V94" s="47"/>
      <c r="W9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4" s="47"/>
      <c r="Y94" s="47"/>
      <c r="Z94" s="44" t="str">
        <f ca="1">IF(AND(Tableau1[[#This Row],[Charge]]&lt;&gt;0, Tableau1[[#This Row],[Nombre intervenants]]&lt;&gt;0,Tableau1[[#This Row],[Lien document]]&lt;&gt;0,Tableau1[[#This Row],[DMS_SAP]]&lt;&gt;0)=TRUE,"MIS A JOUR","")</f>
        <v/>
      </c>
      <c r="AA94" s="48"/>
      <c r="AB94" s="65" t="str">
        <f ca="1">IF(Tableau1[[#This Row],[Date rév.]]&lt;&gt;"", DAYS360(Tableau1[[#This Row],[Date rév.]],TODAY()),"")</f>
        <v/>
      </c>
      <c r="AC94" s="50" t="str">
        <f>IFERROR(INDEX(Chemin_accès!$B$11:$C$22,MATCH(Tableau1[[#This Row],[Type]],Chemin_accès!$C$11:$C$22,0),1),Chemin_accès!$B$11)</f>
        <v>\\stjn.local\trimet\Btechnique\Commun\Atelier Central mécanique\Plan entretien\Modèles préventif\GammeDMS_7.MENG.xlsm</v>
      </c>
      <c r="AD94" s="50" t="str">
        <f>Chemin_accès!$B$8&amp;Tableau1[[#This Row],[Localisation / Classement]]&amp;"\"&amp;Tableau1[[#This Row],[Poste technique ou N° d''équipement]]&amp;"_"&amp;Tableau1[[#This Row],[Plan Entretien]]&amp;".xlsm"</f>
        <v>\\stjn.local\trimet\Btechnique\Commun\Atelier Central mécanique\Plan entretien\GammeEntretien\\_.xlsm</v>
      </c>
    </row>
    <row r="95" spans="1:30" x14ac:dyDescent="0.3">
      <c r="A95" s="44" t="str">
        <f t="shared" ca="1" si="1"/>
        <v>7.MENG</v>
      </c>
      <c r="B9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5" s="46"/>
      <c r="D95" s="44"/>
      <c r="E95" s="44"/>
      <c r="F95" s="47"/>
      <c r="G95" s="47"/>
      <c r="H95" s="45"/>
      <c r="I95" s="45"/>
      <c r="J95" s="45"/>
      <c r="K95" s="45"/>
      <c r="L95" s="46"/>
      <c r="M95" s="44"/>
      <c r="N95" s="46"/>
      <c r="O95" s="46"/>
      <c r="P95" s="47"/>
      <c r="Q95" s="46"/>
      <c r="R95" s="46"/>
      <c r="S95" s="48"/>
      <c r="T95" s="68" t="str">
        <f>IF(Tableau1[[#This Row],[DMS_SAP]]="","",HYPERLINK(Tableau1[[#This Row],[Chemin fichier source]],"X"))</f>
        <v/>
      </c>
      <c r="U95" s="68" t="str">
        <f>IF(Tableau1[[#This Row],[Date rév.]]="","",HYPERLINK(Tableau1[[#This Row],[Lien document]],"X"))</f>
        <v/>
      </c>
      <c r="V95" s="47"/>
      <c r="W9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5" s="47"/>
      <c r="Y95" s="47"/>
      <c r="Z95" s="44" t="str">
        <f ca="1">IF(AND(Tableau1[[#This Row],[Charge]]&lt;&gt;0, Tableau1[[#This Row],[Nombre intervenants]]&lt;&gt;0,Tableau1[[#This Row],[Lien document]]&lt;&gt;0,Tableau1[[#This Row],[DMS_SAP]]&lt;&gt;0)=TRUE,"MIS A JOUR","")</f>
        <v/>
      </c>
      <c r="AA95" s="48"/>
      <c r="AB95" s="65" t="str">
        <f ca="1">IF(Tableau1[[#This Row],[Date rév.]]&lt;&gt;"", DAYS360(Tableau1[[#This Row],[Date rév.]],TODAY()),"")</f>
        <v/>
      </c>
      <c r="AC95" s="50" t="str">
        <f>IFERROR(INDEX(Chemin_accès!$B$11:$C$22,MATCH(Tableau1[[#This Row],[Type]],Chemin_accès!$C$11:$C$22,0),1),Chemin_accès!$B$11)</f>
        <v>\\stjn.local\trimet\Btechnique\Commun\Atelier Central mécanique\Plan entretien\Modèles préventif\GammeDMS_7.MENG.xlsm</v>
      </c>
      <c r="AD95" s="50" t="str">
        <f>Chemin_accès!$B$8&amp;Tableau1[[#This Row],[Localisation / Classement]]&amp;"\"&amp;Tableau1[[#This Row],[Poste technique ou N° d''équipement]]&amp;"_"&amp;Tableau1[[#This Row],[Plan Entretien]]&amp;".xlsm"</f>
        <v>\\stjn.local\trimet\Btechnique\Commun\Atelier Central mécanique\Plan entretien\GammeEntretien\\_.xlsm</v>
      </c>
    </row>
    <row r="96" spans="1:30" x14ac:dyDescent="0.3">
      <c r="A96" s="44" t="str">
        <f t="shared" ca="1" si="1"/>
        <v>7.MENG</v>
      </c>
      <c r="B9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6" s="46"/>
      <c r="D96" s="44"/>
      <c r="E96" s="44"/>
      <c r="F96" s="47"/>
      <c r="G96" s="47"/>
      <c r="H96" s="45"/>
      <c r="I96" s="45"/>
      <c r="J96" s="45"/>
      <c r="K96" s="45"/>
      <c r="L96" s="46"/>
      <c r="M96" s="44"/>
      <c r="N96" s="46"/>
      <c r="O96" s="46"/>
      <c r="P96" s="47"/>
      <c r="Q96" s="46"/>
      <c r="R96" s="46"/>
      <c r="S96" s="48"/>
      <c r="T96" s="68" t="str">
        <f>IF(Tableau1[[#This Row],[DMS_SAP]]="","",HYPERLINK(Tableau1[[#This Row],[Chemin fichier source]],"X"))</f>
        <v/>
      </c>
      <c r="U96" s="68" t="str">
        <f>IF(Tableau1[[#This Row],[Date rév.]]="","",HYPERLINK(Tableau1[[#This Row],[Lien document]],"X"))</f>
        <v/>
      </c>
      <c r="V96" s="47"/>
      <c r="W9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6" s="47"/>
      <c r="Y96" s="47"/>
      <c r="Z96" s="44" t="str">
        <f ca="1">IF(AND(Tableau1[[#This Row],[Charge]]&lt;&gt;0, Tableau1[[#This Row],[Nombre intervenants]]&lt;&gt;0,Tableau1[[#This Row],[Lien document]]&lt;&gt;0,Tableau1[[#This Row],[DMS_SAP]]&lt;&gt;0)=TRUE,"MIS A JOUR","")</f>
        <v/>
      </c>
      <c r="AA96" s="48"/>
      <c r="AB96" s="65" t="str">
        <f ca="1">IF(Tableau1[[#This Row],[Date rév.]]&lt;&gt;"", DAYS360(Tableau1[[#This Row],[Date rév.]],TODAY()),"")</f>
        <v/>
      </c>
      <c r="AC96" s="50" t="str">
        <f>IFERROR(INDEX(Chemin_accès!$B$11:$C$22,MATCH(Tableau1[[#This Row],[Type]],Chemin_accès!$C$11:$C$22,0),1),Chemin_accès!$B$11)</f>
        <v>\\stjn.local\trimet\Btechnique\Commun\Atelier Central mécanique\Plan entretien\Modèles préventif\GammeDMS_7.MENG.xlsm</v>
      </c>
      <c r="AD96" s="50" t="str">
        <f>Chemin_accès!$B$8&amp;Tableau1[[#This Row],[Localisation / Classement]]&amp;"\"&amp;Tableau1[[#This Row],[Poste technique ou N° d''équipement]]&amp;"_"&amp;Tableau1[[#This Row],[Plan Entretien]]&amp;".xlsm"</f>
        <v>\\stjn.local\trimet\Btechnique\Commun\Atelier Central mécanique\Plan entretien\GammeEntretien\\_.xlsm</v>
      </c>
    </row>
    <row r="97" spans="1:30" x14ac:dyDescent="0.3">
      <c r="A97" s="44" t="str">
        <f t="shared" ca="1" si="1"/>
        <v>7.MENG</v>
      </c>
      <c r="B9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7" s="46"/>
      <c r="D97" s="44"/>
      <c r="E97" s="44"/>
      <c r="F97" s="47"/>
      <c r="G97" s="47"/>
      <c r="H97" s="45"/>
      <c r="I97" s="45"/>
      <c r="J97" s="45"/>
      <c r="K97" s="45"/>
      <c r="L97" s="46"/>
      <c r="M97" s="44"/>
      <c r="N97" s="46"/>
      <c r="O97" s="46"/>
      <c r="P97" s="47"/>
      <c r="Q97" s="46"/>
      <c r="R97" s="46"/>
      <c r="S97" s="48"/>
      <c r="T97" s="68" t="str">
        <f>IF(Tableau1[[#This Row],[DMS_SAP]]="","",HYPERLINK(Tableau1[[#This Row],[Chemin fichier source]],"X"))</f>
        <v/>
      </c>
      <c r="U97" s="68" t="str">
        <f>IF(Tableau1[[#This Row],[Date rév.]]="","",HYPERLINK(Tableau1[[#This Row],[Lien document]],"X"))</f>
        <v/>
      </c>
      <c r="V97" s="47"/>
      <c r="W9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7" s="47"/>
      <c r="Y97" s="47"/>
      <c r="Z97" s="44" t="str">
        <f ca="1">IF(AND(Tableau1[[#This Row],[Charge]]&lt;&gt;0, Tableau1[[#This Row],[Nombre intervenants]]&lt;&gt;0,Tableau1[[#This Row],[Lien document]]&lt;&gt;0,Tableau1[[#This Row],[DMS_SAP]]&lt;&gt;0)=TRUE,"MIS A JOUR","")</f>
        <v/>
      </c>
      <c r="AA97" s="48"/>
      <c r="AB97" s="65" t="str">
        <f ca="1">IF(Tableau1[[#This Row],[Date rév.]]&lt;&gt;"", DAYS360(Tableau1[[#This Row],[Date rév.]],TODAY()),"")</f>
        <v/>
      </c>
      <c r="AC97" s="50" t="str">
        <f>IFERROR(INDEX(Chemin_accès!$B$11:$C$22,MATCH(Tableau1[[#This Row],[Type]],Chemin_accès!$C$11:$C$22,0),1),Chemin_accès!$B$11)</f>
        <v>\\stjn.local\trimet\Btechnique\Commun\Atelier Central mécanique\Plan entretien\Modèles préventif\GammeDMS_7.MENG.xlsm</v>
      </c>
      <c r="AD97" s="50" t="str">
        <f>Chemin_accès!$B$8&amp;Tableau1[[#This Row],[Localisation / Classement]]&amp;"\"&amp;Tableau1[[#This Row],[Poste technique ou N° d''équipement]]&amp;"_"&amp;Tableau1[[#This Row],[Plan Entretien]]&amp;".xlsm"</f>
        <v>\\stjn.local\trimet\Btechnique\Commun\Atelier Central mécanique\Plan entretien\GammeEntretien\\_.xlsm</v>
      </c>
    </row>
    <row r="98" spans="1:30" x14ac:dyDescent="0.3">
      <c r="A98" s="44" t="str">
        <f t="shared" ca="1" si="1"/>
        <v>7.MENG</v>
      </c>
      <c r="B9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8" s="46"/>
      <c r="D98" s="44"/>
      <c r="E98" s="44"/>
      <c r="F98" s="47"/>
      <c r="G98" s="47"/>
      <c r="H98" s="45"/>
      <c r="I98" s="45"/>
      <c r="J98" s="45"/>
      <c r="K98" s="45"/>
      <c r="L98" s="46"/>
      <c r="M98" s="44"/>
      <c r="N98" s="46"/>
      <c r="O98" s="46"/>
      <c r="P98" s="47"/>
      <c r="Q98" s="46"/>
      <c r="R98" s="46"/>
      <c r="S98" s="48"/>
      <c r="T98" s="68" t="str">
        <f>IF(Tableau1[[#This Row],[DMS_SAP]]="","",HYPERLINK(Tableau1[[#This Row],[Chemin fichier source]],"X"))</f>
        <v/>
      </c>
      <c r="U98" s="68" t="str">
        <f>IF(Tableau1[[#This Row],[Date rév.]]="","",HYPERLINK(Tableau1[[#This Row],[Lien document]],"X"))</f>
        <v/>
      </c>
      <c r="V98" s="47"/>
      <c r="W9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8" s="47"/>
      <c r="Y98" s="47"/>
      <c r="Z98" s="44" t="str">
        <f ca="1">IF(AND(Tableau1[[#This Row],[Charge]]&lt;&gt;0, Tableau1[[#This Row],[Nombre intervenants]]&lt;&gt;0,Tableau1[[#This Row],[Lien document]]&lt;&gt;0,Tableau1[[#This Row],[DMS_SAP]]&lt;&gt;0)=TRUE,"MIS A JOUR","")</f>
        <v/>
      </c>
      <c r="AA98" s="48"/>
      <c r="AB98" s="65" t="str">
        <f ca="1">IF(Tableau1[[#This Row],[Date rév.]]&lt;&gt;"", DAYS360(Tableau1[[#This Row],[Date rév.]],TODAY()),"")</f>
        <v/>
      </c>
      <c r="AC98" s="50" t="str">
        <f>IFERROR(INDEX(Chemin_accès!$B$11:$C$22,MATCH(Tableau1[[#This Row],[Type]],Chemin_accès!$C$11:$C$22,0),1),Chemin_accès!$B$11)</f>
        <v>\\stjn.local\trimet\Btechnique\Commun\Atelier Central mécanique\Plan entretien\Modèles préventif\GammeDMS_7.MENG.xlsm</v>
      </c>
      <c r="AD98" s="50" t="str">
        <f>Chemin_accès!$B$8&amp;Tableau1[[#This Row],[Localisation / Classement]]&amp;"\"&amp;Tableau1[[#This Row],[Poste technique ou N° d''équipement]]&amp;"_"&amp;Tableau1[[#This Row],[Plan Entretien]]&amp;".xlsm"</f>
        <v>\\stjn.local\trimet\Btechnique\Commun\Atelier Central mécanique\Plan entretien\GammeEntretien\\_.xlsm</v>
      </c>
    </row>
    <row r="99" spans="1:30" x14ac:dyDescent="0.3">
      <c r="A99" s="44" t="str">
        <f t="shared" ca="1" si="1"/>
        <v>7.MENG</v>
      </c>
      <c r="B9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9" s="46"/>
      <c r="D99" s="44"/>
      <c r="E99" s="44"/>
      <c r="F99" s="47"/>
      <c r="G99" s="47"/>
      <c r="H99" s="45"/>
      <c r="I99" s="45"/>
      <c r="J99" s="45"/>
      <c r="K99" s="45"/>
      <c r="L99" s="46"/>
      <c r="M99" s="44"/>
      <c r="N99" s="46"/>
      <c r="O99" s="46"/>
      <c r="P99" s="47"/>
      <c r="Q99" s="46"/>
      <c r="R99" s="46"/>
      <c r="S99" s="48"/>
      <c r="T99" s="68" t="str">
        <f>IF(Tableau1[[#This Row],[DMS_SAP]]="","",HYPERLINK(Tableau1[[#This Row],[Chemin fichier source]],"X"))</f>
        <v/>
      </c>
      <c r="U99" s="68" t="str">
        <f>IF(Tableau1[[#This Row],[Date rév.]]="","",HYPERLINK(Tableau1[[#This Row],[Lien document]],"X"))</f>
        <v/>
      </c>
      <c r="V99" s="47"/>
      <c r="W9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9" s="47"/>
      <c r="Y99" s="47"/>
      <c r="Z99" s="44" t="str">
        <f ca="1">IF(AND(Tableau1[[#This Row],[Charge]]&lt;&gt;0, Tableau1[[#This Row],[Nombre intervenants]]&lt;&gt;0,Tableau1[[#This Row],[Lien document]]&lt;&gt;0,Tableau1[[#This Row],[DMS_SAP]]&lt;&gt;0)=TRUE,"MIS A JOUR","")</f>
        <v/>
      </c>
      <c r="AA99" s="48"/>
      <c r="AB99" s="65" t="str">
        <f ca="1">IF(Tableau1[[#This Row],[Date rév.]]&lt;&gt;"", DAYS360(Tableau1[[#This Row],[Date rév.]],TODAY()),"")</f>
        <v/>
      </c>
      <c r="AC99" s="50" t="str">
        <f>IFERROR(INDEX(Chemin_accès!$B$11:$C$22,MATCH(Tableau1[[#This Row],[Type]],Chemin_accès!$C$11:$C$22,0),1),Chemin_accès!$B$11)</f>
        <v>\\stjn.local\trimet\Btechnique\Commun\Atelier Central mécanique\Plan entretien\Modèles préventif\GammeDMS_7.MENG.xlsm</v>
      </c>
      <c r="AD99" s="50" t="str">
        <f>Chemin_accès!$B$8&amp;Tableau1[[#This Row],[Localisation / Classement]]&amp;"\"&amp;Tableau1[[#This Row],[Poste technique ou N° d''équipement]]&amp;"_"&amp;Tableau1[[#This Row],[Plan Entretien]]&amp;".xlsm"</f>
        <v>\\stjn.local\trimet\Btechnique\Commun\Atelier Central mécanique\Plan entretien\GammeEntretien\\_.xlsm</v>
      </c>
    </row>
    <row r="100" spans="1:30" x14ac:dyDescent="0.3">
      <c r="A100" s="44" t="str">
        <f t="shared" ca="1" si="1"/>
        <v>7.MENG</v>
      </c>
      <c r="B10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00" s="46"/>
      <c r="D100" s="44"/>
      <c r="E100" s="44"/>
      <c r="F100" s="47"/>
      <c r="G100" s="47"/>
      <c r="H100" s="45"/>
      <c r="I100" s="45"/>
      <c r="J100" s="45"/>
      <c r="K100" s="45"/>
      <c r="L100" s="46"/>
      <c r="M100" s="44"/>
      <c r="N100" s="46"/>
      <c r="O100" s="46"/>
      <c r="P100" s="47"/>
      <c r="Q100" s="46"/>
      <c r="R100" s="46"/>
      <c r="S100" s="48"/>
      <c r="T100" s="68" t="str">
        <f>IF(Tableau1[[#This Row],[DMS_SAP]]="","",HYPERLINK(Tableau1[[#This Row],[Chemin fichier source]],"X"))</f>
        <v/>
      </c>
      <c r="U100" s="68" t="str">
        <f>IF(Tableau1[[#This Row],[Date rév.]]="","",HYPERLINK(Tableau1[[#This Row],[Lien document]],"X"))</f>
        <v/>
      </c>
      <c r="V100" s="47"/>
      <c r="W10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00" s="47"/>
      <c r="Y100" s="47"/>
      <c r="Z100" s="44" t="str">
        <f ca="1">IF(AND(Tableau1[[#This Row],[Charge]]&lt;&gt;0, Tableau1[[#This Row],[Nombre intervenants]]&lt;&gt;0,Tableau1[[#This Row],[Lien document]]&lt;&gt;0,Tableau1[[#This Row],[DMS_SAP]]&lt;&gt;0)=TRUE,"MIS A JOUR","")</f>
        <v/>
      </c>
      <c r="AA100" s="48"/>
      <c r="AB100" s="65" t="str">
        <f ca="1">IF(Tableau1[[#This Row],[Date rév.]]&lt;&gt;"", DAYS360(Tableau1[[#This Row],[Date rév.]],TODAY()),"")</f>
        <v/>
      </c>
      <c r="AC100" s="50" t="str">
        <f>IFERROR(INDEX(Chemin_accès!$B$11:$C$22,MATCH(Tableau1[[#This Row],[Type]],Chemin_accès!$C$11:$C$22,0),1),Chemin_accès!$B$11)</f>
        <v>\\stjn.local\trimet\Btechnique\Commun\Atelier Central mécanique\Plan entretien\Modèles préventif\GammeDMS_7.MENG.xlsm</v>
      </c>
      <c r="AD100" s="50" t="str">
        <f>Chemin_accès!$B$8&amp;Tableau1[[#This Row],[Localisation / Classement]]&amp;"\"&amp;Tableau1[[#This Row],[Poste technique ou N° d''équipement]]&amp;"_"&amp;Tableau1[[#This Row],[Plan Entretien]]&amp;".xlsm"</f>
        <v>\\stjn.local\trimet\Btechnique\Commun\Atelier Central mécanique\Plan entretien\GammeEntretien\\_.xlsm</v>
      </c>
    </row>
    <row r="101" spans="1:30" x14ac:dyDescent="0.3">
      <c r="A101" s="44" t="str">
        <f t="shared" ca="1" si="1"/>
        <v>7.MENG</v>
      </c>
      <c r="B10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01" s="46"/>
      <c r="D101" s="44"/>
      <c r="E101" s="44"/>
      <c r="F101" s="44"/>
      <c r="G101" s="44"/>
      <c r="H101" s="45"/>
      <c r="I101" s="45"/>
      <c r="J101" s="45"/>
      <c r="K101" s="45"/>
      <c r="L101" s="46"/>
      <c r="M101" s="44"/>
      <c r="N101" s="46"/>
      <c r="O101" s="46"/>
      <c r="P101" s="47"/>
      <c r="Q101" s="46"/>
      <c r="R101" s="46"/>
      <c r="S101" s="48"/>
      <c r="T101" s="68" t="str">
        <f>IF(Tableau1[[#This Row],[DMS_SAP]]="","",HYPERLINK(Tableau1[[#This Row],[Chemin fichier source]],"X"))</f>
        <v/>
      </c>
      <c r="U101" s="68" t="str">
        <f>IF(Tableau1[[#This Row],[Date rév.]]="","",HYPERLINK(Tableau1[[#This Row],[Lien document]],"X"))</f>
        <v/>
      </c>
      <c r="V101" s="47"/>
      <c r="W10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01" s="47"/>
      <c r="Y101" s="47"/>
      <c r="Z101" s="44" t="str">
        <f ca="1">IF(AND(Tableau1[[#This Row],[Charge]]&lt;&gt;0, Tableau1[[#This Row],[Nombre intervenants]]&lt;&gt;0,Tableau1[[#This Row],[Lien document]]&lt;&gt;0,Tableau1[[#This Row],[DMS_SAP]]&lt;&gt;0)=TRUE,"MIS A JOUR","")</f>
        <v/>
      </c>
      <c r="AA101" s="48"/>
      <c r="AB101" s="65" t="str">
        <f ca="1">IF(Tableau1[[#This Row],[Date rév.]]&lt;&gt;"", DAYS360(Tableau1[[#This Row],[Date rév.]],TODAY()),"")</f>
        <v/>
      </c>
      <c r="AC101" s="50" t="str">
        <f>IFERROR(INDEX(Chemin_accès!$B$11:$C$22,MATCH(Tableau1[[#This Row],[Type]],Chemin_accès!$C$11:$C$22,0),1),Chemin_accès!$B$11)</f>
        <v>\\stjn.local\trimet\Btechnique\Commun\Atelier Central mécanique\Plan entretien\Modèles préventif\GammeDMS_7.MENG.xlsm</v>
      </c>
      <c r="AD101" s="50" t="str">
        <f>Chemin_accès!$B$8&amp;Tableau1[[#This Row],[Localisation / Classement]]&amp;"\"&amp;Tableau1[[#This Row],[Poste technique ou N° d''équipement]]&amp;"_"&amp;Tableau1[[#This Row],[Plan Entretien]]&amp;".xlsm"</f>
        <v>\\stjn.local\trimet\Btechnique\Commun\Atelier Central mécanique\Plan entretien\GammeEntretien\\_.xlsm</v>
      </c>
    </row>
    <row r="102" spans="1:30" x14ac:dyDescent="0.3">
      <c r="A102" s="44" t="str">
        <f t="shared" ca="1" si="1"/>
        <v>7.MENG</v>
      </c>
      <c r="B10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02" s="46"/>
      <c r="D102" s="44"/>
      <c r="E102" s="44"/>
      <c r="F102" s="47"/>
      <c r="G102" s="47"/>
      <c r="H102" s="45"/>
      <c r="I102" s="45"/>
      <c r="J102" s="45"/>
      <c r="K102" s="45"/>
      <c r="L102" s="46"/>
      <c r="M102" s="44"/>
      <c r="N102" s="46"/>
      <c r="O102" s="46"/>
      <c r="P102" s="47"/>
      <c r="Q102" s="46"/>
      <c r="R102" s="46"/>
      <c r="S102" s="48"/>
      <c r="T102" s="68" t="str">
        <f>IF(Tableau1[[#This Row],[DMS_SAP]]="","",HYPERLINK(Tableau1[[#This Row],[Chemin fichier source]],"X"))</f>
        <v/>
      </c>
      <c r="U102" s="68" t="str">
        <f>IF(Tableau1[[#This Row],[Date rév.]]="","",HYPERLINK(Tableau1[[#This Row],[Lien document]],"X"))</f>
        <v/>
      </c>
      <c r="V102" s="47"/>
      <c r="W10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02" s="47"/>
      <c r="Y102" s="47"/>
      <c r="Z102" s="44" t="str">
        <f ca="1">IF(AND(Tableau1[[#This Row],[Charge]]&lt;&gt;0, Tableau1[[#This Row],[Nombre intervenants]]&lt;&gt;0,Tableau1[[#This Row],[Lien document]]&lt;&gt;0,Tableau1[[#This Row],[DMS_SAP]]&lt;&gt;0)=TRUE,"MIS A JOUR","")</f>
        <v/>
      </c>
      <c r="AA102" s="48"/>
      <c r="AB102" s="65" t="str">
        <f ca="1">IF(Tableau1[[#This Row],[Date rév.]]&lt;&gt;"", DAYS360(Tableau1[[#This Row],[Date rév.]],TODAY()),"")</f>
        <v/>
      </c>
      <c r="AC102" s="50" t="str">
        <f>IFERROR(INDEX(Chemin_accès!$B$11:$C$22,MATCH(Tableau1[[#This Row],[Type]],Chemin_accès!$C$11:$C$22,0),1),Chemin_accès!$B$11)</f>
        <v>\\stjn.local\trimet\Btechnique\Commun\Atelier Central mécanique\Plan entretien\Modèles préventif\GammeDMS_7.MENG.xlsm</v>
      </c>
      <c r="AD102" s="50" t="str">
        <f>Chemin_accès!$B$8&amp;Tableau1[[#This Row],[Localisation / Classement]]&amp;"\"&amp;Tableau1[[#This Row],[Poste technique ou N° d''équipement]]&amp;"_"&amp;Tableau1[[#This Row],[Plan Entretien]]&amp;".xlsm"</f>
        <v>\\stjn.local\trimet\Btechnique\Commun\Atelier Central mécanique\Plan entretien\GammeEntretien\\_.xlsm</v>
      </c>
    </row>
    <row r="103" spans="1:30" x14ac:dyDescent="0.3">
      <c r="A103" s="44" t="str">
        <f t="shared" ca="1" si="1"/>
        <v>7.MENG</v>
      </c>
      <c r="B10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03" s="46"/>
      <c r="D103" s="44"/>
      <c r="E103" s="44"/>
      <c r="F103" s="47"/>
      <c r="G103" s="47"/>
      <c r="H103" s="45"/>
      <c r="I103" s="45"/>
      <c r="J103" s="45"/>
      <c r="K103" s="45"/>
      <c r="L103" s="46"/>
      <c r="M103" s="44"/>
      <c r="N103" s="46"/>
      <c r="O103" s="46"/>
      <c r="P103" s="47"/>
      <c r="Q103" s="46"/>
      <c r="R103" s="46"/>
      <c r="S103" s="48"/>
      <c r="T103" s="68" t="str">
        <f>IF(Tableau1[[#This Row],[DMS_SAP]]="","",HYPERLINK(Tableau1[[#This Row],[Chemin fichier source]],"X"))</f>
        <v/>
      </c>
      <c r="U103" s="68" t="str">
        <f>IF(Tableau1[[#This Row],[Date rév.]]="","",HYPERLINK(Tableau1[[#This Row],[Lien document]],"X"))</f>
        <v/>
      </c>
      <c r="V103" s="47"/>
      <c r="W10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03" s="47"/>
      <c r="Y103" s="47"/>
      <c r="Z103" s="44" t="str">
        <f ca="1">IF(AND(Tableau1[[#This Row],[Charge]]&lt;&gt;0, Tableau1[[#This Row],[Nombre intervenants]]&lt;&gt;0,Tableau1[[#This Row],[Lien document]]&lt;&gt;0,Tableau1[[#This Row],[DMS_SAP]]&lt;&gt;0)=TRUE,"MIS A JOUR","")</f>
        <v/>
      </c>
      <c r="AA103" s="48"/>
      <c r="AB103" s="65" t="str">
        <f ca="1">IF(Tableau1[[#This Row],[Date rév.]]&lt;&gt;"", DAYS360(Tableau1[[#This Row],[Date rév.]],TODAY()),"")</f>
        <v/>
      </c>
      <c r="AC103" s="50" t="str">
        <f>IFERROR(INDEX(Chemin_accès!$B$11:$C$22,MATCH(Tableau1[[#This Row],[Type]],Chemin_accès!$C$11:$C$22,0),1),Chemin_accès!$B$11)</f>
        <v>\\stjn.local\trimet\Btechnique\Commun\Atelier Central mécanique\Plan entretien\Modèles préventif\GammeDMS_7.MENG.xlsm</v>
      </c>
      <c r="AD103" s="50" t="str">
        <f>Chemin_accès!$B$8&amp;Tableau1[[#This Row],[Localisation / Classement]]&amp;"\"&amp;Tableau1[[#This Row],[Poste technique ou N° d''équipement]]&amp;"_"&amp;Tableau1[[#This Row],[Plan Entretien]]&amp;".xlsm"</f>
        <v>\\stjn.local\trimet\Btechnique\Commun\Atelier Central mécanique\Plan entretien\GammeEntretien\\_.xlsm</v>
      </c>
    </row>
    <row r="104" spans="1:30" x14ac:dyDescent="0.3">
      <c r="A104" s="44" t="str">
        <f t="shared" ca="1" si="1"/>
        <v>7.MENG</v>
      </c>
      <c r="B10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04" s="46"/>
      <c r="D104" s="44"/>
      <c r="E104" s="44"/>
      <c r="F104" s="47"/>
      <c r="G104" s="47"/>
      <c r="H104" s="45"/>
      <c r="I104" s="45"/>
      <c r="J104" s="45"/>
      <c r="K104" s="45"/>
      <c r="L104" s="46"/>
      <c r="M104" s="44"/>
      <c r="N104" s="46"/>
      <c r="O104" s="46"/>
      <c r="P104" s="47"/>
      <c r="Q104" s="46"/>
      <c r="R104" s="46"/>
      <c r="S104" s="48"/>
      <c r="T104" s="68" t="str">
        <f>IF(Tableau1[[#This Row],[DMS_SAP]]="","",HYPERLINK(Tableau1[[#This Row],[Chemin fichier source]],"X"))</f>
        <v/>
      </c>
      <c r="U104" s="68" t="str">
        <f>IF(Tableau1[[#This Row],[Date rév.]]="","",HYPERLINK(Tableau1[[#This Row],[Lien document]],"X"))</f>
        <v/>
      </c>
      <c r="V104" s="47"/>
      <c r="W10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04" s="47"/>
      <c r="Y104" s="47"/>
      <c r="Z104" s="44" t="str">
        <f ca="1">IF(AND(Tableau1[[#This Row],[Charge]]&lt;&gt;0, Tableau1[[#This Row],[Nombre intervenants]]&lt;&gt;0,Tableau1[[#This Row],[Lien document]]&lt;&gt;0,Tableau1[[#This Row],[DMS_SAP]]&lt;&gt;0)=TRUE,"MIS A JOUR","")</f>
        <v/>
      </c>
      <c r="AA104" s="48"/>
      <c r="AB104" s="65" t="str">
        <f ca="1">IF(Tableau1[[#This Row],[Date rév.]]&lt;&gt;"", DAYS360(Tableau1[[#This Row],[Date rév.]],TODAY()),"")</f>
        <v/>
      </c>
      <c r="AC104" s="50" t="str">
        <f>IFERROR(INDEX(Chemin_accès!$B$11:$C$22,MATCH(Tableau1[[#This Row],[Type]],Chemin_accès!$C$11:$C$22,0),1),Chemin_accès!$B$11)</f>
        <v>\\stjn.local\trimet\Btechnique\Commun\Atelier Central mécanique\Plan entretien\Modèles préventif\GammeDMS_7.MENG.xlsm</v>
      </c>
      <c r="AD104" s="50" t="str">
        <f>Chemin_accès!$B$8&amp;Tableau1[[#This Row],[Localisation / Classement]]&amp;"\"&amp;Tableau1[[#This Row],[Poste technique ou N° d''équipement]]&amp;"_"&amp;Tableau1[[#This Row],[Plan Entretien]]&amp;".xlsm"</f>
        <v>\\stjn.local\trimet\Btechnique\Commun\Atelier Central mécanique\Plan entretien\GammeEntretien\\_.xlsm</v>
      </c>
    </row>
    <row r="105" spans="1:30" x14ac:dyDescent="0.3">
      <c r="A105" s="44" t="str">
        <f t="shared" ca="1" si="1"/>
        <v>7.MENG</v>
      </c>
      <c r="B10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05" s="46"/>
      <c r="D105" s="44"/>
      <c r="E105" s="44"/>
      <c r="F105" s="44"/>
      <c r="G105" s="44"/>
      <c r="H105" s="45"/>
      <c r="I105" s="45"/>
      <c r="J105" s="45"/>
      <c r="K105" s="45"/>
      <c r="L105" s="46"/>
      <c r="M105" s="44"/>
      <c r="N105" s="46"/>
      <c r="O105" s="46"/>
      <c r="P105" s="47"/>
      <c r="Q105" s="46"/>
      <c r="R105" s="46"/>
      <c r="S105" s="48"/>
      <c r="T105" s="68" t="str">
        <f>IF(Tableau1[[#This Row],[DMS_SAP]]="","",HYPERLINK(Tableau1[[#This Row],[Chemin fichier source]],"X"))</f>
        <v/>
      </c>
      <c r="U105" s="68" t="str">
        <f>IF(Tableau1[[#This Row],[Date rév.]]="","",HYPERLINK(Tableau1[[#This Row],[Lien document]],"X"))</f>
        <v/>
      </c>
      <c r="V105" s="47"/>
      <c r="W10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05" s="47"/>
      <c r="Y105" s="47"/>
      <c r="Z105" s="44" t="str">
        <f ca="1">IF(AND(Tableau1[[#This Row],[Charge]]&lt;&gt;0, Tableau1[[#This Row],[Nombre intervenants]]&lt;&gt;0,Tableau1[[#This Row],[Lien document]]&lt;&gt;0,Tableau1[[#This Row],[DMS_SAP]]&lt;&gt;0)=TRUE,"MIS A JOUR","")</f>
        <v/>
      </c>
      <c r="AA105" s="48"/>
      <c r="AB105" s="65" t="str">
        <f ca="1">IF(Tableau1[[#This Row],[Date rév.]]&lt;&gt;"", DAYS360(Tableau1[[#This Row],[Date rév.]],TODAY()),"")</f>
        <v/>
      </c>
      <c r="AC105" s="50" t="str">
        <f>IFERROR(INDEX(Chemin_accès!$B$11:$C$22,MATCH(Tableau1[[#This Row],[Type]],Chemin_accès!$C$11:$C$22,0),1),Chemin_accès!$B$11)</f>
        <v>\\stjn.local\trimet\Btechnique\Commun\Atelier Central mécanique\Plan entretien\Modèles préventif\GammeDMS_7.MENG.xlsm</v>
      </c>
      <c r="AD105" s="50" t="str">
        <f>Chemin_accès!$B$8&amp;Tableau1[[#This Row],[Localisation / Classement]]&amp;"\"&amp;Tableau1[[#This Row],[Poste technique ou N° d''équipement]]&amp;"_"&amp;Tableau1[[#This Row],[Plan Entretien]]&amp;".xlsm"</f>
        <v>\\stjn.local\trimet\Btechnique\Commun\Atelier Central mécanique\Plan entretien\GammeEntretien\\_.xlsm</v>
      </c>
    </row>
    <row r="106" spans="1:30" x14ac:dyDescent="0.3">
      <c r="A106" s="44" t="str">
        <f t="shared" ca="1" si="1"/>
        <v>7.MENG</v>
      </c>
      <c r="B10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06" s="46"/>
      <c r="D106" s="44"/>
      <c r="E106" s="44"/>
      <c r="F106" s="47"/>
      <c r="G106" s="47"/>
      <c r="H106" s="45"/>
      <c r="I106" s="45"/>
      <c r="J106" s="45"/>
      <c r="K106" s="45"/>
      <c r="L106" s="46"/>
      <c r="M106" s="44"/>
      <c r="N106" s="46"/>
      <c r="O106" s="46"/>
      <c r="P106" s="47"/>
      <c r="Q106" s="46"/>
      <c r="R106" s="46"/>
      <c r="S106" s="48"/>
      <c r="T106" s="68" t="str">
        <f>IF(Tableau1[[#This Row],[DMS_SAP]]="","",HYPERLINK(Tableau1[[#This Row],[Chemin fichier source]],"X"))</f>
        <v/>
      </c>
      <c r="U106" s="68" t="str">
        <f>IF(Tableau1[[#This Row],[Date rév.]]="","",HYPERLINK(Tableau1[[#This Row],[Lien document]],"X"))</f>
        <v/>
      </c>
      <c r="V106" s="47"/>
      <c r="W10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06" s="47"/>
      <c r="Y106" s="47"/>
      <c r="Z106" s="44" t="str">
        <f ca="1">IF(AND(Tableau1[[#This Row],[Charge]]&lt;&gt;0, Tableau1[[#This Row],[Nombre intervenants]]&lt;&gt;0,Tableau1[[#This Row],[Lien document]]&lt;&gt;0,Tableau1[[#This Row],[DMS_SAP]]&lt;&gt;0)=TRUE,"MIS A JOUR","")</f>
        <v/>
      </c>
      <c r="AA106" s="48"/>
      <c r="AB106" s="65" t="str">
        <f ca="1">IF(Tableau1[[#This Row],[Date rév.]]&lt;&gt;"", DAYS360(Tableau1[[#This Row],[Date rév.]],TODAY()),"")</f>
        <v/>
      </c>
      <c r="AC106" s="50" t="str">
        <f>IFERROR(INDEX(Chemin_accès!$B$11:$C$22,MATCH(Tableau1[[#This Row],[Type]],Chemin_accès!$C$11:$C$22,0),1),Chemin_accès!$B$11)</f>
        <v>\\stjn.local\trimet\Btechnique\Commun\Atelier Central mécanique\Plan entretien\Modèles préventif\GammeDMS_7.MENG.xlsm</v>
      </c>
      <c r="AD106" s="50" t="str">
        <f>Chemin_accès!$B$8&amp;Tableau1[[#This Row],[Localisation / Classement]]&amp;"\"&amp;Tableau1[[#This Row],[Poste technique ou N° d''équipement]]&amp;"_"&amp;Tableau1[[#This Row],[Plan Entretien]]&amp;".xlsm"</f>
        <v>\\stjn.local\trimet\Btechnique\Commun\Atelier Central mécanique\Plan entretien\GammeEntretien\\_.xlsm</v>
      </c>
    </row>
    <row r="107" spans="1:30" x14ac:dyDescent="0.3">
      <c r="A107" s="44" t="str">
        <f t="shared" ca="1" si="1"/>
        <v>7.MENG</v>
      </c>
      <c r="B10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07" s="46"/>
      <c r="D107" s="44"/>
      <c r="E107" s="44"/>
      <c r="F107" s="47"/>
      <c r="G107" s="47"/>
      <c r="H107" s="45"/>
      <c r="I107" s="45"/>
      <c r="J107" s="45"/>
      <c r="K107" s="45"/>
      <c r="L107" s="46"/>
      <c r="M107" s="44"/>
      <c r="N107" s="46"/>
      <c r="O107" s="46"/>
      <c r="P107" s="47"/>
      <c r="Q107" s="46"/>
      <c r="R107" s="46"/>
      <c r="S107" s="48"/>
      <c r="T107" s="68" t="str">
        <f>IF(Tableau1[[#This Row],[DMS_SAP]]="","",HYPERLINK(Tableau1[[#This Row],[Chemin fichier source]],"X"))</f>
        <v/>
      </c>
      <c r="U107" s="68" t="str">
        <f>IF(Tableau1[[#This Row],[Date rév.]]="","",HYPERLINK(Tableau1[[#This Row],[Lien document]],"X"))</f>
        <v/>
      </c>
      <c r="V107" s="47"/>
      <c r="W10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07" s="47"/>
      <c r="Y107" s="47"/>
      <c r="Z107" s="44" t="str">
        <f ca="1">IF(AND(Tableau1[[#This Row],[Charge]]&lt;&gt;0, Tableau1[[#This Row],[Nombre intervenants]]&lt;&gt;0,Tableau1[[#This Row],[Lien document]]&lt;&gt;0,Tableau1[[#This Row],[DMS_SAP]]&lt;&gt;0)=TRUE,"MIS A JOUR","")</f>
        <v/>
      </c>
      <c r="AA107" s="48"/>
      <c r="AB107" s="65" t="str">
        <f ca="1">IF(Tableau1[[#This Row],[Date rév.]]&lt;&gt;"", DAYS360(Tableau1[[#This Row],[Date rév.]],TODAY()),"")</f>
        <v/>
      </c>
      <c r="AC107" s="50" t="str">
        <f>IFERROR(INDEX(Chemin_accès!$B$11:$C$22,MATCH(Tableau1[[#This Row],[Type]],Chemin_accès!$C$11:$C$22,0),1),Chemin_accès!$B$11)</f>
        <v>\\stjn.local\trimet\Btechnique\Commun\Atelier Central mécanique\Plan entretien\Modèles préventif\GammeDMS_7.MENG.xlsm</v>
      </c>
      <c r="AD107" s="50" t="str">
        <f>Chemin_accès!$B$8&amp;Tableau1[[#This Row],[Localisation / Classement]]&amp;"\"&amp;Tableau1[[#This Row],[Poste technique ou N° d''équipement]]&amp;"_"&amp;Tableau1[[#This Row],[Plan Entretien]]&amp;".xlsm"</f>
        <v>\\stjn.local\trimet\Btechnique\Commun\Atelier Central mécanique\Plan entretien\GammeEntretien\\_.xlsm</v>
      </c>
    </row>
    <row r="108" spans="1:30" x14ac:dyDescent="0.3">
      <c r="A108" s="44" t="str">
        <f t="shared" ca="1" si="1"/>
        <v>7.MENG</v>
      </c>
      <c r="B10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08" s="46"/>
      <c r="D108" s="44"/>
      <c r="E108" s="44"/>
      <c r="F108" s="47"/>
      <c r="G108" s="47"/>
      <c r="H108" s="45"/>
      <c r="I108" s="45"/>
      <c r="J108" s="45"/>
      <c r="K108" s="45"/>
      <c r="L108" s="46"/>
      <c r="M108" s="44"/>
      <c r="N108" s="46"/>
      <c r="O108" s="46"/>
      <c r="P108" s="47"/>
      <c r="Q108" s="46"/>
      <c r="R108" s="46"/>
      <c r="S108" s="48"/>
      <c r="T108" s="68" t="str">
        <f>IF(Tableau1[[#This Row],[DMS_SAP]]="","",HYPERLINK(Tableau1[[#This Row],[Chemin fichier source]],"X"))</f>
        <v/>
      </c>
      <c r="U108" s="68" t="str">
        <f>IF(Tableau1[[#This Row],[Date rév.]]="","",HYPERLINK(Tableau1[[#This Row],[Lien document]],"X"))</f>
        <v/>
      </c>
      <c r="V108" s="47"/>
      <c r="W10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08" s="47"/>
      <c r="Y108" s="47"/>
      <c r="Z108" s="44" t="str">
        <f ca="1">IF(AND(Tableau1[[#This Row],[Charge]]&lt;&gt;0, Tableau1[[#This Row],[Nombre intervenants]]&lt;&gt;0,Tableau1[[#This Row],[Lien document]]&lt;&gt;0,Tableau1[[#This Row],[DMS_SAP]]&lt;&gt;0)=TRUE,"MIS A JOUR","")</f>
        <v/>
      </c>
      <c r="AA108" s="48"/>
      <c r="AB108" s="65" t="str">
        <f ca="1">IF(Tableau1[[#This Row],[Date rév.]]&lt;&gt;"", DAYS360(Tableau1[[#This Row],[Date rév.]],TODAY()),"")</f>
        <v/>
      </c>
      <c r="AC108" s="50" t="str">
        <f>IFERROR(INDEX(Chemin_accès!$B$11:$C$22,MATCH(Tableau1[[#This Row],[Type]],Chemin_accès!$C$11:$C$22,0),1),Chemin_accès!$B$11)</f>
        <v>\\stjn.local\trimet\Btechnique\Commun\Atelier Central mécanique\Plan entretien\Modèles préventif\GammeDMS_7.MENG.xlsm</v>
      </c>
      <c r="AD108" s="50" t="str">
        <f>Chemin_accès!$B$8&amp;Tableau1[[#This Row],[Localisation / Classement]]&amp;"\"&amp;Tableau1[[#This Row],[Poste technique ou N° d''équipement]]&amp;"_"&amp;Tableau1[[#This Row],[Plan Entretien]]&amp;".xlsm"</f>
        <v>\\stjn.local\trimet\Btechnique\Commun\Atelier Central mécanique\Plan entretien\GammeEntretien\\_.xlsm</v>
      </c>
    </row>
    <row r="109" spans="1:30" x14ac:dyDescent="0.3">
      <c r="A109" s="44" t="str">
        <f t="shared" ca="1" si="1"/>
        <v>7.MENG</v>
      </c>
      <c r="B10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09" s="46"/>
      <c r="D109" s="44"/>
      <c r="E109" s="44"/>
      <c r="F109" s="47"/>
      <c r="G109" s="47"/>
      <c r="H109" s="45"/>
      <c r="I109" s="45"/>
      <c r="J109" s="45"/>
      <c r="K109" s="45"/>
      <c r="L109" s="46"/>
      <c r="M109" s="44"/>
      <c r="N109" s="46"/>
      <c r="O109" s="46"/>
      <c r="P109" s="47"/>
      <c r="Q109" s="46"/>
      <c r="R109" s="46"/>
      <c r="S109" s="48"/>
      <c r="T109" s="68" t="str">
        <f>IF(Tableau1[[#This Row],[DMS_SAP]]="","",HYPERLINK(Tableau1[[#This Row],[Chemin fichier source]],"X"))</f>
        <v/>
      </c>
      <c r="U109" s="68" t="str">
        <f>IF(Tableau1[[#This Row],[Date rév.]]="","",HYPERLINK(Tableau1[[#This Row],[Lien document]],"X"))</f>
        <v/>
      </c>
      <c r="V109" s="47"/>
      <c r="W10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09" s="47"/>
      <c r="Y109" s="47"/>
      <c r="Z109" s="44" t="str">
        <f ca="1">IF(AND(Tableau1[[#This Row],[Charge]]&lt;&gt;0, Tableau1[[#This Row],[Nombre intervenants]]&lt;&gt;0,Tableau1[[#This Row],[Lien document]]&lt;&gt;0,Tableau1[[#This Row],[DMS_SAP]]&lt;&gt;0)=TRUE,"MIS A JOUR","")</f>
        <v/>
      </c>
      <c r="AA109" s="48"/>
      <c r="AB109" s="65" t="str">
        <f ca="1">IF(Tableau1[[#This Row],[Date rév.]]&lt;&gt;"", DAYS360(Tableau1[[#This Row],[Date rév.]],TODAY()),"")</f>
        <v/>
      </c>
      <c r="AC109" s="50" t="str">
        <f>IFERROR(INDEX(Chemin_accès!$B$11:$C$22,MATCH(Tableau1[[#This Row],[Type]],Chemin_accès!$C$11:$C$22,0),1),Chemin_accès!$B$11)</f>
        <v>\\stjn.local\trimet\Btechnique\Commun\Atelier Central mécanique\Plan entretien\Modèles préventif\GammeDMS_7.MENG.xlsm</v>
      </c>
      <c r="AD109" s="50" t="str">
        <f>Chemin_accès!$B$8&amp;Tableau1[[#This Row],[Localisation / Classement]]&amp;"\"&amp;Tableau1[[#This Row],[Poste technique ou N° d''équipement]]&amp;"_"&amp;Tableau1[[#This Row],[Plan Entretien]]&amp;".xlsm"</f>
        <v>\\stjn.local\trimet\Btechnique\Commun\Atelier Central mécanique\Plan entretien\GammeEntretien\\_.xlsm</v>
      </c>
    </row>
    <row r="110" spans="1:30" x14ac:dyDescent="0.3">
      <c r="A110" s="44" t="str">
        <f t="shared" ca="1" si="1"/>
        <v>7.MENG</v>
      </c>
      <c r="B11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10" s="53"/>
      <c r="D110" s="44"/>
      <c r="E110" s="44"/>
      <c r="F110" s="47"/>
      <c r="G110" s="47"/>
      <c r="H110" s="45"/>
      <c r="I110" s="45"/>
      <c r="J110" s="45"/>
      <c r="K110" s="45"/>
      <c r="L110" s="46"/>
      <c r="M110" s="44"/>
      <c r="N110" s="46"/>
      <c r="O110" s="46"/>
      <c r="P110" s="47"/>
      <c r="Q110" s="46"/>
      <c r="R110" s="46"/>
      <c r="S110" s="48"/>
      <c r="T110" s="68" t="str">
        <f>IF(Tableau1[[#This Row],[DMS_SAP]]="","",HYPERLINK(Tableau1[[#This Row],[Chemin fichier source]],"X"))</f>
        <v/>
      </c>
      <c r="U110" s="68" t="str">
        <f>IF(Tableau1[[#This Row],[Date rév.]]="","",HYPERLINK(Tableau1[[#This Row],[Lien document]],"X"))</f>
        <v/>
      </c>
      <c r="V110" s="47"/>
      <c r="W11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10" s="47"/>
      <c r="Y110" s="47"/>
      <c r="Z110" s="44" t="str">
        <f ca="1">IF(AND(Tableau1[[#This Row],[Charge]]&lt;&gt;0, Tableau1[[#This Row],[Nombre intervenants]]&lt;&gt;0,Tableau1[[#This Row],[Lien document]]&lt;&gt;0,Tableau1[[#This Row],[DMS_SAP]]&lt;&gt;0)=TRUE,"MIS A JOUR","")</f>
        <v/>
      </c>
      <c r="AA110" s="48"/>
      <c r="AB110" s="65" t="str">
        <f ca="1">IF(Tableau1[[#This Row],[Date rév.]]&lt;&gt;"", DAYS360(Tableau1[[#This Row],[Date rév.]],TODAY()),"")</f>
        <v/>
      </c>
      <c r="AC110" s="50" t="str">
        <f>IFERROR(INDEX(Chemin_accès!$B$11:$C$22,MATCH(Tableau1[[#This Row],[Type]],Chemin_accès!$C$11:$C$22,0),1),Chemin_accès!$B$11)</f>
        <v>\\stjn.local\trimet\Btechnique\Commun\Atelier Central mécanique\Plan entretien\Modèles préventif\GammeDMS_7.MENG.xlsm</v>
      </c>
      <c r="AD110" s="50" t="str">
        <f>Chemin_accès!$B$8&amp;Tableau1[[#This Row],[Localisation / Classement]]&amp;"\"&amp;Tableau1[[#This Row],[Poste technique ou N° d''équipement]]&amp;"_"&amp;Tableau1[[#This Row],[Plan Entretien]]&amp;".xlsm"</f>
        <v>\\stjn.local\trimet\Btechnique\Commun\Atelier Central mécanique\Plan entretien\GammeEntretien\\_.xlsm</v>
      </c>
    </row>
    <row r="111" spans="1:30" x14ac:dyDescent="0.3">
      <c r="A111" s="44" t="str">
        <f t="shared" ca="1" si="1"/>
        <v>7.MENG</v>
      </c>
      <c r="B11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11" s="53"/>
      <c r="D111" s="44"/>
      <c r="E111" s="44"/>
      <c r="F111" s="47"/>
      <c r="G111" s="47"/>
      <c r="H111" s="45"/>
      <c r="I111" s="45"/>
      <c r="J111" s="45"/>
      <c r="K111" s="45"/>
      <c r="L111" s="46"/>
      <c r="M111" s="44"/>
      <c r="N111" s="46"/>
      <c r="O111" s="46"/>
      <c r="P111" s="47"/>
      <c r="Q111" s="46"/>
      <c r="R111" s="46"/>
      <c r="S111" s="48"/>
      <c r="T111" s="68" t="str">
        <f>IF(Tableau1[[#This Row],[DMS_SAP]]="","",HYPERLINK(Tableau1[[#This Row],[Chemin fichier source]],"X"))</f>
        <v/>
      </c>
      <c r="U111" s="68" t="str">
        <f>IF(Tableau1[[#This Row],[Date rév.]]="","",HYPERLINK(Tableau1[[#This Row],[Lien document]],"X"))</f>
        <v/>
      </c>
      <c r="V111" s="47"/>
      <c r="W11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11" s="47"/>
      <c r="Y111" s="47"/>
      <c r="Z111" s="44" t="str">
        <f ca="1">IF(AND(Tableau1[[#This Row],[Charge]]&lt;&gt;0, Tableau1[[#This Row],[Nombre intervenants]]&lt;&gt;0,Tableau1[[#This Row],[Lien document]]&lt;&gt;0,Tableau1[[#This Row],[DMS_SAP]]&lt;&gt;0)=TRUE,"MIS A JOUR","")</f>
        <v/>
      </c>
      <c r="AA111" s="48"/>
      <c r="AB111" s="65" t="str">
        <f ca="1">IF(Tableau1[[#This Row],[Date rév.]]&lt;&gt;"", DAYS360(Tableau1[[#This Row],[Date rév.]],TODAY()),"")</f>
        <v/>
      </c>
      <c r="AC111" s="50" t="str">
        <f>IFERROR(INDEX(Chemin_accès!$B$11:$C$22,MATCH(Tableau1[[#This Row],[Type]],Chemin_accès!$C$11:$C$22,0),1),Chemin_accès!$B$11)</f>
        <v>\\stjn.local\trimet\Btechnique\Commun\Atelier Central mécanique\Plan entretien\Modèles préventif\GammeDMS_7.MENG.xlsm</v>
      </c>
      <c r="AD111" s="50" t="str">
        <f>Chemin_accès!$B$8&amp;Tableau1[[#This Row],[Localisation / Classement]]&amp;"\"&amp;Tableau1[[#This Row],[Poste technique ou N° d''équipement]]&amp;"_"&amp;Tableau1[[#This Row],[Plan Entretien]]&amp;".xlsm"</f>
        <v>\\stjn.local\trimet\Btechnique\Commun\Atelier Central mécanique\Plan entretien\GammeEntretien\\_.xlsm</v>
      </c>
    </row>
    <row r="112" spans="1:30" x14ac:dyDescent="0.3">
      <c r="A112" s="44" t="str">
        <f t="shared" ca="1" si="1"/>
        <v>7.MENG</v>
      </c>
      <c r="B11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12" s="53"/>
      <c r="D112" s="44"/>
      <c r="E112" s="44"/>
      <c r="F112" s="47"/>
      <c r="G112" s="47"/>
      <c r="H112" s="45"/>
      <c r="I112" s="45"/>
      <c r="J112" s="45"/>
      <c r="K112" s="45"/>
      <c r="L112" s="46"/>
      <c r="M112" s="44"/>
      <c r="N112" s="46"/>
      <c r="O112" s="46"/>
      <c r="P112" s="47"/>
      <c r="Q112" s="46"/>
      <c r="R112" s="46"/>
      <c r="S112" s="48"/>
      <c r="T112" s="68" t="str">
        <f>IF(Tableau1[[#This Row],[DMS_SAP]]="","",HYPERLINK(Tableau1[[#This Row],[Chemin fichier source]],"X"))</f>
        <v/>
      </c>
      <c r="U112" s="68" t="str">
        <f>IF(Tableau1[[#This Row],[Date rév.]]="","",HYPERLINK(Tableau1[[#This Row],[Lien document]],"X"))</f>
        <v/>
      </c>
      <c r="V112" s="47"/>
      <c r="W11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12" s="47"/>
      <c r="Y112" s="47"/>
      <c r="Z112" s="44" t="str">
        <f ca="1">IF(AND(Tableau1[[#This Row],[Charge]]&lt;&gt;0, Tableau1[[#This Row],[Nombre intervenants]]&lt;&gt;0,Tableau1[[#This Row],[Lien document]]&lt;&gt;0,Tableau1[[#This Row],[DMS_SAP]]&lt;&gt;0)=TRUE,"MIS A JOUR","")</f>
        <v/>
      </c>
      <c r="AA112" s="48"/>
      <c r="AB112" s="65" t="str">
        <f ca="1">IF(Tableau1[[#This Row],[Date rév.]]&lt;&gt;"", DAYS360(Tableau1[[#This Row],[Date rév.]],TODAY()),"")</f>
        <v/>
      </c>
      <c r="AC112" s="50" t="str">
        <f>IFERROR(INDEX(Chemin_accès!$B$11:$C$22,MATCH(Tableau1[[#This Row],[Type]],Chemin_accès!$C$11:$C$22,0),1),Chemin_accès!$B$11)</f>
        <v>\\stjn.local\trimet\Btechnique\Commun\Atelier Central mécanique\Plan entretien\Modèles préventif\GammeDMS_7.MENG.xlsm</v>
      </c>
      <c r="AD112" s="50" t="str">
        <f>Chemin_accès!$B$8&amp;Tableau1[[#This Row],[Localisation / Classement]]&amp;"\"&amp;Tableau1[[#This Row],[Poste technique ou N° d''équipement]]&amp;"_"&amp;Tableau1[[#This Row],[Plan Entretien]]&amp;".xlsm"</f>
        <v>\\stjn.local\trimet\Btechnique\Commun\Atelier Central mécanique\Plan entretien\GammeEntretien\\_.xlsm</v>
      </c>
    </row>
    <row r="113" spans="1:30" x14ac:dyDescent="0.3">
      <c r="A113" s="44" t="str">
        <f t="shared" ca="1" si="1"/>
        <v>7.MENG</v>
      </c>
      <c r="B11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13" s="46"/>
      <c r="D113" s="44"/>
      <c r="E113" s="44"/>
      <c r="F113" s="47"/>
      <c r="G113" s="47"/>
      <c r="H113" s="45"/>
      <c r="I113" s="45"/>
      <c r="J113" s="45"/>
      <c r="K113" s="45"/>
      <c r="L113" s="46"/>
      <c r="M113" s="44"/>
      <c r="N113" s="46"/>
      <c r="O113" s="46"/>
      <c r="P113" s="47"/>
      <c r="Q113" s="46"/>
      <c r="R113" s="46"/>
      <c r="S113" s="48"/>
      <c r="T113" s="68" t="str">
        <f>IF(Tableau1[[#This Row],[DMS_SAP]]="","",HYPERLINK(Tableau1[[#This Row],[Chemin fichier source]],"X"))</f>
        <v/>
      </c>
      <c r="U113" s="68" t="str">
        <f>IF(Tableau1[[#This Row],[Date rév.]]="","",HYPERLINK(Tableau1[[#This Row],[Lien document]],"X"))</f>
        <v/>
      </c>
      <c r="V113" s="47"/>
      <c r="W11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13" s="47"/>
      <c r="Y113" s="47"/>
      <c r="Z113" s="44" t="str">
        <f ca="1">IF(AND(Tableau1[[#This Row],[Charge]]&lt;&gt;0, Tableau1[[#This Row],[Nombre intervenants]]&lt;&gt;0,Tableau1[[#This Row],[Lien document]]&lt;&gt;0,Tableau1[[#This Row],[DMS_SAP]]&lt;&gt;0)=TRUE,"MIS A JOUR","")</f>
        <v/>
      </c>
      <c r="AA113" s="48"/>
      <c r="AB113" s="65" t="str">
        <f ca="1">IF(Tableau1[[#This Row],[Date rév.]]&lt;&gt;"", DAYS360(Tableau1[[#This Row],[Date rév.]],TODAY()),"")</f>
        <v/>
      </c>
      <c r="AC113" s="50" t="str">
        <f>IFERROR(INDEX(Chemin_accès!$B$11:$C$22,MATCH(Tableau1[[#This Row],[Type]],Chemin_accès!$C$11:$C$22,0),1),Chemin_accès!$B$11)</f>
        <v>\\stjn.local\trimet\Btechnique\Commun\Atelier Central mécanique\Plan entretien\Modèles préventif\GammeDMS_7.MENG.xlsm</v>
      </c>
      <c r="AD113" s="50" t="str">
        <f>Chemin_accès!$B$8&amp;Tableau1[[#This Row],[Localisation / Classement]]&amp;"\"&amp;Tableau1[[#This Row],[Poste technique ou N° d''équipement]]&amp;"_"&amp;Tableau1[[#This Row],[Plan Entretien]]&amp;".xlsm"</f>
        <v>\\stjn.local\trimet\Btechnique\Commun\Atelier Central mécanique\Plan entretien\GammeEntretien\\_.xlsm</v>
      </c>
    </row>
    <row r="114" spans="1:30" x14ac:dyDescent="0.3">
      <c r="A114" s="44" t="str">
        <f t="shared" ca="1" si="1"/>
        <v>7.MENG</v>
      </c>
      <c r="B11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14" s="46"/>
      <c r="D114" s="44"/>
      <c r="E114" s="44"/>
      <c r="F114" s="47"/>
      <c r="G114" s="47"/>
      <c r="H114" s="45"/>
      <c r="I114" s="45"/>
      <c r="J114" s="45"/>
      <c r="K114" s="45"/>
      <c r="L114" s="46"/>
      <c r="M114" s="44"/>
      <c r="N114" s="46"/>
      <c r="O114" s="46"/>
      <c r="P114" s="47"/>
      <c r="Q114" s="46"/>
      <c r="R114" s="46"/>
      <c r="S114" s="48"/>
      <c r="T114" s="68" t="str">
        <f>IF(Tableau1[[#This Row],[DMS_SAP]]="","",HYPERLINK(Tableau1[[#This Row],[Chemin fichier source]],"X"))</f>
        <v/>
      </c>
      <c r="U114" s="68" t="str">
        <f>IF(Tableau1[[#This Row],[Date rév.]]="","",HYPERLINK(Tableau1[[#This Row],[Lien document]],"X"))</f>
        <v/>
      </c>
      <c r="V114" s="47"/>
      <c r="W11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14" s="47"/>
      <c r="Y114" s="47"/>
      <c r="Z114" s="44" t="str">
        <f ca="1">IF(AND(Tableau1[[#This Row],[Charge]]&lt;&gt;0, Tableau1[[#This Row],[Nombre intervenants]]&lt;&gt;0,Tableau1[[#This Row],[Lien document]]&lt;&gt;0,Tableau1[[#This Row],[DMS_SAP]]&lt;&gt;0)=TRUE,"MIS A JOUR","")</f>
        <v/>
      </c>
      <c r="AA114" s="48"/>
      <c r="AB114" s="65" t="str">
        <f ca="1">IF(Tableau1[[#This Row],[Date rév.]]&lt;&gt;"", DAYS360(Tableau1[[#This Row],[Date rév.]],TODAY()),"")</f>
        <v/>
      </c>
      <c r="AC114" s="50" t="str">
        <f>IFERROR(INDEX(Chemin_accès!$B$11:$C$22,MATCH(Tableau1[[#This Row],[Type]],Chemin_accès!$C$11:$C$22,0),1),Chemin_accès!$B$11)</f>
        <v>\\stjn.local\trimet\Btechnique\Commun\Atelier Central mécanique\Plan entretien\Modèles préventif\GammeDMS_7.MENG.xlsm</v>
      </c>
      <c r="AD114" s="50" t="str">
        <f>Chemin_accès!$B$8&amp;Tableau1[[#This Row],[Localisation / Classement]]&amp;"\"&amp;Tableau1[[#This Row],[Poste technique ou N° d''équipement]]&amp;"_"&amp;Tableau1[[#This Row],[Plan Entretien]]&amp;".xlsm"</f>
        <v>\\stjn.local\trimet\Btechnique\Commun\Atelier Central mécanique\Plan entretien\GammeEntretien\\_.xlsm</v>
      </c>
    </row>
    <row r="115" spans="1:30" x14ac:dyDescent="0.3">
      <c r="A115" s="44" t="str">
        <f t="shared" ca="1" si="1"/>
        <v>7.MENG</v>
      </c>
      <c r="B11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15" s="46"/>
      <c r="D115" s="44"/>
      <c r="E115" s="44"/>
      <c r="F115" s="47"/>
      <c r="G115" s="47"/>
      <c r="H115" s="45"/>
      <c r="I115" s="45"/>
      <c r="J115" s="45"/>
      <c r="K115" s="45"/>
      <c r="L115" s="46"/>
      <c r="M115" s="44"/>
      <c r="N115" s="46"/>
      <c r="O115" s="46"/>
      <c r="P115" s="47"/>
      <c r="Q115" s="46"/>
      <c r="R115" s="46"/>
      <c r="S115" s="48"/>
      <c r="T115" s="68" t="str">
        <f>IF(Tableau1[[#This Row],[DMS_SAP]]="","",HYPERLINK(Tableau1[[#This Row],[Chemin fichier source]],"X"))</f>
        <v/>
      </c>
      <c r="U115" s="68" t="str">
        <f>IF(Tableau1[[#This Row],[Date rév.]]="","",HYPERLINK(Tableau1[[#This Row],[Lien document]],"X"))</f>
        <v/>
      </c>
      <c r="V115" s="47"/>
      <c r="W11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15" s="47"/>
      <c r="Y115" s="47"/>
      <c r="Z115" s="44" t="str">
        <f ca="1">IF(AND(Tableau1[[#This Row],[Charge]]&lt;&gt;0, Tableau1[[#This Row],[Nombre intervenants]]&lt;&gt;0,Tableau1[[#This Row],[Lien document]]&lt;&gt;0,Tableau1[[#This Row],[DMS_SAP]]&lt;&gt;0)=TRUE,"MIS A JOUR","")</f>
        <v/>
      </c>
      <c r="AA115" s="48"/>
      <c r="AB115" s="65" t="str">
        <f ca="1">IF(Tableau1[[#This Row],[Date rév.]]&lt;&gt;"", DAYS360(Tableau1[[#This Row],[Date rév.]],TODAY()),"")</f>
        <v/>
      </c>
      <c r="AC115" s="50" t="str">
        <f>IFERROR(INDEX(Chemin_accès!$B$11:$C$22,MATCH(Tableau1[[#This Row],[Type]],Chemin_accès!$C$11:$C$22,0),1),Chemin_accès!$B$11)</f>
        <v>\\stjn.local\trimet\Btechnique\Commun\Atelier Central mécanique\Plan entretien\Modèles préventif\GammeDMS_7.MENG.xlsm</v>
      </c>
      <c r="AD115" s="50" t="str">
        <f>Chemin_accès!$B$8&amp;Tableau1[[#This Row],[Localisation / Classement]]&amp;"\"&amp;Tableau1[[#This Row],[Poste technique ou N° d''équipement]]&amp;"_"&amp;Tableau1[[#This Row],[Plan Entretien]]&amp;".xlsm"</f>
        <v>\\stjn.local\trimet\Btechnique\Commun\Atelier Central mécanique\Plan entretien\GammeEntretien\\_.xlsm</v>
      </c>
    </row>
    <row r="116" spans="1:30" x14ac:dyDescent="0.3">
      <c r="A116" s="44" t="str">
        <f t="shared" ca="1" si="1"/>
        <v>7.MENG</v>
      </c>
      <c r="B11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16" s="46"/>
      <c r="D116" s="44"/>
      <c r="E116" s="44"/>
      <c r="F116" s="44"/>
      <c r="G116" s="44"/>
      <c r="H116" s="45"/>
      <c r="I116" s="45"/>
      <c r="J116" s="45"/>
      <c r="K116" s="45"/>
      <c r="L116" s="46"/>
      <c r="M116" s="44"/>
      <c r="N116" s="46"/>
      <c r="O116" s="46"/>
      <c r="P116" s="47"/>
      <c r="Q116" s="46"/>
      <c r="R116" s="46"/>
      <c r="S116" s="48"/>
      <c r="T116" s="68" t="str">
        <f>IF(Tableau1[[#This Row],[DMS_SAP]]="","",HYPERLINK(Tableau1[[#This Row],[Chemin fichier source]],"X"))</f>
        <v/>
      </c>
      <c r="U116" s="68" t="str">
        <f>IF(Tableau1[[#This Row],[Date rév.]]="","",HYPERLINK(Tableau1[[#This Row],[Lien document]],"X"))</f>
        <v/>
      </c>
      <c r="V116" s="47"/>
      <c r="W11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16" s="47"/>
      <c r="Y116" s="47"/>
      <c r="Z116" s="44" t="str">
        <f ca="1">IF(AND(Tableau1[[#This Row],[Charge]]&lt;&gt;0, Tableau1[[#This Row],[Nombre intervenants]]&lt;&gt;0,Tableau1[[#This Row],[Lien document]]&lt;&gt;0,Tableau1[[#This Row],[DMS_SAP]]&lt;&gt;0)=TRUE,"MIS A JOUR","")</f>
        <v/>
      </c>
      <c r="AA116" s="48"/>
      <c r="AB116" s="65" t="str">
        <f ca="1">IF(Tableau1[[#This Row],[Date rév.]]&lt;&gt;"", DAYS360(Tableau1[[#This Row],[Date rév.]],TODAY()),"")</f>
        <v/>
      </c>
      <c r="AC116" s="50" t="str">
        <f>IFERROR(INDEX(Chemin_accès!$B$11:$C$22,MATCH(Tableau1[[#This Row],[Type]],Chemin_accès!$C$11:$C$22,0),1),Chemin_accès!$B$11)</f>
        <v>\\stjn.local\trimet\Btechnique\Commun\Atelier Central mécanique\Plan entretien\Modèles préventif\GammeDMS_7.MENG.xlsm</v>
      </c>
      <c r="AD116" s="50" t="str">
        <f>Chemin_accès!$B$8&amp;Tableau1[[#This Row],[Localisation / Classement]]&amp;"\"&amp;Tableau1[[#This Row],[Poste technique ou N° d''équipement]]&amp;"_"&amp;Tableau1[[#This Row],[Plan Entretien]]&amp;".xlsm"</f>
        <v>\\stjn.local\trimet\Btechnique\Commun\Atelier Central mécanique\Plan entretien\GammeEntretien\\_.xlsm</v>
      </c>
    </row>
    <row r="117" spans="1:30" x14ac:dyDescent="0.3">
      <c r="A117" s="44" t="str">
        <f t="shared" ca="1" si="1"/>
        <v>7.MENG</v>
      </c>
      <c r="B11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17" s="46"/>
      <c r="D117" s="44"/>
      <c r="E117" s="44"/>
      <c r="F117" s="47"/>
      <c r="G117" s="47"/>
      <c r="H117" s="45"/>
      <c r="I117" s="45"/>
      <c r="J117" s="45"/>
      <c r="K117" s="45"/>
      <c r="L117" s="46"/>
      <c r="M117" s="44"/>
      <c r="N117" s="46"/>
      <c r="O117" s="46"/>
      <c r="P117" s="47"/>
      <c r="Q117" s="46"/>
      <c r="R117" s="46"/>
      <c r="S117" s="48"/>
      <c r="T117" s="68" t="str">
        <f>IF(Tableau1[[#This Row],[DMS_SAP]]="","",HYPERLINK(Tableau1[[#This Row],[Chemin fichier source]],"X"))</f>
        <v/>
      </c>
      <c r="U117" s="68" t="str">
        <f>IF(Tableau1[[#This Row],[Date rév.]]="","",HYPERLINK(Tableau1[[#This Row],[Lien document]],"X"))</f>
        <v/>
      </c>
      <c r="V117" s="47"/>
      <c r="W11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17" s="47"/>
      <c r="Y117" s="47"/>
      <c r="Z117" s="44" t="str">
        <f ca="1">IF(AND(Tableau1[[#This Row],[Charge]]&lt;&gt;0, Tableau1[[#This Row],[Nombre intervenants]]&lt;&gt;0,Tableau1[[#This Row],[Lien document]]&lt;&gt;0,Tableau1[[#This Row],[DMS_SAP]]&lt;&gt;0)=TRUE,"MIS A JOUR","")</f>
        <v/>
      </c>
      <c r="AA117" s="48"/>
      <c r="AB117" s="65" t="str">
        <f ca="1">IF(Tableau1[[#This Row],[Date rév.]]&lt;&gt;"", DAYS360(Tableau1[[#This Row],[Date rév.]],TODAY()),"")</f>
        <v/>
      </c>
      <c r="AC117" s="50" t="str">
        <f>IFERROR(INDEX(Chemin_accès!$B$11:$C$22,MATCH(Tableau1[[#This Row],[Type]],Chemin_accès!$C$11:$C$22,0),1),Chemin_accès!$B$11)</f>
        <v>\\stjn.local\trimet\Btechnique\Commun\Atelier Central mécanique\Plan entretien\Modèles préventif\GammeDMS_7.MENG.xlsm</v>
      </c>
      <c r="AD117" s="50" t="str">
        <f>Chemin_accès!$B$8&amp;Tableau1[[#This Row],[Localisation / Classement]]&amp;"\"&amp;Tableau1[[#This Row],[Poste technique ou N° d''équipement]]&amp;"_"&amp;Tableau1[[#This Row],[Plan Entretien]]&amp;".xlsm"</f>
        <v>\\stjn.local\trimet\Btechnique\Commun\Atelier Central mécanique\Plan entretien\GammeEntretien\\_.xlsm</v>
      </c>
    </row>
    <row r="118" spans="1:30" x14ac:dyDescent="0.3">
      <c r="A118" s="44" t="str">
        <f t="shared" ca="1" si="1"/>
        <v>7.MENG</v>
      </c>
      <c r="B11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18" s="46"/>
      <c r="D118" s="44"/>
      <c r="E118" s="44"/>
      <c r="F118" s="44"/>
      <c r="G118" s="44"/>
      <c r="H118" s="45"/>
      <c r="I118" s="45"/>
      <c r="J118" s="45"/>
      <c r="K118" s="45"/>
      <c r="L118" s="46"/>
      <c r="M118" s="44"/>
      <c r="N118" s="46"/>
      <c r="O118" s="46"/>
      <c r="P118" s="47"/>
      <c r="Q118" s="46"/>
      <c r="R118" s="46"/>
      <c r="S118" s="48"/>
      <c r="T118" s="68" t="str">
        <f>IF(Tableau1[[#This Row],[DMS_SAP]]="","",HYPERLINK(Tableau1[[#This Row],[Chemin fichier source]],"X"))</f>
        <v/>
      </c>
      <c r="U118" s="68" t="str">
        <f>IF(Tableau1[[#This Row],[Date rév.]]="","",HYPERLINK(Tableau1[[#This Row],[Lien document]],"X"))</f>
        <v/>
      </c>
      <c r="V118" s="47"/>
      <c r="W11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18" s="47"/>
      <c r="Y118" s="47"/>
      <c r="Z118" s="44" t="str">
        <f ca="1">IF(AND(Tableau1[[#This Row],[Charge]]&lt;&gt;0, Tableau1[[#This Row],[Nombre intervenants]]&lt;&gt;0,Tableau1[[#This Row],[Lien document]]&lt;&gt;0,Tableau1[[#This Row],[DMS_SAP]]&lt;&gt;0)=TRUE,"MIS A JOUR","")</f>
        <v/>
      </c>
      <c r="AA118" s="48"/>
      <c r="AB118" s="65" t="str">
        <f ca="1">IF(Tableau1[[#This Row],[Date rév.]]&lt;&gt;"", DAYS360(Tableau1[[#This Row],[Date rév.]],TODAY()),"")</f>
        <v/>
      </c>
      <c r="AC118" s="50" t="str">
        <f>IFERROR(INDEX(Chemin_accès!$B$11:$C$22,MATCH(Tableau1[[#This Row],[Type]],Chemin_accès!$C$11:$C$22,0),1),Chemin_accès!$B$11)</f>
        <v>\\stjn.local\trimet\Btechnique\Commun\Atelier Central mécanique\Plan entretien\Modèles préventif\GammeDMS_7.MENG.xlsm</v>
      </c>
      <c r="AD118" s="50" t="str">
        <f>Chemin_accès!$B$8&amp;Tableau1[[#This Row],[Localisation / Classement]]&amp;"\"&amp;Tableau1[[#This Row],[Poste technique ou N° d''équipement]]&amp;"_"&amp;Tableau1[[#This Row],[Plan Entretien]]&amp;".xlsm"</f>
        <v>\\stjn.local\trimet\Btechnique\Commun\Atelier Central mécanique\Plan entretien\GammeEntretien\\_.xlsm</v>
      </c>
    </row>
    <row r="119" spans="1:30" x14ac:dyDescent="0.3">
      <c r="A119" s="44" t="str">
        <f t="shared" ca="1" si="1"/>
        <v>7.MENG</v>
      </c>
      <c r="B11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19" s="46"/>
      <c r="D119" s="44"/>
      <c r="E119" s="44"/>
      <c r="F119" s="47"/>
      <c r="G119" s="47"/>
      <c r="H119" s="45"/>
      <c r="I119" s="45"/>
      <c r="J119" s="45"/>
      <c r="K119" s="45"/>
      <c r="L119" s="46"/>
      <c r="M119" s="44"/>
      <c r="N119" s="46"/>
      <c r="O119" s="46"/>
      <c r="P119" s="47"/>
      <c r="Q119" s="46"/>
      <c r="R119" s="46"/>
      <c r="S119" s="48"/>
      <c r="T119" s="68" t="str">
        <f>IF(Tableau1[[#This Row],[DMS_SAP]]="","",HYPERLINK(Tableau1[[#This Row],[Chemin fichier source]],"X"))</f>
        <v/>
      </c>
      <c r="U119" s="68" t="str">
        <f>IF(Tableau1[[#This Row],[Date rév.]]="","",HYPERLINK(Tableau1[[#This Row],[Lien document]],"X"))</f>
        <v/>
      </c>
      <c r="V119" s="47"/>
      <c r="W11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19" s="47"/>
      <c r="Y119" s="47"/>
      <c r="Z119" s="44" t="str">
        <f ca="1">IF(AND(Tableau1[[#This Row],[Charge]]&lt;&gt;0, Tableau1[[#This Row],[Nombre intervenants]]&lt;&gt;0,Tableau1[[#This Row],[Lien document]]&lt;&gt;0,Tableau1[[#This Row],[DMS_SAP]]&lt;&gt;0)=TRUE,"MIS A JOUR","")</f>
        <v/>
      </c>
      <c r="AA119" s="48"/>
      <c r="AB119" s="65" t="str">
        <f ca="1">IF(Tableau1[[#This Row],[Date rév.]]&lt;&gt;"", DAYS360(Tableau1[[#This Row],[Date rév.]],TODAY()),"")</f>
        <v/>
      </c>
      <c r="AC119" s="50" t="str">
        <f>IFERROR(INDEX(Chemin_accès!$B$11:$C$22,MATCH(Tableau1[[#This Row],[Type]],Chemin_accès!$C$11:$C$22,0),1),Chemin_accès!$B$11)</f>
        <v>\\stjn.local\trimet\Btechnique\Commun\Atelier Central mécanique\Plan entretien\Modèles préventif\GammeDMS_7.MENG.xlsm</v>
      </c>
      <c r="AD119" s="50" t="str">
        <f>Chemin_accès!$B$8&amp;Tableau1[[#This Row],[Localisation / Classement]]&amp;"\"&amp;Tableau1[[#This Row],[Poste technique ou N° d''équipement]]&amp;"_"&amp;Tableau1[[#This Row],[Plan Entretien]]&amp;".xlsm"</f>
        <v>\\stjn.local\trimet\Btechnique\Commun\Atelier Central mécanique\Plan entretien\GammeEntretien\\_.xlsm</v>
      </c>
    </row>
    <row r="120" spans="1:30" x14ac:dyDescent="0.3">
      <c r="A120" s="44" t="str">
        <f t="shared" ca="1" si="1"/>
        <v>7.MENG</v>
      </c>
      <c r="B12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20" s="46"/>
      <c r="D120" s="44"/>
      <c r="E120" s="44"/>
      <c r="F120" s="47"/>
      <c r="G120" s="47"/>
      <c r="H120" s="45"/>
      <c r="I120" s="45"/>
      <c r="J120" s="45"/>
      <c r="K120" s="45"/>
      <c r="L120" s="46"/>
      <c r="M120" s="44"/>
      <c r="N120" s="46"/>
      <c r="O120" s="46"/>
      <c r="P120" s="47"/>
      <c r="Q120" s="46"/>
      <c r="R120" s="46"/>
      <c r="S120" s="48"/>
      <c r="T120" s="68" t="str">
        <f>IF(Tableau1[[#This Row],[DMS_SAP]]="","",HYPERLINK(Tableau1[[#This Row],[Chemin fichier source]],"X"))</f>
        <v/>
      </c>
      <c r="U120" s="68" t="str">
        <f>IF(Tableau1[[#This Row],[Date rév.]]="","",HYPERLINK(Tableau1[[#This Row],[Lien document]],"X"))</f>
        <v/>
      </c>
      <c r="V120" s="47"/>
      <c r="W12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20" s="47"/>
      <c r="Y120" s="47"/>
      <c r="Z120" s="44" t="str">
        <f ca="1">IF(AND(Tableau1[[#This Row],[Charge]]&lt;&gt;0, Tableau1[[#This Row],[Nombre intervenants]]&lt;&gt;0,Tableau1[[#This Row],[Lien document]]&lt;&gt;0,Tableau1[[#This Row],[DMS_SAP]]&lt;&gt;0)=TRUE,"MIS A JOUR","")</f>
        <v/>
      </c>
      <c r="AA120" s="48"/>
      <c r="AB120" s="65" t="str">
        <f ca="1">IF(Tableau1[[#This Row],[Date rév.]]&lt;&gt;"", DAYS360(Tableau1[[#This Row],[Date rév.]],TODAY()),"")</f>
        <v/>
      </c>
      <c r="AC120" s="50" t="str">
        <f>IFERROR(INDEX(Chemin_accès!$B$11:$C$22,MATCH(Tableau1[[#This Row],[Type]],Chemin_accès!$C$11:$C$22,0),1),Chemin_accès!$B$11)</f>
        <v>\\stjn.local\trimet\Btechnique\Commun\Atelier Central mécanique\Plan entretien\Modèles préventif\GammeDMS_7.MENG.xlsm</v>
      </c>
      <c r="AD120" s="50" t="str">
        <f>Chemin_accès!$B$8&amp;Tableau1[[#This Row],[Localisation / Classement]]&amp;"\"&amp;Tableau1[[#This Row],[Poste technique ou N° d''équipement]]&amp;"_"&amp;Tableau1[[#This Row],[Plan Entretien]]&amp;".xlsm"</f>
        <v>\\stjn.local\trimet\Btechnique\Commun\Atelier Central mécanique\Plan entretien\GammeEntretien\\_.xlsm</v>
      </c>
    </row>
    <row r="121" spans="1:30" x14ac:dyDescent="0.3">
      <c r="A121" s="44" t="str">
        <f t="shared" ca="1" si="1"/>
        <v>7.MENG</v>
      </c>
      <c r="B12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21" s="46"/>
      <c r="D121" s="44"/>
      <c r="E121" s="44"/>
      <c r="F121" s="47"/>
      <c r="G121" s="47"/>
      <c r="H121" s="45"/>
      <c r="I121" s="45"/>
      <c r="J121" s="45"/>
      <c r="K121" s="45"/>
      <c r="L121" s="46"/>
      <c r="M121" s="47"/>
      <c r="N121" s="46"/>
      <c r="O121" s="46"/>
      <c r="P121" s="47"/>
      <c r="Q121" s="46"/>
      <c r="R121" s="46"/>
      <c r="S121" s="48"/>
      <c r="T121" s="68" t="str">
        <f>IF(Tableau1[[#This Row],[DMS_SAP]]="","",HYPERLINK(Tableau1[[#This Row],[Chemin fichier source]],"X"))</f>
        <v/>
      </c>
      <c r="U121" s="68" t="str">
        <f>IF(Tableau1[[#This Row],[Date rév.]]="","",HYPERLINK(Tableau1[[#This Row],[Lien document]],"X"))</f>
        <v/>
      </c>
      <c r="V121" s="47"/>
      <c r="W12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21" s="47"/>
      <c r="Y121" s="47"/>
      <c r="Z121" s="44" t="str">
        <f ca="1">IF(AND(Tableau1[[#This Row],[Charge]]&lt;&gt;0, Tableau1[[#This Row],[Nombre intervenants]]&lt;&gt;0,Tableau1[[#This Row],[Lien document]]&lt;&gt;0,Tableau1[[#This Row],[DMS_SAP]]&lt;&gt;0)=TRUE,"MIS A JOUR","")</f>
        <v/>
      </c>
      <c r="AA121" s="48"/>
      <c r="AB121" s="65" t="str">
        <f ca="1">IF(Tableau1[[#This Row],[Date rév.]]&lt;&gt;"", DAYS360(Tableau1[[#This Row],[Date rév.]],TODAY()),"")</f>
        <v/>
      </c>
      <c r="AC121" s="50" t="str">
        <f>IFERROR(INDEX(Chemin_accès!$B$11:$C$22,MATCH(Tableau1[[#This Row],[Type]],Chemin_accès!$C$11:$C$22,0),1),Chemin_accès!$B$11)</f>
        <v>\\stjn.local\trimet\Btechnique\Commun\Atelier Central mécanique\Plan entretien\Modèles préventif\GammeDMS_7.MENG.xlsm</v>
      </c>
      <c r="AD121" s="50" t="str">
        <f>Chemin_accès!$B$8&amp;Tableau1[[#This Row],[Localisation / Classement]]&amp;"\"&amp;Tableau1[[#This Row],[Poste technique ou N° d''équipement]]&amp;"_"&amp;Tableau1[[#This Row],[Plan Entretien]]&amp;".xlsm"</f>
        <v>\\stjn.local\trimet\Btechnique\Commun\Atelier Central mécanique\Plan entretien\GammeEntretien\\_.xlsm</v>
      </c>
    </row>
    <row r="122" spans="1:30" x14ac:dyDescent="0.3">
      <c r="A122" s="44" t="str">
        <f t="shared" ca="1" si="1"/>
        <v>7.MENG</v>
      </c>
      <c r="B12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22" s="46"/>
      <c r="D122" s="44"/>
      <c r="E122" s="44"/>
      <c r="F122" s="47"/>
      <c r="G122" s="47"/>
      <c r="H122" s="45"/>
      <c r="I122" s="45"/>
      <c r="J122" s="45"/>
      <c r="K122" s="45"/>
      <c r="L122" s="46"/>
      <c r="M122" s="47"/>
      <c r="N122" s="46"/>
      <c r="O122" s="46"/>
      <c r="P122" s="47"/>
      <c r="Q122" s="46"/>
      <c r="R122" s="46"/>
      <c r="S122" s="48"/>
      <c r="T122" s="68" t="str">
        <f>IF(Tableau1[[#This Row],[DMS_SAP]]="","",HYPERLINK(Tableau1[[#This Row],[Chemin fichier source]],"X"))</f>
        <v/>
      </c>
      <c r="U122" s="68" t="str">
        <f>IF(Tableau1[[#This Row],[Date rév.]]="","",HYPERLINK(Tableau1[[#This Row],[Lien document]],"X"))</f>
        <v/>
      </c>
      <c r="V122" s="47"/>
      <c r="W12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22" s="47"/>
      <c r="Y122" s="47"/>
      <c r="Z122" s="44" t="str">
        <f ca="1">IF(AND(Tableau1[[#This Row],[Charge]]&lt;&gt;0, Tableau1[[#This Row],[Nombre intervenants]]&lt;&gt;0,Tableau1[[#This Row],[Lien document]]&lt;&gt;0,Tableau1[[#This Row],[DMS_SAP]]&lt;&gt;0)=TRUE,"MIS A JOUR","")</f>
        <v/>
      </c>
      <c r="AA122" s="48"/>
      <c r="AB122" s="65" t="str">
        <f ca="1">IF(Tableau1[[#This Row],[Date rév.]]&lt;&gt;"", DAYS360(Tableau1[[#This Row],[Date rév.]],TODAY()),"")</f>
        <v/>
      </c>
      <c r="AC122" s="50" t="str">
        <f>IFERROR(INDEX(Chemin_accès!$B$11:$C$22,MATCH(Tableau1[[#This Row],[Type]],Chemin_accès!$C$11:$C$22,0),1),Chemin_accès!$B$11)</f>
        <v>\\stjn.local\trimet\Btechnique\Commun\Atelier Central mécanique\Plan entretien\Modèles préventif\GammeDMS_7.MENG.xlsm</v>
      </c>
      <c r="AD122" s="50" t="str">
        <f>Chemin_accès!$B$8&amp;Tableau1[[#This Row],[Localisation / Classement]]&amp;"\"&amp;Tableau1[[#This Row],[Poste technique ou N° d''équipement]]&amp;"_"&amp;Tableau1[[#This Row],[Plan Entretien]]&amp;".xlsm"</f>
        <v>\\stjn.local\trimet\Btechnique\Commun\Atelier Central mécanique\Plan entretien\GammeEntretien\\_.xlsm</v>
      </c>
    </row>
    <row r="123" spans="1:30" x14ac:dyDescent="0.3">
      <c r="A123" s="44" t="str">
        <f t="shared" ca="1" si="1"/>
        <v>7.MENG</v>
      </c>
      <c r="B12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23" s="46"/>
      <c r="D123" s="44"/>
      <c r="E123" s="44"/>
      <c r="F123" s="47"/>
      <c r="G123" s="47"/>
      <c r="H123" s="45"/>
      <c r="I123" s="45"/>
      <c r="J123" s="45"/>
      <c r="K123" s="45"/>
      <c r="L123" s="46"/>
      <c r="M123" s="47"/>
      <c r="N123" s="46"/>
      <c r="O123" s="46"/>
      <c r="P123" s="47"/>
      <c r="Q123" s="46"/>
      <c r="R123" s="46"/>
      <c r="S123" s="48"/>
      <c r="T123" s="68" t="str">
        <f>IF(Tableau1[[#This Row],[DMS_SAP]]="","",HYPERLINK(Tableau1[[#This Row],[Chemin fichier source]],"X"))</f>
        <v/>
      </c>
      <c r="U123" s="68" t="str">
        <f>IF(Tableau1[[#This Row],[Date rév.]]="","",HYPERLINK(Tableau1[[#This Row],[Lien document]],"X"))</f>
        <v/>
      </c>
      <c r="V123" s="47"/>
      <c r="W12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23" s="47"/>
      <c r="Y123" s="47"/>
      <c r="Z123" s="44" t="str">
        <f ca="1">IF(AND(Tableau1[[#This Row],[Charge]]&lt;&gt;0, Tableau1[[#This Row],[Nombre intervenants]]&lt;&gt;0,Tableau1[[#This Row],[Lien document]]&lt;&gt;0,Tableau1[[#This Row],[DMS_SAP]]&lt;&gt;0)=TRUE,"MIS A JOUR","")</f>
        <v/>
      </c>
      <c r="AA123" s="48"/>
      <c r="AB123" s="65" t="str">
        <f ca="1">IF(Tableau1[[#This Row],[Date rév.]]&lt;&gt;"", DAYS360(Tableau1[[#This Row],[Date rév.]],TODAY()),"")</f>
        <v/>
      </c>
      <c r="AC123" s="50" t="str">
        <f>IFERROR(INDEX(Chemin_accès!$B$11:$C$22,MATCH(Tableau1[[#This Row],[Type]],Chemin_accès!$C$11:$C$22,0),1),Chemin_accès!$B$11)</f>
        <v>\\stjn.local\trimet\Btechnique\Commun\Atelier Central mécanique\Plan entretien\Modèles préventif\GammeDMS_7.MENG.xlsm</v>
      </c>
      <c r="AD123" s="50" t="str">
        <f>Chemin_accès!$B$8&amp;Tableau1[[#This Row],[Localisation / Classement]]&amp;"\"&amp;Tableau1[[#This Row],[Poste technique ou N° d''équipement]]&amp;"_"&amp;Tableau1[[#This Row],[Plan Entretien]]&amp;".xlsm"</f>
        <v>\\stjn.local\trimet\Btechnique\Commun\Atelier Central mécanique\Plan entretien\GammeEntretien\\_.xlsm</v>
      </c>
    </row>
    <row r="124" spans="1:30" x14ac:dyDescent="0.3">
      <c r="A124" s="44" t="str">
        <f t="shared" ca="1" si="1"/>
        <v>7.MENG</v>
      </c>
      <c r="B12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24" s="46"/>
      <c r="D124" s="44"/>
      <c r="E124" s="44"/>
      <c r="F124" s="47"/>
      <c r="G124" s="47"/>
      <c r="H124" s="45"/>
      <c r="I124" s="45"/>
      <c r="J124" s="45"/>
      <c r="K124" s="45"/>
      <c r="L124" s="46"/>
      <c r="M124" s="47"/>
      <c r="N124" s="46"/>
      <c r="O124" s="46"/>
      <c r="P124" s="47"/>
      <c r="Q124" s="46"/>
      <c r="R124" s="46"/>
      <c r="S124" s="48"/>
      <c r="T124" s="68" t="str">
        <f>IF(Tableau1[[#This Row],[DMS_SAP]]="","",HYPERLINK(Tableau1[[#This Row],[Chemin fichier source]],"X"))</f>
        <v/>
      </c>
      <c r="U124" s="68" t="str">
        <f>IF(Tableau1[[#This Row],[Date rév.]]="","",HYPERLINK(Tableau1[[#This Row],[Lien document]],"X"))</f>
        <v/>
      </c>
      <c r="V124" s="47"/>
      <c r="W12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24" s="47"/>
      <c r="Y124" s="47"/>
      <c r="Z124" s="44" t="str">
        <f ca="1">IF(AND(Tableau1[[#This Row],[Charge]]&lt;&gt;0, Tableau1[[#This Row],[Nombre intervenants]]&lt;&gt;0,Tableau1[[#This Row],[Lien document]]&lt;&gt;0,Tableau1[[#This Row],[DMS_SAP]]&lt;&gt;0)=TRUE,"MIS A JOUR","")</f>
        <v/>
      </c>
      <c r="AA124" s="48"/>
      <c r="AB124" s="65" t="str">
        <f ca="1">IF(Tableau1[[#This Row],[Date rév.]]&lt;&gt;"", DAYS360(Tableau1[[#This Row],[Date rév.]],TODAY()),"")</f>
        <v/>
      </c>
      <c r="AC124" s="50" t="str">
        <f>IFERROR(INDEX(Chemin_accès!$B$11:$C$22,MATCH(Tableau1[[#This Row],[Type]],Chemin_accès!$C$11:$C$22,0),1),Chemin_accès!$B$11)</f>
        <v>\\stjn.local\trimet\Btechnique\Commun\Atelier Central mécanique\Plan entretien\Modèles préventif\GammeDMS_7.MENG.xlsm</v>
      </c>
      <c r="AD124" s="50" t="str">
        <f>Chemin_accès!$B$8&amp;Tableau1[[#This Row],[Localisation / Classement]]&amp;"\"&amp;Tableau1[[#This Row],[Poste technique ou N° d''équipement]]&amp;"_"&amp;Tableau1[[#This Row],[Plan Entretien]]&amp;".xlsm"</f>
        <v>\\stjn.local\trimet\Btechnique\Commun\Atelier Central mécanique\Plan entretien\GammeEntretien\\_.xlsm</v>
      </c>
    </row>
    <row r="125" spans="1:30" x14ac:dyDescent="0.3">
      <c r="A125" s="44" t="str">
        <f t="shared" ca="1" si="1"/>
        <v>7.MENG</v>
      </c>
      <c r="B12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25" s="46"/>
      <c r="D125" s="44"/>
      <c r="E125" s="44"/>
      <c r="F125" s="47"/>
      <c r="G125" s="47"/>
      <c r="H125" s="45"/>
      <c r="I125" s="45"/>
      <c r="J125" s="45"/>
      <c r="K125" s="45"/>
      <c r="L125" s="46"/>
      <c r="M125" s="47"/>
      <c r="N125" s="46"/>
      <c r="O125" s="46"/>
      <c r="P125" s="47"/>
      <c r="Q125" s="46"/>
      <c r="R125" s="46"/>
      <c r="S125" s="48"/>
      <c r="T125" s="68" t="str">
        <f>IF(Tableau1[[#This Row],[DMS_SAP]]="","",HYPERLINK(Tableau1[[#This Row],[Chemin fichier source]],"X"))</f>
        <v/>
      </c>
      <c r="U125" s="68" t="str">
        <f>IF(Tableau1[[#This Row],[Date rév.]]="","",HYPERLINK(Tableau1[[#This Row],[Lien document]],"X"))</f>
        <v/>
      </c>
      <c r="V125" s="47"/>
      <c r="W12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25" s="47"/>
      <c r="Y125" s="47"/>
      <c r="Z125" s="44" t="str">
        <f ca="1">IF(AND(Tableau1[[#This Row],[Charge]]&lt;&gt;0, Tableau1[[#This Row],[Nombre intervenants]]&lt;&gt;0,Tableau1[[#This Row],[Lien document]]&lt;&gt;0,Tableau1[[#This Row],[DMS_SAP]]&lt;&gt;0)=TRUE,"MIS A JOUR","")</f>
        <v/>
      </c>
      <c r="AA125" s="48"/>
      <c r="AB125" s="65" t="str">
        <f ca="1">IF(Tableau1[[#This Row],[Date rév.]]&lt;&gt;"", DAYS360(Tableau1[[#This Row],[Date rév.]],TODAY()),"")</f>
        <v/>
      </c>
      <c r="AC125" s="50" t="str">
        <f>IFERROR(INDEX(Chemin_accès!$B$11:$C$22,MATCH(Tableau1[[#This Row],[Type]],Chemin_accès!$C$11:$C$22,0),1),Chemin_accès!$B$11)</f>
        <v>\\stjn.local\trimet\Btechnique\Commun\Atelier Central mécanique\Plan entretien\Modèles préventif\GammeDMS_7.MENG.xlsm</v>
      </c>
      <c r="AD125" s="50" t="str">
        <f>Chemin_accès!$B$8&amp;Tableau1[[#This Row],[Localisation / Classement]]&amp;"\"&amp;Tableau1[[#This Row],[Poste technique ou N° d''équipement]]&amp;"_"&amp;Tableau1[[#This Row],[Plan Entretien]]&amp;".xlsm"</f>
        <v>\\stjn.local\trimet\Btechnique\Commun\Atelier Central mécanique\Plan entretien\GammeEntretien\\_.xlsm</v>
      </c>
    </row>
    <row r="126" spans="1:30" x14ac:dyDescent="0.3">
      <c r="A126" s="44" t="str">
        <f t="shared" ca="1" si="1"/>
        <v>7.MENG</v>
      </c>
      <c r="B12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26" s="46"/>
      <c r="D126" s="44"/>
      <c r="E126" s="44"/>
      <c r="F126" s="47"/>
      <c r="G126" s="47"/>
      <c r="H126" s="45"/>
      <c r="I126" s="45"/>
      <c r="J126" s="45"/>
      <c r="K126" s="45"/>
      <c r="L126" s="46"/>
      <c r="M126" s="47"/>
      <c r="N126" s="46"/>
      <c r="O126" s="46"/>
      <c r="P126" s="47"/>
      <c r="Q126" s="46"/>
      <c r="R126" s="46"/>
      <c r="S126" s="48"/>
      <c r="T126" s="68" t="str">
        <f>IF(Tableau1[[#This Row],[DMS_SAP]]="","",HYPERLINK(Tableau1[[#This Row],[Chemin fichier source]],"X"))</f>
        <v/>
      </c>
      <c r="U126" s="68" t="str">
        <f>IF(Tableau1[[#This Row],[Date rév.]]="","",HYPERLINK(Tableau1[[#This Row],[Lien document]],"X"))</f>
        <v/>
      </c>
      <c r="V126" s="47"/>
      <c r="W12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26" s="47"/>
      <c r="Y126" s="47"/>
      <c r="Z126" s="44" t="str">
        <f ca="1">IF(AND(Tableau1[[#This Row],[Charge]]&lt;&gt;0, Tableau1[[#This Row],[Nombre intervenants]]&lt;&gt;0,Tableau1[[#This Row],[Lien document]]&lt;&gt;0,Tableau1[[#This Row],[DMS_SAP]]&lt;&gt;0)=TRUE,"MIS A JOUR","")</f>
        <v/>
      </c>
      <c r="AA126" s="48"/>
      <c r="AB126" s="65" t="str">
        <f ca="1">IF(Tableau1[[#This Row],[Date rév.]]&lt;&gt;"", DAYS360(Tableau1[[#This Row],[Date rév.]],TODAY()),"")</f>
        <v/>
      </c>
      <c r="AC126" s="50" t="str">
        <f>IFERROR(INDEX(Chemin_accès!$B$11:$C$22,MATCH(Tableau1[[#This Row],[Type]],Chemin_accès!$C$11:$C$22,0),1),Chemin_accès!$B$11)</f>
        <v>\\stjn.local\trimet\Btechnique\Commun\Atelier Central mécanique\Plan entretien\Modèles préventif\GammeDMS_7.MENG.xlsm</v>
      </c>
      <c r="AD126" s="50" t="str">
        <f>Chemin_accès!$B$8&amp;Tableau1[[#This Row],[Localisation / Classement]]&amp;"\"&amp;Tableau1[[#This Row],[Poste technique ou N° d''équipement]]&amp;"_"&amp;Tableau1[[#This Row],[Plan Entretien]]&amp;".xlsm"</f>
        <v>\\stjn.local\trimet\Btechnique\Commun\Atelier Central mécanique\Plan entretien\GammeEntretien\\_.xlsm</v>
      </c>
    </row>
    <row r="127" spans="1:30" x14ac:dyDescent="0.3">
      <c r="A127" s="44" t="str">
        <f t="shared" ca="1" si="1"/>
        <v>7.MENG</v>
      </c>
      <c r="B12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27" s="46"/>
      <c r="D127" s="44"/>
      <c r="E127" s="44"/>
      <c r="F127" s="47"/>
      <c r="G127" s="47"/>
      <c r="H127" s="45"/>
      <c r="I127" s="45"/>
      <c r="J127" s="45"/>
      <c r="K127" s="45"/>
      <c r="L127" s="46"/>
      <c r="M127" s="47"/>
      <c r="N127" s="46"/>
      <c r="O127" s="46"/>
      <c r="P127" s="47"/>
      <c r="Q127" s="46"/>
      <c r="R127" s="46"/>
      <c r="S127" s="48"/>
      <c r="T127" s="68" t="str">
        <f>IF(Tableau1[[#This Row],[DMS_SAP]]="","",HYPERLINK(Tableau1[[#This Row],[Chemin fichier source]],"X"))</f>
        <v/>
      </c>
      <c r="U127" s="68" t="str">
        <f>IF(Tableau1[[#This Row],[Date rév.]]="","",HYPERLINK(Tableau1[[#This Row],[Lien document]],"X"))</f>
        <v/>
      </c>
      <c r="V127" s="47"/>
      <c r="W12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27" s="47"/>
      <c r="Y127" s="47"/>
      <c r="Z127" s="44" t="str">
        <f ca="1">IF(AND(Tableau1[[#This Row],[Charge]]&lt;&gt;0, Tableau1[[#This Row],[Nombre intervenants]]&lt;&gt;0,Tableau1[[#This Row],[Lien document]]&lt;&gt;0,Tableau1[[#This Row],[DMS_SAP]]&lt;&gt;0)=TRUE,"MIS A JOUR","")</f>
        <v/>
      </c>
      <c r="AA127" s="48"/>
      <c r="AB127" s="65" t="str">
        <f ca="1">IF(Tableau1[[#This Row],[Date rév.]]&lt;&gt;"", DAYS360(Tableau1[[#This Row],[Date rév.]],TODAY()),"")</f>
        <v/>
      </c>
      <c r="AC127" s="50" t="str">
        <f>IFERROR(INDEX(Chemin_accès!$B$11:$C$22,MATCH(Tableau1[[#This Row],[Type]],Chemin_accès!$C$11:$C$22,0),1),Chemin_accès!$B$11)</f>
        <v>\\stjn.local\trimet\Btechnique\Commun\Atelier Central mécanique\Plan entretien\Modèles préventif\GammeDMS_7.MENG.xlsm</v>
      </c>
      <c r="AD127" s="50" t="str">
        <f>Chemin_accès!$B$8&amp;Tableau1[[#This Row],[Localisation / Classement]]&amp;"\"&amp;Tableau1[[#This Row],[Poste technique ou N° d''équipement]]&amp;"_"&amp;Tableau1[[#This Row],[Plan Entretien]]&amp;".xlsm"</f>
        <v>\\stjn.local\trimet\Btechnique\Commun\Atelier Central mécanique\Plan entretien\GammeEntretien\\_.xlsm</v>
      </c>
    </row>
    <row r="128" spans="1:30" x14ac:dyDescent="0.3">
      <c r="A128" s="44" t="str">
        <f t="shared" ca="1" si="1"/>
        <v>7.MENG</v>
      </c>
      <c r="B12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28" s="46"/>
      <c r="D128" s="44"/>
      <c r="E128" s="44"/>
      <c r="F128" s="47"/>
      <c r="G128" s="47"/>
      <c r="H128" s="45"/>
      <c r="I128" s="45"/>
      <c r="J128" s="45"/>
      <c r="K128" s="45"/>
      <c r="L128" s="46"/>
      <c r="M128" s="47"/>
      <c r="N128" s="46"/>
      <c r="O128" s="46"/>
      <c r="P128" s="47"/>
      <c r="Q128" s="46"/>
      <c r="R128" s="46"/>
      <c r="S128" s="48"/>
      <c r="T128" s="68" t="str">
        <f>IF(Tableau1[[#This Row],[DMS_SAP]]="","",HYPERLINK(Tableau1[[#This Row],[Chemin fichier source]],"X"))</f>
        <v/>
      </c>
      <c r="U128" s="68" t="str">
        <f>IF(Tableau1[[#This Row],[Date rév.]]="","",HYPERLINK(Tableau1[[#This Row],[Lien document]],"X"))</f>
        <v/>
      </c>
      <c r="V128" s="47"/>
      <c r="W12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28" s="47"/>
      <c r="Y128" s="47"/>
      <c r="Z128" s="44" t="str">
        <f ca="1">IF(AND(Tableau1[[#This Row],[Charge]]&lt;&gt;0, Tableau1[[#This Row],[Nombre intervenants]]&lt;&gt;0,Tableau1[[#This Row],[Lien document]]&lt;&gt;0,Tableau1[[#This Row],[DMS_SAP]]&lt;&gt;0)=TRUE,"MIS A JOUR","")</f>
        <v/>
      </c>
      <c r="AA128" s="48"/>
      <c r="AB128" s="65" t="str">
        <f ca="1">IF(Tableau1[[#This Row],[Date rév.]]&lt;&gt;"", DAYS360(Tableau1[[#This Row],[Date rév.]],TODAY()),"")</f>
        <v/>
      </c>
      <c r="AC128" s="50" t="str">
        <f>IFERROR(INDEX(Chemin_accès!$B$11:$C$22,MATCH(Tableau1[[#This Row],[Type]],Chemin_accès!$C$11:$C$22,0),1),Chemin_accès!$B$11)</f>
        <v>\\stjn.local\trimet\Btechnique\Commun\Atelier Central mécanique\Plan entretien\Modèles préventif\GammeDMS_7.MENG.xlsm</v>
      </c>
      <c r="AD128" s="50" t="str">
        <f>Chemin_accès!$B$8&amp;Tableau1[[#This Row],[Localisation / Classement]]&amp;"\"&amp;Tableau1[[#This Row],[Poste technique ou N° d''équipement]]&amp;"_"&amp;Tableau1[[#This Row],[Plan Entretien]]&amp;".xlsm"</f>
        <v>\\stjn.local\trimet\Btechnique\Commun\Atelier Central mécanique\Plan entretien\GammeEntretien\\_.xlsm</v>
      </c>
    </row>
    <row r="129" spans="1:30" x14ac:dyDescent="0.3">
      <c r="A129" s="44" t="str">
        <f t="shared" ref="A129:A192" ca="1" si="2">MID(CELL("filename",$A$1),FIND("]",CELL("filename",$A$1))+1,32)</f>
        <v>7.MENG</v>
      </c>
      <c r="B12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29" s="46"/>
      <c r="D129" s="44"/>
      <c r="E129" s="44"/>
      <c r="F129" s="47"/>
      <c r="G129" s="47"/>
      <c r="H129" s="45"/>
      <c r="I129" s="45"/>
      <c r="J129" s="45"/>
      <c r="K129" s="45"/>
      <c r="L129" s="46"/>
      <c r="M129" s="47"/>
      <c r="N129" s="46"/>
      <c r="O129" s="46"/>
      <c r="P129" s="47"/>
      <c r="Q129" s="46"/>
      <c r="R129" s="46"/>
      <c r="S129" s="48"/>
      <c r="T129" s="68" t="str">
        <f>IF(Tableau1[[#This Row],[DMS_SAP]]="","",HYPERLINK(Tableau1[[#This Row],[Chemin fichier source]],"X"))</f>
        <v/>
      </c>
      <c r="U129" s="68" t="str">
        <f>IF(Tableau1[[#This Row],[Date rév.]]="","",HYPERLINK(Tableau1[[#This Row],[Lien document]],"X"))</f>
        <v/>
      </c>
      <c r="V129" s="47"/>
      <c r="W12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29" s="47"/>
      <c r="Y129" s="47"/>
      <c r="Z129" s="44" t="str">
        <f ca="1">IF(AND(Tableau1[[#This Row],[Charge]]&lt;&gt;0, Tableau1[[#This Row],[Nombre intervenants]]&lt;&gt;0,Tableau1[[#This Row],[Lien document]]&lt;&gt;0,Tableau1[[#This Row],[DMS_SAP]]&lt;&gt;0)=TRUE,"MIS A JOUR","")</f>
        <v/>
      </c>
      <c r="AA129" s="48"/>
      <c r="AB129" s="65" t="str">
        <f ca="1">IF(Tableau1[[#This Row],[Date rév.]]&lt;&gt;"", DAYS360(Tableau1[[#This Row],[Date rév.]],TODAY()),"")</f>
        <v/>
      </c>
      <c r="AC129" s="50" t="str">
        <f>IFERROR(INDEX(Chemin_accès!$B$11:$C$22,MATCH(Tableau1[[#This Row],[Type]],Chemin_accès!$C$11:$C$22,0),1),Chemin_accès!$B$11)</f>
        <v>\\stjn.local\trimet\Btechnique\Commun\Atelier Central mécanique\Plan entretien\Modèles préventif\GammeDMS_7.MENG.xlsm</v>
      </c>
      <c r="AD129" s="50" t="str">
        <f>Chemin_accès!$B$8&amp;Tableau1[[#This Row],[Localisation / Classement]]&amp;"\"&amp;Tableau1[[#This Row],[Poste technique ou N° d''équipement]]&amp;"_"&amp;Tableau1[[#This Row],[Plan Entretien]]&amp;".xlsm"</f>
        <v>\\stjn.local\trimet\Btechnique\Commun\Atelier Central mécanique\Plan entretien\GammeEntretien\\_.xlsm</v>
      </c>
    </row>
    <row r="130" spans="1:30" x14ac:dyDescent="0.3">
      <c r="A130" s="44" t="str">
        <f t="shared" ca="1" si="2"/>
        <v>7.MENG</v>
      </c>
      <c r="B13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30" s="46"/>
      <c r="D130" s="44"/>
      <c r="E130" s="44"/>
      <c r="F130" s="47"/>
      <c r="G130" s="47"/>
      <c r="H130" s="45"/>
      <c r="I130" s="45"/>
      <c r="J130" s="45"/>
      <c r="K130" s="45"/>
      <c r="L130" s="46"/>
      <c r="M130" s="47"/>
      <c r="N130" s="46"/>
      <c r="O130" s="46"/>
      <c r="P130" s="47"/>
      <c r="Q130" s="46"/>
      <c r="R130" s="46"/>
      <c r="S130" s="48"/>
      <c r="T130" s="68" t="str">
        <f>IF(Tableau1[[#This Row],[DMS_SAP]]="","",HYPERLINK(Tableau1[[#This Row],[Chemin fichier source]],"X"))</f>
        <v/>
      </c>
      <c r="U130" s="68" t="str">
        <f>IF(Tableau1[[#This Row],[Date rév.]]="","",HYPERLINK(Tableau1[[#This Row],[Lien document]],"X"))</f>
        <v/>
      </c>
      <c r="V130" s="47"/>
      <c r="W13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30" s="47"/>
      <c r="Y130" s="47"/>
      <c r="Z130" s="44" t="str">
        <f ca="1">IF(AND(Tableau1[[#This Row],[Charge]]&lt;&gt;0, Tableau1[[#This Row],[Nombre intervenants]]&lt;&gt;0,Tableau1[[#This Row],[Lien document]]&lt;&gt;0,Tableau1[[#This Row],[DMS_SAP]]&lt;&gt;0)=TRUE,"MIS A JOUR","")</f>
        <v/>
      </c>
      <c r="AA130" s="48"/>
      <c r="AB130" s="65" t="str">
        <f ca="1">IF(Tableau1[[#This Row],[Date rév.]]&lt;&gt;"", DAYS360(Tableau1[[#This Row],[Date rév.]],TODAY()),"")</f>
        <v/>
      </c>
      <c r="AC130" s="50" t="str">
        <f>IFERROR(INDEX(Chemin_accès!$B$11:$C$22,MATCH(Tableau1[[#This Row],[Type]],Chemin_accès!$C$11:$C$22,0),1),Chemin_accès!$B$11)</f>
        <v>\\stjn.local\trimet\Btechnique\Commun\Atelier Central mécanique\Plan entretien\Modèles préventif\GammeDMS_7.MENG.xlsm</v>
      </c>
      <c r="AD130" s="50" t="str">
        <f>Chemin_accès!$B$8&amp;Tableau1[[#This Row],[Localisation / Classement]]&amp;"\"&amp;Tableau1[[#This Row],[Poste technique ou N° d''équipement]]&amp;"_"&amp;Tableau1[[#This Row],[Plan Entretien]]&amp;".xlsm"</f>
        <v>\\stjn.local\trimet\Btechnique\Commun\Atelier Central mécanique\Plan entretien\GammeEntretien\\_.xlsm</v>
      </c>
    </row>
    <row r="131" spans="1:30" x14ac:dyDescent="0.3">
      <c r="A131" s="44" t="str">
        <f t="shared" ca="1" si="2"/>
        <v>7.MENG</v>
      </c>
      <c r="B13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31" s="46"/>
      <c r="D131" s="44"/>
      <c r="E131" s="44"/>
      <c r="F131" s="47"/>
      <c r="G131" s="47"/>
      <c r="H131" s="45"/>
      <c r="I131" s="45"/>
      <c r="J131" s="45"/>
      <c r="K131" s="45"/>
      <c r="L131" s="46"/>
      <c r="M131" s="47"/>
      <c r="N131" s="46"/>
      <c r="O131" s="46"/>
      <c r="P131" s="47"/>
      <c r="Q131" s="46"/>
      <c r="R131" s="46"/>
      <c r="S131" s="48"/>
      <c r="T131" s="68" t="str">
        <f>IF(Tableau1[[#This Row],[DMS_SAP]]="","",HYPERLINK(Tableau1[[#This Row],[Chemin fichier source]],"X"))</f>
        <v/>
      </c>
      <c r="U131" s="68" t="str">
        <f>IF(Tableau1[[#This Row],[Date rév.]]="","",HYPERLINK(Tableau1[[#This Row],[Lien document]],"X"))</f>
        <v/>
      </c>
      <c r="V131" s="47"/>
      <c r="W13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31" s="47"/>
      <c r="Y131" s="47"/>
      <c r="Z131" s="44" t="str">
        <f ca="1">IF(AND(Tableau1[[#This Row],[Charge]]&lt;&gt;0, Tableau1[[#This Row],[Nombre intervenants]]&lt;&gt;0,Tableau1[[#This Row],[Lien document]]&lt;&gt;0,Tableau1[[#This Row],[DMS_SAP]]&lt;&gt;0)=TRUE,"MIS A JOUR","")</f>
        <v/>
      </c>
      <c r="AA131" s="48"/>
      <c r="AB131" s="65" t="str">
        <f ca="1">IF(Tableau1[[#This Row],[Date rév.]]&lt;&gt;"", DAYS360(Tableau1[[#This Row],[Date rév.]],TODAY()),"")</f>
        <v/>
      </c>
      <c r="AC131" s="50" t="str">
        <f>IFERROR(INDEX(Chemin_accès!$B$11:$C$22,MATCH(Tableau1[[#This Row],[Type]],Chemin_accès!$C$11:$C$22,0),1),Chemin_accès!$B$11)</f>
        <v>\\stjn.local\trimet\Btechnique\Commun\Atelier Central mécanique\Plan entretien\Modèles préventif\GammeDMS_7.MENG.xlsm</v>
      </c>
      <c r="AD131" s="50" t="str">
        <f>Chemin_accès!$B$8&amp;Tableau1[[#This Row],[Localisation / Classement]]&amp;"\"&amp;Tableau1[[#This Row],[Poste technique ou N° d''équipement]]&amp;"_"&amp;Tableau1[[#This Row],[Plan Entretien]]&amp;".xlsm"</f>
        <v>\\stjn.local\trimet\Btechnique\Commun\Atelier Central mécanique\Plan entretien\GammeEntretien\\_.xlsm</v>
      </c>
    </row>
    <row r="132" spans="1:30" x14ac:dyDescent="0.3">
      <c r="A132" s="44" t="str">
        <f t="shared" ca="1" si="2"/>
        <v>7.MENG</v>
      </c>
      <c r="B13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32" s="46"/>
      <c r="D132" s="44"/>
      <c r="E132" s="44"/>
      <c r="F132" s="47"/>
      <c r="G132" s="47"/>
      <c r="H132" s="45"/>
      <c r="I132" s="45"/>
      <c r="J132" s="45"/>
      <c r="K132" s="45"/>
      <c r="L132" s="46"/>
      <c r="M132" s="47"/>
      <c r="N132" s="46"/>
      <c r="O132" s="46"/>
      <c r="P132" s="47"/>
      <c r="Q132" s="46"/>
      <c r="R132" s="46"/>
      <c r="S132" s="48"/>
      <c r="T132" s="68" t="str">
        <f>IF(Tableau1[[#This Row],[DMS_SAP]]="","",HYPERLINK(Tableau1[[#This Row],[Chemin fichier source]],"X"))</f>
        <v/>
      </c>
      <c r="U132" s="68" t="str">
        <f>IF(Tableau1[[#This Row],[Date rév.]]="","",HYPERLINK(Tableau1[[#This Row],[Lien document]],"X"))</f>
        <v/>
      </c>
      <c r="V132" s="47"/>
      <c r="W13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32" s="47"/>
      <c r="Y132" s="47"/>
      <c r="Z132" s="44" t="str">
        <f ca="1">IF(AND(Tableau1[[#This Row],[Charge]]&lt;&gt;0, Tableau1[[#This Row],[Nombre intervenants]]&lt;&gt;0,Tableau1[[#This Row],[Lien document]]&lt;&gt;0,Tableau1[[#This Row],[DMS_SAP]]&lt;&gt;0)=TRUE,"MIS A JOUR","")</f>
        <v/>
      </c>
      <c r="AA132" s="48"/>
      <c r="AB132" s="65" t="str">
        <f ca="1">IF(Tableau1[[#This Row],[Date rév.]]&lt;&gt;"", DAYS360(Tableau1[[#This Row],[Date rév.]],TODAY()),"")</f>
        <v/>
      </c>
      <c r="AC132" s="50" t="str">
        <f>IFERROR(INDEX(Chemin_accès!$B$11:$C$22,MATCH(Tableau1[[#This Row],[Type]],Chemin_accès!$C$11:$C$22,0),1),Chemin_accès!$B$11)</f>
        <v>\\stjn.local\trimet\Btechnique\Commun\Atelier Central mécanique\Plan entretien\Modèles préventif\GammeDMS_7.MENG.xlsm</v>
      </c>
      <c r="AD132" s="50" t="str">
        <f>Chemin_accès!$B$8&amp;Tableau1[[#This Row],[Localisation / Classement]]&amp;"\"&amp;Tableau1[[#This Row],[Poste technique ou N° d''équipement]]&amp;"_"&amp;Tableau1[[#This Row],[Plan Entretien]]&amp;".xlsm"</f>
        <v>\\stjn.local\trimet\Btechnique\Commun\Atelier Central mécanique\Plan entretien\GammeEntretien\\_.xlsm</v>
      </c>
    </row>
    <row r="133" spans="1:30" x14ac:dyDescent="0.3">
      <c r="A133" s="44" t="str">
        <f t="shared" ca="1" si="2"/>
        <v>7.MENG</v>
      </c>
      <c r="B13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33" s="46"/>
      <c r="D133" s="44"/>
      <c r="E133" s="44"/>
      <c r="F133" s="47"/>
      <c r="G133" s="47"/>
      <c r="H133" s="45"/>
      <c r="I133" s="45"/>
      <c r="J133" s="45"/>
      <c r="K133" s="45"/>
      <c r="L133" s="46"/>
      <c r="M133" s="47"/>
      <c r="N133" s="46"/>
      <c r="O133" s="46"/>
      <c r="P133" s="47"/>
      <c r="Q133" s="46"/>
      <c r="R133" s="46"/>
      <c r="S133" s="48"/>
      <c r="T133" s="68" t="str">
        <f>IF(Tableau1[[#This Row],[DMS_SAP]]="","",HYPERLINK(Tableau1[[#This Row],[Chemin fichier source]],"X"))</f>
        <v/>
      </c>
      <c r="U133" s="68" t="str">
        <f>IF(Tableau1[[#This Row],[Date rév.]]="","",HYPERLINK(Tableau1[[#This Row],[Lien document]],"X"))</f>
        <v/>
      </c>
      <c r="V133" s="47"/>
      <c r="W13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33" s="47"/>
      <c r="Y133" s="47"/>
      <c r="Z133" s="44" t="str">
        <f ca="1">IF(AND(Tableau1[[#This Row],[Charge]]&lt;&gt;0, Tableau1[[#This Row],[Nombre intervenants]]&lt;&gt;0,Tableau1[[#This Row],[Lien document]]&lt;&gt;0,Tableau1[[#This Row],[DMS_SAP]]&lt;&gt;0)=TRUE,"MIS A JOUR","")</f>
        <v/>
      </c>
      <c r="AA133" s="48"/>
      <c r="AB133" s="65" t="str">
        <f ca="1">IF(Tableau1[[#This Row],[Date rév.]]&lt;&gt;"", DAYS360(Tableau1[[#This Row],[Date rév.]],TODAY()),"")</f>
        <v/>
      </c>
      <c r="AC133" s="50" t="str">
        <f>IFERROR(INDEX(Chemin_accès!$B$11:$C$22,MATCH(Tableau1[[#This Row],[Type]],Chemin_accès!$C$11:$C$22,0),1),Chemin_accès!$B$11)</f>
        <v>\\stjn.local\trimet\Btechnique\Commun\Atelier Central mécanique\Plan entretien\Modèles préventif\GammeDMS_7.MENG.xlsm</v>
      </c>
      <c r="AD133" s="50" t="str">
        <f>Chemin_accès!$B$8&amp;Tableau1[[#This Row],[Localisation / Classement]]&amp;"\"&amp;Tableau1[[#This Row],[Poste technique ou N° d''équipement]]&amp;"_"&amp;Tableau1[[#This Row],[Plan Entretien]]&amp;".xlsm"</f>
        <v>\\stjn.local\trimet\Btechnique\Commun\Atelier Central mécanique\Plan entretien\GammeEntretien\\_.xlsm</v>
      </c>
    </row>
    <row r="134" spans="1:30" x14ac:dyDescent="0.3">
      <c r="A134" s="44" t="str">
        <f t="shared" ca="1" si="2"/>
        <v>7.MENG</v>
      </c>
      <c r="B13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34" s="46"/>
      <c r="D134" s="44"/>
      <c r="E134" s="44"/>
      <c r="F134" s="47"/>
      <c r="G134" s="47"/>
      <c r="H134" s="45"/>
      <c r="I134" s="45"/>
      <c r="J134" s="45"/>
      <c r="K134" s="45"/>
      <c r="L134" s="46"/>
      <c r="M134" s="47"/>
      <c r="N134" s="46"/>
      <c r="O134" s="46"/>
      <c r="P134" s="47"/>
      <c r="Q134" s="46"/>
      <c r="R134" s="46"/>
      <c r="S134" s="48"/>
      <c r="T134" s="68" t="str">
        <f>IF(Tableau1[[#This Row],[DMS_SAP]]="","",HYPERLINK(Tableau1[[#This Row],[Chemin fichier source]],"X"))</f>
        <v/>
      </c>
      <c r="U134" s="68" t="str">
        <f>IF(Tableau1[[#This Row],[Date rév.]]="","",HYPERLINK(Tableau1[[#This Row],[Lien document]],"X"))</f>
        <v/>
      </c>
      <c r="V134" s="47"/>
      <c r="W13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34" s="47"/>
      <c r="Y134" s="47"/>
      <c r="Z134" s="44" t="str">
        <f ca="1">IF(AND(Tableau1[[#This Row],[Charge]]&lt;&gt;0, Tableau1[[#This Row],[Nombre intervenants]]&lt;&gt;0,Tableau1[[#This Row],[Lien document]]&lt;&gt;0,Tableau1[[#This Row],[DMS_SAP]]&lt;&gt;0)=TRUE,"MIS A JOUR","")</f>
        <v/>
      </c>
      <c r="AA134" s="48"/>
      <c r="AB134" s="65" t="str">
        <f ca="1">IF(Tableau1[[#This Row],[Date rév.]]&lt;&gt;"", DAYS360(Tableau1[[#This Row],[Date rév.]],TODAY()),"")</f>
        <v/>
      </c>
      <c r="AC134" s="50" t="str">
        <f>IFERROR(INDEX(Chemin_accès!$B$11:$C$22,MATCH(Tableau1[[#This Row],[Type]],Chemin_accès!$C$11:$C$22,0),1),Chemin_accès!$B$11)</f>
        <v>\\stjn.local\trimet\Btechnique\Commun\Atelier Central mécanique\Plan entretien\Modèles préventif\GammeDMS_7.MENG.xlsm</v>
      </c>
      <c r="AD134" s="50" t="str">
        <f>Chemin_accès!$B$8&amp;Tableau1[[#This Row],[Localisation / Classement]]&amp;"\"&amp;Tableau1[[#This Row],[Poste technique ou N° d''équipement]]&amp;"_"&amp;Tableau1[[#This Row],[Plan Entretien]]&amp;".xlsm"</f>
        <v>\\stjn.local\trimet\Btechnique\Commun\Atelier Central mécanique\Plan entretien\GammeEntretien\\_.xlsm</v>
      </c>
    </row>
    <row r="135" spans="1:30" x14ac:dyDescent="0.3">
      <c r="A135" s="44" t="str">
        <f t="shared" ca="1" si="2"/>
        <v>7.MENG</v>
      </c>
      <c r="B13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35" s="46"/>
      <c r="D135" s="44"/>
      <c r="E135" s="44"/>
      <c r="F135" s="47"/>
      <c r="G135" s="47"/>
      <c r="H135" s="45"/>
      <c r="I135" s="45"/>
      <c r="J135" s="45"/>
      <c r="K135" s="45"/>
      <c r="L135" s="46"/>
      <c r="M135" s="47"/>
      <c r="N135" s="46"/>
      <c r="O135" s="46"/>
      <c r="P135" s="47"/>
      <c r="Q135" s="46"/>
      <c r="R135" s="46"/>
      <c r="S135" s="48"/>
      <c r="T135" s="68" t="str">
        <f>IF(Tableau1[[#This Row],[DMS_SAP]]="","",HYPERLINK(Tableau1[[#This Row],[Chemin fichier source]],"X"))</f>
        <v/>
      </c>
      <c r="U135" s="68" t="str">
        <f>IF(Tableau1[[#This Row],[Date rév.]]="","",HYPERLINK(Tableau1[[#This Row],[Lien document]],"X"))</f>
        <v/>
      </c>
      <c r="V135" s="47"/>
      <c r="W13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35" s="47"/>
      <c r="Y135" s="47"/>
      <c r="Z135" s="44" t="str">
        <f ca="1">IF(AND(Tableau1[[#This Row],[Charge]]&lt;&gt;0, Tableau1[[#This Row],[Nombre intervenants]]&lt;&gt;0,Tableau1[[#This Row],[Lien document]]&lt;&gt;0,Tableau1[[#This Row],[DMS_SAP]]&lt;&gt;0)=TRUE,"MIS A JOUR","")</f>
        <v/>
      </c>
      <c r="AA135" s="48"/>
      <c r="AB135" s="65" t="str">
        <f ca="1">IF(Tableau1[[#This Row],[Date rév.]]&lt;&gt;"", DAYS360(Tableau1[[#This Row],[Date rév.]],TODAY()),"")</f>
        <v/>
      </c>
      <c r="AC135" s="50" t="str">
        <f>IFERROR(INDEX(Chemin_accès!$B$11:$C$22,MATCH(Tableau1[[#This Row],[Type]],Chemin_accès!$C$11:$C$22,0),1),Chemin_accès!$B$11)</f>
        <v>\\stjn.local\trimet\Btechnique\Commun\Atelier Central mécanique\Plan entretien\Modèles préventif\GammeDMS_7.MENG.xlsm</v>
      </c>
      <c r="AD135" s="50" t="str">
        <f>Chemin_accès!$B$8&amp;Tableau1[[#This Row],[Localisation / Classement]]&amp;"\"&amp;Tableau1[[#This Row],[Poste technique ou N° d''équipement]]&amp;"_"&amp;Tableau1[[#This Row],[Plan Entretien]]&amp;".xlsm"</f>
        <v>\\stjn.local\trimet\Btechnique\Commun\Atelier Central mécanique\Plan entretien\GammeEntretien\\_.xlsm</v>
      </c>
    </row>
    <row r="136" spans="1:30" x14ac:dyDescent="0.3">
      <c r="A136" s="44" t="str">
        <f t="shared" ca="1" si="2"/>
        <v>7.MENG</v>
      </c>
      <c r="B13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36" s="46"/>
      <c r="D136" s="44"/>
      <c r="E136" s="44"/>
      <c r="F136" s="47"/>
      <c r="G136" s="47"/>
      <c r="H136" s="45"/>
      <c r="I136" s="45"/>
      <c r="J136" s="45"/>
      <c r="K136" s="45"/>
      <c r="L136" s="46"/>
      <c r="M136" s="47"/>
      <c r="N136" s="46"/>
      <c r="O136" s="46"/>
      <c r="P136" s="47"/>
      <c r="Q136" s="46"/>
      <c r="R136" s="46"/>
      <c r="S136" s="48"/>
      <c r="T136" s="68" t="str">
        <f>IF(Tableau1[[#This Row],[DMS_SAP]]="","",HYPERLINK(Tableau1[[#This Row],[Chemin fichier source]],"X"))</f>
        <v/>
      </c>
      <c r="U136" s="68" t="str">
        <f>IF(Tableau1[[#This Row],[Date rév.]]="","",HYPERLINK(Tableau1[[#This Row],[Lien document]],"X"))</f>
        <v/>
      </c>
      <c r="V136" s="47"/>
      <c r="W13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36" s="47"/>
      <c r="Y136" s="47"/>
      <c r="Z136" s="44" t="str">
        <f ca="1">IF(AND(Tableau1[[#This Row],[Charge]]&lt;&gt;0, Tableau1[[#This Row],[Nombre intervenants]]&lt;&gt;0,Tableau1[[#This Row],[Lien document]]&lt;&gt;0,Tableau1[[#This Row],[DMS_SAP]]&lt;&gt;0)=TRUE,"MIS A JOUR","")</f>
        <v/>
      </c>
      <c r="AA136" s="48"/>
      <c r="AB136" s="65" t="str">
        <f ca="1">IF(Tableau1[[#This Row],[Date rév.]]&lt;&gt;"", DAYS360(Tableau1[[#This Row],[Date rév.]],TODAY()),"")</f>
        <v/>
      </c>
      <c r="AC136" s="50" t="str">
        <f>IFERROR(INDEX(Chemin_accès!$B$11:$C$22,MATCH(Tableau1[[#This Row],[Type]],Chemin_accès!$C$11:$C$22,0),1),Chemin_accès!$B$11)</f>
        <v>\\stjn.local\trimet\Btechnique\Commun\Atelier Central mécanique\Plan entretien\Modèles préventif\GammeDMS_7.MENG.xlsm</v>
      </c>
      <c r="AD136" s="50" t="str">
        <f>Chemin_accès!$B$8&amp;Tableau1[[#This Row],[Localisation / Classement]]&amp;"\"&amp;Tableau1[[#This Row],[Poste technique ou N° d''équipement]]&amp;"_"&amp;Tableau1[[#This Row],[Plan Entretien]]&amp;".xlsm"</f>
        <v>\\stjn.local\trimet\Btechnique\Commun\Atelier Central mécanique\Plan entretien\GammeEntretien\\_.xlsm</v>
      </c>
    </row>
    <row r="137" spans="1:30" x14ac:dyDescent="0.3">
      <c r="A137" s="44" t="str">
        <f t="shared" ca="1" si="2"/>
        <v>7.MENG</v>
      </c>
      <c r="B13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37" s="46"/>
      <c r="D137" s="44"/>
      <c r="E137" s="44"/>
      <c r="F137" s="47"/>
      <c r="G137" s="47"/>
      <c r="H137" s="45"/>
      <c r="I137" s="45"/>
      <c r="J137" s="45"/>
      <c r="K137" s="45"/>
      <c r="L137" s="46"/>
      <c r="M137" s="47"/>
      <c r="N137" s="46"/>
      <c r="O137" s="46"/>
      <c r="P137" s="47"/>
      <c r="Q137" s="46"/>
      <c r="R137" s="46"/>
      <c r="S137" s="48"/>
      <c r="T137" s="68" t="str">
        <f>IF(Tableau1[[#This Row],[DMS_SAP]]="","",HYPERLINK(Tableau1[[#This Row],[Chemin fichier source]],"X"))</f>
        <v/>
      </c>
      <c r="U137" s="68" t="str">
        <f>IF(Tableau1[[#This Row],[Date rév.]]="","",HYPERLINK(Tableau1[[#This Row],[Lien document]],"X"))</f>
        <v/>
      </c>
      <c r="V137" s="47"/>
      <c r="W13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37" s="47"/>
      <c r="Y137" s="47"/>
      <c r="Z137" s="44" t="str">
        <f ca="1">IF(AND(Tableau1[[#This Row],[Charge]]&lt;&gt;0, Tableau1[[#This Row],[Nombre intervenants]]&lt;&gt;0,Tableau1[[#This Row],[Lien document]]&lt;&gt;0,Tableau1[[#This Row],[DMS_SAP]]&lt;&gt;0)=TRUE,"MIS A JOUR","")</f>
        <v/>
      </c>
      <c r="AA137" s="48"/>
      <c r="AB137" s="65" t="str">
        <f ca="1">IF(Tableau1[[#This Row],[Date rév.]]&lt;&gt;"", DAYS360(Tableau1[[#This Row],[Date rév.]],TODAY()),"")</f>
        <v/>
      </c>
      <c r="AC137" s="50" t="str">
        <f>IFERROR(INDEX(Chemin_accès!$B$11:$C$22,MATCH(Tableau1[[#This Row],[Type]],Chemin_accès!$C$11:$C$22,0),1),Chemin_accès!$B$11)</f>
        <v>\\stjn.local\trimet\Btechnique\Commun\Atelier Central mécanique\Plan entretien\Modèles préventif\GammeDMS_7.MENG.xlsm</v>
      </c>
      <c r="AD137" s="50" t="str">
        <f>Chemin_accès!$B$8&amp;Tableau1[[#This Row],[Localisation / Classement]]&amp;"\"&amp;Tableau1[[#This Row],[Poste technique ou N° d''équipement]]&amp;"_"&amp;Tableau1[[#This Row],[Plan Entretien]]&amp;".xlsm"</f>
        <v>\\stjn.local\trimet\Btechnique\Commun\Atelier Central mécanique\Plan entretien\GammeEntretien\\_.xlsm</v>
      </c>
    </row>
    <row r="138" spans="1:30" x14ac:dyDescent="0.3">
      <c r="A138" s="44" t="str">
        <f t="shared" ca="1" si="2"/>
        <v>7.MENG</v>
      </c>
      <c r="B13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38" s="46"/>
      <c r="D138" s="44"/>
      <c r="E138" s="44"/>
      <c r="F138" s="47"/>
      <c r="G138" s="47"/>
      <c r="H138" s="45"/>
      <c r="I138" s="45"/>
      <c r="J138" s="45"/>
      <c r="K138" s="45"/>
      <c r="L138" s="46"/>
      <c r="M138" s="47"/>
      <c r="N138" s="46"/>
      <c r="O138" s="46"/>
      <c r="P138" s="47"/>
      <c r="Q138" s="46"/>
      <c r="R138" s="46"/>
      <c r="S138" s="48"/>
      <c r="T138" s="68" t="str">
        <f>IF(Tableau1[[#This Row],[DMS_SAP]]="","",HYPERLINK(Tableau1[[#This Row],[Chemin fichier source]],"X"))</f>
        <v/>
      </c>
      <c r="U138" s="68" t="str">
        <f>IF(Tableau1[[#This Row],[Date rév.]]="","",HYPERLINK(Tableau1[[#This Row],[Lien document]],"X"))</f>
        <v/>
      </c>
      <c r="V138" s="47"/>
      <c r="W13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38" s="47"/>
      <c r="Y138" s="47"/>
      <c r="Z138" s="44" t="str">
        <f ca="1">IF(AND(Tableau1[[#This Row],[Charge]]&lt;&gt;0, Tableau1[[#This Row],[Nombre intervenants]]&lt;&gt;0,Tableau1[[#This Row],[Lien document]]&lt;&gt;0,Tableau1[[#This Row],[DMS_SAP]]&lt;&gt;0)=TRUE,"MIS A JOUR","")</f>
        <v/>
      </c>
      <c r="AA138" s="48"/>
      <c r="AB138" s="65" t="str">
        <f ca="1">IF(Tableau1[[#This Row],[Date rév.]]&lt;&gt;"", DAYS360(Tableau1[[#This Row],[Date rév.]],TODAY()),"")</f>
        <v/>
      </c>
      <c r="AC138" s="50" t="str">
        <f>IFERROR(INDEX(Chemin_accès!$B$11:$C$22,MATCH(Tableau1[[#This Row],[Type]],Chemin_accès!$C$11:$C$22,0),1),Chemin_accès!$B$11)</f>
        <v>\\stjn.local\trimet\Btechnique\Commun\Atelier Central mécanique\Plan entretien\Modèles préventif\GammeDMS_7.MENG.xlsm</v>
      </c>
      <c r="AD138" s="50" t="str">
        <f>Chemin_accès!$B$8&amp;Tableau1[[#This Row],[Localisation / Classement]]&amp;"\"&amp;Tableau1[[#This Row],[Poste technique ou N° d''équipement]]&amp;"_"&amp;Tableau1[[#This Row],[Plan Entretien]]&amp;".xlsm"</f>
        <v>\\stjn.local\trimet\Btechnique\Commun\Atelier Central mécanique\Plan entretien\GammeEntretien\\_.xlsm</v>
      </c>
    </row>
    <row r="139" spans="1:30" x14ac:dyDescent="0.3">
      <c r="A139" s="44" t="str">
        <f t="shared" ca="1" si="2"/>
        <v>7.MENG</v>
      </c>
      <c r="B13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39" s="46"/>
      <c r="D139" s="44"/>
      <c r="E139" s="44"/>
      <c r="F139" s="47"/>
      <c r="G139" s="47"/>
      <c r="H139" s="45"/>
      <c r="I139" s="45"/>
      <c r="J139" s="45"/>
      <c r="K139" s="45"/>
      <c r="L139" s="46"/>
      <c r="M139" s="47"/>
      <c r="N139" s="46"/>
      <c r="O139" s="46"/>
      <c r="P139" s="47"/>
      <c r="Q139" s="46"/>
      <c r="R139" s="46"/>
      <c r="S139" s="48"/>
      <c r="T139" s="68" t="str">
        <f>IF(Tableau1[[#This Row],[DMS_SAP]]="","",HYPERLINK(Tableau1[[#This Row],[Chemin fichier source]],"X"))</f>
        <v/>
      </c>
      <c r="U139" s="68" t="str">
        <f>IF(Tableau1[[#This Row],[Date rév.]]="","",HYPERLINK(Tableau1[[#This Row],[Lien document]],"X"))</f>
        <v/>
      </c>
      <c r="V139" s="47"/>
      <c r="W13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39" s="47"/>
      <c r="Y139" s="47"/>
      <c r="Z139" s="44" t="str">
        <f ca="1">IF(AND(Tableau1[[#This Row],[Charge]]&lt;&gt;0, Tableau1[[#This Row],[Nombre intervenants]]&lt;&gt;0,Tableau1[[#This Row],[Lien document]]&lt;&gt;0,Tableau1[[#This Row],[DMS_SAP]]&lt;&gt;0)=TRUE,"MIS A JOUR","")</f>
        <v/>
      </c>
      <c r="AA139" s="48"/>
      <c r="AB139" s="65" t="str">
        <f ca="1">IF(Tableau1[[#This Row],[Date rév.]]&lt;&gt;"", DAYS360(Tableau1[[#This Row],[Date rév.]],TODAY()),"")</f>
        <v/>
      </c>
      <c r="AC139" s="50" t="str">
        <f>IFERROR(INDEX(Chemin_accès!$B$11:$C$22,MATCH(Tableau1[[#This Row],[Type]],Chemin_accès!$C$11:$C$22,0),1),Chemin_accès!$B$11)</f>
        <v>\\stjn.local\trimet\Btechnique\Commun\Atelier Central mécanique\Plan entretien\Modèles préventif\GammeDMS_7.MENG.xlsm</v>
      </c>
      <c r="AD139" s="50" t="str">
        <f>Chemin_accès!$B$8&amp;Tableau1[[#This Row],[Localisation / Classement]]&amp;"\"&amp;Tableau1[[#This Row],[Poste technique ou N° d''équipement]]&amp;"_"&amp;Tableau1[[#This Row],[Plan Entretien]]&amp;".xlsm"</f>
        <v>\\stjn.local\trimet\Btechnique\Commun\Atelier Central mécanique\Plan entretien\GammeEntretien\\_.xlsm</v>
      </c>
    </row>
    <row r="140" spans="1:30" x14ac:dyDescent="0.3">
      <c r="A140" s="44" t="str">
        <f t="shared" ca="1" si="2"/>
        <v>7.MENG</v>
      </c>
      <c r="B14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40" s="46"/>
      <c r="D140" s="44"/>
      <c r="E140" s="44"/>
      <c r="F140" s="47"/>
      <c r="G140" s="47"/>
      <c r="H140" s="45"/>
      <c r="I140" s="45"/>
      <c r="J140" s="45"/>
      <c r="K140" s="45"/>
      <c r="L140" s="46"/>
      <c r="M140" s="47"/>
      <c r="N140" s="46"/>
      <c r="O140" s="46"/>
      <c r="P140" s="47"/>
      <c r="Q140" s="46"/>
      <c r="R140" s="46"/>
      <c r="S140" s="48"/>
      <c r="T140" s="68" t="str">
        <f>IF(Tableau1[[#This Row],[DMS_SAP]]="","",HYPERLINK(Tableau1[[#This Row],[Chemin fichier source]],"X"))</f>
        <v/>
      </c>
      <c r="U140" s="68" t="str">
        <f>IF(Tableau1[[#This Row],[Date rév.]]="","",HYPERLINK(Tableau1[[#This Row],[Lien document]],"X"))</f>
        <v/>
      </c>
      <c r="V140" s="47"/>
      <c r="W14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40" s="47"/>
      <c r="Y140" s="47"/>
      <c r="Z140" s="44" t="str">
        <f ca="1">IF(AND(Tableau1[[#This Row],[Charge]]&lt;&gt;0, Tableau1[[#This Row],[Nombre intervenants]]&lt;&gt;0,Tableau1[[#This Row],[Lien document]]&lt;&gt;0,Tableau1[[#This Row],[DMS_SAP]]&lt;&gt;0)=TRUE,"MIS A JOUR","")</f>
        <v/>
      </c>
      <c r="AA140" s="48"/>
      <c r="AB140" s="65" t="str">
        <f ca="1">IF(Tableau1[[#This Row],[Date rév.]]&lt;&gt;"", DAYS360(Tableau1[[#This Row],[Date rév.]],TODAY()),"")</f>
        <v/>
      </c>
      <c r="AC140" s="50" t="str">
        <f>IFERROR(INDEX(Chemin_accès!$B$11:$C$22,MATCH(Tableau1[[#This Row],[Type]],Chemin_accès!$C$11:$C$22,0),1),Chemin_accès!$B$11)</f>
        <v>\\stjn.local\trimet\Btechnique\Commun\Atelier Central mécanique\Plan entretien\Modèles préventif\GammeDMS_7.MENG.xlsm</v>
      </c>
      <c r="AD140" s="50" t="str">
        <f>Chemin_accès!$B$8&amp;Tableau1[[#This Row],[Localisation / Classement]]&amp;"\"&amp;Tableau1[[#This Row],[Poste technique ou N° d''équipement]]&amp;"_"&amp;Tableau1[[#This Row],[Plan Entretien]]&amp;".xlsm"</f>
        <v>\\stjn.local\trimet\Btechnique\Commun\Atelier Central mécanique\Plan entretien\GammeEntretien\\_.xlsm</v>
      </c>
    </row>
    <row r="141" spans="1:30" x14ac:dyDescent="0.3">
      <c r="A141" s="44" t="str">
        <f t="shared" ca="1" si="2"/>
        <v>7.MENG</v>
      </c>
      <c r="B14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41" s="46"/>
      <c r="D141" s="44"/>
      <c r="E141" s="44"/>
      <c r="F141" s="47"/>
      <c r="G141" s="47"/>
      <c r="H141" s="45"/>
      <c r="I141" s="45"/>
      <c r="J141" s="45"/>
      <c r="K141" s="45"/>
      <c r="L141" s="46"/>
      <c r="M141" s="47"/>
      <c r="N141" s="46"/>
      <c r="O141" s="46"/>
      <c r="P141" s="47"/>
      <c r="Q141" s="46"/>
      <c r="R141" s="46"/>
      <c r="S141" s="48"/>
      <c r="T141" s="68" t="str">
        <f>IF(Tableau1[[#This Row],[DMS_SAP]]="","",HYPERLINK(Tableau1[[#This Row],[Chemin fichier source]],"X"))</f>
        <v/>
      </c>
      <c r="U141" s="68" t="str">
        <f>IF(Tableau1[[#This Row],[Date rév.]]="","",HYPERLINK(Tableau1[[#This Row],[Lien document]],"X"))</f>
        <v/>
      </c>
      <c r="V141" s="47"/>
      <c r="W14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41" s="47"/>
      <c r="Y141" s="47"/>
      <c r="Z141" s="44" t="str">
        <f ca="1">IF(AND(Tableau1[[#This Row],[Charge]]&lt;&gt;0, Tableau1[[#This Row],[Nombre intervenants]]&lt;&gt;0,Tableau1[[#This Row],[Lien document]]&lt;&gt;0,Tableau1[[#This Row],[DMS_SAP]]&lt;&gt;0)=TRUE,"MIS A JOUR","")</f>
        <v/>
      </c>
      <c r="AA141" s="48"/>
      <c r="AB141" s="65" t="str">
        <f ca="1">IF(Tableau1[[#This Row],[Date rév.]]&lt;&gt;"", DAYS360(Tableau1[[#This Row],[Date rév.]],TODAY()),"")</f>
        <v/>
      </c>
      <c r="AC141" s="50" t="str">
        <f>IFERROR(INDEX(Chemin_accès!$B$11:$C$22,MATCH(Tableau1[[#This Row],[Type]],Chemin_accès!$C$11:$C$22,0),1),Chemin_accès!$B$11)</f>
        <v>\\stjn.local\trimet\Btechnique\Commun\Atelier Central mécanique\Plan entretien\Modèles préventif\GammeDMS_7.MENG.xlsm</v>
      </c>
      <c r="AD141" s="50" t="str">
        <f>Chemin_accès!$B$8&amp;Tableau1[[#This Row],[Localisation / Classement]]&amp;"\"&amp;Tableau1[[#This Row],[Poste technique ou N° d''équipement]]&amp;"_"&amp;Tableau1[[#This Row],[Plan Entretien]]&amp;".xlsm"</f>
        <v>\\stjn.local\trimet\Btechnique\Commun\Atelier Central mécanique\Plan entretien\GammeEntretien\\_.xlsm</v>
      </c>
    </row>
    <row r="142" spans="1:30" x14ac:dyDescent="0.3">
      <c r="A142" s="44" t="str">
        <f t="shared" ca="1" si="2"/>
        <v>7.MENG</v>
      </c>
      <c r="B14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42" s="46"/>
      <c r="D142" s="44"/>
      <c r="E142" s="44"/>
      <c r="F142" s="47"/>
      <c r="G142" s="47"/>
      <c r="H142" s="63"/>
      <c r="I142" s="61"/>
      <c r="J142" s="45"/>
      <c r="K142" s="45"/>
      <c r="L142" s="46"/>
      <c r="M142" s="47"/>
      <c r="N142" s="46"/>
      <c r="O142" s="46"/>
      <c r="P142" s="47"/>
      <c r="Q142" s="46"/>
      <c r="R142" s="46"/>
      <c r="S142" s="48"/>
      <c r="T142" s="68" t="str">
        <f>IF(Tableau1[[#This Row],[DMS_SAP]]="","",HYPERLINK(Tableau1[[#This Row],[Chemin fichier source]],"X"))</f>
        <v/>
      </c>
      <c r="U142" s="68" t="str">
        <f>IF(Tableau1[[#This Row],[Date rév.]]="","",HYPERLINK(Tableau1[[#This Row],[Lien document]],"X"))</f>
        <v/>
      </c>
      <c r="V142" s="47"/>
      <c r="W14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42" s="47"/>
      <c r="Y142" s="47"/>
      <c r="Z142" s="44" t="str">
        <f ca="1">IF(AND(Tableau1[[#This Row],[Charge]]&lt;&gt;0, Tableau1[[#This Row],[Nombre intervenants]]&lt;&gt;0,Tableau1[[#This Row],[Lien document]]&lt;&gt;0,Tableau1[[#This Row],[DMS_SAP]]&lt;&gt;0)=TRUE,"MIS A JOUR","")</f>
        <v/>
      </c>
      <c r="AA142" s="48"/>
      <c r="AB142" s="65" t="str">
        <f ca="1">IF(Tableau1[[#This Row],[Date rév.]]&lt;&gt;"", DAYS360(Tableau1[[#This Row],[Date rév.]],TODAY()),"")</f>
        <v/>
      </c>
      <c r="AC142" s="50" t="str">
        <f>IFERROR(INDEX(Chemin_accès!$B$11:$C$22,MATCH(Tableau1[[#This Row],[Type]],Chemin_accès!$C$11:$C$22,0),1),Chemin_accès!$B$11)</f>
        <v>\\stjn.local\trimet\Btechnique\Commun\Atelier Central mécanique\Plan entretien\Modèles préventif\GammeDMS_7.MENG.xlsm</v>
      </c>
      <c r="AD142" s="50" t="str">
        <f>Chemin_accès!$B$8&amp;Tableau1[[#This Row],[Localisation / Classement]]&amp;"\"&amp;Tableau1[[#This Row],[Poste technique ou N° d''équipement]]&amp;"_"&amp;Tableau1[[#This Row],[Plan Entretien]]&amp;".xlsm"</f>
        <v>\\stjn.local\trimet\Btechnique\Commun\Atelier Central mécanique\Plan entretien\GammeEntretien\\_.xlsm</v>
      </c>
    </row>
    <row r="143" spans="1:30" x14ac:dyDescent="0.3">
      <c r="A143" s="44" t="str">
        <f t="shared" ca="1" si="2"/>
        <v>7.MENG</v>
      </c>
      <c r="B14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43" s="46"/>
      <c r="D143" s="44"/>
      <c r="E143" s="44"/>
      <c r="F143" s="47"/>
      <c r="G143" s="47"/>
      <c r="H143" s="63"/>
      <c r="I143" s="61"/>
      <c r="J143" s="45"/>
      <c r="K143" s="45"/>
      <c r="L143" s="46"/>
      <c r="M143" s="47"/>
      <c r="N143" s="46"/>
      <c r="O143" s="46"/>
      <c r="P143" s="47"/>
      <c r="Q143" s="46"/>
      <c r="R143" s="46"/>
      <c r="S143" s="48"/>
      <c r="T143" s="68" t="str">
        <f>IF(Tableau1[[#This Row],[DMS_SAP]]="","",HYPERLINK(Tableau1[[#This Row],[Chemin fichier source]],"X"))</f>
        <v/>
      </c>
      <c r="U143" s="68" t="str">
        <f>IF(Tableau1[[#This Row],[Date rév.]]="","",HYPERLINK(Tableau1[[#This Row],[Lien document]],"X"))</f>
        <v/>
      </c>
      <c r="V143" s="47"/>
      <c r="W14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43" s="47"/>
      <c r="Y143" s="47"/>
      <c r="Z143" s="44" t="str">
        <f ca="1">IF(AND(Tableau1[[#This Row],[Charge]]&lt;&gt;0, Tableau1[[#This Row],[Nombre intervenants]]&lt;&gt;0,Tableau1[[#This Row],[Lien document]]&lt;&gt;0,Tableau1[[#This Row],[DMS_SAP]]&lt;&gt;0)=TRUE,"MIS A JOUR","")</f>
        <v/>
      </c>
      <c r="AA143" s="48"/>
      <c r="AB143" s="65" t="str">
        <f ca="1">IF(Tableau1[[#This Row],[Date rév.]]&lt;&gt;"", DAYS360(Tableau1[[#This Row],[Date rév.]],TODAY()),"")</f>
        <v/>
      </c>
      <c r="AC143" s="50" t="str">
        <f>IFERROR(INDEX(Chemin_accès!$B$11:$C$22,MATCH(Tableau1[[#This Row],[Type]],Chemin_accès!$C$11:$C$22,0),1),Chemin_accès!$B$11)</f>
        <v>\\stjn.local\trimet\Btechnique\Commun\Atelier Central mécanique\Plan entretien\Modèles préventif\GammeDMS_7.MENG.xlsm</v>
      </c>
      <c r="AD143" s="50" t="str">
        <f>Chemin_accès!$B$8&amp;Tableau1[[#This Row],[Localisation / Classement]]&amp;"\"&amp;Tableau1[[#This Row],[Poste technique ou N° d''équipement]]&amp;"_"&amp;Tableau1[[#This Row],[Plan Entretien]]&amp;".xlsm"</f>
        <v>\\stjn.local\trimet\Btechnique\Commun\Atelier Central mécanique\Plan entretien\GammeEntretien\\_.xlsm</v>
      </c>
    </row>
    <row r="144" spans="1:30" x14ac:dyDescent="0.3">
      <c r="A144" s="44" t="str">
        <f t="shared" ca="1" si="2"/>
        <v>7.MENG</v>
      </c>
      <c r="B14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44" s="46"/>
      <c r="D144" s="44"/>
      <c r="E144" s="44"/>
      <c r="F144" s="47"/>
      <c r="G144" s="47"/>
      <c r="H144" s="63"/>
      <c r="I144" s="61"/>
      <c r="J144" s="45"/>
      <c r="K144" s="45"/>
      <c r="L144" s="46"/>
      <c r="M144" s="47"/>
      <c r="N144" s="46"/>
      <c r="O144" s="46"/>
      <c r="P144" s="47"/>
      <c r="Q144" s="46"/>
      <c r="R144" s="46"/>
      <c r="S144" s="48"/>
      <c r="T144" s="68" t="str">
        <f>IF(Tableau1[[#This Row],[DMS_SAP]]="","",HYPERLINK(Tableau1[[#This Row],[Chemin fichier source]],"X"))</f>
        <v/>
      </c>
      <c r="U144" s="68" t="str">
        <f>IF(Tableau1[[#This Row],[Date rév.]]="","",HYPERLINK(Tableau1[[#This Row],[Lien document]],"X"))</f>
        <v/>
      </c>
      <c r="V144" s="47"/>
      <c r="W14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44" s="47"/>
      <c r="Y144" s="47"/>
      <c r="Z144" s="44" t="str">
        <f ca="1">IF(AND(Tableau1[[#This Row],[Charge]]&lt;&gt;0, Tableau1[[#This Row],[Nombre intervenants]]&lt;&gt;0,Tableau1[[#This Row],[Lien document]]&lt;&gt;0,Tableau1[[#This Row],[DMS_SAP]]&lt;&gt;0)=TRUE,"MIS A JOUR","")</f>
        <v/>
      </c>
      <c r="AA144" s="48"/>
      <c r="AB144" s="65" t="str">
        <f ca="1">IF(Tableau1[[#This Row],[Date rév.]]&lt;&gt;"", DAYS360(Tableau1[[#This Row],[Date rév.]],TODAY()),"")</f>
        <v/>
      </c>
      <c r="AC144" s="50" t="str">
        <f>IFERROR(INDEX(Chemin_accès!$B$11:$C$22,MATCH(Tableau1[[#This Row],[Type]],Chemin_accès!$C$11:$C$22,0),1),Chemin_accès!$B$11)</f>
        <v>\\stjn.local\trimet\Btechnique\Commun\Atelier Central mécanique\Plan entretien\Modèles préventif\GammeDMS_7.MENG.xlsm</v>
      </c>
      <c r="AD144" s="50" t="str">
        <f>Chemin_accès!$B$8&amp;Tableau1[[#This Row],[Localisation / Classement]]&amp;"\"&amp;Tableau1[[#This Row],[Poste technique ou N° d''équipement]]&amp;"_"&amp;Tableau1[[#This Row],[Plan Entretien]]&amp;".xlsm"</f>
        <v>\\stjn.local\trimet\Btechnique\Commun\Atelier Central mécanique\Plan entretien\GammeEntretien\\_.xlsm</v>
      </c>
    </row>
    <row r="145" spans="1:30" x14ac:dyDescent="0.3">
      <c r="A145" s="44" t="str">
        <f t="shared" ca="1" si="2"/>
        <v>7.MENG</v>
      </c>
      <c r="B14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45" s="46"/>
      <c r="D145" s="44"/>
      <c r="E145" s="44"/>
      <c r="F145" s="47"/>
      <c r="G145" s="47"/>
      <c r="H145" s="63"/>
      <c r="I145" s="61"/>
      <c r="J145" s="45"/>
      <c r="K145" s="45"/>
      <c r="L145" s="46"/>
      <c r="M145" s="47"/>
      <c r="N145" s="46"/>
      <c r="O145" s="46"/>
      <c r="P145" s="47"/>
      <c r="Q145" s="46"/>
      <c r="R145" s="46"/>
      <c r="S145" s="48"/>
      <c r="T145" s="68" t="str">
        <f>IF(Tableau1[[#This Row],[DMS_SAP]]="","",HYPERLINK(Tableau1[[#This Row],[Chemin fichier source]],"X"))</f>
        <v/>
      </c>
      <c r="U145" s="68" t="str">
        <f>IF(Tableau1[[#This Row],[Date rév.]]="","",HYPERLINK(Tableau1[[#This Row],[Lien document]],"X"))</f>
        <v/>
      </c>
      <c r="V145" s="47"/>
      <c r="W14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45" s="47"/>
      <c r="Y145" s="47"/>
      <c r="Z145" s="44" t="str">
        <f ca="1">IF(AND(Tableau1[[#This Row],[Charge]]&lt;&gt;0, Tableau1[[#This Row],[Nombre intervenants]]&lt;&gt;0,Tableau1[[#This Row],[Lien document]]&lt;&gt;0,Tableau1[[#This Row],[DMS_SAP]]&lt;&gt;0)=TRUE,"MIS A JOUR","")</f>
        <v/>
      </c>
      <c r="AA145" s="48"/>
      <c r="AB145" s="65" t="str">
        <f ca="1">IF(Tableau1[[#This Row],[Date rév.]]&lt;&gt;"", DAYS360(Tableau1[[#This Row],[Date rév.]],TODAY()),"")</f>
        <v/>
      </c>
      <c r="AC145" s="50" t="str">
        <f>IFERROR(INDEX(Chemin_accès!$B$11:$C$22,MATCH(Tableau1[[#This Row],[Type]],Chemin_accès!$C$11:$C$22,0),1),Chemin_accès!$B$11)</f>
        <v>\\stjn.local\trimet\Btechnique\Commun\Atelier Central mécanique\Plan entretien\Modèles préventif\GammeDMS_7.MENG.xlsm</v>
      </c>
      <c r="AD145" s="50" t="str">
        <f>Chemin_accès!$B$8&amp;Tableau1[[#This Row],[Localisation / Classement]]&amp;"\"&amp;Tableau1[[#This Row],[Poste technique ou N° d''équipement]]&amp;"_"&amp;Tableau1[[#This Row],[Plan Entretien]]&amp;".xlsm"</f>
        <v>\\stjn.local\trimet\Btechnique\Commun\Atelier Central mécanique\Plan entretien\GammeEntretien\\_.xlsm</v>
      </c>
    </row>
    <row r="146" spans="1:30" x14ac:dyDescent="0.3">
      <c r="A146" s="44" t="str">
        <f t="shared" ca="1" si="2"/>
        <v>7.MENG</v>
      </c>
      <c r="B14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46" s="46"/>
      <c r="D146" s="44"/>
      <c r="E146" s="44"/>
      <c r="F146" s="47"/>
      <c r="G146" s="47"/>
      <c r="H146" s="63"/>
      <c r="I146" s="61"/>
      <c r="J146" s="45"/>
      <c r="K146" s="45"/>
      <c r="L146" s="46"/>
      <c r="M146" s="47"/>
      <c r="N146" s="46"/>
      <c r="O146" s="46"/>
      <c r="P146" s="47"/>
      <c r="Q146" s="46"/>
      <c r="R146" s="46"/>
      <c r="S146" s="48"/>
      <c r="T146" s="68" t="str">
        <f>IF(Tableau1[[#This Row],[DMS_SAP]]="","",HYPERLINK(Tableau1[[#This Row],[Chemin fichier source]],"X"))</f>
        <v/>
      </c>
      <c r="U146" s="68" t="str">
        <f>IF(Tableau1[[#This Row],[Date rév.]]="","",HYPERLINK(Tableau1[[#This Row],[Lien document]],"X"))</f>
        <v/>
      </c>
      <c r="V146" s="47"/>
      <c r="W14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46" s="47"/>
      <c r="Y146" s="47"/>
      <c r="Z146" s="44" t="str">
        <f ca="1">IF(AND(Tableau1[[#This Row],[Charge]]&lt;&gt;0, Tableau1[[#This Row],[Nombre intervenants]]&lt;&gt;0,Tableau1[[#This Row],[Lien document]]&lt;&gt;0,Tableau1[[#This Row],[DMS_SAP]]&lt;&gt;0)=TRUE,"MIS A JOUR","")</f>
        <v/>
      </c>
      <c r="AA146" s="48"/>
      <c r="AB146" s="65" t="str">
        <f ca="1">IF(Tableau1[[#This Row],[Date rév.]]&lt;&gt;"", DAYS360(Tableau1[[#This Row],[Date rév.]],TODAY()),"")</f>
        <v/>
      </c>
      <c r="AC146" s="50" t="str">
        <f>IFERROR(INDEX(Chemin_accès!$B$11:$C$22,MATCH(Tableau1[[#This Row],[Type]],Chemin_accès!$C$11:$C$22,0),1),Chemin_accès!$B$11)</f>
        <v>\\stjn.local\trimet\Btechnique\Commun\Atelier Central mécanique\Plan entretien\Modèles préventif\GammeDMS_7.MENG.xlsm</v>
      </c>
      <c r="AD146" s="50" t="str">
        <f>Chemin_accès!$B$8&amp;Tableau1[[#This Row],[Localisation / Classement]]&amp;"\"&amp;Tableau1[[#This Row],[Poste technique ou N° d''équipement]]&amp;"_"&amp;Tableau1[[#This Row],[Plan Entretien]]&amp;".xlsm"</f>
        <v>\\stjn.local\trimet\Btechnique\Commun\Atelier Central mécanique\Plan entretien\GammeEntretien\\_.xlsm</v>
      </c>
    </row>
    <row r="147" spans="1:30" x14ac:dyDescent="0.3">
      <c r="A147" s="44" t="str">
        <f t="shared" ca="1" si="2"/>
        <v>7.MENG</v>
      </c>
      <c r="B14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47" s="46"/>
      <c r="D147" s="44"/>
      <c r="E147" s="44"/>
      <c r="F147" s="47"/>
      <c r="G147" s="47"/>
      <c r="H147" s="63"/>
      <c r="I147" s="61"/>
      <c r="J147" s="45"/>
      <c r="K147" s="45"/>
      <c r="L147" s="46"/>
      <c r="M147" s="47"/>
      <c r="N147" s="46"/>
      <c r="O147" s="46"/>
      <c r="P147" s="47"/>
      <c r="Q147" s="46"/>
      <c r="R147" s="46"/>
      <c r="S147" s="48"/>
      <c r="T147" s="68" t="str">
        <f>IF(Tableau1[[#This Row],[DMS_SAP]]="","",HYPERLINK(Tableau1[[#This Row],[Chemin fichier source]],"X"))</f>
        <v/>
      </c>
      <c r="U147" s="68" t="str">
        <f>IF(Tableau1[[#This Row],[Date rév.]]="","",HYPERLINK(Tableau1[[#This Row],[Lien document]],"X"))</f>
        <v/>
      </c>
      <c r="V147" s="47"/>
      <c r="W14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47" s="47"/>
      <c r="Y147" s="47"/>
      <c r="Z147" s="44" t="str">
        <f ca="1">IF(AND(Tableau1[[#This Row],[Charge]]&lt;&gt;0, Tableau1[[#This Row],[Nombre intervenants]]&lt;&gt;0,Tableau1[[#This Row],[Lien document]]&lt;&gt;0,Tableau1[[#This Row],[DMS_SAP]]&lt;&gt;0)=TRUE,"MIS A JOUR","")</f>
        <v/>
      </c>
      <c r="AA147" s="48"/>
      <c r="AB147" s="65" t="str">
        <f ca="1">IF(Tableau1[[#This Row],[Date rév.]]&lt;&gt;"", DAYS360(Tableau1[[#This Row],[Date rév.]],TODAY()),"")</f>
        <v/>
      </c>
      <c r="AC147" s="50" t="str">
        <f>IFERROR(INDEX(Chemin_accès!$B$11:$C$22,MATCH(Tableau1[[#This Row],[Type]],Chemin_accès!$C$11:$C$22,0),1),Chemin_accès!$B$11)</f>
        <v>\\stjn.local\trimet\Btechnique\Commun\Atelier Central mécanique\Plan entretien\Modèles préventif\GammeDMS_7.MENG.xlsm</v>
      </c>
      <c r="AD147" s="50" t="str">
        <f>Chemin_accès!$B$8&amp;Tableau1[[#This Row],[Localisation / Classement]]&amp;"\"&amp;Tableau1[[#This Row],[Poste technique ou N° d''équipement]]&amp;"_"&amp;Tableau1[[#This Row],[Plan Entretien]]&amp;".xlsm"</f>
        <v>\\stjn.local\trimet\Btechnique\Commun\Atelier Central mécanique\Plan entretien\GammeEntretien\\_.xlsm</v>
      </c>
    </row>
    <row r="148" spans="1:30" x14ac:dyDescent="0.3">
      <c r="A148" s="44" t="str">
        <f t="shared" ca="1" si="2"/>
        <v>7.MENG</v>
      </c>
      <c r="B14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48" s="46"/>
      <c r="D148" s="44"/>
      <c r="E148" s="44"/>
      <c r="F148" s="47"/>
      <c r="G148" s="47"/>
      <c r="H148" s="63"/>
      <c r="I148" s="61"/>
      <c r="J148" s="45"/>
      <c r="K148" s="45"/>
      <c r="L148" s="46"/>
      <c r="M148" s="47"/>
      <c r="N148" s="46"/>
      <c r="O148" s="46"/>
      <c r="P148" s="47"/>
      <c r="Q148" s="46"/>
      <c r="R148" s="46"/>
      <c r="S148" s="48"/>
      <c r="T148" s="68" t="str">
        <f>IF(Tableau1[[#This Row],[DMS_SAP]]="","",HYPERLINK(Tableau1[[#This Row],[Chemin fichier source]],"X"))</f>
        <v/>
      </c>
      <c r="U148" s="68" t="str">
        <f>IF(Tableau1[[#This Row],[Date rév.]]="","",HYPERLINK(Tableau1[[#This Row],[Lien document]],"X"))</f>
        <v/>
      </c>
      <c r="V148" s="47"/>
      <c r="W14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48" s="47"/>
      <c r="Y148" s="47"/>
      <c r="Z148" s="44" t="str">
        <f ca="1">IF(AND(Tableau1[[#This Row],[Charge]]&lt;&gt;0, Tableau1[[#This Row],[Nombre intervenants]]&lt;&gt;0,Tableau1[[#This Row],[Lien document]]&lt;&gt;0,Tableau1[[#This Row],[DMS_SAP]]&lt;&gt;0)=TRUE,"MIS A JOUR","")</f>
        <v/>
      </c>
      <c r="AA148" s="48"/>
      <c r="AB148" s="65" t="str">
        <f ca="1">IF(Tableau1[[#This Row],[Date rév.]]&lt;&gt;"", DAYS360(Tableau1[[#This Row],[Date rév.]],TODAY()),"")</f>
        <v/>
      </c>
      <c r="AC148" s="50" t="str">
        <f>IFERROR(INDEX(Chemin_accès!$B$11:$C$22,MATCH(Tableau1[[#This Row],[Type]],Chemin_accès!$C$11:$C$22,0),1),Chemin_accès!$B$11)</f>
        <v>\\stjn.local\trimet\Btechnique\Commun\Atelier Central mécanique\Plan entretien\Modèles préventif\GammeDMS_7.MENG.xlsm</v>
      </c>
      <c r="AD148" s="50" t="str">
        <f>Chemin_accès!$B$8&amp;Tableau1[[#This Row],[Localisation / Classement]]&amp;"\"&amp;Tableau1[[#This Row],[Poste technique ou N° d''équipement]]&amp;"_"&amp;Tableau1[[#This Row],[Plan Entretien]]&amp;".xlsm"</f>
        <v>\\stjn.local\trimet\Btechnique\Commun\Atelier Central mécanique\Plan entretien\GammeEntretien\\_.xlsm</v>
      </c>
    </row>
    <row r="149" spans="1:30" x14ac:dyDescent="0.3">
      <c r="A149" s="44" t="str">
        <f t="shared" ca="1" si="2"/>
        <v>7.MENG</v>
      </c>
      <c r="B14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49" s="46"/>
      <c r="D149" s="44"/>
      <c r="E149" s="44"/>
      <c r="F149" s="47"/>
      <c r="G149" s="47"/>
      <c r="H149" s="63"/>
      <c r="I149" s="61"/>
      <c r="J149" s="45"/>
      <c r="K149" s="45"/>
      <c r="L149" s="46"/>
      <c r="M149" s="47"/>
      <c r="N149" s="46"/>
      <c r="O149" s="46"/>
      <c r="P149" s="47"/>
      <c r="Q149" s="46"/>
      <c r="R149" s="46"/>
      <c r="S149" s="48"/>
      <c r="T149" s="68" t="str">
        <f>IF(Tableau1[[#This Row],[DMS_SAP]]="","",HYPERLINK(Tableau1[[#This Row],[Chemin fichier source]],"X"))</f>
        <v/>
      </c>
      <c r="U149" s="68" t="str">
        <f>IF(Tableau1[[#This Row],[Date rév.]]="","",HYPERLINK(Tableau1[[#This Row],[Lien document]],"X"))</f>
        <v/>
      </c>
      <c r="V149" s="47"/>
      <c r="W14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49" s="47"/>
      <c r="Y149" s="47"/>
      <c r="Z149" s="44" t="str">
        <f ca="1">IF(AND(Tableau1[[#This Row],[Charge]]&lt;&gt;0, Tableau1[[#This Row],[Nombre intervenants]]&lt;&gt;0,Tableau1[[#This Row],[Lien document]]&lt;&gt;0,Tableau1[[#This Row],[DMS_SAP]]&lt;&gt;0)=TRUE,"MIS A JOUR","")</f>
        <v/>
      </c>
      <c r="AA149" s="48"/>
      <c r="AB149" s="65" t="str">
        <f ca="1">IF(Tableau1[[#This Row],[Date rév.]]&lt;&gt;"", DAYS360(Tableau1[[#This Row],[Date rév.]],TODAY()),"")</f>
        <v/>
      </c>
      <c r="AC149" s="50" t="str">
        <f>IFERROR(INDEX(Chemin_accès!$B$11:$C$22,MATCH(Tableau1[[#This Row],[Type]],Chemin_accès!$C$11:$C$22,0),1),Chemin_accès!$B$11)</f>
        <v>\\stjn.local\trimet\Btechnique\Commun\Atelier Central mécanique\Plan entretien\Modèles préventif\GammeDMS_7.MENG.xlsm</v>
      </c>
      <c r="AD149" s="50" t="str">
        <f>Chemin_accès!$B$8&amp;Tableau1[[#This Row],[Localisation / Classement]]&amp;"\"&amp;Tableau1[[#This Row],[Poste technique ou N° d''équipement]]&amp;"_"&amp;Tableau1[[#This Row],[Plan Entretien]]&amp;".xlsm"</f>
        <v>\\stjn.local\trimet\Btechnique\Commun\Atelier Central mécanique\Plan entretien\GammeEntretien\\_.xlsm</v>
      </c>
    </row>
    <row r="150" spans="1:30" x14ac:dyDescent="0.3">
      <c r="A150" s="44" t="str">
        <f t="shared" ca="1" si="2"/>
        <v>7.MENG</v>
      </c>
      <c r="B15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50" s="47"/>
      <c r="D150" s="44"/>
      <c r="E150" s="44"/>
      <c r="F150" s="47"/>
      <c r="G150" s="47"/>
      <c r="H150" s="63"/>
      <c r="I150" s="61"/>
      <c r="J150" s="45"/>
      <c r="K150" s="45"/>
      <c r="L150" s="46"/>
      <c r="M150" s="47"/>
      <c r="N150" s="46"/>
      <c r="O150" s="47"/>
      <c r="P150" s="47"/>
      <c r="Q150" s="46"/>
      <c r="R150" s="46"/>
      <c r="S150" s="48"/>
      <c r="T150" s="68" t="str">
        <f>IF(Tableau1[[#This Row],[DMS_SAP]]="","",HYPERLINK(Tableau1[[#This Row],[Chemin fichier source]],"X"))</f>
        <v/>
      </c>
      <c r="U150" s="68" t="str">
        <f>IF(Tableau1[[#This Row],[Date rév.]]="","",HYPERLINK(Tableau1[[#This Row],[Lien document]],"X"))</f>
        <v/>
      </c>
      <c r="V150" s="47"/>
      <c r="W150" s="54"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50" s="47"/>
      <c r="Y150" s="47"/>
      <c r="Z150" s="44" t="str">
        <f ca="1">IF(AND(Tableau1[[#This Row],[Charge]]&lt;&gt;0, Tableau1[[#This Row],[Nombre intervenants]]&lt;&gt;0,Tableau1[[#This Row],[Lien document]]&lt;&gt;0,Tableau1[[#This Row],[DMS_SAP]]&lt;&gt;0)=TRUE,"MIS A JOUR","")</f>
        <v/>
      </c>
      <c r="AA150" s="48"/>
      <c r="AB150" s="65" t="str">
        <f ca="1">IF(Tableau1[[#This Row],[Date rév.]]&lt;&gt;"", DAYS360(Tableau1[[#This Row],[Date rév.]],TODAY()),"")</f>
        <v/>
      </c>
      <c r="AC150" s="50" t="str">
        <f>IFERROR(INDEX(Chemin_accès!$B$11:$C$22,MATCH(Tableau1[[#This Row],[Type]],Chemin_accès!$C$11:$C$22,0),1),Chemin_accès!$B$11)</f>
        <v>\\stjn.local\trimet\Btechnique\Commun\Atelier Central mécanique\Plan entretien\Modèles préventif\GammeDMS_7.MENG.xlsm</v>
      </c>
      <c r="AD150" s="50" t="str">
        <f>Chemin_accès!$B$8&amp;Tableau1[[#This Row],[Localisation / Classement]]&amp;"\"&amp;Tableau1[[#This Row],[Poste technique ou N° d''équipement]]&amp;"_"&amp;Tableau1[[#This Row],[Plan Entretien]]&amp;".xlsm"</f>
        <v>\\stjn.local\trimet\Btechnique\Commun\Atelier Central mécanique\Plan entretien\GammeEntretien\\_.xlsm</v>
      </c>
    </row>
    <row r="151" spans="1:30" x14ac:dyDescent="0.3">
      <c r="A151" s="44" t="str">
        <f t="shared" ca="1" si="2"/>
        <v>7.MENG</v>
      </c>
      <c r="B15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51" s="47"/>
      <c r="D151" s="44"/>
      <c r="E151" s="44"/>
      <c r="F151" s="47"/>
      <c r="G151" s="47"/>
      <c r="H151" s="63"/>
      <c r="I151" s="61"/>
      <c r="J151" s="45"/>
      <c r="K151" s="45"/>
      <c r="L151" s="46"/>
      <c r="M151" s="47"/>
      <c r="N151" s="46"/>
      <c r="O151" s="47"/>
      <c r="P151" s="47"/>
      <c r="Q151" s="46"/>
      <c r="R151" s="46"/>
      <c r="S151" s="48"/>
      <c r="T151" s="68" t="str">
        <f>IF(Tableau1[[#This Row],[DMS_SAP]]="","",HYPERLINK(Tableau1[[#This Row],[Chemin fichier source]],"X"))</f>
        <v/>
      </c>
      <c r="U151" s="68" t="str">
        <f>IF(Tableau1[[#This Row],[Date rév.]]="","",HYPERLINK(Tableau1[[#This Row],[Lien document]],"X"))</f>
        <v/>
      </c>
      <c r="V151" s="47"/>
      <c r="W151" s="54"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51" s="47"/>
      <c r="Y151" s="47"/>
      <c r="Z151" s="44" t="str">
        <f ca="1">IF(AND(Tableau1[[#This Row],[Charge]]&lt;&gt;0, Tableau1[[#This Row],[Nombre intervenants]]&lt;&gt;0,Tableau1[[#This Row],[Lien document]]&lt;&gt;0,Tableau1[[#This Row],[DMS_SAP]]&lt;&gt;0)=TRUE,"MIS A JOUR","")</f>
        <v/>
      </c>
      <c r="AA151" s="48"/>
      <c r="AB151" s="65" t="str">
        <f ca="1">IF(Tableau1[[#This Row],[Date rév.]]&lt;&gt;"", DAYS360(Tableau1[[#This Row],[Date rév.]],TODAY()),"")</f>
        <v/>
      </c>
      <c r="AC151" s="50" t="str">
        <f>IFERROR(INDEX(Chemin_accès!$B$11:$C$22,MATCH(Tableau1[[#This Row],[Type]],Chemin_accès!$C$11:$C$22,0),1),Chemin_accès!$B$11)</f>
        <v>\\stjn.local\trimet\Btechnique\Commun\Atelier Central mécanique\Plan entretien\Modèles préventif\GammeDMS_7.MENG.xlsm</v>
      </c>
      <c r="AD151" s="50" t="str">
        <f>Chemin_accès!$B$8&amp;Tableau1[[#This Row],[Localisation / Classement]]&amp;"\"&amp;Tableau1[[#This Row],[Poste technique ou N° d''équipement]]&amp;"_"&amp;Tableau1[[#This Row],[Plan Entretien]]&amp;".xlsm"</f>
        <v>\\stjn.local\trimet\Btechnique\Commun\Atelier Central mécanique\Plan entretien\GammeEntretien\\_.xlsm</v>
      </c>
    </row>
    <row r="152" spans="1:30" x14ac:dyDescent="0.3">
      <c r="A152" s="44" t="str">
        <f t="shared" ca="1" si="2"/>
        <v>7.MENG</v>
      </c>
      <c r="B15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52" s="47"/>
      <c r="D152" s="44"/>
      <c r="E152" s="44"/>
      <c r="F152" s="47"/>
      <c r="G152" s="47"/>
      <c r="H152" s="63"/>
      <c r="I152" s="61"/>
      <c r="J152" s="45"/>
      <c r="K152" s="45"/>
      <c r="L152" s="46"/>
      <c r="M152" s="47"/>
      <c r="N152" s="46"/>
      <c r="O152" s="47"/>
      <c r="P152" s="47"/>
      <c r="Q152" s="46"/>
      <c r="R152" s="46"/>
      <c r="S152" s="48"/>
      <c r="T152" s="68" t="str">
        <f>IF(Tableau1[[#This Row],[DMS_SAP]]="","",HYPERLINK(Tableau1[[#This Row],[Chemin fichier source]],"X"))</f>
        <v/>
      </c>
      <c r="U152" s="68" t="str">
        <f>IF(Tableau1[[#This Row],[Date rév.]]="","",HYPERLINK(Tableau1[[#This Row],[Lien document]],"X"))</f>
        <v/>
      </c>
      <c r="V152" s="47"/>
      <c r="W152" s="54"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52" s="47"/>
      <c r="Y152" s="47"/>
      <c r="Z152" s="44" t="str">
        <f ca="1">IF(AND(Tableau1[[#This Row],[Charge]]&lt;&gt;0, Tableau1[[#This Row],[Nombre intervenants]]&lt;&gt;0,Tableau1[[#This Row],[Lien document]]&lt;&gt;0,Tableau1[[#This Row],[DMS_SAP]]&lt;&gt;0)=TRUE,"MIS A JOUR","")</f>
        <v/>
      </c>
      <c r="AA152" s="48"/>
      <c r="AB152" s="65" t="str">
        <f ca="1">IF(Tableau1[[#This Row],[Date rév.]]&lt;&gt;"", DAYS360(Tableau1[[#This Row],[Date rév.]],TODAY()),"")</f>
        <v/>
      </c>
      <c r="AC152" s="50" t="str">
        <f>IFERROR(INDEX(Chemin_accès!$B$11:$C$22,MATCH(Tableau1[[#This Row],[Type]],Chemin_accès!$C$11:$C$22,0),1),Chemin_accès!$B$11)</f>
        <v>\\stjn.local\trimet\Btechnique\Commun\Atelier Central mécanique\Plan entretien\Modèles préventif\GammeDMS_7.MENG.xlsm</v>
      </c>
      <c r="AD152" s="50" t="str">
        <f>Chemin_accès!$B$8&amp;Tableau1[[#This Row],[Localisation / Classement]]&amp;"\"&amp;Tableau1[[#This Row],[Poste technique ou N° d''équipement]]&amp;"_"&amp;Tableau1[[#This Row],[Plan Entretien]]&amp;".xlsm"</f>
        <v>\\stjn.local\trimet\Btechnique\Commun\Atelier Central mécanique\Plan entretien\GammeEntretien\\_.xlsm</v>
      </c>
    </row>
    <row r="153" spans="1:30" x14ac:dyDescent="0.3">
      <c r="A153" s="44" t="str">
        <f t="shared" ca="1" si="2"/>
        <v>7.MENG</v>
      </c>
      <c r="B15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53" s="47"/>
      <c r="D153" s="44"/>
      <c r="E153" s="44"/>
      <c r="F153" s="47"/>
      <c r="G153" s="47"/>
      <c r="H153" s="63"/>
      <c r="I153" s="61"/>
      <c r="J153" s="45"/>
      <c r="K153" s="45"/>
      <c r="L153" s="46"/>
      <c r="M153" s="47"/>
      <c r="N153" s="46"/>
      <c r="O153" s="47"/>
      <c r="P153" s="47"/>
      <c r="Q153" s="46"/>
      <c r="R153" s="46"/>
      <c r="S153" s="48"/>
      <c r="T153" s="68" t="str">
        <f>IF(Tableau1[[#This Row],[DMS_SAP]]="","",HYPERLINK(Tableau1[[#This Row],[Chemin fichier source]],"X"))</f>
        <v/>
      </c>
      <c r="U153" s="68" t="str">
        <f>IF(Tableau1[[#This Row],[Date rév.]]="","",HYPERLINK(Tableau1[[#This Row],[Lien document]],"X"))</f>
        <v/>
      </c>
      <c r="V153" s="47"/>
      <c r="W15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53" s="47"/>
      <c r="Y153" s="47"/>
      <c r="Z153" s="44" t="str">
        <f ca="1">IF(AND(Tableau1[[#This Row],[Charge]]&lt;&gt;0, Tableau1[[#This Row],[Nombre intervenants]]&lt;&gt;0,Tableau1[[#This Row],[Lien document]]&lt;&gt;0,Tableau1[[#This Row],[DMS_SAP]]&lt;&gt;0)=TRUE,"MIS A JOUR","")</f>
        <v/>
      </c>
      <c r="AA153" s="48"/>
      <c r="AB153" s="65" t="str">
        <f ca="1">IF(Tableau1[[#This Row],[Date rév.]]&lt;&gt;"", DAYS360(Tableau1[[#This Row],[Date rév.]],TODAY()),"")</f>
        <v/>
      </c>
      <c r="AC153" s="50" t="str">
        <f>IFERROR(INDEX(Chemin_accès!$B$11:$C$22,MATCH(Tableau1[[#This Row],[Type]],Chemin_accès!$C$11:$C$22,0),1),Chemin_accès!$B$11)</f>
        <v>\\stjn.local\trimet\Btechnique\Commun\Atelier Central mécanique\Plan entretien\Modèles préventif\GammeDMS_7.MENG.xlsm</v>
      </c>
      <c r="AD153" s="50" t="str">
        <f>Chemin_accès!$B$8&amp;Tableau1[[#This Row],[Localisation / Classement]]&amp;"\"&amp;Tableau1[[#This Row],[Poste technique ou N° d''équipement]]&amp;"_"&amp;Tableau1[[#This Row],[Plan Entretien]]&amp;".xlsm"</f>
        <v>\\stjn.local\trimet\Btechnique\Commun\Atelier Central mécanique\Plan entretien\GammeEntretien\\_.xlsm</v>
      </c>
    </row>
    <row r="154" spans="1:30" x14ac:dyDescent="0.3">
      <c r="A154" s="44" t="str">
        <f t="shared" ca="1" si="2"/>
        <v>7.MENG</v>
      </c>
      <c r="B15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54" s="47"/>
      <c r="D154" s="44"/>
      <c r="E154" s="44"/>
      <c r="F154" s="47"/>
      <c r="G154" s="47"/>
      <c r="H154" s="63"/>
      <c r="I154" s="61"/>
      <c r="J154" s="45"/>
      <c r="K154" s="45"/>
      <c r="L154" s="46"/>
      <c r="M154" s="47"/>
      <c r="N154" s="46"/>
      <c r="O154" s="47"/>
      <c r="P154" s="47"/>
      <c r="Q154" s="46"/>
      <c r="R154" s="46"/>
      <c r="S154" s="48"/>
      <c r="T154" s="68" t="str">
        <f>IF(Tableau1[[#This Row],[DMS_SAP]]="","",HYPERLINK(Tableau1[[#This Row],[Chemin fichier source]],"X"))</f>
        <v/>
      </c>
      <c r="U154" s="68" t="str">
        <f>IF(Tableau1[[#This Row],[Date rév.]]="","",HYPERLINK(Tableau1[[#This Row],[Lien document]],"X"))</f>
        <v/>
      </c>
      <c r="V154" s="47"/>
      <c r="W15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54" s="47"/>
      <c r="Y154" s="47"/>
      <c r="Z154" s="44" t="str">
        <f ca="1">IF(AND(Tableau1[[#This Row],[Charge]]&lt;&gt;0, Tableau1[[#This Row],[Nombre intervenants]]&lt;&gt;0,Tableau1[[#This Row],[Lien document]]&lt;&gt;0,Tableau1[[#This Row],[DMS_SAP]]&lt;&gt;0)=TRUE,"MIS A JOUR","")</f>
        <v/>
      </c>
      <c r="AA154" s="48"/>
      <c r="AB154" s="65" t="str">
        <f ca="1">IF(Tableau1[[#This Row],[Date rév.]]&lt;&gt;"", DAYS360(Tableau1[[#This Row],[Date rév.]],TODAY()),"")</f>
        <v/>
      </c>
      <c r="AC154" s="50" t="str">
        <f>IFERROR(INDEX(Chemin_accès!$B$11:$C$22,MATCH(Tableau1[[#This Row],[Type]],Chemin_accès!$C$11:$C$22,0),1),Chemin_accès!$B$11)</f>
        <v>\\stjn.local\trimet\Btechnique\Commun\Atelier Central mécanique\Plan entretien\Modèles préventif\GammeDMS_7.MENG.xlsm</v>
      </c>
      <c r="AD154" s="50" t="str">
        <f>Chemin_accès!$B$8&amp;Tableau1[[#This Row],[Localisation / Classement]]&amp;"\"&amp;Tableau1[[#This Row],[Poste technique ou N° d''équipement]]&amp;"_"&amp;Tableau1[[#This Row],[Plan Entretien]]&amp;".xlsm"</f>
        <v>\\stjn.local\trimet\Btechnique\Commun\Atelier Central mécanique\Plan entretien\GammeEntretien\\_.xlsm</v>
      </c>
    </row>
    <row r="155" spans="1:30" x14ac:dyDescent="0.3">
      <c r="A155" s="44" t="str">
        <f t="shared" ca="1" si="2"/>
        <v>7.MENG</v>
      </c>
      <c r="B15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55" s="53"/>
      <c r="D155" s="44"/>
      <c r="E155" s="44"/>
      <c r="F155" s="47"/>
      <c r="G155" s="47"/>
      <c r="H155" s="63"/>
      <c r="I155" s="61"/>
      <c r="J155" s="45"/>
      <c r="K155" s="45"/>
      <c r="L155" s="46"/>
      <c r="M155" s="47"/>
      <c r="N155" s="46"/>
      <c r="O155" s="46"/>
      <c r="P155" s="47"/>
      <c r="Q155" s="46"/>
      <c r="R155" s="46"/>
      <c r="S155" s="48"/>
      <c r="T155" s="68" t="str">
        <f>IF(Tableau1[[#This Row],[DMS_SAP]]="","",HYPERLINK(Tableau1[[#This Row],[Chemin fichier source]],"X"))</f>
        <v/>
      </c>
      <c r="U155" s="68" t="str">
        <f>IF(Tableau1[[#This Row],[Date rév.]]="","",HYPERLINK(Tableau1[[#This Row],[Lien document]],"X"))</f>
        <v/>
      </c>
      <c r="V155" s="47"/>
      <c r="W15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55" s="47"/>
      <c r="Y155" s="47"/>
      <c r="Z155" s="44" t="str">
        <f ca="1">IF(AND(Tableau1[[#This Row],[Charge]]&lt;&gt;0, Tableau1[[#This Row],[Nombre intervenants]]&lt;&gt;0,Tableau1[[#This Row],[Lien document]]&lt;&gt;0,Tableau1[[#This Row],[DMS_SAP]]&lt;&gt;0)=TRUE,"MIS A JOUR","")</f>
        <v/>
      </c>
      <c r="AA155" s="48"/>
      <c r="AB155" s="65" t="str">
        <f ca="1">IF(Tableau1[[#This Row],[Date rév.]]&lt;&gt;"", DAYS360(Tableau1[[#This Row],[Date rév.]],TODAY()),"")</f>
        <v/>
      </c>
      <c r="AC155" s="50" t="str">
        <f>IFERROR(INDEX(Chemin_accès!$B$11:$C$22,MATCH(Tableau1[[#This Row],[Type]],Chemin_accès!$C$11:$C$22,0),1),Chemin_accès!$B$11)</f>
        <v>\\stjn.local\trimet\Btechnique\Commun\Atelier Central mécanique\Plan entretien\Modèles préventif\GammeDMS_7.MENG.xlsm</v>
      </c>
      <c r="AD155" s="50" t="str">
        <f>Chemin_accès!$B$8&amp;Tableau1[[#This Row],[Localisation / Classement]]&amp;"\"&amp;Tableau1[[#This Row],[Poste technique ou N° d''équipement]]&amp;"_"&amp;Tableau1[[#This Row],[Plan Entretien]]&amp;".xlsm"</f>
        <v>\\stjn.local\trimet\Btechnique\Commun\Atelier Central mécanique\Plan entretien\GammeEntretien\\_.xlsm</v>
      </c>
    </row>
    <row r="156" spans="1:30" x14ac:dyDescent="0.3">
      <c r="A156" s="44" t="str">
        <f t="shared" ca="1" si="2"/>
        <v>7.MENG</v>
      </c>
      <c r="B15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56" s="46"/>
      <c r="D156" s="44"/>
      <c r="E156" s="44"/>
      <c r="F156" s="47"/>
      <c r="G156" s="47"/>
      <c r="H156" s="63"/>
      <c r="I156" s="61"/>
      <c r="J156" s="45"/>
      <c r="K156" s="45"/>
      <c r="L156" s="46"/>
      <c r="M156" s="47"/>
      <c r="N156" s="46"/>
      <c r="O156" s="46"/>
      <c r="P156" s="47"/>
      <c r="Q156" s="46"/>
      <c r="R156" s="46"/>
      <c r="S156" s="48"/>
      <c r="T156" s="68" t="str">
        <f>IF(Tableau1[[#This Row],[DMS_SAP]]="","",HYPERLINK(Tableau1[[#This Row],[Chemin fichier source]],"X"))</f>
        <v/>
      </c>
      <c r="U156" s="68" t="str">
        <f>IF(Tableau1[[#This Row],[Date rév.]]="","",HYPERLINK(Tableau1[[#This Row],[Lien document]],"X"))</f>
        <v/>
      </c>
      <c r="V156" s="47"/>
      <c r="W15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56" s="47"/>
      <c r="Y156" s="47"/>
      <c r="Z156" s="44" t="str">
        <f ca="1">IF(AND(Tableau1[[#This Row],[Charge]]&lt;&gt;0, Tableau1[[#This Row],[Nombre intervenants]]&lt;&gt;0,Tableau1[[#This Row],[Lien document]]&lt;&gt;0,Tableau1[[#This Row],[DMS_SAP]]&lt;&gt;0)=TRUE,"MIS A JOUR","")</f>
        <v/>
      </c>
      <c r="AA156" s="48"/>
      <c r="AB156" s="65" t="str">
        <f ca="1">IF(Tableau1[[#This Row],[Date rév.]]&lt;&gt;"", DAYS360(Tableau1[[#This Row],[Date rév.]],TODAY()),"")</f>
        <v/>
      </c>
      <c r="AC156" s="50" t="str">
        <f>IFERROR(INDEX(Chemin_accès!$B$11:$C$22,MATCH(Tableau1[[#This Row],[Type]],Chemin_accès!$C$11:$C$22,0),1),Chemin_accès!$B$11)</f>
        <v>\\stjn.local\trimet\Btechnique\Commun\Atelier Central mécanique\Plan entretien\Modèles préventif\GammeDMS_7.MENG.xlsm</v>
      </c>
      <c r="AD156" s="50" t="str">
        <f>Chemin_accès!$B$8&amp;Tableau1[[#This Row],[Localisation / Classement]]&amp;"\"&amp;Tableau1[[#This Row],[Poste technique ou N° d''équipement]]&amp;"_"&amp;Tableau1[[#This Row],[Plan Entretien]]&amp;".xlsm"</f>
        <v>\\stjn.local\trimet\Btechnique\Commun\Atelier Central mécanique\Plan entretien\GammeEntretien\\_.xlsm</v>
      </c>
    </row>
    <row r="157" spans="1:30" x14ac:dyDescent="0.3">
      <c r="A157" s="44" t="str">
        <f t="shared" ca="1" si="2"/>
        <v>7.MENG</v>
      </c>
      <c r="B15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57" s="46"/>
      <c r="D157" s="44"/>
      <c r="E157" s="44"/>
      <c r="F157" s="47"/>
      <c r="G157" s="47"/>
      <c r="H157" s="63"/>
      <c r="I157" s="61"/>
      <c r="J157" s="45"/>
      <c r="K157" s="45"/>
      <c r="L157" s="46"/>
      <c r="M157" s="47"/>
      <c r="N157" s="46"/>
      <c r="O157" s="46"/>
      <c r="P157" s="47"/>
      <c r="Q157" s="46"/>
      <c r="R157" s="46"/>
      <c r="S157" s="48"/>
      <c r="T157" s="68" t="str">
        <f>IF(Tableau1[[#This Row],[DMS_SAP]]="","",HYPERLINK(Tableau1[[#This Row],[Chemin fichier source]],"X"))</f>
        <v/>
      </c>
      <c r="U157" s="68" t="str">
        <f>IF(Tableau1[[#This Row],[Date rév.]]="","",HYPERLINK(Tableau1[[#This Row],[Lien document]],"X"))</f>
        <v/>
      </c>
      <c r="V157" s="47"/>
      <c r="W15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57" s="47"/>
      <c r="Y157" s="47"/>
      <c r="Z157" s="44" t="str">
        <f ca="1">IF(AND(Tableau1[[#This Row],[Charge]]&lt;&gt;0, Tableau1[[#This Row],[Nombre intervenants]]&lt;&gt;0,Tableau1[[#This Row],[Lien document]]&lt;&gt;0,Tableau1[[#This Row],[DMS_SAP]]&lt;&gt;0)=TRUE,"MIS A JOUR","")</f>
        <v/>
      </c>
      <c r="AA157" s="48"/>
      <c r="AB157" s="65" t="str">
        <f ca="1">IF(Tableau1[[#This Row],[Date rév.]]&lt;&gt;"", DAYS360(Tableau1[[#This Row],[Date rév.]],TODAY()),"")</f>
        <v/>
      </c>
      <c r="AC157" s="50" t="str">
        <f>IFERROR(INDEX(Chemin_accès!$B$11:$C$22,MATCH(Tableau1[[#This Row],[Type]],Chemin_accès!$C$11:$C$22,0),1),Chemin_accès!$B$11)</f>
        <v>\\stjn.local\trimet\Btechnique\Commun\Atelier Central mécanique\Plan entretien\Modèles préventif\GammeDMS_7.MENG.xlsm</v>
      </c>
      <c r="AD157" s="50" t="str">
        <f>Chemin_accès!$B$8&amp;Tableau1[[#This Row],[Localisation / Classement]]&amp;"\"&amp;Tableau1[[#This Row],[Poste technique ou N° d''équipement]]&amp;"_"&amp;Tableau1[[#This Row],[Plan Entretien]]&amp;".xlsm"</f>
        <v>\\stjn.local\trimet\Btechnique\Commun\Atelier Central mécanique\Plan entretien\GammeEntretien\\_.xlsm</v>
      </c>
    </row>
    <row r="158" spans="1:30" x14ac:dyDescent="0.3">
      <c r="A158" s="44" t="str">
        <f t="shared" ca="1" si="2"/>
        <v>7.MENG</v>
      </c>
      <c r="B15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58" s="46"/>
      <c r="D158" s="44"/>
      <c r="E158" s="44"/>
      <c r="F158" s="47"/>
      <c r="G158" s="47"/>
      <c r="H158" s="63"/>
      <c r="I158" s="61"/>
      <c r="J158" s="45"/>
      <c r="K158" s="45"/>
      <c r="L158" s="46"/>
      <c r="M158" s="47"/>
      <c r="N158" s="46"/>
      <c r="O158" s="46"/>
      <c r="P158" s="47"/>
      <c r="Q158" s="46"/>
      <c r="R158" s="46"/>
      <c r="S158" s="48"/>
      <c r="T158" s="68" t="str">
        <f>IF(Tableau1[[#This Row],[DMS_SAP]]="","",HYPERLINK(Tableau1[[#This Row],[Chemin fichier source]],"X"))</f>
        <v/>
      </c>
      <c r="U158" s="68" t="str">
        <f>IF(Tableau1[[#This Row],[Date rév.]]="","",HYPERLINK(Tableau1[[#This Row],[Lien document]],"X"))</f>
        <v/>
      </c>
      <c r="V158" s="47"/>
      <c r="W15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58" s="47"/>
      <c r="Y158" s="47"/>
      <c r="Z158" s="44" t="str">
        <f ca="1">IF(AND(Tableau1[[#This Row],[Charge]]&lt;&gt;0, Tableau1[[#This Row],[Nombre intervenants]]&lt;&gt;0,Tableau1[[#This Row],[Lien document]]&lt;&gt;0,Tableau1[[#This Row],[DMS_SAP]]&lt;&gt;0)=TRUE,"MIS A JOUR","")</f>
        <v/>
      </c>
      <c r="AA158" s="48"/>
      <c r="AB158" s="65" t="str">
        <f ca="1">IF(Tableau1[[#This Row],[Date rév.]]&lt;&gt;"", DAYS360(Tableau1[[#This Row],[Date rév.]],TODAY()),"")</f>
        <v/>
      </c>
      <c r="AC158" s="50" t="str">
        <f>IFERROR(INDEX(Chemin_accès!$B$11:$C$22,MATCH(Tableau1[[#This Row],[Type]],Chemin_accès!$C$11:$C$22,0),1),Chemin_accès!$B$11)</f>
        <v>\\stjn.local\trimet\Btechnique\Commun\Atelier Central mécanique\Plan entretien\Modèles préventif\GammeDMS_7.MENG.xlsm</v>
      </c>
      <c r="AD158" s="50" t="str">
        <f>Chemin_accès!$B$8&amp;Tableau1[[#This Row],[Localisation / Classement]]&amp;"\"&amp;Tableau1[[#This Row],[Poste technique ou N° d''équipement]]&amp;"_"&amp;Tableau1[[#This Row],[Plan Entretien]]&amp;".xlsm"</f>
        <v>\\stjn.local\trimet\Btechnique\Commun\Atelier Central mécanique\Plan entretien\GammeEntretien\\_.xlsm</v>
      </c>
    </row>
    <row r="159" spans="1:30" x14ac:dyDescent="0.3">
      <c r="A159" s="44" t="str">
        <f t="shared" ca="1" si="2"/>
        <v>7.MENG</v>
      </c>
      <c r="B15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59" s="46"/>
      <c r="D159" s="44"/>
      <c r="E159" s="44"/>
      <c r="F159" s="47"/>
      <c r="G159" s="47"/>
      <c r="H159" s="63"/>
      <c r="I159" s="61"/>
      <c r="J159" s="45"/>
      <c r="K159" s="45"/>
      <c r="L159" s="46"/>
      <c r="M159" s="47"/>
      <c r="N159" s="46"/>
      <c r="O159" s="46"/>
      <c r="P159" s="47"/>
      <c r="Q159" s="46"/>
      <c r="R159" s="46"/>
      <c r="S159" s="48"/>
      <c r="T159" s="68" t="str">
        <f>IF(Tableau1[[#This Row],[DMS_SAP]]="","",HYPERLINK(Tableau1[[#This Row],[Chemin fichier source]],"X"))</f>
        <v/>
      </c>
      <c r="U159" s="68" t="str">
        <f>IF(Tableau1[[#This Row],[Date rév.]]="","",HYPERLINK(Tableau1[[#This Row],[Lien document]],"X"))</f>
        <v/>
      </c>
      <c r="V159" s="47"/>
      <c r="W15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59" s="47"/>
      <c r="Y159" s="47"/>
      <c r="Z159" s="44" t="str">
        <f ca="1">IF(AND(Tableau1[[#This Row],[Charge]]&lt;&gt;0, Tableau1[[#This Row],[Nombre intervenants]]&lt;&gt;0,Tableau1[[#This Row],[Lien document]]&lt;&gt;0,Tableau1[[#This Row],[DMS_SAP]]&lt;&gt;0)=TRUE,"MIS A JOUR","")</f>
        <v/>
      </c>
      <c r="AA159" s="48"/>
      <c r="AB159" s="65" t="str">
        <f ca="1">IF(Tableau1[[#This Row],[Date rév.]]&lt;&gt;"", DAYS360(Tableau1[[#This Row],[Date rév.]],TODAY()),"")</f>
        <v/>
      </c>
      <c r="AC159" s="50" t="str">
        <f>IFERROR(INDEX(Chemin_accès!$B$11:$C$22,MATCH(Tableau1[[#This Row],[Type]],Chemin_accès!$C$11:$C$22,0),1),Chemin_accès!$B$11)</f>
        <v>\\stjn.local\trimet\Btechnique\Commun\Atelier Central mécanique\Plan entretien\Modèles préventif\GammeDMS_7.MENG.xlsm</v>
      </c>
      <c r="AD159" s="50" t="str">
        <f>Chemin_accès!$B$8&amp;Tableau1[[#This Row],[Localisation / Classement]]&amp;"\"&amp;Tableau1[[#This Row],[Poste technique ou N° d''équipement]]&amp;"_"&amp;Tableau1[[#This Row],[Plan Entretien]]&amp;".xlsm"</f>
        <v>\\stjn.local\trimet\Btechnique\Commun\Atelier Central mécanique\Plan entretien\GammeEntretien\\_.xlsm</v>
      </c>
    </row>
    <row r="160" spans="1:30" x14ac:dyDescent="0.3">
      <c r="A160" s="44" t="str">
        <f t="shared" ca="1" si="2"/>
        <v>7.MENG</v>
      </c>
      <c r="B16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60" s="46"/>
      <c r="D160" s="44"/>
      <c r="E160" s="44"/>
      <c r="F160" s="47"/>
      <c r="G160" s="47"/>
      <c r="H160" s="63"/>
      <c r="I160" s="61"/>
      <c r="J160" s="45"/>
      <c r="K160" s="45"/>
      <c r="L160" s="46"/>
      <c r="M160" s="47"/>
      <c r="N160" s="46"/>
      <c r="O160" s="46"/>
      <c r="P160" s="47"/>
      <c r="Q160" s="46"/>
      <c r="R160" s="46"/>
      <c r="S160" s="48"/>
      <c r="T160" s="68" t="str">
        <f>IF(Tableau1[[#This Row],[DMS_SAP]]="","",HYPERLINK(Tableau1[[#This Row],[Chemin fichier source]],"X"))</f>
        <v/>
      </c>
      <c r="U160" s="68" t="str">
        <f>IF(Tableau1[[#This Row],[Date rév.]]="","",HYPERLINK(Tableau1[[#This Row],[Lien document]],"X"))</f>
        <v/>
      </c>
      <c r="V160" s="47"/>
      <c r="W16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60" s="47"/>
      <c r="Y160" s="47"/>
      <c r="Z160" s="44" t="str">
        <f ca="1">IF(AND(Tableau1[[#This Row],[Charge]]&lt;&gt;0, Tableau1[[#This Row],[Nombre intervenants]]&lt;&gt;0,Tableau1[[#This Row],[Lien document]]&lt;&gt;0,Tableau1[[#This Row],[DMS_SAP]]&lt;&gt;0)=TRUE,"MIS A JOUR","")</f>
        <v/>
      </c>
      <c r="AA160" s="48"/>
      <c r="AB160" s="65" t="str">
        <f ca="1">IF(Tableau1[[#This Row],[Date rév.]]&lt;&gt;"", DAYS360(Tableau1[[#This Row],[Date rév.]],TODAY()),"")</f>
        <v/>
      </c>
      <c r="AC160" s="50" t="str">
        <f>IFERROR(INDEX(Chemin_accès!$B$11:$C$22,MATCH(Tableau1[[#This Row],[Type]],Chemin_accès!$C$11:$C$22,0),1),Chemin_accès!$B$11)</f>
        <v>\\stjn.local\trimet\Btechnique\Commun\Atelier Central mécanique\Plan entretien\Modèles préventif\GammeDMS_7.MENG.xlsm</v>
      </c>
      <c r="AD160" s="50" t="str">
        <f>Chemin_accès!$B$8&amp;Tableau1[[#This Row],[Localisation / Classement]]&amp;"\"&amp;Tableau1[[#This Row],[Poste technique ou N° d''équipement]]&amp;"_"&amp;Tableau1[[#This Row],[Plan Entretien]]&amp;".xlsm"</f>
        <v>\\stjn.local\trimet\Btechnique\Commun\Atelier Central mécanique\Plan entretien\GammeEntretien\\_.xlsm</v>
      </c>
    </row>
    <row r="161" spans="1:30" x14ac:dyDescent="0.3">
      <c r="A161" s="44" t="str">
        <f t="shared" ca="1" si="2"/>
        <v>7.MENG</v>
      </c>
      <c r="B16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61" s="46"/>
      <c r="D161" s="44"/>
      <c r="E161" s="44"/>
      <c r="F161" s="47"/>
      <c r="G161" s="47"/>
      <c r="H161" s="63"/>
      <c r="I161" s="61"/>
      <c r="J161" s="45"/>
      <c r="K161" s="45"/>
      <c r="L161" s="46"/>
      <c r="M161" s="47"/>
      <c r="N161" s="46"/>
      <c r="O161" s="46"/>
      <c r="P161" s="47"/>
      <c r="Q161" s="46"/>
      <c r="R161" s="46"/>
      <c r="S161" s="48"/>
      <c r="T161" s="68" t="str">
        <f>IF(Tableau1[[#This Row],[DMS_SAP]]="","",HYPERLINK(Tableau1[[#This Row],[Chemin fichier source]],"X"))</f>
        <v/>
      </c>
      <c r="U161" s="68" t="str">
        <f>IF(Tableau1[[#This Row],[Date rév.]]="","",HYPERLINK(Tableau1[[#This Row],[Lien document]],"X"))</f>
        <v/>
      </c>
      <c r="V161" s="47"/>
      <c r="W16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61" s="47"/>
      <c r="Y161" s="47"/>
      <c r="Z161" s="44" t="str">
        <f ca="1">IF(AND(Tableau1[[#This Row],[Charge]]&lt;&gt;0, Tableau1[[#This Row],[Nombre intervenants]]&lt;&gt;0,Tableau1[[#This Row],[Lien document]]&lt;&gt;0,Tableau1[[#This Row],[DMS_SAP]]&lt;&gt;0)=TRUE,"MIS A JOUR","")</f>
        <v/>
      </c>
      <c r="AA161" s="48"/>
      <c r="AB161" s="65" t="str">
        <f ca="1">IF(Tableau1[[#This Row],[Date rév.]]&lt;&gt;"", DAYS360(Tableau1[[#This Row],[Date rév.]],TODAY()),"")</f>
        <v/>
      </c>
      <c r="AC161" s="50" t="str">
        <f>IFERROR(INDEX(Chemin_accès!$B$11:$C$22,MATCH(Tableau1[[#This Row],[Type]],Chemin_accès!$C$11:$C$22,0),1),Chemin_accès!$B$11)</f>
        <v>\\stjn.local\trimet\Btechnique\Commun\Atelier Central mécanique\Plan entretien\Modèles préventif\GammeDMS_7.MENG.xlsm</v>
      </c>
      <c r="AD161" s="50" t="str">
        <f>Chemin_accès!$B$8&amp;Tableau1[[#This Row],[Localisation / Classement]]&amp;"\"&amp;Tableau1[[#This Row],[Poste technique ou N° d''équipement]]&amp;"_"&amp;Tableau1[[#This Row],[Plan Entretien]]&amp;".xlsm"</f>
        <v>\\stjn.local\trimet\Btechnique\Commun\Atelier Central mécanique\Plan entretien\GammeEntretien\\_.xlsm</v>
      </c>
    </row>
    <row r="162" spans="1:30" x14ac:dyDescent="0.3">
      <c r="A162" s="44" t="str">
        <f t="shared" ca="1" si="2"/>
        <v>7.MENG</v>
      </c>
      <c r="B16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62" s="46"/>
      <c r="D162" s="44"/>
      <c r="E162" s="44"/>
      <c r="F162" s="47"/>
      <c r="G162" s="47"/>
      <c r="H162" s="63"/>
      <c r="I162" s="61"/>
      <c r="J162" s="45"/>
      <c r="K162" s="45"/>
      <c r="L162" s="46"/>
      <c r="M162" s="47"/>
      <c r="N162" s="46"/>
      <c r="O162" s="46"/>
      <c r="P162" s="47"/>
      <c r="Q162" s="46"/>
      <c r="R162" s="46"/>
      <c r="S162" s="48"/>
      <c r="T162" s="68" t="str">
        <f>IF(Tableau1[[#This Row],[DMS_SAP]]="","",HYPERLINK(Tableau1[[#This Row],[Chemin fichier source]],"X"))</f>
        <v/>
      </c>
      <c r="U162" s="68" t="str">
        <f>IF(Tableau1[[#This Row],[Date rév.]]="","",HYPERLINK(Tableau1[[#This Row],[Lien document]],"X"))</f>
        <v/>
      </c>
      <c r="V162" s="47"/>
      <c r="W16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62" s="47"/>
      <c r="Y162" s="47"/>
      <c r="Z162" s="44" t="str">
        <f ca="1">IF(AND(Tableau1[[#This Row],[Charge]]&lt;&gt;0, Tableau1[[#This Row],[Nombre intervenants]]&lt;&gt;0,Tableau1[[#This Row],[Lien document]]&lt;&gt;0,Tableau1[[#This Row],[DMS_SAP]]&lt;&gt;0)=TRUE,"MIS A JOUR","")</f>
        <v/>
      </c>
      <c r="AA162" s="48"/>
      <c r="AB162" s="65" t="str">
        <f ca="1">IF(Tableau1[[#This Row],[Date rév.]]&lt;&gt;"", DAYS360(Tableau1[[#This Row],[Date rév.]],TODAY()),"")</f>
        <v/>
      </c>
      <c r="AC162" s="50" t="str">
        <f>IFERROR(INDEX(Chemin_accès!$B$11:$C$22,MATCH(Tableau1[[#This Row],[Type]],Chemin_accès!$C$11:$C$22,0),1),Chemin_accès!$B$11)</f>
        <v>\\stjn.local\trimet\Btechnique\Commun\Atelier Central mécanique\Plan entretien\Modèles préventif\GammeDMS_7.MENG.xlsm</v>
      </c>
      <c r="AD162" s="50" t="str">
        <f>Chemin_accès!$B$8&amp;Tableau1[[#This Row],[Localisation / Classement]]&amp;"\"&amp;Tableau1[[#This Row],[Poste technique ou N° d''équipement]]&amp;"_"&amp;Tableau1[[#This Row],[Plan Entretien]]&amp;".xlsm"</f>
        <v>\\stjn.local\trimet\Btechnique\Commun\Atelier Central mécanique\Plan entretien\GammeEntretien\\_.xlsm</v>
      </c>
    </row>
    <row r="163" spans="1:30" x14ac:dyDescent="0.3">
      <c r="A163" s="44" t="str">
        <f t="shared" ca="1" si="2"/>
        <v>7.MENG</v>
      </c>
      <c r="B16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63" s="46"/>
      <c r="D163" s="44"/>
      <c r="E163" s="44"/>
      <c r="F163" s="47"/>
      <c r="G163" s="47"/>
      <c r="H163" s="63"/>
      <c r="I163" s="61"/>
      <c r="J163" s="45"/>
      <c r="K163" s="45"/>
      <c r="L163" s="46"/>
      <c r="M163" s="47"/>
      <c r="N163" s="46"/>
      <c r="O163" s="46"/>
      <c r="P163" s="47"/>
      <c r="Q163" s="46"/>
      <c r="R163" s="46"/>
      <c r="S163" s="48"/>
      <c r="T163" s="68" t="str">
        <f>IF(Tableau1[[#This Row],[DMS_SAP]]="","",HYPERLINK(Tableau1[[#This Row],[Chemin fichier source]],"X"))</f>
        <v/>
      </c>
      <c r="U163" s="68" t="str">
        <f>IF(Tableau1[[#This Row],[Date rév.]]="","",HYPERLINK(Tableau1[[#This Row],[Lien document]],"X"))</f>
        <v/>
      </c>
      <c r="V163" s="47"/>
      <c r="W16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63" s="47"/>
      <c r="Y163" s="47"/>
      <c r="Z163" s="44" t="str">
        <f ca="1">IF(AND(Tableau1[[#This Row],[Charge]]&lt;&gt;0, Tableau1[[#This Row],[Nombre intervenants]]&lt;&gt;0,Tableau1[[#This Row],[Lien document]]&lt;&gt;0,Tableau1[[#This Row],[DMS_SAP]]&lt;&gt;0)=TRUE,"MIS A JOUR","")</f>
        <v/>
      </c>
      <c r="AA163" s="48"/>
      <c r="AB163" s="65" t="str">
        <f ca="1">IF(Tableau1[[#This Row],[Date rév.]]&lt;&gt;"", DAYS360(Tableau1[[#This Row],[Date rév.]],TODAY()),"")</f>
        <v/>
      </c>
      <c r="AC163" s="50" t="str">
        <f>IFERROR(INDEX(Chemin_accès!$B$11:$C$22,MATCH(Tableau1[[#This Row],[Type]],Chemin_accès!$C$11:$C$22,0),1),Chemin_accès!$B$11)</f>
        <v>\\stjn.local\trimet\Btechnique\Commun\Atelier Central mécanique\Plan entretien\Modèles préventif\GammeDMS_7.MENG.xlsm</v>
      </c>
      <c r="AD163" s="50" t="str">
        <f>Chemin_accès!$B$8&amp;Tableau1[[#This Row],[Localisation / Classement]]&amp;"\"&amp;Tableau1[[#This Row],[Poste technique ou N° d''équipement]]&amp;"_"&amp;Tableau1[[#This Row],[Plan Entretien]]&amp;".xlsm"</f>
        <v>\\stjn.local\trimet\Btechnique\Commun\Atelier Central mécanique\Plan entretien\GammeEntretien\\_.xlsm</v>
      </c>
    </row>
    <row r="164" spans="1:30" x14ac:dyDescent="0.3">
      <c r="A164" s="44" t="str">
        <f t="shared" ca="1" si="2"/>
        <v>7.MENG</v>
      </c>
      <c r="B16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64" s="46"/>
      <c r="D164" s="44"/>
      <c r="E164" s="44"/>
      <c r="F164" s="47"/>
      <c r="G164" s="47"/>
      <c r="H164" s="63"/>
      <c r="I164" s="61"/>
      <c r="J164" s="45"/>
      <c r="K164" s="45"/>
      <c r="L164" s="46"/>
      <c r="M164" s="47"/>
      <c r="N164" s="46"/>
      <c r="O164" s="46"/>
      <c r="P164" s="47"/>
      <c r="Q164" s="46"/>
      <c r="R164" s="46"/>
      <c r="S164" s="48"/>
      <c r="T164" s="68" t="str">
        <f>IF(Tableau1[[#This Row],[DMS_SAP]]="","",HYPERLINK(Tableau1[[#This Row],[Chemin fichier source]],"X"))</f>
        <v/>
      </c>
      <c r="U164" s="68" t="str">
        <f>IF(Tableau1[[#This Row],[Date rév.]]="","",HYPERLINK(Tableau1[[#This Row],[Lien document]],"X"))</f>
        <v/>
      </c>
      <c r="V164" s="47"/>
      <c r="W16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64" s="47"/>
      <c r="Y164" s="47"/>
      <c r="Z164" s="44" t="str">
        <f ca="1">IF(AND(Tableau1[[#This Row],[Charge]]&lt;&gt;0, Tableau1[[#This Row],[Nombre intervenants]]&lt;&gt;0,Tableau1[[#This Row],[Lien document]]&lt;&gt;0,Tableau1[[#This Row],[DMS_SAP]]&lt;&gt;0)=TRUE,"MIS A JOUR","")</f>
        <v/>
      </c>
      <c r="AA164" s="48"/>
      <c r="AB164" s="65" t="str">
        <f ca="1">IF(Tableau1[[#This Row],[Date rév.]]&lt;&gt;"", DAYS360(Tableau1[[#This Row],[Date rév.]],TODAY()),"")</f>
        <v/>
      </c>
      <c r="AC164" s="50" t="str">
        <f>IFERROR(INDEX(Chemin_accès!$B$11:$C$22,MATCH(Tableau1[[#This Row],[Type]],Chemin_accès!$C$11:$C$22,0),1),Chemin_accès!$B$11)</f>
        <v>\\stjn.local\trimet\Btechnique\Commun\Atelier Central mécanique\Plan entretien\Modèles préventif\GammeDMS_7.MENG.xlsm</v>
      </c>
      <c r="AD164" s="50" t="str">
        <f>Chemin_accès!$B$8&amp;Tableau1[[#This Row],[Localisation / Classement]]&amp;"\"&amp;Tableau1[[#This Row],[Poste technique ou N° d''équipement]]&amp;"_"&amp;Tableau1[[#This Row],[Plan Entretien]]&amp;".xlsm"</f>
        <v>\\stjn.local\trimet\Btechnique\Commun\Atelier Central mécanique\Plan entretien\GammeEntretien\\_.xlsm</v>
      </c>
    </row>
    <row r="165" spans="1:30" x14ac:dyDescent="0.3">
      <c r="A165" s="44" t="str">
        <f t="shared" ca="1" si="2"/>
        <v>7.MENG</v>
      </c>
      <c r="B16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65" s="46"/>
      <c r="D165" s="44"/>
      <c r="E165" s="44"/>
      <c r="F165" s="47"/>
      <c r="G165" s="47"/>
      <c r="H165" s="63"/>
      <c r="I165" s="61"/>
      <c r="J165" s="45"/>
      <c r="K165" s="45"/>
      <c r="L165" s="46"/>
      <c r="M165" s="47"/>
      <c r="N165" s="46"/>
      <c r="O165" s="46"/>
      <c r="P165" s="47"/>
      <c r="Q165" s="46"/>
      <c r="R165" s="46"/>
      <c r="S165" s="48"/>
      <c r="T165" s="68" t="str">
        <f>IF(Tableau1[[#This Row],[DMS_SAP]]="","",HYPERLINK(Tableau1[[#This Row],[Chemin fichier source]],"X"))</f>
        <v/>
      </c>
      <c r="U165" s="68" t="str">
        <f>IF(Tableau1[[#This Row],[Date rév.]]="","",HYPERLINK(Tableau1[[#This Row],[Lien document]],"X"))</f>
        <v/>
      </c>
      <c r="V165" s="47"/>
      <c r="W16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65" s="47"/>
      <c r="Y165" s="47"/>
      <c r="Z165" s="44" t="str">
        <f ca="1">IF(AND(Tableau1[[#This Row],[Charge]]&lt;&gt;0, Tableau1[[#This Row],[Nombre intervenants]]&lt;&gt;0,Tableau1[[#This Row],[Lien document]]&lt;&gt;0,Tableau1[[#This Row],[DMS_SAP]]&lt;&gt;0)=TRUE,"MIS A JOUR","")</f>
        <v/>
      </c>
      <c r="AA165" s="48"/>
      <c r="AB165" s="65" t="str">
        <f ca="1">IF(Tableau1[[#This Row],[Date rév.]]&lt;&gt;"", DAYS360(Tableau1[[#This Row],[Date rév.]],TODAY()),"")</f>
        <v/>
      </c>
      <c r="AC165" s="50" t="str">
        <f>IFERROR(INDEX(Chemin_accès!$B$11:$C$22,MATCH(Tableau1[[#This Row],[Type]],Chemin_accès!$C$11:$C$22,0),1),Chemin_accès!$B$11)</f>
        <v>\\stjn.local\trimet\Btechnique\Commun\Atelier Central mécanique\Plan entretien\Modèles préventif\GammeDMS_7.MENG.xlsm</v>
      </c>
      <c r="AD165" s="50" t="str">
        <f>Chemin_accès!$B$8&amp;Tableau1[[#This Row],[Localisation / Classement]]&amp;"\"&amp;Tableau1[[#This Row],[Poste technique ou N° d''équipement]]&amp;"_"&amp;Tableau1[[#This Row],[Plan Entretien]]&amp;".xlsm"</f>
        <v>\\stjn.local\trimet\Btechnique\Commun\Atelier Central mécanique\Plan entretien\GammeEntretien\\_.xlsm</v>
      </c>
    </row>
    <row r="166" spans="1:30" x14ac:dyDescent="0.3">
      <c r="A166" s="44" t="str">
        <f t="shared" ca="1" si="2"/>
        <v>7.MENG</v>
      </c>
      <c r="B16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66" s="46"/>
      <c r="D166" s="44"/>
      <c r="E166" s="44"/>
      <c r="F166" s="47"/>
      <c r="G166" s="47"/>
      <c r="H166" s="63"/>
      <c r="I166" s="61"/>
      <c r="J166" s="45"/>
      <c r="K166" s="45"/>
      <c r="L166" s="46"/>
      <c r="M166" s="47"/>
      <c r="N166" s="46"/>
      <c r="O166" s="46"/>
      <c r="P166" s="47"/>
      <c r="Q166" s="46"/>
      <c r="R166" s="46"/>
      <c r="S166" s="48"/>
      <c r="T166" s="68" t="str">
        <f>IF(Tableau1[[#This Row],[DMS_SAP]]="","",HYPERLINK(Tableau1[[#This Row],[Chemin fichier source]],"X"))</f>
        <v/>
      </c>
      <c r="U166" s="68" t="str">
        <f>IF(Tableau1[[#This Row],[Date rév.]]="","",HYPERLINK(Tableau1[[#This Row],[Lien document]],"X"))</f>
        <v/>
      </c>
      <c r="V166" s="47"/>
      <c r="W16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66" s="47"/>
      <c r="Y166" s="47"/>
      <c r="Z166" s="44" t="str">
        <f ca="1">IF(AND(Tableau1[[#This Row],[Charge]]&lt;&gt;0, Tableau1[[#This Row],[Nombre intervenants]]&lt;&gt;0,Tableau1[[#This Row],[Lien document]]&lt;&gt;0,Tableau1[[#This Row],[DMS_SAP]]&lt;&gt;0)=TRUE,"MIS A JOUR","")</f>
        <v/>
      </c>
      <c r="AA166" s="48"/>
      <c r="AB166" s="65" t="str">
        <f ca="1">IF(Tableau1[[#This Row],[Date rév.]]&lt;&gt;"", DAYS360(Tableau1[[#This Row],[Date rév.]],TODAY()),"")</f>
        <v/>
      </c>
      <c r="AC166" s="50" t="str">
        <f>IFERROR(INDEX(Chemin_accès!$B$11:$C$22,MATCH(Tableau1[[#This Row],[Type]],Chemin_accès!$C$11:$C$22,0),1),Chemin_accès!$B$11)</f>
        <v>\\stjn.local\trimet\Btechnique\Commun\Atelier Central mécanique\Plan entretien\Modèles préventif\GammeDMS_7.MENG.xlsm</v>
      </c>
      <c r="AD166" s="50" t="str">
        <f>Chemin_accès!$B$8&amp;Tableau1[[#This Row],[Localisation / Classement]]&amp;"\"&amp;Tableau1[[#This Row],[Poste technique ou N° d''équipement]]&amp;"_"&amp;Tableau1[[#This Row],[Plan Entretien]]&amp;".xlsm"</f>
        <v>\\stjn.local\trimet\Btechnique\Commun\Atelier Central mécanique\Plan entretien\GammeEntretien\\_.xlsm</v>
      </c>
    </row>
    <row r="167" spans="1:30" x14ac:dyDescent="0.3">
      <c r="A167" s="44" t="str">
        <f t="shared" ca="1" si="2"/>
        <v>7.MENG</v>
      </c>
      <c r="B16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67" s="46"/>
      <c r="D167" s="44"/>
      <c r="E167" s="44"/>
      <c r="F167" s="47"/>
      <c r="G167" s="47"/>
      <c r="H167" s="63"/>
      <c r="I167" s="61"/>
      <c r="J167" s="45"/>
      <c r="K167" s="45"/>
      <c r="L167" s="46"/>
      <c r="M167" s="47"/>
      <c r="N167" s="46"/>
      <c r="O167" s="46"/>
      <c r="P167" s="47"/>
      <c r="Q167" s="46"/>
      <c r="R167" s="46"/>
      <c r="S167" s="48"/>
      <c r="T167" s="68" t="str">
        <f>IF(Tableau1[[#This Row],[DMS_SAP]]="","",HYPERLINK(Tableau1[[#This Row],[Chemin fichier source]],"X"))</f>
        <v/>
      </c>
      <c r="U167" s="68" t="str">
        <f>IF(Tableau1[[#This Row],[Date rév.]]="","",HYPERLINK(Tableau1[[#This Row],[Lien document]],"X"))</f>
        <v/>
      </c>
      <c r="V167" s="47"/>
      <c r="W16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67" s="47"/>
      <c r="Y167" s="47"/>
      <c r="Z167" s="44" t="str">
        <f ca="1">IF(AND(Tableau1[[#This Row],[Charge]]&lt;&gt;0, Tableau1[[#This Row],[Nombre intervenants]]&lt;&gt;0,Tableau1[[#This Row],[Lien document]]&lt;&gt;0,Tableau1[[#This Row],[DMS_SAP]]&lt;&gt;0)=TRUE,"MIS A JOUR","")</f>
        <v/>
      </c>
      <c r="AA167" s="48"/>
      <c r="AB167" s="65" t="str">
        <f ca="1">IF(Tableau1[[#This Row],[Date rév.]]&lt;&gt;"", DAYS360(Tableau1[[#This Row],[Date rév.]],TODAY()),"")</f>
        <v/>
      </c>
      <c r="AC167" s="50" t="str">
        <f>IFERROR(INDEX(Chemin_accès!$B$11:$C$22,MATCH(Tableau1[[#This Row],[Type]],Chemin_accès!$C$11:$C$22,0),1),Chemin_accès!$B$11)</f>
        <v>\\stjn.local\trimet\Btechnique\Commun\Atelier Central mécanique\Plan entretien\Modèles préventif\GammeDMS_7.MENG.xlsm</v>
      </c>
      <c r="AD167" s="50" t="str">
        <f>Chemin_accès!$B$8&amp;Tableau1[[#This Row],[Localisation / Classement]]&amp;"\"&amp;Tableau1[[#This Row],[Poste technique ou N° d''équipement]]&amp;"_"&amp;Tableau1[[#This Row],[Plan Entretien]]&amp;".xlsm"</f>
        <v>\\stjn.local\trimet\Btechnique\Commun\Atelier Central mécanique\Plan entretien\GammeEntretien\\_.xlsm</v>
      </c>
    </row>
    <row r="168" spans="1:30" x14ac:dyDescent="0.3">
      <c r="A168" s="44" t="str">
        <f t="shared" ca="1" si="2"/>
        <v>7.MENG</v>
      </c>
      <c r="B16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68" s="53"/>
      <c r="D168" s="44"/>
      <c r="E168" s="44"/>
      <c r="F168" s="47"/>
      <c r="G168" s="47"/>
      <c r="H168" s="63"/>
      <c r="I168" s="61"/>
      <c r="J168" s="45"/>
      <c r="K168" s="45"/>
      <c r="L168" s="46"/>
      <c r="M168" s="47"/>
      <c r="N168" s="46"/>
      <c r="O168" s="46"/>
      <c r="P168" s="47"/>
      <c r="Q168" s="46"/>
      <c r="R168" s="46"/>
      <c r="S168" s="48"/>
      <c r="T168" s="68" t="str">
        <f>IF(Tableau1[[#This Row],[DMS_SAP]]="","",HYPERLINK(Tableau1[[#This Row],[Chemin fichier source]],"X"))</f>
        <v/>
      </c>
      <c r="U168" s="68" t="str">
        <f>IF(Tableau1[[#This Row],[Date rév.]]="","",HYPERLINK(Tableau1[[#This Row],[Lien document]],"X"))</f>
        <v/>
      </c>
      <c r="V168" s="47"/>
      <c r="W16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68" s="47"/>
      <c r="Y168" s="47"/>
      <c r="Z168" s="44" t="str">
        <f ca="1">IF(AND(Tableau1[[#This Row],[Charge]]&lt;&gt;0, Tableau1[[#This Row],[Nombre intervenants]]&lt;&gt;0,Tableau1[[#This Row],[Lien document]]&lt;&gt;0,Tableau1[[#This Row],[DMS_SAP]]&lt;&gt;0)=TRUE,"MIS A JOUR","")</f>
        <v/>
      </c>
      <c r="AA168" s="48"/>
      <c r="AB168" s="65" t="str">
        <f ca="1">IF(Tableau1[[#This Row],[Date rév.]]&lt;&gt;"", DAYS360(Tableau1[[#This Row],[Date rév.]],TODAY()),"")</f>
        <v/>
      </c>
      <c r="AC168" s="50" t="str">
        <f>IFERROR(INDEX(Chemin_accès!$B$11:$C$22,MATCH(Tableau1[[#This Row],[Type]],Chemin_accès!$C$11:$C$22,0),1),Chemin_accès!$B$11)</f>
        <v>\\stjn.local\trimet\Btechnique\Commun\Atelier Central mécanique\Plan entretien\Modèles préventif\GammeDMS_7.MENG.xlsm</v>
      </c>
      <c r="AD168" s="50" t="str">
        <f>Chemin_accès!$B$8&amp;Tableau1[[#This Row],[Localisation / Classement]]&amp;"\"&amp;Tableau1[[#This Row],[Poste technique ou N° d''équipement]]&amp;"_"&amp;Tableau1[[#This Row],[Plan Entretien]]&amp;".xlsm"</f>
        <v>\\stjn.local\trimet\Btechnique\Commun\Atelier Central mécanique\Plan entretien\GammeEntretien\\_.xlsm</v>
      </c>
    </row>
    <row r="169" spans="1:30" x14ac:dyDescent="0.3">
      <c r="A169" s="44" t="str">
        <f t="shared" ca="1" si="2"/>
        <v>7.MENG</v>
      </c>
      <c r="B16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69" s="53"/>
      <c r="D169" s="44"/>
      <c r="E169" s="44"/>
      <c r="F169" s="47"/>
      <c r="G169" s="47"/>
      <c r="H169" s="63"/>
      <c r="I169" s="61"/>
      <c r="J169" s="45"/>
      <c r="K169" s="45"/>
      <c r="L169" s="46"/>
      <c r="M169" s="47"/>
      <c r="N169" s="46"/>
      <c r="O169" s="46"/>
      <c r="P169" s="47"/>
      <c r="Q169" s="46"/>
      <c r="R169" s="46"/>
      <c r="S169" s="48"/>
      <c r="T169" s="68" t="str">
        <f>IF(Tableau1[[#This Row],[DMS_SAP]]="","",HYPERLINK(Tableau1[[#This Row],[Chemin fichier source]],"X"))</f>
        <v/>
      </c>
      <c r="U169" s="68" t="str">
        <f>IF(Tableau1[[#This Row],[Date rév.]]="","",HYPERLINK(Tableau1[[#This Row],[Lien document]],"X"))</f>
        <v/>
      </c>
      <c r="V169" s="47"/>
      <c r="W16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69" s="47"/>
      <c r="Y169" s="47"/>
      <c r="Z169" s="44" t="str">
        <f ca="1">IF(AND(Tableau1[[#This Row],[Charge]]&lt;&gt;0, Tableau1[[#This Row],[Nombre intervenants]]&lt;&gt;0,Tableau1[[#This Row],[Lien document]]&lt;&gt;0,Tableau1[[#This Row],[DMS_SAP]]&lt;&gt;0)=TRUE,"MIS A JOUR","")</f>
        <v/>
      </c>
      <c r="AA169" s="48"/>
      <c r="AB169" s="65" t="str">
        <f ca="1">IF(Tableau1[[#This Row],[Date rév.]]&lt;&gt;"", DAYS360(Tableau1[[#This Row],[Date rév.]],TODAY()),"")</f>
        <v/>
      </c>
      <c r="AC169" s="50" t="str">
        <f>IFERROR(INDEX(Chemin_accès!$B$11:$C$22,MATCH(Tableau1[[#This Row],[Type]],Chemin_accès!$C$11:$C$22,0),1),Chemin_accès!$B$11)</f>
        <v>\\stjn.local\trimet\Btechnique\Commun\Atelier Central mécanique\Plan entretien\Modèles préventif\GammeDMS_7.MENG.xlsm</v>
      </c>
      <c r="AD169" s="50" t="str">
        <f>Chemin_accès!$B$8&amp;Tableau1[[#This Row],[Localisation / Classement]]&amp;"\"&amp;Tableau1[[#This Row],[Poste technique ou N° d''équipement]]&amp;"_"&amp;Tableau1[[#This Row],[Plan Entretien]]&amp;".xlsm"</f>
        <v>\\stjn.local\trimet\Btechnique\Commun\Atelier Central mécanique\Plan entretien\GammeEntretien\\_.xlsm</v>
      </c>
    </row>
    <row r="170" spans="1:30" x14ac:dyDescent="0.3">
      <c r="A170" s="44" t="str">
        <f t="shared" ca="1" si="2"/>
        <v>7.MENG</v>
      </c>
      <c r="B17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70" s="53"/>
      <c r="D170" s="44"/>
      <c r="E170" s="44"/>
      <c r="F170" s="47"/>
      <c r="G170" s="47"/>
      <c r="H170" s="45"/>
      <c r="I170" s="62"/>
      <c r="J170" s="45"/>
      <c r="K170" s="45"/>
      <c r="L170" s="46"/>
      <c r="M170" s="47"/>
      <c r="N170" s="46"/>
      <c r="O170" s="46"/>
      <c r="P170" s="47"/>
      <c r="Q170" s="46"/>
      <c r="R170" s="46"/>
      <c r="S170" s="48"/>
      <c r="T170" s="68" t="str">
        <f>IF(Tableau1[[#This Row],[DMS_SAP]]="","",HYPERLINK(Tableau1[[#This Row],[Chemin fichier source]],"X"))</f>
        <v/>
      </c>
      <c r="U170" s="68" t="str">
        <f>IF(Tableau1[[#This Row],[Date rév.]]="","",HYPERLINK(Tableau1[[#This Row],[Lien document]],"X"))</f>
        <v/>
      </c>
      <c r="V170" s="47"/>
      <c r="W17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70" s="47"/>
      <c r="Y170" s="47"/>
      <c r="Z170" s="44" t="str">
        <f ca="1">IF(AND(Tableau1[[#This Row],[Charge]]&lt;&gt;0, Tableau1[[#This Row],[Nombre intervenants]]&lt;&gt;0,Tableau1[[#This Row],[Lien document]]&lt;&gt;0,Tableau1[[#This Row],[DMS_SAP]]&lt;&gt;0)=TRUE,"MIS A JOUR","")</f>
        <v/>
      </c>
      <c r="AA170" s="48"/>
      <c r="AB170" s="65" t="str">
        <f ca="1">IF(Tableau1[[#This Row],[Date rév.]]&lt;&gt;"", DAYS360(Tableau1[[#This Row],[Date rév.]],TODAY()),"")</f>
        <v/>
      </c>
      <c r="AC170" s="50" t="str">
        <f>IFERROR(INDEX(Chemin_accès!$B$11:$C$22,MATCH(Tableau1[[#This Row],[Type]],Chemin_accès!$C$11:$C$22,0),1),Chemin_accès!$B$11)</f>
        <v>\\stjn.local\trimet\Btechnique\Commun\Atelier Central mécanique\Plan entretien\Modèles préventif\GammeDMS_7.MENG.xlsm</v>
      </c>
      <c r="AD170" s="50" t="str">
        <f>Chemin_accès!$B$8&amp;Tableau1[[#This Row],[Localisation / Classement]]&amp;"\"&amp;Tableau1[[#This Row],[Poste technique ou N° d''équipement]]&amp;"_"&amp;Tableau1[[#This Row],[Plan Entretien]]&amp;".xlsm"</f>
        <v>\\stjn.local\trimet\Btechnique\Commun\Atelier Central mécanique\Plan entretien\GammeEntretien\\_.xlsm</v>
      </c>
    </row>
    <row r="171" spans="1:30" x14ac:dyDescent="0.3">
      <c r="A171" s="44" t="str">
        <f t="shared" ca="1" si="2"/>
        <v>7.MENG</v>
      </c>
      <c r="B17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71" s="46"/>
      <c r="D171" s="44"/>
      <c r="E171" s="44"/>
      <c r="F171" s="47"/>
      <c r="G171" s="47"/>
      <c r="H171" s="45"/>
      <c r="I171" s="62"/>
      <c r="J171" s="45"/>
      <c r="K171" s="45"/>
      <c r="L171" s="46"/>
      <c r="M171" s="47"/>
      <c r="N171" s="46"/>
      <c r="O171" s="46"/>
      <c r="P171" s="47"/>
      <c r="Q171" s="46"/>
      <c r="R171" s="46"/>
      <c r="S171" s="48"/>
      <c r="T171" s="68" t="str">
        <f>IF(Tableau1[[#This Row],[DMS_SAP]]="","",HYPERLINK(Tableau1[[#This Row],[Chemin fichier source]],"X"))</f>
        <v/>
      </c>
      <c r="U171" s="68" t="str">
        <f>IF(Tableau1[[#This Row],[Date rév.]]="","",HYPERLINK(Tableau1[[#This Row],[Lien document]],"X"))</f>
        <v/>
      </c>
      <c r="V171" s="47"/>
      <c r="W17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71" s="47"/>
      <c r="Y171" s="47"/>
      <c r="Z171" s="44" t="str">
        <f ca="1">IF(AND(Tableau1[[#This Row],[Charge]]&lt;&gt;0, Tableau1[[#This Row],[Nombre intervenants]]&lt;&gt;0,Tableau1[[#This Row],[Lien document]]&lt;&gt;0,Tableau1[[#This Row],[DMS_SAP]]&lt;&gt;0)=TRUE,"MIS A JOUR","")</f>
        <v/>
      </c>
      <c r="AA171" s="48"/>
      <c r="AB171" s="65" t="str">
        <f ca="1">IF(Tableau1[[#This Row],[Date rév.]]&lt;&gt;"", DAYS360(Tableau1[[#This Row],[Date rév.]],TODAY()),"")</f>
        <v/>
      </c>
      <c r="AC171" s="50" t="str">
        <f>IFERROR(INDEX(Chemin_accès!$B$11:$C$22,MATCH(Tableau1[[#This Row],[Type]],Chemin_accès!$C$11:$C$22,0),1),Chemin_accès!$B$11)</f>
        <v>\\stjn.local\trimet\Btechnique\Commun\Atelier Central mécanique\Plan entretien\Modèles préventif\GammeDMS_7.MENG.xlsm</v>
      </c>
      <c r="AD171" s="50" t="str">
        <f>Chemin_accès!$B$8&amp;Tableau1[[#This Row],[Localisation / Classement]]&amp;"\"&amp;Tableau1[[#This Row],[Poste technique ou N° d''équipement]]&amp;"_"&amp;Tableau1[[#This Row],[Plan Entretien]]&amp;".xlsm"</f>
        <v>\\stjn.local\trimet\Btechnique\Commun\Atelier Central mécanique\Plan entretien\GammeEntretien\\_.xlsm</v>
      </c>
    </row>
    <row r="172" spans="1:30" x14ac:dyDescent="0.3">
      <c r="A172" s="44" t="str">
        <f t="shared" ca="1" si="2"/>
        <v>7.MENG</v>
      </c>
      <c r="B17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72" s="46"/>
      <c r="D172" s="44"/>
      <c r="E172" s="44"/>
      <c r="F172" s="47"/>
      <c r="G172" s="47"/>
      <c r="H172" s="45"/>
      <c r="I172" s="62"/>
      <c r="J172" s="45"/>
      <c r="K172" s="45"/>
      <c r="L172" s="46"/>
      <c r="M172" s="47"/>
      <c r="N172" s="46"/>
      <c r="O172" s="46"/>
      <c r="P172" s="47"/>
      <c r="Q172" s="46"/>
      <c r="R172" s="46"/>
      <c r="S172" s="48"/>
      <c r="T172" s="68" t="str">
        <f>IF(Tableau1[[#This Row],[DMS_SAP]]="","",HYPERLINK(Tableau1[[#This Row],[Chemin fichier source]],"X"))</f>
        <v/>
      </c>
      <c r="U172" s="68" t="str">
        <f>IF(Tableau1[[#This Row],[Date rév.]]="","",HYPERLINK(Tableau1[[#This Row],[Lien document]],"X"))</f>
        <v/>
      </c>
      <c r="V172" s="47"/>
      <c r="W17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72" s="47"/>
      <c r="Y172" s="47"/>
      <c r="Z172" s="44" t="str">
        <f ca="1">IF(AND(Tableau1[[#This Row],[Charge]]&lt;&gt;0, Tableau1[[#This Row],[Nombre intervenants]]&lt;&gt;0,Tableau1[[#This Row],[Lien document]]&lt;&gt;0,Tableau1[[#This Row],[DMS_SAP]]&lt;&gt;0)=TRUE,"MIS A JOUR","")</f>
        <v/>
      </c>
      <c r="AA172" s="48"/>
      <c r="AB172" s="65" t="str">
        <f ca="1">IF(Tableau1[[#This Row],[Date rév.]]&lt;&gt;"", DAYS360(Tableau1[[#This Row],[Date rév.]],TODAY()),"")</f>
        <v/>
      </c>
      <c r="AC172" s="50" t="str">
        <f>IFERROR(INDEX(Chemin_accès!$B$11:$C$22,MATCH(Tableau1[[#This Row],[Type]],Chemin_accès!$C$11:$C$22,0),1),Chemin_accès!$B$11)</f>
        <v>\\stjn.local\trimet\Btechnique\Commun\Atelier Central mécanique\Plan entretien\Modèles préventif\GammeDMS_7.MENG.xlsm</v>
      </c>
      <c r="AD172" s="50" t="str">
        <f>Chemin_accès!$B$8&amp;Tableau1[[#This Row],[Localisation / Classement]]&amp;"\"&amp;Tableau1[[#This Row],[Poste technique ou N° d''équipement]]&amp;"_"&amp;Tableau1[[#This Row],[Plan Entretien]]&amp;".xlsm"</f>
        <v>\\stjn.local\trimet\Btechnique\Commun\Atelier Central mécanique\Plan entretien\GammeEntretien\\_.xlsm</v>
      </c>
    </row>
    <row r="173" spans="1:30" x14ac:dyDescent="0.3">
      <c r="A173" s="44" t="str">
        <f t="shared" ca="1" si="2"/>
        <v>7.MENG</v>
      </c>
      <c r="B17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73" s="46"/>
      <c r="D173" s="44"/>
      <c r="E173" s="44"/>
      <c r="F173" s="47"/>
      <c r="G173" s="47"/>
      <c r="H173" s="45"/>
      <c r="I173" s="62"/>
      <c r="J173" s="45"/>
      <c r="K173" s="45"/>
      <c r="L173" s="46"/>
      <c r="M173" s="47"/>
      <c r="N173" s="46"/>
      <c r="O173" s="46"/>
      <c r="P173" s="47"/>
      <c r="Q173" s="46"/>
      <c r="R173" s="46"/>
      <c r="S173" s="48"/>
      <c r="T173" s="68" t="str">
        <f>IF(Tableau1[[#This Row],[DMS_SAP]]="","",HYPERLINK(Tableau1[[#This Row],[Chemin fichier source]],"X"))</f>
        <v/>
      </c>
      <c r="U173" s="68" t="str">
        <f>IF(Tableau1[[#This Row],[Date rév.]]="","",HYPERLINK(Tableau1[[#This Row],[Lien document]],"X"))</f>
        <v/>
      </c>
      <c r="V173" s="47"/>
      <c r="W17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73" s="47"/>
      <c r="Y173" s="47"/>
      <c r="Z173" s="44" t="str">
        <f ca="1">IF(AND(Tableau1[[#This Row],[Charge]]&lt;&gt;0, Tableau1[[#This Row],[Nombre intervenants]]&lt;&gt;0,Tableau1[[#This Row],[Lien document]]&lt;&gt;0,Tableau1[[#This Row],[DMS_SAP]]&lt;&gt;0)=TRUE,"MIS A JOUR","")</f>
        <v/>
      </c>
      <c r="AA173" s="48"/>
      <c r="AB173" s="65" t="str">
        <f ca="1">IF(Tableau1[[#This Row],[Date rév.]]&lt;&gt;"", DAYS360(Tableau1[[#This Row],[Date rév.]],TODAY()),"")</f>
        <v/>
      </c>
      <c r="AC173" s="50" t="str">
        <f>IFERROR(INDEX(Chemin_accès!$B$11:$C$22,MATCH(Tableau1[[#This Row],[Type]],Chemin_accès!$C$11:$C$22,0),1),Chemin_accès!$B$11)</f>
        <v>\\stjn.local\trimet\Btechnique\Commun\Atelier Central mécanique\Plan entretien\Modèles préventif\GammeDMS_7.MENG.xlsm</v>
      </c>
      <c r="AD173" s="50" t="str">
        <f>Chemin_accès!$B$8&amp;Tableau1[[#This Row],[Localisation / Classement]]&amp;"\"&amp;Tableau1[[#This Row],[Poste technique ou N° d''équipement]]&amp;"_"&amp;Tableau1[[#This Row],[Plan Entretien]]&amp;".xlsm"</f>
        <v>\\stjn.local\trimet\Btechnique\Commun\Atelier Central mécanique\Plan entretien\GammeEntretien\\_.xlsm</v>
      </c>
    </row>
    <row r="174" spans="1:30" x14ac:dyDescent="0.3">
      <c r="A174" s="44" t="str">
        <f t="shared" ca="1" si="2"/>
        <v>7.MENG</v>
      </c>
      <c r="B17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74" s="46"/>
      <c r="D174" s="44"/>
      <c r="E174" s="44"/>
      <c r="F174" s="47"/>
      <c r="G174" s="47"/>
      <c r="H174" s="45"/>
      <c r="I174" s="62"/>
      <c r="J174" s="45"/>
      <c r="K174" s="45"/>
      <c r="L174" s="46"/>
      <c r="M174" s="47"/>
      <c r="N174" s="46"/>
      <c r="O174" s="46"/>
      <c r="P174" s="47"/>
      <c r="Q174" s="46"/>
      <c r="R174" s="46"/>
      <c r="S174" s="48"/>
      <c r="T174" s="68" t="str">
        <f>IF(Tableau1[[#This Row],[DMS_SAP]]="","",HYPERLINK(Tableau1[[#This Row],[Chemin fichier source]],"X"))</f>
        <v/>
      </c>
      <c r="U174" s="68" t="str">
        <f>IF(Tableau1[[#This Row],[Date rév.]]="","",HYPERLINK(Tableau1[[#This Row],[Lien document]],"X"))</f>
        <v/>
      </c>
      <c r="V174" s="47"/>
      <c r="W17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74" s="47"/>
      <c r="Y174" s="47"/>
      <c r="Z174" s="44" t="str">
        <f ca="1">IF(AND(Tableau1[[#This Row],[Charge]]&lt;&gt;0, Tableau1[[#This Row],[Nombre intervenants]]&lt;&gt;0,Tableau1[[#This Row],[Lien document]]&lt;&gt;0,Tableau1[[#This Row],[DMS_SAP]]&lt;&gt;0)=TRUE,"MIS A JOUR","")</f>
        <v/>
      </c>
      <c r="AA174" s="48"/>
      <c r="AB174" s="65" t="str">
        <f ca="1">IF(Tableau1[[#This Row],[Date rév.]]&lt;&gt;"", DAYS360(Tableau1[[#This Row],[Date rév.]],TODAY()),"")</f>
        <v/>
      </c>
      <c r="AC174" s="50" t="str">
        <f>IFERROR(INDEX(Chemin_accès!$B$11:$C$22,MATCH(Tableau1[[#This Row],[Type]],Chemin_accès!$C$11:$C$22,0),1),Chemin_accès!$B$11)</f>
        <v>\\stjn.local\trimet\Btechnique\Commun\Atelier Central mécanique\Plan entretien\Modèles préventif\GammeDMS_7.MENG.xlsm</v>
      </c>
      <c r="AD174" s="50" t="str">
        <f>Chemin_accès!$B$8&amp;Tableau1[[#This Row],[Localisation / Classement]]&amp;"\"&amp;Tableau1[[#This Row],[Poste technique ou N° d''équipement]]&amp;"_"&amp;Tableau1[[#This Row],[Plan Entretien]]&amp;".xlsm"</f>
        <v>\\stjn.local\trimet\Btechnique\Commun\Atelier Central mécanique\Plan entretien\GammeEntretien\\_.xlsm</v>
      </c>
    </row>
    <row r="175" spans="1:30" x14ac:dyDescent="0.3">
      <c r="A175" s="44" t="str">
        <f t="shared" ca="1" si="2"/>
        <v>7.MENG</v>
      </c>
      <c r="B17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75" s="46"/>
      <c r="D175" s="44"/>
      <c r="E175" s="44"/>
      <c r="F175" s="47"/>
      <c r="G175" s="47"/>
      <c r="H175" s="45"/>
      <c r="I175" s="62"/>
      <c r="J175" s="45"/>
      <c r="K175" s="45"/>
      <c r="L175" s="46"/>
      <c r="M175" s="47"/>
      <c r="N175" s="46"/>
      <c r="O175" s="46"/>
      <c r="P175" s="47"/>
      <c r="Q175" s="46"/>
      <c r="R175" s="46"/>
      <c r="S175" s="48"/>
      <c r="T175" s="68" t="str">
        <f>IF(Tableau1[[#This Row],[DMS_SAP]]="","",HYPERLINK(Tableau1[[#This Row],[Chemin fichier source]],"X"))</f>
        <v/>
      </c>
      <c r="U175" s="68" t="str">
        <f>IF(Tableau1[[#This Row],[Date rév.]]="","",HYPERLINK(Tableau1[[#This Row],[Lien document]],"X"))</f>
        <v/>
      </c>
      <c r="V175" s="47"/>
      <c r="W17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75" s="47"/>
      <c r="Y175" s="47"/>
      <c r="Z175" s="44" t="str">
        <f ca="1">IF(AND(Tableau1[[#This Row],[Charge]]&lt;&gt;0, Tableau1[[#This Row],[Nombre intervenants]]&lt;&gt;0,Tableau1[[#This Row],[Lien document]]&lt;&gt;0,Tableau1[[#This Row],[DMS_SAP]]&lt;&gt;0)=TRUE,"MIS A JOUR","")</f>
        <v/>
      </c>
      <c r="AA175" s="48"/>
      <c r="AB175" s="65" t="str">
        <f ca="1">IF(Tableau1[[#This Row],[Date rév.]]&lt;&gt;"", DAYS360(Tableau1[[#This Row],[Date rév.]],TODAY()),"")</f>
        <v/>
      </c>
      <c r="AC175" s="50" t="str">
        <f>IFERROR(INDEX(Chemin_accès!$B$11:$C$22,MATCH(Tableau1[[#This Row],[Type]],Chemin_accès!$C$11:$C$22,0),1),Chemin_accès!$B$11)</f>
        <v>\\stjn.local\trimet\Btechnique\Commun\Atelier Central mécanique\Plan entretien\Modèles préventif\GammeDMS_7.MENG.xlsm</v>
      </c>
      <c r="AD175" s="50" t="str">
        <f>Chemin_accès!$B$8&amp;Tableau1[[#This Row],[Localisation / Classement]]&amp;"\"&amp;Tableau1[[#This Row],[Poste technique ou N° d''équipement]]&amp;"_"&amp;Tableau1[[#This Row],[Plan Entretien]]&amp;".xlsm"</f>
        <v>\\stjn.local\trimet\Btechnique\Commun\Atelier Central mécanique\Plan entretien\GammeEntretien\\_.xlsm</v>
      </c>
    </row>
    <row r="176" spans="1:30" x14ac:dyDescent="0.3">
      <c r="A176" s="44" t="str">
        <f t="shared" ca="1" si="2"/>
        <v>7.MENG</v>
      </c>
      <c r="B17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76" s="46"/>
      <c r="D176" s="44"/>
      <c r="E176" s="44"/>
      <c r="F176" s="47"/>
      <c r="G176" s="47"/>
      <c r="H176" s="45"/>
      <c r="I176" s="62"/>
      <c r="J176" s="45"/>
      <c r="K176" s="45"/>
      <c r="L176" s="46"/>
      <c r="M176" s="47"/>
      <c r="N176" s="46"/>
      <c r="O176" s="46"/>
      <c r="P176" s="47"/>
      <c r="Q176" s="46"/>
      <c r="R176" s="46"/>
      <c r="S176" s="48"/>
      <c r="T176" s="68" t="str">
        <f>IF(Tableau1[[#This Row],[DMS_SAP]]="","",HYPERLINK(Tableau1[[#This Row],[Chemin fichier source]],"X"))</f>
        <v/>
      </c>
      <c r="U176" s="68" t="str">
        <f>IF(Tableau1[[#This Row],[Date rév.]]="","",HYPERLINK(Tableau1[[#This Row],[Lien document]],"X"))</f>
        <v/>
      </c>
      <c r="V176" s="47"/>
      <c r="W17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76" s="47"/>
      <c r="Y176" s="47"/>
      <c r="Z176" s="44" t="str">
        <f ca="1">IF(AND(Tableau1[[#This Row],[Charge]]&lt;&gt;0, Tableau1[[#This Row],[Nombre intervenants]]&lt;&gt;0,Tableau1[[#This Row],[Lien document]]&lt;&gt;0,Tableau1[[#This Row],[DMS_SAP]]&lt;&gt;0)=TRUE,"MIS A JOUR","")</f>
        <v/>
      </c>
      <c r="AA176" s="48"/>
      <c r="AB176" s="65" t="str">
        <f ca="1">IF(Tableau1[[#This Row],[Date rév.]]&lt;&gt;"", DAYS360(Tableau1[[#This Row],[Date rév.]],TODAY()),"")</f>
        <v/>
      </c>
      <c r="AC176" s="50" t="str">
        <f>IFERROR(INDEX(Chemin_accès!$B$11:$C$22,MATCH(Tableau1[[#This Row],[Type]],Chemin_accès!$C$11:$C$22,0),1),Chemin_accès!$B$11)</f>
        <v>\\stjn.local\trimet\Btechnique\Commun\Atelier Central mécanique\Plan entretien\Modèles préventif\GammeDMS_7.MENG.xlsm</v>
      </c>
      <c r="AD176" s="50" t="str">
        <f>Chemin_accès!$B$8&amp;Tableau1[[#This Row],[Localisation / Classement]]&amp;"\"&amp;Tableau1[[#This Row],[Poste technique ou N° d''équipement]]&amp;"_"&amp;Tableau1[[#This Row],[Plan Entretien]]&amp;".xlsm"</f>
        <v>\\stjn.local\trimet\Btechnique\Commun\Atelier Central mécanique\Plan entretien\GammeEntretien\\_.xlsm</v>
      </c>
    </row>
    <row r="177" spans="1:30" x14ac:dyDescent="0.3">
      <c r="A177" s="44" t="str">
        <f t="shared" ca="1" si="2"/>
        <v>7.MENG</v>
      </c>
      <c r="B17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77" s="46"/>
      <c r="D177" s="44"/>
      <c r="E177" s="44"/>
      <c r="F177" s="47"/>
      <c r="G177" s="47"/>
      <c r="H177" s="45"/>
      <c r="I177" s="62"/>
      <c r="J177" s="45"/>
      <c r="K177" s="45"/>
      <c r="L177" s="46"/>
      <c r="M177" s="47"/>
      <c r="N177" s="46"/>
      <c r="O177" s="46"/>
      <c r="P177" s="47"/>
      <c r="Q177" s="46"/>
      <c r="R177" s="46"/>
      <c r="S177" s="48"/>
      <c r="T177" s="68" t="str">
        <f>IF(Tableau1[[#This Row],[DMS_SAP]]="","",HYPERLINK(Tableau1[[#This Row],[Chemin fichier source]],"X"))</f>
        <v/>
      </c>
      <c r="U177" s="68" t="str">
        <f>IF(Tableau1[[#This Row],[Date rév.]]="","",HYPERLINK(Tableau1[[#This Row],[Lien document]],"X"))</f>
        <v/>
      </c>
      <c r="V177" s="47"/>
      <c r="W17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77" s="47"/>
      <c r="Y177" s="47"/>
      <c r="Z177" s="44" t="str">
        <f ca="1">IF(AND(Tableau1[[#This Row],[Charge]]&lt;&gt;0, Tableau1[[#This Row],[Nombre intervenants]]&lt;&gt;0,Tableau1[[#This Row],[Lien document]]&lt;&gt;0,Tableau1[[#This Row],[DMS_SAP]]&lt;&gt;0)=TRUE,"MIS A JOUR","")</f>
        <v/>
      </c>
      <c r="AA177" s="48"/>
      <c r="AB177" s="65" t="str">
        <f ca="1">IF(Tableau1[[#This Row],[Date rév.]]&lt;&gt;"", DAYS360(Tableau1[[#This Row],[Date rév.]],TODAY()),"")</f>
        <v/>
      </c>
      <c r="AC177" s="50" t="str">
        <f>IFERROR(INDEX(Chemin_accès!$B$11:$C$22,MATCH(Tableau1[[#This Row],[Type]],Chemin_accès!$C$11:$C$22,0),1),Chemin_accès!$B$11)</f>
        <v>\\stjn.local\trimet\Btechnique\Commun\Atelier Central mécanique\Plan entretien\Modèles préventif\GammeDMS_7.MENG.xlsm</v>
      </c>
      <c r="AD177" s="50" t="str">
        <f>Chemin_accès!$B$8&amp;Tableau1[[#This Row],[Localisation / Classement]]&amp;"\"&amp;Tableau1[[#This Row],[Poste technique ou N° d''équipement]]&amp;"_"&amp;Tableau1[[#This Row],[Plan Entretien]]&amp;".xlsm"</f>
        <v>\\stjn.local\trimet\Btechnique\Commun\Atelier Central mécanique\Plan entretien\GammeEntretien\\_.xlsm</v>
      </c>
    </row>
    <row r="178" spans="1:30" x14ac:dyDescent="0.3">
      <c r="A178" s="44" t="str">
        <f t="shared" ca="1" si="2"/>
        <v>7.MENG</v>
      </c>
      <c r="B17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78" s="46"/>
      <c r="D178" s="44"/>
      <c r="E178" s="44"/>
      <c r="F178" s="47"/>
      <c r="G178" s="47"/>
      <c r="H178" s="45"/>
      <c r="I178" s="62"/>
      <c r="J178" s="45"/>
      <c r="K178" s="45"/>
      <c r="L178" s="46"/>
      <c r="M178" s="47"/>
      <c r="N178" s="46"/>
      <c r="O178" s="46"/>
      <c r="P178" s="47"/>
      <c r="Q178" s="46"/>
      <c r="R178" s="46"/>
      <c r="S178" s="48"/>
      <c r="T178" s="68" t="str">
        <f>IF(Tableau1[[#This Row],[DMS_SAP]]="","",HYPERLINK(Tableau1[[#This Row],[Chemin fichier source]],"X"))</f>
        <v/>
      </c>
      <c r="U178" s="68" t="str">
        <f>IF(Tableau1[[#This Row],[Date rév.]]="","",HYPERLINK(Tableau1[[#This Row],[Lien document]],"X"))</f>
        <v/>
      </c>
      <c r="V178" s="47"/>
      <c r="W17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78" s="47"/>
      <c r="Y178" s="47"/>
      <c r="Z178" s="44" t="str">
        <f ca="1">IF(AND(Tableau1[[#This Row],[Charge]]&lt;&gt;0, Tableau1[[#This Row],[Nombre intervenants]]&lt;&gt;0,Tableau1[[#This Row],[Lien document]]&lt;&gt;0,Tableau1[[#This Row],[DMS_SAP]]&lt;&gt;0)=TRUE,"MIS A JOUR","")</f>
        <v/>
      </c>
      <c r="AA178" s="48"/>
      <c r="AB178" s="65" t="str">
        <f ca="1">IF(Tableau1[[#This Row],[Date rév.]]&lt;&gt;"", DAYS360(Tableau1[[#This Row],[Date rév.]],TODAY()),"")</f>
        <v/>
      </c>
      <c r="AC178" s="50" t="str">
        <f>IFERROR(INDEX(Chemin_accès!$B$11:$C$22,MATCH(Tableau1[[#This Row],[Type]],Chemin_accès!$C$11:$C$22,0),1),Chemin_accès!$B$11)</f>
        <v>\\stjn.local\trimet\Btechnique\Commun\Atelier Central mécanique\Plan entretien\Modèles préventif\GammeDMS_7.MENG.xlsm</v>
      </c>
      <c r="AD178" s="50" t="str">
        <f>Chemin_accès!$B$8&amp;Tableau1[[#This Row],[Localisation / Classement]]&amp;"\"&amp;Tableau1[[#This Row],[Poste technique ou N° d''équipement]]&amp;"_"&amp;Tableau1[[#This Row],[Plan Entretien]]&amp;".xlsm"</f>
        <v>\\stjn.local\trimet\Btechnique\Commun\Atelier Central mécanique\Plan entretien\GammeEntretien\\_.xlsm</v>
      </c>
    </row>
    <row r="179" spans="1:30" x14ac:dyDescent="0.3">
      <c r="A179" s="44" t="str">
        <f t="shared" ca="1" si="2"/>
        <v>7.MENG</v>
      </c>
      <c r="B17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79" s="46"/>
      <c r="D179" s="44"/>
      <c r="E179" s="44"/>
      <c r="F179" s="47"/>
      <c r="G179" s="47"/>
      <c r="H179" s="45"/>
      <c r="I179" s="62"/>
      <c r="J179" s="45"/>
      <c r="K179" s="45"/>
      <c r="L179" s="46"/>
      <c r="M179" s="47"/>
      <c r="N179" s="46"/>
      <c r="O179" s="46"/>
      <c r="P179" s="47"/>
      <c r="Q179" s="46"/>
      <c r="R179" s="46"/>
      <c r="S179" s="48"/>
      <c r="T179" s="68" t="str">
        <f>IF(Tableau1[[#This Row],[DMS_SAP]]="","",HYPERLINK(Tableau1[[#This Row],[Chemin fichier source]],"X"))</f>
        <v/>
      </c>
      <c r="U179" s="68" t="str">
        <f>IF(Tableau1[[#This Row],[Date rév.]]="","",HYPERLINK(Tableau1[[#This Row],[Lien document]],"X"))</f>
        <v/>
      </c>
      <c r="V179" s="47"/>
      <c r="W17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79" s="47"/>
      <c r="Y179" s="47"/>
      <c r="Z179" s="44" t="str">
        <f ca="1">IF(AND(Tableau1[[#This Row],[Charge]]&lt;&gt;0, Tableau1[[#This Row],[Nombre intervenants]]&lt;&gt;0,Tableau1[[#This Row],[Lien document]]&lt;&gt;0,Tableau1[[#This Row],[DMS_SAP]]&lt;&gt;0)=TRUE,"MIS A JOUR","")</f>
        <v/>
      </c>
      <c r="AA179" s="48"/>
      <c r="AB179" s="65" t="str">
        <f ca="1">IF(Tableau1[[#This Row],[Date rév.]]&lt;&gt;"", DAYS360(Tableau1[[#This Row],[Date rév.]],TODAY()),"")</f>
        <v/>
      </c>
      <c r="AC179" s="50" t="str">
        <f>IFERROR(INDEX(Chemin_accès!$B$11:$C$22,MATCH(Tableau1[[#This Row],[Type]],Chemin_accès!$C$11:$C$22,0),1),Chemin_accès!$B$11)</f>
        <v>\\stjn.local\trimet\Btechnique\Commun\Atelier Central mécanique\Plan entretien\Modèles préventif\GammeDMS_7.MENG.xlsm</v>
      </c>
      <c r="AD179" s="50" t="str">
        <f>Chemin_accès!$B$8&amp;Tableau1[[#This Row],[Localisation / Classement]]&amp;"\"&amp;Tableau1[[#This Row],[Poste technique ou N° d''équipement]]&amp;"_"&amp;Tableau1[[#This Row],[Plan Entretien]]&amp;".xlsm"</f>
        <v>\\stjn.local\trimet\Btechnique\Commun\Atelier Central mécanique\Plan entretien\GammeEntretien\\_.xlsm</v>
      </c>
    </row>
    <row r="180" spans="1:30" x14ac:dyDescent="0.3">
      <c r="A180" s="44" t="str">
        <f t="shared" ca="1" si="2"/>
        <v>7.MENG</v>
      </c>
      <c r="B18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80" s="46"/>
      <c r="D180" s="44"/>
      <c r="E180" s="44"/>
      <c r="F180" s="47"/>
      <c r="G180" s="47"/>
      <c r="H180" s="45"/>
      <c r="I180" s="62"/>
      <c r="J180" s="45"/>
      <c r="K180" s="45"/>
      <c r="L180" s="46"/>
      <c r="M180" s="47"/>
      <c r="N180" s="46"/>
      <c r="O180" s="46"/>
      <c r="P180" s="47"/>
      <c r="Q180" s="46"/>
      <c r="R180" s="46"/>
      <c r="S180" s="48"/>
      <c r="T180" s="68" t="str">
        <f>IF(Tableau1[[#This Row],[DMS_SAP]]="","",HYPERLINK(Tableau1[[#This Row],[Chemin fichier source]],"X"))</f>
        <v/>
      </c>
      <c r="U180" s="68" t="str">
        <f>IF(Tableau1[[#This Row],[Date rév.]]="","",HYPERLINK(Tableau1[[#This Row],[Lien document]],"X"))</f>
        <v/>
      </c>
      <c r="V180" s="47"/>
      <c r="W18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80" s="47"/>
      <c r="Y180" s="47"/>
      <c r="Z180" s="44" t="str">
        <f ca="1">IF(AND(Tableau1[[#This Row],[Charge]]&lt;&gt;0, Tableau1[[#This Row],[Nombre intervenants]]&lt;&gt;0,Tableau1[[#This Row],[Lien document]]&lt;&gt;0,Tableau1[[#This Row],[DMS_SAP]]&lt;&gt;0)=TRUE,"MIS A JOUR","")</f>
        <v/>
      </c>
      <c r="AA180" s="48"/>
      <c r="AB180" s="65" t="str">
        <f ca="1">IF(Tableau1[[#This Row],[Date rév.]]&lt;&gt;"", DAYS360(Tableau1[[#This Row],[Date rév.]],TODAY()),"")</f>
        <v/>
      </c>
      <c r="AC180" s="50" t="str">
        <f>IFERROR(INDEX(Chemin_accès!$B$11:$C$22,MATCH(Tableau1[[#This Row],[Type]],Chemin_accès!$C$11:$C$22,0),1),Chemin_accès!$B$11)</f>
        <v>\\stjn.local\trimet\Btechnique\Commun\Atelier Central mécanique\Plan entretien\Modèles préventif\GammeDMS_7.MENG.xlsm</v>
      </c>
      <c r="AD180" s="50" t="str">
        <f>Chemin_accès!$B$8&amp;Tableau1[[#This Row],[Localisation / Classement]]&amp;"\"&amp;Tableau1[[#This Row],[Poste technique ou N° d''équipement]]&amp;"_"&amp;Tableau1[[#This Row],[Plan Entretien]]&amp;".xlsm"</f>
        <v>\\stjn.local\trimet\Btechnique\Commun\Atelier Central mécanique\Plan entretien\GammeEntretien\\_.xlsm</v>
      </c>
    </row>
    <row r="181" spans="1:30" x14ac:dyDescent="0.3">
      <c r="A181" s="44" t="str">
        <f t="shared" ca="1" si="2"/>
        <v>7.MENG</v>
      </c>
      <c r="B18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81" s="46"/>
      <c r="D181" s="44"/>
      <c r="E181" s="44"/>
      <c r="F181" s="47"/>
      <c r="G181" s="47"/>
      <c r="H181" s="45"/>
      <c r="I181" s="62"/>
      <c r="J181" s="45"/>
      <c r="K181" s="45"/>
      <c r="L181" s="46"/>
      <c r="M181" s="47"/>
      <c r="N181" s="46"/>
      <c r="O181" s="46"/>
      <c r="P181" s="47"/>
      <c r="Q181" s="46"/>
      <c r="R181" s="46"/>
      <c r="S181" s="48"/>
      <c r="T181" s="68" t="str">
        <f>IF(Tableau1[[#This Row],[DMS_SAP]]="","",HYPERLINK(Tableau1[[#This Row],[Chemin fichier source]],"X"))</f>
        <v/>
      </c>
      <c r="U181" s="68" t="str">
        <f>IF(Tableau1[[#This Row],[Date rév.]]="","",HYPERLINK(Tableau1[[#This Row],[Lien document]],"X"))</f>
        <v/>
      </c>
      <c r="V181" s="47"/>
      <c r="W18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81" s="47"/>
      <c r="Y181" s="47"/>
      <c r="Z181" s="44" t="str">
        <f ca="1">IF(AND(Tableau1[[#This Row],[Charge]]&lt;&gt;0, Tableau1[[#This Row],[Nombre intervenants]]&lt;&gt;0,Tableau1[[#This Row],[Lien document]]&lt;&gt;0,Tableau1[[#This Row],[DMS_SAP]]&lt;&gt;0)=TRUE,"MIS A JOUR","")</f>
        <v/>
      </c>
      <c r="AA181" s="48"/>
      <c r="AB181" s="65" t="str">
        <f ca="1">IF(Tableau1[[#This Row],[Date rév.]]&lt;&gt;"", DAYS360(Tableau1[[#This Row],[Date rév.]],TODAY()),"")</f>
        <v/>
      </c>
      <c r="AC181" s="50" t="str">
        <f>IFERROR(INDEX(Chemin_accès!$B$11:$C$22,MATCH(Tableau1[[#This Row],[Type]],Chemin_accès!$C$11:$C$22,0),1),Chemin_accès!$B$11)</f>
        <v>\\stjn.local\trimet\Btechnique\Commun\Atelier Central mécanique\Plan entretien\Modèles préventif\GammeDMS_7.MENG.xlsm</v>
      </c>
      <c r="AD181" s="50" t="str">
        <f>Chemin_accès!$B$8&amp;Tableau1[[#This Row],[Localisation / Classement]]&amp;"\"&amp;Tableau1[[#This Row],[Poste technique ou N° d''équipement]]&amp;"_"&amp;Tableau1[[#This Row],[Plan Entretien]]&amp;".xlsm"</f>
        <v>\\stjn.local\trimet\Btechnique\Commun\Atelier Central mécanique\Plan entretien\GammeEntretien\\_.xlsm</v>
      </c>
    </row>
    <row r="182" spans="1:30" x14ac:dyDescent="0.3">
      <c r="A182" s="44" t="str">
        <f t="shared" ca="1" si="2"/>
        <v>7.MENG</v>
      </c>
      <c r="B18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82" s="46"/>
      <c r="D182" s="44"/>
      <c r="E182" s="44"/>
      <c r="F182" s="47"/>
      <c r="G182" s="47"/>
      <c r="H182" s="45"/>
      <c r="I182" s="62"/>
      <c r="J182" s="45"/>
      <c r="K182" s="45"/>
      <c r="L182" s="46"/>
      <c r="M182" s="47"/>
      <c r="N182" s="46"/>
      <c r="O182" s="46"/>
      <c r="P182" s="47"/>
      <c r="Q182" s="46"/>
      <c r="R182" s="46"/>
      <c r="S182" s="48"/>
      <c r="T182" s="68" t="str">
        <f>IF(Tableau1[[#This Row],[DMS_SAP]]="","",HYPERLINK(Tableau1[[#This Row],[Chemin fichier source]],"X"))</f>
        <v/>
      </c>
      <c r="U182" s="68" t="str">
        <f>IF(Tableau1[[#This Row],[Date rév.]]="","",HYPERLINK(Tableau1[[#This Row],[Lien document]],"X"))</f>
        <v/>
      </c>
      <c r="V182" s="47"/>
      <c r="W18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82" s="47"/>
      <c r="Y182" s="47"/>
      <c r="Z182" s="44" t="str">
        <f ca="1">IF(AND(Tableau1[[#This Row],[Charge]]&lt;&gt;0, Tableau1[[#This Row],[Nombre intervenants]]&lt;&gt;0,Tableau1[[#This Row],[Lien document]]&lt;&gt;0,Tableau1[[#This Row],[DMS_SAP]]&lt;&gt;0)=TRUE,"MIS A JOUR","")</f>
        <v/>
      </c>
      <c r="AA182" s="48"/>
      <c r="AB182" s="65" t="str">
        <f ca="1">IF(Tableau1[[#This Row],[Date rév.]]&lt;&gt;"", DAYS360(Tableau1[[#This Row],[Date rév.]],TODAY()),"")</f>
        <v/>
      </c>
      <c r="AC182" s="50" t="str">
        <f>IFERROR(INDEX(Chemin_accès!$B$11:$C$22,MATCH(Tableau1[[#This Row],[Type]],Chemin_accès!$C$11:$C$22,0),1),Chemin_accès!$B$11)</f>
        <v>\\stjn.local\trimet\Btechnique\Commun\Atelier Central mécanique\Plan entretien\Modèles préventif\GammeDMS_7.MENG.xlsm</v>
      </c>
      <c r="AD182" s="50" t="str">
        <f>Chemin_accès!$B$8&amp;Tableau1[[#This Row],[Localisation / Classement]]&amp;"\"&amp;Tableau1[[#This Row],[Poste technique ou N° d''équipement]]&amp;"_"&amp;Tableau1[[#This Row],[Plan Entretien]]&amp;".xlsm"</f>
        <v>\\stjn.local\trimet\Btechnique\Commun\Atelier Central mécanique\Plan entretien\GammeEntretien\\_.xlsm</v>
      </c>
    </row>
    <row r="183" spans="1:30" x14ac:dyDescent="0.3">
      <c r="A183" s="44" t="str">
        <f t="shared" ca="1" si="2"/>
        <v>7.MENG</v>
      </c>
      <c r="B18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83" s="46"/>
      <c r="D183" s="44"/>
      <c r="E183" s="44"/>
      <c r="F183" s="47"/>
      <c r="G183" s="47"/>
      <c r="H183" s="45"/>
      <c r="I183" s="62"/>
      <c r="J183" s="45"/>
      <c r="K183" s="45"/>
      <c r="L183" s="46"/>
      <c r="M183" s="47"/>
      <c r="N183" s="46"/>
      <c r="O183" s="46"/>
      <c r="P183" s="47"/>
      <c r="Q183" s="46"/>
      <c r="R183" s="46"/>
      <c r="S183" s="48"/>
      <c r="T183" s="68" t="str">
        <f>IF(Tableau1[[#This Row],[DMS_SAP]]="","",HYPERLINK(Tableau1[[#This Row],[Chemin fichier source]],"X"))</f>
        <v/>
      </c>
      <c r="U183" s="68" t="str">
        <f>IF(Tableau1[[#This Row],[Date rév.]]="","",HYPERLINK(Tableau1[[#This Row],[Lien document]],"X"))</f>
        <v/>
      </c>
      <c r="V183" s="47"/>
      <c r="W18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83" s="47"/>
      <c r="Y183" s="47"/>
      <c r="Z183" s="44" t="str">
        <f ca="1">IF(AND(Tableau1[[#This Row],[Charge]]&lt;&gt;0, Tableau1[[#This Row],[Nombre intervenants]]&lt;&gt;0,Tableau1[[#This Row],[Lien document]]&lt;&gt;0,Tableau1[[#This Row],[DMS_SAP]]&lt;&gt;0)=TRUE,"MIS A JOUR","")</f>
        <v/>
      </c>
      <c r="AA183" s="48"/>
      <c r="AB183" s="65" t="str">
        <f ca="1">IF(Tableau1[[#This Row],[Date rév.]]&lt;&gt;"", DAYS360(Tableau1[[#This Row],[Date rév.]],TODAY()),"")</f>
        <v/>
      </c>
      <c r="AC183" s="50" t="str">
        <f>IFERROR(INDEX(Chemin_accès!$B$11:$C$22,MATCH(Tableau1[[#This Row],[Type]],Chemin_accès!$C$11:$C$22,0),1),Chemin_accès!$B$11)</f>
        <v>\\stjn.local\trimet\Btechnique\Commun\Atelier Central mécanique\Plan entretien\Modèles préventif\GammeDMS_7.MENG.xlsm</v>
      </c>
      <c r="AD183" s="50" t="str">
        <f>Chemin_accès!$B$8&amp;Tableau1[[#This Row],[Localisation / Classement]]&amp;"\"&amp;Tableau1[[#This Row],[Poste technique ou N° d''équipement]]&amp;"_"&amp;Tableau1[[#This Row],[Plan Entretien]]&amp;".xlsm"</f>
        <v>\\stjn.local\trimet\Btechnique\Commun\Atelier Central mécanique\Plan entretien\GammeEntretien\\_.xlsm</v>
      </c>
    </row>
    <row r="184" spans="1:30" x14ac:dyDescent="0.3">
      <c r="A184" s="44" t="str">
        <f t="shared" ca="1" si="2"/>
        <v>7.MENG</v>
      </c>
      <c r="B18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84" s="46"/>
      <c r="D184" s="44"/>
      <c r="E184" s="44"/>
      <c r="F184" s="47"/>
      <c r="G184" s="47"/>
      <c r="H184" s="45"/>
      <c r="I184" s="62"/>
      <c r="J184" s="45"/>
      <c r="K184" s="45"/>
      <c r="L184" s="46"/>
      <c r="M184" s="47"/>
      <c r="N184" s="46"/>
      <c r="O184" s="46"/>
      <c r="P184" s="47"/>
      <c r="Q184" s="46"/>
      <c r="R184" s="46"/>
      <c r="S184" s="48"/>
      <c r="T184" s="68" t="str">
        <f>IF(Tableau1[[#This Row],[DMS_SAP]]="","",HYPERLINK(Tableau1[[#This Row],[Chemin fichier source]],"X"))</f>
        <v/>
      </c>
      <c r="U184" s="68" t="str">
        <f>IF(Tableau1[[#This Row],[Date rév.]]="","",HYPERLINK(Tableau1[[#This Row],[Lien document]],"X"))</f>
        <v/>
      </c>
      <c r="V184" s="47"/>
      <c r="W18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84" s="47"/>
      <c r="Y184" s="47"/>
      <c r="Z184" s="44" t="str">
        <f ca="1">IF(AND(Tableau1[[#This Row],[Charge]]&lt;&gt;0, Tableau1[[#This Row],[Nombre intervenants]]&lt;&gt;0,Tableau1[[#This Row],[Lien document]]&lt;&gt;0,Tableau1[[#This Row],[DMS_SAP]]&lt;&gt;0)=TRUE,"MIS A JOUR","")</f>
        <v/>
      </c>
      <c r="AA184" s="48"/>
      <c r="AB184" s="65" t="str">
        <f ca="1">IF(Tableau1[[#This Row],[Date rév.]]&lt;&gt;"", DAYS360(Tableau1[[#This Row],[Date rév.]],TODAY()),"")</f>
        <v/>
      </c>
      <c r="AC184" s="50" t="str">
        <f>IFERROR(INDEX(Chemin_accès!$B$11:$C$22,MATCH(Tableau1[[#This Row],[Type]],Chemin_accès!$C$11:$C$22,0),1),Chemin_accès!$B$11)</f>
        <v>\\stjn.local\trimet\Btechnique\Commun\Atelier Central mécanique\Plan entretien\Modèles préventif\GammeDMS_7.MENG.xlsm</v>
      </c>
      <c r="AD184" s="50" t="str">
        <f>Chemin_accès!$B$8&amp;Tableau1[[#This Row],[Localisation / Classement]]&amp;"\"&amp;Tableau1[[#This Row],[Poste technique ou N° d''équipement]]&amp;"_"&amp;Tableau1[[#This Row],[Plan Entretien]]&amp;".xlsm"</f>
        <v>\\stjn.local\trimet\Btechnique\Commun\Atelier Central mécanique\Plan entretien\GammeEntretien\\_.xlsm</v>
      </c>
    </row>
    <row r="185" spans="1:30" x14ac:dyDescent="0.3">
      <c r="A185" s="44" t="str">
        <f t="shared" ca="1" si="2"/>
        <v>7.MENG</v>
      </c>
      <c r="B18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85" s="46"/>
      <c r="D185" s="44"/>
      <c r="E185" s="44"/>
      <c r="F185" s="47"/>
      <c r="G185" s="47"/>
      <c r="H185" s="45"/>
      <c r="I185" s="62"/>
      <c r="J185" s="45"/>
      <c r="K185" s="45"/>
      <c r="L185" s="46"/>
      <c r="M185" s="47"/>
      <c r="N185" s="46"/>
      <c r="O185" s="46"/>
      <c r="P185" s="47"/>
      <c r="Q185" s="46"/>
      <c r="R185" s="46"/>
      <c r="S185" s="48"/>
      <c r="T185" s="68" t="str">
        <f>IF(Tableau1[[#This Row],[DMS_SAP]]="","",HYPERLINK(Tableau1[[#This Row],[Chemin fichier source]],"X"))</f>
        <v/>
      </c>
      <c r="U185" s="68" t="str">
        <f>IF(Tableau1[[#This Row],[Date rév.]]="","",HYPERLINK(Tableau1[[#This Row],[Lien document]],"X"))</f>
        <v/>
      </c>
      <c r="V185" s="47"/>
      <c r="W18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85" s="47"/>
      <c r="Y185" s="47"/>
      <c r="Z185" s="44" t="str">
        <f ca="1">IF(AND(Tableau1[[#This Row],[Charge]]&lt;&gt;0, Tableau1[[#This Row],[Nombre intervenants]]&lt;&gt;0,Tableau1[[#This Row],[Lien document]]&lt;&gt;0,Tableau1[[#This Row],[DMS_SAP]]&lt;&gt;0)=TRUE,"MIS A JOUR","")</f>
        <v/>
      </c>
      <c r="AA185" s="48"/>
      <c r="AB185" s="65" t="str">
        <f ca="1">IF(Tableau1[[#This Row],[Date rév.]]&lt;&gt;"", DAYS360(Tableau1[[#This Row],[Date rév.]],TODAY()),"")</f>
        <v/>
      </c>
      <c r="AC185" s="50" t="str">
        <f>IFERROR(INDEX(Chemin_accès!$B$11:$C$22,MATCH(Tableau1[[#This Row],[Type]],Chemin_accès!$C$11:$C$22,0),1),Chemin_accès!$B$11)</f>
        <v>\\stjn.local\trimet\Btechnique\Commun\Atelier Central mécanique\Plan entretien\Modèles préventif\GammeDMS_7.MENG.xlsm</v>
      </c>
      <c r="AD185" s="50" t="str">
        <f>Chemin_accès!$B$8&amp;Tableau1[[#This Row],[Localisation / Classement]]&amp;"\"&amp;Tableau1[[#This Row],[Poste technique ou N° d''équipement]]&amp;"_"&amp;Tableau1[[#This Row],[Plan Entretien]]&amp;".xlsm"</f>
        <v>\\stjn.local\trimet\Btechnique\Commun\Atelier Central mécanique\Plan entretien\GammeEntretien\\_.xlsm</v>
      </c>
    </row>
    <row r="186" spans="1:30" x14ac:dyDescent="0.3">
      <c r="A186" s="44" t="str">
        <f t="shared" ca="1" si="2"/>
        <v>7.MENG</v>
      </c>
      <c r="B18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86" s="46"/>
      <c r="D186" s="44"/>
      <c r="E186" s="44"/>
      <c r="F186" s="47"/>
      <c r="G186" s="47"/>
      <c r="H186" s="45"/>
      <c r="I186" s="62"/>
      <c r="J186" s="45"/>
      <c r="K186" s="45"/>
      <c r="L186" s="46"/>
      <c r="M186" s="47"/>
      <c r="N186" s="46"/>
      <c r="O186" s="46"/>
      <c r="P186" s="47"/>
      <c r="Q186" s="46"/>
      <c r="R186" s="46"/>
      <c r="S186" s="48"/>
      <c r="T186" s="68" t="str">
        <f>IF(Tableau1[[#This Row],[DMS_SAP]]="","",HYPERLINK(Tableau1[[#This Row],[Chemin fichier source]],"X"))</f>
        <v/>
      </c>
      <c r="U186" s="68" t="str">
        <f>IF(Tableau1[[#This Row],[Date rév.]]="","",HYPERLINK(Tableau1[[#This Row],[Lien document]],"X"))</f>
        <v/>
      </c>
      <c r="V186" s="47"/>
      <c r="W18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86" s="47"/>
      <c r="Y186" s="47"/>
      <c r="Z186" s="44" t="str">
        <f ca="1">IF(AND(Tableau1[[#This Row],[Charge]]&lt;&gt;0, Tableau1[[#This Row],[Nombre intervenants]]&lt;&gt;0,Tableau1[[#This Row],[Lien document]]&lt;&gt;0,Tableau1[[#This Row],[DMS_SAP]]&lt;&gt;0)=TRUE,"MIS A JOUR","")</f>
        <v/>
      </c>
      <c r="AA186" s="48"/>
      <c r="AB186" s="65" t="str">
        <f ca="1">IF(Tableau1[[#This Row],[Date rév.]]&lt;&gt;"", DAYS360(Tableau1[[#This Row],[Date rév.]],TODAY()),"")</f>
        <v/>
      </c>
      <c r="AC186" s="50" t="str">
        <f>IFERROR(INDEX(Chemin_accès!$B$11:$C$22,MATCH(Tableau1[[#This Row],[Type]],Chemin_accès!$C$11:$C$22,0),1),Chemin_accès!$B$11)</f>
        <v>\\stjn.local\trimet\Btechnique\Commun\Atelier Central mécanique\Plan entretien\Modèles préventif\GammeDMS_7.MENG.xlsm</v>
      </c>
      <c r="AD186" s="50" t="str">
        <f>Chemin_accès!$B$8&amp;Tableau1[[#This Row],[Localisation / Classement]]&amp;"\"&amp;Tableau1[[#This Row],[Poste technique ou N° d''équipement]]&amp;"_"&amp;Tableau1[[#This Row],[Plan Entretien]]&amp;".xlsm"</f>
        <v>\\stjn.local\trimet\Btechnique\Commun\Atelier Central mécanique\Plan entretien\GammeEntretien\\_.xlsm</v>
      </c>
    </row>
    <row r="187" spans="1:30" x14ac:dyDescent="0.3">
      <c r="A187" s="44" t="str">
        <f t="shared" ca="1" si="2"/>
        <v>7.MENG</v>
      </c>
      <c r="B18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87" s="46"/>
      <c r="D187" s="44"/>
      <c r="E187" s="44"/>
      <c r="F187" s="47"/>
      <c r="G187" s="47"/>
      <c r="H187" s="45"/>
      <c r="I187" s="62"/>
      <c r="J187" s="45"/>
      <c r="K187" s="45"/>
      <c r="L187" s="46"/>
      <c r="M187" s="47"/>
      <c r="N187" s="46"/>
      <c r="O187" s="46"/>
      <c r="P187" s="47"/>
      <c r="Q187" s="46"/>
      <c r="R187" s="46"/>
      <c r="S187" s="48"/>
      <c r="T187" s="68" t="str">
        <f>IF(Tableau1[[#This Row],[DMS_SAP]]="","",HYPERLINK(Tableau1[[#This Row],[Chemin fichier source]],"X"))</f>
        <v/>
      </c>
      <c r="U187" s="68" t="str">
        <f>IF(Tableau1[[#This Row],[Date rév.]]="","",HYPERLINK(Tableau1[[#This Row],[Lien document]],"X"))</f>
        <v/>
      </c>
      <c r="V187" s="47"/>
      <c r="W18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87" s="47"/>
      <c r="Y187" s="47"/>
      <c r="Z187" s="44" t="str">
        <f ca="1">IF(AND(Tableau1[[#This Row],[Charge]]&lt;&gt;0, Tableau1[[#This Row],[Nombre intervenants]]&lt;&gt;0,Tableau1[[#This Row],[Lien document]]&lt;&gt;0,Tableau1[[#This Row],[DMS_SAP]]&lt;&gt;0)=TRUE,"MIS A JOUR","")</f>
        <v/>
      </c>
      <c r="AA187" s="48"/>
      <c r="AB187" s="65" t="str">
        <f ca="1">IF(Tableau1[[#This Row],[Date rév.]]&lt;&gt;"", DAYS360(Tableau1[[#This Row],[Date rév.]],TODAY()),"")</f>
        <v/>
      </c>
      <c r="AC187" s="50" t="str">
        <f>IFERROR(INDEX(Chemin_accès!$B$11:$C$22,MATCH(Tableau1[[#This Row],[Type]],Chemin_accès!$C$11:$C$22,0),1),Chemin_accès!$B$11)</f>
        <v>\\stjn.local\trimet\Btechnique\Commun\Atelier Central mécanique\Plan entretien\Modèles préventif\GammeDMS_7.MENG.xlsm</v>
      </c>
      <c r="AD187" s="50" t="str">
        <f>Chemin_accès!$B$8&amp;Tableau1[[#This Row],[Localisation / Classement]]&amp;"\"&amp;Tableau1[[#This Row],[Poste technique ou N° d''équipement]]&amp;"_"&amp;Tableau1[[#This Row],[Plan Entretien]]&amp;".xlsm"</f>
        <v>\\stjn.local\trimet\Btechnique\Commun\Atelier Central mécanique\Plan entretien\GammeEntretien\\_.xlsm</v>
      </c>
    </row>
    <row r="188" spans="1:30" x14ac:dyDescent="0.3">
      <c r="A188" s="44" t="str">
        <f t="shared" ca="1" si="2"/>
        <v>7.MENG</v>
      </c>
      <c r="B18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88" s="46"/>
      <c r="D188" s="44"/>
      <c r="E188" s="44"/>
      <c r="F188" s="47"/>
      <c r="G188" s="47"/>
      <c r="H188" s="45"/>
      <c r="I188" s="62"/>
      <c r="J188" s="45"/>
      <c r="K188" s="45"/>
      <c r="L188" s="46"/>
      <c r="M188" s="47"/>
      <c r="N188" s="46"/>
      <c r="O188" s="46"/>
      <c r="P188" s="47"/>
      <c r="Q188" s="46"/>
      <c r="R188" s="46"/>
      <c r="S188" s="48"/>
      <c r="T188" s="68" t="str">
        <f>IF(Tableau1[[#This Row],[DMS_SAP]]="","",HYPERLINK(Tableau1[[#This Row],[Chemin fichier source]],"X"))</f>
        <v/>
      </c>
      <c r="U188" s="68" t="str">
        <f>IF(Tableau1[[#This Row],[Date rév.]]="","",HYPERLINK(Tableau1[[#This Row],[Lien document]],"X"))</f>
        <v/>
      </c>
      <c r="V188" s="47"/>
      <c r="W18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88" s="47"/>
      <c r="Y188" s="47"/>
      <c r="Z188" s="44" t="str">
        <f ca="1">IF(AND(Tableau1[[#This Row],[Charge]]&lt;&gt;0, Tableau1[[#This Row],[Nombre intervenants]]&lt;&gt;0,Tableau1[[#This Row],[Lien document]]&lt;&gt;0,Tableau1[[#This Row],[DMS_SAP]]&lt;&gt;0)=TRUE,"MIS A JOUR","")</f>
        <v/>
      </c>
      <c r="AA188" s="48"/>
      <c r="AB188" s="65" t="str">
        <f ca="1">IF(Tableau1[[#This Row],[Date rév.]]&lt;&gt;"", DAYS360(Tableau1[[#This Row],[Date rév.]],TODAY()),"")</f>
        <v/>
      </c>
      <c r="AC188" s="50" t="str">
        <f>IFERROR(INDEX(Chemin_accès!$B$11:$C$22,MATCH(Tableau1[[#This Row],[Type]],Chemin_accès!$C$11:$C$22,0),1),Chemin_accès!$B$11)</f>
        <v>\\stjn.local\trimet\Btechnique\Commun\Atelier Central mécanique\Plan entretien\Modèles préventif\GammeDMS_7.MENG.xlsm</v>
      </c>
      <c r="AD188" s="50" t="str">
        <f>Chemin_accès!$B$8&amp;Tableau1[[#This Row],[Localisation / Classement]]&amp;"\"&amp;Tableau1[[#This Row],[Poste technique ou N° d''équipement]]&amp;"_"&amp;Tableau1[[#This Row],[Plan Entretien]]&amp;".xlsm"</f>
        <v>\\stjn.local\trimet\Btechnique\Commun\Atelier Central mécanique\Plan entretien\GammeEntretien\\_.xlsm</v>
      </c>
    </row>
    <row r="189" spans="1:30" x14ac:dyDescent="0.3">
      <c r="A189" s="44" t="str">
        <f t="shared" ca="1" si="2"/>
        <v>7.MENG</v>
      </c>
      <c r="B18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89" s="46"/>
      <c r="D189" s="44"/>
      <c r="E189" s="44"/>
      <c r="F189" s="47"/>
      <c r="G189" s="47"/>
      <c r="H189" s="45"/>
      <c r="I189" s="62"/>
      <c r="J189" s="45"/>
      <c r="K189" s="45"/>
      <c r="L189" s="46"/>
      <c r="M189" s="47"/>
      <c r="N189" s="46"/>
      <c r="O189" s="46"/>
      <c r="P189" s="47"/>
      <c r="Q189" s="46"/>
      <c r="R189" s="46"/>
      <c r="S189" s="48"/>
      <c r="T189" s="68" t="str">
        <f>IF(Tableau1[[#This Row],[DMS_SAP]]="","",HYPERLINK(Tableau1[[#This Row],[Chemin fichier source]],"X"))</f>
        <v/>
      </c>
      <c r="U189" s="68" t="str">
        <f>IF(Tableau1[[#This Row],[Date rév.]]="","",HYPERLINK(Tableau1[[#This Row],[Lien document]],"X"))</f>
        <v/>
      </c>
      <c r="V189" s="47"/>
      <c r="W18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89" s="47"/>
      <c r="Y189" s="47"/>
      <c r="Z189" s="44" t="str">
        <f ca="1">IF(AND(Tableau1[[#This Row],[Charge]]&lt;&gt;0, Tableau1[[#This Row],[Nombre intervenants]]&lt;&gt;0,Tableau1[[#This Row],[Lien document]]&lt;&gt;0,Tableau1[[#This Row],[DMS_SAP]]&lt;&gt;0)=TRUE,"MIS A JOUR","")</f>
        <v/>
      </c>
      <c r="AA189" s="48"/>
      <c r="AB189" s="65" t="str">
        <f ca="1">IF(Tableau1[[#This Row],[Date rév.]]&lt;&gt;"", DAYS360(Tableau1[[#This Row],[Date rév.]],TODAY()),"")</f>
        <v/>
      </c>
      <c r="AC189" s="50" t="str">
        <f>IFERROR(INDEX(Chemin_accès!$B$11:$C$22,MATCH(Tableau1[[#This Row],[Type]],Chemin_accès!$C$11:$C$22,0),1),Chemin_accès!$B$11)</f>
        <v>\\stjn.local\trimet\Btechnique\Commun\Atelier Central mécanique\Plan entretien\Modèles préventif\GammeDMS_7.MENG.xlsm</v>
      </c>
      <c r="AD189" s="50" t="str">
        <f>Chemin_accès!$B$8&amp;Tableau1[[#This Row],[Localisation / Classement]]&amp;"\"&amp;Tableau1[[#This Row],[Poste technique ou N° d''équipement]]&amp;"_"&amp;Tableau1[[#This Row],[Plan Entretien]]&amp;".xlsm"</f>
        <v>\\stjn.local\trimet\Btechnique\Commun\Atelier Central mécanique\Plan entretien\GammeEntretien\\_.xlsm</v>
      </c>
    </row>
    <row r="190" spans="1:30" x14ac:dyDescent="0.3">
      <c r="A190" s="44" t="str">
        <f t="shared" ca="1" si="2"/>
        <v>7.MENG</v>
      </c>
      <c r="B19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90" s="46"/>
      <c r="D190" s="44"/>
      <c r="E190" s="44"/>
      <c r="F190" s="47"/>
      <c r="G190" s="47"/>
      <c r="H190" s="45"/>
      <c r="I190" s="62"/>
      <c r="J190" s="45"/>
      <c r="K190" s="45"/>
      <c r="L190" s="46"/>
      <c r="M190" s="47"/>
      <c r="N190" s="46"/>
      <c r="O190" s="46"/>
      <c r="P190" s="47"/>
      <c r="Q190" s="46"/>
      <c r="R190" s="46"/>
      <c r="S190" s="48"/>
      <c r="T190" s="68" t="str">
        <f>IF(Tableau1[[#This Row],[DMS_SAP]]="","",HYPERLINK(Tableau1[[#This Row],[Chemin fichier source]],"X"))</f>
        <v/>
      </c>
      <c r="U190" s="68" t="str">
        <f>IF(Tableau1[[#This Row],[Date rév.]]="","",HYPERLINK(Tableau1[[#This Row],[Lien document]],"X"))</f>
        <v/>
      </c>
      <c r="V190" s="47"/>
      <c r="W19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90" s="47"/>
      <c r="Y190" s="47"/>
      <c r="Z190" s="44" t="str">
        <f ca="1">IF(AND(Tableau1[[#This Row],[Charge]]&lt;&gt;0, Tableau1[[#This Row],[Nombre intervenants]]&lt;&gt;0,Tableau1[[#This Row],[Lien document]]&lt;&gt;0,Tableau1[[#This Row],[DMS_SAP]]&lt;&gt;0)=TRUE,"MIS A JOUR","")</f>
        <v/>
      </c>
      <c r="AA190" s="48"/>
      <c r="AB190" s="65" t="str">
        <f ca="1">IF(Tableau1[[#This Row],[Date rév.]]&lt;&gt;"", DAYS360(Tableau1[[#This Row],[Date rév.]],TODAY()),"")</f>
        <v/>
      </c>
      <c r="AC190" s="50" t="str">
        <f>IFERROR(INDEX(Chemin_accès!$B$11:$C$22,MATCH(Tableau1[[#This Row],[Type]],Chemin_accès!$C$11:$C$22,0),1),Chemin_accès!$B$11)</f>
        <v>\\stjn.local\trimet\Btechnique\Commun\Atelier Central mécanique\Plan entretien\Modèles préventif\GammeDMS_7.MENG.xlsm</v>
      </c>
      <c r="AD190" s="50" t="str">
        <f>Chemin_accès!$B$8&amp;Tableau1[[#This Row],[Localisation / Classement]]&amp;"\"&amp;Tableau1[[#This Row],[Poste technique ou N° d''équipement]]&amp;"_"&amp;Tableau1[[#This Row],[Plan Entretien]]&amp;".xlsm"</f>
        <v>\\stjn.local\trimet\Btechnique\Commun\Atelier Central mécanique\Plan entretien\GammeEntretien\\_.xlsm</v>
      </c>
    </row>
    <row r="191" spans="1:30" x14ac:dyDescent="0.3">
      <c r="A191" s="44" t="str">
        <f t="shared" ca="1" si="2"/>
        <v>7.MENG</v>
      </c>
      <c r="B19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91" s="46"/>
      <c r="D191" s="44"/>
      <c r="E191" s="44"/>
      <c r="F191" s="47"/>
      <c r="G191" s="47"/>
      <c r="H191" s="45"/>
      <c r="I191" s="62"/>
      <c r="J191" s="45"/>
      <c r="K191" s="45"/>
      <c r="L191" s="46"/>
      <c r="M191" s="47"/>
      <c r="N191" s="46"/>
      <c r="O191" s="46"/>
      <c r="P191" s="47"/>
      <c r="Q191" s="46"/>
      <c r="R191" s="46"/>
      <c r="S191" s="48"/>
      <c r="T191" s="68" t="str">
        <f>IF(Tableau1[[#This Row],[DMS_SAP]]="","",HYPERLINK(Tableau1[[#This Row],[Chemin fichier source]],"X"))</f>
        <v/>
      </c>
      <c r="U191" s="68" t="str">
        <f>IF(Tableau1[[#This Row],[Date rév.]]="","",HYPERLINK(Tableau1[[#This Row],[Lien document]],"X"))</f>
        <v/>
      </c>
      <c r="V191" s="47"/>
      <c r="W19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91" s="47"/>
      <c r="Y191" s="47"/>
      <c r="Z191" s="44" t="str">
        <f ca="1">IF(AND(Tableau1[[#This Row],[Charge]]&lt;&gt;0, Tableau1[[#This Row],[Nombre intervenants]]&lt;&gt;0,Tableau1[[#This Row],[Lien document]]&lt;&gt;0,Tableau1[[#This Row],[DMS_SAP]]&lt;&gt;0)=TRUE,"MIS A JOUR","")</f>
        <v/>
      </c>
      <c r="AA191" s="48"/>
      <c r="AB191" s="65" t="str">
        <f ca="1">IF(Tableau1[[#This Row],[Date rév.]]&lt;&gt;"", DAYS360(Tableau1[[#This Row],[Date rév.]],TODAY()),"")</f>
        <v/>
      </c>
      <c r="AC191" s="50" t="str">
        <f>IFERROR(INDEX(Chemin_accès!$B$11:$C$22,MATCH(Tableau1[[#This Row],[Type]],Chemin_accès!$C$11:$C$22,0),1),Chemin_accès!$B$11)</f>
        <v>\\stjn.local\trimet\Btechnique\Commun\Atelier Central mécanique\Plan entretien\Modèles préventif\GammeDMS_7.MENG.xlsm</v>
      </c>
      <c r="AD191" s="50" t="str">
        <f>Chemin_accès!$B$8&amp;Tableau1[[#This Row],[Localisation / Classement]]&amp;"\"&amp;Tableau1[[#This Row],[Poste technique ou N° d''équipement]]&amp;"_"&amp;Tableau1[[#This Row],[Plan Entretien]]&amp;".xlsm"</f>
        <v>\\stjn.local\trimet\Btechnique\Commun\Atelier Central mécanique\Plan entretien\GammeEntretien\\_.xlsm</v>
      </c>
    </row>
    <row r="192" spans="1:30" x14ac:dyDescent="0.3">
      <c r="A192" s="44" t="str">
        <f t="shared" ca="1" si="2"/>
        <v>7.MENG</v>
      </c>
      <c r="B19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92" s="46"/>
      <c r="D192" s="44"/>
      <c r="E192" s="44"/>
      <c r="F192" s="47"/>
      <c r="G192" s="47"/>
      <c r="H192" s="45"/>
      <c r="I192" s="62"/>
      <c r="J192" s="45"/>
      <c r="K192" s="45"/>
      <c r="L192" s="46"/>
      <c r="M192" s="47"/>
      <c r="N192" s="46"/>
      <c r="O192" s="46"/>
      <c r="P192" s="47"/>
      <c r="Q192" s="46"/>
      <c r="R192" s="46"/>
      <c r="S192" s="48"/>
      <c r="T192" s="68" t="str">
        <f>IF(Tableau1[[#This Row],[DMS_SAP]]="","",HYPERLINK(Tableau1[[#This Row],[Chemin fichier source]],"X"))</f>
        <v/>
      </c>
      <c r="U192" s="68" t="str">
        <f>IF(Tableau1[[#This Row],[Date rév.]]="","",HYPERLINK(Tableau1[[#This Row],[Lien document]],"X"))</f>
        <v/>
      </c>
      <c r="V192" s="47"/>
      <c r="W19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92" s="47"/>
      <c r="Y192" s="47"/>
      <c r="Z192" s="44" t="str">
        <f ca="1">IF(AND(Tableau1[[#This Row],[Charge]]&lt;&gt;0, Tableau1[[#This Row],[Nombre intervenants]]&lt;&gt;0,Tableau1[[#This Row],[Lien document]]&lt;&gt;0,Tableau1[[#This Row],[DMS_SAP]]&lt;&gt;0)=TRUE,"MIS A JOUR","")</f>
        <v/>
      </c>
      <c r="AA192" s="48"/>
      <c r="AB192" s="65" t="str">
        <f ca="1">IF(Tableau1[[#This Row],[Date rév.]]&lt;&gt;"", DAYS360(Tableau1[[#This Row],[Date rév.]],TODAY()),"")</f>
        <v/>
      </c>
      <c r="AC192" s="50" t="str">
        <f>IFERROR(INDEX(Chemin_accès!$B$11:$C$22,MATCH(Tableau1[[#This Row],[Type]],Chemin_accès!$C$11:$C$22,0),1),Chemin_accès!$B$11)</f>
        <v>\\stjn.local\trimet\Btechnique\Commun\Atelier Central mécanique\Plan entretien\Modèles préventif\GammeDMS_7.MENG.xlsm</v>
      </c>
      <c r="AD192" s="50" t="str">
        <f>Chemin_accès!$B$8&amp;Tableau1[[#This Row],[Localisation / Classement]]&amp;"\"&amp;Tableau1[[#This Row],[Poste technique ou N° d''équipement]]&amp;"_"&amp;Tableau1[[#This Row],[Plan Entretien]]&amp;".xlsm"</f>
        <v>\\stjn.local\trimet\Btechnique\Commun\Atelier Central mécanique\Plan entretien\GammeEntretien\\_.xlsm</v>
      </c>
    </row>
    <row r="193" spans="1:30" x14ac:dyDescent="0.3">
      <c r="A193" s="44" t="str">
        <f t="shared" ref="A193:A256" ca="1" si="3">MID(CELL("filename",$A$1),FIND("]",CELL("filename",$A$1))+1,32)</f>
        <v>7.MENG</v>
      </c>
      <c r="B19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93" s="46"/>
      <c r="D193" s="44"/>
      <c r="E193" s="44"/>
      <c r="F193" s="47"/>
      <c r="G193" s="47"/>
      <c r="H193" s="45"/>
      <c r="I193" s="62"/>
      <c r="J193" s="45"/>
      <c r="K193" s="45"/>
      <c r="L193" s="46"/>
      <c r="M193" s="47"/>
      <c r="N193" s="46"/>
      <c r="O193" s="46"/>
      <c r="P193" s="47"/>
      <c r="Q193" s="46"/>
      <c r="R193" s="46"/>
      <c r="S193" s="48"/>
      <c r="T193" s="68" t="str">
        <f>IF(Tableau1[[#This Row],[DMS_SAP]]="","",HYPERLINK(Tableau1[[#This Row],[Chemin fichier source]],"X"))</f>
        <v/>
      </c>
      <c r="U193" s="68" t="str">
        <f>IF(Tableau1[[#This Row],[Date rév.]]="","",HYPERLINK(Tableau1[[#This Row],[Lien document]],"X"))</f>
        <v/>
      </c>
      <c r="V193" s="47"/>
      <c r="W19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93" s="47"/>
      <c r="Y193" s="47"/>
      <c r="Z193" s="44" t="str">
        <f ca="1">IF(AND(Tableau1[[#This Row],[Charge]]&lt;&gt;0, Tableau1[[#This Row],[Nombre intervenants]]&lt;&gt;0,Tableau1[[#This Row],[Lien document]]&lt;&gt;0,Tableau1[[#This Row],[DMS_SAP]]&lt;&gt;0)=TRUE,"MIS A JOUR","")</f>
        <v/>
      </c>
      <c r="AA193" s="48"/>
      <c r="AB193" s="65" t="str">
        <f ca="1">IF(Tableau1[[#This Row],[Date rév.]]&lt;&gt;"", DAYS360(Tableau1[[#This Row],[Date rév.]],TODAY()),"")</f>
        <v/>
      </c>
      <c r="AC193" s="50" t="str">
        <f>IFERROR(INDEX(Chemin_accès!$B$11:$C$22,MATCH(Tableau1[[#This Row],[Type]],Chemin_accès!$C$11:$C$22,0),1),Chemin_accès!$B$11)</f>
        <v>\\stjn.local\trimet\Btechnique\Commun\Atelier Central mécanique\Plan entretien\Modèles préventif\GammeDMS_7.MENG.xlsm</v>
      </c>
      <c r="AD193" s="50" t="str">
        <f>Chemin_accès!$B$8&amp;Tableau1[[#This Row],[Localisation / Classement]]&amp;"\"&amp;Tableau1[[#This Row],[Poste technique ou N° d''équipement]]&amp;"_"&amp;Tableau1[[#This Row],[Plan Entretien]]&amp;".xlsm"</f>
        <v>\\stjn.local\trimet\Btechnique\Commun\Atelier Central mécanique\Plan entretien\GammeEntretien\\_.xlsm</v>
      </c>
    </row>
    <row r="194" spans="1:30" x14ac:dyDescent="0.3">
      <c r="A194" s="44" t="str">
        <f t="shared" ca="1" si="3"/>
        <v>7.MENG</v>
      </c>
      <c r="B19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94" s="46"/>
      <c r="D194" s="44"/>
      <c r="E194" s="44"/>
      <c r="F194" s="47"/>
      <c r="G194" s="47"/>
      <c r="H194" s="45"/>
      <c r="I194" s="62"/>
      <c r="J194" s="45"/>
      <c r="K194" s="45"/>
      <c r="L194" s="46"/>
      <c r="M194" s="47"/>
      <c r="N194" s="46"/>
      <c r="O194" s="46"/>
      <c r="P194" s="47"/>
      <c r="Q194" s="46"/>
      <c r="R194" s="46"/>
      <c r="S194" s="48"/>
      <c r="T194" s="68" t="str">
        <f>IF(Tableau1[[#This Row],[DMS_SAP]]="","",HYPERLINK(Tableau1[[#This Row],[Chemin fichier source]],"X"))</f>
        <v/>
      </c>
      <c r="U194" s="68" t="str">
        <f>IF(Tableau1[[#This Row],[Date rév.]]="","",HYPERLINK(Tableau1[[#This Row],[Lien document]],"X"))</f>
        <v/>
      </c>
      <c r="V194" s="47"/>
      <c r="W19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94" s="47"/>
      <c r="Y194" s="47"/>
      <c r="Z194" s="44" t="str">
        <f ca="1">IF(AND(Tableau1[[#This Row],[Charge]]&lt;&gt;0, Tableau1[[#This Row],[Nombre intervenants]]&lt;&gt;0,Tableau1[[#This Row],[Lien document]]&lt;&gt;0,Tableau1[[#This Row],[DMS_SAP]]&lt;&gt;0)=TRUE,"MIS A JOUR","")</f>
        <v/>
      </c>
      <c r="AA194" s="48"/>
      <c r="AB194" s="65" t="str">
        <f ca="1">IF(Tableau1[[#This Row],[Date rév.]]&lt;&gt;"", DAYS360(Tableau1[[#This Row],[Date rév.]],TODAY()),"")</f>
        <v/>
      </c>
      <c r="AC194" s="50" t="str">
        <f>IFERROR(INDEX(Chemin_accès!$B$11:$C$22,MATCH(Tableau1[[#This Row],[Type]],Chemin_accès!$C$11:$C$22,0),1),Chemin_accès!$B$11)</f>
        <v>\\stjn.local\trimet\Btechnique\Commun\Atelier Central mécanique\Plan entretien\Modèles préventif\GammeDMS_7.MENG.xlsm</v>
      </c>
      <c r="AD194" s="50" t="str">
        <f>Chemin_accès!$B$8&amp;Tableau1[[#This Row],[Localisation / Classement]]&amp;"\"&amp;Tableau1[[#This Row],[Poste technique ou N° d''équipement]]&amp;"_"&amp;Tableau1[[#This Row],[Plan Entretien]]&amp;".xlsm"</f>
        <v>\\stjn.local\trimet\Btechnique\Commun\Atelier Central mécanique\Plan entretien\GammeEntretien\\_.xlsm</v>
      </c>
    </row>
    <row r="195" spans="1:30" x14ac:dyDescent="0.3">
      <c r="A195" s="44" t="str">
        <f t="shared" ca="1" si="3"/>
        <v>7.MENG</v>
      </c>
      <c r="B19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95" s="46"/>
      <c r="D195" s="44"/>
      <c r="E195" s="44"/>
      <c r="F195" s="47"/>
      <c r="G195" s="47"/>
      <c r="H195" s="45"/>
      <c r="I195" s="62"/>
      <c r="J195" s="45"/>
      <c r="K195" s="45"/>
      <c r="L195" s="46"/>
      <c r="M195" s="47"/>
      <c r="N195" s="46"/>
      <c r="O195" s="46"/>
      <c r="P195" s="47"/>
      <c r="Q195" s="46"/>
      <c r="R195" s="46"/>
      <c r="S195" s="48"/>
      <c r="T195" s="68" t="str">
        <f>IF(Tableau1[[#This Row],[DMS_SAP]]="","",HYPERLINK(Tableau1[[#This Row],[Chemin fichier source]],"X"))</f>
        <v/>
      </c>
      <c r="U195" s="68" t="str">
        <f>IF(Tableau1[[#This Row],[Date rév.]]="","",HYPERLINK(Tableau1[[#This Row],[Lien document]],"X"))</f>
        <v/>
      </c>
      <c r="V195" s="47"/>
      <c r="W19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95" s="47"/>
      <c r="Y195" s="47"/>
      <c r="Z195" s="44" t="str">
        <f ca="1">IF(AND(Tableau1[[#This Row],[Charge]]&lt;&gt;0, Tableau1[[#This Row],[Nombre intervenants]]&lt;&gt;0,Tableau1[[#This Row],[Lien document]]&lt;&gt;0,Tableau1[[#This Row],[DMS_SAP]]&lt;&gt;0)=TRUE,"MIS A JOUR","")</f>
        <v/>
      </c>
      <c r="AA195" s="48"/>
      <c r="AB195" s="65" t="str">
        <f ca="1">IF(Tableau1[[#This Row],[Date rév.]]&lt;&gt;"", DAYS360(Tableau1[[#This Row],[Date rév.]],TODAY()),"")</f>
        <v/>
      </c>
      <c r="AC195" s="50" t="str">
        <f>IFERROR(INDEX(Chemin_accès!$B$11:$C$22,MATCH(Tableau1[[#This Row],[Type]],Chemin_accès!$C$11:$C$22,0),1),Chemin_accès!$B$11)</f>
        <v>\\stjn.local\trimet\Btechnique\Commun\Atelier Central mécanique\Plan entretien\Modèles préventif\GammeDMS_7.MENG.xlsm</v>
      </c>
      <c r="AD195" s="50" t="str">
        <f>Chemin_accès!$B$8&amp;Tableau1[[#This Row],[Localisation / Classement]]&amp;"\"&amp;Tableau1[[#This Row],[Poste technique ou N° d''équipement]]&amp;"_"&amp;Tableau1[[#This Row],[Plan Entretien]]&amp;".xlsm"</f>
        <v>\\stjn.local\trimet\Btechnique\Commun\Atelier Central mécanique\Plan entretien\GammeEntretien\\_.xlsm</v>
      </c>
    </row>
    <row r="196" spans="1:30" x14ac:dyDescent="0.3">
      <c r="A196" s="44" t="str">
        <f t="shared" ca="1" si="3"/>
        <v>7.MENG</v>
      </c>
      <c r="B19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96" s="47"/>
      <c r="D196" s="44"/>
      <c r="E196" s="44"/>
      <c r="F196" s="47"/>
      <c r="G196" s="47"/>
      <c r="H196" s="45"/>
      <c r="I196" s="62"/>
      <c r="J196" s="45"/>
      <c r="K196" s="45"/>
      <c r="L196" s="46"/>
      <c r="M196" s="47"/>
      <c r="N196" s="46"/>
      <c r="O196" s="47"/>
      <c r="P196" s="47"/>
      <c r="Q196" s="46"/>
      <c r="R196" s="46"/>
      <c r="S196" s="48"/>
      <c r="T196" s="68" t="str">
        <f>IF(Tableau1[[#This Row],[DMS_SAP]]="","",HYPERLINK(Tableau1[[#This Row],[Chemin fichier source]],"X"))</f>
        <v/>
      </c>
      <c r="U196" s="68" t="str">
        <f>IF(Tableau1[[#This Row],[Date rév.]]="","",HYPERLINK(Tableau1[[#This Row],[Lien document]],"X"))</f>
        <v/>
      </c>
      <c r="V196" s="47"/>
      <c r="W196" s="54"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96" s="47"/>
      <c r="Y196" s="47"/>
      <c r="Z196" s="44" t="str">
        <f ca="1">IF(AND(Tableau1[[#This Row],[Charge]]&lt;&gt;0, Tableau1[[#This Row],[Nombre intervenants]]&lt;&gt;0,Tableau1[[#This Row],[Lien document]]&lt;&gt;0,Tableau1[[#This Row],[DMS_SAP]]&lt;&gt;0)=TRUE,"MIS A JOUR","")</f>
        <v/>
      </c>
      <c r="AA196" s="48"/>
      <c r="AB196" s="65" t="str">
        <f ca="1">IF(Tableau1[[#This Row],[Date rév.]]&lt;&gt;"", DAYS360(Tableau1[[#This Row],[Date rév.]],TODAY()),"")</f>
        <v/>
      </c>
      <c r="AC196" s="50" t="str">
        <f>IFERROR(INDEX(Chemin_accès!$B$11:$C$22,MATCH(Tableau1[[#This Row],[Type]],Chemin_accès!$C$11:$C$22,0),1),Chemin_accès!$B$11)</f>
        <v>\\stjn.local\trimet\Btechnique\Commun\Atelier Central mécanique\Plan entretien\Modèles préventif\GammeDMS_7.MENG.xlsm</v>
      </c>
      <c r="AD196" s="50" t="str">
        <f>Chemin_accès!$B$8&amp;Tableau1[[#This Row],[Localisation / Classement]]&amp;"\"&amp;Tableau1[[#This Row],[Poste technique ou N° d''équipement]]&amp;"_"&amp;Tableau1[[#This Row],[Plan Entretien]]&amp;".xlsm"</f>
        <v>\\stjn.local\trimet\Btechnique\Commun\Atelier Central mécanique\Plan entretien\GammeEntretien\\_.xlsm</v>
      </c>
    </row>
    <row r="197" spans="1:30" x14ac:dyDescent="0.3">
      <c r="A197" s="44" t="str">
        <f t="shared" ca="1" si="3"/>
        <v>7.MENG</v>
      </c>
      <c r="B19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97" s="47"/>
      <c r="D197" s="44"/>
      <c r="E197" s="44"/>
      <c r="F197" s="47"/>
      <c r="G197" s="47"/>
      <c r="H197" s="45"/>
      <c r="I197" s="62"/>
      <c r="J197" s="45"/>
      <c r="K197" s="45"/>
      <c r="L197" s="46"/>
      <c r="M197" s="47"/>
      <c r="N197" s="46"/>
      <c r="O197" s="47"/>
      <c r="P197" s="47"/>
      <c r="Q197" s="46"/>
      <c r="R197" s="46"/>
      <c r="S197" s="48"/>
      <c r="T197" s="68" t="str">
        <f>IF(Tableau1[[#This Row],[DMS_SAP]]="","",HYPERLINK(Tableau1[[#This Row],[Chemin fichier source]],"X"))</f>
        <v/>
      </c>
      <c r="U197" s="68" t="str">
        <f>IF(Tableau1[[#This Row],[Date rév.]]="","",HYPERLINK(Tableau1[[#This Row],[Lien document]],"X"))</f>
        <v/>
      </c>
      <c r="V197" s="47"/>
      <c r="W19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97" s="47"/>
      <c r="Y197" s="47"/>
      <c r="Z197" s="44" t="str">
        <f ca="1">IF(AND(Tableau1[[#This Row],[Charge]]&lt;&gt;0, Tableau1[[#This Row],[Nombre intervenants]]&lt;&gt;0,Tableau1[[#This Row],[Lien document]]&lt;&gt;0,Tableau1[[#This Row],[DMS_SAP]]&lt;&gt;0)=TRUE,"MIS A JOUR","")</f>
        <v/>
      </c>
      <c r="AA197" s="48"/>
      <c r="AB197" s="65" t="str">
        <f ca="1">IF(Tableau1[[#This Row],[Date rév.]]&lt;&gt;"", DAYS360(Tableau1[[#This Row],[Date rév.]],TODAY()),"")</f>
        <v/>
      </c>
      <c r="AC197" s="50" t="str">
        <f>IFERROR(INDEX(Chemin_accès!$B$11:$C$22,MATCH(Tableau1[[#This Row],[Type]],Chemin_accès!$C$11:$C$22,0),1),Chemin_accès!$B$11)</f>
        <v>\\stjn.local\trimet\Btechnique\Commun\Atelier Central mécanique\Plan entretien\Modèles préventif\GammeDMS_7.MENG.xlsm</v>
      </c>
      <c r="AD197" s="50" t="str">
        <f>Chemin_accès!$B$8&amp;Tableau1[[#This Row],[Localisation / Classement]]&amp;"\"&amp;Tableau1[[#This Row],[Poste technique ou N° d''équipement]]&amp;"_"&amp;Tableau1[[#This Row],[Plan Entretien]]&amp;".xlsm"</f>
        <v>\\stjn.local\trimet\Btechnique\Commun\Atelier Central mécanique\Plan entretien\GammeEntretien\\_.xlsm</v>
      </c>
    </row>
    <row r="198" spans="1:30" x14ac:dyDescent="0.3">
      <c r="A198" s="44" t="str">
        <f t="shared" ca="1" si="3"/>
        <v>7.MENG</v>
      </c>
      <c r="B19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98" s="47"/>
      <c r="D198" s="44"/>
      <c r="E198" s="44"/>
      <c r="F198" s="47"/>
      <c r="G198" s="47"/>
      <c r="H198" s="45"/>
      <c r="I198" s="62"/>
      <c r="J198" s="45"/>
      <c r="K198" s="45"/>
      <c r="L198" s="46"/>
      <c r="M198" s="47"/>
      <c r="N198" s="46"/>
      <c r="O198" s="47"/>
      <c r="P198" s="47"/>
      <c r="Q198" s="46"/>
      <c r="R198" s="46"/>
      <c r="S198" s="48"/>
      <c r="T198" s="68" t="str">
        <f>IF(Tableau1[[#This Row],[DMS_SAP]]="","",HYPERLINK(Tableau1[[#This Row],[Chemin fichier source]],"X"))</f>
        <v/>
      </c>
      <c r="U198" s="68" t="str">
        <f>IF(Tableau1[[#This Row],[Date rév.]]="","",HYPERLINK(Tableau1[[#This Row],[Lien document]],"X"))</f>
        <v/>
      </c>
      <c r="V198" s="47"/>
      <c r="W19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98" s="47"/>
      <c r="Y198" s="47"/>
      <c r="Z198" s="44" t="str">
        <f ca="1">IF(AND(Tableau1[[#This Row],[Charge]]&lt;&gt;0, Tableau1[[#This Row],[Nombre intervenants]]&lt;&gt;0,Tableau1[[#This Row],[Lien document]]&lt;&gt;0,Tableau1[[#This Row],[DMS_SAP]]&lt;&gt;0)=TRUE,"MIS A JOUR","")</f>
        <v/>
      </c>
      <c r="AA198" s="48"/>
      <c r="AB198" s="65" t="str">
        <f ca="1">IF(Tableau1[[#This Row],[Date rév.]]&lt;&gt;"", DAYS360(Tableau1[[#This Row],[Date rév.]],TODAY()),"")</f>
        <v/>
      </c>
      <c r="AC198" s="50" t="str">
        <f>IFERROR(INDEX(Chemin_accès!$B$11:$C$22,MATCH(Tableau1[[#This Row],[Type]],Chemin_accès!$C$11:$C$22,0),1),Chemin_accès!$B$11)</f>
        <v>\\stjn.local\trimet\Btechnique\Commun\Atelier Central mécanique\Plan entretien\Modèles préventif\GammeDMS_7.MENG.xlsm</v>
      </c>
      <c r="AD198" s="50" t="str">
        <f>Chemin_accès!$B$8&amp;Tableau1[[#This Row],[Localisation / Classement]]&amp;"\"&amp;Tableau1[[#This Row],[Poste technique ou N° d''équipement]]&amp;"_"&amp;Tableau1[[#This Row],[Plan Entretien]]&amp;".xlsm"</f>
        <v>\\stjn.local\trimet\Btechnique\Commun\Atelier Central mécanique\Plan entretien\GammeEntretien\\_.xlsm</v>
      </c>
    </row>
    <row r="199" spans="1:30" x14ac:dyDescent="0.3">
      <c r="A199" s="44" t="str">
        <f t="shared" ca="1" si="3"/>
        <v>7.MENG</v>
      </c>
      <c r="B19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99" s="47"/>
      <c r="D199" s="44"/>
      <c r="E199" s="44"/>
      <c r="F199" s="47"/>
      <c r="G199" s="47"/>
      <c r="H199" s="45"/>
      <c r="I199" s="62"/>
      <c r="J199" s="45"/>
      <c r="K199" s="45"/>
      <c r="L199" s="46"/>
      <c r="M199" s="47"/>
      <c r="N199" s="46"/>
      <c r="O199" s="47"/>
      <c r="P199" s="47"/>
      <c r="Q199" s="46"/>
      <c r="R199" s="46"/>
      <c r="S199" s="48"/>
      <c r="T199" s="68" t="str">
        <f>IF(Tableau1[[#This Row],[DMS_SAP]]="","",HYPERLINK(Tableau1[[#This Row],[Chemin fichier source]],"X"))</f>
        <v/>
      </c>
      <c r="U199" s="68" t="str">
        <f>IF(Tableau1[[#This Row],[Date rév.]]="","",HYPERLINK(Tableau1[[#This Row],[Lien document]],"X"))</f>
        <v/>
      </c>
      <c r="V199" s="47"/>
      <c r="W19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99" s="47"/>
      <c r="Y199" s="47"/>
      <c r="Z199" s="44" t="str">
        <f ca="1">IF(AND(Tableau1[[#This Row],[Charge]]&lt;&gt;0, Tableau1[[#This Row],[Nombre intervenants]]&lt;&gt;0,Tableau1[[#This Row],[Lien document]]&lt;&gt;0,Tableau1[[#This Row],[DMS_SAP]]&lt;&gt;0)=TRUE,"MIS A JOUR","")</f>
        <v/>
      </c>
      <c r="AA199" s="48"/>
      <c r="AB199" s="65" t="str">
        <f ca="1">IF(Tableau1[[#This Row],[Date rév.]]&lt;&gt;"", DAYS360(Tableau1[[#This Row],[Date rév.]],TODAY()),"")</f>
        <v/>
      </c>
      <c r="AC199" s="50" t="str">
        <f>IFERROR(INDEX(Chemin_accès!$B$11:$C$22,MATCH(Tableau1[[#This Row],[Type]],Chemin_accès!$C$11:$C$22,0),1),Chemin_accès!$B$11)</f>
        <v>\\stjn.local\trimet\Btechnique\Commun\Atelier Central mécanique\Plan entretien\Modèles préventif\GammeDMS_7.MENG.xlsm</v>
      </c>
      <c r="AD199" s="50" t="str">
        <f>Chemin_accès!$B$8&amp;Tableau1[[#This Row],[Localisation / Classement]]&amp;"\"&amp;Tableau1[[#This Row],[Poste technique ou N° d''équipement]]&amp;"_"&amp;Tableau1[[#This Row],[Plan Entretien]]&amp;".xlsm"</f>
        <v>\\stjn.local\trimet\Btechnique\Commun\Atelier Central mécanique\Plan entretien\GammeEntretien\\_.xlsm</v>
      </c>
    </row>
    <row r="200" spans="1:30" x14ac:dyDescent="0.3">
      <c r="A200" s="44" t="str">
        <f t="shared" ca="1" si="3"/>
        <v>7.MENG</v>
      </c>
      <c r="B20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00" s="47"/>
      <c r="D200" s="44"/>
      <c r="E200" s="44"/>
      <c r="F200" s="47"/>
      <c r="G200" s="47"/>
      <c r="H200" s="45"/>
      <c r="I200" s="62"/>
      <c r="J200" s="45"/>
      <c r="K200" s="45"/>
      <c r="L200" s="46"/>
      <c r="M200" s="47"/>
      <c r="N200" s="46"/>
      <c r="O200" s="47"/>
      <c r="P200" s="47"/>
      <c r="Q200" s="46"/>
      <c r="R200" s="46"/>
      <c r="S200" s="48"/>
      <c r="T200" s="68" t="str">
        <f>IF(Tableau1[[#This Row],[DMS_SAP]]="","",HYPERLINK(Tableau1[[#This Row],[Chemin fichier source]],"X"))</f>
        <v/>
      </c>
      <c r="U200" s="68" t="str">
        <f>IF(Tableau1[[#This Row],[Date rév.]]="","",HYPERLINK(Tableau1[[#This Row],[Lien document]],"X"))</f>
        <v/>
      </c>
      <c r="V200" s="47"/>
      <c r="W20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00" s="47"/>
      <c r="Y200" s="47"/>
      <c r="Z200" s="44" t="str">
        <f ca="1">IF(AND(Tableau1[[#This Row],[Charge]]&lt;&gt;0, Tableau1[[#This Row],[Nombre intervenants]]&lt;&gt;0,Tableau1[[#This Row],[Lien document]]&lt;&gt;0,Tableau1[[#This Row],[DMS_SAP]]&lt;&gt;0)=TRUE,"MIS A JOUR","")</f>
        <v/>
      </c>
      <c r="AA200" s="48"/>
      <c r="AB200" s="65" t="str">
        <f ca="1">IF(Tableau1[[#This Row],[Date rév.]]&lt;&gt;"", DAYS360(Tableau1[[#This Row],[Date rév.]],TODAY()),"")</f>
        <v/>
      </c>
      <c r="AC200" s="50" t="str">
        <f>IFERROR(INDEX(Chemin_accès!$B$11:$C$22,MATCH(Tableau1[[#This Row],[Type]],Chemin_accès!$C$11:$C$22,0),1),Chemin_accès!$B$11)</f>
        <v>\\stjn.local\trimet\Btechnique\Commun\Atelier Central mécanique\Plan entretien\Modèles préventif\GammeDMS_7.MENG.xlsm</v>
      </c>
      <c r="AD200" s="50" t="str">
        <f>Chemin_accès!$B$8&amp;Tableau1[[#This Row],[Localisation / Classement]]&amp;"\"&amp;Tableau1[[#This Row],[Poste technique ou N° d''équipement]]&amp;"_"&amp;Tableau1[[#This Row],[Plan Entretien]]&amp;".xlsm"</f>
        <v>\\stjn.local\trimet\Btechnique\Commun\Atelier Central mécanique\Plan entretien\GammeEntretien\\_.xlsm</v>
      </c>
    </row>
    <row r="201" spans="1:30" x14ac:dyDescent="0.3">
      <c r="A201" s="44" t="str">
        <f t="shared" ca="1" si="3"/>
        <v>7.MENG</v>
      </c>
      <c r="B20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01" s="47"/>
      <c r="D201" s="44"/>
      <c r="E201" s="44"/>
      <c r="F201" s="47"/>
      <c r="G201" s="47"/>
      <c r="H201" s="45"/>
      <c r="I201" s="62"/>
      <c r="J201" s="45"/>
      <c r="K201" s="45"/>
      <c r="L201" s="46"/>
      <c r="M201" s="47"/>
      <c r="N201" s="46"/>
      <c r="O201" s="47"/>
      <c r="P201" s="47"/>
      <c r="Q201" s="46"/>
      <c r="R201" s="46"/>
      <c r="S201" s="48"/>
      <c r="T201" s="68" t="str">
        <f>IF(Tableau1[[#This Row],[DMS_SAP]]="","",HYPERLINK(Tableau1[[#This Row],[Chemin fichier source]],"X"))</f>
        <v/>
      </c>
      <c r="U201" s="68" t="str">
        <f>IF(Tableau1[[#This Row],[Date rév.]]="","",HYPERLINK(Tableau1[[#This Row],[Lien document]],"X"))</f>
        <v/>
      </c>
      <c r="V201" s="47"/>
      <c r="W20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01" s="47"/>
      <c r="Y201" s="47"/>
      <c r="Z201" s="44" t="str">
        <f ca="1">IF(AND(Tableau1[[#This Row],[Charge]]&lt;&gt;0, Tableau1[[#This Row],[Nombre intervenants]]&lt;&gt;0,Tableau1[[#This Row],[Lien document]]&lt;&gt;0,Tableau1[[#This Row],[DMS_SAP]]&lt;&gt;0)=TRUE,"MIS A JOUR","")</f>
        <v/>
      </c>
      <c r="AA201" s="48"/>
      <c r="AB201" s="65" t="str">
        <f ca="1">IF(Tableau1[[#This Row],[Date rév.]]&lt;&gt;"", DAYS360(Tableau1[[#This Row],[Date rév.]],TODAY()),"")</f>
        <v/>
      </c>
      <c r="AC201" s="50" t="str">
        <f>IFERROR(INDEX(Chemin_accès!$B$11:$C$22,MATCH(Tableau1[[#This Row],[Type]],Chemin_accès!$C$11:$C$22,0),1),Chemin_accès!$B$11)</f>
        <v>\\stjn.local\trimet\Btechnique\Commun\Atelier Central mécanique\Plan entretien\Modèles préventif\GammeDMS_7.MENG.xlsm</v>
      </c>
      <c r="AD201" s="50" t="str">
        <f>Chemin_accès!$B$8&amp;Tableau1[[#This Row],[Localisation / Classement]]&amp;"\"&amp;Tableau1[[#This Row],[Poste technique ou N° d''équipement]]&amp;"_"&amp;Tableau1[[#This Row],[Plan Entretien]]&amp;".xlsm"</f>
        <v>\\stjn.local\trimet\Btechnique\Commun\Atelier Central mécanique\Plan entretien\GammeEntretien\\_.xlsm</v>
      </c>
    </row>
    <row r="202" spans="1:30" x14ac:dyDescent="0.3">
      <c r="A202" s="44" t="str">
        <f t="shared" ca="1" si="3"/>
        <v>7.MENG</v>
      </c>
      <c r="B20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02" s="53"/>
      <c r="D202" s="44"/>
      <c r="E202" s="44"/>
      <c r="F202" s="47"/>
      <c r="G202" s="47"/>
      <c r="H202" s="45"/>
      <c r="I202" s="62"/>
      <c r="J202" s="45"/>
      <c r="K202" s="45"/>
      <c r="L202" s="46"/>
      <c r="M202" s="47"/>
      <c r="N202" s="46"/>
      <c r="O202" s="46"/>
      <c r="P202" s="47"/>
      <c r="Q202" s="46"/>
      <c r="R202" s="46"/>
      <c r="S202" s="48"/>
      <c r="T202" s="68" t="str">
        <f>IF(Tableau1[[#This Row],[DMS_SAP]]="","",HYPERLINK(Tableau1[[#This Row],[Chemin fichier source]],"X"))</f>
        <v/>
      </c>
      <c r="U202" s="68" t="str">
        <f>IF(Tableau1[[#This Row],[Date rév.]]="","",HYPERLINK(Tableau1[[#This Row],[Lien document]],"X"))</f>
        <v/>
      </c>
      <c r="V202" s="47"/>
      <c r="W20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02" s="47"/>
      <c r="Y202" s="47"/>
      <c r="Z202" s="44" t="str">
        <f ca="1">IF(AND(Tableau1[[#This Row],[Charge]]&lt;&gt;0, Tableau1[[#This Row],[Nombre intervenants]]&lt;&gt;0,Tableau1[[#This Row],[Lien document]]&lt;&gt;0,Tableau1[[#This Row],[DMS_SAP]]&lt;&gt;0)=TRUE,"MIS A JOUR","")</f>
        <v/>
      </c>
      <c r="AA202" s="48"/>
      <c r="AB202" s="65" t="str">
        <f ca="1">IF(Tableau1[[#This Row],[Date rév.]]&lt;&gt;"", DAYS360(Tableau1[[#This Row],[Date rév.]],TODAY()),"")</f>
        <v/>
      </c>
      <c r="AC202" s="50" t="str">
        <f>IFERROR(INDEX(Chemin_accès!$B$11:$C$22,MATCH(Tableau1[[#This Row],[Type]],Chemin_accès!$C$11:$C$22,0),1),Chemin_accès!$B$11)</f>
        <v>\\stjn.local\trimet\Btechnique\Commun\Atelier Central mécanique\Plan entretien\Modèles préventif\GammeDMS_7.MENG.xlsm</v>
      </c>
      <c r="AD202" s="50" t="str">
        <f>Chemin_accès!$B$8&amp;Tableau1[[#This Row],[Localisation / Classement]]&amp;"\"&amp;Tableau1[[#This Row],[Poste technique ou N° d''équipement]]&amp;"_"&amp;Tableau1[[#This Row],[Plan Entretien]]&amp;".xlsm"</f>
        <v>\\stjn.local\trimet\Btechnique\Commun\Atelier Central mécanique\Plan entretien\GammeEntretien\\_.xlsm</v>
      </c>
    </row>
    <row r="203" spans="1:30" x14ac:dyDescent="0.3">
      <c r="A203" s="44" t="str">
        <f t="shared" ca="1" si="3"/>
        <v>7.MENG</v>
      </c>
      <c r="B20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03" s="46"/>
      <c r="D203" s="44"/>
      <c r="E203" s="44"/>
      <c r="F203" s="47"/>
      <c r="G203" s="47"/>
      <c r="H203" s="45"/>
      <c r="I203" s="62"/>
      <c r="J203" s="45"/>
      <c r="K203" s="45"/>
      <c r="L203" s="46"/>
      <c r="M203" s="47"/>
      <c r="N203" s="46"/>
      <c r="O203" s="46"/>
      <c r="P203" s="47"/>
      <c r="Q203" s="46"/>
      <c r="R203" s="46"/>
      <c r="S203" s="48"/>
      <c r="T203" s="68" t="str">
        <f>IF(Tableau1[[#This Row],[DMS_SAP]]="","",HYPERLINK(Tableau1[[#This Row],[Chemin fichier source]],"X"))</f>
        <v/>
      </c>
      <c r="U203" s="68" t="str">
        <f>IF(Tableau1[[#This Row],[Date rév.]]="","",HYPERLINK(Tableau1[[#This Row],[Lien document]],"X"))</f>
        <v/>
      </c>
      <c r="V203" s="47"/>
      <c r="W20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03" s="47"/>
      <c r="Y203" s="47"/>
      <c r="Z203" s="44" t="str">
        <f ca="1">IF(AND(Tableau1[[#This Row],[Charge]]&lt;&gt;0, Tableau1[[#This Row],[Nombre intervenants]]&lt;&gt;0,Tableau1[[#This Row],[Lien document]]&lt;&gt;0,Tableau1[[#This Row],[DMS_SAP]]&lt;&gt;0)=TRUE,"MIS A JOUR","")</f>
        <v/>
      </c>
      <c r="AA203" s="48"/>
      <c r="AB203" s="65" t="str">
        <f ca="1">IF(Tableau1[[#This Row],[Date rév.]]&lt;&gt;"", DAYS360(Tableau1[[#This Row],[Date rév.]],TODAY()),"")</f>
        <v/>
      </c>
      <c r="AC203" s="50" t="str">
        <f>IFERROR(INDEX(Chemin_accès!$B$11:$C$22,MATCH(Tableau1[[#This Row],[Type]],Chemin_accès!$C$11:$C$22,0),1),Chemin_accès!$B$11)</f>
        <v>\\stjn.local\trimet\Btechnique\Commun\Atelier Central mécanique\Plan entretien\Modèles préventif\GammeDMS_7.MENG.xlsm</v>
      </c>
      <c r="AD203" s="50" t="str">
        <f>Chemin_accès!$B$8&amp;Tableau1[[#This Row],[Localisation / Classement]]&amp;"\"&amp;Tableau1[[#This Row],[Poste technique ou N° d''équipement]]&amp;"_"&amp;Tableau1[[#This Row],[Plan Entretien]]&amp;".xlsm"</f>
        <v>\\stjn.local\trimet\Btechnique\Commun\Atelier Central mécanique\Plan entretien\GammeEntretien\\_.xlsm</v>
      </c>
    </row>
    <row r="204" spans="1:30" x14ac:dyDescent="0.3">
      <c r="A204" s="44" t="str">
        <f t="shared" ca="1" si="3"/>
        <v>7.MENG</v>
      </c>
      <c r="B20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04" s="46"/>
      <c r="D204" s="44"/>
      <c r="E204" s="44"/>
      <c r="F204" s="47"/>
      <c r="G204" s="47"/>
      <c r="H204" s="45"/>
      <c r="I204" s="62"/>
      <c r="J204" s="45"/>
      <c r="K204" s="45"/>
      <c r="L204" s="46"/>
      <c r="M204" s="47"/>
      <c r="N204" s="46"/>
      <c r="O204" s="46"/>
      <c r="P204" s="47"/>
      <c r="Q204" s="46"/>
      <c r="R204" s="46"/>
      <c r="S204" s="48"/>
      <c r="T204" s="68" t="str">
        <f>IF(Tableau1[[#This Row],[DMS_SAP]]="","",HYPERLINK(Tableau1[[#This Row],[Chemin fichier source]],"X"))</f>
        <v/>
      </c>
      <c r="U204" s="68" t="str">
        <f>IF(Tableau1[[#This Row],[Date rév.]]="","",HYPERLINK(Tableau1[[#This Row],[Lien document]],"X"))</f>
        <v/>
      </c>
      <c r="V204" s="47"/>
      <c r="W20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04" s="47"/>
      <c r="Y204" s="47"/>
      <c r="Z204" s="44" t="str">
        <f ca="1">IF(AND(Tableau1[[#This Row],[Charge]]&lt;&gt;0, Tableau1[[#This Row],[Nombre intervenants]]&lt;&gt;0,Tableau1[[#This Row],[Lien document]]&lt;&gt;0,Tableau1[[#This Row],[DMS_SAP]]&lt;&gt;0)=TRUE,"MIS A JOUR","")</f>
        <v/>
      </c>
      <c r="AA204" s="48"/>
      <c r="AB204" s="65" t="str">
        <f ca="1">IF(Tableau1[[#This Row],[Date rév.]]&lt;&gt;"", DAYS360(Tableau1[[#This Row],[Date rév.]],TODAY()),"")</f>
        <v/>
      </c>
      <c r="AC204" s="50" t="str">
        <f>IFERROR(INDEX(Chemin_accès!$B$11:$C$22,MATCH(Tableau1[[#This Row],[Type]],Chemin_accès!$C$11:$C$22,0),1),Chemin_accès!$B$11)</f>
        <v>\\stjn.local\trimet\Btechnique\Commun\Atelier Central mécanique\Plan entretien\Modèles préventif\GammeDMS_7.MENG.xlsm</v>
      </c>
      <c r="AD204" s="50" t="str">
        <f>Chemin_accès!$B$8&amp;Tableau1[[#This Row],[Localisation / Classement]]&amp;"\"&amp;Tableau1[[#This Row],[Poste technique ou N° d''équipement]]&amp;"_"&amp;Tableau1[[#This Row],[Plan Entretien]]&amp;".xlsm"</f>
        <v>\\stjn.local\trimet\Btechnique\Commun\Atelier Central mécanique\Plan entretien\GammeEntretien\\_.xlsm</v>
      </c>
    </row>
    <row r="205" spans="1:30" x14ac:dyDescent="0.3">
      <c r="A205" s="44" t="str">
        <f t="shared" ca="1" si="3"/>
        <v>7.MENG</v>
      </c>
      <c r="B20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05" s="46"/>
      <c r="D205" s="44"/>
      <c r="E205" s="44"/>
      <c r="F205" s="47"/>
      <c r="G205" s="47"/>
      <c r="H205" s="45"/>
      <c r="I205" s="62"/>
      <c r="J205" s="45"/>
      <c r="K205" s="45"/>
      <c r="L205" s="46"/>
      <c r="M205" s="47"/>
      <c r="N205" s="46"/>
      <c r="O205" s="46"/>
      <c r="P205" s="47"/>
      <c r="Q205" s="46"/>
      <c r="R205" s="46"/>
      <c r="S205" s="48"/>
      <c r="T205" s="68" t="str">
        <f>IF(Tableau1[[#This Row],[DMS_SAP]]="","",HYPERLINK(Tableau1[[#This Row],[Chemin fichier source]],"X"))</f>
        <v/>
      </c>
      <c r="U205" s="68" t="str">
        <f>IF(Tableau1[[#This Row],[Date rév.]]="","",HYPERLINK(Tableau1[[#This Row],[Lien document]],"X"))</f>
        <v/>
      </c>
      <c r="V205" s="47"/>
      <c r="W20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05" s="47"/>
      <c r="Y205" s="47"/>
      <c r="Z205" s="44" t="str">
        <f ca="1">IF(AND(Tableau1[[#This Row],[Charge]]&lt;&gt;0, Tableau1[[#This Row],[Nombre intervenants]]&lt;&gt;0,Tableau1[[#This Row],[Lien document]]&lt;&gt;0,Tableau1[[#This Row],[DMS_SAP]]&lt;&gt;0)=TRUE,"MIS A JOUR","")</f>
        <v/>
      </c>
      <c r="AA205" s="48"/>
      <c r="AB205" s="65" t="str">
        <f ca="1">IF(Tableau1[[#This Row],[Date rév.]]&lt;&gt;"", DAYS360(Tableau1[[#This Row],[Date rév.]],TODAY()),"")</f>
        <v/>
      </c>
      <c r="AC205" s="50" t="str">
        <f>IFERROR(INDEX(Chemin_accès!$B$11:$C$22,MATCH(Tableau1[[#This Row],[Type]],Chemin_accès!$C$11:$C$22,0),1),Chemin_accès!$B$11)</f>
        <v>\\stjn.local\trimet\Btechnique\Commun\Atelier Central mécanique\Plan entretien\Modèles préventif\GammeDMS_7.MENG.xlsm</v>
      </c>
      <c r="AD205" s="50" t="str">
        <f>Chemin_accès!$B$8&amp;Tableau1[[#This Row],[Localisation / Classement]]&amp;"\"&amp;Tableau1[[#This Row],[Poste technique ou N° d''équipement]]&amp;"_"&amp;Tableau1[[#This Row],[Plan Entretien]]&amp;".xlsm"</f>
        <v>\\stjn.local\trimet\Btechnique\Commun\Atelier Central mécanique\Plan entretien\GammeEntretien\\_.xlsm</v>
      </c>
    </row>
    <row r="206" spans="1:30" x14ac:dyDescent="0.3">
      <c r="A206" s="44" t="str">
        <f t="shared" ca="1" si="3"/>
        <v>7.MENG</v>
      </c>
      <c r="B20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06" s="46"/>
      <c r="D206" s="44"/>
      <c r="E206" s="44"/>
      <c r="F206" s="47"/>
      <c r="G206" s="47"/>
      <c r="H206" s="45"/>
      <c r="I206" s="62"/>
      <c r="J206" s="45"/>
      <c r="K206" s="45"/>
      <c r="L206" s="46"/>
      <c r="M206" s="47"/>
      <c r="N206" s="46"/>
      <c r="O206" s="46"/>
      <c r="P206" s="47"/>
      <c r="Q206" s="46"/>
      <c r="R206" s="46"/>
      <c r="S206" s="48"/>
      <c r="T206" s="68" t="str">
        <f>IF(Tableau1[[#This Row],[DMS_SAP]]="","",HYPERLINK(Tableau1[[#This Row],[Chemin fichier source]],"X"))</f>
        <v/>
      </c>
      <c r="U206" s="68" t="str">
        <f>IF(Tableau1[[#This Row],[Date rév.]]="","",HYPERLINK(Tableau1[[#This Row],[Lien document]],"X"))</f>
        <v/>
      </c>
      <c r="V206" s="47"/>
      <c r="W20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06" s="47"/>
      <c r="Y206" s="47"/>
      <c r="Z206" s="44" t="str">
        <f ca="1">IF(AND(Tableau1[[#This Row],[Charge]]&lt;&gt;0, Tableau1[[#This Row],[Nombre intervenants]]&lt;&gt;0,Tableau1[[#This Row],[Lien document]]&lt;&gt;0,Tableau1[[#This Row],[DMS_SAP]]&lt;&gt;0)=TRUE,"MIS A JOUR","")</f>
        <v/>
      </c>
      <c r="AA206" s="48"/>
      <c r="AB206" s="65" t="str">
        <f ca="1">IF(Tableau1[[#This Row],[Date rév.]]&lt;&gt;"", DAYS360(Tableau1[[#This Row],[Date rév.]],TODAY()),"")</f>
        <v/>
      </c>
      <c r="AC206" s="50" t="str">
        <f>IFERROR(INDEX(Chemin_accès!$B$11:$C$22,MATCH(Tableau1[[#This Row],[Type]],Chemin_accès!$C$11:$C$22,0),1),Chemin_accès!$B$11)</f>
        <v>\\stjn.local\trimet\Btechnique\Commun\Atelier Central mécanique\Plan entretien\Modèles préventif\GammeDMS_7.MENG.xlsm</v>
      </c>
      <c r="AD206" s="50" t="str">
        <f>Chemin_accès!$B$8&amp;Tableau1[[#This Row],[Localisation / Classement]]&amp;"\"&amp;Tableau1[[#This Row],[Poste technique ou N° d''équipement]]&amp;"_"&amp;Tableau1[[#This Row],[Plan Entretien]]&amp;".xlsm"</f>
        <v>\\stjn.local\trimet\Btechnique\Commun\Atelier Central mécanique\Plan entretien\GammeEntretien\\_.xlsm</v>
      </c>
    </row>
    <row r="207" spans="1:30" x14ac:dyDescent="0.3">
      <c r="A207" s="44" t="str">
        <f t="shared" ca="1" si="3"/>
        <v>7.MENG</v>
      </c>
      <c r="B20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07" s="46"/>
      <c r="D207" s="44"/>
      <c r="E207" s="44"/>
      <c r="F207" s="47"/>
      <c r="G207" s="47"/>
      <c r="H207" s="45"/>
      <c r="I207" s="62"/>
      <c r="J207" s="45"/>
      <c r="K207" s="45"/>
      <c r="L207" s="46"/>
      <c r="M207" s="47"/>
      <c r="N207" s="46"/>
      <c r="O207" s="46"/>
      <c r="P207" s="47"/>
      <c r="Q207" s="46"/>
      <c r="R207" s="46"/>
      <c r="S207" s="48"/>
      <c r="T207" s="68" t="str">
        <f>IF(Tableau1[[#This Row],[DMS_SAP]]="","",HYPERLINK(Tableau1[[#This Row],[Chemin fichier source]],"X"))</f>
        <v/>
      </c>
      <c r="U207" s="68" t="str">
        <f>IF(Tableau1[[#This Row],[Date rév.]]="","",HYPERLINK(Tableau1[[#This Row],[Lien document]],"X"))</f>
        <v/>
      </c>
      <c r="V207" s="47"/>
      <c r="W20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07" s="47"/>
      <c r="Y207" s="47"/>
      <c r="Z207" s="44" t="str">
        <f ca="1">IF(AND(Tableau1[[#This Row],[Charge]]&lt;&gt;0, Tableau1[[#This Row],[Nombre intervenants]]&lt;&gt;0,Tableau1[[#This Row],[Lien document]]&lt;&gt;0,Tableau1[[#This Row],[DMS_SAP]]&lt;&gt;0)=TRUE,"MIS A JOUR","")</f>
        <v/>
      </c>
      <c r="AA207" s="48"/>
      <c r="AB207" s="65" t="str">
        <f ca="1">IF(Tableau1[[#This Row],[Date rév.]]&lt;&gt;"", DAYS360(Tableau1[[#This Row],[Date rév.]],TODAY()),"")</f>
        <v/>
      </c>
      <c r="AC207" s="50" t="str">
        <f>IFERROR(INDEX(Chemin_accès!$B$11:$C$22,MATCH(Tableau1[[#This Row],[Type]],Chemin_accès!$C$11:$C$22,0),1),Chemin_accès!$B$11)</f>
        <v>\\stjn.local\trimet\Btechnique\Commun\Atelier Central mécanique\Plan entretien\Modèles préventif\GammeDMS_7.MENG.xlsm</v>
      </c>
      <c r="AD207" s="50" t="str">
        <f>Chemin_accès!$B$8&amp;Tableau1[[#This Row],[Localisation / Classement]]&amp;"\"&amp;Tableau1[[#This Row],[Poste technique ou N° d''équipement]]&amp;"_"&amp;Tableau1[[#This Row],[Plan Entretien]]&amp;".xlsm"</f>
        <v>\\stjn.local\trimet\Btechnique\Commun\Atelier Central mécanique\Plan entretien\GammeEntretien\\_.xlsm</v>
      </c>
    </row>
    <row r="208" spans="1:30" x14ac:dyDescent="0.3">
      <c r="A208" s="44" t="str">
        <f t="shared" ca="1" si="3"/>
        <v>7.MENG</v>
      </c>
      <c r="B20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08" s="46"/>
      <c r="D208" s="44"/>
      <c r="E208" s="44"/>
      <c r="F208" s="47"/>
      <c r="G208" s="47"/>
      <c r="H208" s="45"/>
      <c r="I208" s="62"/>
      <c r="J208" s="45"/>
      <c r="K208" s="45"/>
      <c r="L208" s="46"/>
      <c r="M208" s="47"/>
      <c r="N208" s="46"/>
      <c r="O208" s="46"/>
      <c r="P208" s="47"/>
      <c r="Q208" s="46"/>
      <c r="R208" s="46"/>
      <c r="S208" s="48"/>
      <c r="T208" s="68" t="str">
        <f>IF(Tableau1[[#This Row],[DMS_SAP]]="","",HYPERLINK(Tableau1[[#This Row],[Chemin fichier source]],"X"))</f>
        <v/>
      </c>
      <c r="U208" s="68" t="str">
        <f>IF(Tableau1[[#This Row],[Date rév.]]="","",HYPERLINK(Tableau1[[#This Row],[Lien document]],"X"))</f>
        <v/>
      </c>
      <c r="V208" s="47"/>
      <c r="W20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08" s="47"/>
      <c r="Y208" s="47"/>
      <c r="Z208" s="44" t="str">
        <f ca="1">IF(AND(Tableau1[[#This Row],[Charge]]&lt;&gt;0, Tableau1[[#This Row],[Nombre intervenants]]&lt;&gt;0,Tableau1[[#This Row],[Lien document]]&lt;&gt;0,Tableau1[[#This Row],[DMS_SAP]]&lt;&gt;0)=TRUE,"MIS A JOUR","")</f>
        <v/>
      </c>
      <c r="AA208" s="48"/>
      <c r="AB208" s="65" t="str">
        <f ca="1">IF(Tableau1[[#This Row],[Date rév.]]&lt;&gt;"", DAYS360(Tableau1[[#This Row],[Date rév.]],TODAY()),"")</f>
        <v/>
      </c>
      <c r="AC208" s="50" t="str">
        <f>IFERROR(INDEX(Chemin_accès!$B$11:$C$22,MATCH(Tableau1[[#This Row],[Type]],Chemin_accès!$C$11:$C$22,0),1),Chemin_accès!$B$11)</f>
        <v>\\stjn.local\trimet\Btechnique\Commun\Atelier Central mécanique\Plan entretien\Modèles préventif\GammeDMS_7.MENG.xlsm</v>
      </c>
      <c r="AD208" s="50" t="str">
        <f>Chemin_accès!$B$8&amp;Tableau1[[#This Row],[Localisation / Classement]]&amp;"\"&amp;Tableau1[[#This Row],[Poste technique ou N° d''équipement]]&amp;"_"&amp;Tableau1[[#This Row],[Plan Entretien]]&amp;".xlsm"</f>
        <v>\\stjn.local\trimet\Btechnique\Commun\Atelier Central mécanique\Plan entretien\GammeEntretien\\_.xlsm</v>
      </c>
    </row>
    <row r="209" spans="1:30" x14ac:dyDescent="0.3">
      <c r="A209" s="44" t="str">
        <f t="shared" ca="1" si="3"/>
        <v>7.MENG</v>
      </c>
      <c r="B20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09" s="46"/>
      <c r="D209" s="44"/>
      <c r="E209" s="44"/>
      <c r="F209" s="47"/>
      <c r="G209" s="47"/>
      <c r="H209" s="45"/>
      <c r="I209" s="62"/>
      <c r="J209" s="45"/>
      <c r="K209" s="45"/>
      <c r="L209" s="46"/>
      <c r="M209" s="47"/>
      <c r="N209" s="46"/>
      <c r="O209" s="46"/>
      <c r="P209" s="47"/>
      <c r="Q209" s="46"/>
      <c r="R209" s="46"/>
      <c r="S209" s="48"/>
      <c r="T209" s="68" t="str">
        <f>IF(Tableau1[[#This Row],[DMS_SAP]]="","",HYPERLINK(Tableau1[[#This Row],[Chemin fichier source]],"X"))</f>
        <v/>
      </c>
      <c r="U209" s="68" t="str">
        <f>IF(Tableau1[[#This Row],[Date rév.]]="","",HYPERLINK(Tableau1[[#This Row],[Lien document]],"X"))</f>
        <v/>
      </c>
      <c r="V209" s="47"/>
      <c r="W20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09" s="47"/>
      <c r="Y209" s="47"/>
      <c r="Z209" s="44" t="str">
        <f ca="1">IF(AND(Tableau1[[#This Row],[Charge]]&lt;&gt;0, Tableau1[[#This Row],[Nombre intervenants]]&lt;&gt;0,Tableau1[[#This Row],[Lien document]]&lt;&gt;0,Tableau1[[#This Row],[DMS_SAP]]&lt;&gt;0)=TRUE,"MIS A JOUR","")</f>
        <v/>
      </c>
      <c r="AA209" s="48"/>
      <c r="AB209" s="65" t="str">
        <f ca="1">IF(Tableau1[[#This Row],[Date rév.]]&lt;&gt;"", DAYS360(Tableau1[[#This Row],[Date rév.]],TODAY()),"")</f>
        <v/>
      </c>
      <c r="AC209" s="50" t="str">
        <f>IFERROR(INDEX(Chemin_accès!$B$11:$C$22,MATCH(Tableau1[[#This Row],[Type]],Chemin_accès!$C$11:$C$22,0),1),Chemin_accès!$B$11)</f>
        <v>\\stjn.local\trimet\Btechnique\Commun\Atelier Central mécanique\Plan entretien\Modèles préventif\GammeDMS_7.MENG.xlsm</v>
      </c>
      <c r="AD209" s="50" t="str">
        <f>Chemin_accès!$B$8&amp;Tableau1[[#This Row],[Localisation / Classement]]&amp;"\"&amp;Tableau1[[#This Row],[Poste technique ou N° d''équipement]]&amp;"_"&amp;Tableau1[[#This Row],[Plan Entretien]]&amp;".xlsm"</f>
        <v>\\stjn.local\trimet\Btechnique\Commun\Atelier Central mécanique\Plan entretien\GammeEntretien\\_.xlsm</v>
      </c>
    </row>
    <row r="210" spans="1:30" x14ac:dyDescent="0.3">
      <c r="A210" s="44" t="str">
        <f t="shared" ca="1" si="3"/>
        <v>7.MENG</v>
      </c>
      <c r="B21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10" s="46"/>
      <c r="D210" s="44"/>
      <c r="E210" s="44"/>
      <c r="F210" s="47"/>
      <c r="G210" s="47"/>
      <c r="H210" s="45"/>
      <c r="I210" s="62"/>
      <c r="J210" s="45"/>
      <c r="K210" s="45"/>
      <c r="L210" s="46"/>
      <c r="M210" s="47"/>
      <c r="N210" s="46"/>
      <c r="O210" s="46"/>
      <c r="P210" s="47"/>
      <c r="Q210" s="46"/>
      <c r="R210" s="46"/>
      <c r="S210" s="48"/>
      <c r="T210" s="68" t="str">
        <f>IF(Tableau1[[#This Row],[DMS_SAP]]="","",HYPERLINK(Tableau1[[#This Row],[Chemin fichier source]],"X"))</f>
        <v/>
      </c>
      <c r="U210" s="68" t="str">
        <f>IF(Tableau1[[#This Row],[Date rév.]]="","",HYPERLINK(Tableau1[[#This Row],[Lien document]],"X"))</f>
        <v/>
      </c>
      <c r="V210" s="47"/>
      <c r="W21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10" s="47"/>
      <c r="Y210" s="47"/>
      <c r="Z210" s="44" t="str">
        <f ca="1">IF(AND(Tableau1[[#This Row],[Charge]]&lt;&gt;0, Tableau1[[#This Row],[Nombre intervenants]]&lt;&gt;0,Tableau1[[#This Row],[Lien document]]&lt;&gt;0,Tableau1[[#This Row],[DMS_SAP]]&lt;&gt;0)=TRUE,"MIS A JOUR","")</f>
        <v/>
      </c>
      <c r="AA210" s="48"/>
      <c r="AB210" s="65" t="str">
        <f ca="1">IF(Tableau1[[#This Row],[Date rév.]]&lt;&gt;"", DAYS360(Tableau1[[#This Row],[Date rév.]],TODAY()),"")</f>
        <v/>
      </c>
      <c r="AC210" s="50" t="str">
        <f>IFERROR(INDEX(Chemin_accès!$B$11:$C$22,MATCH(Tableau1[[#This Row],[Type]],Chemin_accès!$C$11:$C$22,0),1),Chemin_accès!$B$11)</f>
        <v>\\stjn.local\trimet\Btechnique\Commun\Atelier Central mécanique\Plan entretien\Modèles préventif\GammeDMS_7.MENG.xlsm</v>
      </c>
      <c r="AD210" s="50" t="str">
        <f>Chemin_accès!$B$8&amp;Tableau1[[#This Row],[Localisation / Classement]]&amp;"\"&amp;Tableau1[[#This Row],[Poste technique ou N° d''équipement]]&amp;"_"&amp;Tableau1[[#This Row],[Plan Entretien]]&amp;".xlsm"</f>
        <v>\\stjn.local\trimet\Btechnique\Commun\Atelier Central mécanique\Plan entretien\GammeEntretien\\_.xlsm</v>
      </c>
    </row>
    <row r="211" spans="1:30" x14ac:dyDescent="0.3">
      <c r="A211" s="44" t="str">
        <f t="shared" ca="1" si="3"/>
        <v>7.MENG</v>
      </c>
      <c r="B21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11" s="46"/>
      <c r="D211" s="44"/>
      <c r="E211" s="44"/>
      <c r="F211" s="47"/>
      <c r="G211" s="47"/>
      <c r="H211" s="45"/>
      <c r="I211" s="62"/>
      <c r="J211" s="45"/>
      <c r="K211" s="45"/>
      <c r="L211" s="46"/>
      <c r="M211" s="47"/>
      <c r="N211" s="46"/>
      <c r="O211" s="46"/>
      <c r="P211" s="47"/>
      <c r="Q211" s="46"/>
      <c r="R211" s="46"/>
      <c r="S211" s="48"/>
      <c r="T211" s="68" t="str">
        <f>IF(Tableau1[[#This Row],[DMS_SAP]]="","",HYPERLINK(Tableau1[[#This Row],[Chemin fichier source]],"X"))</f>
        <v/>
      </c>
      <c r="U211" s="68" t="str">
        <f>IF(Tableau1[[#This Row],[Date rév.]]="","",HYPERLINK(Tableau1[[#This Row],[Lien document]],"X"))</f>
        <v/>
      </c>
      <c r="V211" s="47"/>
      <c r="W21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11" s="47"/>
      <c r="Y211" s="47"/>
      <c r="Z211" s="44" t="str">
        <f ca="1">IF(AND(Tableau1[[#This Row],[Charge]]&lt;&gt;0, Tableau1[[#This Row],[Nombre intervenants]]&lt;&gt;0,Tableau1[[#This Row],[Lien document]]&lt;&gt;0,Tableau1[[#This Row],[DMS_SAP]]&lt;&gt;0)=TRUE,"MIS A JOUR","")</f>
        <v/>
      </c>
      <c r="AA211" s="48"/>
      <c r="AB211" s="65" t="str">
        <f ca="1">IF(Tableau1[[#This Row],[Date rév.]]&lt;&gt;"", DAYS360(Tableau1[[#This Row],[Date rév.]],TODAY()),"")</f>
        <v/>
      </c>
      <c r="AC211" s="50" t="str">
        <f>IFERROR(INDEX(Chemin_accès!$B$11:$C$22,MATCH(Tableau1[[#This Row],[Type]],Chemin_accès!$C$11:$C$22,0),1),Chemin_accès!$B$11)</f>
        <v>\\stjn.local\trimet\Btechnique\Commun\Atelier Central mécanique\Plan entretien\Modèles préventif\GammeDMS_7.MENG.xlsm</v>
      </c>
      <c r="AD211" s="50" t="str">
        <f>Chemin_accès!$B$8&amp;Tableau1[[#This Row],[Localisation / Classement]]&amp;"\"&amp;Tableau1[[#This Row],[Poste technique ou N° d''équipement]]&amp;"_"&amp;Tableau1[[#This Row],[Plan Entretien]]&amp;".xlsm"</f>
        <v>\\stjn.local\trimet\Btechnique\Commun\Atelier Central mécanique\Plan entretien\GammeEntretien\\_.xlsm</v>
      </c>
    </row>
    <row r="212" spans="1:30" x14ac:dyDescent="0.3">
      <c r="A212" s="44" t="str">
        <f t="shared" ca="1" si="3"/>
        <v>7.MENG</v>
      </c>
      <c r="B21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12" s="46"/>
      <c r="D212" s="44"/>
      <c r="E212" s="44"/>
      <c r="F212" s="47"/>
      <c r="G212" s="47"/>
      <c r="H212" s="45"/>
      <c r="I212" s="62"/>
      <c r="J212" s="45"/>
      <c r="K212" s="45"/>
      <c r="L212" s="46"/>
      <c r="M212" s="47"/>
      <c r="N212" s="46"/>
      <c r="O212" s="46"/>
      <c r="P212" s="47"/>
      <c r="Q212" s="46"/>
      <c r="R212" s="46"/>
      <c r="S212" s="48"/>
      <c r="T212" s="68" t="str">
        <f>IF(Tableau1[[#This Row],[DMS_SAP]]="","",HYPERLINK(Tableau1[[#This Row],[Chemin fichier source]],"X"))</f>
        <v/>
      </c>
      <c r="U212" s="68" t="str">
        <f>IF(Tableau1[[#This Row],[Date rév.]]="","",HYPERLINK(Tableau1[[#This Row],[Lien document]],"X"))</f>
        <v/>
      </c>
      <c r="V212" s="47"/>
      <c r="W21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12" s="47"/>
      <c r="Y212" s="47"/>
      <c r="Z212" s="44" t="str">
        <f ca="1">IF(AND(Tableau1[[#This Row],[Charge]]&lt;&gt;0, Tableau1[[#This Row],[Nombre intervenants]]&lt;&gt;0,Tableau1[[#This Row],[Lien document]]&lt;&gt;0,Tableau1[[#This Row],[DMS_SAP]]&lt;&gt;0)=TRUE,"MIS A JOUR","")</f>
        <v/>
      </c>
      <c r="AA212" s="48"/>
      <c r="AB212" s="65" t="str">
        <f ca="1">IF(Tableau1[[#This Row],[Date rév.]]&lt;&gt;"", DAYS360(Tableau1[[#This Row],[Date rév.]],TODAY()),"")</f>
        <v/>
      </c>
      <c r="AC212" s="50" t="str">
        <f>IFERROR(INDEX(Chemin_accès!$B$11:$C$22,MATCH(Tableau1[[#This Row],[Type]],Chemin_accès!$C$11:$C$22,0),1),Chemin_accès!$B$11)</f>
        <v>\\stjn.local\trimet\Btechnique\Commun\Atelier Central mécanique\Plan entretien\Modèles préventif\GammeDMS_7.MENG.xlsm</v>
      </c>
      <c r="AD212" s="50" t="str">
        <f>Chemin_accès!$B$8&amp;Tableau1[[#This Row],[Localisation / Classement]]&amp;"\"&amp;Tableau1[[#This Row],[Poste technique ou N° d''équipement]]&amp;"_"&amp;Tableau1[[#This Row],[Plan Entretien]]&amp;".xlsm"</f>
        <v>\\stjn.local\trimet\Btechnique\Commun\Atelier Central mécanique\Plan entretien\GammeEntretien\\_.xlsm</v>
      </c>
    </row>
    <row r="213" spans="1:30" x14ac:dyDescent="0.3">
      <c r="A213" s="44" t="str">
        <f t="shared" ca="1" si="3"/>
        <v>7.MENG</v>
      </c>
      <c r="B21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13" s="46"/>
      <c r="D213" s="44"/>
      <c r="E213" s="44"/>
      <c r="F213" s="47"/>
      <c r="G213" s="47"/>
      <c r="H213" s="45"/>
      <c r="I213" s="62"/>
      <c r="J213" s="45"/>
      <c r="K213" s="45"/>
      <c r="L213" s="46"/>
      <c r="M213" s="47"/>
      <c r="N213" s="46"/>
      <c r="O213" s="46"/>
      <c r="P213" s="47"/>
      <c r="Q213" s="46"/>
      <c r="R213" s="46"/>
      <c r="S213" s="48"/>
      <c r="T213" s="68" t="str">
        <f>IF(Tableau1[[#This Row],[DMS_SAP]]="","",HYPERLINK(Tableau1[[#This Row],[Chemin fichier source]],"X"))</f>
        <v/>
      </c>
      <c r="U213" s="68" t="str">
        <f>IF(Tableau1[[#This Row],[Date rév.]]="","",HYPERLINK(Tableau1[[#This Row],[Lien document]],"X"))</f>
        <v/>
      </c>
      <c r="V213" s="47"/>
      <c r="W21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13" s="47"/>
      <c r="Y213" s="47"/>
      <c r="Z213" s="44" t="str">
        <f ca="1">IF(AND(Tableau1[[#This Row],[Charge]]&lt;&gt;0, Tableau1[[#This Row],[Nombre intervenants]]&lt;&gt;0,Tableau1[[#This Row],[Lien document]]&lt;&gt;0,Tableau1[[#This Row],[DMS_SAP]]&lt;&gt;0)=TRUE,"MIS A JOUR","")</f>
        <v/>
      </c>
      <c r="AA213" s="48"/>
      <c r="AB213" s="65" t="str">
        <f ca="1">IF(Tableau1[[#This Row],[Date rév.]]&lt;&gt;"", DAYS360(Tableau1[[#This Row],[Date rév.]],TODAY()),"")</f>
        <v/>
      </c>
      <c r="AC213" s="50" t="str">
        <f>IFERROR(INDEX(Chemin_accès!$B$11:$C$22,MATCH(Tableau1[[#This Row],[Type]],Chemin_accès!$C$11:$C$22,0),1),Chemin_accès!$B$11)</f>
        <v>\\stjn.local\trimet\Btechnique\Commun\Atelier Central mécanique\Plan entretien\Modèles préventif\GammeDMS_7.MENG.xlsm</v>
      </c>
      <c r="AD213" s="50" t="str">
        <f>Chemin_accès!$B$8&amp;Tableau1[[#This Row],[Localisation / Classement]]&amp;"\"&amp;Tableau1[[#This Row],[Poste technique ou N° d''équipement]]&amp;"_"&amp;Tableau1[[#This Row],[Plan Entretien]]&amp;".xlsm"</f>
        <v>\\stjn.local\trimet\Btechnique\Commun\Atelier Central mécanique\Plan entretien\GammeEntretien\\_.xlsm</v>
      </c>
    </row>
    <row r="214" spans="1:30" x14ac:dyDescent="0.3">
      <c r="A214" s="44" t="str">
        <f t="shared" ca="1" si="3"/>
        <v>7.MENG</v>
      </c>
      <c r="B21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14" s="53"/>
      <c r="D214" s="44"/>
      <c r="E214" s="44"/>
      <c r="F214" s="47"/>
      <c r="G214" s="47"/>
      <c r="H214" s="45"/>
      <c r="I214" s="62"/>
      <c r="J214" s="45"/>
      <c r="K214" s="45"/>
      <c r="L214" s="46"/>
      <c r="M214" s="47"/>
      <c r="N214" s="46"/>
      <c r="O214" s="46"/>
      <c r="P214" s="47"/>
      <c r="Q214" s="46"/>
      <c r="R214" s="46"/>
      <c r="S214" s="48"/>
      <c r="T214" s="68" t="str">
        <f>IF(Tableau1[[#This Row],[DMS_SAP]]="","",HYPERLINK(Tableau1[[#This Row],[Chemin fichier source]],"X"))</f>
        <v/>
      </c>
      <c r="U214" s="68" t="str">
        <f>IF(Tableau1[[#This Row],[Date rév.]]="","",HYPERLINK(Tableau1[[#This Row],[Lien document]],"X"))</f>
        <v/>
      </c>
      <c r="V214" s="47"/>
      <c r="W21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14" s="47"/>
      <c r="Y214" s="47"/>
      <c r="Z214" s="44" t="str">
        <f ca="1">IF(AND(Tableau1[[#This Row],[Charge]]&lt;&gt;0, Tableau1[[#This Row],[Nombre intervenants]]&lt;&gt;0,Tableau1[[#This Row],[Lien document]]&lt;&gt;0,Tableau1[[#This Row],[DMS_SAP]]&lt;&gt;0)=TRUE,"MIS A JOUR","")</f>
        <v/>
      </c>
      <c r="AA214" s="48"/>
      <c r="AB214" s="65" t="str">
        <f ca="1">IF(Tableau1[[#This Row],[Date rév.]]&lt;&gt;"", DAYS360(Tableau1[[#This Row],[Date rév.]],TODAY()),"")</f>
        <v/>
      </c>
      <c r="AC214" s="50" t="str">
        <f>IFERROR(INDEX(Chemin_accès!$B$11:$C$22,MATCH(Tableau1[[#This Row],[Type]],Chemin_accès!$C$11:$C$22,0),1),Chemin_accès!$B$11)</f>
        <v>\\stjn.local\trimet\Btechnique\Commun\Atelier Central mécanique\Plan entretien\Modèles préventif\GammeDMS_7.MENG.xlsm</v>
      </c>
      <c r="AD214" s="50" t="str">
        <f>Chemin_accès!$B$8&amp;Tableau1[[#This Row],[Localisation / Classement]]&amp;"\"&amp;Tableau1[[#This Row],[Poste technique ou N° d''équipement]]&amp;"_"&amp;Tableau1[[#This Row],[Plan Entretien]]&amp;".xlsm"</f>
        <v>\\stjn.local\trimet\Btechnique\Commun\Atelier Central mécanique\Plan entretien\GammeEntretien\\_.xlsm</v>
      </c>
    </row>
    <row r="215" spans="1:30" x14ac:dyDescent="0.3">
      <c r="A215" s="44" t="str">
        <f t="shared" ca="1" si="3"/>
        <v>7.MENG</v>
      </c>
      <c r="B21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15" s="53"/>
      <c r="D215" s="44"/>
      <c r="E215" s="44"/>
      <c r="F215" s="47"/>
      <c r="G215" s="47"/>
      <c r="H215" s="45"/>
      <c r="I215" s="62"/>
      <c r="J215" s="45"/>
      <c r="K215" s="45"/>
      <c r="L215" s="46"/>
      <c r="M215" s="47"/>
      <c r="N215" s="46"/>
      <c r="O215" s="46"/>
      <c r="P215" s="47"/>
      <c r="Q215" s="46"/>
      <c r="R215" s="46"/>
      <c r="S215" s="48"/>
      <c r="T215" s="68" t="str">
        <f>IF(Tableau1[[#This Row],[DMS_SAP]]="","",HYPERLINK(Tableau1[[#This Row],[Chemin fichier source]],"X"))</f>
        <v/>
      </c>
      <c r="U215" s="68" t="str">
        <f>IF(Tableau1[[#This Row],[Date rév.]]="","",HYPERLINK(Tableau1[[#This Row],[Lien document]],"X"))</f>
        <v/>
      </c>
      <c r="V215" s="47"/>
      <c r="W21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15" s="47"/>
      <c r="Y215" s="47"/>
      <c r="Z215" s="44" t="str">
        <f ca="1">IF(AND(Tableau1[[#This Row],[Charge]]&lt;&gt;0, Tableau1[[#This Row],[Nombre intervenants]]&lt;&gt;0,Tableau1[[#This Row],[Lien document]]&lt;&gt;0,Tableau1[[#This Row],[DMS_SAP]]&lt;&gt;0)=TRUE,"MIS A JOUR","")</f>
        <v/>
      </c>
      <c r="AA215" s="48"/>
      <c r="AB215" s="65" t="str">
        <f ca="1">IF(Tableau1[[#This Row],[Date rév.]]&lt;&gt;"", DAYS360(Tableau1[[#This Row],[Date rév.]],TODAY()),"")</f>
        <v/>
      </c>
      <c r="AC215" s="50" t="str">
        <f>IFERROR(INDEX(Chemin_accès!$B$11:$C$22,MATCH(Tableau1[[#This Row],[Type]],Chemin_accès!$C$11:$C$22,0),1),Chemin_accès!$B$11)</f>
        <v>\\stjn.local\trimet\Btechnique\Commun\Atelier Central mécanique\Plan entretien\Modèles préventif\GammeDMS_7.MENG.xlsm</v>
      </c>
      <c r="AD215" s="50" t="str">
        <f>Chemin_accès!$B$8&amp;Tableau1[[#This Row],[Localisation / Classement]]&amp;"\"&amp;Tableau1[[#This Row],[Poste technique ou N° d''équipement]]&amp;"_"&amp;Tableau1[[#This Row],[Plan Entretien]]&amp;".xlsm"</f>
        <v>\\stjn.local\trimet\Btechnique\Commun\Atelier Central mécanique\Plan entretien\GammeEntretien\\_.xlsm</v>
      </c>
    </row>
    <row r="216" spans="1:30" x14ac:dyDescent="0.3">
      <c r="A216" s="44" t="str">
        <f t="shared" ca="1" si="3"/>
        <v>7.MENG</v>
      </c>
      <c r="B21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16" s="53"/>
      <c r="D216" s="44"/>
      <c r="E216" s="44"/>
      <c r="F216" s="47"/>
      <c r="G216" s="47"/>
      <c r="H216" s="45"/>
      <c r="I216" s="62"/>
      <c r="J216" s="45"/>
      <c r="K216" s="45"/>
      <c r="L216" s="46"/>
      <c r="M216" s="47"/>
      <c r="N216" s="46"/>
      <c r="O216" s="46"/>
      <c r="P216" s="47"/>
      <c r="Q216" s="46"/>
      <c r="R216" s="46"/>
      <c r="S216" s="48"/>
      <c r="T216" s="68" t="str">
        <f>IF(Tableau1[[#This Row],[DMS_SAP]]="","",HYPERLINK(Tableau1[[#This Row],[Chemin fichier source]],"X"))</f>
        <v/>
      </c>
      <c r="U216" s="68" t="str">
        <f>IF(Tableau1[[#This Row],[Date rév.]]="","",HYPERLINK(Tableau1[[#This Row],[Lien document]],"X"))</f>
        <v/>
      </c>
      <c r="V216" s="47"/>
      <c r="W21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16" s="47"/>
      <c r="Y216" s="47"/>
      <c r="Z216" s="44" t="str">
        <f ca="1">IF(AND(Tableau1[[#This Row],[Charge]]&lt;&gt;0, Tableau1[[#This Row],[Nombre intervenants]]&lt;&gt;0,Tableau1[[#This Row],[Lien document]]&lt;&gt;0,Tableau1[[#This Row],[DMS_SAP]]&lt;&gt;0)=TRUE,"MIS A JOUR","")</f>
        <v/>
      </c>
      <c r="AA216" s="48"/>
      <c r="AB216" s="65" t="str">
        <f ca="1">IF(Tableau1[[#This Row],[Date rév.]]&lt;&gt;"", DAYS360(Tableau1[[#This Row],[Date rév.]],TODAY()),"")</f>
        <v/>
      </c>
      <c r="AC216" s="50" t="str">
        <f>IFERROR(INDEX(Chemin_accès!$B$11:$C$22,MATCH(Tableau1[[#This Row],[Type]],Chemin_accès!$C$11:$C$22,0),1),Chemin_accès!$B$11)</f>
        <v>\\stjn.local\trimet\Btechnique\Commun\Atelier Central mécanique\Plan entretien\Modèles préventif\GammeDMS_7.MENG.xlsm</v>
      </c>
      <c r="AD216" s="50" t="str">
        <f>Chemin_accès!$B$8&amp;Tableau1[[#This Row],[Localisation / Classement]]&amp;"\"&amp;Tableau1[[#This Row],[Poste technique ou N° d''équipement]]&amp;"_"&amp;Tableau1[[#This Row],[Plan Entretien]]&amp;".xlsm"</f>
        <v>\\stjn.local\trimet\Btechnique\Commun\Atelier Central mécanique\Plan entretien\GammeEntretien\\_.xlsm</v>
      </c>
    </row>
    <row r="217" spans="1:30" x14ac:dyDescent="0.3">
      <c r="A217" s="44" t="str">
        <f t="shared" ca="1" si="3"/>
        <v>7.MENG</v>
      </c>
      <c r="B21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17" s="53"/>
      <c r="D217" s="44"/>
      <c r="E217" s="44"/>
      <c r="F217" s="47"/>
      <c r="G217" s="47"/>
      <c r="H217" s="45"/>
      <c r="I217" s="62"/>
      <c r="J217" s="45"/>
      <c r="K217" s="45"/>
      <c r="L217" s="46"/>
      <c r="M217" s="47"/>
      <c r="N217" s="46"/>
      <c r="O217" s="46"/>
      <c r="P217" s="47"/>
      <c r="Q217" s="46"/>
      <c r="R217" s="46"/>
      <c r="S217" s="48"/>
      <c r="T217" s="68" t="str">
        <f>IF(Tableau1[[#This Row],[DMS_SAP]]="","",HYPERLINK(Tableau1[[#This Row],[Chemin fichier source]],"X"))</f>
        <v/>
      </c>
      <c r="U217" s="68" t="str">
        <f>IF(Tableau1[[#This Row],[Date rév.]]="","",HYPERLINK(Tableau1[[#This Row],[Lien document]],"X"))</f>
        <v/>
      </c>
      <c r="V217" s="47"/>
      <c r="W21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17" s="47"/>
      <c r="Y217" s="47"/>
      <c r="Z217" s="44" t="str">
        <f ca="1">IF(AND(Tableau1[[#This Row],[Charge]]&lt;&gt;0, Tableau1[[#This Row],[Nombre intervenants]]&lt;&gt;0,Tableau1[[#This Row],[Lien document]]&lt;&gt;0,Tableau1[[#This Row],[DMS_SAP]]&lt;&gt;0)=TRUE,"MIS A JOUR","")</f>
        <v/>
      </c>
      <c r="AA217" s="48"/>
      <c r="AB217" s="65" t="str">
        <f ca="1">IF(Tableau1[[#This Row],[Date rév.]]&lt;&gt;"", DAYS360(Tableau1[[#This Row],[Date rév.]],TODAY()),"")</f>
        <v/>
      </c>
      <c r="AC217" s="50" t="str">
        <f>IFERROR(INDEX(Chemin_accès!$B$11:$C$22,MATCH(Tableau1[[#This Row],[Type]],Chemin_accès!$C$11:$C$22,0),1),Chemin_accès!$B$11)</f>
        <v>\\stjn.local\trimet\Btechnique\Commun\Atelier Central mécanique\Plan entretien\Modèles préventif\GammeDMS_7.MENG.xlsm</v>
      </c>
      <c r="AD217" s="50" t="str">
        <f>Chemin_accès!$B$8&amp;Tableau1[[#This Row],[Localisation / Classement]]&amp;"\"&amp;Tableau1[[#This Row],[Poste technique ou N° d''équipement]]&amp;"_"&amp;Tableau1[[#This Row],[Plan Entretien]]&amp;".xlsm"</f>
        <v>\\stjn.local\trimet\Btechnique\Commun\Atelier Central mécanique\Plan entretien\GammeEntretien\\_.xlsm</v>
      </c>
    </row>
    <row r="218" spans="1:30" x14ac:dyDescent="0.3">
      <c r="A218" s="44" t="str">
        <f t="shared" ca="1" si="3"/>
        <v>7.MENG</v>
      </c>
      <c r="B21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18" s="46"/>
      <c r="D218" s="44"/>
      <c r="E218" s="44"/>
      <c r="F218" s="47"/>
      <c r="G218" s="47"/>
      <c r="H218" s="45"/>
      <c r="I218" s="62"/>
      <c r="J218" s="45"/>
      <c r="K218" s="45"/>
      <c r="L218" s="46"/>
      <c r="M218" s="47"/>
      <c r="N218" s="46"/>
      <c r="O218" s="46"/>
      <c r="P218" s="47"/>
      <c r="Q218" s="46"/>
      <c r="R218" s="46"/>
      <c r="S218" s="48"/>
      <c r="T218" s="68" t="str">
        <f>IF(Tableau1[[#This Row],[DMS_SAP]]="","",HYPERLINK(Tableau1[[#This Row],[Chemin fichier source]],"X"))</f>
        <v/>
      </c>
      <c r="U218" s="68" t="str">
        <f>IF(Tableau1[[#This Row],[Date rév.]]="","",HYPERLINK(Tableau1[[#This Row],[Lien document]],"X"))</f>
        <v/>
      </c>
      <c r="V218" s="47"/>
      <c r="W21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18" s="47"/>
      <c r="Y218" s="47"/>
      <c r="Z218" s="44" t="str">
        <f ca="1">IF(AND(Tableau1[[#This Row],[Charge]]&lt;&gt;0, Tableau1[[#This Row],[Nombre intervenants]]&lt;&gt;0,Tableau1[[#This Row],[Lien document]]&lt;&gt;0,Tableau1[[#This Row],[DMS_SAP]]&lt;&gt;0)=TRUE,"MIS A JOUR","")</f>
        <v/>
      </c>
      <c r="AA218" s="48"/>
      <c r="AB218" s="65" t="str">
        <f ca="1">IF(Tableau1[[#This Row],[Date rév.]]&lt;&gt;"", DAYS360(Tableau1[[#This Row],[Date rév.]],TODAY()),"")</f>
        <v/>
      </c>
      <c r="AC218" s="50" t="str">
        <f>IFERROR(INDEX(Chemin_accès!$B$11:$C$22,MATCH(Tableau1[[#This Row],[Type]],Chemin_accès!$C$11:$C$22,0),1),Chemin_accès!$B$11)</f>
        <v>\\stjn.local\trimet\Btechnique\Commun\Atelier Central mécanique\Plan entretien\Modèles préventif\GammeDMS_7.MENG.xlsm</v>
      </c>
      <c r="AD218" s="50" t="str">
        <f>Chemin_accès!$B$8&amp;Tableau1[[#This Row],[Localisation / Classement]]&amp;"\"&amp;Tableau1[[#This Row],[Poste technique ou N° d''équipement]]&amp;"_"&amp;Tableau1[[#This Row],[Plan Entretien]]&amp;".xlsm"</f>
        <v>\\stjn.local\trimet\Btechnique\Commun\Atelier Central mécanique\Plan entretien\GammeEntretien\\_.xlsm</v>
      </c>
    </row>
    <row r="219" spans="1:30" x14ac:dyDescent="0.3">
      <c r="A219" s="44" t="str">
        <f t="shared" ca="1" si="3"/>
        <v>7.MENG</v>
      </c>
      <c r="B21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19" s="46"/>
      <c r="D219" s="44"/>
      <c r="E219" s="44"/>
      <c r="F219" s="47"/>
      <c r="G219" s="47"/>
      <c r="H219" s="45"/>
      <c r="I219" s="62"/>
      <c r="J219" s="45"/>
      <c r="K219" s="45"/>
      <c r="L219" s="46"/>
      <c r="M219" s="47"/>
      <c r="N219" s="46"/>
      <c r="O219" s="46"/>
      <c r="P219" s="47"/>
      <c r="Q219" s="46"/>
      <c r="R219" s="46"/>
      <c r="S219" s="48"/>
      <c r="T219" s="68" t="str">
        <f>IF(Tableau1[[#This Row],[DMS_SAP]]="","",HYPERLINK(Tableau1[[#This Row],[Chemin fichier source]],"X"))</f>
        <v/>
      </c>
      <c r="U219" s="68" t="str">
        <f>IF(Tableau1[[#This Row],[Date rév.]]="","",HYPERLINK(Tableau1[[#This Row],[Lien document]],"X"))</f>
        <v/>
      </c>
      <c r="V219" s="47"/>
      <c r="W21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19" s="47"/>
      <c r="Y219" s="47"/>
      <c r="Z219" s="44" t="str">
        <f ca="1">IF(AND(Tableau1[[#This Row],[Charge]]&lt;&gt;0, Tableau1[[#This Row],[Nombre intervenants]]&lt;&gt;0,Tableau1[[#This Row],[Lien document]]&lt;&gt;0,Tableau1[[#This Row],[DMS_SAP]]&lt;&gt;0)=TRUE,"MIS A JOUR","")</f>
        <v/>
      </c>
      <c r="AA219" s="48"/>
      <c r="AB219" s="65" t="str">
        <f ca="1">IF(Tableau1[[#This Row],[Date rév.]]&lt;&gt;"", DAYS360(Tableau1[[#This Row],[Date rév.]],TODAY()),"")</f>
        <v/>
      </c>
      <c r="AC219" s="50" t="str">
        <f>IFERROR(INDEX(Chemin_accès!$B$11:$C$22,MATCH(Tableau1[[#This Row],[Type]],Chemin_accès!$C$11:$C$22,0),1),Chemin_accès!$B$11)</f>
        <v>\\stjn.local\trimet\Btechnique\Commun\Atelier Central mécanique\Plan entretien\Modèles préventif\GammeDMS_7.MENG.xlsm</v>
      </c>
      <c r="AD219" s="50" t="str">
        <f>Chemin_accès!$B$8&amp;Tableau1[[#This Row],[Localisation / Classement]]&amp;"\"&amp;Tableau1[[#This Row],[Poste technique ou N° d''équipement]]&amp;"_"&amp;Tableau1[[#This Row],[Plan Entretien]]&amp;".xlsm"</f>
        <v>\\stjn.local\trimet\Btechnique\Commun\Atelier Central mécanique\Plan entretien\GammeEntretien\\_.xlsm</v>
      </c>
    </row>
    <row r="220" spans="1:30" x14ac:dyDescent="0.3">
      <c r="A220" s="44" t="str">
        <f t="shared" ca="1" si="3"/>
        <v>7.MENG</v>
      </c>
      <c r="B22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20" s="46"/>
      <c r="D220" s="44"/>
      <c r="E220" s="44"/>
      <c r="F220" s="47"/>
      <c r="G220" s="47"/>
      <c r="H220" s="45"/>
      <c r="I220" s="62"/>
      <c r="J220" s="45"/>
      <c r="K220" s="45"/>
      <c r="L220" s="46"/>
      <c r="M220" s="47"/>
      <c r="N220" s="46"/>
      <c r="O220" s="46"/>
      <c r="P220" s="47"/>
      <c r="Q220" s="46"/>
      <c r="R220" s="46"/>
      <c r="S220" s="48"/>
      <c r="T220" s="68" t="str">
        <f>IF(Tableau1[[#This Row],[DMS_SAP]]="","",HYPERLINK(Tableau1[[#This Row],[Chemin fichier source]],"X"))</f>
        <v/>
      </c>
      <c r="U220" s="68" t="str">
        <f>IF(Tableau1[[#This Row],[Date rév.]]="","",HYPERLINK(Tableau1[[#This Row],[Lien document]],"X"))</f>
        <v/>
      </c>
      <c r="V220" s="47"/>
      <c r="W22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20" s="47"/>
      <c r="Y220" s="47"/>
      <c r="Z220" s="44" t="str">
        <f ca="1">IF(AND(Tableau1[[#This Row],[Charge]]&lt;&gt;0, Tableau1[[#This Row],[Nombre intervenants]]&lt;&gt;0,Tableau1[[#This Row],[Lien document]]&lt;&gt;0,Tableau1[[#This Row],[DMS_SAP]]&lt;&gt;0)=TRUE,"MIS A JOUR","")</f>
        <v/>
      </c>
      <c r="AA220" s="48"/>
      <c r="AB220" s="65" t="str">
        <f ca="1">IF(Tableau1[[#This Row],[Date rév.]]&lt;&gt;"", DAYS360(Tableau1[[#This Row],[Date rév.]],TODAY()),"")</f>
        <v/>
      </c>
      <c r="AC220" s="50" t="str">
        <f>IFERROR(INDEX(Chemin_accès!$B$11:$C$22,MATCH(Tableau1[[#This Row],[Type]],Chemin_accès!$C$11:$C$22,0),1),Chemin_accès!$B$11)</f>
        <v>\\stjn.local\trimet\Btechnique\Commun\Atelier Central mécanique\Plan entretien\Modèles préventif\GammeDMS_7.MENG.xlsm</v>
      </c>
      <c r="AD220" s="50" t="str">
        <f>Chemin_accès!$B$8&amp;Tableau1[[#This Row],[Localisation / Classement]]&amp;"\"&amp;Tableau1[[#This Row],[Poste technique ou N° d''équipement]]&amp;"_"&amp;Tableau1[[#This Row],[Plan Entretien]]&amp;".xlsm"</f>
        <v>\\stjn.local\trimet\Btechnique\Commun\Atelier Central mécanique\Plan entretien\GammeEntretien\\_.xlsm</v>
      </c>
    </row>
    <row r="221" spans="1:30" x14ac:dyDescent="0.3">
      <c r="A221" s="44" t="str">
        <f t="shared" ca="1" si="3"/>
        <v>7.MENG</v>
      </c>
      <c r="B22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21" s="46"/>
      <c r="D221" s="44"/>
      <c r="E221" s="44"/>
      <c r="F221" s="47"/>
      <c r="G221" s="47"/>
      <c r="H221" s="45"/>
      <c r="I221" s="62"/>
      <c r="J221" s="45"/>
      <c r="K221" s="45"/>
      <c r="L221" s="46"/>
      <c r="M221" s="47"/>
      <c r="N221" s="46"/>
      <c r="O221" s="46"/>
      <c r="P221" s="47"/>
      <c r="Q221" s="46"/>
      <c r="R221" s="46"/>
      <c r="S221" s="48"/>
      <c r="T221" s="68" t="str">
        <f>IF(Tableau1[[#This Row],[DMS_SAP]]="","",HYPERLINK(Tableau1[[#This Row],[Chemin fichier source]],"X"))</f>
        <v/>
      </c>
      <c r="U221" s="68" t="str">
        <f>IF(Tableau1[[#This Row],[Date rév.]]="","",HYPERLINK(Tableau1[[#This Row],[Lien document]],"X"))</f>
        <v/>
      </c>
      <c r="V221" s="47"/>
      <c r="W22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21" s="47"/>
      <c r="Y221" s="47"/>
      <c r="Z221" s="44" t="str">
        <f ca="1">IF(AND(Tableau1[[#This Row],[Charge]]&lt;&gt;0, Tableau1[[#This Row],[Nombre intervenants]]&lt;&gt;0,Tableau1[[#This Row],[Lien document]]&lt;&gt;0,Tableau1[[#This Row],[DMS_SAP]]&lt;&gt;0)=TRUE,"MIS A JOUR","")</f>
        <v/>
      </c>
      <c r="AA221" s="48"/>
      <c r="AB221" s="65" t="str">
        <f ca="1">IF(Tableau1[[#This Row],[Date rév.]]&lt;&gt;"", DAYS360(Tableau1[[#This Row],[Date rév.]],TODAY()),"")</f>
        <v/>
      </c>
      <c r="AC221" s="50" t="str">
        <f>IFERROR(INDEX(Chemin_accès!$B$11:$C$22,MATCH(Tableau1[[#This Row],[Type]],Chemin_accès!$C$11:$C$22,0),1),Chemin_accès!$B$11)</f>
        <v>\\stjn.local\trimet\Btechnique\Commun\Atelier Central mécanique\Plan entretien\Modèles préventif\GammeDMS_7.MENG.xlsm</v>
      </c>
      <c r="AD221" s="50" t="str">
        <f>Chemin_accès!$B$8&amp;Tableau1[[#This Row],[Localisation / Classement]]&amp;"\"&amp;Tableau1[[#This Row],[Poste technique ou N° d''équipement]]&amp;"_"&amp;Tableau1[[#This Row],[Plan Entretien]]&amp;".xlsm"</f>
        <v>\\stjn.local\trimet\Btechnique\Commun\Atelier Central mécanique\Plan entretien\GammeEntretien\\_.xlsm</v>
      </c>
    </row>
    <row r="222" spans="1:30" x14ac:dyDescent="0.3">
      <c r="A222" s="44" t="str">
        <f t="shared" ca="1" si="3"/>
        <v>7.MENG</v>
      </c>
      <c r="B22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22" s="46"/>
      <c r="D222" s="44"/>
      <c r="E222" s="44"/>
      <c r="F222" s="47"/>
      <c r="G222" s="47"/>
      <c r="H222" s="45"/>
      <c r="I222" s="62"/>
      <c r="J222" s="45"/>
      <c r="K222" s="45"/>
      <c r="L222" s="46"/>
      <c r="M222" s="47"/>
      <c r="N222" s="46"/>
      <c r="O222" s="46"/>
      <c r="P222" s="47"/>
      <c r="Q222" s="46"/>
      <c r="R222" s="46"/>
      <c r="S222" s="48"/>
      <c r="T222" s="68" t="str">
        <f>IF(Tableau1[[#This Row],[DMS_SAP]]="","",HYPERLINK(Tableau1[[#This Row],[Chemin fichier source]],"X"))</f>
        <v/>
      </c>
      <c r="U222" s="68" t="str">
        <f>IF(Tableau1[[#This Row],[Date rév.]]="","",HYPERLINK(Tableau1[[#This Row],[Lien document]],"X"))</f>
        <v/>
      </c>
      <c r="V222" s="47"/>
      <c r="W22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22" s="47"/>
      <c r="Y222" s="47"/>
      <c r="Z222" s="44" t="str">
        <f ca="1">IF(AND(Tableau1[[#This Row],[Charge]]&lt;&gt;0, Tableau1[[#This Row],[Nombre intervenants]]&lt;&gt;0,Tableau1[[#This Row],[Lien document]]&lt;&gt;0,Tableau1[[#This Row],[DMS_SAP]]&lt;&gt;0)=TRUE,"MIS A JOUR","")</f>
        <v/>
      </c>
      <c r="AA222" s="48"/>
      <c r="AB222" s="65" t="str">
        <f ca="1">IF(Tableau1[[#This Row],[Date rév.]]&lt;&gt;"", DAYS360(Tableau1[[#This Row],[Date rév.]],TODAY()),"")</f>
        <v/>
      </c>
      <c r="AC222" s="50" t="str">
        <f>IFERROR(INDEX(Chemin_accès!$B$11:$C$22,MATCH(Tableau1[[#This Row],[Type]],Chemin_accès!$C$11:$C$22,0),1),Chemin_accès!$B$11)</f>
        <v>\\stjn.local\trimet\Btechnique\Commun\Atelier Central mécanique\Plan entretien\Modèles préventif\GammeDMS_7.MENG.xlsm</v>
      </c>
      <c r="AD222" s="50" t="str">
        <f>Chemin_accès!$B$8&amp;Tableau1[[#This Row],[Localisation / Classement]]&amp;"\"&amp;Tableau1[[#This Row],[Poste technique ou N° d''équipement]]&amp;"_"&amp;Tableau1[[#This Row],[Plan Entretien]]&amp;".xlsm"</f>
        <v>\\stjn.local\trimet\Btechnique\Commun\Atelier Central mécanique\Plan entretien\GammeEntretien\\_.xlsm</v>
      </c>
    </row>
    <row r="223" spans="1:30" x14ac:dyDescent="0.3">
      <c r="A223" s="44" t="str">
        <f t="shared" ca="1" si="3"/>
        <v>7.MENG</v>
      </c>
      <c r="B22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23" s="46"/>
      <c r="D223" s="44"/>
      <c r="E223" s="44"/>
      <c r="F223" s="47"/>
      <c r="G223" s="47"/>
      <c r="H223" s="45"/>
      <c r="I223" s="62"/>
      <c r="J223" s="45"/>
      <c r="K223" s="45"/>
      <c r="L223" s="46"/>
      <c r="M223" s="47"/>
      <c r="N223" s="46"/>
      <c r="O223" s="46"/>
      <c r="P223" s="47"/>
      <c r="Q223" s="46"/>
      <c r="R223" s="46"/>
      <c r="S223" s="48"/>
      <c r="T223" s="68" t="str">
        <f>IF(Tableau1[[#This Row],[DMS_SAP]]="","",HYPERLINK(Tableau1[[#This Row],[Chemin fichier source]],"X"))</f>
        <v/>
      </c>
      <c r="U223" s="68" t="str">
        <f>IF(Tableau1[[#This Row],[Date rév.]]="","",HYPERLINK(Tableau1[[#This Row],[Lien document]],"X"))</f>
        <v/>
      </c>
      <c r="V223" s="47"/>
      <c r="W22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23" s="47"/>
      <c r="Y223" s="47"/>
      <c r="Z223" s="44" t="str">
        <f ca="1">IF(AND(Tableau1[[#This Row],[Charge]]&lt;&gt;0, Tableau1[[#This Row],[Nombre intervenants]]&lt;&gt;0,Tableau1[[#This Row],[Lien document]]&lt;&gt;0,Tableau1[[#This Row],[DMS_SAP]]&lt;&gt;0)=TRUE,"MIS A JOUR","")</f>
        <v/>
      </c>
      <c r="AA223" s="48"/>
      <c r="AB223" s="65" t="str">
        <f ca="1">IF(Tableau1[[#This Row],[Date rév.]]&lt;&gt;"", DAYS360(Tableau1[[#This Row],[Date rév.]],TODAY()),"")</f>
        <v/>
      </c>
      <c r="AC223" s="50" t="str">
        <f>IFERROR(INDEX(Chemin_accès!$B$11:$C$22,MATCH(Tableau1[[#This Row],[Type]],Chemin_accès!$C$11:$C$22,0),1),Chemin_accès!$B$11)</f>
        <v>\\stjn.local\trimet\Btechnique\Commun\Atelier Central mécanique\Plan entretien\Modèles préventif\GammeDMS_7.MENG.xlsm</v>
      </c>
      <c r="AD223" s="50" t="str">
        <f>Chemin_accès!$B$8&amp;Tableau1[[#This Row],[Localisation / Classement]]&amp;"\"&amp;Tableau1[[#This Row],[Poste technique ou N° d''équipement]]&amp;"_"&amp;Tableau1[[#This Row],[Plan Entretien]]&amp;".xlsm"</f>
        <v>\\stjn.local\trimet\Btechnique\Commun\Atelier Central mécanique\Plan entretien\GammeEntretien\\_.xlsm</v>
      </c>
    </row>
    <row r="224" spans="1:30" x14ac:dyDescent="0.3">
      <c r="A224" s="44" t="str">
        <f t="shared" ca="1" si="3"/>
        <v>7.MENG</v>
      </c>
      <c r="B22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24" s="46"/>
      <c r="D224" s="44"/>
      <c r="E224" s="44"/>
      <c r="F224" s="47"/>
      <c r="G224" s="47"/>
      <c r="H224" s="45"/>
      <c r="I224" s="62"/>
      <c r="J224" s="45"/>
      <c r="K224" s="45"/>
      <c r="L224" s="46"/>
      <c r="M224" s="47"/>
      <c r="N224" s="46"/>
      <c r="O224" s="46"/>
      <c r="P224" s="47"/>
      <c r="Q224" s="46"/>
      <c r="R224" s="46"/>
      <c r="S224" s="48"/>
      <c r="T224" s="68" t="str">
        <f>IF(Tableau1[[#This Row],[DMS_SAP]]="","",HYPERLINK(Tableau1[[#This Row],[Chemin fichier source]],"X"))</f>
        <v/>
      </c>
      <c r="U224" s="68" t="str">
        <f>IF(Tableau1[[#This Row],[Date rév.]]="","",HYPERLINK(Tableau1[[#This Row],[Lien document]],"X"))</f>
        <v/>
      </c>
      <c r="V224" s="47"/>
      <c r="W22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24" s="47"/>
      <c r="Y224" s="47"/>
      <c r="Z224" s="44" t="str">
        <f ca="1">IF(AND(Tableau1[[#This Row],[Charge]]&lt;&gt;0, Tableau1[[#This Row],[Nombre intervenants]]&lt;&gt;0,Tableau1[[#This Row],[Lien document]]&lt;&gt;0,Tableau1[[#This Row],[DMS_SAP]]&lt;&gt;0)=TRUE,"MIS A JOUR","")</f>
        <v/>
      </c>
      <c r="AA224" s="48"/>
      <c r="AB224" s="65" t="str">
        <f ca="1">IF(Tableau1[[#This Row],[Date rév.]]&lt;&gt;"", DAYS360(Tableau1[[#This Row],[Date rév.]],TODAY()),"")</f>
        <v/>
      </c>
      <c r="AC224" s="50" t="str">
        <f>IFERROR(INDEX(Chemin_accès!$B$11:$C$22,MATCH(Tableau1[[#This Row],[Type]],Chemin_accès!$C$11:$C$22,0),1),Chemin_accès!$B$11)</f>
        <v>\\stjn.local\trimet\Btechnique\Commun\Atelier Central mécanique\Plan entretien\Modèles préventif\GammeDMS_7.MENG.xlsm</v>
      </c>
      <c r="AD224" s="50" t="str">
        <f>Chemin_accès!$B$8&amp;Tableau1[[#This Row],[Localisation / Classement]]&amp;"\"&amp;Tableau1[[#This Row],[Poste technique ou N° d''équipement]]&amp;"_"&amp;Tableau1[[#This Row],[Plan Entretien]]&amp;".xlsm"</f>
        <v>\\stjn.local\trimet\Btechnique\Commun\Atelier Central mécanique\Plan entretien\GammeEntretien\\_.xlsm</v>
      </c>
    </row>
    <row r="225" spans="1:30" x14ac:dyDescent="0.3">
      <c r="A225" s="44" t="str">
        <f t="shared" ca="1" si="3"/>
        <v>7.MENG</v>
      </c>
      <c r="B22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25" s="46"/>
      <c r="D225" s="44"/>
      <c r="E225" s="44"/>
      <c r="F225" s="47"/>
      <c r="G225" s="47"/>
      <c r="H225" s="45"/>
      <c r="I225" s="62"/>
      <c r="J225" s="45"/>
      <c r="K225" s="45"/>
      <c r="L225" s="46"/>
      <c r="M225" s="47"/>
      <c r="N225" s="46"/>
      <c r="O225" s="46"/>
      <c r="P225" s="47"/>
      <c r="Q225" s="46"/>
      <c r="R225" s="46"/>
      <c r="S225" s="48"/>
      <c r="T225" s="68" t="str">
        <f>IF(Tableau1[[#This Row],[DMS_SAP]]="","",HYPERLINK(Tableau1[[#This Row],[Chemin fichier source]],"X"))</f>
        <v/>
      </c>
      <c r="U225" s="68" t="str">
        <f>IF(Tableau1[[#This Row],[Date rév.]]="","",HYPERLINK(Tableau1[[#This Row],[Lien document]],"X"))</f>
        <v/>
      </c>
      <c r="V225" s="47"/>
      <c r="W22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25" s="47"/>
      <c r="Y225" s="47"/>
      <c r="Z225" s="44" t="str">
        <f ca="1">IF(AND(Tableau1[[#This Row],[Charge]]&lt;&gt;0, Tableau1[[#This Row],[Nombre intervenants]]&lt;&gt;0,Tableau1[[#This Row],[Lien document]]&lt;&gt;0,Tableau1[[#This Row],[DMS_SAP]]&lt;&gt;0)=TRUE,"MIS A JOUR","")</f>
        <v/>
      </c>
      <c r="AA225" s="48"/>
      <c r="AB225" s="65" t="str">
        <f ca="1">IF(Tableau1[[#This Row],[Date rév.]]&lt;&gt;"", DAYS360(Tableau1[[#This Row],[Date rév.]],TODAY()),"")</f>
        <v/>
      </c>
      <c r="AC225" s="50" t="str">
        <f>IFERROR(INDEX(Chemin_accès!$B$11:$C$22,MATCH(Tableau1[[#This Row],[Type]],Chemin_accès!$C$11:$C$22,0),1),Chemin_accès!$B$11)</f>
        <v>\\stjn.local\trimet\Btechnique\Commun\Atelier Central mécanique\Plan entretien\Modèles préventif\GammeDMS_7.MENG.xlsm</v>
      </c>
      <c r="AD225" s="50" t="str">
        <f>Chemin_accès!$B$8&amp;Tableau1[[#This Row],[Localisation / Classement]]&amp;"\"&amp;Tableau1[[#This Row],[Poste technique ou N° d''équipement]]&amp;"_"&amp;Tableau1[[#This Row],[Plan Entretien]]&amp;".xlsm"</f>
        <v>\\stjn.local\trimet\Btechnique\Commun\Atelier Central mécanique\Plan entretien\GammeEntretien\\_.xlsm</v>
      </c>
    </row>
    <row r="226" spans="1:30" x14ac:dyDescent="0.3">
      <c r="A226" s="44" t="str">
        <f t="shared" ca="1" si="3"/>
        <v>7.MENG</v>
      </c>
      <c r="B22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26" s="46"/>
      <c r="D226" s="44"/>
      <c r="E226" s="44"/>
      <c r="F226" s="47"/>
      <c r="G226" s="47"/>
      <c r="H226" s="45"/>
      <c r="I226" s="62"/>
      <c r="J226" s="45"/>
      <c r="K226" s="45"/>
      <c r="L226" s="46"/>
      <c r="M226" s="47"/>
      <c r="N226" s="46"/>
      <c r="O226" s="46"/>
      <c r="P226" s="47"/>
      <c r="Q226" s="46"/>
      <c r="R226" s="46"/>
      <c r="S226" s="48"/>
      <c r="T226" s="68" t="str">
        <f>IF(Tableau1[[#This Row],[DMS_SAP]]="","",HYPERLINK(Tableau1[[#This Row],[Chemin fichier source]],"X"))</f>
        <v/>
      </c>
      <c r="U226" s="68" t="str">
        <f>IF(Tableau1[[#This Row],[Date rév.]]="","",HYPERLINK(Tableau1[[#This Row],[Lien document]],"X"))</f>
        <v/>
      </c>
      <c r="V226" s="47"/>
      <c r="W22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26" s="47"/>
      <c r="Y226" s="47"/>
      <c r="Z226" s="44" t="str">
        <f ca="1">IF(AND(Tableau1[[#This Row],[Charge]]&lt;&gt;0, Tableau1[[#This Row],[Nombre intervenants]]&lt;&gt;0,Tableau1[[#This Row],[Lien document]]&lt;&gt;0,Tableau1[[#This Row],[DMS_SAP]]&lt;&gt;0)=TRUE,"MIS A JOUR","")</f>
        <v/>
      </c>
      <c r="AA226" s="48"/>
      <c r="AB226" s="65" t="str">
        <f ca="1">IF(Tableau1[[#This Row],[Date rév.]]&lt;&gt;"", DAYS360(Tableau1[[#This Row],[Date rév.]],TODAY()),"")</f>
        <v/>
      </c>
      <c r="AC226" s="50" t="str">
        <f>IFERROR(INDEX(Chemin_accès!$B$11:$C$22,MATCH(Tableau1[[#This Row],[Type]],Chemin_accès!$C$11:$C$22,0),1),Chemin_accès!$B$11)</f>
        <v>\\stjn.local\trimet\Btechnique\Commun\Atelier Central mécanique\Plan entretien\Modèles préventif\GammeDMS_7.MENG.xlsm</v>
      </c>
      <c r="AD226" s="50" t="str">
        <f>Chemin_accès!$B$8&amp;Tableau1[[#This Row],[Localisation / Classement]]&amp;"\"&amp;Tableau1[[#This Row],[Poste technique ou N° d''équipement]]&amp;"_"&amp;Tableau1[[#This Row],[Plan Entretien]]&amp;".xlsm"</f>
        <v>\\stjn.local\trimet\Btechnique\Commun\Atelier Central mécanique\Plan entretien\GammeEntretien\\_.xlsm</v>
      </c>
    </row>
    <row r="227" spans="1:30" x14ac:dyDescent="0.3">
      <c r="A227" s="44" t="str">
        <f t="shared" ca="1" si="3"/>
        <v>7.MENG</v>
      </c>
      <c r="B22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27" s="46"/>
      <c r="D227" s="44"/>
      <c r="E227" s="44"/>
      <c r="F227" s="47"/>
      <c r="G227" s="47"/>
      <c r="H227" s="45"/>
      <c r="I227" s="62"/>
      <c r="J227" s="45"/>
      <c r="K227" s="45"/>
      <c r="L227" s="46"/>
      <c r="M227" s="47"/>
      <c r="N227" s="46"/>
      <c r="O227" s="46"/>
      <c r="P227" s="47"/>
      <c r="Q227" s="46"/>
      <c r="R227" s="46"/>
      <c r="S227" s="48"/>
      <c r="T227" s="68" t="str">
        <f>IF(Tableau1[[#This Row],[DMS_SAP]]="","",HYPERLINK(Tableau1[[#This Row],[Chemin fichier source]],"X"))</f>
        <v/>
      </c>
      <c r="U227" s="68" t="str">
        <f>IF(Tableau1[[#This Row],[Date rév.]]="","",HYPERLINK(Tableau1[[#This Row],[Lien document]],"X"))</f>
        <v/>
      </c>
      <c r="V227" s="47"/>
      <c r="W22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27" s="47"/>
      <c r="Y227" s="47"/>
      <c r="Z227" s="44" t="str">
        <f ca="1">IF(AND(Tableau1[[#This Row],[Charge]]&lt;&gt;0, Tableau1[[#This Row],[Nombre intervenants]]&lt;&gt;0,Tableau1[[#This Row],[Lien document]]&lt;&gt;0,Tableau1[[#This Row],[DMS_SAP]]&lt;&gt;0)=TRUE,"MIS A JOUR","")</f>
        <v/>
      </c>
      <c r="AA227" s="48"/>
      <c r="AB227" s="65" t="str">
        <f ca="1">IF(Tableau1[[#This Row],[Date rév.]]&lt;&gt;"", DAYS360(Tableau1[[#This Row],[Date rév.]],TODAY()),"")</f>
        <v/>
      </c>
      <c r="AC227" s="50" t="str">
        <f>IFERROR(INDEX(Chemin_accès!$B$11:$C$22,MATCH(Tableau1[[#This Row],[Type]],Chemin_accès!$C$11:$C$22,0),1),Chemin_accès!$B$11)</f>
        <v>\\stjn.local\trimet\Btechnique\Commun\Atelier Central mécanique\Plan entretien\Modèles préventif\GammeDMS_7.MENG.xlsm</v>
      </c>
      <c r="AD227" s="50" t="str">
        <f>Chemin_accès!$B$8&amp;Tableau1[[#This Row],[Localisation / Classement]]&amp;"\"&amp;Tableau1[[#This Row],[Poste technique ou N° d''équipement]]&amp;"_"&amp;Tableau1[[#This Row],[Plan Entretien]]&amp;".xlsm"</f>
        <v>\\stjn.local\trimet\Btechnique\Commun\Atelier Central mécanique\Plan entretien\GammeEntretien\\_.xlsm</v>
      </c>
    </row>
    <row r="228" spans="1:30" x14ac:dyDescent="0.3">
      <c r="A228" s="44" t="str">
        <f t="shared" ca="1" si="3"/>
        <v>7.MENG</v>
      </c>
      <c r="B22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28" s="46"/>
      <c r="D228" s="44"/>
      <c r="E228" s="44"/>
      <c r="F228" s="47"/>
      <c r="G228" s="47"/>
      <c r="H228" s="45"/>
      <c r="I228" s="62"/>
      <c r="J228" s="45"/>
      <c r="K228" s="45"/>
      <c r="L228" s="46"/>
      <c r="M228" s="47"/>
      <c r="N228" s="46"/>
      <c r="O228" s="46"/>
      <c r="P228" s="47"/>
      <c r="Q228" s="46"/>
      <c r="R228" s="46"/>
      <c r="S228" s="48"/>
      <c r="T228" s="68" t="str">
        <f>IF(Tableau1[[#This Row],[DMS_SAP]]="","",HYPERLINK(Tableau1[[#This Row],[Chemin fichier source]],"X"))</f>
        <v/>
      </c>
      <c r="U228" s="68" t="str">
        <f>IF(Tableau1[[#This Row],[Date rév.]]="","",HYPERLINK(Tableau1[[#This Row],[Lien document]],"X"))</f>
        <v/>
      </c>
      <c r="V228" s="47"/>
      <c r="W22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28" s="47"/>
      <c r="Y228" s="47"/>
      <c r="Z228" s="44" t="str">
        <f ca="1">IF(AND(Tableau1[[#This Row],[Charge]]&lt;&gt;0, Tableau1[[#This Row],[Nombre intervenants]]&lt;&gt;0,Tableau1[[#This Row],[Lien document]]&lt;&gt;0,Tableau1[[#This Row],[DMS_SAP]]&lt;&gt;0)=TRUE,"MIS A JOUR","")</f>
        <v/>
      </c>
      <c r="AA228" s="48"/>
      <c r="AB228" s="65" t="str">
        <f ca="1">IF(Tableau1[[#This Row],[Date rév.]]&lt;&gt;"", DAYS360(Tableau1[[#This Row],[Date rév.]],TODAY()),"")</f>
        <v/>
      </c>
      <c r="AC228" s="50" t="str">
        <f>IFERROR(INDEX(Chemin_accès!$B$11:$C$22,MATCH(Tableau1[[#This Row],[Type]],Chemin_accès!$C$11:$C$22,0),1),Chemin_accès!$B$11)</f>
        <v>\\stjn.local\trimet\Btechnique\Commun\Atelier Central mécanique\Plan entretien\Modèles préventif\GammeDMS_7.MENG.xlsm</v>
      </c>
      <c r="AD228" s="50" t="str">
        <f>Chemin_accès!$B$8&amp;Tableau1[[#This Row],[Localisation / Classement]]&amp;"\"&amp;Tableau1[[#This Row],[Poste technique ou N° d''équipement]]&amp;"_"&amp;Tableau1[[#This Row],[Plan Entretien]]&amp;".xlsm"</f>
        <v>\\stjn.local\trimet\Btechnique\Commun\Atelier Central mécanique\Plan entretien\GammeEntretien\\_.xlsm</v>
      </c>
    </row>
    <row r="229" spans="1:30" x14ac:dyDescent="0.3">
      <c r="A229" s="44" t="str">
        <f t="shared" ca="1" si="3"/>
        <v>7.MENG</v>
      </c>
      <c r="B22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29" s="46"/>
      <c r="D229" s="44"/>
      <c r="E229" s="44"/>
      <c r="F229" s="47"/>
      <c r="G229" s="47"/>
      <c r="H229" s="45"/>
      <c r="I229" s="62"/>
      <c r="J229" s="45"/>
      <c r="K229" s="45"/>
      <c r="L229" s="46"/>
      <c r="M229" s="47"/>
      <c r="N229" s="46"/>
      <c r="O229" s="46"/>
      <c r="P229" s="47"/>
      <c r="Q229" s="46"/>
      <c r="R229" s="46"/>
      <c r="S229" s="48"/>
      <c r="T229" s="68" t="str">
        <f>IF(Tableau1[[#This Row],[DMS_SAP]]="","",HYPERLINK(Tableau1[[#This Row],[Chemin fichier source]],"X"))</f>
        <v/>
      </c>
      <c r="U229" s="68" t="str">
        <f>IF(Tableau1[[#This Row],[Date rév.]]="","",HYPERLINK(Tableau1[[#This Row],[Lien document]],"X"))</f>
        <v/>
      </c>
      <c r="V229" s="47"/>
      <c r="W22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29" s="47"/>
      <c r="Y229" s="47"/>
      <c r="Z229" s="44" t="str">
        <f ca="1">IF(AND(Tableau1[[#This Row],[Charge]]&lt;&gt;0, Tableau1[[#This Row],[Nombre intervenants]]&lt;&gt;0,Tableau1[[#This Row],[Lien document]]&lt;&gt;0,Tableau1[[#This Row],[DMS_SAP]]&lt;&gt;0)=TRUE,"MIS A JOUR","")</f>
        <v/>
      </c>
      <c r="AA229" s="48"/>
      <c r="AB229" s="65" t="str">
        <f ca="1">IF(Tableau1[[#This Row],[Date rév.]]&lt;&gt;"", DAYS360(Tableau1[[#This Row],[Date rév.]],TODAY()),"")</f>
        <v/>
      </c>
      <c r="AC229" s="50" t="str">
        <f>IFERROR(INDEX(Chemin_accès!$B$11:$C$22,MATCH(Tableau1[[#This Row],[Type]],Chemin_accès!$C$11:$C$22,0),1),Chemin_accès!$B$11)</f>
        <v>\\stjn.local\trimet\Btechnique\Commun\Atelier Central mécanique\Plan entretien\Modèles préventif\GammeDMS_7.MENG.xlsm</v>
      </c>
      <c r="AD229" s="50" t="str">
        <f>Chemin_accès!$B$8&amp;Tableau1[[#This Row],[Localisation / Classement]]&amp;"\"&amp;Tableau1[[#This Row],[Poste technique ou N° d''équipement]]&amp;"_"&amp;Tableau1[[#This Row],[Plan Entretien]]&amp;".xlsm"</f>
        <v>\\stjn.local\trimet\Btechnique\Commun\Atelier Central mécanique\Plan entretien\GammeEntretien\\_.xlsm</v>
      </c>
    </row>
    <row r="230" spans="1:30" x14ac:dyDescent="0.3">
      <c r="A230" s="44" t="str">
        <f t="shared" ca="1" si="3"/>
        <v>7.MENG</v>
      </c>
      <c r="B23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30" s="46"/>
      <c r="D230" s="44"/>
      <c r="E230" s="44"/>
      <c r="F230" s="47"/>
      <c r="G230" s="47"/>
      <c r="H230" s="45"/>
      <c r="I230" s="62"/>
      <c r="J230" s="45"/>
      <c r="K230" s="45"/>
      <c r="L230" s="46"/>
      <c r="M230" s="47"/>
      <c r="N230" s="46"/>
      <c r="O230" s="46"/>
      <c r="P230" s="47"/>
      <c r="Q230" s="46"/>
      <c r="R230" s="46"/>
      <c r="S230" s="48"/>
      <c r="T230" s="68" t="str">
        <f>IF(Tableau1[[#This Row],[DMS_SAP]]="","",HYPERLINK(Tableau1[[#This Row],[Chemin fichier source]],"X"))</f>
        <v/>
      </c>
      <c r="U230" s="68" t="str">
        <f>IF(Tableau1[[#This Row],[Date rév.]]="","",HYPERLINK(Tableau1[[#This Row],[Lien document]],"X"))</f>
        <v/>
      </c>
      <c r="V230" s="47"/>
      <c r="W23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30" s="47"/>
      <c r="Y230" s="47"/>
      <c r="Z230" s="44" t="str">
        <f ca="1">IF(AND(Tableau1[[#This Row],[Charge]]&lt;&gt;0, Tableau1[[#This Row],[Nombre intervenants]]&lt;&gt;0,Tableau1[[#This Row],[Lien document]]&lt;&gt;0,Tableau1[[#This Row],[DMS_SAP]]&lt;&gt;0)=TRUE,"MIS A JOUR","")</f>
        <v/>
      </c>
      <c r="AA230" s="48"/>
      <c r="AB230" s="65" t="str">
        <f ca="1">IF(Tableau1[[#This Row],[Date rév.]]&lt;&gt;"", DAYS360(Tableau1[[#This Row],[Date rév.]],TODAY()),"")</f>
        <v/>
      </c>
      <c r="AC230" s="50" t="str">
        <f>IFERROR(INDEX(Chemin_accès!$B$11:$C$22,MATCH(Tableau1[[#This Row],[Type]],Chemin_accès!$C$11:$C$22,0),1),Chemin_accès!$B$11)</f>
        <v>\\stjn.local\trimet\Btechnique\Commun\Atelier Central mécanique\Plan entretien\Modèles préventif\GammeDMS_7.MENG.xlsm</v>
      </c>
      <c r="AD230" s="50" t="str">
        <f>Chemin_accès!$B$8&amp;Tableau1[[#This Row],[Localisation / Classement]]&amp;"\"&amp;Tableau1[[#This Row],[Poste technique ou N° d''équipement]]&amp;"_"&amp;Tableau1[[#This Row],[Plan Entretien]]&amp;".xlsm"</f>
        <v>\\stjn.local\trimet\Btechnique\Commun\Atelier Central mécanique\Plan entretien\GammeEntretien\\_.xlsm</v>
      </c>
    </row>
    <row r="231" spans="1:30" x14ac:dyDescent="0.3">
      <c r="A231" s="44" t="str">
        <f t="shared" ca="1" si="3"/>
        <v>7.MENG</v>
      </c>
      <c r="B23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31" s="46"/>
      <c r="D231" s="44"/>
      <c r="E231" s="44"/>
      <c r="F231" s="47"/>
      <c r="G231" s="47"/>
      <c r="H231" s="45"/>
      <c r="I231" s="62"/>
      <c r="J231" s="45"/>
      <c r="K231" s="45"/>
      <c r="L231" s="46"/>
      <c r="M231" s="47"/>
      <c r="N231" s="46"/>
      <c r="O231" s="46"/>
      <c r="P231" s="47"/>
      <c r="Q231" s="46"/>
      <c r="R231" s="46"/>
      <c r="S231" s="48"/>
      <c r="T231" s="68" t="str">
        <f>IF(Tableau1[[#This Row],[DMS_SAP]]="","",HYPERLINK(Tableau1[[#This Row],[Chemin fichier source]],"X"))</f>
        <v/>
      </c>
      <c r="U231" s="68" t="str">
        <f>IF(Tableau1[[#This Row],[Date rév.]]="","",HYPERLINK(Tableau1[[#This Row],[Lien document]],"X"))</f>
        <v/>
      </c>
      <c r="V231" s="47"/>
      <c r="W23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31" s="47"/>
      <c r="Y231" s="47"/>
      <c r="Z231" s="44" t="str">
        <f ca="1">IF(AND(Tableau1[[#This Row],[Charge]]&lt;&gt;0, Tableau1[[#This Row],[Nombre intervenants]]&lt;&gt;0,Tableau1[[#This Row],[Lien document]]&lt;&gt;0,Tableau1[[#This Row],[DMS_SAP]]&lt;&gt;0)=TRUE,"MIS A JOUR","")</f>
        <v/>
      </c>
      <c r="AA231" s="48"/>
      <c r="AB231" s="65" t="str">
        <f ca="1">IF(Tableau1[[#This Row],[Date rév.]]&lt;&gt;"", DAYS360(Tableau1[[#This Row],[Date rév.]],TODAY()),"")</f>
        <v/>
      </c>
      <c r="AC231" s="50" t="str">
        <f>IFERROR(INDEX(Chemin_accès!$B$11:$C$22,MATCH(Tableau1[[#This Row],[Type]],Chemin_accès!$C$11:$C$22,0),1),Chemin_accès!$B$11)</f>
        <v>\\stjn.local\trimet\Btechnique\Commun\Atelier Central mécanique\Plan entretien\Modèles préventif\GammeDMS_7.MENG.xlsm</v>
      </c>
      <c r="AD231" s="50" t="str">
        <f>Chemin_accès!$B$8&amp;Tableau1[[#This Row],[Localisation / Classement]]&amp;"\"&amp;Tableau1[[#This Row],[Poste technique ou N° d''équipement]]&amp;"_"&amp;Tableau1[[#This Row],[Plan Entretien]]&amp;".xlsm"</f>
        <v>\\stjn.local\trimet\Btechnique\Commun\Atelier Central mécanique\Plan entretien\GammeEntretien\\_.xlsm</v>
      </c>
    </row>
    <row r="232" spans="1:30" x14ac:dyDescent="0.3">
      <c r="A232" s="44" t="str">
        <f t="shared" ca="1" si="3"/>
        <v>7.MENG</v>
      </c>
      <c r="B23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32" s="46"/>
      <c r="D232" s="44"/>
      <c r="E232" s="44"/>
      <c r="F232" s="47"/>
      <c r="G232" s="47"/>
      <c r="H232" s="45"/>
      <c r="I232" s="62"/>
      <c r="J232" s="45"/>
      <c r="K232" s="45"/>
      <c r="L232" s="46"/>
      <c r="M232" s="47"/>
      <c r="N232" s="46"/>
      <c r="O232" s="46"/>
      <c r="P232" s="47"/>
      <c r="Q232" s="46"/>
      <c r="R232" s="46"/>
      <c r="S232" s="48"/>
      <c r="T232" s="68" t="str">
        <f>IF(Tableau1[[#This Row],[DMS_SAP]]="","",HYPERLINK(Tableau1[[#This Row],[Chemin fichier source]],"X"))</f>
        <v/>
      </c>
      <c r="U232" s="68" t="str">
        <f>IF(Tableau1[[#This Row],[Date rév.]]="","",HYPERLINK(Tableau1[[#This Row],[Lien document]],"X"))</f>
        <v/>
      </c>
      <c r="V232" s="47"/>
      <c r="W23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32" s="47"/>
      <c r="Y232" s="47"/>
      <c r="Z232" s="44" t="str">
        <f ca="1">IF(AND(Tableau1[[#This Row],[Charge]]&lt;&gt;0, Tableau1[[#This Row],[Nombre intervenants]]&lt;&gt;0,Tableau1[[#This Row],[Lien document]]&lt;&gt;0,Tableau1[[#This Row],[DMS_SAP]]&lt;&gt;0)=TRUE,"MIS A JOUR","")</f>
        <v/>
      </c>
      <c r="AA232" s="48"/>
      <c r="AB232" s="65" t="str">
        <f ca="1">IF(Tableau1[[#This Row],[Date rév.]]&lt;&gt;"", DAYS360(Tableau1[[#This Row],[Date rév.]],TODAY()),"")</f>
        <v/>
      </c>
      <c r="AC232" s="50" t="str">
        <f>IFERROR(INDEX(Chemin_accès!$B$11:$C$22,MATCH(Tableau1[[#This Row],[Type]],Chemin_accès!$C$11:$C$22,0),1),Chemin_accès!$B$11)</f>
        <v>\\stjn.local\trimet\Btechnique\Commun\Atelier Central mécanique\Plan entretien\Modèles préventif\GammeDMS_7.MENG.xlsm</v>
      </c>
      <c r="AD232" s="50" t="str">
        <f>Chemin_accès!$B$8&amp;Tableau1[[#This Row],[Localisation / Classement]]&amp;"\"&amp;Tableau1[[#This Row],[Poste technique ou N° d''équipement]]&amp;"_"&amp;Tableau1[[#This Row],[Plan Entretien]]&amp;".xlsm"</f>
        <v>\\stjn.local\trimet\Btechnique\Commun\Atelier Central mécanique\Plan entretien\GammeEntretien\\_.xlsm</v>
      </c>
    </row>
    <row r="233" spans="1:30" x14ac:dyDescent="0.3">
      <c r="A233" s="44" t="str">
        <f t="shared" ca="1" si="3"/>
        <v>7.MENG</v>
      </c>
      <c r="B23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33" s="46"/>
      <c r="D233" s="44"/>
      <c r="E233" s="44"/>
      <c r="F233" s="47"/>
      <c r="G233" s="47"/>
      <c r="H233" s="45"/>
      <c r="I233" s="62"/>
      <c r="J233" s="45"/>
      <c r="K233" s="45"/>
      <c r="L233" s="46"/>
      <c r="M233" s="47"/>
      <c r="N233" s="46"/>
      <c r="O233" s="46"/>
      <c r="P233" s="47"/>
      <c r="Q233" s="46"/>
      <c r="R233" s="46"/>
      <c r="S233" s="48"/>
      <c r="T233" s="68" t="str">
        <f>IF(Tableau1[[#This Row],[DMS_SAP]]="","",HYPERLINK(Tableau1[[#This Row],[Chemin fichier source]],"X"))</f>
        <v/>
      </c>
      <c r="U233" s="68" t="str">
        <f>IF(Tableau1[[#This Row],[Date rév.]]="","",HYPERLINK(Tableau1[[#This Row],[Lien document]],"X"))</f>
        <v/>
      </c>
      <c r="V233" s="47"/>
      <c r="W23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33" s="47"/>
      <c r="Y233" s="47"/>
      <c r="Z233" s="44" t="str">
        <f ca="1">IF(AND(Tableau1[[#This Row],[Charge]]&lt;&gt;0, Tableau1[[#This Row],[Nombre intervenants]]&lt;&gt;0,Tableau1[[#This Row],[Lien document]]&lt;&gt;0,Tableau1[[#This Row],[DMS_SAP]]&lt;&gt;0)=TRUE,"MIS A JOUR","")</f>
        <v/>
      </c>
      <c r="AA233" s="48"/>
      <c r="AB233" s="65" t="str">
        <f ca="1">IF(Tableau1[[#This Row],[Date rév.]]&lt;&gt;"", DAYS360(Tableau1[[#This Row],[Date rév.]],TODAY()),"")</f>
        <v/>
      </c>
      <c r="AC233" s="50" t="str">
        <f>IFERROR(INDEX(Chemin_accès!$B$11:$C$22,MATCH(Tableau1[[#This Row],[Type]],Chemin_accès!$C$11:$C$22,0),1),Chemin_accès!$B$11)</f>
        <v>\\stjn.local\trimet\Btechnique\Commun\Atelier Central mécanique\Plan entretien\Modèles préventif\GammeDMS_7.MENG.xlsm</v>
      </c>
      <c r="AD233" s="50" t="str">
        <f>Chemin_accès!$B$8&amp;Tableau1[[#This Row],[Localisation / Classement]]&amp;"\"&amp;Tableau1[[#This Row],[Poste technique ou N° d''équipement]]&amp;"_"&amp;Tableau1[[#This Row],[Plan Entretien]]&amp;".xlsm"</f>
        <v>\\stjn.local\trimet\Btechnique\Commun\Atelier Central mécanique\Plan entretien\GammeEntretien\\_.xlsm</v>
      </c>
    </row>
    <row r="234" spans="1:30" x14ac:dyDescent="0.3">
      <c r="A234" s="44" t="str">
        <f t="shared" ca="1" si="3"/>
        <v>7.MENG</v>
      </c>
      <c r="B23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34" s="46"/>
      <c r="D234" s="44"/>
      <c r="E234" s="44"/>
      <c r="F234" s="47"/>
      <c r="G234" s="47"/>
      <c r="H234" s="45"/>
      <c r="I234" s="62"/>
      <c r="J234" s="45"/>
      <c r="K234" s="45"/>
      <c r="L234" s="46"/>
      <c r="M234" s="47"/>
      <c r="N234" s="46"/>
      <c r="O234" s="46"/>
      <c r="P234" s="47"/>
      <c r="Q234" s="46"/>
      <c r="R234" s="46"/>
      <c r="S234" s="48"/>
      <c r="T234" s="68" t="str">
        <f>IF(Tableau1[[#This Row],[DMS_SAP]]="","",HYPERLINK(Tableau1[[#This Row],[Chemin fichier source]],"X"))</f>
        <v/>
      </c>
      <c r="U234" s="68" t="str">
        <f>IF(Tableau1[[#This Row],[Date rév.]]="","",HYPERLINK(Tableau1[[#This Row],[Lien document]],"X"))</f>
        <v/>
      </c>
      <c r="V234" s="47"/>
      <c r="W23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34" s="47"/>
      <c r="Y234" s="47"/>
      <c r="Z234" s="44" t="str">
        <f ca="1">IF(AND(Tableau1[[#This Row],[Charge]]&lt;&gt;0, Tableau1[[#This Row],[Nombre intervenants]]&lt;&gt;0,Tableau1[[#This Row],[Lien document]]&lt;&gt;0,Tableau1[[#This Row],[DMS_SAP]]&lt;&gt;0)=TRUE,"MIS A JOUR","")</f>
        <v/>
      </c>
      <c r="AA234" s="48"/>
      <c r="AB234" s="65" t="str">
        <f ca="1">IF(Tableau1[[#This Row],[Date rév.]]&lt;&gt;"", DAYS360(Tableau1[[#This Row],[Date rév.]],TODAY()),"")</f>
        <v/>
      </c>
      <c r="AC234" s="50" t="str">
        <f>IFERROR(INDEX(Chemin_accès!$B$11:$C$22,MATCH(Tableau1[[#This Row],[Type]],Chemin_accès!$C$11:$C$22,0),1),Chemin_accès!$B$11)</f>
        <v>\\stjn.local\trimet\Btechnique\Commun\Atelier Central mécanique\Plan entretien\Modèles préventif\GammeDMS_7.MENG.xlsm</v>
      </c>
      <c r="AD234" s="50" t="str">
        <f>Chemin_accès!$B$8&amp;Tableau1[[#This Row],[Localisation / Classement]]&amp;"\"&amp;Tableau1[[#This Row],[Poste technique ou N° d''équipement]]&amp;"_"&amp;Tableau1[[#This Row],[Plan Entretien]]&amp;".xlsm"</f>
        <v>\\stjn.local\trimet\Btechnique\Commun\Atelier Central mécanique\Plan entretien\GammeEntretien\\_.xlsm</v>
      </c>
    </row>
    <row r="235" spans="1:30" x14ac:dyDescent="0.3">
      <c r="A235" s="44" t="str">
        <f t="shared" ca="1" si="3"/>
        <v>7.MENG</v>
      </c>
      <c r="B23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35" s="46"/>
      <c r="D235" s="44"/>
      <c r="E235" s="44"/>
      <c r="F235" s="47"/>
      <c r="G235" s="47"/>
      <c r="H235" s="45"/>
      <c r="I235" s="62"/>
      <c r="J235" s="45"/>
      <c r="K235" s="45"/>
      <c r="L235" s="46"/>
      <c r="M235" s="47"/>
      <c r="N235" s="46"/>
      <c r="O235" s="46"/>
      <c r="P235" s="47"/>
      <c r="Q235" s="46"/>
      <c r="R235" s="46"/>
      <c r="S235" s="48"/>
      <c r="T235" s="68" t="str">
        <f>IF(Tableau1[[#This Row],[DMS_SAP]]="","",HYPERLINK(Tableau1[[#This Row],[Chemin fichier source]],"X"))</f>
        <v/>
      </c>
      <c r="U235" s="68" t="str">
        <f>IF(Tableau1[[#This Row],[Date rév.]]="","",HYPERLINK(Tableau1[[#This Row],[Lien document]],"X"))</f>
        <v/>
      </c>
      <c r="V235" s="47"/>
      <c r="W23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35" s="47"/>
      <c r="Y235" s="47"/>
      <c r="Z235" s="44" t="str">
        <f ca="1">IF(AND(Tableau1[[#This Row],[Charge]]&lt;&gt;0, Tableau1[[#This Row],[Nombre intervenants]]&lt;&gt;0,Tableau1[[#This Row],[Lien document]]&lt;&gt;0,Tableau1[[#This Row],[DMS_SAP]]&lt;&gt;0)=TRUE,"MIS A JOUR","")</f>
        <v/>
      </c>
      <c r="AA235" s="48"/>
      <c r="AB235" s="65" t="str">
        <f ca="1">IF(Tableau1[[#This Row],[Date rév.]]&lt;&gt;"", DAYS360(Tableau1[[#This Row],[Date rév.]],TODAY()),"")</f>
        <v/>
      </c>
      <c r="AC235" s="50" t="str">
        <f>IFERROR(INDEX(Chemin_accès!$B$11:$C$22,MATCH(Tableau1[[#This Row],[Type]],Chemin_accès!$C$11:$C$22,0),1),Chemin_accès!$B$11)</f>
        <v>\\stjn.local\trimet\Btechnique\Commun\Atelier Central mécanique\Plan entretien\Modèles préventif\GammeDMS_7.MENG.xlsm</v>
      </c>
      <c r="AD235" s="50" t="str">
        <f>Chemin_accès!$B$8&amp;Tableau1[[#This Row],[Localisation / Classement]]&amp;"\"&amp;Tableau1[[#This Row],[Poste technique ou N° d''équipement]]&amp;"_"&amp;Tableau1[[#This Row],[Plan Entretien]]&amp;".xlsm"</f>
        <v>\\stjn.local\trimet\Btechnique\Commun\Atelier Central mécanique\Plan entretien\GammeEntretien\\_.xlsm</v>
      </c>
    </row>
    <row r="236" spans="1:30" x14ac:dyDescent="0.3">
      <c r="A236" s="44" t="str">
        <f t="shared" ca="1" si="3"/>
        <v>7.MENG</v>
      </c>
      <c r="B23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36" s="46"/>
      <c r="D236" s="44"/>
      <c r="E236" s="44"/>
      <c r="F236" s="47"/>
      <c r="G236" s="47"/>
      <c r="H236" s="45"/>
      <c r="I236" s="62"/>
      <c r="J236" s="45"/>
      <c r="K236" s="45"/>
      <c r="L236" s="46"/>
      <c r="M236" s="47"/>
      <c r="N236" s="46"/>
      <c r="O236" s="46"/>
      <c r="P236" s="47"/>
      <c r="Q236" s="46"/>
      <c r="R236" s="46"/>
      <c r="S236" s="48"/>
      <c r="T236" s="68" t="str">
        <f>IF(Tableau1[[#This Row],[DMS_SAP]]="","",HYPERLINK(Tableau1[[#This Row],[Chemin fichier source]],"X"))</f>
        <v/>
      </c>
      <c r="U236" s="68" t="str">
        <f>IF(Tableau1[[#This Row],[Date rév.]]="","",HYPERLINK(Tableau1[[#This Row],[Lien document]],"X"))</f>
        <v/>
      </c>
      <c r="V236" s="47"/>
      <c r="W23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36" s="47"/>
      <c r="Y236" s="47"/>
      <c r="Z236" s="44" t="str">
        <f ca="1">IF(AND(Tableau1[[#This Row],[Charge]]&lt;&gt;0, Tableau1[[#This Row],[Nombre intervenants]]&lt;&gt;0,Tableau1[[#This Row],[Lien document]]&lt;&gt;0,Tableau1[[#This Row],[DMS_SAP]]&lt;&gt;0)=TRUE,"MIS A JOUR","")</f>
        <v/>
      </c>
      <c r="AA236" s="48"/>
      <c r="AB236" s="65" t="str">
        <f ca="1">IF(Tableau1[[#This Row],[Date rév.]]&lt;&gt;"", DAYS360(Tableau1[[#This Row],[Date rév.]],TODAY()),"")</f>
        <v/>
      </c>
      <c r="AC236" s="50" t="str">
        <f>IFERROR(INDEX(Chemin_accès!$B$11:$C$22,MATCH(Tableau1[[#This Row],[Type]],Chemin_accès!$C$11:$C$22,0),1),Chemin_accès!$B$11)</f>
        <v>\\stjn.local\trimet\Btechnique\Commun\Atelier Central mécanique\Plan entretien\Modèles préventif\GammeDMS_7.MENG.xlsm</v>
      </c>
      <c r="AD236" s="50" t="str">
        <f>Chemin_accès!$B$8&amp;Tableau1[[#This Row],[Localisation / Classement]]&amp;"\"&amp;Tableau1[[#This Row],[Poste technique ou N° d''équipement]]&amp;"_"&amp;Tableau1[[#This Row],[Plan Entretien]]&amp;".xlsm"</f>
        <v>\\stjn.local\trimet\Btechnique\Commun\Atelier Central mécanique\Plan entretien\GammeEntretien\\_.xlsm</v>
      </c>
    </row>
    <row r="237" spans="1:30" x14ac:dyDescent="0.3">
      <c r="A237" s="44" t="str">
        <f t="shared" ca="1" si="3"/>
        <v>7.MENG</v>
      </c>
      <c r="B23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37" s="46"/>
      <c r="D237" s="44"/>
      <c r="E237" s="44"/>
      <c r="F237" s="47"/>
      <c r="G237" s="47"/>
      <c r="H237" s="45"/>
      <c r="I237" s="62"/>
      <c r="J237" s="45"/>
      <c r="K237" s="45"/>
      <c r="L237" s="46"/>
      <c r="M237" s="47"/>
      <c r="N237" s="46"/>
      <c r="O237" s="46"/>
      <c r="P237" s="47"/>
      <c r="Q237" s="46"/>
      <c r="R237" s="46"/>
      <c r="S237" s="48"/>
      <c r="T237" s="68" t="str">
        <f>IF(Tableau1[[#This Row],[DMS_SAP]]="","",HYPERLINK(Tableau1[[#This Row],[Chemin fichier source]],"X"))</f>
        <v/>
      </c>
      <c r="U237" s="68" t="str">
        <f>IF(Tableau1[[#This Row],[Date rév.]]="","",HYPERLINK(Tableau1[[#This Row],[Lien document]],"X"))</f>
        <v/>
      </c>
      <c r="V237" s="47"/>
      <c r="W23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37" s="47"/>
      <c r="Y237" s="47"/>
      <c r="Z237" s="44" t="str">
        <f ca="1">IF(AND(Tableau1[[#This Row],[Charge]]&lt;&gt;0, Tableau1[[#This Row],[Nombre intervenants]]&lt;&gt;0,Tableau1[[#This Row],[Lien document]]&lt;&gt;0,Tableau1[[#This Row],[DMS_SAP]]&lt;&gt;0)=TRUE,"MIS A JOUR","")</f>
        <v/>
      </c>
      <c r="AA237" s="48"/>
      <c r="AB237" s="65" t="str">
        <f ca="1">IF(Tableau1[[#This Row],[Date rév.]]&lt;&gt;"", DAYS360(Tableau1[[#This Row],[Date rév.]],TODAY()),"")</f>
        <v/>
      </c>
      <c r="AC237" s="50" t="str">
        <f>IFERROR(INDEX(Chemin_accès!$B$11:$C$22,MATCH(Tableau1[[#This Row],[Type]],Chemin_accès!$C$11:$C$22,0),1),Chemin_accès!$B$11)</f>
        <v>\\stjn.local\trimet\Btechnique\Commun\Atelier Central mécanique\Plan entretien\Modèles préventif\GammeDMS_7.MENG.xlsm</v>
      </c>
      <c r="AD237" s="50" t="str">
        <f>Chemin_accès!$B$8&amp;Tableau1[[#This Row],[Localisation / Classement]]&amp;"\"&amp;Tableau1[[#This Row],[Poste technique ou N° d''équipement]]&amp;"_"&amp;Tableau1[[#This Row],[Plan Entretien]]&amp;".xlsm"</f>
        <v>\\stjn.local\trimet\Btechnique\Commun\Atelier Central mécanique\Plan entretien\GammeEntretien\\_.xlsm</v>
      </c>
    </row>
    <row r="238" spans="1:30" x14ac:dyDescent="0.3">
      <c r="A238" s="44" t="str">
        <f t="shared" ca="1" si="3"/>
        <v>7.MENG</v>
      </c>
      <c r="B23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38" s="46"/>
      <c r="D238" s="44"/>
      <c r="E238" s="44"/>
      <c r="F238" s="47"/>
      <c r="G238" s="47"/>
      <c r="H238" s="45"/>
      <c r="I238" s="62"/>
      <c r="J238" s="45"/>
      <c r="K238" s="45"/>
      <c r="L238" s="46"/>
      <c r="M238" s="47"/>
      <c r="N238" s="46"/>
      <c r="O238" s="46"/>
      <c r="P238" s="47"/>
      <c r="Q238" s="46"/>
      <c r="R238" s="46"/>
      <c r="S238" s="48"/>
      <c r="T238" s="68" t="str">
        <f>IF(Tableau1[[#This Row],[DMS_SAP]]="","",HYPERLINK(Tableau1[[#This Row],[Chemin fichier source]],"X"))</f>
        <v/>
      </c>
      <c r="U238" s="68" t="str">
        <f>IF(Tableau1[[#This Row],[Date rév.]]="","",HYPERLINK(Tableau1[[#This Row],[Lien document]],"X"))</f>
        <v/>
      </c>
      <c r="V238" s="47"/>
      <c r="W23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38" s="47"/>
      <c r="Y238" s="47"/>
      <c r="Z238" s="44" t="str">
        <f ca="1">IF(AND(Tableau1[[#This Row],[Charge]]&lt;&gt;0, Tableau1[[#This Row],[Nombre intervenants]]&lt;&gt;0,Tableau1[[#This Row],[Lien document]]&lt;&gt;0,Tableau1[[#This Row],[DMS_SAP]]&lt;&gt;0)=TRUE,"MIS A JOUR","")</f>
        <v/>
      </c>
      <c r="AA238" s="48"/>
      <c r="AB238" s="65" t="str">
        <f ca="1">IF(Tableau1[[#This Row],[Date rév.]]&lt;&gt;"", DAYS360(Tableau1[[#This Row],[Date rév.]],TODAY()),"")</f>
        <v/>
      </c>
      <c r="AC238" s="50" t="str">
        <f>IFERROR(INDEX(Chemin_accès!$B$11:$C$22,MATCH(Tableau1[[#This Row],[Type]],Chemin_accès!$C$11:$C$22,0),1),Chemin_accès!$B$11)</f>
        <v>\\stjn.local\trimet\Btechnique\Commun\Atelier Central mécanique\Plan entretien\Modèles préventif\GammeDMS_7.MENG.xlsm</v>
      </c>
      <c r="AD238" s="50" t="str">
        <f>Chemin_accès!$B$8&amp;Tableau1[[#This Row],[Localisation / Classement]]&amp;"\"&amp;Tableau1[[#This Row],[Poste technique ou N° d''équipement]]&amp;"_"&amp;Tableau1[[#This Row],[Plan Entretien]]&amp;".xlsm"</f>
        <v>\\stjn.local\trimet\Btechnique\Commun\Atelier Central mécanique\Plan entretien\GammeEntretien\\_.xlsm</v>
      </c>
    </row>
    <row r="239" spans="1:30" x14ac:dyDescent="0.3">
      <c r="A239" s="44" t="str">
        <f t="shared" ca="1" si="3"/>
        <v>7.MENG</v>
      </c>
      <c r="B23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39" s="46"/>
      <c r="D239" s="44"/>
      <c r="E239" s="44"/>
      <c r="F239" s="47"/>
      <c r="G239" s="47"/>
      <c r="H239" s="45"/>
      <c r="I239" s="62"/>
      <c r="J239" s="45"/>
      <c r="K239" s="45"/>
      <c r="L239" s="46"/>
      <c r="M239" s="47"/>
      <c r="N239" s="46"/>
      <c r="O239" s="46"/>
      <c r="P239" s="47"/>
      <c r="Q239" s="46"/>
      <c r="R239" s="46"/>
      <c r="S239" s="48"/>
      <c r="T239" s="68" t="str">
        <f>IF(Tableau1[[#This Row],[DMS_SAP]]="","",HYPERLINK(Tableau1[[#This Row],[Chemin fichier source]],"X"))</f>
        <v/>
      </c>
      <c r="U239" s="68" t="str">
        <f>IF(Tableau1[[#This Row],[Date rév.]]="","",HYPERLINK(Tableau1[[#This Row],[Lien document]],"X"))</f>
        <v/>
      </c>
      <c r="V239" s="47"/>
      <c r="W23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39" s="47"/>
      <c r="Y239" s="47"/>
      <c r="Z239" s="44" t="str">
        <f ca="1">IF(AND(Tableau1[[#This Row],[Charge]]&lt;&gt;0, Tableau1[[#This Row],[Nombre intervenants]]&lt;&gt;0,Tableau1[[#This Row],[Lien document]]&lt;&gt;0,Tableau1[[#This Row],[DMS_SAP]]&lt;&gt;0)=TRUE,"MIS A JOUR","")</f>
        <v/>
      </c>
      <c r="AA239" s="48"/>
      <c r="AB239" s="65" t="str">
        <f ca="1">IF(Tableau1[[#This Row],[Date rév.]]&lt;&gt;"", DAYS360(Tableau1[[#This Row],[Date rév.]],TODAY()),"")</f>
        <v/>
      </c>
      <c r="AC239" s="50" t="str">
        <f>IFERROR(INDEX(Chemin_accès!$B$11:$C$22,MATCH(Tableau1[[#This Row],[Type]],Chemin_accès!$C$11:$C$22,0),1),Chemin_accès!$B$11)</f>
        <v>\\stjn.local\trimet\Btechnique\Commun\Atelier Central mécanique\Plan entretien\Modèles préventif\GammeDMS_7.MENG.xlsm</v>
      </c>
      <c r="AD239" s="50" t="str">
        <f>Chemin_accès!$B$8&amp;Tableau1[[#This Row],[Localisation / Classement]]&amp;"\"&amp;Tableau1[[#This Row],[Poste technique ou N° d''équipement]]&amp;"_"&amp;Tableau1[[#This Row],[Plan Entretien]]&amp;".xlsm"</f>
        <v>\\stjn.local\trimet\Btechnique\Commun\Atelier Central mécanique\Plan entretien\GammeEntretien\\_.xlsm</v>
      </c>
    </row>
    <row r="240" spans="1:30" x14ac:dyDescent="0.3">
      <c r="A240" s="44" t="str">
        <f t="shared" ca="1" si="3"/>
        <v>7.MENG</v>
      </c>
      <c r="B24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40" s="46"/>
      <c r="D240" s="44"/>
      <c r="E240" s="44"/>
      <c r="F240" s="47"/>
      <c r="G240" s="47"/>
      <c r="H240" s="45"/>
      <c r="I240" s="62"/>
      <c r="J240" s="45"/>
      <c r="K240" s="45"/>
      <c r="L240" s="46"/>
      <c r="M240" s="47"/>
      <c r="N240" s="46"/>
      <c r="O240" s="46"/>
      <c r="P240" s="47"/>
      <c r="Q240" s="46"/>
      <c r="R240" s="46"/>
      <c r="S240" s="48"/>
      <c r="T240" s="68" t="str">
        <f>IF(Tableau1[[#This Row],[DMS_SAP]]="","",HYPERLINK(Tableau1[[#This Row],[Chemin fichier source]],"X"))</f>
        <v/>
      </c>
      <c r="U240" s="68" t="str">
        <f>IF(Tableau1[[#This Row],[Date rév.]]="","",HYPERLINK(Tableau1[[#This Row],[Lien document]],"X"))</f>
        <v/>
      </c>
      <c r="V240" s="47"/>
      <c r="W24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40" s="47"/>
      <c r="Y240" s="47"/>
      <c r="Z240" s="44" t="str">
        <f ca="1">IF(AND(Tableau1[[#This Row],[Charge]]&lt;&gt;0, Tableau1[[#This Row],[Nombre intervenants]]&lt;&gt;0,Tableau1[[#This Row],[Lien document]]&lt;&gt;0,Tableau1[[#This Row],[DMS_SAP]]&lt;&gt;0)=TRUE,"MIS A JOUR","")</f>
        <v/>
      </c>
      <c r="AA240" s="48"/>
      <c r="AB240" s="65" t="str">
        <f ca="1">IF(Tableau1[[#This Row],[Date rév.]]&lt;&gt;"", DAYS360(Tableau1[[#This Row],[Date rév.]],TODAY()),"")</f>
        <v/>
      </c>
      <c r="AC240" s="50" t="str">
        <f>IFERROR(INDEX(Chemin_accès!$B$11:$C$22,MATCH(Tableau1[[#This Row],[Type]],Chemin_accès!$C$11:$C$22,0),1),Chemin_accès!$B$11)</f>
        <v>\\stjn.local\trimet\Btechnique\Commun\Atelier Central mécanique\Plan entretien\Modèles préventif\GammeDMS_7.MENG.xlsm</v>
      </c>
      <c r="AD240" s="50" t="str">
        <f>Chemin_accès!$B$8&amp;Tableau1[[#This Row],[Localisation / Classement]]&amp;"\"&amp;Tableau1[[#This Row],[Poste technique ou N° d''équipement]]&amp;"_"&amp;Tableau1[[#This Row],[Plan Entretien]]&amp;".xlsm"</f>
        <v>\\stjn.local\trimet\Btechnique\Commun\Atelier Central mécanique\Plan entretien\GammeEntretien\\_.xlsm</v>
      </c>
    </row>
    <row r="241" spans="1:30" x14ac:dyDescent="0.3">
      <c r="A241" s="44" t="str">
        <f t="shared" ca="1" si="3"/>
        <v>7.MENG</v>
      </c>
      <c r="B24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41" s="46"/>
      <c r="D241" s="44"/>
      <c r="E241" s="44"/>
      <c r="F241" s="47"/>
      <c r="G241" s="47"/>
      <c r="H241" s="45"/>
      <c r="I241" s="62"/>
      <c r="J241" s="45"/>
      <c r="K241" s="45"/>
      <c r="L241" s="46"/>
      <c r="M241" s="47"/>
      <c r="N241" s="46"/>
      <c r="O241" s="46"/>
      <c r="P241" s="47"/>
      <c r="Q241" s="46"/>
      <c r="R241" s="46"/>
      <c r="S241" s="48"/>
      <c r="T241" s="68" t="str">
        <f>IF(Tableau1[[#This Row],[DMS_SAP]]="","",HYPERLINK(Tableau1[[#This Row],[Chemin fichier source]],"X"))</f>
        <v/>
      </c>
      <c r="U241" s="68" t="str">
        <f>IF(Tableau1[[#This Row],[Date rév.]]="","",HYPERLINK(Tableau1[[#This Row],[Lien document]],"X"))</f>
        <v/>
      </c>
      <c r="V241" s="47"/>
      <c r="W24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41" s="47"/>
      <c r="Y241" s="47"/>
      <c r="Z241" s="44" t="str">
        <f ca="1">IF(AND(Tableau1[[#This Row],[Charge]]&lt;&gt;0, Tableau1[[#This Row],[Nombre intervenants]]&lt;&gt;0,Tableau1[[#This Row],[Lien document]]&lt;&gt;0,Tableau1[[#This Row],[DMS_SAP]]&lt;&gt;0)=TRUE,"MIS A JOUR","")</f>
        <v/>
      </c>
      <c r="AA241" s="48"/>
      <c r="AB241" s="65" t="str">
        <f ca="1">IF(Tableau1[[#This Row],[Date rév.]]&lt;&gt;"", DAYS360(Tableau1[[#This Row],[Date rév.]],TODAY()),"")</f>
        <v/>
      </c>
      <c r="AC241" s="50" t="str">
        <f>IFERROR(INDEX(Chemin_accès!$B$11:$C$22,MATCH(Tableau1[[#This Row],[Type]],Chemin_accès!$C$11:$C$22,0),1),Chemin_accès!$B$11)</f>
        <v>\\stjn.local\trimet\Btechnique\Commun\Atelier Central mécanique\Plan entretien\Modèles préventif\GammeDMS_7.MENG.xlsm</v>
      </c>
      <c r="AD241" s="50" t="str">
        <f>Chemin_accès!$B$8&amp;Tableau1[[#This Row],[Localisation / Classement]]&amp;"\"&amp;Tableau1[[#This Row],[Poste technique ou N° d''équipement]]&amp;"_"&amp;Tableau1[[#This Row],[Plan Entretien]]&amp;".xlsm"</f>
        <v>\\stjn.local\trimet\Btechnique\Commun\Atelier Central mécanique\Plan entretien\GammeEntretien\\_.xlsm</v>
      </c>
    </row>
    <row r="242" spans="1:30" x14ac:dyDescent="0.3">
      <c r="A242" s="44" t="str">
        <f t="shared" ca="1" si="3"/>
        <v>7.MENG</v>
      </c>
      <c r="B24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42" s="46"/>
      <c r="D242" s="44"/>
      <c r="E242" s="44"/>
      <c r="F242" s="47"/>
      <c r="G242" s="47"/>
      <c r="H242" s="45"/>
      <c r="I242" s="62"/>
      <c r="J242" s="45"/>
      <c r="K242" s="45"/>
      <c r="L242" s="46"/>
      <c r="M242" s="47"/>
      <c r="N242" s="46"/>
      <c r="O242" s="46"/>
      <c r="P242" s="47"/>
      <c r="Q242" s="46"/>
      <c r="R242" s="46"/>
      <c r="S242" s="48"/>
      <c r="T242" s="68" t="str">
        <f>IF(Tableau1[[#This Row],[DMS_SAP]]="","",HYPERLINK(Tableau1[[#This Row],[Chemin fichier source]],"X"))</f>
        <v/>
      </c>
      <c r="U242" s="68" t="str">
        <f>IF(Tableau1[[#This Row],[Date rév.]]="","",HYPERLINK(Tableau1[[#This Row],[Lien document]],"X"))</f>
        <v/>
      </c>
      <c r="V242" s="47"/>
      <c r="W24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42" s="47"/>
      <c r="Y242" s="47"/>
      <c r="Z242" s="44" t="str">
        <f ca="1">IF(AND(Tableau1[[#This Row],[Charge]]&lt;&gt;0, Tableau1[[#This Row],[Nombre intervenants]]&lt;&gt;0,Tableau1[[#This Row],[Lien document]]&lt;&gt;0,Tableau1[[#This Row],[DMS_SAP]]&lt;&gt;0)=TRUE,"MIS A JOUR","")</f>
        <v/>
      </c>
      <c r="AA242" s="48"/>
      <c r="AB242" s="65" t="str">
        <f ca="1">IF(Tableau1[[#This Row],[Date rév.]]&lt;&gt;"", DAYS360(Tableau1[[#This Row],[Date rév.]],TODAY()),"")</f>
        <v/>
      </c>
      <c r="AC242" s="50" t="str">
        <f>IFERROR(INDEX(Chemin_accès!$B$11:$C$22,MATCH(Tableau1[[#This Row],[Type]],Chemin_accès!$C$11:$C$22,0),1),Chemin_accès!$B$11)</f>
        <v>\\stjn.local\trimet\Btechnique\Commun\Atelier Central mécanique\Plan entretien\Modèles préventif\GammeDMS_7.MENG.xlsm</v>
      </c>
      <c r="AD242" s="50" t="str">
        <f>Chemin_accès!$B$8&amp;Tableau1[[#This Row],[Localisation / Classement]]&amp;"\"&amp;Tableau1[[#This Row],[Poste technique ou N° d''équipement]]&amp;"_"&amp;Tableau1[[#This Row],[Plan Entretien]]&amp;".xlsm"</f>
        <v>\\stjn.local\trimet\Btechnique\Commun\Atelier Central mécanique\Plan entretien\GammeEntretien\\_.xlsm</v>
      </c>
    </row>
    <row r="243" spans="1:30" x14ac:dyDescent="0.3">
      <c r="A243" s="44" t="str">
        <f t="shared" ca="1" si="3"/>
        <v>7.MENG</v>
      </c>
      <c r="B24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43" s="46"/>
      <c r="D243" s="44"/>
      <c r="E243" s="44"/>
      <c r="F243" s="47"/>
      <c r="G243" s="47"/>
      <c r="H243" s="45"/>
      <c r="I243" s="62"/>
      <c r="J243" s="45"/>
      <c r="K243" s="45"/>
      <c r="L243" s="46"/>
      <c r="M243" s="47"/>
      <c r="N243" s="46"/>
      <c r="O243" s="46"/>
      <c r="P243" s="47"/>
      <c r="Q243" s="46"/>
      <c r="R243" s="46"/>
      <c r="S243" s="48"/>
      <c r="T243" s="68" t="str">
        <f>IF(Tableau1[[#This Row],[DMS_SAP]]="","",HYPERLINK(Tableau1[[#This Row],[Chemin fichier source]],"X"))</f>
        <v/>
      </c>
      <c r="U243" s="68" t="str">
        <f>IF(Tableau1[[#This Row],[Date rév.]]="","",HYPERLINK(Tableau1[[#This Row],[Lien document]],"X"))</f>
        <v/>
      </c>
      <c r="V243" s="47"/>
      <c r="W24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43" s="47"/>
      <c r="Y243" s="47"/>
      <c r="Z243" s="44" t="str">
        <f ca="1">IF(AND(Tableau1[[#This Row],[Charge]]&lt;&gt;0, Tableau1[[#This Row],[Nombre intervenants]]&lt;&gt;0,Tableau1[[#This Row],[Lien document]]&lt;&gt;0,Tableau1[[#This Row],[DMS_SAP]]&lt;&gt;0)=TRUE,"MIS A JOUR","")</f>
        <v/>
      </c>
      <c r="AA243" s="48"/>
      <c r="AB243" s="65" t="str">
        <f ca="1">IF(Tableau1[[#This Row],[Date rév.]]&lt;&gt;"", DAYS360(Tableau1[[#This Row],[Date rév.]],TODAY()),"")</f>
        <v/>
      </c>
      <c r="AC243" s="50" t="str">
        <f>IFERROR(INDEX(Chemin_accès!$B$11:$C$22,MATCH(Tableau1[[#This Row],[Type]],Chemin_accès!$C$11:$C$22,0),1),Chemin_accès!$B$11)</f>
        <v>\\stjn.local\trimet\Btechnique\Commun\Atelier Central mécanique\Plan entretien\Modèles préventif\GammeDMS_7.MENG.xlsm</v>
      </c>
      <c r="AD243" s="50" t="str">
        <f>Chemin_accès!$B$8&amp;Tableau1[[#This Row],[Localisation / Classement]]&amp;"\"&amp;Tableau1[[#This Row],[Poste technique ou N° d''équipement]]&amp;"_"&amp;Tableau1[[#This Row],[Plan Entretien]]&amp;".xlsm"</f>
        <v>\\stjn.local\trimet\Btechnique\Commun\Atelier Central mécanique\Plan entretien\GammeEntretien\\_.xlsm</v>
      </c>
    </row>
    <row r="244" spans="1:30" x14ac:dyDescent="0.3">
      <c r="A244" s="44" t="str">
        <f t="shared" ca="1" si="3"/>
        <v>7.MENG</v>
      </c>
      <c r="B24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44" s="46"/>
      <c r="D244" s="44"/>
      <c r="E244" s="44"/>
      <c r="F244" s="47"/>
      <c r="G244" s="47"/>
      <c r="H244" s="45"/>
      <c r="I244" s="62"/>
      <c r="J244" s="45"/>
      <c r="K244" s="45"/>
      <c r="L244" s="46"/>
      <c r="M244" s="47"/>
      <c r="N244" s="46"/>
      <c r="O244" s="46"/>
      <c r="P244" s="47"/>
      <c r="Q244" s="46"/>
      <c r="R244" s="46"/>
      <c r="S244" s="48"/>
      <c r="T244" s="68" t="str">
        <f>IF(Tableau1[[#This Row],[DMS_SAP]]="","",HYPERLINK(Tableau1[[#This Row],[Chemin fichier source]],"X"))</f>
        <v/>
      </c>
      <c r="U244" s="68" t="str">
        <f>IF(Tableau1[[#This Row],[Date rév.]]="","",HYPERLINK(Tableau1[[#This Row],[Lien document]],"X"))</f>
        <v/>
      </c>
      <c r="V244" s="47"/>
      <c r="W24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44" s="47"/>
      <c r="Y244" s="47"/>
      <c r="Z244" s="44" t="str">
        <f ca="1">IF(AND(Tableau1[[#This Row],[Charge]]&lt;&gt;0, Tableau1[[#This Row],[Nombre intervenants]]&lt;&gt;0,Tableau1[[#This Row],[Lien document]]&lt;&gt;0,Tableau1[[#This Row],[DMS_SAP]]&lt;&gt;0)=TRUE,"MIS A JOUR","")</f>
        <v/>
      </c>
      <c r="AA244" s="48"/>
      <c r="AB244" s="65" t="str">
        <f ca="1">IF(Tableau1[[#This Row],[Date rév.]]&lt;&gt;"", DAYS360(Tableau1[[#This Row],[Date rév.]],TODAY()),"")</f>
        <v/>
      </c>
      <c r="AC244" s="50" t="str">
        <f>IFERROR(INDEX(Chemin_accès!$B$11:$C$22,MATCH(Tableau1[[#This Row],[Type]],Chemin_accès!$C$11:$C$22,0),1),Chemin_accès!$B$11)</f>
        <v>\\stjn.local\trimet\Btechnique\Commun\Atelier Central mécanique\Plan entretien\Modèles préventif\GammeDMS_7.MENG.xlsm</v>
      </c>
      <c r="AD244" s="50" t="str">
        <f>Chemin_accès!$B$8&amp;Tableau1[[#This Row],[Localisation / Classement]]&amp;"\"&amp;Tableau1[[#This Row],[Poste technique ou N° d''équipement]]&amp;"_"&amp;Tableau1[[#This Row],[Plan Entretien]]&amp;".xlsm"</f>
        <v>\\stjn.local\trimet\Btechnique\Commun\Atelier Central mécanique\Plan entretien\GammeEntretien\\_.xlsm</v>
      </c>
    </row>
    <row r="245" spans="1:30" x14ac:dyDescent="0.3">
      <c r="A245" s="44" t="str">
        <f t="shared" ca="1" si="3"/>
        <v>7.MENG</v>
      </c>
      <c r="B24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45" s="46"/>
      <c r="D245" s="44"/>
      <c r="E245" s="44"/>
      <c r="F245" s="47"/>
      <c r="G245" s="47"/>
      <c r="H245" s="45"/>
      <c r="I245" s="62"/>
      <c r="J245" s="45"/>
      <c r="K245" s="45"/>
      <c r="L245" s="46"/>
      <c r="M245" s="47"/>
      <c r="N245" s="46"/>
      <c r="O245" s="46"/>
      <c r="P245" s="47"/>
      <c r="Q245" s="46"/>
      <c r="R245" s="46"/>
      <c r="S245" s="48"/>
      <c r="T245" s="68" t="str">
        <f>IF(Tableau1[[#This Row],[DMS_SAP]]="","",HYPERLINK(Tableau1[[#This Row],[Chemin fichier source]],"X"))</f>
        <v/>
      </c>
      <c r="U245" s="68" t="str">
        <f>IF(Tableau1[[#This Row],[Date rév.]]="","",HYPERLINK(Tableau1[[#This Row],[Lien document]],"X"))</f>
        <v/>
      </c>
      <c r="V245" s="47"/>
      <c r="W24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45" s="47"/>
      <c r="Y245" s="47"/>
      <c r="Z245" s="44" t="str">
        <f ca="1">IF(AND(Tableau1[[#This Row],[Charge]]&lt;&gt;0, Tableau1[[#This Row],[Nombre intervenants]]&lt;&gt;0,Tableau1[[#This Row],[Lien document]]&lt;&gt;0,Tableau1[[#This Row],[DMS_SAP]]&lt;&gt;0)=TRUE,"MIS A JOUR","")</f>
        <v/>
      </c>
      <c r="AA245" s="48"/>
      <c r="AB245" s="65" t="str">
        <f ca="1">IF(Tableau1[[#This Row],[Date rév.]]&lt;&gt;"", DAYS360(Tableau1[[#This Row],[Date rév.]],TODAY()),"")</f>
        <v/>
      </c>
      <c r="AC245" s="50" t="str">
        <f>IFERROR(INDEX(Chemin_accès!$B$11:$C$22,MATCH(Tableau1[[#This Row],[Type]],Chemin_accès!$C$11:$C$22,0),1),Chemin_accès!$B$11)</f>
        <v>\\stjn.local\trimet\Btechnique\Commun\Atelier Central mécanique\Plan entretien\Modèles préventif\GammeDMS_7.MENG.xlsm</v>
      </c>
      <c r="AD245" s="50" t="str">
        <f>Chemin_accès!$B$8&amp;Tableau1[[#This Row],[Localisation / Classement]]&amp;"\"&amp;Tableau1[[#This Row],[Poste technique ou N° d''équipement]]&amp;"_"&amp;Tableau1[[#This Row],[Plan Entretien]]&amp;".xlsm"</f>
        <v>\\stjn.local\trimet\Btechnique\Commun\Atelier Central mécanique\Plan entretien\GammeEntretien\\_.xlsm</v>
      </c>
    </row>
    <row r="246" spans="1:30" x14ac:dyDescent="0.3">
      <c r="A246" s="44" t="str">
        <f t="shared" ca="1" si="3"/>
        <v>7.MENG</v>
      </c>
      <c r="B24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46" s="46"/>
      <c r="D246" s="44"/>
      <c r="E246" s="44"/>
      <c r="F246" s="47"/>
      <c r="G246" s="47"/>
      <c r="H246" s="45"/>
      <c r="I246" s="62"/>
      <c r="J246" s="45"/>
      <c r="K246" s="45"/>
      <c r="L246" s="46"/>
      <c r="M246" s="47"/>
      <c r="N246" s="46"/>
      <c r="O246" s="46"/>
      <c r="P246" s="47"/>
      <c r="Q246" s="46"/>
      <c r="R246" s="46"/>
      <c r="S246" s="48"/>
      <c r="T246" s="68" t="str">
        <f>IF(Tableau1[[#This Row],[DMS_SAP]]="","",HYPERLINK(Tableau1[[#This Row],[Chemin fichier source]],"X"))</f>
        <v/>
      </c>
      <c r="U246" s="68" t="str">
        <f>IF(Tableau1[[#This Row],[Date rév.]]="","",HYPERLINK(Tableau1[[#This Row],[Lien document]],"X"))</f>
        <v/>
      </c>
      <c r="V246" s="47"/>
      <c r="W24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46" s="47"/>
      <c r="Y246" s="47"/>
      <c r="Z246" s="44" t="str">
        <f ca="1">IF(AND(Tableau1[[#This Row],[Charge]]&lt;&gt;0, Tableau1[[#This Row],[Nombre intervenants]]&lt;&gt;0,Tableau1[[#This Row],[Lien document]]&lt;&gt;0,Tableau1[[#This Row],[DMS_SAP]]&lt;&gt;0)=TRUE,"MIS A JOUR","")</f>
        <v/>
      </c>
      <c r="AA246" s="48"/>
      <c r="AB246" s="65" t="str">
        <f ca="1">IF(Tableau1[[#This Row],[Date rév.]]&lt;&gt;"", DAYS360(Tableau1[[#This Row],[Date rév.]],TODAY()),"")</f>
        <v/>
      </c>
      <c r="AC246" s="50" t="str">
        <f>IFERROR(INDEX(Chemin_accès!$B$11:$C$22,MATCH(Tableau1[[#This Row],[Type]],Chemin_accès!$C$11:$C$22,0),1),Chemin_accès!$B$11)</f>
        <v>\\stjn.local\trimet\Btechnique\Commun\Atelier Central mécanique\Plan entretien\Modèles préventif\GammeDMS_7.MENG.xlsm</v>
      </c>
      <c r="AD246" s="50" t="str">
        <f>Chemin_accès!$B$8&amp;Tableau1[[#This Row],[Localisation / Classement]]&amp;"\"&amp;Tableau1[[#This Row],[Poste technique ou N° d''équipement]]&amp;"_"&amp;Tableau1[[#This Row],[Plan Entretien]]&amp;".xlsm"</f>
        <v>\\stjn.local\trimet\Btechnique\Commun\Atelier Central mécanique\Plan entretien\GammeEntretien\\_.xlsm</v>
      </c>
    </row>
    <row r="247" spans="1:30" x14ac:dyDescent="0.3">
      <c r="A247" s="44" t="str">
        <f t="shared" ca="1" si="3"/>
        <v>7.MENG</v>
      </c>
      <c r="B24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47" s="46"/>
      <c r="D247" s="44"/>
      <c r="E247" s="44"/>
      <c r="F247" s="47"/>
      <c r="G247" s="47"/>
      <c r="H247" s="45"/>
      <c r="I247" s="62"/>
      <c r="J247" s="45"/>
      <c r="K247" s="45"/>
      <c r="L247" s="46"/>
      <c r="M247" s="47"/>
      <c r="N247" s="46"/>
      <c r="O247" s="46"/>
      <c r="P247" s="47"/>
      <c r="Q247" s="46"/>
      <c r="R247" s="46"/>
      <c r="S247" s="48"/>
      <c r="T247" s="68" t="str">
        <f>IF(Tableau1[[#This Row],[DMS_SAP]]="","",HYPERLINK(Tableau1[[#This Row],[Chemin fichier source]],"X"))</f>
        <v/>
      </c>
      <c r="U247" s="68" t="str">
        <f>IF(Tableau1[[#This Row],[Date rév.]]="","",HYPERLINK(Tableau1[[#This Row],[Lien document]],"X"))</f>
        <v/>
      </c>
      <c r="V247" s="47"/>
      <c r="W24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47" s="47"/>
      <c r="Y247" s="47"/>
      <c r="Z247" s="44" t="str">
        <f ca="1">IF(AND(Tableau1[[#This Row],[Charge]]&lt;&gt;0, Tableau1[[#This Row],[Nombre intervenants]]&lt;&gt;0,Tableau1[[#This Row],[Lien document]]&lt;&gt;0,Tableau1[[#This Row],[DMS_SAP]]&lt;&gt;0)=TRUE,"MIS A JOUR","")</f>
        <v/>
      </c>
      <c r="AA247" s="48"/>
      <c r="AB247" s="65" t="str">
        <f ca="1">IF(Tableau1[[#This Row],[Date rév.]]&lt;&gt;"", DAYS360(Tableau1[[#This Row],[Date rév.]],TODAY()),"")</f>
        <v/>
      </c>
      <c r="AC247" s="50" t="str">
        <f>IFERROR(INDEX(Chemin_accès!$B$11:$C$22,MATCH(Tableau1[[#This Row],[Type]],Chemin_accès!$C$11:$C$22,0),1),Chemin_accès!$B$11)</f>
        <v>\\stjn.local\trimet\Btechnique\Commun\Atelier Central mécanique\Plan entretien\Modèles préventif\GammeDMS_7.MENG.xlsm</v>
      </c>
      <c r="AD247" s="50" t="str">
        <f>Chemin_accès!$B$8&amp;Tableau1[[#This Row],[Localisation / Classement]]&amp;"\"&amp;Tableau1[[#This Row],[Poste technique ou N° d''équipement]]&amp;"_"&amp;Tableau1[[#This Row],[Plan Entretien]]&amp;".xlsm"</f>
        <v>\\stjn.local\trimet\Btechnique\Commun\Atelier Central mécanique\Plan entretien\GammeEntretien\\_.xlsm</v>
      </c>
    </row>
    <row r="248" spans="1:30" x14ac:dyDescent="0.3">
      <c r="A248" s="44" t="str">
        <f t="shared" ca="1" si="3"/>
        <v>7.MENG</v>
      </c>
      <c r="B24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48" s="46"/>
      <c r="D248" s="44"/>
      <c r="E248" s="44"/>
      <c r="F248" s="47"/>
      <c r="G248" s="47"/>
      <c r="H248" s="45"/>
      <c r="I248" s="45"/>
      <c r="J248" s="45"/>
      <c r="K248" s="45"/>
      <c r="L248" s="46"/>
      <c r="M248" s="47"/>
      <c r="N248" s="46"/>
      <c r="O248" s="46"/>
      <c r="P248" s="47"/>
      <c r="Q248" s="46"/>
      <c r="R248" s="46"/>
      <c r="S248" s="48"/>
      <c r="T248" s="68" t="str">
        <f>IF(Tableau1[[#This Row],[DMS_SAP]]="","",HYPERLINK(Tableau1[[#This Row],[Chemin fichier source]],"X"))</f>
        <v/>
      </c>
      <c r="U248" s="68" t="str">
        <f>IF(Tableau1[[#This Row],[Date rév.]]="","",HYPERLINK(Tableau1[[#This Row],[Lien document]],"X"))</f>
        <v/>
      </c>
      <c r="V248" s="47"/>
      <c r="W24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48" s="47"/>
      <c r="Y248" s="47"/>
      <c r="Z248" s="44" t="str">
        <f ca="1">IF(AND(Tableau1[[#This Row],[Charge]]&lt;&gt;0, Tableau1[[#This Row],[Nombre intervenants]]&lt;&gt;0,Tableau1[[#This Row],[Lien document]]&lt;&gt;0,Tableau1[[#This Row],[DMS_SAP]]&lt;&gt;0)=TRUE,"MIS A JOUR","")</f>
        <v/>
      </c>
      <c r="AA248" s="48"/>
      <c r="AB248" s="65" t="str">
        <f ca="1">IF(Tableau1[[#This Row],[Date rév.]]&lt;&gt;"", DAYS360(Tableau1[[#This Row],[Date rév.]],TODAY()),"")</f>
        <v/>
      </c>
      <c r="AC248" s="50" t="str">
        <f>IFERROR(INDEX(Chemin_accès!$B$11:$C$22,MATCH(Tableau1[[#This Row],[Type]],Chemin_accès!$C$11:$C$22,0),1),Chemin_accès!$B$11)</f>
        <v>\\stjn.local\trimet\Btechnique\Commun\Atelier Central mécanique\Plan entretien\Modèles préventif\GammeDMS_7.MENG.xlsm</v>
      </c>
      <c r="AD248" s="50" t="str">
        <f>Chemin_accès!$B$8&amp;Tableau1[[#This Row],[Localisation / Classement]]&amp;"\"&amp;Tableau1[[#This Row],[Poste technique ou N° d''équipement]]&amp;"_"&amp;Tableau1[[#This Row],[Plan Entretien]]&amp;".xlsm"</f>
        <v>\\stjn.local\trimet\Btechnique\Commun\Atelier Central mécanique\Plan entretien\GammeEntretien\\_.xlsm</v>
      </c>
    </row>
    <row r="249" spans="1:30" x14ac:dyDescent="0.3">
      <c r="A249" s="44" t="str">
        <f t="shared" ca="1" si="3"/>
        <v>7.MENG</v>
      </c>
      <c r="B24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49" s="46"/>
      <c r="D249" s="44"/>
      <c r="E249" s="44"/>
      <c r="F249" s="47"/>
      <c r="G249" s="47"/>
      <c r="H249" s="45"/>
      <c r="I249" s="45"/>
      <c r="J249" s="45"/>
      <c r="K249" s="45"/>
      <c r="L249" s="46"/>
      <c r="M249" s="47"/>
      <c r="N249" s="46"/>
      <c r="O249" s="46"/>
      <c r="P249" s="47"/>
      <c r="Q249" s="46"/>
      <c r="R249" s="46"/>
      <c r="S249" s="48"/>
      <c r="T249" s="68" t="str">
        <f>IF(Tableau1[[#This Row],[DMS_SAP]]="","",HYPERLINK(Tableau1[[#This Row],[Chemin fichier source]],"X"))</f>
        <v/>
      </c>
      <c r="U249" s="68" t="str">
        <f>IF(Tableau1[[#This Row],[Date rév.]]="","",HYPERLINK(Tableau1[[#This Row],[Lien document]],"X"))</f>
        <v/>
      </c>
      <c r="V249" s="47"/>
      <c r="W24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49" s="47"/>
      <c r="Y249" s="47"/>
      <c r="Z249" s="44" t="str">
        <f ca="1">IF(AND(Tableau1[[#This Row],[Charge]]&lt;&gt;0, Tableau1[[#This Row],[Nombre intervenants]]&lt;&gt;0,Tableau1[[#This Row],[Lien document]]&lt;&gt;0,Tableau1[[#This Row],[DMS_SAP]]&lt;&gt;0)=TRUE,"MIS A JOUR","")</f>
        <v/>
      </c>
      <c r="AA249" s="48"/>
      <c r="AB249" s="65" t="str">
        <f ca="1">IF(Tableau1[[#This Row],[Date rév.]]&lt;&gt;"", DAYS360(Tableau1[[#This Row],[Date rév.]],TODAY()),"")</f>
        <v/>
      </c>
      <c r="AC249" s="50" t="str">
        <f>IFERROR(INDEX(Chemin_accès!$B$11:$C$22,MATCH(Tableau1[[#This Row],[Type]],Chemin_accès!$C$11:$C$22,0),1),Chemin_accès!$B$11)</f>
        <v>\\stjn.local\trimet\Btechnique\Commun\Atelier Central mécanique\Plan entretien\Modèles préventif\GammeDMS_7.MENG.xlsm</v>
      </c>
      <c r="AD249" s="50" t="str">
        <f>Chemin_accès!$B$8&amp;Tableau1[[#This Row],[Localisation / Classement]]&amp;"\"&amp;Tableau1[[#This Row],[Poste technique ou N° d''équipement]]&amp;"_"&amp;Tableau1[[#This Row],[Plan Entretien]]&amp;".xlsm"</f>
        <v>\\stjn.local\trimet\Btechnique\Commun\Atelier Central mécanique\Plan entretien\GammeEntretien\\_.xlsm</v>
      </c>
    </row>
    <row r="250" spans="1:30" x14ac:dyDescent="0.3">
      <c r="A250" s="44" t="str">
        <f t="shared" ca="1" si="3"/>
        <v>7.MENG</v>
      </c>
      <c r="B25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50" s="46"/>
      <c r="D250" s="44"/>
      <c r="E250" s="44"/>
      <c r="F250" s="47"/>
      <c r="G250" s="47"/>
      <c r="H250" s="45"/>
      <c r="I250" s="45"/>
      <c r="J250" s="45"/>
      <c r="K250" s="45"/>
      <c r="L250" s="46"/>
      <c r="M250" s="47"/>
      <c r="N250" s="46"/>
      <c r="O250" s="46"/>
      <c r="P250" s="47"/>
      <c r="Q250" s="46"/>
      <c r="R250" s="46"/>
      <c r="S250" s="48"/>
      <c r="T250" s="68" t="str">
        <f>IF(Tableau1[[#This Row],[DMS_SAP]]="","",HYPERLINK(Tableau1[[#This Row],[Chemin fichier source]],"X"))</f>
        <v/>
      </c>
      <c r="U250" s="68" t="str">
        <f>IF(Tableau1[[#This Row],[Date rév.]]="","",HYPERLINK(Tableau1[[#This Row],[Lien document]],"X"))</f>
        <v/>
      </c>
      <c r="V250" s="47"/>
      <c r="W25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50" s="47"/>
      <c r="Y250" s="47"/>
      <c r="Z250" s="44" t="str">
        <f ca="1">IF(AND(Tableau1[[#This Row],[Charge]]&lt;&gt;0, Tableau1[[#This Row],[Nombre intervenants]]&lt;&gt;0,Tableau1[[#This Row],[Lien document]]&lt;&gt;0,Tableau1[[#This Row],[DMS_SAP]]&lt;&gt;0)=TRUE,"MIS A JOUR","")</f>
        <v/>
      </c>
      <c r="AA250" s="48"/>
      <c r="AB250" s="65" t="str">
        <f ca="1">IF(Tableau1[[#This Row],[Date rév.]]&lt;&gt;"", DAYS360(Tableau1[[#This Row],[Date rév.]],TODAY()),"")</f>
        <v/>
      </c>
      <c r="AC250" s="50" t="str">
        <f>IFERROR(INDEX(Chemin_accès!$B$11:$C$22,MATCH(Tableau1[[#This Row],[Type]],Chemin_accès!$C$11:$C$22,0),1),Chemin_accès!$B$11)</f>
        <v>\\stjn.local\trimet\Btechnique\Commun\Atelier Central mécanique\Plan entretien\Modèles préventif\GammeDMS_7.MENG.xlsm</v>
      </c>
      <c r="AD250" s="50" t="str">
        <f>Chemin_accès!$B$8&amp;Tableau1[[#This Row],[Localisation / Classement]]&amp;"\"&amp;Tableau1[[#This Row],[Poste technique ou N° d''équipement]]&amp;"_"&amp;Tableau1[[#This Row],[Plan Entretien]]&amp;".xlsm"</f>
        <v>\\stjn.local\trimet\Btechnique\Commun\Atelier Central mécanique\Plan entretien\GammeEntretien\\_.xlsm</v>
      </c>
    </row>
    <row r="251" spans="1:30" x14ac:dyDescent="0.3">
      <c r="A251" s="44" t="str">
        <f t="shared" ca="1" si="3"/>
        <v>7.MENG</v>
      </c>
      <c r="B25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51" s="46"/>
      <c r="D251" s="44"/>
      <c r="E251" s="44"/>
      <c r="F251" s="47"/>
      <c r="G251" s="47"/>
      <c r="H251" s="45"/>
      <c r="I251" s="45"/>
      <c r="J251" s="45"/>
      <c r="K251" s="45"/>
      <c r="L251" s="46"/>
      <c r="M251" s="47"/>
      <c r="N251" s="46"/>
      <c r="O251" s="46"/>
      <c r="P251" s="47"/>
      <c r="Q251" s="46"/>
      <c r="R251" s="46"/>
      <c r="S251" s="48"/>
      <c r="T251" s="68" t="str">
        <f>IF(Tableau1[[#This Row],[DMS_SAP]]="","",HYPERLINK(Tableau1[[#This Row],[Chemin fichier source]],"X"))</f>
        <v/>
      </c>
      <c r="U251" s="68" t="str">
        <f>IF(Tableau1[[#This Row],[Date rév.]]="","",HYPERLINK(Tableau1[[#This Row],[Lien document]],"X"))</f>
        <v/>
      </c>
      <c r="V251" s="47"/>
      <c r="W25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51" s="47"/>
      <c r="Y251" s="47"/>
      <c r="Z251" s="44" t="str">
        <f ca="1">IF(AND(Tableau1[[#This Row],[Charge]]&lt;&gt;0, Tableau1[[#This Row],[Nombre intervenants]]&lt;&gt;0,Tableau1[[#This Row],[Lien document]]&lt;&gt;0,Tableau1[[#This Row],[DMS_SAP]]&lt;&gt;0)=TRUE,"MIS A JOUR","")</f>
        <v/>
      </c>
      <c r="AA251" s="48"/>
      <c r="AB251" s="65" t="str">
        <f ca="1">IF(Tableau1[[#This Row],[Date rév.]]&lt;&gt;"", DAYS360(Tableau1[[#This Row],[Date rév.]],TODAY()),"")</f>
        <v/>
      </c>
      <c r="AC251" s="50" t="str">
        <f>IFERROR(INDEX(Chemin_accès!$B$11:$C$22,MATCH(Tableau1[[#This Row],[Type]],Chemin_accès!$C$11:$C$22,0),1),Chemin_accès!$B$11)</f>
        <v>\\stjn.local\trimet\Btechnique\Commun\Atelier Central mécanique\Plan entretien\Modèles préventif\GammeDMS_7.MENG.xlsm</v>
      </c>
      <c r="AD251" s="50" t="str">
        <f>Chemin_accès!$B$8&amp;Tableau1[[#This Row],[Localisation / Classement]]&amp;"\"&amp;Tableau1[[#This Row],[Poste technique ou N° d''équipement]]&amp;"_"&amp;Tableau1[[#This Row],[Plan Entretien]]&amp;".xlsm"</f>
        <v>\\stjn.local\trimet\Btechnique\Commun\Atelier Central mécanique\Plan entretien\GammeEntretien\\_.xlsm</v>
      </c>
    </row>
    <row r="252" spans="1:30" x14ac:dyDescent="0.3">
      <c r="A252" s="44" t="str">
        <f t="shared" ca="1" si="3"/>
        <v>7.MENG</v>
      </c>
      <c r="B25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52" s="46"/>
      <c r="D252" s="44"/>
      <c r="E252" s="44"/>
      <c r="F252" s="47"/>
      <c r="G252" s="47"/>
      <c r="H252" s="45"/>
      <c r="I252" s="45"/>
      <c r="J252" s="45"/>
      <c r="K252" s="45"/>
      <c r="L252" s="46"/>
      <c r="M252" s="47"/>
      <c r="N252" s="46"/>
      <c r="O252" s="46"/>
      <c r="P252" s="47"/>
      <c r="Q252" s="46"/>
      <c r="R252" s="46"/>
      <c r="S252" s="48"/>
      <c r="T252" s="68" t="str">
        <f>IF(Tableau1[[#This Row],[DMS_SAP]]="","",HYPERLINK(Tableau1[[#This Row],[Chemin fichier source]],"X"))</f>
        <v/>
      </c>
      <c r="U252" s="68" t="str">
        <f>IF(Tableau1[[#This Row],[Date rév.]]="","",HYPERLINK(Tableau1[[#This Row],[Lien document]],"X"))</f>
        <v/>
      </c>
      <c r="V252" s="47"/>
      <c r="W25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52" s="47"/>
      <c r="Y252" s="47"/>
      <c r="Z252" s="44" t="str">
        <f ca="1">IF(AND(Tableau1[[#This Row],[Charge]]&lt;&gt;0, Tableau1[[#This Row],[Nombre intervenants]]&lt;&gt;0,Tableau1[[#This Row],[Lien document]]&lt;&gt;0,Tableau1[[#This Row],[DMS_SAP]]&lt;&gt;0)=TRUE,"MIS A JOUR","")</f>
        <v/>
      </c>
      <c r="AA252" s="48"/>
      <c r="AB252" s="65" t="str">
        <f ca="1">IF(Tableau1[[#This Row],[Date rév.]]&lt;&gt;"", DAYS360(Tableau1[[#This Row],[Date rév.]],TODAY()),"")</f>
        <v/>
      </c>
      <c r="AC252" s="50" t="str">
        <f>IFERROR(INDEX(Chemin_accès!$B$11:$C$22,MATCH(Tableau1[[#This Row],[Type]],Chemin_accès!$C$11:$C$22,0),1),Chemin_accès!$B$11)</f>
        <v>\\stjn.local\trimet\Btechnique\Commun\Atelier Central mécanique\Plan entretien\Modèles préventif\GammeDMS_7.MENG.xlsm</v>
      </c>
      <c r="AD252" s="50" t="str">
        <f>Chemin_accès!$B$8&amp;Tableau1[[#This Row],[Localisation / Classement]]&amp;"\"&amp;Tableau1[[#This Row],[Poste technique ou N° d''équipement]]&amp;"_"&amp;Tableau1[[#This Row],[Plan Entretien]]&amp;".xlsm"</f>
        <v>\\stjn.local\trimet\Btechnique\Commun\Atelier Central mécanique\Plan entretien\GammeEntretien\\_.xlsm</v>
      </c>
    </row>
    <row r="253" spans="1:30" x14ac:dyDescent="0.3">
      <c r="A253" s="44" t="str">
        <f t="shared" ca="1" si="3"/>
        <v>7.MENG</v>
      </c>
      <c r="B25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53" s="46"/>
      <c r="D253" s="44"/>
      <c r="E253" s="44"/>
      <c r="F253" s="47"/>
      <c r="G253" s="47"/>
      <c r="H253" s="45"/>
      <c r="I253" s="45"/>
      <c r="J253" s="45"/>
      <c r="K253" s="45"/>
      <c r="L253" s="46"/>
      <c r="M253" s="47"/>
      <c r="N253" s="46"/>
      <c r="O253" s="46"/>
      <c r="P253" s="47"/>
      <c r="Q253" s="46"/>
      <c r="R253" s="46"/>
      <c r="S253" s="48"/>
      <c r="T253" s="68" t="str">
        <f>IF(Tableau1[[#This Row],[DMS_SAP]]="","",HYPERLINK(Tableau1[[#This Row],[Chemin fichier source]],"X"))</f>
        <v/>
      </c>
      <c r="U253" s="68" t="str">
        <f>IF(Tableau1[[#This Row],[Date rév.]]="","",HYPERLINK(Tableau1[[#This Row],[Lien document]],"X"))</f>
        <v/>
      </c>
      <c r="V253" s="47"/>
      <c r="W25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53" s="47"/>
      <c r="Y253" s="47"/>
      <c r="Z253" s="44" t="str">
        <f ca="1">IF(AND(Tableau1[[#This Row],[Charge]]&lt;&gt;0, Tableau1[[#This Row],[Nombre intervenants]]&lt;&gt;0,Tableau1[[#This Row],[Lien document]]&lt;&gt;0,Tableau1[[#This Row],[DMS_SAP]]&lt;&gt;0)=TRUE,"MIS A JOUR","")</f>
        <v/>
      </c>
      <c r="AA253" s="48"/>
      <c r="AB253" s="65" t="str">
        <f ca="1">IF(Tableau1[[#This Row],[Date rév.]]&lt;&gt;"", DAYS360(Tableau1[[#This Row],[Date rév.]],TODAY()),"")</f>
        <v/>
      </c>
      <c r="AC253" s="50" t="str">
        <f>IFERROR(INDEX(Chemin_accès!$B$11:$C$22,MATCH(Tableau1[[#This Row],[Type]],Chemin_accès!$C$11:$C$22,0),1),Chemin_accès!$B$11)</f>
        <v>\\stjn.local\trimet\Btechnique\Commun\Atelier Central mécanique\Plan entretien\Modèles préventif\GammeDMS_7.MENG.xlsm</v>
      </c>
      <c r="AD253" s="50" t="str">
        <f>Chemin_accès!$B$8&amp;Tableau1[[#This Row],[Localisation / Classement]]&amp;"\"&amp;Tableau1[[#This Row],[Poste technique ou N° d''équipement]]&amp;"_"&amp;Tableau1[[#This Row],[Plan Entretien]]&amp;".xlsm"</f>
        <v>\\stjn.local\trimet\Btechnique\Commun\Atelier Central mécanique\Plan entretien\GammeEntretien\\_.xlsm</v>
      </c>
    </row>
    <row r="254" spans="1:30" x14ac:dyDescent="0.3">
      <c r="A254" s="44" t="str">
        <f t="shared" ca="1" si="3"/>
        <v>7.MENG</v>
      </c>
      <c r="B25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54" s="46"/>
      <c r="D254" s="44"/>
      <c r="E254" s="44"/>
      <c r="F254" s="47"/>
      <c r="G254" s="47"/>
      <c r="H254" s="45"/>
      <c r="I254" s="45"/>
      <c r="J254" s="45"/>
      <c r="K254" s="45"/>
      <c r="L254" s="46"/>
      <c r="M254" s="47"/>
      <c r="N254" s="46"/>
      <c r="O254" s="46"/>
      <c r="P254" s="47"/>
      <c r="Q254" s="46"/>
      <c r="R254" s="46"/>
      <c r="S254" s="48"/>
      <c r="T254" s="68" t="str">
        <f>IF(Tableau1[[#This Row],[DMS_SAP]]="","",HYPERLINK(Tableau1[[#This Row],[Chemin fichier source]],"X"))</f>
        <v/>
      </c>
      <c r="U254" s="68" t="str">
        <f>IF(Tableau1[[#This Row],[Date rév.]]="","",HYPERLINK(Tableau1[[#This Row],[Lien document]],"X"))</f>
        <v/>
      </c>
      <c r="V254" s="47"/>
      <c r="W25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54" s="47"/>
      <c r="Y254" s="47"/>
      <c r="Z254" s="44" t="str">
        <f ca="1">IF(AND(Tableau1[[#This Row],[Charge]]&lt;&gt;0, Tableau1[[#This Row],[Nombre intervenants]]&lt;&gt;0,Tableau1[[#This Row],[Lien document]]&lt;&gt;0,Tableau1[[#This Row],[DMS_SAP]]&lt;&gt;0)=TRUE,"MIS A JOUR","")</f>
        <v/>
      </c>
      <c r="AA254" s="48"/>
      <c r="AB254" s="65" t="str">
        <f ca="1">IF(Tableau1[[#This Row],[Date rév.]]&lt;&gt;"", DAYS360(Tableau1[[#This Row],[Date rév.]],TODAY()),"")</f>
        <v/>
      </c>
      <c r="AC254" s="50" t="str">
        <f>IFERROR(INDEX(Chemin_accès!$B$11:$C$22,MATCH(Tableau1[[#This Row],[Type]],Chemin_accès!$C$11:$C$22,0),1),Chemin_accès!$B$11)</f>
        <v>\\stjn.local\trimet\Btechnique\Commun\Atelier Central mécanique\Plan entretien\Modèles préventif\GammeDMS_7.MENG.xlsm</v>
      </c>
      <c r="AD254" s="50" t="str">
        <f>Chemin_accès!$B$8&amp;Tableau1[[#This Row],[Localisation / Classement]]&amp;"\"&amp;Tableau1[[#This Row],[Poste technique ou N° d''équipement]]&amp;"_"&amp;Tableau1[[#This Row],[Plan Entretien]]&amp;".xlsm"</f>
        <v>\\stjn.local\trimet\Btechnique\Commun\Atelier Central mécanique\Plan entretien\GammeEntretien\\_.xlsm</v>
      </c>
    </row>
    <row r="255" spans="1:30" x14ac:dyDescent="0.3">
      <c r="A255" s="44" t="str">
        <f t="shared" ca="1" si="3"/>
        <v>7.MENG</v>
      </c>
      <c r="B25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55" s="46"/>
      <c r="D255" s="44"/>
      <c r="E255" s="44"/>
      <c r="F255" s="47"/>
      <c r="G255" s="47"/>
      <c r="H255" s="45"/>
      <c r="I255" s="45"/>
      <c r="J255" s="45"/>
      <c r="K255" s="45"/>
      <c r="L255" s="46"/>
      <c r="M255" s="47"/>
      <c r="N255" s="46"/>
      <c r="O255" s="46"/>
      <c r="P255" s="47"/>
      <c r="Q255" s="46"/>
      <c r="R255" s="46"/>
      <c r="S255" s="48"/>
      <c r="T255" s="68" t="str">
        <f>IF(Tableau1[[#This Row],[DMS_SAP]]="","",HYPERLINK(Tableau1[[#This Row],[Chemin fichier source]],"X"))</f>
        <v/>
      </c>
      <c r="U255" s="68" t="str">
        <f>IF(Tableau1[[#This Row],[Date rév.]]="","",HYPERLINK(Tableau1[[#This Row],[Lien document]],"X"))</f>
        <v/>
      </c>
      <c r="V255" s="47"/>
      <c r="W25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55" s="47"/>
      <c r="Y255" s="47"/>
      <c r="Z255" s="44" t="str">
        <f ca="1">IF(AND(Tableau1[[#This Row],[Charge]]&lt;&gt;0, Tableau1[[#This Row],[Nombre intervenants]]&lt;&gt;0,Tableau1[[#This Row],[Lien document]]&lt;&gt;0,Tableau1[[#This Row],[DMS_SAP]]&lt;&gt;0)=TRUE,"MIS A JOUR","")</f>
        <v/>
      </c>
      <c r="AA255" s="48"/>
      <c r="AB255" s="65" t="str">
        <f ca="1">IF(Tableau1[[#This Row],[Date rév.]]&lt;&gt;"", DAYS360(Tableau1[[#This Row],[Date rév.]],TODAY()),"")</f>
        <v/>
      </c>
      <c r="AC255" s="50" t="str">
        <f>IFERROR(INDEX(Chemin_accès!$B$11:$C$22,MATCH(Tableau1[[#This Row],[Type]],Chemin_accès!$C$11:$C$22,0),1),Chemin_accès!$B$11)</f>
        <v>\\stjn.local\trimet\Btechnique\Commun\Atelier Central mécanique\Plan entretien\Modèles préventif\GammeDMS_7.MENG.xlsm</v>
      </c>
      <c r="AD255" s="50" t="str">
        <f>Chemin_accès!$B$8&amp;Tableau1[[#This Row],[Localisation / Classement]]&amp;"\"&amp;Tableau1[[#This Row],[Poste technique ou N° d''équipement]]&amp;"_"&amp;Tableau1[[#This Row],[Plan Entretien]]&amp;".xlsm"</f>
        <v>\\stjn.local\trimet\Btechnique\Commun\Atelier Central mécanique\Plan entretien\GammeEntretien\\_.xlsm</v>
      </c>
    </row>
    <row r="256" spans="1:30" x14ac:dyDescent="0.3">
      <c r="A256" s="44" t="str">
        <f t="shared" ca="1" si="3"/>
        <v>7.MENG</v>
      </c>
      <c r="B25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56" s="47"/>
      <c r="D256" s="44"/>
      <c r="E256" s="44"/>
      <c r="F256" s="47"/>
      <c r="G256" s="47"/>
      <c r="H256" s="45"/>
      <c r="I256" s="45"/>
      <c r="J256" s="45"/>
      <c r="K256" s="45"/>
      <c r="L256" s="46"/>
      <c r="M256" s="47"/>
      <c r="N256" s="46"/>
      <c r="O256" s="47"/>
      <c r="P256" s="47"/>
      <c r="Q256" s="46"/>
      <c r="R256" s="46"/>
      <c r="S256" s="48"/>
      <c r="T256" s="68" t="str">
        <f>IF(Tableau1[[#This Row],[DMS_SAP]]="","",HYPERLINK(Tableau1[[#This Row],[Chemin fichier source]],"X"))</f>
        <v/>
      </c>
      <c r="U256" s="68" t="str">
        <f>IF(Tableau1[[#This Row],[Date rév.]]="","",HYPERLINK(Tableau1[[#This Row],[Lien document]],"X"))</f>
        <v/>
      </c>
      <c r="V256" s="47"/>
      <c r="W256" s="54"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56" s="47"/>
      <c r="Y256" s="47"/>
      <c r="Z256" s="44" t="str">
        <f ca="1">IF(AND(Tableau1[[#This Row],[Charge]]&lt;&gt;0, Tableau1[[#This Row],[Nombre intervenants]]&lt;&gt;0,Tableau1[[#This Row],[Lien document]]&lt;&gt;0,Tableau1[[#This Row],[DMS_SAP]]&lt;&gt;0)=TRUE,"MIS A JOUR","")</f>
        <v/>
      </c>
      <c r="AA256" s="48"/>
      <c r="AB256" s="65" t="str">
        <f ca="1">IF(Tableau1[[#This Row],[Date rév.]]&lt;&gt;"", DAYS360(Tableau1[[#This Row],[Date rév.]],TODAY()),"")</f>
        <v/>
      </c>
      <c r="AC256" s="50" t="str">
        <f>IFERROR(INDEX(Chemin_accès!$B$11:$C$22,MATCH(Tableau1[[#This Row],[Type]],Chemin_accès!$C$11:$C$22,0),1),Chemin_accès!$B$11)</f>
        <v>\\stjn.local\trimet\Btechnique\Commun\Atelier Central mécanique\Plan entretien\Modèles préventif\GammeDMS_7.MENG.xlsm</v>
      </c>
      <c r="AD256" s="50" t="str">
        <f>Chemin_accès!$B$8&amp;Tableau1[[#This Row],[Localisation / Classement]]&amp;"\"&amp;Tableau1[[#This Row],[Poste technique ou N° d''équipement]]&amp;"_"&amp;Tableau1[[#This Row],[Plan Entretien]]&amp;".xlsm"</f>
        <v>\\stjn.local\trimet\Btechnique\Commun\Atelier Central mécanique\Plan entretien\GammeEntretien\\_.xlsm</v>
      </c>
    </row>
    <row r="257" spans="1:30" x14ac:dyDescent="0.3">
      <c r="A257" s="44" t="str">
        <f t="shared" ref="A257:A320" ca="1" si="4">MID(CELL("filename",$A$1),FIND("]",CELL("filename",$A$1))+1,32)</f>
        <v>7.MENG</v>
      </c>
      <c r="B25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57" s="47"/>
      <c r="D257" s="44"/>
      <c r="E257" s="44"/>
      <c r="F257" s="47"/>
      <c r="G257" s="47"/>
      <c r="H257" s="45"/>
      <c r="I257" s="45"/>
      <c r="J257" s="45"/>
      <c r="K257" s="45"/>
      <c r="L257" s="46"/>
      <c r="M257" s="47"/>
      <c r="N257" s="46"/>
      <c r="O257" s="47"/>
      <c r="P257" s="47"/>
      <c r="Q257" s="46"/>
      <c r="R257" s="46"/>
      <c r="S257" s="48"/>
      <c r="T257" s="68" t="str">
        <f>IF(Tableau1[[#This Row],[DMS_SAP]]="","",HYPERLINK(Tableau1[[#This Row],[Chemin fichier source]],"X"))</f>
        <v/>
      </c>
      <c r="U257" s="68" t="str">
        <f>IF(Tableau1[[#This Row],[Date rév.]]="","",HYPERLINK(Tableau1[[#This Row],[Lien document]],"X"))</f>
        <v/>
      </c>
      <c r="V257" s="47"/>
      <c r="W257" s="54"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57" s="47"/>
      <c r="Y257" s="47"/>
      <c r="Z257" s="44" t="str">
        <f ca="1">IF(AND(Tableau1[[#This Row],[Charge]]&lt;&gt;0, Tableau1[[#This Row],[Nombre intervenants]]&lt;&gt;0,Tableau1[[#This Row],[Lien document]]&lt;&gt;0,Tableau1[[#This Row],[DMS_SAP]]&lt;&gt;0)=TRUE,"MIS A JOUR","")</f>
        <v/>
      </c>
      <c r="AA257" s="48"/>
      <c r="AB257" s="65" t="str">
        <f ca="1">IF(Tableau1[[#This Row],[Date rév.]]&lt;&gt;"", DAYS360(Tableau1[[#This Row],[Date rév.]],TODAY()),"")</f>
        <v/>
      </c>
      <c r="AC257" s="50" t="str">
        <f>IFERROR(INDEX(Chemin_accès!$B$11:$C$22,MATCH(Tableau1[[#This Row],[Type]],Chemin_accès!$C$11:$C$22,0),1),Chemin_accès!$B$11)</f>
        <v>\\stjn.local\trimet\Btechnique\Commun\Atelier Central mécanique\Plan entretien\Modèles préventif\GammeDMS_7.MENG.xlsm</v>
      </c>
      <c r="AD257" s="50" t="str">
        <f>Chemin_accès!$B$8&amp;Tableau1[[#This Row],[Localisation / Classement]]&amp;"\"&amp;Tableau1[[#This Row],[Poste technique ou N° d''équipement]]&amp;"_"&amp;Tableau1[[#This Row],[Plan Entretien]]&amp;".xlsm"</f>
        <v>\\stjn.local\trimet\Btechnique\Commun\Atelier Central mécanique\Plan entretien\GammeEntretien\\_.xlsm</v>
      </c>
    </row>
    <row r="258" spans="1:30" x14ac:dyDescent="0.3">
      <c r="A258" s="44" t="str">
        <f t="shared" ca="1" si="4"/>
        <v>7.MENG</v>
      </c>
      <c r="B25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58" s="47"/>
      <c r="D258" s="44"/>
      <c r="E258" s="44"/>
      <c r="F258" s="47"/>
      <c r="G258" s="47"/>
      <c r="H258" s="45"/>
      <c r="I258" s="45"/>
      <c r="J258" s="45"/>
      <c r="K258" s="45"/>
      <c r="L258" s="46"/>
      <c r="M258" s="47"/>
      <c r="N258" s="46"/>
      <c r="O258" s="47"/>
      <c r="P258" s="47"/>
      <c r="Q258" s="46"/>
      <c r="R258" s="46"/>
      <c r="S258" s="48"/>
      <c r="T258" s="68" t="str">
        <f>IF(Tableau1[[#This Row],[DMS_SAP]]="","",HYPERLINK(Tableau1[[#This Row],[Chemin fichier source]],"X"))</f>
        <v/>
      </c>
      <c r="U258" s="68" t="str">
        <f>IF(Tableau1[[#This Row],[Date rév.]]="","",HYPERLINK(Tableau1[[#This Row],[Lien document]],"X"))</f>
        <v/>
      </c>
      <c r="V258" s="47"/>
      <c r="W258" s="54"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58" s="47"/>
      <c r="Y258" s="47"/>
      <c r="Z258" s="44" t="str">
        <f ca="1">IF(AND(Tableau1[[#This Row],[Charge]]&lt;&gt;0, Tableau1[[#This Row],[Nombre intervenants]]&lt;&gt;0,Tableau1[[#This Row],[Lien document]]&lt;&gt;0,Tableau1[[#This Row],[DMS_SAP]]&lt;&gt;0)=TRUE,"MIS A JOUR","")</f>
        <v/>
      </c>
      <c r="AA258" s="48"/>
      <c r="AB258" s="65" t="str">
        <f ca="1">IF(Tableau1[[#This Row],[Date rév.]]&lt;&gt;"", DAYS360(Tableau1[[#This Row],[Date rév.]],TODAY()),"")</f>
        <v/>
      </c>
      <c r="AC258" s="50" t="str">
        <f>IFERROR(INDEX(Chemin_accès!$B$11:$C$22,MATCH(Tableau1[[#This Row],[Type]],Chemin_accès!$C$11:$C$22,0),1),Chemin_accès!$B$11)</f>
        <v>\\stjn.local\trimet\Btechnique\Commun\Atelier Central mécanique\Plan entretien\Modèles préventif\GammeDMS_7.MENG.xlsm</v>
      </c>
      <c r="AD258" s="50" t="str">
        <f>Chemin_accès!$B$8&amp;Tableau1[[#This Row],[Localisation / Classement]]&amp;"\"&amp;Tableau1[[#This Row],[Poste technique ou N° d''équipement]]&amp;"_"&amp;Tableau1[[#This Row],[Plan Entretien]]&amp;".xlsm"</f>
        <v>\\stjn.local\trimet\Btechnique\Commun\Atelier Central mécanique\Plan entretien\GammeEntretien\\_.xlsm</v>
      </c>
    </row>
    <row r="259" spans="1:30" x14ac:dyDescent="0.3">
      <c r="A259" s="44" t="str">
        <f t="shared" ca="1" si="4"/>
        <v>7.MENG</v>
      </c>
      <c r="B25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59" s="47"/>
      <c r="D259" s="44"/>
      <c r="E259" s="44"/>
      <c r="F259" s="47"/>
      <c r="G259" s="47"/>
      <c r="H259" s="45"/>
      <c r="I259" s="45"/>
      <c r="J259" s="45"/>
      <c r="K259" s="45"/>
      <c r="L259" s="46"/>
      <c r="M259" s="47"/>
      <c r="N259" s="46"/>
      <c r="O259" s="47"/>
      <c r="P259" s="47"/>
      <c r="Q259" s="46"/>
      <c r="R259" s="46"/>
      <c r="S259" s="48"/>
      <c r="T259" s="68" t="str">
        <f>IF(Tableau1[[#This Row],[DMS_SAP]]="","",HYPERLINK(Tableau1[[#This Row],[Chemin fichier source]],"X"))</f>
        <v/>
      </c>
      <c r="U259" s="68" t="str">
        <f>IF(Tableau1[[#This Row],[Date rév.]]="","",HYPERLINK(Tableau1[[#This Row],[Lien document]],"X"))</f>
        <v/>
      </c>
      <c r="V259" s="47"/>
      <c r="W25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59" s="47"/>
      <c r="Y259" s="47"/>
      <c r="Z259" s="44" t="str">
        <f ca="1">IF(AND(Tableau1[[#This Row],[Charge]]&lt;&gt;0, Tableau1[[#This Row],[Nombre intervenants]]&lt;&gt;0,Tableau1[[#This Row],[Lien document]]&lt;&gt;0,Tableau1[[#This Row],[DMS_SAP]]&lt;&gt;0)=TRUE,"MIS A JOUR","")</f>
        <v/>
      </c>
      <c r="AA259" s="48"/>
      <c r="AB259" s="65" t="str">
        <f ca="1">IF(Tableau1[[#This Row],[Date rév.]]&lt;&gt;"", DAYS360(Tableau1[[#This Row],[Date rév.]],TODAY()),"")</f>
        <v/>
      </c>
      <c r="AC259" s="50" t="str">
        <f>IFERROR(INDEX(Chemin_accès!$B$11:$C$22,MATCH(Tableau1[[#This Row],[Type]],Chemin_accès!$C$11:$C$22,0),1),Chemin_accès!$B$11)</f>
        <v>\\stjn.local\trimet\Btechnique\Commun\Atelier Central mécanique\Plan entretien\Modèles préventif\GammeDMS_7.MENG.xlsm</v>
      </c>
      <c r="AD259" s="50" t="str">
        <f>Chemin_accès!$B$8&amp;Tableau1[[#This Row],[Localisation / Classement]]&amp;"\"&amp;Tableau1[[#This Row],[Poste technique ou N° d''équipement]]&amp;"_"&amp;Tableau1[[#This Row],[Plan Entretien]]&amp;".xlsm"</f>
        <v>\\stjn.local\trimet\Btechnique\Commun\Atelier Central mécanique\Plan entretien\GammeEntretien\\_.xlsm</v>
      </c>
    </row>
    <row r="260" spans="1:30" x14ac:dyDescent="0.3">
      <c r="A260" s="44" t="str">
        <f t="shared" ca="1" si="4"/>
        <v>7.MENG</v>
      </c>
      <c r="B26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60" s="47"/>
      <c r="D260" s="44"/>
      <c r="E260" s="44"/>
      <c r="F260" s="47"/>
      <c r="G260" s="47"/>
      <c r="H260" s="45"/>
      <c r="I260" s="45"/>
      <c r="J260" s="45"/>
      <c r="K260" s="45"/>
      <c r="L260" s="46"/>
      <c r="M260" s="47"/>
      <c r="N260" s="46"/>
      <c r="O260" s="47"/>
      <c r="P260" s="47"/>
      <c r="Q260" s="46"/>
      <c r="R260" s="46"/>
      <c r="S260" s="48"/>
      <c r="T260" s="68" t="str">
        <f>IF(Tableau1[[#This Row],[DMS_SAP]]="","",HYPERLINK(Tableau1[[#This Row],[Chemin fichier source]],"X"))</f>
        <v/>
      </c>
      <c r="U260" s="68" t="str">
        <f>IF(Tableau1[[#This Row],[Date rév.]]="","",HYPERLINK(Tableau1[[#This Row],[Lien document]],"X"))</f>
        <v/>
      </c>
      <c r="V260" s="47"/>
      <c r="W260" s="54"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60" s="47"/>
      <c r="Y260" s="47"/>
      <c r="Z260" s="44" t="str">
        <f ca="1">IF(AND(Tableau1[[#This Row],[Charge]]&lt;&gt;0, Tableau1[[#This Row],[Nombre intervenants]]&lt;&gt;0,Tableau1[[#This Row],[Lien document]]&lt;&gt;0,Tableau1[[#This Row],[DMS_SAP]]&lt;&gt;0)=TRUE,"MIS A JOUR","")</f>
        <v/>
      </c>
      <c r="AA260" s="48"/>
      <c r="AB260" s="65" t="str">
        <f ca="1">IF(Tableau1[[#This Row],[Date rév.]]&lt;&gt;"", DAYS360(Tableau1[[#This Row],[Date rév.]],TODAY()),"")</f>
        <v/>
      </c>
      <c r="AC260" s="50" t="str">
        <f>IFERROR(INDEX(Chemin_accès!$B$11:$C$22,MATCH(Tableau1[[#This Row],[Type]],Chemin_accès!$C$11:$C$22,0),1),Chemin_accès!$B$11)</f>
        <v>\\stjn.local\trimet\Btechnique\Commun\Atelier Central mécanique\Plan entretien\Modèles préventif\GammeDMS_7.MENG.xlsm</v>
      </c>
      <c r="AD260" s="50" t="str">
        <f>Chemin_accès!$B$8&amp;Tableau1[[#This Row],[Localisation / Classement]]&amp;"\"&amp;Tableau1[[#This Row],[Poste technique ou N° d''équipement]]&amp;"_"&amp;Tableau1[[#This Row],[Plan Entretien]]&amp;".xlsm"</f>
        <v>\\stjn.local\trimet\Btechnique\Commun\Atelier Central mécanique\Plan entretien\GammeEntretien\\_.xlsm</v>
      </c>
    </row>
    <row r="261" spans="1:30" x14ac:dyDescent="0.3">
      <c r="A261" s="44" t="str">
        <f t="shared" ca="1" si="4"/>
        <v>7.MENG</v>
      </c>
      <c r="B26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61" s="53"/>
      <c r="D261" s="44"/>
      <c r="E261" s="44"/>
      <c r="F261" s="47"/>
      <c r="G261" s="47"/>
      <c r="H261" s="45"/>
      <c r="I261" s="45"/>
      <c r="J261" s="45"/>
      <c r="K261" s="45"/>
      <c r="L261" s="46"/>
      <c r="M261" s="47"/>
      <c r="N261" s="46"/>
      <c r="O261" s="46"/>
      <c r="P261" s="47"/>
      <c r="Q261" s="46"/>
      <c r="R261" s="46"/>
      <c r="S261" s="48"/>
      <c r="T261" s="68" t="str">
        <f>IF(Tableau1[[#This Row],[DMS_SAP]]="","",HYPERLINK(Tableau1[[#This Row],[Chemin fichier source]],"X"))</f>
        <v/>
      </c>
      <c r="U261" s="68" t="str">
        <f>IF(Tableau1[[#This Row],[Date rév.]]="","",HYPERLINK(Tableau1[[#This Row],[Lien document]],"X"))</f>
        <v/>
      </c>
      <c r="V261" s="47"/>
      <c r="W26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61" s="47"/>
      <c r="Y261" s="47"/>
      <c r="Z261" s="44" t="str">
        <f ca="1">IF(AND(Tableau1[[#This Row],[Charge]]&lt;&gt;0, Tableau1[[#This Row],[Nombre intervenants]]&lt;&gt;0,Tableau1[[#This Row],[Lien document]]&lt;&gt;0,Tableau1[[#This Row],[DMS_SAP]]&lt;&gt;0)=TRUE,"MIS A JOUR","")</f>
        <v/>
      </c>
      <c r="AA261" s="48"/>
      <c r="AB261" s="65" t="str">
        <f ca="1">IF(Tableau1[[#This Row],[Date rév.]]&lt;&gt;"", DAYS360(Tableau1[[#This Row],[Date rév.]],TODAY()),"")</f>
        <v/>
      </c>
      <c r="AC261" s="50" t="str">
        <f>IFERROR(INDEX(Chemin_accès!$B$11:$C$22,MATCH(Tableau1[[#This Row],[Type]],Chemin_accès!$C$11:$C$22,0),1),Chemin_accès!$B$11)</f>
        <v>\\stjn.local\trimet\Btechnique\Commun\Atelier Central mécanique\Plan entretien\Modèles préventif\GammeDMS_7.MENG.xlsm</v>
      </c>
      <c r="AD261" s="50" t="str">
        <f>Chemin_accès!$B$8&amp;Tableau1[[#This Row],[Localisation / Classement]]&amp;"\"&amp;Tableau1[[#This Row],[Poste technique ou N° d''équipement]]&amp;"_"&amp;Tableau1[[#This Row],[Plan Entretien]]&amp;".xlsm"</f>
        <v>\\stjn.local\trimet\Btechnique\Commun\Atelier Central mécanique\Plan entretien\GammeEntretien\\_.xlsm</v>
      </c>
    </row>
    <row r="262" spans="1:30" x14ac:dyDescent="0.3">
      <c r="A262" s="44" t="str">
        <f t="shared" ca="1" si="4"/>
        <v>7.MENG</v>
      </c>
      <c r="B26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62" s="46"/>
      <c r="D262" s="44"/>
      <c r="E262" s="44"/>
      <c r="F262" s="47"/>
      <c r="G262" s="47"/>
      <c r="H262" s="45"/>
      <c r="I262" s="45"/>
      <c r="J262" s="45"/>
      <c r="K262" s="45"/>
      <c r="L262" s="46"/>
      <c r="M262" s="47"/>
      <c r="N262" s="46"/>
      <c r="O262" s="46"/>
      <c r="P262" s="47"/>
      <c r="Q262" s="46"/>
      <c r="R262" s="46"/>
      <c r="S262" s="48"/>
      <c r="T262" s="68" t="str">
        <f>IF(Tableau1[[#This Row],[DMS_SAP]]="","",HYPERLINK(Tableau1[[#This Row],[Chemin fichier source]],"X"))</f>
        <v/>
      </c>
      <c r="U262" s="68" t="str">
        <f>IF(Tableau1[[#This Row],[Date rév.]]="","",HYPERLINK(Tableau1[[#This Row],[Lien document]],"X"))</f>
        <v/>
      </c>
      <c r="V262" s="47"/>
      <c r="W26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62" s="47"/>
      <c r="Y262" s="47"/>
      <c r="Z262" s="44" t="str">
        <f ca="1">IF(AND(Tableau1[[#This Row],[Charge]]&lt;&gt;0, Tableau1[[#This Row],[Nombre intervenants]]&lt;&gt;0,Tableau1[[#This Row],[Lien document]]&lt;&gt;0,Tableau1[[#This Row],[DMS_SAP]]&lt;&gt;0)=TRUE,"MIS A JOUR","")</f>
        <v/>
      </c>
      <c r="AA262" s="48"/>
      <c r="AB262" s="65" t="str">
        <f ca="1">IF(Tableau1[[#This Row],[Date rév.]]&lt;&gt;"", DAYS360(Tableau1[[#This Row],[Date rév.]],TODAY()),"")</f>
        <v/>
      </c>
      <c r="AC262" s="50" t="str">
        <f>IFERROR(INDEX(Chemin_accès!$B$11:$C$22,MATCH(Tableau1[[#This Row],[Type]],Chemin_accès!$C$11:$C$22,0),1),Chemin_accès!$B$11)</f>
        <v>\\stjn.local\trimet\Btechnique\Commun\Atelier Central mécanique\Plan entretien\Modèles préventif\GammeDMS_7.MENG.xlsm</v>
      </c>
      <c r="AD262" s="50" t="str">
        <f>Chemin_accès!$B$8&amp;Tableau1[[#This Row],[Localisation / Classement]]&amp;"\"&amp;Tableau1[[#This Row],[Poste technique ou N° d''équipement]]&amp;"_"&amp;Tableau1[[#This Row],[Plan Entretien]]&amp;".xlsm"</f>
        <v>\\stjn.local\trimet\Btechnique\Commun\Atelier Central mécanique\Plan entretien\GammeEntretien\\_.xlsm</v>
      </c>
    </row>
    <row r="263" spans="1:30" x14ac:dyDescent="0.3">
      <c r="A263" s="44" t="str">
        <f t="shared" ca="1" si="4"/>
        <v>7.MENG</v>
      </c>
      <c r="B26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63" s="46"/>
      <c r="D263" s="44"/>
      <c r="E263" s="44"/>
      <c r="F263" s="47"/>
      <c r="G263" s="47"/>
      <c r="H263" s="45"/>
      <c r="I263" s="45"/>
      <c r="J263" s="45"/>
      <c r="K263" s="45"/>
      <c r="L263" s="46"/>
      <c r="M263" s="47"/>
      <c r="N263" s="46"/>
      <c r="O263" s="46"/>
      <c r="P263" s="47"/>
      <c r="Q263" s="46"/>
      <c r="R263" s="46"/>
      <c r="S263" s="48"/>
      <c r="T263" s="68" t="str">
        <f>IF(Tableau1[[#This Row],[DMS_SAP]]="","",HYPERLINK(Tableau1[[#This Row],[Chemin fichier source]],"X"))</f>
        <v/>
      </c>
      <c r="U263" s="68" t="str">
        <f>IF(Tableau1[[#This Row],[Date rév.]]="","",HYPERLINK(Tableau1[[#This Row],[Lien document]],"X"))</f>
        <v/>
      </c>
      <c r="V263" s="47"/>
      <c r="W26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63" s="47"/>
      <c r="Y263" s="47"/>
      <c r="Z263" s="44" t="str">
        <f ca="1">IF(AND(Tableau1[[#This Row],[Charge]]&lt;&gt;0, Tableau1[[#This Row],[Nombre intervenants]]&lt;&gt;0,Tableau1[[#This Row],[Lien document]]&lt;&gt;0,Tableau1[[#This Row],[DMS_SAP]]&lt;&gt;0)=TRUE,"MIS A JOUR","")</f>
        <v/>
      </c>
      <c r="AA263" s="48"/>
      <c r="AB263" s="65" t="str">
        <f ca="1">IF(Tableau1[[#This Row],[Date rév.]]&lt;&gt;"", DAYS360(Tableau1[[#This Row],[Date rév.]],TODAY()),"")</f>
        <v/>
      </c>
      <c r="AC263" s="50" t="str">
        <f>IFERROR(INDEX(Chemin_accès!$B$11:$C$22,MATCH(Tableau1[[#This Row],[Type]],Chemin_accès!$C$11:$C$22,0),1),Chemin_accès!$B$11)</f>
        <v>\\stjn.local\trimet\Btechnique\Commun\Atelier Central mécanique\Plan entretien\Modèles préventif\GammeDMS_7.MENG.xlsm</v>
      </c>
      <c r="AD263" s="50" t="str">
        <f>Chemin_accès!$B$8&amp;Tableau1[[#This Row],[Localisation / Classement]]&amp;"\"&amp;Tableau1[[#This Row],[Poste technique ou N° d''équipement]]&amp;"_"&amp;Tableau1[[#This Row],[Plan Entretien]]&amp;".xlsm"</f>
        <v>\\stjn.local\trimet\Btechnique\Commun\Atelier Central mécanique\Plan entretien\GammeEntretien\\_.xlsm</v>
      </c>
    </row>
    <row r="264" spans="1:30" x14ac:dyDescent="0.3">
      <c r="A264" s="44" t="str">
        <f t="shared" ca="1" si="4"/>
        <v>7.MENG</v>
      </c>
      <c r="B26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64" s="46"/>
      <c r="D264" s="44"/>
      <c r="E264" s="44"/>
      <c r="F264" s="47"/>
      <c r="G264" s="47"/>
      <c r="H264" s="45"/>
      <c r="I264" s="45"/>
      <c r="J264" s="45"/>
      <c r="K264" s="45"/>
      <c r="L264" s="46"/>
      <c r="M264" s="47"/>
      <c r="N264" s="46"/>
      <c r="O264" s="46"/>
      <c r="P264" s="47"/>
      <c r="Q264" s="46"/>
      <c r="R264" s="46"/>
      <c r="S264" s="48"/>
      <c r="T264" s="68" t="str">
        <f>IF(Tableau1[[#This Row],[DMS_SAP]]="","",HYPERLINK(Tableau1[[#This Row],[Chemin fichier source]],"X"))</f>
        <v/>
      </c>
      <c r="U264" s="68" t="str">
        <f>IF(Tableau1[[#This Row],[Date rév.]]="","",HYPERLINK(Tableau1[[#This Row],[Lien document]],"X"))</f>
        <v/>
      </c>
      <c r="V264" s="47"/>
      <c r="W26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64" s="47"/>
      <c r="Y264" s="47"/>
      <c r="Z264" s="44" t="str">
        <f ca="1">IF(AND(Tableau1[[#This Row],[Charge]]&lt;&gt;0, Tableau1[[#This Row],[Nombre intervenants]]&lt;&gt;0,Tableau1[[#This Row],[Lien document]]&lt;&gt;0,Tableau1[[#This Row],[DMS_SAP]]&lt;&gt;0)=TRUE,"MIS A JOUR","")</f>
        <v/>
      </c>
      <c r="AA264" s="48"/>
      <c r="AB264" s="65" t="str">
        <f ca="1">IF(Tableau1[[#This Row],[Date rév.]]&lt;&gt;"", DAYS360(Tableau1[[#This Row],[Date rév.]],TODAY()),"")</f>
        <v/>
      </c>
      <c r="AC264" s="50" t="str">
        <f>IFERROR(INDEX(Chemin_accès!$B$11:$C$22,MATCH(Tableau1[[#This Row],[Type]],Chemin_accès!$C$11:$C$22,0),1),Chemin_accès!$B$11)</f>
        <v>\\stjn.local\trimet\Btechnique\Commun\Atelier Central mécanique\Plan entretien\Modèles préventif\GammeDMS_7.MENG.xlsm</v>
      </c>
      <c r="AD264" s="50" t="str">
        <f>Chemin_accès!$B$8&amp;Tableau1[[#This Row],[Localisation / Classement]]&amp;"\"&amp;Tableau1[[#This Row],[Poste technique ou N° d''équipement]]&amp;"_"&amp;Tableau1[[#This Row],[Plan Entretien]]&amp;".xlsm"</f>
        <v>\\stjn.local\trimet\Btechnique\Commun\Atelier Central mécanique\Plan entretien\GammeEntretien\\_.xlsm</v>
      </c>
    </row>
    <row r="265" spans="1:30" x14ac:dyDescent="0.3">
      <c r="A265" s="44" t="str">
        <f t="shared" ca="1" si="4"/>
        <v>7.MENG</v>
      </c>
      <c r="B26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65" s="46"/>
      <c r="D265" s="44"/>
      <c r="E265" s="44"/>
      <c r="F265" s="47"/>
      <c r="G265" s="47"/>
      <c r="H265" s="45"/>
      <c r="I265" s="45"/>
      <c r="J265" s="45"/>
      <c r="K265" s="45"/>
      <c r="L265" s="46"/>
      <c r="M265" s="47"/>
      <c r="N265" s="46"/>
      <c r="O265" s="46"/>
      <c r="P265" s="47"/>
      <c r="Q265" s="46"/>
      <c r="R265" s="46"/>
      <c r="S265" s="48"/>
      <c r="T265" s="68" t="str">
        <f>IF(Tableau1[[#This Row],[DMS_SAP]]="","",HYPERLINK(Tableau1[[#This Row],[Chemin fichier source]],"X"))</f>
        <v/>
      </c>
      <c r="U265" s="68" t="str">
        <f>IF(Tableau1[[#This Row],[Date rév.]]="","",HYPERLINK(Tableau1[[#This Row],[Lien document]],"X"))</f>
        <v/>
      </c>
      <c r="V265" s="47"/>
      <c r="W26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65" s="47"/>
      <c r="Y265" s="47"/>
      <c r="Z265" s="44" t="str">
        <f ca="1">IF(AND(Tableau1[[#This Row],[Charge]]&lt;&gt;0, Tableau1[[#This Row],[Nombre intervenants]]&lt;&gt;0,Tableau1[[#This Row],[Lien document]]&lt;&gt;0,Tableau1[[#This Row],[DMS_SAP]]&lt;&gt;0)=TRUE,"MIS A JOUR","")</f>
        <v/>
      </c>
      <c r="AA265" s="48"/>
      <c r="AB265" s="65" t="str">
        <f ca="1">IF(Tableau1[[#This Row],[Date rév.]]&lt;&gt;"", DAYS360(Tableau1[[#This Row],[Date rév.]],TODAY()),"")</f>
        <v/>
      </c>
      <c r="AC265" s="50" t="str">
        <f>IFERROR(INDEX(Chemin_accès!$B$11:$C$22,MATCH(Tableau1[[#This Row],[Type]],Chemin_accès!$C$11:$C$22,0),1),Chemin_accès!$B$11)</f>
        <v>\\stjn.local\trimet\Btechnique\Commun\Atelier Central mécanique\Plan entretien\Modèles préventif\GammeDMS_7.MENG.xlsm</v>
      </c>
      <c r="AD265" s="50" t="str">
        <f>Chemin_accès!$B$8&amp;Tableau1[[#This Row],[Localisation / Classement]]&amp;"\"&amp;Tableau1[[#This Row],[Poste technique ou N° d''équipement]]&amp;"_"&amp;Tableau1[[#This Row],[Plan Entretien]]&amp;".xlsm"</f>
        <v>\\stjn.local\trimet\Btechnique\Commun\Atelier Central mécanique\Plan entretien\GammeEntretien\\_.xlsm</v>
      </c>
    </row>
    <row r="266" spans="1:30" x14ac:dyDescent="0.3">
      <c r="A266" s="44" t="str">
        <f t="shared" ca="1" si="4"/>
        <v>7.MENG</v>
      </c>
      <c r="B26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66" s="46"/>
      <c r="D266" s="44"/>
      <c r="E266" s="44"/>
      <c r="F266" s="47"/>
      <c r="G266" s="47"/>
      <c r="H266" s="45"/>
      <c r="I266" s="45"/>
      <c r="J266" s="45"/>
      <c r="K266" s="45"/>
      <c r="L266" s="46"/>
      <c r="M266" s="47"/>
      <c r="N266" s="46"/>
      <c r="O266" s="46"/>
      <c r="P266" s="47"/>
      <c r="Q266" s="46"/>
      <c r="R266" s="46"/>
      <c r="S266" s="48"/>
      <c r="T266" s="68" t="str">
        <f>IF(Tableau1[[#This Row],[DMS_SAP]]="","",HYPERLINK(Tableau1[[#This Row],[Chemin fichier source]],"X"))</f>
        <v/>
      </c>
      <c r="U266" s="68" t="str">
        <f>IF(Tableau1[[#This Row],[Date rév.]]="","",HYPERLINK(Tableau1[[#This Row],[Lien document]],"X"))</f>
        <v/>
      </c>
      <c r="V266" s="47"/>
      <c r="W26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66" s="47"/>
      <c r="Y266" s="47"/>
      <c r="Z266" s="44" t="str">
        <f ca="1">IF(AND(Tableau1[[#This Row],[Charge]]&lt;&gt;0, Tableau1[[#This Row],[Nombre intervenants]]&lt;&gt;0,Tableau1[[#This Row],[Lien document]]&lt;&gt;0,Tableau1[[#This Row],[DMS_SAP]]&lt;&gt;0)=TRUE,"MIS A JOUR","")</f>
        <v/>
      </c>
      <c r="AA266" s="48"/>
      <c r="AB266" s="65" t="str">
        <f ca="1">IF(Tableau1[[#This Row],[Date rév.]]&lt;&gt;"", DAYS360(Tableau1[[#This Row],[Date rév.]],TODAY()),"")</f>
        <v/>
      </c>
      <c r="AC266" s="50" t="str">
        <f>IFERROR(INDEX(Chemin_accès!$B$11:$C$22,MATCH(Tableau1[[#This Row],[Type]],Chemin_accès!$C$11:$C$22,0),1),Chemin_accès!$B$11)</f>
        <v>\\stjn.local\trimet\Btechnique\Commun\Atelier Central mécanique\Plan entretien\Modèles préventif\GammeDMS_7.MENG.xlsm</v>
      </c>
      <c r="AD266" s="50" t="str">
        <f>Chemin_accès!$B$8&amp;Tableau1[[#This Row],[Localisation / Classement]]&amp;"\"&amp;Tableau1[[#This Row],[Poste technique ou N° d''équipement]]&amp;"_"&amp;Tableau1[[#This Row],[Plan Entretien]]&amp;".xlsm"</f>
        <v>\\stjn.local\trimet\Btechnique\Commun\Atelier Central mécanique\Plan entretien\GammeEntretien\\_.xlsm</v>
      </c>
    </row>
    <row r="267" spans="1:30" x14ac:dyDescent="0.3">
      <c r="A267" s="44" t="str">
        <f t="shared" ca="1" si="4"/>
        <v>7.MENG</v>
      </c>
      <c r="B26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67" s="46"/>
      <c r="D267" s="44"/>
      <c r="E267" s="44"/>
      <c r="F267" s="47"/>
      <c r="G267" s="47"/>
      <c r="H267" s="45"/>
      <c r="I267" s="45"/>
      <c r="J267" s="45"/>
      <c r="K267" s="45"/>
      <c r="L267" s="46"/>
      <c r="M267" s="47"/>
      <c r="N267" s="46"/>
      <c r="O267" s="46"/>
      <c r="P267" s="47"/>
      <c r="Q267" s="46"/>
      <c r="R267" s="46"/>
      <c r="S267" s="48"/>
      <c r="T267" s="68" t="str">
        <f>IF(Tableau1[[#This Row],[DMS_SAP]]="","",HYPERLINK(Tableau1[[#This Row],[Chemin fichier source]],"X"))</f>
        <v/>
      </c>
      <c r="U267" s="68" t="str">
        <f>IF(Tableau1[[#This Row],[Date rév.]]="","",HYPERLINK(Tableau1[[#This Row],[Lien document]],"X"))</f>
        <v/>
      </c>
      <c r="V267" s="47"/>
      <c r="W26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67" s="47"/>
      <c r="Y267" s="47"/>
      <c r="Z267" s="44" t="str">
        <f ca="1">IF(AND(Tableau1[[#This Row],[Charge]]&lt;&gt;0, Tableau1[[#This Row],[Nombre intervenants]]&lt;&gt;0,Tableau1[[#This Row],[Lien document]]&lt;&gt;0,Tableau1[[#This Row],[DMS_SAP]]&lt;&gt;0)=TRUE,"MIS A JOUR","")</f>
        <v/>
      </c>
      <c r="AA267" s="48"/>
      <c r="AB267" s="65" t="str">
        <f ca="1">IF(Tableau1[[#This Row],[Date rév.]]&lt;&gt;"", DAYS360(Tableau1[[#This Row],[Date rév.]],TODAY()),"")</f>
        <v/>
      </c>
      <c r="AC267" s="50" t="str">
        <f>IFERROR(INDEX(Chemin_accès!$B$11:$C$22,MATCH(Tableau1[[#This Row],[Type]],Chemin_accès!$C$11:$C$22,0),1),Chemin_accès!$B$11)</f>
        <v>\\stjn.local\trimet\Btechnique\Commun\Atelier Central mécanique\Plan entretien\Modèles préventif\GammeDMS_7.MENG.xlsm</v>
      </c>
      <c r="AD267" s="50" t="str">
        <f>Chemin_accès!$B$8&amp;Tableau1[[#This Row],[Localisation / Classement]]&amp;"\"&amp;Tableau1[[#This Row],[Poste technique ou N° d''équipement]]&amp;"_"&amp;Tableau1[[#This Row],[Plan Entretien]]&amp;".xlsm"</f>
        <v>\\stjn.local\trimet\Btechnique\Commun\Atelier Central mécanique\Plan entretien\GammeEntretien\\_.xlsm</v>
      </c>
    </row>
    <row r="268" spans="1:30" x14ac:dyDescent="0.3">
      <c r="A268" s="44" t="str">
        <f t="shared" ca="1" si="4"/>
        <v>7.MENG</v>
      </c>
      <c r="B26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68" s="46"/>
      <c r="D268" s="44"/>
      <c r="E268" s="44"/>
      <c r="F268" s="47"/>
      <c r="G268" s="47"/>
      <c r="H268" s="45"/>
      <c r="I268" s="45"/>
      <c r="J268" s="45"/>
      <c r="K268" s="45"/>
      <c r="L268" s="46"/>
      <c r="M268" s="47"/>
      <c r="N268" s="46"/>
      <c r="O268" s="46"/>
      <c r="P268" s="47"/>
      <c r="Q268" s="46"/>
      <c r="R268" s="46"/>
      <c r="S268" s="48"/>
      <c r="T268" s="68" t="str">
        <f>IF(Tableau1[[#This Row],[DMS_SAP]]="","",HYPERLINK(Tableau1[[#This Row],[Chemin fichier source]],"X"))</f>
        <v/>
      </c>
      <c r="U268" s="68" t="str">
        <f>IF(Tableau1[[#This Row],[Date rév.]]="","",HYPERLINK(Tableau1[[#This Row],[Lien document]],"X"))</f>
        <v/>
      </c>
      <c r="V268" s="47"/>
      <c r="W26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68" s="47"/>
      <c r="Y268" s="47"/>
      <c r="Z268" s="44" t="str">
        <f ca="1">IF(AND(Tableau1[[#This Row],[Charge]]&lt;&gt;0, Tableau1[[#This Row],[Nombre intervenants]]&lt;&gt;0,Tableau1[[#This Row],[Lien document]]&lt;&gt;0,Tableau1[[#This Row],[DMS_SAP]]&lt;&gt;0)=TRUE,"MIS A JOUR","")</f>
        <v/>
      </c>
      <c r="AA268" s="48"/>
      <c r="AB268" s="65" t="str">
        <f ca="1">IF(Tableau1[[#This Row],[Date rév.]]&lt;&gt;"", DAYS360(Tableau1[[#This Row],[Date rév.]],TODAY()),"")</f>
        <v/>
      </c>
      <c r="AC268" s="50" t="str">
        <f>IFERROR(INDEX(Chemin_accès!$B$11:$C$22,MATCH(Tableau1[[#This Row],[Type]],Chemin_accès!$C$11:$C$22,0),1),Chemin_accès!$B$11)</f>
        <v>\\stjn.local\trimet\Btechnique\Commun\Atelier Central mécanique\Plan entretien\Modèles préventif\GammeDMS_7.MENG.xlsm</v>
      </c>
      <c r="AD268" s="50" t="str">
        <f>Chemin_accès!$B$8&amp;Tableau1[[#This Row],[Localisation / Classement]]&amp;"\"&amp;Tableau1[[#This Row],[Poste technique ou N° d''équipement]]&amp;"_"&amp;Tableau1[[#This Row],[Plan Entretien]]&amp;".xlsm"</f>
        <v>\\stjn.local\trimet\Btechnique\Commun\Atelier Central mécanique\Plan entretien\GammeEntretien\\_.xlsm</v>
      </c>
    </row>
    <row r="269" spans="1:30" x14ac:dyDescent="0.3">
      <c r="A269" s="44" t="str">
        <f t="shared" ca="1" si="4"/>
        <v>7.MENG</v>
      </c>
      <c r="B26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69" s="46"/>
      <c r="D269" s="44"/>
      <c r="E269" s="44"/>
      <c r="F269" s="47"/>
      <c r="G269" s="47"/>
      <c r="H269" s="45"/>
      <c r="I269" s="45"/>
      <c r="J269" s="45"/>
      <c r="K269" s="45"/>
      <c r="L269" s="46"/>
      <c r="M269" s="47"/>
      <c r="N269" s="46"/>
      <c r="O269" s="46"/>
      <c r="P269" s="47"/>
      <c r="Q269" s="46"/>
      <c r="R269" s="46"/>
      <c r="S269" s="48"/>
      <c r="T269" s="68" t="str">
        <f>IF(Tableau1[[#This Row],[DMS_SAP]]="","",HYPERLINK(Tableau1[[#This Row],[Chemin fichier source]],"X"))</f>
        <v/>
      </c>
      <c r="U269" s="68" t="str">
        <f>IF(Tableau1[[#This Row],[Date rév.]]="","",HYPERLINK(Tableau1[[#This Row],[Lien document]],"X"))</f>
        <v/>
      </c>
      <c r="V269" s="47"/>
      <c r="W26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69" s="47"/>
      <c r="Y269" s="47"/>
      <c r="Z269" s="44" t="str">
        <f ca="1">IF(AND(Tableau1[[#This Row],[Charge]]&lt;&gt;0, Tableau1[[#This Row],[Nombre intervenants]]&lt;&gt;0,Tableau1[[#This Row],[Lien document]]&lt;&gt;0,Tableau1[[#This Row],[DMS_SAP]]&lt;&gt;0)=TRUE,"MIS A JOUR","")</f>
        <v/>
      </c>
      <c r="AA269" s="48"/>
      <c r="AB269" s="65" t="str">
        <f ca="1">IF(Tableau1[[#This Row],[Date rév.]]&lt;&gt;"", DAYS360(Tableau1[[#This Row],[Date rév.]],TODAY()),"")</f>
        <v/>
      </c>
      <c r="AC269" s="50" t="str">
        <f>IFERROR(INDEX(Chemin_accès!$B$11:$C$22,MATCH(Tableau1[[#This Row],[Type]],Chemin_accès!$C$11:$C$22,0),1),Chemin_accès!$B$11)</f>
        <v>\\stjn.local\trimet\Btechnique\Commun\Atelier Central mécanique\Plan entretien\Modèles préventif\GammeDMS_7.MENG.xlsm</v>
      </c>
      <c r="AD269" s="50" t="str">
        <f>Chemin_accès!$B$8&amp;Tableau1[[#This Row],[Localisation / Classement]]&amp;"\"&amp;Tableau1[[#This Row],[Poste technique ou N° d''équipement]]&amp;"_"&amp;Tableau1[[#This Row],[Plan Entretien]]&amp;".xlsm"</f>
        <v>\\stjn.local\trimet\Btechnique\Commun\Atelier Central mécanique\Plan entretien\GammeEntretien\\_.xlsm</v>
      </c>
    </row>
    <row r="270" spans="1:30" x14ac:dyDescent="0.3">
      <c r="A270" s="44" t="str">
        <f t="shared" ca="1" si="4"/>
        <v>7.MENG</v>
      </c>
      <c r="B27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70" s="46"/>
      <c r="D270" s="44"/>
      <c r="E270" s="44"/>
      <c r="F270" s="47"/>
      <c r="G270" s="47"/>
      <c r="H270" s="45"/>
      <c r="I270" s="45"/>
      <c r="J270" s="45"/>
      <c r="K270" s="45"/>
      <c r="L270" s="46"/>
      <c r="M270" s="47"/>
      <c r="N270" s="46"/>
      <c r="O270" s="46"/>
      <c r="P270" s="47"/>
      <c r="Q270" s="46"/>
      <c r="R270" s="46"/>
      <c r="S270" s="48"/>
      <c r="T270" s="68" t="str">
        <f>IF(Tableau1[[#This Row],[DMS_SAP]]="","",HYPERLINK(Tableau1[[#This Row],[Chemin fichier source]],"X"))</f>
        <v/>
      </c>
      <c r="U270" s="68" t="str">
        <f>IF(Tableau1[[#This Row],[Date rév.]]="","",HYPERLINK(Tableau1[[#This Row],[Lien document]],"X"))</f>
        <v/>
      </c>
      <c r="V270" s="47"/>
      <c r="W27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70" s="47"/>
      <c r="Y270" s="47"/>
      <c r="Z270" s="44" t="str">
        <f ca="1">IF(AND(Tableau1[[#This Row],[Charge]]&lt;&gt;0, Tableau1[[#This Row],[Nombre intervenants]]&lt;&gt;0,Tableau1[[#This Row],[Lien document]]&lt;&gt;0,Tableau1[[#This Row],[DMS_SAP]]&lt;&gt;0)=TRUE,"MIS A JOUR","")</f>
        <v/>
      </c>
      <c r="AA270" s="48"/>
      <c r="AB270" s="65" t="str">
        <f ca="1">IF(Tableau1[[#This Row],[Date rév.]]&lt;&gt;"", DAYS360(Tableau1[[#This Row],[Date rév.]],TODAY()),"")</f>
        <v/>
      </c>
      <c r="AC270" s="50" t="str">
        <f>IFERROR(INDEX(Chemin_accès!$B$11:$C$22,MATCH(Tableau1[[#This Row],[Type]],Chemin_accès!$C$11:$C$22,0),1),Chemin_accès!$B$11)</f>
        <v>\\stjn.local\trimet\Btechnique\Commun\Atelier Central mécanique\Plan entretien\Modèles préventif\GammeDMS_7.MENG.xlsm</v>
      </c>
      <c r="AD270" s="50" t="str">
        <f>Chemin_accès!$B$8&amp;Tableau1[[#This Row],[Localisation / Classement]]&amp;"\"&amp;Tableau1[[#This Row],[Poste technique ou N° d''équipement]]&amp;"_"&amp;Tableau1[[#This Row],[Plan Entretien]]&amp;".xlsm"</f>
        <v>\\stjn.local\trimet\Btechnique\Commun\Atelier Central mécanique\Plan entretien\GammeEntretien\\_.xlsm</v>
      </c>
    </row>
    <row r="271" spans="1:30" x14ac:dyDescent="0.3">
      <c r="A271" s="44" t="str">
        <f t="shared" ca="1" si="4"/>
        <v>7.MENG</v>
      </c>
      <c r="B27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71" s="46"/>
      <c r="D271" s="44"/>
      <c r="E271" s="44"/>
      <c r="F271" s="47"/>
      <c r="G271" s="47"/>
      <c r="H271" s="45"/>
      <c r="I271" s="45"/>
      <c r="J271" s="45"/>
      <c r="K271" s="45"/>
      <c r="L271" s="46"/>
      <c r="M271" s="47"/>
      <c r="N271" s="46"/>
      <c r="O271" s="46"/>
      <c r="P271" s="47"/>
      <c r="Q271" s="46"/>
      <c r="R271" s="46"/>
      <c r="S271" s="48"/>
      <c r="T271" s="68" t="str">
        <f>IF(Tableau1[[#This Row],[DMS_SAP]]="","",HYPERLINK(Tableau1[[#This Row],[Chemin fichier source]],"X"))</f>
        <v/>
      </c>
      <c r="U271" s="68" t="str">
        <f>IF(Tableau1[[#This Row],[Date rév.]]="","",HYPERLINK(Tableau1[[#This Row],[Lien document]],"X"))</f>
        <v/>
      </c>
      <c r="V271" s="47"/>
      <c r="W27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71" s="47"/>
      <c r="Y271" s="47"/>
      <c r="Z271" s="44" t="str">
        <f ca="1">IF(AND(Tableau1[[#This Row],[Charge]]&lt;&gt;0, Tableau1[[#This Row],[Nombre intervenants]]&lt;&gt;0,Tableau1[[#This Row],[Lien document]]&lt;&gt;0,Tableau1[[#This Row],[DMS_SAP]]&lt;&gt;0)=TRUE,"MIS A JOUR","")</f>
        <v/>
      </c>
      <c r="AA271" s="48"/>
      <c r="AB271" s="65" t="str">
        <f ca="1">IF(Tableau1[[#This Row],[Date rév.]]&lt;&gt;"", DAYS360(Tableau1[[#This Row],[Date rév.]],TODAY()),"")</f>
        <v/>
      </c>
      <c r="AC271" s="50" t="str">
        <f>IFERROR(INDEX(Chemin_accès!$B$11:$C$22,MATCH(Tableau1[[#This Row],[Type]],Chemin_accès!$C$11:$C$22,0),1),Chemin_accès!$B$11)</f>
        <v>\\stjn.local\trimet\Btechnique\Commun\Atelier Central mécanique\Plan entretien\Modèles préventif\GammeDMS_7.MENG.xlsm</v>
      </c>
      <c r="AD271" s="50" t="str">
        <f>Chemin_accès!$B$8&amp;Tableau1[[#This Row],[Localisation / Classement]]&amp;"\"&amp;Tableau1[[#This Row],[Poste technique ou N° d''équipement]]&amp;"_"&amp;Tableau1[[#This Row],[Plan Entretien]]&amp;".xlsm"</f>
        <v>\\stjn.local\trimet\Btechnique\Commun\Atelier Central mécanique\Plan entretien\GammeEntretien\\_.xlsm</v>
      </c>
    </row>
    <row r="272" spans="1:30" x14ac:dyDescent="0.3">
      <c r="A272" s="44" t="str">
        <f t="shared" ca="1" si="4"/>
        <v>7.MENG</v>
      </c>
      <c r="B27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72" s="46"/>
      <c r="D272" s="44"/>
      <c r="E272" s="44"/>
      <c r="F272" s="47"/>
      <c r="G272" s="47"/>
      <c r="H272" s="45"/>
      <c r="I272" s="45"/>
      <c r="J272" s="45"/>
      <c r="K272" s="45"/>
      <c r="L272" s="46"/>
      <c r="M272" s="47"/>
      <c r="N272" s="46"/>
      <c r="O272" s="46"/>
      <c r="P272" s="47"/>
      <c r="Q272" s="46"/>
      <c r="R272" s="46"/>
      <c r="S272" s="48"/>
      <c r="T272" s="68" t="str">
        <f>IF(Tableau1[[#This Row],[DMS_SAP]]="","",HYPERLINK(Tableau1[[#This Row],[Chemin fichier source]],"X"))</f>
        <v/>
      </c>
      <c r="U272" s="68" t="str">
        <f>IF(Tableau1[[#This Row],[Date rév.]]="","",HYPERLINK(Tableau1[[#This Row],[Lien document]],"X"))</f>
        <v/>
      </c>
      <c r="V272" s="47"/>
      <c r="W27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72" s="47"/>
      <c r="Y272" s="47"/>
      <c r="Z272" s="44" t="str">
        <f ca="1">IF(AND(Tableau1[[#This Row],[Charge]]&lt;&gt;0, Tableau1[[#This Row],[Nombre intervenants]]&lt;&gt;0,Tableau1[[#This Row],[Lien document]]&lt;&gt;0,Tableau1[[#This Row],[DMS_SAP]]&lt;&gt;0)=TRUE,"MIS A JOUR","")</f>
        <v/>
      </c>
      <c r="AA272" s="48"/>
      <c r="AB272" s="65" t="str">
        <f ca="1">IF(Tableau1[[#This Row],[Date rév.]]&lt;&gt;"", DAYS360(Tableau1[[#This Row],[Date rév.]],TODAY()),"")</f>
        <v/>
      </c>
      <c r="AC272" s="50" t="str">
        <f>IFERROR(INDEX(Chemin_accès!$B$11:$C$22,MATCH(Tableau1[[#This Row],[Type]],Chemin_accès!$C$11:$C$22,0),1),Chemin_accès!$B$11)</f>
        <v>\\stjn.local\trimet\Btechnique\Commun\Atelier Central mécanique\Plan entretien\Modèles préventif\GammeDMS_7.MENG.xlsm</v>
      </c>
      <c r="AD272" s="50" t="str">
        <f>Chemin_accès!$B$8&amp;Tableau1[[#This Row],[Localisation / Classement]]&amp;"\"&amp;Tableau1[[#This Row],[Poste technique ou N° d''équipement]]&amp;"_"&amp;Tableau1[[#This Row],[Plan Entretien]]&amp;".xlsm"</f>
        <v>\\stjn.local\trimet\Btechnique\Commun\Atelier Central mécanique\Plan entretien\GammeEntretien\\_.xlsm</v>
      </c>
    </row>
    <row r="273" spans="1:30" x14ac:dyDescent="0.3">
      <c r="A273" s="44" t="str">
        <f t="shared" ca="1" si="4"/>
        <v>7.MENG</v>
      </c>
      <c r="B27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73" s="46"/>
      <c r="D273" s="44"/>
      <c r="E273" s="44"/>
      <c r="F273" s="47"/>
      <c r="G273" s="47"/>
      <c r="H273" s="45"/>
      <c r="I273" s="45"/>
      <c r="J273" s="45"/>
      <c r="K273" s="45"/>
      <c r="L273" s="46"/>
      <c r="M273" s="47"/>
      <c r="N273" s="46"/>
      <c r="O273" s="46"/>
      <c r="P273" s="47"/>
      <c r="Q273" s="46"/>
      <c r="R273" s="46"/>
      <c r="S273" s="48"/>
      <c r="T273" s="68" t="str">
        <f>IF(Tableau1[[#This Row],[DMS_SAP]]="","",HYPERLINK(Tableau1[[#This Row],[Chemin fichier source]],"X"))</f>
        <v/>
      </c>
      <c r="U273" s="68" t="str">
        <f>IF(Tableau1[[#This Row],[Date rév.]]="","",HYPERLINK(Tableau1[[#This Row],[Lien document]],"X"))</f>
        <v/>
      </c>
      <c r="V273" s="47"/>
      <c r="W27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73" s="47"/>
      <c r="Y273" s="47"/>
      <c r="Z273" s="44" t="str">
        <f ca="1">IF(AND(Tableau1[[#This Row],[Charge]]&lt;&gt;0, Tableau1[[#This Row],[Nombre intervenants]]&lt;&gt;0,Tableau1[[#This Row],[Lien document]]&lt;&gt;0,Tableau1[[#This Row],[DMS_SAP]]&lt;&gt;0)=TRUE,"MIS A JOUR","")</f>
        <v/>
      </c>
      <c r="AA273" s="48"/>
      <c r="AB273" s="65" t="str">
        <f ca="1">IF(Tableau1[[#This Row],[Date rév.]]&lt;&gt;"", DAYS360(Tableau1[[#This Row],[Date rév.]],TODAY()),"")</f>
        <v/>
      </c>
      <c r="AC273" s="50" t="str">
        <f>IFERROR(INDEX(Chemin_accès!$B$11:$C$22,MATCH(Tableau1[[#This Row],[Type]],Chemin_accès!$C$11:$C$22,0),1),Chemin_accès!$B$11)</f>
        <v>\\stjn.local\trimet\Btechnique\Commun\Atelier Central mécanique\Plan entretien\Modèles préventif\GammeDMS_7.MENG.xlsm</v>
      </c>
      <c r="AD273" s="50" t="str">
        <f>Chemin_accès!$B$8&amp;Tableau1[[#This Row],[Localisation / Classement]]&amp;"\"&amp;Tableau1[[#This Row],[Poste technique ou N° d''équipement]]&amp;"_"&amp;Tableau1[[#This Row],[Plan Entretien]]&amp;".xlsm"</f>
        <v>\\stjn.local\trimet\Btechnique\Commun\Atelier Central mécanique\Plan entretien\GammeEntretien\\_.xlsm</v>
      </c>
    </row>
    <row r="274" spans="1:30" x14ac:dyDescent="0.3">
      <c r="A274" s="44" t="str">
        <f t="shared" ca="1" si="4"/>
        <v>7.MENG</v>
      </c>
      <c r="B27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74" s="46"/>
      <c r="D274" s="44"/>
      <c r="E274" s="44"/>
      <c r="F274" s="47"/>
      <c r="G274" s="47"/>
      <c r="H274" s="45"/>
      <c r="I274" s="45"/>
      <c r="J274" s="45"/>
      <c r="K274" s="45"/>
      <c r="L274" s="46"/>
      <c r="M274" s="47"/>
      <c r="N274" s="46"/>
      <c r="O274" s="46"/>
      <c r="P274" s="47"/>
      <c r="Q274" s="46"/>
      <c r="R274" s="46"/>
      <c r="S274" s="48"/>
      <c r="T274" s="68" t="str">
        <f>IF(Tableau1[[#This Row],[DMS_SAP]]="","",HYPERLINK(Tableau1[[#This Row],[Chemin fichier source]],"X"))</f>
        <v/>
      </c>
      <c r="U274" s="68" t="str">
        <f>IF(Tableau1[[#This Row],[Date rév.]]="","",HYPERLINK(Tableau1[[#This Row],[Lien document]],"X"))</f>
        <v/>
      </c>
      <c r="V274" s="47"/>
      <c r="W27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74" s="47"/>
      <c r="Y274" s="47"/>
      <c r="Z274" s="44" t="str">
        <f ca="1">IF(AND(Tableau1[[#This Row],[Charge]]&lt;&gt;0, Tableau1[[#This Row],[Nombre intervenants]]&lt;&gt;0,Tableau1[[#This Row],[Lien document]]&lt;&gt;0,Tableau1[[#This Row],[DMS_SAP]]&lt;&gt;0)=TRUE,"MIS A JOUR","")</f>
        <v/>
      </c>
      <c r="AA274" s="48"/>
      <c r="AB274" s="65" t="str">
        <f ca="1">IF(Tableau1[[#This Row],[Date rév.]]&lt;&gt;"", DAYS360(Tableau1[[#This Row],[Date rév.]],TODAY()),"")</f>
        <v/>
      </c>
      <c r="AC274" s="50" t="str">
        <f>IFERROR(INDEX(Chemin_accès!$B$11:$C$22,MATCH(Tableau1[[#This Row],[Type]],Chemin_accès!$C$11:$C$22,0),1),Chemin_accès!$B$11)</f>
        <v>\\stjn.local\trimet\Btechnique\Commun\Atelier Central mécanique\Plan entretien\Modèles préventif\GammeDMS_7.MENG.xlsm</v>
      </c>
      <c r="AD274" s="50" t="str">
        <f>Chemin_accès!$B$8&amp;Tableau1[[#This Row],[Localisation / Classement]]&amp;"\"&amp;Tableau1[[#This Row],[Poste technique ou N° d''équipement]]&amp;"_"&amp;Tableau1[[#This Row],[Plan Entretien]]&amp;".xlsm"</f>
        <v>\\stjn.local\trimet\Btechnique\Commun\Atelier Central mécanique\Plan entretien\GammeEntretien\\_.xlsm</v>
      </c>
    </row>
    <row r="275" spans="1:30" x14ac:dyDescent="0.3">
      <c r="A275" s="44" t="str">
        <f t="shared" ca="1" si="4"/>
        <v>7.MENG</v>
      </c>
      <c r="B27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75" s="46"/>
      <c r="D275" s="44"/>
      <c r="E275" s="44"/>
      <c r="F275" s="47"/>
      <c r="G275" s="47"/>
      <c r="H275" s="45"/>
      <c r="I275" s="45"/>
      <c r="J275" s="45"/>
      <c r="K275" s="45"/>
      <c r="L275" s="46"/>
      <c r="M275" s="47"/>
      <c r="N275" s="46"/>
      <c r="O275" s="46"/>
      <c r="P275" s="47"/>
      <c r="Q275" s="46"/>
      <c r="R275" s="46"/>
      <c r="S275" s="48"/>
      <c r="T275" s="68" t="str">
        <f>IF(Tableau1[[#This Row],[DMS_SAP]]="","",HYPERLINK(Tableau1[[#This Row],[Chemin fichier source]],"X"))</f>
        <v/>
      </c>
      <c r="U275" s="68" t="str">
        <f>IF(Tableau1[[#This Row],[Date rév.]]="","",HYPERLINK(Tableau1[[#This Row],[Lien document]],"X"))</f>
        <v/>
      </c>
      <c r="V275" s="47"/>
      <c r="W27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75" s="47"/>
      <c r="Y275" s="47"/>
      <c r="Z275" s="44" t="str">
        <f ca="1">IF(AND(Tableau1[[#This Row],[Charge]]&lt;&gt;0, Tableau1[[#This Row],[Nombre intervenants]]&lt;&gt;0,Tableau1[[#This Row],[Lien document]]&lt;&gt;0,Tableau1[[#This Row],[DMS_SAP]]&lt;&gt;0)=TRUE,"MIS A JOUR","")</f>
        <v/>
      </c>
      <c r="AA275" s="48"/>
      <c r="AB275" s="65" t="str">
        <f ca="1">IF(Tableau1[[#This Row],[Date rév.]]&lt;&gt;"", DAYS360(Tableau1[[#This Row],[Date rév.]],TODAY()),"")</f>
        <v/>
      </c>
      <c r="AC275" s="50" t="str">
        <f>IFERROR(INDEX(Chemin_accès!$B$11:$C$22,MATCH(Tableau1[[#This Row],[Type]],Chemin_accès!$C$11:$C$22,0),1),Chemin_accès!$B$11)</f>
        <v>\\stjn.local\trimet\Btechnique\Commun\Atelier Central mécanique\Plan entretien\Modèles préventif\GammeDMS_7.MENG.xlsm</v>
      </c>
      <c r="AD275" s="50" t="str">
        <f>Chemin_accès!$B$8&amp;Tableau1[[#This Row],[Localisation / Classement]]&amp;"\"&amp;Tableau1[[#This Row],[Poste technique ou N° d''équipement]]&amp;"_"&amp;Tableau1[[#This Row],[Plan Entretien]]&amp;".xlsm"</f>
        <v>\\stjn.local\trimet\Btechnique\Commun\Atelier Central mécanique\Plan entretien\GammeEntretien\\_.xlsm</v>
      </c>
    </row>
    <row r="276" spans="1:30" x14ac:dyDescent="0.3">
      <c r="A276" s="44" t="str">
        <f t="shared" ca="1" si="4"/>
        <v>7.MENG</v>
      </c>
      <c r="B27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76" s="46"/>
      <c r="D276" s="44"/>
      <c r="E276" s="44"/>
      <c r="F276" s="47"/>
      <c r="G276" s="47"/>
      <c r="H276" s="45"/>
      <c r="I276" s="45"/>
      <c r="J276" s="45"/>
      <c r="K276" s="45"/>
      <c r="L276" s="46"/>
      <c r="M276" s="47"/>
      <c r="N276" s="46"/>
      <c r="O276" s="46"/>
      <c r="P276" s="47"/>
      <c r="Q276" s="46"/>
      <c r="R276" s="46"/>
      <c r="S276" s="48"/>
      <c r="T276" s="68" t="str">
        <f>IF(Tableau1[[#This Row],[DMS_SAP]]="","",HYPERLINK(Tableau1[[#This Row],[Chemin fichier source]],"X"))</f>
        <v/>
      </c>
      <c r="U276" s="68" t="str">
        <f>IF(Tableau1[[#This Row],[Date rév.]]="","",HYPERLINK(Tableau1[[#This Row],[Lien document]],"X"))</f>
        <v/>
      </c>
      <c r="V276" s="47"/>
      <c r="W27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76" s="47"/>
      <c r="Y276" s="47"/>
      <c r="Z276" s="44" t="str">
        <f ca="1">IF(AND(Tableau1[[#This Row],[Charge]]&lt;&gt;0, Tableau1[[#This Row],[Nombre intervenants]]&lt;&gt;0,Tableau1[[#This Row],[Lien document]]&lt;&gt;0,Tableau1[[#This Row],[DMS_SAP]]&lt;&gt;0)=TRUE,"MIS A JOUR","")</f>
        <v/>
      </c>
      <c r="AA276" s="48"/>
      <c r="AB276" s="65" t="str">
        <f ca="1">IF(Tableau1[[#This Row],[Date rév.]]&lt;&gt;"", DAYS360(Tableau1[[#This Row],[Date rév.]],TODAY()),"")</f>
        <v/>
      </c>
      <c r="AC276" s="50" t="str">
        <f>IFERROR(INDEX(Chemin_accès!$B$11:$C$22,MATCH(Tableau1[[#This Row],[Type]],Chemin_accès!$C$11:$C$22,0),1),Chemin_accès!$B$11)</f>
        <v>\\stjn.local\trimet\Btechnique\Commun\Atelier Central mécanique\Plan entretien\Modèles préventif\GammeDMS_7.MENG.xlsm</v>
      </c>
      <c r="AD276" s="50" t="str">
        <f>Chemin_accès!$B$8&amp;Tableau1[[#This Row],[Localisation / Classement]]&amp;"\"&amp;Tableau1[[#This Row],[Poste technique ou N° d''équipement]]&amp;"_"&amp;Tableau1[[#This Row],[Plan Entretien]]&amp;".xlsm"</f>
        <v>\\stjn.local\trimet\Btechnique\Commun\Atelier Central mécanique\Plan entretien\GammeEntretien\\_.xlsm</v>
      </c>
    </row>
    <row r="277" spans="1:30" x14ac:dyDescent="0.3">
      <c r="A277" s="44" t="str">
        <f t="shared" ca="1" si="4"/>
        <v>7.MENG</v>
      </c>
      <c r="B27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77" s="46"/>
      <c r="D277" s="44"/>
      <c r="E277" s="44"/>
      <c r="F277" s="47"/>
      <c r="G277" s="47"/>
      <c r="H277" s="45"/>
      <c r="I277" s="45"/>
      <c r="J277" s="45"/>
      <c r="K277" s="45"/>
      <c r="L277" s="46"/>
      <c r="M277" s="47"/>
      <c r="N277" s="46"/>
      <c r="O277" s="46"/>
      <c r="P277" s="47"/>
      <c r="Q277" s="46"/>
      <c r="R277" s="46"/>
      <c r="S277" s="48"/>
      <c r="T277" s="68" t="str">
        <f>IF(Tableau1[[#This Row],[DMS_SAP]]="","",HYPERLINK(Tableau1[[#This Row],[Chemin fichier source]],"X"))</f>
        <v/>
      </c>
      <c r="U277" s="68" t="str">
        <f>IF(Tableau1[[#This Row],[Date rév.]]="","",HYPERLINK(Tableau1[[#This Row],[Lien document]],"X"))</f>
        <v/>
      </c>
      <c r="V277" s="47"/>
      <c r="W27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77" s="47"/>
      <c r="Y277" s="47"/>
      <c r="Z277" s="44" t="str">
        <f ca="1">IF(AND(Tableau1[[#This Row],[Charge]]&lt;&gt;0, Tableau1[[#This Row],[Nombre intervenants]]&lt;&gt;0,Tableau1[[#This Row],[Lien document]]&lt;&gt;0,Tableau1[[#This Row],[DMS_SAP]]&lt;&gt;0)=TRUE,"MIS A JOUR","")</f>
        <v/>
      </c>
      <c r="AA277" s="48"/>
      <c r="AB277" s="65" t="str">
        <f ca="1">IF(Tableau1[[#This Row],[Date rév.]]&lt;&gt;"", DAYS360(Tableau1[[#This Row],[Date rév.]],TODAY()),"")</f>
        <v/>
      </c>
      <c r="AC277" s="50" t="str">
        <f>IFERROR(INDEX(Chemin_accès!$B$11:$C$22,MATCH(Tableau1[[#This Row],[Type]],Chemin_accès!$C$11:$C$22,0),1),Chemin_accès!$B$11)</f>
        <v>\\stjn.local\trimet\Btechnique\Commun\Atelier Central mécanique\Plan entretien\Modèles préventif\GammeDMS_7.MENG.xlsm</v>
      </c>
      <c r="AD277" s="50" t="str">
        <f>Chemin_accès!$B$8&amp;Tableau1[[#This Row],[Localisation / Classement]]&amp;"\"&amp;Tableau1[[#This Row],[Poste technique ou N° d''équipement]]&amp;"_"&amp;Tableau1[[#This Row],[Plan Entretien]]&amp;".xlsm"</f>
        <v>\\stjn.local\trimet\Btechnique\Commun\Atelier Central mécanique\Plan entretien\GammeEntretien\\_.xlsm</v>
      </c>
    </row>
    <row r="278" spans="1:30" x14ac:dyDescent="0.3">
      <c r="A278" s="44" t="str">
        <f t="shared" ca="1" si="4"/>
        <v>7.MENG</v>
      </c>
      <c r="B27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78" s="46"/>
      <c r="D278" s="44"/>
      <c r="E278" s="44"/>
      <c r="F278" s="47"/>
      <c r="G278" s="47"/>
      <c r="H278" s="45"/>
      <c r="I278" s="45"/>
      <c r="J278" s="45"/>
      <c r="K278" s="45"/>
      <c r="L278" s="46"/>
      <c r="M278" s="47"/>
      <c r="N278" s="46"/>
      <c r="O278" s="46"/>
      <c r="P278" s="47"/>
      <c r="Q278" s="46"/>
      <c r="R278" s="46"/>
      <c r="S278" s="48"/>
      <c r="T278" s="68" t="str">
        <f>IF(Tableau1[[#This Row],[DMS_SAP]]="","",HYPERLINK(Tableau1[[#This Row],[Chemin fichier source]],"X"))</f>
        <v/>
      </c>
      <c r="U278" s="68" t="str">
        <f>IF(Tableau1[[#This Row],[Date rév.]]="","",HYPERLINK(Tableau1[[#This Row],[Lien document]],"X"))</f>
        <v/>
      </c>
      <c r="V278" s="47"/>
      <c r="W27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78" s="47"/>
      <c r="Y278" s="47"/>
      <c r="Z278" s="44" t="str">
        <f ca="1">IF(AND(Tableau1[[#This Row],[Charge]]&lt;&gt;0, Tableau1[[#This Row],[Nombre intervenants]]&lt;&gt;0,Tableau1[[#This Row],[Lien document]]&lt;&gt;0,Tableau1[[#This Row],[DMS_SAP]]&lt;&gt;0)=TRUE,"MIS A JOUR","")</f>
        <v/>
      </c>
      <c r="AA278" s="48"/>
      <c r="AB278" s="65" t="str">
        <f ca="1">IF(Tableau1[[#This Row],[Date rév.]]&lt;&gt;"", DAYS360(Tableau1[[#This Row],[Date rév.]],TODAY()),"")</f>
        <v/>
      </c>
      <c r="AC278" s="50" t="str">
        <f>IFERROR(INDEX(Chemin_accès!$B$11:$C$22,MATCH(Tableau1[[#This Row],[Type]],Chemin_accès!$C$11:$C$22,0),1),Chemin_accès!$B$11)</f>
        <v>\\stjn.local\trimet\Btechnique\Commun\Atelier Central mécanique\Plan entretien\Modèles préventif\GammeDMS_7.MENG.xlsm</v>
      </c>
      <c r="AD278" s="50" t="str">
        <f>Chemin_accès!$B$8&amp;Tableau1[[#This Row],[Localisation / Classement]]&amp;"\"&amp;Tableau1[[#This Row],[Poste technique ou N° d''équipement]]&amp;"_"&amp;Tableau1[[#This Row],[Plan Entretien]]&amp;".xlsm"</f>
        <v>\\stjn.local\trimet\Btechnique\Commun\Atelier Central mécanique\Plan entretien\GammeEntretien\\_.xlsm</v>
      </c>
    </row>
    <row r="279" spans="1:30" x14ac:dyDescent="0.3">
      <c r="A279" s="44" t="str">
        <f t="shared" ca="1" si="4"/>
        <v>7.MENG</v>
      </c>
      <c r="B27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79" s="46"/>
      <c r="D279" s="44"/>
      <c r="E279" s="44"/>
      <c r="F279" s="47"/>
      <c r="G279" s="47"/>
      <c r="H279" s="45"/>
      <c r="I279" s="45"/>
      <c r="J279" s="45"/>
      <c r="K279" s="45"/>
      <c r="L279" s="46"/>
      <c r="M279" s="47"/>
      <c r="N279" s="46"/>
      <c r="O279" s="46"/>
      <c r="P279" s="47"/>
      <c r="Q279" s="46"/>
      <c r="R279" s="46"/>
      <c r="S279" s="48"/>
      <c r="T279" s="68" t="str">
        <f>IF(Tableau1[[#This Row],[DMS_SAP]]="","",HYPERLINK(Tableau1[[#This Row],[Chemin fichier source]],"X"))</f>
        <v/>
      </c>
      <c r="U279" s="68" t="str">
        <f>IF(Tableau1[[#This Row],[Date rév.]]="","",HYPERLINK(Tableau1[[#This Row],[Lien document]],"X"))</f>
        <v/>
      </c>
      <c r="V279" s="47"/>
      <c r="W27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79" s="47"/>
      <c r="Y279" s="47"/>
      <c r="Z279" s="44" t="str">
        <f ca="1">IF(AND(Tableau1[[#This Row],[Charge]]&lt;&gt;0, Tableau1[[#This Row],[Nombre intervenants]]&lt;&gt;0,Tableau1[[#This Row],[Lien document]]&lt;&gt;0,Tableau1[[#This Row],[DMS_SAP]]&lt;&gt;0)=TRUE,"MIS A JOUR","")</f>
        <v/>
      </c>
      <c r="AA279" s="48"/>
      <c r="AB279" s="65" t="str">
        <f ca="1">IF(Tableau1[[#This Row],[Date rév.]]&lt;&gt;"", DAYS360(Tableau1[[#This Row],[Date rév.]],TODAY()),"")</f>
        <v/>
      </c>
      <c r="AC279" s="50" t="str">
        <f>IFERROR(INDEX(Chemin_accès!$B$11:$C$22,MATCH(Tableau1[[#This Row],[Type]],Chemin_accès!$C$11:$C$22,0),1),Chemin_accès!$B$11)</f>
        <v>\\stjn.local\trimet\Btechnique\Commun\Atelier Central mécanique\Plan entretien\Modèles préventif\GammeDMS_7.MENG.xlsm</v>
      </c>
      <c r="AD279" s="50" t="str">
        <f>Chemin_accès!$B$8&amp;Tableau1[[#This Row],[Localisation / Classement]]&amp;"\"&amp;Tableau1[[#This Row],[Poste technique ou N° d''équipement]]&amp;"_"&amp;Tableau1[[#This Row],[Plan Entretien]]&amp;".xlsm"</f>
        <v>\\stjn.local\trimet\Btechnique\Commun\Atelier Central mécanique\Plan entretien\GammeEntretien\\_.xlsm</v>
      </c>
    </row>
    <row r="280" spans="1:30" x14ac:dyDescent="0.3">
      <c r="A280" s="44" t="str">
        <f t="shared" ca="1" si="4"/>
        <v>7.MENG</v>
      </c>
      <c r="B28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80" s="46"/>
      <c r="D280" s="44"/>
      <c r="E280" s="44"/>
      <c r="F280" s="47"/>
      <c r="G280" s="47"/>
      <c r="H280" s="45"/>
      <c r="I280" s="45"/>
      <c r="J280" s="45"/>
      <c r="K280" s="45"/>
      <c r="L280" s="46"/>
      <c r="M280" s="47"/>
      <c r="N280" s="46"/>
      <c r="O280" s="46"/>
      <c r="P280" s="47"/>
      <c r="Q280" s="46"/>
      <c r="R280" s="46"/>
      <c r="S280" s="48"/>
      <c r="T280" s="68" t="str">
        <f>IF(Tableau1[[#This Row],[DMS_SAP]]="","",HYPERLINK(Tableau1[[#This Row],[Chemin fichier source]],"X"))</f>
        <v/>
      </c>
      <c r="U280" s="68" t="str">
        <f>IF(Tableau1[[#This Row],[Date rév.]]="","",HYPERLINK(Tableau1[[#This Row],[Lien document]],"X"))</f>
        <v/>
      </c>
      <c r="V280" s="47"/>
      <c r="W28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80" s="47"/>
      <c r="Y280" s="47"/>
      <c r="Z280" s="44" t="str">
        <f ca="1">IF(AND(Tableau1[[#This Row],[Charge]]&lt;&gt;0, Tableau1[[#This Row],[Nombre intervenants]]&lt;&gt;0,Tableau1[[#This Row],[Lien document]]&lt;&gt;0,Tableau1[[#This Row],[DMS_SAP]]&lt;&gt;0)=TRUE,"MIS A JOUR","")</f>
        <v/>
      </c>
      <c r="AA280" s="48"/>
      <c r="AB280" s="65" t="str">
        <f ca="1">IF(Tableau1[[#This Row],[Date rév.]]&lt;&gt;"", DAYS360(Tableau1[[#This Row],[Date rév.]],TODAY()),"")</f>
        <v/>
      </c>
      <c r="AC280" s="50" t="str">
        <f>IFERROR(INDEX(Chemin_accès!$B$11:$C$22,MATCH(Tableau1[[#This Row],[Type]],Chemin_accès!$C$11:$C$22,0),1),Chemin_accès!$B$11)</f>
        <v>\\stjn.local\trimet\Btechnique\Commun\Atelier Central mécanique\Plan entretien\Modèles préventif\GammeDMS_7.MENG.xlsm</v>
      </c>
      <c r="AD280" s="50" t="str">
        <f>Chemin_accès!$B$8&amp;Tableau1[[#This Row],[Localisation / Classement]]&amp;"\"&amp;Tableau1[[#This Row],[Poste technique ou N° d''équipement]]&amp;"_"&amp;Tableau1[[#This Row],[Plan Entretien]]&amp;".xlsm"</f>
        <v>\\stjn.local\trimet\Btechnique\Commun\Atelier Central mécanique\Plan entretien\GammeEntretien\\_.xlsm</v>
      </c>
    </row>
    <row r="281" spans="1:30" x14ac:dyDescent="0.3">
      <c r="A281" s="44" t="str">
        <f t="shared" ca="1" si="4"/>
        <v>7.MENG</v>
      </c>
      <c r="B28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81" s="46"/>
      <c r="D281" s="44"/>
      <c r="E281" s="44"/>
      <c r="F281" s="47"/>
      <c r="G281" s="47"/>
      <c r="H281" s="45"/>
      <c r="I281" s="45"/>
      <c r="J281" s="45"/>
      <c r="K281" s="45"/>
      <c r="L281" s="46"/>
      <c r="M281" s="47"/>
      <c r="N281" s="46"/>
      <c r="O281" s="46"/>
      <c r="P281" s="47"/>
      <c r="Q281" s="46"/>
      <c r="R281" s="46"/>
      <c r="S281" s="48"/>
      <c r="T281" s="68" t="str">
        <f>IF(Tableau1[[#This Row],[DMS_SAP]]="","",HYPERLINK(Tableau1[[#This Row],[Chemin fichier source]],"X"))</f>
        <v/>
      </c>
      <c r="U281" s="68" t="str">
        <f>IF(Tableau1[[#This Row],[Date rév.]]="","",HYPERLINK(Tableau1[[#This Row],[Lien document]],"X"))</f>
        <v/>
      </c>
      <c r="V281" s="47"/>
      <c r="W28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81" s="47"/>
      <c r="Y281" s="47"/>
      <c r="Z281" s="44" t="str">
        <f ca="1">IF(AND(Tableau1[[#This Row],[Charge]]&lt;&gt;0, Tableau1[[#This Row],[Nombre intervenants]]&lt;&gt;0,Tableau1[[#This Row],[Lien document]]&lt;&gt;0,Tableau1[[#This Row],[DMS_SAP]]&lt;&gt;0)=TRUE,"MIS A JOUR","")</f>
        <v/>
      </c>
      <c r="AA281" s="48"/>
      <c r="AB281" s="65" t="str">
        <f ca="1">IF(Tableau1[[#This Row],[Date rév.]]&lt;&gt;"", DAYS360(Tableau1[[#This Row],[Date rév.]],TODAY()),"")</f>
        <v/>
      </c>
      <c r="AC281" s="50" t="str">
        <f>IFERROR(INDEX(Chemin_accès!$B$11:$C$22,MATCH(Tableau1[[#This Row],[Type]],Chemin_accès!$C$11:$C$22,0),1),Chemin_accès!$B$11)</f>
        <v>\\stjn.local\trimet\Btechnique\Commun\Atelier Central mécanique\Plan entretien\Modèles préventif\GammeDMS_7.MENG.xlsm</v>
      </c>
      <c r="AD281" s="50" t="str">
        <f>Chemin_accès!$B$8&amp;Tableau1[[#This Row],[Localisation / Classement]]&amp;"\"&amp;Tableau1[[#This Row],[Poste technique ou N° d''équipement]]&amp;"_"&amp;Tableau1[[#This Row],[Plan Entretien]]&amp;".xlsm"</f>
        <v>\\stjn.local\trimet\Btechnique\Commun\Atelier Central mécanique\Plan entretien\GammeEntretien\\_.xlsm</v>
      </c>
    </row>
    <row r="282" spans="1:30" x14ac:dyDescent="0.3">
      <c r="A282" s="44" t="str">
        <f t="shared" ca="1" si="4"/>
        <v>7.MENG</v>
      </c>
      <c r="B28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82" s="46"/>
      <c r="D282" s="44"/>
      <c r="E282" s="44"/>
      <c r="F282" s="47"/>
      <c r="G282" s="47"/>
      <c r="H282" s="45"/>
      <c r="I282" s="45"/>
      <c r="J282" s="45"/>
      <c r="K282" s="45"/>
      <c r="L282" s="46"/>
      <c r="M282" s="47"/>
      <c r="N282" s="46"/>
      <c r="O282" s="46"/>
      <c r="P282" s="47"/>
      <c r="Q282" s="46"/>
      <c r="R282" s="46"/>
      <c r="S282" s="48"/>
      <c r="T282" s="68" t="str">
        <f>IF(Tableau1[[#This Row],[DMS_SAP]]="","",HYPERLINK(Tableau1[[#This Row],[Chemin fichier source]],"X"))</f>
        <v/>
      </c>
      <c r="U282" s="68" t="str">
        <f>IF(Tableau1[[#This Row],[Date rév.]]="","",HYPERLINK(Tableau1[[#This Row],[Lien document]],"X"))</f>
        <v/>
      </c>
      <c r="V282" s="47"/>
      <c r="W28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82" s="47"/>
      <c r="Y282" s="47"/>
      <c r="Z282" s="44" t="str">
        <f ca="1">IF(AND(Tableau1[[#This Row],[Charge]]&lt;&gt;0, Tableau1[[#This Row],[Nombre intervenants]]&lt;&gt;0,Tableau1[[#This Row],[Lien document]]&lt;&gt;0,Tableau1[[#This Row],[DMS_SAP]]&lt;&gt;0)=TRUE,"MIS A JOUR","")</f>
        <v/>
      </c>
      <c r="AA282" s="48"/>
      <c r="AB282" s="65" t="str">
        <f ca="1">IF(Tableau1[[#This Row],[Date rév.]]&lt;&gt;"", DAYS360(Tableau1[[#This Row],[Date rév.]],TODAY()),"")</f>
        <v/>
      </c>
      <c r="AC282" s="50" t="str">
        <f>IFERROR(INDEX(Chemin_accès!$B$11:$C$22,MATCH(Tableau1[[#This Row],[Type]],Chemin_accès!$C$11:$C$22,0),1),Chemin_accès!$B$11)</f>
        <v>\\stjn.local\trimet\Btechnique\Commun\Atelier Central mécanique\Plan entretien\Modèles préventif\GammeDMS_7.MENG.xlsm</v>
      </c>
      <c r="AD282" s="50" t="str">
        <f>Chemin_accès!$B$8&amp;Tableau1[[#This Row],[Localisation / Classement]]&amp;"\"&amp;Tableau1[[#This Row],[Poste technique ou N° d''équipement]]&amp;"_"&amp;Tableau1[[#This Row],[Plan Entretien]]&amp;".xlsm"</f>
        <v>\\stjn.local\trimet\Btechnique\Commun\Atelier Central mécanique\Plan entretien\GammeEntretien\\_.xlsm</v>
      </c>
    </row>
    <row r="283" spans="1:30" x14ac:dyDescent="0.3">
      <c r="A283" s="44" t="str">
        <f t="shared" ca="1" si="4"/>
        <v>7.MENG</v>
      </c>
      <c r="B28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83" s="46"/>
      <c r="D283" s="44"/>
      <c r="E283" s="44"/>
      <c r="F283" s="47"/>
      <c r="G283" s="47"/>
      <c r="H283" s="45"/>
      <c r="I283" s="45"/>
      <c r="J283" s="45"/>
      <c r="K283" s="45"/>
      <c r="L283" s="46"/>
      <c r="M283" s="47"/>
      <c r="N283" s="46"/>
      <c r="O283" s="46"/>
      <c r="P283" s="47"/>
      <c r="Q283" s="46"/>
      <c r="R283" s="46"/>
      <c r="S283" s="48"/>
      <c r="T283" s="68" t="str">
        <f>IF(Tableau1[[#This Row],[DMS_SAP]]="","",HYPERLINK(Tableau1[[#This Row],[Chemin fichier source]],"X"))</f>
        <v/>
      </c>
      <c r="U283" s="68" t="str">
        <f>IF(Tableau1[[#This Row],[Date rév.]]="","",HYPERLINK(Tableau1[[#This Row],[Lien document]],"X"))</f>
        <v/>
      </c>
      <c r="V283" s="47"/>
      <c r="W28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83" s="47"/>
      <c r="Y283" s="47"/>
      <c r="Z283" s="44" t="str">
        <f ca="1">IF(AND(Tableau1[[#This Row],[Charge]]&lt;&gt;0, Tableau1[[#This Row],[Nombre intervenants]]&lt;&gt;0,Tableau1[[#This Row],[Lien document]]&lt;&gt;0,Tableau1[[#This Row],[DMS_SAP]]&lt;&gt;0)=TRUE,"MIS A JOUR","")</f>
        <v/>
      </c>
      <c r="AA283" s="48"/>
      <c r="AB283" s="65" t="str">
        <f ca="1">IF(Tableau1[[#This Row],[Date rév.]]&lt;&gt;"", DAYS360(Tableau1[[#This Row],[Date rév.]],TODAY()),"")</f>
        <v/>
      </c>
      <c r="AC283" s="50" t="str">
        <f>IFERROR(INDEX(Chemin_accès!$B$11:$C$22,MATCH(Tableau1[[#This Row],[Type]],Chemin_accès!$C$11:$C$22,0),1),Chemin_accès!$B$11)</f>
        <v>\\stjn.local\trimet\Btechnique\Commun\Atelier Central mécanique\Plan entretien\Modèles préventif\GammeDMS_7.MENG.xlsm</v>
      </c>
      <c r="AD283" s="50" t="str">
        <f>Chemin_accès!$B$8&amp;Tableau1[[#This Row],[Localisation / Classement]]&amp;"\"&amp;Tableau1[[#This Row],[Poste technique ou N° d''équipement]]&amp;"_"&amp;Tableau1[[#This Row],[Plan Entretien]]&amp;".xlsm"</f>
        <v>\\stjn.local\trimet\Btechnique\Commun\Atelier Central mécanique\Plan entretien\GammeEntretien\\_.xlsm</v>
      </c>
    </row>
    <row r="284" spans="1:30" x14ac:dyDescent="0.3">
      <c r="A284" s="44" t="str">
        <f t="shared" ca="1" si="4"/>
        <v>7.MENG</v>
      </c>
      <c r="B28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84" s="46"/>
      <c r="D284" s="44"/>
      <c r="E284" s="44"/>
      <c r="F284" s="47"/>
      <c r="G284" s="47"/>
      <c r="H284" s="45"/>
      <c r="I284" s="45"/>
      <c r="J284" s="45"/>
      <c r="K284" s="45"/>
      <c r="L284" s="46"/>
      <c r="M284" s="47"/>
      <c r="N284" s="46"/>
      <c r="O284" s="46"/>
      <c r="P284" s="47"/>
      <c r="Q284" s="46"/>
      <c r="R284" s="46"/>
      <c r="S284" s="48"/>
      <c r="T284" s="68" t="str">
        <f>IF(Tableau1[[#This Row],[DMS_SAP]]="","",HYPERLINK(Tableau1[[#This Row],[Chemin fichier source]],"X"))</f>
        <v/>
      </c>
      <c r="U284" s="68" t="str">
        <f>IF(Tableau1[[#This Row],[Date rév.]]="","",HYPERLINK(Tableau1[[#This Row],[Lien document]],"X"))</f>
        <v/>
      </c>
      <c r="V284" s="47"/>
      <c r="W28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84" s="47"/>
      <c r="Y284" s="47"/>
      <c r="Z284" s="44" t="str">
        <f ca="1">IF(AND(Tableau1[[#This Row],[Charge]]&lt;&gt;0, Tableau1[[#This Row],[Nombre intervenants]]&lt;&gt;0,Tableau1[[#This Row],[Lien document]]&lt;&gt;0,Tableau1[[#This Row],[DMS_SAP]]&lt;&gt;0)=TRUE,"MIS A JOUR","")</f>
        <v/>
      </c>
      <c r="AA284" s="48"/>
      <c r="AB284" s="65" t="str">
        <f ca="1">IF(Tableau1[[#This Row],[Date rév.]]&lt;&gt;"", DAYS360(Tableau1[[#This Row],[Date rév.]],TODAY()),"")</f>
        <v/>
      </c>
      <c r="AC284" s="50" t="str">
        <f>IFERROR(INDEX(Chemin_accès!$B$11:$C$22,MATCH(Tableau1[[#This Row],[Type]],Chemin_accès!$C$11:$C$22,0),1),Chemin_accès!$B$11)</f>
        <v>\\stjn.local\trimet\Btechnique\Commun\Atelier Central mécanique\Plan entretien\Modèles préventif\GammeDMS_7.MENG.xlsm</v>
      </c>
      <c r="AD284" s="50" t="str">
        <f>Chemin_accès!$B$8&amp;Tableau1[[#This Row],[Localisation / Classement]]&amp;"\"&amp;Tableau1[[#This Row],[Poste technique ou N° d''équipement]]&amp;"_"&amp;Tableau1[[#This Row],[Plan Entretien]]&amp;".xlsm"</f>
        <v>\\stjn.local\trimet\Btechnique\Commun\Atelier Central mécanique\Plan entretien\GammeEntretien\\_.xlsm</v>
      </c>
    </row>
    <row r="285" spans="1:30" x14ac:dyDescent="0.3">
      <c r="A285" s="44" t="str">
        <f t="shared" ca="1" si="4"/>
        <v>7.MENG</v>
      </c>
      <c r="B28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85" s="46"/>
      <c r="D285" s="44"/>
      <c r="E285" s="44"/>
      <c r="F285" s="47"/>
      <c r="G285" s="47"/>
      <c r="H285" s="45"/>
      <c r="I285" s="45"/>
      <c r="J285" s="45"/>
      <c r="K285" s="45"/>
      <c r="L285" s="46"/>
      <c r="M285" s="47"/>
      <c r="N285" s="46"/>
      <c r="O285" s="46"/>
      <c r="P285" s="47"/>
      <c r="Q285" s="46"/>
      <c r="R285" s="46"/>
      <c r="S285" s="48"/>
      <c r="T285" s="68" t="str">
        <f>IF(Tableau1[[#This Row],[DMS_SAP]]="","",HYPERLINK(Tableau1[[#This Row],[Chemin fichier source]],"X"))</f>
        <v/>
      </c>
      <c r="U285" s="68" t="str">
        <f>IF(Tableau1[[#This Row],[Date rév.]]="","",HYPERLINK(Tableau1[[#This Row],[Lien document]],"X"))</f>
        <v/>
      </c>
      <c r="V285" s="47"/>
      <c r="W28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85" s="47"/>
      <c r="Y285" s="47"/>
      <c r="Z285" s="44" t="str">
        <f ca="1">IF(AND(Tableau1[[#This Row],[Charge]]&lt;&gt;0, Tableau1[[#This Row],[Nombre intervenants]]&lt;&gt;0,Tableau1[[#This Row],[Lien document]]&lt;&gt;0,Tableau1[[#This Row],[DMS_SAP]]&lt;&gt;0)=TRUE,"MIS A JOUR","")</f>
        <v/>
      </c>
      <c r="AA285" s="48"/>
      <c r="AB285" s="65" t="str">
        <f ca="1">IF(Tableau1[[#This Row],[Date rév.]]&lt;&gt;"", DAYS360(Tableau1[[#This Row],[Date rév.]],TODAY()),"")</f>
        <v/>
      </c>
      <c r="AC285" s="50" t="str">
        <f>IFERROR(INDEX(Chemin_accès!$B$11:$C$22,MATCH(Tableau1[[#This Row],[Type]],Chemin_accès!$C$11:$C$22,0),1),Chemin_accès!$B$11)</f>
        <v>\\stjn.local\trimet\Btechnique\Commun\Atelier Central mécanique\Plan entretien\Modèles préventif\GammeDMS_7.MENG.xlsm</v>
      </c>
      <c r="AD285" s="50" t="str">
        <f>Chemin_accès!$B$8&amp;Tableau1[[#This Row],[Localisation / Classement]]&amp;"\"&amp;Tableau1[[#This Row],[Poste technique ou N° d''équipement]]&amp;"_"&amp;Tableau1[[#This Row],[Plan Entretien]]&amp;".xlsm"</f>
        <v>\\stjn.local\trimet\Btechnique\Commun\Atelier Central mécanique\Plan entretien\GammeEntretien\\_.xlsm</v>
      </c>
    </row>
    <row r="286" spans="1:30" x14ac:dyDescent="0.3">
      <c r="A286" s="44" t="str">
        <f t="shared" ca="1" si="4"/>
        <v>7.MENG</v>
      </c>
      <c r="B28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86" s="46"/>
      <c r="D286" s="44"/>
      <c r="E286" s="44"/>
      <c r="F286" s="47"/>
      <c r="G286" s="47"/>
      <c r="H286" s="45"/>
      <c r="I286" s="45"/>
      <c r="J286" s="45"/>
      <c r="K286" s="45"/>
      <c r="L286" s="46"/>
      <c r="M286" s="47"/>
      <c r="N286" s="46"/>
      <c r="O286" s="46"/>
      <c r="P286" s="47"/>
      <c r="Q286" s="46"/>
      <c r="R286" s="46"/>
      <c r="S286" s="48"/>
      <c r="T286" s="68" t="str">
        <f>IF(Tableau1[[#This Row],[DMS_SAP]]="","",HYPERLINK(Tableau1[[#This Row],[Chemin fichier source]],"X"))</f>
        <v/>
      </c>
      <c r="U286" s="68" t="str">
        <f>IF(Tableau1[[#This Row],[Date rév.]]="","",HYPERLINK(Tableau1[[#This Row],[Lien document]],"X"))</f>
        <v/>
      </c>
      <c r="V286" s="47"/>
      <c r="W28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86" s="47"/>
      <c r="Y286" s="47"/>
      <c r="Z286" s="44" t="str">
        <f ca="1">IF(AND(Tableau1[[#This Row],[Charge]]&lt;&gt;0, Tableau1[[#This Row],[Nombre intervenants]]&lt;&gt;0,Tableau1[[#This Row],[Lien document]]&lt;&gt;0,Tableau1[[#This Row],[DMS_SAP]]&lt;&gt;0)=TRUE,"MIS A JOUR","")</f>
        <v/>
      </c>
      <c r="AA286" s="48"/>
      <c r="AB286" s="65" t="str">
        <f ca="1">IF(Tableau1[[#This Row],[Date rév.]]&lt;&gt;"", DAYS360(Tableau1[[#This Row],[Date rév.]],TODAY()),"")</f>
        <v/>
      </c>
      <c r="AC286" s="50" t="str">
        <f>IFERROR(INDEX(Chemin_accès!$B$11:$C$22,MATCH(Tableau1[[#This Row],[Type]],Chemin_accès!$C$11:$C$22,0),1),Chemin_accès!$B$11)</f>
        <v>\\stjn.local\trimet\Btechnique\Commun\Atelier Central mécanique\Plan entretien\Modèles préventif\GammeDMS_7.MENG.xlsm</v>
      </c>
      <c r="AD286" s="50" t="str">
        <f>Chemin_accès!$B$8&amp;Tableau1[[#This Row],[Localisation / Classement]]&amp;"\"&amp;Tableau1[[#This Row],[Poste technique ou N° d''équipement]]&amp;"_"&amp;Tableau1[[#This Row],[Plan Entretien]]&amp;".xlsm"</f>
        <v>\\stjn.local\trimet\Btechnique\Commun\Atelier Central mécanique\Plan entretien\GammeEntretien\\_.xlsm</v>
      </c>
    </row>
    <row r="287" spans="1:30" x14ac:dyDescent="0.3">
      <c r="A287" s="44" t="str">
        <f t="shared" ca="1" si="4"/>
        <v>7.MENG</v>
      </c>
      <c r="B28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87" s="46"/>
      <c r="D287" s="44"/>
      <c r="E287" s="44"/>
      <c r="F287" s="47"/>
      <c r="G287" s="47"/>
      <c r="H287" s="45"/>
      <c r="I287" s="45"/>
      <c r="J287" s="45"/>
      <c r="K287" s="45"/>
      <c r="L287" s="46"/>
      <c r="M287" s="47"/>
      <c r="N287" s="46"/>
      <c r="O287" s="46"/>
      <c r="P287" s="47"/>
      <c r="Q287" s="46"/>
      <c r="R287" s="46"/>
      <c r="S287" s="48"/>
      <c r="T287" s="68" t="str">
        <f>IF(Tableau1[[#This Row],[DMS_SAP]]="","",HYPERLINK(Tableau1[[#This Row],[Chemin fichier source]],"X"))</f>
        <v/>
      </c>
      <c r="U287" s="68" t="str">
        <f>IF(Tableau1[[#This Row],[Date rév.]]="","",HYPERLINK(Tableau1[[#This Row],[Lien document]],"X"))</f>
        <v/>
      </c>
      <c r="V287" s="47"/>
      <c r="W28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87" s="47"/>
      <c r="Y287" s="47"/>
      <c r="Z287" s="44" t="str">
        <f ca="1">IF(AND(Tableau1[[#This Row],[Charge]]&lt;&gt;0, Tableau1[[#This Row],[Nombre intervenants]]&lt;&gt;0,Tableau1[[#This Row],[Lien document]]&lt;&gt;0,Tableau1[[#This Row],[DMS_SAP]]&lt;&gt;0)=TRUE,"MIS A JOUR","")</f>
        <v/>
      </c>
      <c r="AA287" s="48"/>
      <c r="AB287" s="65" t="str">
        <f ca="1">IF(Tableau1[[#This Row],[Date rév.]]&lt;&gt;"", DAYS360(Tableau1[[#This Row],[Date rév.]],TODAY()),"")</f>
        <v/>
      </c>
      <c r="AC287" s="50" t="str">
        <f>IFERROR(INDEX(Chemin_accès!$B$11:$C$22,MATCH(Tableau1[[#This Row],[Type]],Chemin_accès!$C$11:$C$22,0),1),Chemin_accès!$B$11)</f>
        <v>\\stjn.local\trimet\Btechnique\Commun\Atelier Central mécanique\Plan entretien\Modèles préventif\GammeDMS_7.MENG.xlsm</v>
      </c>
      <c r="AD287" s="50" t="str">
        <f>Chemin_accès!$B$8&amp;Tableau1[[#This Row],[Localisation / Classement]]&amp;"\"&amp;Tableau1[[#This Row],[Poste technique ou N° d''équipement]]&amp;"_"&amp;Tableau1[[#This Row],[Plan Entretien]]&amp;".xlsm"</f>
        <v>\\stjn.local\trimet\Btechnique\Commun\Atelier Central mécanique\Plan entretien\GammeEntretien\\_.xlsm</v>
      </c>
    </row>
    <row r="288" spans="1:30" x14ac:dyDescent="0.3">
      <c r="A288" s="44" t="str">
        <f t="shared" ca="1" si="4"/>
        <v>7.MENG</v>
      </c>
      <c r="B28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88" s="46"/>
      <c r="D288" s="44"/>
      <c r="E288" s="44"/>
      <c r="F288" s="47"/>
      <c r="G288" s="47"/>
      <c r="H288" s="45"/>
      <c r="I288" s="45"/>
      <c r="J288" s="45"/>
      <c r="K288" s="45"/>
      <c r="L288" s="46"/>
      <c r="M288" s="47"/>
      <c r="N288" s="46"/>
      <c r="O288" s="46"/>
      <c r="P288" s="47"/>
      <c r="Q288" s="46"/>
      <c r="R288" s="46"/>
      <c r="S288" s="48"/>
      <c r="T288" s="68" t="str">
        <f>IF(Tableau1[[#This Row],[DMS_SAP]]="","",HYPERLINK(Tableau1[[#This Row],[Chemin fichier source]],"X"))</f>
        <v/>
      </c>
      <c r="U288" s="68" t="str">
        <f>IF(Tableau1[[#This Row],[Date rév.]]="","",HYPERLINK(Tableau1[[#This Row],[Lien document]],"X"))</f>
        <v/>
      </c>
      <c r="V288" s="47"/>
      <c r="W28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88" s="47"/>
      <c r="Y288" s="47"/>
      <c r="Z288" s="44" t="str">
        <f ca="1">IF(AND(Tableau1[[#This Row],[Charge]]&lt;&gt;0, Tableau1[[#This Row],[Nombre intervenants]]&lt;&gt;0,Tableau1[[#This Row],[Lien document]]&lt;&gt;0,Tableau1[[#This Row],[DMS_SAP]]&lt;&gt;0)=TRUE,"MIS A JOUR","")</f>
        <v/>
      </c>
      <c r="AA288" s="48"/>
      <c r="AB288" s="65" t="str">
        <f ca="1">IF(Tableau1[[#This Row],[Date rév.]]&lt;&gt;"", DAYS360(Tableau1[[#This Row],[Date rév.]],TODAY()),"")</f>
        <v/>
      </c>
      <c r="AC288" s="50" t="str">
        <f>IFERROR(INDEX(Chemin_accès!$B$11:$C$22,MATCH(Tableau1[[#This Row],[Type]],Chemin_accès!$C$11:$C$22,0),1),Chemin_accès!$B$11)</f>
        <v>\\stjn.local\trimet\Btechnique\Commun\Atelier Central mécanique\Plan entretien\Modèles préventif\GammeDMS_7.MENG.xlsm</v>
      </c>
      <c r="AD288" s="50" t="str">
        <f>Chemin_accès!$B$8&amp;Tableau1[[#This Row],[Localisation / Classement]]&amp;"\"&amp;Tableau1[[#This Row],[Poste technique ou N° d''équipement]]&amp;"_"&amp;Tableau1[[#This Row],[Plan Entretien]]&amp;".xlsm"</f>
        <v>\\stjn.local\trimet\Btechnique\Commun\Atelier Central mécanique\Plan entretien\GammeEntretien\\_.xlsm</v>
      </c>
    </row>
    <row r="289" spans="1:30" x14ac:dyDescent="0.3">
      <c r="A289" s="44" t="str">
        <f t="shared" ca="1" si="4"/>
        <v>7.MENG</v>
      </c>
      <c r="B28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89" s="46"/>
      <c r="D289" s="44"/>
      <c r="E289" s="44"/>
      <c r="F289" s="47"/>
      <c r="G289" s="47"/>
      <c r="H289" s="45"/>
      <c r="I289" s="45"/>
      <c r="J289" s="45"/>
      <c r="K289" s="45"/>
      <c r="L289" s="46"/>
      <c r="M289" s="47"/>
      <c r="N289" s="46"/>
      <c r="O289" s="46"/>
      <c r="P289" s="47"/>
      <c r="Q289" s="46"/>
      <c r="R289" s="46"/>
      <c r="S289" s="48"/>
      <c r="T289" s="68" t="str">
        <f>IF(Tableau1[[#This Row],[DMS_SAP]]="","",HYPERLINK(Tableau1[[#This Row],[Chemin fichier source]],"X"))</f>
        <v/>
      </c>
      <c r="U289" s="68" t="str">
        <f>IF(Tableau1[[#This Row],[Date rév.]]="","",HYPERLINK(Tableau1[[#This Row],[Lien document]],"X"))</f>
        <v/>
      </c>
      <c r="V289" s="47"/>
      <c r="W28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89" s="47"/>
      <c r="Y289" s="47"/>
      <c r="Z289" s="44" t="str">
        <f ca="1">IF(AND(Tableau1[[#This Row],[Charge]]&lt;&gt;0, Tableau1[[#This Row],[Nombre intervenants]]&lt;&gt;0,Tableau1[[#This Row],[Lien document]]&lt;&gt;0,Tableau1[[#This Row],[DMS_SAP]]&lt;&gt;0)=TRUE,"MIS A JOUR","")</f>
        <v/>
      </c>
      <c r="AA289" s="48"/>
      <c r="AB289" s="65" t="str">
        <f ca="1">IF(Tableau1[[#This Row],[Date rév.]]&lt;&gt;"", DAYS360(Tableau1[[#This Row],[Date rév.]],TODAY()),"")</f>
        <v/>
      </c>
      <c r="AC289" s="50" t="str">
        <f>IFERROR(INDEX(Chemin_accès!$B$11:$C$22,MATCH(Tableau1[[#This Row],[Type]],Chemin_accès!$C$11:$C$22,0),1),Chemin_accès!$B$11)</f>
        <v>\\stjn.local\trimet\Btechnique\Commun\Atelier Central mécanique\Plan entretien\Modèles préventif\GammeDMS_7.MENG.xlsm</v>
      </c>
      <c r="AD289" s="50" t="str">
        <f>Chemin_accès!$B$8&amp;Tableau1[[#This Row],[Localisation / Classement]]&amp;"\"&amp;Tableau1[[#This Row],[Poste technique ou N° d''équipement]]&amp;"_"&amp;Tableau1[[#This Row],[Plan Entretien]]&amp;".xlsm"</f>
        <v>\\stjn.local\trimet\Btechnique\Commun\Atelier Central mécanique\Plan entretien\GammeEntretien\\_.xlsm</v>
      </c>
    </row>
    <row r="290" spans="1:30" x14ac:dyDescent="0.3">
      <c r="A290" s="44" t="str">
        <f t="shared" ca="1" si="4"/>
        <v>7.MENG</v>
      </c>
      <c r="B29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90" s="46"/>
      <c r="D290" s="44"/>
      <c r="E290" s="44"/>
      <c r="F290" s="47"/>
      <c r="G290" s="47"/>
      <c r="H290" s="45"/>
      <c r="I290" s="45"/>
      <c r="J290" s="45"/>
      <c r="K290" s="45"/>
      <c r="L290" s="46"/>
      <c r="M290" s="47"/>
      <c r="N290" s="46"/>
      <c r="O290" s="46"/>
      <c r="P290" s="47"/>
      <c r="Q290" s="46"/>
      <c r="R290" s="46"/>
      <c r="S290" s="48"/>
      <c r="T290" s="68" t="str">
        <f>IF(Tableau1[[#This Row],[DMS_SAP]]="","",HYPERLINK(Tableau1[[#This Row],[Chemin fichier source]],"X"))</f>
        <v/>
      </c>
      <c r="U290" s="68" t="str">
        <f>IF(Tableau1[[#This Row],[Date rév.]]="","",HYPERLINK(Tableau1[[#This Row],[Lien document]],"X"))</f>
        <v/>
      </c>
      <c r="V290" s="47"/>
      <c r="W29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90" s="47"/>
      <c r="Y290" s="47"/>
      <c r="Z290" s="44" t="str">
        <f ca="1">IF(AND(Tableau1[[#This Row],[Charge]]&lt;&gt;0, Tableau1[[#This Row],[Nombre intervenants]]&lt;&gt;0,Tableau1[[#This Row],[Lien document]]&lt;&gt;0,Tableau1[[#This Row],[DMS_SAP]]&lt;&gt;0)=TRUE,"MIS A JOUR","")</f>
        <v/>
      </c>
      <c r="AA290" s="48"/>
      <c r="AB290" s="65" t="str">
        <f ca="1">IF(Tableau1[[#This Row],[Date rév.]]&lt;&gt;"", DAYS360(Tableau1[[#This Row],[Date rév.]],TODAY()),"")</f>
        <v/>
      </c>
      <c r="AC290" s="50" t="str">
        <f>IFERROR(INDEX(Chemin_accès!$B$11:$C$22,MATCH(Tableau1[[#This Row],[Type]],Chemin_accès!$C$11:$C$22,0),1),Chemin_accès!$B$11)</f>
        <v>\\stjn.local\trimet\Btechnique\Commun\Atelier Central mécanique\Plan entretien\Modèles préventif\GammeDMS_7.MENG.xlsm</v>
      </c>
      <c r="AD290" s="50" t="str">
        <f>Chemin_accès!$B$8&amp;Tableau1[[#This Row],[Localisation / Classement]]&amp;"\"&amp;Tableau1[[#This Row],[Poste technique ou N° d''équipement]]&amp;"_"&amp;Tableau1[[#This Row],[Plan Entretien]]&amp;".xlsm"</f>
        <v>\\stjn.local\trimet\Btechnique\Commun\Atelier Central mécanique\Plan entretien\GammeEntretien\\_.xlsm</v>
      </c>
    </row>
    <row r="291" spans="1:30" x14ac:dyDescent="0.3">
      <c r="A291" s="44" t="str">
        <f t="shared" ca="1" si="4"/>
        <v>7.MENG</v>
      </c>
      <c r="B29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91" s="46"/>
      <c r="D291" s="44"/>
      <c r="E291" s="44"/>
      <c r="F291" s="47"/>
      <c r="G291" s="47"/>
      <c r="H291" s="45"/>
      <c r="I291" s="45"/>
      <c r="J291" s="45"/>
      <c r="K291" s="45"/>
      <c r="L291" s="46"/>
      <c r="M291" s="47"/>
      <c r="N291" s="46"/>
      <c r="O291" s="46"/>
      <c r="P291" s="47"/>
      <c r="Q291" s="46"/>
      <c r="R291" s="46"/>
      <c r="S291" s="48"/>
      <c r="T291" s="68" t="str">
        <f>IF(Tableau1[[#This Row],[DMS_SAP]]="","",HYPERLINK(Tableau1[[#This Row],[Chemin fichier source]],"X"))</f>
        <v/>
      </c>
      <c r="U291" s="68" t="str">
        <f>IF(Tableau1[[#This Row],[Date rév.]]="","",HYPERLINK(Tableau1[[#This Row],[Lien document]],"X"))</f>
        <v/>
      </c>
      <c r="V291" s="47"/>
      <c r="W29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91" s="47"/>
      <c r="Y291" s="47"/>
      <c r="Z291" s="44" t="str">
        <f ca="1">IF(AND(Tableau1[[#This Row],[Charge]]&lt;&gt;0, Tableau1[[#This Row],[Nombre intervenants]]&lt;&gt;0,Tableau1[[#This Row],[Lien document]]&lt;&gt;0,Tableau1[[#This Row],[DMS_SAP]]&lt;&gt;0)=TRUE,"MIS A JOUR","")</f>
        <v/>
      </c>
      <c r="AA291" s="48"/>
      <c r="AB291" s="65" t="str">
        <f ca="1">IF(Tableau1[[#This Row],[Date rév.]]&lt;&gt;"", DAYS360(Tableau1[[#This Row],[Date rév.]],TODAY()),"")</f>
        <v/>
      </c>
      <c r="AC291" s="50" t="str">
        <f>IFERROR(INDEX(Chemin_accès!$B$11:$C$22,MATCH(Tableau1[[#This Row],[Type]],Chemin_accès!$C$11:$C$22,0),1),Chemin_accès!$B$11)</f>
        <v>\\stjn.local\trimet\Btechnique\Commun\Atelier Central mécanique\Plan entretien\Modèles préventif\GammeDMS_7.MENG.xlsm</v>
      </c>
      <c r="AD291" s="50" t="str">
        <f>Chemin_accès!$B$8&amp;Tableau1[[#This Row],[Localisation / Classement]]&amp;"\"&amp;Tableau1[[#This Row],[Poste technique ou N° d''équipement]]&amp;"_"&amp;Tableau1[[#This Row],[Plan Entretien]]&amp;".xlsm"</f>
        <v>\\stjn.local\trimet\Btechnique\Commun\Atelier Central mécanique\Plan entretien\GammeEntretien\\_.xlsm</v>
      </c>
    </row>
    <row r="292" spans="1:30" x14ac:dyDescent="0.3">
      <c r="A292" s="44" t="str">
        <f t="shared" ca="1" si="4"/>
        <v>7.MENG</v>
      </c>
      <c r="B29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92" s="46"/>
      <c r="D292" s="44"/>
      <c r="E292" s="44"/>
      <c r="F292" s="47"/>
      <c r="G292" s="47"/>
      <c r="H292" s="45"/>
      <c r="I292" s="45"/>
      <c r="J292" s="45"/>
      <c r="K292" s="45"/>
      <c r="L292" s="46"/>
      <c r="M292" s="47"/>
      <c r="N292" s="46"/>
      <c r="O292" s="46"/>
      <c r="P292" s="47"/>
      <c r="Q292" s="46"/>
      <c r="R292" s="46"/>
      <c r="S292" s="48"/>
      <c r="T292" s="68" t="str">
        <f>IF(Tableau1[[#This Row],[DMS_SAP]]="","",HYPERLINK(Tableau1[[#This Row],[Chemin fichier source]],"X"))</f>
        <v/>
      </c>
      <c r="U292" s="68" t="str">
        <f>IF(Tableau1[[#This Row],[Date rév.]]="","",HYPERLINK(Tableau1[[#This Row],[Lien document]],"X"))</f>
        <v/>
      </c>
      <c r="V292" s="47"/>
      <c r="W29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92" s="47"/>
      <c r="Y292" s="47"/>
      <c r="Z292" s="44" t="str">
        <f ca="1">IF(AND(Tableau1[[#This Row],[Charge]]&lt;&gt;0, Tableau1[[#This Row],[Nombre intervenants]]&lt;&gt;0,Tableau1[[#This Row],[Lien document]]&lt;&gt;0,Tableau1[[#This Row],[DMS_SAP]]&lt;&gt;0)=TRUE,"MIS A JOUR","")</f>
        <v/>
      </c>
      <c r="AA292" s="48"/>
      <c r="AB292" s="65" t="str">
        <f ca="1">IF(Tableau1[[#This Row],[Date rév.]]&lt;&gt;"", DAYS360(Tableau1[[#This Row],[Date rév.]],TODAY()),"")</f>
        <v/>
      </c>
      <c r="AC292" s="50" t="str">
        <f>IFERROR(INDEX(Chemin_accès!$B$11:$C$22,MATCH(Tableau1[[#This Row],[Type]],Chemin_accès!$C$11:$C$22,0),1),Chemin_accès!$B$11)</f>
        <v>\\stjn.local\trimet\Btechnique\Commun\Atelier Central mécanique\Plan entretien\Modèles préventif\GammeDMS_7.MENG.xlsm</v>
      </c>
      <c r="AD292" s="50" t="str">
        <f>Chemin_accès!$B$8&amp;Tableau1[[#This Row],[Localisation / Classement]]&amp;"\"&amp;Tableau1[[#This Row],[Poste technique ou N° d''équipement]]&amp;"_"&amp;Tableau1[[#This Row],[Plan Entretien]]&amp;".xlsm"</f>
        <v>\\stjn.local\trimet\Btechnique\Commun\Atelier Central mécanique\Plan entretien\GammeEntretien\\_.xlsm</v>
      </c>
    </row>
    <row r="293" spans="1:30" x14ac:dyDescent="0.3">
      <c r="A293" s="44" t="str">
        <f t="shared" ca="1" si="4"/>
        <v>7.MENG</v>
      </c>
      <c r="B29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93" s="46"/>
      <c r="D293" s="44"/>
      <c r="E293" s="44"/>
      <c r="F293" s="47"/>
      <c r="G293" s="47"/>
      <c r="H293" s="45"/>
      <c r="I293" s="45"/>
      <c r="J293" s="45"/>
      <c r="K293" s="45"/>
      <c r="L293" s="46"/>
      <c r="M293" s="47"/>
      <c r="N293" s="46"/>
      <c r="O293" s="46"/>
      <c r="P293" s="47"/>
      <c r="Q293" s="46"/>
      <c r="R293" s="46"/>
      <c r="S293" s="48"/>
      <c r="T293" s="68" t="str">
        <f>IF(Tableau1[[#This Row],[DMS_SAP]]="","",HYPERLINK(Tableau1[[#This Row],[Chemin fichier source]],"X"))</f>
        <v/>
      </c>
      <c r="U293" s="68" t="str">
        <f>IF(Tableau1[[#This Row],[Date rév.]]="","",HYPERLINK(Tableau1[[#This Row],[Lien document]],"X"))</f>
        <v/>
      </c>
      <c r="V293" s="47"/>
      <c r="W29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93" s="47"/>
      <c r="Y293" s="47"/>
      <c r="Z293" s="44" t="str">
        <f ca="1">IF(AND(Tableau1[[#This Row],[Charge]]&lt;&gt;0, Tableau1[[#This Row],[Nombre intervenants]]&lt;&gt;0,Tableau1[[#This Row],[Lien document]]&lt;&gt;0,Tableau1[[#This Row],[DMS_SAP]]&lt;&gt;0)=TRUE,"MIS A JOUR","")</f>
        <v/>
      </c>
      <c r="AA293" s="48"/>
      <c r="AB293" s="65" t="str">
        <f ca="1">IF(Tableau1[[#This Row],[Date rév.]]&lt;&gt;"", DAYS360(Tableau1[[#This Row],[Date rév.]],TODAY()),"")</f>
        <v/>
      </c>
      <c r="AC293" s="50" t="str">
        <f>IFERROR(INDEX(Chemin_accès!$B$11:$C$22,MATCH(Tableau1[[#This Row],[Type]],Chemin_accès!$C$11:$C$22,0),1),Chemin_accès!$B$11)</f>
        <v>\\stjn.local\trimet\Btechnique\Commun\Atelier Central mécanique\Plan entretien\Modèles préventif\GammeDMS_7.MENG.xlsm</v>
      </c>
      <c r="AD293" s="50" t="str">
        <f>Chemin_accès!$B$8&amp;Tableau1[[#This Row],[Localisation / Classement]]&amp;"\"&amp;Tableau1[[#This Row],[Poste technique ou N° d''équipement]]&amp;"_"&amp;Tableau1[[#This Row],[Plan Entretien]]&amp;".xlsm"</f>
        <v>\\stjn.local\trimet\Btechnique\Commun\Atelier Central mécanique\Plan entretien\GammeEntretien\\_.xlsm</v>
      </c>
    </row>
    <row r="294" spans="1:30" x14ac:dyDescent="0.3">
      <c r="A294" s="44" t="str">
        <f t="shared" ca="1" si="4"/>
        <v>7.MENG</v>
      </c>
      <c r="B29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94" s="46"/>
      <c r="D294" s="44"/>
      <c r="E294" s="44"/>
      <c r="F294" s="47"/>
      <c r="G294" s="47"/>
      <c r="H294" s="45"/>
      <c r="I294" s="45"/>
      <c r="J294" s="45"/>
      <c r="K294" s="45"/>
      <c r="L294" s="46"/>
      <c r="M294" s="47"/>
      <c r="N294" s="46"/>
      <c r="O294" s="46"/>
      <c r="P294" s="47"/>
      <c r="Q294" s="46"/>
      <c r="R294" s="46"/>
      <c r="S294" s="48"/>
      <c r="T294" s="68" t="str">
        <f>IF(Tableau1[[#This Row],[DMS_SAP]]="","",HYPERLINK(Tableau1[[#This Row],[Chemin fichier source]],"X"))</f>
        <v/>
      </c>
      <c r="U294" s="68" t="str">
        <f>IF(Tableau1[[#This Row],[Date rév.]]="","",HYPERLINK(Tableau1[[#This Row],[Lien document]],"X"))</f>
        <v/>
      </c>
      <c r="V294" s="47"/>
      <c r="W29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94" s="47"/>
      <c r="Y294" s="47"/>
      <c r="Z294" s="44" t="str">
        <f ca="1">IF(AND(Tableau1[[#This Row],[Charge]]&lt;&gt;0, Tableau1[[#This Row],[Nombre intervenants]]&lt;&gt;0,Tableau1[[#This Row],[Lien document]]&lt;&gt;0,Tableau1[[#This Row],[DMS_SAP]]&lt;&gt;0)=TRUE,"MIS A JOUR","")</f>
        <v/>
      </c>
      <c r="AA294" s="48"/>
      <c r="AB294" s="65" t="str">
        <f ca="1">IF(Tableau1[[#This Row],[Date rév.]]&lt;&gt;"", DAYS360(Tableau1[[#This Row],[Date rév.]],TODAY()),"")</f>
        <v/>
      </c>
      <c r="AC294" s="50" t="str">
        <f>IFERROR(INDEX(Chemin_accès!$B$11:$C$22,MATCH(Tableau1[[#This Row],[Type]],Chemin_accès!$C$11:$C$22,0),1),Chemin_accès!$B$11)</f>
        <v>\\stjn.local\trimet\Btechnique\Commun\Atelier Central mécanique\Plan entretien\Modèles préventif\GammeDMS_7.MENG.xlsm</v>
      </c>
      <c r="AD294" s="50" t="str">
        <f>Chemin_accès!$B$8&amp;Tableau1[[#This Row],[Localisation / Classement]]&amp;"\"&amp;Tableau1[[#This Row],[Poste technique ou N° d''équipement]]&amp;"_"&amp;Tableau1[[#This Row],[Plan Entretien]]&amp;".xlsm"</f>
        <v>\\stjn.local\trimet\Btechnique\Commun\Atelier Central mécanique\Plan entretien\GammeEntretien\\_.xlsm</v>
      </c>
    </row>
    <row r="295" spans="1:30" x14ac:dyDescent="0.3">
      <c r="A295" s="44" t="str">
        <f t="shared" ca="1" si="4"/>
        <v>7.MENG</v>
      </c>
      <c r="B29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95" s="46"/>
      <c r="D295" s="44"/>
      <c r="E295" s="44"/>
      <c r="F295" s="47"/>
      <c r="G295" s="47"/>
      <c r="H295" s="45"/>
      <c r="I295" s="45"/>
      <c r="J295" s="45"/>
      <c r="K295" s="45"/>
      <c r="L295" s="46"/>
      <c r="M295" s="47"/>
      <c r="N295" s="46"/>
      <c r="O295" s="46"/>
      <c r="P295" s="47"/>
      <c r="Q295" s="46"/>
      <c r="R295" s="46"/>
      <c r="S295" s="48"/>
      <c r="T295" s="68" t="str">
        <f>IF(Tableau1[[#This Row],[DMS_SAP]]="","",HYPERLINK(Tableau1[[#This Row],[Chemin fichier source]],"X"))</f>
        <v/>
      </c>
      <c r="U295" s="68" t="str">
        <f>IF(Tableau1[[#This Row],[Date rév.]]="","",HYPERLINK(Tableau1[[#This Row],[Lien document]],"X"))</f>
        <v/>
      </c>
      <c r="V295" s="47"/>
      <c r="W29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95" s="47"/>
      <c r="Y295" s="47"/>
      <c r="Z295" s="44" t="str">
        <f ca="1">IF(AND(Tableau1[[#This Row],[Charge]]&lt;&gt;0, Tableau1[[#This Row],[Nombre intervenants]]&lt;&gt;0,Tableau1[[#This Row],[Lien document]]&lt;&gt;0,Tableau1[[#This Row],[DMS_SAP]]&lt;&gt;0)=TRUE,"MIS A JOUR","")</f>
        <v/>
      </c>
      <c r="AA295" s="48"/>
      <c r="AB295" s="65" t="str">
        <f ca="1">IF(Tableau1[[#This Row],[Date rév.]]&lt;&gt;"", DAYS360(Tableau1[[#This Row],[Date rév.]],TODAY()),"")</f>
        <v/>
      </c>
      <c r="AC295" s="50" t="str">
        <f>IFERROR(INDEX(Chemin_accès!$B$11:$C$22,MATCH(Tableau1[[#This Row],[Type]],Chemin_accès!$C$11:$C$22,0),1),Chemin_accès!$B$11)</f>
        <v>\\stjn.local\trimet\Btechnique\Commun\Atelier Central mécanique\Plan entretien\Modèles préventif\GammeDMS_7.MENG.xlsm</v>
      </c>
      <c r="AD295" s="50" t="str">
        <f>Chemin_accès!$B$8&amp;Tableau1[[#This Row],[Localisation / Classement]]&amp;"\"&amp;Tableau1[[#This Row],[Poste technique ou N° d''équipement]]&amp;"_"&amp;Tableau1[[#This Row],[Plan Entretien]]&amp;".xlsm"</f>
        <v>\\stjn.local\trimet\Btechnique\Commun\Atelier Central mécanique\Plan entretien\GammeEntretien\\_.xlsm</v>
      </c>
    </row>
    <row r="296" spans="1:30" x14ac:dyDescent="0.3">
      <c r="A296" s="44" t="str">
        <f t="shared" ca="1" si="4"/>
        <v>7.MENG</v>
      </c>
      <c r="B29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96" s="53"/>
      <c r="D296" s="44"/>
      <c r="E296" s="44"/>
      <c r="F296" s="47"/>
      <c r="G296" s="47"/>
      <c r="H296" s="45"/>
      <c r="I296" s="45"/>
      <c r="J296" s="45"/>
      <c r="K296" s="45"/>
      <c r="L296" s="46"/>
      <c r="M296" s="47"/>
      <c r="N296" s="46"/>
      <c r="O296" s="46"/>
      <c r="P296" s="47"/>
      <c r="Q296" s="46"/>
      <c r="R296" s="46"/>
      <c r="S296" s="48"/>
      <c r="T296" s="68" t="str">
        <f>IF(Tableau1[[#This Row],[DMS_SAP]]="","",HYPERLINK(Tableau1[[#This Row],[Chemin fichier source]],"X"))</f>
        <v/>
      </c>
      <c r="U296" s="68" t="str">
        <f>IF(Tableau1[[#This Row],[Date rév.]]="","",HYPERLINK(Tableau1[[#This Row],[Lien document]],"X"))</f>
        <v/>
      </c>
      <c r="V296" s="47"/>
      <c r="W29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96" s="47"/>
      <c r="Y296" s="47"/>
      <c r="Z296" s="44" t="str">
        <f ca="1">IF(AND(Tableau1[[#This Row],[Charge]]&lt;&gt;0, Tableau1[[#This Row],[Nombre intervenants]]&lt;&gt;0,Tableau1[[#This Row],[Lien document]]&lt;&gt;0,Tableau1[[#This Row],[DMS_SAP]]&lt;&gt;0)=TRUE,"MIS A JOUR","")</f>
        <v/>
      </c>
      <c r="AA296" s="48"/>
      <c r="AB296" s="65" t="str">
        <f ca="1">IF(Tableau1[[#This Row],[Date rév.]]&lt;&gt;"", DAYS360(Tableau1[[#This Row],[Date rév.]],TODAY()),"")</f>
        <v/>
      </c>
      <c r="AC296" s="50" t="str">
        <f>IFERROR(INDEX(Chemin_accès!$B$11:$C$22,MATCH(Tableau1[[#This Row],[Type]],Chemin_accès!$C$11:$C$22,0),1),Chemin_accès!$B$11)</f>
        <v>\\stjn.local\trimet\Btechnique\Commun\Atelier Central mécanique\Plan entretien\Modèles préventif\GammeDMS_7.MENG.xlsm</v>
      </c>
      <c r="AD296" s="50" t="str">
        <f>Chemin_accès!$B$8&amp;Tableau1[[#This Row],[Localisation / Classement]]&amp;"\"&amp;Tableau1[[#This Row],[Poste technique ou N° d''équipement]]&amp;"_"&amp;Tableau1[[#This Row],[Plan Entretien]]&amp;".xlsm"</f>
        <v>\\stjn.local\trimet\Btechnique\Commun\Atelier Central mécanique\Plan entretien\GammeEntretien\\_.xlsm</v>
      </c>
    </row>
    <row r="297" spans="1:30" x14ac:dyDescent="0.3">
      <c r="A297" s="44" t="str">
        <f t="shared" ca="1" si="4"/>
        <v>7.MENG</v>
      </c>
      <c r="B29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97" s="46"/>
      <c r="D297" s="44"/>
      <c r="E297" s="44"/>
      <c r="F297" s="47"/>
      <c r="G297" s="47"/>
      <c r="H297" s="45"/>
      <c r="I297" s="45"/>
      <c r="J297" s="45"/>
      <c r="K297" s="45"/>
      <c r="L297" s="46"/>
      <c r="M297" s="47"/>
      <c r="N297" s="46"/>
      <c r="O297" s="46"/>
      <c r="P297" s="47"/>
      <c r="Q297" s="46"/>
      <c r="R297" s="46"/>
      <c r="S297" s="48"/>
      <c r="T297" s="68" t="str">
        <f>IF(Tableau1[[#This Row],[DMS_SAP]]="","",HYPERLINK(Tableau1[[#This Row],[Chemin fichier source]],"X"))</f>
        <v/>
      </c>
      <c r="U297" s="68" t="str">
        <f>IF(Tableau1[[#This Row],[Date rév.]]="","",HYPERLINK(Tableau1[[#This Row],[Lien document]],"X"))</f>
        <v/>
      </c>
      <c r="V297" s="47"/>
      <c r="W29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97" s="47"/>
      <c r="Y297" s="47"/>
      <c r="Z297" s="44" t="str">
        <f ca="1">IF(AND(Tableau1[[#This Row],[Charge]]&lt;&gt;0, Tableau1[[#This Row],[Nombre intervenants]]&lt;&gt;0,Tableau1[[#This Row],[Lien document]]&lt;&gt;0,Tableau1[[#This Row],[DMS_SAP]]&lt;&gt;0)=TRUE,"MIS A JOUR","")</f>
        <v/>
      </c>
      <c r="AA297" s="48"/>
      <c r="AB297" s="65" t="str">
        <f ca="1">IF(Tableau1[[#This Row],[Date rév.]]&lt;&gt;"", DAYS360(Tableau1[[#This Row],[Date rév.]],TODAY()),"")</f>
        <v/>
      </c>
      <c r="AC297" s="50" t="str">
        <f>IFERROR(INDEX(Chemin_accès!$B$11:$C$22,MATCH(Tableau1[[#This Row],[Type]],Chemin_accès!$C$11:$C$22,0),1),Chemin_accès!$B$11)</f>
        <v>\\stjn.local\trimet\Btechnique\Commun\Atelier Central mécanique\Plan entretien\Modèles préventif\GammeDMS_7.MENG.xlsm</v>
      </c>
      <c r="AD297" s="50" t="str">
        <f>Chemin_accès!$B$8&amp;Tableau1[[#This Row],[Localisation / Classement]]&amp;"\"&amp;Tableau1[[#This Row],[Poste technique ou N° d''équipement]]&amp;"_"&amp;Tableau1[[#This Row],[Plan Entretien]]&amp;".xlsm"</f>
        <v>\\stjn.local\trimet\Btechnique\Commun\Atelier Central mécanique\Plan entretien\GammeEntretien\\_.xlsm</v>
      </c>
    </row>
    <row r="298" spans="1:30" x14ac:dyDescent="0.3">
      <c r="A298" s="44" t="str">
        <f t="shared" ca="1" si="4"/>
        <v>7.MENG</v>
      </c>
      <c r="B29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98" s="46"/>
      <c r="D298" s="44"/>
      <c r="E298" s="44"/>
      <c r="F298" s="47"/>
      <c r="G298" s="47"/>
      <c r="H298" s="45"/>
      <c r="I298" s="45"/>
      <c r="J298" s="45"/>
      <c r="K298" s="45"/>
      <c r="L298" s="46"/>
      <c r="M298" s="47"/>
      <c r="N298" s="46"/>
      <c r="O298" s="46"/>
      <c r="P298" s="47"/>
      <c r="Q298" s="46"/>
      <c r="R298" s="46"/>
      <c r="S298" s="48"/>
      <c r="T298" s="68" t="str">
        <f>IF(Tableau1[[#This Row],[DMS_SAP]]="","",HYPERLINK(Tableau1[[#This Row],[Chemin fichier source]],"X"))</f>
        <v/>
      </c>
      <c r="U298" s="68" t="str">
        <f>IF(Tableau1[[#This Row],[Date rév.]]="","",HYPERLINK(Tableau1[[#This Row],[Lien document]],"X"))</f>
        <v/>
      </c>
      <c r="V298" s="47"/>
      <c r="W29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98" s="47"/>
      <c r="Y298" s="47"/>
      <c r="Z298" s="44" t="str">
        <f ca="1">IF(AND(Tableau1[[#This Row],[Charge]]&lt;&gt;0, Tableau1[[#This Row],[Nombre intervenants]]&lt;&gt;0,Tableau1[[#This Row],[Lien document]]&lt;&gt;0,Tableau1[[#This Row],[DMS_SAP]]&lt;&gt;0)=TRUE,"MIS A JOUR","")</f>
        <v/>
      </c>
      <c r="AA298" s="48"/>
      <c r="AB298" s="65" t="str">
        <f ca="1">IF(Tableau1[[#This Row],[Date rév.]]&lt;&gt;"", DAYS360(Tableau1[[#This Row],[Date rév.]],TODAY()),"")</f>
        <v/>
      </c>
      <c r="AC298" s="50" t="str">
        <f>IFERROR(INDEX(Chemin_accès!$B$11:$C$22,MATCH(Tableau1[[#This Row],[Type]],Chemin_accès!$C$11:$C$22,0),1),Chemin_accès!$B$11)</f>
        <v>\\stjn.local\trimet\Btechnique\Commun\Atelier Central mécanique\Plan entretien\Modèles préventif\GammeDMS_7.MENG.xlsm</v>
      </c>
      <c r="AD298" s="50" t="str">
        <f>Chemin_accès!$B$8&amp;Tableau1[[#This Row],[Localisation / Classement]]&amp;"\"&amp;Tableau1[[#This Row],[Poste technique ou N° d''équipement]]&amp;"_"&amp;Tableau1[[#This Row],[Plan Entretien]]&amp;".xlsm"</f>
        <v>\\stjn.local\trimet\Btechnique\Commun\Atelier Central mécanique\Plan entretien\GammeEntretien\\_.xlsm</v>
      </c>
    </row>
    <row r="299" spans="1:30" x14ac:dyDescent="0.3">
      <c r="A299" s="44" t="str">
        <f t="shared" ca="1" si="4"/>
        <v>7.MENG</v>
      </c>
      <c r="B29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299" s="46"/>
      <c r="D299" s="44"/>
      <c r="E299" s="44"/>
      <c r="F299" s="47"/>
      <c r="G299" s="47"/>
      <c r="H299" s="45"/>
      <c r="I299" s="45"/>
      <c r="J299" s="45"/>
      <c r="K299" s="45"/>
      <c r="L299" s="46"/>
      <c r="M299" s="47"/>
      <c r="N299" s="46"/>
      <c r="O299" s="46"/>
      <c r="P299" s="47"/>
      <c r="Q299" s="46"/>
      <c r="R299" s="46"/>
      <c r="S299" s="48"/>
      <c r="T299" s="68" t="str">
        <f>IF(Tableau1[[#This Row],[DMS_SAP]]="","",HYPERLINK(Tableau1[[#This Row],[Chemin fichier source]],"X"))</f>
        <v/>
      </c>
      <c r="U299" s="68" t="str">
        <f>IF(Tableau1[[#This Row],[Date rév.]]="","",HYPERLINK(Tableau1[[#This Row],[Lien document]],"X"))</f>
        <v/>
      </c>
      <c r="V299" s="47"/>
      <c r="W29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299" s="47"/>
      <c r="Y299" s="47"/>
      <c r="Z299" s="44" t="str">
        <f ca="1">IF(AND(Tableau1[[#This Row],[Charge]]&lt;&gt;0, Tableau1[[#This Row],[Nombre intervenants]]&lt;&gt;0,Tableau1[[#This Row],[Lien document]]&lt;&gt;0,Tableau1[[#This Row],[DMS_SAP]]&lt;&gt;0)=TRUE,"MIS A JOUR","")</f>
        <v/>
      </c>
      <c r="AA299" s="48"/>
      <c r="AB299" s="65" t="str">
        <f ca="1">IF(Tableau1[[#This Row],[Date rév.]]&lt;&gt;"", DAYS360(Tableau1[[#This Row],[Date rév.]],TODAY()),"")</f>
        <v/>
      </c>
      <c r="AC299" s="50" t="str">
        <f>IFERROR(INDEX(Chemin_accès!$B$11:$C$22,MATCH(Tableau1[[#This Row],[Type]],Chemin_accès!$C$11:$C$22,0),1),Chemin_accès!$B$11)</f>
        <v>\\stjn.local\trimet\Btechnique\Commun\Atelier Central mécanique\Plan entretien\Modèles préventif\GammeDMS_7.MENG.xlsm</v>
      </c>
      <c r="AD299" s="50" t="str">
        <f>Chemin_accès!$B$8&amp;Tableau1[[#This Row],[Localisation / Classement]]&amp;"\"&amp;Tableau1[[#This Row],[Poste technique ou N° d''équipement]]&amp;"_"&amp;Tableau1[[#This Row],[Plan Entretien]]&amp;".xlsm"</f>
        <v>\\stjn.local\trimet\Btechnique\Commun\Atelier Central mécanique\Plan entretien\GammeEntretien\\_.xlsm</v>
      </c>
    </row>
    <row r="300" spans="1:30" x14ac:dyDescent="0.3">
      <c r="A300" s="44" t="str">
        <f t="shared" ca="1" si="4"/>
        <v>7.MENG</v>
      </c>
      <c r="B30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00" s="46"/>
      <c r="D300" s="44"/>
      <c r="E300" s="44"/>
      <c r="F300" s="47"/>
      <c r="G300" s="47"/>
      <c r="H300" s="45"/>
      <c r="I300" s="45"/>
      <c r="J300" s="45"/>
      <c r="K300" s="45"/>
      <c r="L300" s="46"/>
      <c r="M300" s="47"/>
      <c r="N300" s="46"/>
      <c r="O300" s="46"/>
      <c r="P300" s="47"/>
      <c r="Q300" s="46"/>
      <c r="R300" s="46"/>
      <c r="S300" s="48"/>
      <c r="T300" s="68" t="str">
        <f>IF(Tableau1[[#This Row],[DMS_SAP]]="","",HYPERLINK(Tableau1[[#This Row],[Chemin fichier source]],"X"))</f>
        <v/>
      </c>
      <c r="U300" s="68" t="str">
        <f>IF(Tableau1[[#This Row],[Date rév.]]="","",HYPERLINK(Tableau1[[#This Row],[Lien document]],"X"))</f>
        <v/>
      </c>
      <c r="V300" s="47"/>
      <c r="W30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00" s="47"/>
      <c r="Y300" s="47"/>
      <c r="Z300" s="44" t="str">
        <f ca="1">IF(AND(Tableau1[[#This Row],[Charge]]&lt;&gt;0, Tableau1[[#This Row],[Nombre intervenants]]&lt;&gt;0,Tableau1[[#This Row],[Lien document]]&lt;&gt;0,Tableau1[[#This Row],[DMS_SAP]]&lt;&gt;0)=TRUE,"MIS A JOUR","")</f>
        <v/>
      </c>
      <c r="AA300" s="48"/>
      <c r="AB300" s="65" t="str">
        <f ca="1">IF(Tableau1[[#This Row],[Date rév.]]&lt;&gt;"", DAYS360(Tableau1[[#This Row],[Date rév.]],TODAY()),"")</f>
        <v/>
      </c>
      <c r="AC300" s="50" t="str">
        <f>IFERROR(INDEX(Chemin_accès!$B$11:$C$22,MATCH(Tableau1[[#This Row],[Type]],Chemin_accès!$C$11:$C$22,0),1),Chemin_accès!$B$11)</f>
        <v>\\stjn.local\trimet\Btechnique\Commun\Atelier Central mécanique\Plan entretien\Modèles préventif\GammeDMS_7.MENG.xlsm</v>
      </c>
      <c r="AD300" s="50" t="str">
        <f>Chemin_accès!$B$8&amp;Tableau1[[#This Row],[Localisation / Classement]]&amp;"\"&amp;Tableau1[[#This Row],[Poste technique ou N° d''équipement]]&amp;"_"&amp;Tableau1[[#This Row],[Plan Entretien]]&amp;".xlsm"</f>
        <v>\\stjn.local\trimet\Btechnique\Commun\Atelier Central mécanique\Plan entretien\GammeEntretien\\_.xlsm</v>
      </c>
    </row>
    <row r="301" spans="1:30" x14ac:dyDescent="0.3">
      <c r="A301" s="44" t="str">
        <f t="shared" ca="1" si="4"/>
        <v>7.MENG</v>
      </c>
      <c r="B30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01" s="46"/>
      <c r="D301" s="44"/>
      <c r="E301" s="44"/>
      <c r="F301" s="47"/>
      <c r="G301" s="47"/>
      <c r="H301" s="45"/>
      <c r="I301" s="45"/>
      <c r="J301" s="45"/>
      <c r="K301" s="45"/>
      <c r="L301" s="46"/>
      <c r="M301" s="47"/>
      <c r="N301" s="46"/>
      <c r="O301" s="46"/>
      <c r="P301" s="47"/>
      <c r="Q301" s="46"/>
      <c r="R301" s="46"/>
      <c r="S301" s="48"/>
      <c r="T301" s="68" t="str">
        <f>IF(Tableau1[[#This Row],[DMS_SAP]]="","",HYPERLINK(Tableau1[[#This Row],[Chemin fichier source]],"X"))</f>
        <v/>
      </c>
      <c r="U301" s="68" t="str">
        <f>IF(Tableau1[[#This Row],[Date rév.]]="","",HYPERLINK(Tableau1[[#This Row],[Lien document]],"X"))</f>
        <v/>
      </c>
      <c r="V301" s="47"/>
      <c r="W30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01" s="47"/>
      <c r="Y301" s="47"/>
      <c r="Z301" s="44" t="str">
        <f ca="1">IF(AND(Tableau1[[#This Row],[Charge]]&lt;&gt;0, Tableau1[[#This Row],[Nombre intervenants]]&lt;&gt;0,Tableau1[[#This Row],[Lien document]]&lt;&gt;0,Tableau1[[#This Row],[DMS_SAP]]&lt;&gt;0)=TRUE,"MIS A JOUR","")</f>
        <v/>
      </c>
      <c r="AA301" s="48"/>
      <c r="AB301" s="65" t="str">
        <f ca="1">IF(Tableau1[[#This Row],[Date rév.]]&lt;&gt;"", DAYS360(Tableau1[[#This Row],[Date rév.]],TODAY()),"")</f>
        <v/>
      </c>
      <c r="AC301" s="50" t="str">
        <f>IFERROR(INDEX(Chemin_accès!$B$11:$C$22,MATCH(Tableau1[[#This Row],[Type]],Chemin_accès!$C$11:$C$22,0),1),Chemin_accès!$B$11)</f>
        <v>\\stjn.local\trimet\Btechnique\Commun\Atelier Central mécanique\Plan entretien\Modèles préventif\GammeDMS_7.MENG.xlsm</v>
      </c>
      <c r="AD301" s="50" t="str">
        <f>Chemin_accès!$B$8&amp;Tableau1[[#This Row],[Localisation / Classement]]&amp;"\"&amp;Tableau1[[#This Row],[Poste technique ou N° d''équipement]]&amp;"_"&amp;Tableau1[[#This Row],[Plan Entretien]]&amp;".xlsm"</f>
        <v>\\stjn.local\trimet\Btechnique\Commun\Atelier Central mécanique\Plan entretien\GammeEntretien\\_.xlsm</v>
      </c>
    </row>
    <row r="302" spans="1:30" x14ac:dyDescent="0.3">
      <c r="A302" s="44" t="str">
        <f t="shared" ca="1" si="4"/>
        <v>7.MENG</v>
      </c>
      <c r="B30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02" s="46"/>
      <c r="D302" s="44"/>
      <c r="E302" s="44"/>
      <c r="F302" s="47"/>
      <c r="G302" s="47"/>
      <c r="H302" s="45"/>
      <c r="I302" s="45"/>
      <c r="J302" s="45"/>
      <c r="K302" s="45"/>
      <c r="L302" s="46"/>
      <c r="M302" s="47"/>
      <c r="N302" s="46"/>
      <c r="O302" s="46"/>
      <c r="P302" s="47"/>
      <c r="Q302" s="46"/>
      <c r="R302" s="46"/>
      <c r="S302" s="48"/>
      <c r="T302" s="68" t="str">
        <f>IF(Tableau1[[#This Row],[DMS_SAP]]="","",HYPERLINK(Tableau1[[#This Row],[Chemin fichier source]],"X"))</f>
        <v/>
      </c>
      <c r="U302" s="68" t="str">
        <f>IF(Tableau1[[#This Row],[Date rév.]]="","",HYPERLINK(Tableau1[[#This Row],[Lien document]],"X"))</f>
        <v/>
      </c>
      <c r="V302" s="47"/>
      <c r="W30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02" s="47"/>
      <c r="Y302" s="47"/>
      <c r="Z302" s="44" t="str">
        <f ca="1">IF(AND(Tableau1[[#This Row],[Charge]]&lt;&gt;0, Tableau1[[#This Row],[Nombre intervenants]]&lt;&gt;0,Tableau1[[#This Row],[Lien document]]&lt;&gt;0,Tableau1[[#This Row],[DMS_SAP]]&lt;&gt;0)=TRUE,"MIS A JOUR","")</f>
        <v/>
      </c>
      <c r="AA302" s="48"/>
      <c r="AB302" s="65" t="str">
        <f ca="1">IF(Tableau1[[#This Row],[Date rév.]]&lt;&gt;"", DAYS360(Tableau1[[#This Row],[Date rév.]],TODAY()),"")</f>
        <v/>
      </c>
      <c r="AC302" s="50" t="str">
        <f>IFERROR(INDEX(Chemin_accès!$B$11:$C$22,MATCH(Tableau1[[#This Row],[Type]],Chemin_accès!$C$11:$C$22,0),1),Chemin_accès!$B$11)</f>
        <v>\\stjn.local\trimet\Btechnique\Commun\Atelier Central mécanique\Plan entretien\Modèles préventif\GammeDMS_7.MENG.xlsm</v>
      </c>
      <c r="AD302" s="50" t="str">
        <f>Chemin_accès!$B$8&amp;Tableau1[[#This Row],[Localisation / Classement]]&amp;"\"&amp;Tableau1[[#This Row],[Poste technique ou N° d''équipement]]&amp;"_"&amp;Tableau1[[#This Row],[Plan Entretien]]&amp;".xlsm"</f>
        <v>\\stjn.local\trimet\Btechnique\Commun\Atelier Central mécanique\Plan entretien\GammeEntretien\\_.xlsm</v>
      </c>
    </row>
    <row r="303" spans="1:30" x14ac:dyDescent="0.3">
      <c r="A303" s="44" t="str">
        <f t="shared" ca="1" si="4"/>
        <v>7.MENG</v>
      </c>
      <c r="B30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03" s="46"/>
      <c r="D303" s="44"/>
      <c r="E303" s="44"/>
      <c r="F303" s="47"/>
      <c r="G303" s="47"/>
      <c r="H303" s="45"/>
      <c r="I303" s="45"/>
      <c r="J303" s="45"/>
      <c r="K303" s="45"/>
      <c r="L303" s="46"/>
      <c r="M303" s="47"/>
      <c r="N303" s="46"/>
      <c r="O303" s="46"/>
      <c r="P303" s="47"/>
      <c r="Q303" s="46"/>
      <c r="R303" s="46"/>
      <c r="S303" s="48"/>
      <c r="T303" s="68" t="str">
        <f>IF(Tableau1[[#This Row],[DMS_SAP]]="","",HYPERLINK(Tableau1[[#This Row],[Chemin fichier source]],"X"))</f>
        <v/>
      </c>
      <c r="U303" s="68" t="str">
        <f>IF(Tableau1[[#This Row],[Date rév.]]="","",HYPERLINK(Tableau1[[#This Row],[Lien document]],"X"))</f>
        <v/>
      </c>
      <c r="V303" s="47"/>
      <c r="W30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03" s="47"/>
      <c r="Y303" s="47"/>
      <c r="Z303" s="44" t="str">
        <f ca="1">IF(AND(Tableau1[[#This Row],[Charge]]&lt;&gt;0, Tableau1[[#This Row],[Nombre intervenants]]&lt;&gt;0,Tableau1[[#This Row],[Lien document]]&lt;&gt;0,Tableau1[[#This Row],[DMS_SAP]]&lt;&gt;0)=TRUE,"MIS A JOUR","")</f>
        <v/>
      </c>
      <c r="AA303" s="48"/>
      <c r="AB303" s="65" t="str">
        <f ca="1">IF(Tableau1[[#This Row],[Date rév.]]&lt;&gt;"", DAYS360(Tableau1[[#This Row],[Date rév.]],TODAY()),"")</f>
        <v/>
      </c>
      <c r="AC303" s="50" t="str">
        <f>IFERROR(INDEX(Chemin_accès!$B$11:$C$22,MATCH(Tableau1[[#This Row],[Type]],Chemin_accès!$C$11:$C$22,0),1),Chemin_accès!$B$11)</f>
        <v>\\stjn.local\trimet\Btechnique\Commun\Atelier Central mécanique\Plan entretien\Modèles préventif\GammeDMS_7.MENG.xlsm</v>
      </c>
      <c r="AD303" s="50" t="str">
        <f>Chemin_accès!$B$8&amp;Tableau1[[#This Row],[Localisation / Classement]]&amp;"\"&amp;Tableau1[[#This Row],[Poste technique ou N° d''équipement]]&amp;"_"&amp;Tableau1[[#This Row],[Plan Entretien]]&amp;".xlsm"</f>
        <v>\\stjn.local\trimet\Btechnique\Commun\Atelier Central mécanique\Plan entretien\GammeEntretien\\_.xlsm</v>
      </c>
    </row>
    <row r="304" spans="1:30" x14ac:dyDescent="0.3">
      <c r="A304" s="44" t="str">
        <f t="shared" ca="1" si="4"/>
        <v>7.MENG</v>
      </c>
      <c r="B30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04" s="46"/>
      <c r="D304" s="44"/>
      <c r="E304" s="44"/>
      <c r="F304" s="47"/>
      <c r="G304" s="47"/>
      <c r="H304" s="45"/>
      <c r="I304" s="45"/>
      <c r="J304" s="45"/>
      <c r="K304" s="45"/>
      <c r="L304" s="46"/>
      <c r="M304" s="47"/>
      <c r="N304" s="46"/>
      <c r="O304" s="46"/>
      <c r="P304" s="47"/>
      <c r="Q304" s="46"/>
      <c r="R304" s="46"/>
      <c r="S304" s="48"/>
      <c r="T304" s="68" t="str">
        <f>IF(Tableau1[[#This Row],[DMS_SAP]]="","",HYPERLINK(Tableau1[[#This Row],[Chemin fichier source]],"X"))</f>
        <v/>
      </c>
      <c r="U304" s="68" t="str">
        <f>IF(Tableau1[[#This Row],[Date rév.]]="","",HYPERLINK(Tableau1[[#This Row],[Lien document]],"X"))</f>
        <v/>
      </c>
      <c r="V304" s="47"/>
      <c r="W30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04" s="47"/>
      <c r="Y304" s="47"/>
      <c r="Z304" s="44" t="str">
        <f ca="1">IF(AND(Tableau1[[#This Row],[Charge]]&lt;&gt;0, Tableau1[[#This Row],[Nombre intervenants]]&lt;&gt;0,Tableau1[[#This Row],[Lien document]]&lt;&gt;0,Tableau1[[#This Row],[DMS_SAP]]&lt;&gt;0)=TRUE,"MIS A JOUR","")</f>
        <v/>
      </c>
      <c r="AA304" s="48"/>
      <c r="AB304" s="65" t="str">
        <f ca="1">IF(Tableau1[[#This Row],[Date rév.]]&lt;&gt;"", DAYS360(Tableau1[[#This Row],[Date rév.]],TODAY()),"")</f>
        <v/>
      </c>
      <c r="AC304" s="50" t="str">
        <f>IFERROR(INDEX(Chemin_accès!$B$11:$C$22,MATCH(Tableau1[[#This Row],[Type]],Chemin_accès!$C$11:$C$22,0),1),Chemin_accès!$B$11)</f>
        <v>\\stjn.local\trimet\Btechnique\Commun\Atelier Central mécanique\Plan entretien\Modèles préventif\GammeDMS_7.MENG.xlsm</v>
      </c>
      <c r="AD304" s="50" t="str">
        <f>Chemin_accès!$B$8&amp;Tableau1[[#This Row],[Localisation / Classement]]&amp;"\"&amp;Tableau1[[#This Row],[Poste technique ou N° d''équipement]]&amp;"_"&amp;Tableau1[[#This Row],[Plan Entretien]]&amp;".xlsm"</f>
        <v>\\stjn.local\trimet\Btechnique\Commun\Atelier Central mécanique\Plan entretien\GammeEntretien\\_.xlsm</v>
      </c>
    </row>
    <row r="305" spans="1:30" x14ac:dyDescent="0.3">
      <c r="A305" s="44" t="str">
        <f t="shared" ca="1" si="4"/>
        <v>7.MENG</v>
      </c>
      <c r="B30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05" s="46"/>
      <c r="D305" s="44"/>
      <c r="E305" s="44"/>
      <c r="F305" s="47"/>
      <c r="G305" s="47"/>
      <c r="H305" s="45"/>
      <c r="I305" s="45"/>
      <c r="J305" s="45"/>
      <c r="K305" s="45"/>
      <c r="L305" s="46"/>
      <c r="M305" s="47"/>
      <c r="N305" s="46"/>
      <c r="O305" s="46"/>
      <c r="P305" s="47"/>
      <c r="Q305" s="46"/>
      <c r="R305" s="46"/>
      <c r="S305" s="48"/>
      <c r="T305" s="68" t="str">
        <f>IF(Tableau1[[#This Row],[DMS_SAP]]="","",HYPERLINK(Tableau1[[#This Row],[Chemin fichier source]],"X"))</f>
        <v/>
      </c>
      <c r="U305" s="68" t="str">
        <f>IF(Tableau1[[#This Row],[Date rév.]]="","",HYPERLINK(Tableau1[[#This Row],[Lien document]],"X"))</f>
        <v/>
      </c>
      <c r="V305" s="47"/>
      <c r="W30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05" s="47"/>
      <c r="Y305" s="47"/>
      <c r="Z305" s="44" t="str">
        <f ca="1">IF(AND(Tableau1[[#This Row],[Charge]]&lt;&gt;0, Tableau1[[#This Row],[Nombre intervenants]]&lt;&gt;0,Tableau1[[#This Row],[Lien document]]&lt;&gt;0,Tableau1[[#This Row],[DMS_SAP]]&lt;&gt;0)=TRUE,"MIS A JOUR","")</f>
        <v/>
      </c>
      <c r="AA305" s="48"/>
      <c r="AB305" s="65" t="str">
        <f ca="1">IF(Tableau1[[#This Row],[Date rév.]]&lt;&gt;"", DAYS360(Tableau1[[#This Row],[Date rév.]],TODAY()),"")</f>
        <v/>
      </c>
      <c r="AC305" s="50" t="str">
        <f>IFERROR(INDEX(Chemin_accès!$B$11:$C$22,MATCH(Tableau1[[#This Row],[Type]],Chemin_accès!$C$11:$C$22,0),1),Chemin_accès!$B$11)</f>
        <v>\\stjn.local\trimet\Btechnique\Commun\Atelier Central mécanique\Plan entretien\Modèles préventif\GammeDMS_7.MENG.xlsm</v>
      </c>
      <c r="AD305" s="50" t="str">
        <f>Chemin_accès!$B$8&amp;Tableau1[[#This Row],[Localisation / Classement]]&amp;"\"&amp;Tableau1[[#This Row],[Poste technique ou N° d''équipement]]&amp;"_"&amp;Tableau1[[#This Row],[Plan Entretien]]&amp;".xlsm"</f>
        <v>\\stjn.local\trimet\Btechnique\Commun\Atelier Central mécanique\Plan entretien\GammeEntretien\\_.xlsm</v>
      </c>
    </row>
    <row r="306" spans="1:30" x14ac:dyDescent="0.3">
      <c r="A306" s="44" t="str">
        <f t="shared" ca="1" si="4"/>
        <v>7.MENG</v>
      </c>
      <c r="B30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06" s="46"/>
      <c r="D306" s="44"/>
      <c r="E306" s="44"/>
      <c r="F306" s="47"/>
      <c r="G306" s="47"/>
      <c r="H306" s="45"/>
      <c r="I306" s="45"/>
      <c r="J306" s="45"/>
      <c r="K306" s="45"/>
      <c r="L306" s="46"/>
      <c r="M306" s="47"/>
      <c r="N306" s="46"/>
      <c r="O306" s="46"/>
      <c r="P306" s="47"/>
      <c r="Q306" s="46"/>
      <c r="R306" s="46"/>
      <c r="S306" s="48"/>
      <c r="T306" s="68" t="str">
        <f>IF(Tableau1[[#This Row],[DMS_SAP]]="","",HYPERLINK(Tableau1[[#This Row],[Chemin fichier source]],"X"))</f>
        <v/>
      </c>
      <c r="U306" s="68" t="str">
        <f>IF(Tableau1[[#This Row],[Date rév.]]="","",HYPERLINK(Tableau1[[#This Row],[Lien document]],"X"))</f>
        <v/>
      </c>
      <c r="V306" s="47"/>
      <c r="W30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06" s="47"/>
      <c r="Y306" s="47"/>
      <c r="Z306" s="44" t="str">
        <f ca="1">IF(AND(Tableau1[[#This Row],[Charge]]&lt;&gt;0, Tableau1[[#This Row],[Nombre intervenants]]&lt;&gt;0,Tableau1[[#This Row],[Lien document]]&lt;&gt;0,Tableau1[[#This Row],[DMS_SAP]]&lt;&gt;0)=TRUE,"MIS A JOUR","")</f>
        <v/>
      </c>
      <c r="AA306" s="48"/>
      <c r="AB306" s="65" t="str">
        <f ca="1">IF(Tableau1[[#This Row],[Date rév.]]&lt;&gt;"", DAYS360(Tableau1[[#This Row],[Date rév.]],TODAY()),"")</f>
        <v/>
      </c>
      <c r="AC306" s="50" t="str">
        <f>IFERROR(INDEX(Chemin_accès!$B$11:$C$22,MATCH(Tableau1[[#This Row],[Type]],Chemin_accès!$C$11:$C$22,0),1),Chemin_accès!$B$11)</f>
        <v>\\stjn.local\trimet\Btechnique\Commun\Atelier Central mécanique\Plan entretien\Modèles préventif\GammeDMS_7.MENG.xlsm</v>
      </c>
      <c r="AD306" s="50" t="str">
        <f>Chemin_accès!$B$8&amp;Tableau1[[#This Row],[Localisation / Classement]]&amp;"\"&amp;Tableau1[[#This Row],[Poste technique ou N° d''équipement]]&amp;"_"&amp;Tableau1[[#This Row],[Plan Entretien]]&amp;".xlsm"</f>
        <v>\\stjn.local\trimet\Btechnique\Commun\Atelier Central mécanique\Plan entretien\GammeEntretien\\_.xlsm</v>
      </c>
    </row>
    <row r="307" spans="1:30" x14ac:dyDescent="0.3">
      <c r="A307" s="44" t="str">
        <f t="shared" ca="1" si="4"/>
        <v>7.MENG</v>
      </c>
      <c r="B30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07" s="46"/>
      <c r="D307" s="44"/>
      <c r="E307" s="44"/>
      <c r="F307" s="47"/>
      <c r="G307" s="47"/>
      <c r="H307" s="45"/>
      <c r="I307" s="45"/>
      <c r="J307" s="45"/>
      <c r="K307" s="45"/>
      <c r="L307" s="46"/>
      <c r="M307" s="47"/>
      <c r="N307" s="46"/>
      <c r="O307" s="46"/>
      <c r="P307" s="47"/>
      <c r="Q307" s="46"/>
      <c r="R307" s="46"/>
      <c r="S307" s="48"/>
      <c r="T307" s="68" t="str">
        <f>IF(Tableau1[[#This Row],[DMS_SAP]]="","",HYPERLINK(Tableau1[[#This Row],[Chemin fichier source]],"X"))</f>
        <v/>
      </c>
      <c r="U307" s="68" t="str">
        <f>IF(Tableau1[[#This Row],[Date rév.]]="","",HYPERLINK(Tableau1[[#This Row],[Lien document]],"X"))</f>
        <v/>
      </c>
      <c r="V307" s="47"/>
      <c r="W30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07" s="47"/>
      <c r="Y307" s="47"/>
      <c r="Z307" s="44" t="str">
        <f ca="1">IF(AND(Tableau1[[#This Row],[Charge]]&lt;&gt;0, Tableau1[[#This Row],[Nombre intervenants]]&lt;&gt;0,Tableau1[[#This Row],[Lien document]]&lt;&gt;0,Tableau1[[#This Row],[DMS_SAP]]&lt;&gt;0)=TRUE,"MIS A JOUR","")</f>
        <v/>
      </c>
      <c r="AA307" s="48"/>
      <c r="AB307" s="65" t="str">
        <f ca="1">IF(Tableau1[[#This Row],[Date rév.]]&lt;&gt;"", DAYS360(Tableau1[[#This Row],[Date rév.]],TODAY()),"")</f>
        <v/>
      </c>
      <c r="AC307" s="50" t="str">
        <f>IFERROR(INDEX(Chemin_accès!$B$11:$C$22,MATCH(Tableau1[[#This Row],[Type]],Chemin_accès!$C$11:$C$22,0),1),Chemin_accès!$B$11)</f>
        <v>\\stjn.local\trimet\Btechnique\Commun\Atelier Central mécanique\Plan entretien\Modèles préventif\GammeDMS_7.MENG.xlsm</v>
      </c>
      <c r="AD307" s="50" t="str">
        <f>Chemin_accès!$B$8&amp;Tableau1[[#This Row],[Localisation / Classement]]&amp;"\"&amp;Tableau1[[#This Row],[Poste technique ou N° d''équipement]]&amp;"_"&amp;Tableau1[[#This Row],[Plan Entretien]]&amp;".xlsm"</f>
        <v>\\stjn.local\trimet\Btechnique\Commun\Atelier Central mécanique\Plan entretien\GammeEntretien\\_.xlsm</v>
      </c>
    </row>
    <row r="308" spans="1:30" x14ac:dyDescent="0.3">
      <c r="A308" s="44" t="str">
        <f t="shared" ca="1" si="4"/>
        <v>7.MENG</v>
      </c>
      <c r="B30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08" s="46"/>
      <c r="D308" s="44"/>
      <c r="E308" s="44"/>
      <c r="F308" s="47"/>
      <c r="G308" s="47"/>
      <c r="H308" s="45"/>
      <c r="I308" s="45"/>
      <c r="J308" s="45"/>
      <c r="K308" s="45"/>
      <c r="L308" s="46"/>
      <c r="M308" s="47"/>
      <c r="N308" s="46"/>
      <c r="O308" s="46"/>
      <c r="P308" s="47"/>
      <c r="Q308" s="46"/>
      <c r="R308" s="46"/>
      <c r="S308" s="48"/>
      <c r="T308" s="68" t="str">
        <f>IF(Tableau1[[#This Row],[DMS_SAP]]="","",HYPERLINK(Tableau1[[#This Row],[Chemin fichier source]],"X"))</f>
        <v/>
      </c>
      <c r="U308" s="68" t="str">
        <f>IF(Tableau1[[#This Row],[Date rév.]]="","",HYPERLINK(Tableau1[[#This Row],[Lien document]],"X"))</f>
        <v/>
      </c>
      <c r="V308" s="47"/>
      <c r="W30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08" s="47"/>
      <c r="Y308" s="47"/>
      <c r="Z308" s="44" t="str">
        <f ca="1">IF(AND(Tableau1[[#This Row],[Charge]]&lt;&gt;0, Tableau1[[#This Row],[Nombre intervenants]]&lt;&gt;0,Tableau1[[#This Row],[Lien document]]&lt;&gt;0,Tableau1[[#This Row],[DMS_SAP]]&lt;&gt;0)=TRUE,"MIS A JOUR","")</f>
        <v/>
      </c>
      <c r="AA308" s="48"/>
      <c r="AB308" s="65" t="str">
        <f ca="1">IF(Tableau1[[#This Row],[Date rév.]]&lt;&gt;"", DAYS360(Tableau1[[#This Row],[Date rév.]],TODAY()),"")</f>
        <v/>
      </c>
      <c r="AC308" s="50" t="str">
        <f>IFERROR(INDEX(Chemin_accès!$B$11:$C$22,MATCH(Tableau1[[#This Row],[Type]],Chemin_accès!$C$11:$C$22,0),1),Chemin_accès!$B$11)</f>
        <v>\\stjn.local\trimet\Btechnique\Commun\Atelier Central mécanique\Plan entretien\Modèles préventif\GammeDMS_7.MENG.xlsm</v>
      </c>
      <c r="AD308" s="50" t="str">
        <f>Chemin_accès!$B$8&amp;Tableau1[[#This Row],[Localisation / Classement]]&amp;"\"&amp;Tableau1[[#This Row],[Poste technique ou N° d''équipement]]&amp;"_"&amp;Tableau1[[#This Row],[Plan Entretien]]&amp;".xlsm"</f>
        <v>\\stjn.local\trimet\Btechnique\Commun\Atelier Central mécanique\Plan entretien\GammeEntretien\\_.xlsm</v>
      </c>
    </row>
    <row r="309" spans="1:30" x14ac:dyDescent="0.3">
      <c r="A309" s="44" t="str">
        <f t="shared" ca="1" si="4"/>
        <v>7.MENG</v>
      </c>
      <c r="B30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09" s="46"/>
      <c r="D309" s="44"/>
      <c r="E309" s="44"/>
      <c r="F309" s="47"/>
      <c r="G309" s="47"/>
      <c r="H309" s="45"/>
      <c r="I309" s="45"/>
      <c r="J309" s="45"/>
      <c r="K309" s="45"/>
      <c r="L309" s="46"/>
      <c r="M309" s="47"/>
      <c r="N309" s="46"/>
      <c r="O309" s="46"/>
      <c r="P309" s="47"/>
      <c r="Q309" s="46"/>
      <c r="R309" s="46"/>
      <c r="S309" s="48"/>
      <c r="T309" s="68" t="str">
        <f>IF(Tableau1[[#This Row],[DMS_SAP]]="","",HYPERLINK(Tableau1[[#This Row],[Chemin fichier source]],"X"))</f>
        <v/>
      </c>
      <c r="U309" s="68" t="str">
        <f>IF(Tableau1[[#This Row],[Date rév.]]="","",HYPERLINK(Tableau1[[#This Row],[Lien document]],"X"))</f>
        <v/>
      </c>
      <c r="V309" s="47"/>
      <c r="W30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09" s="47"/>
      <c r="Y309" s="47"/>
      <c r="Z309" s="44" t="str">
        <f ca="1">IF(AND(Tableau1[[#This Row],[Charge]]&lt;&gt;0, Tableau1[[#This Row],[Nombre intervenants]]&lt;&gt;0,Tableau1[[#This Row],[Lien document]]&lt;&gt;0,Tableau1[[#This Row],[DMS_SAP]]&lt;&gt;0)=TRUE,"MIS A JOUR","")</f>
        <v/>
      </c>
      <c r="AA309" s="48"/>
      <c r="AB309" s="65" t="str">
        <f ca="1">IF(Tableau1[[#This Row],[Date rév.]]&lt;&gt;"", DAYS360(Tableau1[[#This Row],[Date rév.]],TODAY()),"")</f>
        <v/>
      </c>
      <c r="AC309" s="50" t="str">
        <f>IFERROR(INDEX(Chemin_accès!$B$11:$C$22,MATCH(Tableau1[[#This Row],[Type]],Chemin_accès!$C$11:$C$22,0),1),Chemin_accès!$B$11)</f>
        <v>\\stjn.local\trimet\Btechnique\Commun\Atelier Central mécanique\Plan entretien\Modèles préventif\GammeDMS_7.MENG.xlsm</v>
      </c>
      <c r="AD309" s="50" t="str">
        <f>Chemin_accès!$B$8&amp;Tableau1[[#This Row],[Localisation / Classement]]&amp;"\"&amp;Tableau1[[#This Row],[Poste technique ou N° d''équipement]]&amp;"_"&amp;Tableau1[[#This Row],[Plan Entretien]]&amp;".xlsm"</f>
        <v>\\stjn.local\trimet\Btechnique\Commun\Atelier Central mécanique\Plan entretien\GammeEntretien\\_.xlsm</v>
      </c>
    </row>
    <row r="310" spans="1:30" x14ac:dyDescent="0.3">
      <c r="A310" s="44" t="str">
        <f t="shared" ca="1" si="4"/>
        <v>7.MENG</v>
      </c>
      <c r="B31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10" s="46"/>
      <c r="D310" s="44"/>
      <c r="E310" s="44"/>
      <c r="F310" s="47"/>
      <c r="G310" s="47"/>
      <c r="H310" s="45"/>
      <c r="I310" s="45"/>
      <c r="J310" s="45"/>
      <c r="K310" s="45"/>
      <c r="L310" s="46"/>
      <c r="M310" s="47"/>
      <c r="N310" s="46"/>
      <c r="O310" s="46"/>
      <c r="P310" s="47"/>
      <c r="Q310" s="46"/>
      <c r="R310" s="46"/>
      <c r="S310" s="48"/>
      <c r="T310" s="68" t="str">
        <f>IF(Tableau1[[#This Row],[DMS_SAP]]="","",HYPERLINK(Tableau1[[#This Row],[Chemin fichier source]],"X"))</f>
        <v/>
      </c>
      <c r="U310" s="68" t="str">
        <f>IF(Tableau1[[#This Row],[Date rév.]]="","",HYPERLINK(Tableau1[[#This Row],[Lien document]],"X"))</f>
        <v/>
      </c>
      <c r="V310" s="47"/>
      <c r="W31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10" s="47"/>
      <c r="Y310" s="47"/>
      <c r="Z310" s="44" t="str">
        <f ca="1">IF(AND(Tableau1[[#This Row],[Charge]]&lt;&gt;0, Tableau1[[#This Row],[Nombre intervenants]]&lt;&gt;0,Tableau1[[#This Row],[Lien document]]&lt;&gt;0,Tableau1[[#This Row],[DMS_SAP]]&lt;&gt;0)=TRUE,"MIS A JOUR","")</f>
        <v/>
      </c>
      <c r="AA310" s="48"/>
      <c r="AB310" s="65" t="str">
        <f ca="1">IF(Tableau1[[#This Row],[Date rév.]]&lt;&gt;"", DAYS360(Tableau1[[#This Row],[Date rév.]],TODAY()),"")</f>
        <v/>
      </c>
      <c r="AC310" s="50" t="str">
        <f>IFERROR(INDEX(Chemin_accès!$B$11:$C$22,MATCH(Tableau1[[#This Row],[Type]],Chemin_accès!$C$11:$C$22,0),1),Chemin_accès!$B$11)</f>
        <v>\\stjn.local\trimet\Btechnique\Commun\Atelier Central mécanique\Plan entretien\Modèles préventif\GammeDMS_7.MENG.xlsm</v>
      </c>
      <c r="AD310" s="50" t="str">
        <f>Chemin_accès!$B$8&amp;Tableau1[[#This Row],[Localisation / Classement]]&amp;"\"&amp;Tableau1[[#This Row],[Poste technique ou N° d''équipement]]&amp;"_"&amp;Tableau1[[#This Row],[Plan Entretien]]&amp;".xlsm"</f>
        <v>\\stjn.local\trimet\Btechnique\Commun\Atelier Central mécanique\Plan entretien\GammeEntretien\\_.xlsm</v>
      </c>
    </row>
    <row r="311" spans="1:30" x14ac:dyDescent="0.3">
      <c r="A311" s="44" t="str">
        <f t="shared" ca="1" si="4"/>
        <v>7.MENG</v>
      </c>
      <c r="B31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11" s="46"/>
      <c r="D311" s="44"/>
      <c r="E311" s="44"/>
      <c r="F311" s="47"/>
      <c r="G311" s="47"/>
      <c r="H311" s="45"/>
      <c r="I311" s="45"/>
      <c r="J311" s="45"/>
      <c r="K311" s="45"/>
      <c r="L311" s="46"/>
      <c r="M311" s="47"/>
      <c r="N311" s="46"/>
      <c r="O311" s="46"/>
      <c r="P311" s="47"/>
      <c r="Q311" s="46"/>
      <c r="R311" s="46"/>
      <c r="S311" s="48"/>
      <c r="T311" s="68" t="str">
        <f>IF(Tableau1[[#This Row],[DMS_SAP]]="","",HYPERLINK(Tableau1[[#This Row],[Chemin fichier source]],"X"))</f>
        <v/>
      </c>
      <c r="U311" s="68" t="str">
        <f>IF(Tableau1[[#This Row],[Date rév.]]="","",HYPERLINK(Tableau1[[#This Row],[Lien document]],"X"))</f>
        <v/>
      </c>
      <c r="V311" s="47"/>
      <c r="W31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11" s="47"/>
      <c r="Y311" s="47"/>
      <c r="Z311" s="44" t="str">
        <f ca="1">IF(AND(Tableau1[[#This Row],[Charge]]&lt;&gt;0, Tableau1[[#This Row],[Nombre intervenants]]&lt;&gt;0,Tableau1[[#This Row],[Lien document]]&lt;&gt;0,Tableau1[[#This Row],[DMS_SAP]]&lt;&gt;0)=TRUE,"MIS A JOUR","")</f>
        <v/>
      </c>
      <c r="AA311" s="48"/>
      <c r="AB311" s="65" t="str">
        <f ca="1">IF(Tableau1[[#This Row],[Date rév.]]&lt;&gt;"", DAYS360(Tableau1[[#This Row],[Date rév.]],TODAY()),"")</f>
        <v/>
      </c>
      <c r="AC311" s="50" t="str">
        <f>IFERROR(INDEX(Chemin_accès!$B$11:$C$22,MATCH(Tableau1[[#This Row],[Type]],Chemin_accès!$C$11:$C$22,0),1),Chemin_accès!$B$11)</f>
        <v>\\stjn.local\trimet\Btechnique\Commun\Atelier Central mécanique\Plan entretien\Modèles préventif\GammeDMS_7.MENG.xlsm</v>
      </c>
      <c r="AD311" s="50" t="str">
        <f>Chemin_accès!$B$8&amp;Tableau1[[#This Row],[Localisation / Classement]]&amp;"\"&amp;Tableau1[[#This Row],[Poste technique ou N° d''équipement]]&amp;"_"&amp;Tableau1[[#This Row],[Plan Entretien]]&amp;".xlsm"</f>
        <v>\\stjn.local\trimet\Btechnique\Commun\Atelier Central mécanique\Plan entretien\GammeEntretien\\_.xlsm</v>
      </c>
    </row>
    <row r="312" spans="1:30" x14ac:dyDescent="0.3">
      <c r="A312" s="44" t="str">
        <f t="shared" ca="1" si="4"/>
        <v>7.MENG</v>
      </c>
      <c r="B31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12" s="46"/>
      <c r="D312" s="44"/>
      <c r="E312" s="44"/>
      <c r="F312" s="47"/>
      <c r="G312" s="47"/>
      <c r="H312" s="45"/>
      <c r="I312" s="45"/>
      <c r="J312" s="45"/>
      <c r="K312" s="45"/>
      <c r="L312" s="46"/>
      <c r="M312" s="47"/>
      <c r="N312" s="46"/>
      <c r="O312" s="46"/>
      <c r="P312" s="47"/>
      <c r="Q312" s="46"/>
      <c r="R312" s="46"/>
      <c r="S312" s="48"/>
      <c r="T312" s="68" t="str">
        <f>IF(Tableau1[[#This Row],[DMS_SAP]]="","",HYPERLINK(Tableau1[[#This Row],[Chemin fichier source]],"X"))</f>
        <v/>
      </c>
      <c r="U312" s="68" t="str">
        <f>IF(Tableau1[[#This Row],[Date rév.]]="","",HYPERLINK(Tableau1[[#This Row],[Lien document]],"X"))</f>
        <v/>
      </c>
      <c r="V312" s="47"/>
      <c r="W31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12" s="47"/>
      <c r="Y312" s="47"/>
      <c r="Z312" s="44" t="str">
        <f ca="1">IF(AND(Tableau1[[#This Row],[Charge]]&lt;&gt;0, Tableau1[[#This Row],[Nombre intervenants]]&lt;&gt;0,Tableau1[[#This Row],[Lien document]]&lt;&gt;0,Tableau1[[#This Row],[DMS_SAP]]&lt;&gt;0)=TRUE,"MIS A JOUR","")</f>
        <v/>
      </c>
      <c r="AA312" s="48"/>
      <c r="AB312" s="65" t="str">
        <f ca="1">IF(Tableau1[[#This Row],[Date rév.]]&lt;&gt;"", DAYS360(Tableau1[[#This Row],[Date rév.]],TODAY()),"")</f>
        <v/>
      </c>
      <c r="AC312" s="50" t="str">
        <f>IFERROR(INDEX(Chemin_accès!$B$11:$C$22,MATCH(Tableau1[[#This Row],[Type]],Chemin_accès!$C$11:$C$22,0),1),Chemin_accès!$B$11)</f>
        <v>\\stjn.local\trimet\Btechnique\Commun\Atelier Central mécanique\Plan entretien\Modèles préventif\GammeDMS_7.MENG.xlsm</v>
      </c>
      <c r="AD312" s="50" t="str">
        <f>Chemin_accès!$B$8&amp;Tableau1[[#This Row],[Localisation / Classement]]&amp;"\"&amp;Tableau1[[#This Row],[Poste technique ou N° d''équipement]]&amp;"_"&amp;Tableau1[[#This Row],[Plan Entretien]]&amp;".xlsm"</f>
        <v>\\stjn.local\trimet\Btechnique\Commun\Atelier Central mécanique\Plan entretien\GammeEntretien\\_.xlsm</v>
      </c>
    </row>
    <row r="313" spans="1:30" x14ac:dyDescent="0.3">
      <c r="A313" s="44" t="str">
        <f t="shared" ca="1" si="4"/>
        <v>7.MENG</v>
      </c>
      <c r="B31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13" s="46"/>
      <c r="D313" s="44"/>
      <c r="E313" s="44"/>
      <c r="F313" s="47"/>
      <c r="G313" s="47"/>
      <c r="H313" s="45"/>
      <c r="I313" s="45"/>
      <c r="J313" s="45"/>
      <c r="K313" s="45"/>
      <c r="L313" s="46"/>
      <c r="M313" s="47"/>
      <c r="N313" s="46"/>
      <c r="O313" s="46"/>
      <c r="P313" s="47"/>
      <c r="Q313" s="46"/>
      <c r="R313" s="46"/>
      <c r="S313" s="48"/>
      <c r="T313" s="68" t="str">
        <f>IF(Tableau1[[#This Row],[DMS_SAP]]="","",HYPERLINK(Tableau1[[#This Row],[Chemin fichier source]],"X"))</f>
        <v/>
      </c>
      <c r="U313" s="68" t="str">
        <f>IF(Tableau1[[#This Row],[Date rév.]]="","",HYPERLINK(Tableau1[[#This Row],[Lien document]],"X"))</f>
        <v/>
      </c>
      <c r="V313" s="47"/>
      <c r="W31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13" s="47"/>
      <c r="Y313" s="47"/>
      <c r="Z313" s="44" t="str">
        <f ca="1">IF(AND(Tableau1[[#This Row],[Charge]]&lt;&gt;0, Tableau1[[#This Row],[Nombre intervenants]]&lt;&gt;0,Tableau1[[#This Row],[Lien document]]&lt;&gt;0,Tableau1[[#This Row],[DMS_SAP]]&lt;&gt;0)=TRUE,"MIS A JOUR","")</f>
        <v/>
      </c>
      <c r="AA313" s="48"/>
      <c r="AB313" s="65" t="str">
        <f ca="1">IF(Tableau1[[#This Row],[Date rév.]]&lt;&gt;"", DAYS360(Tableau1[[#This Row],[Date rév.]],TODAY()),"")</f>
        <v/>
      </c>
      <c r="AC313" s="50" t="str">
        <f>IFERROR(INDEX(Chemin_accès!$B$11:$C$22,MATCH(Tableau1[[#This Row],[Type]],Chemin_accès!$C$11:$C$22,0),1),Chemin_accès!$B$11)</f>
        <v>\\stjn.local\trimet\Btechnique\Commun\Atelier Central mécanique\Plan entretien\Modèles préventif\GammeDMS_7.MENG.xlsm</v>
      </c>
      <c r="AD313" s="50" t="str">
        <f>Chemin_accès!$B$8&amp;Tableau1[[#This Row],[Localisation / Classement]]&amp;"\"&amp;Tableau1[[#This Row],[Poste technique ou N° d''équipement]]&amp;"_"&amp;Tableau1[[#This Row],[Plan Entretien]]&amp;".xlsm"</f>
        <v>\\stjn.local\trimet\Btechnique\Commun\Atelier Central mécanique\Plan entretien\GammeEntretien\\_.xlsm</v>
      </c>
    </row>
    <row r="314" spans="1:30" x14ac:dyDescent="0.3">
      <c r="A314" s="44" t="str">
        <f t="shared" ca="1" si="4"/>
        <v>7.MENG</v>
      </c>
      <c r="B31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14" s="46"/>
      <c r="D314" s="44"/>
      <c r="E314" s="44"/>
      <c r="F314" s="47"/>
      <c r="G314" s="47"/>
      <c r="H314" s="45"/>
      <c r="I314" s="45"/>
      <c r="J314" s="45"/>
      <c r="K314" s="45"/>
      <c r="L314" s="46"/>
      <c r="M314" s="47"/>
      <c r="N314" s="46"/>
      <c r="O314" s="46"/>
      <c r="P314" s="47"/>
      <c r="Q314" s="46"/>
      <c r="R314" s="46"/>
      <c r="S314" s="48"/>
      <c r="T314" s="68" t="str">
        <f>IF(Tableau1[[#This Row],[DMS_SAP]]="","",HYPERLINK(Tableau1[[#This Row],[Chemin fichier source]],"X"))</f>
        <v/>
      </c>
      <c r="U314" s="68" t="str">
        <f>IF(Tableau1[[#This Row],[Date rév.]]="","",HYPERLINK(Tableau1[[#This Row],[Lien document]],"X"))</f>
        <v/>
      </c>
      <c r="V314" s="47"/>
      <c r="W31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14" s="47"/>
      <c r="Y314" s="47"/>
      <c r="Z314" s="44" t="str">
        <f ca="1">IF(AND(Tableau1[[#This Row],[Charge]]&lt;&gt;0, Tableau1[[#This Row],[Nombre intervenants]]&lt;&gt;0,Tableau1[[#This Row],[Lien document]]&lt;&gt;0,Tableau1[[#This Row],[DMS_SAP]]&lt;&gt;0)=TRUE,"MIS A JOUR","")</f>
        <v/>
      </c>
      <c r="AA314" s="48"/>
      <c r="AB314" s="65" t="str">
        <f ca="1">IF(Tableau1[[#This Row],[Date rév.]]&lt;&gt;"", DAYS360(Tableau1[[#This Row],[Date rév.]],TODAY()),"")</f>
        <v/>
      </c>
      <c r="AC314" s="50" t="str">
        <f>IFERROR(INDEX(Chemin_accès!$B$11:$C$22,MATCH(Tableau1[[#This Row],[Type]],Chemin_accès!$C$11:$C$22,0),1),Chemin_accès!$B$11)</f>
        <v>\\stjn.local\trimet\Btechnique\Commun\Atelier Central mécanique\Plan entretien\Modèles préventif\GammeDMS_7.MENG.xlsm</v>
      </c>
      <c r="AD314" s="50" t="str">
        <f>Chemin_accès!$B$8&amp;Tableau1[[#This Row],[Localisation / Classement]]&amp;"\"&amp;Tableau1[[#This Row],[Poste technique ou N° d''équipement]]&amp;"_"&amp;Tableau1[[#This Row],[Plan Entretien]]&amp;".xlsm"</f>
        <v>\\stjn.local\trimet\Btechnique\Commun\Atelier Central mécanique\Plan entretien\GammeEntretien\\_.xlsm</v>
      </c>
    </row>
    <row r="315" spans="1:30" x14ac:dyDescent="0.3">
      <c r="A315" s="44" t="str">
        <f t="shared" ca="1" si="4"/>
        <v>7.MENG</v>
      </c>
      <c r="B31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15" s="46"/>
      <c r="D315" s="44"/>
      <c r="E315" s="44"/>
      <c r="F315" s="47"/>
      <c r="G315" s="47"/>
      <c r="H315" s="45"/>
      <c r="I315" s="45"/>
      <c r="J315" s="45"/>
      <c r="K315" s="45"/>
      <c r="L315" s="46"/>
      <c r="M315" s="47"/>
      <c r="N315" s="46"/>
      <c r="O315" s="46"/>
      <c r="P315" s="47"/>
      <c r="Q315" s="46"/>
      <c r="R315" s="46"/>
      <c r="S315" s="48"/>
      <c r="T315" s="68" t="str">
        <f>IF(Tableau1[[#This Row],[DMS_SAP]]="","",HYPERLINK(Tableau1[[#This Row],[Chemin fichier source]],"X"))</f>
        <v/>
      </c>
      <c r="U315" s="68" t="str">
        <f>IF(Tableau1[[#This Row],[Date rév.]]="","",HYPERLINK(Tableau1[[#This Row],[Lien document]],"X"))</f>
        <v/>
      </c>
      <c r="V315" s="47"/>
      <c r="W31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15" s="47"/>
      <c r="Y315" s="47"/>
      <c r="Z315" s="44" t="str">
        <f ca="1">IF(AND(Tableau1[[#This Row],[Charge]]&lt;&gt;0, Tableau1[[#This Row],[Nombre intervenants]]&lt;&gt;0,Tableau1[[#This Row],[Lien document]]&lt;&gt;0,Tableau1[[#This Row],[DMS_SAP]]&lt;&gt;0)=TRUE,"MIS A JOUR","")</f>
        <v/>
      </c>
      <c r="AA315" s="48"/>
      <c r="AB315" s="65" t="str">
        <f ca="1">IF(Tableau1[[#This Row],[Date rév.]]&lt;&gt;"", DAYS360(Tableau1[[#This Row],[Date rév.]],TODAY()),"")</f>
        <v/>
      </c>
      <c r="AC315" s="50" t="str">
        <f>IFERROR(INDEX(Chemin_accès!$B$11:$C$22,MATCH(Tableau1[[#This Row],[Type]],Chemin_accès!$C$11:$C$22,0),1),Chemin_accès!$B$11)</f>
        <v>\\stjn.local\trimet\Btechnique\Commun\Atelier Central mécanique\Plan entretien\Modèles préventif\GammeDMS_7.MENG.xlsm</v>
      </c>
      <c r="AD315" s="50" t="str">
        <f>Chemin_accès!$B$8&amp;Tableau1[[#This Row],[Localisation / Classement]]&amp;"\"&amp;Tableau1[[#This Row],[Poste technique ou N° d''équipement]]&amp;"_"&amp;Tableau1[[#This Row],[Plan Entretien]]&amp;".xlsm"</f>
        <v>\\stjn.local\trimet\Btechnique\Commun\Atelier Central mécanique\Plan entretien\GammeEntretien\\_.xlsm</v>
      </c>
    </row>
    <row r="316" spans="1:30" x14ac:dyDescent="0.3">
      <c r="A316" s="44" t="str">
        <f t="shared" ca="1" si="4"/>
        <v>7.MENG</v>
      </c>
      <c r="B31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16" s="46"/>
      <c r="D316" s="44"/>
      <c r="E316" s="44"/>
      <c r="F316" s="47"/>
      <c r="G316" s="47"/>
      <c r="H316" s="45"/>
      <c r="I316" s="45"/>
      <c r="J316" s="45"/>
      <c r="K316" s="45"/>
      <c r="L316" s="46"/>
      <c r="M316" s="47"/>
      <c r="N316" s="46"/>
      <c r="O316" s="46"/>
      <c r="P316" s="47"/>
      <c r="Q316" s="46"/>
      <c r="R316" s="46"/>
      <c r="S316" s="48"/>
      <c r="T316" s="68" t="str">
        <f>IF(Tableau1[[#This Row],[DMS_SAP]]="","",HYPERLINK(Tableau1[[#This Row],[Chemin fichier source]],"X"))</f>
        <v/>
      </c>
      <c r="U316" s="68" t="str">
        <f>IF(Tableau1[[#This Row],[Date rév.]]="","",HYPERLINK(Tableau1[[#This Row],[Lien document]],"X"))</f>
        <v/>
      </c>
      <c r="V316" s="47"/>
      <c r="W31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16" s="47"/>
      <c r="Y316" s="47"/>
      <c r="Z316" s="44" t="str">
        <f ca="1">IF(AND(Tableau1[[#This Row],[Charge]]&lt;&gt;0, Tableau1[[#This Row],[Nombre intervenants]]&lt;&gt;0,Tableau1[[#This Row],[Lien document]]&lt;&gt;0,Tableau1[[#This Row],[DMS_SAP]]&lt;&gt;0)=TRUE,"MIS A JOUR","")</f>
        <v/>
      </c>
      <c r="AA316" s="48"/>
      <c r="AB316" s="65" t="str">
        <f ca="1">IF(Tableau1[[#This Row],[Date rév.]]&lt;&gt;"", DAYS360(Tableau1[[#This Row],[Date rév.]],TODAY()),"")</f>
        <v/>
      </c>
      <c r="AC316" s="50" t="str">
        <f>IFERROR(INDEX(Chemin_accès!$B$11:$C$22,MATCH(Tableau1[[#This Row],[Type]],Chemin_accès!$C$11:$C$22,0),1),Chemin_accès!$B$11)</f>
        <v>\\stjn.local\trimet\Btechnique\Commun\Atelier Central mécanique\Plan entretien\Modèles préventif\GammeDMS_7.MENG.xlsm</v>
      </c>
      <c r="AD316" s="50" t="str">
        <f>Chemin_accès!$B$8&amp;Tableau1[[#This Row],[Localisation / Classement]]&amp;"\"&amp;Tableau1[[#This Row],[Poste technique ou N° d''équipement]]&amp;"_"&amp;Tableau1[[#This Row],[Plan Entretien]]&amp;".xlsm"</f>
        <v>\\stjn.local\trimet\Btechnique\Commun\Atelier Central mécanique\Plan entretien\GammeEntretien\\_.xlsm</v>
      </c>
    </row>
    <row r="317" spans="1:30" x14ac:dyDescent="0.3">
      <c r="A317" s="44" t="str">
        <f t="shared" ca="1" si="4"/>
        <v>7.MENG</v>
      </c>
      <c r="B31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17" s="46"/>
      <c r="D317" s="44"/>
      <c r="E317" s="44"/>
      <c r="F317" s="47"/>
      <c r="G317" s="47"/>
      <c r="H317" s="45"/>
      <c r="I317" s="45"/>
      <c r="J317" s="45"/>
      <c r="K317" s="45"/>
      <c r="L317" s="46"/>
      <c r="M317" s="47"/>
      <c r="N317" s="46"/>
      <c r="O317" s="46"/>
      <c r="P317" s="47"/>
      <c r="Q317" s="46"/>
      <c r="R317" s="46"/>
      <c r="S317" s="48"/>
      <c r="T317" s="68" t="str">
        <f>IF(Tableau1[[#This Row],[DMS_SAP]]="","",HYPERLINK(Tableau1[[#This Row],[Chemin fichier source]],"X"))</f>
        <v/>
      </c>
      <c r="U317" s="68" t="str">
        <f>IF(Tableau1[[#This Row],[Date rév.]]="","",HYPERLINK(Tableau1[[#This Row],[Lien document]],"X"))</f>
        <v/>
      </c>
      <c r="V317" s="47"/>
      <c r="W31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17" s="47"/>
      <c r="Y317" s="47"/>
      <c r="Z317" s="44" t="str">
        <f ca="1">IF(AND(Tableau1[[#This Row],[Charge]]&lt;&gt;0, Tableau1[[#This Row],[Nombre intervenants]]&lt;&gt;0,Tableau1[[#This Row],[Lien document]]&lt;&gt;0,Tableau1[[#This Row],[DMS_SAP]]&lt;&gt;0)=TRUE,"MIS A JOUR","")</f>
        <v/>
      </c>
      <c r="AA317" s="48"/>
      <c r="AB317" s="65" t="str">
        <f ca="1">IF(Tableau1[[#This Row],[Date rév.]]&lt;&gt;"", DAYS360(Tableau1[[#This Row],[Date rév.]],TODAY()),"")</f>
        <v/>
      </c>
      <c r="AC317" s="50" t="str">
        <f>IFERROR(INDEX(Chemin_accès!$B$11:$C$22,MATCH(Tableau1[[#This Row],[Type]],Chemin_accès!$C$11:$C$22,0),1),Chemin_accès!$B$11)</f>
        <v>\\stjn.local\trimet\Btechnique\Commun\Atelier Central mécanique\Plan entretien\Modèles préventif\GammeDMS_7.MENG.xlsm</v>
      </c>
      <c r="AD317" s="50" t="str">
        <f>Chemin_accès!$B$8&amp;Tableau1[[#This Row],[Localisation / Classement]]&amp;"\"&amp;Tableau1[[#This Row],[Poste technique ou N° d''équipement]]&amp;"_"&amp;Tableau1[[#This Row],[Plan Entretien]]&amp;".xlsm"</f>
        <v>\\stjn.local\trimet\Btechnique\Commun\Atelier Central mécanique\Plan entretien\GammeEntretien\\_.xlsm</v>
      </c>
    </row>
    <row r="318" spans="1:30" x14ac:dyDescent="0.3">
      <c r="A318" s="44" t="str">
        <f t="shared" ca="1" si="4"/>
        <v>7.MENG</v>
      </c>
      <c r="B31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18" s="46"/>
      <c r="D318" s="44"/>
      <c r="E318" s="44"/>
      <c r="F318" s="47"/>
      <c r="G318" s="47"/>
      <c r="H318" s="45"/>
      <c r="I318" s="45"/>
      <c r="J318" s="45"/>
      <c r="K318" s="45"/>
      <c r="L318" s="46"/>
      <c r="M318" s="47"/>
      <c r="N318" s="46"/>
      <c r="O318" s="46"/>
      <c r="P318" s="47"/>
      <c r="Q318" s="46"/>
      <c r="R318" s="46"/>
      <c r="S318" s="48"/>
      <c r="T318" s="68" t="str">
        <f>IF(Tableau1[[#This Row],[DMS_SAP]]="","",HYPERLINK(Tableau1[[#This Row],[Chemin fichier source]],"X"))</f>
        <v/>
      </c>
      <c r="U318" s="68" t="str">
        <f>IF(Tableau1[[#This Row],[Date rév.]]="","",HYPERLINK(Tableau1[[#This Row],[Lien document]],"X"))</f>
        <v/>
      </c>
      <c r="V318" s="47"/>
      <c r="W31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18" s="47"/>
      <c r="Y318" s="47"/>
      <c r="Z318" s="44" t="str">
        <f ca="1">IF(AND(Tableau1[[#This Row],[Charge]]&lt;&gt;0, Tableau1[[#This Row],[Nombre intervenants]]&lt;&gt;0,Tableau1[[#This Row],[Lien document]]&lt;&gt;0,Tableau1[[#This Row],[DMS_SAP]]&lt;&gt;0)=TRUE,"MIS A JOUR","")</f>
        <v/>
      </c>
      <c r="AA318" s="48"/>
      <c r="AB318" s="65" t="str">
        <f ca="1">IF(Tableau1[[#This Row],[Date rév.]]&lt;&gt;"", DAYS360(Tableau1[[#This Row],[Date rév.]],TODAY()),"")</f>
        <v/>
      </c>
      <c r="AC318" s="50" t="str">
        <f>IFERROR(INDEX(Chemin_accès!$B$11:$C$22,MATCH(Tableau1[[#This Row],[Type]],Chemin_accès!$C$11:$C$22,0),1),Chemin_accès!$B$11)</f>
        <v>\\stjn.local\trimet\Btechnique\Commun\Atelier Central mécanique\Plan entretien\Modèles préventif\GammeDMS_7.MENG.xlsm</v>
      </c>
      <c r="AD318" s="50" t="str">
        <f>Chemin_accès!$B$8&amp;Tableau1[[#This Row],[Localisation / Classement]]&amp;"\"&amp;Tableau1[[#This Row],[Poste technique ou N° d''équipement]]&amp;"_"&amp;Tableau1[[#This Row],[Plan Entretien]]&amp;".xlsm"</f>
        <v>\\stjn.local\trimet\Btechnique\Commun\Atelier Central mécanique\Plan entretien\GammeEntretien\\_.xlsm</v>
      </c>
    </row>
    <row r="319" spans="1:30" x14ac:dyDescent="0.3">
      <c r="A319" s="44" t="str">
        <f t="shared" ca="1" si="4"/>
        <v>7.MENG</v>
      </c>
      <c r="B31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19" s="46"/>
      <c r="D319" s="44"/>
      <c r="E319" s="44"/>
      <c r="F319" s="47"/>
      <c r="G319" s="47"/>
      <c r="H319" s="45"/>
      <c r="I319" s="45"/>
      <c r="J319" s="45"/>
      <c r="K319" s="45"/>
      <c r="L319" s="46"/>
      <c r="M319" s="47"/>
      <c r="N319" s="46"/>
      <c r="O319" s="46"/>
      <c r="P319" s="47"/>
      <c r="Q319" s="46"/>
      <c r="R319" s="46"/>
      <c r="S319" s="48"/>
      <c r="T319" s="68" t="str">
        <f>IF(Tableau1[[#This Row],[DMS_SAP]]="","",HYPERLINK(Tableau1[[#This Row],[Chemin fichier source]],"X"))</f>
        <v/>
      </c>
      <c r="U319" s="68" t="str">
        <f>IF(Tableau1[[#This Row],[Date rév.]]="","",HYPERLINK(Tableau1[[#This Row],[Lien document]],"X"))</f>
        <v/>
      </c>
      <c r="V319" s="47"/>
      <c r="W31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19" s="47"/>
      <c r="Y319" s="47"/>
      <c r="Z319" s="44" t="str">
        <f ca="1">IF(AND(Tableau1[[#This Row],[Charge]]&lt;&gt;0, Tableau1[[#This Row],[Nombre intervenants]]&lt;&gt;0,Tableau1[[#This Row],[Lien document]]&lt;&gt;0,Tableau1[[#This Row],[DMS_SAP]]&lt;&gt;0)=TRUE,"MIS A JOUR","")</f>
        <v/>
      </c>
      <c r="AA319" s="48"/>
      <c r="AB319" s="65" t="str">
        <f ca="1">IF(Tableau1[[#This Row],[Date rév.]]&lt;&gt;"", DAYS360(Tableau1[[#This Row],[Date rév.]],TODAY()),"")</f>
        <v/>
      </c>
      <c r="AC319" s="50" t="str">
        <f>IFERROR(INDEX(Chemin_accès!$B$11:$C$22,MATCH(Tableau1[[#This Row],[Type]],Chemin_accès!$C$11:$C$22,0),1),Chemin_accès!$B$11)</f>
        <v>\\stjn.local\trimet\Btechnique\Commun\Atelier Central mécanique\Plan entretien\Modèles préventif\GammeDMS_7.MENG.xlsm</v>
      </c>
      <c r="AD319" s="50" t="str">
        <f>Chemin_accès!$B$8&amp;Tableau1[[#This Row],[Localisation / Classement]]&amp;"\"&amp;Tableau1[[#This Row],[Poste technique ou N° d''équipement]]&amp;"_"&amp;Tableau1[[#This Row],[Plan Entretien]]&amp;".xlsm"</f>
        <v>\\stjn.local\trimet\Btechnique\Commun\Atelier Central mécanique\Plan entretien\GammeEntretien\\_.xlsm</v>
      </c>
    </row>
    <row r="320" spans="1:30" x14ac:dyDescent="0.3">
      <c r="A320" s="44" t="str">
        <f t="shared" ca="1" si="4"/>
        <v>7.MENG</v>
      </c>
      <c r="B32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20" s="46"/>
      <c r="D320" s="44"/>
      <c r="E320" s="44"/>
      <c r="F320" s="47"/>
      <c r="G320" s="47"/>
      <c r="H320" s="45"/>
      <c r="I320" s="45"/>
      <c r="J320" s="45"/>
      <c r="K320" s="45"/>
      <c r="L320" s="46"/>
      <c r="M320" s="47"/>
      <c r="N320" s="46"/>
      <c r="O320" s="46"/>
      <c r="P320" s="47"/>
      <c r="Q320" s="46"/>
      <c r="R320" s="46"/>
      <c r="S320" s="48"/>
      <c r="T320" s="68" t="str">
        <f>IF(Tableau1[[#This Row],[DMS_SAP]]="","",HYPERLINK(Tableau1[[#This Row],[Chemin fichier source]],"X"))</f>
        <v/>
      </c>
      <c r="U320" s="68" t="str">
        <f>IF(Tableau1[[#This Row],[Date rév.]]="","",HYPERLINK(Tableau1[[#This Row],[Lien document]],"X"))</f>
        <v/>
      </c>
      <c r="V320" s="47"/>
      <c r="W32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20" s="47"/>
      <c r="Y320" s="47"/>
      <c r="Z320" s="44" t="str">
        <f ca="1">IF(AND(Tableau1[[#This Row],[Charge]]&lt;&gt;0, Tableau1[[#This Row],[Nombre intervenants]]&lt;&gt;0,Tableau1[[#This Row],[Lien document]]&lt;&gt;0,Tableau1[[#This Row],[DMS_SAP]]&lt;&gt;0)=TRUE,"MIS A JOUR","")</f>
        <v/>
      </c>
      <c r="AA320" s="48"/>
      <c r="AB320" s="65" t="str">
        <f ca="1">IF(Tableau1[[#This Row],[Date rév.]]&lt;&gt;"", DAYS360(Tableau1[[#This Row],[Date rév.]],TODAY()),"")</f>
        <v/>
      </c>
      <c r="AC320" s="50" t="str">
        <f>IFERROR(INDEX(Chemin_accès!$B$11:$C$22,MATCH(Tableau1[[#This Row],[Type]],Chemin_accès!$C$11:$C$22,0),1),Chemin_accès!$B$11)</f>
        <v>\\stjn.local\trimet\Btechnique\Commun\Atelier Central mécanique\Plan entretien\Modèles préventif\GammeDMS_7.MENG.xlsm</v>
      </c>
      <c r="AD320" s="50" t="str">
        <f>Chemin_accès!$B$8&amp;Tableau1[[#This Row],[Localisation / Classement]]&amp;"\"&amp;Tableau1[[#This Row],[Poste technique ou N° d''équipement]]&amp;"_"&amp;Tableau1[[#This Row],[Plan Entretien]]&amp;".xlsm"</f>
        <v>\\stjn.local\trimet\Btechnique\Commun\Atelier Central mécanique\Plan entretien\GammeEntretien\\_.xlsm</v>
      </c>
    </row>
    <row r="321" spans="1:30" x14ac:dyDescent="0.3">
      <c r="A321" s="44" t="str">
        <f t="shared" ref="A321:A384" ca="1" si="5">MID(CELL("filename",$A$1),FIND("]",CELL("filename",$A$1))+1,32)</f>
        <v>7.MENG</v>
      </c>
      <c r="B32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21" s="46"/>
      <c r="D321" s="44"/>
      <c r="E321" s="44"/>
      <c r="F321" s="47"/>
      <c r="G321" s="47"/>
      <c r="H321" s="45"/>
      <c r="I321" s="45"/>
      <c r="J321" s="45"/>
      <c r="K321" s="45"/>
      <c r="L321" s="46"/>
      <c r="M321" s="47"/>
      <c r="N321" s="46"/>
      <c r="O321" s="46"/>
      <c r="P321" s="47"/>
      <c r="Q321" s="46"/>
      <c r="R321" s="46"/>
      <c r="S321" s="48"/>
      <c r="T321" s="68" t="str">
        <f>IF(Tableau1[[#This Row],[DMS_SAP]]="","",HYPERLINK(Tableau1[[#This Row],[Chemin fichier source]],"X"))</f>
        <v/>
      </c>
      <c r="U321" s="68" t="str">
        <f>IF(Tableau1[[#This Row],[Date rév.]]="","",HYPERLINK(Tableau1[[#This Row],[Lien document]],"X"))</f>
        <v/>
      </c>
      <c r="V321" s="47"/>
      <c r="W32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21" s="47"/>
      <c r="Y321" s="47"/>
      <c r="Z321" s="44" t="str">
        <f ca="1">IF(AND(Tableau1[[#This Row],[Charge]]&lt;&gt;0, Tableau1[[#This Row],[Nombre intervenants]]&lt;&gt;0,Tableau1[[#This Row],[Lien document]]&lt;&gt;0,Tableau1[[#This Row],[DMS_SAP]]&lt;&gt;0)=TRUE,"MIS A JOUR","")</f>
        <v/>
      </c>
      <c r="AA321" s="48"/>
      <c r="AB321" s="65" t="str">
        <f ca="1">IF(Tableau1[[#This Row],[Date rév.]]&lt;&gt;"", DAYS360(Tableau1[[#This Row],[Date rév.]],TODAY()),"")</f>
        <v/>
      </c>
      <c r="AC321" s="50" t="str">
        <f>IFERROR(INDEX(Chemin_accès!$B$11:$C$22,MATCH(Tableau1[[#This Row],[Type]],Chemin_accès!$C$11:$C$22,0),1),Chemin_accès!$B$11)</f>
        <v>\\stjn.local\trimet\Btechnique\Commun\Atelier Central mécanique\Plan entretien\Modèles préventif\GammeDMS_7.MENG.xlsm</v>
      </c>
      <c r="AD321" s="50" t="str">
        <f>Chemin_accès!$B$8&amp;Tableau1[[#This Row],[Localisation / Classement]]&amp;"\"&amp;Tableau1[[#This Row],[Poste technique ou N° d''équipement]]&amp;"_"&amp;Tableau1[[#This Row],[Plan Entretien]]&amp;".xlsm"</f>
        <v>\\stjn.local\trimet\Btechnique\Commun\Atelier Central mécanique\Plan entretien\GammeEntretien\\_.xlsm</v>
      </c>
    </row>
    <row r="322" spans="1:30" x14ac:dyDescent="0.3">
      <c r="A322" s="44" t="str">
        <f t="shared" ca="1" si="5"/>
        <v>7.MENG</v>
      </c>
      <c r="B32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22" s="46"/>
      <c r="D322" s="44"/>
      <c r="E322" s="44"/>
      <c r="F322" s="47"/>
      <c r="G322" s="47"/>
      <c r="H322" s="45"/>
      <c r="I322" s="45"/>
      <c r="J322" s="45"/>
      <c r="K322" s="45"/>
      <c r="L322" s="46"/>
      <c r="M322" s="47"/>
      <c r="N322" s="46"/>
      <c r="O322" s="46"/>
      <c r="P322" s="47"/>
      <c r="Q322" s="46"/>
      <c r="R322" s="46"/>
      <c r="S322" s="48"/>
      <c r="T322" s="68" t="str">
        <f>IF(Tableau1[[#This Row],[DMS_SAP]]="","",HYPERLINK(Tableau1[[#This Row],[Chemin fichier source]],"X"))</f>
        <v/>
      </c>
      <c r="U322" s="68" t="str">
        <f>IF(Tableau1[[#This Row],[Date rév.]]="","",HYPERLINK(Tableau1[[#This Row],[Lien document]],"X"))</f>
        <v/>
      </c>
      <c r="V322" s="47"/>
      <c r="W32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22" s="47"/>
      <c r="Y322" s="47"/>
      <c r="Z322" s="44" t="str">
        <f ca="1">IF(AND(Tableau1[[#This Row],[Charge]]&lt;&gt;0, Tableau1[[#This Row],[Nombre intervenants]]&lt;&gt;0,Tableau1[[#This Row],[Lien document]]&lt;&gt;0,Tableau1[[#This Row],[DMS_SAP]]&lt;&gt;0)=TRUE,"MIS A JOUR","")</f>
        <v/>
      </c>
      <c r="AA322" s="48"/>
      <c r="AB322" s="65" t="str">
        <f ca="1">IF(Tableau1[[#This Row],[Date rév.]]&lt;&gt;"", DAYS360(Tableau1[[#This Row],[Date rév.]],TODAY()),"")</f>
        <v/>
      </c>
      <c r="AC322" s="50" t="str">
        <f>IFERROR(INDEX(Chemin_accès!$B$11:$C$22,MATCH(Tableau1[[#This Row],[Type]],Chemin_accès!$C$11:$C$22,0),1),Chemin_accès!$B$11)</f>
        <v>\\stjn.local\trimet\Btechnique\Commun\Atelier Central mécanique\Plan entretien\Modèles préventif\GammeDMS_7.MENG.xlsm</v>
      </c>
      <c r="AD322" s="50" t="str">
        <f>Chemin_accès!$B$8&amp;Tableau1[[#This Row],[Localisation / Classement]]&amp;"\"&amp;Tableau1[[#This Row],[Poste technique ou N° d''équipement]]&amp;"_"&amp;Tableau1[[#This Row],[Plan Entretien]]&amp;".xlsm"</f>
        <v>\\stjn.local\trimet\Btechnique\Commun\Atelier Central mécanique\Plan entretien\GammeEntretien\\_.xlsm</v>
      </c>
    </row>
    <row r="323" spans="1:30" x14ac:dyDescent="0.3">
      <c r="A323" s="44" t="str">
        <f t="shared" ca="1" si="5"/>
        <v>7.MENG</v>
      </c>
      <c r="B32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23" s="46"/>
      <c r="D323" s="44"/>
      <c r="E323" s="44"/>
      <c r="F323" s="47"/>
      <c r="G323" s="47"/>
      <c r="H323" s="45"/>
      <c r="I323" s="45"/>
      <c r="J323" s="45"/>
      <c r="K323" s="45"/>
      <c r="L323" s="46"/>
      <c r="M323" s="47"/>
      <c r="N323" s="46"/>
      <c r="O323" s="46"/>
      <c r="P323" s="47"/>
      <c r="Q323" s="46"/>
      <c r="R323" s="46"/>
      <c r="S323" s="48"/>
      <c r="T323" s="68" t="str">
        <f>IF(Tableau1[[#This Row],[DMS_SAP]]="","",HYPERLINK(Tableau1[[#This Row],[Chemin fichier source]],"X"))</f>
        <v/>
      </c>
      <c r="U323" s="68" t="str">
        <f>IF(Tableau1[[#This Row],[Date rév.]]="","",HYPERLINK(Tableau1[[#This Row],[Lien document]],"X"))</f>
        <v/>
      </c>
      <c r="V323" s="47"/>
      <c r="W32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23" s="47"/>
      <c r="Y323" s="47"/>
      <c r="Z323" s="44" t="str">
        <f ca="1">IF(AND(Tableau1[[#This Row],[Charge]]&lt;&gt;0, Tableau1[[#This Row],[Nombre intervenants]]&lt;&gt;0,Tableau1[[#This Row],[Lien document]]&lt;&gt;0,Tableau1[[#This Row],[DMS_SAP]]&lt;&gt;0)=TRUE,"MIS A JOUR","")</f>
        <v/>
      </c>
      <c r="AA323" s="48"/>
      <c r="AB323" s="65" t="str">
        <f ca="1">IF(Tableau1[[#This Row],[Date rév.]]&lt;&gt;"", DAYS360(Tableau1[[#This Row],[Date rév.]],TODAY()),"")</f>
        <v/>
      </c>
      <c r="AC323" s="50" t="str">
        <f>IFERROR(INDEX(Chemin_accès!$B$11:$C$22,MATCH(Tableau1[[#This Row],[Type]],Chemin_accès!$C$11:$C$22,0),1),Chemin_accès!$B$11)</f>
        <v>\\stjn.local\trimet\Btechnique\Commun\Atelier Central mécanique\Plan entretien\Modèles préventif\GammeDMS_7.MENG.xlsm</v>
      </c>
      <c r="AD323" s="50" t="str">
        <f>Chemin_accès!$B$8&amp;Tableau1[[#This Row],[Localisation / Classement]]&amp;"\"&amp;Tableau1[[#This Row],[Poste technique ou N° d''équipement]]&amp;"_"&amp;Tableau1[[#This Row],[Plan Entretien]]&amp;".xlsm"</f>
        <v>\\stjn.local\trimet\Btechnique\Commun\Atelier Central mécanique\Plan entretien\GammeEntretien\\_.xlsm</v>
      </c>
    </row>
    <row r="324" spans="1:30" x14ac:dyDescent="0.3">
      <c r="A324" s="44" t="str">
        <f t="shared" ca="1" si="5"/>
        <v>7.MENG</v>
      </c>
      <c r="B32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24" s="46"/>
      <c r="D324" s="44"/>
      <c r="E324" s="44"/>
      <c r="F324" s="47"/>
      <c r="G324" s="47"/>
      <c r="H324" s="45"/>
      <c r="I324" s="45"/>
      <c r="J324" s="45"/>
      <c r="K324" s="45"/>
      <c r="L324" s="46"/>
      <c r="M324" s="47"/>
      <c r="N324" s="46"/>
      <c r="O324" s="46"/>
      <c r="P324" s="47"/>
      <c r="Q324" s="46"/>
      <c r="R324" s="46"/>
      <c r="S324" s="48"/>
      <c r="T324" s="68" t="str">
        <f>IF(Tableau1[[#This Row],[DMS_SAP]]="","",HYPERLINK(Tableau1[[#This Row],[Chemin fichier source]],"X"))</f>
        <v/>
      </c>
      <c r="U324" s="68" t="str">
        <f>IF(Tableau1[[#This Row],[Date rév.]]="","",HYPERLINK(Tableau1[[#This Row],[Lien document]],"X"))</f>
        <v/>
      </c>
      <c r="V324" s="47"/>
      <c r="W32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24" s="47"/>
      <c r="Y324" s="47"/>
      <c r="Z324" s="44" t="str">
        <f ca="1">IF(AND(Tableau1[[#This Row],[Charge]]&lt;&gt;0, Tableau1[[#This Row],[Nombre intervenants]]&lt;&gt;0,Tableau1[[#This Row],[Lien document]]&lt;&gt;0,Tableau1[[#This Row],[DMS_SAP]]&lt;&gt;0)=TRUE,"MIS A JOUR","")</f>
        <v/>
      </c>
      <c r="AA324" s="48"/>
      <c r="AB324" s="65" t="str">
        <f ca="1">IF(Tableau1[[#This Row],[Date rév.]]&lt;&gt;"", DAYS360(Tableau1[[#This Row],[Date rév.]],TODAY()),"")</f>
        <v/>
      </c>
      <c r="AC324" s="50" t="str">
        <f>IFERROR(INDEX(Chemin_accès!$B$11:$C$22,MATCH(Tableau1[[#This Row],[Type]],Chemin_accès!$C$11:$C$22,0),1),Chemin_accès!$B$11)</f>
        <v>\\stjn.local\trimet\Btechnique\Commun\Atelier Central mécanique\Plan entretien\Modèles préventif\GammeDMS_7.MENG.xlsm</v>
      </c>
      <c r="AD324" s="50" t="str">
        <f>Chemin_accès!$B$8&amp;Tableau1[[#This Row],[Localisation / Classement]]&amp;"\"&amp;Tableau1[[#This Row],[Poste technique ou N° d''équipement]]&amp;"_"&amp;Tableau1[[#This Row],[Plan Entretien]]&amp;".xlsm"</f>
        <v>\\stjn.local\trimet\Btechnique\Commun\Atelier Central mécanique\Plan entretien\GammeEntretien\\_.xlsm</v>
      </c>
    </row>
    <row r="325" spans="1:30" x14ac:dyDescent="0.3">
      <c r="A325" s="44" t="str">
        <f t="shared" ca="1" si="5"/>
        <v>7.MENG</v>
      </c>
      <c r="B32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25" s="46"/>
      <c r="D325" s="44"/>
      <c r="E325" s="44"/>
      <c r="F325" s="47"/>
      <c r="G325" s="47"/>
      <c r="H325" s="45"/>
      <c r="I325" s="45"/>
      <c r="J325" s="45"/>
      <c r="K325" s="45"/>
      <c r="L325" s="46"/>
      <c r="M325" s="47"/>
      <c r="N325" s="46"/>
      <c r="O325" s="46"/>
      <c r="P325" s="47"/>
      <c r="Q325" s="46"/>
      <c r="R325" s="46"/>
      <c r="S325" s="48"/>
      <c r="T325" s="68" t="str">
        <f>IF(Tableau1[[#This Row],[DMS_SAP]]="","",HYPERLINK(Tableau1[[#This Row],[Chemin fichier source]],"X"))</f>
        <v/>
      </c>
      <c r="U325" s="68" t="str">
        <f>IF(Tableau1[[#This Row],[Date rév.]]="","",HYPERLINK(Tableau1[[#This Row],[Lien document]],"X"))</f>
        <v/>
      </c>
      <c r="V325" s="47"/>
      <c r="W32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25" s="47"/>
      <c r="Y325" s="47"/>
      <c r="Z325" s="44" t="str">
        <f ca="1">IF(AND(Tableau1[[#This Row],[Charge]]&lt;&gt;0, Tableau1[[#This Row],[Nombre intervenants]]&lt;&gt;0,Tableau1[[#This Row],[Lien document]]&lt;&gt;0,Tableau1[[#This Row],[DMS_SAP]]&lt;&gt;0)=TRUE,"MIS A JOUR","")</f>
        <v/>
      </c>
      <c r="AA325" s="48"/>
      <c r="AB325" s="65" t="str">
        <f ca="1">IF(Tableau1[[#This Row],[Date rév.]]&lt;&gt;"", DAYS360(Tableau1[[#This Row],[Date rév.]],TODAY()),"")</f>
        <v/>
      </c>
      <c r="AC325" s="50" t="str">
        <f>IFERROR(INDEX(Chemin_accès!$B$11:$C$22,MATCH(Tableau1[[#This Row],[Type]],Chemin_accès!$C$11:$C$22,0),1),Chemin_accès!$B$11)</f>
        <v>\\stjn.local\trimet\Btechnique\Commun\Atelier Central mécanique\Plan entretien\Modèles préventif\GammeDMS_7.MENG.xlsm</v>
      </c>
      <c r="AD325" s="50" t="str">
        <f>Chemin_accès!$B$8&amp;Tableau1[[#This Row],[Localisation / Classement]]&amp;"\"&amp;Tableau1[[#This Row],[Poste technique ou N° d''équipement]]&amp;"_"&amp;Tableau1[[#This Row],[Plan Entretien]]&amp;".xlsm"</f>
        <v>\\stjn.local\trimet\Btechnique\Commun\Atelier Central mécanique\Plan entretien\GammeEntretien\\_.xlsm</v>
      </c>
    </row>
    <row r="326" spans="1:30" x14ac:dyDescent="0.3">
      <c r="A326" s="44" t="str">
        <f t="shared" ca="1" si="5"/>
        <v>7.MENG</v>
      </c>
      <c r="B32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26" s="46"/>
      <c r="D326" s="44"/>
      <c r="E326" s="44"/>
      <c r="F326" s="47"/>
      <c r="G326" s="47"/>
      <c r="H326" s="45"/>
      <c r="I326" s="45"/>
      <c r="J326" s="45"/>
      <c r="K326" s="45"/>
      <c r="L326" s="46"/>
      <c r="M326" s="47"/>
      <c r="N326" s="46"/>
      <c r="O326" s="46"/>
      <c r="P326" s="47"/>
      <c r="Q326" s="46"/>
      <c r="R326" s="46"/>
      <c r="S326" s="48"/>
      <c r="T326" s="68" t="str">
        <f>IF(Tableau1[[#This Row],[DMS_SAP]]="","",HYPERLINK(Tableau1[[#This Row],[Chemin fichier source]],"X"))</f>
        <v/>
      </c>
      <c r="U326" s="68" t="str">
        <f>IF(Tableau1[[#This Row],[Date rév.]]="","",HYPERLINK(Tableau1[[#This Row],[Lien document]],"X"))</f>
        <v/>
      </c>
      <c r="V326" s="47"/>
      <c r="W32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26" s="47"/>
      <c r="Y326" s="47"/>
      <c r="Z326" s="44" t="str">
        <f ca="1">IF(AND(Tableau1[[#This Row],[Charge]]&lt;&gt;0, Tableau1[[#This Row],[Nombre intervenants]]&lt;&gt;0,Tableau1[[#This Row],[Lien document]]&lt;&gt;0,Tableau1[[#This Row],[DMS_SAP]]&lt;&gt;0)=TRUE,"MIS A JOUR","")</f>
        <v/>
      </c>
      <c r="AA326" s="48"/>
      <c r="AB326" s="65" t="str">
        <f ca="1">IF(Tableau1[[#This Row],[Date rév.]]&lt;&gt;"", DAYS360(Tableau1[[#This Row],[Date rév.]],TODAY()),"")</f>
        <v/>
      </c>
      <c r="AC326" s="50" t="str">
        <f>IFERROR(INDEX(Chemin_accès!$B$11:$C$22,MATCH(Tableau1[[#This Row],[Type]],Chemin_accès!$C$11:$C$22,0),1),Chemin_accès!$B$11)</f>
        <v>\\stjn.local\trimet\Btechnique\Commun\Atelier Central mécanique\Plan entretien\Modèles préventif\GammeDMS_7.MENG.xlsm</v>
      </c>
      <c r="AD326" s="50" t="str">
        <f>Chemin_accès!$B$8&amp;Tableau1[[#This Row],[Localisation / Classement]]&amp;"\"&amp;Tableau1[[#This Row],[Poste technique ou N° d''équipement]]&amp;"_"&amp;Tableau1[[#This Row],[Plan Entretien]]&amp;".xlsm"</f>
        <v>\\stjn.local\trimet\Btechnique\Commun\Atelier Central mécanique\Plan entretien\GammeEntretien\\_.xlsm</v>
      </c>
    </row>
    <row r="327" spans="1:30" x14ac:dyDescent="0.3">
      <c r="A327" s="44" t="str">
        <f t="shared" ca="1" si="5"/>
        <v>7.MENG</v>
      </c>
      <c r="B32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27" s="46"/>
      <c r="D327" s="44"/>
      <c r="E327" s="44"/>
      <c r="F327" s="47"/>
      <c r="G327" s="47"/>
      <c r="H327" s="45"/>
      <c r="I327" s="45"/>
      <c r="J327" s="45"/>
      <c r="K327" s="45"/>
      <c r="L327" s="46"/>
      <c r="M327" s="47"/>
      <c r="N327" s="46"/>
      <c r="O327" s="46"/>
      <c r="P327" s="47"/>
      <c r="Q327" s="46"/>
      <c r="R327" s="46"/>
      <c r="S327" s="48"/>
      <c r="T327" s="68" t="str">
        <f>IF(Tableau1[[#This Row],[DMS_SAP]]="","",HYPERLINK(Tableau1[[#This Row],[Chemin fichier source]],"X"))</f>
        <v/>
      </c>
      <c r="U327" s="68" t="str">
        <f>IF(Tableau1[[#This Row],[Date rév.]]="","",HYPERLINK(Tableau1[[#This Row],[Lien document]],"X"))</f>
        <v/>
      </c>
      <c r="V327" s="47"/>
      <c r="W32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27" s="47"/>
      <c r="Y327" s="47"/>
      <c r="Z327" s="44" t="str">
        <f ca="1">IF(AND(Tableau1[[#This Row],[Charge]]&lt;&gt;0, Tableau1[[#This Row],[Nombre intervenants]]&lt;&gt;0,Tableau1[[#This Row],[Lien document]]&lt;&gt;0,Tableau1[[#This Row],[DMS_SAP]]&lt;&gt;0)=TRUE,"MIS A JOUR","")</f>
        <v/>
      </c>
      <c r="AA327" s="48"/>
      <c r="AB327" s="65" t="str">
        <f ca="1">IF(Tableau1[[#This Row],[Date rév.]]&lt;&gt;"", DAYS360(Tableau1[[#This Row],[Date rév.]],TODAY()),"")</f>
        <v/>
      </c>
      <c r="AC327" s="50" t="str">
        <f>IFERROR(INDEX(Chemin_accès!$B$11:$C$22,MATCH(Tableau1[[#This Row],[Type]],Chemin_accès!$C$11:$C$22,0),1),Chemin_accès!$B$11)</f>
        <v>\\stjn.local\trimet\Btechnique\Commun\Atelier Central mécanique\Plan entretien\Modèles préventif\GammeDMS_7.MENG.xlsm</v>
      </c>
      <c r="AD327" s="50" t="str">
        <f>Chemin_accès!$B$8&amp;Tableau1[[#This Row],[Localisation / Classement]]&amp;"\"&amp;Tableau1[[#This Row],[Poste technique ou N° d''équipement]]&amp;"_"&amp;Tableau1[[#This Row],[Plan Entretien]]&amp;".xlsm"</f>
        <v>\\stjn.local\trimet\Btechnique\Commun\Atelier Central mécanique\Plan entretien\GammeEntretien\\_.xlsm</v>
      </c>
    </row>
    <row r="328" spans="1:30" x14ac:dyDescent="0.3">
      <c r="A328" s="44" t="str">
        <f t="shared" ca="1" si="5"/>
        <v>7.MENG</v>
      </c>
      <c r="B32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28" s="46"/>
      <c r="D328" s="44"/>
      <c r="E328" s="44"/>
      <c r="F328" s="47"/>
      <c r="G328" s="47"/>
      <c r="H328" s="45"/>
      <c r="I328" s="45"/>
      <c r="J328" s="45"/>
      <c r="K328" s="45"/>
      <c r="L328" s="46"/>
      <c r="M328" s="47"/>
      <c r="N328" s="46"/>
      <c r="O328" s="46"/>
      <c r="P328" s="47"/>
      <c r="Q328" s="46"/>
      <c r="R328" s="46"/>
      <c r="S328" s="48"/>
      <c r="T328" s="68" t="str">
        <f>IF(Tableau1[[#This Row],[DMS_SAP]]="","",HYPERLINK(Tableau1[[#This Row],[Chemin fichier source]],"X"))</f>
        <v/>
      </c>
      <c r="U328" s="68" t="str">
        <f>IF(Tableau1[[#This Row],[Date rév.]]="","",HYPERLINK(Tableau1[[#This Row],[Lien document]],"X"))</f>
        <v/>
      </c>
      <c r="V328" s="47"/>
      <c r="W32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28" s="47"/>
      <c r="Y328" s="47"/>
      <c r="Z328" s="44" t="str">
        <f ca="1">IF(AND(Tableau1[[#This Row],[Charge]]&lt;&gt;0, Tableau1[[#This Row],[Nombre intervenants]]&lt;&gt;0,Tableau1[[#This Row],[Lien document]]&lt;&gt;0,Tableau1[[#This Row],[DMS_SAP]]&lt;&gt;0)=TRUE,"MIS A JOUR","")</f>
        <v/>
      </c>
      <c r="AA328" s="48"/>
      <c r="AB328" s="65" t="str">
        <f ca="1">IF(Tableau1[[#This Row],[Date rév.]]&lt;&gt;"", DAYS360(Tableau1[[#This Row],[Date rév.]],TODAY()),"")</f>
        <v/>
      </c>
      <c r="AC328" s="50" t="str">
        <f>IFERROR(INDEX(Chemin_accès!$B$11:$C$22,MATCH(Tableau1[[#This Row],[Type]],Chemin_accès!$C$11:$C$22,0),1),Chemin_accès!$B$11)</f>
        <v>\\stjn.local\trimet\Btechnique\Commun\Atelier Central mécanique\Plan entretien\Modèles préventif\GammeDMS_7.MENG.xlsm</v>
      </c>
      <c r="AD328" s="50" t="str">
        <f>Chemin_accès!$B$8&amp;Tableau1[[#This Row],[Localisation / Classement]]&amp;"\"&amp;Tableau1[[#This Row],[Poste technique ou N° d''équipement]]&amp;"_"&amp;Tableau1[[#This Row],[Plan Entretien]]&amp;".xlsm"</f>
        <v>\\stjn.local\trimet\Btechnique\Commun\Atelier Central mécanique\Plan entretien\GammeEntretien\\_.xlsm</v>
      </c>
    </row>
    <row r="329" spans="1:30" x14ac:dyDescent="0.3">
      <c r="A329" s="44" t="str">
        <f t="shared" ca="1" si="5"/>
        <v>7.MENG</v>
      </c>
      <c r="B32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29" s="46"/>
      <c r="D329" s="44"/>
      <c r="E329" s="44"/>
      <c r="F329" s="47"/>
      <c r="G329" s="47"/>
      <c r="H329" s="45"/>
      <c r="I329" s="45"/>
      <c r="J329" s="45"/>
      <c r="K329" s="45"/>
      <c r="L329" s="46"/>
      <c r="M329" s="47"/>
      <c r="N329" s="46"/>
      <c r="O329" s="46"/>
      <c r="P329" s="47"/>
      <c r="Q329" s="46"/>
      <c r="R329" s="46"/>
      <c r="S329" s="48"/>
      <c r="T329" s="68" t="str">
        <f>IF(Tableau1[[#This Row],[DMS_SAP]]="","",HYPERLINK(Tableau1[[#This Row],[Chemin fichier source]],"X"))</f>
        <v/>
      </c>
      <c r="U329" s="68" t="str">
        <f>IF(Tableau1[[#This Row],[Date rév.]]="","",HYPERLINK(Tableau1[[#This Row],[Lien document]],"X"))</f>
        <v/>
      </c>
      <c r="V329" s="47"/>
      <c r="W32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29" s="47"/>
      <c r="Y329" s="47"/>
      <c r="Z329" s="44" t="str">
        <f ca="1">IF(AND(Tableau1[[#This Row],[Charge]]&lt;&gt;0, Tableau1[[#This Row],[Nombre intervenants]]&lt;&gt;0,Tableau1[[#This Row],[Lien document]]&lt;&gt;0,Tableau1[[#This Row],[DMS_SAP]]&lt;&gt;0)=TRUE,"MIS A JOUR","")</f>
        <v/>
      </c>
      <c r="AA329" s="48"/>
      <c r="AB329" s="65" t="str">
        <f ca="1">IF(Tableau1[[#This Row],[Date rév.]]&lt;&gt;"", DAYS360(Tableau1[[#This Row],[Date rév.]],TODAY()),"")</f>
        <v/>
      </c>
      <c r="AC329" s="50" t="str">
        <f>IFERROR(INDEX(Chemin_accès!$B$11:$C$22,MATCH(Tableau1[[#This Row],[Type]],Chemin_accès!$C$11:$C$22,0),1),Chemin_accès!$B$11)</f>
        <v>\\stjn.local\trimet\Btechnique\Commun\Atelier Central mécanique\Plan entretien\Modèles préventif\GammeDMS_7.MENG.xlsm</v>
      </c>
      <c r="AD329" s="50" t="str">
        <f>Chemin_accès!$B$8&amp;Tableau1[[#This Row],[Localisation / Classement]]&amp;"\"&amp;Tableau1[[#This Row],[Poste technique ou N° d''équipement]]&amp;"_"&amp;Tableau1[[#This Row],[Plan Entretien]]&amp;".xlsm"</f>
        <v>\\stjn.local\trimet\Btechnique\Commun\Atelier Central mécanique\Plan entretien\GammeEntretien\\_.xlsm</v>
      </c>
    </row>
    <row r="330" spans="1:30" x14ac:dyDescent="0.3">
      <c r="A330" s="44" t="str">
        <f t="shared" ca="1" si="5"/>
        <v>7.MENG</v>
      </c>
      <c r="B33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30" s="46"/>
      <c r="D330" s="44"/>
      <c r="E330" s="44"/>
      <c r="F330" s="47"/>
      <c r="G330" s="47"/>
      <c r="H330" s="45"/>
      <c r="I330" s="45"/>
      <c r="J330" s="45"/>
      <c r="K330" s="45"/>
      <c r="L330" s="46"/>
      <c r="M330" s="47"/>
      <c r="N330" s="46"/>
      <c r="O330" s="46"/>
      <c r="P330" s="47"/>
      <c r="Q330" s="46"/>
      <c r="R330" s="46"/>
      <c r="S330" s="48"/>
      <c r="T330" s="68" t="str">
        <f>IF(Tableau1[[#This Row],[DMS_SAP]]="","",HYPERLINK(Tableau1[[#This Row],[Chemin fichier source]],"X"))</f>
        <v/>
      </c>
      <c r="U330" s="68" t="str">
        <f>IF(Tableau1[[#This Row],[Date rév.]]="","",HYPERLINK(Tableau1[[#This Row],[Lien document]],"X"))</f>
        <v/>
      </c>
      <c r="V330" s="47"/>
      <c r="W33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30" s="47"/>
      <c r="Y330" s="47"/>
      <c r="Z330" s="44" t="str">
        <f ca="1">IF(AND(Tableau1[[#This Row],[Charge]]&lt;&gt;0, Tableau1[[#This Row],[Nombre intervenants]]&lt;&gt;0,Tableau1[[#This Row],[Lien document]]&lt;&gt;0,Tableau1[[#This Row],[DMS_SAP]]&lt;&gt;0)=TRUE,"MIS A JOUR","")</f>
        <v/>
      </c>
      <c r="AA330" s="48"/>
      <c r="AB330" s="65" t="str">
        <f ca="1">IF(Tableau1[[#This Row],[Date rév.]]&lt;&gt;"", DAYS360(Tableau1[[#This Row],[Date rév.]],TODAY()),"")</f>
        <v/>
      </c>
      <c r="AC330" s="50" t="str">
        <f>IFERROR(INDEX(Chemin_accès!$B$11:$C$22,MATCH(Tableau1[[#This Row],[Type]],Chemin_accès!$C$11:$C$22,0),1),Chemin_accès!$B$11)</f>
        <v>\\stjn.local\trimet\Btechnique\Commun\Atelier Central mécanique\Plan entretien\Modèles préventif\GammeDMS_7.MENG.xlsm</v>
      </c>
      <c r="AD330" s="50" t="str">
        <f>Chemin_accès!$B$8&amp;Tableau1[[#This Row],[Localisation / Classement]]&amp;"\"&amp;Tableau1[[#This Row],[Poste technique ou N° d''équipement]]&amp;"_"&amp;Tableau1[[#This Row],[Plan Entretien]]&amp;".xlsm"</f>
        <v>\\stjn.local\trimet\Btechnique\Commun\Atelier Central mécanique\Plan entretien\GammeEntretien\\_.xlsm</v>
      </c>
    </row>
    <row r="331" spans="1:30" x14ac:dyDescent="0.3">
      <c r="A331" s="44" t="str">
        <f t="shared" ca="1" si="5"/>
        <v>7.MENG</v>
      </c>
      <c r="B33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31" s="46"/>
      <c r="D331" s="44"/>
      <c r="E331" s="44"/>
      <c r="F331" s="47"/>
      <c r="G331" s="47"/>
      <c r="H331" s="45"/>
      <c r="I331" s="45"/>
      <c r="J331" s="45"/>
      <c r="K331" s="45"/>
      <c r="L331" s="46"/>
      <c r="M331" s="47"/>
      <c r="N331" s="46"/>
      <c r="O331" s="46"/>
      <c r="P331" s="47"/>
      <c r="Q331" s="46"/>
      <c r="R331" s="46"/>
      <c r="S331" s="48"/>
      <c r="T331" s="68" t="str">
        <f>IF(Tableau1[[#This Row],[DMS_SAP]]="","",HYPERLINK(Tableau1[[#This Row],[Chemin fichier source]],"X"))</f>
        <v/>
      </c>
      <c r="U331" s="68" t="str">
        <f>IF(Tableau1[[#This Row],[Date rév.]]="","",HYPERLINK(Tableau1[[#This Row],[Lien document]],"X"))</f>
        <v/>
      </c>
      <c r="V331" s="47"/>
      <c r="W33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31" s="47"/>
      <c r="Y331" s="47"/>
      <c r="Z331" s="44" t="str">
        <f ca="1">IF(AND(Tableau1[[#This Row],[Charge]]&lt;&gt;0, Tableau1[[#This Row],[Nombre intervenants]]&lt;&gt;0,Tableau1[[#This Row],[Lien document]]&lt;&gt;0,Tableau1[[#This Row],[DMS_SAP]]&lt;&gt;0)=TRUE,"MIS A JOUR","")</f>
        <v/>
      </c>
      <c r="AA331" s="48"/>
      <c r="AB331" s="65" t="str">
        <f ca="1">IF(Tableau1[[#This Row],[Date rév.]]&lt;&gt;"", DAYS360(Tableau1[[#This Row],[Date rév.]],TODAY()),"")</f>
        <v/>
      </c>
      <c r="AC331" s="50" t="str">
        <f>IFERROR(INDEX(Chemin_accès!$B$11:$C$22,MATCH(Tableau1[[#This Row],[Type]],Chemin_accès!$C$11:$C$22,0),1),Chemin_accès!$B$11)</f>
        <v>\\stjn.local\trimet\Btechnique\Commun\Atelier Central mécanique\Plan entretien\Modèles préventif\GammeDMS_7.MENG.xlsm</v>
      </c>
      <c r="AD331" s="50" t="str">
        <f>Chemin_accès!$B$8&amp;Tableau1[[#This Row],[Localisation / Classement]]&amp;"\"&amp;Tableau1[[#This Row],[Poste technique ou N° d''équipement]]&amp;"_"&amp;Tableau1[[#This Row],[Plan Entretien]]&amp;".xlsm"</f>
        <v>\\stjn.local\trimet\Btechnique\Commun\Atelier Central mécanique\Plan entretien\GammeEntretien\\_.xlsm</v>
      </c>
    </row>
    <row r="332" spans="1:30" x14ac:dyDescent="0.3">
      <c r="A332" s="44" t="str">
        <f t="shared" ca="1" si="5"/>
        <v>7.MENG</v>
      </c>
      <c r="B33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32" s="46"/>
      <c r="D332" s="44"/>
      <c r="E332" s="44"/>
      <c r="F332" s="47"/>
      <c r="G332" s="47"/>
      <c r="H332" s="45"/>
      <c r="I332" s="45"/>
      <c r="J332" s="45"/>
      <c r="K332" s="45"/>
      <c r="L332" s="46"/>
      <c r="M332" s="47"/>
      <c r="N332" s="46"/>
      <c r="O332" s="46"/>
      <c r="P332" s="47"/>
      <c r="Q332" s="46"/>
      <c r="R332" s="46"/>
      <c r="S332" s="48"/>
      <c r="T332" s="68" t="str">
        <f>IF(Tableau1[[#This Row],[DMS_SAP]]="","",HYPERLINK(Tableau1[[#This Row],[Chemin fichier source]],"X"))</f>
        <v/>
      </c>
      <c r="U332" s="68" t="str">
        <f>IF(Tableau1[[#This Row],[Date rév.]]="","",HYPERLINK(Tableau1[[#This Row],[Lien document]],"X"))</f>
        <v/>
      </c>
      <c r="V332" s="47"/>
      <c r="W33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32" s="47"/>
      <c r="Y332" s="47"/>
      <c r="Z332" s="44" t="str">
        <f ca="1">IF(AND(Tableau1[[#This Row],[Charge]]&lt;&gt;0, Tableau1[[#This Row],[Nombre intervenants]]&lt;&gt;0,Tableau1[[#This Row],[Lien document]]&lt;&gt;0,Tableau1[[#This Row],[DMS_SAP]]&lt;&gt;0)=TRUE,"MIS A JOUR","")</f>
        <v/>
      </c>
      <c r="AA332" s="48"/>
      <c r="AB332" s="65" t="str">
        <f ca="1">IF(Tableau1[[#This Row],[Date rév.]]&lt;&gt;"", DAYS360(Tableau1[[#This Row],[Date rév.]],TODAY()),"")</f>
        <v/>
      </c>
      <c r="AC332" s="50" t="str">
        <f>IFERROR(INDEX(Chemin_accès!$B$11:$C$22,MATCH(Tableau1[[#This Row],[Type]],Chemin_accès!$C$11:$C$22,0),1),Chemin_accès!$B$11)</f>
        <v>\\stjn.local\trimet\Btechnique\Commun\Atelier Central mécanique\Plan entretien\Modèles préventif\GammeDMS_7.MENG.xlsm</v>
      </c>
      <c r="AD332" s="50" t="str">
        <f>Chemin_accès!$B$8&amp;Tableau1[[#This Row],[Localisation / Classement]]&amp;"\"&amp;Tableau1[[#This Row],[Poste technique ou N° d''équipement]]&amp;"_"&amp;Tableau1[[#This Row],[Plan Entretien]]&amp;".xlsm"</f>
        <v>\\stjn.local\trimet\Btechnique\Commun\Atelier Central mécanique\Plan entretien\GammeEntretien\\_.xlsm</v>
      </c>
    </row>
    <row r="333" spans="1:30" x14ac:dyDescent="0.3">
      <c r="A333" s="44" t="str">
        <f t="shared" ca="1" si="5"/>
        <v>7.MENG</v>
      </c>
      <c r="B33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33" s="46"/>
      <c r="D333" s="44"/>
      <c r="E333" s="44"/>
      <c r="F333" s="47"/>
      <c r="G333" s="47"/>
      <c r="H333" s="45"/>
      <c r="I333" s="45"/>
      <c r="J333" s="45"/>
      <c r="K333" s="45"/>
      <c r="L333" s="46"/>
      <c r="M333" s="47"/>
      <c r="N333" s="46"/>
      <c r="O333" s="46"/>
      <c r="P333" s="47"/>
      <c r="Q333" s="46"/>
      <c r="R333" s="46"/>
      <c r="S333" s="48"/>
      <c r="T333" s="68" t="str">
        <f>IF(Tableau1[[#This Row],[DMS_SAP]]="","",HYPERLINK(Tableau1[[#This Row],[Chemin fichier source]],"X"))</f>
        <v/>
      </c>
      <c r="U333" s="68" t="str">
        <f>IF(Tableau1[[#This Row],[Date rév.]]="","",HYPERLINK(Tableau1[[#This Row],[Lien document]],"X"))</f>
        <v/>
      </c>
      <c r="V333" s="47"/>
      <c r="W33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33" s="47"/>
      <c r="Y333" s="47"/>
      <c r="Z333" s="44" t="str">
        <f ca="1">IF(AND(Tableau1[[#This Row],[Charge]]&lt;&gt;0, Tableau1[[#This Row],[Nombre intervenants]]&lt;&gt;0,Tableau1[[#This Row],[Lien document]]&lt;&gt;0,Tableau1[[#This Row],[DMS_SAP]]&lt;&gt;0)=TRUE,"MIS A JOUR","")</f>
        <v/>
      </c>
      <c r="AA333" s="48"/>
      <c r="AB333" s="65" t="str">
        <f ca="1">IF(Tableau1[[#This Row],[Date rév.]]&lt;&gt;"", DAYS360(Tableau1[[#This Row],[Date rév.]],TODAY()),"")</f>
        <v/>
      </c>
      <c r="AC333" s="50" t="str">
        <f>IFERROR(INDEX(Chemin_accès!$B$11:$C$22,MATCH(Tableau1[[#This Row],[Type]],Chemin_accès!$C$11:$C$22,0),1),Chemin_accès!$B$11)</f>
        <v>\\stjn.local\trimet\Btechnique\Commun\Atelier Central mécanique\Plan entretien\Modèles préventif\GammeDMS_7.MENG.xlsm</v>
      </c>
      <c r="AD333" s="50" t="str">
        <f>Chemin_accès!$B$8&amp;Tableau1[[#This Row],[Localisation / Classement]]&amp;"\"&amp;Tableau1[[#This Row],[Poste technique ou N° d''équipement]]&amp;"_"&amp;Tableau1[[#This Row],[Plan Entretien]]&amp;".xlsm"</f>
        <v>\\stjn.local\trimet\Btechnique\Commun\Atelier Central mécanique\Plan entretien\GammeEntretien\\_.xlsm</v>
      </c>
    </row>
    <row r="334" spans="1:30" x14ac:dyDescent="0.3">
      <c r="A334" s="44" t="str">
        <f t="shared" ca="1" si="5"/>
        <v>7.MENG</v>
      </c>
      <c r="B33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34" s="46"/>
      <c r="D334" s="44"/>
      <c r="E334" s="44"/>
      <c r="F334" s="47"/>
      <c r="G334" s="47"/>
      <c r="H334" s="45"/>
      <c r="I334" s="45"/>
      <c r="J334" s="45"/>
      <c r="K334" s="45"/>
      <c r="L334" s="46"/>
      <c r="M334" s="47"/>
      <c r="N334" s="46"/>
      <c r="O334" s="46"/>
      <c r="P334" s="47"/>
      <c r="Q334" s="46"/>
      <c r="R334" s="46"/>
      <c r="S334" s="48"/>
      <c r="T334" s="68" t="str">
        <f>IF(Tableau1[[#This Row],[DMS_SAP]]="","",HYPERLINK(Tableau1[[#This Row],[Chemin fichier source]],"X"))</f>
        <v/>
      </c>
      <c r="U334" s="68" t="str">
        <f>IF(Tableau1[[#This Row],[Date rév.]]="","",HYPERLINK(Tableau1[[#This Row],[Lien document]],"X"))</f>
        <v/>
      </c>
      <c r="V334" s="47"/>
      <c r="W33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34" s="47"/>
      <c r="Y334" s="47"/>
      <c r="Z334" s="44" t="str">
        <f ca="1">IF(AND(Tableau1[[#This Row],[Charge]]&lt;&gt;0, Tableau1[[#This Row],[Nombre intervenants]]&lt;&gt;0,Tableau1[[#This Row],[Lien document]]&lt;&gt;0,Tableau1[[#This Row],[DMS_SAP]]&lt;&gt;0)=TRUE,"MIS A JOUR","")</f>
        <v/>
      </c>
      <c r="AA334" s="48"/>
      <c r="AB334" s="65" t="str">
        <f ca="1">IF(Tableau1[[#This Row],[Date rév.]]&lt;&gt;"", DAYS360(Tableau1[[#This Row],[Date rév.]],TODAY()),"")</f>
        <v/>
      </c>
      <c r="AC334" s="50" t="str">
        <f>IFERROR(INDEX(Chemin_accès!$B$11:$C$22,MATCH(Tableau1[[#This Row],[Type]],Chemin_accès!$C$11:$C$22,0),1),Chemin_accès!$B$11)</f>
        <v>\\stjn.local\trimet\Btechnique\Commun\Atelier Central mécanique\Plan entretien\Modèles préventif\GammeDMS_7.MENG.xlsm</v>
      </c>
      <c r="AD334" s="50" t="str">
        <f>Chemin_accès!$B$8&amp;Tableau1[[#This Row],[Localisation / Classement]]&amp;"\"&amp;Tableau1[[#This Row],[Poste technique ou N° d''équipement]]&amp;"_"&amp;Tableau1[[#This Row],[Plan Entretien]]&amp;".xlsm"</f>
        <v>\\stjn.local\trimet\Btechnique\Commun\Atelier Central mécanique\Plan entretien\GammeEntretien\\_.xlsm</v>
      </c>
    </row>
    <row r="335" spans="1:30" x14ac:dyDescent="0.3">
      <c r="A335" s="44" t="str">
        <f t="shared" ca="1" si="5"/>
        <v>7.MENG</v>
      </c>
      <c r="B33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35" s="46"/>
      <c r="D335" s="44"/>
      <c r="E335" s="44"/>
      <c r="F335" s="47"/>
      <c r="G335" s="47"/>
      <c r="H335" s="45"/>
      <c r="I335" s="45"/>
      <c r="J335" s="45"/>
      <c r="K335" s="45"/>
      <c r="L335" s="46"/>
      <c r="M335" s="47"/>
      <c r="N335" s="46"/>
      <c r="O335" s="46"/>
      <c r="P335" s="47"/>
      <c r="Q335" s="46"/>
      <c r="R335" s="46"/>
      <c r="S335" s="48"/>
      <c r="T335" s="68" t="str">
        <f>IF(Tableau1[[#This Row],[DMS_SAP]]="","",HYPERLINK(Tableau1[[#This Row],[Chemin fichier source]],"X"))</f>
        <v/>
      </c>
      <c r="U335" s="68" t="str">
        <f>IF(Tableau1[[#This Row],[Date rév.]]="","",HYPERLINK(Tableau1[[#This Row],[Lien document]],"X"))</f>
        <v/>
      </c>
      <c r="V335" s="47"/>
      <c r="W33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35" s="47"/>
      <c r="Y335" s="47"/>
      <c r="Z335" s="44" t="str">
        <f ca="1">IF(AND(Tableau1[[#This Row],[Charge]]&lt;&gt;0, Tableau1[[#This Row],[Nombre intervenants]]&lt;&gt;0,Tableau1[[#This Row],[Lien document]]&lt;&gt;0,Tableau1[[#This Row],[DMS_SAP]]&lt;&gt;0)=TRUE,"MIS A JOUR","")</f>
        <v/>
      </c>
      <c r="AA335" s="48"/>
      <c r="AB335" s="65" t="str">
        <f ca="1">IF(Tableau1[[#This Row],[Date rév.]]&lt;&gt;"", DAYS360(Tableau1[[#This Row],[Date rév.]],TODAY()),"")</f>
        <v/>
      </c>
      <c r="AC335" s="50" t="str">
        <f>IFERROR(INDEX(Chemin_accès!$B$11:$C$22,MATCH(Tableau1[[#This Row],[Type]],Chemin_accès!$C$11:$C$22,0),1),Chemin_accès!$B$11)</f>
        <v>\\stjn.local\trimet\Btechnique\Commun\Atelier Central mécanique\Plan entretien\Modèles préventif\GammeDMS_7.MENG.xlsm</v>
      </c>
      <c r="AD335" s="50" t="str">
        <f>Chemin_accès!$B$8&amp;Tableau1[[#This Row],[Localisation / Classement]]&amp;"\"&amp;Tableau1[[#This Row],[Poste technique ou N° d''équipement]]&amp;"_"&amp;Tableau1[[#This Row],[Plan Entretien]]&amp;".xlsm"</f>
        <v>\\stjn.local\trimet\Btechnique\Commun\Atelier Central mécanique\Plan entretien\GammeEntretien\\_.xlsm</v>
      </c>
    </row>
    <row r="336" spans="1:30" x14ac:dyDescent="0.3">
      <c r="A336" s="44" t="str">
        <f t="shared" ca="1" si="5"/>
        <v>7.MENG</v>
      </c>
      <c r="B33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36" s="46"/>
      <c r="D336" s="44"/>
      <c r="E336" s="44"/>
      <c r="F336" s="47"/>
      <c r="G336" s="47"/>
      <c r="H336" s="45"/>
      <c r="I336" s="45"/>
      <c r="J336" s="45"/>
      <c r="K336" s="45"/>
      <c r="L336" s="46"/>
      <c r="M336" s="47"/>
      <c r="N336" s="46"/>
      <c r="O336" s="46"/>
      <c r="P336" s="47"/>
      <c r="Q336" s="46"/>
      <c r="R336" s="46"/>
      <c r="S336" s="48"/>
      <c r="T336" s="68" t="str">
        <f>IF(Tableau1[[#This Row],[DMS_SAP]]="","",HYPERLINK(Tableau1[[#This Row],[Chemin fichier source]],"X"))</f>
        <v/>
      </c>
      <c r="U336" s="68" t="str">
        <f>IF(Tableau1[[#This Row],[Date rév.]]="","",HYPERLINK(Tableau1[[#This Row],[Lien document]],"X"))</f>
        <v/>
      </c>
      <c r="V336" s="47"/>
      <c r="W33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36" s="47"/>
      <c r="Y336" s="47"/>
      <c r="Z336" s="44" t="str">
        <f ca="1">IF(AND(Tableau1[[#This Row],[Charge]]&lt;&gt;0, Tableau1[[#This Row],[Nombre intervenants]]&lt;&gt;0,Tableau1[[#This Row],[Lien document]]&lt;&gt;0,Tableau1[[#This Row],[DMS_SAP]]&lt;&gt;0)=TRUE,"MIS A JOUR","")</f>
        <v/>
      </c>
      <c r="AA336" s="48"/>
      <c r="AB336" s="65" t="str">
        <f ca="1">IF(Tableau1[[#This Row],[Date rév.]]&lt;&gt;"", DAYS360(Tableau1[[#This Row],[Date rév.]],TODAY()),"")</f>
        <v/>
      </c>
      <c r="AC336" s="50" t="str">
        <f>IFERROR(INDEX(Chemin_accès!$B$11:$C$22,MATCH(Tableau1[[#This Row],[Type]],Chemin_accès!$C$11:$C$22,0),1),Chemin_accès!$B$11)</f>
        <v>\\stjn.local\trimet\Btechnique\Commun\Atelier Central mécanique\Plan entretien\Modèles préventif\GammeDMS_7.MENG.xlsm</v>
      </c>
      <c r="AD336" s="50" t="str">
        <f>Chemin_accès!$B$8&amp;Tableau1[[#This Row],[Localisation / Classement]]&amp;"\"&amp;Tableau1[[#This Row],[Poste technique ou N° d''équipement]]&amp;"_"&amp;Tableau1[[#This Row],[Plan Entretien]]&amp;".xlsm"</f>
        <v>\\stjn.local\trimet\Btechnique\Commun\Atelier Central mécanique\Plan entretien\GammeEntretien\\_.xlsm</v>
      </c>
    </row>
    <row r="337" spans="1:30" x14ac:dyDescent="0.3">
      <c r="A337" s="44" t="str">
        <f t="shared" ca="1" si="5"/>
        <v>7.MENG</v>
      </c>
      <c r="B33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37" s="46"/>
      <c r="D337" s="44"/>
      <c r="E337" s="44"/>
      <c r="F337" s="47"/>
      <c r="G337" s="47"/>
      <c r="H337" s="45"/>
      <c r="I337" s="45"/>
      <c r="J337" s="45"/>
      <c r="K337" s="45"/>
      <c r="L337" s="46"/>
      <c r="M337" s="47"/>
      <c r="N337" s="46"/>
      <c r="O337" s="46"/>
      <c r="P337" s="47"/>
      <c r="Q337" s="46"/>
      <c r="R337" s="46"/>
      <c r="S337" s="48"/>
      <c r="T337" s="68" t="str">
        <f>IF(Tableau1[[#This Row],[DMS_SAP]]="","",HYPERLINK(Tableau1[[#This Row],[Chemin fichier source]],"X"))</f>
        <v/>
      </c>
      <c r="U337" s="68" t="str">
        <f>IF(Tableau1[[#This Row],[Date rév.]]="","",HYPERLINK(Tableau1[[#This Row],[Lien document]],"X"))</f>
        <v/>
      </c>
      <c r="V337" s="47"/>
      <c r="W33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37" s="47"/>
      <c r="Y337" s="47"/>
      <c r="Z337" s="44" t="str">
        <f ca="1">IF(AND(Tableau1[[#This Row],[Charge]]&lt;&gt;0, Tableau1[[#This Row],[Nombre intervenants]]&lt;&gt;0,Tableau1[[#This Row],[Lien document]]&lt;&gt;0,Tableau1[[#This Row],[DMS_SAP]]&lt;&gt;0)=TRUE,"MIS A JOUR","")</f>
        <v/>
      </c>
      <c r="AA337" s="48"/>
      <c r="AB337" s="65" t="str">
        <f ca="1">IF(Tableau1[[#This Row],[Date rév.]]&lt;&gt;"", DAYS360(Tableau1[[#This Row],[Date rév.]],TODAY()),"")</f>
        <v/>
      </c>
      <c r="AC337" s="50" t="str">
        <f>IFERROR(INDEX(Chemin_accès!$B$11:$C$22,MATCH(Tableau1[[#This Row],[Type]],Chemin_accès!$C$11:$C$22,0),1),Chemin_accès!$B$11)</f>
        <v>\\stjn.local\trimet\Btechnique\Commun\Atelier Central mécanique\Plan entretien\Modèles préventif\GammeDMS_7.MENG.xlsm</v>
      </c>
      <c r="AD337" s="50" t="str">
        <f>Chemin_accès!$B$8&amp;Tableau1[[#This Row],[Localisation / Classement]]&amp;"\"&amp;Tableau1[[#This Row],[Poste technique ou N° d''équipement]]&amp;"_"&amp;Tableau1[[#This Row],[Plan Entretien]]&amp;".xlsm"</f>
        <v>\\stjn.local\trimet\Btechnique\Commun\Atelier Central mécanique\Plan entretien\GammeEntretien\\_.xlsm</v>
      </c>
    </row>
    <row r="338" spans="1:30" x14ac:dyDescent="0.3">
      <c r="A338" s="44" t="str">
        <f t="shared" ca="1" si="5"/>
        <v>7.MENG</v>
      </c>
      <c r="B33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38" s="46"/>
      <c r="D338" s="44"/>
      <c r="E338" s="44"/>
      <c r="F338" s="47"/>
      <c r="G338" s="47"/>
      <c r="H338" s="45"/>
      <c r="I338" s="45"/>
      <c r="J338" s="45"/>
      <c r="K338" s="45"/>
      <c r="L338" s="46"/>
      <c r="M338" s="47"/>
      <c r="N338" s="46"/>
      <c r="O338" s="46"/>
      <c r="P338" s="47"/>
      <c r="Q338" s="46"/>
      <c r="R338" s="46"/>
      <c r="S338" s="48"/>
      <c r="T338" s="68" t="str">
        <f>IF(Tableau1[[#This Row],[DMS_SAP]]="","",HYPERLINK(Tableau1[[#This Row],[Chemin fichier source]],"X"))</f>
        <v/>
      </c>
      <c r="U338" s="68" t="str">
        <f>IF(Tableau1[[#This Row],[Date rév.]]="","",HYPERLINK(Tableau1[[#This Row],[Lien document]],"X"))</f>
        <v/>
      </c>
      <c r="V338" s="47"/>
      <c r="W33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38" s="47"/>
      <c r="Y338" s="47"/>
      <c r="Z338" s="44" t="str">
        <f ca="1">IF(AND(Tableau1[[#This Row],[Charge]]&lt;&gt;0, Tableau1[[#This Row],[Nombre intervenants]]&lt;&gt;0,Tableau1[[#This Row],[Lien document]]&lt;&gt;0,Tableau1[[#This Row],[DMS_SAP]]&lt;&gt;0)=TRUE,"MIS A JOUR","")</f>
        <v/>
      </c>
      <c r="AA338" s="48"/>
      <c r="AB338" s="65" t="str">
        <f ca="1">IF(Tableau1[[#This Row],[Date rév.]]&lt;&gt;"", DAYS360(Tableau1[[#This Row],[Date rév.]],TODAY()),"")</f>
        <v/>
      </c>
      <c r="AC338" s="50" t="str">
        <f>IFERROR(INDEX(Chemin_accès!$B$11:$C$22,MATCH(Tableau1[[#This Row],[Type]],Chemin_accès!$C$11:$C$22,0),1),Chemin_accès!$B$11)</f>
        <v>\\stjn.local\trimet\Btechnique\Commun\Atelier Central mécanique\Plan entretien\Modèles préventif\GammeDMS_7.MENG.xlsm</v>
      </c>
      <c r="AD338" s="50" t="str">
        <f>Chemin_accès!$B$8&amp;Tableau1[[#This Row],[Localisation / Classement]]&amp;"\"&amp;Tableau1[[#This Row],[Poste technique ou N° d''équipement]]&amp;"_"&amp;Tableau1[[#This Row],[Plan Entretien]]&amp;".xlsm"</f>
        <v>\\stjn.local\trimet\Btechnique\Commun\Atelier Central mécanique\Plan entretien\GammeEntretien\\_.xlsm</v>
      </c>
    </row>
    <row r="339" spans="1:30" x14ac:dyDescent="0.3">
      <c r="A339" s="44" t="str">
        <f t="shared" ca="1" si="5"/>
        <v>7.MENG</v>
      </c>
      <c r="B33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39" s="46"/>
      <c r="D339" s="44"/>
      <c r="E339" s="44"/>
      <c r="F339" s="47"/>
      <c r="G339" s="47"/>
      <c r="H339" s="45"/>
      <c r="I339" s="45"/>
      <c r="J339" s="45"/>
      <c r="K339" s="45"/>
      <c r="L339" s="46"/>
      <c r="M339" s="47"/>
      <c r="N339" s="46"/>
      <c r="O339" s="46"/>
      <c r="P339" s="47"/>
      <c r="Q339" s="46"/>
      <c r="R339" s="46"/>
      <c r="S339" s="48"/>
      <c r="T339" s="68" t="str">
        <f>IF(Tableau1[[#This Row],[DMS_SAP]]="","",HYPERLINK(Tableau1[[#This Row],[Chemin fichier source]],"X"))</f>
        <v/>
      </c>
      <c r="U339" s="68" t="str">
        <f>IF(Tableau1[[#This Row],[Date rév.]]="","",HYPERLINK(Tableau1[[#This Row],[Lien document]],"X"))</f>
        <v/>
      </c>
      <c r="V339" s="47"/>
      <c r="W33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39" s="47"/>
      <c r="Y339" s="47"/>
      <c r="Z339" s="44" t="str">
        <f ca="1">IF(AND(Tableau1[[#This Row],[Charge]]&lt;&gt;0, Tableau1[[#This Row],[Nombre intervenants]]&lt;&gt;0,Tableau1[[#This Row],[Lien document]]&lt;&gt;0,Tableau1[[#This Row],[DMS_SAP]]&lt;&gt;0)=TRUE,"MIS A JOUR","")</f>
        <v/>
      </c>
      <c r="AA339" s="48"/>
      <c r="AB339" s="65" t="str">
        <f ca="1">IF(Tableau1[[#This Row],[Date rév.]]&lt;&gt;"", DAYS360(Tableau1[[#This Row],[Date rév.]],TODAY()),"")</f>
        <v/>
      </c>
      <c r="AC339" s="50" t="str">
        <f>IFERROR(INDEX(Chemin_accès!$B$11:$C$22,MATCH(Tableau1[[#This Row],[Type]],Chemin_accès!$C$11:$C$22,0),1),Chemin_accès!$B$11)</f>
        <v>\\stjn.local\trimet\Btechnique\Commun\Atelier Central mécanique\Plan entretien\Modèles préventif\GammeDMS_7.MENG.xlsm</v>
      </c>
      <c r="AD339" s="50" t="str">
        <f>Chemin_accès!$B$8&amp;Tableau1[[#This Row],[Localisation / Classement]]&amp;"\"&amp;Tableau1[[#This Row],[Poste technique ou N° d''équipement]]&amp;"_"&amp;Tableau1[[#This Row],[Plan Entretien]]&amp;".xlsm"</f>
        <v>\\stjn.local\trimet\Btechnique\Commun\Atelier Central mécanique\Plan entretien\GammeEntretien\\_.xlsm</v>
      </c>
    </row>
    <row r="340" spans="1:30" x14ac:dyDescent="0.3">
      <c r="A340" s="44" t="str">
        <f t="shared" ca="1" si="5"/>
        <v>7.MENG</v>
      </c>
      <c r="B34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40" s="46"/>
      <c r="D340" s="44"/>
      <c r="E340" s="44"/>
      <c r="F340" s="47"/>
      <c r="G340" s="47"/>
      <c r="H340" s="45"/>
      <c r="I340" s="45"/>
      <c r="J340" s="45"/>
      <c r="K340" s="45"/>
      <c r="L340" s="46"/>
      <c r="M340" s="47"/>
      <c r="N340" s="46"/>
      <c r="O340" s="46"/>
      <c r="P340" s="47"/>
      <c r="Q340" s="46"/>
      <c r="R340" s="46"/>
      <c r="S340" s="48"/>
      <c r="T340" s="68" t="str">
        <f>IF(Tableau1[[#This Row],[DMS_SAP]]="","",HYPERLINK(Tableau1[[#This Row],[Chemin fichier source]],"X"))</f>
        <v/>
      </c>
      <c r="U340" s="68" t="str">
        <f>IF(Tableau1[[#This Row],[Date rév.]]="","",HYPERLINK(Tableau1[[#This Row],[Lien document]],"X"))</f>
        <v/>
      </c>
      <c r="V340" s="47"/>
      <c r="W34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40" s="47"/>
      <c r="Y340" s="47"/>
      <c r="Z340" s="44" t="str">
        <f ca="1">IF(AND(Tableau1[[#This Row],[Charge]]&lt;&gt;0, Tableau1[[#This Row],[Nombre intervenants]]&lt;&gt;0,Tableau1[[#This Row],[Lien document]]&lt;&gt;0,Tableau1[[#This Row],[DMS_SAP]]&lt;&gt;0)=TRUE,"MIS A JOUR","")</f>
        <v/>
      </c>
      <c r="AA340" s="48"/>
      <c r="AB340" s="65" t="str">
        <f ca="1">IF(Tableau1[[#This Row],[Date rév.]]&lt;&gt;"", DAYS360(Tableau1[[#This Row],[Date rév.]],TODAY()),"")</f>
        <v/>
      </c>
      <c r="AC340" s="50" t="str">
        <f>IFERROR(INDEX(Chemin_accès!$B$11:$C$22,MATCH(Tableau1[[#This Row],[Type]],Chemin_accès!$C$11:$C$22,0),1),Chemin_accès!$B$11)</f>
        <v>\\stjn.local\trimet\Btechnique\Commun\Atelier Central mécanique\Plan entretien\Modèles préventif\GammeDMS_7.MENG.xlsm</v>
      </c>
      <c r="AD340" s="50" t="str">
        <f>Chemin_accès!$B$8&amp;Tableau1[[#This Row],[Localisation / Classement]]&amp;"\"&amp;Tableau1[[#This Row],[Poste technique ou N° d''équipement]]&amp;"_"&amp;Tableau1[[#This Row],[Plan Entretien]]&amp;".xlsm"</f>
        <v>\\stjn.local\trimet\Btechnique\Commun\Atelier Central mécanique\Plan entretien\GammeEntretien\\_.xlsm</v>
      </c>
    </row>
    <row r="341" spans="1:30" x14ac:dyDescent="0.3">
      <c r="A341" s="44" t="str">
        <f t="shared" ca="1" si="5"/>
        <v>7.MENG</v>
      </c>
      <c r="B34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41" s="46"/>
      <c r="D341" s="44"/>
      <c r="E341" s="44"/>
      <c r="F341" s="47"/>
      <c r="G341" s="47"/>
      <c r="H341" s="45"/>
      <c r="I341" s="45"/>
      <c r="J341" s="45"/>
      <c r="K341" s="45"/>
      <c r="L341" s="46"/>
      <c r="M341" s="47"/>
      <c r="N341" s="46"/>
      <c r="O341" s="46"/>
      <c r="P341" s="47"/>
      <c r="Q341" s="46"/>
      <c r="R341" s="46"/>
      <c r="S341" s="48"/>
      <c r="T341" s="68" t="str">
        <f>IF(Tableau1[[#This Row],[DMS_SAP]]="","",HYPERLINK(Tableau1[[#This Row],[Chemin fichier source]],"X"))</f>
        <v/>
      </c>
      <c r="U341" s="68" t="str">
        <f>IF(Tableau1[[#This Row],[Date rév.]]="","",HYPERLINK(Tableau1[[#This Row],[Lien document]],"X"))</f>
        <v/>
      </c>
      <c r="V341" s="47"/>
      <c r="W34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41" s="47"/>
      <c r="Y341" s="47"/>
      <c r="Z341" s="44" t="str">
        <f ca="1">IF(AND(Tableau1[[#This Row],[Charge]]&lt;&gt;0, Tableau1[[#This Row],[Nombre intervenants]]&lt;&gt;0,Tableau1[[#This Row],[Lien document]]&lt;&gt;0,Tableau1[[#This Row],[DMS_SAP]]&lt;&gt;0)=TRUE,"MIS A JOUR","")</f>
        <v/>
      </c>
      <c r="AA341" s="48"/>
      <c r="AB341" s="65" t="str">
        <f ca="1">IF(Tableau1[[#This Row],[Date rév.]]&lt;&gt;"", DAYS360(Tableau1[[#This Row],[Date rév.]],TODAY()),"")</f>
        <v/>
      </c>
      <c r="AC341" s="50" t="str">
        <f>IFERROR(INDEX(Chemin_accès!$B$11:$C$22,MATCH(Tableau1[[#This Row],[Type]],Chemin_accès!$C$11:$C$22,0),1),Chemin_accès!$B$11)</f>
        <v>\\stjn.local\trimet\Btechnique\Commun\Atelier Central mécanique\Plan entretien\Modèles préventif\GammeDMS_7.MENG.xlsm</v>
      </c>
      <c r="AD341" s="50" t="str">
        <f>Chemin_accès!$B$8&amp;Tableau1[[#This Row],[Localisation / Classement]]&amp;"\"&amp;Tableau1[[#This Row],[Poste technique ou N° d''équipement]]&amp;"_"&amp;Tableau1[[#This Row],[Plan Entretien]]&amp;".xlsm"</f>
        <v>\\stjn.local\trimet\Btechnique\Commun\Atelier Central mécanique\Plan entretien\GammeEntretien\\_.xlsm</v>
      </c>
    </row>
    <row r="342" spans="1:30" x14ac:dyDescent="0.3">
      <c r="A342" s="44" t="str">
        <f t="shared" ca="1" si="5"/>
        <v>7.MENG</v>
      </c>
      <c r="B34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42" s="46"/>
      <c r="D342" s="44"/>
      <c r="E342" s="44"/>
      <c r="F342" s="47"/>
      <c r="G342" s="47"/>
      <c r="H342" s="45"/>
      <c r="I342" s="45"/>
      <c r="J342" s="45"/>
      <c r="K342" s="45"/>
      <c r="L342" s="46"/>
      <c r="M342" s="47"/>
      <c r="N342" s="46"/>
      <c r="O342" s="46"/>
      <c r="P342" s="47"/>
      <c r="Q342" s="46"/>
      <c r="R342" s="46"/>
      <c r="S342" s="48"/>
      <c r="T342" s="68" t="str">
        <f>IF(Tableau1[[#This Row],[DMS_SAP]]="","",HYPERLINK(Tableau1[[#This Row],[Chemin fichier source]],"X"))</f>
        <v/>
      </c>
      <c r="U342" s="68" t="str">
        <f>IF(Tableau1[[#This Row],[Date rév.]]="","",HYPERLINK(Tableau1[[#This Row],[Lien document]],"X"))</f>
        <v/>
      </c>
      <c r="V342" s="47"/>
      <c r="W34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42" s="47"/>
      <c r="Y342" s="47"/>
      <c r="Z342" s="44" t="str">
        <f ca="1">IF(AND(Tableau1[[#This Row],[Charge]]&lt;&gt;0, Tableau1[[#This Row],[Nombre intervenants]]&lt;&gt;0,Tableau1[[#This Row],[Lien document]]&lt;&gt;0,Tableau1[[#This Row],[DMS_SAP]]&lt;&gt;0)=TRUE,"MIS A JOUR","")</f>
        <v/>
      </c>
      <c r="AA342" s="48"/>
      <c r="AB342" s="65" t="str">
        <f ca="1">IF(Tableau1[[#This Row],[Date rév.]]&lt;&gt;"", DAYS360(Tableau1[[#This Row],[Date rév.]],TODAY()),"")</f>
        <v/>
      </c>
      <c r="AC342" s="50" t="str">
        <f>IFERROR(INDEX(Chemin_accès!$B$11:$C$22,MATCH(Tableau1[[#This Row],[Type]],Chemin_accès!$C$11:$C$22,0),1),Chemin_accès!$B$11)</f>
        <v>\\stjn.local\trimet\Btechnique\Commun\Atelier Central mécanique\Plan entretien\Modèles préventif\GammeDMS_7.MENG.xlsm</v>
      </c>
      <c r="AD342" s="50" t="str">
        <f>Chemin_accès!$B$8&amp;Tableau1[[#This Row],[Localisation / Classement]]&amp;"\"&amp;Tableau1[[#This Row],[Poste technique ou N° d''équipement]]&amp;"_"&amp;Tableau1[[#This Row],[Plan Entretien]]&amp;".xlsm"</f>
        <v>\\stjn.local\trimet\Btechnique\Commun\Atelier Central mécanique\Plan entretien\GammeEntretien\\_.xlsm</v>
      </c>
    </row>
    <row r="343" spans="1:30" x14ac:dyDescent="0.3">
      <c r="A343" s="44" t="str">
        <f t="shared" ca="1" si="5"/>
        <v>7.MENG</v>
      </c>
      <c r="B34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43" s="46"/>
      <c r="D343" s="44"/>
      <c r="E343" s="44"/>
      <c r="F343" s="47"/>
      <c r="G343" s="47"/>
      <c r="H343" s="45"/>
      <c r="I343" s="45"/>
      <c r="J343" s="45"/>
      <c r="K343" s="45"/>
      <c r="L343" s="46"/>
      <c r="M343" s="47"/>
      <c r="N343" s="46"/>
      <c r="O343" s="46"/>
      <c r="P343" s="47"/>
      <c r="Q343" s="46"/>
      <c r="R343" s="46"/>
      <c r="S343" s="48"/>
      <c r="T343" s="68" t="str">
        <f>IF(Tableau1[[#This Row],[DMS_SAP]]="","",HYPERLINK(Tableau1[[#This Row],[Chemin fichier source]],"X"))</f>
        <v/>
      </c>
      <c r="U343" s="68" t="str">
        <f>IF(Tableau1[[#This Row],[Date rév.]]="","",HYPERLINK(Tableau1[[#This Row],[Lien document]],"X"))</f>
        <v/>
      </c>
      <c r="V343" s="47"/>
      <c r="W34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43" s="47"/>
      <c r="Y343" s="47"/>
      <c r="Z343" s="44" t="str">
        <f ca="1">IF(AND(Tableau1[[#This Row],[Charge]]&lt;&gt;0, Tableau1[[#This Row],[Nombre intervenants]]&lt;&gt;0,Tableau1[[#This Row],[Lien document]]&lt;&gt;0,Tableau1[[#This Row],[DMS_SAP]]&lt;&gt;0)=TRUE,"MIS A JOUR","")</f>
        <v/>
      </c>
      <c r="AA343" s="48"/>
      <c r="AB343" s="65" t="str">
        <f ca="1">IF(Tableau1[[#This Row],[Date rév.]]&lt;&gt;"", DAYS360(Tableau1[[#This Row],[Date rév.]],TODAY()),"")</f>
        <v/>
      </c>
      <c r="AC343" s="50" t="str">
        <f>IFERROR(INDEX(Chemin_accès!$B$11:$C$22,MATCH(Tableau1[[#This Row],[Type]],Chemin_accès!$C$11:$C$22,0),1),Chemin_accès!$B$11)</f>
        <v>\\stjn.local\trimet\Btechnique\Commun\Atelier Central mécanique\Plan entretien\Modèles préventif\GammeDMS_7.MENG.xlsm</v>
      </c>
      <c r="AD343" s="50" t="str">
        <f>Chemin_accès!$B$8&amp;Tableau1[[#This Row],[Localisation / Classement]]&amp;"\"&amp;Tableau1[[#This Row],[Poste technique ou N° d''équipement]]&amp;"_"&amp;Tableau1[[#This Row],[Plan Entretien]]&amp;".xlsm"</f>
        <v>\\stjn.local\trimet\Btechnique\Commun\Atelier Central mécanique\Plan entretien\GammeEntretien\\_.xlsm</v>
      </c>
    </row>
    <row r="344" spans="1:30" x14ac:dyDescent="0.3">
      <c r="A344" s="44" t="str">
        <f t="shared" ca="1" si="5"/>
        <v>7.MENG</v>
      </c>
      <c r="B34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44" s="46"/>
      <c r="D344" s="44"/>
      <c r="E344" s="44"/>
      <c r="F344" s="47"/>
      <c r="G344" s="47"/>
      <c r="H344" s="45"/>
      <c r="I344" s="45"/>
      <c r="J344" s="45"/>
      <c r="K344" s="45"/>
      <c r="L344" s="46"/>
      <c r="M344" s="47"/>
      <c r="N344" s="46"/>
      <c r="O344" s="46"/>
      <c r="P344" s="47"/>
      <c r="Q344" s="46"/>
      <c r="R344" s="46"/>
      <c r="S344" s="48"/>
      <c r="T344" s="68" t="str">
        <f>IF(Tableau1[[#This Row],[DMS_SAP]]="","",HYPERLINK(Tableau1[[#This Row],[Chemin fichier source]],"X"))</f>
        <v/>
      </c>
      <c r="U344" s="68" t="str">
        <f>IF(Tableau1[[#This Row],[Date rév.]]="","",HYPERLINK(Tableau1[[#This Row],[Lien document]],"X"))</f>
        <v/>
      </c>
      <c r="V344" s="47"/>
      <c r="W34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44" s="47"/>
      <c r="Y344" s="47"/>
      <c r="Z344" s="44" t="str">
        <f ca="1">IF(AND(Tableau1[[#This Row],[Charge]]&lt;&gt;0, Tableau1[[#This Row],[Nombre intervenants]]&lt;&gt;0,Tableau1[[#This Row],[Lien document]]&lt;&gt;0,Tableau1[[#This Row],[DMS_SAP]]&lt;&gt;0)=TRUE,"MIS A JOUR","")</f>
        <v/>
      </c>
      <c r="AA344" s="48"/>
      <c r="AB344" s="65" t="str">
        <f ca="1">IF(Tableau1[[#This Row],[Date rév.]]&lt;&gt;"", DAYS360(Tableau1[[#This Row],[Date rév.]],TODAY()),"")</f>
        <v/>
      </c>
      <c r="AC344" s="50" t="str">
        <f>IFERROR(INDEX(Chemin_accès!$B$11:$C$22,MATCH(Tableau1[[#This Row],[Type]],Chemin_accès!$C$11:$C$22,0),1),Chemin_accès!$B$11)</f>
        <v>\\stjn.local\trimet\Btechnique\Commun\Atelier Central mécanique\Plan entretien\Modèles préventif\GammeDMS_7.MENG.xlsm</v>
      </c>
      <c r="AD344" s="50" t="str">
        <f>Chemin_accès!$B$8&amp;Tableau1[[#This Row],[Localisation / Classement]]&amp;"\"&amp;Tableau1[[#This Row],[Poste technique ou N° d''équipement]]&amp;"_"&amp;Tableau1[[#This Row],[Plan Entretien]]&amp;".xlsm"</f>
        <v>\\stjn.local\trimet\Btechnique\Commun\Atelier Central mécanique\Plan entretien\GammeEntretien\\_.xlsm</v>
      </c>
    </row>
    <row r="345" spans="1:30" x14ac:dyDescent="0.3">
      <c r="A345" s="44" t="str">
        <f t="shared" ca="1" si="5"/>
        <v>7.MENG</v>
      </c>
      <c r="B34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45" s="46"/>
      <c r="D345" s="44"/>
      <c r="E345" s="44"/>
      <c r="F345" s="47"/>
      <c r="G345" s="47"/>
      <c r="H345" s="45"/>
      <c r="I345" s="45"/>
      <c r="J345" s="45"/>
      <c r="K345" s="45"/>
      <c r="L345" s="46"/>
      <c r="M345" s="47"/>
      <c r="N345" s="46"/>
      <c r="O345" s="46"/>
      <c r="P345" s="47"/>
      <c r="Q345" s="46"/>
      <c r="R345" s="46"/>
      <c r="S345" s="48"/>
      <c r="T345" s="68" t="str">
        <f>IF(Tableau1[[#This Row],[DMS_SAP]]="","",HYPERLINK(Tableau1[[#This Row],[Chemin fichier source]],"X"))</f>
        <v/>
      </c>
      <c r="U345" s="68" t="str">
        <f>IF(Tableau1[[#This Row],[Date rév.]]="","",HYPERLINK(Tableau1[[#This Row],[Lien document]],"X"))</f>
        <v/>
      </c>
      <c r="V345" s="47"/>
      <c r="W34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45" s="47"/>
      <c r="Y345" s="47"/>
      <c r="Z345" s="44" t="str">
        <f ca="1">IF(AND(Tableau1[[#This Row],[Charge]]&lt;&gt;0, Tableau1[[#This Row],[Nombre intervenants]]&lt;&gt;0,Tableau1[[#This Row],[Lien document]]&lt;&gt;0,Tableau1[[#This Row],[DMS_SAP]]&lt;&gt;0)=TRUE,"MIS A JOUR","")</f>
        <v/>
      </c>
      <c r="AA345" s="48"/>
      <c r="AB345" s="65" t="str">
        <f ca="1">IF(Tableau1[[#This Row],[Date rév.]]&lt;&gt;"", DAYS360(Tableau1[[#This Row],[Date rév.]],TODAY()),"")</f>
        <v/>
      </c>
      <c r="AC345" s="50" t="str">
        <f>IFERROR(INDEX(Chemin_accès!$B$11:$C$22,MATCH(Tableau1[[#This Row],[Type]],Chemin_accès!$C$11:$C$22,0),1),Chemin_accès!$B$11)</f>
        <v>\\stjn.local\trimet\Btechnique\Commun\Atelier Central mécanique\Plan entretien\Modèles préventif\GammeDMS_7.MENG.xlsm</v>
      </c>
      <c r="AD345" s="50" t="str">
        <f>Chemin_accès!$B$8&amp;Tableau1[[#This Row],[Localisation / Classement]]&amp;"\"&amp;Tableau1[[#This Row],[Poste technique ou N° d''équipement]]&amp;"_"&amp;Tableau1[[#This Row],[Plan Entretien]]&amp;".xlsm"</f>
        <v>\\stjn.local\trimet\Btechnique\Commun\Atelier Central mécanique\Plan entretien\GammeEntretien\\_.xlsm</v>
      </c>
    </row>
    <row r="346" spans="1:30" x14ac:dyDescent="0.3">
      <c r="A346" s="44" t="str">
        <f t="shared" ca="1" si="5"/>
        <v>7.MENG</v>
      </c>
      <c r="B34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46" s="46"/>
      <c r="D346" s="44"/>
      <c r="E346" s="44"/>
      <c r="F346" s="47"/>
      <c r="G346" s="47"/>
      <c r="H346" s="45"/>
      <c r="I346" s="45"/>
      <c r="J346" s="45"/>
      <c r="K346" s="45"/>
      <c r="L346" s="46"/>
      <c r="M346" s="47"/>
      <c r="N346" s="46"/>
      <c r="O346" s="46"/>
      <c r="P346" s="47"/>
      <c r="Q346" s="46"/>
      <c r="R346" s="46"/>
      <c r="S346" s="48"/>
      <c r="T346" s="68" t="str">
        <f>IF(Tableau1[[#This Row],[DMS_SAP]]="","",HYPERLINK(Tableau1[[#This Row],[Chemin fichier source]],"X"))</f>
        <v/>
      </c>
      <c r="U346" s="68" t="str">
        <f>IF(Tableau1[[#This Row],[Date rév.]]="","",HYPERLINK(Tableau1[[#This Row],[Lien document]],"X"))</f>
        <v/>
      </c>
      <c r="V346" s="47"/>
      <c r="W34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46" s="47"/>
      <c r="Y346" s="47"/>
      <c r="Z346" s="44" t="str">
        <f ca="1">IF(AND(Tableau1[[#This Row],[Charge]]&lt;&gt;0, Tableau1[[#This Row],[Nombre intervenants]]&lt;&gt;0,Tableau1[[#This Row],[Lien document]]&lt;&gt;0,Tableau1[[#This Row],[DMS_SAP]]&lt;&gt;0)=TRUE,"MIS A JOUR","")</f>
        <v/>
      </c>
      <c r="AA346" s="48"/>
      <c r="AB346" s="65" t="str">
        <f ca="1">IF(Tableau1[[#This Row],[Date rév.]]&lt;&gt;"", DAYS360(Tableau1[[#This Row],[Date rév.]],TODAY()),"")</f>
        <v/>
      </c>
      <c r="AC346" s="50" t="str">
        <f>IFERROR(INDEX(Chemin_accès!$B$11:$C$22,MATCH(Tableau1[[#This Row],[Type]],Chemin_accès!$C$11:$C$22,0),1),Chemin_accès!$B$11)</f>
        <v>\\stjn.local\trimet\Btechnique\Commun\Atelier Central mécanique\Plan entretien\Modèles préventif\GammeDMS_7.MENG.xlsm</v>
      </c>
      <c r="AD346" s="50" t="str">
        <f>Chemin_accès!$B$8&amp;Tableau1[[#This Row],[Localisation / Classement]]&amp;"\"&amp;Tableau1[[#This Row],[Poste technique ou N° d''équipement]]&amp;"_"&amp;Tableau1[[#This Row],[Plan Entretien]]&amp;".xlsm"</f>
        <v>\\stjn.local\trimet\Btechnique\Commun\Atelier Central mécanique\Plan entretien\GammeEntretien\\_.xlsm</v>
      </c>
    </row>
    <row r="347" spans="1:30" x14ac:dyDescent="0.3">
      <c r="A347" s="44" t="str">
        <f t="shared" ca="1" si="5"/>
        <v>7.MENG</v>
      </c>
      <c r="B34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47" s="46"/>
      <c r="D347" s="44"/>
      <c r="E347" s="44"/>
      <c r="F347" s="47"/>
      <c r="G347" s="47"/>
      <c r="H347" s="45"/>
      <c r="I347" s="45"/>
      <c r="J347" s="45"/>
      <c r="K347" s="45"/>
      <c r="L347" s="46"/>
      <c r="M347" s="47"/>
      <c r="N347" s="46"/>
      <c r="O347" s="46"/>
      <c r="P347" s="47"/>
      <c r="Q347" s="46"/>
      <c r="R347" s="46"/>
      <c r="S347" s="48"/>
      <c r="T347" s="68" t="str">
        <f>IF(Tableau1[[#This Row],[DMS_SAP]]="","",HYPERLINK(Tableau1[[#This Row],[Chemin fichier source]],"X"))</f>
        <v/>
      </c>
      <c r="U347" s="68" t="str">
        <f>IF(Tableau1[[#This Row],[Date rév.]]="","",HYPERLINK(Tableau1[[#This Row],[Lien document]],"X"))</f>
        <v/>
      </c>
      <c r="V347" s="47"/>
      <c r="W34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47" s="47"/>
      <c r="Y347" s="47"/>
      <c r="Z347" s="44" t="str">
        <f ca="1">IF(AND(Tableau1[[#This Row],[Charge]]&lt;&gt;0, Tableau1[[#This Row],[Nombre intervenants]]&lt;&gt;0,Tableau1[[#This Row],[Lien document]]&lt;&gt;0,Tableau1[[#This Row],[DMS_SAP]]&lt;&gt;0)=TRUE,"MIS A JOUR","")</f>
        <v/>
      </c>
      <c r="AA347" s="48"/>
      <c r="AB347" s="65" t="str">
        <f ca="1">IF(Tableau1[[#This Row],[Date rév.]]&lt;&gt;"", DAYS360(Tableau1[[#This Row],[Date rév.]],TODAY()),"")</f>
        <v/>
      </c>
      <c r="AC347" s="50" t="str">
        <f>IFERROR(INDEX(Chemin_accès!$B$11:$C$22,MATCH(Tableau1[[#This Row],[Type]],Chemin_accès!$C$11:$C$22,0),1),Chemin_accès!$B$11)</f>
        <v>\\stjn.local\trimet\Btechnique\Commun\Atelier Central mécanique\Plan entretien\Modèles préventif\GammeDMS_7.MENG.xlsm</v>
      </c>
      <c r="AD347" s="50" t="str">
        <f>Chemin_accès!$B$8&amp;Tableau1[[#This Row],[Localisation / Classement]]&amp;"\"&amp;Tableau1[[#This Row],[Poste technique ou N° d''équipement]]&amp;"_"&amp;Tableau1[[#This Row],[Plan Entretien]]&amp;".xlsm"</f>
        <v>\\stjn.local\trimet\Btechnique\Commun\Atelier Central mécanique\Plan entretien\GammeEntretien\\_.xlsm</v>
      </c>
    </row>
    <row r="348" spans="1:30" x14ac:dyDescent="0.3">
      <c r="A348" s="44" t="str">
        <f t="shared" ca="1" si="5"/>
        <v>7.MENG</v>
      </c>
      <c r="B34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48" s="46"/>
      <c r="D348" s="44"/>
      <c r="E348" s="44"/>
      <c r="F348" s="47"/>
      <c r="G348" s="47"/>
      <c r="H348" s="45"/>
      <c r="I348" s="45"/>
      <c r="J348" s="45"/>
      <c r="K348" s="45"/>
      <c r="L348" s="46"/>
      <c r="M348" s="47"/>
      <c r="N348" s="46"/>
      <c r="O348" s="46"/>
      <c r="P348" s="47"/>
      <c r="Q348" s="46"/>
      <c r="R348" s="46"/>
      <c r="S348" s="48"/>
      <c r="T348" s="68" t="str">
        <f>IF(Tableau1[[#This Row],[DMS_SAP]]="","",HYPERLINK(Tableau1[[#This Row],[Chemin fichier source]],"X"))</f>
        <v/>
      </c>
      <c r="U348" s="68" t="str">
        <f>IF(Tableau1[[#This Row],[Date rév.]]="","",HYPERLINK(Tableau1[[#This Row],[Lien document]],"X"))</f>
        <v/>
      </c>
      <c r="V348" s="47"/>
      <c r="W34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48" s="47"/>
      <c r="Y348" s="47"/>
      <c r="Z348" s="44" t="str">
        <f ca="1">IF(AND(Tableau1[[#This Row],[Charge]]&lt;&gt;0, Tableau1[[#This Row],[Nombre intervenants]]&lt;&gt;0,Tableau1[[#This Row],[Lien document]]&lt;&gt;0,Tableau1[[#This Row],[DMS_SAP]]&lt;&gt;0)=TRUE,"MIS A JOUR","")</f>
        <v/>
      </c>
      <c r="AA348" s="48"/>
      <c r="AB348" s="65" t="str">
        <f ca="1">IF(Tableau1[[#This Row],[Date rév.]]&lt;&gt;"", DAYS360(Tableau1[[#This Row],[Date rév.]],TODAY()),"")</f>
        <v/>
      </c>
      <c r="AC348" s="50" t="str">
        <f>IFERROR(INDEX(Chemin_accès!$B$11:$C$22,MATCH(Tableau1[[#This Row],[Type]],Chemin_accès!$C$11:$C$22,0),1),Chemin_accès!$B$11)</f>
        <v>\\stjn.local\trimet\Btechnique\Commun\Atelier Central mécanique\Plan entretien\Modèles préventif\GammeDMS_7.MENG.xlsm</v>
      </c>
      <c r="AD348" s="50" t="str">
        <f>Chemin_accès!$B$8&amp;Tableau1[[#This Row],[Localisation / Classement]]&amp;"\"&amp;Tableau1[[#This Row],[Poste technique ou N° d''équipement]]&amp;"_"&amp;Tableau1[[#This Row],[Plan Entretien]]&amp;".xlsm"</f>
        <v>\\stjn.local\trimet\Btechnique\Commun\Atelier Central mécanique\Plan entretien\GammeEntretien\\_.xlsm</v>
      </c>
    </row>
    <row r="349" spans="1:30" x14ac:dyDescent="0.3">
      <c r="A349" s="44" t="str">
        <f t="shared" ca="1" si="5"/>
        <v>7.MENG</v>
      </c>
      <c r="B34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49" s="46"/>
      <c r="D349" s="44"/>
      <c r="E349" s="44"/>
      <c r="F349" s="47"/>
      <c r="G349" s="47"/>
      <c r="H349" s="45"/>
      <c r="I349" s="45"/>
      <c r="J349" s="45"/>
      <c r="K349" s="45"/>
      <c r="L349" s="46"/>
      <c r="M349" s="47"/>
      <c r="N349" s="46"/>
      <c r="O349" s="46"/>
      <c r="P349" s="47"/>
      <c r="Q349" s="46"/>
      <c r="R349" s="46"/>
      <c r="S349" s="48"/>
      <c r="T349" s="68" t="str">
        <f>IF(Tableau1[[#This Row],[DMS_SAP]]="","",HYPERLINK(Tableau1[[#This Row],[Chemin fichier source]],"X"))</f>
        <v/>
      </c>
      <c r="U349" s="68" t="str">
        <f>IF(Tableau1[[#This Row],[Date rév.]]="","",HYPERLINK(Tableau1[[#This Row],[Lien document]],"X"))</f>
        <v/>
      </c>
      <c r="V349" s="47"/>
      <c r="W34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49" s="47"/>
      <c r="Y349" s="47"/>
      <c r="Z349" s="44" t="str">
        <f ca="1">IF(AND(Tableau1[[#This Row],[Charge]]&lt;&gt;0, Tableau1[[#This Row],[Nombre intervenants]]&lt;&gt;0,Tableau1[[#This Row],[Lien document]]&lt;&gt;0,Tableau1[[#This Row],[DMS_SAP]]&lt;&gt;0)=TRUE,"MIS A JOUR","")</f>
        <v/>
      </c>
      <c r="AA349" s="48"/>
      <c r="AB349" s="65" t="str">
        <f ca="1">IF(Tableau1[[#This Row],[Date rév.]]&lt;&gt;"", DAYS360(Tableau1[[#This Row],[Date rév.]],TODAY()),"")</f>
        <v/>
      </c>
      <c r="AC349" s="50" t="str">
        <f>IFERROR(INDEX(Chemin_accès!$B$11:$C$22,MATCH(Tableau1[[#This Row],[Type]],Chemin_accès!$C$11:$C$22,0),1),Chemin_accès!$B$11)</f>
        <v>\\stjn.local\trimet\Btechnique\Commun\Atelier Central mécanique\Plan entretien\Modèles préventif\GammeDMS_7.MENG.xlsm</v>
      </c>
      <c r="AD349" s="50" t="str">
        <f>Chemin_accès!$B$8&amp;Tableau1[[#This Row],[Localisation / Classement]]&amp;"\"&amp;Tableau1[[#This Row],[Poste technique ou N° d''équipement]]&amp;"_"&amp;Tableau1[[#This Row],[Plan Entretien]]&amp;".xlsm"</f>
        <v>\\stjn.local\trimet\Btechnique\Commun\Atelier Central mécanique\Plan entretien\GammeEntretien\\_.xlsm</v>
      </c>
    </row>
    <row r="350" spans="1:30" x14ac:dyDescent="0.3">
      <c r="A350" s="44" t="str">
        <f t="shared" ca="1" si="5"/>
        <v>7.MENG</v>
      </c>
      <c r="B35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50" s="46"/>
      <c r="D350" s="44"/>
      <c r="E350" s="44"/>
      <c r="F350" s="47"/>
      <c r="G350" s="47"/>
      <c r="H350" s="45"/>
      <c r="I350" s="45"/>
      <c r="J350" s="45"/>
      <c r="K350" s="45"/>
      <c r="L350" s="46"/>
      <c r="M350" s="47"/>
      <c r="N350" s="46"/>
      <c r="O350" s="46"/>
      <c r="P350" s="47"/>
      <c r="Q350" s="46"/>
      <c r="R350" s="46"/>
      <c r="S350" s="48"/>
      <c r="T350" s="68" t="str">
        <f>IF(Tableau1[[#This Row],[DMS_SAP]]="","",HYPERLINK(Tableau1[[#This Row],[Chemin fichier source]],"X"))</f>
        <v/>
      </c>
      <c r="U350" s="68" t="str">
        <f>IF(Tableau1[[#This Row],[Date rév.]]="","",HYPERLINK(Tableau1[[#This Row],[Lien document]],"X"))</f>
        <v/>
      </c>
      <c r="V350" s="47"/>
      <c r="W35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50" s="47"/>
      <c r="Y350" s="47"/>
      <c r="Z350" s="44" t="str">
        <f ca="1">IF(AND(Tableau1[[#This Row],[Charge]]&lt;&gt;0, Tableau1[[#This Row],[Nombre intervenants]]&lt;&gt;0,Tableau1[[#This Row],[Lien document]]&lt;&gt;0,Tableau1[[#This Row],[DMS_SAP]]&lt;&gt;0)=TRUE,"MIS A JOUR","")</f>
        <v/>
      </c>
      <c r="AA350" s="48"/>
      <c r="AB350" s="65" t="str">
        <f ca="1">IF(Tableau1[[#This Row],[Date rév.]]&lt;&gt;"", DAYS360(Tableau1[[#This Row],[Date rév.]],TODAY()),"")</f>
        <v/>
      </c>
      <c r="AC350" s="50" t="str">
        <f>IFERROR(INDEX(Chemin_accès!$B$11:$C$22,MATCH(Tableau1[[#This Row],[Type]],Chemin_accès!$C$11:$C$22,0),1),Chemin_accès!$B$11)</f>
        <v>\\stjn.local\trimet\Btechnique\Commun\Atelier Central mécanique\Plan entretien\Modèles préventif\GammeDMS_7.MENG.xlsm</v>
      </c>
      <c r="AD350" s="50" t="str">
        <f>Chemin_accès!$B$8&amp;Tableau1[[#This Row],[Localisation / Classement]]&amp;"\"&amp;Tableau1[[#This Row],[Poste technique ou N° d''équipement]]&amp;"_"&amp;Tableau1[[#This Row],[Plan Entretien]]&amp;".xlsm"</f>
        <v>\\stjn.local\trimet\Btechnique\Commun\Atelier Central mécanique\Plan entretien\GammeEntretien\\_.xlsm</v>
      </c>
    </row>
    <row r="351" spans="1:30" x14ac:dyDescent="0.3">
      <c r="A351" s="44" t="str">
        <f t="shared" ca="1" si="5"/>
        <v>7.MENG</v>
      </c>
      <c r="B35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51" s="46"/>
      <c r="D351" s="44"/>
      <c r="E351" s="44"/>
      <c r="F351" s="47"/>
      <c r="G351" s="47"/>
      <c r="H351" s="45"/>
      <c r="I351" s="45"/>
      <c r="J351" s="45"/>
      <c r="K351" s="45"/>
      <c r="L351" s="46"/>
      <c r="M351" s="47"/>
      <c r="N351" s="46"/>
      <c r="O351" s="46"/>
      <c r="P351" s="47"/>
      <c r="Q351" s="46"/>
      <c r="R351" s="46"/>
      <c r="S351" s="48"/>
      <c r="T351" s="68" t="str">
        <f>IF(Tableau1[[#This Row],[DMS_SAP]]="","",HYPERLINK(Tableau1[[#This Row],[Chemin fichier source]],"X"))</f>
        <v/>
      </c>
      <c r="U351" s="68" t="str">
        <f>IF(Tableau1[[#This Row],[Date rév.]]="","",HYPERLINK(Tableau1[[#This Row],[Lien document]],"X"))</f>
        <v/>
      </c>
      <c r="V351" s="47"/>
      <c r="W35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51" s="47"/>
      <c r="Y351" s="47"/>
      <c r="Z351" s="44" t="str">
        <f ca="1">IF(AND(Tableau1[[#This Row],[Charge]]&lt;&gt;0, Tableau1[[#This Row],[Nombre intervenants]]&lt;&gt;0,Tableau1[[#This Row],[Lien document]]&lt;&gt;0,Tableau1[[#This Row],[DMS_SAP]]&lt;&gt;0)=TRUE,"MIS A JOUR","")</f>
        <v/>
      </c>
      <c r="AA351" s="48"/>
      <c r="AB351" s="65" t="str">
        <f ca="1">IF(Tableau1[[#This Row],[Date rév.]]&lt;&gt;"", DAYS360(Tableau1[[#This Row],[Date rév.]],TODAY()),"")</f>
        <v/>
      </c>
      <c r="AC351" s="50" t="str">
        <f>IFERROR(INDEX(Chemin_accès!$B$11:$C$22,MATCH(Tableau1[[#This Row],[Type]],Chemin_accès!$C$11:$C$22,0),1),Chemin_accès!$B$11)</f>
        <v>\\stjn.local\trimet\Btechnique\Commun\Atelier Central mécanique\Plan entretien\Modèles préventif\GammeDMS_7.MENG.xlsm</v>
      </c>
      <c r="AD351" s="50" t="str">
        <f>Chemin_accès!$B$8&amp;Tableau1[[#This Row],[Localisation / Classement]]&amp;"\"&amp;Tableau1[[#This Row],[Poste technique ou N° d''équipement]]&amp;"_"&amp;Tableau1[[#This Row],[Plan Entretien]]&amp;".xlsm"</f>
        <v>\\stjn.local\trimet\Btechnique\Commun\Atelier Central mécanique\Plan entretien\GammeEntretien\\_.xlsm</v>
      </c>
    </row>
    <row r="352" spans="1:30" x14ac:dyDescent="0.3">
      <c r="A352" s="44" t="str">
        <f t="shared" ca="1" si="5"/>
        <v>7.MENG</v>
      </c>
      <c r="B35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52" s="46"/>
      <c r="D352" s="44"/>
      <c r="E352" s="44"/>
      <c r="F352" s="47"/>
      <c r="G352" s="47"/>
      <c r="H352" s="45"/>
      <c r="I352" s="45"/>
      <c r="J352" s="45"/>
      <c r="K352" s="45"/>
      <c r="L352" s="46"/>
      <c r="M352" s="47"/>
      <c r="N352" s="46"/>
      <c r="O352" s="46"/>
      <c r="P352" s="47"/>
      <c r="Q352" s="46"/>
      <c r="R352" s="46"/>
      <c r="S352" s="48"/>
      <c r="T352" s="68" t="str">
        <f>IF(Tableau1[[#This Row],[DMS_SAP]]="","",HYPERLINK(Tableau1[[#This Row],[Chemin fichier source]],"X"))</f>
        <v/>
      </c>
      <c r="U352" s="68" t="str">
        <f>IF(Tableau1[[#This Row],[Date rév.]]="","",HYPERLINK(Tableau1[[#This Row],[Lien document]],"X"))</f>
        <v/>
      </c>
      <c r="V352" s="47"/>
      <c r="W35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52" s="47"/>
      <c r="Y352" s="47"/>
      <c r="Z352" s="44" t="str">
        <f ca="1">IF(AND(Tableau1[[#This Row],[Charge]]&lt;&gt;0, Tableau1[[#This Row],[Nombre intervenants]]&lt;&gt;0,Tableau1[[#This Row],[Lien document]]&lt;&gt;0,Tableau1[[#This Row],[DMS_SAP]]&lt;&gt;0)=TRUE,"MIS A JOUR","")</f>
        <v/>
      </c>
      <c r="AA352" s="48"/>
      <c r="AB352" s="65" t="str">
        <f ca="1">IF(Tableau1[[#This Row],[Date rév.]]&lt;&gt;"", DAYS360(Tableau1[[#This Row],[Date rév.]],TODAY()),"")</f>
        <v/>
      </c>
      <c r="AC352" s="50" t="str">
        <f>IFERROR(INDEX(Chemin_accès!$B$11:$C$22,MATCH(Tableau1[[#This Row],[Type]],Chemin_accès!$C$11:$C$22,0),1),Chemin_accès!$B$11)</f>
        <v>\\stjn.local\trimet\Btechnique\Commun\Atelier Central mécanique\Plan entretien\Modèles préventif\GammeDMS_7.MENG.xlsm</v>
      </c>
      <c r="AD352" s="50" t="str">
        <f>Chemin_accès!$B$8&amp;Tableau1[[#This Row],[Localisation / Classement]]&amp;"\"&amp;Tableau1[[#This Row],[Poste technique ou N° d''équipement]]&amp;"_"&amp;Tableau1[[#This Row],[Plan Entretien]]&amp;".xlsm"</f>
        <v>\\stjn.local\trimet\Btechnique\Commun\Atelier Central mécanique\Plan entretien\GammeEntretien\\_.xlsm</v>
      </c>
    </row>
    <row r="353" spans="1:30" x14ac:dyDescent="0.3">
      <c r="A353" s="44" t="str">
        <f t="shared" ca="1" si="5"/>
        <v>7.MENG</v>
      </c>
      <c r="B35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53" s="46"/>
      <c r="D353" s="44"/>
      <c r="E353" s="44"/>
      <c r="F353" s="47"/>
      <c r="G353" s="47"/>
      <c r="H353" s="45"/>
      <c r="I353" s="45"/>
      <c r="J353" s="45"/>
      <c r="K353" s="45"/>
      <c r="L353" s="46"/>
      <c r="M353" s="47"/>
      <c r="N353" s="46"/>
      <c r="O353" s="46"/>
      <c r="P353" s="47"/>
      <c r="Q353" s="46"/>
      <c r="R353" s="46"/>
      <c r="S353" s="48"/>
      <c r="T353" s="68" t="str">
        <f>IF(Tableau1[[#This Row],[DMS_SAP]]="","",HYPERLINK(Tableau1[[#This Row],[Chemin fichier source]],"X"))</f>
        <v/>
      </c>
      <c r="U353" s="68" t="str">
        <f>IF(Tableau1[[#This Row],[Date rév.]]="","",HYPERLINK(Tableau1[[#This Row],[Lien document]],"X"))</f>
        <v/>
      </c>
      <c r="V353" s="47"/>
      <c r="W35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53" s="47"/>
      <c r="Y353" s="47"/>
      <c r="Z353" s="44" t="str">
        <f ca="1">IF(AND(Tableau1[[#This Row],[Charge]]&lt;&gt;0, Tableau1[[#This Row],[Nombre intervenants]]&lt;&gt;0,Tableau1[[#This Row],[Lien document]]&lt;&gt;0,Tableau1[[#This Row],[DMS_SAP]]&lt;&gt;0)=TRUE,"MIS A JOUR","")</f>
        <v/>
      </c>
      <c r="AA353" s="48"/>
      <c r="AB353" s="65" t="str">
        <f ca="1">IF(Tableau1[[#This Row],[Date rév.]]&lt;&gt;"", DAYS360(Tableau1[[#This Row],[Date rév.]],TODAY()),"")</f>
        <v/>
      </c>
      <c r="AC353" s="50" t="str">
        <f>IFERROR(INDEX(Chemin_accès!$B$11:$C$22,MATCH(Tableau1[[#This Row],[Type]],Chemin_accès!$C$11:$C$22,0),1),Chemin_accès!$B$11)</f>
        <v>\\stjn.local\trimet\Btechnique\Commun\Atelier Central mécanique\Plan entretien\Modèles préventif\GammeDMS_7.MENG.xlsm</v>
      </c>
      <c r="AD353" s="50" t="str">
        <f>Chemin_accès!$B$8&amp;Tableau1[[#This Row],[Localisation / Classement]]&amp;"\"&amp;Tableau1[[#This Row],[Poste technique ou N° d''équipement]]&amp;"_"&amp;Tableau1[[#This Row],[Plan Entretien]]&amp;".xlsm"</f>
        <v>\\stjn.local\trimet\Btechnique\Commun\Atelier Central mécanique\Plan entretien\GammeEntretien\\_.xlsm</v>
      </c>
    </row>
    <row r="354" spans="1:30" x14ac:dyDescent="0.3">
      <c r="A354" s="44" t="str">
        <f t="shared" ca="1" si="5"/>
        <v>7.MENG</v>
      </c>
      <c r="B35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54" s="46"/>
      <c r="D354" s="44"/>
      <c r="E354" s="44"/>
      <c r="F354" s="47"/>
      <c r="G354" s="47"/>
      <c r="H354" s="45"/>
      <c r="I354" s="45"/>
      <c r="J354" s="45"/>
      <c r="K354" s="45"/>
      <c r="L354" s="46"/>
      <c r="M354" s="47"/>
      <c r="N354" s="46"/>
      <c r="O354" s="46"/>
      <c r="P354" s="47"/>
      <c r="Q354" s="46"/>
      <c r="R354" s="46"/>
      <c r="S354" s="48"/>
      <c r="T354" s="68" t="str">
        <f>IF(Tableau1[[#This Row],[DMS_SAP]]="","",HYPERLINK(Tableau1[[#This Row],[Chemin fichier source]],"X"))</f>
        <v/>
      </c>
      <c r="U354" s="68" t="str">
        <f>IF(Tableau1[[#This Row],[Date rév.]]="","",HYPERLINK(Tableau1[[#This Row],[Lien document]],"X"))</f>
        <v/>
      </c>
      <c r="V354" s="47"/>
      <c r="W35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54" s="47"/>
      <c r="Y354" s="47"/>
      <c r="Z354" s="44" t="str">
        <f ca="1">IF(AND(Tableau1[[#This Row],[Charge]]&lt;&gt;0, Tableau1[[#This Row],[Nombre intervenants]]&lt;&gt;0,Tableau1[[#This Row],[Lien document]]&lt;&gt;0,Tableau1[[#This Row],[DMS_SAP]]&lt;&gt;0)=TRUE,"MIS A JOUR","")</f>
        <v/>
      </c>
      <c r="AA354" s="48"/>
      <c r="AB354" s="65" t="str">
        <f ca="1">IF(Tableau1[[#This Row],[Date rév.]]&lt;&gt;"", DAYS360(Tableau1[[#This Row],[Date rév.]],TODAY()),"")</f>
        <v/>
      </c>
      <c r="AC354" s="50" t="str">
        <f>IFERROR(INDEX(Chemin_accès!$B$11:$C$22,MATCH(Tableau1[[#This Row],[Type]],Chemin_accès!$C$11:$C$22,0),1),Chemin_accès!$B$11)</f>
        <v>\\stjn.local\trimet\Btechnique\Commun\Atelier Central mécanique\Plan entretien\Modèles préventif\GammeDMS_7.MENG.xlsm</v>
      </c>
      <c r="AD354" s="50" t="str">
        <f>Chemin_accès!$B$8&amp;Tableau1[[#This Row],[Localisation / Classement]]&amp;"\"&amp;Tableau1[[#This Row],[Poste technique ou N° d''équipement]]&amp;"_"&amp;Tableau1[[#This Row],[Plan Entretien]]&amp;".xlsm"</f>
        <v>\\stjn.local\trimet\Btechnique\Commun\Atelier Central mécanique\Plan entretien\GammeEntretien\\_.xlsm</v>
      </c>
    </row>
    <row r="355" spans="1:30" x14ac:dyDescent="0.3">
      <c r="A355" s="44" t="str">
        <f t="shared" ca="1" si="5"/>
        <v>7.MENG</v>
      </c>
      <c r="B35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55" s="46"/>
      <c r="D355" s="44"/>
      <c r="E355" s="44"/>
      <c r="F355" s="47"/>
      <c r="G355" s="47"/>
      <c r="H355" s="45"/>
      <c r="I355" s="45"/>
      <c r="J355" s="45"/>
      <c r="K355" s="45"/>
      <c r="L355" s="46"/>
      <c r="M355" s="47"/>
      <c r="N355" s="46"/>
      <c r="O355" s="46"/>
      <c r="P355" s="47"/>
      <c r="Q355" s="46"/>
      <c r="R355" s="46"/>
      <c r="S355" s="48"/>
      <c r="T355" s="68" t="str">
        <f>IF(Tableau1[[#This Row],[DMS_SAP]]="","",HYPERLINK(Tableau1[[#This Row],[Chemin fichier source]],"X"))</f>
        <v/>
      </c>
      <c r="U355" s="68" t="str">
        <f>IF(Tableau1[[#This Row],[Date rév.]]="","",HYPERLINK(Tableau1[[#This Row],[Lien document]],"X"))</f>
        <v/>
      </c>
      <c r="V355" s="47"/>
      <c r="W35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55" s="47"/>
      <c r="Y355" s="47"/>
      <c r="Z355" s="44" t="str">
        <f ca="1">IF(AND(Tableau1[[#This Row],[Charge]]&lt;&gt;0, Tableau1[[#This Row],[Nombre intervenants]]&lt;&gt;0,Tableau1[[#This Row],[Lien document]]&lt;&gt;0,Tableau1[[#This Row],[DMS_SAP]]&lt;&gt;0)=TRUE,"MIS A JOUR","")</f>
        <v/>
      </c>
      <c r="AA355" s="48"/>
      <c r="AB355" s="65" t="str">
        <f ca="1">IF(Tableau1[[#This Row],[Date rév.]]&lt;&gt;"", DAYS360(Tableau1[[#This Row],[Date rév.]],TODAY()),"")</f>
        <v/>
      </c>
      <c r="AC355" s="50" t="str">
        <f>IFERROR(INDEX(Chemin_accès!$B$11:$C$22,MATCH(Tableau1[[#This Row],[Type]],Chemin_accès!$C$11:$C$22,0),1),Chemin_accès!$B$11)</f>
        <v>\\stjn.local\trimet\Btechnique\Commun\Atelier Central mécanique\Plan entretien\Modèles préventif\GammeDMS_7.MENG.xlsm</v>
      </c>
      <c r="AD355" s="50" t="str">
        <f>Chemin_accès!$B$8&amp;Tableau1[[#This Row],[Localisation / Classement]]&amp;"\"&amp;Tableau1[[#This Row],[Poste technique ou N° d''équipement]]&amp;"_"&amp;Tableau1[[#This Row],[Plan Entretien]]&amp;".xlsm"</f>
        <v>\\stjn.local\trimet\Btechnique\Commun\Atelier Central mécanique\Plan entretien\GammeEntretien\\_.xlsm</v>
      </c>
    </row>
    <row r="356" spans="1:30" x14ac:dyDescent="0.3">
      <c r="A356" s="44" t="str">
        <f t="shared" ca="1" si="5"/>
        <v>7.MENG</v>
      </c>
      <c r="B35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56" s="46"/>
      <c r="D356" s="44"/>
      <c r="E356" s="44"/>
      <c r="F356" s="47"/>
      <c r="G356" s="47"/>
      <c r="H356" s="45"/>
      <c r="I356" s="45"/>
      <c r="J356" s="45"/>
      <c r="K356" s="45"/>
      <c r="L356" s="46"/>
      <c r="M356" s="47"/>
      <c r="N356" s="46"/>
      <c r="O356" s="46"/>
      <c r="P356" s="47"/>
      <c r="Q356" s="46"/>
      <c r="R356" s="46"/>
      <c r="S356" s="48"/>
      <c r="T356" s="68" t="str">
        <f>IF(Tableau1[[#This Row],[DMS_SAP]]="","",HYPERLINK(Tableau1[[#This Row],[Chemin fichier source]],"X"))</f>
        <v/>
      </c>
      <c r="U356" s="68" t="str">
        <f>IF(Tableau1[[#This Row],[Date rév.]]="","",HYPERLINK(Tableau1[[#This Row],[Lien document]],"X"))</f>
        <v/>
      </c>
      <c r="V356" s="47"/>
      <c r="W35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56" s="47"/>
      <c r="Y356" s="47"/>
      <c r="Z356" s="44" t="str">
        <f ca="1">IF(AND(Tableau1[[#This Row],[Charge]]&lt;&gt;0, Tableau1[[#This Row],[Nombre intervenants]]&lt;&gt;0,Tableau1[[#This Row],[Lien document]]&lt;&gt;0,Tableau1[[#This Row],[DMS_SAP]]&lt;&gt;0)=TRUE,"MIS A JOUR","")</f>
        <v/>
      </c>
      <c r="AA356" s="48"/>
      <c r="AB356" s="65" t="str">
        <f ca="1">IF(Tableau1[[#This Row],[Date rév.]]&lt;&gt;"", DAYS360(Tableau1[[#This Row],[Date rév.]],TODAY()),"")</f>
        <v/>
      </c>
      <c r="AC356" s="50" t="str">
        <f>IFERROR(INDEX(Chemin_accès!$B$11:$C$22,MATCH(Tableau1[[#This Row],[Type]],Chemin_accès!$C$11:$C$22,0),1),Chemin_accès!$B$11)</f>
        <v>\\stjn.local\trimet\Btechnique\Commun\Atelier Central mécanique\Plan entretien\Modèles préventif\GammeDMS_7.MENG.xlsm</v>
      </c>
      <c r="AD356" s="50" t="str">
        <f>Chemin_accès!$B$8&amp;Tableau1[[#This Row],[Localisation / Classement]]&amp;"\"&amp;Tableau1[[#This Row],[Poste technique ou N° d''équipement]]&amp;"_"&amp;Tableau1[[#This Row],[Plan Entretien]]&amp;".xlsm"</f>
        <v>\\stjn.local\trimet\Btechnique\Commun\Atelier Central mécanique\Plan entretien\GammeEntretien\\_.xlsm</v>
      </c>
    </row>
    <row r="357" spans="1:30" x14ac:dyDescent="0.3">
      <c r="A357" s="44" t="str">
        <f t="shared" ca="1" si="5"/>
        <v>7.MENG</v>
      </c>
      <c r="B35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57" s="46"/>
      <c r="D357" s="44"/>
      <c r="E357" s="44"/>
      <c r="F357" s="47"/>
      <c r="G357" s="47"/>
      <c r="H357" s="45"/>
      <c r="I357" s="45"/>
      <c r="J357" s="45"/>
      <c r="K357" s="45"/>
      <c r="L357" s="46"/>
      <c r="M357" s="47"/>
      <c r="N357" s="46"/>
      <c r="O357" s="46"/>
      <c r="P357" s="47"/>
      <c r="Q357" s="46"/>
      <c r="R357" s="46"/>
      <c r="S357" s="48"/>
      <c r="T357" s="68" t="str">
        <f>IF(Tableau1[[#This Row],[DMS_SAP]]="","",HYPERLINK(Tableau1[[#This Row],[Chemin fichier source]],"X"))</f>
        <v/>
      </c>
      <c r="U357" s="68" t="str">
        <f>IF(Tableau1[[#This Row],[Date rév.]]="","",HYPERLINK(Tableau1[[#This Row],[Lien document]],"X"))</f>
        <v/>
      </c>
      <c r="V357" s="47"/>
      <c r="W35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57" s="47"/>
      <c r="Y357" s="47"/>
      <c r="Z357" s="44" t="str">
        <f ca="1">IF(AND(Tableau1[[#This Row],[Charge]]&lt;&gt;0, Tableau1[[#This Row],[Nombre intervenants]]&lt;&gt;0,Tableau1[[#This Row],[Lien document]]&lt;&gt;0,Tableau1[[#This Row],[DMS_SAP]]&lt;&gt;0)=TRUE,"MIS A JOUR","")</f>
        <v/>
      </c>
      <c r="AA357" s="48"/>
      <c r="AB357" s="65" t="str">
        <f ca="1">IF(Tableau1[[#This Row],[Date rév.]]&lt;&gt;"", DAYS360(Tableau1[[#This Row],[Date rév.]],TODAY()),"")</f>
        <v/>
      </c>
      <c r="AC357" s="50" t="str">
        <f>IFERROR(INDEX(Chemin_accès!$B$11:$C$22,MATCH(Tableau1[[#This Row],[Type]],Chemin_accès!$C$11:$C$22,0),1),Chemin_accès!$B$11)</f>
        <v>\\stjn.local\trimet\Btechnique\Commun\Atelier Central mécanique\Plan entretien\Modèles préventif\GammeDMS_7.MENG.xlsm</v>
      </c>
      <c r="AD357" s="50" t="str">
        <f>Chemin_accès!$B$8&amp;Tableau1[[#This Row],[Localisation / Classement]]&amp;"\"&amp;Tableau1[[#This Row],[Poste technique ou N° d''équipement]]&amp;"_"&amp;Tableau1[[#This Row],[Plan Entretien]]&amp;".xlsm"</f>
        <v>\\stjn.local\trimet\Btechnique\Commun\Atelier Central mécanique\Plan entretien\GammeEntretien\\_.xlsm</v>
      </c>
    </row>
    <row r="358" spans="1:30" x14ac:dyDescent="0.3">
      <c r="A358" s="44" t="str">
        <f t="shared" ca="1" si="5"/>
        <v>7.MENG</v>
      </c>
      <c r="B35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58" s="46"/>
      <c r="D358" s="44"/>
      <c r="E358" s="44"/>
      <c r="F358" s="47"/>
      <c r="G358" s="47"/>
      <c r="H358" s="45"/>
      <c r="I358" s="45"/>
      <c r="J358" s="45"/>
      <c r="K358" s="45"/>
      <c r="L358" s="46"/>
      <c r="M358" s="47"/>
      <c r="N358" s="46"/>
      <c r="O358" s="46"/>
      <c r="P358" s="47"/>
      <c r="Q358" s="46"/>
      <c r="R358" s="46"/>
      <c r="S358" s="48"/>
      <c r="T358" s="68" t="str">
        <f>IF(Tableau1[[#This Row],[DMS_SAP]]="","",HYPERLINK(Tableau1[[#This Row],[Chemin fichier source]],"X"))</f>
        <v/>
      </c>
      <c r="U358" s="68" t="str">
        <f>IF(Tableau1[[#This Row],[Date rév.]]="","",HYPERLINK(Tableau1[[#This Row],[Lien document]],"X"))</f>
        <v/>
      </c>
      <c r="V358" s="47"/>
      <c r="W35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58" s="47"/>
      <c r="Y358" s="47"/>
      <c r="Z358" s="44" t="str">
        <f ca="1">IF(AND(Tableau1[[#This Row],[Charge]]&lt;&gt;0, Tableau1[[#This Row],[Nombre intervenants]]&lt;&gt;0,Tableau1[[#This Row],[Lien document]]&lt;&gt;0,Tableau1[[#This Row],[DMS_SAP]]&lt;&gt;0)=TRUE,"MIS A JOUR","")</f>
        <v/>
      </c>
      <c r="AA358" s="48"/>
      <c r="AB358" s="65" t="str">
        <f ca="1">IF(Tableau1[[#This Row],[Date rév.]]&lt;&gt;"", DAYS360(Tableau1[[#This Row],[Date rév.]],TODAY()),"")</f>
        <v/>
      </c>
      <c r="AC358" s="50" t="str">
        <f>IFERROR(INDEX(Chemin_accès!$B$11:$C$22,MATCH(Tableau1[[#This Row],[Type]],Chemin_accès!$C$11:$C$22,0),1),Chemin_accès!$B$11)</f>
        <v>\\stjn.local\trimet\Btechnique\Commun\Atelier Central mécanique\Plan entretien\Modèles préventif\GammeDMS_7.MENG.xlsm</v>
      </c>
      <c r="AD358" s="50" t="str">
        <f>Chemin_accès!$B$8&amp;Tableau1[[#This Row],[Localisation / Classement]]&amp;"\"&amp;Tableau1[[#This Row],[Poste technique ou N° d''équipement]]&amp;"_"&amp;Tableau1[[#This Row],[Plan Entretien]]&amp;".xlsm"</f>
        <v>\\stjn.local\trimet\Btechnique\Commun\Atelier Central mécanique\Plan entretien\GammeEntretien\\_.xlsm</v>
      </c>
    </row>
    <row r="359" spans="1:30" x14ac:dyDescent="0.3">
      <c r="A359" s="44" t="str">
        <f t="shared" ca="1" si="5"/>
        <v>7.MENG</v>
      </c>
      <c r="B35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59" s="46"/>
      <c r="D359" s="44"/>
      <c r="E359" s="44"/>
      <c r="F359" s="47"/>
      <c r="G359" s="47"/>
      <c r="H359" s="45"/>
      <c r="I359" s="45"/>
      <c r="J359" s="45"/>
      <c r="K359" s="45"/>
      <c r="L359" s="46"/>
      <c r="M359" s="47"/>
      <c r="N359" s="46"/>
      <c r="O359" s="46"/>
      <c r="P359" s="47"/>
      <c r="Q359" s="46"/>
      <c r="R359" s="46"/>
      <c r="S359" s="48"/>
      <c r="T359" s="68" t="str">
        <f>IF(Tableau1[[#This Row],[DMS_SAP]]="","",HYPERLINK(Tableau1[[#This Row],[Chemin fichier source]],"X"))</f>
        <v/>
      </c>
      <c r="U359" s="68" t="str">
        <f>IF(Tableau1[[#This Row],[Date rév.]]="","",HYPERLINK(Tableau1[[#This Row],[Lien document]],"X"))</f>
        <v/>
      </c>
      <c r="V359" s="47"/>
      <c r="W35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59" s="47"/>
      <c r="Y359" s="47"/>
      <c r="Z359" s="44" t="str">
        <f ca="1">IF(AND(Tableau1[[#This Row],[Charge]]&lt;&gt;0, Tableau1[[#This Row],[Nombre intervenants]]&lt;&gt;0,Tableau1[[#This Row],[Lien document]]&lt;&gt;0,Tableau1[[#This Row],[DMS_SAP]]&lt;&gt;0)=TRUE,"MIS A JOUR","")</f>
        <v/>
      </c>
      <c r="AA359" s="48"/>
      <c r="AB359" s="65" t="str">
        <f ca="1">IF(Tableau1[[#This Row],[Date rév.]]&lt;&gt;"", DAYS360(Tableau1[[#This Row],[Date rév.]],TODAY()),"")</f>
        <v/>
      </c>
      <c r="AC359" s="50" t="str">
        <f>IFERROR(INDEX(Chemin_accès!$B$11:$C$22,MATCH(Tableau1[[#This Row],[Type]],Chemin_accès!$C$11:$C$22,0),1),Chemin_accès!$B$11)</f>
        <v>\\stjn.local\trimet\Btechnique\Commun\Atelier Central mécanique\Plan entretien\Modèles préventif\GammeDMS_7.MENG.xlsm</v>
      </c>
      <c r="AD359" s="50" t="str">
        <f>Chemin_accès!$B$8&amp;Tableau1[[#This Row],[Localisation / Classement]]&amp;"\"&amp;Tableau1[[#This Row],[Poste technique ou N° d''équipement]]&amp;"_"&amp;Tableau1[[#This Row],[Plan Entretien]]&amp;".xlsm"</f>
        <v>\\stjn.local\trimet\Btechnique\Commun\Atelier Central mécanique\Plan entretien\GammeEntretien\\_.xlsm</v>
      </c>
    </row>
    <row r="360" spans="1:30" x14ac:dyDescent="0.3">
      <c r="A360" s="44" t="str">
        <f t="shared" ca="1" si="5"/>
        <v>7.MENG</v>
      </c>
      <c r="B36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60" s="46"/>
      <c r="D360" s="44"/>
      <c r="E360" s="44"/>
      <c r="F360" s="47"/>
      <c r="G360" s="47"/>
      <c r="H360" s="45"/>
      <c r="I360" s="45"/>
      <c r="J360" s="45"/>
      <c r="K360" s="45"/>
      <c r="L360" s="46"/>
      <c r="M360" s="47"/>
      <c r="N360" s="46"/>
      <c r="O360" s="46"/>
      <c r="P360" s="47"/>
      <c r="Q360" s="46"/>
      <c r="R360" s="46"/>
      <c r="S360" s="48"/>
      <c r="T360" s="68" t="str">
        <f>IF(Tableau1[[#This Row],[DMS_SAP]]="","",HYPERLINK(Tableau1[[#This Row],[Chemin fichier source]],"X"))</f>
        <v/>
      </c>
      <c r="U360" s="68" t="str">
        <f>IF(Tableau1[[#This Row],[Date rév.]]="","",HYPERLINK(Tableau1[[#This Row],[Lien document]],"X"))</f>
        <v/>
      </c>
      <c r="V360" s="47"/>
      <c r="W36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60" s="47"/>
      <c r="Y360" s="47"/>
      <c r="Z360" s="44" t="str">
        <f ca="1">IF(AND(Tableau1[[#This Row],[Charge]]&lt;&gt;0, Tableau1[[#This Row],[Nombre intervenants]]&lt;&gt;0,Tableau1[[#This Row],[Lien document]]&lt;&gt;0,Tableau1[[#This Row],[DMS_SAP]]&lt;&gt;0)=TRUE,"MIS A JOUR","")</f>
        <v/>
      </c>
      <c r="AA360" s="48"/>
      <c r="AB360" s="65" t="str">
        <f ca="1">IF(Tableau1[[#This Row],[Date rév.]]&lt;&gt;"", DAYS360(Tableau1[[#This Row],[Date rév.]],TODAY()),"")</f>
        <v/>
      </c>
      <c r="AC360" s="50" t="str">
        <f>IFERROR(INDEX(Chemin_accès!$B$11:$C$22,MATCH(Tableau1[[#This Row],[Type]],Chemin_accès!$C$11:$C$22,0),1),Chemin_accès!$B$11)</f>
        <v>\\stjn.local\trimet\Btechnique\Commun\Atelier Central mécanique\Plan entretien\Modèles préventif\GammeDMS_7.MENG.xlsm</v>
      </c>
      <c r="AD360" s="50" t="str">
        <f>Chemin_accès!$B$8&amp;Tableau1[[#This Row],[Localisation / Classement]]&amp;"\"&amp;Tableau1[[#This Row],[Poste technique ou N° d''équipement]]&amp;"_"&amp;Tableau1[[#This Row],[Plan Entretien]]&amp;".xlsm"</f>
        <v>\\stjn.local\trimet\Btechnique\Commun\Atelier Central mécanique\Plan entretien\GammeEntretien\\_.xlsm</v>
      </c>
    </row>
    <row r="361" spans="1:30" x14ac:dyDescent="0.3">
      <c r="A361" s="44" t="str">
        <f t="shared" ca="1" si="5"/>
        <v>7.MENG</v>
      </c>
      <c r="B36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61" s="46"/>
      <c r="D361" s="44"/>
      <c r="E361" s="44"/>
      <c r="F361" s="47"/>
      <c r="G361" s="47"/>
      <c r="H361" s="45"/>
      <c r="I361" s="45"/>
      <c r="J361" s="45"/>
      <c r="K361" s="45"/>
      <c r="L361" s="46"/>
      <c r="M361" s="47"/>
      <c r="N361" s="46"/>
      <c r="O361" s="46"/>
      <c r="P361" s="47"/>
      <c r="Q361" s="46"/>
      <c r="R361" s="46"/>
      <c r="S361" s="48"/>
      <c r="T361" s="68" t="str">
        <f>IF(Tableau1[[#This Row],[DMS_SAP]]="","",HYPERLINK(Tableau1[[#This Row],[Chemin fichier source]],"X"))</f>
        <v/>
      </c>
      <c r="U361" s="68" t="str">
        <f>IF(Tableau1[[#This Row],[Date rév.]]="","",HYPERLINK(Tableau1[[#This Row],[Lien document]],"X"))</f>
        <v/>
      </c>
      <c r="V361" s="47"/>
      <c r="W36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61" s="47"/>
      <c r="Y361" s="47"/>
      <c r="Z361" s="44" t="str">
        <f ca="1">IF(AND(Tableau1[[#This Row],[Charge]]&lt;&gt;0, Tableau1[[#This Row],[Nombre intervenants]]&lt;&gt;0,Tableau1[[#This Row],[Lien document]]&lt;&gt;0,Tableau1[[#This Row],[DMS_SAP]]&lt;&gt;0)=TRUE,"MIS A JOUR","")</f>
        <v/>
      </c>
      <c r="AA361" s="48"/>
      <c r="AB361" s="65" t="str">
        <f ca="1">IF(Tableau1[[#This Row],[Date rév.]]&lt;&gt;"", DAYS360(Tableau1[[#This Row],[Date rév.]],TODAY()),"")</f>
        <v/>
      </c>
      <c r="AC361" s="50" t="str">
        <f>IFERROR(INDEX(Chemin_accès!$B$11:$C$22,MATCH(Tableau1[[#This Row],[Type]],Chemin_accès!$C$11:$C$22,0),1),Chemin_accès!$B$11)</f>
        <v>\\stjn.local\trimet\Btechnique\Commun\Atelier Central mécanique\Plan entretien\Modèles préventif\GammeDMS_7.MENG.xlsm</v>
      </c>
      <c r="AD361" s="50" t="str">
        <f>Chemin_accès!$B$8&amp;Tableau1[[#This Row],[Localisation / Classement]]&amp;"\"&amp;Tableau1[[#This Row],[Poste technique ou N° d''équipement]]&amp;"_"&amp;Tableau1[[#This Row],[Plan Entretien]]&amp;".xlsm"</f>
        <v>\\stjn.local\trimet\Btechnique\Commun\Atelier Central mécanique\Plan entretien\GammeEntretien\\_.xlsm</v>
      </c>
    </row>
    <row r="362" spans="1:30" x14ac:dyDescent="0.3">
      <c r="A362" s="44" t="str">
        <f t="shared" ca="1" si="5"/>
        <v>7.MENG</v>
      </c>
      <c r="B36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62" s="46"/>
      <c r="D362" s="44"/>
      <c r="E362" s="44"/>
      <c r="F362" s="47"/>
      <c r="G362" s="47"/>
      <c r="H362" s="45"/>
      <c r="I362" s="45"/>
      <c r="J362" s="45"/>
      <c r="K362" s="45"/>
      <c r="L362" s="46"/>
      <c r="M362" s="47"/>
      <c r="N362" s="46"/>
      <c r="O362" s="46"/>
      <c r="P362" s="47"/>
      <c r="Q362" s="46"/>
      <c r="R362" s="46"/>
      <c r="S362" s="48"/>
      <c r="T362" s="68" t="str">
        <f>IF(Tableau1[[#This Row],[DMS_SAP]]="","",HYPERLINK(Tableau1[[#This Row],[Chemin fichier source]],"X"))</f>
        <v/>
      </c>
      <c r="U362" s="68" t="str">
        <f>IF(Tableau1[[#This Row],[Date rév.]]="","",HYPERLINK(Tableau1[[#This Row],[Lien document]],"X"))</f>
        <v/>
      </c>
      <c r="V362" s="47"/>
      <c r="W36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62" s="47"/>
      <c r="Y362" s="47"/>
      <c r="Z362" s="44" t="str">
        <f ca="1">IF(AND(Tableau1[[#This Row],[Charge]]&lt;&gt;0, Tableau1[[#This Row],[Nombre intervenants]]&lt;&gt;0,Tableau1[[#This Row],[Lien document]]&lt;&gt;0,Tableau1[[#This Row],[DMS_SAP]]&lt;&gt;0)=TRUE,"MIS A JOUR","")</f>
        <v/>
      </c>
      <c r="AA362" s="48"/>
      <c r="AB362" s="65" t="str">
        <f ca="1">IF(Tableau1[[#This Row],[Date rév.]]&lt;&gt;"", DAYS360(Tableau1[[#This Row],[Date rév.]],TODAY()),"")</f>
        <v/>
      </c>
      <c r="AC362" s="50" t="str">
        <f>IFERROR(INDEX(Chemin_accès!$B$11:$C$22,MATCH(Tableau1[[#This Row],[Type]],Chemin_accès!$C$11:$C$22,0),1),Chemin_accès!$B$11)</f>
        <v>\\stjn.local\trimet\Btechnique\Commun\Atelier Central mécanique\Plan entretien\Modèles préventif\GammeDMS_7.MENG.xlsm</v>
      </c>
      <c r="AD362" s="50" t="str">
        <f>Chemin_accès!$B$8&amp;Tableau1[[#This Row],[Localisation / Classement]]&amp;"\"&amp;Tableau1[[#This Row],[Poste technique ou N° d''équipement]]&amp;"_"&amp;Tableau1[[#This Row],[Plan Entretien]]&amp;".xlsm"</f>
        <v>\\stjn.local\trimet\Btechnique\Commun\Atelier Central mécanique\Plan entretien\GammeEntretien\\_.xlsm</v>
      </c>
    </row>
    <row r="363" spans="1:30" x14ac:dyDescent="0.3">
      <c r="A363" s="44" t="str">
        <f t="shared" ca="1" si="5"/>
        <v>7.MENG</v>
      </c>
      <c r="B36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63" s="46"/>
      <c r="D363" s="44"/>
      <c r="E363" s="44"/>
      <c r="F363" s="47"/>
      <c r="G363" s="47"/>
      <c r="H363" s="45"/>
      <c r="I363" s="45"/>
      <c r="J363" s="45"/>
      <c r="K363" s="45"/>
      <c r="L363" s="46"/>
      <c r="M363" s="47"/>
      <c r="N363" s="46"/>
      <c r="O363" s="46"/>
      <c r="P363" s="47"/>
      <c r="Q363" s="46"/>
      <c r="R363" s="46"/>
      <c r="S363" s="48"/>
      <c r="T363" s="68" t="str">
        <f>IF(Tableau1[[#This Row],[DMS_SAP]]="","",HYPERLINK(Tableau1[[#This Row],[Chemin fichier source]],"X"))</f>
        <v/>
      </c>
      <c r="U363" s="68" t="str">
        <f>IF(Tableau1[[#This Row],[Date rév.]]="","",HYPERLINK(Tableau1[[#This Row],[Lien document]],"X"))</f>
        <v/>
      </c>
      <c r="V363" s="47"/>
      <c r="W36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63" s="47"/>
      <c r="Y363" s="47"/>
      <c r="Z363" s="44" t="str">
        <f ca="1">IF(AND(Tableau1[[#This Row],[Charge]]&lt;&gt;0, Tableau1[[#This Row],[Nombre intervenants]]&lt;&gt;0,Tableau1[[#This Row],[Lien document]]&lt;&gt;0,Tableau1[[#This Row],[DMS_SAP]]&lt;&gt;0)=TRUE,"MIS A JOUR","")</f>
        <v/>
      </c>
      <c r="AA363" s="48"/>
      <c r="AB363" s="65" t="str">
        <f ca="1">IF(Tableau1[[#This Row],[Date rév.]]&lt;&gt;"", DAYS360(Tableau1[[#This Row],[Date rév.]],TODAY()),"")</f>
        <v/>
      </c>
      <c r="AC363" s="50" t="str">
        <f>IFERROR(INDEX(Chemin_accès!$B$11:$C$22,MATCH(Tableau1[[#This Row],[Type]],Chemin_accès!$C$11:$C$22,0),1),Chemin_accès!$B$11)</f>
        <v>\\stjn.local\trimet\Btechnique\Commun\Atelier Central mécanique\Plan entretien\Modèles préventif\GammeDMS_7.MENG.xlsm</v>
      </c>
      <c r="AD363" s="50" t="str">
        <f>Chemin_accès!$B$8&amp;Tableau1[[#This Row],[Localisation / Classement]]&amp;"\"&amp;Tableau1[[#This Row],[Poste technique ou N° d''équipement]]&amp;"_"&amp;Tableau1[[#This Row],[Plan Entretien]]&amp;".xlsm"</f>
        <v>\\stjn.local\trimet\Btechnique\Commun\Atelier Central mécanique\Plan entretien\GammeEntretien\\_.xlsm</v>
      </c>
    </row>
    <row r="364" spans="1:30" x14ac:dyDescent="0.3">
      <c r="A364" s="44" t="str">
        <f t="shared" ca="1" si="5"/>
        <v>7.MENG</v>
      </c>
      <c r="B36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64" s="46"/>
      <c r="D364" s="44"/>
      <c r="E364" s="44"/>
      <c r="F364" s="47"/>
      <c r="G364" s="47"/>
      <c r="H364" s="45"/>
      <c r="I364" s="45"/>
      <c r="J364" s="45"/>
      <c r="K364" s="45"/>
      <c r="L364" s="46"/>
      <c r="M364" s="47"/>
      <c r="N364" s="46"/>
      <c r="O364" s="46"/>
      <c r="P364" s="47"/>
      <c r="Q364" s="46"/>
      <c r="R364" s="46"/>
      <c r="S364" s="48"/>
      <c r="T364" s="68" t="str">
        <f>IF(Tableau1[[#This Row],[DMS_SAP]]="","",HYPERLINK(Tableau1[[#This Row],[Chemin fichier source]],"X"))</f>
        <v/>
      </c>
      <c r="U364" s="68" t="str">
        <f>IF(Tableau1[[#This Row],[Date rév.]]="","",HYPERLINK(Tableau1[[#This Row],[Lien document]],"X"))</f>
        <v/>
      </c>
      <c r="V364" s="47"/>
      <c r="W36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64" s="47"/>
      <c r="Y364" s="47"/>
      <c r="Z364" s="44" t="str">
        <f ca="1">IF(AND(Tableau1[[#This Row],[Charge]]&lt;&gt;0, Tableau1[[#This Row],[Nombre intervenants]]&lt;&gt;0,Tableau1[[#This Row],[Lien document]]&lt;&gt;0,Tableau1[[#This Row],[DMS_SAP]]&lt;&gt;0)=TRUE,"MIS A JOUR","")</f>
        <v/>
      </c>
      <c r="AA364" s="48"/>
      <c r="AB364" s="65" t="str">
        <f ca="1">IF(Tableau1[[#This Row],[Date rév.]]&lt;&gt;"", DAYS360(Tableau1[[#This Row],[Date rév.]],TODAY()),"")</f>
        <v/>
      </c>
      <c r="AC364" s="50" t="str">
        <f>IFERROR(INDEX(Chemin_accès!$B$11:$C$22,MATCH(Tableau1[[#This Row],[Type]],Chemin_accès!$C$11:$C$22,0),1),Chemin_accès!$B$11)</f>
        <v>\\stjn.local\trimet\Btechnique\Commun\Atelier Central mécanique\Plan entretien\Modèles préventif\GammeDMS_7.MENG.xlsm</v>
      </c>
      <c r="AD364" s="50" t="str">
        <f>Chemin_accès!$B$8&amp;Tableau1[[#This Row],[Localisation / Classement]]&amp;"\"&amp;Tableau1[[#This Row],[Poste technique ou N° d''équipement]]&amp;"_"&amp;Tableau1[[#This Row],[Plan Entretien]]&amp;".xlsm"</f>
        <v>\\stjn.local\trimet\Btechnique\Commun\Atelier Central mécanique\Plan entretien\GammeEntretien\\_.xlsm</v>
      </c>
    </row>
    <row r="365" spans="1:30" x14ac:dyDescent="0.3">
      <c r="A365" s="44" t="str">
        <f t="shared" ca="1" si="5"/>
        <v>7.MENG</v>
      </c>
      <c r="B36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65" s="46"/>
      <c r="D365" s="44"/>
      <c r="E365" s="44"/>
      <c r="F365" s="47"/>
      <c r="G365" s="47"/>
      <c r="H365" s="45"/>
      <c r="I365" s="45"/>
      <c r="J365" s="45"/>
      <c r="K365" s="45"/>
      <c r="L365" s="46"/>
      <c r="M365" s="47"/>
      <c r="N365" s="46"/>
      <c r="O365" s="46"/>
      <c r="P365" s="47"/>
      <c r="Q365" s="46"/>
      <c r="R365" s="46"/>
      <c r="S365" s="48"/>
      <c r="T365" s="68" t="str">
        <f>IF(Tableau1[[#This Row],[DMS_SAP]]="","",HYPERLINK(Tableau1[[#This Row],[Chemin fichier source]],"X"))</f>
        <v/>
      </c>
      <c r="U365" s="68" t="str">
        <f>IF(Tableau1[[#This Row],[Date rév.]]="","",HYPERLINK(Tableau1[[#This Row],[Lien document]],"X"))</f>
        <v/>
      </c>
      <c r="V365" s="47"/>
      <c r="W36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65" s="47"/>
      <c r="Y365" s="47"/>
      <c r="Z365" s="44" t="str">
        <f ca="1">IF(AND(Tableau1[[#This Row],[Charge]]&lt;&gt;0, Tableau1[[#This Row],[Nombre intervenants]]&lt;&gt;0,Tableau1[[#This Row],[Lien document]]&lt;&gt;0,Tableau1[[#This Row],[DMS_SAP]]&lt;&gt;0)=TRUE,"MIS A JOUR","")</f>
        <v/>
      </c>
      <c r="AA365" s="48"/>
      <c r="AB365" s="65" t="str">
        <f ca="1">IF(Tableau1[[#This Row],[Date rév.]]&lt;&gt;"", DAYS360(Tableau1[[#This Row],[Date rév.]],TODAY()),"")</f>
        <v/>
      </c>
      <c r="AC365" s="50" t="str">
        <f>IFERROR(INDEX(Chemin_accès!$B$11:$C$22,MATCH(Tableau1[[#This Row],[Type]],Chemin_accès!$C$11:$C$22,0),1),Chemin_accès!$B$11)</f>
        <v>\\stjn.local\trimet\Btechnique\Commun\Atelier Central mécanique\Plan entretien\Modèles préventif\GammeDMS_7.MENG.xlsm</v>
      </c>
      <c r="AD365" s="50" t="str">
        <f>Chemin_accès!$B$8&amp;Tableau1[[#This Row],[Localisation / Classement]]&amp;"\"&amp;Tableau1[[#This Row],[Poste technique ou N° d''équipement]]&amp;"_"&amp;Tableau1[[#This Row],[Plan Entretien]]&amp;".xlsm"</f>
        <v>\\stjn.local\trimet\Btechnique\Commun\Atelier Central mécanique\Plan entretien\GammeEntretien\\_.xlsm</v>
      </c>
    </row>
    <row r="366" spans="1:30" x14ac:dyDescent="0.3">
      <c r="A366" s="44" t="str">
        <f t="shared" ca="1" si="5"/>
        <v>7.MENG</v>
      </c>
      <c r="B36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66" s="46"/>
      <c r="D366" s="44"/>
      <c r="E366" s="44"/>
      <c r="F366" s="47"/>
      <c r="G366" s="47"/>
      <c r="H366" s="45"/>
      <c r="I366" s="45"/>
      <c r="J366" s="45"/>
      <c r="K366" s="45"/>
      <c r="L366" s="46"/>
      <c r="M366" s="47"/>
      <c r="N366" s="46"/>
      <c r="O366" s="46"/>
      <c r="P366" s="47"/>
      <c r="Q366" s="46"/>
      <c r="R366" s="46"/>
      <c r="S366" s="48"/>
      <c r="T366" s="68" t="str">
        <f>IF(Tableau1[[#This Row],[DMS_SAP]]="","",HYPERLINK(Tableau1[[#This Row],[Chemin fichier source]],"X"))</f>
        <v/>
      </c>
      <c r="U366" s="68" t="str">
        <f>IF(Tableau1[[#This Row],[Date rév.]]="","",HYPERLINK(Tableau1[[#This Row],[Lien document]],"X"))</f>
        <v/>
      </c>
      <c r="V366" s="47"/>
      <c r="W36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66" s="47"/>
      <c r="Y366" s="47"/>
      <c r="Z366" s="44" t="str">
        <f ca="1">IF(AND(Tableau1[[#This Row],[Charge]]&lt;&gt;0, Tableau1[[#This Row],[Nombre intervenants]]&lt;&gt;0,Tableau1[[#This Row],[Lien document]]&lt;&gt;0,Tableau1[[#This Row],[DMS_SAP]]&lt;&gt;0)=TRUE,"MIS A JOUR","")</f>
        <v/>
      </c>
      <c r="AA366" s="48"/>
      <c r="AB366" s="65" t="str">
        <f ca="1">IF(Tableau1[[#This Row],[Date rév.]]&lt;&gt;"", DAYS360(Tableau1[[#This Row],[Date rév.]],TODAY()),"")</f>
        <v/>
      </c>
      <c r="AC366" s="50" t="str">
        <f>IFERROR(INDEX(Chemin_accès!$B$11:$C$22,MATCH(Tableau1[[#This Row],[Type]],Chemin_accès!$C$11:$C$22,0),1),Chemin_accès!$B$11)</f>
        <v>\\stjn.local\trimet\Btechnique\Commun\Atelier Central mécanique\Plan entretien\Modèles préventif\GammeDMS_7.MENG.xlsm</v>
      </c>
      <c r="AD366" s="50" t="str">
        <f>Chemin_accès!$B$8&amp;Tableau1[[#This Row],[Localisation / Classement]]&amp;"\"&amp;Tableau1[[#This Row],[Poste technique ou N° d''équipement]]&amp;"_"&amp;Tableau1[[#This Row],[Plan Entretien]]&amp;".xlsm"</f>
        <v>\\stjn.local\trimet\Btechnique\Commun\Atelier Central mécanique\Plan entretien\GammeEntretien\\_.xlsm</v>
      </c>
    </row>
    <row r="367" spans="1:30" x14ac:dyDescent="0.3">
      <c r="A367" s="44" t="str">
        <f t="shared" ca="1" si="5"/>
        <v>7.MENG</v>
      </c>
      <c r="B36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67" s="46"/>
      <c r="D367" s="44"/>
      <c r="E367" s="44"/>
      <c r="F367" s="47"/>
      <c r="G367" s="47"/>
      <c r="H367" s="45"/>
      <c r="I367" s="45"/>
      <c r="J367" s="45"/>
      <c r="K367" s="45"/>
      <c r="L367" s="46"/>
      <c r="M367" s="47"/>
      <c r="N367" s="46"/>
      <c r="O367" s="46"/>
      <c r="P367" s="47"/>
      <c r="Q367" s="46"/>
      <c r="R367" s="46"/>
      <c r="S367" s="48"/>
      <c r="T367" s="68" t="str">
        <f>IF(Tableau1[[#This Row],[DMS_SAP]]="","",HYPERLINK(Tableau1[[#This Row],[Chemin fichier source]],"X"))</f>
        <v/>
      </c>
      <c r="U367" s="68" t="str">
        <f>IF(Tableau1[[#This Row],[Date rév.]]="","",HYPERLINK(Tableau1[[#This Row],[Lien document]],"X"))</f>
        <v/>
      </c>
      <c r="V367" s="47"/>
      <c r="W36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67" s="47"/>
      <c r="Y367" s="47"/>
      <c r="Z367" s="44" t="str">
        <f ca="1">IF(AND(Tableau1[[#This Row],[Charge]]&lt;&gt;0, Tableau1[[#This Row],[Nombre intervenants]]&lt;&gt;0,Tableau1[[#This Row],[Lien document]]&lt;&gt;0,Tableau1[[#This Row],[DMS_SAP]]&lt;&gt;0)=TRUE,"MIS A JOUR","")</f>
        <v/>
      </c>
      <c r="AA367" s="48"/>
      <c r="AB367" s="65" t="str">
        <f ca="1">IF(Tableau1[[#This Row],[Date rév.]]&lt;&gt;"", DAYS360(Tableau1[[#This Row],[Date rév.]],TODAY()),"")</f>
        <v/>
      </c>
      <c r="AC367" s="50" t="str">
        <f>IFERROR(INDEX(Chemin_accès!$B$11:$C$22,MATCH(Tableau1[[#This Row],[Type]],Chemin_accès!$C$11:$C$22,0),1),Chemin_accès!$B$11)</f>
        <v>\\stjn.local\trimet\Btechnique\Commun\Atelier Central mécanique\Plan entretien\Modèles préventif\GammeDMS_7.MENG.xlsm</v>
      </c>
      <c r="AD367" s="50" t="str">
        <f>Chemin_accès!$B$8&amp;Tableau1[[#This Row],[Localisation / Classement]]&amp;"\"&amp;Tableau1[[#This Row],[Poste technique ou N° d''équipement]]&amp;"_"&amp;Tableau1[[#This Row],[Plan Entretien]]&amp;".xlsm"</f>
        <v>\\stjn.local\trimet\Btechnique\Commun\Atelier Central mécanique\Plan entretien\GammeEntretien\\_.xlsm</v>
      </c>
    </row>
    <row r="368" spans="1:30" x14ac:dyDescent="0.3">
      <c r="A368" s="44" t="str">
        <f t="shared" ca="1" si="5"/>
        <v>7.MENG</v>
      </c>
      <c r="B36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68" s="46"/>
      <c r="D368" s="44"/>
      <c r="E368" s="44"/>
      <c r="F368" s="47"/>
      <c r="G368" s="47"/>
      <c r="H368" s="45"/>
      <c r="I368" s="45"/>
      <c r="J368" s="45"/>
      <c r="K368" s="45"/>
      <c r="L368" s="46"/>
      <c r="M368" s="47"/>
      <c r="N368" s="46"/>
      <c r="O368" s="46"/>
      <c r="P368" s="47"/>
      <c r="Q368" s="46"/>
      <c r="R368" s="46"/>
      <c r="S368" s="48"/>
      <c r="T368" s="68" t="str">
        <f>IF(Tableau1[[#This Row],[DMS_SAP]]="","",HYPERLINK(Tableau1[[#This Row],[Chemin fichier source]],"X"))</f>
        <v/>
      </c>
      <c r="U368" s="68" t="str">
        <f>IF(Tableau1[[#This Row],[Date rév.]]="","",HYPERLINK(Tableau1[[#This Row],[Lien document]],"X"))</f>
        <v/>
      </c>
      <c r="V368" s="47"/>
      <c r="W36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68" s="47"/>
      <c r="Y368" s="47"/>
      <c r="Z368" s="44" t="str">
        <f ca="1">IF(AND(Tableau1[[#This Row],[Charge]]&lt;&gt;0, Tableau1[[#This Row],[Nombre intervenants]]&lt;&gt;0,Tableau1[[#This Row],[Lien document]]&lt;&gt;0,Tableau1[[#This Row],[DMS_SAP]]&lt;&gt;0)=TRUE,"MIS A JOUR","")</f>
        <v/>
      </c>
      <c r="AA368" s="48"/>
      <c r="AB368" s="65" t="str">
        <f ca="1">IF(Tableau1[[#This Row],[Date rév.]]&lt;&gt;"", DAYS360(Tableau1[[#This Row],[Date rév.]],TODAY()),"")</f>
        <v/>
      </c>
      <c r="AC368" s="50" t="str">
        <f>IFERROR(INDEX(Chemin_accès!$B$11:$C$22,MATCH(Tableau1[[#This Row],[Type]],Chemin_accès!$C$11:$C$22,0),1),Chemin_accès!$B$11)</f>
        <v>\\stjn.local\trimet\Btechnique\Commun\Atelier Central mécanique\Plan entretien\Modèles préventif\GammeDMS_7.MENG.xlsm</v>
      </c>
      <c r="AD368" s="50" t="str">
        <f>Chemin_accès!$B$8&amp;Tableau1[[#This Row],[Localisation / Classement]]&amp;"\"&amp;Tableau1[[#This Row],[Poste technique ou N° d''équipement]]&amp;"_"&amp;Tableau1[[#This Row],[Plan Entretien]]&amp;".xlsm"</f>
        <v>\\stjn.local\trimet\Btechnique\Commun\Atelier Central mécanique\Plan entretien\GammeEntretien\\_.xlsm</v>
      </c>
    </row>
    <row r="369" spans="1:30" x14ac:dyDescent="0.3">
      <c r="A369" s="44" t="str">
        <f t="shared" ca="1" si="5"/>
        <v>7.MENG</v>
      </c>
      <c r="B36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69" s="46"/>
      <c r="D369" s="44"/>
      <c r="E369" s="44"/>
      <c r="F369" s="47"/>
      <c r="G369" s="47"/>
      <c r="H369" s="45"/>
      <c r="I369" s="45"/>
      <c r="J369" s="45"/>
      <c r="K369" s="45"/>
      <c r="L369" s="46"/>
      <c r="M369" s="47"/>
      <c r="N369" s="46"/>
      <c r="O369" s="46"/>
      <c r="P369" s="47"/>
      <c r="Q369" s="46"/>
      <c r="R369" s="46"/>
      <c r="S369" s="48"/>
      <c r="T369" s="68" t="str">
        <f>IF(Tableau1[[#This Row],[DMS_SAP]]="","",HYPERLINK(Tableau1[[#This Row],[Chemin fichier source]],"X"))</f>
        <v/>
      </c>
      <c r="U369" s="68" t="str">
        <f>IF(Tableau1[[#This Row],[Date rév.]]="","",HYPERLINK(Tableau1[[#This Row],[Lien document]],"X"))</f>
        <v/>
      </c>
      <c r="V369" s="47"/>
      <c r="W36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69" s="47"/>
      <c r="Y369" s="47"/>
      <c r="Z369" s="44" t="str">
        <f ca="1">IF(AND(Tableau1[[#This Row],[Charge]]&lt;&gt;0, Tableau1[[#This Row],[Nombre intervenants]]&lt;&gt;0,Tableau1[[#This Row],[Lien document]]&lt;&gt;0,Tableau1[[#This Row],[DMS_SAP]]&lt;&gt;0)=TRUE,"MIS A JOUR","")</f>
        <v/>
      </c>
      <c r="AA369" s="48"/>
      <c r="AB369" s="65" t="str">
        <f ca="1">IF(Tableau1[[#This Row],[Date rév.]]&lt;&gt;"", DAYS360(Tableau1[[#This Row],[Date rév.]],TODAY()),"")</f>
        <v/>
      </c>
      <c r="AC369" s="50" t="str">
        <f>IFERROR(INDEX(Chemin_accès!$B$11:$C$22,MATCH(Tableau1[[#This Row],[Type]],Chemin_accès!$C$11:$C$22,0),1),Chemin_accès!$B$11)</f>
        <v>\\stjn.local\trimet\Btechnique\Commun\Atelier Central mécanique\Plan entretien\Modèles préventif\GammeDMS_7.MENG.xlsm</v>
      </c>
      <c r="AD369" s="50" t="str">
        <f>Chemin_accès!$B$8&amp;Tableau1[[#This Row],[Localisation / Classement]]&amp;"\"&amp;Tableau1[[#This Row],[Poste technique ou N° d''équipement]]&amp;"_"&amp;Tableau1[[#This Row],[Plan Entretien]]&amp;".xlsm"</f>
        <v>\\stjn.local\trimet\Btechnique\Commun\Atelier Central mécanique\Plan entretien\GammeEntretien\\_.xlsm</v>
      </c>
    </row>
    <row r="370" spans="1:30" x14ac:dyDescent="0.3">
      <c r="A370" s="44" t="str">
        <f t="shared" ca="1" si="5"/>
        <v>7.MENG</v>
      </c>
      <c r="B37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70" s="46"/>
      <c r="D370" s="44"/>
      <c r="E370" s="44"/>
      <c r="F370" s="47"/>
      <c r="G370" s="47"/>
      <c r="H370" s="45"/>
      <c r="I370" s="45"/>
      <c r="J370" s="45"/>
      <c r="K370" s="45"/>
      <c r="L370" s="46"/>
      <c r="M370" s="47"/>
      <c r="N370" s="46"/>
      <c r="O370" s="46"/>
      <c r="P370" s="47"/>
      <c r="Q370" s="46"/>
      <c r="R370" s="46"/>
      <c r="S370" s="48"/>
      <c r="T370" s="68" t="str">
        <f>IF(Tableau1[[#This Row],[DMS_SAP]]="","",HYPERLINK(Tableau1[[#This Row],[Chemin fichier source]],"X"))</f>
        <v/>
      </c>
      <c r="U370" s="68" t="str">
        <f>IF(Tableau1[[#This Row],[Date rév.]]="","",HYPERLINK(Tableau1[[#This Row],[Lien document]],"X"))</f>
        <v/>
      </c>
      <c r="V370" s="47"/>
      <c r="W37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70" s="47"/>
      <c r="Y370" s="47"/>
      <c r="Z370" s="44" t="str">
        <f ca="1">IF(AND(Tableau1[[#This Row],[Charge]]&lt;&gt;0, Tableau1[[#This Row],[Nombre intervenants]]&lt;&gt;0,Tableau1[[#This Row],[Lien document]]&lt;&gt;0,Tableau1[[#This Row],[DMS_SAP]]&lt;&gt;0)=TRUE,"MIS A JOUR","")</f>
        <v/>
      </c>
      <c r="AA370" s="48"/>
      <c r="AB370" s="65" t="str">
        <f ca="1">IF(Tableau1[[#This Row],[Date rév.]]&lt;&gt;"", DAYS360(Tableau1[[#This Row],[Date rév.]],TODAY()),"")</f>
        <v/>
      </c>
      <c r="AC370" s="50" t="str">
        <f>IFERROR(INDEX(Chemin_accès!$B$11:$C$22,MATCH(Tableau1[[#This Row],[Type]],Chemin_accès!$C$11:$C$22,0),1),Chemin_accès!$B$11)</f>
        <v>\\stjn.local\trimet\Btechnique\Commun\Atelier Central mécanique\Plan entretien\Modèles préventif\GammeDMS_7.MENG.xlsm</v>
      </c>
      <c r="AD370" s="50" t="str">
        <f>Chemin_accès!$B$8&amp;Tableau1[[#This Row],[Localisation / Classement]]&amp;"\"&amp;Tableau1[[#This Row],[Poste technique ou N° d''équipement]]&amp;"_"&amp;Tableau1[[#This Row],[Plan Entretien]]&amp;".xlsm"</f>
        <v>\\stjn.local\trimet\Btechnique\Commun\Atelier Central mécanique\Plan entretien\GammeEntretien\\_.xlsm</v>
      </c>
    </row>
    <row r="371" spans="1:30" x14ac:dyDescent="0.3">
      <c r="A371" s="44" t="str">
        <f t="shared" ca="1" si="5"/>
        <v>7.MENG</v>
      </c>
      <c r="B37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71" s="46"/>
      <c r="D371" s="44"/>
      <c r="E371" s="44"/>
      <c r="F371" s="47"/>
      <c r="G371" s="47"/>
      <c r="H371" s="45"/>
      <c r="I371" s="45"/>
      <c r="J371" s="45"/>
      <c r="K371" s="45"/>
      <c r="L371" s="46"/>
      <c r="M371" s="47"/>
      <c r="N371" s="46"/>
      <c r="O371" s="46"/>
      <c r="P371" s="47"/>
      <c r="Q371" s="46"/>
      <c r="R371" s="46"/>
      <c r="S371" s="48"/>
      <c r="T371" s="68" t="str">
        <f>IF(Tableau1[[#This Row],[DMS_SAP]]="","",HYPERLINK(Tableau1[[#This Row],[Chemin fichier source]],"X"))</f>
        <v/>
      </c>
      <c r="U371" s="68" t="str">
        <f>IF(Tableau1[[#This Row],[Date rév.]]="","",HYPERLINK(Tableau1[[#This Row],[Lien document]],"X"))</f>
        <v/>
      </c>
      <c r="V371" s="47"/>
      <c r="W37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71" s="47"/>
      <c r="Y371" s="47"/>
      <c r="Z371" s="44" t="str">
        <f ca="1">IF(AND(Tableau1[[#This Row],[Charge]]&lt;&gt;0, Tableau1[[#This Row],[Nombre intervenants]]&lt;&gt;0,Tableau1[[#This Row],[Lien document]]&lt;&gt;0,Tableau1[[#This Row],[DMS_SAP]]&lt;&gt;0)=TRUE,"MIS A JOUR","")</f>
        <v/>
      </c>
      <c r="AA371" s="48"/>
      <c r="AB371" s="65" t="str">
        <f ca="1">IF(Tableau1[[#This Row],[Date rév.]]&lt;&gt;"", DAYS360(Tableau1[[#This Row],[Date rév.]],TODAY()),"")</f>
        <v/>
      </c>
      <c r="AC371" s="50" t="str">
        <f>IFERROR(INDEX(Chemin_accès!$B$11:$C$22,MATCH(Tableau1[[#This Row],[Type]],Chemin_accès!$C$11:$C$22,0),1),Chemin_accès!$B$11)</f>
        <v>\\stjn.local\trimet\Btechnique\Commun\Atelier Central mécanique\Plan entretien\Modèles préventif\GammeDMS_7.MENG.xlsm</v>
      </c>
      <c r="AD371" s="50" t="str">
        <f>Chemin_accès!$B$8&amp;Tableau1[[#This Row],[Localisation / Classement]]&amp;"\"&amp;Tableau1[[#This Row],[Poste technique ou N° d''équipement]]&amp;"_"&amp;Tableau1[[#This Row],[Plan Entretien]]&amp;".xlsm"</f>
        <v>\\stjn.local\trimet\Btechnique\Commun\Atelier Central mécanique\Plan entretien\GammeEntretien\\_.xlsm</v>
      </c>
    </row>
    <row r="372" spans="1:30" x14ac:dyDescent="0.3">
      <c r="A372" s="44" t="str">
        <f t="shared" ca="1" si="5"/>
        <v>7.MENG</v>
      </c>
      <c r="B37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72" s="46"/>
      <c r="D372" s="44"/>
      <c r="E372" s="44"/>
      <c r="F372" s="47"/>
      <c r="G372" s="47"/>
      <c r="H372" s="45"/>
      <c r="I372" s="45"/>
      <c r="J372" s="45"/>
      <c r="K372" s="45"/>
      <c r="L372" s="46"/>
      <c r="M372" s="47"/>
      <c r="N372" s="46"/>
      <c r="O372" s="46"/>
      <c r="P372" s="47"/>
      <c r="Q372" s="46"/>
      <c r="R372" s="46"/>
      <c r="S372" s="48"/>
      <c r="T372" s="68" t="str">
        <f>IF(Tableau1[[#This Row],[DMS_SAP]]="","",HYPERLINK(Tableau1[[#This Row],[Chemin fichier source]],"X"))</f>
        <v/>
      </c>
      <c r="U372" s="68" t="str">
        <f>IF(Tableau1[[#This Row],[Date rév.]]="","",HYPERLINK(Tableau1[[#This Row],[Lien document]],"X"))</f>
        <v/>
      </c>
      <c r="V372" s="47"/>
      <c r="W37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72" s="47"/>
      <c r="Y372" s="47"/>
      <c r="Z372" s="44" t="str">
        <f ca="1">IF(AND(Tableau1[[#This Row],[Charge]]&lt;&gt;0, Tableau1[[#This Row],[Nombre intervenants]]&lt;&gt;0,Tableau1[[#This Row],[Lien document]]&lt;&gt;0,Tableau1[[#This Row],[DMS_SAP]]&lt;&gt;0)=TRUE,"MIS A JOUR","")</f>
        <v/>
      </c>
      <c r="AA372" s="48"/>
      <c r="AB372" s="65" t="str">
        <f ca="1">IF(Tableau1[[#This Row],[Date rév.]]&lt;&gt;"", DAYS360(Tableau1[[#This Row],[Date rév.]],TODAY()),"")</f>
        <v/>
      </c>
      <c r="AC372" s="50" t="str">
        <f>IFERROR(INDEX(Chemin_accès!$B$11:$C$22,MATCH(Tableau1[[#This Row],[Type]],Chemin_accès!$C$11:$C$22,0),1),Chemin_accès!$B$11)</f>
        <v>\\stjn.local\trimet\Btechnique\Commun\Atelier Central mécanique\Plan entretien\Modèles préventif\GammeDMS_7.MENG.xlsm</v>
      </c>
      <c r="AD372" s="50" t="str">
        <f>Chemin_accès!$B$8&amp;Tableau1[[#This Row],[Localisation / Classement]]&amp;"\"&amp;Tableau1[[#This Row],[Poste technique ou N° d''équipement]]&amp;"_"&amp;Tableau1[[#This Row],[Plan Entretien]]&amp;".xlsm"</f>
        <v>\\stjn.local\trimet\Btechnique\Commun\Atelier Central mécanique\Plan entretien\GammeEntretien\\_.xlsm</v>
      </c>
    </row>
    <row r="373" spans="1:30" x14ac:dyDescent="0.3">
      <c r="A373" s="44" t="str">
        <f t="shared" ca="1" si="5"/>
        <v>7.MENG</v>
      </c>
      <c r="B37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73" s="46"/>
      <c r="D373" s="44"/>
      <c r="E373" s="44"/>
      <c r="F373" s="47"/>
      <c r="G373" s="47"/>
      <c r="H373" s="45"/>
      <c r="I373" s="45"/>
      <c r="J373" s="45"/>
      <c r="K373" s="45"/>
      <c r="L373" s="46"/>
      <c r="M373" s="47"/>
      <c r="N373" s="46"/>
      <c r="O373" s="46"/>
      <c r="P373" s="47"/>
      <c r="Q373" s="46"/>
      <c r="R373" s="46"/>
      <c r="S373" s="48"/>
      <c r="T373" s="68" t="str">
        <f>IF(Tableau1[[#This Row],[DMS_SAP]]="","",HYPERLINK(Tableau1[[#This Row],[Chemin fichier source]],"X"))</f>
        <v/>
      </c>
      <c r="U373" s="68" t="str">
        <f>IF(Tableau1[[#This Row],[Date rév.]]="","",HYPERLINK(Tableau1[[#This Row],[Lien document]],"X"))</f>
        <v/>
      </c>
      <c r="V373" s="47"/>
      <c r="W37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73" s="47"/>
      <c r="Y373" s="47"/>
      <c r="Z373" s="44" t="str">
        <f ca="1">IF(AND(Tableau1[[#This Row],[Charge]]&lt;&gt;0, Tableau1[[#This Row],[Nombre intervenants]]&lt;&gt;0,Tableau1[[#This Row],[Lien document]]&lt;&gt;0,Tableau1[[#This Row],[DMS_SAP]]&lt;&gt;0)=TRUE,"MIS A JOUR","")</f>
        <v/>
      </c>
      <c r="AA373" s="48"/>
      <c r="AB373" s="65" t="str">
        <f ca="1">IF(Tableau1[[#This Row],[Date rév.]]&lt;&gt;"", DAYS360(Tableau1[[#This Row],[Date rév.]],TODAY()),"")</f>
        <v/>
      </c>
      <c r="AC373" s="50" t="str">
        <f>IFERROR(INDEX(Chemin_accès!$B$11:$C$22,MATCH(Tableau1[[#This Row],[Type]],Chemin_accès!$C$11:$C$22,0),1),Chemin_accès!$B$11)</f>
        <v>\\stjn.local\trimet\Btechnique\Commun\Atelier Central mécanique\Plan entretien\Modèles préventif\GammeDMS_7.MENG.xlsm</v>
      </c>
      <c r="AD373" s="50" t="str">
        <f>Chemin_accès!$B$8&amp;Tableau1[[#This Row],[Localisation / Classement]]&amp;"\"&amp;Tableau1[[#This Row],[Poste technique ou N° d''équipement]]&amp;"_"&amp;Tableau1[[#This Row],[Plan Entretien]]&amp;".xlsm"</f>
        <v>\\stjn.local\trimet\Btechnique\Commun\Atelier Central mécanique\Plan entretien\GammeEntretien\\_.xlsm</v>
      </c>
    </row>
    <row r="374" spans="1:30" x14ac:dyDescent="0.3">
      <c r="A374" s="44" t="str">
        <f t="shared" ca="1" si="5"/>
        <v>7.MENG</v>
      </c>
      <c r="B37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74" s="46"/>
      <c r="D374" s="44"/>
      <c r="E374" s="44"/>
      <c r="F374" s="47"/>
      <c r="G374" s="47"/>
      <c r="H374" s="45"/>
      <c r="I374" s="45"/>
      <c r="J374" s="45"/>
      <c r="K374" s="45"/>
      <c r="L374" s="46"/>
      <c r="M374" s="47"/>
      <c r="N374" s="46"/>
      <c r="O374" s="46"/>
      <c r="P374" s="47"/>
      <c r="Q374" s="46"/>
      <c r="R374" s="46"/>
      <c r="S374" s="48"/>
      <c r="T374" s="68" t="str">
        <f>IF(Tableau1[[#This Row],[DMS_SAP]]="","",HYPERLINK(Tableau1[[#This Row],[Chemin fichier source]],"X"))</f>
        <v/>
      </c>
      <c r="U374" s="68" t="str">
        <f>IF(Tableau1[[#This Row],[Date rév.]]="","",HYPERLINK(Tableau1[[#This Row],[Lien document]],"X"))</f>
        <v/>
      </c>
      <c r="V374" s="47"/>
      <c r="W37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74" s="47"/>
      <c r="Y374" s="47"/>
      <c r="Z374" s="44" t="str">
        <f ca="1">IF(AND(Tableau1[[#This Row],[Charge]]&lt;&gt;0, Tableau1[[#This Row],[Nombre intervenants]]&lt;&gt;0,Tableau1[[#This Row],[Lien document]]&lt;&gt;0,Tableau1[[#This Row],[DMS_SAP]]&lt;&gt;0)=TRUE,"MIS A JOUR","")</f>
        <v/>
      </c>
      <c r="AA374" s="48"/>
      <c r="AB374" s="65" t="str">
        <f ca="1">IF(Tableau1[[#This Row],[Date rév.]]&lt;&gt;"", DAYS360(Tableau1[[#This Row],[Date rév.]],TODAY()),"")</f>
        <v/>
      </c>
      <c r="AC374" s="50" t="str">
        <f>IFERROR(INDEX(Chemin_accès!$B$11:$C$22,MATCH(Tableau1[[#This Row],[Type]],Chemin_accès!$C$11:$C$22,0),1),Chemin_accès!$B$11)</f>
        <v>\\stjn.local\trimet\Btechnique\Commun\Atelier Central mécanique\Plan entretien\Modèles préventif\GammeDMS_7.MENG.xlsm</v>
      </c>
      <c r="AD374" s="50" t="str">
        <f>Chemin_accès!$B$8&amp;Tableau1[[#This Row],[Localisation / Classement]]&amp;"\"&amp;Tableau1[[#This Row],[Poste technique ou N° d''équipement]]&amp;"_"&amp;Tableau1[[#This Row],[Plan Entretien]]&amp;".xlsm"</f>
        <v>\\stjn.local\trimet\Btechnique\Commun\Atelier Central mécanique\Plan entretien\GammeEntretien\\_.xlsm</v>
      </c>
    </row>
    <row r="375" spans="1:30" x14ac:dyDescent="0.3">
      <c r="A375" s="44" t="str">
        <f t="shared" ca="1" si="5"/>
        <v>7.MENG</v>
      </c>
      <c r="B37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75" s="46"/>
      <c r="D375" s="44"/>
      <c r="E375" s="44"/>
      <c r="F375" s="47"/>
      <c r="G375" s="47"/>
      <c r="H375" s="45"/>
      <c r="I375" s="45"/>
      <c r="J375" s="45"/>
      <c r="K375" s="45"/>
      <c r="L375" s="46"/>
      <c r="M375" s="47"/>
      <c r="N375" s="46"/>
      <c r="O375" s="46"/>
      <c r="P375" s="47"/>
      <c r="Q375" s="46"/>
      <c r="R375" s="46"/>
      <c r="S375" s="48"/>
      <c r="T375" s="68" t="str">
        <f>IF(Tableau1[[#This Row],[DMS_SAP]]="","",HYPERLINK(Tableau1[[#This Row],[Chemin fichier source]],"X"))</f>
        <v/>
      </c>
      <c r="U375" s="68" t="str">
        <f>IF(Tableau1[[#This Row],[Date rév.]]="","",HYPERLINK(Tableau1[[#This Row],[Lien document]],"X"))</f>
        <v/>
      </c>
      <c r="V375" s="47"/>
      <c r="W37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75" s="47"/>
      <c r="Y375" s="47"/>
      <c r="Z375" s="44" t="str">
        <f ca="1">IF(AND(Tableau1[[#This Row],[Charge]]&lt;&gt;0, Tableau1[[#This Row],[Nombre intervenants]]&lt;&gt;0,Tableau1[[#This Row],[Lien document]]&lt;&gt;0,Tableau1[[#This Row],[DMS_SAP]]&lt;&gt;0)=TRUE,"MIS A JOUR","")</f>
        <v/>
      </c>
      <c r="AA375" s="48"/>
      <c r="AB375" s="65" t="str">
        <f ca="1">IF(Tableau1[[#This Row],[Date rév.]]&lt;&gt;"", DAYS360(Tableau1[[#This Row],[Date rév.]],TODAY()),"")</f>
        <v/>
      </c>
      <c r="AC375" s="50" t="str">
        <f>IFERROR(INDEX(Chemin_accès!$B$11:$C$22,MATCH(Tableau1[[#This Row],[Type]],Chemin_accès!$C$11:$C$22,0),1),Chemin_accès!$B$11)</f>
        <v>\\stjn.local\trimet\Btechnique\Commun\Atelier Central mécanique\Plan entretien\Modèles préventif\GammeDMS_7.MENG.xlsm</v>
      </c>
      <c r="AD375" s="50" t="str">
        <f>Chemin_accès!$B$8&amp;Tableau1[[#This Row],[Localisation / Classement]]&amp;"\"&amp;Tableau1[[#This Row],[Poste technique ou N° d''équipement]]&amp;"_"&amp;Tableau1[[#This Row],[Plan Entretien]]&amp;".xlsm"</f>
        <v>\\stjn.local\trimet\Btechnique\Commun\Atelier Central mécanique\Plan entretien\GammeEntretien\\_.xlsm</v>
      </c>
    </row>
    <row r="376" spans="1:30" x14ac:dyDescent="0.3">
      <c r="A376" s="44" t="str">
        <f t="shared" ca="1" si="5"/>
        <v>7.MENG</v>
      </c>
      <c r="B37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76" s="46"/>
      <c r="D376" s="44"/>
      <c r="E376" s="44"/>
      <c r="F376" s="47"/>
      <c r="G376" s="47"/>
      <c r="H376" s="45"/>
      <c r="I376" s="45"/>
      <c r="J376" s="45"/>
      <c r="K376" s="45"/>
      <c r="L376" s="46"/>
      <c r="M376" s="47"/>
      <c r="N376" s="46"/>
      <c r="O376" s="46"/>
      <c r="P376" s="47"/>
      <c r="Q376" s="46"/>
      <c r="R376" s="46"/>
      <c r="S376" s="48"/>
      <c r="T376" s="68" t="str">
        <f>IF(Tableau1[[#This Row],[DMS_SAP]]="","",HYPERLINK(Tableau1[[#This Row],[Chemin fichier source]],"X"))</f>
        <v/>
      </c>
      <c r="U376" s="68" t="str">
        <f>IF(Tableau1[[#This Row],[Date rév.]]="","",HYPERLINK(Tableau1[[#This Row],[Lien document]],"X"))</f>
        <v/>
      </c>
      <c r="V376" s="47"/>
      <c r="W37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76" s="47"/>
      <c r="Y376" s="47"/>
      <c r="Z376" s="44" t="str">
        <f ca="1">IF(AND(Tableau1[[#This Row],[Charge]]&lt;&gt;0, Tableau1[[#This Row],[Nombre intervenants]]&lt;&gt;0,Tableau1[[#This Row],[Lien document]]&lt;&gt;0,Tableau1[[#This Row],[DMS_SAP]]&lt;&gt;0)=TRUE,"MIS A JOUR","")</f>
        <v/>
      </c>
      <c r="AA376" s="48"/>
      <c r="AB376" s="65" t="str">
        <f ca="1">IF(Tableau1[[#This Row],[Date rév.]]&lt;&gt;"", DAYS360(Tableau1[[#This Row],[Date rév.]],TODAY()),"")</f>
        <v/>
      </c>
      <c r="AC376" s="50" t="str">
        <f>IFERROR(INDEX(Chemin_accès!$B$11:$C$22,MATCH(Tableau1[[#This Row],[Type]],Chemin_accès!$C$11:$C$22,0),1),Chemin_accès!$B$11)</f>
        <v>\\stjn.local\trimet\Btechnique\Commun\Atelier Central mécanique\Plan entretien\Modèles préventif\GammeDMS_7.MENG.xlsm</v>
      </c>
      <c r="AD376" s="50" t="str">
        <f>Chemin_accès!$B$8&amp;Tableau1[[#This Row],[Localisation / Classement]]&amp;"\"&amp;Tableau1[[#This Row],[Poste technique ou N° d''équipement]]&amp;"_"&amp;Tableau1[[#This Row],[Plan Entretien]]&amp;".xlsm"</f>
        <v>\\stjn.local\trimet\Btechnique\Commun\Atelier Central mécanique\Plan entretien\GammeEntretien\\_.xlsm</v>
      </c>
    </row>
    <row r="377" spans="1:30" x14ac:dyDescent="0.3">
      <c r="A377" s="44" t="str">
        <f t="shared" ca="1" si="5"/>
        <v>7.MENG</v>
      </c>
      <c r="B37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77" s="46"/>
      <c r="D377" s="44"/>
      <c r="E377" s="44"/>
      <c r="F377" s="47"/>
      <c r="G377" s="47"/>
      <c r="H377" s="45"/>
      <c r="I377" s="45"/>
      <c r="J377" s="45"/>
      <c r="K377" s="45"/>
      <c r="L377" s="46"/>
      <c r="M377" s="47"/>
      <c r="N377" s="46"/>
      <c r="O377" s="46"/>
      <c r="P377" s="47"/>
      <c r="Q377" s="46"/>
      <c r="R377" s="46"/>
      <c r="S377" s="48"/>
      <c r="T377" s="68" t="str">
        <f>IF(Tableau1[[#This Row],[DMS_SAP]]="","",HYPERLINK(Tableau1[[#This Row],[Chemin fichier source]],"X"))</f>
        <v/>
      </c>
      <c r="U377" s="68" t="str">
        <f>IF(Tableau1[[#This Row],[Date rév.]]="","",HYPERLINK(Tableau1[[#This Row],[Lien document]],"X"))</f>
        <v/>
      </c>
      <c r="V377" s="47"/>
      <c r="W37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77" s="47"/>
      <c r="Y377" s="47"/>
      <c r="Z377" s="44" t="str">
        <f ca="1">IF(AND(Tableau1[[#This Row],[Charge]]&lt;&gt;0, Tableau1[[#This Row],[Nombre intervenants]]&lt;&gt;0,Tableau1[[#This Row],[Lien document]]&lt;&gt;0,Tableau1[[#This Row],[DMS_SAP]]&lt;&gt;0)=TRUE,"MIS A JOUR","")</f>
        <v/>
      </c>
      <c r="AA377" s="48"/>
      <c r="AB377" s="65" t="str">
        <f ca="1">IF(Tableau1[[#This Row],[Date rév.]]&lt;&gt;"", DAYS360(Tableau1[[#This Row],[Date rév.]],TODAY()),"")</f>
        <v/>
      </c>
      <c r="AC377" s="50" t="str">
        <f>IFERROR(INDEX(Chemin_accès!$B$11:$C$22,MATCH(Tableau1[[#This Row],[Type]],Chemin_accès!$C$11:$C$22,0),1),Chemin_accès!$B$11)</f>
        <v>\\stjn.local\trimet\Btechnique\Commun\Atelier Central mécanique\Plan entretien\Modèles préventif\GammeDMS_7.MENG.xlsm</v>
      </c>
      <c r="AD377" s="50" t="str">
        <f>Chemin_accès!$B$8&amp;Tableau1[[#This Row],[Localisation / Classement]]&amp;"\"&amp;Tableau1[[#This Row],[Poste technique ou N° d''équipement]]&amp;"_"&amp;Tableau1[[#This Row],[Plan Entretien]]&amp;".xlsm"</f>
        <v>\\stjn.local\trimet\Btechnique\Commun\Atelier Central mécanique\Plan entretien\GammeEntretien\\_.xlsm</v>
      </c>
    </row>
    <row r="378" spans="1:30" x14ac:dyDescent="0.3">
      <c r="A378" s="44" t="str">
        <f t="shared" ca="1" si="5"/>
        <v>7.MENG</v>
      </c>
      <c r="B37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78" s="46"/>
      <c r="D378" s="44"/>
      <c r="E378" s="44"/>
      <c r="F378" s="47"/>
      <c r="G378" s="47"/>
      <c r="H378" s="45"/>
      <c r="I378" s="45"/>
      <c r="J378" s="45"/>
      <c r="K378" s="45"/>
      <c r="L378" s="46"/>
      <c r="M378" s="47"/>
      <c r="N378" s="46"/>
      <c r="O378" s="46"/>
      <c r="P378" s="47"/>
      <c r="Q378" s="46"/>
      <c r="R378" s="46"/>
      <c r="S378" s="48"/>
      <c r="T378" s="68" t="str">
        <f>IF(Tableau1[[#This Row],[DMS_SAP]]="","",HYPERLINK(Tableau1[[#This Row],[Chemin fichier source]],"X"))</f>
        <v/>
      </c>
      <c r="U378" s="68" t="str">
        <f>IF(Tableau1[[#This Row],[Date rév.]]="","",HYPERLINK(Tableau1[[#This Row],[Lien document]],"X"))</f>
        <v/>
      </c>
      <c r="V378" s="47"/>
      <c r="W37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78" s="47"/>
      <c r="Y378" s="47"/>
      <c r="Z378" s="44" t="str">
        <f ca="1">IF(AND(Tableau1[[#This Row],[Charge]]&lt;&gt;0, Tableau1[[#This Row],[Nombre intervenants]]&lt;&gt;0,Tableau1[[#This Row],[Lien document]]&lt;&gt;0,Tableau1[[#This Row],[DMS_SAP]]&lt;&gt;0)=TRUE,"MIS A JOUR","")</f>
        <v/>
      </c>
      <c r="AA378" s="48"/>
      <c r="AB378" s="65" t="str">
        <f ca="1">IF(Tableau1[[#This Row],[Date rév.]]&lt;&gt;"", DAYS360(Tableau1[[#This Row],[Date rév.]],TODAY()),"")</f>
        <v/>
      </c>
      <c r="AC378" s="50" t="str">
        <f>IFERROR(INDEX(Chemin_accès!$B$11:$C$22,MATCH(Tableau1[[#This Row],[Type]],Chemin_accès!$C$11:$C$22,0),1),Chemin_accès!$B$11)</f>
        <v>\\stjn.local\trimet\Btechnique\Commun\Atelier Central mécanique\Plan entretien\Modèles préventif\GammeDMS_7.MENG.xlsm</v>
      </c>
      <c r="AD378" s="50" t="str">
        <f>Chemin_accès!$B$8&amp;Tableau1[[#This Row],[Localisation / Classement]]&amp;"\"&amp;Tableau1[[#This Row],[Poste technique ou N° d''équipement]]&amp;"_"&amp;Tableau1[[#This Row],[Plan Entretien]]&amp;".xlsm"</f>
        <v>\\stjn.local\trimet\Btechnique\Commun\Atelier Central mécanique\Plan entretien\GammeEntretien\\_.xlsm</v>
      </c>
    </row>
    <row r="379" spans="1:30" x14ac:dyDescent="0.3">
      <c r="A379" s="44" t="str">
        <f t="shared" ca="1" si="5"/>
        <v>7.MENG</v>
      </c>
      <c r="B37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79" s="46"/>
      <c r="D379" s="44"/>
      <c r="E379" s="44"/>
      <c r="F379" s="47"/>
      <c r="G379" s="47"/>
      <c r="H379" s="45"/>
      <c r="I379" s="45"/>
      <c r="J379" s="45"/>
      <c r="K379" s="45"/>
      <c r="L379" s="46"/>
      <c r="M379" s="47"/>
      <c r="N379" s="46"/>
      <c r="O379" s="46"/>
      <c r="P379" s="47"/>
      <c r="Q379" s="46"/>
      <c r="R379" s="46"/>
      <c r="S379" s="48"/>
      <c r="T379" s="68" t="str">
        <f>IF(Tableau1[[#This Row],[DMS_SAP]]="","",HYPERLINK(Tableau1[[#This Row],[Chemin fichier source]],"X"))</f>
        <v/>
      </c>
      <c r="U379" s="68" t="str">
        <f>IF(Tableau1[[#This Row],[Date rév.]]="","",HYPERLINK(Tableau1[[#This Row],[Lien document]],"X"))</f>
        <v/>
      </c>
      <c r="V379" s="47"/>
      <c r="W37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79" s="47"/>
      <c r="Y379" s="47"/>
      <c r="Z379" s="44" t="str">
        <f ca="1">IF(AND(Tableau1[[#This Row],[Charge]]&lt;&gt;0, Tableau1[[#This Row],[Nombre intervenants]]&lt;&gt;0,Tableau1[[#This Row],[Lien document]]&lt;&gt;0,Tableau1[[#This Row],[DMS_SAP]]&lt;&gt;0)=TRUE,"MIS A JOUR","")</f>
        <v/>
      </c>
      <c r="AA379" s="48"/>
      <c r="AB379" s="65" t="str">
        <f ca="1">IF(Tableau1[[#This Row],[Date rév.]]&lt;&gt;"", DAYS360(Tableau1[[#This Row],[Date rév.]],TODAY()),"")</f>
        <v/>
      </c>
      <c r="AC379" s="50" t="str">
        <f>IFERROR(INDEX(Chemin_accès!$B$11:$C$22,MATCH(Tableau1[[#This Row],[Type]],Chemin_accès!$C$11:$C$22,0),1),Chemin_accès!$B$11)</f>
        <v>\\stjn.local\trimet\Btechnique\Commun\Atelier Central mécanique\Plan entretien\Modèles préventif\GammeDMS_7.MENG.xlsm</v>
      </c>
      <c r="AD379" s="50" t="str">
        <f>Chemin_accès!$B$8&amp;Tableau1[[#This Row],[Localisation / Classement]]&amp;"\"&amp;Tableau1[[#This Row],[Poste technique ou N° d''équipement]]&amp;"_"&amp;Tableau1[[#This Row],[Plan Entretien]]&amp;".xlsm"</f>
        <v>\\stjn.local\trimet\Btechnique\Commun\Atelier Central mécanique\Plan entretien\GammeEntretien\\_.xlsm</v>
      </c>
    </row>
    <row r="380" spans="1:30" x14ac:dyDescent="0.3">
      <c r="A380" s="44" t="str">
        <f t="shared" ca="1" si="5"/>
        <v>7.MENG</v>
      </c>
      <c r="B38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80" s="46"/>
      <c r="D380" s="44"/>
      <c r="E380" s="44"/>
      <c r="F380" s="47"/>
      <c r="G380" s="47"/>
      <c r="H380" s="45"/>
      <c r="I380" s="45"/>
      <c r="J380" s="45"/>
      <c r="K380" s="45"/>
      <c r="L380" s="46"/>
      <c r="M380" s="47"/>
      <c r="N380" s="46"/>
      <c r="O380" s="46"/>
      <c r="P380" s="47"/>
      <c r="Q380" s="46"/>
      <c r="R380" s="46"/>
      <c r="S380" s="48"/>
      <c r="T380" s="68" t="str">
        <f>IF(Tableau1[[#This Row],[DMS_SAP]]="","",HYPERLINK(Tableau1[[#This Row],[Chemin fichier source]],"X"))</f>
        <v/>
      </c>
      <c r="U380" s="68" t="str">
        <f>IF(Tableau1[[#This Row],[Date rév.]]="","",HYPERLINK(Tableau1[[#This Row],[Lien document]],"X"))</f>
        <v/>
      </c>
      <c r="V380" s="47"/>
      <c r="W38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80" s="47"/>
      <c r="Y380" s="47"/>
      <c r="Z380" s="44" t="str">
        <f ca="1">IF(AND(Tableau1[[#This Row],[Charge]]&lt;&gt;0, Tableau1[[#This Row],[Nombre intervenants]]&lt;&gt;0,Tableau1[[#This Row],[Lien document]]&lt;&gt;0,Tableau1[[#This Row],[DMS_SAP]]&lt;&gt;0)=TRUE,"MIS A JOUR","")</f>
        <v/>
      </c>
      <c r="AA380" s="48"/>
      <c r="AB380" s="65" t="str">
        <f ca="1">IF(Tableau1[[#This Row],[Date rév.]]&lt;&gt;"", DAYS360(Tableau1[[#This Row],[Date rév.]],TODAY()),"")</f>
        <v/>
      </c>
      <c r="AC380" s="50" t="str">
        <f>IFERROR(INDEX(Chemin_accès!$B$11:$C$22,MATCH(Tableau1[[#This Row],[Type]],Chemin_accès!$C$11:$C$22,0),1),Chemin_accès!$B$11)</f>
        <v>\\stjn.local\trimet\Btechnique\Commun\Atelier Central mécanique\Plan entretien\Modèles préventif\GammeDMS_7.MENG.xlsm</v>
      </c>
      <c r="AD380" s="50" t="str">
        <f>Chemin_accès!$B$8&amp;Tableau1[[#This Row],[Localisation / Classement]]&amp;"\"&amp;Tableau1[[#This Row],[Poste technique ou N° d''équipement]]&amp;"_"&amp;Tableau1[[#This Row],[Plan Entretien]]&amp;".xlsm"</f>
        <v>\\stjn.local\trimet\Btechnique\Commun\Atelier Central mécanique\Plan entretien\GammeEntretien\\_.xlsm</v>
      </c>
    </row>
    <row r="381" spans="1:30" x14ac:dyDescent="0.3">
      <c r="A381" s="44" t="str">
        <f t="shared" ca="1" si="5"/>
        <v>7.MENG</v>
      </c>
      <c r="B38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81" s="46"/>
      <c r="D381" s="44"/>
      <c r="E381" s="44"/>
      <c r="F381" s="47"/>
      <c r="G381" s="47"/>
      <c r="H381" s="45"/>
      <c r="I381" s="45"/>
      <c r="J381" s="45"/>
      <c r="K381" s="45"/>
      <c r="L381" s="46"/>
      <c r="M381" s="47"/>
      <c r="N381" s="46"/>
      <c r="O381" s="46"/>
      <c r="P381" s="47"/>
      <c r="Q381" s="46"/>
      <c r="R381" s="46"/>
      <c r="S381" s="48"/>
      <c r="T381" s="68" t="str">
        <f>IF(Tableau1[[#This Row],[DMS_SAP]]="","",HYPERLINK(Tableau1[[#This Row],[Chemin fichier source]],"X"))</f>
        <v/>
      </c>
      <c r="U381" s="68" t="str">
        <f>IF(Tableau1[[#This Row],[Date rév.]]="","",HYPERLINK(Tableau1[[#This Row],[Lien document]],"X"))</f>
        <v/>
      </c>
      <c r="V381" s="47"/>
      <c r="W38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81" s="47"/>
      <c r="Y381" s="47"/>
      <c r="Z381" s="44" t="str">
        <f ca="1">IF(AND(Tableau1[[#This Row],[Charge]]&lt;&gt;0, Tableau1[[#This Row],[Nombre intervenants]]&lt;&gt;0,Tableau1[[#This Row],[Lien document]]&lt;&gt;0,Tableau1[[#This Row],[DMS_SAP]]&lt;&gt;0)=TRUE,"MIS A JOUR","")</f>
        <v/>
      </c>
      <c r="AA381" s="48"/>
      <c r="AB381" s="65" t="str">
        <f ca="1">IF(Tableau1[[#This Row],[Date rév.]]&lt;&gt;"", DAYS360(Tableau1[[#This Row],[Date rév.]],TODAY()),"")</f>
        <v/>
      </c>
      <c r="AC381" s="50" t="str">
        <f>IFERROR(INDEX(Chemin_accès!$B$11:$C$22,MATCH(Tableau1[[#This Row],[Type]],Chemin_accès!$C$11:$C$22,0),1),Chemin_accès!$B$11)</f>
        <v>\\stjn.local\trimet\Btechnique\Commun\Atelier Central mécanique\Plan entretien\Modèles préventif\GammeDMS_7.MENG.xlsm</v>
      </c>
      <c r="AD381" s="50" t="str">
        <f>Chemin_accès!$B$8&amp;Tableau1[[#This Row],[Localisation / Classement]]&amp;"\"&amp;Tableau1[[#This Row],[Poste technique ou N° d''équipement]]&amp;"_"&amp;Tableau1[[#This Row],[Plan Entretien]]&amp;".xlsm"</f>
        <v>\\stjn.local\trimet\Btechnique\Commun\Atelier Central mécanique\Plan entretien\GammeEntretien\\_.xlsm</v>
      </c>
    </row>
    <row r="382" spans="1:30" x14ac:dyDescent="0.3">
      <c r="A382" s="44" t="str">
        <f t="shared" ca="1" si="5"/>
        <v>7.MENG</v>
      </c>
      <c r="B38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82" s="46"/>
      <c r="D382" s="44"/>
      <c r="E382" s="44"/>
      <c r="F382" s="47"/>
      <c r="G382" s="47"/>
      <c r="H382" s="45"/>
      <c r="I382" s="45"/>
      <c r="J382" s="45"/>
      <c r="K382" s="45"/>
      <c r="L382" s="46"/>
      <c r="M382" s="47"/>
      <c r="N382" s="46"/>
      <c r="O382" s="46"/>
      <c r="P382" s="47"/>
      <c r="Q382" s="46"/>
      <c r="R382" s="46"/>
      <c r="S382" s="48"/>
      <c r="T382" s="68" t="str">
        <f>IF(Tableau1[[#This Row],[DMS_SAP]]="","",HYPERLINK(Tableau1[[#This Row],[Chemin fichier source]],"X"))</f>
        <v/>
      </c>
      <c r="U382" s="68" t="str">
        <f>IF(Tableau1[[#This Row],[Date rév.]]="","",HYPERLINK(Tableau1[[#This Row],[Lien document]],"X"))</f>
        <v/>
      </c>
      <c r="V382" s="47"/>
      <c r="W38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82" s="47"/>
      <c r="Y382" s="47"/>
      <c r="Z382" s="44" t="str">
        <f ca="1">IF(AND(Tableau1[[#This Row],[Charge]]&lt;&gt;0, Tableau1[[#This Row],[Nombre intervenants]]&lt;&gt;0,Tableau1[[#This Row],[Lien document]]&lt;&gt;0,Tableau1[[#This Row],[DMS_SAP]]&lt;&gt;0)=TRUE,"MIS A JOUR","")</f>
        <v/>
      </c>
      <c r="AA382" s="48"/>
      <c r="AB382" s="65" t="str">
        <f ca="1">IF(Tableau1[[#This Row],[Date rév.]]&lt;&gt;"", DAYS360(Tableau1[[#This Row],[Date rév.]],TODAY()),"")</f>
        <v/>
      </c>
      <c r="AC382" s="50" t="str">
        <f>IFERROR(INDEX(Chemin_accès!$B$11:$C$22,MATCH(Tableau1[[#This Row],[Type]],Chemin_accès!$C$11:$C$22,0),1),Chemin_accès!$B$11)</f>
        <v>\\stjn.local\trimet\Btechnique\Commun\Atelier Central mécanique\Plan entretien\Modèles préventif\GammeDMS_7.MENG.xlsm</v>
      </c>
      <c r="AD382" s="50" t="str">
        <f>Chemin_accès!$B$8&amp;Tableau1[[#This Row],[Localisation / Classement]]&amp;"\"&amp;Tableau1[[#This Row],[Poste technique ou N° d''équipement]]&amp;"_"&amp;Tableau1[[#This Row],[Plan Entretien]]&amp;".xlsm"</f>
        <v>\\stjn.local\trimet\Btechnique\Commun\Atelier Central mécanique\Plan entretien\GammeEntretien\\_.xlsm</v>
      </c>
    </row>
    <row r="383" spans="1:30" x14ac:dyDescent="0.3">
      <c r="A383" s="44" t="str">
        <f t="shared" ca="1" si="5"/>
        <v>7.MENG</v>
      </c>
      <c r="B38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83" s="46"/>
      <c r="D383" s="44"/>
      <c r="E383" s="44"/>
      <c r="F383" s="47"/>
      <c r="G383" s="47"/>
      <c r="H383" s="45"/>
      <c r="I383" s="45"/>
      <c r="J383" s="45"/>
      <c r="K383" s="45"/>
      <c r="L383" s="46"/>
      <c r="M383" s="47"/>
      <c r="N383" s="46"/>
      <c r="O383" s="46"/>
      <c r="P383" s="47"/>
      <c r="Q383" s="46"/>
      <c r="R383" s="46"/>
      <c r="S383" s="48"/>
      <c r="T383" s="68" t="str">
        <f>IF(Tableau1[[#This Row],[DMS_SAP]]="","",HYPERLINK(Tableau1[[#This Row],[Chemin fichier source]],"X"))</f>
        <v/>
      </c>
      <c r="U383" s="68" t="str">
        <f>IF(Tableau1[[#This Row],[Date rév.]]="","",HYPERLINK(Tableau1[[#This Row],[Lien document]],"X"))</f>
        <v/>
      </c>
      <c r="V383" s="47"/>
      <c r="W38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83" s="47"/>
      <c r="Y383" s="47"/>
      <c r="Z383" s="44" t="str">
        <f ca="1">IF(AND(Tableau1[[#This Row],[Charge]]&lt;&gt;0, Tableau1[[#This Row],[Nombre intervenants]]&lt;&gt;0,Tableau1[[#This Row],[Lien document]]&lt;&gt;0,Tableau1[[#This Row],[DMS_SAP]]&lt;&gt;0)=TRUE,"MIS A JOUR","")</f>
        <v/>
      </c>
      <c r="AA383" s="48"/>
      <c r="AB383" s="65" t="str">
        <f ca="1">IF(Tableau1[[#This Row],[Date rév.]]&lt;&gt;"", DAYS360(Tableau1[[#This Row],[Date rév.]],TODAY()),"")</f>
        <v/>
      </c>
      <c r="AC383" s="50" t="str">
        <f>IFERROR(INDEX(Chemin_accès!$B$11:$C$22,MATCH(Tableau1[[#This Row],[Type]],Chemin_accès!$C$11:$C$22,0),1),Chemin_accès!$B$11)</f>
        <v>\\stjn.local\trimet\Btechnique\Commun\Atelier Central mécanique\Plan entretien\Modèles préventif\GammeDMS_7.MENG.xlsm</v>
      </c>
      <c r="AD383" s="50" t="str">
        <f>Chemin_accès!$B$8&amp;Tableau1[[#This Row],[Localisation / Classement]]&amp;"\"&amp;Tableau1[[#This Row],[Poste technique ou N° d''équipement]]&amp;"_"&amp;Tableau1[[#This Row],[Plan Entretien]]&amp;".xlsm"</f>
        <v>\\stjn.local\trimet\Btechnique\Commun\Atelier Central mécanique\Plan entretien\GammeEntretien\\_.xlsm</v>
      </c>
    </row>
    <row r="384" spans="1:30" x14ac:dyDescent="0.3">
      <c r="A384" s="44" t="str">
        <f t="shared" ca="1" si="5"/>
        <v>7.MENG</v>
      </c>
      <c r="B38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84" s="46"/>
      <c r="D384" s="44"/>
      <c r="E384" s="44"/>
      <c r="F384" s="47"/>
      <c r="G384" s="47"/>
      <c r="H384" s="45"/>
      <c r="I384" s="45"/>
      <c r="J384" s="45"/>
      <c r="K384" s="45"/>
      <c r="L384" s="46"/>
      <c r="M384" s="47"/>
      <c r="N384" s="46"/>
      <c r="O384" s="46"/>
      <c r="P384" s="47"/>
      <c r="Q384" s="46"/>
      <c r="R384" s="46"/>
      <c r="S384" s="48"/>
      <c r="T384" s="68" t="str">
        <f>IF(Tableau1[[#This Row],[DMS_SAP]]="","",HYPERLINK(Tableau1[[#This Row],[Chemin fichier source]],"X"))</f>
        <v/>
      </c>
      <c r="U384" s="68" t="str">
        <f>IF(Tableau1[[#This Row],[Date rév.]]="","",HYPERLINK(Tableau1[[#This Row],[Lien document]],"X"))</f>
        <v/>
      </c>
      <c r="V384" s="47"/>
      <c r="W38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84" s="47"/>
      <c r="Y384" s="47"/>
      <c r="Z384" s="44" t="str">
        <f ca="1">IF(AND(Tableau1[[#This Row],[Charge]]&lt;&gt;0, Tableau1[[#This Row],[Nombre intervenants]]&lt;&gt;0,Tableau1[[#This Row],[Lien document]]&lt;&gt;0,Tableau1[[#This Row],[DMS_SAP]]&lt;&gt;0)=TRUE,"MIS A JOUR","")</f>
        <v/>
      </c>
      <c r="AA384" s="48"/>
      <c r="AB384" s="65" t="str">
        <f ca="1">IF(Tableau1[[#This Row],[Date rév.]]&lt;&gt;"", DAYS360(Tableau1[[#This Row],[Date rév.]],TODAY()),"")</f>
        <v/>
      </c>
      <c r="AC384" s="50" t="str">
        <f>IFERROR(INDEX(Chemin_accès!$B$11:$C$22,MATCH(Tableau1[[#This Row],[Type]],Chemin_accès!$C$11:$C$22,0),1),Chemin_accès!$B$11)</f>
        <v>\\stjn.local\trimet\Btechnique\Commun\Atelier Central mécanique\Plan entretien\Modèles préventif\GammeDMS_7.MENG.xlsm</v>
      </c>
      <c r="AD384" s="50" t="str">
        <f>Chemin_accès!$B$8&amp;Tableau1[[#This Row],[Localisation / Classement]]&amp;"\"&amp;Tableau1[[#This Row],[Poste technique ou N° d''équipement]]&amp;"_"&amp;Tableau1[[#This Row],[Plan Entretien]]&amp;".xlsm"</f>
        <v>\\stjn.local\trimet\Btechnique\Commun\Atelier Central mécanique\Plan entretien\GammeEntretien\\_.xlsm</v>
      </c>
    </row>
    <row r="385" spans="1:30" x14ac:dyDescent="0.3">
      <c r="A385" s="44" t="str">
        <f t="shared" ref="A385:A448" ca="1" si="6">MID(CELL("filename",$A$1),FIND("]",CELL("filename",$A$1))+1,32)</f>
        <v>7.MENG</v>
      </c>
      <c r="B38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85" s="46"/>
      <c r="D385" s="44"/>
      <c r="E385" s="44"/>
      <c r="F385" s="47"/>
      <c r="G385" s="47"/>
      <c r="H385" s="45"/>
      <c r="I385" s="45"/>
      <c r="J385" s="45"/>
      <c r="K385" s="45"/>
      <c r="L385" s="46"/>
      <c r="M385" s="47"/>
      <c r="N385" s="46"/>
      <c r="O385" s="46"/>
      <c r="P385" s="47"/>
      <c r="Q385" s="46"/>
      <c r="R385" s="46"/>
      <c r="S385" s="48"/>
      <c r="T385" s="68" t="str">
        <f>IF(Tableau1[[#This Row],[DMS_SAP]]="","",HYPERLINK(Tableau1[[#This Row],[Chemin fichier source]],"X"))</f>
        <v/>
      </c>
      <c r="U385" s="68" t="str">
        <f>IF(Tableau1[[#This Row],[Date rév.]]="","",HYPERLINK(Tableau1[[#This Row],[Lien document]],"X"))</f>
        <v/>
      </c>
      <c r="V385" s="47"/>
      <c r="W38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85" s="47"/>
      <c r="Y385" s="47"/>
      <c r="Z385" s="44" t="str">
        <f ca="1">IF(AND(Tableau1[[#This Row],[Charge]]&lt;&gt;0, Tableau1[[#This Row],[Nombre intervenants]]&lt;&gt;0,Tableau1[[#This Row],[Lien document]]&lt;&gt;0,Tableau1[[#This Row],[DMS_SAP]]&lt;&gt;0)=TRUE,"MIS A JOUR","")</f>
        <v/>
      </c>
      <c r="AA385" s="48"/>
      <c r="AB385" s="65" t="str">
        <f ca="1">IF(Tableau1[[#This Row],[Date rév.]]&lt;&gt;"", DAYS360(Tableau1[[#This Row],[Date rév.]],TODAY()),"")</f>
        <v/>
      </c>
      <c r="AC385" s="50" t="str">
        <f>IFERROR(INDEX(Chemin_accès!$B$11:$C$22,MATCH(Tableau1[[#This Row],[Type]],Chemin_accès!$C$11:$C$22,0),1),Chemin_accès!$B$11)</f>
        <v>\\stjn.local\trimet\Btechnique\Commun\Atelier Central mécanique\Plan entretien\Modèles préventif\GammeDMS_7.MENG.xlsm</v>
      </c>
      <c r="AD385" s="50" t="str">
        <f>Chemin_accès!$B$8&amp;Tableau1[[#This Row],[Localisation / Classement]]&amp;"\"&amp;Tableau1[[#This Row],[Poste technique ou N° d''équipement]]&amp;"_"&amp;Tableau1[[#This Row],[Plan Entretien]]&amp;".xlsm"</f>
        <v>\\stjn.local\trimet\Btechnique\Commun\Atelier Central mécanique\Plan entretien\GammeEntretien\\_.xlsm</v>
      </c>
    </row>
    <row r="386" spans="1:30" x14ac:dyDescent="0.3">
      <c r="A386" s="44" t="str">
        <f t="shared" ca="1" si="6"/>
        <v>7.MENG</v>
      </c>
      <c r="B38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86" s="46"/>
      <c r="D386" s="44"/>
      <c r="E386" s="44"/>
      <c r="F386" s="47"/>
      <c r="G386" s="47"/>
      <c r="H386" s="45"/>
      <c r="I386" s="45"/>
      <c r="J386" s="45"/>
      <c r="K386" s="45"/>
      <c r="L386" s="46"/>
      <c r="M386" s="47"/>
      <c r="N386" s="46"/>
      <c r="O386" s="46"/>
      <c r="P386" s="47"/>
      <c r="Q386" s="46"/>
      <c r="R386" s="46"/>
      <c r="S386" s="48"/>
      <c r="T386" s="68" t="str">
        <f>IF(Tableau1[[#This Row],[DMS_SAP]]="","",HYPERLINK(Tableau1[[#This Row],[Chemin fichier source]],"X"))</f>
        <v/>
      </c>
      <c r="U386" s="68" t="str">
        <f>IF(Tableau1[[#This Row],[Date rév.]]="","",HYPERLINK(Tableau1[[#This Row],[Lien document]],"X"))</f>
        <v/>
      </c>
      <c r="V386" s="47"/>
      <c r="W38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86" s="47"/>
      <c r="Y386" s="47"/>
      <c r="Z386" s="44" t="str">
        <f ca="1">IF(AND(Tableau1[[#This Row],[Charge]]&lt;&gt;0, Tableau1[[#This Row],[Nombre intervenants]]&lt;&gt;0,Tableau1[[#This Row],[Lien document]]&lt;&gt;0,Tableau1[[#This Row],[DMS_SAP]]&lt;&gt;0)=TRUE,"MIS A JOUR","")</f>
        <v/>
      </c>
      <c r="AA386" s="48"/>
      <c r="AB386" s="65" t="str">
        <f ca="1">IF(Tableau1[[#This Row],[Date rév.]]&lt;&gt;"", DAYS360(Tableau1[[#This Row],[Date rév.]],TODAY()),"")</f>
        <v/>
      </c>
      <c r="AC386" s="50" t="str">
        <f>IFERROR(INDEX(Chemin_accès!$B$11:$C$22,MATCH(Tableau1[[#This Row],[Type]],Chemin_accès!$C$11:$C$22,0),1),Chemin_accès!$B$11)</f>
        <v>\\stjn.local\trimet\Btechnique\Commun\Atelier Central mécanique\Plan entretien\Modèles préventif\GammeDMS_7.MENG.xlsm</v>
      </c>
      <c r="AD386" s="50" t="str">
        <f>Chemin_accès!$B$8&amp;Tableau1[[#This Row],[Localisation / Classement]]&amp;"\"&amp;Tableau1[[#This Row],[Poste technique ou N° d''équipement]]&amp;"_"&amp;Tableau1[[#This Row],[Plan Entretien]]&amp;".xlsm"</f>
        <v>\\stjn.local\trimet\Btechnique\Commun\Atelier Central mécanique\Plan entretien\GammeEntretien\\_.xlsm</v>
      </c>
    </row>
    <row r="387" spans="1:30" x14ac:dyDescent="0.3">
      <c r="A387" s="44" t="str">
        <f t="shared" ca="1" si="6"/>
        <v>7.MENG</v>
      </c>
      <c r="B38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87" s="46"/>
      <c r="D387" s="44"/>
      <c r="E387" s="44"/>
      <c r="F387" s="47"/>
      <c r="G387" s="47"/>
      <c r="H387" s="45"/>
      <c r="I387" s="45"/>
      <c r="J387" s="45"/>
      <c r="K387" s="45"/>
      <c r="L387" s="46"/>
      <c r="M387" s="47"/>
      <c r="N387" s="46"/>
      <c r="O387" s="46"/>
      <c r="P387" s="47"/>
      <c r="Q387" s="46"/>
      <c r="R387" s="46"/>
      <c r="S387" s="48"/>
      <c r="T387" s="68" t="str">
        <f>IF(Tableau1[[#This Row],[DMS_SAP]]="","",HYPERLINK(Tableau1[[#This Row],[Chemin fichier source]],"X"))</f>
        <v/>
      </c>
      <c r="U387" s="68" t="str">
        <f>IF(Tableau1[[#This Row],[Date rév.]]="","",HYPERLINK(Tableau1[[#This Row],[Lien document]],"X"))</f>
        <v/>
      </c>
      <c r="V387" s="47"/>
      <c r="W38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87" s="47"/>
      <c r="Y387" s="47"/>
      <c r="Z387" s="44" t="str">
        <f ca="1">IF(AND(Tableau1[[#This Row],[Charge]]&lt;&gt;0, Tableau1[[#This Row],[Nombre intervenants]]&lt;&gt;0,Tableau1[[#This Row],[Lien document]]&lt;&gt;0,Tableau1[[#This Row],[DMS_SAP]]&lt;&gt;0)=TRUE,"MIS A JOUR","")</f>
        <v/>
      </c>
      <c r="AA387" s="48"/>
      <c r="AB387" s="65" t="str">
        <f ca="1">IF(Tableau1[[#This Row],[Date rév.]]&lt;&gt;"", DAYS360(Tableau1[[#This Row],[Date rév.]],TODAY()),"")</f>
        <v/>
      </c>
      <c r="AC387" s="50" t="str">
        <f>IFERROR(INDEX(Chemin_accès!$B$11:$C$22,MATCH(Tableau1[[#This Row],[Type]],Chemin_accès!$C$11:$C$22,0),1),Chemin_accès!$B$11)</f>
        <v>\\stjn.local\trimet\Btechnique\Commun\Atelier Central mécanique\Plan entretien\Modèles préventif\GammeDMS_7.MENG.xlsm</v>
      </c>
      <c r="AD387" s="50" t="str">
        <f>Chemin_accès!$B$8&amp;Tableau1[[#This Row],[Localisation / Classement]]&amp;"\"&amp;Tableau1[[#This Row],[Poste technique ou N° d''équipement]]&amp;"_"&amp;Tableau1[[#This Row],[Plan Entretien]]&amp;".xlsm"</f>
        <v>\\stjn.local\trimet\Btechnique\Commun\Atelier Central mécanique\Plan entretien\GammeEntretien\\_.xlsm</v>
      </c>
    </row>
    <row r="388" spans="1:30" x14ac:dyDescent="0.3">
      <c r="A388" s="44" t="str">
        <f t="shared" ca="1" si="6"/>
        <v>7.MENG</v>
      </c>
      <c r="B38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88" s="46"/>
      <c r="D388" s="44"/>
      <c r="E388" s="44"/>
      <c r="F388" s="47"/>
      <c r="G388" s="47"/>
      <c r="H388" s="45"/>
      <c r="I388" s="45"/>
      <c r="J388" s="45"/>
      <c r="K388" s="45"/>
      <c r="L388" s="46"/>
      <c r="M388" s="47"/>
      <c r="N388" s="46"/>
      <c r="O388" s="46"/>
      <c r="P388" s="47"/>
      <c r="Q388" s="46"/>
      <c r="R388" s="46"/>
      <c r="S388" s="48"/>
      <c r="T388" s="68" t="str">
        <f>IF(Tableau1[[#This Row],[DMS_SAP]]="","",HYPERLINK(Tableau1[[#This Row],[Chemin fichier source]],"X"))</f>
        <v/>
      </c>
      <c r="U388" s="68" t="str">
        <f>IF(Tableau1[[#This Row],[Date rév.]]="","",HYPERLINK(Tableau1[[#This Row],[Lien document]],"X"))</f>
        <v/>
      </c>
      <c r="V388" s="47"/>
      <c r="W38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88" s="47"/>
      <c r="Y388" s="47"/>
      <c r="Z388" s="44" t="str">
        <f ca="1">IF(AND(Tableau1[[#This Row],[Charge]]&lt;&gt;0, Tableau1[[#This Row],[Nombre intervenants]]&lt;&gt;0,Tableau1[[#This Row],[Lien document]]&lt;&gt;0,Tableau1[[#This Row],[DMS_SAP]]&lt;&gt;0)=TRUE,"MIS A JOUR","")</f>
        <v/>
      </c>
      <c r="AA388" s="48"/>
      <c r="AB388" s="65" t="str">
        <f ca="1">IF(Tableau1[[#This Row],[Date rév.]]&lt;&gt;"", DAYS360(Tableau1[[#This Row],[Date rév.]],TODAY()),"")</f>
        <v/>
      </c>
      <c r="AC388" s="50" t="str">
        <f>IFERROR(INDEX(Chemin_accès!$B$11:$C$22,MATCH(Tableau1[[#This Row],[Type]],Chemin_accès!$C$11:$C$22,0),1),Chemin_accès!$B$11)</f>
        <v>\\stjn.local\trimet\Btechnique\Commun\Atelier Central mécanique\Plan entretien\Modèles préventif\GammeDMS_7.MENG.xlsm</v>
      </c>
      <c r="AD388" s="50" t="str">
        <f>Chemin_accès!$B$8&amp;Tableau1[[#This Row],[Localisation / Classement]]&amp;"\"&amp;Tableau1[[#This Row],[Poste technique ou N° d''équipement]]&amp;"_"&amp;Tableau1[[#This Row],[Plan Entretien]]&amp;".xlsm"</f>
        <v>\\stjn.local\trimet\Btechnique\Commun\Atelier Central mécanique\Plan entretien\GammeEntretien\\_.xlsm</v>
      </c>
    </row>
    <row r="389" spans="1:30" x14ac:dyDescent="0.3">
      <c r="A389" s="44" t="str">
        <f t="shared" ca="1" si="6"/>
        <v>7.MENG</v>
      </c>
      <c r="B38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89" s="46"/>
      <c r="D389" s="44"/>
      <c r="E389" s="44"/>
      <c r="F389" s="47"/>
      <c r="G389" s="47"/>
      <c r="H389" s="45"/>
      <c r="I389" s="45"/>
      <c r="J389" s="45"/>
      <c r="K389" s="45"/>
      <c r="L389" s="46"/>
      <c r="M389" s="47"/>
      <c r="N389" s="46"/>
      <c r="O389" s="46"/>
      <c r="P389" s="47"/>
      <c r="Q389" s="46"/>
      <c r="R389" s="46"/>
      <c r="S389" s="48"/>
      <c r="T389" s="68" t="str">
        <f>IF(Tableau1[[#This Row],[DMS_SAP]]="","",HYPERLINK(Tableau1[[#This Row],[Chemin fichier source]],"X"))</f>
        <v/>
      </c>
      <c r="U389" s="68" t="str">
        <f>IF(Tableau1[[#This Row],[Date rév.]]="","",HYPERLINK(Tableau1[[#This Row],[Lien document]],"X"))</f>
        <v/>
      </c>
      <c r="V389" s="47"/>
      <c r="W38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89" s="47"/>
      <c r="Y389" s="47"/>
      <c r="Z389" s="44" t="str">
        <f ca="1">IF(AND(Tableau1[[#This Row],[Charge]]&lt;&gt;0, Tableau1[[#This Row],[Nombre intervenants]]&lt;&gt;0,Tableau1[[#This Row],[Lien document]]&lt;&gt;0,Tableau1[[#This Row],[DMS_SAP]]&lt;&gt;0)=TRUE,"MIS A JOUR","")</f>
        <v/>
      </c>
      <c r="AA389" s="48"/>
      <c r="AB389" s="65" t="str">
        <f ca="1">IF(Tableau1[[#This Row],[Date rév.]]&lt;&gt;"", DAYS360(Tableau1[[#This Row],[Date rév.]],TODAY()),"")</f>
        <v/>
      </c>
      <c r="AC389" s="50" t="str">
        <f>IFERROR(INDEX(Chemin_accès!$B$11:$C$22,MATCH(Tableau1[[#This Row],[Type]],Chemin_accès!$C$11:$C$22,0),1),Chemin_accès!$B$11)</f>
        <v>\\stjn.local\trimet\Btechnique\Commun\Atelier Central mécanique\Plan entretien\Modèles préventif\GammeDMS_7.MENG.xlsm</v>
      </c>
      <c r="AD389" s="50" t="str">
        <f>Chemin_accès!$B$8&amp;Tableau1[[#This Row],[Localisation / Classement]]&amp;"\"&amp;Tableau1[[#This Row],[Poste technique ou N° d''équipement]]&amp;"_"&amp;Tableau1[[#This Row],[Plan Entretien]]&amp;".xlsm"</f>
        <v>\\stjn.local\trimet\Btechnique\Commun\Atelier Central mécanique\Plan entretien\GammeEntretien\\_.xlsm</v>
      </c>
    </row>
    <row r="390" spans="1:30" x14ac:dyDescent="0.3">
      <c r="A390" s="44" t="str">
        <f t="shared" ca="1" si="6"/>
        <v>7.MENG</v>
      </c>
      <c r="B39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90" s="46"/>
      <c r="D390" s="44"/>
      <c r="E390" s="44"/>
      <c r="F390" s="47"/>
      <c r="G390" s="47"/>
      <c r="H390" s="45"/>
      <c r="I390" s="45"/>
      <c r="J390" s="45"/>
      <c r="K390" s="45"/>
      <c r="L390" s="46"/>
      <c r="M390" s="47"/>
      <c r="N390" s="46"/>
      <c r="O390" s="46"/>
      <c r="P390" s="47"/>
      <c r="Q390" s="46"/>
      <c r="R390" s="46"/>
      <c r="S390" s="48"/>
      <c r="T390" s="68" t="str">
        <f>IF(Tableau1[[#This Row],[DMS_SAP]]="","",HYPERLINK(Tableau1[[#This Row],[Chemin fichier source]],"X"))</f>
        <v/>
      </c>
      <c r="U390" s="68" t="str">
        <f>IF(Tableau1[[#This Row],[Date rév.]]="","",HYPERLINK(Tableau1[[#This Row],[Lien document]],"X"))</f>
        <v/>
      </c>
      <c r="V390" s="47"/>
      <c r="W39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90" s="47"/>
      <c r="Y390" s="47"/>
      <c r="Z390" s="44" t="str">
        <f ca="1">IF(AND(Tableau1[[#This Row],[Charge]]&lt;&gt;0, Tableau1[[#This Row],[Nombre intervenants]]&lt;&gt;0,Tableau1[[#This Row],[Lien document]]&lt;&gt;0,Tableau1[[#This Row],[DMS_SAP]]&lt;&gt;0)=TRUE,"MIS A JOUR","")</f>
        <v/>
      </c>
      <c r="AA390" s="48"/>
      <c r="AB390" s="65" t="str">
        <f ca="1">IF(Tableau1[[#This Row],[Date rév.]]&lt;&gt;"", DAYS360(Tableau1[[#This Row],[Date rév.]],TODAY()),"")</f>
        <v/>
      </c>
      <c r="AC390" s="50" t="str">
        <f>IFERROR(INDEX(Chemin_accès!$B$11:$C$22,MATCH(Tableau1[[#This Row],[Type]],Chemin_accès!$C$11:$C$22,0),1),Chemin_accès!$B$11)</f>
        <v>\\stjn.local\trimet\Btechnique\Commun\Atelier Central mécanique\Plan entretien\Modèles préventif\GammeDMS_7.MENG.xlsm</v>
      </c>
      <c r="AD390" s="50" t="str">
        <f>Chemin_accès!$B$8&amp;Tableau1[[#This Row],[Localisation / Classement]]&amp;"\"&amp;Tableau1[[#This Row],[Poste technique ou N° d''équipement]]&amp;"_"&amp;Tableau1[[#This Row],[Plan Entretien]]&amp;".xlsm"</f>
        <v>\\stjn.local\trimet\Btechnique\Commun\Atelier Central mécanique\Plan entretien\GammeEntretien\\_.xlsm</v>
      </c>
    </row>
    <row r="391" spans="1:30" x14ac:dyDescent="0.3">
      <c r="A391" s="44" t="str">
        <f t="shared" ca="1" si="6"/>
        <v>7.MENG</v>
      </c>
      <c r="B39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91" s="46"/>
      <c r="D391" s="44"/>
      <c r="E391" s="44"/>
      <c r="F391" s="47"/>
      <c r="G391" s="47"/>
      <c r="H391" s="45"/>
      <c r="I391" s="45"/>
      <c r="J391" s="45"/>
      <c r="K391" s="45"/>
      <c r="L391" s="46"/>
      <c r="M391" s="47"/>
      <c r="N391" s="46"/>
      <c r="O391" s="46"/>
      <c r="P391" s="47"/>
      <c r="Q391" s="46"/>
      <c r="R391" s="46"/>
      <c r="S391" s="48"/>
      <c r="T391" s="68" t="str">
        <f>IF(Tableau1[[#This Row],[DMS_SAP]]="","",HYPERLINK(Tableau1[[#This Row],[Chemin fichier source]],"X"))</f>
        <v/>
      </c>
      <c r="U391" s="68" t="str">
        <f>IF(Tableau1[[#This Row],[Date rév.]]="","",HYPERLINK(Tableau1[[#This Row],[Lien document]],"X"))</f>
        <v/>
      </c>
      <c r="V391" s="47"/>
      <c r="W39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91" s="47"/>
      <c r="Y391" s="47"/>
      <c r="Z391" s="44" t="str">
        <f ca="1">IF(AND(Tableau1[[#This Row],[Charge]]&lt;&gt;0, Tableau1[[#This Row],[Nombre intervenants]]&lt;&gt;0,Tableau1[[#This Row],[Lien document]]&lt;&gt;0,Tableau1[[#This Row],[DMS_SAP]]&lt;&gt;0)=TRUE,"MIS A JOUR","")</f>
        <v/>
      </c>
      <c r="AA391" s="48"/>
      <c r="AB391" s="65" t="str">
        <f ca="1">IF(Tableau1[[#This Row],[Date rév.]]&lt;&gt;"", DAYS360(Tableau1[[#This Row],[Date rév.]],TODAY()),"")</f>
        <v/>
      </c>
      <c r="AC391" s="50" t="str">
        <f>IFERROR(INDEX(Chemin_accès!$B$11:$C$22,MATCH(Tableau1[[#This Row],[Type]],Chemin_accès!$C$11:$C$22,0),1),Chemin_accès!$B$11)</f>
        <v>\\stjn.local\trimet\Btechnique\Commun\Atelier Central mécanique\Plan entretien\Modèles préventif\GammeDMS_7.MENG.xlsm</v>
      </c>
      <c r="AD391" s="50" t="str">
        <f>Chemin_accès!$B$8&amp;Tableau1[[#This Row],[Localisation / Classement]]&amp;"\"&amp;Tableau1[[#This Row],[Poste technique ou N° d''équipement]]&amp;"_"&amp;Tableau1[[#This Row],[Plan Entretien]]&amp;".xlsm"</f>
        <v>\\stjn.local\trimet\Btechnique\Commun\Atelier Central mécanique\Plan entretien\GammeEntretien\\_.xlsm</v>
      </c>
    </row>
    <row r="392" spans="1:30" x14ac:dyDescent="0.3">
      <c r="A392" s="44" t="str">
        <f t="shared" ca="1" si="6"/>
        <v>7.MENG</v>
      </c>
      <c r="B39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92" s="46"/>
      <c r="D392" s="44"/>
      <c r="E392" s="44"/>
      <c r="F392" s="47"/>
      <c r="G392" s="47"/>
      <c r="H392" s="45"/>
      <c r="I392" s="45"/>
      <c r="J392" s="45"/>
      <c r="K392" s="45"/>
      <c r="L392" s="46"/>
      <c r="M392" s="47"/>
      <c r="N392" s="46"/>
      <c r="O392" s="46"/>
      <c r="P392" s="47"/>
      <c r="Q392" s="46"/>
      <c r="R392" s="46"/>
      <c r="S392" s="48"/>
      <c r="T392" s="68" t="str">
        <f>IF(Tableau1[[#This Row],[DMS_SAP]]="","",HYPERLINK(Tableau1[[#This Row],[Chemin fichier source]],"X"))</f>
        <v/>
      </c>
      <c r="U392" s="68" t="str">
        <f>IF(Tableau1[[#This Row],[Date rév.]]="","",HYPERLINK(Tableau1[[#This Row],[Lien document]],"X"))</f>
        <v/>
      </c>
      <c r="V392" s="47"/>
      <c r="W39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92" s="47"/>
      <c r="Y392" s="47"/>
      <c r="Z392" s="44" t="str">
        <f ca="1">IF(AND(Tableau1[[#This Row],[Charge]]&lt;&gt;0, Tableau1[[#This Row],[Nombre intervenants]]&lt;&gt;0,Tableau1[[#This Row],[Lien document]]&lt;&gt;0,Tableau1[[#This Row],[DMS_SAP]]&lt;&gt;0)=TRUE,"MIS A JOUR","")</f>
        <v/>
      </c>
      <c r="AA392" s="48"/>
      <c r="AB392" s="65" t="str">
        <f ca="1">IF(Tableau1[[#This Row],[Date rév.]]&lt;&gt;"", DAYS360(Tableau1[[#This Row],[Date rév.]],TODAY()),"")</f>
        <v/>
      </c>
      <c r="AC392" s="50" t="str">
        <f>IFERROR(INDEX(Chemin_accès!$B$11:$C$22,MATCH(Tableau1[[#This Row],[Type]],Chemin_accès!$C$11:$C$22,0),1),Chemin_accès!$B$11)</f>
        <v>\\stjn.local\trimet\Btechnique\Commun\Atelier Central mécanique\Plan entretien\Modèles préventif\GammeDMS_7.MENG.xlsm</v>
      </c>
      <c r="AD392" s="50" t="str">
        <f>Chemin_accès!$B$8&amp;Tableau1[[#This Row],[Localisation / Classement]]&amp;"\"&amp;Tableau1[[#This Row],[Poste technique ou N° d''équipement]]&amp;"_"&amp;Tableau1[[#This Row],[Plan Entretien]]&amp;".xlsm"</f>
        <v>\\stjn.local\trimet\Btechnique\Commun\Atelier Central mécanique\Plan entretien\GammeEntretien\\_.xlsm</v>
      </c>
    </row>
    <row r="393" spans="1:30" x14ac:dyDescent="0.3">
      <c r="A393" s="44" t="str">
        <f t="shared" ca="1" si="6"/>
        <v>7.MENG</v>
      </c>
      <c r="B39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93" s="46"/>
      <c r="D393" s="44"/>
      <c r="E393" s="44"/>
      <c r="F393" s="47"/>
      <c r="G393" s="47"/>
      <c r="H393" s="45"/>
      <c r="I393" s="45"/>
      <c r="J393" s="45"/>
      <c r="K393" s="45"/>
      <c r="L393" s="46"/>
      <c r="M393" s="47"/>
      <c r="N393" s="46"/>
      <c r="O393" s="46"/>
      <c r="P393" s="47"/>
      <c r="Q393" s="46"/>
      <c r="R393" s="46"/>
      <c r="S393" s="48"/>
      <c r="T393" s="68" t="str">
        <f>IF(Tableau1[[#This Row],[DMS_SAP]]="","",HYPERLINK(Tableau1[[#This Row],[Chemin fichier source]],"X"))</f>
        <v/>
      </c>
      <c r="U393" s="68" t="str">
        <f>IF(Tableau1[[#This Row],[Date rév.]]="","",HYPERLINK(Tableau1[[#This Row],[Lien document]],"X"))</f>
        <v/>
      </c>
      <c r="V393" s="47"/>
      <c r="W39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93" s="47"/>
      <c r="Y393" s="47"/>
      <c r="Z393" s="44" t="str">
        <f ca="1">IF(AND(Tableau1[[#This Row],[Charge]]&lt;&gt;0, Tableau1[[#This Row],[Nombre intervenants]]&lt;&gt;0,Tableau1[[#This Row],[Lien document]]&lt;&gt;0,Tableau1[[#This Row],[DMS_SAP]]&lt;&gt;0)=TRUE,"MIS A JOUR","")</f>
        <v/>
      </c>
      <c r="AA393" s="48"/>
      <c r="AB393" s="65" t="str">
        <f ca="1">IF(Tableau1[[#This Row],[Date rév.]]&lt;&gt;"", DAYS360(Tableau1[[#This Row],[Date rév.]],TODAY()),"")</f>
        <v/>
      </c>
      <c r="AC393" s="50" t="str">
        <f>IFERROR(INDEX(Chemin_accès!$B$11:$C$22,MATCH(Tableau1[[#This Row],[Type]],Chemin_accès!$C$11:$C$22,0),1),Chemin_accès!$B$11)</f>
        <v>\\stjn.local\trimet\Btechnique\Commun\Atelier Central mécanique\Plan entretien\Modèles préventif\GammeDMS_7.MENG.xlsm</v>
      </c>
      <c r="AD393" s="50" t="str">
        <f>Chemin_accès!$B$8&amp;Tableau1[[#This Row],[Localisation / Classement]]&amp;"\"&amp;Tableau1[[#This Row],[Poste technique ou N° d''équipement]]&amp;"_"&amp;Tableau1[[#This Row],[Plan Entretien]]&amp;".xlsm"</f>
        <v>\\stjn.local\trimet\Btechnique\Commun\Atelier Central mécanique\Plan entretien\GammeEntretien\\_.xlsm</v>
      </c>
    </row>
    <row r="394" spans="1:30" x14ac:dyDescent="0.3">
      <c r="A394" s="44" t="str">
        <f t="shared" ca="1" si="6"/>
        <v>7.MENG</v>
      </c>
      <c r="B39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94" s="46"/>
      <c r="D394" s="44"/>
      <c r="E394" s="44"/>
      <c r="F394" s="47"/>
      <c r="G394" s="47"/>
      <c r="H394" s="45"/>
      <c r="I394" s="45"/>
      <c r="J394" s="45"/>
      <c r="K394" s="45"/>
      <c r="L394" s="46"/>
      <c r="M394" s="47"/>
      <c r="N394" s="46"/>
      <c r="O394" s="46"/>
      <c r="P394" s="47"/>
      <c r="Q394" s="46"/>
      <c r="R394" s="46"/>
      <c r="S394" s="48"/>
      <c r="T394" s="68" t="str">
        <f>IF(Tableau1[[#This Row],[DMS_SAP]]="","",HYPERLINK(Tableau1[[#This Row],[Chemin fichier source]],"X"))</f>
        <v/>
      </c>
      <c r="U394" s="68" t="str">
        <f>IF(Tableau1[[#This Row],[Date rév.]]="","",HYPERLINK(Tableau1[[#This Row],[Lien document]],"X"))</f>
        <v/>
      </c>
      <c r="V394" s="47"/>
      <c r="W39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94" s="47"/>
      <c r="Y394" s="47"/>
      <c r="Z394" s="44" t="str">
        <f ca="1">IF(AND(Tableau1[[#This Row],[Charge]]&lt;&gt;0, Tableau1[[#This Row],[Nombre intervenants]]&lt;&gt;0,Tableau1[[#This Row],[Lien document]]&lt;&gt;0,Tableau1[[#This Row],[DMS_SAP]]&lt;&gt;0)=TRUE,"MIS A JOUR","")</f>
        <v/>
      </c>
      <c r="AA394" s="48"/>
      <c r="AB394" s="65" t="str">
        <f ca="1">IF(Tableau1[[#This Row],[Date rév.]]&lt;&gt;"", DAYS360(Tableau1[[#This Row],[Date rév.]],TODAY()),"")</f>
        <v/>
      </c>
      <c r="AC394" s="50" t="str">
        <f>IFERROR(INDEX(Chemin_accès!$B$11:$C$22,MATCH(Tableau1[[#This Row],[Type]],Chemin_accès!$C$11:$C$22,0),1),Chemin_accès!$B$11)</f>
        <v>\\stjn.local\trimet\Btechnique\Commun\Atelier Central mécanique\Plan entretien\Modèles préventif\GammeDMS_7.MENG.xlsm</v>
      </c>
      <c r="AD394" s="50" t="str">
        <f>Chemin_accès!$B$8&amp;Tableau1[[#This Row],[Localisation / Classement]]&amp;"\"&amp;Tableau1[[#This Row],[Poste technique ou N° d''équipement]]&amp;"_"&amp;Tableau1[[#This Row],[Plan Entretien]]&amp;".xlsm"</f>
        <v>\\stjn.local\trimet\Btechnique\Commun\Atelier Central mécanique\Plan entretien\GammeEntretien\\_.xlsm</v>
      </c>
    </row>
    <row r="395" spans="1:30" x14ac:dyDescent="0.3">
      <c r="A395" s="44" t="str">
        <f t="shared" ca="1" si="6"/>
        <v>7.MENG</v>
      </c>
      <c r="B39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95" s="46"/>
      <c r="D395" s="44"/>
      <c r="E395" s="44"/>
      <c r="F395" s="47"/>
      <c r="G395" s="47"/>
      <c r="H395" s="45"/>
      <c r="I395" s="45"/>
      <c r="J395" s="45"/>
      <c r="K395" s="45"/>
      <c r="L395" s="46"/>
      <c r="M395" s="47"/>
      <c r="N395" s="46"/>
      <c r="O395" s="46"/>
      <c r="P395" s="47"/>
      <c r="Q395" s="46"/>
      <c r="R395" s="46"/>
      <c r="S395" s="48"/>
      <c r="T395" s="68" t="str">
        <f>IF(Tableau1[[#This Row],[DMS_SAP]]="","",HYPERLINK(Tableau1[[#This Row],[Chemin fichier source]],"X"))</f>
        <v/>
      </c>
      <c r="U395" s="68" t="str">
        <f>IF(Tableau1[[#This Row],[Date rév.]]="","",HYPERLINK(Tableau1[[#This Row],[Lien document]],"X"))</f>
        <v/>
      </c>
      <c r="V395" s="47"/>
      <c r="W39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95" s="47"/>
      <c r="Y395" s="47"/>
      <c r="Z395" s="44" t="str">
        <f ca="1">IF(AND(Tableau1[[#This Row],[Charge]]&lt;&gt;0, Tableau1[[#This Row],[Nombre intervenants]]&lt;&gt;0,Tableau1[[#This Row],[Lien document]]&lt;&gt;0,Tableau1[[#This Row],[DMS_SAP]]&lt;&gt;0)=TRUE,"MIS A JOUR","")</f>
        <v/>
      </c>
      <c r="AA395" s="48"/>
      <c r="AB395" s="65" t="str">
        <f ca="1">IF(Tableau1[[#This Row],[Date rév.]]&lt;&gt;"", DAYS360(Tableau1[[#This Row],[Date rév.]],TODAY()),"")</f>
        <v/>
      </c>
      <c r="AC395" s="50" t="str">
        <f>IFERROR(INDEX(Chemin_accès!$B$11:$C$22,MATCH(Tableau1[[#This Row],[Type]],Chemin_accès!$C$11:$C$22,0),1),Chemin_accès!$B$11)</f>
        <v>\\stjn.local\trimet\Btechnique\Commun\Atelier Central mécanique\Plan entretien\Modèles préventif\GammeDMS_7.MENG.xlsm</v>
      </c>
      <c r="AD395" s="50" t="str">
        <f>Chemin_accès!$B$8&amp;Tableau1[[#This Row],[Localisation / Classement]]&amp;"\"&amp;Tableau1[[#This Row],[Poste technique ou N° d''équipement]]&amp;"_"&amp;Tableau1[[#This Row],[Plan Entretien]]&amp;".xlsm"</f>
        <v>\\stjn.local\trimet\Btechnique\Commun\Atelier Central mécanique\Plan entretien\GammeEntretien\\_.xlsm</v>
      </c>
    </row>
    <row r="396" spans="1:30" x14ac:dyDescent="0.3">
      <c r="A396" s="44" t="str">
        <f t="shared" ca="1" si="6"/>
        <v>7.MENG</v>
      </c>
      <c r="B39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96" s="46"/>
      <c r="D396" s="44"/>
      <c r="E396" s="44"/>
      <c r="F396" s="47"/>
      <c r="G396" s="47"/>
      <c r="H396" s="45"/>
      <c r="I396" s="45"/>
      <c r="J396" s="45"/>
      <c r="K396" s="45"/>
      <c r="L396" s="46"/>
      <c r="M396" s="47"/>
      <c r="N396" s="46"/>
      <c r="O396" s="46"/>
      <c r="P396" s="47"/>
      <c r="Q396" s="46"/>
      <c r="R396" s="46"/>
      <c r="S396" s="48"/>
      <c r="T396" s="68" t="str">
        <f>IF(Tableau1[[#This Row],[DMS_SAP]]="","",HYPERLINK(Tableau1[[#This Row],[Chemin fichier source]],"X"))</f>
        <v/>
      </c>
      <c r="U396" s="68" t="str">
        <f>IF(Tableau1[[#This Row],[Date rév.]]="","",HYPERLINK(Tableau1[[#This Row],[Lien document]],"X"))</f>
        <v/>
      </c>
      <c r="V396" s="47"/>
      <c r="W39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96" s="47"/>
      <c r="Y396" s="47"/>
      <c r="Z396" s="44" t="str">
        <f ca="1">IF(AND(Tableau1[[#This Row],[Charge]]&lt;&gt;0, Tableau1[[#This Row],[Nombre intervenants]]&lt;&gt;0,Tableau1[[#This Row],[Lien document]]&lt;&gt;0,Tableau1[[#This Row],[DMS_SAP]]&lt;&gt;0)=TRUE,"MIS A JOUR","")</f>
        <v/>
      </c>
      <c r="AA396" s="48"/>
      <c r="AB396" s="65" t="str">
        <f ca="1">IF(Tableau1[[#This Row],[Date rév.]]&lt;&gt;"", DAYS360(Tableau1[[#This Row],[Date rév.]],TODAY()),"")</f>
        <v/>
      </c>
      <c r="AC396" s="50" t="str">
        <f>IFERROR(INDEX(Chemin_accès!$B$11:$C$22,MATCH(Tableau1[[#This Row],[Type]],Chemin_accès!$C$11:$C$22,0),1),Chemin_accès!$B$11)</f>
        <v>\\stjn.local\trimet\Btechnique\Commun\Atelier Central mécanique\Plan entretien\Modèles préventif\GammeDMS_7.MENG.xlsm</v>
      </c>
      <c r="AD396" s="50" t="str">
        <f>Chemin_accès!$B$8&amp;Tableau1[[#This Row],[Localisation / Classement]]&amp;"\"&amp;Tableau1[[#This Row],[Poste technique ou N° d''équipement]]&amp;"_"&amp;Tableau1[[#This Row],[Plan Entretien]]&amp;".xlsm"</f>
        <v>\\stjn.local\trimet\Btechnique\Commun\Atelier Central mécanique\Plan entretien\GammeEntretien\\_.xlsm</v>
      </c>
    </row>
    <row r="397" spans="1:30" x14ac:dyDescent="0.3">
      <c r="A397" s="44" t="str">
        <f t="shared" ca="1" si="6"/>
        <v>7.MENG</v>
      </c>
      <c r="B39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97" s="46"/>
      <c r="D397" s="44"/>
      <c r="E397" s="44"/>
      <c r="F397" s="47"/>
      <c r="G397" s="47"/>
      <c r="H397" s="45"/>
      <c r="I397" s="45"/>
      <c r="J397" s="45"/>
      <c r="K397" s="45"/>
      <c r="L397" s="46"/>
      <c r="M397" s="47"/>
      <c r="N397" s="46"/>
      <c r="O397" s="46"/>
      <c r="P397" s="47"/>
      <c r="Q397" s="46"/>
      <c r="R397" s="46"/>
      <c r="S397" s="48"/>
      <c r="T397" s="68" t="str">
        <f>IF(Tableau1[[#This Row],[DMS_SAP]]="","",HYPERLINK(Tableau1[[#This Row],[Chemin fichier source]],"X"))</f>
        <v/>
      </c>
      <c r="U397" s="68" t="str">
        <f>IF(Tableau1[[#This Row],[Date rév.]]="","",HYPERLINK(Tableau1[[#This Row],[Lien document]],"X"))</f>
        <v/>
      </c>
      <c r="V397" s="47"/>
      <c r="W39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97" s="47"/>
      <c r="Y397" s="47"/>
      <c r="Z397" s="44" t="str">
        <f ca="1">IF(AND(Tableau1[[#This Row],[Charge]]&lt;&gt;0, Tableau1[[#This Row],[Nombre intervenants]]&lt;&gt;0,Tableau1[[#This Row],[Lien document]]&lt;&gt;0,Tableau1[[#This Row],[DMS_SAP]]&lt;&gt;0)=TRUE,"MIS A JOUR","")</f>
        <v/>
      </c>
      <c r="AA397" s="48"/>
      <c r="AB397" s="65" t="str">
        <f ca="1">IF(Tableau1[[#This Row],[Date rév.]]&lt;&gt;"", DAYS360(Tableau1[[#This Row],[Date rév.]],TODAY()),"")</f>
        <v/>
      </c>
      <c r="AC397" s="50" t="str">
        <f>IFERROR(INDEX(Chemin_accès!$B$11:$C$22,MATCH(Tableau1[[#This Row],[Type]],Chemin_accès!$C$11:$C$22,0),1),Chemin_accès!$B$11)</f>
        <v>\\stjn.local\trimet\Btechnique\Commun\Atelier Central mécanique\Plan entretien\Modèles préventif\GammeDMS_7.MENG.xlsm</v>
      </c>
      <c r="AD397" s="50" t="str">
        <f>Chemin_accès!$B$8&amp;Tableau1[[#This Row],[Localisation / Classement]]&amp;"\"&amp;Tableau1[[#This Row],[Poste technique ou N° d''équipement]]&amp;"_"&amp;Tableau1[[#This Row],[Plan Entretien]]&amp;".xlsm"</f>
        <v>\\stjn.local\trimet\Btechnique\Commun\Atelier Central mécanique\Plan entretien\GammeEntretien\\_.xlsm</v>
      </c>
    </row>
    <row r="398" spans="1:30" x14ac:dyDescent="0.3">
      <c r="A398" s="44" t="str">
        <f t="shared" ca="1" si="6"/>
        <v>7.MENG</v>
      </c>
      <c r="B39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98" s="46"/>
      <c r="D398" s="44"/>
      <c r="E398" s="44"/>
      <c r="F398" s="47"/>
      <c r="G398" s="47"/>
      <c r="H398" s="45"/>
      <c r="I398" s="45"/>
      <c r="J398" s="45"/>
      <c r="K398" s="45"/>
      <c r="L398" s="46"/>
      <c r="M398" s="47"/>
      <c r="N398" s="46"/>
      <c r="O398" s="46"/>
      <c r="P398" s="47"/>
      <c r="Q398" s="46"/>
      <c r="R398" s="46"/>
      <c r="S398" s="48"/>
      <c r="T398" s="68" t="str">
        <f>IF(Tableau1[[#This Row],[DMS_SAP]]="","",HYPERLINK(Tableau1[[#This Row],[Chemin fichier source]],"X"))</f>
        <v/>
      </c>
      <c r="U398" s="68" t="str">
        <f>IF(Tableau1[[#This Row],[Date rév.]]="","",HYPERLINK(Tableau1[[#This Row],[Lien document]],"X"))</f>
        <v/>
      </c>
      <c r="V398" s="47"/>
      <c r="W39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98" s="47"/>
      <c r="Y398" s="47"/>
      <c r="Z398" s="44" t="str">
        <f ca="1">IF(AND(Tableau1[[#This Row],[Charge]]&lt;&gt;0, Tableau1[[#This Row],[Nombre intervenants]]&lt;&gt;0,Tableau1[[#This Row],[Lien document]]&lt;&gt;0,Tableau1[[#This Row],[DMS_SAP]]&lt;&gt;0)=TRUE,"MIS A JOUR","")</f>
        <v/>
      </c>
      <c r="AA398" s="48"/>
      <c r="AB398" s="65" t="str">
        <f ca="1">IF(Tableau1[[#This Row],[Date rév.]]&lt;&gt;"", DAYS360(Tableau1[[#This Row],[Date rév.]],TODAY()),"")</f>
        <v/>
      </c>
      <c r="AC398" s="50" t="str">
        <f>IFERROR(INDEX(Chemin_accès!$B$11:$C$22,MATCH(Tableau1[[#This Row],[Type]],Chemin_accès!$C$11:$C$22,0),1),Chemin_accès!$B$11)</f>
        <v>\\stjn.local\trimet\Btechnique\Commun\Atelier Central mécanique\Plan entretien\Modèles préventif\GammeDMS_7.MENG.xlsm</v>
      </c>
      <c r="AD398" s="50" t="str">
        <f>Chemin_accès!$B$8&amp;Tableau1[[#This Row],[Localisation / Classement]]&amp;"\"&amp;Tableau1[[#This Row],[Poste technique ou N° d''équipement]]&amp;"_"&amp;Tableau1[[#This Row],[Plan Entretien]]&amp;".xlsm"</f>
        <v>\\stjn.local\trimet\Btechnique\Commun\Atelier Central mécanique\Plan entretien\GammeEntretien\\_.xlsm</v>
      </c>
    </row>
    <row r="399" spans="1:30" x14ac:dyDescent="0.3">
      <c r="A399" s="44" t="str">
        <f t="shared" ca="1" si="6"/>
        <v>7.MENG</v>
      </c>
      <c r="B39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399" s="46"/>
      <c r="D399" s="44"/>
      <c r="E399" s="44"/>
      <c r="F399" s="47"/>
      <c r="G399" s="47"/>
      <c r="H399" s="45"/>
      <c r="I399" s="45"/>
      <c r="J399" s="45"/>
      <c r="K399" s="45"/>
      <c r="L399" s="46"/>
      <c r="M399" s="47"/>
      <c r="N399" s="46"/>
      <c r="O399" s="46"/>
      <c r="P399" s="47"/>
      <c r="Q399" s="46"/>
      <c r="R399" s="46"/>
      <c r="S399" s="48"/>
      <c r="T399" s="68" t="str">
        <f>IF(Tableau1[[#This Row],[DMS_SAP]]="","",HYPERLINK(Tableau1[[#This Row],[Chemin fichier source]],"X"))</f>
        <v/>
      </c>
      <c r="U399" s="68" t="str">
        <f>IF(Tableau1[[#This Row],[Date rév.]]="","",HYPERLINK(Tableau1[[#This Row],[Lien document]],"X"))</f>
        <v/>
      </c>
      <c r="V399" s="47"/>
      <c r="W39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399" s="47"/>
      <c r="Y399" s="47"/>
      <c r="Z399" s="44" t="str">
        <f ca="1">IF(AND(Tableau1[[#This Row],[Charge]]&lt;&gt;0, Tableau1[[#This Row],[Nombre intervenants]]&lt;&gt;0,Tableau1[[#This Row],[Lien document]]&lt;&gt;0,Tableau1[[#This Row],[DMS_SAP]]&lt;&gt;0)=TRUE,"MIS A JOUR","")</f>
        <v/>
      </c>
      <c r="AA399" s="48"/>
      <c r="AB399" s="65" t="str">
        <f ca="1">IF(Tableau1[[#This Row],[Date rév.]]&lt;&gt;"", DAYS360(Tableau1[[#This Row],[Date rév.]],TODAY()),"")</f>
        <v/>
      </c>
      <c r="AC399" s="50" t="str">
        <f>IFERROR(INDEX(Chemin_accès!$B$11:$C$22,MATCH(Tableau1[[#This Row],[Type]],Chemin_accès!$C$11:$C$22,0),1),Chemin_accès!$B$11)</f>
        <v>\\stjn.local\trimet\Btechnique\Commun\Atelier Central mécanique\Plan entretien\Modèles préventif\GammeDMS_7.MENG.xlsm</v>
      </c>
      <c r="AD399" s="50" t="str">
        <f>Chemin_accès!$B$8&amp;Tableau1[[#This Row],[Localisation / Classement]]&amp;"\"&amp;Tableau1[[#This Row],[Poste technique ou N° d''équipement]]&amp;"_"&amp;Tableau1[[#This Row],[Plan Entretien]]&amp;".xlsm"</f>
        <v>\\stjn.local\trimet\Btechnique\Commun\Atelier Central mécanique\Plan entretien\GammeEntretien\\_.xlsm</v>
      </c>
    </row>
    <row r="400" spans="1:30" x14ac:dyDescent="0.3">
      <c r="A400" s="44" t="str">
        <f t="shared" ca="1" si="6"/>
        <v>7.MENG</v>
      </c>
      <c r="B40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00" s="46"/>
      <c r="D400" s="44"/>
      <c r="E400" s="44"/>
      <c r="F400" s="47"/>
      <c r="G400" s="47"/>
      <c r="H400" s="45"/>
      <c r="I400" s="45"/>
      <c r="J400" s="45"/>
      <c r="K400" s="45"/>
      <c r="L400" s="46"/>
      <c r="M400" s="47"/>
      <c r="N400" s="46"/>
      <c r="O400" s="46"/>
      <c r="P400" s="47"/>
      <c r="Q400" s="46"/>
      <c r="R400" s="46"/>
      <c r="S400" s="48"/>
      <c r="T400" s="68" t="str">
        <f>IF(Tableau1[[#This Row],[DMS_SAP]]="","",HYPERLINK(Tableau1[[#This Row],[Chemin fichier source]],"X"))</f>
        <v/>
      </c>
      <c r="U400" s="68" t="str">
        <f>IF(Tableau1[[#This Row],[Date rév.]]="","",HYPERLINK(Tableau1[[#This Row],[Lien document]],"X"))</f>
        <v/>
      </c>
      <c r="V400" s="47"/>
      <c r="W40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00" s="47"/>
      <c r="Y400" s="47"/>
      <c r="Z400" s="44" t="str">
        <f ca="1">IF(AND(Tableau1[[#This Row],[Charge]]&lt;&gt;0, Tableau1[[#This Row],[Nombre intervenants]]&lt;&gt;0,Tableau1[[#This Row],[Lien document]]&lt;&gt;0,Tableau1[[#This Row],[DMS_SAP]]&lt;&gt;0)=TRUE,"MIS A JOUR","")</f>
        <v/>
      </c>
      <c r="AA400" s="48"/>
      <c r="AB400" s="65" t="str">
        <f ca="1">IF(Tableau1[[#This Row],[Date rév.]]&lt;&gt;"", DAYS360(Tableau1[[#This Row],[Date rév.]],TODAY()),"")</f>
        <v/>
      </c>
      <c r="AC400" s="50" t="str">
        <f>IFERROR(INDEX(Chemin_accès!$B$11:$C$22,MATCH(Tableau1[[#This Row],[Type]],Chemin_accès!$C$11:$C$22,0),1),Chemin_accès!$B$11)</f>
        <v>\\stjn.local\trimet\Btechnique\Commun\Atelier Central mécanique\Plan entretien\Modèles préventif\GammeDMS_7.MENG.xlsm</v>
      </c>
      <c r="AD400" s="50" t="str">
        <f>Chemin_accès!$B$8&amp;Tableau1[[#This Row],[Localisation / Classement]]&amp;"\"&amp;Tableau1[[#This Row],[Poste technique ou N° d''équipement]]&amp;"_"&amp;Tableau1[[#This Row],[Plan Entretien]]&amp;".xlsm"</f>
        <v>\\stjn.local\trimet\Btechnique\Commun\Atelier Central mécanique\Plan entretien\GammeEntretien\\_.xlsm</v>
      </c>
    </row>
    <row r="401" spans="1:30" x14ac:dyDescent="0.3">
      <c r="A401" s="44" t="str">
        <f t="shared" ca="1" si="6"/>
        <v>7.MENG</v>
      </c>
      <c r="B40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01" s="46"/>
      <c r="D401" s="44"/>
      <c r="E401" s="44"/>
      <c r="F401" s="47"/>
      <c r="G401" s="47"/>
      <c r="H401" s="45"/>
      <c r="I401" s="45"/>
      <c r="J401" s="45"/>
      <c r="K401" s="45"/>
      <c r="L401" s="46"/>
      <c r="M401" s="47"/>
      <c r="N401" s="46"/>
      <c r="O401" s="46"/>
      <c r="P401" s="47"/>
      <c r="Q401" s="46"/>
      <c r="R401" s="46"/>
      <c r="S401" s="48"/>
      <c r="T401" s="68" t="str">
        <f>IF(Tableau1[[#This Row],[DMS_SAP]]="","",HYPERLINK(Tableau1[[#This Row],[Chemin fichier source]],"X"))</f>
        <v/>
      </c>
      <c r="U401" s="68" t="str">
        <f>IF(Tableau1[[#This Row],[Date rév.]]="","",HYPERLINK(Tableau1[[#This Row],[Lien document]],"X"))</f>
        <v/>
      </c>
      <c r="V401" s="47"/>
      <c r="W40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01" s="47"/>
      <c r="Y401" s="47"/>
      <c r="Z401" s="44" t="str">
        <f ca="1">IF(AND(Tableau1[[#This Row],[Charge]]&lt;&gt;0, Tableau1[[#This Row],[Nombre intervenants]]&lt;&gt;0,Tableau1[[#This Row],[Lien document]]&lt;&gt;0,Tableau1[[#This Row],[DMS_SAP]]&lt;&gt;0)=TRUE,"MIS A JOUR","")</f>
        <v/>
      </c>
      <c r="AA401" s="48"/>
      <c r="AB401" s="65" t="str">
        <f ca="1">IF(Tableau1[[#This Row],[Date rév.]]&lt;&gt;"", DAYS360(Tableau1[[#This Row],[Date rév.]],TODAY()),"")</f>
        <v/>
      </c>
      <c r="AC401" s="50" t="str">
        <f>IFERROR(INDEX(Chemin_accès!$B$11:$C$22,MATCH(Tableau1[[#This Row],[Type]],Chemin_accès!$C$11:$C$22,0),1),Chemin_accès!$B$11)</f>
        <v>\\stjn.local\trimet\Btechnique\Commun\Atelier Central mécanique\Plan entretien\Modèles préventif\GammeDMS_7.MENG.xlsm</v>
      </c>
      <c r="AD401" s="50" t="str">
        <f>Chemin_accès!$B$8&amp;Tableau1[[#This Row],[Localisation / Classement]]&amp;"\"&amp;Tableau1[[#This Row],[Poste technique ou N° d''équipement]]&amp;"_"&amp;Tableau1[[#This Row],[Plan Entretien]]&amp;".xlsm"</f>
        <v>\\stjn.local\trimet\Btechnique\Commun\Atelier Central mécanique\Plan entretien\GammeEntretien\\_.xlsm</v>
      </c>
    </row>
    <row r="402" spans="1:30" x14ac:dyDescent="0.3">
      <c r="A402" s="44" t="str">
        <f t="shared" ca="1" si="6"/>
        <v>7.MENG</v>
      </c>
      <c r="B40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02" s="46"/>
      <c r="D402" s="44"/>
      <c r="E402" s="44"/>
      <c r="F402" s="47"/>
      <c r="G402" s="47"/>
      <c r="H402" s="45"/>
      <c r="I402" s="45"/>
      <c r="J402" s="45"/>
      <c r="K402" s="45"/>
      <c r="L402" s="46"/>
      <c r="M402" s="47"/>
      <c r="N402" s="46"/>
      <c r="O402" s="46"/>
      <c r="P402" s="47"/>
      <c r="Q402" s="46"/>
      <c r="R402" s="46"/>
      <c r="S402" s="48"/>
      <c r="T402" s="68" t="str">
        <f>IF(Tableau1[[#This Row],[DMS_SAP]]="","",HYPERLINK(Tableau1[[#This Row],[Chemin fichier source]],"X"))</f>
        <v/>
      </c>
      <c r="U402" s="68" t="str">
        <f>IF(Tableau1[[#This Row],[Date rév.]]="","",HYPERLINK(Tableau1[[#This Row],[Lien document]],"X"))</f>
        <v/>
      </c>
      <c r="V402" s="47"/>
      <c r="W40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02" s="47"/>
      <c r="Y402" s="47"/>
      <c r="Z402" s="44" t="str">
        <f ca="1">IF(AND(Tableau1[[#This Row],[Charge]]&lt;&gt;0, Tableau1[[#This Row],[Nombre intervenants]]&lt;&gt;0,Tableau1[[#This Row],[Lien document]]&lt;&gt;0,Tableau1[[#This Row],[DMS_SAP]]&lt;&gt;0)=TRUE,"MIS A JOUR","")</f>
        <v/>
      </c>
      <c r="AA402" s="48"/>
      <c r="AB402" s="65" t="str">
        <f ca="1">IF(Tableau1[[#This Row],[Date rév.]]&lt;&gt;"", DAYS360(Tableau1[[#This Row],[Date rév.]],TODAY()),"")</f>
        <v/>
      </c>
      <c r="AC402" s="50" t="str">
        <f>IFERROR(INDEX(Chemin_accès!$B$11:$C$22,MATCH(Tableau1[[#This Row],[Type]],Chemin_accès!$C$11:$C$22,0),1),Chemin_accès!$B$11)</f>
        <v>\\stjn.local\trimet\Btechnique\Commun\Atelier Central mécanique\Plan entretien\Modèles préventif\GammeDMS_7.MENG.xlsm</v>
      </c>
      <c r="AD402" s="50" t="str">
        <f>Chemin_accès!$B$8&amp;Tableau1[[#This Row],[Localisation / Classement]]&amp;"\"&amp;Tableau1[[#This Row],[Poste technique ou N° d''équipement]]&amp;"_"&amp;Tableau1[[#This Row],[Plan Entretien]]&amp;".xlsm"</f>
        <v>\\stjn.local\trimet\Btechnique\Commun\Atelier Central mécanique\Plan entretien\GammeEntretien\\_.xlsm</v>
      </c>
    </row>
    <row r="403" spans="1:30" x14ac:dyDescent="0.3">
      <c r="A403" s="44" t="str">
        <f t="shared" ca="1" si="6"/>
        <v>7.MENG</v>
      </c>
      <c r="B40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03" s="46"/>
      <c r="D403" s="44"/>
      <c r="E403" s="44"/>
      <c r="F403" s="47"/>
      <c r="G403" s="47"/>
      <c r="H403" s="45"/>
      <c r="I403" s="45"/>
      <c r="J403" s="45"/>
      <c r="K403" s="45"/>
      <c r="L403" s="46"/>
      <c r="M403" s="47"/>
      <c r="N403" s="46"/>
      <c r="O403" s="46"/>
      <c r="P403" s="47"/>
      <c r="Q403" s="46"/>
      <c r="R403" s="46"/>
      <c r="S403" s="48"/>
      <c r="T403" s="68" t="str">
        <f>IF(Tableau1[[#This Row],[DMS_SAP]]="","",HYPERLINK(Tableau1[[#This Row],[Chemin fichier source]],"X"))</f>
        <v/>
      </c>
      <c r="U403" s="68" t="str">
        <f>IF(Tableau1[[#This Row],[Date rév.]]="","",HYPERLINK(Tableau1[[#This Row],[Lien document]],"X"))</f>
        <v/>
      </c>
      <c r="V403" s="47"/>
      <c r="W40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03" s="47"/>
      <c r="Y403" s="47"/>
      <c r="Z403" s="44" t="str">
        <f ca="1">IF(AND(Tableau1[[#This Row],[Charge]]&lt;&gt;0, Tableau1[[#This Row],[Nombre intervenants]]&lt;&gt;0,Tableau1[[#This Row],[Lien document]]&lt;&gt;0,Tableau1[[#This Row],[DMS_SAP]]&lt;&gt;0)=TRUE,"MIS A JOUR","")</f>
        <v/>
      </c>
      <c r="AA403" s="48"/>
      <c r="AB403" s="65" t="str">
        <f ca="1">IF(Tableau1[[#This Row],[Date rév.]]&lt;&gt;"", DAYS360(Tableau1[[#This Row],[Date rév.]],TODAY()),"")</f>
        <v/>
      </c>
      <c r="AC403" s="50" t="str">
        <f>IFERROR(INDEX(Chemin_accès!$B$11:$C$22,MATCH(Tableau1[[#This Row],[Type]],Chemin_accès!$C$11:$C$22,0),1),Chemin_accès!$B$11)</f>
        <v>\\stjn.local\trimet\Btechnique\Commun\Atelier Central mécanique\Plan entretien\Modèles préventif\GammeDMS_7.MENG.xlsm</v>
      </c>
      <c r="AD403" s="50" t="str">
        <f>Chemin_accès!$B$8&amp;Tableau1[[#This Row],[Localisation / Classement]]&amp;"\"&amp;Tableau1[[#This Row],[Poste technique ou N° d''équipement]]&amp;"_"&amp;Tableau1[[#This Row],[Plan Entretien]]&amp;".xlsm"</f>
        <v>\\stjn.local\trimet\Btechnique\Commun\Atelier Central mécanique\Plan entretien\GammeEntretien\\_.xlsm</v>
      </c>
    </row>
    <row r="404" spans="1:30" x14ac:dyDescent="0.3">
      <c r="A404" s="44" t="str">
        <f t="shared" ca="1" si="6"/>
        <v>7.MENG</v>
      </c>
      <c r="B40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04" s="46"/>
      <c r="D404" s="44"/>
      <c r="E404" s="44"/>
      <c r="F404" s="47"/>
      <c r="G404" s="47"/>
      <c r="H404" s="45"/>
      <c r="I404" s="45"/>
      <c r="J404" s="45"/>
      <c r="K404" s="45"/>
      <c r="L404" s="46"/>
      <c r="M404" s="47"/>
      <c r="N404" s="46"/>
      <c r="O404" s="46"/>
      <c r="P404" s="47"/>
      <c r="Q404" s="46"/>
      <c r="R404" s="46"/>
      <c r="S404" s="48"/>
      <c r="T404" s="68" t="str">
        <f>IF(Tableau1[[#This Row],[DMS_SAP]]="","",HYPERLINK(Tableau1[[#This Row],[Chemin fichier source]],"X"))</f>
        <v/>
      </c>
      <c r="U404" s="68" t="str">
        <f>IF(Tableau1[[#This Row],[Date rév.]]="","",HYPERLINK(Tableau1[[#This Row],[Lien document]],"X"))</f>
        <v/>
      </c>
      <c r="V404" s="47"/>
      <c r="W40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04" s="47"/>
      <c r="Y404" s="47"/>
      <c r="Z404" s="44" t="str">
        <f ca="1">IF(AND(Tableau1[[#This Row],[Charge]]&lt;&gt;0, Tableau1[[#This Row],[Nombre intervenants]]&lt;&gt;0,Tableau1[[#This Row],[Lien document]]&lt;&gt;0,Tableau1[[#This Row],[DMS_SAP]]&lt;&gt;0)=TRUE,"MIS A JOUR","")</f>
        <v/>
      </c>
      <c r="AA404" s="48"/>
      <c r="AB404" s="65" t="str">
        <f ca="1">IF(Tableau1[[#This Row],[Date rév.]]&lt;&gt;"", DAYS360(Tableau1[[#This Row],[Date rév.]],TODAY()),"")</f>
        <v/>
      </c>
      <c r="AC404" s="50" t="str">
        <f>IFERROR(INDEX(Chemin_accès!$B$11:$C$22,MATCH(Tableau1[[#This Row],[Type]],Chemin_accès!$C$11:$C$22,0),1),Chemin_accès!$B$11)</f>
        <v>\\stjn.local\trimet\Btechnique\Commun\Atelier Central mécanique\Plan entretien\Modèles préventif\GammeDMS_7.MENG.xlsm</v>
      </c>
      <c r="AD404" s="50" t="str">
        <f>Chemin_accès!$B$8&amp;Tableau1[[#This Row],[Localisation / Classement]]&amp;"\"&amp;Tableau1[[#This Row],[Poste technique ou N° d''équipement]]&amp;"_"&amp;Tableau1[[#This Row],[Plan Entretien]]&amp;".xlsm"</f>
        <v>\\stjn.local\trimet\Btechnique\Commun\Atelier Central mécanique\Plan entretien\GammeEntretien\\_.xlsm</v>
      </c>
    </row>
    <row r="405" spans="1:30" x14ac:dyDescent="0.3">
      <c r="A405" s="44" t="str">
        <f t="shared" ca="1" si="6"/>
        <v>7.MENG</v>
      </c>
      <c r="B40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05" s="46"/>
      <c r="D405" s="44"/>
      <c r="E405" s="44"/>
      <c r="F405" s="47"/>
      <c r="G405" s="47"/>
      <c r="H405" s="45"/>
      <c r="I405" s="45"/>
      <c r="J405" s="45"/>
      <c r="K405" s="45"/>
      <c r="L405" s="46"/>
      <c r="M405" s="47"/>
      <c r="N405" s="46"/>
      <c r="O405" s="46"/>
      <c r="P405" s="47"/>
      <c r="Q405" s="46"/>
      <c r="R405" s="46"/>
      <c r="S405" s="48"/>
      <c r="T405" s="68" t="str">
        <f>IF(Tableau1[[#This Row],[DMS_SAP]]="","",HYPERLINK(Tableau1[[#This Row],[Chemin fichier source]],"X"))</f>
        <v/>
      </c>
      <c r="U405" s="68" t="str">
        <f>IF(Tableau1[[#This Row],[Date rév.]]="","",HYPERLINK(Tableau1[[#This Row],[Lien document]],"X"))</f>
        <v/>
      </c>
      <c r="V405" s="47"/>
      <c r="W40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05" s="47"/>
      <c r="Y405" s="47"/>
      <c r="Z405" s="44" t="str">
        <f ca="1">IF(AND(Tableau1[[#This Row],[Charge]]&lt;&gt;0, Tableau1[[#This Row],[Nombre intervenants]]&lt;&gt;0,Tableau1[[#This Row],[Lien document]]&lt;&gt;0,Tableau1[[#This Row],[DMS_SAP]]&lt;&gt;0)=TRUE,"MIS A JOUR","")</f>
        <v/>
      </c>
      <c r="AA405" s="48"/>
      <c r="AB405" s="65" t="str">
        <f ca="1">IF(Tableau1[[#This Row],[Date rév.]]&lt;&gt;"", DAYS360(Tableau1[[#This Row],[Date rév.]],TODAY()),"")</f>
        <v/>
      </c>
      <c r="AC405" s="50" t="str">
        <f>IFERROR(INDEX(Chemin_accès!$B$11:$C$22,MATCH(Tableau1[[#This Row],[Type]],Chemin_accès!$C$11:$C$22,0),1),Chemin_accès!$B$11)</f>
        <v>\\stjn.local\trimet\Btechnique\Commun\Atelier Central mécanique\Plan entretien\Modèles préventif\GammeDMS_7.MENG.xlsm</v>
      </c>
      <c r="AD405" s="50" t="str">
        <f>Chemin_accès!$B$8&amp;Tableau1[[#This Row],[Localisation / Classement]]&amp;"\"&amp;Tableau1[[#This Row],[Poste technique ou N° d''équipement]]&amp;"_"&amp;Tableau1[[#This Row],[Plan Entretien]]&amp;".xlsm"</f>
        <v>\\stjn.local\trimet\Btechnique\Commun\Atelier Central mécanique\Plan entretien\GammeEntretien\\_.xlsm</v>
      </c>
    </row>
    <row r="406" spans="1:30" x14ac:dyDescent="0.3">
      <c r="A406" s="44" t="str">
        <f t="shared" ca="1" si="6"/>
        <v>7.MENG</v>
      </c>
      <c r="B40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06" s="46"/>
      <c r="D406" s="44"/>
      <c r="E406" s="44"/>
      <c r="F406" s="47"/>
      <c r="G406" s="47"/>
      <c r="H406" s="45"/>
      <c r="I406" s="45"/>
      <c r="J406" s="45"/>
      <c r="K406" s="45"/>
      <c r="L406" s="46"/>
      <c r="M406" s="47"/>
      <c r="N406" s="46"/>
      <c r="O406" s="46"/>
      <c r="P406" s="47"/>
      <c r="Q406" s="46"/>
      <c r="R406" s="46"/>
      <c r="S406" s="48"/>
      <c r="T406" s="68" t="str">
        <f>IF(Tableau1[[#This Row],[DMS_SAP]]="","",HYPERLINK(Tableau1[[#This Row],[Chemin fichier source]],"X"))</f>
        <v/>
      </c>
      <c r="U406" s="68" t="str">
        <f>IF(Tableau1[[#This Row],[Date rév.]]="","",HYPERLINK(Tableau1[[#This Row],[Lien document]],"X"))</f>
        <v/>
      </c>
      <c r="V406" s="47"/>
      <c r="W40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06" s="47"/>
      <c r="Y406" s="47"/>
      <c r="Z406" s="44" t="str">
        <f ca="1">IF(AND(Tableau1[[#This Row],[Charge]]&lt;&gt;0, Tableau1[[#This Row],[Nombre intervenants]]&lt;&gt;0,Tableau1[[#This Row],[Lien document]]&lt;&gt;0,Tableau1[[#This Row],[DMS_SAP]]&lt;&gt;0)=TRUE,"MIS A JOUR","")</f>
        <v/>
      </c>
      <c r="AA406" s="48"/>
      <c r="AB406" s="65" t="str">
        <f ca="1">IF(Tableau1[[#This Row],[Date rév.]]&lt;&gt;"", DAYS360(Tableau1[[#This Row],[Date rév.]],TODAY()),"")</f>
        <v/>
      </c>
      <c r="AC406" s="50" t="str">
        <f>IFERROR(INDEX(Chemin_accès!$B$11:$C$22,MATCH(Tableau1[[#This Row],[Type]],Chemin_accès!$C$11:$C$22,0),1),Chemin_accès!$B$11)</f>
        <v>\\stjn.local\trimet\Btechnique\Commun\Atelier Central mécanique\Plan entretien\Modèles préventif\GammeDMS_7.MENG.xlsm</v>
      </c>
      <c r="AD406" s="50" t="str">
        <f>Chemin_accès!$B$8&amp;Tableau1[[#This Row],[Localisation / Classement]]&amp;"\"&amp;Tableau1[[#This Row],[Poste technique ou N° d''équipement]]&amp;"_"&amp;Tableau1[[#This Row],[Plan Entretien]]&amp;".xlsm"</f>
        <v>\\stjn.local\trimet\Btechnique\Commun\Atelier Central mécanique\Plan entretien\GammeEntretien\\_.xlsm</v>
      </c>
    </row>
    <row r="407" spans="1:30" x14ac:dyDescent="0.3">
      <c r="A407" s="44" t="str">
        <f t="shared" ca="1" si="6"/>
        <v>7.MENG</v>
      </c>
      <c r="B40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07" s="46"/>
      <c r="D407" s="44"/>
      <c r="E407" s="44"/>
      <c r="F407" s="47"/>
      <c r="G407" s="47"/>
      <c r="H407" s="45"/>
      <c r="I407" s="45"/>
      <c r="J407" s="45"/>
      <c r="K407" s="45"/>
      <c r="L407" s="46"/>
      <c r="M407" s="47"/>
      <c r="N407" s="46"/>
      <c r="O407" s="46"/>
      <c r="P407" s="47"/>
      <c r="Q407" s="46"/>
      <c r="R407" s="46"/>
      <c r="S407" s="48"/>
      <c r="T407" s="68" t="str">
        <f>IF(Tableau1[[#This Row],[DMS_SAP]]="","",HYPERLINK(Tableau1[[#This Row],[Chemin fichier source]],"X"))</f>
        <v/>
      </c>
      <c r="U407" s="68" t="str">
        <f>IF(Tableau1[[#This Row],[Date rév.]]="","",HYPERLINK(Tableau1[[#This Row],[Lien document]],"X"))</f>
        <v/>
      </c>
      <c r="V407" s="47"/>
      <c r="W40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07" s="47"/>
      <c r="Y407" s="47"/>
      <c r="Z407" s="44" t="str">
        <f ca="1">IF(AND(Tableau1[[#This Row],[Charge]]&lt;&gt;0, Tableau1[[#This Row],[Nombre intervenants]]&lt;&gt;0,Tableau1[[#This Row],[Lien document]]&lt;&gt;0,Tableau1[[#This Row],[DMS_SAP]]&lt;&gt;0)=TRUE,"MIS A JOUR","")</f>
        <v/>
      </c>
      <c r="AA407" s="48"/>
      <c r="AB407" s="65" t="str">
        <f ca="1">IF(Tableau1[[#This Row],[Date rév.]]&lt;&gt;"", DAYS360(Tableau1[[#This Row],[Date rév.]],TODAY()),"")</f>
        <v/>
      </c>
      <c r="AC407" s="50" t="str">
        <f>IFERROR(INDEX(Chemin_accès!$B$11:$C$22,MATCH(Tableau1[[#This Row],[Type]],Chemin_accès!$C$11:$C$22,0),1),Chemin_accès!$B$11)</f>
        <v>\\stjn.local\trimet\Btechnique\Commun\Atelier Central mécanique\Plan entretien\Modèles préventif\GammeDMS_7.MENG.xlsm</v>
      </c>
      <c r="AD407" s="50" t="str">
        <f>Chemin_accès!$B$8&amp;Tableau1[[#This Row],[Localisation / Classement]]&amp;"\"&amp;Tableau1[[#This Row],[Poste technique ou N° d''équipement]]&amp;"_"&amp;Tableau1[[#This Row],[Plan Entretien]]&amp;".xlsm"</f>
        <v>\\stjn.local\trimet\Btechnique\Commun\Atelier Central mécanique\Plan entretien\GammeEntretien\\_.xlsm</v>
      </c>
    </row>
    <row r="408" spans="1:30" x14ac:dyDescent="0.3">
      <c r="A408" s="44" t="str">
        <f t="shared" ca="1" si="6"/>
        <v>7.MENG</v>
      </c>
      <c r="B40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08" s="46"/>
      <c r="D408" s="44"/>
      <c r="E408" s="44"/>
      <c r="F408" s="47"/>
      <c r="G408" s="47"/>
      <c r="H408" s="45"/>
      <c r="I408" s="45"/>
      <c r="J408" s="45"/>
      <c r="K408" s="45"/>
      <c r="L408" s="46"/>
      <c r="M408" s="47"/>
      <c r="N408" s="46"/>
      <c r="O408" s="46"/>
      <c r="P408" s="47"/>
      <c r="Q408" s="46"/>
      <c r="R408" s="46"/>
      <c r="S408" s="48"/>
      <c r="T408" s="68" t="str">
        <f>IF(Tableau1[[#This Row],[DMS_SAP]]="","",HYPERLINK(Tableau1[[#This Row],[Chemin fichier source]],"X"))</f>
        <v/>
      </c>
      <c r="U408" s="68" t="str">
        <f>IF(Tableau1[[#This Row],[Date rév.]]="","",HYPERLINK(Tableau1[[#This Row],[Lien document]],"X"))</f>
        <v/>
      </c>
      <c r="V408" s="47"/>
      <c r="W40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08" s="47"/>
      <c r="Y408" s="47"/>
      <c r="Z408" s="44" t="str">
        <f ca="1">IF(AND(Tableau1[[#This Row],[Charge]]&lt;&gt;0, Tableau1[[#This Row],[Nombre intervenants]]&lt;&gt;0,Tableau1[[#This Row],[Lien document]]&lt;&gt;0,Tableau1[[#This Row],[DMS_SAP]]&lt;&gt;0)=TRUE,"MIS A JOUR","")</f>
        <v/>
      </c>
      <c r="AA408" s="48"/>
      <c r="AB408" s="65" t="str">
        <f ca="1">IF(Tableau1[[#This Row],[Date rév.]]&lt;&gt;"", DAYS360(Tableau1[[#This Row],[Date rév.]],TODAY()),"")</f>
        <v/>
      </c>
      <c r="AC408" s="50" t="str">
        <f>IFERROR(INDEX(Chemin_accès!$B$11:$C$22,MATCH(Tableau1[[#This Row],[Type]],Chemin_accès!$C$11:$C$22,0),1),Chemin_accès!$B$11)</f>
        <v>\\stjn.local\trimet\Btechnique\Commun\Atelier Central mécanique\Plan entretien\Modèles préventif\GammeDMS_7.MENG.xlsm</v>
      </c>
      <c r="AD408" s="50" t="str">
        <f>Chemin_accès!$B$8&amp;Tableau1[[#This Row],[Localisation / Classement]]&amp;"\"&amp;Tableau1[[#This Row],[Poste technique ou N° d''équipement]]&amp;"_"&amp;Tableau1[[#This Row],[Plan Entretien]]&amp;".xlsm"</f>
        <v>\\stjn.local\trimet\Btechnique\Commun\Atelier Central mécanique\Plan entretien\GammeEntretien\\_.xlsm</v>
      </c>
    </row>
    <row r="409" spans="1:30" x14ac:dyDescent="0.3">
      <c r="A409" s="44" t="str">
        <f t="shared" ca="1" si="6"/>
        <v>7.MENG</v>
      </c>
      <c r="B40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09" s="46"/>
      <c r="D409" s="44"/>
      <c r="E409" s="44"/>
      <c r="F409" s="47"/>
      <c r="G409" s="47"/>
      <c r="H409" s="45"/>
      <c r="I409" s="45"/>
      <c r="J409" s="45"/>
      <c r="K409" s="45"/>
      <c r="L409" s="46"/>
      <c r="M409" s="47"/>
      <c r="N409" s="46"/>
      <c r="O409" s="46"/>
      <c r="P409" s="47"/>
      <c r="Q409" s="46"/>
      <c r="R409" s="46"/>
      <c r="S409" s="48"/>
      <c r="T409" s="68" t="str">
        <f>IF(Tableau1[[#This Row],[DMS_SAP]]="","",HYPERLINK(Tableau1[[#This Row],[Chemin fichier source]],"X"))</f>
        <v/>
      </c>
      <c r="U409" s="68" t="str">
        <f>IF(Tableau1[[#This Row],[Date rév.]]="","",HYPERLINK(Tableau1[[#This Row],[Lien document]],"X"))</f>
        <v/>
      </c>
      <c r="V409" s="47"/>
      <c r="W40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09" s="47"/>
      <c r="Y409" s="47"/>
      <c r="Z409" s="44" t="str">
        <f ca="1">IF(AND(Tableau1[[#This Row],[Charge]]&lt;&gt;0, Tableau1[[#This Row],[Nombre intervenants]]&lt;&gt;0,Tableau1[[#This Row],[Lien document]]&lt;&gt;0,Tableau1[[#This Row],[DMS_SAP]]&lt;&gt;0)=TRUE,"MIS A JOUR","")</f>
        <v/>
      </c>
      <c r="AA409" s="48"/>
      <c r="AB409" s="65" t="str">
        <f ca="1">IF(Tableau1[[#This Row],[Date rév.]]&lt;&gt;"", DAYS360(Tableau1[[#This Row],[Date rév.]],TODAY()),"")</f>
        <v/>
      </c>
      <c r="AC409" s="50" t="str">
        <f>IFERROR(INDEX(Chemin_accès!$B$11:$C$22,MATCH(Tableau1[[#This Row],[Type]],Chemin_accès!$C$11:$C$22,0),1),Chemin_accès!$B$11)</f>
        <v>\\stjn.local\trimet\Btechnique\Commun\Atelier Central mécanique\Plan entretien\Modèles préventif\GammeDMS_7.MENG.xlsm</v>
      </c>
      <c r="AD409" s="50" t="str">
        <f>Chemin_accès!$B$8&amp;Tableau1[[#This Row],[Localisation / Classement]]&amp;"\"&amp;Tableau1[[#This Row],[Poste technique ou N° d''équipement]]&amp;"_"&amp;Tableau1[[#This Row],[Plan Entretien]]&amp;".xlsm"</f>
        <v>\\stjn.local\trimet\Btechnique\Commun\Atelier Central mécanique\Plan entretien\GammeEntretien\\_.xlsm</v>
      </c>
    </row>
    <row r="410" spans="1:30" x14ac:dyDescent="0.3">
      <c r="A410" s="44" t="str">
        <f t="shared" ca="1" si="6"/>
        <v>7.MENG</v>
      </c>
      <c r="B41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10" s="46"/>
      <c r="D410" s="44"/>
      <c r="E410" s="44"/>
      <c r="F410" s="47"/>
      <c r="G410" s="47"/>
      <c r="H410" s="45"/>
      <c r="I410" s="45"/>
      <c r="J410" s="45"/>
      <c r="K410" s="45"/>
      <c r="L410" s="46"/>
      <c r="M410" s="47"/>
      <c r="N410" s="46"/>
      <c r="O410" s="46"/>
      <c r="P410" s="47"/>
      <c r="Q410" s="46"/>
      <c r="R410" s="46"/>
      <c r="S410" s="48"/>
      <c r="T410" s="68" t="str">
        <f>IF(Tableau1[[#This Row],[DMS_SAP]]="","",HYPERLINK(Tableau1[[#This Row],[Chemin fichier source]],"X"))</f>
        <v/>
      </c>
      <c r="U410" s="68" t="str">
        <f>IF(Tableau1[[#This Row],[Date rév.]]="","",HYPERLINK(Tableau1[[#This Row],[Lien document]],"X"))</f>
        <v/>
      </c>
      <c r="V410" s="47"/>
      <c r="W41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10" s="47"/>
      <c r="Y410" s="47"/>
      <c r="Z410" s="44" t="str">
        <f ca="1">IF(AND(Tableau1[[#This Row],[Charge]]&lt;&gt;0, Tableau1[[#This Row],[Nombre intervenants]]&lt;&gt;0,Tableau1[[#This Row],[Lien document]]&lt;&gt;0,Tableau1[[#This Row],[DMS_SAP]]&lt;&gt;0)=TRUE,"MIS A JOUR","")</f>
        <v/>
      </c>
      <c r="AA410" s="48"/>
      <c r="AB410" s="65" t="str">
        <f ca="1">IF(Tableau1[[#This Row],[Date rév.]]&lt;&gt;"", DAYS360(Tableau1[[#This Row],[Date rév.]],TODAY()),"")</f>
        <v/>
      </c>
      <c r="AC410" s="50" t="str">
        <f>IFERROR(INDEX(Chemin_accès!$B$11:$C$22,MATCH(Tableau1[[#This Row],[Type]],Chemin_accès!$C$11:$C$22,0),1),Chemin_accès!$B$11)</f>
        <v>\\stjn.local\trimet\Btechnique\Commun\Atelier Central mécanique\Plan entretien\Modèles préventif\GammeDMS_7.MENG.xlsm</v>
      </c>
      <c r="AD410" s="50" t="str">
        <f>Chemin_accès!$B$8&amp;Tableau1[[#This Row],[Localisation / Classement]]&amp;"\"&amp;Tableau1[[#This Row],[Poste technique ou N° d''équipement]]&amp;"_"&amp;Tableau1[[#This Row],[Plan Entretien]]&amp;".xlsm"</f>
        <v>\\stjn.local\trimet\Btechnique\Commun\Atelier Central mécanique\Plan entretien\GammeEntretien\\_.xlsm</v>
      </c>
    </row>
    <row r="411" spans="1:30" x14ac:dyDescent="0.3">
      <c r="A411" s="44" t="str">
        <f t="shared" ca="1" si="6"/>
        <v>7.MENG</v>
      </c>
      <c r="B41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11" s="46"/>
      <c r="D411" s="44"/>
      <c r="E411" s="44"/>
      <c r="F411" s="47"/>
      <c r="G411" s="47"/>
      <c r="H411" s="45"/>
      <c r="I411" s="45"/>
      <c r="J411" s="45"/>
      <c r="K411" s="45"/>
      <c r="L411" s="46"/>
      <c r="M411" s="47"/>
      <c r="N411" s="46"/>
      <c r="O411" s="46"/>
      <c r="P411" s="47"/>
      <c r="Q411" s="46"/>
      <c r="R411" s="46"/>
      <c r="S411" s="48"/>
      <c r="T411" s="68" t="str">
        <f>IF(Tableau1[[#This Row],[DMS_SAP]]="","",HYPERLINK(Tableau1[[#This Row],[Chemin fichier source]],"X"))</f>
        <v/>
      </c>
      <c r="U411" s="68" t="str">
        <f>IF(Tableau1[[#This Row],[Date rév.]]="","",HYPERLINK(Tableau1[[#This Row],[Lien document]],"X"))</f>
        <v/>
      </c>
      <c r="V411" s="47"/>
      <c r="W41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11" s="47"/>
      <c r="Y411" s="47"/>
      <c r="Z411" s="44" t="str">
        <f ca="1">IF(AND(Tableau1[[#This Row],[Charge]]&lt;&gt;0, Tableau1[[#This Row],[Nombre intervenants]]&lt;&gt;0,Tableau1[[#This Row],[Lien document]]&lt;&gt;0,Tableau1[[#This Row],[DMS_SAP]]&lt;&gt;0)=TRUE,"MIS A JOUR","")</f>
        <v/>
      </c>
      <c r="AA411" s="48"/>
      <c r="AB411" s="65" t="str">
        <f ca="1">IF(Tableau1[[#This Row],[Date rév.]]&lt;&gt;"", DAYS360(Tableau1[[#This Row],[Date rév.]],TODAY()),"")</f>
        <v/>
      </c>
      <c r="AC411" s="50" t="str">
        <f>IFERROR(INDEX(Chemin_accès!$B$11:$C$22,MATCH(Tableau1[[#This Row],[Type]],Chemin_accès!$C$11:$C$22,0),1),Chemin_accès!$B$11)</f>
        <v>\\stjn.local\trimet\Btechnique\Commun\Atelier Central mécanique\Plan entretien\Modèles préventif\GammeDMS_7.MENG.xlsm</v>
      </c>
      <c r="AD411" s="50" t="str">
        <f>Chemin_accès!$B$8&amp;Tableau1[[#This Row],[Localisation / Classement]]&amp;"\"&amp;Tableau1[[#This Row],[Poste technique ou N° d''équipement]]&amp;"_"&amp;Tableau1[[#This Row],[Plan Entretien]]&amp;".xlsm"</f>
        <v>\\stjn.local\trimet\Btechnique\Commun\Atelier Central mécanique\Plan entretien\GammeEntretien\\_.xlsm</v>
      </c>
    </row>
    <row r="412" spans="1:30" x14ac:dyDescent="0.3">
      <c r="A412" s="44" t="str">
        <f t="shared" ca="1" si="6"/>
        <v>7.MENG</v>
      </c>
      <c r="B41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12" s="46"/>
      <c r="D412" s="44"/>
      <c r="E412" s="44"/>
      <c r="F412" s="47"/>
      <c r="G412" s="47"/>
      <c r="H412" s="45"/>
      <c r="I412" s="45"/>
      <c r="J412" s="45"/>
      <c r="K412" s="45"/>
      <c r="L412" s="46"/>
      <c r="M412" s="47"/>
      <c r="N412" s="46"/>
      <c r="O412" s="46"/>
      <c r="P412" s="47"/>
      <c r="Q412" s="46"/>
      <c r="R412" s="46"/>
      <c r="S412" s="48"/>
      <c r="T412" s="68" t="str">
        <f>IF(Tableau1[[#This Row],[DMS_SAP]]="","",HYPERLINK(Tableau1[[#This Row],[Chemin fichier source]],"X"))</f>
        <v/>
      </c>
      <c r="U412" s="68" t="str">
        <f>IF(Tableau1[[#This Row],[Date rév.]]="","",HYPERLINK(Tableau1[[#This Row],[Lien document]],"X"))</f>
        <v/>
      </c>
      <c r="V412" s="47"/>
      <c r="W41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12" s="47"/>
      <c r="Y412" s="47"/>
      <c r="Z412" s="44" t="str">
        <f ca="1">IF(AND(Tableau1[[#This Row],[Charge]]&lt;&gt;0, Tableau1[[#This Row],[Nombre intervenants]]&lt;&gt;0,Tableau1[[#This Row],[Lien document]]&lt;&gt;0,Tableau1[[#This Row],[DMS_SAP]]&lt;&gt;0)=TRUE,"MIS A JOUR","")</f>
        <v/>
      </c>
      <c r="AA412" s="48"/>
      <c r="AB412" s="65" t="str">
        <f ca="1">IF(Tableau1[[#This Row],[Date rév.]]&lt;&gt;"", DAYS360(Tableau1[[#This Row],[Date rév.]],TODAY()),"")</f>
        <v/>
      </c>
      <c r="AC412" s="50" t="str">
        <f>IFERROR(INDEX(Chemin_accès!$B$11:$C$22,MATCH(Tableau1[[#This Row],[Type]],Chemin_accès!$C$11:$C$22,0),1),Chemin_accès!$B$11)</f>
        <v>\\stjn.local\trimet\Btechnique\Commun\Atelier Central mécanique\Plan entretien\Modèles préventif\GammeDMS_7.MENG.xlsm</v>
      </c>
      <c r="AD412" s="50" t="str">
        <f>Chemin_accès!$B$8&amp;Tableau1[[#This Row],[Localisation / Classement]]&amp;"\"&amp;Tableau1[[#This Row],[Poste technique ou N° d''équipement]]&amp;"_"&amp;Tableau1[[#This Row],[Plan Entretien]]&amp;".xlsm"</f>
        <v>\\stjn.local\trimet\Btechnique\Commun\Atelier Central mécanique\Plan entretien\GammeEntretien\\_.xlsm</v>
      </c>
    </row>
    <row r="413" spans="1:30" x14ac:dyDescent="0.3">
      <c r="A413" s="44" t="str">
        <f t="shared" ca="1" si="6"/>
        <v>7.MENG</v>
      </c>
      <c r="B41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13" s="46"/>
      <c r="D413" s="44"/>
      <c r="E413" s="44"/>
      <c r="F413" s="47"/>
      <c r="G413" s="47"/>
      <c r="H413" s="45"/>
      <c r="I413" s="45"/>
      <c r="J413" s="45"/>
      <c r="K413" s="45"/>
      <c r="L413" s="46"/>
      <c r="M413" s="47"/>
      <c r="N413" s="46"/>
      <c r="O413" s="46"/>
      <c r="P413" s="47"/>
      <c r="Q413" s="46"/>
      <c r="R413" s="46"/>
      <c r="S413" s="48"/>
      <c r="T413" s="68" t="str">
        <f>IF(Tableau1[[#This Row],[DMS_SAP]]="","",HYPERLINK(Tableau1[[#This Row],[Chemin fichier source]],"X"))</f>
        <v/>
      </c>
      <c r="U413" s="68" t="str">
        <f>IF(Tableau1[[#This Row],[Date rév.]]="","",HYPERLINK(Tableau1[[#This Row],[Lien document]],"X"))</f>
        <v/>
      </c>
      <c r="V413" s="47"/>
      <c r="W41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13" s="47"/>
      <c r="Y413" s="47"/>
      <c r="Z413" s="44" t="str">
        <f ca="1">IF(AND(Tableau1[[#This Row],[Charge]]&lt;&gt;0, Tableau1[[#This Row],[Nombre intervenants]]&lt;&gt;0,Tableau1[[#This Row],[Lien document]]&lt;&gt;0,Tableau1[[#This Row],[DMS_SAP]]&lt;&gt;0)=TRUE,"MIS A JOUR","")</f>
        <v/>
      </c>
      <c r="AA413" s="48"/>
      <c r="AB413" s="65" t="str">
        <f ca="1">IF(Tableau1[[#This Row],[Date rév.]]&lt;&gt;"", DAYS360(Tableau1[[#This Row],[Date rév.]],TODAY()),"")</f>
        <v/>
      </c>
      <c r="AC413" s="50" t="str">
        <f>IFERROR(INDEX(Chemin_accès!$B$11:$C$22,MATCH(Tableau1[[#This Row],[Type]],Chemin_accès!$C$11:$C$22,0),1),Chemin_accès!$B$11)</f>
        <v>\\stjn.local\trimet\Btechnique\Commun\Atelier Central mécanique\Plan entretien\Modèles préventif\GammeDMS_7.MENG.xlsm</v>
      </c>
      <c r="AD413" s="50" t="str">
        <f>Chemin_accès!$B$8&amp;Tableau1[[#This Row],[Localisation / Classement]]&amp;"\"&amp;Tableau1[[#This Row],[Poste technique ou N° d''équipement]]&amp;"_"&amp;Tableau1[[#This Row],[Plan Entretien]]&amp;".xlsm"</f>
        <v>\\stjn.local\trimet\Btechnique\Commun\Atelier Central mécanique\Plan entretien\GammeEntretien\\_.xlsm</v>
      </c>
    </row>
    <row r="414" spans="1:30" x14ac:dyDescent="0.3">
      <c r="A414" s="44" t="str">
        <f t="shared" ca="1" si="6"/>
        <v>7.MENG</v>
      </c>
      <c r="B41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14" s="46"/>
      <c r="D414" s="44"/>
      <c r="E414" s="44"/>
      <c r="F414" s="47"/>
      <c r="G414" s="47"/>
      <c r="H414" s="45"/>
      <c r="I414" s="45"/>
      <c r="J414" s="45"/>
      <c r="K414" s="45"/>
      <c r="L414" s="46"/>
      <c r="M414" s="47"/>
      <c r="N414" s="46"/>
      <c r="O414" s="46"/>
      <c r="P414" s="47"/>
      <c r="Q414" s="46"/>
      <c r="R414" s="46"/>
      <c r="S414" s="48"/>
      <c r="T414" s="68" t="str">
        <f>IF(Tableau1[[#This Row],[DMS_SAP]]="","",HYPERLINK(Tableau1[[#This Row],[Chemin fichier source]],"X"))</f>
        <v/>
      </c>
      <c r="U414" s="68" t="str">
        <f>IF(Tableau1[[#This Row],[Date rév.]]="","",HYPERLINK(Tableau1[[#This Row],[Lien document]],"X"))</f>
        <v/>
      </c>
      <c r="V414" s="47"/>
      <c r="W41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14" s="47"/>
      <c r="Y414" s="47"/>
      <c r="Z414" s="44" t="str">
        <f ca="1">IF(AND(Tableau1[[#This Row],[Charge]]&lt;&gt;0, Tableau1[[#This Row],[Nombre intervenants]]&lt;&gt;0,Tableau1[[#This Row],[Lien document]]&lt;&gt;0,Tableau1[[#This Row],[DMS_SAP]]&lt;&gt;0)=TRUE,"MIS A JOUR","")</f>
        <v/>
      </c>
      <c r="AA414" s="48"/>
      <c r="AB414" s="65" t="str">
        <f ca="1">IF(Tableau1[[#This Row],[Date rév.]]&lt;&gt;"", DAYS360(Tableau1[[#This Row],[Date rév.]],TODAY()),"")</f>
        <v/>
      </c>
      <c r="AC414" s="50" t="str">
        <f>IFERROR(INDEX(Chemin_accès!$B$11:$C$22,MATCH(Tableau1[[#This Row],[Type]],Chemin_accès!$C$11:$C$22,0),1),Chemin_accès!$B$11)</f>
        <v>\\stjn.local\trimet\Btechnique\Commun\Atelier Central mécanique\Plan entretien\Modèles préventif\GammeDMS_7.MENG.xlsm</v>
      </c>
      <c r="AD414" s="50" t="str">
        <f>Chemin_accès!$B$8&amp;Tableau1[[#This Row],[Localisation / Classement]]&amp;"\"&amp;Tableau1[[#This Row],[Poste technique ou N° d''équipement]]&amp;"_"&amp;Tableau1[[#This Row],[Plan Entretien]]&amp;".xlsm"</f>
        <v>\\stjn.local\trimet\Btechnique\Commun\Atelier Central mécanique\Plan entretien\GammeEntretien\\_.xlsm</v>
      </c>
    </row>
    <row r="415" spans="1:30" x14ac:dyDescent="0.3">
      <c r="A415" s="44" t="str">
        <f t="shared" ca="1" si="6"/>
        <v>7.MENG</v>
      </c>
      <c r="B41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15" s="46"/>
      <c r="D415" s="44"/>
      <c r="E415" s="44"/>
      <c r="F415" s="47"/>
      <c r="G415" s="47"/>
      <c r="H415" s="45"/>
      <c r="I415" s="45"/>
      <c r="J415" s="45"/>
      <c r="K415" s="45"/>
      <c r="L415" s="46"/>
      <c r="M415" s="47"/>
      <c r="N415" s="46"/>
      <c r="O415" s="46"/>
      <c r="P415" s="47"/>
      <c r="Q415" s="46"/>
      <c r="R415" s="46"/>
      <c r="S415" s="48"/>
      <c r="T415" s="68" t="str">
        <f>IF(Tableau1[[#This Row],[DMS_SAP]]="","",HYPERLINK(Tableau1[[#This Row],[Chemin fichier source]],"X"))</f>
        <v/>
      </c>
      <c r="U415" s="68" t="str">
        <f>IF(Tableau1[[#This Row],[Date rév.]]="","",HYPERLINK(Tableau1[[#This Row],[Lien document]],"X"))</f>
        <v/>
      </c>
      <c r="V415" s="47"/>
      <c r="W41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15" s="47"/>
      <c r="Y415" s="47"/>
      <c r="Z415" s="44" t="str">
        <f ca="1">IF(AND(Tableau1[[#This Row],[Charge]]&lt;&gt;0, Tableau1[[#This Row],[Nombre intervenants]]&lt;&gt;0,Tableau1[[#This Row],[Lien document]]&lt;&gt;0,Tableau1[[#This Row],[DMS_SAP]]&lt;&gt;0)=TRUE,"MIS A JOUR","")</f>
        <v/>
      </c>
      <c r="AA415" s="48"/>
      <c r="AB415" s="65" t="str">
        <f ca="1">IF(Tableau1[[#This Row],[Date rév.]]&lt;&gt;"", DAYS360(Tableau1[[#This Row],[Date rév.]],TODAY()),"")</f>
        <v/>
      </c>
      <c r="AC415" s="50" t="str">
        <f>IFERROR(INDEX(Chemin_accès!$B$11:$C$22,MATCH(Tableau1[[#This Row],[Type]],Chemin_accès!$C$11:$C$22,0),1),Chemin_accès!$B$11)</f>
        <v>\\stjn.local\trimet\Btechnique\Commun\Atelier Central mécanique\Plan entretien\Modèles préventif\GammeDMS_7.MENG.xlsm</v>
      </c>
      <c r="AD415" s="50" t="str">
        <f>Chemin_accès!$B$8&amp;Tableau1[[#This Row],[Localisation / Classement]]&amp;"\"&amp;Tableau1[[#This Row],[Poste technique ou N° d''équipement]]&amp;"_"&amp;Tableau1[[#This Row],[Plan Entretien]]&amp;".xlsm"</f>
        <v>\\stjn.local\trimet\Btechnique\Commun\Atelier Central mécanique\Plan entretien\GammeEntretien\\_.xlsm</v>
      </c>
    </row>
    <row r="416" spans="1:30" x14ac:dyDescent="0.3">
      <c r="A416" s="44" t="str">
        <f t="shared" ca="1" si="6"/>
        <v>7.MENG</v>
      </c>
      <c r="B41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16" s="46"/>
      <c r="D416" s="44"/>
      <c r="E416" s="44"/>
      <c r="F416" s="47"/>
      <c r="G416" s="47"/>
      <c r="H416" s="45"/>
      <c r="I416" s="45"/>
      <c r="J416" s="45"/>
      <c r="K416" s="45"/>
      <c r="L416" s="46"/>
      <c r="M416" s="47"/>
      <c r="N416" s="46"/>
      <c r="O416" s="46"/>
      <c r="P416" s="47"/>
      <c r="Q416" s="46"/>
      <c r="R416" s="46"/>
      <c r="S416" s="48"/>
      <c r="T416" s="68" t="str">
        <f>IF(Tableau1[[#This Row],[DMS_SAP]]="","",HYPERLINK(Tableau1[[#This Row],[Chemin fichier source]],"X"))</f>
        <v/>
      </c>
      <c r="U416" s="68" t="str">
        <f>IF(Tableau1[[#This Row],[Date rév.]]="","",HYPERLINK(Tableau1[[#This Row],[Lien document]],"X"))</f>
        <v/>
      </c>
      <c r="V416" s="47"/>
      <c r="W41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16" s="47"/>
      <c r="Y416" s="47"/>
      <c r="Z416" s="44" t="str">
        <f ca="1">IF(AND(Tableau1[[#This Row],[Charge]]&lt;&gt;0, Tableau1[[#This Row],[Nombre intervenants]]&lt;&gt;0,Tableau1[[#This Row],[Lien document]]&lt;&gt;0,Tableau1[[#This Row],[DMS_SAP]]&lt;&gt;0)=TRUE,"MIS A JOUR","")</f>
        <v/>
      </c>
      <c r="AA416" s="48"/>
      <c r="AB416" s="65" t="str">
        <f ca="1">IF(Tableau1[[#This Row],[Date rév.]]&lt;&gt;"", DAYS360(Tableau1[[#This Row],[Date rév.]],TODAY()),"")</f>
        <v/>
      </c>
      <c r="AC416" s="50" t="str">
        <f>IFERROR(INDEX(Chemin_accès!$B$11:$C$22,MATCH(Tableau1[[#This Row],[Type]],Chemin_accès!$C$11:$C$22,0),1),Chemin_accès!$B$11)</f>
        <v>\\stjn.local\trimet\Btechnique\Commun\Atelier Central mécanique\Plan entretien\Modèles préventif\GammeDMS_7.MENG.xlsm</v>
      </c>
      <c r="AD416" s="50" t="str">
        <f>Chemin_accès!$B$8&amp;Tableau1[[#This Row],[Localisation / Classement]]&amp;"\"&amp;Tableau1[[#This Row],[Poste technique ou N° d''équipement]]&amp;"_"&amp;Tableau1[[#This Row],[Plan Entretien]]&amp;".xlsm"</f>
        <v>\\stjn.local\trimet\Btechnique\Commun\Atelier Central mécanique\Plan entretien\GammeEntretien\\_.xlsm</v>
      </c>
    </row>
    <row r="417" spans="1:30" x14ac:dyDescent="0.3">
      <c r="A417" s="44" t="str">
        <f t="shared" ca="1" si="6"/>
        <v>7.MENG</v>
      </c>
      <c r="B41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17" s="46"/>
      <c r="D417" s="44"/>
      <c r="E417" s="44"/>
      <c r="F417" s="47"/>
      <c r="G417" s="47"/>
      <c r="H417" s="45"/>
      <c r="I417" s="45"/>
      <c r="J417" s="45"/>
      <c r="K417" s="45"/>
      <c r="L417" s="46"/>
      <c r="M417" s="47"/>
      <c r="N417" s="46"/>
      <c r="O417" s="46"/>
      <c r="P417" s="47"/>
      <c r="Q417" s="46"/>
      <c r="R417" s="46"/>
      <c r="S417" s="48"/>
      <c r="T417" s="68" t="str">
        <f>IF(Tableau1[[#This Row],[DMS_SAP]]="","",HYPERLINK(Tableau1[[#This Row],[Chemin fichier source]],"X"))</f>
        <v/>
      </c>
      <c r="U417" s="68" t="str">
        <f>IF(Tableau1[[#This Row],[Date rév.]]="","",HYPERLINK(Tableau1[[#This Row],[Lien document]],"X"))</f>
        <v/>
      </c>
      <c r="V417" s="47"/>
      <c r="W41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17" s="47"/>
      <c r="Y417" s="47"/>
      <c r="Z417" s="44" t="str">
        <f ca="1">IF(AND(Tableau1[[#This Row],[Charge]]&lt;&gt;0, Tableau1[[#This Row],[Nombre intervenants]]&lt;&gt;0,Tableau1[[#This Row],[Lien document]]&lt;&gt;0,Tableau1[[#This Row],[DMS_SAP]]&lt;&gt;0)=TRUE,"MIS A JOUR","")</f>
        <v/>
      </c>
      <c r="AA417" s="48"/>
      <c r="AB417" s="65" t="str">
        <f ca="1">IF(Tableau1[[#This Row],[Date rév.]]&lt;&gt;"", DAYS360(Tableau1[[#This Row],[Date rév.]],TODAY()),"")</f>
        <v/>
      </c>
      <c r="AC417" s="50" t="str">
        <f>IFERROR(INDEX(Chemin_accès!$B$11:$C$22,MATCH(Tableau1[[#This Row],[Type]],Chemin_accès!$C$11:$C$22,0),1),Chemin_accès!$B$11)</f>
        <v>\\stjn.local\trimet\Btechnique\Commun\Atelier Central mécanique\Plan entretien\Modèles préventif\GammeDMS_7.MENG.xlsm</v>
      </c>
      <c r="AD417" s="50" t="str">
        <f>Chemin_accès!$B$8&amp;Tableau1[[#This Row],[Localisation / Classement]]&amp;"\"&amp;Tableau1[[#This Row],[Poste technique ou N° d''équipement]]&amp;"_"&amp;Tableau1[[#This Row],[Plan Entretien]]&amp;".xlsm"</f>
        <v>\\stjn.local\trimet\Btechnique\Commun\Atelier Central mécanique\Plan entretien\GammeEntretien\\_.xlsm</v>
      </c>
    </row>
    <row r="418" spans="1:30" x14ac:dyDescent="0.3">
      <c r="A418" s="44" t="str">
        <f t="shared" ca="1" si="6"/>
        <v>7.MENG</v>
      </c>
      <c r="B41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18" s="46"/>
      <c r="D418" s="44"/>
      <c r="E418" s="44"/>
      <c r="F418" s="47"/>
      <c r="G418" s="47"/>
      <c r="H418" s="45"/>
      <c r="I418" s="45"/>
      <c r="J418" s="45"/>
      <c r="K418" s="45"/>
      <c r="L418" s="46"/>
      <c r="M418" s="47"/>
      <c r="N418" s="46"/>
      <c r="O418" s="46"/>
      <c r="P418" s="47"/>
      <c r="Q418" s="46"/>
      <c r="R418" s="46"/>
      <c r="S418" s="48"/>
      <c r="T418" s="68" t="str">
        <f>IF(Tableau1[[#This Row],[DMS_SAP]]="","",HYPERLINK(Tableau1[[#This Row],[Chemin fichier source]],"X"))</f>
        <v/>
      </c>
      <c r="U418" s="68" t="str">
        <f>IF(Tableau1[[#This Row],[Date rév.]]="","",HYPERLINK(Tableau1[[#This Row],[Lien document]],"X"))</f>
        <v/>
      </c>
      <c r="V418" s="47"/>
      <c r="W41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18" s="47"/>
      <c r="Y418" s="47"/>
      <c r="Z418" s="44" t="str">
        <f ca="1">IF(AND(Tableau1[[#This Row],[Charge]]&lt;&gt;0, Tableau1[[#This Row],[Nombre intervenants]]&lt;&gt;0,Tableau1[[#This Row],[Lien document]]&lt;&gt;0,Tableau1[[#This Row],[DMS_SAP]]&lt;&gt;0)=TRUE,"MIS A JOUR","")</f>
        <v/>
      </c>
      <c r="AA418" s="48"/>
      <c r="AB418" s="65" t="str">
        <f ca="1">IF(Tableau1[[#This Row],[Date rév.]]&lt;&gt;"", DAYS360(Tableau1[[#This Row],[Date rév.]],TODAY()),"")</f>
        <v/>
      </c>
      <c r="AC418" s="50" t="str">
        <f>IFERROR(INDEX(Chemin_accès!$B$11:$C$22,MATCH(Tableau1[[#This Row],[Type]],Chemin_accès!$C$11:$C$22,0),1),Chemin_accès!$B$11)</f>
        <v>\\stjn.local\trimet\Btechnique\Commun\Atelier Central mécanique\Plan entretien\Modèles préventif\GammeDMS_7.MENG.xlsm</v>
      </c>
      <c r="AD418" s="50" t="str">
        <f>Chemin_accès!$B$8&amp;Tableau1[[#This Row],[Localisation / Classement]]&amp;"\"&amp;Tableau1[[#This Row],[Poste technique ou N° d''équipement]]&amp;"_"&amp;Tableau1[[#This Row],[Plan Entretien]]&amp;".xlsm"</f>
        <v>\\stjn.local\trimet\Btechnique\Commun\Atelier Central mécanique\Plan entretien\GammeEntretien\\_.xlsm</v>
      </c>
    </row>
    <row r="419" spans="1:30" x14ac:dyDescent="0.3">
      <c r="A419" s="44" t="str">
        <f t="shared" ca="1" si="6"/>
        <v>7.MENG</v>
      </c>
      <c r="B41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19" s="46"/>
      <c r="D419" s="44"/>
      <c r="E419" s="44"/>
      <c r="F419" s="47"/>
      <c r="G419" s="47"/>
      <c r="H419" s="45"/>
      <c r="I419" s="45"/>
      <c r="J419" s="45"/>
      <c r="K419" s="45"/>
      <c r="L419" s="46"/>
      <c r="M419" s="47"/>
      <c r="N419" s="46"/>
      <c r="O419" s="46"/>
      <c r="P419" s="47"/>
      <c r="Q419" s="46"/>
      <c r="R419" s="46"/>
      <c r="S419" s="48"/>
      <c r="T419" s="68" t="str">
        <f>IF(Tableau1[[#This Row],[DMS_SAP]]="","",HYPERLINK(Tableau1[[#This Row],[Chemin fichier source]],"X"))</f>
        <v/>
      </c>
      <c r="U419" s="68" t="str">
        <f>IF(Tableau1[[#This Row],[Date rév.]]="","",HYPERLINK(Tableau1[[#This Row],[Lien document]],"X"))</f>
        <v/>
      </c>
      <c r="V419" s="47"/>
      <c r="W41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19" s="47"/>
      <c r="Y419" s="47"/>
      <c r="Z419" s="44" t="str">
        <f ca="1">IF(AND(Tableau1[[#This Row],[Charge]]&lt;&gt;0, Tableau1[[#This Row],[Nombre intervenants]]&lt;&gt;0,Tableau1[[#This Row],[Lien document]]&lt;&gt;0,Tableau1[[#This Row],[DMS_SAP]]&lt;&gt;0)=TRUE,"MIS A JOUR","")</f>
        <v/>
      </c>
      <c r="AA419" s="48"/>
      <c r="AB419" s="65" t="str">
        <f ca="1">IF(Tableau1[[#This Row],[Date rév.]]&lt;&gt;"", DAYS360(Tableau1[[#This Row],[Date rév.]],TODAY()),"")</f>
        <v/>
      </c>
      <c r="AC419" s="50" t="str">
        <f>IFERROR(INDEX(Chemin_accès!$B$11:$C$22,MATCH(Tableau1[[#This Row],[Type]],Chemin_accès!$C$11:$C$22,0),1),Chemin_accès!$B$11)</f>
        <v>\\stjn.local\trimet\Btechnique\Commun\Atelier Central mécanique\Plan entretien\Modèles préventif\GammeDMS_7.MENG.xlsm</v>
      </c>
      <c r="AD419" s="50" t="str">
        <f>Chemin_accès!$B$8&amp;Tableau1[[#This Row],[Localisation / Classement]]&amp;"\"&amp;Tableau1[[#This Row],[Poste technique ou N° d''équipement]]&amp;"_"&amp;Tableau1[[#This Row],[Plan Entretien]]&amp;".xlsm"</f>
        <v>\\stjn.local\trimet\Btechnique\Commun\Atelier Central mécanique\Plan entretien\GammeEntretien\\_.xlsm</v>
      </c>
    </row>
    <row r="420" spans="1:30" x14ac:dyDescent="0.3">
      <c r="A420" s="44" t="str">
        <f t="shared" ca="1" si="6"/>
        <v>7.MENG</v>
      </c>
      <c r="B42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20" s="46"/>
      <c r="D420" s="44"/>
      <c r="E420" s="44"/>
      <c r="F420" s="47"/>
      <c r="G420" s="47"/>
      <c r="H420" s="45"/>
      <c r="I420" s="45"/>
      <c r="J420" s="45"/>
      <c r="K420" s="45"/>
      <c r="L420" s="46"/>
      <c r="M420" s="47"/>
      <c r="N420" s="46"/>
      <c r="O420" s="46"/>
      <c r="P420" s="47"/>
      <c r="Q420" s="46"/>
      <c r="R420" s="46"/>
      <c r="S420" s="48"/>
      <c r="T420" s="68" t="str">
        <f>IF(Tableau1[[#This Row],[DMS_SAP]]="","",HYPERLINK(Tableau1[[#This Row],[Chemin fichier source]],"X"))</f>
        <v/>
      </c>
      <c r="U420" s="68" t="str">
        <f>IF(Tableau1[[#This Row],[Date rév.]]="","",HYPERLINK(Tableau1[[#This Row],[Lien document]],"X"))</f>
        <v/>
      </c>
      <c r="V420" s="47"/>
      <c r="W42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20" s="47"/>
      <c r="Y420" s="47"/>
      <c r="Z420" s="44" t="str">
        <f ca="1">IF(AND(Tableau1[[#This Row],[Charge]]&lt;&gt;0, Tableau1[[#This Row],[Nombre intervenants]]&lt;&gt;0,Tableau1[[#This Row],[Lien document]]&lt;&gt;0,Tableau1[[#This Row],[DMS_SAP]]&lt;&gt;0)=TRUE,"MIS A JOUR","")</f>
        <v/>
      </c>
      <c r="AA420" s="48"/>
      <c r="AB420" s="65" t="str">
        <f ca="1">IF(Tableau1[[#This Row],[Date rév.]]&lt;&gt;"", DAYS360(Tableau1[[#This Row],[Date rév.]],TODAY()),"")</f>
        <v/>
      </c>
      <c r="AC420" s="50" t="str">
        <f>IFERROR(INDEX(Chemin_accès!$B$11:$C$22,MATCH(Tableau1[[#This Row],[Type]],Chemin_accès!$C$11:$C$22,0),1),Chemin_accès!$B$11)</f>
        <v>\\stjn.local\trimet\Btechnique\Commun\Atelier Central mécanique\Plan entretien\Modèles préventif\GammeDMS_7.MENG.xlsm</v>
      </c>
      <c r="AD420" s="50" t="str">
        <f>Chemin_accès!$B$8&amp;Tableau1[[#This Row],[Localisation / Classement]]&amp;"\"&amp;Tableau1[[#This Row],[Poste technique ou N° d''équipement]]&amp;"_"&amp;Tableau1[[#This Row],[Plan Entretien]]&amp;".xlsm"</f>
        <v>\\stjn.local\trimet\Btechnique\Commun\Atelier Central mécanique\Plan entretien\GammeEntretien\\_.xlsm</v>
      </c>
    </row>
    <row r="421" spans="1:30" x14ac:dyDescent="0.3">
      <c r="A421" s="44" t="str">
        <f t="shared" ca="1" si="6"/>
        <v>7.MENG</v>
      </c>
      <c r="B42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21" s="46"/>
      <c r="D421" s="44"/>
      <c r="E421" s="44"/>
      <c r="F421" s="47"/>
      <c r="G421" s="47"/>
      <c r="H421" s="45"/>
      <c r="I421" s="45"/>
      <c r="J421" s="45"/>
      <c r="K421" s="45"/>
      <c r="L421" s="46"/>
      <c r="M421" s="47"/>
      <c r="N421" s="46"/>
      <c r="O421" s="46"/>
      <c r="P421" s="47"/>
      <c r="Q421" s="46"/>
      <c r="R421" s="46"/>
      <c r="S421" s="48"/>
      <c r="T421" s="68" t="str">
        <f>IF(Tableau1[[#This Row],[DMS_SAP]]="","",HYPERLINK(Tableau1[[#This Row],[Chemin fichier source]],"X"))</f>
        <v/>
      </c>
      <c r="U421" s="68" t="str">
        <f>IF(Tableau1[[#This Row],[Date rév.]]="","",HYPERLINK(Tableau1[[#This Row],[Lien document]],"X"))</f>
        <v/>
      </c>
      <c r="V421" s="47"/>
      <c r="W42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21" s="47"/>
      <c r="Y421" s="47"/>
      <c r="Z421" s="44" t="str">
        <f ca="1">IF(AND(Tableau1[[#This Row],[Charge]]&lt;&gt;0, Tableau1[[#This Row],[Nombre intervenants]]&lt;&gt;0,Tableau1[[#This Row],[Lien document]]&lt;&gt;0,Tableau1[[#This Row],[DMS_SAP]]&lt;&gt;0)=TRUE,"MIS A JOUR","")</f>
        <v/>
      </c>
      <c r="AA421" s="48"/>
      <c r="AB421" s="65" t="str">
        <f ca="1">IF(Tableau1[[#This Row],[Date rév.]]&lt;&gt;"", DAYS360(Tableau1[[#This Row],[Date rév.]],TODAY()),"")</f>
        <v/>
      </c>
      <c r="AC421" s="50" t="str">
        <f>IFERROR(INDEX(Chemin_accès!$B$11:$C$22,MATCH(Tableau1[[#This Row],[Type]],Chemin_accès!$C$11:$C$22,0),1),Chemin_accès!$B$11)</f>
        <v>\\stjn.local\trimet\Btechnique\Commun\Atelier Central mécanique\Plan entretien\Modèles préventif\GammeDMS_7.MENG.xlsm</v>
      </c>
      <c r="AD421" s="50" t="str">
        <f>Chemin_accès!$B$8&amp;Tableau1[[#This Row],[Localisation / Classement]]&amp;"\"&amp;Tableau1[[#This Row],[Poste technique ou N° d''équipement]]&amp;"_"&amp;Tableau1[[#This Row],[Plan Entretien]]&amp;".xlsm"</f>
        <v>\\stjn.local\trimet\Btechnique\Commun\Atelier Central mécanique\Plan entretien\GammeEntretien\\_.xlsm</v>
      </c>
    </row>
    <row r="422" spans="1:30" x14ac:dyDescent="0.3">
      <c r="A422" s="44" t="str">
        <f t="shared" ca="1" si="6"/>
        <v>7.MENG</v>
      </c>
      <c r="B42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22" s="46"/>
      <c r="D422" s="44"/>
      <c r="E422" s="44"/>
      <c r="F422" s="47"/>
      <c r="G422" s="47"/>
      <c r="H422" s="45"/>
      <c r="I422" s="45"/>
      <c r="J422" s="45"/>
      <c r="K422" s="45"/>
      <c r="L422" s="46"/>
      <c r="M422" s="47"/>
      <c r="N422" s="46"/>
      <c r="O422" s="46"/>
      <c r="P422" s="47"/>
      <c r="Q422" s="46"/>
      <c r="R422" s="46"/>
      <c r="S422" s="48"/>
      <c r="T422" s="68" t="str">
        <f>IF(Tableau1[[#This Row],[DMS_SAP]]="","",HYPERLINK(Tableau1[[#This Row],[Chemin fichier source]],"X"))</f>
        <v/>
      </c>
      <c r="U422" s="68" t="str">
        <f>IF(Tableau1[[#This Row],[Date rév.]]="","",HYPERLINK(Tableau1[[#This Row],[Lien document]],"X"))</f>
        <v/>
      </c>
      <c r="V422" s="47"/>
      <c r="W42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22" s="47"/>
      <c r="Y422" s="47"/>
      <c r="Z422" s="44" t="str">
        <f ca="1">IF(AND(Tableau1[[#This Row],[Charge]]&lt;&gt;0, Tableau1[[#This Row],[Nombre intervenants]]&lt;&gt;0,Tableau1[[#This Row],[Lien document]]&lt;&gt;0,Tableau1[[#This Row],[DMS_SAP]]&lt;&gt;0)=TRUE,"MIS A JOUR","")</f>
        <v/>
      </c>
      <c r="AA422" s="48"/>
      <c r="AB422" s="65" t="str">
        <f ca="1">IF(Tableau1[[#This Row],[Date rév.]]&lt;&gt;"", DAYS360(Tableau1[[#This Row],[Date rév.]],TODAY()),"")</f>
        <v/>
      </c>
      <c r="AC422" s="50" t="str">
        <f>IFERROR(INDEX(Chemin_accès!$B$11:$C$22,MATCH(Tableau1[[#This Row],[Type]],Chemin_accès!$C$11:$C$22,0),1),Chemin_accès!$B$11)</f>
        <v>\\stjn.local\trimet\Btechnique\Commun\Atelier Central mécanique\Plan entretien\Modèles préventif\GammeDMS_7.MENG.xlsm</v>
      </c>
      <c r="AD422" s="50" t="str">
        <f>Chemin_accès!$B$8&amp;Tableau1[[#This Row],[Localisation / Classement]]&amp;"\"&amp;Tableau1[[#This Row],[Poste technique ou N° d''équipement]]&amp;"_"&amp;Tableau1[[#This Row],[Plan Entretien]]&amp;".xlsm"</f>
        <v>\\stjn.local\trimet\Btechnique\Commun\Atelier Central mécanique\Plan entretien\GammeEntretien\\_.xlsm</v>
      </c>
    </row>
    <row r="423" spans="1:30" x14ac:dyDescent="0.3">
      <c r="A423" s="44" t="str">
        <f t="shared" ca="1" si="6"/>
        <v>7.MENG</v>
      </c>
      <c r="B42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23" s="46"/>
      <c r="D423" s="44"/>
      <c r="E423" s="44"/>
      <c r="F423" s="47"/>
      <c r="G423" s="47"/>
      <c r="H423" s="45"/>
      <c r="I423" s="45"/>
      <c r="J423" s="45"/>
      <c r="K423" s="45"/>
      <c r="L423" s="46"/>
      <c r="M423" s="47"/>
      <c r="N423" s="46"/>
      <c r="O423" s="46"/>
      <c r="P423" s="47"/>
      <c r="Q423" s="46"/>
      <c r="R423" s="46"/>
      <c r="S423" s="48"/>
      <c r="T423" s="68" t="str">
        <f>IF(Tableau1[[#This Row],[DMS_SAP]]="","",HYPERLINK(Tableau1[[#This Row],[Chemin fichier source]],"X"))</f>
        <v/>
      </c>
      <c r="U423" s="68" t="str">
        <f>IF(Tableau1[[#This Row],[Date rév.]]="","",HYPERLINK(Tableau1[[#This Row],[Lien document]],"X"))</f>
        <v/>
      </c>
      <c r="V423" s="47"/>
      <c r="W42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23" s="47"/>
      <c r="Y423" s="47"/>
      <c r="Z423" s="44" t="str">
        <f ca="1">IF(AND(Tableau1[[#This Row],[Charge]]&lt;&gt;0, Tableau1[[#This Row],[Nombre intervenants]]&lt;&gt;0,Tableau1[[#This Row],[Lien document]]&lt;&gt;0,Tableau1[[#This Row],[DMS_SAP]]&lt;&gt;0)=TRUE,"MIS A JOUR","")</f>
        <v/>
      </c>
      <c r="AA423" s="48"/>
      <c r="AB423" s="65" t="str">
        <f ca="1">IF(Tableau1[[#This Row],[Date rév.]]&lt;&gt;"", DAYS360(Tableau1[[#This Row],[Date rév.]],TODAY()),"")</f>
        <v/>
      </c>
      <c r="AC423" s="50" t="str">
        <f>IFERROR(INDEX(Chemin_accès!$B$11:$C$22,MATCH(Tableau1[[#This Row],[Type]],Chemin_accès!$C$11:$C$22,0),1),Chemin_accès!$B$11)</f>
        <v>\\stjn.local\trimet\Btechnique\Commun\Atelier Central mécanique\Plan entretien\Modèles préventif\GammeDMS_7.MENG.xlsm</v>
      </c>
      <c r="AD423" s="50" t="str">
        <f>Chemin_accès!$B$8&amp;Tableau1[[#This Row],[Localisation / Classement]]&amp;"\"&amp;Tableau1[[#This Row],[Poste technique ou N° d''équipement]]&amp;"_"&amp;Tableau1[[#This Row],[Plan Entretien]]&amp;".xlsm"</f>
        <v>\\stjn.local\trimet\Btechnique\Commun\Atelier Central mécanique\Plan entretien\GammeEntretien\\_.xlsm</v>
      </c>
    </row>
    <row r="424" spans="1:30" x14ac:dyDescent="0.3">
      <c r="A424" s="44" t="str">
        <f t="shared" ca="1" si="6"/>
        <v>7.MENG</v>
      </c>
      <c r="B42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24" s="46"/>
      <c r="D424" s="44"/>
      <c r="E424" s="44"/>
      <c r="F424" s="47"/>
      <c r="G424" s="47"/>
      <c r="H424" s="45"/>
      <c r="I424" s="45"/>
      <c r="J424" s="45"/>
      <c r="K424" s="45"/>
      <c r="L424" s="46"/>
      <c r="M424" s="47"/>
      <c r="N424" s="46"/>
      <c r="O424" s="46"/>
      <c r="P424" s="47"/>
      <c r="Q424" s="46"/>
      <c r="R424" s="46"/>
      <c r="S424" s="48"/>
      <c r="T424" s="68" t="str">
        <f>IF(Tableau1[[#This Row],[DMS_SAP]]="","",HYPERLINK(Tableau1[[#This Row],[Chemin fichier source]],"X"))</f>
        <v/>
      </c>
      <c r="U424" s="68" t="str">
        <f>IF(Tableau1[[#This Row],[Date rév.]]="","",HYPERLINK(Tableau1[[#This Row],[Lien document]],"X"))</f>
        <v/>
      </c>
      <c r="V424" s="47"/>
      <c r="W42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24" s="47"/>
      <c r="Y424" s="47"/>
      <c r="Z424" s="44" t="str">
        <f ca="1">IF(AND(Tableau1[[#This Row],[Charge]]&lt;&gt;0, Tableau1[[#This Row],[Nombre intervenants]]&lt;&gt;0,Tableau1[[#This Row],[Lien document]]&lt;&gt;0,Tableau1[[#This Row],[DMS_SAP]]&lt;&gt;0)=TRUE,"MIS A JOUR","")</f>
        <v/>
      </c>
      <c r="AA424" s="48"/>
      <c r="AB424" s="65" t="str">
        <f ca="1">IF(Tableau1[[#This Row],[Date rév.]]&lt;&gt;"", DAYS360(Tableau1[[#This Row],[Date rév.]],TODAY()),"")</f>
        <v/>
      </c>
      <c r="AC424" s="50" t="str">
        <f>IFERROR(INDEX(Chemin_accès!$B$11:$C$22,MATCH(Tableau1[[#This Row],[Type]],Chemin_accès!$C$11:$C$22,0),1),Chemin_accès!$B$11)</f>
        <v>\\stjn.local\trimet\Btechnique\Commun\Atelier Central mécanique\Plan entretien\Modèles préventif\GammeDMS_7.MENG.xlsm</v>
      </c>
      <c r="AD424" s="50" t="str">
        <f>Chemin_accès!$B$8&amp;Tableau1[[#This Row],[Localisation / Classement]]&amp;"\"&amp;Tableau1[[#This Row],[Poste technique ou N° d''équipement]]&amp;"_"&amp;Tableau1[[#This Row],[Plan Entretien]]&amp;".xlsm"</f>
        <v>\\stjn.local\trimet\Btechnique\Commun\Atelier Central mécanique\Plan entretien\GammeEntretien\\_.xlsm</v>
      </c>
    </row>
    <row r="425" spans="1:30" x14ac:dyDescent="0.3">
      <c r="A425" s="44" t="str">
        <f t="shared" ca="1" si="6"/>
        <v>7.MENG</v>
      </c>
      <c r="B42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25" s="46"/>
      <c r="D425" s="44"/>
      <c r="E425" s="44"/>
      <c r="F425" s="47"/>
      <c r="G425" s="47"/>
      <c r="H425" s="45"/>
      <c r="I425" s="45"/>
      <c r="J425" s="45"/>
      <c r="K425" s="45"/>
      <c r="L425" s="46"/>
      <c r="M425" s="47"/>
      <c r="N425" s="46"/>
      <c r="O425" s="46"/>
      <c r="P425" s="47"/>
      <c r="Q425" s="46"/>
      <c r="R425" s="46"/>
      <c r="S425" s="48"/>
      <c r="T425" s="68" t="str">
        <f>IF(Tableau1[[#This Row],[DMS_SAP]]="","",HYPERLINK(Tableau1[[#This Row],[Chemin fichier source]],"X"))</f>
        <v/>
      </c>
      <c r="U425" s="68" t="str">
        <f>IF(Tableau1[[#This Row],[Date rév.]]="","",HYPERLINK(Tableau1[[#This Row],[Lien document]],"X"))</f>
        <v/>
      </c>
      <c r="V425" s="47"/>
      <c r="W42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25" s="47"/>
      <c r="Y425" s="47"/>
      <c r="Z425" s="44" t="str">
        <f ca="1">IF(AND(Tableau1[[#This Row],[Charge]]&lt;&gt;0, Tableau1[[#This Row],[Nombre intervenants]]&lt;&gt;0,Tableau1[[#This Row],[Lien document]]&lt;&gt;0,Tableau1[[#This Row],[DMS_SAP]]&lt;&gt;0)=TRUE,"MIS A JOUR","")</f>
        <v/>
      </c>
      <c r="AA425" s="48"/>
      <c r="AB425" s="65" t="str">
        <f ca="1">IF(Tableau1[[#This Row],[Date rév.]]&lt;&gt;"", DAYS360(Tableau1[[#This Row],[Date rév.]],TODAY()),"")</f>
        <v/>
      </c>
      <c r="AC425" s="50" t="str">
        <f>IFERROR(INDEX(Chemin_accès!$B$11:$C$22,MATCH(Tableau1[[#This Row],[Type]],Chemin_accès!$C$11:$C$22,0),1),Chemin_accès!$B$11)</f>
        <v>\\stjn.local\trimet\Btechnique\Commun\Atelier Central mécanique\Plan entretien\Modèles préventif\GammeDMS_7.MENG.xlsm</v>
      </c>
      <c r="AD425" s="50" t="str">
        <f>Chemin_accès!$B$8&amp;Tableau1[[#This Row],[Localisation / Classement]]&amp;"\"&amp;Tableau1[[#This Row],[Poste technique ou N° d''équipement]]&amp;"_"&amp;Tableau1[[#This Row],[Plan Entretien]]&amp;".xlsm"</f>
        <v>\\stjn.local\trimet\Btechnique\Commun\Atelier Central mécanique\Plan entretien\GammeEntretien\\_.xlsm</v>
      </c>
    </row>
    <row r="426" spans="1:30" x14ac:dyDescent="0.3">
      <c r="A426" s="44" t="str">
        <f t="shared" ca="1" si="6"/>
        <v>7.MENG</v>
      </c>
      <c r="B42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26" s="46"/>
      <c r="D426" s="44"/>
      <c r="E426" s="44"/>
      <c r="F426" s="47"/>
      <c r="G426" s="47"/>
      <c r="H426" s="45"/>
      <c r="I426" s="45"/>
      <c r="J426" s="45"/>
      <c r="K426" s="45"/>
      <c r="L426" s="46"/>
      <c r="M426" s="47"/>
      <c r="N426" s="46"/>
      <c r="O426" s="46"/>
      <c r="P426" s="47"/>
      <c r="Q426" s="46"/>
      <c r="R426" s="46"/>
      <c r="S426" s="48"/>
      <c r="T426" s="68" t="str">
        <f>IF(Tableau1[[#This Row],[DMS_SAP]]="","",HYPERLINK(Tableau1[[#This Row],[Chemin fichier source]],"X"))</f>
        <v/>
      </c>
      <c r="U426" s="68" t="str">
        <f>IF(Tableau1[[#This Row],[Date rév.]]="","",HYPERLINK(Tableau1[[#This Row],[Lien document]],"X"))</f>
        <v/>
      </c>
      <c r="V426" s="47"/>
      <c r="W42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26" s="47"/>
      <c r="Y426" s="47"/>
      <c r="Z426" s="44" t="str">
        <f ca="1">IF(AND(Tableau1[[#This Row],[Charge]]&lt;&gt;0, Tableau1[[#This Row],[Nombre intervenants]]&lt;&gt;0,Tableau1[[#This Row],[Lien document]]&lt;&gt;0,Tableau1[[#This Row],[DMS_SAP]]&lt;&gt;0)=TRUE,"MIS A JOUR","")</f>
        <v/>
      </c>
      <c r="AA426" s="48"/>
      <c r="AB426" s="65" t="str">
        <f ca="1">IF(Tableau1[[#This Row],[Date rév.]]&lt;&gt;"", DAYS360(Tableau1[[#This Row],[Date rév.]],TODAY()),"")</f>
        <v/>
      </c>
      <c r="AC426" s="50" t="str">
        <f>IFERROR(INDEX(Chemin_accès!$B$11:$C$22,MATCH(Tableau1[[#This Row],[Type]],Chemin_accès!$C$11:$C$22,0),1),Chemin_accès!$B$11)</f>
        <v>\\stjn.local\trimet\Btechnique\Commun\Atelier Central mécanique\Plan entretien\Modèles préventif\GammeDMS_7.MENG.xlsm</v>
      </c>
      <c r="AD426" s="50" t="str">
        <f>Chemin_accès!$B$8&amp;Tableau1[[#This Row],[Localisation / Classement]]&amp;"\"&amp;Tableau1[[#This Row],[Poste technique ou N° d''équipement]]&amp;"_"&amp;Tableau1[[#This Row],[Plan Entretien]]&amp;".xlsm"</f>
        <v>\\stjn.local\trimet\Btechnique\Commun\Atelier Central mécanique\Plan entretien\GammeEntretien\\_.xlsm</v>
      </c>
    </row>
    <row r="427" spans="1:30" x14ac:dyDescent="0.3">
      <c r="A427" s="44" t="str">
        <f t="shared" ca="1" si="6"/>
        <v>7.MENG</v>
      </c>
      <c r="B42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27" s="46"/>
      <c r="D427" s="44"/>
      <c r="E427" s="44"/>
      <c r="F427" s="47"/>
      <c r="G427" s="47"/>
      <c r="H427" s="45"/>
      <c r="I427" s="45"/>
      <c r="J427" s="45"/>
      <c r="K427" s="45"/>
      <c r="L427" s="46"/>
      <c r="M427" s="47"/>
      <c r="N427" s="46"/>
      <c r="O427" s="46"/>
      <c r="P427" s="47"/>
      <c r="Q427" s="46"/>
      <c r="R427" s="46"/>
      <c r="S427" s="48"/>
      <c r="T427" s="68" t="str">
        <f>IF(Tableau1[[#This Row],[DMS_SAP]]="","",HYPERLINK(Tableau1[[#This Row],[Chemin fichier source]],"X"))</f>
        <v/>
      </c>
      <c r="U427" s="68" t="str">
        <f>IF(Tableau1[[#This Row],[Date rév.]]="","",HYPERLINK(Tableau1[[#This Row],[Lien document]],"X"))</f>
        <v/>
      </c>
      <c r="V427" s="47"/>
      <c r="W42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27" s="47"/>
      <c r="Y427" s="47"/>
      <c r="Z427" s="44" t="str">
        <f ca="1">IF(AND(Tableau1[[#This Row],[Charge]]&lt;&gt;0, Tableau1[[#This Row],[Nombre intervenants]]&lt;&gt;0,Tableau1[[#This Row],[Lien document]]&lt;&gt;0,Tableau1[[#This Row],[DMS_SAP]]&lt;&gt;0)=TRUE,"MIS A JOUR","")</f>
        <v/>
      </c>
      <c r="AA427" s="48"/>
      <c r="AB427" s="65" t="str">
        <f ca="1">IF(Tableau1[[#This Row],[Date rév.]]&lt;&gt;"", DAYS360(Tableau1[[#This Row],[Date rév.]],TODAY()),"")</f>
        <v/>
      </c>
      <c r="AC427" s="50" t="str">
        <f>IFERROR(INDEX(Chemin_accès!$B$11:$C$22,MATCH(Tableau1[[#This Row],[Type]],Chemin_accès!$C$11:$C$22,0),1),Chemin_accès!$B$11)</f>
        <v>\\stjn.local\trimet\Btechnique\Commun\Atelier Central mécanique\Plan entretien\Modèles préventif\GammeDMS_7.MENG.xlsm</v>
      </c>
      <c r="AD427" s="50" t="str">
        <f>Chemin_accès!$B$8&amp;Tableau1[[#This Row],[Localisation / Classement]]&amp;"\"&amp;Tableau1[[#This Row],[Poste technique ou N° d''équipement]]&amp;"_"&amp;Tableau1[[#This Row],[Plan Entretien]]&amp;".xlsm"</f>
        <v>\\stjn.local\trimet\Btechnique\Commun\Atelier Central mécanique\Plan entretien\GammeEntretien\\_.xlsm</v>
      </c>
    </row>
    <row r="428" spans="1:30" x14ac:dyDescent="0.3">
      <c r="A428" s="44" t="str">
        <f t="shared" ca="1" si="6"/>
        <v>7.MENG</v>
      </c>
      <c r="B42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28" s="46"/>
      <c r="D428" s="44"/>
      <c r="E428" s="44"/>
      <c r="F428" s="47"/>
      <c r="G428" s="47"/>
      <c r="H428" s="45"/>
      <c r="I428" s="45"/>
      <c r="J428" s="45"/>
      <c r="K428" s="45"/>
      <c r="L428" s="46"/>
      <c r="M428" s="47"/>
      <c r="N428" s="46"/>
      <c r="O428" s="46"/>
      <c r="P428" s="47"/>
      <c r="Q428" s="46"/>
      <c r="R428" s="46"/>
      <c r="S428" s="48"/>
      <c r="T428" s="68" t="str">
        <f>IF(Tableau1[[#This Row],[DMS_SAP]]="","",HYPERLINK(Tableau1[[#This Row],[Chemin fichier source]],"X"))</f>
        <v/>
      </c>
      <c r="U428" s="68" t="str">
        <f>IF(Tableau1[[#This Row],[Date rév.]]="","",HYPERLINK(Tableau1[[#This Row],[Lien document]],"X"))</f>
        <v/>
      </c>
      <c r="V428" s="47"/>
      <c r="W42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28" s="47"/>
      <c r="Y428" s="47"/>
      <c r="Z428" s="44" t="str">
        <f ca="1">IF(AND(Tableau1[[#This Row],[Charge]]&lt;&gt;0, Tableau1[[#This Row],[Nombre intervenants]]&lt;&gt;0,Tableau1[[#This Row],[Lien document]]&lt;&gt;0,Tableau1[[#This Row],[DMS_SAP]]&lt;&gt;0)=TRUE,"MIS A JOUR","")</f>
        <v/>
      </c>
      <c r="AA428" s="48"/>
      <c r="AB428" s="65" t="str">
        <f ca="1">IF(Tableau1[[#This Row],[Date rév.]]&lt;&gt;"", DAYS360(Tableau1[[#This Row],[Date rév.]],TODAY()),"")</f>
        <v/>
      </c>
      <c r="AC428" s="50" t="str">
        <f>IFERROR(INDEX(Chemin_accès!$B$11:$C$22,MATCH(Tableau1[[#This Row],[Type]],Chemin_accès!$C$11:$C$22,0),1),Chemin_accès!$B$11)</f>
        <v>\\stjn.local\trimet\Btechnique\Commun\Atelier Central mécanique\Plan entretien\Modèles préventif\GammeDMS_7.MENG.xlsm</v>
      </c>
      <c r="AD428" s="50" t="str">
        <f>Chemin_accès!$B$8&amp;Tableau1[[#This Row],[Localisation / Classement]]&amp;"\"&amp;Tableau1[[#This Row],[Poste technique ou N° d''équipement]]&amp;"_"&amp;Tableau1[[#This Row],[Plan Entretien]]&amp;".xlsm"</f>
        <v>\\stjn.local\trimet\Btechnique\Commun\Atelier Central mécanique\Plan entretien\GammeEntretien\\_.xlsm</v>
      </c>
    </row>
    <row r="429" spans="1:30" x14ac:dyDescent="0.3">
      <c r="A429" s="44" t="str">
        <f t="shared" ca="1" si="6"/>
        <v>7.MENG</v>
      </c>
      <c r="B42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29" s="46"/>
      <c r="D429" s="44"/>
      <c r="E429" s="44"/>
      <c r="F429" s="47"/>
      <c r="G429" s="47"/>
      <c r="H429" s="45"/>
      <c r="I429" s="45"/>
      <c r="J429" s="45"/>
      <c r="K429" s="45"/>
      <c r="L429" s="46"/>
      <c r="M429" s="47"/>
      <c r="N429" s="46"/>
      <c r="O429" s="46"/>
      <c r="P429" s="47"/>
      <c r="Q429" s="46"/>
      <c r="R429" s="46"/>
      <c r="S429" s="48"/>
      <c r="T429" s="68" t="str">
        <f>IF(Tableau1[[#This Row],[DMS_SAP]]="","",HYPERLINK(Tableau1[[#This Row],[Chemin fichier source]],"X"))</f>
        <v/>
      </c>
      <c r="U429" s="68" t="str">
        <f>IF(Tableau1[[#This Row],[Date rév.]]="","",HYPERLINK(Tableau1[[#This Row],[Lien document]],"X"))</f>
        <v/>
      </c>
      <c r="V429" s="47"/>
      <c r="W42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29" s="47"/>
      <c r="Y429" s="47"/>
      <c r="Z429" s="44" t="str">
        <f ca="1">IF(AND(Tableau1[[#This Row],[Charge]]&lt;&gt;0, Tableau1[[#This Row],[Nombre intervenants]]&lt;&gt;0,Tableau1[[#This Row],[Lien document]]&lt;&gt;0,Tableau1[[#This Row],[DMS_SAP]]&lt;&gt;0)=TRUE,"MIS A JOUR","")</f>
        <v/>
      </c>
      <c r="AA429" s="48"/>
      <c r="AB429" s="65" t="str">
        <f ca="1">IF(Tableau1[[#This Row],[Date rév.]]&lt;&gt;"", DAYS360(Tableau1[[#This Row],[Date rév.]],TODAY()),"")</f>
        <v/>
      </c>
      <c r="AC429" s="50" t="str">
        <f>IFERROR(INDEX(Chemin_accès!$B$11:$C$22,MATCH(Tableau1[[#This Row],[Type]],Chemin_accès!$C$11:$C$22,0),1),Chemin_accès!$B$11)</f>
        <v>\\stjn.local\trimet\Btechnique\Commun\Atelier Central mécanique\Plan entretien\Modèles préventif\GammeDMS_7.MENG.xlsm</v>
      </c>
      <c r="AD429" s="50" t="str">
        <f>Chemin_accès!$B$8&amp;Tableau1[[#This Row],[Localisation / Classement]]&amp;"\"&amp;Tableau1[[#This Row],[Poste technique ou N° d''équipement]]&amp;"_"&amp;Tableau1[[#This Row],[Plan Entretien]]&amp;".xlsm"</f>
        <v>\\stjn.local\trimet\Btechnique\Commun\Atelier Central mécanique\Plan entretien\GammeEntretien\\_.xlsm</v>
      </c>
    </row>
    <row r="430" spans="1:30" x14ac:dyDescent="0.3">
      <c r="A430" s="44" t="str">
        <f t="shared" ca="1" si="6"/>
        <v>7.MENG</v>
      </c>
      <c r="B43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30" s="46"/>
      <c r="D430" s="44"/>
      <c r="E430" s="44"/>
      <c r="F430" s="47"/>
      <c r="G430" s="47"/>
      <c r="H430" s="45"/>
      <c r="I430" s="45"/>
      <c r="J430" s="45"/>
      <c r="K430" s="45"/>
      <c r="L430" s="46"/>
      <c r="M430" s="47"/>
      <c r="N430" s="46"/>
      <c r="O430" s="46"/>
      <c r="P430" s="47"/>
      <c r="Q430" s="46"/>
      <c r="R430" s="46"/>
      <c r="S430" s="48"/>
      <c r="T430" s="68" t="str">
        <f>IF(Tableau1[[#This Row],[DMS_SAP]]="","",HYPERLINK(Tableau1[[#This Row],[Chemin fichier source]],"X"))</f>
        <v/>
      </c>
      <c r="U430" s="68" t="str">
        <f>IF(Tableau1[[#This Row],[Date rév.]]="","",HYPERLINK(Tableau1[[#This Row],[Lien document]],"X"))</f>
        <v/>
      </c>
      <c r="V430" s="47"/>
      <c r="W43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30" s="47"/>
      <c r="Y430" s="47"/>
      <c r="Z430" s="44" t="str">
        <f ca="1">IF(AND(Tableau1[[#This Row],[Charge]]&lt;&gt;0, Tableau1[[#This Row],[Nombre intervenants]]&lt;&gt;0,Tableau1[[#This Row],[Lien document]]&lt;&gt;0,Tableau1[[#This Row],[DMS_SAP]]&lt;&gt;0)=TRUE,"MIS A JOUR","")</f>
        <v/>
      </c>
      <c r="AA430" s="48"/>
      <c r="AB430" s="65" t="str">
        <f ca="1">IF(Tableau1[[#This Row],[Date rév.]]&lt;&gt;"", DAYS360(Tableau1[[#This Row],[Date rév.]],TODAY()),"")</f>
        <v/>
      </c>
      <c r="AC430" s="50" t="str">
        <f>IFERROR(INDEX(Chemin_accès!$B$11:$C$22,MATCH(Tableau1[[#This Row],[Type]],Chemin_accès!$C$11:$C$22,0),1),Chemin_accès!$B$11)</f>
        <v>\\stjn.local\trimet\Btechnique\Commun\Atelier Central mécanique\Plan entretien\Modèles préventif\GammeDMS_7.MENG.xlsm</v>
      </c>
      <c r="AD430" s="50" t="str">
        <f>Chemin_accès!$B$8&amp;Tableau1[[#This Row],[Localisation / Classement]]&amp;"\"&amp;Tableau1[[#This Row],[Poste technique ou N° d''équipement]]&amp;"_"&amp;Tableau1[[#This Row],[Plan Entretien]]&amp;".xlsm"</f>
        <v>\\stjn.local\trimet\Btechnique\Commun\Atelier Central mécanique\Plan entretien\GammeEntretien\\_.xlsm</v>
      </c>
    </row>
    <row r="431" spans="1:30" x14ac:dyDescent="0.3">
      <c r="A431" s="44" t="str">
        <f t="shared" ca="1" si="6"/>
        <v>7.MENG</v>
      </c>
      <c r="B43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31" s="46"/>
      <c r="D431" s="44"/>
      <c r="E431" s="44"/>
      <c r="F431" s="47"/>
      <c r="G431" s="47"/>
      <c r="H431" s="45"/>
      <c r="I431" s="45"/>
      <c r="J431" s="45"/>
      <c r="K431" s="45"/>
      <c r="L431" s="46"/>
      <c r="M431" s="47"/>
      <c r="N431" s="46"/>
      <c r="O431" s="46"/>
      <c r="P431" s="47"/>
      <c r="Q431" s="46"/>
      <c r="R431" s="46"/>
      <c r="S431" s="48"/>
      <c r="T431" s="68" t="str">
        <f>IF(Tableau1[[#This Row],[DMS_SAP]]="","",HYPERLINK(Tableau1[[#This Row],[Chemin fichier source]],"X"))</f>
        <v/>
      </c>
      <c r="U431" s="68" t="str">
        <f>IF(Tableau1[[#This Row],[Date rév.]]="","",HYPERLINK(Tableau1[[#This Row],[Lien document]],"X"))</f>
        <v/>
      </c>
      <c r="V431" s="47"/>
      <c r="W43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31" s="47"/>
      <c r="Y431" s="47"/>
      <c r="Z431" s="44" t="str">
        <f ca="1">IF(AND(Tableau1[[#This Row],[Charge]]&lt;&gt;0, Tableau1[[#This Row],[Nombre intervenants]]&lt;&gt;0,Tableau1[[#This Row],[Lien document]]&lt;&gt;0,Tableau1[[#This Row],[DMS_SAP]]&lt;&gt;0)=TRUE,"MIS A JOUR","")</f>
        <v/>
      </c>
      <c r="AA431" s="48"/>
      <c r="AB431" s="65" t="str">
        <f ca="1">IF(Tableau1[[#This Row],[Date rév.]]&lt;&gt;"", DAYS360(Tableau1[[#This Row],[Date rév.]],TODAY()),"")</f>
        <v/>
      </c>
      <c r="AC431" s="50" t="str">
        <f>IFERROR(INDEX(Chemin_accès!$B$11:$C$22,MATCH(Tableau1[[#This Row],[Type]],Chemin_accès!$C$11:$C$22,0),1),Chemin_accès!$B$11)</f>
        <v>\\stjn.local\trimet\Btechnique\Commun\Atelier Central mécanique\Plan entretien\Modèles préventif\GammeDMS_7.MENG.xlsm</v>
      </c>
      <c r="AD431" s="50" t="str">
        <f>Chemin_accès!$B$8&amp;Tableau1[[#This Row],[Localisation / Classement]]&amp;"\"&amp;Tableau1[[#This Row],[Poste technique ou N° d''équipement]]&amp;"_"&amp;Tableau1[[#This Row],[Plan Entretien]]&amp;".xlsm"</f>
        <v>\\stjn.local\trimet\Btechnique\Commun\Atelier Central mécanique\Plan entretien\GammeEntretien\\_.xlsm</v>
      </c>
    </row>
    <row r="432" spans="1:30" x14ac:dyDescent="0.3">
      <c r="A432" s="44" t="str">
        <f t="shared" ca="1" si="6"/>
        <v>7.MENG</v>
      </c>
      <c r="B43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32" s="46"/>
      <c r="D432" s="44"/>
      <c r="E432" s="44"/>
      <c r="F432" s="47"/>
      <c r="G432" s="47"/>
      <c r="H432" s="45"/>
      <c r="I432" s="45"/>
      <c r="J432" s="45"/>
      <c r="K432" s="45"/>
      <c r="L432" s="46"/>
      <c r="M432" s="47"/>
      <c r="N432" s="46"/>
      <c r="O432" s="46"/>
      <c r="P432" s="47"/>
      <c r="Q432" s="46"/>
      <c r="R432" s="46"/>
      <c r="S432" s="48"/>
      <c r="T432" s="68" t="str">
        <f>IF(Tableau1[[#This Row],[DMS_SAP]]="","",HYPERLINK(Tableau1[[#This Row],[Chemin fichier source]],"X"))</f>
        <v/>
      </c>
      <c r="U432" s="68" t="str">
        <f>IF(Tableau1[[#This Row],[Date rév.]]="","",HYPERLINK(Tableau1[[#This Row],[Lien document]],"X"))</f>
        <v/>
      </c>
      <c r="V432" s="47"/>
      <c r="W43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32" s="47"/>
      <c r="Y432" s="47"/>
      <c r="Z432" s="44" t="str">
        <f ca="1">IF(AND(Tableau1[[#This Row],[Charge]]&lt;&gt;0, Tableau1[[#This Row],[Nombre intervenants]]&lt;&gt;0,Tableau1[[#This Row],[Lien document]]&lt;&gt;0,Tableau1[[#This Row],[DMS_SAP]]&lt;&gt;0)=TRUE,"MIS A JOUR","")</f>
        <v/>
      </c>
      <c r="AA432" s="48"/>
      <c r="AB432" s="65" t="str">
        <f ca="1">IF(Tableau1[[#This Row],[Date rév.]]&lt;&gt;"", DAYS360(Tableau1[[#This Row],[Date rév.]],TODAY()),"")</f>
        <v/>
      </c>
      <c r="AC432" s="50" t="str">
        <f>IFERROR(INDEX(Chemin_accès!$B$11:$C$22,MATCH(Tableau1[[#This Row],[Type]],Chemin_accès!$C$11:$C$22,0),1),Chemin_accès!$B$11)</f>
        <v>\\stjn.local\trimet\Btechnique\Commun\Atelier Central mécanique\Plan entretien\Modèles préventif\GammeDMS_7.MENG.xlsm</v>
      </c>
      <c r="AD432" s="50" t="str">
        <f>Chemin_accès!$B$8&amp;Tableau1[[#This Row],[Localisation / Classement]]&amp;"\"&amp;Tableau1[[#This Row],[Poste technique ou N° d''équipement]]&amp;"_"&amp;Tableau1[[#This Row],[Plan Entretien]]&amp;".xlsm"</f>
        <v>\\stjn.local\trimet\Btechnique\Commun\Atelier Central mécanique\Plan entretien\GammeEntretien\\_.xlsm</v>
      </c>
    </row>
    <row r="433" spans="1:30" x14ac:dyDescent="0.3">
      <c r="A433" s="44" t="str">
        <f t="shared" ca="1" si="6"/>
        <v>7.MENG</v>
      </c>
      <c r="B43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33" s="46"/>
      <c r="D433" s="44"/>
      <c r="E433" s="44"/>
      <c r="F433" s="47"/>
      <c r="G433" s="47"/>
      <c r="H433" s="45"/>
      <c r="I433" s="45"/>
      <c r="J433" s="45"/>
      <c r="K433" s="45"/>
      <c r="L433" s="46"/>
      <c r="M433" s="47"/>
      <c r="N433" s="46"/>
      <c r="O433" s="46"/>
      <c r="P433" s="47"/>
      <c r="Q433" s="46"/>
      <c r="R433" s="46"/>
      <c r="S433" s="48"/>
      <c r="T433" s="68" t="str">
        <f>IF(Tableau1[[#This Row],[DMS_SAP]]="","",HYPERLINK(Tableau1[[#This Row],[Chemin fichier source]],"X"))</f>
        <v/>
      </c>
      <c r="U433" s="68" t="str">
        <f>IF(Tableau1[[#This Row],[Date rév.]]="","",HYPERLINK(Tableau1[[#This Row],[Lien document]],"X"))</f>
        <v/>
      </c>
      <c r="V433" s="47"/>
      <c r="W43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33" s="47"/>
      <c r="Y433" s="47"/>
      <c r="Z433" s="44" t="str">
        <f ca="1">IF(AND(Tableau1[[#This Row],[Charge]]&lt;&gt;0, Tableau1[[#This Row],[Nombre intervenants]]&lt;&gt;0,Tableau1[[#This Row],[Lien document]]&lt;&gt;0,Tableau1[[#This Row],[DMS_SAP]]&lt;&gt;0)=TRUE,"MIS A JOUR","")</f>
        <v/>
      </c>
      <c r="AA433" s="48"/>
      <c r="AB433" s="65" t="str">
        <f ca="1">IF(Tableau1[[#This Row],[Date rév.]]&lt;&gt;"", DAYS360(Tableau1[[#This Row],[Date rév.]],TODAY()),"")</f>
        <v/>
      </c>
      <c r="AC433" s="50" t="str">
        <f>IFERROR(INDEX(Chemin_accès!$B$11:$C$22,MATCH(Tableau1[[#This Row],[Type]],Chemin_accès!$C$11:$C$22,0),1),Chemin_accès!$B$11)</f>
        <v>\\stjn.local\trimet\Btechnique\Commun\Atelier Central mécanique\Plan entretien\Modèles préventif\GammeDMS_7.MENG.xlsm</v>
      </c>
      <c r="AD433" s="50" t="str">
        <f>Chemin_accès!$B$8&amp;Tableau1[[#This Row],[Localisation / Classement]]&amp;"\"&amp;Tableau1[[#This Row],[Poste technique ou N° d''équipement]]&amp;"_"&amp;Tableau1[[#This Row],[Plan Entretien]]&amp;".xlsm"</f>
        <v>\\stjn.local\trimet\Btechnique\Commun\Atelier Central mécanique\Plan entretien\GammeEntretien\\_.xlsm</v>
      </c>
    </row>
    <row r="434" spans="1:30" x14ac:dyDescent="0.3">
      <c r="A434" s="44" t="str">
        <f t="shared" ca="1" si="6"/>
        <v>7.MENG</v>
      </c>
      <c r="B43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34" s="46"/>
      <c r="D434" s="44"/>
      <c r="E434" s="44"/>
      <c r="F434" s="47"/>
      <c r="G434" s="47"/>
      <c r="H434" s="45"/>
      <c r="I434" s="45"/>
      <c r="J434" s="45"/>
      <c r="K434" s="45"/>
      <c r="L434" s="46"/>
      <c r="M434" s="47"/>
      <c r="N434" s="46"/>
      <c r="O434" s="46"/>
      <c r="P434" s="47"/>
      <c r="Q434" s="46"/>
      <c r="R434" s="46"/>
      <c r="S434" s="48"/>
      <c r="T434" s="68" t="str">
        <f>IF(Tableau1[[#This Row],[DMS_SAP]]="","",HYPERLINK(Tableau1[[#This Row],[Chemin fichier source]],"X"))</f>
        <v/>
      </c>
      <c r="U434" s="68" t="str">
        <f>IF(Tableau1[[#This Row],[Date rév.]]="","",HYPERLINK(Tableau1[[#This Row],[Lien document]],"X"))</f>
        <v/>
      </c>
      <c r="V434" s="47"/>
      <c r="W43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34" s="47"/>
      <c r="Y434" s="47"/>
      <c r="Z434" s="44" t="str">
        <f ca="1">IF(AND(Tableau1[[#This Row],[Charge]]&lt;&gt;0, Tableau1[[#This Row],[Nombre intervenants]]&lt;&gt;0,Tableau1[[#This Row],[Lien document]]&lt;&gt;0,Tableau1[[#This Row],[DMS_SAP]]&lt;&gt;0)=TRUE,"MIS A JOUR","")</f>
        <v/>
      </c>
      <c r="AA434" s="48"/>
      <c r="AB434" s="65" t="str">
        <f ca="1">IF(Tableau1[[#This Row],[Date rév.]]&lt;&gt;"", DAYS360(Tableau1[[#This Row],[Date rév.]],TODAY()),"")</f>
        <v/>
      </c>
      <c r="AC434" s="50" t="str">
        <f>IFERROR(INDEX(Chemin_accès!$B$11:$C$22,MATCH(Tableau1[[#This Row],[Type]],Chemin_accès!$C$11:$C$22,0),1),Chemin_accès!$B$11)</f>
        <v>\\stjn.local\trimet\Btechnique\Commun\Atelier Central mécanique\Plan entretien\Modèles préventif\GammeDMS_7.MENG.xlsm</v>
      </c>
      <c r="AD434" s="50" t="str">
        <f>Chemin_accès!$B$8&amp;Tableau1[[#This Row],[Localisation / Classement]]&amp;"\"&amp;Tableau1[[#This Row],[Poste technique ou N° d''équipement]]&amp;"_"&amp;Tableau1[[#This Row],[Plan Entretien]]&amp;".xlsm"</f>
        <v>\\stjn.local\trimet\Btechnique\Commun\Atelier Central mécanique\Plan entretien\GammeEntretien\\_.xlsm</v>
      </c>
    </row>
    <row r="435" spans="1:30" x14ac:dyDescent="0.3">
      <c r="A435" s="44" t="str">
        <f t="shared" ca="1" si="6"/>
        <v>7.MENG</v>
      </c>
      <c r="B43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35" s="46"/>
      <c r="D435" s="44"/>
      <c r="E435" s="44"/>
      <c r="F435" s="47"/>
      <c r="G435" s="47"/>
      <c r="H435" s="45"/>
      <c r="I435" s="45"/>
      <c r="J435" s="45"/>
      <c r="K435" s="45"/>
      <c r="L435" s="46"/>
      <c r="M435" s="47"/>
      <c r="N435" s="46"/>
      <c r="O435" s="46"/>
      <c r="P435" s="47"/>
      <c r="Q435" s="46"/>
      <c r="R435" s="46"/>
      <c r="S435" s="48"/>
      <c r="T435" s="68" t="str">
        <f>IF(Tableau1[[#This Row],[DMS_SAP]]="","",HYPERLINK(Tableau1[[#This Row],[Chemin fichier source]],"X"))</f>
        <v/>
      </c>
      <c r="U435" s="68" t="str">
        <f>IF(Tableau1[[#This Row],[Date rév.]]="","",HYPERLINK(Tableau1[[#This Row],[Lien document]],"X"))</f>
        <v/>
      </c>
      <c r="V435" s="47"/>
      <c r="W43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35" s="47"/>
      <c r="Y435" s="47"/>
      <c r="Z435" s="44" t="str">
        <f ca="1">IF(AND(Tableau1[[#This Row],[Charge]]&lt;&gt;0, Tableau1[[#This Row],[Nombre intervenants]]&lt;&gt;0,Tableau1[[#This Row],[Lien document]]&lt;&gt;0,Tableau1[[#This Row],[DMS_SAP]]&lt;&gt;0)=TRUE,"MIS A JOUR","")</f>
        <v/>
      </c>
      <c r="AA435" s="48"/>
      <c r="AB435" s="65" t="str">
        <f ca="1">IF(Tableau1[[#This Row],[Date rév.]]&lt;&gt;"", DAYS360(Tableau1[[#This Row],[Date rév.]],TODAY()),"")</f>
        <v/>
      </c>
      <c r="AC435" s="50" t="str">
        <f>IFERROR(INDEX(Chemin_accès!$B$11:$C$22,MATCH(Tableau1[[#This Row],[Type]],Chemin_accès!$C$11:$C$22,0),1),Chemin_accès!$B$11)</f>
        <v>\\stjn.local\trimet\Btechnique\Commun\Atelier Central mécanique\Plan entretien\Modèles préventif\GammeDMS_7.MENG.xlsm</v>
      </c>
      <c r="AD435" s="50" t="str">
        <f>Chemin_accès!$B$8&amp;Tableau1[[#This Row],[Localisation / Classement]]&amp;"\"&amp;Tableau1[[#This Row],[Poste technique ou N° d''équipement]]&amp;"_"&amp;Tableau1[[#This Row],[Plan Entretien]]&amp;".xlsm"</f>
        <v>\\stjn.local\trimet\Btechnique\Commun\Atelier Central mécanique\Plan entretien\GammeEntretien\\_.xlsm</v>
      </c>
    </row>
    <row r="436" spans="1:30" x14ac:dyDescent="0.3">
      <c r="A436" s="44" t="str">
        <f t="shared" ca="1" si="6"/>
        <v>7.MENG</v>
      </c>
      <c r="B43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36" s="46"/>
      <c r="D436" s="44"/>
      <c r="E436" s="44"/>
      <c r="F436" s="47"/>
      <c r="G436" s="47"/>
      <c r="H436" s="45"/>
      <c r="I436" s="45"/>
      <c r="J436" s="45"/>
      <c r="K436" s="45"/>
      <c r="L436" s="46"/>
      <c r="M436" s="47"/>
      <c r="N436" s="46"/>
      <c r="O436" s="46"/>
      <c r="P436" s="47"/>
      <c r="Q436" s="46"/>
      <c r="R436" s="46"/>
      <c r="S436" s="48"/>
      <c r="T436" s="68" t="str">
        <f>IF(Tableau1[[#This Row],[DMS_SAP]]="","",HYPERLINK(Tableau1[[#This Row],[Chemin fichier source]],"X"))</f>
        <v/>
      </c>
      <c r="U436" s="68" t="str">
        <f>IF(Tableau1[[#This Row],[Date rév.]]="","",HYPERLINK(Tableau1[[#This Row],[Lien document]],"X"))</f>
        <v/>
      </c>
      <c r="V436" s="47"/>
      <c r="W43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36" s="47"/>
      <c r="Y436" s="47"/>
      <c r="Z436" s="44" t="str">
        <f ca="1">IF(AND(Tableau1[[#This Row],[Charge]]&lt;&gt;0, Tableau1[[#This Row],[Nombre intervenants]]&lt;&gt;0,Tableau1[[#This Row],[Lien document]]&lt;&gt;0,Tableau1[[#This Row],[DMS_SAP]]&lt;&gt;0)=TRUE,"MIS A JOUR","")</f>
        <v/>
      </c>
      <c r="AA436" s="48"/>
      <c r="AB436" s="65" t="str">
        <f ca="1">IF(Tableau1[[#This Row],[Date rév.]]&lt;&gt;"", DAYS360(Tableau1[[#This Row],[Date rév.]],TODAY()),"")</f>
        <v/>
      </c>
      <c r="AC436" s="50" t="str">
        <f>IFERROR(INDEX(Chemin_accès!$B$11:$C$22,MATCH(Tableau1[[#This Row],[Type]],Chemin_accès!$C$11:$C$22,0),1),Chemin_accès!$B$11)</f>
        <v>\\stjn.local\trimet\Btechnique\Commun\Atelier Central mécanique\Plan entretien\Modèles préventif\GammeDMS_7.MENG.xlsm</v>
      </c>
      <c r="AD436" s="50" t="str">
        <f>Chemin_accès!$B$8&amp;Tableau1[[#This Row],[Localisation / Classement]]&amp;"\"&amp;Tableau1[[#This Row],[Poste technique ou N° d''équipement]]&amp;"_"&amp;Tableau1[[#This Row],[Plan Entretien]]&amp;".xlsm"</f>
        <v>\\stjn.local\trimet\Btechnique\Commun\Atelier Central mécanique\Plan entretien\GammeEntretien\\_.xlsm</v>
      </c>
    </row>
    <row r="437" spans="1:30" x14ac:dyDescent="0.3">
      <c r="A437" s="44" t="str">
        <f t="shared" ca="1" si="6"/>
        <v>7.MENG</v>
      </c>
      <c r="B43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37" s="46"/>
      <c r="D437" s="44"/>
      <c r="E437" s="44"/>
      <c r="F437" s="47"/>
      <c r="G437" s="47"/>
      <c r="H437" s="45"/>
      <c r="I437" s="45"/>
      <c r="J437" s="45"/>
      <c r="K437" s="45"/>
      <c r="L437" s="46"/>
      <c r="M437" s="47"/>
      <c r="N437" s="46"/>
      <c r="O437" s="46"/>
      <c r="P437" s="47"/>
      <c r="Q437" s="46"/>
      <c r="R437" s="46"/>
      <c r="S437" s="48"/>
      <c r="T437" s="68" t="str">
        <f>IF(Tableau1[[#This Row],[DMS_SAP]]="","",HYPERLINK(Tableau1[[#This Row],[Chemin fichier source]],"X"))</f>
        <v/>
      </c>
      <c r="U437" s="68" t="str">
        <f>IF(Tableau1[[#This Row],[Date rév.]]="","",HYPERLINK(Tableau1[[#This Row],[Lien document]],"X"))</f>
        <v/>
      </c>
      <c r="V437" s="47"/>
      <c r="W43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37" s="47"/>
      <c r="Y437" s="47"/>
      <c r="Z437" s="44" t="str">
        <f ca="1">IF(AND(Tableau1[[#This Row],[Charge]]&lt;&gt;0, Tableau1[[#This Row],[Nombre intervenants]]&lt;&gt;0,Tableau1[[#This Row],[Lien document]]&lt;&gt;0,Tableau1[[#This Row],[DMS_SAP]]&lt;&gt;0)=TRUE,"MIS A JOUR","")</f>
        <v/>
      </c>
      <c r="AA437" s="48"/>
      <c r="AB437" s="65" t="str">
        <f ca="1">IF(Tableau1[[#This Row],[Date rév.]]&lt;&gt;"", DAYS360(Tableau1[[#This Row],[Date rév.]],TODAY()),"")</f>
        <v/>
      </c>
      <c r="AC437" s="50" t="str">
        <f>IFERROR(INDEX(Chemin_accès!$B$11:$C$22,MATCH(Tableau1[[#This Row],[Type]],Chemin_accès!$C$11:$C$22,0),1),Chemin_accès!$B$11)</f>
        <v>\\stjn.local\trimet\Btechnique\Commun\Atelier Central mécanique\Plan entretien\Modèles préventif\GammeDMS_7.MENG.xlsm</v>
      </c>
      <c r="AD437" s="50" t="str">
        <f>Chemin_accès!$B$8&amp;Tableau1[[#This Row],[Localisation / Classement]]&amp;"\"&amp;Tableau1[[#This Row],[Poste technique ou N° d''équipement]]&amp;"_"&amp;Tableau1[[#This Row],[Plan Entretien]]&amp;".xlsm"</f>
        <v>\\stjn.local\trimet\Btechnique\Commun\Atelier Central mécanique\Plan entretien\GammeEntretien\\_.xlsm</v>
      </c>
    </row>
    <row r="438" spans="1:30" x14ac:dyDescent="0.3">
      <c r="A438" s="44" t="str">
        <f t="shared" ca="1" si="6"/>
        <v>7.MENG</v>
      </c>
      <c r="B43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38" s="46"/>
      <c r="D438" s="44"/>
      <c r="E438" s="44"/>
      <c r="F438" s="47"/>
      <c r="G438" s="47"/>
      <c r="H438" s="45"/>
      <c r="I438" s="45"/>
      <c r="J438" s="45"/>
      <c r="K438" s="45"/>
      <c r="L438" s="46"/>
      <c r="M438" s="47"/>
      <c r="N438" s="46"/>
      <c r="O438" s="46"/>
      <c r="P438" s="47"/>
      <c r="Q438" s="46"/>
      <c r="R438" s="46"/>
      <c r="S438" s="48"/>
      <c r="T438" s="68" t="str">
        <f>IF(Tableau1[[#This Row],[DMS_SAP]]="","",HYPERLINK(Tableau1[[#This Row],[Chemin fichier source]],"X"))</f>
        <v/>
      </c>
      <c r="U438" s="68" t="str">
        <f>IF(Tableau1[[#This Row],[Date rév.]]="","",HYPERLINK(Tableau1[[#This Row],[Lien document]],"X"))</f>
        <v/>
      </c>
      <c r="V438" s="47"/>
      <c r="W43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38" s="47"/>
      <c r="Y438" s="47"/>
      <c r="Z438" s="44" t="str">
        <f ca="1">IF(AND(Tableau1[[#This Row],[Charge]]&lt;&gt;0, Tableau1[[#This Row],[Nombre intervenants]]&lt;&gt;0,Tableau1[[#This Row],[Lien document]]&lt;&gt;0,Tableau1[[#This Row],[DMS_SAP]]&lt;&gt;0)=TRUE,"MIS A JOUR","")</f>
        <v/>
      </c>
      <c r="AA438" s="48"/>
      <c r="AB438" s="65" t="str">
        <f ca="1">IF(Tableau1[[#This Row],[Date rév.]]&lt;&gt;"", DAYS360(Tableau1[[#This Row],[Date rév.]],TODAY()),"")</f>
        <v/>
      </c>
      <c r="AC438" s="50" t="str">
        <f>IFERROR(INDEX(Chemin_accès!$B$11:$C$22,MATCH(Tableau1[[#This Row],[Type]],Chemin_accès!$C$11:$C$22,0),1),Chemin_accès!$B$11)</f>
        <v>\\stjn.local\trimet\Btechnique\Commun\Atelier Central mécanique\Plan entretien\Modèles préventif\GammeDMS_7.MENG.xlsm</v>
      </c>
      <c r="AD438" s="50" t="str">
        <f>Chemin_accès!$B$8&amp;Tableau1[[#This Row],[Localisation / Classement]]&amp;"\"&amp;Tableau1[[#This Row],[Poste technique ou N° d''équipement]]&amp;"_"&amp;Tableau1[[#This Row],[Plan Entretien]]&amp;".xlsm"</f>
        <v>\\stjn.local\trimet\Btechnique\Commun\Atelier Central mécanique\Plan entretien\GammeEntretien\\_.xlsm</v>
      </c>
    </row>
    <row r="439" spans="1:30" x14ac:dyDescent="0.3">
      <c r="A439" s="44" t="str">
        <f t="shared" ca="1" si="6"/>
        <v>7.MENG</v>
      </c>
      <c r="B43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39" s="46"/>
      <c r="D439" s="44"/>
      <c r="E439" s="44"/>
      <c r="F439" s="47"/>
      <c r="G439" s="47"/>
      <c r="H439" s="45"/>
      <c r="I439" s="45"/>
      <c r="J439" s="45"/>
      <c r="K439" s="45"/>
      <c r="L439" s="46"/>
      <c r="M439" s="47"/>
      <c r="N439" s="46"/>
      <c r="O439" s="46"/>
      <c r="P439" s="47"/>
      <c r="Q439" s="46"/>
      <c r="R439" s="46"/>
      <c r="S439" s="48"/>
      <c r="T439" s="68" t="str">
        <f>IF(Tableau1[[#This Row],[DMS_SAP]]="","",HYPERLINK(Tableau1[[#This Row],[Chemin fichier source]],"X"))</f>
        <v/>
      </c>
      <c r="U439" s="68" t="str">
        <f>IF(Tableau1[[#This Row],[Date rév.]]="","",HYPERLINK(Tableau1[[#This Row],[Lien document]],"X"))</f>
        <v/>
      </c>
      <c r="V439" s="47"/>
      <c r="W43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39" s="47"/>
      <c r="Y439" s="47"/>
      <c r="Z439" s="44" t="str">
        <f ca="1">IF(AND(Tableau1[[#This Row],[Charge]]&lt;&gt;0, Tableau1[[#This Row],[Nombre intervenants]]&lt;&gt;0,Tableau1[[#This Row],[Lien document]]&lt;&gt;0,Tableau1[[#This Row],[DMS_SAP]]&lt;&gt;0)=TRUE,"MIS A JOUR","")</f>
        <v/>
      </c>
      <c r="AA439" s="48"/>
      <c r="AB439" s="65" t="str">
        <f ca="1">IF(Tableau1[[#This Row],[Date rév.]]&lt;&gt;"", DAYS360(Tableau1[[#This Row],[Date rév.]],TODAY()),"")</f>
        <v/>
      </c>
      <c r="AC439" s="50" t="str">
        <f>IFERROR(INDEX(Chemin_accès!$B$11:$C$22,MATCH(Tableau1[[#This Row],[Type]],Chemin_accès!$C$11:$C$22,0),1),Chemin_accès!$B$11)</f>
        <v>\\stjn.local\trimet\Btechnique\Commun\Atelier Central mécanique\Plan entretien\Modèles préventif\GammeDMS_7.MENG.xlsm</v>
      </c>
      <c r="AD439" s="50" t="str">
        <f>Chemin_accès!$B$8&amp;Tableau1[[#This Row],[Localisation / Classement]]&amp;"\"&amp;Tableau1[[#This Row],[Poste technique ou N° d''équipement]]&amp;"_"&amp;Tableau1[[#This Row],[Plan Entretien]]&amp;".xlsm"</f>
        <v>\\stjn.local\trimet\Btechnique\Commun\Atelier Central mécanique\Plan entretien\GammeEntretien\\_.xlsm</v>
      </c>
    </row>
    <row r="440" spans="1:30" x14ac:dyDescent="0.3">
      <c r="A440" s="44" t="str">
        <f t="shared" ca="1" si="6"/>
        <v>7.MENG</v>
      </c>
      <c r="B44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40" s="46"/>
      <c r="D440" s="44"/>
      <c r="E440" s="44"/>
      <c r="F440" s="47"/>
      <c r="G440" s="47"/>
      <c r="H440" s="45"/>
      <c r="I440" s="45"/>
      <c r="J440" s="45"/>
      <c r="K440" s="45"/>
      <c r="L440" s="46"/>
      <c r="M440" s="47"/>
      <c r="N440" s="46"/>
      <c r="O440" s="46"/>
      <c r="P440" s="47"/>
      <c r="Q440" s="46"/>
      <c r="R440" s="46"/>
      <c r="S440" s="48"/>
      <c r="T440" s="68" t="str">
        <f>IF(Tableau1[[#This Row],[DMS_SAP]]="","",HYPERLINK(Tableau1[[#This Row],[Chemin fichier source]],"X"))</f>
        <v/>
      </c>
      <c r="U440" s="68" t="str">
        <f>IF(Tableau1[[#This Row],[Date rév.]]="","",HYPERLINK(Tableau1[[#This Row],[Lien document]],"X"))</f>
        <v/>
      </c>
      <c r="V440" s="47"/>
      <c r="W44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40" s="47"/>
      <c r="Y440" s="47"/>
      <c r="Z440" s="44" t="str">
        <f ca="1">IF(AND(Tableau1[[#This Row],[Charge]]&lt;&gt;0, Tableau1[[#This Row],[Nombre intervenants]]&lt;&gt;0,Tableau1[[#This Row],[Lien document]]&lt;&gt;0,Tableau1[[#This Row],[DMS_SAP]]&lt;&gt;0)=TRUE,"MIS A JOUR","")</f>
        <v/>
      </c>
      <c r="AA440" s="48"/>
      <c r="AB440" s="65" t="str">
        <f ca="1">IF(Tableau1[[#This Row],[Date rév.]]&lt;&gt;"", DAYS360(Tableau1[[#This Row],[Date rév.]],TODAY()),"")</f>
        <v/>
      </c>
      <c r="AC440" s="50" t="str">
        <f>IFERROR(INDEX(Chemin_accès!$B$11:$C$22,MATCH(Tableau1[[#This Row],[Type]],Chemin_accès!$C$11:$C$22,0),1),Chemin_accès!$B$11)</f>
        <v>\\stjn.local\trimet\Btechnique\Commun\Atelier Central mécanique\Plan entretien\Modèles préventif\GammeDMS_7.MENG.xlsm</v>
      </c>
      <c r="AD440" s="50" t="str">
        <f>Chemin_accès!$B$8&amp;Tableau1[[#This Row],[Localisation / Classement]]&amp;"\"&amp;Tableau1[[#This Row],[Poste technique ou N° d''équipement]]&amp;"_"&amp;Tableau1[[#This Row],[Plan Entretien]]&amp;".xlsm"</f>
        <v>\\stjn.local\trimet\Btechnique\Commun\Atelier Central mécanique\Plan entretien\GammeEntretien\\_.xlsm</v>
      </c>
    </row>
    <row r="441" spans="1:30" x14ac:dyDescent="0.3">
      <c r="A441" s="44" t="str">
        <f t="shared" ca="1" si="6"/>
        <v>7.MENG</v>
      </c>
      <c r="B44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41" s="46"/>
      <c r="D441" s="44"/>
      <c r="E441" s="44"/>
      <c r="F441" s="47"/>
      <c r="G441" s="47"/>
      <c r="H441" s="45"/>
      <c r="I441" s="45"/>
      <c r="J441" s="45"/>
      <c r="K441" s="45"/>
      <c r="L441" s="46"/>
      <c r="M441" s="47"/>
      <c r="N441" s="46"/>
      <c r="O441" s="46"/>
      <c r="P441" s="47"/>
      <c r="Q441" s="46"/>
      <c r="R441" s="46"/>
      <c r="S441" s="48"/>
      <c r="T441" s="68" t="str">
        <f>IF(Tableau1[[#This Row],[DMS_SAP]]="","",HYPERLINK(Tableau1[[#This Row],[Chemin fichier source]],"X"))</f>
        <v/>
      </c>
      <c r="U441" s="68" t="str">
        <f>IF(Tableau1[[#This Row],[Date rév.]]="","",HYPERLINK(Tableau1[[#This Row],[Lien document]],"X"))</f>
        <v/>
      </c>
      <c r="V441" s="47"/>
      <c r="W44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41" s="47"/>
      <c r="Y441" s="47"/>
      <c r="Z441" s="44" t="str">
        <f ca="1">IF(AND(Tableau1[[#This Row],[Charge]]&lt;&gt;0, Tableau1[[#This Row],[Nombre intervenants]]&lt;&gt;0,Tableau1[[#This Row],[Lien document]]&lt;&gt;0,Tableau1[[#This Row],[DMS_SAP]]&lt;&gt;0)=TRUE,"MIS A JOUR","")</f>
        <v/>
      </c>
      <c r="AA441" s="48"/>
      <c r="AB441" s="65" t="str">
        <f ca="1">IF(Tableau1[[#This Row],[Date rév.]]&lt;&gt;"", DAYS360(Tableau1[[#This Row],[Date rév.]],TODAY()),"")</f>
        <v/>
      </c>
      <c r="AC441" s="50" t="str">
        <f>IFERROR(INDEX(Chemin_accès!$B$11:$C$22,MATCH(Tableau1[[#This Row],[Type]],Chemin_accès!$C$11:$C$22,0),1),Chemin_accès!$B$11)</f>
        <v>\\stjn.local\trimet\Btechnique\Commun\Atelier Central mécanique\Plan entretien\Modèles préventif\GammeDMS_7.MENG.xlsm</v>
      </c>
      <c r="AD441" s="50" t="str">
        <f>Chemin_accès!$B$8&amp;Tableau1[[#This Row],[Localisation / Classement]]&amp;"\"&amp;Tableau1[[#This Row],[Poste technique ou N° d''équipement]]&amp;"_"&amp;Tableau1[[#This Row],[Plan Entretien]]&amp;".xlsm"</f>
        <v>\\stjn.local\trimet\Btechnique\Commun\Atelier Central mécanique\Plan entretien\GammeEntretien\\_.xlsm</v>
      </c>
    </row>
    <row r="442" spans="1:30" x14ac:dyDescent="0.3">
      <c r="A442" s="44" t="str">
        <f t="shared" ca="1" si="6"/>
        <v>7.MENG</v>
      </c>
      <c r="B44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42" s="46"/>
      <c r="D442" s="44"/>
      <c r="E442" s="44"/>
      <c r="F442" s="47"/>
      <c r="G442" s="47"/>
      <c r="H442" s="45"/>
      <c r="I442" s="45"/>
      <c r="J442" s="45"/>
      <c r="K442" s="45"/>
      <c r="L442" s="46"/>
      <c r="M442" s="47"/>
      <c r="N442" s="46"/>
      <c r="O442" s="46"/>
      <c r="P442" s="47"/>
      <c r="Q442" s="46"/>
      <c r="R442" s="46"/>
      <c r="S442" s="48"/>
      <c r="T442" s="68" t="str">
        <f>IF(Tableau1[[#This Row],[DMS_SAP]]="","",HYPERLINK(Tableau1[[#This Row],[Chemin fichier source]],"X"))</f>
        <v/>
      </c>
      <c r="U442" s="68" t="str">
        <f>IF(Tableau1[[#This Row],[Date rév.]]="","",HYPERLINK(Tableau1[[#This Row],[Lien document]],"X"))</f>
        <v/>
      </c>
      <c r="V442" s="47"/>
      <c r="W44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42" s="47"/>
      <c r="Y442" s="47"/>
      <c r="Z442" s="44" t="str">
        <f ca="1">IF(AND(Tableau1[[#This Row],[Charge]]&lt;&gt;0, Tableau1[[#This Row],[Nombre intervenants]]&lt;&gt;0,Tableau1[[#This Row],[Lien document]]&lt;&gt;0,Tableau1[[#This Row],[DMS_SAP]]&lt;&gt;0)=TRUE,"MIS A JOUR","")</f>
        <v/>
      </c>
      <c r="AA442" s="48"/>
      <c r="AB442" s="65" t="str">
        <f ca="1">IF(Tableau1[[#This Row],[Date rév.]]&lt;&gt;"", DAYS360(Tableau1[[#This Row],[Date rév.]],TODAY()),"")</f>
        <v/>
      </c>
      <c r="AC442" s="50" t="str">
        <f>IFERROR(INDEX(Chemin_accès!$B$11:$C$22,MATCH(Tableau1[[#This Row],[Type]],Chemin_accès!$C$11:$C$22,0),1),Chemin_accès!$B$11)</f>
        <v>\\stjn.local\trimet\Btechnique\Commun\Atelier Central mécanique\Plan entretien\Modèles préventif\GammeDMS_7.MENG.xlsm</v>
      </c>
      <c r="AD442" s="50" t="str">
        <f>Chemin_accès!$B$8&amp;Tableau1[[#This Row],[Localisation / Classement]]&amp;"\"&amp;Tableau1[[#This Row],[Poste technique ou N° d''équipement]]&amp;"_"&amp;Tableau1[[#This Row],[Plan Entretien]]&amp;".xlsm"</f>
        <v>\\stjn.local\trimet\Btechnique\Commun\Atelier Central mécanique\Plan entretien\GammeEntretien\\_.xlsm</v>
      </c>
    </row>
    <row r="443" spans="1:30" x14ac:dyDescent="0.3">
      <c r="A443" s="44" t="str">
        <f t="shared" ca="1" si="6"/>
        <v>7.MENG</v>
      </c>
      <c r="B44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43" s="46"/>
      <c r="D443" s="44"/>
      <c r="E443" s="44"/>
      <c r="F443" s="47"/>
      <c r="G443" s="47"/>
      <c r="H443" s="45"/>
      <c r="I443" s="45"/>
      <c r="J443" s="45"/>
      <c r="K443" s="45"/>
      <c r="L443" s="46"/>
      <c r="M443" s="47"/>
      <c r="N443" s="46"/>
      <c r="O443" s="46"/>
      <c r="P443" s="47"/>
      <c r="Q443" s="46"/>
      <c r="R443" s="46"/>
      <c r="S443" s="48"/>
      <c r="T443" s="68" t="str">
        <f>IF(Tableau1[[#This Row],[DMS_SAP]]="","",HYPERLINK(Tableau1[[#This Row],[Chemin fichier source]],"X"))</f>
        <v/>
      </c>
      <c r="U443" s="68" t="str">
        <f>IF(Tableau1[[#This Row],[Date rév.]]="","",HYPERLINK(Tableau1[[#This Row],[Lien document]],"X"))</f>
        <v/>
      </c>
      <c r="V443" s="47"/>
      <c r="W44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43" s="47"/>
      <c r="Y443" s="47"/>
      <c r="Z443" s="44" t="str">
        <f ca="1">IF(AND(Tableau1[[#This Row],[Charge]]&lt;&gt;0, Tableau1[[#This Row],[Nombre intervenants]]&lt;&gt;0,Tableau1[[#This Row],[Lien document]]&lt;&gt;0,Tableau1[[#This Row],[DMS_SAP]]&lt;&gt;0)=TRUE,"MIS A JOUR","")</f>
        <v/>
      </c>
      <c r="AA443" s="48"/>
      <c r="AB443" s="65" t="str">
        <f ca="1">IF(Tableau1[[#This Row],[Date rév.]]&lt;&gt;"", DAYS360(Tableau1[[#This Row],[Date rév.]],TODAY()),"")</f>
        <v/>
      </c>
      <c r="AC443" s="50" t="str">
        <f>IFERROR(INDEX(Chemin_accès!$B$11:$C$22,MATCH(Tableau1[[#This Row],[Type]],Chemin_accès!$C$11:$C$22,0),1),Chemin_accès!$B$11)</f>
        <v>\\stjn.local\trimet\Btechnique\Commun\Atelier Central mécanique\Plan entretien\Modèles préventif\GammeDMS_7.MENG.xlsm</v>
      </c>
      <c r="AD443" s="50" t="str">
        <f>Chemin_accès!$B$8&amp;Tableau1[[#This Row],[Localisation / Classement]]&amp;"\"&amp;Tableau1[[#This Row],[Poste technique ou N° d''équipement]]&amp;"_"&amp;Tableau1[[#This Row],[Plan Entretien]]&amp;".xlsm"</f>
        <v>\\stjn.local\trimet\Btechnique\Commun\Atelier Central mécanique\Plan entretien\GammeEntretien\\_.xlsm</v>
      </c>
    </row>
    <row r="444" spans="1:30" x14ac:dyDescent="0.3">
      <c r="A444" s="44" t="str">
        <f t="shared" ca="1" si="6"/>
        <v>7.MENG</v>
      </c>
      <c r="B44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44" s="46"/>
      <c r="D444" s="44"/>
      <c r="E444" s="44"/>
      <c r="F444" s="47"/>
      <c r="G444" s="47"/>
      <c r="H444" s="45"/>
      <c r="I444" s="45"/>
      <c r="J444" s="45"/>
      <c r="K444" s="45"/>
      <c r="L444" s="46"/>
      <c r="M444" s="47"/>
      <c r="N444" s="46"/>
      <c r="O444" s="46"/>
      <c r="P444" s="47"/>
      <c r="Q444" s="46"/>
      <c r="R444" s="46"/>
      <c r="S444" s="48"/>
      <c r="T444" s="68" t="str">
        <f>IF(Tableau1[[#This Row],[DMS_SAP]]="","",HYPERLINK(Tableau1[[#This Row],[Chemin fichier source]],"X"))</f>
        <v/>
      </c>
      <c r="U444" s="68" t="str">
        <f>IF(Tableau1[[#This Row],[Date rév.]]="","",HYPERLINK(Tableau1[[#This Row],[Lien document]],"X"))</f>
        <v/>
      </c>
      <c r="V444" s="47"/>
      <c r="W44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44" s="47"/>
      <c r="Y444" s="47"/>
      <c r="Z444" s="44" t="str">
        <f ca="1">IF(AND(Tableau1[[#This Row],[Charge]]&lt;&gt;0, Tableau1[[#This Row],[Nombre intervenants]]&lt;&gt;0,Tableau1[[#This Row],[Lien document]]&lt;&gt;0,Tableau1[[#This Row],[DMS_SAP]]&lt;&gt;0)=TRUE,"MIS A JOUR","")</f>
        <v/>
      </c>
      <c r="AA444" s="48"/>
      <c r="AB444" s="65" t="str">
        <f ca="1">IF(Tableau1[[#This Row],[Date rév.]]&lt;&gt;"", DAYS360(Tableau1[[#This Row],[Date rév.]],TODAY()),"")</f>
        <v/>
      </c>
      <c r="AC444" s="50" t="str">
        <f>IFERROR(INDEX(Chemin_accès!$B$11:$C$22,MATCH(Tableau1[[#This Row],[Type]],Chemin_accès!$C$11:$C$22,0),1),Chemin_accès!$B$11)</f>
        <v>\\stjn.local\trimet\Btechnique\Commun\Atelier Central mécanique\Plan entretien\Modèles préventif\GammeDMS_7.MENG.xlsm</v>
      </c>
      <c r="AD444" s="50" t="str">
        <f>Chemin_accès!$B$8&amp;Tableau1[[#This Row],[Localisation / Classement]]&amp;"\"&amp;Tableau1[[#This Row],[Poste technique ou N° d''équipement]]&amp;"_"&amp;Tableau1[[#This Row],[Plan Entretien]]&amp;".xlsm"</f>
        <v>\\stjn.local\trimet\Btechnique\Commun\Atelier Central mécanique\Plan entretien\GammeEntretien\\_.xlsm</v>
      </c>
    </row>
    <row r="445" spans="1:30" x14ac:dyDescent="0.3">
      <c r="A445" s="44" t="str">
        <f t="shared" ca="1" si="6"/>
        <v>7.MENG</v>
      </c>
      <c r="B44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45" s="46"/>
      <c r="D445" s="44"/>
      <c r="E445" s="44"/>
      <c r="F445" s="47"/>
      <c r="G445" s="47"/>
      <c r="H445" s="45"/>
      <c r="I445" s="45"/>
      <c r="J445" s="45"/>
      <c r="K445" s="45"/>
      <c r="L445" s="46"/>
      <c r="M445" s="47"/>
      <c r="N445" s="46"/>
      <c r="O445" s="46"/>
      <c r="P445" s="47"/>
      <c r="Q445" s="46"/>
      <c r="R445" s="46"/>
      <c r="S445" s="48"/>
      <c r="T445" s="68" t="str">
        <f>IF(Tableau1[[#This Row],[DMS_SAP]]="","",HYPERLINK(Tableau1[[#This Row],[Chemin fichier source]],"X"))</f>
        <v/>
      </c>
      <c r="U445" s="68" t="str">
        <f>IF(Tableau1[[#This Row],[Date rév.]]="","",HYPERLINK(Tableau1[[#This Row],[Lien document]],"X"))</f>
        <v/>
      </c>
      <c r="V445" s="47"/>
      <c r="W44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45" s="47"/>
      <c r="Y445" s="47"/>
      <c r="Z445" s="44" t="str">
        <f ca="1">IF(AND(Tableau1[[#This Row],[Charge]]&lt;&gt;0, Tableau1[[#This Row],[Nombre intervenants]]&lt;&gt;0,Tableau1[[#This Row],[Lien document]]&lt;&gt;0,Tableau1[[#This Row],[DMS_SAP]]&lt;&gt;0)=TRUE,"MIS A JOUR","")</f>
        <v/>
      </c>
      <c r="AA445" s="48"/>
      <c r="AB445" s="65" t="str">
        <f ca="1">IF(Tableau1[[#This Row],[Date rév.]]&lt;&gt;"", DAYS360(Tableau1[[#This Row],[Date rév.]],TODAY()),"")</f>
        <v/>
      </c>
      <c r="AC445" s="50" t="str">
        <f>IFERROR(INDEX(Chemin_accès!$B$11:$C$22,MATCH(Tableau1[[#This Row],[Type]],Chemin_accès!$C$11:$C$22,0),1),Chemin_accès!$B$11)</f>
        <v>\\stjn.local\trimet\Btechnique\Commun\Atelier Central mécanique\Plan entretien\Modèles préventif\GammeDMS_7.MENG.xlsm</v>
      </c>
      <c r="AD445" s="50" t="str">
        <f>Chemin_accès!$B$8&amp;Tableau1[[#This Row],[Localisation / Classement]]&amp;"\"&amp;Tableau1[[#This Row],[Poste technique ou N° d''équipement]]&amp;"_"&amp;Tableau1[[#This Row],[Plan Entretien]]&amp;".xlsm"</f>
        <v>\\stjn.local\trimet\Btechnique\Commun\Atelier Central mécanique\Plan entretien\GammeEntretien\\_.xlsm</v>
      </c>
    </row>
    <row r="446" spans="1:30" x14ac:dyDescent="0.3">
      <c r="A446" s="44" t="str">
        <f t="shared" ca="1" si="6"/>
        <v>7.MENG</v>
      </c>
      <c r="B44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46" s="46"/>
      <c r="D446" s="44"/>
      <c r="E446" s="44"/>
      <c r="F446" s="47"/>
      <c r="G446" s="47"/>
      <c r="H446" s="45"/>
      <c r="I446" s="45"/>
      <c r="J446" s="45"/>
      <c r="K446" s="45"/>
      <c r="L446" s="46"/>
      <c r="M446" s="47"/>
      <c r="N446" s="46"/>
      <c r="O446" s="46"/>
      <c r="P446" s="47"/>
      <c r="Q446" s="46"/>
      <c r="R446" s="46"/>
      <c r="S446" s="48"/>
      <c r="T446" s="68" t="str">
        <f>IF(Tableau1[[#This Row],[DMS_SAP]]="","",HYPERLINK(Tableau1[[#This Row],[Chemin fichier source]],"X"))</f>
        <v/>
      </c>
      <c r="U446" s="68" t="str">
        <f>IF(Tableau1[[#This Row],[Date rév.]]="","",HYPERLINK(Tableau1[[#This Row],[Lien document]],"X"))</f>
        <v/>
      </c>
      <c r="V446" s="47"/>
      <c r="W44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46" s="47"/>
      <c r="Y446" s="47"/>
      <c r="Z446" s="44" t="str">
        <f ca="1">IF(AND(Tableau1[[#This Row],[Charge]]&lt;&gt;0, Tableau1[[#This Row],[Nombre intervenants]]&lt;&gt;0,Tableau1[[#This Row],[Lien document]]&lt;&gt;0,Tableau1[[#This Row],[DMS_SAP]]&lt;&gt;0)=TRUE,"MIS A JOUR","")</f>
        <v/>
      </c>
      <c r="AA446" s="48"/>
      <c r="AB446" s="65" t="str">
        <f ca="1">IF(Tableau1[[#This Row],[Date rév.]]&lt;&gt;"", DAYS360(Tableau1[[#This Row],[Date rév.]],TODAY()),"")</f>
        <v/>
      </c>
      <c r="AC446" s="50" t="str">
        <f>IFERROR(INDEX(Chemin_accès!$B$11:$C$22,MATCH(Tableau1[[#This Row],[Type]],Chemin_accès!$C$11:$C$22,0),1),Chemin_accès!$B$11)</f>
        <v>\\stjn.local\trimet\Btechnique\Commun\Atelier Central mécanique\Plan entretien\Modèles préventif\GammeDMS_7.MENG.xlsm</v>
      </c>
      <c r="AD446" s="50" t="str">
        <f>Chemin_accès!$B$8&amp;Tableau1[[#This Row],[Localisation / Classement]]&amp;"\"&amp;Tableau1[[#This Row],[Poste technique ou N° d''équipement]]&amp;"_"&amp;Tableau1[[#This Row],[Plan Entretien]]&amp;".xlsm"</f>
        <v>\\stjn.local\trimet\Btechnique\Commun\Atelier Central mécanique\Plan entretien\GammeEntretien\\_.xlsm</v>
      </c>
    </row>
    <row r="447" spans="1:30" x14ac:dyDescent="0.3">
      <c r="A447" s="44" t="str">
        <f t="shared" ca="1" si="6"/>
        <v>7.MENG</v>
      </c>
      <c r="B44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47" s="46"/>
      <c r="D447" s="44"/>
      <c r="E447" s="44"/>
      <c r="F447" s="47"/>
      <c r="G447" s="47"/>
      <c r="H447" s="45"/>
      <c r="I447" s="45"/>
      <c r="J447" s="45"/>
      <c r="K447" s="45"/>
      <c r="L447" s="46"/>
      <c r="M447" s="47"/>
      <c r="N447" s="46"/>
      <c r="O447" s="46"/>
      <c r="P447" s="47"/>
      <c r="Q447" s="46"/>
      <c r="R447" s="46"/>
      <c r="S447" s="48"/>
      <c r="T447" s="68" t="str">
        <f>IF(Tableau1[[#This Row],[DMS_SAP]]="","",HYPERLINK(Tableau1[[#This Row],[Chemin fichier source]],"X"))</f>
        <v/>
      </c>
      <c r="U447" s="68" t="str">
        <f>IF(Tableau1[[#This Row],[Date rév.]]="","",HYPERLINK(Tableau1[[#This Row],[Lien document]],"X"))</f>
        <v/>
      </c>
      <c r="V447" s="47"/>
      <c r="W44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47" s="47"/>
      <c r="Y447" s="47"/>
      <c r="Z447" s="44" t="str">
        <f ca="1">IF(AND(Tableau1[[#This Row],[Charge]]&lt;&gt;0, Tableau1[[#This Row],[Nombre intervenants]]&lt;&gt;0,Tableau1[[#This Row],[Lien document]]&lt;&gt;0,Tableau1[[#This Row],[DMS_SAP]]&lt;&gt;0)=TRUE,"MIS A JOUR","")</f>
        <v/>
      </c>
      <c r="AA447" s="48"/>
      <c r="AB447" s="65" t="str">
        <f ca="1">IF(Tableau1[[#This Row],[Date rév.]]&lt;&gt;"", DAYS360(Tableau1[[#This Row],[Date rév.]],TODAY()),"")</f>
        <v/>
      </c>
      <c r="AC447" s="50" t="str">
        <f>IFERROR(INDEX(Chemin_accès!$B$11:$C$22,MATCH(Tableau1[[#This Row],[Type]],Chemin_accès!$C$11:$C$22,0),1),Chemin_accès!$B$11)</f>
        <v>\\stjn.local\trimet\Btechnique\Commun\Atelier Central mécanique\Plan entretien\Modèles préventif\GammeDMS_7.MENG.xlsm</v>
      </c>
      <c r="AD447" s="50" t="str">
        <f>Chemin_accès!$B$8&amp;Tableau1[[#This Row],[Localisation / Classement]]&amp;"\"&amp;Tableau1[[#This Row],[Poste technique ou N° d''équipement]]&amp;"_"&amp;Tableau1[[#This Row],[Plan Entretien]]&amp;".xlsm"</f>
        <v>\\stjn.local\trimet\Btechnique\Commun\Atelier Central mécanique\Plan entretien\GammeEntretien\\_.xlsm</v>
      </c>
    </row>
    <row r="448" spans="1:30" x14ac:dyDescent="0.3">
      <c r="A448" s="44" t="str">
        <f t="shared" ca="1" si="6"/>
        <v>7.MENG</v>
      </c>
      <c r="B44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48" s="46"/>
      <c r="D448" s="44"/>
      <c r="E448" s="44"/>
      <c r="F448" s="47"/>
      <c r="G448" s="47"/>
      <c r="H448" s="45"/>
      <c r="I448" s="45"/>
      <c r="J448" s="45"/>
      <c r="K448" s="45"/>
      <c r="L448" s="46"/>
      <c r="M448" s="47"/>
      <c r="N448" s="46"/>
      <c r="O448" s="46"/>
      <c r="P448" s="47"/>
      <c r="Q448" s="46"/>
      <c r="R448" s="46"/>
      <c r="S448" s="48"/>
      <c r="T448" s="68" t="str">
        <f>IF(Tableau1[[#This Row],[DMS_SAP]]="","",HYPERLINK(Tableau1[[#This Row],[Chemin fichier source]],"X"))</f>
        <v/>
      </c>
      <c r="U448" s="68" t="str">
        <f>IF(Tableau1[[#This Row],[Date rév.]]="","",HYPERLINK(Tableau1[[#This Row],[Lien document]],"X"))</f>
        <v/>
      </c>
      <c r="V448" s="47"/>
      <c r="W44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48" s="47"/>
      <c r="Y448" s="47"/>
      <c r="Z448" s="44" t="str">
        <f ca="1">IF(AND(Tableau1[[#This Row],[Charge]]&lt;&gt;0, Tableau1[[#This Row],[Nombre intervenants]]&lt;&gt;0,Tableau1[[#This Row],[Lien document]]&lt;&gt;0,Tableau1[[#This Row],[DMS_SAP]]&lt;&gt;0)=TRUE,"MIS A JOUR","")</f>
        <v/>
      </c>
      <c r="AA448" s="48"/>
      <c r="AB448" s="65" t="str">
        <f ca="1">IF(Tableau1[[#This Row],[Date rév.]]&lt;&gt;"", DAYS360(Tableau1[[#This Row],[Date rév.]],TODAY()),"")</f>
        <v/>
      </c>
      <c r="AC448" s="50" t="str">
        <f>IFERROR(INDEX(Chemin_accès!$B$11:$C$22,MATCH(Tableau1[[#This Row],[Type]],Chemin_accès!$C$11:$C$22,0),1),Chemin_accès!$B$11)</f>
        <v>\\stjn.local\trimet\Btechnique\Commun\Atelier Central mécanique\Plan entretien\Modèles préventif\GammeDMS_7.MENG.xlsm</v>
      </c>
      <c r="AD448" s="50" t="str">
        <f>Chemin_accès!$B$8&amp;Tableau1[[#This Row],[Localisation / Classement]]&amp;"\"&amp;Tableau1[[#This Row],[Poste technique ou N° d''équipement]]&amp;"_"&amp;Tableau1[[#This Row],[Plan Entretien]]&amp;".xlsm"</f>
        <v>\\stjn.local\trimet\Btechnique\Commun\Atelier Central mécanique\Plan entretien\GammeEntretien\\_.xlsm</v>
      </c>
    </row>
    <row r="449" spans="1:30" x14ac:dyDescent="0.3">
      <c r="A449" s="44" t="str">
        <f t="shared" ref="A449:A512" ca="1" si="7">MID(CELL("filename",$A$1),FIND("]",CELL("filename",$A$1))+1,32)</f>
        <v>7.MENG</v>
      </c>
      <c r="B44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49" s="46"/>
      <c r="D449" s="44"/>
      <c r="E449" s="44"/>
      <c r="F449" s="47"/>
      <c r="G449" s="47"/>
      <c r="H449" s="45"/>
      <c r="I449" s="45"/>
      <c r="J449" s="45"/>
      <c r="K449" s="45"/>
      <c r="L449" s="46"/>
      <c r="M449" s="47"/>
      <c r="N449" s="46"/>
      <c r="O449" s="46"/>
      <c r="P449" s="47"/>
      <c r="Q449" s="46"/>
      <c r="R449" s="46"/>
      <c r="S449" s="48"/>
      <c r="T449" s="68" t="str">
        <f>IF(Tableau1[[#This Row],[DMS_SAP]]="","",HYPERLINK(Tableau1[[#This Row],[Chemin fichier source]],"X"))</f>
        <v/>
      </c>
      <c r="U449" s="68" t="str">
        <f>IF(Tableau1[[#This Row],[Date rév.]]="","",HYPERLINK(Tableau1[[#This Row],[Lien document]],"X"))</f>
        <v/>
      </c>
      <c r="V449" s="47"/>
      <c r="W44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49" s="47"/>
      <c r="Y449" s="47"/>
      <c r="Z449" s="44" t="str">
        <f ca="1">IF(AND(Tableau1[[#This Row],[Charge]]&lt;&gt;0, Tableau1[[#This Row],[Nombre intervenants]]&lt;&gt;0,Tableau1[[#This Row],[Lien document]]&lt;&gt;0,Tableau1[[#This Row],[DMS_SAP]]&lt;&gt;0)=TRUE,"MIS A JOUR","")</f>
        <v/>
      </c>
      <c r="AA449" s="48"/>
      <c r="AB449" s="65" t="str">
        <f ca="1">IF(Tableau1[[#This Row],[Date rév.]]&lt;&gt;"", DAYS360(Tableau1[[#This Row],[Date rév.]],TODAY()),"")</f>
        <v/>
      </c>
      <c r="AC449" s="50" t="str">
        <f>IFERROR(INDEX(Chemin_accès!$B$11:$C$22,MATCH(Tableau1[[#This Row],[Type]],Chemin_accès!$C$11:$C$22,0),1),Chemin_accès!$B$11)</f>
        <v>\\stjn.local\trimet\Btechnique\Commun\Atelier Central mécanique\Plan entretien\Modèles préventif\GammeDMS_7.MENG.xlsm</v>
      </c>
      <c r="AD449" s="50" t="str">
        <f>Chemin_accès!$B$8&amp;Tableau1[[#This Row],[Localisation / Classement]]&amp;"\"&amp;Tableau1[[#This Row],[Poste technique ou N° d''équipement]]&amp;"_"&amp;Tableau1[[#This Row],[Plan Entretien]]&amp;".xlsm"</f>
        <v>\\stjn.local\trimet\Btechnique\Commun\Atelier Central mécanique\Plan entretien\GammeEntretien\\_.xlsm</v>
      </c>
    </row>
    <row r="450" spans="1:30" x14ac:dyDescent="0.3">
      <c r="A450" s="44" t="str">
        <f t="shared" ca="1" si="7"/>
        <v>7.MENG</v>
      </c>
      <c r="B45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50" s="46"/>
      <c r="D450" s="44"/>
      <c r="E450" s="44"/>
      <c r="F450" s="47"/>
      <c r="G450" s="47"/>
      <c r="H450" s="45"/>
      <c r="I450" s="45"/>
      <c r="J450" s="45"/>
      <c r="K450" s="45"/>
      <c r="L450" s="46"/>
      <c r="M450" s="47"/>
      <c r="N450" s="46"/>
      <c r="O450" s="46"/>
      <c r="P450" s="47"/>
      <c r="Q450" s="46"/>
      <c r="R450" s="46"/>
      <c r="S450" s="48"/>
      <c r="T450" s="68" t="str">
        <f>IF(Tableau1[[#This Row],[DMS_SAP]]="","",HYPERLINK(Tableau1[[#This Row],[Chemin fichier source]],"X"))</f>
        <v/>
      </c>
      <c r="U450" s="68" t="str">
        <f>IF(Tableau1[[#This Row],[Date rév.]]="","",HYPERLINK(Tableau1[[#This Row],[Lien document]],"X"))</f>
        <v/>
      </c>
      <c r="V450" s="47"/>
      <c r="W45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50" s="47"/>
      <c r="Y450" s="47"/>
      <c r="Z450" s="44" t="str">
        <f ca="1">IF(AND(Tableau1[[#This Row],[Charge]]&lt;&gt;0, Tableau1[[#This Row],[Nombre intervenants]]&lt;&gt;0,Tableau1[[#This Row],[Lien document]]&lt;&gt;0,Tableau1[[#This Row],[DMS_SAP]]&lt;&gt;0)=TRUE,"MIS A JOUR","")</f>
        <v/>
      </c>
      <c r="AA450" s="48"/>
      <c r="AB450" s="65" t="str">
        <f ca="1">IF(Tableau1[[#This Row],[Date rév.]]&lt;&gt;"", DAYS360(Tableau1[[#This Row],[Date rév.]],TODAY()),"")</f>
        <v/>
      </c>
      <c r="AC450" s="50" t="str">
        <f>IFERROR(INDEX(Chemin_accès!$B$11:$C$22,MATCH(Tableau1[[#This Row],[Type]],Chemin_accès!$C$11:$C$22,0),1),Chemin_accès!$B$11)</f>
        <v>\\stjn.local\trimet\Btechnique\Commun\Atelier Central mécanique\Plan entretien\Modèles préventif\GammeDMS_7.MENG.xlsm</v>
      </c>
      <c r="AD450" s="50" t="str">
        <f>Chemin_accès!$B$8&amp;Tableau1[[#This Row],[Localisation / Classement]]&amp;"\"&amp;Tableau1[[#This Row],[Poste technique ou N° d''équipement]]&amp;"_"&amp;Tableau1[[#This Row],[Plan Entretien]]&amp;".xlsm"</f>
        <v>\\stjn.local\trimet\Btechnique\Commun\Atelier Central mécanique\Plan entretien\GammeEntretien\\_.xlsm</v>
      </c>
    </row>
    <row r="451" spans="1:30" x14ac:dyDescent="0.3">
      <c r="A451" s="44" t="str">
        <f t="shared" ca="1" si="7"/>
        <v>7.MENG</v>
      </c>
      <c r="B45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51" s="46"/>
      <c r="D451" s="44"/>
      <c r="E451" s="44"/>
      <c r="F451" s="47"/>
      <c r="G451" s="47"/>
      <c r="H451" s="45"/>
      <c r="I451" s="45"/>
      <c r="J451" s="45"/>
      <c r="K451" s="45"/>
      <c r="L451" s="46"/>
      <c r="M451" s="47"/>
      <c r="N451" s="46"/>
      <c r="O451" s="46"/>
      <c r="P451" s="47"/>
      <c r="Q451" s="46"/>
      <c r="R451" s="46"/>
      <c r="S451" s="48"/>
      <c r="T451" s="68" t="str">
        <f>IF(Tableau1[[#This Row],[DMS_SAP]]="","",HYPERLINK(Tableau1[[#This Row],[Chemin fichier source]],"X"))</f>
        <v/>
      </c>
      <c r="U451" s="68" t="str">
        <f>IF(Tableau1[[#This Row],[Date rév.]]="","",HYPERLINK(Tableau1[[#This Row],[Lien document]],"X"))</f>
        <v/>
      </c>
      <c r="V451" s="47"/>
      <c r="W45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51" s="47"/>
      <c r="Y451" s="47"/>
      <c r="Z451" s="44" t="str">
        <f ca="1">IF(AND(Tableau1[[#This Row],[Charge]]&lt;&gt;0, Tableau1[[#This Row],[Nombre intervenants]]&lt;&gt;0,Tableau1[[#This Row],[Lien document]]&lt;&gt;0,Tableau1[[#This Row],[DMS_SAP]]&lt;&gt;0)=TRUE,"MIS A JOUR","")</f>
        <v/>
      </c>
      <c r="AA451" s="48"/>
      <c r="AB451" s="65" t="str">
        <f ca="1">IF(Tableau1[[#This Row],[Date rév.]]&lt;&gt;"", DAYS360(Tableau1[[#This Row],[Date rév.]],TODAY()),"")</f>
        <v/>
      </c>
      <c r="AC451" s="50" t="str">
        <f>IFERROR(INDEX(Chemin_accès!$B$11:$C$22,MATCH(Tableau1[[#This Row],[Type]],Chemin_accès!$C$11:$C$22,0),1),Chemin_accès!$B$11)</f>
        <v>\\stjn.local\trimet\Btechnique\Commun\Atelier Central mécanique\Plan entretien\Modèles préventif\GammeDMS_7.MENG.xlsm</v>
      </c>
      <c r="AD451" s="50" t="str">
        <f>Chemin_accès!$B$8&amp;Tableau1[[#This Row],[Localisation / Classement]]&amp;"\"&amp;Tableau1[[#This Row],[Poste technique ou N° d''équipement]]&amp;"_"&amp;Tableau1[[#This Row],[Plan Entretien]]&amp;".xlsm"</f>
        <v>\\stjn.local\trimet\Btechnique\Commun\Atelier Central mécanique\Plan entretien\GammeEntretien\\_.xlsm</v>
      </c>
    </row>
    <row r="452" spans="1:30" x14ac:dyDescent="0.3">
      <c r="A452" s="44" t="str">
        <f t="shared" ca="1" si="7"/>
        <v>7.MENG</v>
      </c>
      <c r="B45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52" s="46"/>
      <c r="D452" s="44"/>
      <c r="E452" s="44"/>
      <c r="F452" s="55"/>
      <c r="G452" s="55"/>
      <c r="H452" s="56"/>
      <c r="I452" s="56"/>
      <c r="J452" s="56"/>
      <c r="K452" s="56"/>
      <c r="L452" s="57"/>
      <c r="M452" s="55"/>
      <c r="N452" s="57"/>
      <c r="O452" s="57"/>
      <c r="P452" s="55"/>
      <c r="Q452" s="57"/>
      <c r="R452" s="46"/>
      <c r="S452" s="48"/>
      <c r="T452" s="68" t="str">
        <f>IF(Tableau1[[#This Row],[DMS_SAP]]="","",HYPERLINK(Tableau1[[#This Row],[Chemin fichier source]],"X"))</f>
        <v/>
      </c>
      <c r="U452" s="68" t="str">
        <f>IF(Tableau1[[#This Row],[Date rév.]]="","",HYPERLINK(Tableau1[[#This Row],[Lien document]],"X"))</f>
        <v/>
      </c>
      <c r="V452" s="47"/>
      <c r="W45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52" s="47"/>
      <c r="Y452" s="47"/>
      <c r="Z452" s="44" t="str">
        <f ca="1">IF(AND(Tableau1[[#This Row],[Charge]]&lt;&gt;0, Tableau1[[#This Row],[Nombre intervenants]]&lt;&gt;0,Tableau1[[#This Row],[Lien document]]&lt;&gt;0,Tableau1[[#This Row],[DMS_SAP]]&lt;&gt;0)=TRUE,"MIS A JOUR","")</f>
        <v/>
      </c>
      <c r="AA452" s="48"/>
      <c r="AB452" s="65" t="str">
        <f ca="1">IF(Tableau1[[#This Row],[Date rév.]]&lt;&gt;"", DAYS360(Tableau1[[#This Row],[Date rév.]],TODAY()),"")</f>
        <v/>
      </c>
      <c r="AC452" s="50" t="str">
        <f>IFERROR(INDEX(Chemin_accès!$B$11:$C$22,MATCH(Tableau1[[#This Row],[Type]],Chemin_accès!$C$11:$C$22,0),1),Chemin_accès!$B$11)</f>
        <v>\\stjn.local\trimet\Btechnique\Commun\Atelier Central mécanique\Plan entretien\Modèles préventif\GammeDMS_7.MENG.xlsm</v>
      </c>
      <c r="AD452" s="50" t="str">
        <f>Chemin_accès!$B$8&amp;Tableau1[[#This Row],[Localisation / Classement]]&amp;"\"&amp;Tableau1[[#This Row],[Poste technique ou N° d''équipement]]&amp;"_"&amp;Tableau1[[#This Row],[Plan Entretien]]&amp;".xlsm"</f>
        <v>\\stjn.local\trimet\Btechnique\Commun\Atelier Central mécanique\Plan entretien\GammeEntretien\\_.xlsm</v>
      </c>
    </row>
    <row r="453" spans="1:30" x14ac:dyDescent="0.3">
      <c r="A453" s="44" t="str">
        <f t="shared" ca="1" si="7"/>
        <v>7.MENG</v>
      </c>
      <c r="B45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53" s="46"/>
      <c r="D453" s="44"/>
      <c r="E453" s="44"/>
      <c r="F453" s="55"/>
      <c r="G453" s="55"/>
      <c r="H453" s="56"/>
      <c r="I453" s="56"/>
      <c r="J453" s="56"/>
      <c r="K453" s="56"/>
      <c r="L453" s="57"/>
      <c r="M453" s="55"/>
      <c r="N453" s="57"/>
      <c r="O453" s="55"/>
      <c r="P453" s="55"/>
      <c r="Q453" s="57"/>
      <c r="R453" s="47"/>
      <c r="S453" s="48"/>
      <c r="T453" s="68" t="str">
        <f>IF(Tableau1[[#This Row],[DMS_SAP]]="","",HYPERLINK(Tableau1[[#This Row],[Chemin fichier source]],"X"))</f>
        <v/>
      </c>
      <c r="U453" s="68" t="str">
        <f>IF(Tableau1[[#This Row],[Date rév.]]="","",HYPERLINK(Tableau1[[#This Row],[Lien document]],"X"))</f>
        <v/>
      </c>
      <c r="V453" s="47"/>
      <c r="W45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53" s="47"/>
      <c r="Y453" s="47"/>
      <c r="Z453" s="44" t="str">
        <f ca="1">IF(AND(Tableau1[[#This Row],[Charge]]&lt;&gt;0, Tableau1[[#This Row],[Nombre intervenants]]&lt;&gt;0,Tableau1[[#This Row],[Lien document]]&lt;&gt;0,Tableau1[[#This Row],[DMS_SAP]]&lt;&gt;0)=TRUE,"MIS A JOUR","")</f>
        <v/>
      </c>
      <c r="AA453" s="48"/>
      <c r="AB453" s="65" t="str">
        <f ca="1">IF(Tableau1[[#This Row],[Date rév.]]&lt;&gt;"", DAYS360(Tableau1[[#This Row],[Date rév.]],TODAY()),"")</f>
        <v/>
      </c>
      <c r="AC453" s="50" t="str">
        <f>IFERROR(INDEX(Chemin_accès!$B$11:$C$22,MATCH(Tableau1[[#This Row],[Type]],Chemin_accès!$C$11:$C$22,0),1),Chemin_accès!$B$11)</f>
        <v>\\stjn.local\trimet\Btechnique\Commun\Atelier Central mécanique\Plan entretien\Modèles préventif\GammeDMS_7.MENG.xlsm</v>
      </c>
      <c r="AD453" s="50" t="str">
        <f>Chemin_accès!$B$8&amp;Tableau1[[#This Row],[Localisation / Classement]]&amp;"\"&amp;Tableau1[[#This Row],[Poste technique ou N° d''équipement]]&amp;"_"&amp;Tableau1[[#This Row],[Plan Entretien]]&amp;".xlsm"</f>
        <v>\\stjn.local\trimet\Btechnique\Commun\Atelier Central mécanique\Plan entretien\GammeEntretien\\_.xlsm</v>
      </c>
    </row>
    <row r="454" spans="1:30" x14ac:dyDescent="0.3">
      <c r="A454" s="44" t="str">
        <f t="shared" ca="1" si="7"/>
        <v>7.MENG</v>
      </c>
      <c r="B45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54" s="46"/>
      <c r="D454" s="44"/>
      <c r="E454" s="44"/>
      <c r="F454" s="55"/>
      <c r="G454" s="55"/>
      <c r="H454" s="56"/>
      <c r="I454" s="56"/>
      <c r="J454" s="56"/>
      <c r="K454" s="56"/>
      <c r="L454" s="57"/>
      <c r="M454" s="55"/>
      <c r="N454" s="57"/>
      <c r="O454" s="55"/>
      <c r="P454" s="55"/>
      <c r="Q454" s="57"/>
      <c r="R454" s="47"/>
      <c r="S454" s="48"/>
      <c r="T454" s="68" t="str">
        <f>IF(Tableau1[[#This Row],[DMS_SAP]]="","",HYPERLINK(Tableau1[[#This Row],[Chemin fichier source]],"X"))</f>
        <v/>
      </c>
      <c r="U454" s="68" t="str">
        <f>IF(Tableau1[[#This Row],[Date rév.]]="","",HYPERLINK(Tableau1[[#This Row],[Lien document]],"X"))</f>
        <v/>
      </c>
      <c r="V454" s="47"/>
      <c r="W45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54" s="47"/>
      <c r="Y454" s="47"/>
      <c r="Z454" s="44" t="str">
        <f ca="1">IF(AND(Tableau1[[#This Row],[Charge]]&lt;&gt;0, Tableau1[[#This Row],[Nombre intervenants]]&lt;&gt;0,Tableau1[[#This Row],[Lien document]]&lt;&gt;0,Tableau1[[#This Row],[DMS_SAP]]&lt;&gt;0)=TRUE,"MIS A JOUR","")</f>
        <v/>
      </c>
      <c r="AA454" s="48"/>
      <c r="AB454" s="65" t="str">
        <f ca="1">IF(Tableau1[[#This Row],[Date rév.]]&lt;&gt;"", DAYS360(Tableau1[[#This Row],[Date rév.]],TODAY()),"")</f>
        <v/>
      </c>
      <c r="AC454" s="50" t="str">
        <f>IFERROR(INDEX(Chemin_accès!$B$11:$C$22,MATCH(Tableau1[[#This Row],[Type]],Chemin_accès!$C$11:$C$22,0),1),Chemin_accès!$B$11)</f>
        <v>\\stjn.local\trimet\Btechnique\Commun\Atelier Central mécanique\Plan entretien\Modèles préventif\GammeDMS_7.MENG.xlsm</v>
      </c>
      <c r="AD454" s="50" t="str">
        <f>Chemin_accès!$B$8&amp;Tableau1[[#This Row],[Localisation / Classement]]&amp;"\"&amp;Tableau1[[#This Row],[Poste technique ou N° d''équipement]]&amp;"_"&amp;Tableau1[[#This Row],[Plan Entretien]]&amp;".xlsm"</f>
        <v>\\stjn.local\trimet\Btechnique\Commun\Atelier Central mécanique\Plan entretien\GammeEntretien\\_.xlsm</v>
      </c>
    </row>
    <row r="455" spans="1:30" x14ac:dyDescent="0.3">
      <c r="A455" s="44" t="str">
        <f t="shared" ca="1" si="7"/>
        <v>7.MENG</v>
      </c>
      <c r="B45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55" s="46"/>
      <c r="D455" s="44"/>
      <c r="E455" s="44"/>
      <c r="F455" s="55"/>
      <c r="G455" s="55"/>
      <c r="H455" s="56"/>
      <c r="I455" s="56"/>
      <c r="J455" s="56"/>
      <c r="K455" s="56"/>
      <c r="L455" s="57"/>
      <c r="M455" s="55"/>
      <c r="N455" s="57"/>
      <c r="O455" s="55"/>
      <c r="P455" s="55"/>
      <c r="Q455" s="57"/>
      <c r="R455" s="47"/>
      <c r="S455" s="48"/>
      <c r="T455" s="68" t="str">
        <f>IF(Tableau1[[#This Row],[DMS_SAP]]="","",HYPERLINK(Tableau1[[#This Row],[Chemin fichier source]],"X"))</f>
        <v/>
      </c>
      <c r="U455" s="68" t="str">
        <f>IF(Tableau1[[#This Row],[Date rév.]]="","",HYPERLINK(Tableau1[[#This Row],[Lien document]],"X"))</f>
        <v/>
      </c>
      <c r="V455" s="47"/>
      <c r="W45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55" s="47"/>
      <c r="Y455" s="47"/>
      <c r="Z455" s="44" t="str">
        <f ca="1">IF(AND(Tableau1[[#This Row],[Charge]]&lt;&gt;0, Tableau1[[#This Row],[Nombre intervenants]]&lt;&gt;0,Tableau1[[#This Row],[Lien document]]&lt;&gt;0,Tableau1[[#This Row],[DMS_SAP]]&lt;&gt;0)=TRUE,"MIS A JOUR","")</f>
        <v/>
      </c>
      <c r="AA455" s="48"/>
      <c r="AB455" s="65" t="str">
        <f ca="1">IF(Tableau1[[#This Row],[Date rév.]]&lt;&gt;"", DAYS360(Tableau1[[#This Row],[Date rév.]],TODAY()),"")</f>
        <v/>
      </c>
      <c r="AC455" s="50" t="str">
        <f>IFERROR(INDEX(Chemin_accès!$B$11:$C$22,MATCH(Tableau1[[#This Row],[Type]],Chemin_accès!$C$11:$C$22,0),1),Chemin_accès!$B$11)</f>
        <v>\\stjn.local\trimet\Btechnique\Commun\Atelier Central mécanique\Plan entretien\Modèles préventif\GammeDMS_7.MENG.xlsm</v>
      </c>
      <c r="AD455" s="50" t="str">
        <f>Chemin_accès!$B$8&amp;Tableau1[[#This Row],[Localisation / Classement]]&amp;"\"&amp;Tableau1[[#This Row],[Poste technique ou N° d''équipement]]&amp;"_"&amp;Tableau1[[#This Row],[Plan Entretien]]&amp;".xlsm"</f>
        <v>\\stjn.local\trimet\Btechnique\Commun\Atelier Central mécanique\Plan entretien\GammeEntretien\\_.xlsm</v>
      </c>
    </row>
    <row r="456" spans="1:30" x14ac:dyDescent="0.3">
      <c r="A456" s="44" t="str">
        <f t="shared" ca="1" si="7"/>
        <v>7.MENG</v>
      </c>
      <c r="B45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56" s="46"/>
      <c r="D456" s="44"/>
      <c r="E456" s="44"/>
      <c r="F456" s="55"/>
      <c r="G456" s="55"/>
      <c r="H456" s="56"/>
      <c r="I456" s="56"/>
      <c r="J456" s="56"/>
      <c r="K456" s="56"/>
      <c r="L456" s="57"/>
      <c r="M456" s="55"/>
      <c r="N456" s="57"/>
      <c r="O456" s="55"/>
      <c r="P456" s="55"/>
      <c r="Q456" s="57"/>
      <c r="R456" s="47"/>
      <c r="S456" s="48"/>
      <c r="T456" s="68" t="str">
        <f>IF(Tableau1[[#This Row],[DMS_SAP]]="","",HYPERLINK(Tableau1[[#This Row],[Chemin fichier source]],"X"))</f>
        <v/>
      </c>
      <c r="U456" s="68" t="str">
        <f>IF(Tableau1[[#This Row],[Date rév.]]="","",HYPERLINK(Tableau1[[#This Row],[Lien document]],"X"))</f>
        <v/>
      </c>
      <c r="V456" s="47"/>
      <c r="W45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56" s="47"/>
      <c r="Y456" s="47"/>
      <c r="Z456" s="44" t="str">
        <f ca="1">IF(AND(Tableau1[[#This Row],[Charge]]&lt;&gt;0, Tableau1[[#This Row],[Nombre intervenants]]&lt;&gt;0,Tableau1[[#This Row],[Lien document]]&lt;&gt;0,Tableau1[[#This Row],[DMS_SAP]]&lt;&gt;0)=TRUE,"MIS A JOUR","")</f>
        <v/>
      </c>
      <c r="AA456" s="48"/>
      <c r="AB456" s="65" t="str">
        <f ca="1">IF(Tableau1[[#This Row],[Date rév.]]&lt;&gt;"", DAYS360(Tableau1[[#This Row],[Date rév.]],TODAY()),"")</f>
        <v/>
      </c>
      <c r="AC456" s="50" t="str">
        <f>IFERROR(INDEX(Chemin_accès!$B$11:$C$22,MATCH(Tableau1[[#This Row],[Type]],Chemin_accès!$C$11:$C$22,0),1),Chemin_accès!$B$11)</f>
        <v>\\stjn.local\trimet\Btechnique\Commun\Atelier Central mécanique\Plan entretien\Modèles préventif\GammeDMS_7.MENG.xlsm</v>
      </c>
      <c r="AD456" s="50" t="str">
        <f>Chemin_accès!$B$8&amp;Tableau1[[#This Row],[Localisation / Classement]]&amp;"\"&amp;Tableau1[[#This Row],[Poste technique ou N° d''équipement]]&amp;"_"&amp;Tableau1[[#This Row],[Plan Entretien]]&amp;".xlsm"</f>
        <v>\\stjn.local\trimet\Btechnique\Commun\Atelier Central mécanique\Plan entretien\GammeEntretien\\_.xlsm</v>
      </c>
    </row>
    <row r="457" spans="1:30" x14ac:dyDescent="0.3">
      <c r="A457" s="44" t="str">
        <f t="shared" ca="1" si="7"/>
        <v>7.MENG</v>
      </c>
      <c r="B45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57" s="46"/>
      <c r="D457" s="44"/>
      <c r="E457" s="44"/>
      <c r="F457" s="55"/>
      <c r="G457" s="55"/>
      <c r="H457" s="56"/>
      <c r="I457" s="56"/>
      <c r="J457" s="56"/>
      <c r="K457" s="56"/>
      <c r="L457" s="57"/>
      <c r="M457" s="55"/>
      <c r="N457" s="57"/>
      <c r="O457" s="55"/>
      <c r="P457" s="55"/>
      <c r="Q457" s="57"/>
      <c r="R457" s="47"/>
      <c r="S457" s="48"/>
      <c r="T457" s="68" t="str">
        <f>IF(Tableau1[[#This Row],[DMS_SAP]]="","",HYPERLINK(Tableau1[[#This Row],[Chemin fichier source]],"X"))</f>
        <v/>
      </c>
      <c r="U457" s="68" t="str">
        <f>IF(Tableau1[[#This Row],[Date rév.]]="","",HYPERLINK(Tableau1[[#This Row],[Lien document]],"X"))</f>
        <v/>
      </c>
      <c r="V457" s="47"/>
      <c r="W45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57" s="47"/>
      <c r="Y457" s="47"/>
      <c r="Z457" s="44" t="str">
        <f ca="1">IF(AND(Tableau1[[#This Row],[Charge]]&lt;&gt;0, Tableau1[[#This Row],[Nombre intervenants]]&lt;&gt;0,Tableau1[[#This Row],[Lien document]]&lt;&gt;0,Tableau1[[#This Row],[DMS_SAP]]&lt;&gt;0)=TRUE,"MIS A JOUR","")</f>
        <v/>
      </c>
      <c r="AA457" s="48"/>
      <c r="AB457" s="65" t="str">
        <f ca="1">IF(Tableau1[[#This Row],[Date rév.]]&lt;&gt;"", DAYS360(Tableau1[[#This Row],[Date rév.]],TODAY()),"")</f>
        <v/>
      </c>
      <c r="AC457" s="50" t="str">
        <f>IFERROR(INDEX(Chemin_accès!$B$11:$C$22,MATCH(Tableau1[[#This Row],[Type]],Chemin_accès!$C$11:$C$22,0),1),Chemin_accès!$B$11)</f>
        <v>\\stjn.local\trimet\Btechnique\Commun\Atelier Central mécanique\Plan entretien\Modèles préventif\GammeDMS_7.MENG.xlsm</v>
      </c>
      <c r="AD457" s="50" t="str">
        <f>Chemin_accès!$B$8&amp;Tableau1[[#This Row],[Localisation / Classement]]&amp;"\"&amp;Tableau1[[#This Row],[Poste technique ou N° d''équipement]]&amp;"_"&amp;Tableau1[[#This Row],[Plan Entretien]]&amp;".xlsm"</f>
        <v>\\stjn.local\trimet\Btechnique\Commun\Atelier Central mécanique\Plan entretien\GammeEntretien\\_.xlsm</v>
      </c>
    </row>
    <row r="458" spans="1:30" x14ac:dyDescent="0.3">
      <c r="A458" s="44" t="str">
        <f t="shared" ca="1" si="7"/>
        <v>7.MENG</v>
      </c>
      <c r="B45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58" s="46"/>
      <c r="D458" s="44"/>
      <c r="E458" s="44"/>
      <c r="F458" s="55"/>
      <c r="G458" s="55"/>
      <c r="H458" s="56"/>
      <c r="I458" s="56"/>
      <c r="J458" s="56"/>
      <c r="K458" s="56"/>
      <c r="L458" s="57"/>
      <c r="M458" s="55"/>
      <c r="N458" s="57"/>
      <c r="O458" s="55"/>
      <c r="P458" s="55"/>
      <c r="Q458" s="57"/>
      <c r="R458" s="47"/>
      <c r="S458" s="48"/>
      <c r="T458" s="68" t="str">
        <f>IF(Tableau1[[#This Row],[DMS_SAP]]="","",HYPERLINK(Tableau1[[#This Row],[Chemin fichier source]],"X"))</f>
        <v/>
      </c>
      <c r="U458" s="68" t="str">
        <f>IF(Tableau1[[#This Row],[Date rév.]]="","",HYPERLINK(Tableau1[[#This Row],[Lien document]],"X"))</f>
        <v/>
      </c>
      <c r="V458" s="47"/>
      <c r="W45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58" s="47"/>
      <c r="Y458" s="47"/>
      <c r="Z458" s="44" t="str">
        <f ca="1">IF(AND(Tableau1[[#This Row],[Charge]]&lt;&gt;0, Tableau1[[#This Row],[Nombre intervenants]]&lt;&gt;0,Tableau1[[#This Row],[Lien document]]&lt;&gt;0,Tableau1[[#This Row],[DMS_SAP]]&lt;&gt;0)=TRUE,"MIS A JOUR","")</f>
        <v/>
      </c>
      <c r="AA458" s="48"/>
      <c r="AB458" s="65" t="str">
        <f ca="1">IF(Tableau1[[#This Row],[Date rév.]]&lt;&gt;"", DAYS360(Tableau1[[#This Row],[Date rév.]],TODAY()),"")</f>
        <v/>
      </c>
      <c r="AC458" s="50" t="str">
        <f>IFERROR(INDEX(Chemin_accès!$B$11:$C$22,MATCH(Tableau1[[#This Row],[Type]],Chemin_accès!$C$11:$C$22,0),1),Chemin_accès!$B$11)</f>
        <v>\\stjn.local\trimet\Btechnique\Commun\Atelier Central mécanique\Plan entretien\Modèles préventif\GammeDMS_7.MENG.xlsm</v>
      </c>
      <c r="AD458" s="50" t="str">
        <f>Chemin_accès!$B$8&amp;Tableau1[[#This Row],[Localisation / Classement]]&amp;"\"&amp;Tableau1[[#This Row],[Poste technique ou N° d''équipement]]&amp;"_"&amp;Tableau1[[#This Row],[Plan Entretien]]&amp;".xlsm"</f>
        <v>\\stjn.local\trimet\Btechnique\Commun\Atelier Central mécanique\Plan entretien\GammeEntretien\\_.xlsm</v>
      </c>
    </row>
    <row r="459" spans="1:30" x14ac:dyDescent="0.3">
      <c r="A459" s="44" t="str">
        <f t="shared" ca="1" si="7"/>
        <v>7.MENG</v>
      </c>
      <c r="B45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59" s="46"/>
      <c r="D459" s="44"/>
      <c r="E459" s="44"/>
      <c r="F459" s="55"/>
      <c r="G459" s="55"/>
      <c r="H459" s="56"/>
      <c r="I459" s="56"/>
      <c r="J459" s="56"/>
      <c r="K459" s="56"/>
      <c r="L459" s="57"/>
      <c r="M459" s="55"/>
      <c r="N459" s="57"/>
      <c r="O459" s="55"/>
      <c r="P459" s="55"/>
      <c r="Q459" s="57"/>
      <c r="R459" s="47"/>
      <c r="S459" s="48"/>
      <c r="T459" s="68" t="str">
        <f>IF(Tableau1[[#This Row],[DMS_SAP]]="","",HYPERLINK(Tableau1[[#This Row],[Chemin fichier source]],"X"))</f>
        <v/>
      </c>
      <c r="U459" s="68" t="str">
        <f>IF(Tableau1[[#This Row],[Date rév.]]="","",HYPERLINK(Tableau1[[#This Row],[Lien document]],"X"))</f>
        <v/>
      </c>
      <c r="V459" s="47"/>
      <c r="W45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59" s="47"/>
      <c r="Y459" s="47"/>
      <c r="Z459" s="44" t="str">
        <f ca="1">IF(AND(Tableau1[[#This Row],[Charge]]&lt;&gt;0, Tableau1[[#This Row],[Nombre intervenants]]&lt;&gt;0,Tableau1[[#This Row],[Lien document]]&lt;&gt;0,Tableau1[[#This Row],[DMS_SAP]]&lt;&gt;0)=TRUE,"MIS A JOUR","")</f>
        <v/>
      </c>
      <c r="AA459" s="48"/>
      <c r="AB459" s="65" t="str">
        <f ca="1">IF(Tableau1[[#This Row],[Date rév.]]&lt;&gt;"", DAYS360(Tableau1[[#This Row],[Date rév.]],TODAY()),"")</f>
        <v/>
      </c>
      <c r="AC459" s="50" t="str">
        <f>IFERROR(INDEX(Chemin_accès!$B$11:$C$22,MATCH(Tableau1[[#This Row],[Type]],Chemin_accès!$C$11:$C$22,0),1),Chemin_accès!$B$11)</f>
        <v>\\stjn.local\trimet\Btechnique\Commun\Atelier Central mécanique\Plan entretien\Modèles préventif\GammeDMS_7.MENG.xlsm</v>
      </c>
      <c r="AD459" s="50" t="str">
        <f>Chemin_accès!$B$8&amp;Tableau1[[#This Row],[Localisation / Classement]]&amp;"\"&amp;Tableau1[[#This Row],[Poste technique ou N° d''équipement]]&amp;"_"&amp;Tableau1[[#This Row],[Plan Entretien]]&amp;".xlsm"</f>
        <v>\\stjn.local\trimet\Btechnique\Commun\Atelier Central mécanique\Plan entretien\GammeEntretien\\_.xlsm</v>
      </c>
    </row>
    <row r="460" spans="1:30" x14ac:dyDescent="0.3">
      <c r="A460" s="44" t="str">
        <f t="shared" ca="1" si="7"/>
        <v>7.MENG</v>
      </c>
      <c r="B46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60" s="46"/>
      <c r="D460" s="44"/>
      <c r="E460" s="44"/>
      <c r="F460" s="55"/>
      <c r="G460" s="55"/>
      <c r="H460" s="56"/>
      <c r="I460" s="56"/>
      <c r="J460" s="56"/>
      <c r="K460" s="56"/>
      <c r="L460" s="57"/>
      <c r="M460" s="55"/>
      <c r="N460" s="57"/>
      <c r="O460" s="55"/>
      <c r="P460" s="55"/>
      <c r="Q460" s="57"/>
      <c r="R460" s="47"/>
      <c r="S460" s="48"/>
      <c r="T460" s="68" t="str">
        <f>IF(Tableau1[[#This Row],[DMS_SAP]]="","",HYPERLINK(Tableau1[[#This Row],[Chemin fichier source]],"X"))</f>
        <v/>
      </c>
      <c r="U460" s="68" t="str">
        <f>IF(Tableau1[[#This Row],[Date rév.]]="","",HYPERLINK(Tableau1[[#This Row],[Lien document]],"X"))</f>
        <v/>
      </c>
      <c r="V460" s="47"/>
      <c r="W46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60" s="47"/>
      <c r="Y460" s="47"/>
      <c r="Z460" s="44" t="str">
        <f ca="1">IF(AND(Tableau1[[#This Row],[Charge]]&lt;&gt;0, Tableau1[[#This Row],[Nombre intervenants]]&lt;&gt;0,Tableau1[[#This Row],[Lien document]]&lt;&gt;0,Tableau1[[#This Row],[DMS_SAP]]&lt;&gt;0)=TRUE,"MIS A JOUR","")</f>
        <v/>
      </c>
      <c r="AA460" s="48"/>
      <c r="AB460" s="65" t="str">
        <f ca="1">IF(Tableau1[[#This Row],[Date rév.]]&lt;&gt;"", DAYS360(Tableau1[[#This Row],[Date rév.]],TODAY()),"")</f>
        <v/>
      </c>
      <c r="AC460" s="50" t="str">
        <f>IFERROR(INDEX(Chemin_accès!$B$11:$C$22,MATCH(Tableau1[[#This Row],[Type]],Chemin_accès!$C$11:$C$22,0),1),Chemin_accès!$B$11)</f>
        <v>\\stjn.local\trimet\Btechnique\Commun\Atelier Central mécanique\Plan entretien\Modèles préventif\GammeDMS_7.MENG.xlsm</v>
      </c>
      <c r="AD460" s="50" t="str">
        <f>Chemin_accès!$B$8&amp;Tableau1[[#This Row],[Localisation / Classement]]&amp;"\"&amp;Tableau1[[#This Row],[Poste technique ou N° d''équipement]]&amp;"_"&amp;Tableau1[[#This Row],[Plan Entretien]]&amp;".xlsm"</f>
        <v>\\stjn.local\trimet\Btechnique\Commun\Atelier Central mécanique\Plan entretien\GammeEntretien\\_.xlsm</v>
      </c>
    </row>
    <row r="461" spans="1:30" x14ac:dyDescent="0.3">
      <c r="A461" s="44" t="str">
        <f t="shared" ca="1" si="7"/>
        <v>7.MENG</v>
      </c>
      <c r="B46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61" s="46"/>
      <c r="D461" s="44"/>
      <c r="E461" s="44"/>
      <c r="F461" s="55"/>
      <c r="G461" s="55"/>
      <c r="H461" s="56"/>
      <c r="I461" s="56"/>
      <c r="J461" s="56"/>
      <c r="K461" s="56"/>
      <c r="L461" s="57"/>
      <c r="M461" s="55"/>
      <c r="N461" s="57"/>
      <c r="O461" s="57"/>
      <c r="P461" s="55"/>
      <c r="Q461" s="57"/>
      <c r="R461" s="47"/>
      <c r="S461" s="48"/>
      <c r="T461" s="68" t="str">
        <f>IF(Tableau1[[#This Row],[DMS_SAP]]="","",HYPERLINK(Tableau1[[#This Row],[Chemin fichier source]],"X"))</f>
        <v/>
      </c>
      <c r="U461" s="68" t="str">
        <f>IF(Tableau1[[#This Row],[Date rév.]]="","",HYPERLINK(Tableau1[[#This Row],[Lien document]],"X"))</f>
        <v/>
      </c>
      <c r="V461" s="47"/>
      <c r="W46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61" s="47"/>
      <c r="Y461" s="47"/>
      <c r="Z461" s="44" t="str">
        <f ca="1">IF(AND(Tableau1[[#This Row],[Charge]]&lt;&gt;0, Tableau1[[#This Row],[Nombre intervenants]]&lt;&gt;0,Tableau1[[#This Row],[Lien document]]&lt;&gt;0,Tableau1[[#This Row],[DMS_SAP]]&lt;&gt;0)=TRUE,"MIS A JOUR","")</f>
        <v/>
      </c>
      <c r="AA461" s="48"/>
      <c r="AB461" s="65" t="str">
        <f ca="1">IF(Tableau1[[#This Row],[Date rév.]]&lt;&gt;"", DAYS360(Tableau1[[#This Row],[Date rév.]],TODAY()),"")</f>
        <v/>
      </c>
      <c r="AC461" s="50" t="str">
        <f>IFERROR(INDEX(Chemin_accès!$B$11:$C$22,MATCH(Tableau1[[#This Row],[Type]],Chemin_accès!$C$11:$C$22,0),1),Chemin_accès!$B$11)</f>
        <v>\\stjn.local\trimet\Btechnique\Commun\Atelier Central mécanique\Plan entretien\Modèles préventif\GammeDMS_7.MENG.xlsm</v>
      </c>
      <c r="AD461" s="50" t="str">
        <f>Chemin_accès!$B$8&amp;Tableau1[[#This Row],[Localisation / Classement]]&amp;"\"&amp;Tableau1[[#This Row],[Poste technique ou N° d''équipement]]&amp;"_"&amp;Tableau1[[#This Row],[Plan Entretien]]&amp;".xlsm"</f>
        <v>\\stjn.local\trimet\Btechnique\Commun\Atelier Central mécanique\Plan entretien\GammeEntretien\\_.xlsm</v>
      </c>
    </row>
    <row r="462" spans="1:30" x14ac:dyDescent="0.3">
      <c r="A462" s="44" t="str">
        <f t="shared" ca="1" si="7"/>
        <v>7.MENG</v>
      </c>
      <c r="B46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62" s="46"/>
      <c r="D462" s="44"/>
      <c r="E462" s="44"/>
      <c r="F462" s="55"/>
      <c r="G462" s="55"/>
      <c r="H462" s="56"/>
      <c r="I462" s="56"/>
      <c r="J462" s="56"/>
      <c r="K462" s="56"/>
      <c r="L462" s="57"/>
      <c r="M462" s="55"/>
      <c r="N462" s="57"/>
      <c r="O462" s="55"/>
      <c r="P462" s="55"/>
      <c r="Q462" s="57"/>
      <c r="R462" s="47"/>
      <c r="S462" s="48"/>
      <c r="T462" s="68" t="str">
        <f>IF(Tableau1[[#This Row],[DMS_SAP]]="","",HYPERLINK(Tableau1[[#This Row],[Chemin fichier source]],"X"))</f>
        <v/>
      </c>
      <c r="U462" s="68" t="str">
        <f>IF(Tableau1[[#This Row],[Date rév.]]="","",HYPERLINK(Tableau1[[#This Row],[Lien document]],"X"))</f>
        <v/>
      </c>
      <c r="V462" s="47"/>
      <c r="W46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62" s="47"/>
      <c r="Y462" s="47"/>
      <c r="Z462" s="44" t="str">
        <f ca="1">IF(AND(Tableau1[[#This Row],[Charge]]&lt;&gt;0, Tableau1[[#This Row],[Nombre intervenants]]&lt;&gt;0,Tableau1[[#This Row],[Lien document]]&lt;&gt;0,Tableau1[[#This Row],[DMS_SAP]]&lt;&gt;0)=TRUE,"MIS A JOUR","")</f>
        <v/>
      </c>
      <c r="AA462" s="48"/>
      <c r="AB462" s="65" t="str">
        <f ca="1">IF(Tableau1[[#This Row],[Date rév.]]&lt;&gt;"", DAYS360(Tableau1[[#This Row],[Date rév.]],TODAY()),"")</f>
        <v/>
      </c>
      <c r="AC462" s="50" t="str">
        <f>IFERROR(INDEX(Chemin_accès!$B$11:$C$22,MATCH(Tableau1[[#This Row],[Type]],Chemin_accès!$C$11:$C$22,0),1),Chemin_accès!$B$11)</f>
        <v>\\stjn.local\trimet\Btechnique\Commun\Atelier Central mécanique\Plan entretien\Modèles préventif\GammeDMS_7.MENG.xlsm</v>
      </c>
      <c r="AD462" s="50" t="str">
        <f>Chemin_accès!$B$8&amp;Tableau1[[#This Row],[Localisation / Classement]]&amp;"\"&amp;Tableau1[[#This Row],[Poste technique ou N° d''équipement]]&amp;"_"&amp;Tableau1[[#This Row],[Plan Entretien]]&amp;".xlsm"</f>
        <v>\\stjn.local\trimet\Btechnique\Commun\Atelier Central mécanique\Plan entretien\GammeEntretien\\_.xlsm</v>
      </c>
    </row>
    <row r="463" spans="1:30" x14ac:dyDescent="0.3">
      <c r="A463" s="44" t="str">
        <f t="shared" ca="1" si="7"/>
        <v>7.MENG</v>
      </c>
      <c r="B46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63" s="46"/>
      <c r="D463" s="44"/>
      <c r="E463" s="44"/>
      <c r="F463" s="55"/>
      <c r="G463" s="55"/>
      <c r="H463" s="56"/>
      <c r="I463" s="56"/>
      <c r="J463" s="56"/>
      <c r="K463" s="56"/>
      <c r="L463" s="57"/>
      <c r="M463" s="55"/>
      <c r="N463" s="57"/>
      <c r="O463" s="55"/>
      <c r="P463" s="55"/>
      <c r="Q463" s="57"/>
      <c r="R463" s="47"/>
      <c r="S463" s="48"/>
      <c r="T463" s="68" t="str">
        <f>IF(Tableau1[[#This Row],[DMS_SAP]]="","",HYPERLINK(Tableau1[[#This Row],[Chemin fichier source]],"X"))</f>
        <v/>
      </c>
      <c r="U463" s="68" t="str">
        <f>IF(Tableau1[[#This Row],[Date rév.]]="","",HYPERLINK(Tableau1[[#This Row],[Lien document]],"X"))</f>
        <v/>
      </c>
      <c r="V463" s="47"/>
      <c r="W46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63" s="47"/>
      <c r="Y463" s="47"/>
      <c r="Z463" s="44" t="str">
        <f ca="1">IF(AND(Tableau1[[#This Row],[Charge]]&lt;&gt;0, Tableau1[[#This Row],[Nombre intervenants]]&lt;&gt;0,Tableau1[[#This Row],[Lien document]]&lt;&gt;0,Tableau1[[#This Row],[DMS_SAP]]&lt;&gt;0)=TRUE,"MIS A JOUR","")</f>
        <v/>
      </c>
      <c r="AA463" s="48"/>
      <c r="AB463" s="65" t="str">
        <f ca="1">IF(Tableau1[[#This Row],[Date rév.]]&lt;&gt;"", DAYS360(Tableau1[[#This Row],[Date rév.]],TODAY()),"")</f>
        <v/>
      </c>
      <c r="AC463" s="50" t="str">
        <f>IFERROR(INDEX(Chemin_accès!$B$11:$C$22,MATCH(Tableau1[[#This Row],[Type]],Chemin_accès!$C$11:$C$22,0),1),Chemin_accès!$B$11)</f>
        <v>\\stjn.local\trimet\Btechnique\Commun\Atelier Central mécanique\Plan entretien\Modèles préventif\GammeDMS_7.MENG.xlsm</v>
      </c>
      <c r="AD463" s="50" t="str">
        <f>Chemin_accès!$B$8&amp;Tableau1[[#This Row],[Localisation / Classement]]&amp;"\"&amp;Tableau1[[#This Row],[Poste technique ou N° d''équipement]]&amp;"_"&amp;Tableau1[[#This Row],[Plan Entretien]]&amp;".xlsm"</f>
        <v>\\stjn.local\trimet\Btechnique\Commun\Atelier Central mécanique\Plan entretien\GammeEntretien\\_.xlsm</v>
      </c>
    </row>
    <row r="464" spans="1:30" x14ac:dyDescent="0.3">
      <c r="A464" s="44" t="str">
        <f t="shared" ca="1" si="7"/>
        <v>7.MENG</v>
      </c>
      <c r="B46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64" s="46"/>
      <c r="D464" s="44"/>
      <c r="E464" s="44"/>
      <c r="F464" s="55"/>
      <c r="G464" s="55"/>
      <c r="H464" s="56"/>
      <c r="I464" s="56"/>
      <c r="J464" s="56"/>
      <c r="K464" s="56"/>
      <c r="L464" s="57"/>
      <c r="M464" s="55"/>
      <c r="N464" s="57"/>
      <c r="O464" s="55"/>
      <c r="P464" s="55"/>
      <c r="Q464" s="57"/>
      <c r="R464" s="47"/>
      <c r="S464" s="48"/>
      <c r="T464" s="68" t="str">
        <f>IF(Tableau1[[#This Row],[DMS_SAP]]="","",HYPERLINK(Tableau1[[#This Row],[Chemin fichier source]],"X"))</f>
        <v/>
      </c>
      <c r="U464" s="68" t="str">
        <f>IF(Tableau1[[#This Row],[Date rév.]]="","",HYPERLINK(Tableau1[[#This Row],[Lien document]],"X"))</f>
        <v/>
      </c>
      <c r="V464" s="47"/>
      <c r="W46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64" s="47"/>
      <c r="Y464" s="47"/>
      <c r="Z464" s="44" t="str">
        <f ca="1">IF(AND(Tableau1[[#This Row],[Charge]]&lt;&gt;0, Tableau1[[#This Row],[Nombre intervenants]]&lt;&gt;0,Tableau1[[#This Row],[Lien document]]&lt;&gt;0,Tableau1[[#This Row],[DMS_SAP]]&lt;&gt;0)=TRUE,"MIS A JOUR","")</f>
        <v/>
      </c>
      <c r="AA464" s="48"/>
      <c r="AB464" s="65" t="str">
        <f ca="1">IF(Tableau1[[#This Row],[Date rév.]]&lt;&gt;"", DAYS360(Tableau1[[#This Row],[Date rév.]],TODAY()),"")</f>
        <v/>
      </c>
      <c r="AC464" s="50" t="str">
        <f>IFERROR(INDEX(Chemin_accès!$B$11:$C$22,MATCH(Tableau1[[#This Row],[Type]],Chemin_accès!$C$11:$C$22,0),1),Chemin_accès!$B$11)</f>
        <v>\\stjn.local\trimet\Btechnique\Commun\Atelier Central mécanique\Plan entretien\Modèles préventif\GammeDMS_7.MENG.xlsm</v>
      </c>
      <c r="AD464" s="50" t="str">
        <f>Chemin_accès!$B$8&amp;Tableau1[[#This Row],[Localisation / Classement]]&amp;"\"&amp;Tableau1[[#This Row],[Poste technique ou N° d''équipement]]&amp;"_"&amp;Tableau1[[#This Row],[Plan Entretien]]&amp;".xlsm"</f>
        <v>\\stjn.local\trimet\Btechnique\Commun\Atelier Central mécanique\Plan entretien\GammeEntretien\\_.xlsm</v>
      </c>
    </row>
    <row r="465" spans="1:30" x14ac:dyDescent="0.3">
      <c r="A465" s="44" t="str">
        <f t="shared" ca="1" si="7"/>
        <v>7.MENG</v>
      </c>
      <c r="B46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65" s="46"/>
      <c r="D465" s="44"/>
      <c r="E465" s="44"/>
      <c r="F465" s="55"/>
      <c r="G465" s="55"/>
      <c r="H465" s="56"/>
      <c r="I465" s="56"/>
      <c r="J465" s="56"/>
      <c r="K465" s="56"/>
      <c r="L465" s="57"/>
      <c r="M465" s="55"/>
      <c r="N465" s="57"/>
      <c r="O465" s="55"/>
      <c r="P465" s="55"/>
      <c r="Q465" s="57"/>
      <c r="R465" s="47"/>
      <c r="S465" s="48"/>
      <c r="T465" s="68" t="str">
        <f>IF(Tableau1[[#This Row],[DMS_SAP]]="","",HYPERLINK(Tableau1[[#This Row],[Chemin fichier source]],"X"))</f>
        <v/>
      </c>
      <c r="U465" s="68" t="str">
        <f>IF(Tableau1[[#This Row],[Date rév.]]="","",HYPERLINK(Tableau1[[#This Row],[Lien document]],"X"))</f>
        <v/>
      </c>
      <c r="V465" s="47"/>
      <c r="W46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65" s="47"/>
      <c r="Y465" s="47"/>
      <c r="Z465" s="44" t="str">
        <f ca="1">IF(AND(Tableau1[[#This Row],[Charge]]&lt;&gt;0, Tableau1[[#This Row],[Nombre intervenants]]&lt;&gt;0,Tableau1[[#This Row],[Lien document]]&lt;&gt;0,Tableau1[[#This Row],[DMS_SAP]]&lt;&gt;0)=TRUE,"MIS A JOUR","")</f>
        <v/>
      </c>
      <c r="AA465" s="48"/>
      <c r="AB465" s="65" t="str">
        <f ca="1">IF(Tableau1[[#This Row],[Date rév.]]&lt;&gt;"", DAYS360(Tableau1[[#This Row],[Date rév.]],TODAY()),"")</f>
        <v/>
      </c>
      <c r="AC465" s="50" t="str">
        <f>IFERROR(INDEX(Chemin_accès!$B$11:$C$22,MATCH(Tableau1[[#This Row],[Type]],Chemin_accès!$C$11:$C$22,0),1),Chemin_accès!$B$11)</f>
        <v>\\stjn.local\trimet\Btechnique\Commun\Atelier Central mécanique\Plan entretien\Modèles préventif\GammeDMS_7.MENG.xlsm</v>
      </c>
      <c r="AD465" s="50" t="str">
        <f>Chemin_accès!$B$8&amp;Tableau1[[#This Row],[Localisation / Classement]]&amp;"\"&amp;Tableau1[[#This Row],[Poste technique ou N° d''équipement]]&amp;"_"&amp;Tableau1[[#This Row],[Plan Entretien]]&amp;".xlsm"</f>
        <v>\\stjn.local\trimet\Btechnique\Commun\Atelier Central mécanique\Plan entretien\GammeEntretien\\_.xlsm</v>
      </c>
    </row>
    <row r="466" spans="1:30" x14ac:dyDescent="0.3">
      <c r="A466" s="44" t="str">
        <f t="shared" ca="1" si="7"/>
        <v>7.MENG</v>
      </c>
      <c r="B46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66" s="46"/>
      <c r="D466" s="44"/>
      <c r="E466" s="44"/>
      <c r="F466" s="55"/>
      <c r="G466" s="55"/>
      <c r="H466" s="56"/>
      <c r="I466" s="56"/>
      <c r="J466" s="56"/>
      <c r="K466" s="56"/>
      <c r="L466" s="57"/>
      <c r="M466" s="55"/>
      <c r="N466" s="57"/>
      <c r="O466" s="57"/>
      <c r="P466" s="55"/>
      <c r="Q466" s="57"/>
      <c r="R466" s="47"/>
      <c r="S466" s="48"/>
      <c r="T466" s="68" t="str">
        <f>IF(Tableau1[[#This Row],[DMS_SAP]]="","",HYPERLINK(Tableau1[[#This Row],[Chemin fichier source]],"X"))</f>
        <v/>
      </c>
      <c r="U466" s="68" t="str">
        <f>IF(Tableau1[[#This Row],[Date rév.]]="","",HYPERLINK(Tableau1[[#This Row],[Lien document]],"X"))</f>
        <v/>
      </c>
      <c r="V466" s="47"/>
      <c r="W46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66" s="47"/>
      <c r="Y466" s="47"/>
      <c r="Z466" s="44" t="str">
        <f ca="1">IF(AND(Tableau1[[#This Row],[Charge]]&lt;&gt;0, Tableau1[[#This Row],[Nombre intervenants]]&lt;&gt;0,Tableau1[[#This Row],[Lien document]]&lt;&gt;0,Tableau1[[#This Row],[DMS_SAP]]&lt;&gt;0)=TRUE,"MIS A JOUR","")</f>
        <v/>
      </c>
      <c r="AA466" s="48"/>
      <c r="AB466" s="65" t="str">
        <f ca="1">IF(Tableau1[[#This Row],[Date rév.]]&lt;&gt;"", DAYS360(Tableau1[[#This Row],[Date rév.]],TODAY()),"")</f>
        <v/>
      </c>
      <c r="AC466" s="50" t="str">
        <f>IFERROR(INDEX(Chemin_accès!$B$11:$C$22,MATCH(Tableau1[[#This Row],[Type]],Chemin_accès!$C$11:$C$22,0),1),Chemin_accès!$B$11)</f>
        <v>\\stjn.local\trimet\Btechnique\Commun\Atelier Central mécanique\Plan entretien\Modèles préventif\GammeDMS_7.MENG.xlsm</v>
      </c>
      <c r="AD466" s="50" t="str">
        <f>Chemin_accès!$B$8&amp;Tableau1[[#This Row],[Localisation / Classement]]&amp;"\"&amp;Tableau1[[#This Row],[Poste technique ou N° d''équipement]]&amp;"_"&amp;Tableau1[[#This Row],[Plan Entretien]]&amp;".xlsm"</f>
        <v>\\stjn.local\trimet\Btechnique\Commun\Atelier Central mécanique\Plan entretien\GammeEntretien\\_.xlsm</v>
      </c>
    </row>
    <row r="467" spans="1:30" x14ac:dyDescent="0.3">
      <c r="A467" s="44" t="str">
        <f t="shared" ca="1" si="7"/>
        <v>7.MENG</v>
      </c>
      <c r="B46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67" s="46"/>
      <c r="D467" s="44"/>
      <c r="E467" s="44"/>
      <c r="F467" s="55"/>
      <c r="G467" s="55"/>
      <c r="H467" s="56"/>
      <c r="I467" s="56"/>
      <c r="J467" s="56"/>
      <c r="K467" s="56"/>
      <c r="L467" s="57"/>
      <c r="M467" s="55"/>
      <c r="N467" s="57"/>
      <c r="O467" s="55"/>
      <c r="P467" s="55"/>
      <c r="Q467" s="57"/>
      <c r="R467" s="47"/>
      <c r="S467" s="48"/>
      <c r="T467" s="68" t="str">
        <f>IF(Tableau1[[#This Row],[DMS_SAP]]="","",HYPERLINK(Tableau1[[#This Row],[Chemin fichier source]],"X"))</f>
        <v/>
      </c>
      <c r="U467" s="68" t="str">
        <f>IF(Tableau1[[#This Row],[Date rév.]]="","",HYPERLINK(Tableau1[[#This Row],[Lien document]],"X"))</f>
        <v/>
      </c>
      <c r="V467" s="47"/>
      <c r="W46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67" s="47"/>
      <c r="Y467" s="47"/>
      <c r="Z467" s="44" t="str">
        <f ca="1">IF(AND(Tableau1[[#This Row],[Charge]]&lt;&gt;0, Tableau1[[#This Row],[Nombre intervenants]]&lt;&gt;0,Tableau1[[#This Row],[Lien document]]&lt;&gt;0,Tableau1[[#This Row],[DMS_SAP]]&lt;&gt;0)=TRUE,"MIS A JOUR","")</f>
        <v/>
      </c>
      <c r="AA467" s="48"/>
      <c r="AB467" s="65" t="str">
        <f ca="1">IF(Tableau1[[#This Row],[Date rév.]]&lt;&gt;"", DAYS360(Tableau1[[#This Row],[Date rév.]],TODAY()),"")</f>
        <v/>
      </c>
      <c r="AC467" s="50" t="str">
        <f>IFERROR(INDEX(Chemin_accès!$B$11:$C$22,MATCH(Tableau1[[#This Row],[Type]],Chemin_accès!$C$11:$C$22,0),1),Chemin_accès!$B$11)</f>
        <v>\\stjn.local\trimet\Btechnique\Commun\Atelier Central mécanique\Plan entretien\Modèles préventif\GammeDMS_7.MENG.xlsm</v>
      </c>
      <c r="AD467" s="50" t="str">
        <f>Chemin_accès!$B$8&amp;Tableau1[[#This Row],[Localisation / Classement]]&amp;"\"&amp;Tableau1[[#This Row],[Poste technique ou N° d''équipement]]&amp;"_"&amp;Tableau1[[#This Row],[Plan Entretien]]&amp;".xlsm"</f>
        <v>\\stjn.local\trimet\Btechnique\Commun\Atelier Central mécanique\Plan entretien\GammeEntretien\\_.xlsm</v>
      </c>
    </row>
    <row r="468" spans="1:30" x14ac:dyDescent="0.3">
      <c r="A468" s="44" t="str">
        <f t="shared" ca="1" si="7"/>
        <v>7.MENG</v>
      </c>
      <c r="B46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68" s="46"/>
      <c r="D468" s="44"/>
      <c r="E468" s="44"/>
      <c r="F468" s="55"/>
      <c r="G468" s="55"/>
      <c r="H468" s="56"/>
      <c r="I468" s="56"/>
      <c r="J468" s="56"/>
      <c r="K468" s="56"/>
      <c r="L468" s="57"/>
      <c r="M468" s="55"/>
      <c r="N468" s="57"/>
      <c r="O468" s="55"/>
      <c r="P468" s="55"/>
      <c r="Q468" s="57"/>
      <c r="R468" s="47"/>
      <c r="S468" s="48"/>
      <c r="T468" s="68" t="str">
        <f>IF(Tableau1[[#This Row],[DMS_SAP]]="","",HYPERLINK(Tableau1[[#This Row],[Chemin fichier source]],"X"))</f>
        <v/>
      </c>
      <c r="U468" s="68" t="str">
        <f>IF(Tableau1[[#This Row],[Date rév.]]="","",HYPERLINK(Tableau1[[#This Row],[Lien document]],"X"))</f>
        <v/>
      </c>
      <c r="V468" s="47"/>
      <c r="W46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68" s="47"/>
      <c r="Y468" s="47"/>
      <c r="Z468" s="44" t="str">
        <f ca="1">IF(AND(Tableau1[[#This Row],[Charge]]&lt;&gt;0, Tableau1[[#This Row],[Nombre intervenants]]&lt;&gt;0,Tableau1[[#This Row],[Lien document]]&lt;&gt;0,Tableau1[[#This Row],[DMS_SAP]]&lt;&gt;0)=TRUE,"MIS A JOUR","")</f>
        <v/>
      </c>
      <c r="AA468" s="48"/>
      <c r="AB468" s="65" t="str">
        <f ca="1">IF(Tableau1[[#This Row],[Date rév.]]&lt;&gt;"", DAYS360(Tableau1[[#This Row],[Date rév.]],TODAY()),"")</f>
        <v/>
      </c>
      <c r="AC468" s="50" t="str">
        <f>IFERROR(INDEX(Chemin_accès!$B$11:$C$22,MATCH(Tableau1[[#This Row],[Type]],Chemin_accès!$C$11:$C$22,0),1),Chemin_accès!$B$11)</f>
        <v>\\stjn.local\trimet\Btechnique\Commun\Atelier Central mécanique\Plan entretien\Modèles préventif\GammeDMS_7.MENG.xlsm</v>
      </c>
      <c r="AD468" s="50" t="str">
        <f>Chemin_accès!$B$8&amp;Tableau1[[#This Row],[Localisation / Classement]]&amp;"\"&amp;Tableau1[[#This Row],[Poste technique ou N° d''équipement]]&amp;"_"&amp;Tableau1[[#This Row],[Plan Entretien]]&amp;".xlsm"</f>
        <v>\\stjn.local\trimet\Btechnique\Commun\Atelier Central mécanique\Plan entretien\GammeEntretien\\_.xlsm</v>
      </c>
    </row>
    <row r="469" spans="1:30" x14ac:dyDescent="0.3">
      <c r="A469" s="44" t="str">
        <f t="shared" ca="1" si="7"/>
        <v>7.MENG</v>
      </c>
      <c r="B46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69" s="46"/>
      <c r="D469" s="44"/>
      <c r="E469" s="44"/>
      <c r="F469" s="55"/>
      <c r="G469" s="55"/>
      <c r="H469" s="56"/>
      <c r="I469" s="56"/>
      <c r="J469" s="56"/>
      <c r="K469" s="56"/>
      <c r="L469" s="57"/>
      <c r="M469" s="55"/>
      <c r="N469" s="57"/>
      <c r="O469" s="55"/>
      <c r="P469" s="55"/>
      <c r="Q469" s="57"/>
      <c r="R469" s="47"/>
      <c r="S469" s="48"/>
      <c r="T469" s="68" t="str">
        <f>IF(Tableau1[[#This Row],[DMS_SAP]]="","",HYPERLINK(Tableau1[[#This Row],[Chemin fichier source]],"X"))</f>
        <v/>
      </c>
      <c r="U469" s="68" t="str">
        <f>IF(Tableau1[[#This Row],[Date rév.]]="","",HYPERLINK(Tableau1[[#This Row],[Lien document]],"X"))</f>
        <v/>
      </c>
      <c r="V469" s="47"/>
      <c r="W46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69" s="47"/>
      <c r="Y469" s="47"/>
      <c r="Z469" s="44" t="str">
        <f ca="1">IF(AND(Tableau1[[#This Row],[Charge]]&lt;&gt;0, Tableau1[[#This Row],[Nombre intervenants]]&lt;&gt;0,Tableau1[[#This Row],[Lien document]]&lt;&gt;0,Tableau1[[#This Row],[DMS_SAP]]&lt;&gt;0)=TRUE,"MIS A JOUR","")</f>
        <v/>
      </c>
      <c r="AA469" s="48"/>
      <c r="AB469" s="65" t="str">
        <f ca="1">IF(Tableau1[[#This Row],[Date rév.]]&lt;&gt;"", DAYS360(Tableau1[[#This Row],[Date rév.]],TODAY()),"")</f>
        <v/>
      </c>
      <c r="AC469" s="50" t="str">
        <f>IFERROR(INDEX(Chemin_accès!$B$11:$C$22,MATCH(Tableau1[[#This Row],[Type]],Chemin_accès!$C$11:$C$22,0),1),Chemin_accès!$B$11)</f>
        <v>\\stjn.local\trimet\Btechnique\Commun\Atelier Central mécanique\Plan entretien\Modèles préventif\GammeDMS_7.MENG.xlsm</v>
      </c>
      <c r="AD469" s="50" t="str">
        <f>Chemin_accès!$B$8&amp;Tableau1[[#This Row],[Localisation / Classement]]&amp;"\"&amp;Tableau1[[#This Row],[Poste technique ou N° d''équipement]]&amp;"_"&amp;Tableau1[[#This Row],[Plan Entretien]]&amp;".xlsm"</f>
        <v>\\stjn.local\trimet\Btechnique\Commun\Atelier Central mécanique\Plan entretien\GammeEntretien\\_.xlsm</v>
      </c>
    </row>
    <row r="470" spans="1:30" x14ac:dyDescent="0.3">
      <c r="A470" s="44" t="str">
        <f t="shared" ca="1" si="7"/>
        <v>7.MENG</v>
      </c>
      <c r="B47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70" s="46"/>
      <c r="D470" s="44"/>
      <c r="E470" s="44"/>
      <c r="F470" s="55"/>
      <c r="G470" s="55"/>
      <c r="H470" s="56"/>
      <c r="I470" s="56"/>
      <c r="J470" s="56"/>
      <c r="K470" s="56"/>
      <c r="L470" s="57"/>
      <c r="M470" s="55"/>
      <c r="N470" s="57"/>
      <c r="O470" s="55"/>
      <c r="P470" s="55"/>
      <c r="Q470" s="57"/>
      <c r="R470" s="47"/>
      <c r="S470" s="48"/>
      <c r="T470" s="68" t="str">
        <f>IF(Tableau1[[#This Row],[DMS_SAP]]="","",HYPERLINK(Tableau1[[#This Row],[Chemin fichier source]],"X"))</f>
        <v/>
      </c>
      <c r="U470" s="68" t="str">
        <f>IF(Tableau1[[#This Row],[Date rév.]]="","",HYPERLINK(Tableau1[[#This Row],[Lien document]],"X"))</f>
        <v/>
      </c>
      <c r="V470" s="47"/>
      <c r="W47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70" s="47"/>
      <c r="Y470" s="47"/>
      <c r="Z470" s="44" t="str">
        <f ca="1">IF(AND(Tableau1[[#This Row],[Charge]]&lt;&gt;0, Tableau1[[#This Row],[Nombre intervenants]]&lt;&gt;0,Tableau1[[#This Row],[Lien document]]&lt;&gt;0,Tableau1[[#This Row],[DMS_SAP]]&lt;&gt;0)=TRUE,"MIS A JOUR","")</f>
        <v/>
      </c>
      <c r="AA470" s="48"/>
      <c r="AB470" s="65" t="str">
        <f ca="1">IF(Tableau1[[#This Row],[Date rév.]]&lt;&gt;"", DAYS360(Tableau1[[#This Row],[Date rév.]],TODAY()),"")</f>
        <v/>
      </c>
      <c r="AC470" s="50" t="str">
        <f>IFERROR(INDEX(Chemin_accès!$B$11:$C$22,MATCH(Tableau1[[#This Row],[Type]],Chemin_accès!$C$11:$C$22,0),1),Chemin_accès!$B$11)</f>
        <v>\\stjn.local\trimet\Btechnique\Commun\Atelier Central mécanique\Plan entretien\Modèles préventif\GammeDMS_7.MENG.xlsm</v>
      </c>
      <c r="AD470" s="50" t="str">
        <f>Chemin_accès!$B$8&amp;Tableau1[[#This Row],[Localisation / Classement]]&amp;"\"&amp;Tableau1[[#This Row],[Poste technique ou N° d''équipement]]&amp;"_"&amp;Tableau1[[#This Row],[Plan Entretien]]&amp;".xlsm"</f>
        <v>\\stjn.local\trimet\Btechnique\Commun\Atelier Central mécanique\Plan entretien\GammeEntretien\\_.xlsm</v>
      </c>
    </row>
    <row r="471" spans="1:30" x14ac:dyDescent="0.3">
      <c r="A471" s="44" t="str">
        <f t="shared" ca="1" si="7"/>
        <v>7.MENG</v>
      </c>
      <c r="B47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71" s="46"/>
      <c r="D471" s="44"/>
      <c r="E471" s="44"/>
      <c r="F471" s="55"/>
      <c r="G471" s="55"/>
      <c r="H471" s="56"/>
      <c r="I471" s="56"/>
      <c r="J471" s="56"/>
      <c r="K471" s="56"/>
      <c r="L471" s="57"/>
      <c r="M471" s="55"/>
      <c r="N471" s="57"/>
      <c r="O471" s="55"/>
      <c r="P471" s="55"/>
      <c r="Q471" s="57"/>
      <c r="R471" s="47"/>
      <c r="S471" s="48"/>
      <c r="T471" s="68" t="str">
        <f>IF(Tableau1[[#This Row],[DMS_SAP]]="","",HYPERLINK(Tableau1[[#This Row],[Chemin fichier source]],"X"))</f>
        <v/>
      </c>
      <c r="U471" s="68" t="str">
        <f>IF(Tableau1[[#This Row],[Date rév.]]="","",HYPERLINK(Tableau1[[#This Row],[Lien document]],"X"))</f>
        <v/>
      </c>
      <c r="V471" s="47"/>
      <c r="W47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71" s="47"/>
      <c r="Y471" s="47"/>
      <c r="Z471" s="44" t="str">
        <f ca="1">IF(AND(Tableau1[[#This Row],[Charge]]&lt;&gt;0, Tableau1[[#This Row],[Nombre intervenants]]&lt;&gt;0,Tableau1[[#This Row],[Lien document]]&lt;&gt;0,Tableau1[[#This Row],[DMS_SAP]]&lt;&gt;0)=TRUE,"MIS A JOUR","")</f>
        <v/>
      </c>
      <c r="AA471" s="48"/>
      <c r="AB471" s="65" t="str">
        <f ca="1">IF(Tableau1[[#This Row],[Date rév.]]&lt;&gt;"", DAYS360(Tableau1[[#This Row],[Date rév.]],TODAY()),"")</f>
        <v/>
      </c>
      <c r="AC471" s="50" t="str">
        <f>IFERROR(INDEX(Chemin_accès!$B$11:$C$22,MATCH(Tableau1[[#This Row],[Type]],Chemin_accès!$C$11:$C$22,0),1),Chemin_accès!$B$11)</f>
        <v>\\stjn.local\trimet\Btechnique\Commun\Atelier Central mécanique\Plan entretien\Modèles préventif\GammeDMS_7.MENG.xlsm</v>
      </c>
      <c r="AD471" s="50" t="str">
        <f>Chemin_accès!$B$8&amp;Tableau1[[#This Row],[Localisation / Classement]]&amp;"\"&amp;Tableau1[[#This Row],[Poste technique ou N° d''équipement]]&amp;"_"&amp;Tableau1[[#This Row],[Plan Entretien]]&amp;".xlsm"</f>
        <v>\\stjn.local\trimet\Btechnique\Commun\Atelier Central mécanique\Plan entretien\GammeEntretien\\_.xlsm</v>
      </c>
    </row>
    <row r="472" spans="1:30" x14ac:dyDescent="0.3">
      <c r="A472" s="44" t="str">
        <f t="shared" ca="1" si="7"/>
        <v>7.MENG</v>
      </c>
      <c r="B47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72" s="46"/>
      <c r="D472" s="44"/>
      <c r="E472" s="44"/>
      <c r="F472" s="55"/>
      <c r="G472" s="55"/>
      <c r="H472" s="56"/>
      <c r="I472" s="56"/>
      <c r="J472" s="56"/>
      <c r="K472" s="56"/>
      <c r="L472" s="57"/>
      <c r="M472" s="55"/>
      <c r="N472" s="57"/>
      <c r="O472" s="55"/>
      <c r="P472" s="55"/>
      <c r="Q472" s="57"/>
      <c r="R472" s="47"/>
      <c r="S472" s="48"/>
      <c r="T472" s="68" t="str">
        <f>IF(Tableau1[[#This Row],[DMS_SAP]]="","",HYPERLINK(Tableau1[[#This Row],[Chemin fichier source]],"X"))</f>
        <v/>
      </c>
      <c r="U472" s="68" t="str">
        <f>IF(Tableau1[[#This Row],[Date rév.]]="","",HYPERLINK(Tableau1[[#This Row],[Lien document]],"X"))</f>
        <v/>
      </c>
      <c r="V472" s="47"/>
      <c r="W47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72" s="47"/>
      <c r="Y472" s="47"/>
      <c r="Z472" s="44" t="str">
        <f ca="1">IF(AND(Tableau1[[#This Row],[Charge]]&lt;&gt;0, Tableau1[[#This Row],[Nombre intervenants]]&lt;&gt;0,Tableau1[[#This Row],[Lien document]]&lt;&gt;0,Tableau1[[#This Row],[DMS_SAP]]&lt;&gt;0)=TRUE,"MIS A JOUR","")</f>
        <v/>
      </c>
      <c r="AA472" s="48"/>
      <c r="AB472" s="65" t="str">
        <f ca="1">IF(Tableau1[[#This Row],[Date rév.]]&lt;&gt;"", DAYS360(Tableau1[[#This Row],[Date rév.]],TODAY()),"")</f>
        <v/>
      </c>
      <c r="AC472" s="50" t="str">
        <f>IFERROR(INDEX(Chemin_accès!$B$11:$C$22,MATCH(Tableau1[[#This Row],[Type]],Chemin_accès!$C$11:$C$22,0),1),Chemin_accès!$B$11)</f>
        <v>\\stjn.local\trimet\Btechnique\Commun\Atelier Central mécanique\Plan entretien\Modèles préventif\GammeDMS_7.MENG.xlsm</v>
      </c>
      <c r="AD472" s="50" t="str">
        <f>Chemin_accès!$B$8&amp;Tableau1[[#This Row],[Localisation / Classement]]&amp;"\"&amp;Tableau1[[#This Row],[Poste technique ou N° d''équipement]]&amp;"_"&amp;Tableau1[[#This Row],[Plan Entretien]]&amp;".xlsm"</f>
        <v>\\stjn.local\trimet\Btechnique\Commun\Atelier Central mécanique\Plan entretien\GammeEntretien\\_.xlsm</v>
      </c>
    </row>
    <row r="473" spans="1:30" x14ac:dyDescent="0.3">
      <c r="A473" s="44" t="str">
        <f t="shared" ca="1" si="7"/>
        <v>7.MENG</v>
      </c>
      <c r="B47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73" s="46"/>
      <c r="D473" s="44"/>
      <c r="E473" s="44"/>
      <c r="F473" s="55"/>
      <c r="G473" s="55"/>
      <c r="H473" s="56"/>
      <c r="I473" s="56"/>
      <c r="J473" s="56"/>
      <c r="K473" s="56"/>
      <c r="L473" s="57"/>
      <c r="M473" s="55"/>
      <c r="N473" s="57"/>
      <c r="O473" s="55"/>
      <c r="P473" s="55"/>
      <c r="Q473" s="57"/>
      <c r="R473" s="47"/>
      <c r="S473" s="48"/>
      <c r="T473" s="68" t="str">
        <f>IF(Tableau1[[#This Row],[DMS_SAP]]="","",HYPERLINK(Tableau1[[#This Row],[Chemin fichier source]],"X"))</f>
        <v/>
      </c>
      <c r="U473" s="68" t="str">
        <f>IF(Tableau1[[#This Row],[Date rév.]]="","",HYPERLINK(Tableau1[[#This Row],[Lien document]],"X"))</f>
        <v/>
      </c>
      <c r="V473" s="47"/>
      <c r="W47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73" s="47"/>
      <c r="Y473" s="47"/>
      <c r="Z473" s="44" t="str">
        <f ca="1">IF(AND(Tableau1[[#This Row],[Charge]]&lt;&gt;0, Tableau1[[#This Row],[Nombre intervenants]]&lt;&gt;0,Tableau1[[#This Row],[Lien document]]&lt;&gt;0,Tableau1[[#This Row],[DMS_SAP]]&lt;&gt;0)=TRUE,"MIS A JOUR","")</f>
        <v/>
      </c>
      <c r="AA473" s="48"/>
      <c r="AB473" s="65" t="str">
        <f ca="1">IF(Tableau1[[#This Row],[Date rév.]]&lt;&gt;"", DAYS360(Tableau1[[#This Row],[Date rév.]],TODAY()),"")</f>
        <v/>
      </c>
      <c r="AC473" s="50" t="str">
        <f>IFERROR(INDEX(Chemin_accès!$B$11:$C$22,MATCH(Tableau1[[#This Row],[Type]],Chemin_accès!$C$11:$C$22,0),1),Chemin_accès!$B$11)</f>
        <v>\\stjn.local\trimet\Btechnique\Commun\Atelier Central mécanique\Plan entretien\Modèles préventif\GammeDMS_7.MENG.xlsm</v>
      </c>
      <c r="AD473" s="50" t="str">
        <f>Chemin_accès!$B$8&amp;Tableau1[[#This Row],[Localisation / Classement]]&amp;"\"&amp;Tableau1[[#This Row],[Poste technique ou N° d''équipement]]&amp;"_"&amp;Tableau1[[#This Row],[Plan Entretien]]&amp;".xlsm"</f>
        <v>\\stjn.local\trimet\Btechnique\Commun\Atelier Central mécanique\Plan entretien\GammeEntretien\\_.xlsm</v>
      </c>
    </row>
    <row r="474" spans="1:30" x14ac:dyDescent="0.3">
      <c r="A474" s="44" t="str">
        <f t="shared" ca="1" si="7"/>
        <v>7.MENG</v>
      </c>
      <c r="B47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74" s="46"/>
      <c r="D474" s="44"/>
      <c r="E474" s="44"/>
      <c r="F474" s="55"/>
      <c r="G474" s="55"/>
      <c r="H474" s="56"/>
      <c r="I474" s="56"/>
      <c r="J474" s="56"/>
      <c r="K474" s="56"/>
      <c r="L474" s="57"/>
      <c r="M474" s="55"/>
      <c r="N474" s="57"/>
      <c r="O474" s="55"/>
      <c r="P474" s="55"/>
      <c r="Q474" s="57"/>
      <c r="R474" s="47"/>
      <c r="S474" s="48"/>
      <c r="T474" s="68" t="str">
        <f>IF(Tableau1[[#This Row],[DMS_SAP]]="","",HYPERLINK(Tableau1[[#This Row],[Chemin fichier source]],"X"))</f>
        <v/>
      </c>
      <c r="U474" s="68" t="str">
        <f>IF(Tableau1[[#This Row],[Date rév.]]="","",HYPERLINK(Tableau1[[#This Row],[Lien document]],"X"))</f>
        <v/>
      </c>
      <c r="V474" s="47"/>
      <c r="W47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74" s="47"/>
      <c r="Y474" s="47"/>
      <c r="Z474" s="44" t="str">
        <f ca="1">IF(AND(Tableau1[[#This Row],[Charge]]&lt;&gt;0, Tableau1[[#This Row],[Nombre intervenants]]&lt;&gt;0,Tableau1[[#This Row],[Lien document]]&lt;&gt;0,Tableau1[[#This Row],[DMS_SAP]]&lt;&gt;0)=TRUE,"MIS A JOUR","")</f>
        <v/>
      </c>
      <c r="AA474" s="48"/>
      <c r="AB474" s="65" t="str">
        <f ca="1">IF(Tableau1[[#This Row],[Date rév.]]&lt;&gt;"", DAYS360(Tableau1[[#This Row],[Date rév.]],TODAY()),"")</f>
        <v/>
      </c>
      <c r="AC474" s="50" t="str">
        <f>IFERROR(INDEX(Chemin_accès!$B$11:$C$22,MATCH(Tableau1[[#This Row],[Type]],Chemin_accès!$C$11:$C$22,0),1),Chemin_accès!$B$11)</f>
        <v>\\stjn.local\trimet\Btechnique\Commun\Atelier Central mécanique\Plan entretien\Modèles préventif\GammeDMS_7.MENG.xlsm</v>
      </c>
      <c r="AD474" s="50" t="str">
        <f>Chemin_accès!$B$8&amp;Tableau1[[#This Row],[Localisation / Classement]]&amp;"\"&amp;Tableau1[[#This Row],[Poste technique ou N° d''équipement]]&amp;"_"&amp;Tableau1[[#This Row],[Plan Entretien]]&amp;".xlsm"</f>
        <v>\\stjn.local\trimet\Btechnique\Commun\Atelier Central mécanique\Plan entretien\GammeEntretien\\_.xlsm</v>
      </c>
    </row>
    <row r="475" spans="1:30" x14ac:dyDescent="0.3">
      <c r="A475" s="44" t="str">
        <f t="shared" ca="1" si="7"/>
        <v>7.MENG</v>
      </c>
      <c r="B47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75" s="46"/>
      <c r="D475" s="44"/>
      <c r="E475" s="44"/>
      <c r="F475" s="55"/>
      <c r="G475" s="55"/>
      <c r="H475" s="56"/>
      <c r="I475" s="56"/>
      <c r="J475" s="56"/>
      <c r="K475" s="56"/>
      <c r="L475" s="57"/>
      <c r="M475" s="55"/>
      <c r="N475" s="57"/>
      <c r="O475" s="55"/>
      <c r="P475" s="55"/>
      <c r="Q475" s="57"/>
      <c r="R475" s="47"/>
      <c r="S475" s="48"/>
      <c r="T475" s="68" t="str">
        <f>IF(Tableau1[[#This Row],[DMS_SAP]]="","",HYPERLINK(Tableau1[[#This Row],[Chemin fichier source]],"X"))</f>
        <v/>
      </c>
      <c r="U475" s="68" t="str">
        <f>IF(Tableau1[[#This Row],[Date rév.]]="","",HYPERLINK(Tableau1[[#This Row],[Lien document]],"X"))</f>
        <v/>
      </c>
      <c r="V475" s="47"/>
      <c r="W47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75" s="47"/>
      <c r="Y475" s="47"/>
      <c r="Z475" s="44" t="str">
        <f ca="1">IF(AND(Tableau1[[#This Row],[Charge]]&lt;&gt;0, Tableau1[[#This Row],[Nombre intervenants]]&lt;&gt;0,Tableau1[[#This Row],[Lien document]]&lt;&gt;0,Tableau1[[#This Row],[DMS_SAP]]&lt;&gt;0)=TRUE,"MIS A JOUR","")</f>
        <v/>
      </c>
      <c r="AA475" s="48"/>
      <c r="AB475" s="65" t="str">
        <f ca="1">IF(Tableau1[[#This Row],[Date rév.]]&lt;&gt;"", DAYS360(Tableau1[[#This Row],[Date rév.]],TODAY()),"")</f>
        <v/>
      </c>
      <c r="AC475" s="50" t="str">
        <f>IFERROR(INDEX(Chemin_accès!$B$11:$C$22,MATCH(Tableau1[[#This Row],[Type]],Chemin_accès!$C$11:$C$22,0),1),Chemin_accès!$B$11)</f>
        <v>\\stjn.local\trimet\Btechnique\Commun\Atelier Central mécanique\Plan entretien\Modèles préventif\GammeDMS_7.MENG.xlsm</v>
      </c>
      <c r="AD475" s="50" t="str">
        <f>Chemin_accès!$B$8&amp;Tableau1[[#This Row],[Localisation / Classement]]&amp;"\"&amp;Tableau1[[#This Row],[Poste technique ou N° d''équipement]]&amp;"_"&amp;Tableau1[[#This Row],[Plan Entretien]]&amp;".xlsm"</f>
        <v>\\stjn.local\trimet\Btechnique\Commun\Atelier Central mécanique\Plan entretien\GammeEntretien\\_.xlsm</v>
      </c>
    </row>
    <row r="476" spans="1:30" x14ac:dyDescent="0.3">
      <c r="A476" s="44" t="str">
        <f t="shared" ca="1" si="7"/>
        <v>7.MENG</v>
      </c>
      <c r="B47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76" s="46"/>
      <c r="D476" s="44"/>
      <c r="E476" s="44"/>
      <c r="F476" s="55"/>
      <c r="G476" s="55"/>
      <c r="H476" s="56"/>
      <c r="I476" s="56"/>
      <c r="J476" s="56"/>
      <c r="K476" s="56"/>
      <c r="L476" s="57"/>
      <c r="M476" s="55"/>
      <c r="N476" s="57"/>
      <c r="O476" s="55"/>
      <c r="P476" s="55"/>
      <c r="Q476" s="57"/>
      <c r="R476" s="47"/>
      <c r="S476" s="48"/>
      <c r="T476" s="68" t="str">
        <f>IF(Tableau1[[#This Row],[DMS_SAP]]="","",HYPERLINK(Tableau1[[#This Row],[Chemin fichier source]],"X"))</f>
        <v/>
      </c>
      <c r="U476" s="68" t="str">
        <f>IF(Tableau1[[#This Row],[Date rév.]]="","",HYPERLINK(Tableau1[[#This Row],[Lien document]],"X"))</f>
        <v/>
      </c>
      <c r="V476" s="47"/>
      <c r="W47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76" s="47"/>
      <c r="Y476" s="47"/>
      <c r="Z476" s="44" t="str">
        <f ca="1">IF(AND(Tableau1[[#This Row],[Charge]]&lt;&gt;0, Tableau1[[#This Row],[Nombre intervenants]]&lt;&gt;0,Tableau1[[#This Row],[Lien document]]&lt;&gt;0,Tableau1[[#This Row],[DMS_SAP]]&lt;&gt;0)=TRUE,"MIS A JOUR","")</f>
        <v/>
      </c>
      <c r="AA476" s="48"/>
      <c r="AB476" s="65" t="str">
        <f ca="1">IF(Tableau1[[#This Row],[Date rév.]]&lt;&gt;"", DAYS360(Tableau1[[#This Row],[Date rév.]],TODAY()),"")</f>
        <v/>
      </c>
      <c r="AC476" s="50" t="str">
        <f>IFERROR(INDEX(Chemin_accès!$B$11:$C$22,MATCH(Tableau1[[#This Row],[Type]],Chemin_accès!$C$11:$C$22,0),1),Chemin_accès!$B$11)</f>
        <v>\\stjn.local\trimet\Btechnique\Commun\Atelier Central mécanique\Plan entretien\Modèles préventif\GammeDMS_7.MENG.xlsm</v>
      </c>
      <c r="AD476" s="50" t="str">
        <f>Chemin_accès!$B$8&amp;Tableau1[[#This Row],[Localisation / Classement]]&amp;"\"&amp;Tableau1[[#This Row],[Poste technique ou N° d''équipement]]&amp;"_"&amp;Tableau1[[#This Row],[Plan Entretien]]&amp;".xlsm"</f>
        <v>\\stjn.local\trimet\Btechnique\Commun\Atelier Central mécanique\Plan entretien\GammeEntretien\\_.xlsm</v>
      </c>
    </row>
    <row r="477" spans="1:30" x14ac:dyDescent="0.3">
      <c r="A477" s="44" t="str">
        <f t="shared" ca="1" si="7"/>
        <v>7.MENG</v>
      </c>
      <c r="B47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77" s="46"/>
      <c r="D477" s="44"/>
      <c r="E477" s="44"/>
      <c r="F477" s="55"/>
      <c r="G477" s="55"/>
      <c r="H477" s="56"/>
      <c r="I477" s="56"/>
      <c r="J477" s="56"/>
      <c r="K477" s="56"/>
      <c r="L477" s="57"/>
      <c r="M477" s="55"/>
      <c r="N477" s="57"/>
      <c r="O477" s="55"/>
      <c r="P477" s="55"/>
      <c r="Q477" s="57"/>
      <c r="R477" s="47"/>
      <c r="S477" s="48"/>
      <c r="T477" s="68" t="str">
        <f>IF(Tableau1[[#This Row],[DMS_SAP]]="","",HYPERLINK(Tableau1[[#This Row],[Chemin fichier source]],"X"))</f>
        <v/>
      </c>
      <c r="U477" s="68" t="str">
        <f>IF(Tableau1[[#This Row],[Date rév.]]="","",HYPERLINK(Tableau1[[#This Row],[Lien document]],"X"))</f>
        <v/>
      </c>
      <c r="V477" s="47"/>
      <c r="W47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77" s="47"/>
      <c r="Y477" s="47"/>
      <c r="Z477" s="44" t="str">
        <f ca="1">IF(AND(Tableau1[[#This Row],[Charge]]&lt;&gt;0, Tableau1[[#This Row],[Nombre intervenants]]&lt;&gt;0,Tableau1[[#This Row],[Lien document]]&lt;&gt;0,Tableau1[[#This Row],[DMS_SAP]]&lt;&gt;0)=TRUE,"MIS A JOUR","")</f>
        <v/>
      </c>
      <c r="AA477" s="48"/>
      <c r="AB477" s="65" t="str">
        <f ca="1">IF(Tableau1[[#This Row],[Date rév.]]&lt;&gt;"", DAYS360(Tableau1[[#This Row],[Date rév.]],TODAY()),"")</f>
        <v/>
      </c>
      <c r="AC477" s="50" t="str">
        <f>IFERROR(INDEX(Chemin_accès!$B$11:$C$22,MATCH(Tableau1[[#This Row],[Type]],Chemin_accès!$C$11:$C$22,0),1),Chemin_accès!$B$11)</f>
        <v>\\stjn.local\trimet\Btechnique\Commun\Atelier Central mécanique\Plan entretien\Modèles préventif\GammeDMS_7.MENG.xlsm</v>
      </c>
      <c r="AD477" s="50" t="str">
        <f>Chemin_accès!$B$8&amp;Tableau1[[#This Row],[Localisation / Classement]]&amp;"\"&amp;Tableau1[[#This Row],[Poste technique ou N° d''équipement]]&amp;"_"&amp;Tableau1[[#This Row],[Plan Entretien]]&amp;".xlsm"</f>
        <v>\\stjn.local\trimet\Btechnique\Commun\Atelier Central mécanique\Plan entretien\GammeEntretien\\_.xlsm</v>
      </c>
    </row>
    <row r="478" spans="1:30" x14ac:dyDescent="0.3">
      <c r="A478" s="44" t="str">
        <f t="shared" ca="1" si="7"/>
        <v>7.MENG</v>
      </c>
      <c r="B47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78" s="47"/>
      <c r="D478" s="44"/>
      <c r="E478" s="44"/>
      <c r="F478" s="47"/>
      <c r="G478" s="47"/>
      <c r="H478" s="45"/>
      <c r="I478" s="45"/>
      <c r="J478" s="45"/>
      <c r="K478" s="45"/>
      <c r="L478" s="46"/>
      <c r="M478" s="47"/>
      <c r="N478" s="47"/>
      <c r="O478" s="47"/>
      <c r="P478" s="47"/>
      <c r="Q478" s="47"/>
      <c r="R478" s="47"/>
      <c r="S478" s="48"/>
      <c r="T478" s="68" t="str">
        <f>IF(Tableau1[[#This Row],[DMS_SAP]]="","",HYPERLINK(Tableau1[[#This Row],[Chemin fichier source]],"X"))</f>
        <v/>
      </c>
      <c r="U478" s="68" t="str">
        <f>IF(Tableau1[[#This Row],[Date rév.]]="","",HYPERLINK(Tableau1[[#This Row],[Lien document]],"X"))</f>
        <v/>
      </c>
      <c r="V478" s="47"/>
      <c r="W47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78" s="47"/>
      <c r="Y478" s="47"/>
      <c r="Z478" s="44" t="str">
        <f ca="1">IF(AND(Tableau1[[#This Row],[Charge]]&lt;&gt;0, Tableau1[[#This Row],[Nombre intervenants]]&lt;&gt;0,Tableau1[[#This Row],[Lien document]]&lt;&gt;0,Tableau1[[#This Row],[DMS_SAP]]&lt;&gt;0)=TRUE,"MIS A JOUR","")</f>
        <v/>
      </c>
      <c r="AA478" s="48"/>
      <c r="AB478" s="65" t="str">
        <f ca="1">IF(Tableau1[[#This Row],[Date rév.]]&lt;&gt;"", DAYS360(Tableau1[[#This Row],[Date rév.]],TODAY()),"")</f>
        <v/>
      </c>
      <c r="AC478" s="50" t="str">
        <f>IFERROR(INDEX(Chemin_accès!$B$11:$C$22,MATCH(Tableau1[[#This Row],[Type]],Chemin_accès!$C$11:$C$22,0),1),Chemin_accès!$B$11)</f>
        <v>\\stjn.local\trimet\Btechnique\Commun\Atelier Central mécanique\Plan entretien\Modèles préventif\GammeDMS_7.MENG.xlsm</v>
      </c>
      <c r="AD478" s="50" t="str">
        <f>Chemin_accès!$B$8&amp;Tableau1[[#This Row],[Localisation / Classement]]&amp;"\"&amp;Tableau1[[#This Row],[Poste technique ou N° d''équipement]]&amp;"_"&amp;Tableau1[[#This Row],[Plan Entretien]]&amp;".xlsm"</f>
        <v>\\stjn.local\trimet\Btechnique\Commun\Atelier Central mécanique\Plan entretien\GammeEntretien\\_.xlsm</v>
      </c>
    </row>
    <row r="479" spans="1:30" x14ac:dyDescent="0.3">
      <c r="A479" s="44" t="str">
        <f t="shared" ca="1" si="7"/>
        <v>7.MENG</v>
      </c>
      <c r="B47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79" s="47"/>
      <c r="D479" s="44"/>
      <c r="E479" s="44"/>
      <c r="F479" s="47"/>
      <c r="G479" s="47"/>
      <c r="H479" s="45"/>
      <c r="I479" s="45"/>
      <c r="J479" s="45"/>
      <c r="K479" s="45"/>
      <c r="L479" s="46"/>
      <c r="M479" s="47"/>
      <c r="N479" s="47"/>
      <c r="O479" s="47"/>
      <c r="P479" s="47"/>
      <c r="Q479" s="47"/>
      <c r="R479" s="47"/>
      <c r="S479" s="48"/>
      <c r="T479" s="68" t="str">
        <f>IF(Tableau1[[#This Row],[DMS_SAP]]="","",HYPERLINK(Tableau1[[#This Row],[Chemin fichier source]],"X"))</f>
        <v/>
      </c>
      <c r="U479" s="68" t="str">
        <f>IF(Tableau1[[#This Row],[Date rév.]]="","",HYPERLINK(Tableau1[[#This Row],[Lien document]],"X"))</f>
        <v/>
      </c>
      <c r="V479" s="47"/>
      <c r="W47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79" s="47"/>
      <c r="Y479" s="47"/>
      <c r="Z479" s="44" t="str">
        <f ca="1">IF(AND(Tableau1[[#This Row],[Charge]]&lt;&gt;0, Tableau1[[#This Row],[Nombre intervenants]]&lt;&gt;0,Tableau1[[#This Row],[Lien document]]&lt;&gt;0,Tableau1[[#This Row],[DMS_SAP]]&lt;&gt;0)=TRUE,"MIS A JOUR","")</f>
        <v/>
      </c>
      <c r="AA479" s="48"/>
      <c r="AB479" s="65" t="str">
        <f ca="1">IF(Tableau1[[#This Row],[Date rév.]]&lt;&gt;"", DAYS360(Tableau1[[#This Row],[Date rév.]],TODAY()),"")</f>
        <v/>
      </c>
      <c r="AC479" s="50" t="str">
        <f>IFERROR(INDEX(Chemin_accès!$B$11:$C$22,MATCH(Tableau1[[#This Row],[Type]],Chemin_accès!$C$11:$C$22,0),1),Chemin_accès!$B$11)</f>
        <v>\\stjn.local\trimet\Btechnique\Commun\Atelier Central mécanique\Plan entretien\Modèles préventif\GammeDMS_7.MENG.xlsm</v>
      </c>
      <c r="AD479" s="50" t="str">
        <f>Chemin_accès!$B$8&amp;Tableau1[[#This Row],[Localisation / Classement]]&amp;"\"&amp;Tableau1[[#This Row],[Poste technique ou N° d''équipement]]&amp;"_"&amp;Tableau1[[#This Row],[Plan Entretien]]&amp;".xlsm"</f>
        <v>\\stjn.local\trimet\Btechnique\Commun\Atelier Central mécanique\Plan entretien\GammeEntretien\\_.xlsm</v>
      </c>
    </row>
    <row r="480" spans="1:30" x14ac:dyDescent="0.3">
      <c r="A480" s="44" t="str">
        <f t="shared" ca="1" si="7"/>
        <v>7.MENG</v>
      </c>
      <c r="B48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80" s="47"/>
      <c r="D480" s="44"/>
      <c r="E480" s="44"/>
      <c r="F480" s="47"/>
      <c r="G480" s="47"/>
      <c r="H480" s="45"/>
      <c r="I480" s="45"/>
      <c r="J480" s="45"/>
      <c r="K480" s="45"/>
      <c r="L480" s="46"/>
      <c r="M480" s="47"/>
      <c r="N480" s="47"/>
      <c r="O480" s="47"/>
      <c r="P480" s="47"/>
      <c r="Q480" s="47"/>
      <c r="R480" s="47"/>
      <c r="S480" s="48"/>
      <c r="T480" s="68" t="str">
        <f>IF(Tableau1[[#This Row],[DMS_SAP]]="","",HYPERLINK(Tableau1[[#This Row],[Chemin fichier source]],"X"))</f>
        <v/>
      </c>
      <c r="U480" s="68" t="str">
        <f>IF(Tableau1[[#This Row],[Date rév.]]="","",HYPERLINK(Tableau1[[#This Row],[Lien document]],"X"))</f>
        <v/>
      </c>
      <c r="V480" s="47"/>
      <c r="W480" s="54"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80" s="47"/>
      <c r="Y480" s="47"/>
      <c r="Z480" s="44" t="str">
        <f ca="1">IF(AND(Tableau1[[#This Row],[Charge]]&lt;&gt;0, Tableau1[[#This Row],[Nombre intervenants]]&lt;&gt;0,Tableau1[[#This Row],[Lien document]]&lt;&gt;0,Tableau1[[#This Row],[DMS_SAP]]&lt;&gt;0)=TRUE,"MIS A JOUR","")</f>
        <v/>
      </c>
      <c r="AA480" s="48"/>
      <c r="AB480" s="65" t="str">
        <f ca="1">IF(Tableau1[[#This Row],[Date rév.]]&lt;&gt;"", DAYS360(Tableau1[[#This Row],[Date rév.]],TODAY()),"")</f>
        <v/>
      </c>
      <c r="AC480" s="50" t="str">
        <f>IFERROR(INDEX(Chemin_accès!$B$11:$C$22,MATCH(Tableau1[[#This Row],[Type]],Chemin_accès!$C$11:$C$22,0),1),Chemin_accès!$B$11)</f>
        <v>\\stjn.local\trimet\Btechnique\Commun\Atelier Central mécanique\Plan entretien\Modèles préventif\GammeDMS_7.MENG.xlsm</v>
      </c>
      <c r="AD480" s="50" t="str">
        <f>Chemin_accès!$B$8&amp;Tableau1[[#This Row],[Localisation / Classement]]&amp;"\"&amp;Tableau1[[#This Row],[Poste technique ou N° d''équipement]]&amp;"_"&amp;Tableau1[[#This Row],[Plan Entretien]]&amp;".xlsm"</f>
        <v>\\stjn.local\trimet\Btechnique\Commun\Atelier Central mécanique\Plan entretien\GammeEntretien\\_.xlsm</v>
      </c>
    </row>
    <row r="481" spans="1:30" x14ac:dyDescent="0.3">
      <c r="A481" s="44" t="str">
        <f t="shared" ca="1" si="7"/>
        <v>7.MENG</v>
      </c>
      <c r="B48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81" s="47"/>
      <c r="D481" s="44"/>
      <c r="E481" s="44"/>
      <c r="F481" s="47"/>
      <c r="G481" s="47"/>
      <c r="H481" s="45"/>
      <c r="I481" s="45"/>
      <c r="J481" s="45"/>
      <c r="K481" s="45"/>
      <c r="L481" s="46"/>
      <c r="M481" s="47"/>
      <c r="N481" s="47"/>
      <c r="O481" s="47"/>
      <c r="P481" s="47"/>
      <c r="Q481" s="47"/>
      <c r="R481" s="47"/>
      <c r="S481" s="48"/>
      <c r="T481" s="68" t="str">
        <f>IF(Tableau1[[#This Row],[DMS_SAP]]="","",HYPERLINK(Tableau1[[#This Row],[Chemin fichier source]],"X"))</f>
        <v/>
      </c>
      <c r="U481" s="68" t="str">
        <f>IF(Tableau1[[#This Row],[Date rév.]]="","",HYPERLINK(Tableau1[[#This Row],[Lien document]],"X"))</f>
        <v/>
      </c>
      <c r="V481" s="47"/>
      <c r="W48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81" s="47"/>
      <c r="Y481" s="47"/>
      <c r="Z481" s="44" t="str">
        <f ca="1">IF(AND(Tableau1[[#This Row],[Charge]]&lt;&gt;0, Tableau1[[#This Row],[Nombre intervenants]]&lt;&gt;0,Tableau1[[#This Row],[Lien document]]&lt;&gt;0,Tableau1[[#This Row],[DMS_SAP]]&lt;&gt;0)=TRUE,"MIS A JOUR","")</f>
        <v/>
      </c>
      <c r="AA481" s="48"/>
      <c r="AB481" s="65" t="str">
        <f ca="1">IF(Tableau1[[#This Row],[Date rév.]]&lt;&gt;"", DAYS360(Tableau1[[#This Row],[Date rév.]],TODAY()),"")</f>
        <v/>
      </c>
      <c r="AC481" s="50" t="str">
        <f>IFERROR(INDEX(Chemin_accès!$B$11:$C$22,MATCH(Tableau1[[#This Row],[Type]],Chemin_accès!$C$11:$C$22,0),1),Chemin_accès!$B$11)</f>
        <v>\\stjn.local\trimet\Btechnique\Commun\Atelier Central mécanique\Plan entretien\Modèles préventif\GammeDMS_7.MENG.xlsm</v>
      </c>
      <c r="AD481" s="50" t="str">
        <f>Chemin_accès!$B$8&amp;Tableau1[[#This Row],[Localisation / Classement]]&amp;"\"&amp;Tableau1[[#This Row],[Poste technique ou N° d''équipement]]&amp;"_"&amp;Tableau1[[#This Row],[Plan Entretien]]&amp;".xlsm"</f>
        <v>\\stjn.local\trimet\Btechnique\Commun\Atelier Central mécanique\Plan entretien\GammeEntretien\\_.xlsm</v>
      </c>
    </row>
    <row r="482" spans="1:30" x14ac:dyDescent="0.3">
      <c r="A482" s="44" t="str">
        <f t="shared" ca="1" si="7"/>
        <v>7.MENG</v>
      </c>
      <c r="B48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82" s="47"/>
      <c r="D482" s="44"/>
      <c r="E482" s="44"/>
      <c r="F482" s="47"/>
      <c r="G482" s="47"/>
      <c r="H482" s="45"/>
      <c r="I482" s="45"/>
      <c r="J482" s="45"/>
      <c r="K482" s="45"/>
      <c r="L482" s="46"/>
      <c r="M482" s="47"/>
      <c r="N482" s="47"/>
      <c r="O482" s="47"/>
      <c r="P482" s="47"/>
      <c r="Q482" s="47"/>
      <c r="R482" s="47"/>
      <c r="S482" s="48"/>
      <c r="T482" s="68" t="str">
        <f>IF(Tableau1[[#This Row],[DMS_SAP]]="","",HYPERLINK(Tableau1[[#This Row],[Chemin fichier source]],"X"))</f>
        <v/>
      </c>
      <c r="U482" s="68" t="str">
        <f>IF(Tableau1[[#This Row],[Date rév.]]="","",HYPERLINK(Tableau1[[#This Row],[Lien document]],"X"))</f>
        <v/>
      </c>
      <c r="V482" s="47"/>
      <c r="W48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82" s="47"/>
      <c r="Y482" s="47"/>
      <c r="Z482" s="44" t="str">
        <f ca="1">IF(AND(Tableau1[[#This Row],[Charge]]&lt;&gt;0, Tableau1[[#This Row],[Nombre intervenants]]&lt;&gt;0,Tableau1[[#This Row],[Lien document]]&lt;&gt;0,Tableau1[[#This Row],[DMS_SAP]]&lt;&gt;0)=TRUE,"MIS A JOUR","")</f>
        <v/>
      </c>
      <c r="AA482" s="48"/>
      <c r="AB482" s="65" t="str">
        <f ca="1">IF(Tableau1[[#This Row],[Date rév.]]&lt;&gt;"", DAYS360(Tableau1[[#This Row],[Date rév.]],TODAY()),"")</f>
        <v/>
      </c>
      <c r="AC482" s="50" t="str">
        <f>IFERROR(INDEX(Chemin_accès!$B$11:$C$22,MATCH(Tableau1[[#This Row],[Type]],Chemin_accès!$C$11:$C$22,0),1),Chemin_accès!$B$11)</f>
        <v>\\stjn.local\trimet\Btechnique\Commun\Atelier Central mécanique\Plan entretien\Modèles préventif\GammeDMS_7.MENG.xlsm</v>
      </c>
      <c r="AD482" s="50" t="str">
        <f>Chemin_accès!$B$8&amp;Tableau1[[#This Row],[Localisation / Classement]]&amp;"\"&amp;Tableau1[[#This Row],[Poste technique ou N° d''équipement]]&amp;"_"&amp;Tableau1[[#This Row],[Plan Entretien]]&amp;".xlsm"</f>
        <v>\\stjn.local\trimet\Btechnique\Commun\Atelier Central mécanique\Plan entretien\GammeEntretien\\_.xlsm</v>
      </c>
    </row>
    <row r="483" spans="1:30" x14ac:dyDescent="0.3">
      <c r="A483" s="44" t="str">
        <f t="shared" ca="1" si="7"/>
        <v>7.MENG</v>
      </c>
      <c r="B48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83" s="47"/>
      <c r="D483" s="44"/>
      <c r="E483" s="44"/>
      <c r="F483" s="47"/>
      <c r="G483" s="47"/>
      <c r="H483" s="45"/>
      <c r="I483" s="45"/>
      <c r="J483" s="45"/>
      <c r="K483" s="45"/>
      <c r="L483" s="46"/>
      <c r="M483" s="47"/>
      <c r="N483" s="47"/>
      <c r="O483" s="47"/>
      <c r="P483" s="47"/>
      <c r="Q483" s="47"/>
      <c r="R483" s="47"/>
      <c r="S483" s="48"/>
      <c r="T483" s="68" t="str">
        <f>IF(Tableau1[[#This Row],[DMS_SAP]]="","",HYPERLINK(Tableau1[[#This Row],[Chemin fichier source]],"X"))</f>
        <v/>
      </c>
      <c r="U483" s="68" t="str">
        <f>IF(Tableau1[[#This Row],[Date rév.]]="","",HYPERLINK(Tableau1[[#This Row],[Lien document]],"X"))</f>
        <v/>
      </c>
      <c r="V483" s="47"/>
      <c r="W48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83" s="47"/>
      <c r="Y483" s="47"/>
      <c r="Z483" s="44" t="str">
        <f ca="1">IF(AND(Tableau1[[#This Row],[Charge]]&lt;&gt;0, Tableau1[[#This Row],[Nombre intervenants]]&lt;&gt;0,Tableau1[[#This Row],[Lien document]]&lt;&gt;0,Tableau1[[#This Row],[DMS_SAP]]&lt;&gt;0)=TRUE,"MIS A JOUR","")</f>
        <v/>
      </c>
      <c r="AA483" s="48"/>
      <c r="AB483" s="65" t="str">
        <f ca="1">IF(Tableau1[[#This Row],[Date rév.]]&lt;&gt;"", DAYS360(Tableau1[[#This Row],[Date rév.]],TODAY()),"")</f>
        <v/>
      </c>
      <c r="AC483" s="50" t="str">
        <f>IFERROR(INDEX(Chemin_accès!$B$11:$C$22,MATCH(Tableau1[[#This Row],[Type]],Chemin_accès!$C$11:$C$22,0),1),Chemin_accès!$B$11)</f>
        <v>\\stjn.local\trimet\Btechnique\Commun\Atelier Central mécanique\Plan entretien\Modèles préventif\GammeDMS_7.MENG.xlsm</v>
      </c>
      <c r="AD483" s="50" t="str">
        <f>Chemin_accès!$B$8&amp;Tableau1[[#This Row],[Localisation / Classement]]&amp;"\"&amp;Tableau1[[#This Row],[Poste technique ou N° d''équipement]]&amp;"_"&amp;Tableau1[[#This Row],[Plan Entretien]]&amp;".xlsm"</f>
        <v>\\stjn.local\trimet\Btechnique\Commun\Atelier Central mécanique\Plan entretien\GammeEntretien\\_.xlsm</v>
      </c>
    </row>
    <row r="484" spans="1:30" x14ac:dyDescent="0.3">
      <c r="A484" s="44" t="str">
        <f t="shared" ca="1" si="7"/>
        <v>7.MENG</v>
      </c>
      <c r="B48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84" s="47"/>
      <c r="D484" s="44"/>
      <c r="E484" s="44"/>
      <c r="F484" s="47"/>
      <c r="G484" s="47"/>
      <c r="H484" s="45"/>
      <c r="I484" s="45"/>
      <c r="J484" s="45"/>
      <c r="K484" s="45"/>
      <c r="L484" s="46"/>
      <c r="M484" s="47"/>
      <c r="N484" s="47"/>
      <c r="O484" s="47"/>
      <c r="P484" s="47"/>
      <c r="Q484" s="47"/>
      <c r="R484" s="47"/>
      <c r="S484" s="48"/>
      <c r="T484" s="68" t="str">
        <f>IF(Tableau1[[#This Row],[DMS_SAP]]="","",HYPERLINK(Tableau1[[#This Row],[Chemin fichier source]],"X"))</f>
        <v/>
      </c>
      <c r="U484" s="68" t="str">
        <f>IF(Tableau1[[#This Row],[Date rév.]]="","",HYPERLINK(Tableau1[[#This Row],[Lien document]],"X"))</f>
        <v/>
      </c>
      <c r="V484" s="47"/>
      <c r="W48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84" s="47"/>
      <c r="Y484" s="47"/>
      <c r="Z484" s="44" t="str">
        <f ca="1">IF(AND(Tableau1[[#This Row],[Charge]]&lt;&gt;0, Tableau1[[#This Row],[Nombre intervenants]]&lt;&gt;0,Tableau1[[#This Row],[Lien document]]&lt;&gt;0,Tableau1[[#This Row],[DMS_SAP]]&lt;&gt;0)=TRUE,"MIS A JOUR","")</f>
        <v/>
      </c>
      <c r="AA484" s="48"/>
      <c r="AB484" s="65" t="str">
        <f ca="1">IF(Tableau1[[#This Row],[Date rév.]]&lt;&gt;"", DAYS360(Tableau1[[#This Row],[Date rév.]],TODAY()),"")</f>
        <v/>
      </c>
      <c r="AC484" s="50" t="str">
        <f>IFERROR(INDEX(Chemin_accès!$B$11:$C$22,MATCH(Tableau1[[#This Row],[Type]],Chemin_accès!$C$11:$C$22,0),1),Chemin_accès!$B$11)</f>
        <v>\\stjn.local\trimet\Btechnique\Commun\Atelier Central mécanique\Plan entretien\Modèles préventif\GammeDMS_7.MENG.xlsm</v>
      </c>
      <c r="AD484" s="50" t="str">
        <f>Chemin_accès!$B$8&amp;Tableau1[[#This Row],[Localisation / Classement]]&amp;"\"&amp;Tableau1[[#This Row],[Poste technique ou N° d''équipement]]&amp;"_"&amp;Tableau1[[#This Row],[Plan Entretien]]&amp;".xlsm"</f>
        <v>\\stjn.local\trimet\Btechnique\Commun\Atelier Central mécanique\Plan entretien\GammeEntretien\\_.xlsm</v>
      </c>
    </row>
    <row r="485" spans="1:30" x14ac:dyDescent="0.3">
      <c r="A485" s="44" t="str">
        <f t="shared" ca="1" si="7"/>
        <v>7.MENG</v>
      </c>
      <c r="B48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85" s="47"/>
      <c r="D485" s="44"/>
      <c r="E485" s="44"/>
      <c r="F485" s="47"/>
      <c r="G485" s="47"/>
      <c r="H485" s="45"/>
      <c r="I485" s="45"/>
      <c r="J485" s="45"/>
      <c r="K485" s="45"/>
      <c r="L485" s="46"/>
      <c r="M485" s="47"/>
      <c r="N485" s="47"/>
      <c r="O485" s="47"/>
      <c r="P485" s="47"/>
      <c r="Q485" s="47"/>
      <c r="R485" s="47"/>
      <c r="S485" s="48"/>
      <c r="T485" s="68" t="str">
        <f>IF(Tableau1[[#This Row],[DMS_SAP]]="","",HYPERLINK(Tableau1[[#This Row],[Chemin fichier source]],"X"))</f>
        <v/>
      </c>
      <c r="U485" s="68" t="str">
        <f>IF(Tableau1[[#This Row],[Date rév.]]="","",HYPERLINK(Tableau1[[#This Row],[Lien document]],"X"))</f>
        <v/>
      </c>
      <c r="V485" s="47"/>
      <c r="W48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85" s="47"/>
      <c r="Y485" s="47"/>
      <c r="Z485" s="44" t="str">
        <f ca="1">IF(AND(Tableau1[[#This Row],[Charge]]&lt;&gt;0, Tableau1[[#This Row],[Nombre intervenants]]&lt;&gt;0,Tableau1[[#This Row],[Lien document]]&lt;&gt;0,Tableau1[[#This Row],[DMS_SAP]]&lt;&gt;0)=TRUE,"MIS A JOUR","")</f>
        <v/>
      </c>
      <c r="AA485" s="48"/>
      <c r="AB485" s="65" t="str">
        <f ca="1">IF(Tableau1[[#This Row],[Date rév.]]&lt;&gt;"", DAYS360(Tableau1[[#This Row],[Date rév.]],TODAY()),"")</f>
        <v/>
      </c>
      <c r="AC485" s="50" t="str">
        <f>IFERROR(INDEX(Chemin_accès!$B$11:$C$22,MATCH(Tableau1[[#This Row],[Type]],Chemin_accès!$C$11:$C$22,0),1),Chemin_accès!$B$11)</f>
        <v>\\stjn.local\trimet\Btechnique\Commun\Atelier Central mécanique\Plan entretien\Modèles préventif\GammeDMS_7.MENG.xlsm</v>
      </c>
      <c r="AD485" s="50" t="str">
        <f>Chemin_accès!$B$8&amp;Tableau1[[#This Row],[Localisation / Classement]]&amp;"\"&amp;Tableau1[[#This Row],[Poste technique ou N° d''équipement]]&amp;"_"&amp;Tableau1[[#This Row],[Plan Entretien]]&amp;".xlsm"</f>
        <v>\\stjn.local\trimet\Btechnique\Commun\Atelier Central mécanique\Plan entretien\GammeEntretien\\_.xlsm</v>
      </c>
    </row>
    <row r="486" spans="1:30" x14ac:dyDescent="0.3">
      <c r="A486" s="44" t="str">
        <f t="shared" ca="1" si="7"/>
        <v>7.MENG</v>
      </c>
      <c r="B48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86" s="47"/>
      <c r="D486" s="44"/>
      <c r="E486" s="44"/>
      <c r="F486" s="47"/>
      <c r="G486" s="47"/>
      <c r="H486" s="45"/>
      <c r="I486" s="45"/>
      <c r="J486" s="45"/>
      <c r="K486" s="45"/>
      <c r="L486" s="46"/>
      <c r="M486" s="47"/>
      <c r="N486" s="47"/>
      <c r="O486" s="47"/>
      <c r="P486" s="47"/>
      <c r="Q486" s="47"/>
      <c r="R486" s="47"/>
      <c r="S486" s="48"/>
      <c r="T486" s="68" t="str">
        <f>IF(Tableau1[[#This Row],[DMS_SAP]]="","",HYPERLINK(Tableau1[[#This Row],[Chemin fichier source]],"X"))</f>
        <v/>
      </c>
      <c r="U486" s="68" t="str">
        <f>IF(Tableau1[[#This Row],[Date rév.]]="","",HYPERLINK(Tableau1[[#This Row],[Lien document]],"X"))</f>
        <v/>
      </c>
      <c r="V486" s="47"/>
      <c r="W48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86" s="47"/>
      <c r="Y486" s="47"/>
      <c r="Z486" s="44" t="str">
        <f ca="1">IF(AND(Tableau1[[#This Row],[Charge]]&lt;&gt;0, Tableau1[[#This Row],[Nombre intervenants]]&lt;&gt;0,Tableau1[[#This Row],[Lien document]]&lt;&gt;0,Tableau1[[#This Row],[DMS_SAP]]&lt;&gt;0)=TRUE,"MIS A JOUR","")</f>
        <v/>
      </c>
      <c r="AA486" s="48"/>
      <c r="AB486" s="65" t="str">
        <f ca="1">IF(Tableau1[[#This Row],[Date rév.]]&lt;&gt;"", DAYS360(Tableau1[[#This Row],[Date rév.]],TODAY()),"")</f>
        <v/>
      </c>
      <c r="AC486" s="50" t="str">
        <f>IFERROR(INDEX(Chemin_accès!$B$11:$C$22,MATCH(Tableau1[[#This Row],[Type]],Chemin_accès!$C$11:$C$22,0),1),Chemin_accès!$B$11)</f>
        <v>\\stjn.local\trimet\Btechnique\Commun\Atelier Central mécanique\Plan entretien\Modèles préventif\GammeDMS_7.MENG.xlsm</v>
      </c>
      <c r="AD486" s="50" t="str">
        <f>Chemin_accès!$B$8&amp;Tableau1[[#This Row],[Localisation / Classement]]&amp;"\"&amp;Tableau1[[#This Row],[Poste technique ou N° d''équipement]]&amp;"_"&amp;Tableau1[[#This Row],[Plan Entretien]]&amp;".xlsm"</f>
        <v>\\stjn.local\trimet\Btechnique\Commun\Atelier Central mécanique\Plan entretien\GammeEntretien\\_.xlsm</v>
      </c>
    </row>
    <row r="487" spans="1:30" x14ac:dyDescent="0.3">
      <c r="A487" s="44" t="str">
        <f t="shared" ca="1" si="7"/>
        <v>7.MENG</v>
      </c>
      <c r="B48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87" s="47"/>
      <c r="D487" s="44"/>
      <c r="E487" s="44"/>
      <c r="F487" s="47"/>
      <c r="G487" s="47"/>
      <c r="H487" s="45"/>
      <c r="I487" s="45"/>
      <c r="J487" s="45"/>
      <c r="K487" s="45"/>
      <c r="L487" s="46"/>
      <c r="M487" s="47"/>
      <c r="N487" s="47"/>
      <c r="O487" s="47"/>
      <c r="P487" s="47"/>
      <c r="Q487" s="47"/>
      <c r="R487" s="47"/>
      <c r="S487" s="48"/>
      <c r="T487" s="68" t="str">
        <f>IF(Tableau1[[#This Row],[DMS_SAP]]="","",HYPERLINK(Tableau1[[#This Row],[Chemin fichier source]],"X"))</f>
        <v/>
      </c>
      <c r="U487" s="68" t="str">
        <f>IF(Tableau1[[#This Row],[Date rév.]]="","",HYPERLINK(Tableau1[[#This Row],[Lien document]],"X"))</f>
        <v/>
      </c>
      <c r="V487" s="47"/>
      <c r="W48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87" s="47"/>
      <c r="Y487" s="47"/>
      <c r="Z487" s="44" t="str">
        <f ca="1">IF(AND(Tableau1[[#This Row],[Charge]]&lt;&gt;0, Tableau1[[#This Row],[Nombre intervenants]]&lt;&gt;0,Tableau1[[#This Row],[Lien document]]&lt;&gt;0,Tableau1[[#This Row],[DMS_SAP]]&lt;&gt;0)=TRUE,"MIS A JOUR","")</f>
        <v/>
      </c>
      <c r="AA487" s="48"/>
      <c r="AB487" s="65" t="str">
        <f ca="1">IF(Tableau1[[#This Row],[Date rév.]]&lt;&gt;"", DAYS360(Tableau1[[#This Row],[Date rév.]],TODAY()),"")</f>
        <v/>
      </c>
      <c r="AC487" s="50" t="str">
        <f>IFERROR(INDEX(Chemin_accès!$B$11:$C$22,MATCH(Tableau1[[#This Row],[Type]],Chemin_accès!$C$11:$C$22,0),1),Chemin_accès!$B$11)</f>
        <v>\\stjn.local\trimet\Btechnique\Commun\Atelier Central mécanique\Plan entretien\Modèles préventif\GammeDMS_7.MENG.xlsm</v>
      </c>
      <c r="AD487" s="50" t="str">
        <f>Chemin_accès!$B$8&amp;Tableau1[[#This Row],[Localisation / Classement]]&amp;"\"&amp;Tableau1[[#This Row],[Poste technique ou N° d''équipement]]&amp;"_"&amp;Tableau1[[#This Row],[Plan Entretien]]&amp;".xlsm"</f>
        <v>\\stjn.local\trimet\Btechnique\Commun\Atelier Central mécanique\Plan entretien\GammeEntretien\\_.xlsm</v>
      </c>
    </row>
    <row r="488" spans="1:30" x14ac:dyDescent="0.3">
      <c r="A488" s="44" t="str">
        <f t="shared" ca="1" si="7"/>
        <v>7.MENG</v>
      </c>
      <c r="B48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88" s="47"/>
      <c r="D488" s="44"/>
      <c r="E488" s="44"/>
      <c r="F488" s="47"/>
      <c r="G488" s="47"/>
      <c r="H488" s="45"/>
      <c r="I488" s="45"/>
      <c r="J488" s="45"/>
      <c r="K488" s="45"/>
      <c r="L488" s="46"/>
      <c r="M488" s="47"/>
      <c r="N488" s="47"/>
      <c r="O488" s="47"/>
      <c r="P488" s="47"/>
      <c r="Q488" s="47"/>
      <c r="R488" s="47"/>
      <c r="S488" s="48"/>
      <c r="T488" s="68" t="str">
        <f>IF(Tableau1[[#This Row],[DMS_SAP]]="","",HYPERLINK(Tableau1[[#This Row],[Chemin fichier source]],"X"))</f>
        <v/>
      </c>
      <c r="U488" s="68" t="str">
        <f>IF(Tableau1[[#This Row],[Date rév.]]="","",HYPERLINK(Tableau1[[#This Row],[Lien document]],"X"))</f>
        <v/>
      </c>
      <c r="V488" s="47"/>
      <c r="W48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88" s="47"/>
      <c r="Y488" s="47"/>
      <c r="Z488" s="44" t="str">
        <f ca="1">IF(AND(Tableau1[[#This Row],[Charge]]&lt;&gt;0, Tableau1[[#This Row],[Nombre intervenants]]&lt;&gt;0,Tableau1[[#This Row],[Lien document]]&lt;&gt;0,Tableau1[[#This Row],[DMS_SAP]]&lt;&gt;0)=TRUE,"MIS A JOUR","")</f>
        <v/>
      </c>
      <c r="AA488" s="48"/>
      <c r="AB488" s="65" t="str">
        <f ca="1">IF(Tableau1[[#This Row],[Date rév.]]&lt;&gt;"", DAYS360(Tableau1[[#This Row],[Date rév.]],TODAY()),"")</f>
        <v/>
      </c>
      <c r="AC488" s="50" t="str">
        <f>IFERROR(INDEX(Chemin_accès!$B$11:$C$22,MATCH(Tableau1[[#This Row],[Type]],Chemin_accès!$C$11:$C$22,0),1),Chemin_accès!$B$11)</f>
        <v>\\stjn.local\trimet\Btechnique\Commun\Atelier Central mécanique\Plan entretien\Modèles préventif\GammeDMS_7.MENG.xlsm</v>
      </c>
      <c r="AD488" s="50" t="str">
        <f>Chemin_accès!$B$8&amp;Tableau1[[#This Row],[Localisation / Classement]]&amp;"\"&amp;Tableau1[[#This Row],[Poste technique ou N° d''équipement]]&amp;"_"&amp;Tableau1[[#This Row],[Plan Entretien]]&amp;".xlsm"</f>
        <v>\\stjn.local\trimet\Btechnique\Commun\Atelier Central mécanique\Plan entretien\GammeEntretien\\_.xlsm</v>
      </c>
    </row>
    <row r="489" spans="1:30" x14ac:dyDescent="0.3">
      <c r="A489" s="44" t="str">
        <f t="shared" ca="1" si="7"/>
        <v>7.MENG</v>
      </c>
      <c r="B48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89" s="47"/>
      <c r="D489" s="44"/>
      <c r="E489" s="44"/>
      <c r="F489" s="47"/>
      <c r="G489" s="47"/>
      <c r="H489" s="45"/>
      <c r="I489" s="45"/>
      <c r="J489" s="45"/>
      <c r="K489" s="45"/>
      <c r="L489" s="46"/>
      <c r="M489" s="47"/>
      <c r="N489" s="47"/>
      <c r="O489" s="47"/>
      <c r="P489" s="47"/>
      <c r="Q489" s="47"/>
      <c r="R489" s="47"/>
      <c r="S489" s="48"/>
      <c r="T489" s="68" t="str">
        <f>IF(Tableau1[[#This Row],[DMS_SAP]]="","",HYPERLINK(Tableau1[[#This Row],[Chemin fichier source]],"X"))</f>
        <v/>
      </c>
      <c r="U489" s="68" t="str">
        <f>IF(Tableau1[[#This Row],[Date rév.]]="","",HYPERLINK(Tableau1[[#This Row],[Lien document]],"X"))</f>
        <v/>
      </c>
      <c r="V489" s="47"/>
      <c r="W48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89" s="47"/>
      <c r="Y489" s="47"/>
      <c r="Z489" s="44" t="str">
        <f ca="1">IF(AND(Tableau1[[#This Row],[Charge]]&lt;&gt;0, Tableau1[[#This Row],[Nombre intervenants]]&lt;&gt;0,Tableau1[[#This Row],[Lien document]]&lt;&gt;0,Tableau1[[#This Row],[DMS_SAP]]&lt;&gt;0)=TRUE,"MIS A JOUR","")</f>
        <v/>
      </c>
      <c r="AA489" s="48"/>
      <c r="AB489" s="65" t="str">
        <f ca="1">IF(Tableau1[[#This Row],[Date rév.]]&lt;&gt;"", DAYS360(Tableau1[[#This Row],[Date rév.]],TODAY()),"")</f>
        <v/>
      </c>
      <c r="AC489" s="50" t="str">
        <f>IFERROR(INDEX(Chemin_accès!$B$11:$C$22,MATCH(Tableau1[[#This Row],[Type]],Chemin_accès!$C$11:$C$22,0),1),Chemin_accès!$B$11)</f>
        <v>\\stjn.local\trimet\Btechnique\Commun\Atelier Central mécanique\Plan entretien\Modèles préventif\GammeDMS_7.MENG.xlsm</v>
      </c>
      <c r="AD489" s="50" t="str">
        <f>Chemin_accès!$B$8&amp;Tableau1[[#This Row],[Localisation / Classement]]&amp;"\"&amp;Tableau1[[#This Row],[Poste technique ou N° d''équipement]]&amp;"_"&amp;Tableau1[[#This Row],[Plan Entretien]]&amp;".xlsm"</f>
        <v>\\stjn.local\trimet\Btechnique\Commun\Atelier Central mécanique\Plan entretien\GammeEntretien\\_.xlsm</v>
      </c>
    </row>
    <row r="490" spans="1:30" x14ac:dyDescent="0.3">
      <c r="A490" s="44" t="str">
        <f t="shared" ca="1" si="7"/>
        <v>7.MENG</v>
      </c>
      <c r="B49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90" s="47"/>
      <c r="D490" s="44"/>
      <c r="E490" s="44"/>
      <c r="F490" s="47"/>
      <c r="G490" s="47"/>
      <c r="H490" s="45"/>
      <c r="I490" s="45"/>
      <c r="J490" s="45"/>
      <c r="K490" s="45"/>
      <c r="L490" s="46"/>
      <c r="M490" s="47"/>
      <c r="N490" s="47"/>
      <c r="O490" s="47"/>
      <c r="P490" s="47"/>
      <c r="Q490" s="47"/>
      <c r="R490" s="47"/>
      <c r="S490" s="48"/>
      <c r="T490" s="68" t="str">
        <f>IF(Tableau1[[#This Row],[DMS_SAP]]="","",HYPERLINK(Tableau1[[#This Row],[Chemin fichier source]],"X"))</f>
        <v/>
      </c>
      <c r="U490" s="68" t="str">
        <f>IF(Tableau1[[#This Row],[Date rév.]]="","",HYPERLINK(Tableau1[[#This Row],[Lien document]],"X"))</f>
        <v/>
      </c>
      <c r="V490" s="47"/>
      <c r="W49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90" s="47"/>
      <c r="Y490" s="47"/>
      <c r="Z490" s="44" t="str">
        <f ca="1">IF(AND(Tableau1[[#This Row],[Charge]]&lt;&gt;0, Tableau1[[#This Row],[Nombre intervenants]]&lt;&gt;0,Tableau1[[#This Row],[Lien document]]&lt;&gt;0,Tableau1[[#This Row],[DMS_SAP]]&lt;&gt;0)=TRUE,"MIS A JOUR","")</f>
        <v/>
      </c>
      <c r="AA490" s="48"/>
      <c r="AB490" s="65" t="str">
        <f ca="1">IF(Tableau1[[#This Row],[Date rév.]]&lt;&gt;"", DAYS360(Tableau1[[#This Row],[Date rév.]],TODAY()),"")</f>
        <v/>
      </c>
      <c r="AC490" s="50" t="str">
        <f>IFERROR(INDEX(Chemin_accès!$B$11:$C$22,MATCH(Tableau1[[#This Row],[Type]],Chemin_accès!$C$11:$C$22,0),1),Chemin_accès!$B$11)</f>
        <v>\\stjn.local\trimet\Btechnique\Commun\Atelier Central mécanique\Plan entretien\Modèles préventif\GammeDMS_7.MENG.xlsm</v>
      </c>
      <c r="AD490" s="50" t="str">
        <f>Chemin_accès!$B$8&amp;Tableau1[[#This Row],[Localisation / Classement]]&amp;"\"&amp;Tableau1[[#This Row],[Poste technique ou N° d''équipement]]&amp;"_"&amp;Tableau1[[#This Row],[Plan Entretien]]&amp;".xlsm"</f>
        <v>\\stjn.local\trimet\Btechnique\Commun\Atelier Central mécanique\Plan entretien\GammeEntretien\\_.xlsm</v>
      </c>
    </row>
    <row r="491" spans="1:30" x14ac:dyDescent="0.3">
      <c r="A491" s="44" t="str">
        <f t="shared" ca="1" si="7"/>
        <v>7.MENG</v>
      </c>
      <c r="B49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91" s="47"/>
      <c r="D491" s="44"/>
      <c r="E491" s="44"/>
      <c r="F491" s="47"/>
      <c r="G491" s="47"/>
      <c r="H491" s="45"/>
      <c r="I491" s="45"/>
      <c r="J491" s="45"/>
      <c r="K491" s="45"/>
      <c r="L491" s="46"/>
      <c r="M491" s="47"/>
      <c r="N491" s="47"/>
      <c r="O491" s="47"/>
      <c r="P491" s="47"/>
      <c r="Q491" s="47"/>
      <c r="R491" s="47"/>
      <c r="S491" s="48"/>
      <c r="T491" s="68" t="str">
        <f>IF(Tableau1[[#This Row],[DMS_SAP]]="","",HYPERLINK(Tableau1[[#This Row],[Chemin fichier source]],"X"))</f>
        <v/>
      </c>
      <c r="U491" s="68" t="str">
        <f>IF(Tableau1[[#This Row],[Date rév.]]="","",HYPERLINK(Tableau1[[#This Row],[Lien document]],"X"))</f>
        <v/>
      </c>
      <c r="V491" s="47"/>
      <c r="W49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91" s="47"/>
      <c r="Y491" s="47"/>
      <c r="Z491" s="44" t="str">
        <f ca="1">IF(AND(Tableau1[[#This Row],[Charge]]&lt;&gt;0, Tableau1[[#This Row],[Nombre intervenants]]&lt;&gt;0,Tableau1[[#This Row],[Lien document]]&lt;&gt;0,Tableau1[[#This Row],[DMS_SAP]]&lt;&gt;0)=TRUE,"MIS A JOUR","")</f>
        <v/>
      </c>
      <c r="AA491" s="48"/>
      <c r="AB491" s="65" t="str">
        <f ca="1">IF(Tableau1[[#This Row],[Date rév.]]&lt;&gt;"", DAYS360(Tableau1[[#This Row],[Date rév.]],TODAY()),"")</f>
        <v/>
      </c>
      <c r="AC491" s="50" t="str">
        <f>IFERROR(INDEX(Chemin_accès!$B$11:$C$22,MATCH(Tableau1[[#This Row],[Type]],Chemin_accès!$C$11:$C$22,0),1),Chemin_accès!$B$11)</f>
        <v>\\stjn.local\trimet\Btechnique\Commun\Atelier Central mécanique\Plan entretien\Modèles préventif\GammeDMS_7.MENG.xlsm</v>
      </c>
      <c r="AD491" s="50" t="str">
        <f>Chemin_accès!$B$8&amp;Tableau1[[#This Row],[Localisation / Classement]]&amp;"\"&amp;Tableau1[[#This Row],[Poste technique ou N° d''équipement]]&amp;"_"&amp;Tableau1[[#This Row],[Plan Entretien]]&amp;".xlsm"</f>
        <v>\\stjn.local\trimet\Btechnique\Commun\Atelier Central mécanique\Plan entretien\GammeEntretien\\_.xlsm</v>
      </c>
    </row>
    <row r="492" spans="1:30" x14ac:dyDescent="0.3">
      <c r="A492" s="44" t="str">
        <f t="shared" ca="1" si="7"/>
        <v>7.MENG</v>
      </c>
      <c r="B49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92" s="47"/>
      <c r="D492" s="44"/>
      <c r="E492" s="44"/>
      <c r="F492" s="47"/>
      <c r="G492" s="47"/>
      <c r="H492" s="45"/>
      <c r="I492" s="45"/>
      <c r="J492" s="45"/>
      <c r="K492" s="45"/>
      <c r="L492" s="46"/>
      <c r="M492" s="47"/>
      <c r="N492" s="47"/>
      <c r="O492" s="47"/>
      <c r="P492" s="47"/>
      <c r="Q492" s="47"/>
      <c r="R492" s="47"/>
      <c r="S492" s="48"/>
      <c r="T492" s="68" t="str">
        <f>IF(Tableau1[[#This Row],[DMS_SAP]]="","",HYPERLINK(Tableau1[[#This Row],[Chemin fichier source]],"X"))</f>
        <v/>
      </c>
      <c r="U492" s="68" t="str">
        <f>IF(Tableau1[[#This Row],[Date rév.]]="","",HYPERLINK(Tableau1[[#This Row],[Lien document]],"X"))</f>
        <v/>
      </c>
      <c r="V492" s="47"/>
      <c r="W49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92" s="47"/>
      <c r="Y492" s="47"/>
      <c r="Z492" s="44" t="str">
        <f ca="1">IF(AND(Tableau1[[#This Row],[Charge]]&lt;&gt;0, Tableau1[[#This Row],[Nombre intervenants]]&lt;&gt;0,Tableau1[[#This Row],[Lien document]]&lt;&gt;0,Tableau1[[#This Row],[DMS_SAP]]&lt;&gt;0)=TRUE,"MIS A JOUR","")</f>
        <v/>
      </c>
      <c r="AA492" s="48"/>
      <c r="AB492" s="65" t="str">
        <f ca="1">IF(Tableau1[[#This Row],[Date rév.]]&lt;&gt;"", DAYS360(Tableau1[[#This Row],[Date rév.]],TODAY()),"")</f>
        <v/>
      </c>
      <c r="AC492" s="50" t="str">
        <f>IFERROR(INDEX(Chemin_accès!$B$11:$C$22,MATCH(Tableau1[[#This Row],[Type]],Chemin_accès!$C$11:$C$22,0),1),Chemin_accès!$B$11)</f>
        <v>\\stjn.local\trimet\Btechnique\Commun\Atelier Central mécanique\Plan entretien\Modèles préventif\GammeDMS_7.MENG.xlsm</v>
      </c>
      <c r="AD492" s="50" t="str">
        <f>Chemin_accès!$B$8&amp;Tableau1[[#This Row],[Localisation / Classement]]&amp;"\"&amp;Tableau1[[#This Row],[Poste technique ou N° d''équipement]]&amp;"_"&amp;Tableau1[[#This Row],[Plan Entretien]]&amp;".xlsm"</f>
        <v>\\stjn.local\trimet\Btechnique\Commun\Atelier Central mécanique\Plan entretien\GammeEntretien\\_.xlsm</v>
      </c>
    </row>
    <row r="493" spans="1:30" x14ac:dyDescent="0.3">
      <c r="A493" s="44" t="str">
        <f t="shared" ca="1" si="7"/>
        <v>7.MENG</v>
      </c>
      <c r="B49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93" s="47"/>
      <c r="D493" s="44"/>
      <c r="E493" s="44"/>
      <c r="F493" s="47"/>
      <c r="G493" s="47"/>
      <c r="H493" s="45"/>
      <c r="I493" s="45"/>
      <c r="J493" s="45"/>
      <c r="K493" s="45"/>
      <c r="L493" s="46"/>
      <c r="M493" s="47"/>
      <c r="N493" s="47"/>
      <c r="O493" s="47"/>
      <c r="P493" s="47"/>
      <c r="Q493" s="47"/>
      <c r="R493" s="47"/>
      <c r="S493" s="48"/>
      <c r="T493" s="68" t="str">
        <f>IF(Tableau1[[#This Row],[DMS_SAP]]="","",HYPERLINK(Tableau1[[#This Row],[Chemin fichier source]],"X"))</f>
        <v/>
      </c>
      <c r="U493" s="68" t="str">
        <f>IF(Tableau1[[#This Row],[Date rév.]]="","",HYPERLINK(Tableau1[[#This Row],[Lien document]],"X"))</f>
        <v/>
      </c>
      <c r="V493" s="47"/>
      <c r="W49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93" s="47"/>
      <c r="Y493" s="47"/>
      <c r="Z493" s="44" t="str">
        <f ca="1">IF(AND(Tableau1[[#This Row],[Charge]]&lt;&gt;0, Tableau1[[#This Row],[Nombre intervenants]]&lt;&gt;0,Tableau1[[#This Row],[Lien document]]&lt;&gt;0,Tableau1[[#This Row],[DMS_SAP]]&lt;&gt;0)=TRUE,"MIS A JOUR","")</f>
        <v/>
      </c>
      <c r="AA493" s="48"/>
      <c r="AB493" s="65" t="str">
        <f ca="1">IF(Tableau1[[#This Row],[Date rév.]]&lt;&gt;"", DAYS360(Tableau1[[#This Row],[Date rév.]],TODAY()),"")</f>
        <v/>
      </c>
      <c r="AC493" s="50" t="str">
        <f>IFERROR(INDEX(Chemin_accès!$B$11:$C$22,MATCH(Tableau1[[#This Row],[Type]],Chemin_accès!$C$11:$C$22,0),1),Chemin_accès!$B$11)</f>
        <v>\\stjn.local\trimet\Btechnique\Commun\Atelier Central mécanique\Plan entretien\Modèles préventif\GammeDMS_7.MENG.xlsm</v>
      </c>
      <c r="AD493" s="50" t="str">
        <f>Chemin_accès!$B$8&amp;Tableau1[[#This Row],[Localisation / Classement]]&amp;"\"&amp;Tableau1[[#This Row],[Poste technique ou N° d''équipement]]&amp;"_"&amp;Tableau1[[#This Row],[Plan Entretien]]&amp;".xlsm"</f>
        <v>\\stjn.local\trimet\Btechnique\Commun\Atelier Central mécanique\Plan entretien\GammeEntretien\\_.xlsm</v>
      </c>
    </row>
    <row r="494" spans="1:30" x14ac:dyDescent="0.3">
      <c r="A494" s="44" t="str">
        <f t="shared" ca="1" si="7"/>
        <v>7.MENG</v>
      </c>
      <c r="B49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94" s="47"/>
      <c r="D494" s="44"/>
      <c r="E494" s="44"/>
      <c r="F494" s="47"/>
      <c r="G494" s="47"/>
      <c r="H494" s="45"/>
      <c r="I494" s="45"/>
      <c r="J494" s="45"/>
      <c r="K494" s="45"/>
      <c r="L494" s="46"/>
      <c r="M494" s="47"/>
      <c r="N494" s="47"/>
      <c r="O494" s="47"/>
      <c r="P494" s="47"/>
      <c r="Q494" s="47"/>
      <c r="R494" s="47"/>
      <c r="S494" s="48"/>
      <c r="T494" s="68" t="str">
        <f>IF(Tableau1[[#This Row],[DMS_SAP]]="","",HYPERLINK(Tableau1[[#This Row],[Chemin fichier source]],"X"))</f>
        <v/>
      </c>
      <c r="U494" s="68" t="str">
        <f>IF(Tableau1[[#This Row],[Date rév.]]="","",HYPERLINK(Tableau1[[#This Row],[Lien document]],"X"))</f>
        <v/>
      </c>
      <c r="V494" s="47"/>
      <c r="W49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94" s="47"/>
      <c r="Y494" s="47"/>
      <c r="Z494" s="44" t="str">
        <f ca="1">IF(AND(Tableau1[[#This Row],[Charge]]&lt;&gt;0, Tableau1[[#This Row],[Nombre intervenants]]&lt;&gt;0,Tableau1[[#This Row],[Lien document]]&lt;&gt;0,Tableau1[[#This Row],[DMS_SAP]]&lt;&gt;0)=TRUE,"MIS A JOUR","")</f>
        <v/>
      </c>
      <c r="AA494" s="48"/>
      <c r="AB494" s="65" t="str">
        <f ca="1">IF(Tableau1[[#This Row],[Date rév.]]&lt;&gt;"", DAYS360(Tableau1[[#This Row],[Date rév.]],TODAY()),"")</f>
        <v/>
      </c>
      <c r="AC494" s="50" t="str">
        <f>IFERROR(INDEX(Chemin_accès!$B$11:$C$22,MATCH(Tableau1[[#This Row],[Type]],Chemin_accès!$C$11:$C$22,0),1),Chemin_accès!$B$11)</f>
        <v>\\stjn.local\trimet\Btechnique\Commun\Atelier Central mécanique\Plan entretien\Modèles préventif\GammeDMS_7.MENG.xlsm</v>
      </c>
      <c r="AD494" s="50" t="str">
        <f>Chemin_accès!$B$8&amp;Tableau1[[#This Row],[Localisation / Classement]]&amp;"\"&amp;Tableau1[[#This Row],[Poste technique ou N° d''équipement]]&amp;"_"&amp;Tableau1[[#This Row],[Plan Entretien]]&amp;".xlsm"</f>
        <v>\\stjn.local\trimet\Btechnique\Commun\Atelier Central mécanique\Plan entretien\GammeEntretien\\_.xlsm</v>
      </c>
    </row>
    <row r="495" spans="1:30" x14ac:dyDescent="0.3">
      <c r="A495" s="44" t="str">
        <f t="shared" ca="1" si="7"/>
        <v>7.MENG</v>
      </c>
      <c r="B49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95" s="47"/>
      <c r="D495" s="44"/>
      <c r="E495" s="44"/>
      <c r="F495" s="47"/>
      <c r="G495" s="47"/>
      <c r="H495" s="45"/>
      <c r="I495" s="45"/>
      <c r="J495" s="45"/>
      <c r="K495" s="45"/>
      <c r="L495" s="46"/>
      <c r="M495" s="47"/>
      <c r="N495" s="47"/>
      <c r="O495" s="47"/>
      <c r="P495" s="47"/>
      <c r="Q495" s="47"/>
      <c r="R495" s="47"/>
      <c r="S495" s="48"/>
      <c r="T495" s="68" t="str">
        <f>IF(Tableau1[[#This Row],[DMS_SAP]]="","",HYPERLINK(Tableau1[[#This Row],[Chemin fichier source]],"X"))</f>
        <v/>
      </c>
      <c r="U495" s="68" t="str">
        <f>IF(Tableau1[[#This Row],[Date rév.]]="","",HYPERLINK(Tableau1[[#This Row],[Lien document]],"X"))</f>
        <v/>
      </c>
      <c r="V495" s="47"/>
      <c r="W49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95" s="47"/>
      <c r="Y495" s="47"/>
      <c r="Z495" s="44" t="str">
        <f ca="1">IF(AND(Tableau1[[#This Row],[Charge]]&lt;&gt;0, Tableau1[[#This Row],[Nombre intervenants]]&lt;&gt;0,Tableau1[[#This Row],[Lien document]]&lt;&gt;0,Tableau1[[#This Row],[DMS_SAP]]&lt;&gt;0)=TRUE,"MIS A JOUR","")</f>
        <v/>
      </c>
      <c r="AA495" s="48"/>
      <c r="AB495" s="65" t="str">
        <f ca="1">IF(Tableau1[[#This Row],[Date rév.]]&lt;&gt;"", DAYS360(Tableau1[[#This Row],[Date rév.]],TODAY()),"")</f>
        <v/>
      </c>
      <c r="AC495" s="50" t="str">
        <f>IFERROR(INDEX(Chemin_accès!$B$11:$C$22,MATCH(Tableau1[[#This Row],[Type]],Chemin_accès!$C$11:$C$22,0),1),Chemin_accès!$B$11)</f>
        <v>\\stjn.local\trimet\Btechnique\Commun\Atelier Central mécanique\Plan entretien\Modèles préventif\GammeDMS_7.MENG.xlsm</v>
      </c>
      <c r="AD495" s="50" t="str">
        <f>Chemin_accès!$B$8&amp;Tableau1[[#This Row],[Localisation / Classement]]&amp;"\"&amp;Tableau1[[#This Row],[Poste technique ou N° d''équipement]]&amp;"_"&amp;Tableau1[[#This Row],[Plan Entretien]]&amp;".xlsm"</f>
        <v>\\stjn.local\trimet\Btechnique\Commun\Atelier Central mécanique\Plan entretien\GammeEntretien\\_.xlsm</v>
      </c>
    </row>
    <row r="496" spans="1:30" x14ac:dyDescent="0.3">
      <c r="A496" s="44" t="str">
        <f t="shared" ca="1" si="7"/>
        <v>7.MENG</v>
      </c>
      <c r="B49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96" s="47"/>
      <c r="D496" s="44"/>
      <c r="E496" s="44"/>
      <c r="F496" s="47"/>
      <c r="G496" s="47"/>
      <c r="H496" s="45"/>
      <c r="I496" s="45"/>
      <c r="J496" s="45"/>
      <c r="K496" s="45"/>
      <c r="L496" s="46"/>
      <c r="M496" s="47"/>
      <c r="N496" s="47"/>
      <c r="O496" s="47"/>
      <c r="P496" s="47"/>
      <c r="Q496" s="47"/>
      <c r="R496" s="47"/>
      <c r="S496" s="48"/>
      <c r="T496" s="68" t="str">
        <f>IF(Tableau1[[#This Row],[DMS_SAP]]="","",HYPERLINK(Tableau1[[#This Row],[Chemin fichier source]],"X"))</f>
        <v/>
      </c>
      <c r="U496" s="68" t="str">
        <f>IF(Tableau1[[#This Row],[Date rév.]]="","",HYPERLINK(Tableau1[[#This Row],[Lien document]],"X"))</f>
        <v/>
      </c>
      <c r="V496" s="47"/>
      <c r="W49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96" s="47"/>
      <c r="Y496" s="47"/>
      <c r="Z496" s="44" t="str">
        <f ca="1">IF(AND(Tableau1[[#This Row],[Charge]]&lt;&gt;0, Tableau1[[#This Row],[Nombre intervenants]]&lt;&gt;0,Tableau1[[#This Row],[Lien document]]&lt;&gt;0,Tableau1[[#This Row],[DMS_SAP]]&lt;&gt;0)=TRUE,"MIS A JOUR","")</f>
        <v/>
      </c>
      <c r="AA496" s="48"/>
      <c r="AB496" s="65" t="str">
        <f ca="1">IF(Tableau1[[#This Row],[Date rév.]]&lt;&gt;"", DAYS360(Tableau1[[#This Row],[Date rév.]],TODAY()),"")</f>
        <v/>
      </c>
      <c r="AC496" s="50" t="str">
        <f>IFERROR(INDEX(Chemin_accès!$B$11:$C$22,MATCH(Tableau1[[#This Row],[Type]],Chemin_accès!$C$11:$C$22,0),1),Chemin_accès!$B$11)</f>
        <v>\\stjn.local\trimet\Btechnique\Commun\Atelier Central mécanique\Plan entretien\Modèles préventif\GammeDMS_7.MENG.xlsm</v>
      </c>
      <c r="AD496" s="50" t="str">
        <f>Chemin_accès!$B$8&amp;Tableau1[[#This Row],[Localisation / Classement]]&amp;"\"&amp;Tableau1[[#This Row],[Poste technique ou N° d''équipement]]&amp;"_"&amp;Tableau1[[#This Row],[Plan Entretien]]&amp;".xlsm"</f>
        <v>\\stjn.local\trimet\Btechnique\Commun\Atelier Central mécanique\Plan entretien\GammeEntretien\\_.xlsm</v>
      </c>
    </row>
    <row r="497" spans="1:30" x14ac:dyDescent="0.3">
      <c r="A497" s="44" t="str">
        <f t="shared" ca="1" si="7"/>
        <v>7.MENG</v>
      </c>
      <c r="B49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97" s="47"/>
      <c r="D497" s="44"/>
      <c r="E497" s="44"/>
      <c r="F497" s="47"/>
      <c r="G497" s="47"/>
      <c r="H497" s="45"/>
      <c r="I497" s="45"/>
      <c r="J497" s="45"/>
      <c r="K497" s="45"/>
      <c r="L497" s="46"/>
      <c r="M497" s="47"/>
      <c r="N497" s="47"/>
      <c r="O497" s="47"/>
      <c r="P497" s="47"/>
      <c r="Q497" s="47"/>
      <c r="R497" s="47"/>
      <c r="S497" s="48"/>
      <c r="T497" s="68" t="str">
        <f>IF(Tableau1[[#This Row],[DMS_SAP]]="","",HYPERLINK(Tableau1[[#This Row],[Chemin fichier source]],"X"))</f>
        <v/>
      </c>
      <c r="U497" s="68" t="str">
        <f>IF(Tableau1[[#This Row],[Date rév.]]="","",HYPERLINK(Tableau1[[#This Row],[Lien document]],"X"))</f>
        <v/>
      </c>
      <c r="V497" s="47"/>
      <c r="W49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97" s="47"/>
      <c r="Y497" s="47"/>
      <c r="Z497" s="44" t="str">
        <f ca="1">IF(AND(Tableau1[[#This Row],[Charge]]&lt;&gt;0, Tableau1[[#This Row],[Nombre intervenants]]&lt;&gt;0,Tableau1[[#This Row],[Lien document]]&lt;&gt;0,Tableau1[[#This Row],[DMS_SAP]]&lt;&gt;0)=TRUE,"MIS A JOUR","")</f>
        <v/>
      </c>
      <c r="AA497" s="48"/>
      <c r="AB497" s="65" t="str">
        <f ca="1">IF(Tableau1[[#This Row],[Date rév.]]&lt;&gt;"", DAYS360(Tableau1[[#This Row],[Date rév.]],TODAY()),"")</f>
        <v/>
      </c>
      <c r="AC497" s="50" t="str">
        <f>IFERROR(INDEX(Chemin_accès!$B$11:$C$22,MATCH(Tableau1[[#This Row],[Type]],Chemin_accès!$C$11:$C$22,0),1),Chemin_accès!$B$11)</f>
        <v>\\stjn.local\trimet\Btechnique\Commun\Atelier Central mécanique\Plan entretien\Modèles préventif\GammeDMS_7.MENG.xlsm</v>
      </c>
      <c r="AD497" s="50" t="str">
        <f>Chemin_accès!$B$8&amp;Tableau1[[#This Row],[Localisation / Classement]]&amp;"\"&amp;Tableau1[[#This Row],[Poste technique ou N° d''équipement]]&amp;"_"&amp;Tableau1[[#This Row],[Plan Entretien]]&amp;".xlsm"</f>
        <v>\\stjn.local\trimet\Btechnique\Commun\Atelier Central mécanique\Plan entretien\GammeEntretien\\_.xlsm</v>
      </c>
    </row>
    <row r="498" spans="1:30" x14ac:dyDescent="0.3">
      <c r="A498" s="44" t="str">
        <f t="shared" ca="1" si="7"/>
        <v>7.MENG</v>
      </c>
      <c r="B49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98" s="47"/>
      <c r="D498" s="44"/>
      <c r="E498" s="44"/>
      <c r="F498" s="47"/>
      <c r="G498" s="47"/>
      <c r="H498" s="45"/>
      <c r="I498" s="45"/>
      <c r="J498" s="45"/>
      <c r="K498" s="45"/>
      <c r="L498" s="46"/>
      <c r="M498" s="47"/>
      <c r="N498" s="47"/>
      <c r="O498" s="47"/>
      <c r="P498" s="47"/>
      <c r="Q498" s="47"/>
      <c r="R498" s="47"/>
      <c r="S498" s="48"/>
      <c r="T498" s="68" t="str">
        <f>IF(Tableau1[[#This Row],[DMS_SAP]]="","",HYPERLINK(Tableau1[[#This Row],[Chemin fichier source]],"X"))</f>
        <v/>
      </c>
      <c r="U498" s="68" t="str">
        <f>IF(Tableau1[[#This Row],[Date rév.]]="","",HYPERLINK(Tableau1[[#This Row],[Lien document]],"X"))</f>
        <v/>
      </c>
      <c r="V498" s="47"/>
      <c r="W49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98" s="47"/>
      <c r="Y498" s="47"/>
      <c r="Z498" s="44" t="str">
        <f ca="1">IF(AND(Tableau1[[#This Row],[Charge]]&lt;&gt;0, Tableau1[[#This Row],[Nombre intervenants]]&lt;&gt;0,Tableau1[[#This Row],[Lien document]]&lt;&gt;0,Tableau1[[#This Row],[DMS_SAP]]&lt;&gt;0)=TRUE,"MIS A JOUR","")</f>
        <v/>
      </c>
      <c r="AA498" s="48"/>
      <c r="AB498" s="65" t="str">
        <f ca="1">IF(Tableau1[[#This Row],[Date rév.]]&lt;&gt;"", DAYS360(Tableau1[[#This Row],[Date rév.]],TODAY()),"")</f>
        <v/>
      </c>
      <c r="AC498" s="50" t="str">
        <f>IFERROR(INDEX(Chemin_accès!$B$11:$C$22,MATCH(Tableau1[[#This Row],[Type]],Chemin_accès!$C$11:$C$22,0),1),Chemin_accès!$B$11)</f>
        <v>\\stjn.local\trimet\Btechnique\Commun\Atelier Central mécanique\Plan entretien\Modèles préventif\GammeDMS_7.MENG.xlsm</v>
      </c>
      <c r="AD498" s="50" t="str">
        <f>Chemin_accès!$B$8&amp;Tableau1[[#This Row],[Localisation / Classement]]&amp;"\"&amp;Tableau1[[#This Row],[Poste technique ou N° d''équipement]]&amp;"_"&amp;Tableau1[[#This Row],[Plan Entretien]]&amp;".xlsm"</f>
        <v>\\stjn.local\trimet\Btechnique\Commun\Atelier Central mécanique\Plan entretien\GammeEntretien\\_.xlsm</v>
      </c>
    </row>
    <row r="499" spans="1:30" x14ac:dyDescent="0.3">
      <c r="A499" s="44" t="str">
        <f t="shared" ca="1" si="7"/>
        <v>7.MENG</v>
      </c>
      <c r="B49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499" s="47"/>
      <c r="D499" s="44"/>
      <c r="E499" s="44"/>
      <c r="F499" s="47"/>
      <c r="G499" s="47"/>
      <c r="H499" s="45"/>
      <c r="I499" s="45"/>
      <c r="J499" s="45"/>
      <c r="K499" s="45"/>
      <c r="L499" s="46"/>
      <c r="M499" s="47"/>
      <c r="N499" s="47"/>
      <c r="O499" s="47"/>
      <c r="P499" s="47"/>
      <c r="Q499" s="47"/>
      <c r="R499" s="47"/>
      <c r="S499" s="48"/>
      <c r="T499" s="68" t="str">
        <f>IF(Tableau1[[#This Row],[DMS_SAP]]="","",HYPERLINK(Tableau1[[#This Row],[Chemin fichier source]],"X"))</f>
        <v/>
      </c>
      <c r="U499" s="68" t="str">
        <f>IF(Tableau1[[#This Row],[Date rév.]]="","",HYPERLINK(Tableau1[[#This Row],[Lien document]],"X"))</f>
        <v/>
      </c>
      <c r="V499" s="47"/>
      <c r="W49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499" s="47"/>
      <c r="Y499" s="47"/>
      <c r="Z499" s="44" t="str">
        <f ca="1">IF(AND(Tableau1[[#This Row],[Charge]]&lt;&gt;0, Tableau1[[#This Row],[Nombre intervenants]]&lt;&gt;0,Tableau1[[#This Row],[Lien document]]&lt;&gt;0,Tableau1[[#This Row],[DMS_SAP]]&lt;&gt;0)=TRUE,"MIS A JOUR","")</f>
        <v/>
      </c>
      <c r="AA499" s="48"/>
      <c r="AB499" s="65" t="str">
        <f ca="1">IF(Tableau1[[#This Row],[Date rév.]]&lt;&gt;"", DAYS360(Tableau1[[#This Row],[Date rév.]],TODAY()),"")</f>
        <v/>
      </c>
      <c r="AC499" s="50" t="str">
        <f>IFERROR(INDEX(Chemin_accès!$B$11:$C$22,MATCH(Tableau1[[#This Row],[Type]],Chemin_accès!$C$11:$C$22,0),1),Chemin_accès!$B$11)</f>
        <v>\\stjn.local\trimet\Btechnique\Commun\Atelier Central mécanique\Plan entretien\Modèles préventif\GammeDMS_7.MENG.xlsm</v>
      </c>
      <c r="AD499" s="50" t="str">
        <f>Chemin_accès!$B$8&amp;Tableau1[[#This Row],[Localisation / Classement]]&amp;"\"&amp;Tableau1[[#This Row],[Poste technique ou N° d''équipement]]&amp;"_"&amp;Tableau1[[#This Row],[Plan Entretien]]&amp;".xlsm"</f>
        <v>\\stjn.local\trimet\Btechnique\Commun\Atelier Central mécanique\Plan entretien\GammeEntretien\\_.xlsm</v>
      </c>
    </row>
    <row r="500" spans="1:30" x14ac:dyDescent="0.3">
      <c r="A500" s="44" t="str">
        <f t="shared" ca="1" si="7"/>
        <v>7.MENG</v>
      </c>
      <c r="B50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00" s="47"/>
      <c r="D500" s="44"/>
      <c r="E500" s="44"/>
      <c r="F500" s="47"/>
      <c r="G500" s="47"/>
      <c r="H500" s="45"/>
      <c r="I500" s="45"/>
      <c r="J500" s="45"/>
      <c r="K500" s="45"/>
      <c r="L500" s="46"/>
      <c r="M500" s="47"/>
      <c r="N500" s="47"/>
      <c r="O500" s="47"/>
      <c r="P500" s="47"/>
      <c r="Q500" s="47"/>
      <c r="R500" s="47"/>
      <c r="S500" s="48"/>
      <c r="T500" s="68" t="str">
        <f>IF(Tableau1[[#This Row],[DMS_SAP]]="","",HYPERLINK(Tableau1[[#This Row],[Chemin fichier source]],"X"))</f>
        <v/>
      </c>
      <c r="U500" s="68" t="str">
        <f>IF(Tableau1[[#This Row],[Date rév.]]="","",HYPERLINK(Tableau1[[#This Row],[Lien document]],"X"))</f>
        <v/>
      </c>
      <c r="V500" s="47"/>
      <c r="W50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00" s="47"/>
      <c r="Y500" s="47"/>
      <c r="Z500" s="44" t="str">
        <f ca="1">IF(AND(Tableau1[[#This Row],[Charge]]&lt;&gt;0, Tableau1[[#This Row],[Nombre intervenants]]&lt;&gt;0,Tableau1[[#This Row],[Lien document]]&lt;&gt;0,Tableau1[[#This Row],[DMS_SAP]]&lt;&gt;0)=TRUE,"MIS A JOUR","")</f>
        <v/>
      </c>
      <c r="AA500" s="48"/>
      <c r="AB500" s="65" t="str">
        <f ca="1">IF(Tableau1[[#This Row],[Date rév.]]&lt;&gt;"", DAYS360(Tableau1[[#This Row],[Date rév.]],TODAY()),"")</f>
        <v/>
      </c>
      <c r="AC500" s="50" t="str">
        <f>IFERROR(INDEX(Chemin_accès!$B$11:$C$22,MATCH(Tableau1[[#This Row],[Type]],Chemin_accès!$C$11:$C$22,0),1),Chemin_accès!$B$11)</f>
        <v>\\stjn.local\trimet\Btechnique\Commun\Atelier Central mécanique\Plan entretien\Modèles préventif\GammeDMS_7.MENG.xlsm</v>
      </c>
      <c r="AD500" s="50" t="str">
        <f>Chemin_accès!$B$8&amp;Tableau1[[#This Row],[Localisation / Classement]]&amp;"\"&amp;Tableau1[[#This Row],[Poste technique ou N° d''équipement]]&amp;"_"&amp;Tableau1[[#This Row],[Plan Entretien]]&amp;".xlsm"</f>
        <v>\\stjn.local\trimet\Btechnique\Commun\Atelier Central mécanique\Plan entretien\GammeEntretien\\_.xlsm</v>
      </c>
    </row>
    <row r="501" spans="1:30" x14ac:dyDescent="0.3">
      <c r="A501" s="44" t="str">
        <f t="shared" ca="1" si="7"/>
        <v>7.MENG</v>
      </c>
      <c r="B50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01" s="47"/>
      <c r="D501" s="44"/>
      <c r="E501" s="44"/>
      <c r="F501" s="47"/>
      <c r="G501" s="47"/>
      <c r="H501" s="45"/>
      <c r="I501" s="45"/>
      <c r="J501" s="45"/>
      <c r="K501" s="45"/>
      <c r="L501" s="46"/>
      <c r="M501" s="47"/>
      <c r="N501" s="47"/>
      <c r="O501" s="47"/>
      <c r="P501" s="47"/>
      <c r="Q501" s="47"/>
      <c r="R501" s="47"/>
      <c r="S501" s="48"/>
      <c r="T501" s="68" t="str">
        <f>IF(Tableau1[[#This Row],[DMS_SAP]]="","",HYPERLINK(Tableau1[[#This Row],[Chemin fichier source]],"X"))</f>
        <v/>
      </c>
      <c r="U501" s="68" t="str">
        <f>IF(Tableau1[[#This Row],[Date rév.]]="","",HYPERLINK(Tableau1[[#This Row],[Lien document]],"X"))</f>
        <v/>
      </c>
      <c r="V501" s="47"/>
      <c r="W50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01" s="47"/>
      <c r="Y501" s="47"/>
      <c r="Z501" s="44" t="str">
        <f ca="1">IF(AND(Tableau1[[#This Row],[Charge]]&lt;&gt;0, Tableau1[[#This Row],[Nombre intervenants]]&lt;&gt;0,Tableau1[[#This Row],[Lien document]]&lt;&gt;0,Tableau1[[#This Row],[DMS_SAP]]&lt;&gt;0)=TRUE,"MIS A JOUR","")</f>
        <v/>
      </c>
      <c r="AA501" s="48"/>
      <c r="AB501" s="65" t="str">
        <f ca="1">IF(Tableau1[[#This Row],[Date rév.]]&lt;&gt;"", DAYS360(Tableau1[[#This Row],[Date rév.]],TODAY()),"")</f>
        <v/>
      </c>
      <c r="AC501" s="50" t="str">
        <f>IFERROR(INDEX(Chemin_accès!$B$11:$C$22,MATCH(Tableau1[[#This Row],[Type]],Chemin_accès!$C$11:$C$22,0),1),Chemin_accès!$B$11)</f>
        <v>\\stjn.local\trimet\Btechnique\Commun\Atelier Central mécanique\Plan entretien\Modèles préventif\GammeDMS_7.MENG.xlsm</v>
      </c>
      <c r="AD501" s="50" t="str">
        <f>Chemin_accès!$B$8&amp;Tableau1[[#This Row],[Localisation / Classement]]&amp;"\"&amp;Tableau1[[#This Row],[Poste technique ou N° d''équipement]]&amp;"_"&amp;Tableau1[[#This Row],[Plan Entretien]]&amp;".xlsm"</f>
        <v>\\stjn.local\trimet\Btechnique\Commun\Atelier Central mécanique\Plan entretien\GammeEntretien\\_.xlsm</v>
      </c>
    </row>
    <row r="502" spans="1:30" x14ac:dyDescent="0.3">
      <c r="A502" s="44" t="str">
        <f t="shared" ca="1" si="7"/>
        <v>7.MENG</v>
      </c>
      <c r="B50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02" s="47"/>
      <c r="D502" s="44"/>
      <c r="E502" s="44"/>
      <c r="F502" s="47"/>
      <c r="G502" s="47"/>
      <c r="H502" s="45"/>
      <c r="I502" s="45"/>
      <c r="J502" s="45"/>
      <c r="K502" s="45"/>
      <c r="L502" s="46"/>
      <c r="M502" s="47"/>
      <c r="N502" s="47"/>
      <c r="O502" s="47"/>
      <c r="P502" s="47"/>
      <c r="Q502" s="47"/>
      <c r="R502" s="47"/>
      <c r="S502" s="48"/>
      <c r="T502" s="68" t="str">
        <f>IF(Tableau1[[#This Row],[DMS_SAP]]="","",HYPERLINK(Tableau1[[#This Row],[Chemin fichier source]],"X"))</f>
        <v/>
      </c>
      <c r="U502" s="68" t="str">
        <f>IF(Tableau1[[#This Row],[Date rév.]]="","",HYPERLINK(Tableau1[[#This Row],[Lien document]],"X"))</f>
        <v/>
      </c>
      <c r="V502" s="47"/>
      <c r="W50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02" s="47"/>
      <c r="Y502" s="47"/>
      <c r="Z502" s="44" t="str">
        <f ca="1">IF(AND(Tableau1[[#This Row],[Charge]]&lt;&gt;0, Tableau1[[#This Row],[Nombre intervenants]]&lt;&gt;0,Tableau1[[#This Row],[Lien document]]&lt;&gt;0,Tableau1[[#This Row],[DMS_SAP]]&lt;&gt;0)=TRUE,"MIS A JOUR","")</f>
        <v/>
      </c>
      <c r="AA502" s="48"/>
      <c r="AB502" s="65" t="str">
        <f ca="1">IF(Tableau1[[#This Row],[Date rév.]]&lt;&gt;"", DAYS360(Tableau1[[#This Row],[Date rév.]],TODAY()),"")</f>
        <v/>
      </c>
      <c r="AC502" s="50" t="str">
        <f>IFERROR(INDEX(Chemin_accès!$B$11:$C$22,MATCH(Tableau1[[#This Row],[Type]],Chemin_accès!$C$11:$C$22,0),1),Chemin_accès!$B$11)</f>
        <v>\\stjn.local\trimet\Btechnique\Commun\Atelier Central mécanique\Plan entretien\Modèles préventif\GammeDMS_7.MENG.xlsm</v>
      </c>
      <c r="AD502" s="50" t="str">
        <f>Chemin_accès!$B$8&amp;Tableau1[[#This Row],[Localisation / Classement]]&amp;"\"&amp;Tableau1[[#This Row],[Poste technique ou N° d''équipement]]&amp;"_"&amp;Tableau1[[#This Row],[Plan Entretien]]&amp;".xlsm"</f>
        <v>\\stjn.local\trimet\Btechnique\Commun\Atelier Central mécanique\Plan entretien\GammeEntretien\\_.xlsm</v>
      </c>
    </row>
    <row r="503" spans="1:30" x14ac:dyDescent="0.3">
      <c r="A503" s="44" t="str">
        <f t="shared" ca="1" si="7"/>
        <v>7.MENG</v>
      </c>
      <c r="B50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03" s="47"/>
      <c r="D503" s="44"/>
      <c r="E503" s="44"/>
      <c r="F503" s="47"/>
      <c r="G503" s="47"/>
      <c r="H503" s="45"/>
      <c r="I503" s="45"/>
      <c r="J503" s="45"/>
      <c r="K503" s="45"/>
      <c r="L503" s="46"/>
      <c r="M503" s="47"/>
      <c r="N503" s="47"/>
      <c r="O503" s="47"/>
      <c r="P503" s="47"/>
      <c r="Q503" s="47"/>
      <c r="R503" s="47"/>
      <c r="S503" s="48"/>
      <c r="T503" s="68" t="str">
        <f>IF(Tableau1[[#This Row],[DMS_SAP]]="","",HYPERLINK(Tableau1[[#This Row],[Chemin fichier source]],"X"))</f>
        <v/>
      </c>
      <c r="U503" s="68" t="str">
        <f>IF(Tableau1[[#This Row],[Date rév.]]="","",HYPERLINK(Tableau1[[#This Row],[Lien document]],"X"))</f>
        <v/>
      </c>
      <c r="V503" s="47"/>
      <c r="W50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03" s="47"/>
      <c r="Y503" s="47"/>
      <c r="Z503" s="44" t="str">
        <f ca="1">IF(AND(Tableau1[[#This Row],[Charge]]&lt;&gt;0, Tableau1[[#This Row],[Nombre intervenants]]&lt;&gt;0,Tableau1[[#This Row],[Lien document]]&lt;&gt;0,Tableau1[[#This Row],[DMS_SAP]]&lt;&gt;0)=TRUE,"MIS A JOUR","")</f>
        <v/>
      </c>
      <c r="AA503" s="48"/>
      <c r="AB503" s="65" t="str">
        <f ca="1">IF(Tableau1[[#This Row],[Date rév.]]&lt;&gt;"", DAYS360(Tableau1[[#This Row],[Date rév.]],TODAY()),"")</f>
        <v/>
      </c>
      <c r="AC503" s="50" t="str">
        <f>IFERROR(INDEX(Chemin_accès!$B$11:$C$22,MATCH(Tableau1[[#This Row],[Type]],Chemin_accès!$C$11:$C$22,0),1),Chemin_accès!$B$11)</f>
        <v>\\stjn.local\trimet\Btechnique\Commun\Atelier Central mécanique\Plan entretien\Modèles préventif\GammeDMS_7.MENG.xlsm</v>
      </c>
      <c r="AD503" s="50" t="str">
        <f>Chemin_accès!$B$8&amp;Tableau1[[#This Row],[Localisation / Classement]]&amp;"\"&amp;Tableau1[[#This Row],[Poste technique ou N° d''équipement]]&amp;"_"&amp;Tableau1[[#This Row],[Plan Entretien]]&amp;".xlsm"</f>
        <v>\\stjn.local\trimet\Btechnique\Commun\Atelier Central mécanique\Plan entretien\GammeEntretien\\_.xlsm</v>
      </c>
    </row>
    <row r="504" spans="1:30" x14ac:dyDescent="0.3">
      <c r="A504" s="44" t="str">
        <f t="shared" ca="1" si="7"/>
        <v>7.MENG</v>
      </c>
      <c r="B50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04" s="47"/>
      <c r="D504" s="44"/>
      <c r="E504" s="44"/>
      <c r="F504" s="47"/>
      <c r="G504" s="47"/>
      <c r="H504" s="45"/>
      <c r="I504" s="45"/>
      <c r="J504" s="45"/>
      <c r="K504" s="45"/>
      <c r="L504" s="46"/>
      <c r="M504" s="47"/>
      <c r="N504" s="47"/>
      <c r="O504" s="47"/>
      <c r="P504" s="47"/>
      <c r="Q504" s="47"/>
      <c r="R504" s="47"/>
      <c r="S504" s="48"/>
      <c r="T504" s="68" t="str">
        <f>IF(Tableau1[[#This Row],[DMS_SAP]]="","",HYPERLINK(Tableau1[[#This Row],[Chemin fichier source]],"X"))</f>
        <v/>
      </c>
      <c r="U504" s="68" t="str">
        <f>IF(Tableau1[[#This Row],[Date rév.]]="","",HYPERLINK(Tableau1[[#This Row],[Lien document]],"X"))</f>
        <v/>
      </c>
      <c r="V504" s="47"/>
      <c r="W50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04" s="47"/>
      <c r="Y504" s="47"/>
      <c r="Z504" s="44" t="str">
        <f ca="1">IF(AND(Tableau1[[#This Row],[Charge]]&lt;&gt;0, Tableau1[[#This Row],[Nombre intervenants]]&lt;&gt;0,Tableau1[[#This Row],[Lien document]]&lt;&gt;0,Tableau1[[#This Row],[DMS_SAP]]&lt;&gt;0)=TRUE,"MIS A JOUR","")</f>
        <v/>
      </c>
      <c r="AA504" s="48"/>
      <c r="AB504" s="65" t="str">
        <f ca="1">IF(Tableau1[[#This Row],[Date rév.]]&lt;&gt;"", DAYS360(Tableau1[[#This Row],[Date rév.]],TODAY()),"")</f>
        <v/>
      </c>
      <c r="AC504" s="50" t="str">
        <f>IFERROR(INDEX(Chemin_accès!$B$11:$C$22,MATCH(Tableau1[[#This Row],[Type]],Chemin_accès!$C$11:$C$22,0),1),Chemin_accès!$B$11)</f>
        <v>\\stjn.local\trimet\Btechnique\Commun\Atelier Central mécanique\Plan entretien\Modèles préventif\GammeDMS_7.MENG.xlsm</v>
      </c>
      <c r="AD504" s="50" t="str">
        <f>Chemin_accès!$B$8&amp;Tableau1[[#This Row],[Localisation / Classement]]&amp;"\"&amp;Tableau1[[#This Row],[Poste technique ou N° d''équipement]]&amp;"_"&amp;Tableau1[[#This Row],[Plan Entretien]]&amp;".xlsm"</f>
        <v>\\stjn.local\trimet\Btechnique\Commun\Atelier Central mécanique\Plan entretien\GammeEntretien\\_.xlsm</v>
      </c>
    </row>
    <row r="505" spans="1:30" x14ac:dyDescent="0.3">
      <c r="A505" s="44" t="str">
        <f t="shared" ca="1" si="7"/>
        <v>7.MENG</v>
      </c>
      <c r="B50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05" s="47"/>
      <c r="D505" s="44"/>
      <c r="E505" s="44"/>
      <c r="F505" s="47"/>
      <c r="G505" s="47"/>
      <c r="H505" s="45"/>
      <c r="I505" s="45"/>
      <c r="J505" s="45"/>
      <c r="K505" s="45"/>
      <c r="L505" s="46"/>
      <c r="M505" s="47"/>
      <c r="N505" s="47"/>
      <c r="O505" s="47"/>
      <c r="P505" s="47"/>
      <c r="Q505" s="47"/>
      <c r="R505" s="47"/>
      <c r="S505" s="48"/>
      <c r="T505" s="68" t="str">
        <f>IF(Tableau1[[#This Row],[DMS_SAP]]="","",HYPERLINK(Tableau1[[#This Row],[Chemin fichier source]],"X"))</f>
        <v/>
      </c>
      <c r="U505" s="68" t="str">
        <f>IF(Tableau1[[#This Row],[Date rév.]]="","",HYPERLINK(Tableau1[[#This Row],[Lien document]],"X"))</f>
        <v/>
      </c>
      <c r="V505" s="47"/>
      <c r="W50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05" s="47"/>
      <c r="Y505" s="47"/>
      <c r="Z505" s="44" t="str">
        <f ca="1">IF(AND(Tableau1[[#This Row],[Charge]]&lt;&gt;0, Tableau1[[#This Row],[Nombre intervenants]]&lt;&gt;0,Tableau1[[#This Row],[Lien document]]&lt;&gt;0,Tableau1[[#This Row],[DMS_SAP]]&lt;&gt;0)=TRUE,"MIS A JOUR","")</f>
        <v/>
      </c>
      <c r="AA505" s="48"/>
      <c r="AB505" s="65" t="str">
        <f ca="1">IF(Tableau1[[#This Row],[Date rév.]]&lt;&gt;"", DAYS360(Tableau1[[#This Row],[Date rév.]],TODAY()),"")</f>
        <v/>
      </c>
      <c r="AC505" s="50" t="str">
        <f>IFERROR(INDEX(Chemin_accès!$B$11:$C$22,MATCH(Tableau1[[#This Row],[Type]],Chemin_accès!$C$11:$C$22,0),1),Chemin_accès!$B$11)</f>
        <v>\\stjn.local\trimet\Btechnique\Commun\Atelier Central mécanique\Plan entretien\Modèles préventif\GammeDMS_7.MENG.xlsm</v>
      </c>
      <c r="AD505" s="50" t="str">
        <f>Chemin_accès!$B$8&amp;Tableau1[[#This Row],[Localisation / Classement]]&amp;"\"&amp;Tableau1[[#This Row],[Poste technique ou N° d''équipement]]&amp;"_"&amp;Tableau1[[#This Row],[Plan Entretien]]&amp;".xlsm"</f>
        <v>\\stjn.local\trimet\Btechnique\Commun\Atelier Central mécanique\Plan entretien\GammeEntretien\\_.xlsm</v>
      </c>
    </row>
    <row r="506" spans="1:30" x14ac:dyDescent="0.3">
      <c r="A506" s="44" t="str">
        <f t="shared" ca="1" si="7"/>
        <v>7.MENG</v>
      </c>
      <c r="B50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06" s="47"/>
      <c r="D506" s="44"/>
      <c r="E506" s="44"/>
      <c r="F506" s="47"/>
      <c r="G506" s="47"/>
      <c r="H506" s="45"/>
      <c r="I506" s="45"/>
      <c r="J506" s="45"/>
      <c r="K506" s="45"/>
      <c r="L506" s="46"/>
      <c r="M506" s="47"/>
      <c r="N506" s="47"/>
      <c r="O506" s="47"/>
      <c r="P506" s="47"/>
      <c r="Q506" s="47"/>
      <c r="R506" s="47"/>
      <c r="S506" s="48"/>
      <c r="T506" s="68" t="str">
        <f>IF(Tableau1[[#This Row],[DMS_SAP]]="","",HYPERLINK(Tableau1[[#This Row],[Chemin fichier source]],"X"))</f>
        <v/>
      </c>
      <c r="U506" s="68" t="str">
        <f>IF(Tableau1[[#This Row],[Date rév.]]="","",HYPERLINK(Tableau1[[#This Row],[Lien document]],"X"))</f>
        <v/>
      </c>
      <c r="V506" s="47"/>
      <c r="W50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06" s="47"/>
      <c r="Y506" s="47"/>
      <c r="Z506" s="44" t="str">
        <f ca="1">IF(AND(Tableau1[[#This Row],[Charge]]&lt;&gt;0, Tableau1[[#This Row],[Nombre intervenants]]&lt;&gt;0,Tableau1[[#This Row],[Lien document]]&lt;&gt;0,Tableau1[[#This Row],[DMS_SAP]]&lt;&gt;0)=TRUE,"MIS A JOUR","")</f>
        <v/>
      </c>
      <c r="AA506" s="48"/>
      <c r="AB506" s="65" t="str">
        <f ca="1">IF(Tableau1[[#This Row],[Date rév.]]&lt;&gt;"", DAYS360(Tableau1[[#This Row],[Date rév.]],TODAY()),"")</f>
        <v/>
      </c>
      <c r="AC506" s="50" t="str">
        <f>IFERROR(INDEX(Chemin_accès!$B$11:$C$22,MATCH(Tableau1[[#This Row],[Type]],Chemin_accès!$C$11:$C$22,0),1),Chemin_accès!$B$11)</f>
        <v>\\stjn.local\trimet\Btechnique\Commun\Atelier Central mécanique\Plan entretien\Modèles préventif\GammeDMS_7.MENG.xlsm</v>
      </c>
      <c r="AD506" s="50" t="str">
        <f>Chemin_accès!$B$8&amp;Tableau1[[#This Row],[Localisation / Classement]]&amp;"\"&amp;Tableau1[[#This Row],[Poste technique ou N° d''équipement]]&amp;"_"&amp;Tableau1[[#This Row],[Plan Entretien]]&amp;".xlsm"</f>
        <v>\\stjn.local\trimet\Btechnique\Commun\Atelier Central mécanique\Plan entretien\GammeEntretien\\_.xlsm</v>
      </c>
    </row>
    <row r="507" spans="1:30" x14ac:dyDescent="0.3">
      <c r="A507" s="44" t="str">
        <f t="shared" ca="1" si="7"/>
        <v>7.MENG</v>
      </c>
      <c r="B50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07" s="47"/>
      <c r="D507" s="44"/>
      <c r="E507" s="44"/>
      <c r="F507" s="47"/>
      <c r="G507" s="47"/>
      <c r="H507" s="45"/>
      <c r="I507" s="45"/>
      <c r="J507" s="45"/>
      <c r="K507" s="45"/>
      <c r="L507" s="46"/>
      <c r="M507" s="47"/>
      <c r="N507" s="47"/>
      <c r="O507" s="47"/>
      <c r="P507" s="47"/>
      <c r="Q507" s="47"/>
      <c r="R507" s="47"/>
      <c r="S507" s="48"/>
      <c r="T507" s="68" t="str">
        <f>IF(Tableau1[[#This Row],[DMS_SAP]]="","",HYPERLINK(Tableau1[[#This Row],[Chemin fichier source]],"X"))</f>
        <v/>
      </c>
      <c r="U507" s="68" t="str">
        <f>IF(Tableau1[[#This Row],[Date rév.]]="","",HYPERLINK(Tableau1[[#This Row],[Lien document]],"X"))</f>
        <v/>
      </c>
      <c r="V507" s="47"/>
      <c r="W50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07" s="47"/>
      <c r="Y507" s="47"/>
      <c r="Z507" s="44" t="str">
        <f ca="1">IF(AND(Tableau1[[#This Row],[Charge]]&lt;&gt;0, Tableau1[[#This Row],[Nombre intervenants]]&lt;&gt;0,Tableau1[[#This Row],[Lien document]]&lt;&gt;0,Tableau1[[#This Row],[DMS_SAP]]&lt;&gt;0)=TRUE,"MIS A JOUR","")</f>
        <v/>
      </c>
      <c r="AA507" s="48"/>
      <c r="AB507" s="65" t="str">
        <f ca="1">IF(Tableau1[[#This Row],[Date rév.]]&lt;&gt;"", DAYS360(Tableau1[[#This Row],[Date rév.]],TODAY()),"")</f>
        <v/>
      </c>
      <c r="AC507" s="50" t="str">
        <f>IFERROR(INDEX(Chemin_accès!$B$11:$C$22,MATCH(Tableau1[[#This Row],[Type]],Chemin_accès!$C$11:$C$22,0),1),Chemin_accès!$B$11)</f>
        <v>\\stjn.local\trimet\Btechnique\Commun\Atelier Central mécanique\Plan entretien\Modèles préventif\GammeDMS_7.MENG.xlsm</v>
      </c>
      <c r="AD507" s="50" t="str">
        <f>Chemin_accès!$B$8&amp;Tableau1[[#This Row],[Localisation / Classement]]&amp;"\"&amp;Tableau1[[#This Row],[Poste technique ou N° d''équipement]]&amp;"_"&amp;Tableau1[[#This Row],[Plan Entretien]]&amp;".xlsm"</f>
        <v>\\stjn.local\trimet\Btechnique\Commun\Atelier Central mécanique\Plan entretien\GammeEntretien\\_.xlsm</v>
      </c>
    </row>
    <row r="508" spans="1:30" x14ac:dyDescent="0.3">
      <c r="A508" s="44" t="str">
        <f t="shared" ca="1" si="7"/>
        <v>7.MENG</v>
      </c>
      <c r="B50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08" s="47"/>
      <c r="D508" s="44"/>
      <c r="E508" s="44"/>
      <c r="F508" s="47"/>
      <c r="G508" s="47"/>
      <c r="H508" s="45"/>
      <c r="I508" s="45"/>
      <c r="J508" s="45"/>
      <c r="K508" s="45"/>
      <c r="L508" s="46"/>
      <c r="M508" s="47"/>
      <c r="N508" s="47"/>
      <c r="O508" s="47"/>
      <c r="P508" s="47"/>
      <c r="Q508" s="47"/>
      <c r="R508" s="47"/>
      <c r="S508" s="48"/>
      <c r="T508" s="68" t="str">
        <f>IF(Tableau1[[#This Row],[DMS_SAP]]="","",HYPERLINK(Tableau1[[#This Row],[Chemin fichier source]],"X"))</f>
        <v/>
      </c>
      <c r="U508" s="68" t="str">
        <f>IF(Tableau1[[#This Row],[Date rév.]]="","",HYPERLINK(Tableau1[[#This Row],[Lien document]],"X"))</f>
        <v/>
      </c>
      <c r="V508" s="47"/>
      <c r="W50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08" s="47"/>
      <c r="Y508" s="47"/>
      <c r="Z508" s="44" t="str">
        <f ca="1">IF(AND(Tableau1[[#This Row],[Charge]]&lt;&gt;0, Tableau1[[#This Row],[Nombre intervenants]]&lt;&gt;0,Tableau1[[#This Row],[Lien document]]&lt;&gt;0,Tableau1[[#This Row],[DMS_SAP]]&lt;&gt;0)=TRUE,"MIS A JOUR","")</f>
        <v/>
      </c>
      <c r="AA508" s="48"/>
      <c r="AB508" s="65" t="str">
        <f ca="1">IF(Tableau1[[#This Row],[Date rév.]]&lt;&gt;"", DAYS360(Tableau1[[#This Row],[Date rév.]],TODAY()),"")</f>
        <v/>
      </c>
      <c r="AC508" s="50" t="str">
        <f>IFERROR(INDEX(Chemin_accès!$B$11:$C$22,MATCH(Tableau1[[#This Row],[Type]],Chemin_accès!$C$11:$C$22,0),1),Chemin_accès!$B$11)</f>
        <v>\\stjn.local\trimet\Btechnique\Commun\Atelier Central mécanique\Plan entretien\Modèles préventif\GammeDMS_7.MENG.xlsm</v>
      </c>
      <c r="AD508" s="50" t="str">
        <f>Chemin_accès!$B$8&amp;Tableau1[[#This Row],[Localisation / Classement]]&amp;"\"&amp;Tableau1[[#This Row],[Poste technique ou N° d''équipement]]&amp;"_"&amp;Tableau1[[#This Row],[Plan Entretien]]&amp;".xlsm"</f>
        <v>\\stjn.local\trimet\Btechnique\Commun\Atelier Central mécanique\Plan entretien\GammeEntretien\\_.xlsm</v>
      </c>
    </row>
    <row r="509" spans="1:30" x14ac:dyDescent="0.3">
      <c r="A509" s="44" t="str">
        <f t="shared" ca="1" si="7"/>
        <v>7.MENG</v>
      </c>
      <c r="B50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09" s="47"/>
      <c r="D509" s="44"/>
      <c r="E509" s="44"/>
      <c r="F509" s="47"/>
      <c r="G509" s="47"/>
      <c r="H509" s="45"/>
      <c r="I509" s="45"/>
      <c r="J509" s="45"/>
      <c r="K509" s="45"/>
      <c r="L509" s="46"/>
      <c r="M509" s="47"/>
      <c r="N509" s="47"/>
      <c r="O509" s="47"/>
      <c r="P509" s="47"/>
      <c r="Q509" s="47"/>
      <c r="R509" s="47"/>
      <c r="S509" s="48"/>
      <c r="T509" s="68" t="str">
        <f>IF(Tableau1[[#This Row],[DMS_SAP]]="","",HYPERLINK(Tableau1[[#This Row],[Chemin fichier source]],"X"))</f>
        <v/>
      </c>
      <c r="U509" s="68" t="str">
        <f>IF(Tableau1[[#This Row],[Date rév.]]="","",HYPERLINK(Tableau1[[#This Row],[Lien document]],"X"))</f>
        <v/>
      </c>
      <c r="V509" s="47"/>
      <c r="W50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09" s="47"/>
      <c r="Y509" s="47"/>
      <c r="Z509" s="44" t="str">
        <f ca="1">IF(AND(Tableau1[[#This Row],[Charge]]&lt;&gt;0, Tableau1[[#This Row],[Nombre intervenants]]&lt;&gt;0,Tableau1[[#This Row],[Lien document]]&lt;&gt;0,Tableau1[[#This Row],[DMS_SAP]]&lt;&gt;0)=TRUE,"MIS A JOUR","")</f>
        <v/>
      </c>
      <c r="AA509" s="48"/>
      <c r="AB509" s="65" t="str">
        <f ca="1">IF(Tableau1[[#This Row],[Date rév.]]&lt;&gt;"", DAYS360(Tableau1[[#This Row],[Date rév.]],TODAY()),"")</f>
        <v/>
      </c>
      <c r="AC509" s="50" t="str">
        <f>IFERROR(INDEX(Chemin_accès!$B$11:$C$22,MATCH(Tableau1[[#This Row],[Type]],Chemin_accès!$C$11:$C$22,0),1),Chemin_accès!$B$11)</f>
        <v>\\stjn.local\trimet\Btechnique\Commun\Atelier Central mécanique\Plan entretien\Modèles préventif\GammeDMS_7.MENG.xlsm</v>
      </c>
      <c r="AD509" s="50" t="str">
        <f>Chemin_accès!$B$8&amp;Tableau1[[#This Row],[Localisation / Classement]]&amp;"\"&amp;Tableau1[[#This Row],[Poste technique ou N° d''équipement]]&amp;"_"&amp;Tableau1[[#This Row],[Plan Entretien]]&amp;".xlsm"</f>
        <v>\\stjn.local\trimet\Btechnique\Commun\Atelier Central mécanique\Plan entretien\GammeEntretien\\_.xlsm</v>
      </c>
    </row>
    <row r="510" spans="1:30" x14ac:dyDescent="0.3">
      <c r="A510" s="44" t="str">
        <f t="shared" ca="1" si="7"/>
        <v>7.MENG</v>
      </c>
      <c r="B51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10" s="47"/>
      <c r="D510" s="44"/>
      <c r="E510" s="44"/>
      <c r="F510" s="47"/>
      <c r="G510" s="47"/>
      <c r="H510" s="45"/>
      <c r="I510" s="45"/>
      <c r="J510" s="45"/>
      <c r="K510" s="45"/>
      <c r="L510" s="46"/>
      <c r="M510" s="47"/>
      <c r="N510" s="47"/>
      <c r="O510" s="47"/>
      <c r="P510" s="47"/>
      <c r="Q510" s="47"/>
      <c r="R510" s="47"/>
      <c r="S510" s="48"/>
      <c r="T510" s="68" t="str">
        <f>IF(Tableau1[[#This Row],[DMS_SAP]]="","",HYPERLINK(Tableau1[[#This Row],[Chemin fichier source]],"X"))</f>
        <v/>
      </c>
      <c r="U510" s="68" t="str">
        <f>IF(Tableau1[[#This Row],[Date rév.]]="","",HYPERLINK(Tableau1[[#This Row],[Lien document]],"X"))</f>
        <v/>
      </c>
      <c r="V510" s="47"/>
      <c r="W51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10" s="47"/>
      <c r="Y510" s="47"/>
      <c r="Z510" s="44" t="str">
        <f ca="1">IF(AND(Tableau1[[#This Row],[Charge]]&lt;&gt;0, Tableau1[[#This Row],[Nombre intervenants]]&lt;&gt;0,Tableau1[[#This Row],[Lien document]]&lt;&gt;0,Tableau1[[#This Row],[DMS_SAP]]&lt;&gt;0)=TRUE,"MIS A JOUR","")</f>
        <v/>
      </c>
      <c r="AA510" s="48"/>
      <c r="AB510" s="65" t="str">
        <f ca="1">IF(Tableau1[[#This Row],[Date rév.]]&lt;&gt;"", DAYS360(Tableau1[[#This Row],[Date rév.]],TODAY()),"")</f>
        <v/>
      </c>
      <c r="AC510" s="50" t="str">
        <f>IFERROR(INDEX(Chemin_accès!$B$11:$C$22,MATCH(Tableau1[[#This Row],[Type]],Chemin_accès!$C$11:$C$22,0),1),Chemin_accès!$B$11)</f>
        <v>\\stjn.local\trimet\Btechnique\Commun\Atelier Central mécanique\Plan entretien\Modèles préventif\GammeDMS_7.MENG.xlsm</v>
      </c>
      <c r="AD510" s="50" t="str">
        <f>Chemin_accès!$B$8&amp;Tableau1[[#This Row],[Localisation / Classement]]&amp;"\"&amp;Tableau1[[#This Row],[Poste technique ou N° d''équipement]]&amp;"_"&amp;Tableau1[[#This Row],[Plan Entretien]]&amp;".xlsm"</f>
        <v>\\stjn.local\trimet\Btechnique\Commun\Atelier Central mécanique\Plan entretien\GammeEntretien\\_.xlsm</v>
      </c>
    </row>
    <row r="511" spans="1:30" x14ac:dyDescent="0.3">
      <c r="A511" s="44" t="str">
        <f t="shared" ca="1" si="7"/>
        <v>7.MENG</v>
      </c>
      <c r="B51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11" s="47"/>
      <c r="D511" s="44"/>
      <c r="E511" s="44"/>
      <c r="F511" s="47"/>
      <c r="G511" s="47"/>
      <c r="H511" s="45"/>
      <c r="I511" s="45"/>
      <c r="J511" s="45"/>
      <c r="K511" s="45"/>
      <c r="L511" s="46"/>
      <c r="M511" s="47"/>
      <c r="N511" s="47"/>
      <c r="O511" s="47"/>
      <c r="P511" s="47"/>
      <c r="Q511" s="47"/>
      <c r="R511" s="47"/>
      <c r="S511" s="48"/>
      <c r="T511" s="68" t="str">
        <f>IF(Tableau1[[#This Row],[DMS_SAP]]="","",HYPERLINK(Tableau1[[#This Row],[Chemin fichier source]],"X"))</f>
        <v/>
      </c>
      <c r="U511" s="68" t="str">
        <f>IF(Tableau1[[#This Row],[Date rév.]]="","",HYPERLINK(Tableau1[[#This Row],[Lien document]],"X"))</f>
        <v/>
      </c>
      <c r="V511" s="47"/>
      <c r="W51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11" s="47"/>
      <c r="Y511" s="47"/>
      <c r="Z511" s="44" t="str">
        <f ca="1">IF(AND(Tableau1[[#This Row],[Charge]]&lt;&gt;0, Tableau1[[#This Row],[Nombre intervenants]]&lt;&gt;0,Tableau1[[#This Row],[Lien document]]&lt;&gt;0,Tableau1[[#This Row],[DMS_SAP]]&lt;&gt;0)=TRUE,"MIS A JOUR","")</f>
        <v/>
      </c>
      <c r="AA511" s="48"/>
      <c r="AB511" s="65" t="str">
        <f ca="1">IF(Tableau1[[#This Row],[Date rév.]]&lt;&gt;"", DAYS360(Tableau1[[#This Row],[Date rév.]],TODAY()),"")</f>
        <v/>
      </c>
      <c r="AC511" s="50" t="str">
        <f>IFERROR(INDEX(Chemin_accès!$B$11:$C$22,MATCH(Tableau1[[#This Row],[Type]],Chemin_accès!$C$11:$C$22,0),1),Chemin_accès!$B$11)</f>
        <v>\\stjn.local\trimet\Btechnique\Commun\Atelier Central mécanique\Plan entretien\Modèles préventif\GammeDMS_7.MENG.xlsm</v>
      </c>
      <c r="AD511" s="50" t="str">
        <f>Chemin_accès!$B$8&amp;Tableau1[[#This Row],[Localisation / Classement]]&amp;"\"&amp;Tableau1[[#This Row],[Poste technique ou N° d''équipement]]&amp;"_"&amp;Tableau1[[#This Row],[Plan Entretien]]&amp;".xlsm"</f>
        <v>\\stjn.local\trimet\Btechnique\Commun\Atelier Central mécanique\Plan entretien\GammeEntretien\\_.xlsm</v>
      </c>
    </row>
    <row r="512" spans="1:30" x14ac:dyDescent="0.3">
      <c r="A512" s="44" t="str">
        <f t="shared" ca="1" si="7"/>
        <v>7.MENG</v>
      </c>
      <c r="B51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12" s="47"/>
      <c r="D512" s="44"/>
      <c r="E512" s="44"/>
      <c r="F512" s="47"/>
      <c r="G512" s="47"/>
      <c r="H512" s="45"/>
      <c r="I512" s="45"/>
      <c r="J512" s="45"/>
      <c r="K512" s="45"/>
      <c r="L512" s="46"/>
      <c r="M512" s="47"/>
      <c r="N512" s="47"/>
      <c r="O512" s="47"/>
      <c r="P512" s="47"/>
      <c r="Q512" s="47"/>
      <c r="R512" s="47"/>
      <c r="S512" s="48"/>
      <c r="T512" s="68" t="str">
        <f>IF(Tableau1[[#This Row],[DMS_SAP]]="","",HYPERLINK(Tableau1[[#This Row],[Chemin fichier source]],"X"))</f>
        <v/>
      </c>
      <c r="U512" s="68" t="str">
        <f>IF(Tableau1[[#This Row],[Date rév.]]="","",HYPERLINK(Tableau1[[#This Row],[Lien document]],"X"))</f>
        <v/>
      </c>
      <c r="V512" s="47"/>
      <c r="W51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12" s="47"/>
      <c r="Y512" s="47"/>
      <c r="Z512" s="44" t="str">
        <f ca="1">IF(AND(Tableau1[[#This Row],[Charge]]&lt;&gt;0, Tableau1[[#This Row],[Nombre intervenants]]&lt;&gt;0,Tableau1[[#This Row],[Lien document]]&lt;&gt;0,Tableau1[[#This Row],[DMS_SAP]]&lt;&gt;0)=TRUE,"MIS A JOUR","")</f>
        <v/>
      </c>
      <c r="AA512" s="48"/>
      <c r="AB512" s="65" t="str">
        <f ca="1">IF(Tableau1[[#This Row],[Date rév.]]&lt;&gt;"", DAYS360(Tableau1[[#This Row],[Date rév.]],TODAY()),"")</f>
        <v/>
      </c>
      <c r="AC512" s="50" t="str">
        <f>IFERROR(INDEX(Chemin_accès!$B$11:$C$22,MATCH(Tableau1[[#This Row],[Type]],Chemin_accès!$C$11:$C$22,0),1),Chemin_accès!$B$11)</f>
        <v>\\stjn.local\trimet\Btechnique\Commun\Atelier Central mécanique\Plan entretien\Modèles préventif\GammeDMS_7.MENG.xlsm</v>
      </c>
      <c r="AD512" s="50" t="str">
        <f>Chemin_accès!$B$8&amp;Tableau1[[#This Row],[Localisation / Classement]]&amp;"\"&amp;Tableau1[[#This Row],[Poste technique ou N° d''équipement]]&amp;"_"&amp;Tableau1[[#This Row],[Plan Entretien]]&amp;".xlsm"</f>
        <v>\\stjn.local\trimet\Btechnique\Commun\Atelier Central mécanique\Plan entretien\GammeEntretien\\_.xlsm</v>
      </c>
    </row>
    <row r="513" spans="1:30" x14ac:dyDescent="0.3">
      <c r="A513" s="44" t="str">
        <f t="shared" ref="A513:A576" ca="1" si="8">MID(CELL("filename",$A$1),FIND("]",CELL("filename",$A$1))+1,32)</f>
        <v>7.MENG</v>
      </c>
      <c r="B51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13" s="47"/>
      <c r="D513" s="44"/>
      <c r="E513" s="44"/>
      <c r="F513" s="47"/>
      <c r="G513" s="47"/>
      <c r="H513" s="45"/>
      <c r="I513" s="45"/>
      <c r="J513" s="45"/>
      <c r="K513" s="45"/>
      <c r="L513" s="46"/>
      <c r="M513" s="47"/>
      <c r="N513" s="47"/>
      <c r="O513" s="47"/>
      <c r="P513" s="47"/>
      <c r="Q513" s="47"/>
      <c r="R513" s="47"/>
      <c r="S513" s="48"/>
      <c r="T513" s="68" t="str">
        <f>IF(Tableau1[[#This Row],[DMS_SAP]]="","",HYPERLINK(Tableau1[[#This Row],[Chemin fichier source]],"X"))</f>
        <v/>
      </c>
      <c r="U513" s="68" t="str">
        <f>IF(Tableau1[[#This Row],[Date rév.]]="","",HYPERLINK(Tableau1[[#This Row],[Lien document]],"X"))</f>
        <v/>
      </c>
      <c r="V513" s="47"/>
      <c r="W51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13" s="47"/>
      <c r="Y513" s="47"/>
      <c r="Z513" s="44" t="str">
        <f ca="1">IF(AND(Tableau1[[#This Row],[Charge]]&lt;&gt;0, Tableau1[[#This Row],[Nombre intervenants]]&lt;&gt;0,Tableau1[[#This Row],[Lien document]]&lt;&gt;0,Tableau1[[#This Row],[DMS_SAP]]&lt;&gt;0)=TRUE,"MIS A JOUR","")</f>
        <v/>
      </c>
      <c r="AA513" s="48"/>
      <c r="AB513" s="65" t="str">
        <f ca="1">IF(Tableau1[[#This Row],[Date rév.]]&lt;&gt;"", DAYS360(Tableau1[[#This Row],[Date rév.]],TODAY()),"")</f>
        <v/>
      </c>
      <c r="AC513" s="50" t="str">
        <f>IFERROR(INDEX(Chemin_accès!$B$11:$C$22,MATCH(Tableau1[[#This Row],[Type]],Chemin_accès!$C$11:$C$22,0),1),Chemin_accès!$B$11)</f>
        <v>\\stjn.local\trimet\Btechnique\Commun\Atelier Central mécanique\Plan entretien\Modèles préventif\GammeDMS_7.MENG.xlsm</v>
      </c>
      <c r="AD513" s="50" t="str">
        <f>Chemin_accès!$B$8&amp;Tableau1[[#This Row],[Localisation / Classement]]&amp;"\"&amp;Tableau1[[#This Row],[Poste technique ou N° d''équipement]]&amp;"_"&amp;Tableau1[[#This Row],[Plan Entretien]]&amp;".xlsm"</f>
        <v>\\stjn.local\trimet\Btechnique\Commun\Atelier Central mécanique\Plan entretien\GammeEntretien\\_.xlsm</v>
      </c>
    </row>
    <row r="514" spans="1:30" x14ac:dyDescent="0.3">
      <c r="A514" s="44" t="str">
        <f t="shared" ca="1" si="8"/>
        <v>7.MENG</v>
      </c>
      <c r="B51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14" s="47"/>
      <c r="D514" s="44"/>
      <c r="E514" s="44"/>
      <c r="F514" s="47"/>
      <c r="G514" s="47"/>
      <c r="H514" s="45"/>
      <c r="I514" s="45"/>
      <c r="J514" s="45"/>
      <c r="K514" s="45"/>
      <c r="L514" s="46"/>
      <c r="M514" s="47"/>
      <c r="N514" s="47"/>
      <c r="O514" s="47"/>
      <c r="P514" s="47"/>
      <c r="Q514" s="47"/>
      <c r="R514" s="47"/>
      <c r="S514" s="48"/>
      <c r="T514" s="68" t="str">
        <f>IF(Tableau1[[#This Row],[DMS_SAP]]="","",HYPERLINK(Tableau1[[#This Row],[Chemin fichier source]],"X"))</f>
        <v/>
      </c>
      <c r="U514" s="68" t="str">
        <f>IF(Tableau1[[#This Row],[Date rév.]]="","",HYPERLINK(Tableau1[[#This Row],[Lien document]],"X"))</f>
        <v/>
      </c>
      <c r="V514" s="47"/>
      <c r="W51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14" s="47"/>
      <c r="Y514" s="47"/>
      <c r="Z514" s="44" t="str">
        <f ca="1">IF(AND(Tableau1[[#This Row],[Charge]]&lt;&gt;0, Tableau1[[#This Row],[Nombre intervenants]]&lt;&gt;0,Tableau1[[#This Row],[Lien document]]&lt;&gt;0,Tableau1[[#This Row],[DMS_SAP]]&lt;&gt;0)=TRUE,"MIS A JOUR","")</f>
        <v/>
      </c>
      <c r="AA514" s="48"/>
      <c r="AB514" s="65" t="str">
        <f ca="1">IF(Tableau1[[#This Row],[Date rév.]]&lt;&gt;"", DAYS360(Tableau1[[#This Row],[Date rév.]],TODAY()),"")</f>
        <v/>
      </c>
      <c r="AC514" s="50" t="str">
        <f>IFERROR(INDEX(Chemin_accès!$B$11:$C$22,MATCH(Tableau1[[#This Row],[Type]],Chemin_accès!$C$11:$C$22,0),1),Chemin_accès!$B$11)</f>
        <v>\\stjn.local\trimet\Btechnique\Commun\Atelier Central mécanique\Plan entretien\Modèles préventif\GammeDMS_7.MENG.xlsm</v>
      </c>
      <c r="AD514" s="50" t="str">
        <f>Chemin_accès!$B$8&amp;Tableau1[[#This Row],[Localisation / Classement]]&amp;"\"&amp;Tableau1[[#This Row],[Poste technique ou N° d''équipement]]&amp;"_"&amp;Tableau1[[#This Row],[Plan Entretien]]&amp;".xlsm"</f>
        <v>\\stjn.local\trimet\Btechnique\Commun\Atelier Central mécanique\Plan entretien\GammeEntretien\\_.xlsm</v>
      </c>
    </row>
    <row r="515" spans="1:30" x14ac:dyDescent="0.3">
      <c r="A515" s="44" t="str">
        <f t="shared" ca="1" si="8"/>
        <v>7.MENG</v>
      </c>
      <c r="B51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15" s="47"/>
      <c r="D515" s="44"/>
      <c r="E515" s="44"/>
      <c r="F515" s="47"/>
      <c r="G515" s="47"/>
      <c r="H515" s="45"/>
      <c r="I515" s="45"/>
      <c r="J515" s="45"/>
      <c r="K515" s="45"/>
      <c r="L515" s="46"/>
      <c r="M515" s="47"/>
      <c r="N515" s="47"/>
      <c r="O515" s="47"/>
      <c r="P515" s="47"/>
      <c r="Q515" s="47"/>
      <c r="R515" s="47"/>
      <c r="S515" s="48"/>
      <c r="T515" s="68" t="str">
        <f>IF(Tableau1[[#This Row],[DMS_SAP]]="","",HYPERLINK(Tableau1[[#This Row],[Chemin fichier source]],"X"))</f>
        <v/>
      </c>
      <c r="U515" s="68" t="str">
        <f>IF(Tableau1[[#This Row],[Date rév.]]="","",HYPERLINK(Tableau1[[#This Row],[Lien document]],"X"))</f>
        <v/>
      </c>
      <c r="V515" s="47"/>
      <c r="W51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15" s="47"/>
      <c r="Y515" s="47"/>
      <c r="Z515" s="44" t="str">
        <f ca="1">IF(AND(Tableau1[[#This Row],[Charge]]&lt;&gt;0, Tableau1[[#This Row],[Nombre intervenants]]&lt;&gt;0,Tableau1[[#This Row],[Lien document]]&lt;&gt;0,Tableau1[[#This Row],[DMS_SAP]]&lt;&gt;0)=TRUE,"MIS A JOUR","")</f>
        <v/>
      </c>
      <c r="AA515" s="48"/>
      <c r="AB515" s="65" t="str">
        <f ca="1">IF(Tableau1[[#This Row],[Date rév.]]&lt;&gt;"", DAYS360(Tableau1[[#This Row],[Date rév.]],TODAY()),"")</f>
        <v/>
      </c>
      <c r="AC515" s="50" t="str">
        <f>IFERROR(INDEX(Chemin_accès!$B$11:$C$22,MATCH(Tableau1[[#This Row],[Type]],Chemin_accès!$C$11:$C$22,0),1),Chemin_accès!$B$11)</f>
        <v>\\stjn.local\trimet\Btechnique\Commun\Atelier Central mécanique\Plan entretien\Modèles préventif\GammeDMS_7.MENG.xlsm</v>
      </c>
      <c r="AD515" s="50" t="str">
        <f>Chemin_accès!$B$8&amp;Tableau1[[#This Row],[Localisation / Classement]]&amp;"\"&amp;Tableau1[[#This Row],[Poste technique ou N° d''équipement]]&amp;"_"&amp;Tableau1[[#This Row],[Plan Entretien]]&amp;".xlsm"</f>
        <v>\\stjn.local\trimet\Btechnique\Commun\Atelier Central mécanique\Plan entretien\GammeEntretien\\_.xlsm</v>
      </c>
    </row>
    <row r="516" spans="1:30" x14ac:dyDescent="0.3">
      <c r="A516" s="44" t="str">
        <f t="shared" ca="1" si="8"/>
        <v>7.MENG</v>
      </c>
      <c r="B51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16" s="47"/>
      <c r="D516" s="44"/>
      <c r="E516" s="44"/>
      <c r="F516" s="47"/>
      <c r="G516" s="47"/>
      <c r="H516" s="45"/>
      <c r="I516" s="45"/>
      <c r="J516" s="45"/>
      <c r="K516" s="45"/>
      <c r="L516" s="46"/>
      <c r="M516" s="47"/>
      <c r="N516" s="47"/>
      <c r="O516" s="47"/>
      <c r="P516" s="47"/>
      <c r="Q516" s="47"/>
      <c r="R516" s="47"/>
      <c r="S516" s="48"/>
      <c r="T516" s="68" t="str">
        <f>IF(Tableau1[[#This Row],[DMS_SAP]]="","",HYPERLINK(Tableau1[[#This Row],[Chemin fichier source]],"X"))</f>
        <v/>
      </c>
      <c r="U516" s="68" t="str">
        <f>IF(Tableau1[[#This Row],[Date rév.]]="","",HYPERLINK(Tableau1[[#This Row],[Lien document]],"X"))</f>
        <v/>
      </c>
      <c r="V516" s="47"/>
      <c r="W51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16" s="47"/>
      <c r="Y516" s="47"/>
      <c r="Z516" s="44" t="str">
        <f ca="1">IF(AND(Tableau1[[#This Row],[Charge]]&lt;&gt;0, Tableau1[[#This Row],[Nombre intervenants]]&lt;&gt;0,Tableau1[[#This Row],[Lien document]]&lt;&gt;0,Tableau1[[#This Row],[DMS_SAP]]&lt;&gt;0)=TRUE,"MIS A JOUR","")</f>
        <v/>
      </c>
      <c r="AA516" s="48"/>
      <c r="AB516" s="65" t="str">
        <f ca="1">IF(Tableau1[[#This Row],[Date rév.]]&lt;&gt;"", DAYS360(Tableau1[[#This Row],[Date rév.]],TODAY()),"")</f>
        <v/>
      </c>
      <c r="AC516" s="50" t="str">
        <f>IFERROR(INDEX(Chemin_accès!$B$11:$C$22,MATCH(Tableau1[[#This Row],[Type]],Chemin_accès!$C$11:$C$22,0),1),Chemin_accès!$B$11)</f>
        <v>\\stjn.local\trimet\Btechnique\Commun\Atelier Central mécanique\Plan entretien\Modèles préventif\GammeDMS_7.MENG.xlsm</v>
      </c>
      <c r="AD516" s="50" t="str">
        <f>Chemin_accès!$B$8&amp;Tableau1[[#This Row],[Localisation / Classement]]&amp;"\"&amp;Tableau1[[#This Row],[Poste technique ou N° d''équipement]]&amp;"_"&amp;Tableau1[[#This Row],[Plan Entretien]]&amp;".xlsm"</f>
        <v>\\stjn.local\trimet\Btechnique\Commun\Atelier Central mécanique\Plan entretien\GammeEntretien\\_.xlsm</v>
      </c>
    </row>
    <row r="517" spans="1:30" x14ac:dyDescent="0.3">
      <c r="A517" s="44" t="str">
        <f t="shared" ca="1" si="8"/>
        <v>7.MENG</v>
      </c>
      <c r="B51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17" s="47"/>
      <c r="D517" s="44"/>
      <c r="E517" s="44"/>
      <c r="F517" s="47"/>
      <c r="G517" s="47"/>
      <c r="H517" s="45"/>
      <c r="I517" s="45"/>
      <c r="J517" s="45"/>
      <c r="K517" s="45"/>
      <c r="L517" s="46"/>
      <c r="M517" s="47"/>
      <c r="N517" s="47"/>
      <c r="O517" s="47"/>
      <c r="P517" s="47"/>
      <c r="Q517" s="47"/>
      <c r="R517" s="47"/>
      <c r="S517" s="48"/>
      <c r="T517" s="68" t="str">
        <f>IF(Tableau1[[#This Row],[DMS_SAP]]="","",HYPERLINK(Tableau1[[#This Row],[Chemin fichier source]],"X"))</f>
        <v/>
      </c>
      <c r="U517" s="68" t="str">
        <f>IF(Tableau1[[#This Row],[Date rév.]]="","",HYPERLINK(Tableau1[[#This Row],[Lien document]],"X"))</f>
        <v/>
      </c>
      <c r="V517" s="47"/>
      <c r="W51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17" s="47"/>
      <c r="Y517" s="47"/>
      <c r="Z517" s="44" t="str">
        <f ca="1">IF(AND(Tableau1[[#This Row],[Charge]]&lt;&gt;0, Tableau1[[#This Row],[Nombre intervenants]]&lt;&gt;0,Tableau1[[#This Row],[Lien document]]&lt;&gt;0,Tableau1[[#This Row],[DMS_SAP]]&lt;&gt;0)=TRUE,"MIS A JOUR","")</f>
        <v/>
      </c>
      <c r="AA517" s="48"/>
      <c r="AB517" s="65" t="str">
        <f ca="1">IF(Tableau1[[#This Row],[Date rév.]]&lt;&gt;"", DAYS360(Tableau1[[#This Row],[Date rév.]],TODAY()),"")</f>
        <v/>
      </c>
      <c r="AC517" s="50" t="str">
        <f>IFERROR(INDEX(Chemin_accès!$B$11:$C$22,MATCH(Tableau1[[#This Row],[Type]],Chemin_accès!$C$11:$C$22,0),1),Chemin_accès!$B$11)</f>
        <v>\\stjn.local\trimet\Btechnique\Commun\Atelier Central mécanique\Plan entretien\Modèles préventif\GammeDMS_7.MENG.xlsm</v>
      </c>
      <c r="AD517" s="50" t="str">
        <f>Chemin_accès!$B$8&amp;Tableau1[[#This Row],[Localisation / Classement]]&amp;"\"&amp;Tableau1[[#This Row],[Poste technique ou N° d''équipement]]&amp;"_"&amp;Tableau1[[#This Row],[Plan Entretien]]&amp;".xlsm"</f>
        <v>\\stjn.local\trimet\Btechnique\Commun\Atelier Central mécanique\Plan entretien\GammeEntretien\\_.xlsm</v>
      </c>
    </row>
    <row r="518" spans="1:30" x14ac:dyDescent="0.3">
      <c r="A518" s="44" t="str">
        <f t="shared" ca="1" si="8"/>
        <v>7.MENG</v>
      </c>
      <c r="B51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18" s="47"/>
      <c r="D518" s="44"/>
      <c r="E518" s="44"/>
      <c r="F518" s="47"/>
      <c r="G518" s="47"/>
      <c r="H518" s="45"/>
      <c r="I518" s="45"/>
      <c r="J518" s="45"/>
      <c r="K518" s="45"/>
      <c r="L518" s="46"/>
      <c r="M518" s="47"/>
      <c r="N518" s="47"/>
      <c r="O518" s="47"/>
      <c r="P518" s="47"/>
      <c r="Q518" s="47"/>
      <c r="R518" s="47"/>
      <c r="S518" s="48"/>
      <c r="T518" s="68" t="str">
        <f>IF(Tableau1[[#This Row],[DMS_SAP]]="","",HYPERLINK(Tableau1[[#This Row],[Chemin fichier source]],"X"))</f>
        <v/>
      </c>
      <c r="U518" s="68" t="str">
        <f>IF(Tableau1[[#This Row],[Date rév.]]="","",HYPERLINK(Tableau1[[#This Row],[Lien document]],"X"))</f>
        <v/>
      </c>
      <c r="V518" s="47"/>
      <c r="W51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18" s="47"/>
      <c r="Y518" s="47"/>
      <c r="Z518" s="44" t="str">
        <f ca="1">IF(AND(Tableau1[[#This Row],[Charge]]&lt;&gt;0, Tableau1[[#This Row],[Nombre intervenants]]&lt;&gt;0,Tableau1[[#This Row],[Lien document]]&lt;&gt;0,Tableau1[[#This Row],[DMS_SAP]]&lt;&gt;0)=TRUE,"MIS A JOUR","")</f>
        <v/>
      </c>
      <c r="AA518" s="48"/>
      <c r="AB518" s="65" t="str">
        <f ca="1">IF(Tableau1[[#This Row],[Date rév.]]&lt;&gt;"", DAYS360(Tableau1[[#This Row],[Date rév.]],TODAY()),"")</f>
        <v/>
      </c>
      <c r="AC518" s="50" t="str">
        <f>IFERROR(INDEX(Chemin_accès!$B$11:$C$22,MATCH(Tableau1[[#This Row],[Type]],Chemin_accès!$C$11:$C$22,0),1),Chemin_accès!$B$11)</f>
        <v>\\stjn.local\trimet\Btechnique\Commun\Atelier Central mécanique\Plan entretien\Modèles préventif\GammeDMS_7.MENG.xlsm</v>
      </c>
      <c r="AD518" s="50" t="str">
        <f>Chemin_accès!$B$8&amp;Tableau1[[#This Row],[Localisation / Classement]]&amp;"\"&amp;Tableau1[[#This Row],[Poste technique ou N° d''équipement]]&amp;"_"&amp;Tableau1[[#This Row],[Plan Entretien]]&amp;".xlsm"</f>
        <v>\\stjn.local\trimet\Btechnique\Commun\Atelier Central mécanique\Plan entretien\GammeEntretien\\_.xlsm</v>
      </c>
    </row>
    <row r="519" spans="1:30" x14ac:dyDescent="0.3">
      <c r="A519" s="44" t="str">
        <f t="shared" ca="1" si="8"/>
        <v>7.MENG</v>
      </c>
      <c r="B51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19" s="47"/>
      <c r="D519" s="44"/>
      <c r="E519" s="44"/>
      <c r="F519" s="47"/>
      <c r="G519" s="47"/>
      <c r="H519" s="45"/>
      <c r="I519" s="45"/>
      <c r="J519" s="45"/>
      <c r="K519" s="45"/>
      <c r="L519" s="46"/>
      <c r="M519" s="47"/>
      <c r="N519" s="47"/>
      <c r="O519" s="47"/>
      <c r="P519" s="47"/>
      <c r="Q519" s="47"/>
      <c r="R519" s="47"/>
      <c r="S519" s="48"/>
      <c r="T519" s="68" t="str">
        <f>IF(Tableau1[[#This Row],[DMS_SAP]]="","",HYPERLINK(Tableau1[[#This Row],[Chemin fichier source]],"X"))</f>
        <v/>
      </c>
      <c r="U519" s="68" t="str">
        <f>IF(Tableau1[[#This Row],[Date rév.]]="","",HYPERLINK(Tableau1[[#This Row],[Lien document]],"X"))</f>
        <v/>
      </c>
      <c r="V519" s="47"/>
      <c r="W51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19" s="47"/>
      <c r="Y519" s="47"/>
      <c r="Z519" s="44" t="str">
        <f ca="1">IF(AND(Tableau1[[#This Row],[Charge]]&lt;&gt;0, Tableau1[[#This Row],[Nombre intervenants]]&lt;&gt;0,Tableau1[[#This Row],[Lien document]]&lt;&gt;0,Tableau1[[#This Row],[DMS_SAP]]&lt;&gt;0)=TRUE,"MIS A JOUR","")</f>
        <v/>
      </c>
      <c r="AA519" s="48"/>
      <c r="AB519" s="65" t="str">
        <f ca="1">IF(Tableau1[[#This Row],[Date rév.]]&lt;&gt;"", DAYS360(Tableau1[[#This Row],[Date rév.]],TODAY()),"")</f>
        <v/>
      </c>
      <c r="AC519" s="50" t="str">
        <f>IFERROR(INDEX(Chemin_accès!$B$11:$C$22,MATCH(Tableau1[[#This Row],[Type]],Chemin_accès!$C$11:$C$22,0),1),Chemin_accès!$B$11)</f>
        <v>\\stjn.local\trimet\Btechnique\Commun\Atelier Central mécanique\Plan entretien\Modèles préventif\GammeDMS_7.MENG.xlsm</v>
      </c>
      <c r="AD519" s="50" t="str">
        <f>Chemin_accès!$B$8&amp;Tableau1[[#This Row],[Localisation / Classement]]&amp;"\"&amp;Tableau1[[#This Row],[Poste technique ou N° d''équipement]]&amp;"_"&amp;Tableau1[[#This Row],[Plan Entretien]]&amp;".xlsm"</f>
        <v>\\stjn.local\trimet\Btechnique\Commun\Atelier Central mécanique\Plan entretien\GammeEntretien\\_.xlsm</v>
      </c>
    </row>
    <row r="520" spans="1:30" x14ac:dyDescent="0.3">
      <c r="A520" s="44" t="str">
        <f t="shared" ca="1" si="8"/>
        <v>7.MENG</v>
      </c>
      <c r="B52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20" s="47"/>
      <c r="D520" s="44"/>
      <c r="E520" s="44"/>
      <c r="F520" s="47"/>
      <c r="G520" s="47"/>
      <c r="H520" s="45"/>
      <c r="I520" s="45"/>
      <c r="J520" s="45"/>
      <c r="K520" s="45"/>
      <c r="L520" s="46"/>
      <c r="M520" s="47"/>
      <c r="N520" s="47"/>
      <c r="O520" s="47"/>
      <c r="P520" s="47"/>
      <c r="Q520" s="47"/>
      <c r="R520" s="47"/>
      <c r="S520" s="48"/>
      <c r="T520" s="68" t="str">
        <f>IF(Tableau1[[#This Row],[DMS_SAP]]="","",HYPERLINK(Tableau1[[#This Row],[Chemin fichier source]],"X"))</f>
        <v/>
      </c>
      <c r="U520" s="68" t="str">
        <f>IF(Tableau1[[#This Row],[Date rév.]]="","",HYPERLINK(Tableau1[[#This Row],[Lien document]],"X"))</f>
        <v/>
      </c>
      <c r="V520" s="47"/>
      <c r="W52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20" s="47"/>
      <c r="Y520" s="47"/>
      <c r="Z520" s="44" t="str">
        <f ca="1">IF(AND(Tableau1[[#This Row],[Charge]]&lt;&gt;0, Tableau1[[#This Row],[Nombre intervenants]]&lt;&gt;0,Tableau1[[#This Row],[Lien document]]&lt;&gt;0,Tableau1[[#This Row],[DMS_SAP]]&lt;&gt;0)=TRUE,"MIS A JOUR","")</f>
        <v/>
      </c>
      <c r="AA520" s="48"/>
      <c r="AB520" s="65" t="str">
        <f ca="1">IF(Tableau1[[#This Row],[Date rév.]]&lt;&gt;"", DAYS360(Tableau1[[#This Row],[Date rév.]],TODAY()),"")</f>
        <v/>
      </c>
      <c r="AC520" s="50" t="str">
        <f>IFERROR(INDEX(Chemin_accès!$B$11:$C$22,MATCH(Tableau1[[#This Row],[Type]],Chemin_accès!$C$11:$C$22,0),1),Chemin_accès!$B$11)</f>
        <v>\\stjn.local\trimet\Btechnique\Commun\Atelier Central mécanique\Plan entretien\Modèles préventif\GammeDMS_7.MENG.xlsm</v>
      </c>
      <c r="AD520" s="50" t="str">
        <f>Chemin_accès!$B$8&amp;Tableau1[[#This Row],[Localisation / Classement]]&amp;"\"&amp;Tableau1[[#This Row],[Poste technique ou N° d''équipement]]&amp;"_"&amp;Tableau1[[#This Row],[Plan Entretien]]&amp;".xlsm"</f>
        <v>\\stjn.local\trimet\Btechnique\Commun\Atelier Central mécanique\Plan entretien\GammeEntretien\\_.xlsm</v>
      </c>
    </row>
    <row r="521" spans="1:30" x14ac:dyDescent="0.3">
      <c r="A521" s="44" t="str">
        <f t="shared" ca="1" si="8"/>
        <v>7.MENG</v>
      </c>
      <c r="B52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21" s="47"/>
      <c r="D521" s="44"/>
      <c r="E521" s="44"/>
      <c r="F521" s="47"/>
      <c r="G521" s="47"/>
      <c r="H521" s="45"/>
      <c r="I521" s="45"/>
      <c r="J521" s="45"/>
      <c r="K521" s="45"/>
      <c r="L521" s="46"/>
      <c r="M521" s="47"/>
      <c r="N521" s="47"/>
      <c r="O521" s="47"/>
      <c r="P521" s="47"/>
      <c r="Q521" s="47"/>
      <c r="R521" s="47"/>
      <c r="S521" s="48"/>
      <c r="T521" s="68" t="str">
        <f>IF(Tableau1[[#This Row],[DMS_SAP]]="","",HYPERLINK(Tableau1[[#This Row],[Chemin fichier source]],"X"))</f>
        <v/>
      </c>
      <c r="U521" s="68" t="str">
        <f>IF(Tableau1[[#This Row],[Date rév.]]="","",HYPERLINK(Tableau1[[#This Row],[Lien document]],"X"))</f>
        <v/>
      </c>
      <c r="V521" s="47"/>
      <c r="W52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21" s="47"/>
      <c r="Y521" s="47"/>
      <c r="Z521" s="44" t="str">
        <f ca="1">IF(AND(Tableau1[[#This Row],[Charge]]&lt;&gt;0, Tableau1[[#This Row],[Nombre intervenants]]&lt;&gt;0,Tableau1[[#This Row],[Lien document]]&lt;&gt;0,Tableau1[[#This Row],[DMS_SAP]]&lt;&gt;0)=TRUE,"MIS A JOUR","")</f>
        <v/>
      </c>
      <c r="AA521" s="48"/>
      <c r="AB521" s="65" t="str">
        <f ca="1">IF(Tableau1[[#This Row],[Date rév.]]&lt;&gt;"", DAYS360(Tableau1[[#This Row],[Date rév.]],TODAY()),"")</f>
        <v/>
      </c>
      <c r="AC521" s="50" t="str">
        <f>IFERROR(INDEX(Chemin_accès!$B$11:$C$22,MATCH(Tableau1[[#This Row],[Type]],Chemin_accès!$C$11:$C$22,0),1),Chemin_accès!$B$11)</f>
        <v>\\stjn.local\trimet\Btechnique\Commun\Atelier Central mécanique\Plan entretien\Modèles préventif\GammeDMS_7.MENG.xlsm</v>
      </c>
      <c r="AD521" s="50" t="str">
        <f>Chemin_accès!$B$8&amp;Tableau1[[#This Row],[Localisation / Classement]]&amp;"\"&amp;Tableau1[[#This Row],[Poste technique ou N° d''équipement]]&amp;"_"&amp;Tableau1[[#This Row],[Plan Entretien]]&amp;".xlsm"</f>
        <v>\\stjn.local\trimet\Btechnique\Commun\Atelier Central mécanique\Plan entretien\GammeEntretien\\_.xlsm</v>
      </c>
    </row>
    <row r="522" spans="1:30" x14ac:dyDescent="0.3">
      <c r="A522" s="44" t="str">
        <f t="shared" ca="1" si="8"/>
        <v>7.MENG</v>
      </c>
      <c r="B52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22" s="47"/>
      <c r="D522" s="44"/>
      <c r="E522" s="44"/>
      <c r="F522" s="47"/>
      <c r="G522" s="47"/>
      <c r="H522" s="45"/>
      <c r="I522" s="45"/>
      <c r="J522" s="45"/>
      <c r="K522" s="45"/>
      <c r="L522" s="46"/>
      <c r="M522" s="47"/>
      <c r="N522" s="47"/>
      <c r="O522" s="47"/>
      <c r="P522" s="47"/>
      <c r="Q522" s="47"/>
      <c r="R522" s="47"/>
      <c r="S522" s="48"/>
      <c r="T522" s="68" t="str">
        <f>IF(Tableau1[[#This Row],[DMS_SAP]]="","",HYPERLINK(Tableau1[[#This Row],[Chemin fichier source]],"X"))</f>
        <v/>
      </c>
      <c r="U522" s="68" t="str">
        <f>IF(Tableau1[[#This Row],[Date rév.]]="","",HYPERLINK(Tableau1[[#This Row],[Lien document]],"X"))</f>
        <v/>
      </c>
      <c r="V522" s="47"/>
      <c r="W52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22" s="47"/>
      <c r="Y522" s="47"/>
      <c r="Z522" s="44" t="str">
        <f ca="1">IF(AND(Tableau1[[#This Row],[Charge]]&lt;&gt;0, Tableau1[[#This Row],[Nombre intervenants]]&lt;&gt;0,Tableau1[[#This Row],[Lien document]]&lt;&gt;0,Tableau1[[#This Row],[DMS_SAP]]&lt;&gt;0)=TRUE,"MIS A JOUR","")</f>
        <v/>
      </c>
      <c r="AA522" s="48"/>
      <c r="AB522" s="65" t="str">
        <f ca="1">IF(Tableau1[[#This Row],[Date rév.]]&lt;&gt;"", DAYS360(Tableau1[[#This Row],[Date rév.]],TODAY()),"")</f>
        <v/>
      </c>
      <c r="AC522" s="50" t="str">
        <f>IFERROR(INDEX(Chemin_accès!$B$11:$C$22,MATCH(Tableau1[[#This Row],[Type]],Chemin_accès!$C$11:$C$22,0),1),Chemin_accès!$B$11)</f>
        <v>\\stjn.local\trimet\Btechnique\Commun\Atelier Central mécanique\Plan entretien\Modèles préventif\GammeDMS_7.MENG.xlsm</v>
      </c>
      <c r="AD522" s="50" t="str">
        <f>Chemin_accès!$B$8&amp;Tableau1[[#This Row],[Localisation / Classement]]&amp;"\"&amp;Tableau1[[#This Row],[Poste technique ou N° d''équipement]]&amp;"_"&amp;Tableau1[[#This Row],[Plan Entretien]]&amp;".xlsm"</f>
        <v>\\stjn.local\trimet\Btechnique\Commun\Atelier Central mécanique\Plan entretien\GammeEntretien\\_.xlsm</v>
      </c>
    </row>
    <row r="523" spans="1:30" x14ac:dyDescent="0.3">
      <c r="A523" s="44" t="str">
        <f t="shared" ca="1" si="8"/>
        <v>7.MENG</v>
      </c>
      <c r="B52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23" s="47"/>
      <c r="D523" s="44"/>
      <c r="E523" s="44"/>
      <c r="F523" s="47"/>
      <c r="G523" s="47"/>
      <c r="H523" s="45"/>
      <c r="I523" s="45"/>
      <c r="J523" s="45"/>
      <c r="K523" s="45"/>
      <c r="L523" s="46"/>
      <c r="M523" s="47"/>
      <c r="N523" s="47"/>
      <c r="O523" s="47"/>
      <c r="P523" s="47"/>
      <c r="Q523" s="47"/>
      <c r="R523" s="47"/>
      <c r="S523" s="48"/>
      <c r="T523" s="68" t="str">
        <f>IF(Tableau1[[#This Row],[DMS_SAP]]="","",HYPERLINK(Tableau1[[#This Row],[Chemin fichier source]],"X"))</f>
        <v/>
      </c>
      <c r="U523" s="68" t="str">
        <f>IF(Tableau1[[#This Row],[Date rév.]]="","",HYPERLINK(Tableau1[[#This Row],[Lien document]],"X"))</f>
        <v/>
      </c>
      <c r="V523" s="47"/>
      <c r="W52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23" s="47"/>
      <c r="Y523" s="47"/>
      <c r="Z523" s="44" t="str">
        <f ca="1">IF(AND(Tableau1[[#This Row],[Charge]]&lt;&gt;0, Tableau1[[#This Row],[Nombre intervenants]]&lt;&gt;0,Tableau1[[#This Row],[Lien document]]&lt;&gt;0,Tableau1[[#This Row],[DMS_SAP]]&lt;&gt;0)=TRUE,"MIS A JOUR","")</f>
        <v/>
      </c>
      <c r="AA523" s="48"/>
      <c r="AB523" s="65" t="str">
        <f ca="1">IF(Tableau1[[#This Row],[Date rév.]]&lt;&gt;"", DAYS360(Tableau1[[#This Row],[Date rév.]],TODAY()),"")</f>
        <v/>
      </c>
      <c r="AC523" s="50" t="str">
        <f>IFERROR(INDEX(Chemin_accès!$B$11:$C$22,MATCH(Tableau1[[#This Row],[Type]],Chemin_accès!$C$11:$C$22,0),1),Chemin_accès!$B$11)</f>
        <v>\\stjn.local\trimet\Btechnique\Commun\Atelier Central mécanique\Plan entretien\Modèles préventif\GammeDMS_7.MENG.xlsm</v>
      </c>
      <c r="AD523" s="50" t="str">
        <f>Chemin_accès!$B$8&amp;Tableau1[[#This Row],[Localisation / Classement]]&amp;"\"&amp;Tableau1[[#This Row],[Poste technique ou N° d''équipement]]&amp;"_"&amp;Tableau1[[#This Row],[Plan Entretien]]&amp;".xlsm"</f>
        <v>\\stjn.local\trimet\Btechnique\Commun\Atelier Central mécanique\Plan entretien\GammeEntretien\\_.xlsm</v>
      </c>
    </row>
    <row r="524" spans="1:30" x14ac:dyDescent="0.3">
      <c r="A524" s="44" t="str">
        <f t="shared" ca="1" si="8"/>
        <v>7.MENG</v>
      </c>
      <c r="B52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24" s="47"/>
      <c r="D524" s="44"/>
      <c r="E524" s="44"/>
      <c r="F524" s="47"/>
      <c r="G524" s="47"/>
      <c r="H524" s="45"/>
      <c r="I524" s="45"/>
      <c r="J524" s="45"/>
      <c r="K524" s="45"/>
      <c r="L524" s="46"/>
      <c r="M524" s="47"/>
      <c r="N524" s="47"/>
      <c r="O524" s="47"/>
      <c r="P524" s="47"/>
      <c r="Q524" s="47"/>
      <c r="R524" s="47"/>
      <c r="S524" s="48"/>
      <c r="T524" s="68" t="str">
        <f>IF(Tableau1[[#This Row],[DMS_SAP]]="","",HYPERLINK(Tableau1[[#This Row],[Chemin fichier source]],"X"))</f>
        <v/>
      </c>
      <c r="U524" s="68" t="str">
        <f>IF(Tableau1[[#This Row],[Date rév.]]="","",HYPERLINK(Tableau1[[#This Row],[Lien document]],"X"))</f>
        <v/>
      </c>
      <c r="V524" s="47"/>
      <c r="W52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24" s="47"/>
      <c r="Y524" s="47"/>
      <c r="Z524" s="44" t="str">
        <f ca="1">IF(AND(Tableau1[[#This Row],[Charge]]&lt;&gt;0, Tableau1[[#This Row],[Nombre intervenants]]&lt;&gt;0,Tableau1[[#This Row],[Lien document]]&lt;&gt;0,Tableau1[[#This Row],[DMS_SAP]]&lt;&gt;0)=TRUE,"MIS A JOUR","")</f>
        <v/>
      </c>
      <c r="AA524" s="48"/>
      <c r="AB524" s="65" t="str">
        <f ca="1">IF(Tableau1[[#This Row],[Date rév.]]&lt;&gt;"", DAYS360(Tableau1[[#This Row],[Date rév.]],TODAY()),"")</f>
        <v/>
      </c>
      <c r="AC524" s="50" t="str">
        <f>IFERROR(INDEX(Chemin_accès!$B$11:$C$22,MATCH(Tableau1[[#This Row],[Type]],Chemin_accès!$C$11:$C$22,0),1),Chemin_accès!$B$11)</f>
        <v>\\stjn.local\trimet\Btechnique\Commun\Atelier Central mécanique\Plan entretien\Modèles préventif\GammeDMS_7.MENG.xlsm</v>
      </c>
      <c r="AD524" s="50" t="str">
        <f>Chemin_accès!$B$8&amp;Tableau1[[#This Row],[Localisation / Classement]]&amp;"\"&amp;Tableau1[[#This Row],[Poste technique ou N° d''équipement]]&amp;"_"&amp;Tableau1[[#This Row],[Plan Entretien]]&amp;".xlsm"</f>
        <v>\\stjn.local\trimet\Btechnique\Commun\Atelier Central mécanique\Plan entretien\GammeEntretien\\_.xlsm</v>
      </c>
    </row>
    <row r="525" spans="1:30" x14ac:dyDescent="0.3">
      <c r="A525" s="44" t="str">
        <f t="shared" ca="1" si="8"/>
        <v>7.MENG</v>
      </c>
      <c r="B52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25" s="47"/>
      <c r="D525" s="44"/>
      <c r="E525" s="44"/>
      <c r="F525" s="47"/>
      <c r="G525" s="47"/>
      <c r="H525" s="45"/>
      <c r="I525" s="45"/>
      <c r="J525" s="45"/>
      <c r="K525" s="45"/>
      <c r="L525" s="46"/>
      <c r="M525" s="47"/>
      <c r="N525" s="47"/>
      <c r="O525" s="47"/>
      <c r="P525" s="47"/>
      <c r="Q525" s="47"/>
      <c r="R525" s="47"/>
      <c r="S525" s="48"/>
      <c r="T525" s="68" t="str">
        <f>IF(Tableau1[[#This Row],[DMS_SAP]]="","",HYPERLINK(Tableau1[[#This Row],[Chemin fichier source]],"X"))</f>
        <v/>
      </c>
      <c r="U525" s="68" t="str">
        <f>IF(Tableau1[[#This Row],[Date rév.]]="","",HYPERLINK(Tableau1[[#This Row],[Lien document]],"X"))</f>
        <v/>
      </c>
      <c r="V525" s="47"/>
      <c r="W52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25" s="47"/>
      <c r="Y525" s="47"/>
      <c r="Z525" s="44" t="str">
        <f ca="1">IF(AND(Tableau1[[#This Row],[Charge]]&lt;&gt;0, Tableau1[[#This Row],[Nombre intervenants]]&lt;&gt;0,Tableau1[[#This Row],[Lien document]]&lt;&gt;0,Tableau1[[#This Row],[DMS_SAP]]&lt;&gt;0)=TRUE,"MIS A JOUR","")</f>
        <v/>
      </c>
      <c r="AA525" s="48"/>
      <c r="AB525" s="65" t="str">
        <f ca="1">IF(Tableau1[[#This Row],[Date rév.]]&lt;&gt;"", DAYS360(Tableau1[[#This Row],[Date rév.]],TODAY()),"")</f>
        <v/>
      </c>
      <c r="AC525" s="50" t="str">
        <f>IFERROR(INDEX(Chemin_accès!$B$11:$C$22,MATCH(Tableau1[[#This Row],[Type]],Chemin_accès!$C$11:$C$22,0),1),Chemin_accès!$B$11)</f>
        <v>\\stjn.local\trimet\Btechnique\Commun\Atelier Central mécanique\Plan entretien\Modèles préventif\GammeDMS_7.MENG.xlsm</v>
      </c>
      <c r="AD525" s="50" t="str">
        <f>Chemin_accès!$B$8&amp;Tableau1[[#This Row],[Localisation / Classement]]&amp;"\"&amp;Tableau1[[#This Row],[Poste technique ou N° d''équipement]]&amp;"_"&amp;Tableau1[[#This Row],[Plan Entretien]]&amp;".xlsm"</f>
        <v>\\stjn.local\trimet\Btechnique\Commun\Atelier Central mécanique\Plan entretien\GammeEntretien\\_.xlsm</v>
      </c>
    </row>
    <row r="526" spans="1:30" x14ac:dyDescent="0.3">
      <c r="A526" s="44" t="str">
        <f t="shared" ca="1" si="8"/>
        <v>7.MENG</v>
      </c>
      <c r="B52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26" s="47"/>
      <c r="D526" s="44"/>
      <c r="E526" s="44"/>
      <c r="F526" s="47"/>
      <c r="G526" s="47"/>
      <c r="H526" s="45"/>
      <c r="I526" s="45"/>
      <c r="J526" s="45"/>
      <c r="K526" s="45"/>
      <c r="L526" s="46"/>
      <c r="M526" s="47"/>
      <c r="N526" s="47"/>
      <c r="O526" s="47"/>
      <c r="P526" s="47"/>
      <c r="Q526" s="47"/>
      <c r="R526" s="47"/>
      <c r="S526" s="48"/>
      <c r="T526" s="68" t="str">
        <f>IF(Tableau1[[#This Row],[DMS_SAP]]="","",HYPERLINK(Tableau1[[#This Row],[Chemin fichier source]],"X"))</f>
        <v/>
      </c>
      <c r="U526" s="68" t="str">
        <f>IF(Tableau1[[#This Row],[Date rév.]]="","",HYPERLINK(Tableau1[[#This Row],[Lien document]],"X"))</f>
        <v/>
      </c>
      <c r="V526" s="47"/>
      <c r="W52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26" s="47"/>
      <c r="Y526" s="47"/>
      <c r="Z526" s="44" t="str">
        <f ca="1">IF(AND(Tableau1[[#This Row],[Charge]]&lt;&gt;0, Tableau1[[#This Row],[Nombre intervenants]]&lt;&gt;0,Tableau1[[#This Row],[Lien document]]&lt;&gt;0,Tableau1[[#This Row],[DMS_SAP]]&lt;&gt;0)=TRUE,"MIS A JOUR","")</f>
        <v/>
      </c>
      <c r="AA526" s="48"/>
      <c r="AB526" s="65" t="str">
        <f ca="1">IF(Tableau1[[#This Row],[Date rév.]]&lt;&gt;"", DAYS360(Tableau1[[#This Row],[Date rév.]],TODAY()),"")</f>
        <v/>
      </c>
      <c r="AC526" s="50" t="str">
        <f>IFERROR(INDEX(Chemin_accès!$B$11:$C$22,MATCH(Tableau1[[#This Row],[Type]],Chemin_accès!$C$11:$C$22,0),1),Chemin_accès!$B$11)</f>
        <v>\\stjn.local\trimet\Btechnique\Commun\Atelier Central mécanique\Plan entretien\Modèles préventif\GammeDMS_7.MENG.xlsm</v>
      </c>
      <c r="AD526" s="50" t="str">
        <f>Chemin_accès!$B$8&amp;Tableau1[[#This Row],[Localisation / Classement]]&amp;"\"&amp;Tableau1[[#This Row],[Poste technique ou N° d''équipement]]&amp;"_"&amp;Tableau1[[#This Row],[Plan Entretien]]&amp;".xlsm"</f>
        <v>\\stjn.local\trimet\Btechnique\Commun\Atelier Central mécanique\Plan entretien\GammeEntretien\\_.xlsm</v>
      </c>
    </row>
    <row r="527" spans="1:30" x14ac:dyDescent="0.3">
      <c r="A527" s="44" t="str">
        <f t="shared" ca="1" si="8"/>
        <v>7.MENG</v>
      </c>
      <c r="B52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27" s="47"/>
      <c r="D527" s="44"/>
      <c r="E527" s="44"/>
      <c r="F527" s="47"/>
      <c r="G527" s="47"/>
      <c r="H527" s="45"/>
      <c r="I527" s="45"/>
      <c r="J527" s="45"/>
      <c r="K527" s="45"/>
      <c r="L527" s="46"/>
      <c r="M527" s="47"/>
      <c r="N527" s="47"/>
      <c r="O527" s="47"/>
      <c r="P527" s="47"/>
      <c r="Q527" s="47"/>
      <c r="R527" s="47"/>
      <c r="S527" s="48"/>
      <c r="T527" s="68" t="str">
        <f>IF(Tableau1[[#This Row],[DMS_SAP]]="","",HYPERLINK(Tableau1[[#This Row],[Chemin fichier source]],"X"))</f>
        <v/>
      </c>
      <c r="U527" s="68" t="str">
        <f>IF(Tableau1[[#This Row],[Date rév.]]="","",HYPERLINK(Tableau1[[#This Row],[Lien document]],"X"))</f>
        <v/>
      </c>
      <c r="V527" s="47"/>
      <c r="W52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27" s="47"/>
      <c r="Y527" s="47"/>
      <c r="Z527" s="44" t="str">
        <f ca="1">IF(AND(Tableau1[[#This Row],[Charge]]&lt;&gt;0, Tableau1[[#This Row],[Nombre intervenants]]&lt;&gt;0,Tableau1[[#This Row],[Lien document]]&lt;&gt;0,Tableau1[[#This Row],[DMS_SAP]]&lt;&gt;0)=TRUE,"MIS A JOUR","")</f>
        <v/>
      </c>
      <c r="AA527" s="48"/>
      <c r="AB527" s="65" t="str">
        <f ca="1">IF(Tableau1[[#This Row],[Date rév.]]&lt;&gt;"", DAYS360(Tableau1[[#This Row],[Date rév.]],TODAY()),"")</f>
        <v/>
      </c>
      <c r="AC527" s="50" t="str">
        <f>IFERROR(INDEX(Chemin_accès!$B$11:$C$22,MATCH(Tableau1[[#This Row],[Type]],Chemin_accès!$C$11:$C$22,0),1),Chemin_accès!$B$11)</f>
        <v>\\stjn.local\trimet\Btechnique\Commun\Atelier Central mécanique\Plan entretien\Modèles préventif\GammeDMS_7.MENG.xlsm</v>
      </c>
      <c r="AD527" s="50" t="str">
        <f>Chemin_accès!$B$8&amp;Tableau1[[#This Row],[Localisation / Classement]]&amp;"\"&amp;Tableau1[[#This Row],[Poste technique ou N° d''équipement]]&amp;"_"&amp;Tableau1[[#This Row],[Plan Entretien]]&amp;".xlsm"</f>
        <v>\\stjn.local\trimet\Btechnique\Commun\Atelier Central mécanique\Plan entretien\GammeEntretien\\_.xlsm</v>
      </c>
    </row>
    <row r="528" spans="1:30" x14ac:dyDescent="0.3">
      <c r="A528" s="44" t="str">
        <f t="shared" ca="1" si="8"/>
        <v>7.MENG</v>
      </c>
      <c r="B52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28" s="47"/>
      <c r="D528" s="44"/>
      <c r="E528" s="44"/>
      <c r="F528" s="47"/>
      <c r="G528" s="47"/>
      <c r="H528" s="45"/>
      <c r="I528" s="45"/>
      <c r="J528" s="45"/>
      <c r="K528" s="45"/>
      <c r="L528" s="46"/>
      <c r="M528" s="47"/>
      <c r="N528" s="47"/>
      <c r="O528" s="47"/>
      <c r="P528" s="47"/>
      <c r="Q528" s="47"/>
      <c r="R528" s="47"/>
      <c r="S528" s="48"/>
      <c r="T528" s="68" t="str">
        <f>IF(Tableau1[[#This Row],[DMS_SAP]]="","",HYPERLINK(Tableau1[[#This Row],[Chemin fichier source]],"X"))</f>
        <v/>
      </c>
      <c r="U528" s="68" t="str">
        <f>IF(Tableau1[[#This Row],[Date rév.]]="","",HYPERLINK(Tableau1[[#This Row],[Lien document]],"X"))</f>
        <v/>
      </c>
      <c r="V528" s="47"/>
      <c r="W52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28" s="47"/>
      <c r="Y528" s="47"/>
      <c r="Z528" s="44" t="str">
        <f ca="1">IF(AND(Tableau1[[#This Row],[Charge]]&lt;&gt;0, Tableau1[[#This Row],[Nombre intervenants]]&lt;&gt;0,Tableau1[[#This Row],[Lien document]]&lt;&gt;0,Tableau1[[#This Row],[DMS_SAP]]&lt;&gt;0)=TRUE,"MIS A JOUR","")</f>
        <v/>
      </c>
      <c r="AA528" s="48"/>
      <c r="AB528" s="65" t="str">
        <f ca="1">IF(Tableau1[[#This Row],[Date rév.]]&lt;&gt;"", DAYS360(Tableau1[[#This Row],[Date rév.]],TODAY()),"")</f>
        <v/>
      </c>
      <c r="AC528" s="50" t="str">
        <f>IFERROR(INDEX(Chemin_accès!$B$11:$C$22,MATCH(Tableau1[[#This Row],[Type]],Chemin_accès!$C$11:$C$22,0),1),Chemin_accès!$B$11)</f>
        <v>\\stjn.local\trimet\Btechnique\Commun\Atelier Central mécanique\Plan entretien\Modèles préventif\GammeDMS_7.MENG.xlsm</v>
      </c>
      <c r="AD528" s="50" t="str">
        <f>Chemin_accès!$B$8&amp;Tableau1[[#This Row],[Localisation / Classement]]&amp;"\"&amp;Tableau1[[#This Row],[Poste technique ou N° d''équipement]]&amp;"_"&amp;Tableau1[[#This Row],[Plan Entretien]]&amp;".xlsm"</f>
        <v>\\stjn.local\trimet\Btechnique\Commun\Atelier Central mécanique\Plan entretien\GammeEntretien\\_.xlsm</v>
      </c>
    </row>
    <row r="529" spans="1:30" x14ac:dyDescent="0.3">
      <c r="A529" s="44" t="str">
        <f t="shared" ca="1" si="8"/>
        <v>7.MENG</v>
      </c>
      <c r="B52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29" s="47"/>
      <c r="D529" s="44"/>
      <c r="E529" s="44"/>
      <c r="F529" s="47"/>
      <c r="G529" s="47"/>
      <c r="H529" s="45"/>
      <c r="I529" s="45"/>
      <c r="J529" s="45"/>
      <c r="K529" s="45"/>
      <c r="L529" s="46"/>
      <c r="M529" s="47"/>
      <c r="N529" s="47"/>
      <c r="O529" s="47"/>
      <c r="P529" s="47"/>
      <c r="Q529" s="47"/>
      <c r="R529" s="47"/>
      <c r="S529" s="48"/>
      <c r="T529" s="68" t="str">
        <f>IF(Tableau1[[#This Row],[DMS_SAP]]="","",HYPERLINK(Tableau1[[#This Row],[Chemin fichier source]],"X"))</f>
        <v/>
      </c>
      <c r="U529" s="68" t="str">
        <f>IF(Tableau1[[#This Row],[Date rév.]]="","",HYPERLINK(Tableau1[[#This Row],[Lien document]],"X"))</f>
        <v/>
      </c>
      <c r="V529" s="47"/>
      <c r="W52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29" s="47"/>
      <c r="Y529" s="47"/>
      <c r="Z529" s="44" t="str">
        <f ca="1">IF(AND(Tableau1[[#This Row],[Charge]]&lt;&gt;0, Tableau1[[#This Row],[Nombre intervenants]]&lt;&gt;0,Tableau1[[#This Row],[Lien document]]&lt;&gt;0,Tableau1[[#This Row],[DMS_SAP]]&lt;&gt;0)=TRUE,"MIS A JOUR","")</f>
        <v/>
      </c>
      <c r="AA529" s="48"/>
      <c r="AB529" s="65" t="str">
        <f ca="1">IF(Tableau1[[#This Row],[Date rév.]]&lt;&gt;"", DAYS360(Tableau1[[#This Row],[Date rév.]],TODAY()),"")</f>
        <v/>
      </c>
      <c r="AC529" s="50" t="str">
        <f>IFERROR(INDEX(Chemin_accès!$B$11:$C$22,MATCH(Tableau1[[#This Row],[Type]],Chemin_accès!$C$11:$C$22,0),1),Chemin_accès!$B$11)</f>
        <v>\\stjn.local\trimet\Btechnique\Commun\Atelier Central mécanique\Plan entretien\Modèles préventif\GammeDMS_7.MENG.xlsm</v>
      </c>
      <c r="AD529" s="50" t="str">
        <f>Chemin_accès!$B$8&amp;Tableau1[[#This Row],[Localisation / Classement]]&amp;"\"&amp;Tableau1[[#This Row],[Poste technique ou N° d''équipement]]&amp;"_"&amp;Tableau1[[#This Row],[Plan Entretien]]&amp;".xlsm"</f>
        <v>\\stjn.local\trimet\Btechnique\Commun\Atelier Central mécanique\Plan entretien\GammeEntretien\\_.xlsm</v>
      </c>
    </row>
    <row r="530" spans="1:30" x14ac:dyDescent="0.3">
      <c r="A530" s="44" t="str">
        <f t="shared" ca="1" si="8"/>
        <v>7.MENG</v>
      </c>
      <c r="B53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30" s="47"/>
      <c r="D530" s="44"/>
      <c r="E530" s="44"/>
      <c r="F530" s="47"/>
      <c r="G530" s="47"/>
      <c r="H530" s="45"/>
      <c r="I530" s="45"/>
      <c r="J530" s="45"/>
      <c r="K530" s="45"/>
      <c r="L530" s="46"/>
      <c r="M530" s="47"/>
      <c r="N530" s="47"/>
      <c r="O530" s="47"/>
      <c r="P530" s="47"/>
      <c r="Q530" s="47"/>
      <c r="R530" s="47"/>
      <c r="S530" s="48"/>
      <c r="T530" s="68" t="str">
        <f>IF(Tableau1[[#This Row],[DMS_SAP]]="","",HYPERLINK(Tableau1[[#This Row],[Chemin fichier source]],"X"))</f>
        <v/>
      </c>
      <c r="U530" s="68" t="str">
        <f>IF(Tableau1[[#This Row],[Date rév.]]="","",HYPERLINK(Tableau1[[#This Row],[Lien document]],"X"))</f>
        <v/>
      </c>
      <c r="V530" s="47"/>
      <c r="W53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30" s="47"/>
      <c r="Y530" s="47"/>
      <c r="Z530" s="44" t="str">
        <f ca="1">IF(AND(Tableau1[[#This Row],[Charge]]&lt;&gt;0, Tableau1[[#This Row],[Nombre intervenants]]&lt;&gt;0,Tableau1[[#This Row],[Lien document]]&lt;&gt;0,Tableau1[[#This Row],[DMS_SAP]]&lt;&gt;0)=TRUE,"MIS A JOUR","")</f>
        <v/>
      </c>
      <c r="AA530" s="48"/>
      <c r="AB530" s="65" t="str">
        <f ca="1">IF(Tableau1[[#This Row],[Date rév.]]&lt;&gt;"", DAYS360(Tableau1[[#This Row],[Date rév.]],TODAY()),"")</f>
        <v/>
      </c>
      <c r="AC530" s="50" t="str">
        <f>IFERROR(INDEX(Chemin_accès!$B$11:$C$22,MATCH(Tableau1[[#This Row],[Type]],Chemin_accès!$C$11:$C$22,0),1),Chemin_accès!$B$11)</f>
        <v>\\stjn.local\trimet\Btechnique\Commun\Atelier Central mécanique\Plan entretien\Modèles préventif\GammeDMS_7.MENG.xlsm</v>
      </c>
      <c r="AD530" s="50" t="str">
        <f>Chemin_accès!$B$8&amp;Tableau1[[#This Row],[Localisation / Classement]]&amp;"\"&amp;Tableau1[[#This Row],[Poste technique ou N° d''équipement]]&amp;"_"&amp;Tableau1[[#This Row],[Plan Entretien]]&amp;".xlsm"</f>
        <v>\\stjn.local\trimet\Btechnique\Commun\Atelier Central mécanique\Plan entretien\GammeEntretien\\_.xlsm</v>
      </c>
    </row>
    <row r="531" spans="1:30" x14ac:dyDescent="0.3">
      <c r="A531" s="44" t="str">
        <f t="shared" ca="1" si="8"/>
        <v>7.MENG</v>
      </c>
      <c r="B53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31" s="47"/>
      <c r="D531" s="44"/>
      <c r="E531" s="44"/>
      <c r="F531" s="47"/>
      <c r="G531" s="47"/>
      <c r="H531" s="45"/>
      <c r="I531" s="45"/>
      <c r="J531" s="45"/>
      <c r="K531" s="45"/>
      <c r="L531" s="46"/>
      <c r="M531" s="47"/>
      <c r="N531" s="47"/>
      <c r="O531" s="47"/>
      <c r="P531" s="47"/>
      <c r="Q531" s="47"/>
      <c r="R531" s="47"/>
      <c r="S531" s="48"/>
      <c r="T531" s="68" t="str">
        <f>IF(Tableau1[[#This Row],[DMS_SAP]]="","",HYPERLINK(Tableau1[[#This Row],[Chemin fichier source]],"X"))</f>
        <v/>
      </c>
      <c r="U531" s="68" t="str">
        <f>IF(Tableau1[[#This Row],[Date rév.]]="","",HYPERLINK(Tableau1[[#This Row],[Lien document]],"X"))</f>
        <v/>
      </c>
      <c r="V531" s="47"/>
      <c r="W53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31" s="47"/>
      <c r="Y531" s="47"/>
      <c r="Z531" s="44" t="str">
        <f ca="1">IF(AND(Tableau1[[#This Row],[Charge]]&lt;&gt;0, Tableau1[[#This Row],[Nombre intervenants]]&lt;&gt;0,Tableau1[[#This Row],[Lien document]]&lt;&gt;0,Tableau1[[#This Row],[DMS_SAP]]&lt;&gt;0)=TRUE,"MIS A JOUR","")</f>
        <v/>
      </c>
      <c r="AA531" s="48"/>
      <c r="AB531" s="65" t="str">
        <f ca="1">IF(Tableau1[[#This Row],[Date rév.]]&lt;&gt;"", DAYS360(Tableau1[[#This Row],[Date rév.]],TODAY()),"")</f>
        <v/>
      </c>
      <c r="AC531" s="50" t="str">
        <f>IFERROR(INDEX(Chemin_accès!$B$11:$C$22,MATCH(Tableau1[[#This Row],[Type]],Chemin_accès!$C$11:$C$22,0),1),Chemin_accès!$B$11)</f>
        <v>\\stjn.local\trimet\Btechnique\Commun\Atelier Central mécanique\Plan entretien\Modèles préventif\GammeDMS_7.MENG.xlsm</v>
      </c>
      <c r="AD531" s="50" t="str">
        <f>Chemin_accès!$B$8&amp;Tableau1[[#This Row],[Localisation / Classement]]&amp;"\"&amp;Tableau1[[#This Row],[Poste technique ou N° d''équipement]]&amp;"_"&amp;Tableau1[[#This Row],[Plan Entretien]]&amp;".xlsm"</f>
        <v>\\stjn.local\trimet\Btechnique\Commun\Atelier Central mécanique\Plan entretien\GammeEntretien\\_.xlsm</v>
      </c>
    </row>
    <row r="532" spans="1:30" x14ac:dyDescent="0.3">
      <c r="A532" s="44" t="str">
        <f t="shared" ca="1" si="8"/>
        <v>7.MENG</v>
      </c>
      <c r="B53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32" s="47"/>
      <c r="D532" s="44"/>
      <c r="E532" s="44"/>
      <c r="F532" s="47"/>
      <c r="G532" s="47"/>
      <c r="H532" s="45"/>
      <c r="I532" s="45"/>
      <c r="J532" s="45"/>
      <c r="K532" s="45"/>
      <c r="L532" s="46"/>
      <c r="M532" s="47"/>
      <c r="N532" s="47"/>
      <c r="O532" s="47"/>
      <c r="P532" s="47"/>
      <c r="Q532" s="47"/>
      <c r="R532" s="47"/>
      <c r="S532" s="48"/>
      <c r="T532" s="68" t="str">
        <f>IF(Tableau1[[#This Row],[DMS_SAP]]="","",HYPERLINK(Tableau1[[#This Row],[Chemin fichier source]],"X"))</f>
        <v/>
      </c>
      <c r="U532" s="68" t="str">
        <f>IF(Tableau1[[#This Row],[Date rév.]]="","",HYPERLINK(Tableau1[[#This Row],[Lien document]],"X"))</f>
        <v/>
      </c>
      <c r="V532" s="47"/>
      <c r="W53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32" s="47"/>
      <c r="Y532" s="47"/>
      <c r="Z532" s="44" t="str">
        <f ca="1">IF(AND(Tableau1[[#This Row],[Charge]]&lt;&gt;0, Tableau1[[#This Row],[Nombre intervenants]]&lt;&gt;0,Tableau1[[#This Row],[Lien document]]&lt;&gt;0,Tableau1[[#This Row],[DMS_SAP]]&lt;&gt;0)=TRUE,"MIS A JOUR","")</f>
        <v/>
      </c>
      <c r="AA532" s="48"/>
      <c r="AB532" s="65" t="str">
        <f ca="1">IF(Tableau1[[#This Row],[Date rév.]]&lt;&gt;"", DAYS360(Tableau1[[#This Row],[Date rév.]],TODAY()),"")</f>
        <v/>
      </c>
      <c r="AC532" s="50" t="str">
        <f>IFERROR(INDEX(Chemin_accès!$B$11:$C$22,MATCH(Tableau1[[#This Row],[Type]],Chemin_accès!$C$11:$C$22,0),1),Chemin_accès!$B$11)</f>
        <v>\\stjn.local\trimet\Btechnique\Commun\Atelier Central mécanique\Plan entretien\Modèles préventif\GammeDMS_7.MENG.xlsm</v>
      </c>
      <c r="AD532" s="50" t="str">
        <f>Chemin_accès!$B$8&amp;Tableau1[[#This Row],[Localisation / Classement]]&amp;"\"&amp;Tableau1[[#This Row],[Poste technique ou N° d''équipement]]&amp;"_"&amp;Tableau1[[#This Row],[Plan Entretien]]&amp;".xlsm"</f>
        <v>\\stjn.local\trimet\Btechnique\Commun\Atelier Central mécanique\Plan entretien\GammeEntretien\\_.xlsm</v>
      </c>
    </row>
    <row r="533" spans="1:30" x14ac:dyDescent="0.3">
      <c r="A533" s="44" t="str">
        <f t="shared" ca="1" si="8"/>
        <v>7.MENG</v>
      </c>
      <c r="B53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33" s="47"/>
      <c r="D533" s="44"/>
      <c r="E533" s="44"/>
      <c r="F533" s="47"/>
      <c r="G533" s="47"/>
      <c r="H533" s="45"/>
      <c r="I533" s="45"/>
      <c r="J533" s="45"/>
      <c r="K533" s="45"/>
      <c r="L533" s="46"/>
      <c r="M533" s="47"/>
      <c r="N533" s="47"/>
      <c r="O533" s="47"/>
      <c r="P533" s="47"/>
      <c r="Q533" s="47"/>
      <c r="R533" s="47"/>
      <c r="S533" s="48"/>
      <c r="T533" s="68" t="str">
        <f>IF(Tableau1[[#This Row],[DMS_SAP]]="","",HYPERLINK(Tableau1[[#This Row],[Chemin fichier source]],"X"))</f>
        <v/>
      </c>
      <c r="U533" s="68" t="str">
        <f>IF(Tableau1[[#This Row],[Date rév.]]="","",HYPERLINK(Tableau1[[#This Row],[Lien document]],"X"))</f>
        <v/>
      </c>
      <c r="V533" s="47"/>
      <c r="W53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33" s="47"/>
      <c r="Y533" s="47"/>
      <c r="Z533" s="44" t="str">
        <f ca="1">IF(AND(Tableau1[[#This Row],[Charge]]&lt;&gt;0, Tableau1[[#This Row],[Nombre intervenants]]&lt;&gt;0,Tableau1[[#This Row],[Lien document]]&lt;&gt;0,Tableau1[[#This Row],[DMS_SAP]]&lt;&gt;0)=TRUE,"MIS A JOUR","")</f>
        <v/>
      </c>
      <c r="AA533" s="48"/>
      <c r="AB533" s="65" t="str">
        <f ca="1">IF(Tableau1[[#This Row],[Date rév.]]&lt;&gt;"", DAYS360(Tableau1[[#This Row],[Date rév.]],TODAY()),"")</f>
        <v/>
      </c>
      <c r="AC533" s="50" t="str">
        <f>IFERROR(INDEX(Chemin_accès!$B$11:$C$22,MATCH(Tableau1[[#This Row],[Type]],Chemin_accès!$C$11:$C$22,0),1),Chemin_accès!$B$11)</f>
        <v>\\stjn.local\trimet\Btechnique\Commun\Atelier Central mécanique\Plan entretien\Modèles préventif\GammeDMS_7.MENG.xlsm</v>
      </c>
      <c r="AD533" s="50" t="str">
        <f>Chemin_accès!$B$8&amp;Tableau1[[#This Row],[Localisation / Classement]]&amp;"\"&amp;Tableau1[[#This Row],[Poste technique ou N° d''équipement]]&amp;"_"&amp;Tableau1[[#This Row],[Plan Entretien]]&amp;".xlsm"</f>
        <v>\\stjn.local\trimet\Btechnique\Commun\Atelier Central mécanique\Plan entretien\GammeEntretien\\_.xlsm</v>
      </c>
    </row>
    <row r="534" spans="1:30" x14ac:dyDescent="0.3">
      <c r="A534" s="44" t="str">
        <f t="shared" ca="1" si="8"/>
        <v>7.MENG</v>
      </c>
      <c r="B53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34" s="47"/>
      <c r="D534" s="44"/>
      <c r="E534" s="44"/>
      <c r="F534" s="47"/>
      <c r="G534" s="47"/>
      <c r="H534" s="45"/>
      <c r="I534" s="45"/>
      <c r="J534" s="45"/>
      <c r="K534" s="45"/>
      <c r="L534" s="46"/>
      <c r="M534" s="47"/>
      <c r="N534" s="47"/>
      <c r="O534" s="47"/>
      <c r="P534" s="47"/>
      <c r="Q534" s="47"/>
      <c r="R534" s="47"/>
      <c r="S534" s="48"/>
      <c r="T534" s="68" t="str">
        <f>IF(Tableau1[[#This Row],[DMS_SAP]]="","",HYPERLINK(Tableau1[[#This Row],[Chemin fichier source]],"X"))</f>
        <v/>
      </c>
      <c r="U534" s="68" t="str">
        <f>IF(Tableau1[[#This Row],[Date rév.]]="","",HYPERLINK(Tableau1[[#This Row],[Lien document]],"X"))</f>
        <v/>
      </c>
      <c r="V534" s="47"/>
      <c r="W53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34" s="47"/>
      <c r="Y534" s="47"/>
      <c r="Z534" s="44" t="str">
        <f ca="1">IF(AND(Tableau1[[#This Row],[Charge]]&lt;&gt;0, Tableau1[[#This Row],[Nombre intervenants]]&lt;&gt;0,Tableau1[[#This Row],[Lien document]]&lt;&gt;0,Tableau1[[#This Row],[DMS_SAP]]&lt;&gt;0)=TRUE,"MIS A JOUR","")</f>
        <v/>
      </c>
      <c r="AA534" s="48"/>
      <c r="AB534" s="65" t="str">
        <f ca="1">IF(Tableau1[[#This Row],[Date rév.]]&lt;&gt;"", DAYS360(Tableau1[[#This Row],[Date rév.]],TODAY()),"")</f>
        <v/>
      </c>
      <c r="AC534" s="50" t="str">
        <f>IFERROR(INDEX(Chemin_accès!$B$11:$C$22,MATCH(Tableau1[[#This Row],[Type]],Chemin_accès!$C$11:$C$22,0),1),Chemin_accès!$B$11)</f>
        <v>\\stjn.local\trimet\Btechnique\Commun\Atelier Central mécanique\Plan entretien\Modèles préventif\GammeDMS_7.MENG.xlsm</v>
      </c>
      <c r="AD534" s="50" t="str">
        <f>Chemin_accès!$B$8&amp;Tableau1[[#This Row],[Localisation / Classement]]&amp;"\"&amp;Tableau1[[#This Row],[Poste technique ou N° d''équipement]]&amp;"_"&amp;Tableau1[[#This Row],[Plan Entretien]]&amp;".xlsm"</f>
        <v>\\stjn.local\trimet\Btechnique\Commun\Atelier Central mécanique\Plan entretien\GammeEntretien\\_.xlsm</v>
      </c>
    </row>
    <row r="535" spans="1:30" x14ac:dyDescent="0.3">
      <c r="A535" s="44" t="str">
        <f t="shared" ca="1" si="8"/>
        <v>7.MENG</v>
      </c>
      <c r="B53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35" s="47"/>
      <c r="D535" s="44"/>
      <c r="E535" s="44"/>
      <c r="F535" s="47"/>
      <c r="G535" s="47"/>
      <c r="H535" s="45"/>
      <c r="I535" s="45"/>
      <c r="J535" s="45"/>
      <c r="K535" s="45"/>
      <c r="L535" s="46"/>
      <c r="M535" s="47"/>
      <c r="N535" s="47"/>
      <c r="O535" s="47"/>
      <c r="P535" s="47"/>
      <c r="Q535" s="47"/>
      <c r="R535" s="47"/>
      <c r="S535" s="48"/>
      <c r="T535" s="68" t="str">
        <f>IF(Tableau1[[#This Row],[DMS_SAP]]="","",HYPERLINK(Tableau1[[#This Row],[Chemin fichier source]],"X"))</f>
        <v/>
      </c>
      <c r="U535" s="68" t="str">
        <f>IF(Tableau1[[#This Row],[Date rév.]]="","",HYPERLINK(Tableau1[[#This Row],[Lien document]],"X"))</f>
        <v/>
      </c>
      <c r="V535" s="47"/>
      <c r="W53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35" s="47"/>
      <c r="Y535" s="47"/>
      <c r="Z535" s="44" t="str">
        <f ca="1">IF(AND(Tableau1[[#This Row],[Charge]]&lt;&gt;0, Tableau1[[#This Row],[Nombre intervenants]]&lt;&gt;0,Tableau1[[#This Row],[Lien document]]&lt;&gt;0,Tableau1[[#This Row],[DMS_SAP]]&lt;&gt;0)=TRUE,"MIS A JOUR","")</f>
        <v/>
      </c>
      <c r="AA535" s="48"/>
      <c r="AB535" s="65" t="str">
        <f ca="1">IF(Tableau1[[#This Row],[Date rév.]]&lt;&gt;"", DAYS360(Tableau1[[#This Row],[Date rév.]],TODAY()),"")</f>
        <v/>
      </c>
      <c r="AC535" s="50" t="str">
        <f>IFERROR(INDEX(Chemin_accès!$B$11:$C$22,MATCH(Tableau1[[#This Row],[Type]],Chemin_accès!$C$11:$C$22,0),1),Chemin_accès!$B$11)</f>
        <v>\\stjn.local\trimet\Btechnique\Commun\Atelier Central mécanique\Plan entretien\Modèles préventif\GammeDMS_7.MENG.xlsm</v>
      </c>
      <c r="AD535" s="50" t="str">
        <f>Chemin_accès!$B$8&amp;Tableau1[[#This Row],[Localisation / Classement]]&amp;"\"&amp;Tableau1[[#This Row],[Poste technique ou N° d''équipement]]&amp;"_"&amp;Tableau1[[#This Row],[Plan Entretien]]&amp;".xlsm"</f>
        <v>\\stjn.local\trimet\Btechnique\Commun\Atelier Central mécanique\Plan entretien\GammeEntretien\\_.xlsm</v>
      </c>
    </row>
    <row r="536" spans="1:30" x14ac:dyDescent="0.3">
      <c r="A536" s="44" t="str">
        <f t="shared" ca="1" si="8"/>
        <v>7.MENG</v>
      </c>
      <c r="B53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36" s="47"/>
      <c r="D536" s="44"/>
      <c r="E536" s="44"/>
      <c r="F536" s="47"/>
      <c r="G536" s="47"/>
      <c r="H536" s="45"/>
      <c r="I536" s="45"/>
      <c r="J536" s="45"/>
      <c r="K536" s="45"/>
      <c r="L536" s="46"/>
      <c r="M536" s="47"/>
      <c r="N536" s="47"/>
      <c r="O536" s="47"/>
      <c r="P536" s="47"/>
      <c r="Q536" s="47"/>
      <c r="R536" s="47"/>
      <c r="S536" s="48"/>
      <c r="T536" s="68" t="str">
        <f>IF(Tableau1[[#This Row],[DMS_SAP]]="","",HYPERLINK(Tableau1[[#This Row],[Chemin fichier source]],"X"))</f>
        <v/>
      </c>
      <c r="U536" s="68" t="str">
        <f>IF(Tableau1[[#This Row],[Date rév.]]="","",HYPERLINK(Tableau1[[#This Row],[Lien document]],"X"))</f>
        <v/>
      </c>
      <c r="V536" s="47"/>
      <c r="W53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36" s="47"/>
      <c r="Y536" s="47"/>
      <c r="Z536" s="44" t="str">
        <f ca="1">IF(AND(Tableau1[[#This Row],[Charge]]&lt;&gt;0, Tableau1[[#This Row],[Nombre intervenants]]&lt;&gt;0,Tableau1[[#This Row],[Lien document]]&lt;&gt;0,Tableau1[[#This Row],[DMS_SAP]]&lt;&gt;0)=TRUE,"MIS A JOUR","")</f>
        <v/>
      </c>
      <c r="AA536" s="48"/>
      <c r="AB536" s="65" t="str">
        <f ca="1">IF(Tableau1[[#This Row],[Date rév.]]&lt;&gt;"", DAYS360(Tableau1[[#This Row],[Date rév.]],TODAY()),"")</f>
        <v/>
      </c>
      <c r="AC536" s="50" t="str">
        <f>IFERROR(INDEX(Chemin_accès!$B$11:$C$22,MATCH(Tableau1[[#This Row],[Type]],Chemin_accès!$C$11:$C$22,0),1),Chemin_accès!$B$11)</f>
        <v>\\stjn.local\trimet\Btechnique\Commun\Atelier Central mécanique\Plan entretien\Modèles préventif\GammeDMS_7.MENG.xlsm</v>
      </c>
      <c r="AD536" s="50" t="str">
        <f>Chemin_accès!$B$8&amp;Tableau1[[#This Row],[Localisation / Classement]]&amp;"\"&amp;Tableau1[[#This Row],[Poste technique ou N° d''équipement]]&amp;"_"&amp;Tableau1[[#This Row],[Plan Entretien]]&amp;".xlsm"</f>
        <v>\\stjn.local\trimet\Btechnique\Commun\Atelier Central mécanique\Plan entretien\GammeEntretien\\_.xlsm</v>
      </c>
    </row>
    <row r="537" spans="1:30" x14ac:dyDescent="0.3">
      <c r="A537" s="44" t="str">
        <f t="shared" ca="1" si="8"/>
        <v>7.MENG</v>
      </c>
      <c r="B53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37" s="47"/>
      <c r="D537" s="44"/>
      <c r="E537" s="44"/>
      <c r="F537" s="47"/>
      <c r="G537" s="47"/>
      <c r="H537" s="45"/>
      <c r="I537" s="45"/>
      <c r="J537" s="45"/>
      <c r="K537" s="45"/>
      <c r="L537" s="46"/>
      <c r="M537" s="47"/>
      <c r="N537" s="47"/>
      <c r="O537" s="47"/>
      <c r="P537" s="47"/>
      <c r="Q537" s="47"/>
      <c r="R537" s="47"/>
      <c r="S537" s="48"/>
      <c r="T537" s="68" t="str">
        <f>IF(Tableau1[[#This Row],[DMS_SAP]]="","",HYPERLINK(Tableau1[[#This Row],[Chemin fichier source]],"X"))</f>
        <v/>
      </c>
      <c r="U537" s="68" t="str">
        <f>IF(Tableau1[[#This Row],[Date rév.]]="","",HYPERLINK(Tableau1[[#This Row],[Lien document]],"X"))</f>
        <v/>
      </c>
      <c r="V537" s="47"/>
      <c r="W53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37" s="47"/>
      <c r="Y537" s="47"/>
      <c r="Z537" s="44" t="str">
        <f ca="1">IF(AND(Tableau1[[#This Row],[Charge]]&lt;&gt;0, Tableau1[[#This Row],[Nombre intervenants]]&lt;&gt;0,Tableau1[[#This Row],[Lien document]]&lt;&gt;0,Tableau1[[#This Row],[DMS_SAP]]&lt;&gt;0)=TRUE,"MIS A JOUR","")</f>
        <v/>
      </c>
      <c r="AA537" s="48"/>
      <c r="AB537" s="65" t="str">
        <f ca="1">IF(Tableau1[[#This Row],[Date rév.]]&lt;&gt;"", DAYS360(Tableau1[[#This Row],[Date rév.]],TODAY()),"")</f>
        <v/>
      </c>
      <c r="AC537" s="50" t="str">
        <f>IFERROR(INDEX(Chemin_accès!$B$11:$C$22,MATCH(Tableau1[[#This Row],[Type]],Chemin_accès!$C$11:$C$22,0),1),Chemin_accès!$B$11)</f>
        <v>\\stjn.local\trimet\Btechnique\Commun\Atelier Central mécanique\Plan entretien\Modèles préventif\GammeDMS_7.MENG.xlsm</v>
      </c>
      <c r="AD537" s="50" t="str">
        <f>Chemin_accès!$B$8&amp;Tableau1[[#This Row],[Localisation / Classement]]&amp;"\"&amp;Tableau1[[#This Row],[Poste technique ou N° d''équipement]]&amp;"_"&amp;Tableau1[[#This Row],[Plan Entretien]]&amp;".xlsm"</f>
        <v>\\stjn.local\trimet\Btechnique\Commun\Atelier Central mécanique\Plan entretien\GammeEntretien\\_.xlsm</v>
      </c>
    </row>
    <row r="538" spans="1:30" x14ac:dyDescent="0.3">
      <c r="A538" s="44" t="str">
        <f t="shared" ca="1" si="8"/>
        <v>7.MENG</v>
      </c>
      <c r="B53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38" s="47"/>
      <c r="D538" s="44"/>
      <c r="E538" s="44"/>
      <c r="F538" s="47"/>
      <c r="G538" s="47"/>
      <c r="H538" s="45"/>
      <c r="I538" s="45"/>
      <c r="J538" s="45"/>
      <c r="K538" s="45"/>
      <c r="L538" s="46"/>
      <c r="M538" s="47"/>
      <c r="N538" s="47"/>
      <c r="O538" s="47"/>
      <c r="P538" s="47"/>
      <c r="Q538" s="47"/>
      <c r="R538" s="47"/>
      <c r="S538" s="48"/>
      <c r="T538" s="68" t="str">
        <f>IF(Tableau1[[#This Row],[DMS_SAP]]="","",HYPERLINK(Tableau1[[#This Row],[Chemin fichier source]],"X"))</f>
        <v/>
      </c>
      <c r="U538" s="68" t="str">
        <f>IF(Tableau1[[#This Row],[Date rév.]]="","",HYPERLINK(Tableau1[[#This Row],[Lien document]],"X"))</f>
        <v/>
      </c>
      <c r="V538" s="47"/>
      <c r="W53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38" s="47"/>
      <c r="Y538" s="47"/>
      <c r="Z538" s="44" t="str">
        <f ca="1">IF(AND(Tableau1[[#This Row],[Charge]]&lt;&gt;0, Tableau1[[#This Row],[Nombre intervenants]]&lt;&gt;0,Tableau1[[#This Row],[Lien document]]&lt;&gt;0,Tableau1[[#This Row],[DMS_SAP]]&lt;&gt;0)=TRUE,"MIS A JOUR","")</f>
        <v/>
      </c>
      <c r="AA538" s="48"/>
      <c r="AB538" s="65" t="str">
        <f ca="1">IF(Tableau1[[#This Row],[Date rév.]]&lt;&gt;"", DAYS360(Tableau1[[#This Row],[Date rév.]],TODAY()),"")</f>
        <v/>
      </c>
      <c r="AC538" s="50" t="str">
        <f>IFERROR(INDEX(Chemin_accès!$B$11:$C$22,MATCH(Tableau1[[#This Row],[Type]],Chemin_accès!$C$11:$C$22,0),1),Chemin_accès!$B$11)</f>
        <v>\\stjn.local\trimet\Btechnique\Commun\Atelier Central mécanique\Plan entretien\Modèles préventif\GammeDMS_7.MENG.xlsm</v>
      </c>
      <c r="AD538" s="50" t="str">
        <f>Chemin_accès!$B$8&amp;Tableau1[[#This Row],[Localisation / Classement]]&amp;"\"&amp;Tableau1[[#This Row],[Poste technique ou N° d''équipement]]&amp;"_"&amp;Tableau1[[#This Row],[Plan Entretien]]&amp;".xlsm"</f>
        <v>\\stjn.local\trimet\Btechnique\Commun\Atelier Central mécanique\Plan entretien\GammeEntretien\\_.xlsm</v>
      </c>
    </row>
    <row r="539" spans="1:30" x14ac:dyDescent="0.3">
      <c r="A539" s="44" t="str">
        <f t="shared" ca="1" si="8"/>
        <v>7.MENG</v>
      </c>
      <c r="B53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39" s="47"/>
      <c r="D539" s="44"/>
      <c r="E539" s="44"/>
      <c r="F539" s="47"/>
      <c r="G539" s="47"/>
      <c r="H539" s="45"/>
      <c r="I539" s="45"/>
      <c r="J539" s="45"/>
      <c r="K539" s="45"/>
      <c r="L539" s="46"/>
      <c r="M539" s="47"/>
      <c r="N539" s="47"/>
      <c r="O539" s="47"/>
      <c r="P539" s="47"/>
      <c r="Q539" s="47"/>
      <c r="R539" s="47"/>
      <c r="S539" s="48"/>
      <c r="T539" s="68" t="str">
        <f>IF(Tableau1[[#This Row],[DMS_SAP]]="","",HYPERLINK(Tableau1[[#This Row],[Chemin fichier source]],"X"))</f>
        <v/>
      </c>
      <c r="U539" s="68" t="str">
        <f>IF(Tableau1[[#This Row],[Date rév.]]="","",HYPERLINK(Tableau1[[#This Row],[Lien document]],"X"))</f>
        <v/>
      </c>
      <c r="V539" s="47"/>
      <c r="W53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39" s="47"/>
      <c r="Y539" s="47"/>
      <c r="Z539" s="44" t="str">
        <f ca="1">IF(AND(Tableau1[[#This Row],[Charge]]&lt;&gt;0, Tableau1[[#This Row],[Nombre intervenants]]&lt;&gt;0,Tableau1[[#This Row],[Lien document]]&lt;&gt;0,Tableau1[[#This Row],[DMS_SAP]]&lt;&gt;0)=TRUE,"MIS A JOUR","")</f>
        <v/>
      </c>
      <c r="AA539" s="48"/>
      <c r="AB539" s="65" t="str">
        <f ca="1">IF(Tableau1[[#This Row],[Date rév.]]&lt;&gt;"", DAYS360(Tableau1[[#This Row],[Date rév.]],TODAY()),"")</f>
        <v/>
      </c>
      <c r="AC539" s="50" t="str">
        <f>IFERROR(INDEX(Chemin_accès!$B$11:$C$22,MATCH(Tableau1[[#This Row],[Type]],Chemin_accès!$C$11:$C$22,0),1),Chemin_accès!$B$11)</f>
        <v>\\stjn.local\trimet\Btechnique\Commun\Atelier Central mécanique\Plan entretien\Modèles préventif\GammeDMS_7.MENG.xlsm</v>
      </c>
      <c r="AD539" s="50" t="str">
        <f>Chemin_accès!$B$8&amp;Tableau1[[#This Row],[Localisation / Classement]]&amp;"\"&amp;Tableau1[[#This Row],[Poste technique ou N° d''équipement]]&amp;"_"&amp;Tableau1[[#This Row],[Plan Entretien]]&amp;".xlsm"</f>
        <v>\\stjn.local\trimet\Btechnique\Commun\Atelier Central mécanique\Plan entretien\GammeEntretien\\_.xlsm</v>
      </c>
    </row>
    <row r="540" spans="1:30" x14ac:dyDescent="0.3">
      <c r="A540" s="44" t="str">
        <f t="shared" ca="1" si="8"/>
        <v>7.MENG</v>
      </c>
      <c r="B54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40" s="47"/>
      <c r="D540" s="44"/>
      <c r="E540" s="44"/>
      <c r="F540" s="47"/>
      <c r="G540" s="47"/>
      <c r="H540" s="45"/>
      <c r="I540" s="45"/>
      <c r="J540" s="45"/>
      <c r="K540" s="45"/>
      <c r="L540" s="46"/>
      <c r="M540" s="47"/>
      <c r="N540" s="47"/>
      <c r="O540" s="47"/>
      <c r="P540" s="47"/>
      <c r="Q540" s="47"/>
      <c r="R540" s="47"/>
      <c r="S540" s="48"/>
      <c r="T540" s="68" t="str">
        <f>IF(Tableau1[[#This Row],[DMS_SAP]]="","",HYPERLINK(Tableau1[[#This Row],[Chemin fichier source]],"X"))</f>
        <v/>
      </c>
      <c r="U540" s="68" t="str">
        <f>IF(Tableau1[[#This Row],[Date rév.]]="","",HYPERLINK(Tableau1[[#This Row],[Lien document]],"X"))</f>
        <v/>
      </c>
      <c r="V540" s="47"/>
      <c r="W54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40" s="47"/>
      <c r="Y540" s="47"/>
      <c r="Z540" s="44" t="str">
        <f ca="1">IF(AND(Tableau1[[#This Row],[Charge]]&lt;&gt;0, Tableau1[[#This Row],[Nombre intervenants]]&lt;&gt;0,Tableau1[[#This Row],[Lien document]]&lt;&gt;0,Tableau1[[#This Row],[DMS_SAP]]&lt;&gt;0)=TRUE,"MIS A JOUR","")</f>
        <v/>
      </c>
      <c r="AA540" s="48"/>
      <c r="AB540" s="65" t="str">
        <f ca="1">IF(Tableau1[[#This Row],[Date rév.]]&lt;&gt;"", DAYS360(Tableau1[[#This Row],[Date rév.]],TODAY()),"")</f>
        <v/>
      </c>
      <c r="AC540" s="50" t="str">
        <f>IFERROR(INDEX(Chemin_accès!$B$11:$C$22,MATCH(Tableau1[[#This Row],[Type]],Chemin_accès!$C$11:$C$22,0),1),Chemin_accès!$B$11)</f>
        <v>\\stjn.local\trimet\Btechnique\Commun\Atelier Central mécanique\Plan entretien\Modèles préventif\GammeDMS_7.MENG.xlsm</v>
      </c>
      <c r="AD540" s="50" t="str">
        <f>Chemin_accès!$B$8&amp;Tableau1[[#This Row],[Localisation / Classement]]&amp;"\"&amp;Tableau1[[#This Row],[Poste technique ou N° d''équipement]]&amp;"_"&amp;Tableau1[[#This Row],[Plan Entretien]]&amp;".xlsm"</f>
        <v>\\stjn.local\trimet\Btechnique\Commun\Atelier Central mécanique\Plan entretien\GammeEntretien\\_.xlsm</v>
      </c>
    </row>
    <row r="541" spans="1:30" x14ac:dyDescent="0.3">
      <c r="A541" s="44" t="str">
        <f t="shared" ca="1" si="8"/>
        <v>7.MENG</v>
      </c>
      <c r="B54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41" s="47"/>
      <c r="D541" s="44"/>
      <c r="E541" s="44"/>
      <c r="F541" s="47"/>
      <c r="G541" s="47"/>
      <c r="H541" s="45"/>
      <c r="I541" s="45"/>
      <c r="J541" s="45"/>
      <c r="K541" s="45"/>
      <c r="L541" s="46"/>
      <c r="M541" s="47"/>
      <c r="N541" s="47"/>
      <c r="O541" s="47"/>
      <c r="P541" s="47"/>
      <c r="Q541" s="47"/>
      <c r="R541" s="47"/>
      <c r="S541" s="48"/>
      <c r="T541" s="68" t="str">
        <f>IF(Tableau1[[#This Row],[DMS_SAP]]="","",HYPERLINK(Tableau1[[#This Row],[Chemin fichier source]],"X"))</f>
        <v/>
      </c>
      <c r="U541" s="68" t="str">
        <f>IF(Tableau1[[#This Row],[Date rév.]]="","",HYPERLINK(Tableau1[[#This Row],[Lien document]],"X"))</f>
        <v/>
      </c>
      <c r="V541" s="47"/>
      <c r="W54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41" s="47"/>
      <c r="Y541" s="47"/>
      <c r="Z541" s="44" t="str">
        <f ca="1">IF(AND(Tableau1[[#This Row],[Charge]]&lt;&gt;0, Tableau1[[#This Row],[Nombre intervenants]]&lt;&gt;0,Tableau1[[#This Row],[Lien document]]&lt;&gt;0,Tableau1[[#This Row],[DMS_SAP]]&lt;&gt;0)=TRUE,"MIS A JOUR","")</f>
        <v/>
      </c>
      <c r="AA541" s="48"/>
      <c r="AB541" s="65" t="str">
        <f ca="1">IF(Tableau1[[#This Row],[Date rév.]]&lt;&gt;"", DAYS360(Tableau1[[#This Row],[Date rév.]],TODAY()),"")</f>
        <v/>
      </c>
      <c r="AC541" s="50" t="str">
        <f>IFERROR(INDEX(Chemin_accès!$B$11:$C$22,MATCH(Tableau1[[#This Row],[Type]],Chemin_accès!$C$11:$C$22,0),1),Chemin_accès!$B$11)</f>
        <v>\\stjn.local\trimet\Btechnique\Commun\Atelier Central mécanique\Plan entretien\Modèles préventif\GammeDMS_7.MENG.xlsm</v>
      </c>
      <c r="AD541" s="50" t="str">
        <f>Chemin_accès!$B$8&amp;Tableau1[[#This Row],[Localisation / Classement]]&amp;"\"&amp;Tableau1[[#This Row],[Poste technique ou N° d''équipement]]&amp;"_"&amp;Tableau1[[#This Row],[Plan Entretien]]&amp;".xlsm"</f>
        <v>\\stjn.local\trimet\Btechnique\Commun\Atelier Central mécanique\Plan entretien\GammeEntretien\\_.xlsm</v>
      </c>
    </row>
    <row r="542" spans="1:30" x14ac:dyDescent="0.3">
      <c r="A542" s="44" t="str">
        <f t="shared" ca="1" si="8"/>
        <v>7.MENG</v>
      </c>
      <c r="B54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42" s="47"/>
      <c r="D542" s="44"/>
      <c r="E542" s="44"/>
      <c r="F542" s="47"/>
      <c r="G542" s="47"/>
      <c r="H542" s="45"/>
      <c r="I542" s="45"/>
      <c r="J542" s="45"/>
      <c r="K542" s="45"/>
      <c r="L542" s="46"/>
      <c r="M542" s="47"/>
      <c r="N542" s="47"/>
      <c r="O542" s="47"/>
      <c r="P542" s="47"/>
      <c r="Q542" s="47"/>
      <c r="R542" s="47"/>
      <c r="S542" s="48"/>
      <c r="T542" s="68" t="str">
        <f>IF(Tableau1[[#This Row],[DMS_SAP]]="","",HYPERLINK(Tableau1[[#This Row],[Chemin fichier source]],"X"))</f>
        <v/>
      </c>
      <c r="U542" s="68" t="str">
        <f>IF(Tableau1[[#This Row],[Date rév.]]="","",HYPERLINK(Tableau1[[#This Row],[Lien document]],"X"))</f>
        <v/>
      </c>
      <c r="V542" s="47"/>
      <c r="W54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42" s="47"/>
      <c r="Y542" s="47"/>
      <c r="Z542" s="44" t="str">
        <f ca="1">IF(AND(Tableau1[[#This Row],[Charge]]&lt;&gt;0, Tableau1[[#This Row],[Nombre intervenants]]&lt;&gt;0,Tableau1[[#This Row],[Lien document]]&lt;&gt;0,Tableau1[[#This Row],[DMS_SAP]]&lt;&gt;0)=TRUE,"MIS A JOUR","")</f>
        <v/>
      </c>
      <c r="AA542" s="48"/>
      <c r="AB542" s="65" t="str">
        <f ca="1">IF(Tableau1[[#This Row],[Date rév.]]&lt;&gt;"", DAYS360(Tableau1[[#This Row],[Date rév.]],TODAY()),"")</f>
        <v/>
      </c>
      <c r="AC542" s="50" t="str">
        <f>IFERROR(INDEX(Chemin_accès!$B$11:$C$22,MATCH(Tableau1[[#This Row],[Type]],Chemin_accès!$C$11:$C$22,0),1),Chemin_accès!$B$11)</f>
        <v>\\stjn.local\trimet\Btechnique\Commun\Atelier Central mécanique\Plan entretien\Modèles préventif\GammeDMS_7.MENG.xlsm</v>
      </c>
      <c r="AD542" s="50" t="str">
        <f>Chemin_accès!$B$8&amp;Tableau1[[#This Row],[Localisation / Classement]]&amp;"\"&amp;Tableau1[[#This Row],[Poste technique ou N° d''équipement]]&amp;"_"&amp;Tableau1[[#This Row],[Plan Entretien]]&amp;".xlsm"</f>
        <v>\\stjn.local\trimet\Btechnique\Commun\Atelier Central mécanique\Plan entretien\GammeEntretien\\_.xlsm</v>
      </c>
    </row>
    <row r="543" spans="1:30" x14ac:dyDescent="0.3">
      <c r="A543" s="44" t="str">
        <f t="shared" ca="1" si="8"/>
        <v>7.MENG</v>
      </c>
      <c r="B54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43" s="47"/>
      <c r="D543" s="44"/>
      <c r="E543" s="44"/>
      <c r="F543" s="47"/>
      <c r="G543" s="47"/>
      <c r="H543" s="45"/>
      <c r="I543" s="45"/>
      <c r="J543" s="45"/>
      <c r="K543" s="45"/>
      <c r="L543" s="46"/>
      <c r="M543" s="47"/>
      <c r="N543" s="47"/>
      <c r="O543" s="47"/>
      <c r="P543" s="47"/>
      <c r="Q543" s="47"/>
      <c r="R543" s="47"/>
      <c r="S543" s="48"/>
      <c r="T543" s="68" t="str">
        <f>IF(Tableau1[[#This Row],[DMS_SAP]]="","",HYPERLINK(Tableau1[[#This Row],[Chemin fichier source]],"X"))</f>
        <v/>
      </c>
      <c r="U543" s="68" t="str">
        <f>IF(Tableau1[[#This Row],[Date rév.]]="","",HYPERLINK(Tableau1[[#This Row],[Lien document]],"X"))</f>
        <v/>
      </c>
      <c r="V543" s="47"/>
      <c r="W54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43" s="47"/>
      <c r="Y543" s="47"/>
      <c r="Z543" s="44" t="str">
        <f ca="1">IF(AND(Tableau1[[#This Row],[Charge]]&lt;&gt;0, Tableau1[[#This Row],[Nombre intervenants]]&lt;&gt;0,Tableau1[[#This Row],[Lien document]]&lt;&gt;0,Tableau1[[#This Row],[DMS_SAP]]&lt;&gt;0)=TRUE,"MIS A JOUR","")</f>
        <v/>
      </c>
      <c r="AA543" s="48"/>
      <c r="AB543" s="65" t="str">
        <f ca="1">IF(Tableau1[[#This Row],[Date rév.]]&lt;&gt;"", DAYS360(Tableau1[[#This Row],[Date rév.]],TODAY()),"")</f>
        <v/>
      </c>
      <c r="AC543" s="50" t="str">
        <f>IFERROR(INDEX(Chemin_accès!$B$11:$C$22,MATCH(Tableau1[[#This Row],[Type]],Chemin_accès!$C$11:$C$22,0),1),Chemin_accès!$B$11)</f>
        <v>\\stjn.local\trimet\Btechnique\Commun\Atelier Central mécanique\Plan entretien\Modèles préventif\GammeDMS_7.MENG.xlsm</v>
      </c>
      <c r="AD543" s="50" t="str">
        <f>Chemin_accès!$B$8&amp;Tableau1[[#This Row],[Localisation / Classement]]&amp;"\"&amp;Tableau1[[#This Row],[Poste technique ou N° d''équipement]]&amp;"_"&amp;Tableau1[[#This Row],[Plan Entretien]]&amp;".xlsm"</f>
        <v>\\stjn.local\trimet\Btechnique\Commun\Atelier Central mécanique\Plan entretien\GammeEntretien\\_.xlsm</v>
      </c>
    </row>
    <row r="544" spans="1:30" x14ac:dyDescent="0.3">
      <c r="A544" s="44" t="str">
        <f t="shared" ca="1" si="8"/>
        <v>7.MENG</v>
      </c>
      <c r="B54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44" s="47"/>
      <c r="D544" s="44"/>
      <c r="E544" s="44"/>
      <c r="F544" s="47"/>
      <c r="G544" s="47"/>
      <c r="H544" s="45"/>
      <c r="I544" s="45"/>
      <c r="J544" s="45"/>
      <c r="K544" s="45"/>
      <c r="L544" s="46"/>
      <c r="M544" s="47"/>
      <c r="N544" s="47"/>
      <c r="O544" s="47"/>
      <c r="P544" s="47"/>
      <c r="Q544" s="47"/>
      <c r="R544" s="47"/>
      <c r="S544" s="48"/>
      <c r="T544" s="68" t="str">
        <f>IF(Tableau1[[#This Row],[DMS_SAP]]="","",HYPERLINK(Tableau1[[#This Row],[Chemin fichier source]],"X"))</f>
        <v/>
      </c>
      <c r="U544" s="68" t="str">
        <f>IF(Tableau1[[#This Row],[Date rév.]]="","",HYPERLINK(Tableau1[[#This Row],[Lien document]],"X"))</f>
        <v/>
      </c>
      <c r="V544" s="47"/>
      <c r="W54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44" s="47"/>
      <c r="Y544" s="47"/>
      <c r="Z544" s="44" t="str">
        <f ca="1">IF(AND(Tableau1[[#This Row],[Charge]]&lt;&gt;0, Tableau1[[#This Row],[Nombre intervenants]]&lt;&gt;0,Tableau1[[#This Row],[Lien document]]&lt;&gt;0,Tableau1[[#This Row],[DMS_SAP]]&lt;&gt;0)=TRUE,"MIS A JOUR","")</f>
        <v/>
      </c>
      <c r="AA544" s="48"/>
      <c r="AB544" s="65" t="str">
        <f ca="1">IF(Tableau1[[#This Row],[Date rév.]]&lt;&gt;"", DAYS360(Tableau1[[#This Row],[Date rév.]],TODAY()),"")</f>
        <v/>
      </c>
      <c r="AC544" s="50" t="str">
        <f>IFERROR(INDEX(Chemin_accès!$B$11:$C$22,MATCH(Tableau1[[#This Row],[Type]],Chemin_accès!$C$11:$C$22,0),1),Chemin_accès!$B$11)</f>
        <v>\\stjn.local\trimet\Btechnique\Commun\Atelier Central mécanique\Plan entretien\Modèles préventif\GammeDMS_7.MENG.xlsm</v>
      </c>
      <c r="AD544" s="50" t="str">
        <f>Chemin_accès!$B$8&amp;Tableau1[[#This Row],[Localisation / Classement]]&amp;"\"&amp;Tableau1[[#This Row],[Poste technique ou N° d''équipement]]&amp;"_"&amp;Tableau1[[#This Row],[Plan Entretien]]&amp;".xlsm"</f>
        <v>\\stjn.local\trimet\Btechnique\Commun\Atelier Central mécanique\Plan entretien\GammeEntretien\\_.xlsm</v>
      </c>
    </row>
    <row r="545" spans="1:30" x14ac:dyDescent="0.3">
      <c r="A545" s="44" t="str">
        <f t="shared" ca="1" si="8"/>
        <v>7.MENG</v>
      </c>
      <c r="B54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45" s="47"/>
      <c r="D545" s="44"/>
      <c r="E545" s="44"/>
      <c r="F545" s="47"/>
      <c r="G545" s="47"/>
      <c r="H545" s="45"/>
      <c r="I545" s="45"/>
      <c r="J545" s="45"/>
      <c r="K545" s="45"/>
      <c r="L545" s="46"/>
      <c r="M545" s="47"/>
      <c r="N545" s="47"/>
      <c r="O545" s="47"/>
      <c r="P545" s="47"/>
      <c r="Q545" s="47"/>
      <c r="R545" s="47"/>
      <c r="S545" s="48"/>
      <c r="T545" s="68" t="str">
        <f>IF(Tableau1[[#This Row],[DMS_SAP]]="","",HYPERLINK(Tableau1[[#This Row],[Chemin fichier source]],"X"))</f>
        <v/>
      </c>
      <c r="U545" s="68" t="str">
        <f>IF(Tableau1[[#This Row],[Date rév.]]="","",HYPERLINK(Tableau1[[#This Row],[Lien document]],"X"))</f>
        <v/>
      </c>
      <c r="V545" s="47"/>
      <c r="W54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45" s="47"/>
      <c r="Y545" s="47"/>
      <c r="Z545" s="44" t="str">
        <f ca="1">IF(AND(Tableau1[[#This Row],[Charge]]&lt;&gt;0, Tableau1[[#This Row],[Nombre intervenants]]&lt;&gt;0,Tableau1[[#This Row],[Lien document]]&lt;&gt;0,Tableau1[[#This Row],[DMS_SAP]]&lt;&gt;0)=TRUE,"MIS A JOUR","")</f>
        <v/>
      </c>
      <c r="AA545" s="48"/>
      <c r="AB545" s="65" t="str">
        <f ca="1">IF(Tableau1[[#This Row],[Date rév.]]&lt;&gt;"", DAYS360(Tableau1[[#This Row],[Date rév.]],TODAY()),"")</f>
        <v/>
      </c>
      <c r="AC545" s="50" t="str">
        <f>IFERROR(INDEX(Chemin_accès!$B$11:$C$22,MATCH(Tableau1[[#This Row],[Type]],Chemin_accès!$C$11:$C$22,0),1),Chemin_accès!$B$11)</f>
        <v>\\stjn.local\trimet\Btechnique\Commun\Atelier Central mécanique\Plan entretien\Modèles préventif\GammeDMS_7.MENG.xlsm</v>
      </c>
      <c r="AD545" s="50" t="str">
        <f>Chemin_accès!$B$8&amp;Tableau1[[#This Row],[Localisation / Classement]]&amp;"\"&amp;Tableau1[[#This Row],[Poste technique ou N° d''équipement]]&amp;"_"&amp;Tableau1[[#This Row],[Plan Entretien]]&amp;".xlsm"</f>
        <v>\\stjn.local\trimet\Btechnique\Commun\Atelier Central mécanique\Plan entretien\GammeEntretien\\_.xlsm</v>
      </c>
    </row>
    <row r="546" spans="1:30" x14ac:dyDescent="0.3">
      <c r="A546" s="44" t="str">
        <f t="shared" ca="1" si="8"/>
        <v>7.MENG</v>
      </c>
      <c r="B54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46" s="47"/>
      <c r="D546" s="44"/>
      <c r="E546" s="44"/>
      <c r="F546" s="47"/>
      <c r="G546" s="47"/>
      <c r="H546" s="45"/>
      <c r="I546" s="45"/>
      <c r="J546" s="45"/>
      <c r="K546" s="45"/>
      <c r="L546" s="46"/>
      <c r="M546" s="47"/>
      <c r="N546" s="47"/>
      <c r="O546" s="47"/>
      <c r="P546" s="47"/>
      <c r="Q546" s="47"/>
      <c r="R546" s="47"/>
      <c r="S546" s="48"/>
      <c r="T546" s="68" t="str">
        <f>IF(Tableau1[[#This Row],[DMS_SAP]]="","",HYPERLINK(Tableau1[[#This Row],[Chemin fichier source]],"X"))</f>
        <v/>
      </c>
      <c r="U546" s="68" t="str">
        <f>IF(Tableau1[[#This Row],[Date rév.]]="","",HYPERLINK(Tableau1[[#This Row],[Lien document]],"X"))</f>
        <v/>
      </c>
      <c r="V546" s="47"/>
      <c r="W54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46" s="47"/>
      <c r="Y546" s="47"/>
      <c r="Z546" s="44" t="str">
        <f ca="1">IF(AND(Tableau1[[#This Row],[Charge]]&lt;&gt;0, Tableau1[[#This Row],[Nombre intervenants]]&lt;&gt;0,Tableau1[[#This Row],[Lien document]]&lt;&gt;0,Tableau1[[#This Row],[DMS_SAP]]&lt;&gt;0)=TRUE,"MIS A JOUR","")</f>
        <v/>
      </c>
      <c r="AA546" s="48"/>
      <c r="AB546" s="65" t="str">
        <f ca="1">IF(Tableau1[[#This Row],[Date rév.]]&lt;&gt;"", DAYS360(Tableau1[[#This Row],[Date rév.]],TODAY()),"")</f>
        <v/>
      </c>
      <c r="AC546" s="50" t="str">
        <f>IFERROR(INDEX(Chemin_accès!$B$11:$C$22,MATCH(Tableau1[[#This Row],[Type]],Chemin_accès!$C$11:$C$22,0),1),Chemin_accès!$B$11)</f>
        <v>\\stjn.local\trimet\Btechnique\Commun\Atelier Central mécanique\Plan entretien\Modèles préventif\GammeDMS_7.MENG.xlsm</v>
      </c>
      <c r="AD546" s="50" t="str">
        <f>Chemin_accès!$B$8&amp;Tableau1[[#This Row],[Localisation / Classement]]&amp;"\"&amp;Tableau1[[#This Row],[Poste technique ou N° d''équipement]]&amp;"_"&amp;Tableau1[[#This Row],[Plan Entretien]]&amp;".xlsm"</f>
        <v>\\stjn.local\trimet\Btechnique\Commun\Atelier Central mécanique\Plan entretien\GammeEntretien\\_.xlsm</v>
      </c>
    </row>
    <row r="547" spans="1:30" x14ac:dyDescent="0.3">
      <c r="A547" s="44" t="str">
        <f t="shared" ca="1" si="8"/>
        <v>7.MENG</v>
      </c>
      <c r="B54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47" s="47"/>
      <c r="D547" s="44"/>
      <c r="E547" s="44"/>
      <c r="F547" s="47"/>
      <c r="G547" s="47"/>
      <c r="H547" s="45"/>
      <c r="I547" s="45"/>
      <c r="J547" s="45"/>
      <c r="K547" s="45"/>
      <c r="L547" s="46"/>
      <c r="M547" s="47"/>
      <c r="N547" s="47"/>
      <c r="O547" s="47"/>
      <c r="P547" s="47"/>
      <c r="Q547" s="47"/>
      <c r="R547" s="47"/>
      <c r="S547" s="48"/>
      <c r="T547" s="68" t="str">
        <f>IF(Tableau1[[#This Row],[DMS_SAP]]="","",HYPERLINK(Tableau1[[#This Row],[Chemin fichier source]],"X"))</f>
        <v/>
      </c>
      <c r="U547" s="68" t="str">
        <f>IF(Tableau1[[#This Row],[Date rév.]]="","",HYPERLINK(Tableau1[[#This Row],[Lien document]],"X"))</f>
        <v/>
      </c>
      <c r="V547" s="47"/>
      <c r="W54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47" s="47"/>
      <c r="Y547" s="47"/>
      <c r="Z547" s="44" t="str">
        <f ca="1">IF(AND(Tableau1[[#This Row],[Charge]]&lt;&gt;0, Tableau1[[#This Row],[Nombre intervenants]]&lt;&gt;0,Tableau1[[#This Row],[Lien document]]&lt;&gt;0,Tableau1[[#This Row],[DMS_SAP]]&lt;&gt;0)=TRUE,"MIS A JOUR","")</f>
        <v/>
      </c>
      <c r="AA547" s="48"/>
      <c r="AB547" s="65" t="str">
        <f ca="1">IF(Tableau1[[#This Row],[Date rév.]]&lt;&gt;"", DAYS360(Tableau1[[#This Row],[Date rév.]],TODAY()),"")</f>
        <v/>
      </c>
      <c r="AC547" s="50" t="str">
        <f>IFERROR(INDEX(Chemin_accès!$B$11:$C$22,MATCH(Tableau1[[#This Row],[Type]],Chemin_accès!$C$11:$C$22,0),1),Chemin_accès!$B$11)</f>
        <v>\\stjn.local\trimet\Btechnique\Commun\Atelier Central mécanique\Plan entretien\Modèles préventif\GammeDMS_7.MENG.xlsm</v>
      </c>
      <c r="AD547" s="50" t="str">
        <f>Chemin_accès!$B$8&amp;Tableau1[[#This Row],[Localisation / Classement]]&amp;"\"&amp;Tableau1[[#This Row],[Poste technique ou N° d''équipement]]&amp;"_"&amp;Tableau1[[#This Row],[Plan Entretien]]&amp;".xlsm"</f>
        <v>\\stjn.local\trimet\Btechnique\Commun\Atelier Central mécanique\Plan entretien\GammeEntretien\\_.xlsm</v>
      </c>
    </row>
    <row r="548" spans="1:30" x14ac:dyDescent="0.3">
      <c r="A548" s="44" t="str">
        <f t="shared" ca="1" si="8"/>
        <v>7.MENG</v>
      </c>
      <c r="B54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48" s="47"/>
      <c r="D548" s="44"/>
      <c r="E548" s="44"/>
      <c r="F548" s="47"/>
      <c r="G548" s="47"/>
      <c r="H548" s="45"/>
      <c r="I548" s="45"/>
      <c r="J548" s="45"/>
      <c r="K548" s="45"/>
      <c r="L548" s="46"/>
      <c r="M548" s="47"/>
      <c r="N548" s="47"/>
      <c r="O548" s="47"/>
      <c r="P548" s="47"/>
      <c r="Q548" s="47"/>
      <c r="R548" s="47"/>
      <c r="S548" s="48"/>
      <c r="T548" s="68" t="str">
        <f>IF(Tableau1[[#This Row],[DMS_SAP]]="","",HYPERLINK(Tableau1[[#This Row],[Chemin fichier source]],"X"))</f>
        <v/>
      </c>
      <c r="U548" s="68" t="str">
        <f>IF(Tableau1[[#This Row],[Date rév.]]="","",HYPERLINK(Tableau1[[#This Row],[Lien document]],"X"))</f>
        <v/>
      </c>
      <c r="V548" s="47"/>
      <c r="W54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48" s="47"/>
      <c r="Y548" s="47"/>
      <c r="Z548" s="44" t="str">
        <f ca="1">IF(AND(Tableau1[[#This Row],[Charge]]&lt;&gt;0, Tableau1[[#This Row],[Nombre intervenants]]&lt;&gt;0,Tableau1[[#This Row],[Lien document]]&lt;&gt;0,Tableau1[[#This Row],[DMS_SAP]]&lt;&gt;0)=TRUE,"MIS A JOUR","")</f>
        <v/>
      </c>
      <c r="AA548" s="48"/>
      <c r="AB548" s="65" t="str">
        <f ca="1">IF(Tableau1[[#This Row],[Date rév.]]&lt;&gt;"", DAYS360(Tableau1[[#This Row],[Date rév.]],TODAY()),"")</f>
        <v/>
      </c>
      <c r="AC548" s="50" t="str">
        <f>IFERROR(INDEX(Chemin_accès!$B$11:$C$22,MATCH(Tableau1[[#This Row],[Type]],Chemin_accès!$C$11:$C$22,0),1),Chemin_accès!$B$11)</f>
        <v>\\stjn.local\trimet\Btechnique\Commun\Atelier Central mécanique\Plan entretien\Modèles préventif\GammeDMS_7.MENG.xlsm</v>
      </c>
      <c r="AD548" s="50" t="str">
        <f>Chemin_accès!$B$8&amp;Tableau1[[#This Row],[Localisation / Classement]]&amp;"\"&amp;Tableau1[[#This Row],[Poste technique ou N° d''équipement]]&amp;"_"&amp;Tableau1[[#This Row],[Plan Entretien]]&amp;".xlsm"</f>
        <v>\\stjn.local\trimet\Btechnique\Commun\Atelier Central mécanique\Plan entretien\GammeEntretien\\_.xlsm</v>
      </c>
    </row>
    <row r="549" spans="1:30" x14ac:dyDescent="0.3">
      <c r="A549" s="44" t="str">
        <f t="shared" ca="1" si="8"/>
        <v>7.MENG</v>
      </c>
      <c r="B54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49" s="47"/>
      <c r="D549" s="44"/>
      <c r="E549" s="44"/>
      <c r="F549" s="47"/>
      <c r="G549" s="47"/>
      <c r="H549" s="45"/>
      <c r="I549" s="45"/>
      <c r="J549" s="45"/>
      <c r="K549" s="45"/>
      <c r="L549" s="46"/>
      <c r="M549" s="47"/>
      <c r="N549" s="47"/>
      <c r="O549" s="47"/>
      <c r="P549" s="47"/>
      <c r="Q549" s="47"/>
      <c r="R549" s="47"/>
      <c r="S549" s="48"/>
      <c r="T549" s="68" t="str">
        <f>IF(Tableau1[[#This Row],[DMS_SAP]]="","",HYPERLINK(Tableau1[[#This Row],[Chemin fichier source]],"X"))</f>
        <v/>
      </c>
      <c r="U549" s="68" t="str">
        <f>IF(Tableau1[[#This Row],[Date rév.]]="","",HYPERLINK(Tableau1[[#This Row],[Lien document]],"X"))</f>
        <v/>
      </c>
      <c r="V549" s="47"/>
      <c r="W54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49" s="47"/>
      <c r="Y549" s="47"/>
      <c r="Z549" s="44" t="str">
        <f ca="1">IF(AND(Tableau1[[#This Row],[Charge]]&lt;&gt;0, Tableau1[[#This Row],[Nombre intervenants]]&lt;&gt;0,Tableau1[[#This Row],[Lien document]]&lt;&gt;0,Tableau1[[#This Row],[DMS_SAP]]&lt;&gt;0)=TRUE,"MIS A JOUR","")</f>
        <v/>
      </c>
      <c r="AA549" s="48"/>
      <c r="AB549" s="65" t="str">
        <f ca="1">IF(Tableau1[[#This Row],[Date rév.]]&lt;&gt;"", DAYS360(Tableau1[[#This Row],[Date rév.]],TODAY()),"")</f>
        <v/>
      </c>
      <c r="AC549" s="50" t="str">
        <f>IFERROR(INDEX(Chemin_accès!$B$11:$C$22,MATCH(Tableau1[[#This Row],[Type]],Chemin_accès!$C$11:$C$22,0),1),Chemin_accès!$B$11)</f>
        <v>\\stjn.local\trimet\Btechnique\Commun\Atelier Central mécanique\Plan entretien\Modèles préventif\GammeDMS_7.MENG.xlsm</v>
      </c>
      <c r="AD549" s="50" t="str">
        <f>Chemin_accès!$B$8&amp;Tableau1[[#This Row],[Localisation / Classement]]&amp;"\"&amp;Tableau1[[#This Row],[Poste technique ou N° d''équipement]]&amp;"_"&amp;Tableau1[[#This Row],[Plan Entretien]]&amp;".xlsm"</f>
        <v>\\stjn.local\trimet\Btechnique\Commun\Atelier Central mécanique\Plan entretien\GammeEntretien\\_.xlsm</v>
      </c>
    </row>
    <row r="550" spans="1:30" x14ac:dyDescent="0.3">
      <c r="A550" s="44" t="str">
        <f t="shared" ca="1" si="8"/>
        <v>7.MENG</v>
      </c>
      <c r="B55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50" s="47"/>
      <c r="D550" s="44"/>
      <c r="E550" s="44"/>
      <c r="F550" s="47"/>
      <c r="G550" s="47"/>
      <c r="H550" s="45"/>
      <c r="I550" s="45"/>
      <c r="J550" s="45"/>
      <c r="K550" s="45"/>
      <c r="L550" s="46"/>
      <c r="M550" s="47"/>
      <c r="N550" s="47"/>
      <c r="O550" s="47"/>
      <c r="P550" s="47"/>
      <c r="Q550" s="47"/>
      <c r="R550" s="47"/>
      <c r="S550" s="48"/>
      <c r="T550" s="68" t="str">
        <f>IF(Tableau1[[#This Row],[DMS_SAP]]="","",HYPERLINK(Tableau1[[#This Row],[Chemin fichier source]],"X"))</f>
        <v/>
      </c>
      <c r="U550" s="68" t="str">
        <f>IF(Tableau1[[#This Row],[Date rév.]]="","",HYPERLINK(Tableau1[[#This Row],[Lien document]],"X"))</f>
        <v/>
      </c>
      <c r="V550" s="47"/>
      <c r="W55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50" s="47"/>
      <c r="Y550" s="47"/>
      <c r="Z550" s="44" t="str">
        <f ca="1">IF(AND(Tableau1[[#This Row],[Charge]]&lt;&gt;0, Tableau1[[#This Row],[Nombre intervenants]]&lt;&gt;0,Tableau1[[#This Row],[Lien document]]&lt;&gt;0,Tableau1[[#This Row],[DMS_SAP]]&lt;&gt;0)=TRUE,"MIS A JOUR","")</f>
        <v/>
      </c>
      <c r="AA550" s="48"/>
      <c r="AB550" s="65" t="str">
        <f ca="1">IF(Tableau1[[#This Row],[Date rév.]]&lt;&gt;"", DAYS360(Tableau1[[#This Row],[Date rév.]],TODAY()),"")</f>
        <v/>
      </c>
      <c r="AC550" s="50" t="str">
        <f>IFERROR(INDEX(Chemin_accès!$B$11:$C$22,MATCH(Tableau1[[#This Row],[Type]],Chemin_accès!$C$11:$C$22,0),1),Chemin_accès!$B$11)</f>
        <v>\\stjn.local\trimet\Btechnique\Commun\Atelier Central mécanique\Plan entretien\Modèles préventif\GammeDMS_7.MENG.xlsm</v>
      </c>
      <c r="AD550" s="50" t="str">
        <f>Chemin_accès!$B$8&amp;Tableau1[[#This Row],[Localisation / Classement]]&amp;"\"&amp;Tableau1[[#This Row],[Poste technique ou N° d''équipement]]&amp;"_"&amp;Tableau1[[#This Row],[Plan Entretien]]&amp;".xlsm"</f>
        <v>\\stjn.local\trimet\Btechnique\Commun\Atelier Central mécanique\Plan entretien\GammeEntretien\\_.xlsm</v>
      </c>
    </row>
    <row r="551" spans="1:30" x14ac:dyDescent="0.3">
      <c r="A551" s="44" t="str">
        <f t="shared" ca="1" si="8"/>
        <v>7.MENG</v>
      </c>
      <c r="B55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51" s="47"/>
      <c r="D551" s="44"/>
      <c r="E551" s="44"/>
      <c r="F551" s="47"/>
      <c r="G551" s="47"/>
      <c r="H551" s="45"/>
      <c r="I551" s="45"/>
      <c r="J551" s="45"/>
      <c r="K551" s="45"/>
      <c r="L551" s="46"/>
      <c r="M551" s="47"/>
      <c r="N551" s="47"/>
      <c r="O551" s="47"/>
      <c r="P551" s="47"/>
      <c r="Q551" s="47"/>
      <c r="R551" s="47"/>
      <c r="S551" s="48"/>
      <c r="T551" s="68" t="str">
        <f>IF(Tableau1[[#This Row],[DMS_SAP]]="","",HYPERLINK(Tableau1[[#This Row],[Chemin fichier source]],"X"))</f>
        <v/>
      </c>
      <c r="U551" s="68" t="str">
        <f>IF(Tableau1[[#This Row],[Date rév.]]="","",HYPERLINK(Tableau1[[#This Row],[Lien document]],"X"))</f>
        <v/>
      </c>
      <c r="V551" s="47"/>
      <c r="W55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51" s="47"/>
      <c r="Y551" s="47"/>
      <c r="Z551" s="44" t="str">
        <f ca="1">IF(AND(Tableau1[[#This Row],[Charge]]&lt;&gt;0, Tableau1[[#This Row],[Nombre intervenants]]&lt;&gt;0,Tableau1[[#This Row],[Lien document]]&lt;&gt;0,Tableau1[[#This Row],[DMS_SAP]]&lt;&gt;0)=TRUE,"MIS A JOUR","")</f>
        <v/>
      </c>
      <c r="AA551" s="48"/>
      <c r="AB551" s="65" t="str">
        <f ca="1">IF(Tableau1[[#This Row],[Date rév.]]&lt;&gt;"", DAYS360(Tableau1[[#This Row],[Date rév.]],TODAY()),"")</f>
        <v/>
      </c>
      <c r="AC551" s="50" t="str">
        <f>IFERROR(INDEX(Chemin_accès!$B$11:$C$22,MATCH(Tableau1[[#This Row],[Type]],Chemin_accès!$C$11:$C$22,0),1),Chemin_accès!$B$11)</f>
        <v>\\stjn.local\trimet\Btechnique\Commun\Atelier Central mécanique\Plan entretien\Modèles préventif\GammeDMS_7.MENG.xlsm</v>
      </c>
      <c r="AD551" s="50" t="str">
        <f>Chemin_accès!$B$8&amp;Tableau1[[#This Row],[Localisation / Classement]]&amp;"\"&amp;Tableau1[[#This Row],[Poste technique ou N° d''équipement]]&amp;"_"&amp;Tableau1[[#This Row],[Plan Entretien]]&amp;".xlsm"</f>
        <v>\\stjn.local\trimet\Btechnique\Commun\Atelier Central mécanique\Plan entretien\GammeEntretien\\_.xlsm</v>
      </c>
    </row>
    <row r="552" spans="1:30" x14ac:dyDescent="0.3">
      <c r="A552" s="44" t="str">
        <f t="shared" ca="1" si="8"/>
        <v>7.MENG</v>
      </c>
      <c r="B55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52" s="47"/>
      <c r="D552" s="44"/>
      <c r="E552" s="44"/>
      <c r="F552" s="47"/>
      <c r="G552" s="47"/>
      <c r="H552" s="45"/>
      <c r="I552" s="45"/>
      <c r="J552" s="45"/>
      <c r="K552" s="45"/>
      <c r="L552" s="46"/>
      <c r="M552" s="47"/>
      <c r="N552" s="47"/>
      <c r="O552" s="47"/>
      <c r="P552" s="47"/>
      <c r="Q552" s="47"/>
      <c r="R552" s="47"/>
      <c r="S552" s="48"/>
      <c r="T552" s="68" t="str">
        <f>IF(Tableau1[[#This Row],[DMS_SAP]]="","",HYPERLINK(Tableau1[[#This Row],[Chemin fichier source]],"X"))</f>
        <v/>
      </c>
      <c r="U552" s="68" t="str">
        <f>IF(Tableau1[[#This Row],[Date rév.]]="","",HYPERLINK(Tableau1[[#This Row],[Lien document]],"X"))</f>
        <v/>
      </c>
      <c r="V552" s="47"/>
      <c r="W55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52" s="47"/>
      <c r="Y552" s="47"/>
      <c r="Z552" s="44" t="str">
        <f ca="1">IF(AND(Tableau1[[#This Row],[Charge]]&lt;&gt;0, Tableau1[[#This Row],[Nombre intervenants]]&lt;&gt;0,Tableau1[[#This Row],[Lien document]]&lt;&gt;0,Tableau1[[#This Row],[DMS_SAP]]&lt;&gt;0)=TRUE,"MIS A JOUR","")</f>
        <v/>
      </c>
      <c r="AA552" s="48"/>
      <c r="AB552" s="65" t="str">
        <f ca="1">IF(Tableau1[[#This Row],[Date rév.]]&lt;&gt;"", DAYS360(Tableau1[[#This Row],[Date rév.]],TODAY()),"")</f>
        <v/>
      </c>
      <c r="AC552" s="50" t="str">
        <f>IFERROR(INDEX(Chemin_accès!$B$11:$C$22,MATCH(Tableau1[[#This Row],[Type]],Chemin_accès!$C$11:$C$22,0),1),Chemin_accès!$B$11)</f>
        <v>\\stjn.local\trimet\Btechnique\Commun\Atelier Central mécanique\Plan entretien\Modèles préventif\GammeDMS_7.MENG.xlsm</v>
      </c>
      <c r="AD552" s="50" t="str">
        <f>Chemin_accès!$B$8&amp;Tableau1[[#This Row],[Localisation / Classement]]&amp;"\"&amp;Tableau1[[#This Row],[Poste technique ou N° d''équipement]]&amp;"_"&amp;Tableau1[[#This Row],[Plan Entretien]]&amp;".xlsm"</f>
        <v>\\stjn.local\trimet\Btechnique\Commun\Atelier Central mécanique\Plan entretien\GammeEntretien\\_.xlsm</v>
      </c>
    </row>
    <row r="553" spans="1:30" x14ac:dyDescent="0.3">
      <c r="A553" s="44" t="str">
        <f t="shared" ca="1" si="8"/>
        <v>7.MENG</v>
      </c>
      <c r="B55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53" s="47"/>
      <c r="D553" s="44"/>
      <c r="E553" s="44"/>
      <c r="F553" s="47"/>
      <c r="G553" s="47"/>
      <c r="H553" s="45"/>
      <c r="I553" s="45"/>
      <c r="J553" s="45"/>
      <c r="K553" s="45"/>
      <c r="L553" s="46"/>
      <c r="M553" s="47"/>
      <c r="N553" s="47"/>
      <c r="O553" s="47"/>
      <c r="P553" s="47"/>
      <c r="Q553" s="47"/>
      <c r="R553" s="47"/>
      <c r="S553" s="48"/>
      <c r="T553" s="68" t="str">
        <f>IF(Tableau1[[#This Row],[DMS_SAP]]="","",HYPERLINK(Tableau1[[#This Row],[Chemin fichier source]],"X"))</f>
        <v/>
      </c>
      <c r="U553" s="68" t="str">
        <f>IF(Tableau1[[#This Row],[Date rév.]]="","",HYPERLINK(Tableau1[[#This Row],[Lien document]],"X"))</f>
        <v/>
      </c>
      <c r="V553" s="47"/>
      <c r="W55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53" s="47"/>
      <c r="Y553" s="47"/>
      <c r="Z553" s="44" t="str">
        <f ca="1">IF(AND(Tableau1[[#This Row],[Charge]]&lt;&gt;0, Tableau1[[#This Row],[Nombre intervenants]]&lt;&gt;0,Tableau1[[#This Row],[Lien document]]&lt;&gt;0,Tableau1[[#This Row],[DMS_SAP]]&lt;&gt;0)=TRUE,"MIS A JOUR","")</f>
        <v/>
      </c>
      <c r="AA553" s="48"/>
      <c r="AB553" s="65" t="str">
        <f ca="1">IF(Tableau1[[#This Row],[Date rév.]]&lt;&gt;"", DAYS360(Tableau1[[#This Row],[Date rév.]],TODAY()),"")</f>
        <v/>
      </c>
      <c r="AC553" s="50" t="str">
        <f>IFERROR(INDEX(Chemin_accès!$B$11:$C$22,MATCH(Tableau1[[#This Row],[Type]],Chemin_accès!$C$11:$C$22,0),1),Chemin_accès!$B$11)</f>
        <v>\\stjn.local\trimet\Btechnique\Commun\Atelier Central mécanique\Plan entretien\Modèles préventif\GammeDMS_7.MENG.xlsm</v>
      </c>
      <c r="AD553" s="50" t="str">
        <f>Chemin_accès!$B$8&amp;Tableau1[[#This Row],[Localisation / Classement]]&amp;"\"&amp;Tableau1[[#This Row],[Poste technique ou N° d''équipement]]&amp;"_"&amp;Tableau1[[#This Row],[Plan Entretien]]&amp;".xlsm"</f>
        <v>\\stjn.local\trimet\Btechnique\Commun\Atelier Central mécanique\Plan entretien\GammeEntretien\\_.xlsm</v>
      </c>
    </row>
    <row r="554" spans="1:30" x14ac:dyDescent="0.3">
      <c r="A554" s="44" t="str">
        <f t="shared" ca="1" si="8"/>
        <v>7.MENG</v>
      </c>
      <c r="B55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54" s="47"/>
      <c r="D554" s="44"/>
      <c r="E554" s="44"/>
      <c r="F554" s="47"/>
      <c r="G554" s="47"/>
      <c r="H554" s="45"/>
      <c r="I554" s="45"/>
      <c r="J554" s="45"/>
      <c r="K554" s="45"/>
      <c r="L554" s="46"/>
      <c r="M554" s="47"/>
      <c r="N554" s="47"/>
      <c r="O554" s="47"/>
      <c r="P554" s="47"/>
      <c r="Q554" s="47"/>
      <c r="R554" s="47"/>
      <c r="S554" s="48"/>
      <c r="T554" s="68" t="str">
        <f>IF(Tableau1[[#This Row],[DMS_SAP]]="","",HYPERLINK(Tableau1[[#This Row],[Chemin fichier source]],"X"))</f>
        <v/>
      </c>
      <c r="U554" s="68" t="str">
        <f>IF(Tableau1[[#This Row],[Date rév.]]="","",HYPERLINK(Tableau1[[#This Row],[Lien document]],"X"))</f>
        <v/>
      </c>
      <c r="V554" s="47"/>
      <c r="W55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54" s="47"/>
      <c r="Y554" s="47"/>
      <c r="Z554" s="44" t="str">
        <f ca="1">IF(AND(Tableau1[[#This Row],[Charge]]&lt;&gt;0, Tableau1[[#This Row],[Nombre intervenants]]&lt;&gt;0,Tableau1[[#This Row],[Lien document]]&lt;&gt;0,Tableau1[[#This Row],[DMS_SAP]]&lt;&gt;0)=TRUE,"MIS A JOUR","")</f>
        <v/>
      </c>
      <c r="AA554" s="48"/>
      <c r="AB554" s="65" t="str">
        <f ca="1">IF(Tableau1[[#This Row],[Date rév.]]&lt;&gt;"", DAYS360(Tableau1[[#This Row],[Date rév.]],TODAY()),"")</f>
        <v/>
      </c>
      <c r="AC554" s="50" t="str">
        <f>IFERROR(INDEX(Chemin_accès!$B$11:$C$22,MATCH(Tableau1[[#This Row],[Type]],Chemin_accès!$C$11:$C$22,0),1),Chemin_accès!$B$11)</f>
        <v>\\stjn.local\trimet\Btechnique\Commun\Atelier Central mécanique\Plan entretien\Modèles préventif\GammeDMS_7.MENG.xlsm</v>
      </c>
      <c r="AD554" s="50" t="str">
        <f>Chemin_accès!$B$8&amp;Tableau1[[#This Row],[Localisation / Classement]]&amp;"\"&amp;Tableau1[[#This Row],[Poste technique ou N° d''équipement]]&amp;"_"&amp;Tableau1[[#This Row],[Plan Entretien]]&amp;".xlsm"</f>
        <v>\\stjn.local\trimet\Btechnique\Commun\Atelier Central mécanique\Plan entretien\GammeEntretien\\_.xlsm</v>
      </c>
    </row>
    <row r="555" spans="1:30" x14ac:dyDescent="0.3">
      <c r="A555" s="44" t="str">
        <f t="shared" ca="1" si="8"/>
        <v>7.MENG</v>
      </c>
      <c r="B55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55" s="47"/>
      <c r="D555" s="44"/>
      <c r="E555" s="44"/>
      <c r="F555" s="47"/>
      <c r="G555" s="47"/>
      <c r="H555" s="45"/>
      <c r="I555" s="45"/>
      <c r="J555" s="45"/>
      <c r="K555" s="45"/>
      <c r="L555" s="46"/>
      <c r="M555" s="47"/>
      <c r="N555" s="47"/>
      <c r="O555" s="47"/>
      <c r="P555" s="47"/>
      <c r="Q555" s="47"/>
      <c r="R555" s="47"/>
      <c r="S555" s="48"/>
      <c r="T555" s="68" t="str">
        <f>IF(Tableau1[[#This Row],[DMS_SAP]]="","",HYPERLINK(Tableau1[[#This Row],[Chemin fichier source]],"X"))</f>
        <v/>
      </c>
      <c r="U555" s="68" t="str">
        <f>IF(Tableau1[[#This Row],[Date rév.]]="","",HYPERLINK(Tableau1[[#This Row],[Lien document]],"X"))</f>
        <v/>
      </c>
      <c r="V555" s="47"/>
      <c r="W55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55" s="47"/>
      <c r="Y555" s="47"/>
      <c r="Z555" s="44" t="str">
        <f ca="1">IF(AND(Tableau1[[#This Row],[Charge]]&lt;&gt;0, Tableau1[[#This Row],[Nombre intervenants]]&lt;&gt;0,Tableau1[[#This Row],[Lien document]]&lt;&gt;0,Tableau1[[#This Row],[DMS_SAP]]&lt;&gt;0)=TRUE,"MIS A JOUR","")</f>
        <v/>
      </c>
      <c r="AA555" s="48"/>
      <c r="AB555" s="65" t="str">
        <f ca="1">IF(Tableau1[[#This Row],[Date rév.]]&lt;&gt;"", DAYS360(Tableau1[[#This Row],[Date rév.]],TODAY()),"")</f>
        <v/>
      </c>
      <c r="AC555" s="50" t="str">
        <f>IFERROR(INDEX(Chemin_accès!$B$11:$C$22,MATCH(Tableau1[[#This Row],[Type]],Chemin_accès!$C$11:$C$22,0),1),Chemin_accès!$B$11)</f>
        <v>\\stjn.local\trimet\Btechnique\Commun\Atelier Central mécanique\Plan entretien\Modèles préventif\GammeDMS_7.MENG.xlsm</v>
      </c>
      <c r="AD555" s="50" t="str">
        <f>Chemin_accès!$B$8&amp;Tableau1[[#This Row],[Localisation / Classement]]&amp;"\"&amp;Tableau1[[#This Row],[Poste technique ou N° d''équipement]]&amp;"_"&amp;Tableau1[[#This Row],[Plan Entretien]]&amp;".xlsm"</f>
        <v>\\stjn.local\trimet\Btechnique\Commun\Atelier Central mécanique\Plan entretien\GammeEntretien\\_.xlsm</v>
      </c>
    </row>
    <row r="556" spans="1:30" x14ac:dyDescent="0.3">
      <c r="A556" s="44" t="str">
        <f t="shared" ca="1" si="8"/>
        <v>7.MENG</v>
      </c>
      <c r="B55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56" s="47"/>
      <c r="D556" s="44"/>
      <c r="E556" s="44"/>
      <c r="F556" s="47"/>
      <c r="G556" s="47"/>
      <c r="H556" s="45"/>
      <c r="I556" s="45"/>
      <c r="J556" s="45"/>
      <c r="K556" s="45"/>
      <c r="L556" s="46"/>
      <c r="M556" s="47"/>
      <c r="N556" s="47"/>
      <c r="O556" s="47"/>
      <c r="P556" s="47"/>
      <c r="Q556" s="47"/>
      <c r="R556" s="47"/>
      <c r="S556" s="48"/>
      <c r="T556" s="68" t="str">
        <f>IF(Tableau1[[#This Row],[DMS_SAP]]="","",HYPERLINK(Tableau1[[#This Row],[Chemin fichier source]],"X"))</f>
        <v/>
      </c>
      <c r="U556" s="68" t="str">
        <f>IF(Tableau1[[#This Row],[Date rév.]]="","",HYPERLINK(Tableau1[[#This Row],[Lien document]],"X"))</f>
        <v/>
      </c>
      <c r="V556" s="47"/>
      <c r="W55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56" s="47"/>
      <c r="Y556" s="47"/>
      <c r="Z556" s="44" t="str">
        <f ca="1">IF(AND(Tableau1[[#This Row],[Charge]]&lt;&gt;0, Tableau1[[#This Row],[Nombre intervenants]]&lt;&gt;0,Tableau1[[#This Row],[Lien document]]&lt;&gt;0,Tableau1[[#This Row],[DMS_SAP]]&lt;&gt;0)=TRUE,"MIS A JOUR","")</f>
        <v/>
      </c>
      <c r="AA556" s="48"/>
      <c r="AB556" s="65" t="str">
        <f ca="1">IF(Tableau1[[#This Row],[Date rév.]]&lt;&gt;"", DAYS360(Tableau1[[#This Row],[Date rév.]],TODAY()),"")</f>
        <v/>
      </c>
      <c r="AC556" s="50" t="str">
        <f>IFERROR(INDEX(Chemin_accès!$B$11:$C$22,MATCH(Tableau1[[#This Row],[Type]],Chemin_accès!$C$11:$C$22,0),1),Chemin_accès!$B$11)</f>
        <v>\\stjn.local\trimet\Btechnique\Commun\Atelier Central mécanique\Plan entretien\Modèles préventif\GammeDMS_7.MENG.xlsm</v>
      </c>
      <c r="AD556" s="50" t="str">
        <f>Chemin_accès!$B$8&amp;Tableau1[[#This Row],[Localisation / Classement]]&amp;"\"&amp;Tableau1[[#This Row],[Poste technique ou N° d''équipement]]&amp;"_"&amp;Tableau1[[#This Row],[Plan Entretien]]&amp;".xlsm"</f>
        <v>\\stjn.local\trimet\Btechnique\Commun\Atelier Central mécanique\Plan entretien\GammeEntretien\\_.xlsm</v>
      </c>
    </row>
    <row r="557" spans="1:30" x14ac:dyDescent="0.3">
      <c r="A557" s="44" t="str">
        <f t="shared" ca="1" si="8"/>
        <v>7.MENG</v>
      </c>
      <c r="B55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57" s="47"/>
      <c r="D557" s="44"/>
      <c r="E557" s="44"/>
      <c r="F557" s="47"/>
      <c r="G557" s="47"/>
      <c r="H557" s="45"/>
      <c r="I557" s="45"/>
      <c r="J557" s="45"/>
      <c r="K557" s="45"/>
      <c r="L557" s="46"/>
      <c r="M557" s="47"/>
      <c r="N557" s="47"/>
      <c r="O557" s="47"/>
      <c r="P557" s="47"/>
      <c r="Q557" s="47"/>
      <c r="R557" s="47"/>
      <c r="S557" s="48"/>
      <c r="T557" s="68" t="str">
        <f>IF(Tableau1[[#This Row],[DMS_SAP]]="","",HYPERLINK(Tableau1[[#This Row],[Chemin fichier source]],"X"))</f>
        <v/>
      </c>
      <c r="U557" s="68" t="str">
        <f>IF(Tableau1[[#This Row],[Date rév.]]="","",HYPERLINK(Tableau1[[#This Row],[Lien document]],"X"))</f>
        <v/>
      </c>
      <c r="V557" s="47"/>
      <c r="W55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57" s="47"/>
      <c r="Y557" s="47"/>
      <c r="Z557" s="44" t="str">
        <f ca="1">IF(AND(Tableau1[[#This Row],[Charge]]&lt;&gt;0, Tableau1[[#This Row],[Nombre intervenants]]&lt;&gt;0,Tableau1[[#This Row],[Lien document]]&lt;&gt;0,Tableau1[[#This Row],[DMS_SAP]]&lt;&gt;0)=TRUE,"MIS A JOUR","")</f>
        <v/>
      </c>
      <c r="AA557" s="48"/>
      <c r="AB557" s="65" t="str">
        <f ca="1">IF(Tableau1[[#This Row],[Date rév.]]&lt;&gt;"", DAYS360(Tableau1[[#This Row],[Date rév.]],TODAY()),"")</f>
        <v/>
      </c>
      <c r="AC557" s="50" t="str">
        <f>IFERROR(INDEX(Chemin_accès!$B$11:$C$22,MATCH(Tableau1[[#This Row],[Type]],Chemin_accès!$C$11:$C$22,0),1),Chemin_accès!$B$11)</f>
        <v>\\stjn.local\trimet\Btechnique\Commun\Atelier Central mécanique\Plan entretien\Modèles préventif\GammeDMS_7.MENG.xlsm</v>
      </c>
      <c r="AD557" s="50" t="str">
        <f>Chemin_accès!$B$8&amp;Tableau1[[#This Row],[Localisation / Classement]]&amp;"\"&amp;Tableau1[[#This Row],[Poste technique ou N° d''équipement]]&amp;"_"&amp;Tableau1[[#This Row],[Plan Entretien]]&amp;".xlsm"</f>
        <v>\\stjn.local\trimet\Btechnique\Commun\Atelier Central mécanique\Plan entretien\GammeEntretien\\_.xlsm</v>
      </c>
    </row>
    <row r="558" spans="1:30" x14ac:dyDescent="0.3">
      <c r="A558" s="44" t="str">
        <f t="shared" ca="1" si="8"/>
        <v>7.MENG</v>
      </c>
      <c r="B55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58" s="47"/>
      <c r="D558" s="44"/>
      <c r="E558" s="44"/>
      <c r="F558" s="47"/>
      <c r="G558" s="47"/>
      <c r="H558" s="45"/>
      <c r="I558" s="45"/>
      <c r="J558" s="45"/>
      <c r="K558" s="45"/>
      <c r="L558" s="46"/>
      <c r="M558" s="47"/>
      <c r="N558" s="47"/>
      <c r="O558" s="47"/>
      <c r="P558" s="47"/>
      <c r="Q558" s="47"/>
      <c r="R558" s="47"/>
      <c r="S558" s="48"/>
      <c r="T558" s="68" t="str">
        <f>IF(Tableau1[[#This Row],[DMS_SAP]]="","",HYPERLINK(Tableau1[[#This Row],[Chemin fichier source]],"X"))</f>
        <v/>
      </c>
      <c r="U558" s="68" t="str">
        <f>IF(Tableau1[[#This Row],[Date rév.]]="","",HYPERLINK(Tableau1[[#This Row],[Lien document]],"X"))</f>
        <v/>
      </c>
      <c r="V558" s="47"/>
      <c r="W55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58" s="47"/>
      <c r="Y558" s="47"/>
      <c r="Z558" s="44" t="str">
        <f ca="1">IF(AND(Tableau1[[#This Row],[Charge]]&lt;&gt;0, Tableau1[[#This Row],[Nombre intervenants]]&lt;&gt;0,Tableau1[[#This Row],[Lien document]]&lt;&gt;0,Tableau1[[#This Row],[DMS_SAP]]&lt;&gt;0)=TRUE,"MIS A JOUR","")</f>
        <v/>
      </c>
      <c r="AA558" s="48"/>
      <c r="AB558" s="65" t="str">
        <f ca="1">IF(Tableau1[[#This Row],[Date rév.]]&lt;&gt;"", DAYS360(Tableau1[[#This Row],[Date rév.]],TODAY()),"")</f>
        <v/>
      </c>
      <c r="AC558" s="50" t="str">
        <f>IFERROR(INDEX(Chemin_accès!$B$11:$C$22,MATCH(Tableau1[[#This Row],[Type]],Chemin_accès!$C$11:$C$22,0),1),Chemin_accès!$B$11)</f>
        <v>\\stjn.local\trimet\Btechnique\Commun\Atelier Central mécanique\Plan entretien\Modèles préventif\GammeDMS_7.MENG.xlsm</v>
      </c>
      <c r="AD558" s="50" t="str">
        <f>Chemin_accès!$B$8&amp;Tableau1[[#This Row],[Localisation / Classement]]&amp;"\"&amp;Tableau1[[#This Row],[Poste technique ou N° d''équipement]]&amp;"_"&amp;Tableau1[[#This Row],[Plan Entretien]]&amp;".xlsm"</f>
        <v>\\stjn.local\trimet\Btechnique\Commun\Atelier Central mécanique\Plan entretien\GammeEntretien\\_.xlsm</v>
      </c>
    </row>
    <row r="559" spans="1:30" x14ac:dyDescent="0.3">
      <c r="A559" s="44" t="str">
        <f t="shared" ca="1" si="8"/>
        <v>7.MENG</v>
      </c>
      <c r="B55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59" s="47"/>
      <c r="D559" s="44"/>
      <c r="E559" s="44"/>
      <c r="F559" s="47"/>
      <c r="G559" s="47"/>
      <c r="H559" s="45"/>
      <c r="I559" s="45"/>
      <c r="J559" s="45"/>
      <c r="K559" s="45"/>
      <c r="L559" s="46"/>
      <c r="M559" s="47"/>
      <c r="N559" s="47"/>
      <c r="O559" s="47"/>
      <c r="P559" s="47"/>
      <c r="Q559" s="47"/>
      <c r="R559" s="47"/>
      <c r="S559" s="48"/>
      <c r="T559" s="68" t="str">
        <f>IF(Tableau1[[#This Row],[DMS_SAP]]="","",HYPERLINK(Tableau1[[#This Row],[Chemin fichier source]],"X"))</f>
        <v/>
      </c>
      <c r="U559" s="68" t="str">
        <f>IF(Tableau1[[#This Row],[Date rév.]]="","",HYPERLINK(Tableau1[[#This Row],[Lien document]],"X"))</f>
        <v/>
      </c>
      <c r="V559" s="47"/>
      <c r="W55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59" s="47"/>
      <c r="Y559" s="47"/>
      <c r="Z559" s="44" t="str">
        <f ca="1">IF(AND(Tableau1[[#This Row],[Charge]]&lt;&gt;0, Tableau1[[#This Row],[Nombre intervenants]]&lt;&gt;0,Tableau1[[#This Row],[Lien document]]&lt;&gt;0,Tableau1[[#This Row],[DMS_SAP]]&lt;&gt;0)=TRUE,"MIS A JOUR","")</f>
        <v/>
      </c>
      <c r="AA559" s="48"/>
      <c r="AB559" s="65" t="str">
        <f ca="1">IF(Tableau1[[#This Row],[Date rév.]]&lt;&gt;"", DAYS360(Tableau1[[#This Row],[Date rév.]],TODAY()),"")</f>
        <v/>
      </c>
      <c r="AC559" s="50" t="str">
        <f>IFERROR(INDEX(Chemin_accès!$B$11:$C$22,MATCH(Tableau1[[#This Row],[Type]],Chemin_accès!$C$11:$C$22,0),1),Chemin_accès!$B$11)</f>
        <v>\\stjn.local\trimet\Btechnique\Commun\Atelier Central mécanique\Plan entretien\Modèles préventif\GammeDMS_7.MENG.xlsm</v>
      </c>
      <c r="AD559" s="50" t="str">
        <f>Chemin_accès!$B$8&amp;Tableau1[[#This Row],[Localisation / Classement]]&amp;"\"&amp;Tableau1[[#This Row],[Poste technique ou N° d''équipement]]&amp;"_"&amp;Tableau1[[#This Row],[Plan Entretien]]&amp;".xlsm"</f>
        <v>\\stjn.local\trimet\Btechnique\Commun\Atelier Central mécanique\Plan entretien\GammeEntretien\\_.xlsm</v>
      </c>
    </row>
    <row r="560" spans="1:30" x14ac:dyDescent="0.3">
      <c r="A560" s="44" t="str">
        <f t="shared" ca="1" si="8"/>
        <v>7.MENG</v>
      </c>
      <c r="B56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60" s="47"/>
      <c r="D560" s="44"/>
      <c r="E560" s="44"/>
      <c r="F560" s="47"/>
      <c r="G560" s="47"/>
      <c r="H560" s="45"/>
      <c r="I560" s="45"/>
      <c r="J560" s="45"/>
      <c r="K560" s="45"/>
      <c r="L560" s="46"/>
      <c r="M560" s="47"/>
      <c r="N560" s="47"/>
      <c r="O560" s="47"/>
      <c r="P560" s="47"/>
      <c r="Q560" s="47"/>
      <c r="R560" s="47"/>
      <c r="S560" s="48"/>
      <c r="T560" s="68" t="str">
        <f>IF(Tableau1[[#This Row],[DMS_SAP]]="","",HYPERLINK(Tableau1[[#This Row],[Chemin fichier source]],"X"))</f>
        <v/>
      </c>
      <c r="U560" s="68" t="str">
        <f>IF(Tableau1[[#This Row],[Date rév.]]="","",HYPERLINK(Tableau1[[#This Row],[Lien document]],"X"))</f>
        <v/>
      </c>
      <c r="V560" s="47"/>
      <c r="W56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60" s="47"/>
      <c r="Y560" s="47"/>
      <c r="Z560" s="44" t="str">
        <f ca="1">IF(AND(Tableau1[[#This Row],[Charge]]&lt;&gt;0, Tableau1[[#This Row],[Nombre intervenants]]&lt;&gt;0,Tableau1[[#This Row],[Lien document]]&lt;&gt;0,Tableau1[[#This Row],[DMS_SAP]]&lt;&gt;0)=TRUE,"MIS A JOUR","")</f>
        <v/>
      </c>
      <c r="AA560" s="48"/>
      <c r="AB560" s="65" t="str">
        <f ca="1">IF(Tableau1[[#This Row],[Date rév.]]&lt;&gt;"", DAYS360(Tableau1[[#This Row],[Date rév.]],TODAY()),"")</f>
        <v/>
      </c>
      <c r="AC560" s="50" t="str">
        <f>IFERROR(INDEX(Chemin_accès!$B$11:$C$22,MATCH(Tableau1[[#This Row],[Type]],Chemin_accès!$C$11:$C$22,0),1),Chemin_accès!$B$11)</f>
        <v>\\stjn.local\trimet\Btechnique\Commun\Atelier Central mécanique\Plan entretien\Modèles préventif\GammeDMS_7.MENG.xlsm</v>
      </c>
      <c r="AD560" s="50" t="str">
        <f>Chemin_accès!$B$8&amp;Tableau1[[#This Row],[Localisation / Classement]]&amp;"\"&amp;Tableau1[[#This Row],[Poste technique ou N° d''équipement]]&amp;"_"&amp;Tableau1[[#This Row],[Plan Entretien]]&amp;".xlsm"</f>
        <v>\\stjn.local\trimet\Btechnique\Commun\Atelier Central mécanique\Plan entretien\GammeEntretien\\_.xlsm</v>
      </c>
    </row>
    <row r="561" spans="1:30" x14ac:dyDescent="0.3">
      <c r="A561" s="44" t="str">
        <f t="shared" ca="1" si="8"/>
        <v>7.MENG</v>
      </c>
      <c r="B56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61" s="47"/>
      <c r="D561" s="44"/>
      <c r="E561" s="44"/>
      <c r="F561" s="47"/>
      <c r="G561" s="47"/>
      <c r="H561" s="45"/>
      <c r="I561" s="45"/>
      <c r="J561" s="45"/>
      <c r="K561" s="45"/>
      <c r="L561" s="46"/>
      <c r="M561" s="47"/>
      <c r="N561" s="47"/>
      <c r="O561" s="47"/>
      <c r="P561" s="47"/>
      <c r="Q561" s="47"/>
      <c r="R561" s="47"/>
      <c r="S561" s="48"/>
      <c r="T561" s="68" t="str">
        <f>IF(Tableau1[[#This Row],[DMS_SAP]]="","",HYPERLINK(Tableau1[[#This Row],[Chemin fichier source]],"X"))</f>
        <v/>
      </c>
      <c r="U561" s="68" t="str">
        <f>IF(Tableau1[[#This Row],[Date rév.]]="","",HYPERLINK(Tableau1[[#This Row],[Lien document]],"X"))</f>
        <v/>
      </c>
      <c r="V561" s="47"/>
      <c r="W56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61" s="47"/>
      <c r="Y561" s="47"/>
      <c r="Z561" s="44" t="str">
        <f ca="1">IF(AND(Tableau1[[#This Row],[Charge]]&lt;&gt;0, Tableau1[[#This Row],[Nombre intervenants]]&lt;&gt;0,Tableau1[[#This Row],[Lien document]]&lt;&gt;0,Tableau1[[#This Row],[DMS_SAP]]&lt;&gt;0)=TRUE,"MIS A JOUR","")</f>
        <v/>
      </c>
      <c r="AA561" s="48"/>
      <c r="AB561" s="65" t="str">
        <f ca="1">IF(Tableau1[[#This Row],[Date rév.]]&lt;&gt;"", DAYS360(Tableau1[[#This Row],[Date rév.]],TODAY()),"")</f>
        <v/>
      </c>
      <c r="AC561" s="50" t="str">
        <f>IFERROR(INDEX(Chemin_accès!$B$11:$C$22,MATCH(Tableau1[[#This Row],[Type]],Chemin_accès!$C$11:$C$22,0),1),Chemin_accès!$B$11)</f>
        <v>\\stjn.local\trimet\Btechnique\Commun\Atelier Central mécanique\Plan entretien\Modèles préventif\GammeDMS_7.MENG.xlsm</v>
      </c>
      <c r="AD561" s="50" t="str">
        <f>Chemin_accès!$B$8&amp;Tableau1[[#This Row],[Localisation / Classement]]&amp;"\"&amp;Tableau1[[#This Row],[Poste technique ou N° d''équipement]]&amp;"_"&amp;Tableau1[[#This Row],[Plan Entretien]]&amp;".xlsm"</f>
        <v>\\stjn.local\trimet\Btechnique\Commun\Atelier Central mécanique\Plan entretien\GammeEntretien\\_.xlsm</v>
      </c>
    </row>
    <row r="562" spans="1:30" x14ac:dyDescent="0.3">
      <c r="A562" s="44" t="str">
        <f t="shared" ca="1" si="8"/>
        <v>7.MENG</v>
      </c>
      <c r="B56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62" s="47"/>
      <c r="D562" s="44"/>
      <c r="E562" s="44"/>
      <c r="F562" s="47"/>
      <c r="G562" s="47"/>
      <c r="H562" s="45"/>
      <c r="I562" s="45"/>
      <c r="J562" s="45"/>
      <c r="K562" s="45"/>
      <c r="L562" s="46"/>
      <c r="M562" s="47"/>
      <c r="N562" s="47"/>
      <c r="O562" s="47"/>
      <c r="P562" s="47"/>
      <c r="Q562" s="47"/>
      <c r="R562" s="47"/>
      <c r="S562" s="48"/>
      <c r="T562" s="68" t="str">
        <f>IF(Tableau1[[#This Row],[DMS_SAP]]="","",HYPERLINK(Tableau1[[#This Row],[Chemin fichier source]],"X"))</f>
        <v/>
      </c>
      <c r="U562" s="68" t="str">
        <f>IF(Tableau1[[#This Row],[Date rév.]]="","",HYPERLINK(Tableau1[[#This Row],[Lien document]],"X"))</f>
        <v/>
      </c>
      <c r="V562" s="47"/>
      <c r="W56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62" s="47"/>
      <c r="Y562" s="47"/>
      <c r="Z562" s="44" t="str">
        <f ca="1">IF(AND(Tableau1[[#This Row],[Charge]]&lt;&gt;0, Tableau1[[#This Row],[Nombre intervenants]]&lt;&gt;0,Tableau1[[#This Row],[Lien document]]&lt;&gt;0,Tableau1[[#This Row],[DMS_SAP]]&lt;&gt;0)=TRUE,"MIS A JOUR","")</f>
        <v/>
      </c>
      <c r="AA562" s="48"/>
      <c r="AB562" s="65" t="str">
        <f ca="1">IF(Tableau1[[#This Row],[Date rév.]]&lt;&gt;"", DAYS360(Tableau1[[#This Row],[Date rév.]],TODAY()),"")</f>
        <v/>
      </c>
      <c r="AC562" s="50" t="str">
        <f>IFERROR(INDEX(Chemin_accès!$B$11:$C$22,MATCH(Tableau1[[#This Row],[Type]],Chemin_accès!$C$11:$C$22,0),1),Chemin_accès!$B$11)</f>
        <v>\\stjn.local\trimet\Btechnique\Commun\Atelier Central mécanique\Plan entretien\Modèles préventif\GammeDMS_7.MENG.xlsm</v>
      </c>
      <c r="AD562" s="50" t="str">
        <f>Chemin_accès!$B$8&amp;Tableau1[[#This Row],[Localisation / Classement]]&amp;"\"&amp;Tableau1[[#This Row],[Poste technique ou N° d''équipement]]&amp;"_"&amp;Tableau1[[#This Row],[Plan Entretien]]&amp;".xlsm"</f>
        <v>\\stjn.local\trimet\Btechnique\Commun\Atelier Central mécanique\Plan entretien\GammeEntretien\\_.xlsm</v>
      </c>
    </row>
    <row r="563" spans="1:30" x14ac:dyDescent="0.3">
      <c r="A563" s="44" t="str">
        <f t="shared" ca="1" si="8"/>
        <v>7.MENG</v>
      </c>
      <c r="B56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63" s="47"/>
      <c r="D563" s="44"/>
      <c r="E563" s="44"/>
      <c r="F563" s="47"/>
      <c r="G563" s="47"/>
      <c r="H563" s="45"/>
      <c r="I563" s="45"/>
      <c r="J563" s="45"/>
      <c r="K563" s="45"/>
      <c r="L563" s="46"/>
      <c r="M563" s="47"/>
      <c r="N563" s="47"/>
      <c r="O563" s="47"/>
      <c r="P563" s="47"/>
      <c r="Q563" s="47"/>
      <c r="R563" s="47"/>
      <c r="S563" s="48"/>
      <c r="T563" s="68" t="str">
        <f>IF(Tableau1[[#This Row],[DMS_SAP]]="","",HYPERLINK(Tableau1[[#This Row],[Chemin fichier source]],"X"))</f>
        <v/>
      </c>
      <c r="U563" s="68" t="str">
        <f>IF(Tableau1[[#This Row],[Date rév.]]="","",HYPERLINK(Tableau1[[#This Row],[Lien document]],"X"))</f>
        <v/>
      </c>
      <c r="V563" s="47"/>
      <c r="W56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63" s="47"/>
      <c r="Y563" s="47"/>
      <c r="Z563" s="44" t="str">
        <f ca="1">IF(AND(Tableau1[[#This Row],[Charge]]&lt;&gt;0, Tableau1[[#This Row],[Nombre intervenants]]&lt;&gt;0,Tableau1[[#This Row],[Lien document]]&lt;&gt;0,Tableau1[[#This Row],[DMS_SAP]]&lt;&gt;0)=TRUE,"MIS A JOUR","")</f>
        <v/>
      </c>
      <c r="AA563" s="48"/>
      <c r="AB563" s="65" t="str">
        <f ca="1">IF(Tableau1[[#This Row],[Date rév.]]&lt;&gt;"", DAYS360(Tableau1[[#This Row],[Date rév.]],TODAY()),"")</f>
        <v/>
      </c>
      <c r="AC563" s="50" t="str">
        <f>IFERROR(INDEX(Chemin_accès!$B$11:$C$22,MATCH(Tableau1[[#This Row],[Type]],Chemin_accès!$C$11:$C$22,0),1),Chemin_accès!$B$11)</f>
        <v>\\stjn.local\trimet\Btechnique\Commun\Atelier Central mécanique\Plan entretien\Modèles préventif\GammeDMS_7.MENG.xlsm</v>
      </c>
      <c r="AD563" s="50" t="str">
        <f>Chemin_accès!$B$8&amp;Tableau1[[#This Row],[Localisation / Classement]]&amp;"\"&amp;Tableau1[[#This Row],[Poste technique ou N° d''équipement]]&amp;"_"&amp;Tableau1[[#This Row],[Plan Entretien]]&amp;".xlsm"</f>
        <v>\\stjn.local\trimet\Btechnique\Commun\Atelier Central mécanique\Plan entretien\GammeEntretien\\_.xlsm</v>
      </c>
    </row>
    <row r="564" spans="1:30" x14ac:dyDescent="0.3">
      <c r="A564" s="44" t="str">
        <f t="shared" ca="1" si="8"/>
        <v>7.MENG</v>
      </c>
      <c r="B56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64" s="47"/>
      <c r="D564" s="44"/>
      <c r="E564" s="44"/>
      <c r="F564" s="47"/>
      <c r="G564" s="47"/>
      <c r="H564" s="45"/>
      <c r="I564" s="45"/>
      <c r="J564" s="45"/>
      <c r="K564" s="45"/>
      <c r="L564" s="46"/>
      <c r="M564" s="47"/>
      <c r="N564" s="47"/>
      <c r="O564" s="47"/>
      <c r="P564" s="47"/>
      <c r="Q564" s="47"/>
      <c r="R564" s="47"/>
      <c r="S564" s="48"/>
      <c r="T564" s="68" t="str">
        <f>IF(Tableau1[[#This Row],[DMS_SAP]]="","",HYPERLINK(Tableau1[[#This Row],[Chemin fichier source]],"X"))</f>
        <v/>
      </c>
      <c r="U564" s="68" t="str">
        <f>IF(Tableau1[[#This Row],[Date rév.]]="","",HYPERLINK(Tableau1[[#This Row],[Lien document]],"X"))</f>
        <v/>
      </c>
      <c r="V564" s="47"/>
      <c r="W56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64" s="47"/>
      <c r="Y564" s="47"/>
      <c r="Z564" s="44" t="str">
        <f ca="1">IF(AND(Tableau1[[#This Row],[Charge]]&lt;&gt;0, Tableau1[[#This Row],[Nombre intervenants]]&lt;&gt;0,Tableau1[[#This Row],[Lien document]]&lt;&gt;0,Tableau1[[#This Row],[DMS_SAP]]&lt;&gt;0)=TRUE,"MIS A JOUR","")</f>
        <v/>
      </c>
      <c r="AA564" s="48"/>
      <c r="AB564" s="65" t="str">
        <f ca="1">IF(Tableau1[[#This Row],[Date rév.]]&lt;&gt;"", DAYS360(Tableau1[[#This Row],[Date rév.]],TODAY()),"")</f>
        <v/>
      </c>
      <c r="AC564" s="50" t="str">
        <f>IFERROR(INDEX(Chemin_accès!$B$11:$C$22,MATCH(Tableau1[[#This Row],[Type]],Chemin_accès!$C$11:$C$22,0),1),Chemin_accès!$B$11)</f>
        <v>\\stjn.local\trimet\Btechnique\Commun\Atelier Central mécanique\Plan entretien\Modèles préventif\GammeDMS_7.MENG.xlsm</v>
      </c>
      <c r="AD564" s="50" t="str">
        <f>Chemin_accès!$B$8&amp;Tableau1[[#This Row],[Localisation / Classement]]&amp;"\"&amp;Tableau1[[#This Row],[Poste technique ou N° d''équipement]]&amp;"_"&amp;Tableau1[[#This Row],[Plan Entretien]]&amp;".xlsm"</f>
        <v>\\stjn.local\trimet\Btechnique\Commun\Atelier Central mécanique\Plan entretien\GammeEntretien\\_.xlsm</v>
      </c>
    </row>
    <row r="565" spans="1:30" x14ac:dyDescent="0.3">
      <c r="A565" s="44" t="str">
        <f t="shared" ca="1" si="8"/>
        <v>7.MENG</v>
      </c>
      <c r="B56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65" s="47"/>
      <c r="D565" s="44"/>
      <c r="E565" s="44"/>
      <c r="F565" s="47"/>
      <c r="G565" s="47"/>
      <c r="H565" s="45"/>
      <c r="I565" s="45"/>
      <c r="J565" s="45"/>
      <c r="K565" s="45"/>
      <c r="L565" s="46"/>
      <c r="M565" s="47"/>
      <c r="N565" s="47"/>
      <c r="O565" s="47"/>
      <c r="P565" s="47"/>
      <c r="Q565" s="47"/>
      <c r="R565" s="47"/>
      <c r="S565" s="48"/>
      <c r="T565" s="68" t="str">
        <f>IF(Tableau1[[#This Row],[DMS_SAP]]="","",HYPERLINK(Tableau1[[#This Row],[Chemin fichier source]],"X"))</f>
        <v/>
      </c>
      <c r="U565" s="68" t="str">
        <f>IF(Tableau1[[#This Row],[Date rév.]]="","",HYPERLINK(Tableau1[[#This Row],[Lien document]],"X"))</f>
        <v/>
      </c>
      <c r="V565" s="47"/>
      <c r="W56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65" s="47"/>
      <c r="Y565" s="47"/>
      <c r="Z565" s="44" t="str">
        <f ca="1">IF(AND(Tableau1[[#This Row],[Charge]]&lt;&gt;0, Tableau1[[#This Row],[Nombre intervenants]]&lt;&gt;0,Tableau1[[#This Row],[Lien document]]&lt;&gt;0,Tableau1[[#This Row],[DMS_SAP]]&lt;&gt;0)=TRUE,"MIS A JOUR","")</f>
        <v/>
      </c>
      <c r="AA565" s="48"/>
      <c r="AB565" s="65" t="str">
        <f ca="1">IF(Tableau1[[#This Row],[Date rév.]]&lt;&gt;"", DAYS360(Tableau1[[#This Row],[Date rév.]],TODAY()),"")</f>
        <v/>
      </c>
      <c r="AC565" s="50" t="str">
        <f>IFERROR(INDEX(Chemin_accès!$B$11:$C$22,MATCH(Tableau1[[#This Row],[Type]],Chemin_accès!$C$11:$C$22,0),1),Chemin_accès!$B$11)</f>
        <v>\\stjn.local\trimet\Btechnique\Commun\Atelier Central mécanique\Plan entretien\Modèles préventif\GammeDMS_7.MENG.xlsm</v>
      </c>
      <c r="AD565" s="50" t="str">
        <f>Chemin_accès!$B$8&amp;Tableau1[[#This Row],[Localisation / Classement]]&amp;"\"&amp;Tableau1[[#This Row],[Poste technique ou N° d''équipement]]&amp;"_"&amp;Tableau1[[#This Row],[Plan Entretien]]&amp;".xlsm"</f>
        <v>\\stjn.local\trimet\Btechnique\Commun\Atelier Central mécanique\Plan entretien\GammeEntretien\\_.xlsm</v>
      </c>
    </row>
    <row r="566" spans="1:30" x14ac:dyDescent="0.3">
      <c r="A566" s="44" t="str">
        <f t="shared" ca="1" si="8"/>
        <v>7.MENG</v>
      </c>
      <c r="B56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66" s="47"/>
      <c r="D566" s="44"/>
      <c r="E566" s="44"/>
      <c r="F566" s="47"/>
      <c r="G566" s="47"/>
      <c r="H566" s="45"/>
      <c r="I566" s="45"/>
      <c r="J566" s="45"/>
      <c r="K566" s="45"/>
      <c r="L566" s="46"/>
      <c r="M566" s="47"/>
      <c r="N566" s="47"/>
      <c r="O566" s="47"/>
      <c r="P566" s="47"/>
      <c r="Q566" s="47"/>
      <c r="R566" s="47"/>
      <c r="S566" s="48"/>
      <c r="T566" s="68" t="str">
        <f>IF(Tableau1[[#This Row],[DMS_SAP]]="","",HYPERLINK(Tableau1[[#This Row],[Chemin fichier source]],"X"))</f>
        <v/>
      </c>
      <c r="U566" s="68" t="str">
        <f>IF(Tableau1[[#This Row],[Date rév.]]="","",HYPERLINK(Tableau1[[#This Row],[Lien document]],"X"))</f>
        <v/>
      </c>
      <c r="V566" s="47"/>
      <c r="W56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66" s="47"/>
      <c r="Y566" s="47"/>
      <c r="Z566" s="44" t="str">
        <f ca="1">IF(AND(Tableau1[[#This Row],[Charge]]&lt;&gt;0, Tableau1[[#This Row],[Nombre intervenants]]&lt;&gt;0,Tableau1[[#This Row],[Lien document]]&lt;&gt;0,Tableau1[[#This Row],[DMS_SAP]]&lt;&gt;0)=TRUE,"MIS A JOUR","")</f>
        <v/>
      </c>
      <c r="AA566" s="48"/>
      <c r="AB566" s="65" t="str">
        <f ca="1">IF(Tableau1[[#This Row],[Date rév.]]&lt;&gt;"", DAYS360(Tableau1[[#This Row],[Date rév.]],TODAY()),"")</f>
        <v/>
      </c>
      <c r="AC566" s="50" t="str">
        <f>IFERROR(INDEX(Chemin_accès!$B$11:$C$22,MATCH(Tableau1[[#This Row],[Type]],Chemin_accès!$C$11:$C$22,0),1),Chemin_accès!$B$11)</f>
        <v>\\stjn.local\trimet\Btechnique\Commun\Atelier Central mécanique\Plan entretien\Modèles préventif\GammeDMS_7.MENG.xlsm</v>
      </c>
      <c r="AD566" s="50" t="str">
        <f>Chemin_accès!$B$8&amp;Tableau1[[#This Row],[Localisation / Classement]]&amp;"\"&amp;Tableau1[[#This Row],[Poste technique ou N° d''équipement]]&amp;"_"&amp;Tableau1[[#This Row],[Plan Entretien]]&amp;".xlsm"</f>
        <v>\\stjn.local\trimet\Btechnique\Commun\Atelier Central mécanique\Plan entretien\GammeEntretien\\_.xlsm</v>
      </c>
    </row>
    <row r="567" spans="1:30" x14ac:dyDescent="0.3">
      <c r="A567" s="44" t="str">
        <f t="shared" ca="1" si="8"/>
        <v>7.MENG</v>
      </c>
      <c r="B56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67" s="47"/>
      <c r="D567" s="44"/>
      <c r="E567" s="44"/>
      <c r="F567" s="47"/>
      <c r="G567" s="47"/>
      <c r="H567" s="45"/>
      <c r="I567" s="45"/>
      <c r="J567" s="45"/>
      <c r="K567" s="45"/>
      <c r="L567" s="46"/>
      <c r="M567" s="47"/>
      <c r="N567" s="47"/>
      <c r="O567" s="47"/>
      <c r="P567" s="47"/>
      <c r="Q567" s="47"/>
      <c r="R567" s="47"/>
      <c r="S567" s="48"/>
      <c r="T567" s="68" t="str">
        <f>IF(Tableau1[[#This Row],[DMS_SAP]]="","",HYPERLINK(Tableau1[[#This Row],[Chemin fichier source]],"X"))</f>
        <v/>
      </c>
      <c r="U567" s="68" t="str">
        <f>IF(Tableau1[[#This Row],[Date rév.]]="","",HYPERLINK(Tableau1[[#This Row],[Lien document]],"X"))</f>
        <v/>
      </c>
      <c r="V567" s="47"/>
      <c r="W56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67" s="47"/>
      <c r="Y567" s="47"/>
      <c r="Z567" s="44" t="str">
        <f ca="1">IF(AND(Tableau1[[#This Row],[Charge]]&lt;&gt;0, Tableau1[[#This Row],[Nombre intervenants]]&lt;&gt;0,Tableau1[[#This Row],[Lien document]]&lt;&gt;0,Tableau1[[#This Row],[DMS_SAP]]&lt;&gt;0)=TRUE,"MIS A JOUR","")</f>
        <v/>
      </c>
      <c r="AA567" s="48"/>
      <c r="AB567" s="65" t="str">
        <f ca="1">IF(Tableau1[[#This Row],[Date rév.]]&lt;&gt;"", DAYS360(Tableau1[[#This Row],[Date rév.]],TODAY()),"")</f>
        <v/>
      </c>
      <c r="AC567" s="50" t="str">
        <f>IFERROR(INDEX(Chemin_accès!$B$11:$C$22,MATCH(Tableau1[[#This Row],[Type]],Chemin_accès!$C$11:$C$22,0),1),Chemin_accès!$B$11)</f>
        <v>\\stjn.local\trimet\Btechnique\Commun\Atelier Central mécanique\Plan entretien\Modèles préventif\GammeDMS_7.MENG.xlsm</v>
      </c>
      <c r="AD567" s="50" t="str">
        <f>Chemin_accès!$B$8&amp;Tableau1[[#This Row],[Localisation / Classement]]&amp;"\"&amp;Tableau1[[#This Row],[Poste technique ou N° d''équipement]]&amp;"_"&amp;Tableau1[[#This Row],[Plan Entretien]]&amp;".xlsm"</f>
        <v>\\stjn.local\trimet\Btechnique\Commun\Atelier Central mécanique\Plan entretien\GammeEntretien\\_.xlsm</v>
      </c>
    </row>
    <row r="568" spans="1:30" x14ac:dyDescent="0.3">
      <c r="A568" s="44" t="str">
        <f t="shared" ca="1" si="8"/>
        <v>7.MENG</v>
      </c>
      <c r="B56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68" s="47"/>
      <c r="D568" s="44"/>
      <c r="E568" s="44"/>
      <c r="F568" s="47"/>
      <c r="G568" s="47"/>
      <c r="H568" s="45"/>
      <c r="I568" s="45"/>
      <c r="J568" s="45"/>
      <c r="K568" s="45"/>
      <c r="L568" s="46"/>
      <c r="M568" s="47"/>
      <c r="N568" s="47"/>
      <c r="O568" s="47"/>
      <c r="P568" s="47"/>
      <c r="Q568" s="47"/>
      <c r="R568" s="47"/>
      <c r="S568" s="48"/>
      <c r="T568" s="68" t="str">
        <f>IF(Tableau1[[#This Row],[DMS_SAP]]="","",HYPERLINK(Tableau1[[#This Row],[Chemin fichier source]],"X"))</f>
        <v/>
      </c>
      <c r="U568" s="68" t="str">
        <f>IF(Tableau1[[#This Row],[Date rév.]]="","",HYPERLINK(Tableau1[[#This Row],[Lien document]],"X"))</f>
        <v/>
      </c>
      <c r="V568" s="47"/>
      <c r="W56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68" s="47"/>
      <c r="Y568" s="47"/>
      <c r="Z568" s="44" t="str">
        <f ca="1">IF(AND(Tableau1[[#This Row],[Charge]]&lt;&gt;0, Tableau1[[#This Row],[Nombre intervenants]]&lt;&gt;0,Tableau1[[#This Row],[Lien document]]&lt;&gt;0,Tableau1[[#This Row],[DMS_SAP]]&lt;&gt;0)=TRUE,"MIS A JOUR","")</f>
        <v/>
      </c>
      <c r="AA568" s="48"/>
      <c r="AB568" s="65" t="str">
        <f ca="1">IF(Tableau1[[#This Row],[Date rév.]]&lt;&gt;"", DAYS360(Tableau1[[#This Row],[Date rév.]],TODAY()),"")</f>
        <v/>
      </c>
      <c r="AC568" s="50" t="str">
        <f>IFERROR(INDEX(Chemin_accès!$B$11:$C$22,MATCH(Tableau1[[#This Row],[Type]],Chemin_accès!$C$11:$C$22,0),1),Chemin_accès!$B$11)</f>
        <v>\\stjn.local\trimet\Btechnique\Commun\Atelier Central mécanique\Plan entretien\Modèles préventif\GammeDMS_7.MENG.xlsm</v>
      </c>
      <c r="AD568" s="50" t="str">
        <f>Chemin_accès!$B$8&amp;Tableau1[[#This Row],[Localisation / Classement]]&amp;"\"&amp;Tableau1[[#This Row],[Poste technique ou N° d''équipement]]&amp;"_"&amp;Tableau1[[#This Row],[Plan Entretien]]&amp;".xlsm"</f>
        <v>\\stjn.local\trimet\Btechnique\Commun\Atelier Central mécanique\Plan entretien\GammeEntretien\\_.xlsm</v>
      </c>
    </row>
    <row r="569" spans="1:30" x14ac:dyDescent="0.3">
      <c r="A569" s="44" t="str">
        <f t="shared" ca="1" si="8"/>
        <v>7.MENG</v>
      </c>
      <c r="B56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69" s="47"/>
      <c r="D569" s="44"/>
      <c r="E569" s="44"/>
      <c r="F569" s="47"/>
      <c r="G569" s="47"/>
      <c r="H569" s="45"/>
      <c r="I569" s="45"/>
      <c r="J569" s="45"/>
      <c r="K569" s="45"/>
      <c r="L569" s="46"/>
      <c r="M569" s="47"/>
      <c r="N569" s="47"/>
      <c r="O569" s="47"/>
      <c r="P569" s="47"/>
      <c r="Q569" s="47"/>
      <c r="R569" s="47"/>
      <c r="S569" s="48"/>
      <c r="T569" s="68" t="str">
        <f>IF(Tableau1[[#This Row],[DMS_SAP]]="","",HYPERLINK(Tableau1[[#This Row],[Chemin fichier source]],"X"))</f>
        <v/>
      </c>
      <c r="U569" s="68" t="str">
        <f>IF(Tableau1[[#This Row],[Date rév.]]="","",HYPERLINK(Tableau1[[#This Row],[Lien document]],"X"))</f>
        <v/>
      </c>
      <c r="V569" s="47"/>
      <c r="W56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69" s="47"/>
      <c r="Y569" s="47"/>
      <c r="Z569" s="44" t="str">
        <f ca="1">IF(AND(Tableau1[[#This Row],[Charge]]&lt;&gt;0, Tableau1[[#This Row],[Nombre intervenants]]&lt;&gt;0,Tableau1[[#This Row],[Lien document]]&lt;&gt;0,Tableau1[[#This Row],[DMS_SAP]]&lt;&gt;0)=TRUE,"MIS A JOUR","")</f>
        <v/>
      </c>
      <c r="AA569" s="48"/>
      <c r="AB569" s="65" t="str">
        <f ca="1">IF(Tableau1[[#This Row],[Date rév.]]&lt;&gt;"", DAYS360(Tableau1[[#This Row],[Date rév.]],TODAY()),"")</f>
        <v/>
      </c>
      <c r="AC569" s="50" t="str">
        <f>IFERROR(INDEX(Chemin_accès!$B$11:$C$22,MATCH(Tableau1[[#This Row],[Type]],Chemin_accès!$C$11:$C$22,0),1),Chemin_accès!$B$11)</f>
        <v>\\stjn.local\trimet\Btechnique\Commun\Atelier Central mécanique\Plan entretien\Modèles préventif\GammeDMS_7.MENG.xlsm</v>
      </c>
      <c r="AD569" s="50" t="str">
        <f>Chemin_accès!$B$8&amp;Tableau1[[#This Row],[Localisation / Classement]]&amp;"\"&amp;Tableau1[[#This Row],[Poste technique ou N° d''équipement]]&amp;"_"&amp;Tableau1[[#This Row],[Plan Entretien]]&amp;".xlsm"</f>
        <v>\\stjn.local\trimet\Btechnique\Commun\Atelier Central mécanique\Plan entretien\GammeEntretien\\_.xlsm</v>
      </c>
    </row>
    <row r="570" spans="1:30" x14ac:dyDescent="0.3">
      <c r="A570" s="44" t="str">
        <f t="shared" ca="1" si="8"/>
        <v>7.MENG</v>
      </c>
      <c r="B57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70" s="47"/>
      <c r="D570" s="44"/>
      <c r="E570" s="44"/>
      <c r="F570" s="47"/>
      <c r="G570" s="47"/>
      <c r="H570" s="45"/>
      <c r="I570" s="45"/>
      <c r="J570" s="45"/>
      <c r="K570" s="45"/>
      <c r="L570" s="46"/>
      <c r="M570" s="47"/>
      <c r="N570" s="47"/>
      <c r="O570" s="47"/>
      <c r="P570" s="47"/>
      <c r="Q570" s="47"/>
      <c r="R570" s="47"/>
      <c r="S570" s="48"/>
      <c r="T570" s="68" t="str">
        <f>IF(Tableau1[[#This Row],[DMS_SAP]]="","",HYPERLINK(Tableau1[[#This Row],[Chemin fichier source]],"X"))</f>
        <v/>
      </c>
      <c r="U570" s="68" t="str">
        <f>IF(Tableau1[[#This Row],[Date rév.]]="","",HYPERLINK(Tableau1[[#This Row],[Lien document]],"X"))</f>
        <v/>
      </c>
      <c r="V570" s="47"/>
      <c r="W57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70" s="47"/>
      <c r="Y570" s="47"/>
      <c r="Z570" s="44" t="str">
        <f ca="1">IF(AND(Tableau1[[#This Row],[Charge]]&lt;&gt;0, Tableau1[[#This Row],[Nombre intervenants]]&lt;&gt;0,Tableau1[[#This Row],[Lien document]]&lt;&gt;0,Tableau1[[#This Row],[DMS_SAP]]&lt;&gt;0)=TRUE,"MIS A JOUR","")</f>
        <v/>
      </c>
      <c r="AA570" s="48"/>
      <c r="AB570" s="65" t="str">
        <f ca="1">IF(Tableau1[[#This Row],[Date rév.]]&lt;&gt;"", DAYS360(Tableau1[[#This Row],[Date rév.]],TODAY()),"")</f>
        <v/>
      </c>
      <c r="AC570" s="50" t="str">
        <f>IFERROR(INDEX(Chemin_accès!$B$11:$C$22,MATCH(Tableau1[[#This Row],[Type]],Chemin_accès!$C$11:$C$22,0),1),Chemin_accès!$B$11)</f>
        <v>\\stjn.local\trimet\Btechnique\Commun\Atelier Central mécanique\Plan entretien\Modèles préventif\GammeDMS_7.MENG.xlsm</v>
      </c>
      <c r="AD570" s="50" t="str">
        <f>Chemin_accès!$B$8&amp;Tableau1[[#This Row],[Localisation / Classement]]&amp;"\"&amp;Tableau1[[#This Row],[Poste technique ou N° d''équipement]]&amp;"_"&amp;Tableau1[[#This Row],[Plan Entretien]]&amp;".xlsm"</f>
        <v>\\stjn.local\trimet\Btechnique\Commun\Atelier Central mécanique\Plan entretien\GammeEntretien\\_.xlsm</v>
      </c>
    </row>
    <row r="571" spans="1:30" x14ac:dyDescent="0.3">
      <c r="A571" s="44" t="str">
        <f t="shared" ca="1" si="8"/>
        <v>7.MENG</v>
      </c>
      <c r="B57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71" s="47"/>
      <c r="D571" s="44"/>
      <c r="E571" s="44"/>
      <c r="F571" s="47"/>
      <c r="G571" s="47"/>
      <c r="H571" s="45"/>
      <c r="I571" s="45"/>
      <c r="J571" s="45"/>
      <c r="K571" s="45"/>
      <c r="L571" s="46"/>
      <c r="M571" s="47"/>
      <c r="N571" s="47"/>
      <c r="O571" s="47"/>
      <c r="P571" s="47"/>
      <c r="Q571" s="47"/>
      <c r="R571" s="47"/>
      <c r="S571" s="48"/>
      <c r="T571" s="68" t="str">
        <f>IF(Tableau1[[#This Row],[DMS_SAP]]="","",HYPERLINK(Tableau1[[#This Row],[Chemin fichier source]],"X"))</f>
        <v/>
      </c>
      <c r="U571" s="68" t="str">
        <f>IF(Tableau1[[#This Row],[Date rév.]]="","",HYPERLINK(Tableau1[[#This Row],[Lien document]],"X"))</f>
        <v/>
      </c>
      <c r="V571" s="47"/>
      <c r="W57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71" s="47"/>
      <c r="Y571" s="47"/>
      <c r="Z571" s="44" t="str">
        <f ca="1">IF(AND(Tableau1[[#This Row],[Charge]]&lt;&gt;0, Tableau1[[#This Row],[Nombre intervenants]]&lt;&gt;0,Tableau1[[#This Row],[Lien document]]&lt;&gt;0,Tableau1[[#This Row],[DMS_SAP]]&lt;&gt;0)=TRUE,"MIS A JOUR","")</f>
        <v/>
      </c>
      <c r="AA571" s="48"/>
      <c r="AB571" s="65" t="str">
        <f ca="1">IF(Tableau1[[#This Row],[Date rév.]]&lt;&gt;"", DAYS360(Tableau1[[#This Row],[Date rév.]],TODAY()),"")</f>
        <v/>
      </c>
      <c r="AC571" s="50" t="str">
        <f>IFERROR(INDEX(Chemin_accès!$B$11:$C$22,MATCH(Tableau1[[#This Row],[Type]],Chemin_accès!$C$11:$C$22,0),1),Chemin_accès!$B$11)</f>
        <v>\\stjn.local\trimet\Btechnique\Commun\Atelier Central mécanique\Plan entretien\Modèles préventif\GammeDMS_7.MENG.xlsm</v>
      </c>
      <c r="AD571" s="50" t="str">
        <f>Chemin_accès!$B$8&amp;Tableau1[[#This Row],[Localisation / Classement]]&amp;"\"&amp;Tableau1[[#This Row],[Poste technique ou N° d''équipement]]&amp;"_"&amp;Tableau1[[#This Row],[Plan Entretien]]&amp;".xlsm"</f>
        <v>\\stjn.local\trimet\Btechnique\Commun\Atelier Central mécanique\Plan entretien\GammeEntretien\\_.xlsm</v>
      </c>
    </row>
    <row r="572" spans="1:30" x14ac:dyDescent="0.3">
      <c r="A572" s="44" t="str">
        <f t="shared" ca="1" si="8"/>
        <v>7.MENG</v>
      </c>
      <c r="B57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72" s="47"/>
      <c r="D572" s="44"/>
      <c r="E572" s="44"/>
      <c r="F572" s="47"/>
      <c r="G572" s="47"/>
      <c r="H572" s="45"/>
      <c r="I572" s="45"/>
      <c r="J572" s="45"/>
      <c r="K572" s="45"/>
      <c r="L572" s="46"/>
      <c r="M572" s="47"/>
      <c r="N572" s="47"/>
      <c r="O572" s="47"/>
      <c r="P572" s="47"/>
      <c r="Q572" s="47"/>
      <c r="R572" s="47"/>
      <c r="S572" s="48"/>
      <c r="T572" s="68" t="str">
        <f>IF(Tableau1[[#This Row],[DMS_SAP]]="","",HYPERLINK(Tableau1[[#This Row],[Chemin fichier source]],"X"))</f>
        <v/>
      </c>
      <c r="U572" s="68" t="str">
        <f>IF(Tableau1[[#This Row],[Date rév.]]="","",HYPERLINK(Tableau1[[#This Row],[Lien document]],"X"))</f>
        <v/>
      </c>
      <c r="V572" s="47"/>
      <c r="W57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72" s="47"/>
      <c r="Y572" s="47"/>
      <c r="Z572" s="44" t="str">
        <f ca="1">IF(AND(Tableau1[[#This Row],[Charge]]&lt;&gt;0, Tableau1[[#This Row],[Nombre intervenants]]&lt;&gt;0,Tableau1[[#This Row],[Lien document]]&lt;&gt;0,Tableau1[[#This Row],[DMS_SAP]]&lt;&gt;0)=TRUE,"MIS A JOUR","")</f>
        <v/>
      </c>
      <c r="AA572" s="48"/>
      <c r="AB572" s="65" t="str">
        <f ca="1">IF(Tableau1[[#This Row],[Date rév.]]&lt;&gt;"", DAYS360(Tableau1[[#This Row],[Date rév.]],TODAY()),"")</f>
        <v/>
      </c>
      <c r="AC572" s="50" t="str">
        <f>IFERROR(INDEX(Chemin_accès!$B$11:$C$22,MATCH(Tableau1[[#This Row],[Type]],Chemin_accès!$C$11:$C$22,0),1),Chemin_accès!$B$11)</f>
        <v>\\stjn.local\trimet\Btechnique\Commun\Atelier Central mécanique\Plan entretien\Modèles préventif\GammeDMS_7.MENG.xlsm</v>
      </c>
      <c r="AD572" s="50" t="str">
        <f>Chemin_accès!$B$8&amp;Tableau1[[#This Row],[Localisation / Classement]]&amp;"\"&amp;Tableau1[[#This Row],[Poste technique ou N° d''équipement]]&amp;"_"&amp;Tableau1[[#This Row],[Plan Entretien]]&amp;".xlsm"</f>
        <v>\\stjn.local\trimet\Btechnique\Commun\Atelier Central mécanique\Plan entretien\GammeEntretien\\_.xlsm</v>
      </c>
    </row>
    <row r="573" spans="1:30" x14ac:dyDescent="0.3">
      <c r="A573" s="44" t="str">
        <f t="shared" ca="1" si="8"/>
        <v>7.MENG</v>
      </c>
      <c r="B57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73" s="47"/>
      <c r="D573" s="44"/>
      <c r="E573" s="44"/>
      <c r="F573" s="47"/>
      <c r="G573" s="47"/>
      <c r="H573" s="45"/>
      <c r="I573" s="45"/>
      <c r="J573" s="45"/>
      <c r="K573" s="45"/>
      <c r="L573" s="46"/>
      <c r="M573" s="47"/>
      <c r="N573" s="47"/>
      <c r="O573" s="47"/>
      <c r="P573" s="47"/>
      <c r="Q573" s="47"/>
      <c r="R573" s="47"/>
      <c r="S573" s="48"/>
      <c r="T573" s="68" t="str">
        <f>IF(Tableau1[[#This Row],[DMS_SAP]]="","",HYPERLINK(Tableau1[[#This Row],[Chemin fichier source]],"X"))</f>
        <v/>
      </c>
      <c r="U573" s="68" t="str">
        <f>IF(Tableau1[[#This Row],[Date rév.]]="","",HYPERLINK(Tableau1[[#This Row],[Lien document]],"X"))</f>
        <v/>
      </c>
      <c r="V573" s="47"/>
      <c r="W57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73" s="47"/>
      <c r="Y573" s="47"/>
      <c r="Z573" s="44" t="str">
        <f ca="1">IF(AND(Tableau1[[#This Row],[Charge]]&lt;&gt;0, Tableau1[[#This Row],[Nombre intervenants]]&lt;&gt;0,Tableau1[[#This Row],[Lien document]]&lt;&gt;0,Tableau1[[#This Row],[DMS_SAP]]&lt;&gt;0)=TRUE,"MIS A JOUR","")</f>
        <v/>
      </c>
      <c r="AA573" s="48"/>
      <c r="AB573" s="65" t="str">
        <f ca="1">IF(Tableau1[[#This Row],[Date rév.]]&lt;&gt;"", DAYS360(Tableau1[[#This Row],[Date rév.]],TODAY()),"")</f>
        <v/>
      </c>
      <c r="AC573" s="50" t="str">
        <f>IFERROR(INDEX(Chemin_accès!$B$11:$C$22,MATCH(Tableau1[[#This Row],[Type]],Chemin_accès!$C$11:$C$22,0),1),Chemin_accès!$B$11)</f>
        <v>\\stjn.local\trimet\Btechnique\Commun\Atelier Central mécanique\Plan entretien\Modèles préventif\GammeDMS_7.MENG.xlsm</v>
      </c>
      <c r="AD573" s="50" t="str">
        <f>Chemin_accès!$B$8&amp;Tableau1[[#This Row],[Localisation / Classement]]&amp;"\"&amp;Tableau1[[#This Row],[Poste technique ou N° d''équipement]]&amp;"_"&amp;Tableau1[[#This Row],[Plan Entretien]]&amp;".xlsm"</f>
        <v>\\stjn.local\trimet\Btechnique\Commun\Atelier Central mécanique\Plan entretien\GammeEntretien\\_.xlsm</v>
      </c>
    </row>
    <row r="574" spans="1:30" x14ac:dyDescent="0.3">
      <c r="A574" s="44" t="str">
        <f t="shared" ca="1" si="8"/>
        <v>7.MENG</v>
      </c>
      <c r="B57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74" s="47"/>
      <c r="D574" s="44"/>
      <c r="E574" s="44"/>
      <c r="F574" s="47"/>
      <c r="G574" s="47"/>
      <c r="H574" s="45"/>
      <c r="I574" s="45"/>
      <c r="J574" s="45"/>
      <c r="K574" s="45"/>
      <c r="L574" s="46"/>
      <c r="M574" s="47"/>
      <c r="N574" s="47"/>
      <c r="O574" s="47"/>
      <c r="P574" s="47"/>
      <c r="Q574" s="47"/>
      <c r="R574" s="47"/>
      <c r="S574" s="48"/>
      <c r="T574" s="68" t="str">
        <f>IF(Tableau1[[#This Row],[DMS_SAP]]="","",HYPERLINK(Tableau1[[#This Row],[Chemin fichier source]],"X"))</f>
        <v/>
      </c>
      <c r="U574" s="68" t="str">
        <f>IF(Tableau1[[#This Row],[Date rév.]]="","",HYPERLINK(Tableau1[[#This Row],[Lien document]],"X"))</f>
        <v/>
      </c>
      <c r="V574" s="47"/>
      <c r="W57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74" s="47"/>
      <c r="Y574" s="47"/>
      <c r="Z574" s="44" t="str">
        <f ca="1">IF(AND(Tableau1[[#This Row],[Charge]]&lt;&gt;0, Tableau1[[#This Row],[Nombre intervenants]]&lt;&gt;0,Tableau1[[#This Row],[Lien document]]&lt;&gt;0,Tableau1[[#This Row],[DMS_SAP]]&lt;&gt;0)=TRUE,"MIS A JOUR","")</f>
        <v/>
      </c>
      <c r="AA574" s="48"/>
      <c r="AB574" s="65" t="str">
        <f ca="1">IF(Tableau1[[#This Row],[Date rév.]]&lt;&gt;"", DAYS360(Tableau1[[#This Row],[Date rév.]],TODAY()),"")</f>
        <v/>
      </c>
      <c r="AC574" s="50" t="str">
        <f>IFERROR(INDEX(Chemin_accès!$B$11:$C$22,MATCH(Tableau1[[#This Row],[Type]],Chemin_accès!$C$11:$C$22,0),1),Chemin_accès!$B$11)</f>
        <v>\\stjn.local\trimet\Btechnique\Commun\Atelier Central mécanique\Plan entretien\Modèles préventif\GammeDMS_7.MENG.xlsm</v>
      </c>
      <c r="AD574" s="50" t="str">
        <f>Chemin_accès!$B$8&amp;Tableau1[[#This Row],[Localisation / Classement]]&amp;"\"&amp;Tableau1[[#This Row],[Poste technique ou N° d''équipement]]&amp;"_"&amp;Tableau1[[#This Row],[Plan Entretien]]&amp;".xlsm"</f>
        <v>\\stjn.local\trimet\Btechnique\Commun\Atelier Central mécanique\Plan entretien\GammeEntretien\\_.xlsm</v>
      </c>
    </row>
    <row r="575" spans="1:30" x14ac:dyDescent="0.3">
      <c r="A575" s="44" t="str">
        <f t="shared" ca="1" si="8"/>
        <v>7.MENG</v>
      </c>
      <c r="B57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75" s="47"/>
      <c r="D575" s="44"/>
      <c r="E575" s="44"/>
      <c r="F575" s="47"/>
      <c r="G575" s="47"/>
      <c r="H575" s="45"/>
      <c r="I575" s="45"/>
      <c r="J575" s="45"/>
      <c r="K575" s="45"/>
      <c r="L575" s="46"/>
      <c r="M575" s="47"/>
      <c r="N575" s="47"/>
      <c r="O575" s="47"/>
      <c r="P575" s="47"/>
      <c r="Q575" s="47"/>
      <c r="R575" s="47"/>
      <c r="S575" s="48"/>
      <c r="T575" s="68" t="str">
        <f>IF(Tableau1[[#This Row],[DMS_SAP]]="","",HYPERLINK(Tableau1[[#This Row],[Chemin fichier source]],"X"))</f>
        <v/>
      </c>
      <c r="U575" s="68" t="str">
        <f>IF(Tableau1[[#This Row],[Date rév.]]="","",HYPERLINK(Tableau1[[#This Row],[Lien document]],"X"))</f>
        <v/>
      </c>
      <c r="V575" s="47"/>
      <c r="W57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75" s="47"/>
      <c r="Y575" s="47"/>
      <c r="Z575" s="44" t="str">
        <f ca="1">IF(AND(Tableau1[[#This Row],[Charge]]&lt;&gt;0, Tableau1[[#This Row],[Nombre intervenants]]&lt;&gt;0,Tableau1[[#This Row],[Lien document]]&lt;&gt;0,Tableau1[[#This Row],[DMS_SAP]]&lt;&gt;0)=TRUE,"MIS A JOUR","")</f>
        <v/>
      </c>
      <c r="AA575" s="48"/>
      <c r="AB575" s="65" t="str">
        <f ca="1">IF(Tableau1[[#This Row],[Date rév.]]&lt;&gt;"", DAYS360(Tableau1[[#This Row],[Date rév.]],TODAY()),"")</f>
        <v/>
      </c>
      <c r="AC575" s="50" t="str">
        <f>IFERROR(INDEX(Chemin_accès!$B$11:$C$22,MATCH(Tableau1[[#This Row],[Type]],Chemin_accès!$C$11:$C$22,0),1),Chemin_accès!$B$11)</f>
        <v>\\stjn.local\trimet\Btechnique\Commun\Atelier Central mécanique\Plan entretien\Modèles préventif\GammeDMS_7.MENG.xlsm</v>
      </c>
      <c r="AD575" s="50" t="str">
        <f>Chemin_accès!$B$8&amp;Tableau1[[#This Row],[Localisation / Classement]]&amp;"\"&amp;Tableau1[[#This Row],[Poste technique ou N° d''équipement]]&amp;"_"&amp;Tableau1[[#This Row],[Plan Entretien]]&amp;".xlsm"</f>
        <v>\\stjn.local\trimet\Btechnique\Commun\Atelier Central mécanique\Plan entretien\GammeEntretien\\_.xlsm</v>
      </c>
    </row>
    <row r="576" spans="1:30" x14ac:dyDescent="0.3">
      <c r="A576" s="44" t="str">
        <f t="shared" ca="1" si="8"/>
        <v>7.MENG</v>
      </c>
      <c r="B57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76" s="47"/>
      <c r="D576" s="44"/>
      <c r="E576" s="44"/>
      <c r="F576" s="47"/>
      <c r="G576" s="47"/>
      <c r="H576" s="45"/>
      <c r="I576" s="45"/>
      <c r="J576" s="45"/>
      <c r="K576" s="45"/>
      <c r="L576" s="46"/>
      <c r="M576" s="47"/>
      <c r="N576" s="47"/>
      <c r="O576" s="47"/>
      <c r="P576" s="47"/>
      <c r="Q576" s="47"/>
      <c r="R576" s="47"/>
      <c r="S576" s="48"/>
      <c r="T576" s="68" t="str">
        <f>IF(Tableau1[[#This Row],[DMS_SAP]]="","",HYPERLINK(Tableau1[[#This Row],[Chemin fichier source]],"X"))</f>
        <v/>
      </c>
      <c r="U576" s="68" t="str">
        <f>IF(Tableau1[[#This Row],[Date rév.]]="","",HYPERLINK(Tableau1[[#This Row],[Lien document]],"X"))</f>
        <v/>
      </c>
      <c r="V576" s="47"/>
      <c r="W57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76" s="47"/>
      <c r="Y576" s="47"/>
      <c r="Z576" s="44" t="str">
        <f ca="1">IF(AND(Tableau1[[#This Row],[Charge]]&lt;&gt;0, Tableau1[[#This Row],[Nombre intervenants]]&lt;&gt;0,Tableau1[[#This Row],[Lien document]]&lt;&gt;0,Tableau1[[#This Row],[DMS_SAP]]&lt;&gt;0)=TRUE,"MIS A JOUR","")</f>
        <v/>
      </c>
      <c r="AA576" s="48"/>
      <c r="AB576" s="65" t="str">
        <f ca="1">IF(Tableau1[[#This Row],[Date rév.]]&lt;&gt;"", DAYS360(Tableau1[[#This Row],[Date rév.]],TODAY()),"")</f>
        <v/>
      </c>
      <c r="AC576" s="50" t="str">
        <f>IFERROR(INDEX(Chemin_accès!$B$11:$C$22,MATCH(Tableau1[[#This Row],[Type]],Chemin_accès!$C$11:$C$22,0),1),Chemin_accès!$B$11)</f>
        <v>\\stjn.local\trimet\Btechnique\Commun\Atelier Central mécanique\Plan entretien\Modèles préventif\GammeDMS_7.MENG.xlsm</v>
      </c>
      <c r="AD576" s="50" t="str">
        <f>Chemin_accès!$B$8&amp;Tableau1[[#This Row],[Localisation / Classement]]&amp;"\"&amp;Tableau1[[#This Row],[Poste technique ou N° d''équipement]]&amp;"_"&amp;Tableau1[[#This Row],[Plan Entretien]]&amp;".xlsm"</f>
        <v>\\stjn.local\trimet\Btechnique\Commun\Atelier Central mécanique\Plan entretien\GammeEntretien\\_.xlsm</v>
      </c>
    </row>
    <row r="577" spans="1:30" x14ac:dyDescent="0.3">
      <c r="A577" s="44" t="str">
        <f t="shared" ref="A577:A640" ca="1" si="9">MID(CELL("filename",$A$1),FIND("]",CELL("filename",$A$1))+1,32)</f>
        <v>7.MENG</v>
      </c>
      <c r="B57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77" s="47"/>
      <c r="D577" s="44"/>
      <c r="E577" s="44"/>
      <c r="F577" s="47"/>
      <c r="G577" s="47"/>
      <c r="H577" s="45"/>
      <c r="I577" s="45"/>
      <c r="J577" s="45"/>
      <c r="K577" s="45"/>
      <c r="L577" s="46"/>
      <c r="M577" s="47"/>
      <c r="N577" s="47"/>
      <c r="O577" s="47"/>
      <c r="P577" s="47"/>
      <c r="Q577" s="47"/>
      <c r="R577" s="47"/>
      <c r="S577" s="48"/>
      <c r="T577" s="68" t="str">
        <f>IF(Tableau1[[#This Row],[DMS_SAP]]="","",HYPERLINK(Tableau1[[#This Row],[Chemin fichier source]],"X"))</f>
        <v/>
      </c>
      <c r="U577" s="68" t="str">
        <f>IF(Tableau1[[#This Row],[Date rév.]]="","",HYPERLINK(Tableau1[[#This Row],[Lien document]],"X"))</f>
        <v/>
      </c>
      <c r="V577" s="47"/>
      <c r="W57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77" s="47"/>
      <c r="Y577" s="47"/>
      <c r="Z577" s="44" t="str">
        <f ca="1">IF(AND(Tableau1[[#This Row],[Charge]]&lt;&gt;0, Tableau1[[#This Row],[Nombre intervenants]]&lt;&gt;0,Tableau1[[#This Row],[Lien document]]&lt;&gt;0,Tableau1[[#This Row],[DMS_SAP]]&lt;&gt;0)=TRUE,"MIS A JOUR","")</f>
        <v/>
      </c>
      <c r="AA577" s="48"/>
      <c r="AB577" s="65" t="str">
        <f ca="1">IF(Tableau1[[#This Row],[Date rév.]]&lt;&gt;"", DAYS360(Tableau1[[#This Row],[Date rév.]],TODAY()),"")</f>
        <v/>
      </c>
      <c r="AC577" s="50" t="str">
        <f>IFERROR(INDEX(Chemin_accès!$B$11:$C$22,MATCH(Tableau1[[#This Row],[Type]],Chemin_accès!$C$11:$C$22,0),1),Chemin_accès!$B$11)</f>
        <v>\\stjn.local\trimet\Btechnique\Commun\Atelier Central mécanique\Plan entretien\Modèles préventif\GammeDMS_7.MENG.xlsm</v>
      </c>
      <c r="AD577" s="50" t="str">
        <f>Chemin_accès!$B$8&amp;Tableau1[[#This Row],[Localisation / Classement]]&amp;"\"&amp;Tableau1[[#This Row],[Poste technique ou N° d''équipement]]&amp;"_"&amp;Tableau1[[#This Row],[Plan Entretien]]&amp;".xlsm"</f>
        <v>\\stjn.local\trimet\Btechnique\Commun\Atelier Central mécanique\Plan entretien\GammeEntretien\\_.xlsm</v>
      </c>
    </row>
    <row r="578" spans="1:30" x14ac:dyDescent="0.3">
      <c r="A578" s="44" t="str">
        <f t="shared" ca="1" si="9"/>
        <v>7.MENG</v>
      </c>
      <c r="B57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78" s="47"/>
      <c r="D578" s="44"/>
      <c r="E578" s="44"/>
      <c r="F578" s="47"/>
      <c r="G578" s="47"/>
      <c r="H578" s="45"/>
      <c r="I578" s="45"/>
      <c r="J578" s="45"/>
      <c r="K578" s="45"/>
      <c r="L578" s="46"/>
      <c r="M578" s="47"/>
      <c r="N578" s="47"/>
      <c r="O578" s="47"/>
      <c r="P578" s="47"/>
      <c r="Q578" s="47"/>
      <c r="R578" s="47"/>
      <c r="S578" s="48"/>
      <c r="T578" s="68" t="str">
        <f>IF(Tableau1[[#This Row],[DMS_SAP]]="","",HYPERLINK(Tableau1[[#This Row],[Chemin fichier source]],"X"))</f>
        <v/>
      </c>
      <c r="U578" s="68" t="str">
        <f>IF(Tableau1[[#This Row],[Date rév.]]="","",HYPERLINK(Tableau1[[#This Row],[Lien document]],"X"))</f>
        <v/>
      </c>
      <c r="V578" s="47"/>
      <c r="W57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78" s="47"/>
      <c r="Y578" s="47"/>
      <c r="Z578" s="44" t="str">
        <f ca="1">IF(AND(Tableau1[[#This Row],[Charge]]&lt;&gt;0, Tableau1[[#This Row],[Nombre intervenants]]&lt;&gt;0,Tableau1[[#This Row],[Lien document]]&lt;&gt;0,Tableau1[[#This Row],[DMS_SAP]]&lt;&gt;0)=TRUE,"MIS A JOUR","")</f>
        <v/>
      </c>
      <c r="AA578" s="48"/>
      <c r="AB578" s="65" t="str">
        <f ca="1">IF(Tableau1[[#This Row],[Date rév.]]&lt;&gt;"", DAYS360(Tableau1[[#This Row],[Date rév.]],TODAY()),"")</f>
        <v/>
      </c>
      <c r="AC578" s="50" t="str">
        <f>IFERROR(INDEX(Chemin_accès!$B$11:$C$22,MATCH(Tableau1[[#This Row],[Type]],Chemin_accès!$C$11:$C$22,0),1),Chemin_accès!$B$11)</f>
        <v>\\stjn.local\trimet\Btechnique\Commun\Atelier Central mécanique\Plan entretien\Modèles préventif\GammeDMS_7.MENG.xlsm</v>
      </c>
      <c r="AD578" s="50" t="str">
        <f>Chemin_accès!$B$8&amp;Tableau1[[#This Row],[Localisation / Classement]]&amp;"\"&amp;Tableau1[[#This Row],[Poste technique ou N° d''équipement]]&amp;"_"&amp;Tableau1[[#This Row],[Plan Entretien]]&amp;".xlsm"</f>
        <v>\\stjn.local\trimet\Btechnique\Commun\Atelier Central mécanique\Plan entretien\GammeEntretien\\_.xlsm</v>
      </c>
    </row>
    <row r="579" spans="1:30" x14ac:dyDescent="0.3">
      <c r="A579" s="44" t="str">
        <f t="shared" ca="1" si="9"/>
        <v>7.MENG</v>
      </c>
      <c r="B57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79" s="47"/>
      <c r="D579" s="44"/>
      <c r="E579" s="44"/>
      <c r="F579" s="47"/>
      <c r="G579" s="47"/>
      <c r="H579" s="45"/>
      <c r="I579" s="45"/>
      <c r="J579" s="45"/>
      <c r="K579" s="45"/>
      <c r="L579" s="46"/>
      <c r="M579" s="47"/>
      <c r="N579" s="47"/>
      <c r="O579" s="47"/>
      <c r="P579" s="47"/>
      <c r="Q579" s="47"/>
      <c r="R579" s="47"/>
      <c r="S579" s="48"/>
      <c r="T579" s="68" t="str">
        <f>IF(Tableau1[[#This Row],[DMS_SAP]]="","",HYPERLINK(Tableau1[[#This Row],[Chemin fichier source]],"X"))</f>
        <v/>
      </c>
      <c r="U579" s="68" t="str">
        <f>IF(Tableau1[[#This Row],[Date rév.]]="","",HYPERLINK(Tableau1[[#This Row],[Lien document]],"X"))</f>
        <v/>
      </c>
      <c r="V579" s="47"/>
      <c r="W57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79" s="47"/>
      <c r="Y579" s="47"/>
      <c r="Z579" s="44" t="str">
        <f ca="1">IF(AND(Tableau1[[#This Row],[Charge]]&lt;&gt;0, Tableau1[[#This Row],[Nombre intervenants]]&lt;&gt;0,Tableau1[[#This Row],[Lien document]]&lt;&gt;0,Tableau1[[#This Row],[DMS_SAP]]&lt;&gt;0)=TRUE,"MIS A JOUR","")</f>
        <v/>
      </c>
      <c r="AA579" s="48"/>
      <c r="AB579" s="65" t="str">
        <f ca="1">IF(Tableau1[[#This Row],[Date rév.]]&lt;&gt;"", DAYS360(Tableau1[[#This Row],[Date rév.]],TODAY()),"")</f>
        <v/>
      </c>
      <c r="AC579" s="50" t="str">
        <f>IFERROR(INDEX(Chemin_accès!$B$11:$C$22,MATCH(Tableau1[[#This Row],[Type]],Chemin_accès!$C$11:$C$22,0),1),Chemin_accès!$B$11)</f>
        <v>\\stjn.local\trimet\Btechnique\Commun\Atelier Central mécanique\Plan entretien\Modèles préventif\GammeDMS_7.MENG.xlsm</v>
      </c>
      <c r="AD579" s="50" t="str">
        <f>Chemin_accès!$B$8&amp;Tableau1[[#This Row],[Localisation / Classement]]&amp;"\"&amp;Tableau1[[#This Row],[Poste technique ou N° d''équipement]]&amp;"_"&amp;Tableau1[[#This Row],[Plan Entretien]]&amp;".xlsm"</f>
        <v>\\stjn.local\trimet\Btechnique\Commun\Atelier Central mécanique\Plan entretien\GammeEntretien\\_.xlsm</v>
      </c>
    </row>
    <row r="580" spans="1:30" x14ac:dyDescent="0.3">
      <c r="A580" s="44" t="str">
        <f t="shared" ca="1" si="9"/>
        <v>7.MENG</v>
      </c>
      <c r="B58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80" s="47"/>
      <c r="D580" s="44"/>
      <c r="E580" s="44"/>
      <c r="F580" s="47"/>
      <c r="G580" s="47"/>
      <c r="H580" s="45"/>
      <c r="I580" s="45"/>
      <c r="J580" s="45"/>
      <c r="K580" s="45"/>
      <c r="L580" s="46"/>
      <c r="M580" s="47"/>
      <c r="N580" s="47"/>
      <c r="O580" s="47"/>
      <c r="P580" s="47"/>
      <c r="Q580" s="47"/>
      <c r="R580" s="47"/>
      <c r="S580" s="48"/>
      <c r="T580" s="68" t="str">
        <f>IF(Tableau1[[#This Row],[DMS_SAP]]="","",HYPERLINK(Tableau1[[#This Row],[Chemin fichier source]],"X"))</f>
        <v/>
      </c>
      <c r="U580" s="68" t="str">
        <f>IF(Tableau1[[#This Row],[Date rév.]]="","",HYPERLINK(Tableau1[[#This Row],[Lien document]],"X"))</f>
        <v/>
      </c>
      <c r="V580" s="47"/>
      <c r="W58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80" s="47"/>
      <c r="Y580" s="47"/>
      <c r="Z580" s="44" t="str">
        <f ca="1">IF(AND(Tableau1[[#This Row],[Charge]]&lt;&gt;0, Tableau1[[#This Row],[Nombre intervenants]]&lt;&gt;0,Tableau1[[#This Row],[Lien document]]&lt;&gt;0,Tableau1[[#This Row],[DMS_SAP]]&lt;&gt;0)=TRUE,"MIS A JOUR","")</f>
        <v/>
      </c>
      <c r="AA580" s="48"/>
      <c r="AB580" s="65" t="str">
        <f ca="1">IF(Tableau1[[#This Row],[Date rév.]]&lt;&gt;"", DAYS360(Tableau1[[#This Row],[Date rév.]],TODAY()),"")</f>
        <v/>
      </c>
      <c r="AC580" s="50" t="str">
        <f>IFERROR(INDEX(Chemin_accès!$B$11:$C$22,MATCH(Tableau1[[#This Row],[Type]],Chemin_accès!$C$11:$C$22,0),1),Chemin_accès!$B$11)</f>
        <v>\\stjn.local\trimet\Btechnique\Commun\Atelier Central mécanique\Plan entretien\Modèles préventif\GammeDMS_7.MENG.xlsm</v>
      </c>
      <c r="AD580" s="50" t="str">
        <f>Chemin_accès!$B$8&amp;Tableau1[[#This Row],[Localisation / Classement]]&amp;"\"&amp;Tableau1[[#This Row],[Poste technique ou N° d''équipement]]&amp;"_"&amp;Tableau1[[#This Row],[Plan Entretien]]&amp;".xlsm"</f>
        <v>\\stjn.local\trimet\Btechnique\Commun\Atelier Central mécanique\Plan entretien\GammeEntretien\\_.xlsm</v>
      </c>
    </row>
    <row r="581" spans="1:30" x14ac:dyDescent="0.3">
      <c r="A581" s="44" t="str">
        <f t="shared" ca="1" si="9"/>
        <v>7.MENG</v>
      </c>
      <c r="B58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81" s="47"/>
      <c r="D581" s="44"/>
      <c r="E581" s="44"/>
      <c r="F581" s="47"/>
      <c r="G581" s="47"/>
      <c r="H581" s="45"/>
      <c r="I581" s="45"/>
      <c r="J581" s="45"/>
      <c r="K581" s="45"/>
      <c r="L581" s="46"/>
      <c r="M581" s="47"/>
      <c r="N581" s="47"/>
      <c r="O581" s="47"/>
      <c r="P581" s="47"/>
      <c r="Q581" s="47"/>
      <c r="R581" s="47"/>
      <c r="S581" s="48"/>
      <c r="T581" s="68" t="str">
        <f>IF(Tableau1[[#This Row],[DMS_SAP]]="","",HYPERLINK(Tableau1[[#This Row],[Chemin fichier source]],"X"))</f>
        <v/>
      </c>
      <c r="U581" s="68" t="str">
        <f>IF(Tableau1[[#This Row],[Date rév.]]="","",HYPERLINK(Tableau1[[#This Row],[Lien document]],"X"))</f>
        <v/>
      </c>
      <c r="V581" s="47"/>
      <c r="W58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81" s="47"/>
      <c r="Y581" s="47"/>
      <c r="Z581" s="44" t="str">
        <f ca="1">IF(AND(Tableau1[[#This Row],[Charge]]&lt;&gt;0, Tableau1[[#This Row],[Nombre intervenants]]&lt;&gt;0,Tableau1[[#This Row],[Lien document]]&lt;&gt;0,Tableau1[[#This Row],[DMS_SAP]]&lt;&gt;0)=TRUE,"MIS A JOUR","")</f>
        <v/>
      </c>
      <c r="AA581" s="48"/>
      <c r="AB581" s="65" t="str">
        <f ca="1">IF(Tableau1[[#This Row],[Date rév.]]&lt;&gt;"", DAYS360(Tableau1[[#This Row],[Date rév.]],TODAY()),"")</f>
        <v/>
      </c>
      <c r="AC581" s="50" t="str">
        <f>IFERROR(INDEX(Chemin_accès!$B$11:$C$22,MATCH(Tableau1[[#This Row],[Type]],Chemin_accès!$C$11:$C$22,0),1),Chemin_accès!$B$11)</f>
        <v>\\stjn.local\trimet\Btechnique\Commun\Atelier Central mécanique\Plan entretien\Modèles préventif\GammeDMS_7.MENG.xlsm</v>
      </c>
      <c r="AD581" s="50" t="str">
        <f>Chemin_accès!$B$8&amp;Tableau1[[#This Row],[Localisation / Classement]]&amp;"\"&amp;Tableau1[[#This Row],[Poste technique ou N° d''équipement]]&amp;"_"&amp;Tableau1[[#This Row],[Plan Entretien]]&amp;".xlsm"</f>
        <v>\\stjn.local\trimet\Btechnique\Commun\Atelier Central mécanique\Plan entretien\GammeEntretien\\_.xlsm</v>
      </c>
    </row>
    <row r="582" spans="1:30" x14ac:dyDescent="0.3">
      <c r="A582" s="44" t="str">
        <f t="shared" ca="1" si="9"/>
        <v>7.MENG</v>
      </c>
      <c r="B58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82" s="47"/>
      <c r="D582" s="44"/>
      <c r="E582" s="44"/>
      <c r="F582" s="47"/>
      <c r="G582" s="47"/>
      <c r="H582" s="45"/>
      <c r="I582" s="45"/>
      <c r="J582" s="45"/>
      <c r="K582" s="45"/>
      <c r="L582" s="46"/>
      <c r="M582" s="47"/>
      <c r="N582" s="47"/>
      <c r="O582" s="47"/>
      <c r="P582" s="47"/>
      <c r="Q582" s="47"/>
      <c r="R582" s="47"/>
      <c r="S582" s="48"/>
      <c r="T582" s="68" t="str">
        <f>IF(Tableau1[[#This Row],[DMS_SAP]]="","",HYPERLINK(Tableau1[[#This Row],[Chemin fichier source]],"X"))</f>
        <v/>
      </c>
      <c r="U582" s="68" t="str">
        <f>IF(Tableau1[[#This Row],[Date rév.]]="","",HYPERLINK(Tableau1[[#This Row],[Lien document]],"X"))</f>
        <v/>
      </c>
      <c r="V582" s="47"/>
      <c r="W58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82" s="47"/>
      <c r="Y582" s="47"/>
      <c r="Z582" s="44" t="str">
        <f ca="1">IF(AND(Tableau1[[#This Row],[Charge]]&lt;&gt;0, Tableau1[[#This Row],[Nombre intervenants]]&lt;&gt;0,Tableau1[[#This Row],[Lien document]]&lt;&gt;0,Tableau1[[#This Row],[DMS_SAP]]&lt;&gt;0)=TRUE,"MIS A JOUR","")</f>
        <v/>
      </c>
      <c r="AA582" s="48"/>
      <c r="AB582" s="65" t="str">
        <f ca="1">IF(Tableau1[[#This Row],[Date rév.]]&lt;&gt;"", DAYS360(Tableau1[[#This Row],[Date rév.]],TODAY()),"")</f>
        <v/>
      </c>
      <c r="AC582" s="50" t="str">
        <f>IFERROR(INDEX(Chemin_accès!$B$11:$C$22,MATCH(Tableau1[[#This Row],[Type]],Chemin_accès!$C$11:$C$22,0),1),Chemin_accès!$B$11)</f>
        <v>\\stjn.local\trimet\Btechnique\Commun\Atelier Central mécanique\Plan entretien\Modèles préventif\GammeDMS_7.MENG.xlsm</v>
      </c>
      <c r="AD582" s="50" t="str">
        <f>Chemin_accès!$B$8&amp;Tableau1[[#This Row],[Localisation / Classement]]&amp;"\"&amp;Tableau1[[#This Row],[Poste technique ou N° d''équipement]]&amp;"_"&amp;Tableau1[[#This Row],[Plan Entretien]]&amp;".xlsm"</f>
        <v>\\stjn.local\trimet\Btechnique\Commun\Atelier Central mécanique\Plan entretien\GammeEntretien\\_.xlsm</v>
      </c>
    </row>
    <row r="583" spans="1:30" x14ac:dyDescent="0.3">
      <c r="A583" s="44" t="str">
        <f t="shared" ca="1" si="9"/>
        <v>7.MENG</v>
      </c>
      <c r="B58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83" s="47"/>
      <c r="D583" s="44"/>
      <c r="E583" s="44"/>
      <c r="F583" s="47"/>
      <c r="G583" s="47"/>
      <c r="H583" s="45"/>
      <c r="I583" s="45"/>
      <c r="J583" s="45"/>
      <c r="K583" s="45"/>
      <c r="L583" s="46"/>
      <c r="M583" s="47"/>
      <c r="N583" s="47"/>
      <c r="O583" s="47"/>
      <c r="P583" s="47"/>
      <c r="Q583" s="47"/>
      <c r="R583" s="47"/>
      <c r="S583" s="48"/>
      <c r="T583" s="68" t="str">
        <f>IF(Tableau1[[#This Row],[DMS_SAP]]="","",HYPERLINK(Tableau1[[#This Row],[Chemin fichier source]],"X"))</f>
        <v/>
      </c>
      <c r="U583" s="68" t="str">
        <f>IF(Tableau1[[#This Row],[Date rév.]]="","",HYPERLINK(Tableau1[[#This Row],[Lien document]],"X"))</f>
        <v/>
      </c>
      <c r="V583" s="47"/>
      <c r="W58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83" s="47"/>
      <c r="Y583" s="47"/>
      <c r="Z583" s="44" t="str">
        <f ca="1">IF(AND(Tableau1[[#This Row],[Charge]]&lt;&gt;0, Tableau1[[#This Row],[Nombre intervenants]]&lt;&gt;0,Tableau1[[#This Row],[Lien document]]&lt;&gt;0,Tableau1[[#This Row],[DMS_SAP]]&lt;&gt;0)=TRUE,"MIS A JOUR","")</f>
        <v/>
      </c>
      <c r="AA583" s="48"/>
      <c r="AB583" s="65" t="str">
        <f ca="1">IF(Tableau1[[#This Row],[Date rév.]]&lt;&gt;"", DAYS360(Tableau1[[#This Row],[Date rév.]],TODAY()),"")</f>
        <v/>
      </c>
      <c r="AC583" s="50" t="str">
        <f>IFERROR(INDEX(Chemin_accès!$B$11:$C$22,MATCH(Tableau1[[#This Row],[Type]],Chemin_accès!$C$11:$C$22,0),1),Chemin_accès!$B$11)</f>
        <v>\\stjn.local\trimet\Btechnique\Commun\Atelier Central mécanique\Plan entretien\Modèles préventif\GammeDMS_7.MENG.xlsm</v>
      </c>
      <c r="AD583" s="50" t="str">
        <f>Chemin_accès!$B$8&amp;Tableau1[[#This Row],[Localisation / Classement]]&amp;"\"&amp;Tableau1[[#This Row],[Poste technique ou N° d''équipement]]&amp;"_"&amp;Tableau1[[#This Row],[Plan Entretien]]&amp;".xlsm"</f>
        <v>\\stjn.local\trimet\Btechnique\Commun\Atelier Central mécanique\Plan entretien\GammeEntretien\\_.xlsm</v>
      </c>
    </row>
    <row r="584" spans="1:30" x14ac:dyDescent="0.3">
      <c r="A584" s="44" t="str">
        <f t="shared" ca="1" si="9"/>
        <v>7.MENG</v>
      </c>
      <c r="B58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84" s="47"/>
      <c r="D584" s="44"/>
      <c r="E584" s="44"/>
      <c r="F584" s="47"/>
      <c r="G584" s="47"/>
      <c r="H584" s="45"/>
      <c r="I584" s="45"/>
      <c r="J584" s="45"/>
      <c r="K584" s="45"/>
      <c r="L584" s="46"/>
      <c r="M584" s="47"/>
      <c r="N584" s="47"/>
      <c r="O584" s="47"/>
      <c r="P584" s="47"/>
      <c r="Q584" s="47"/>
      <c r="R584" s="47"/>
      <c r="S584" s="48"/>
      <c r="T584" s="68" t="str">
        <f>IF(Tableau1[[#This Row],[DMS_SAP]]="","",HYPERLINK(Tableau1[[#This Row],[Chemin fichier source]],"X"))</f>
        <v/>
      </c>
      <c r="U584" s="68" t="str">
        <f>IF(Tableau1[[#This Row],[Date rév.]]="","",HYPERLINK(Tableau1[[#This Row],[Lien document]],"X"))</f>
        <v/>
      </c>
      <c r="V584" s="47"/>
      <c r="W58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84" s="47"/>
      <c r="Y584" s="47"/>
      <c r="Z584" s="44" t="str">
        <f ca="1">IF(AND(Tableau1[[#This Row],[Charge]]&lt;&gt;0, Tableau1[[#This Row],[Nombre intervenants]]&lt;&gt;0,Tableau1[[#This Row],[Lien document]]&lt;&gt;0,Tableau1[[#This Row],[DMS_SAP]]&lt;&gt;0)=TRUE,"MIS A JOUR","")</f>
        <v/>
      </c>
      <c r="AA584" s="48"/>
      <c r="AB584" s="65" t="str">
        <f ca="1">IF(Tableau1[[#This Row],[Date rév.]]&lt;&gt;"", DAYS360(Tableau1[[#This Row],[Date rév.]],TODAY()),"")</f>
        <v/>
      </c>
      <c r="AC584" s="50" t="str">
        <f>IFERROR(INDEX(Chemin_accès!$B$11:$C$22,MATCH(Tableau1[[#This Row],[Type]],Chemin_accès!$C$11:$C$22,0),1),Chemin_accès!$B$11)</f>
        <v>\\stjn.local\trimet\Btechnique\Commun\Atelier Central mécanique\Plan entretien\Modèles préventif\GammeDMS_7.MENG.xlsm</v>
      </c>
      <c r="AD584" s="50" t="str">
        <f>Chemin_accès!$B$8&amp;Tableau1[[#This Row],[Localisation / Classement]]&amp;"\"&amp;Tableau1[[#This Row],[Poste technique ou N° d''équipement]]&amp;"_"&amp;Tableau1[[#This Row],[Plan Entretien]]&amp;".xlsm"</f>
        <v>\\stjn.local\trimet\Btechnique\Commun\Atelier Central mécanique\Plan entretien\GammeEntretien\\_.xlsm</v>
      </c>
    </row>
    <row r="585" spans="1:30" x14ac:dyDescent="0.3">
      <c r="A585" s="44" t="str">
        <f t="shared" ca="1" si="9"/>
        <v>7.MENG</v>
      </c>
      <c r="B58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85" s="47"/>
      <c r="D585" s="44"/>
      <c r="E585" s="44"/>
      <c r="F585" s="47"/>
      <c r="G585" s="47"/>
      <c r="H585" s="45"/>
      <c r="I585" s="45"/>
      <c r="J585" s="45"/>
      <c r="K585" s="45"/>
      <c r="L585" s="46"/>
      <c r="M585" s="47"/>
      <c r="N585" s="47"/>
      <c r="O585" s="47"/>
      <c r="P585" s="47"/>
      <c r="Q585" s="47"/>
      <c r="R585" s="47"/>
      <c r="S585" s="48"/>
      <c r="T585" s="68" t="str">
        <f>IF(Tableau1[[#This Row],[DMS_SAP]]="","",HYPERLINK(Tableau1[[#This Row],[Chemin fichier source]],"X"))</f>
        <v/>
      </c>
      <c r="U585" s="68" t="str">
        <f>IF(Tableau1[[#This Row],[Date rév.]]="","",HYPERLINK(Tableau1[[#This Row],[Lien document]],"X"))</f>
        <v/>
      </c>
      <c r="V585" s="47"/>
      <c r="W58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85" s="47"/>
      <c r="Y585" s="47"/>
      <c r="Z585" s="44" t="str">
        <f ca="1">IF(AND(Tableau1[[#This Row],[Charge]]&lt;&gt;0, Tableau1[[#This Row],[Nombre intervenants]]&lt;&gt;0,Tableau1[[#This Row],[Lien document]]&lt;&gt;0,Tableau1[[#This Row],[DMS_SAP]]&lt;&gt;0)=TRUE,"MIS A JOUR","")</f>
        <v/>
      </c>
      <c r="AA585" s="48"/>
      <c r="AB585" s="65" t="str">
        <f ca="1">IF(Tableau1[[#This Row],[Date rév.]]&lt;&gt;"", DAYS360(Tableau1[[#This Row],[Date rév.]],TODAY()),"")</f>
        <v/>
      </c>
      <c r="AC585" s="50" t="str">
        <f>IFERROR(INDEX(Chemin_accès!$B$11:$C$22,MATCH(Tableau1[[#This Row],[Type]],Chemin_accès!$C$11:$C$22,0),1),Chemin_accès!$B$11)</f>
        <v>\\stjn.local\trimet\Btechnique\Commun\Atelier Central mécanique\Plan entretien\Modèles préventif\GammeDMS_7.MENG.xlsm</v>
      </c>
      <c r="AD585" s="50" t="str">
        <f>Chemin_accès!$B$8&amp;Tableau1[[#This Row],[Localisation / Classement]]&amp;"\"&amp;Tableau1[[#This Row],[Poste technique ou N° d''équipement]]&amp;"_"&amp;Tableau1[[#This Row],[Plan Entretien]]&amp;".xlsm"</f>
        <v>\\stjn.local\trimet\Btechnique\Commun\Atelier Central mécanique\Plan entretien\GammeEntretien\\_.xlsm</v>
      </c>
    </row>
    <row r="586" spans="1:30" x14ac:dyDescent="0.3">
      <c r="A586" s="44" t="str">
        <f t="shared" ca="1" si="9"/>
        <v>7.MENG</v>
      </c>
      <c r="B58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86" s="47"/>
      <c r="D586" s="44"/>
      <c r="E586" s="44"/>
      <c r="F586" s="47"/>
      <c r="G586" s="47"/>
      <c r="H586" s="45"/>
      <c r="I586" s="45"/>
      <c r="J586" s="45"/>
      <c r="K586" s="45"/>
      <c r="L586" s="46"/>
      <c r="M586" s="47"/>
      <c r="N586" s="47"/>
      <c r="O586" s="47"/>
      <c r="P586" s="47"/>
      <c r="Q586" s="47"/>
      <c r="R586" s="47"/>
      <c r="S586" s="48"/>
      <c r="T586" s="68" t="str">
        <f>IF(Tableau1[[#This Row],[DMS_SAP]]="","",HYPERLINK(Tableau1[[#This Row],[Chemin fichier source]],"X"))</f>
        <v/>
      </c>
      <c r="U586" s="68" t="str">
        <f>IF(Tableau1[[#This Row],[Date rév.]]="","",HYPERLINK(Tableau1[[#This Row],[Lien document]],"X"))</f>
        <v/>
      </c>
      <c r="V586" s="47"/>
      <c r="W58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86" s="47"/>
      <c r="Y586" s="47"/>
      <c r="Z586" s="44" t="str">
        <f ca="1">IF(AND(Tableau1[[#This Row],[Charge]]&lt;&gt;0, Tableau1[[#This Row],[Nombre intervenants]]&lt;&gt;0,Tableau1[[#This Row],[Lien document]]&lt;&gt;0,Tableau1[[#This Row],[DMS_SAP]]&lt;&gt;0)=TRUE,"MIS A JOUR","")</f>
        <v/>
      </c>
      <c r="AA586" s="48"/>
      <c r="AB586" s="65" t="str">
        <f ca="1">IF(Tableau1[[#This Row],[Date rév.]]&lt;&gt;"", DAYS360(Tableau1[[#This Row],[Date rév.]],TODAY()),"")</f>
        <v/>
      </c>
      <c r="AC586" s="50" t="str">
        <f>IFERROR(INDEX(Chemin_accès!$B$11:$C$22,MATCH(Tableau1[[#This Row],[Type]],Chemin_accès!$C$11:$C$22,0),1),Chemin_accès!$B$11)</f>
        <v>\\stjn.local\trimet\Btechnique\Commun\Atelier Central mécanique\Plan entretien\Modèles préventif\GammeDMS_7.MENG.xlsm</v>
      </c>
      <c r="AD586" s="50" t="str">
        <f>Chemin_accès!$B$8&amp;Tableau1[[#This Row],[Localisation / Classement]]&amp;"\"&amp;Tableau1[[#This Row],[Poste technique ou N° d''équipement]]&amp;"_"&amp;Tableau1[[#This Row],[Plan Entretien]]&amp;".xlsm"</f>
        <v>\\stjn.local\trimet\Btechnique\Commun\Atelier Central mécanique\Plan entretien\GammeEntretien\\_.xlsm</v>
      </c>
    </row>
    <row r="587" spans="1:30" x14ac:dyDescent="0.3">
      <c r="A587" s="44" t="str">
        <f t="shared" ca="1" si="9"/>
        <v>7.MENG</v>
      </c>
      <c r="B58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87" s="47"/>
      <c r="D587" s="44"/>
      <c r="E587" s="44"/>
      <c r="F587" s="47"/>
      <c r="G587" s="47"/>
      <c r="H587" s="45"/>
      <c r="I587" s="45"/>
      <c r="J587" s="45"/>
      <c r="K587" s="45"/>
      <c r="L587" s="46"/>
      <c r="M587" s="47"/>
      <c r="N587" s="47"/>
      <c r="O587" s="47"/>
      <c r="P587" s="47"/>
      <c r="Q587" s="47"/>
      <c r="R587" s="47"/>
      <c r="S587" s="48"/>
      <c r="T587" s="68" t="str">
        <f>IF(Tableau1[[#This Row],[DMS_SAP]]="","",HYPERLINK(Tableau1[[#This Row],[Chemin fichier source]],"X"))</f>
        <v/>
      </c>
      <c r="U587" s="68" t="str">
        <f>IF(Tableau1[[#This Row],[Date rév.]]="","",HYPERLINK(Tableau1[[#This Row],[Lien document]],"X"))</f>
        <v/>
      </c>
      <c r="V587" s="47"/>
      <c r="W58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87" s="47"/>
      <c r="Y587" s="47"/>
      <c r="Z587" s="44" t="str">
        <f ca="1">IF(AND(Tableau1[[#This Row],[Charge]]&lt;&gt;0, Tableau1[[#This Row],[Nombre intervenants]]&lt;&gt;0,Tableau1[[#This Row],[Lien document]]&lt;&gt;0,Tableau1[[#This Row],[DMS_SAP]]&lt;&gt;0)=TRUE,"MIS A JOUR","")</f>
        <v/>
      </c>
      <c r="AA587" s="48"/>
      <c r="AB587" s="65" t="str">
        <f ca="1">IF(Tableau1[[#This Row],[Date rév.]]&lt;&gt;"", DAYS360(Tableau1[[#This Row],[Date rév.]],TODAY()),"")</f>
        <v/>
      </c>
      <c r="AC587" s="50" t="str">
        <f>IFERROR(INDEX(Chemin_accès!$B$11:$C$22,MATCH(Tableau1[[#This Row],[Type]],Chemin_accès!$C$11:$C$22,0),1),Chemin_accès!$B$11)</f>
        <v>\\stjn.local\trimet\Btechnique\Commun\Atelier Central mécanique\Plan entretien\Modèles préventif\GammeDMS_7.MENG.xlsm</v>
      </c>
      <c r="AD587" s="50" t="str">
        <f>Chemin_accès!$B$8&amp;Tableau1[[#This Row],[Localisation / Classement]]&amp;"\"&amp;Tableau1[[#This Row],[Poste technique ou N° d''équipement]]&amp;"_"&amp;Tableau1[[#This Row],[Plan Entretien]]&amp;".xlsm"</f>
        <v>\\stjn.local\trimet\Btechnique\Commun\Atelier Central mécanique\Plan entretien\GammeEntretien\\_.xlsm</v>
      </c>
    </row>
    <row r="588" spans="1:30" x14ac:dyDescent="0.3">
      <c r="A588" s="44" t="str">
        <f t="shared" ca="1" si="9"/>
        <v>7.MENG</v>
      </c>
      <c r="B58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88" s="47"/>
      <c r="D588" s="44"/>
      <c r="E588" s="44"/>
      <c r="F588" s="47"/>
      <c r="G588" s="47"/>
      <c r="H588" s="45"/>
      <c r="I588" s="45"/>
      <c r="J588" s="45"/>
      <c r="K588" s="45"/>
      <c r="L588" s="46"/>
      <c r="M588" s="47"/>
      <c r="N588" s="47"/>
      <c r="O588" s="47"/>
      <c r="P588" s="47"/>
      <c r="Q588" s="47"/>
      <c r="R588" s="47"/>
      <c r="S588" s="48"/>
      <c r="T588" s="68" t="str">
        <f>IF(Tableau1[[#This Row],[DMS_SAP]]="","",HYPERLINK(Tableau1[[#This Row],[Chemin fichier source]],"X"))</f>
        <v/>
      </c>
      <c r="U588" s="68" t="str">
        <f>IF(Tableau1[[#This Row],[Date rév.]]="","",HYPERLINK(Tableau1[[#This Row],[Lien document]],"X"))</f>
        <v/>
      </c>
      <c r="V588" s="47"/>
      <c r="W58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88" s="47"/>
      <c r="Y588" s="47"/>
      <c r="Z588" s="44" t="str">
        <f ca="1">IF(AND(Tableau1[[#This Row],[Charge]]&lt;&gt;0, Tableau1[[#This Row],[Nombre intervenants]]&lt;&gt;0,Tableau1[[#This Row],[Lien document]]&lt;&gt;0,Tableau1[[#This Row],[DMS_SAP]]&lt;&gt;0)=TRUE,"MIS A JOUR","")</f>
        <v/>
      </c>
      <c r="AA588" s="48"/>
      <c r="AB588" s="65" t="str">
        <f ca="1">IF(Tableau1[[#This Row],[Date rév.]]&lt;&gt;"", DAYS360(Tableau1[[#This Row],[Date rév.]],TODAY()),"")</f>
        <v/>
      </c>
      <c r="AC588" s="50" t="str">
        <f>IFERROR(INDEX(Chemin_accès!$B$11:$C$22,MATCH(Tableau1[[#This Row],[Type]],Chemin_accès!$C$11:$C$22,0),1),Chemin_accès!$B$11)</f>
        <v>\\stjn.local\trimet\Btechnique\Commun\Atelier Central mécanique\Plan entretien\Modèles préventif\GammeDMS_7.MENG.xlsm</v>
      </c>
      <c r="AD588" s="50" t="str">
        <f>Chemin_accès!$B$8&amp;Tableau1[[#This Row],[Localisation / Classement]]&amp;"\"&amp;Tableau1[[#This Row],[Poste technique ou N° d''équipement]]&amp;"_"&amp;Tableau1[[#This Row],[Plan Entretien]]&amp;".xlsm"</f>
        <v>\\stjn.local\trimet\Btechnique\Commun\Atelier Central mécanique\Plan entretien\GammeEntretien\\_.xlsm</v>
      </c>
    </row>
    <row r="589" spans="1:30" x14ac:dyDescent="0.3">
      <c r="A589" s="44" t="str">
        <f t="shared" ca="1" si="9"/>
        <v>7.MENG</v>
      </c>
      <c r="B58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89" s="47"/>
      <c r="D589" s="44"/>
      <c r="E589" s="44"/>
      <c r="F589" s="47"/>
      <c r="G589" s="47"/>
      <c r="H589" s="45"/>
      <c r="I589" s="45"/>
      <c r="J589" s="45"/>
      <c r="K589" s="45"/>
      <c r="L589" s="46"/>
      <c r="M589" s="47"/>
      <c r="N589" s="47"/>
      <c r="O589" s="47"/>
      <c r="P589" s="47"/>
      <c r="Q589" s="47"/>
      <c r="R589" s="47"/>
      <c r="S589" s="48"/>
      <c r="T589" s="68" t="str">
        <f>IF(Tableau1[[#This Row],[DMS_SAP]]="","",HYPERLINK(Tableau1[[#This Row],[Chemin fichier source]],"X"))</f>
        <v/>
      </c>
      <c r="U589" s="68" t="str">
        <f>IF(Tableau1[[#This Row],[Date rév.]]="","",HYPERLINK(Tableau1[[#This Row],[Lien document]],"X"))</f>
        <v/>
      </c>
      <c r="V589" s="47"/>
      <c r="W58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89" s="47"/>
      <c r="Y589" s="47"/>
      <c r="Z589" s="44" t="str">
        <f ca="1">IF(AND(Tableau1[[#This Row],[Charge]]&lt;&gt;0, Tableau1[[#This Row],[Nombre intervenants]]&lt;&gt;0,Tableau1[[#This Row],[Lien document]]&lt;&gt;0,Tableau1[[#This Row],[DMS_SAP]]&lt;&gt;0)=TRUE,"MIS A JOUR","")</f>
        <v/>
      </c>
      <c r="AA589" s="48"/>
      <c r="AB589" s="65" t="str">
        <f ca="1">IF(Tableau1[[#This Row],[Date rév.]]&lt;&gt;"", DAYS360(Tableau1[[#This Row],[Date rév.]],TODAY()),"")</f>
        <v/>
      </c>
      <c r="AC589" s="50" t="str">
        <f>IFERROR(INDEX(Chemin_accès!$B$11:$C$22,MATCH(Tableau1[[#This Row],[Type]],Chemin_accès!$C$11:$C$22,0),1),Chemin_accès!$B$11)</f>
        <v>\\stjn.local\trimet\Btechnique\Commun\Atelier Central mécanique\Plan entretien\Modèles préventif\GammeDMS_7.MENG.xlsm</v>
      </c>
      <c r="AD589" s="50" t="str">
        <f>Chemin_accès!$B$8&amp;Tableau1[[#This Row],[Localisation / Classement]]&amp;"\"&amp;Tableau1[[#This Row],[Poste technique ou N° d''équipement]]&amp;"_"&amp;Tableau1[[#This Row],[Plan Entretien]]&amp;".xlsm"</f>
        <v>\\stjn.local\trimet\Btechnique\Commun\Atelier Central mécanique\Plan entretien\GammeEntretien\\_.xlsm</v>
      </c>
    </row>
    <row r="590" spans="1:30" x14ac:dyDescent="0.3">
      <c r="A590" s="44" t="str">
        <f t="shared" ca="1" si="9"/>
        <v>7.MENG</v>
      </c>
      <c r="B59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90" s="47"/>
      <c r="D590" s="44"/>
      <c r="E590" s="44"/>
      <c r="F590" s="47"/>
      <c r="G590" s="47"/>
      <c r="H590" s="45"/>
      <c r="I590" s="45"/>
      <c r="J590" s="45"/>
      <c r="K590" s="45"/>
      <c r="L590" s="46"/>
      <c r="M590" s="47"/>
      <c r="N590" s="47"/>
      <c r="O590" s="47"/>
      <c r="P590" s="47"/>
      <c r="Q590" s="47"/>
      <c r="R590" s="47"/>
      <c r="S590" s="48"/>
      <c r="T590" s="68" t="str">
        <f>IF(Tableau1[[#This Row],[DMS_SAP]]="","",HYPERLINK(Tableau1[[#This Row],[Chemin fichier source]],"X"))</f>
        <v/>
      </c>
      <c r="U590" s="68" t="str">
        <f>IF(Tableau1[[#This Row],[Date rév.]]="","",HYPERLINK(Tableau1[[#This Row],[Lien document]],"X"))</f>
        <v/>
      </c>
      <c r="V590" s="47"/>
      <c r="W59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90" s="47"/>
      <c r="Y590" s="47"/>
      <c r="Z590" s="44" t="str">
        <f ca="1">IF(AND(Tableau1[[#This Row],[Charge]]&lt;&gt;0, Tableau1[[#This Row],[Nombre intervenants]]&lt;&gt;0,Tableau1[[#This Row],[Lien document]]&lt;&gt;0,Tableau1[[#This Row],[DMS_SAP]]&lt;&gt;0)=TRUE,"MIS A JOUR","")</f>
        <v/>
      </c>
      <c r="AA590" s="48"/>
      <c r="AB590" s="65" t="str">
        <f ca="1">IF(Tableau1[[#This Row],[Date rév.]]&lt;&gt;"", DAYS360(Tableau1[[#This Row],[Date rév.]],TODAY()),"")</f>
        <v/>
      </c>
      <c r="AC590" s="50" t="str">
        <f>IFERROR(INDEX(Chemin_accès!$B$11:$C$22,MATCH(Tableau1[[#This Row],[Type]],Chemin_accès!$C$11:$C$22,0),1),Chemin_accès!$B$11)</f>
        <v>\\stjn.local\trimet\Btechnique\Commun\Atelier Central mécanique\Plan entretien\Modèles préventif\GammeDMS_7.MENG.xlsm</v>
      </c>
      <c r="AD590" s="50" t="str">
        <f>Chemin_accès!$B$8&amp;Tableau1[[#This Row],[Localisation / Classement]]&amp;"\"&amp;Tableau1[[#This Row],[Poste technique ou N° d''équipement]]&amp;"_"&amp;Tableau1[[#This Row],[Plan Entretien]]&amp;".xlsm"</f>
        <v>\\stjn.local\trimet\Btechnique\Commun\Atelier Central mécanique\Plan entretien\GammeEntretien\\_.xlsm</v>
      </c>
    </row>
    <row r="591" spans="1:30" x14ac:dyDescent="0.3">
      <c r="A591" s="44" t="str">
        <f t="shared" ca="1" si="9"/>
        <v>7.MENG</v>
      </c>
      <c r="B59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91" s="47"/>
      <c r="D591" s="44"/>
      <c r="E591" s="44"/>
      <c r="F591" s="47"/>
      <c r="G591" s="47"/>
      <c r="H591" s="45"/>
      <c r="I591" s="45"/>
      <c r="J591" s="45"/>
      <c r="K591" s="45"/>
      <c r="L591" s="46"/>
      <c r="M591" s="47"/>
      <c r="N591" s="47"/>
      <c r="O591" s="47"/>
      <c r="P591" s="47"/>
      <c r="Q591" s="47"/>
      <c r="R591" s="47"/>
      <c r="S591" s="48"/>
      <c r="T591" s="68" t="str">
        <f>IF(Tableau1[[#This Row],[DMS_SAP]]="","",HYPERLINK(Tableau1[[#This Row],[Chemin fichier source]],"X"))</f>
        <v/>
      </c>
      <c r="U591" s="68" t="str">
        <f>IF(Tableau1[[#This Row],[Date rév.]]="","",HYPERLINK(Tableau1[[#This Row],[Lien document]],"X"))</f>
        <v/>
      </c>
      <c r="V591" s="47"/>
      <c r="W59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91" s="47"/>
      <c r="Y591" s="47"/>
      <c r="Z591" s="44" t="str">
        <f ca="1">IF(AND(Tableau1[[#This Row],[Charge]]&lt;&gt;0, Tableau1[[#This Row],[Nombre intervenants]]&lt;&gt;0,Tableau1[[#This Row],[Lien document]]&lt;&gt;0,Tableau1[[#This Row],[DMS_SAP]]&lt;&gt;0)=TRUE,"MIS A JOUR","")</f>
        <v/>
      </c>
      <c r="AA591" s="48"/>
      <c r="AB591" s="65" t="str">
        <f ca="1">IF(Tableau1[[#This Row],[Date rév.]]&lt;&gt;"", DAYS360(Tableau1[[#This Row],[Date rév.]],TODAY()),"")</f>
        <v/>
      </c>
      <c r="AC591" s="50" t="str">
        <f>IFERROR(INDEX(Chemin_accès!$B$11:$C$22,MATCH(Tableau1[[#This Row],[Type]],Chemin_accès!$C$11:$C$22,0),1),Chemin_accès!$B$11)</f>
        <v>\\stjn.local\trimet\Btechnique\Commun\Atelier Central mécanique\Plan entretien\Modèles préventif\GammeDMS_7.MENG.xlsm</v>
      </c>
      <c r="AD591" s="50" t="str">
        <f>Chemin_accès!$B$8&amp;Tableau1[[#This Row],[Localisation / Classement]]&amp;"\"&amp;Tableau1[[#This Row],[Poste technique ou N° d''équipement]]&amp;"_"&amp;Tableau1[[#This Row],[Plan Entretien]]&amp;".xlsm"</f>
        <v>\\stjn.local\trimet\Btechnique\Commun\Atelier Central mécanique\Plan entretien\GammeEntretien\\_.xlsm</v>
      </c>
    </row>
    <row r="592" spans="1:30" x14ac:dyDescent="0.3">
      <c r="A592" s="44" t="str">
        <f t="shared" ca="1" si="9"/>
        <v>7.MENG</v>
      </c>
      <c r="B59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92" s="47"/>
      <c r="D592" s="44"/>
      <c r="E592" s="44"/>
      <c r="F592" s="47"/>
      <c r="G592" s="47"/>
      <c r="H592" s="45"/>
      <c r="I592" s="45"/>
      <c r="J592" s="45"/>
      <c r="K592" s="45"/>
      <c r="L592" s="46"/>
      <c r="M592" s="47"/>
      <c r="N592" s="47"/>
      <c r="O592" s="47"/>
      <c r="P592" s="47"/>
      <c r="Q592" s="47"/>
      <c r="R592" s="47"/>
      <c r="S592" s="48"/>
      <c r="T592" s="68" t="str">
        <f>IF(Tableau1[[#This Row],[DMS_SAP]]="","",HYPERLINK(Tableau1[[#This Row],[Chemin fichier source]],"X"))</f>
        <v/>
      </c>
      <c r="U592" s="68" t="str">
        <f>IF(Tableau1[[#This Row],[Date rév.]]="","",HYPERLINK(Tableau1[[#This Row],[Lien document]],"X"))</f>
        <v/>
      </c>
      <c r="V592" s="47"/>
      <c r="W59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92" s="47"/>
      <c r="Y592" s="47"/>
      <c r="Z592" s="44" t="str">
        <f ca="1">IF(AND(Tableau1[[#This Row],[Charge]]&lt;&gt;0, Tableau1[[#This Row],[Nombre intervenants]]&lt;&gt;0,Tableau1[[#This Row],[Lien document]]&lt;&gt;0,Tableau1[[#This Row],[DMS_SAP]]&lt;&gt;0)=TRUE,"MIS A JOUR","")</f>
        <v/>
      </c>
      <c r="AA592" s="48"/>
      <c r="AB592" s="65" t="str">
        <f ca="1">IF(Tableau1[[#This Row],[Date rév.]]&lt;&gt;"", DAYS360(Tableau1[[#This Row],[Date rév.]],TODAY()),"")</f>
        <v/>
      </c>
      <c r="AC592" s="50" t="str">
        <f>IFERROR(INDEX(Chemin_accès!$B$11:$C$22,MATCH(Tableau1[[#This Row],[Type]],Chemin_accès!$C$11:$C$22,0),1),Chemin_accès!$B$11)</f>
        <v>\\stjn.local\trimet\Btechnique\Commun\Atelier Central mécanique\Plan entretien\Modèles préventif\GammeDMS_7.MENG.xlsm</v>
      </c>
      <c r="AD592" s="50" t="str">
        <f>Chemin_accès!$B$8&amp;Tableau1[[#This Row],[Localisation / Classement]]&amp;"\"&amp;Tableau1[[#This Row],[Poste technique ou N° d''équipement]]&amp;"_"&amp;Tableau1[[#This Row],[Plan Entretien]]&amp;".xlsm"</f>
        <v>\\stjn.local\trimet\Btechnique\Commun\Atelier Central mécanique\Plan entretien\GammeEntretien\\_.xlsm</v>
      </c>
    </row>
    <row r="593" spans="1:30" x14ac:dyDescent="0.3">
      <c r="A593" s="44" t="str">
        <f t="shared" ca="1" si="9"/>
        <v>7.MENG</v>
      </c>
      <c r="B59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93" s="47"/>
      <c r="D593" s="44"/>
      <c r="E593" s="44"/>
      <c r="F593" s="47"/>
      <c r="G593" s="47"/>
      <c r="H593" s="45"/>
      <c r="I593" s="45"/>
      <c r="J593" s="45"/>
      <c r="K593" s="45"/>
      <c r="L593" s="46"/>
      <c r="M593" s="47"/>
      <c r="N593" s="47"/>
      <c r="O593" s="47"/>
      <c r="P593" s="47"/>
      <c r="Q593" s="47"/>
      <c r="R593" s="47"/>
      <c r="S593" s="48"/>
      <c r="T593" s="68" t="str">
        <f>IF(Tableau1[[#This Row],[DMS_SAP]]="","",HYPERLINK(Tableau1[[#This Row],[Chemin fichier source]],"X"))</f>
        <v/>
      </c>
      <c r="U593" s="68" t="str">
        <f>IF(Tableau1[[#This Row],[Date rév.]]="","",HYPERLINK(Tableau1[[#This Row],[Lien document]],"X"))</f>
        <v/>
      </c>
      <c r="V593" s="47"/>
      <c r="W59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93" s="47"/>
      <c r="Y593" s="47"/>
      <c r="Z593" s="44" t="str">
        <f ca="1">IF(AND(Tableau1[[#This Row],[Charge]]&lt;&gt;0, Tableau1[[#This Row],[Nombre intervenants]]&lt;&gt;0,Tableau1[[#This Row],[Lien document]]&lt;&gt;0,Tableau1[[#This Row],[DMS_SAP]]&lt;&gt;0)=TRUE,"MIS A JOUR","")</f>
        <v/>
      </c>
      <c r="AA593" s="48"/>
      <c r="AB593" s="65" t="str">
        <f ca="1">IF(Tableau1[[#This Row],[Date rév.]]&lt;&gt;"", DAYS360(Tableau1[[#This Row],[Date rév.]],TODAY()),"")</f>
        <v/>
      </c>
      <c r="AC593" s="50" t="str">
        <f>IFERROR(INDEX(Chemin_accès!$B$11:$C$22,MATCH(Tableau1[[#This Row],[Type]],Chemin_accès!$C$11:$C$22,0),1),Chemin_accès!$B$11)</f>
        <v>\\stjn.local\trimet\Btechnique\Commun\Atelier Central mécanique\Plan entretien\Modèles préventif\GammeDMS_7.MENG.xlsm</v>
      </c>
      <c r="AD593" s="50" t="str">
        <f>Chemin_accès!$B$8&amp;Tableau1[[#This Row],[Localisation / Classement]]&amp;"\"&amp;Tableau1[[#This Row],[Poste technique ou N° d''équipement]]&amp;"_"&amp;Tableau1[[#This Row],[Plan Entretien]]&amp;".xlsm"</f>
        <v>\\stjn.local\trimet\Btechnique\Commun\Atelier Central mécanique\Plan entretien\GammeEntretien\\_.xlsm</v>
      </c>
    </row>
    <row r="594" spans="1:30" x14ac:dyDescent="0.3">
      <c r="A594" s="44" t="str">
        <f t="shared" ca="1" si="9"/>
        <v>7.MENG</v>
      </c>
      <c r="B59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94" s="47"/>
      <c r="D594" s="44"/>
      <c r="E594" s="44"/>
      <c r="F594" s="47"/>
      <c r="G594" s="47"/>
      <c r="H594" s="45"/>
      <c r="I594" s="45"/>
      <c r="J594" s="45"/>
      <c r="K594" s="45"/>
      <c r="L594" s="46"/>
      <c r="M594" s="47"/>
      <c r="N594" s="47"/>
      <c r="O594" s="47"/>
      <c r="P594" s="47"/>
      <c r="Q594" s="47"/>
      <c r="R594" s="47"/>
      <c r="S594" s="48"/>
      <c r="T594" s="68" t="str">
        <f>IF(Tableau1[[#This Row],[DMS_SAP]]="","",HYPERLINK(Tableau1[[#This Row],[Chemin fichier source]],"X"))</f>
        <v/>
      </c>
      <c r="U594" s="68" t="str">
        <f>IF(Tableau1[[#This Row],[Date rév.]]="","",HYPERLINK(Tableau1[[#This Row],[Lien document]],"X"))</f>
        <v/>
      </c>
      <c r="V594" s="47"/>
      <c r="W59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94" s="47"/>
      <c r="Y594" s="47"/>
      <c r="Z594" s="44" t="str">
        <f ca="1">IF(AND(Tableau1[[#This Row],[Charge]]&lt;&gt;0, Tableau1[[#This Row],[Nombre intervenants]]&lt;&gt;0,Tableau1[[#This Row],[Lien document]]&lt;&gt;0,Tableau1[[#This Row],[DMS_SAP]]&lt;&gt;0)=TRUE,"MIS A JOUR","")</f>
        <v/>
      </c>
      <c r="AA594" s="48"/>
      <c r="AB594" s="65" t="str">
        <f ca="1">IF(Tableau1[[#This Row],[Date rév.]]&lt;&gt;"", DAYS360(Tableau1[[#This Row],[Date rév.]],TODAY()),"")</f>
        <v/>
      </c>
      <c r="AC594" s="50" t="str">
        <f>IFERROR(INDEX(Chemin_accès!$B$11:$C$22,MATCH(Tableau1[[#This Row],[Type]],Chemin_accès!$C$11:$C$22,0),1),Chemin_accès!$B$11)</f>
        <v>\\stjn.local\trimet\Btechnique\Commun\Atelier Central mécanique\Plan entretien\Modèles préventif\GammeDMS_7.MENG.xlsm</v>
      </c>
      <c r="AD594" s="50" t="str">
        <f>Chemin_accès!$B$8&amp;Tableau1[[#This Row],[Localisation / Classement]]&amp;"\"&amp;Tableau1[[#This Row],[Poste technique ou N° d''équipement]]&amp;"_"&amp;Tableau1[[#This Row],[Plan Entretien]]&amp;".xlsm"</f>
        <v>\\stjn.local\trimet\Btechnique\Commun\Atelier Central mécanique\Plan entretien\GammeEntretien\\_.xlsm</v>
      </c>
    </row>
    <row r="595" spans="1:30" x14ac:dyDescent="0.3">
      <c r="A595" s="44" t="str">
        <f t="shared" ca="1" si="9"/>
        <v>7.MENG</v>
      </c>
      <c r="B59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95" s="47"/>
      <c r="D595" s="44"/>
      <c r="E595" s="44"/>
      <c r="F595" s="47"/>
      <c r="G595" s="47"/>
      <c r="H595" s="45"/>
      <c r="I595" s="45"/>
      <c r="J595" s="45"/>
      <c r="K595" s="45"/>
      <c r="L595" s="46"/>
      <c r="M595" s="47"/>
      <c r="N595" s="47"/>
      <c r="O595" s="47"/>
      <c r="P595" s="47"/>
      <c r="Q595" s="47"/>
      <c r="R595" s="47"/>
      <c r="S595" s="48"/>
      <c r="T595" s="68" t="str">
        <f>IF(Tableau1[[#This Row],[DMS_SAP]]="","",HYPERLINK(Tableau1[[#This Row],[Chemin fichier source]],"X"))</f>
        <v/>
      </c>
      <c r="U595" s="68" t="str">
        <f>IF(Tableau1[[#This Row],[Date rév.]]="","",HYPERLINK(Tableau1[[#This Row],[Lien document]],"X"))</f>
        <v/>
      </c>
      <c r="V595" s="47"/>
      <c r="W59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95" s="47"/>
      <c r="Y595" s="47"/>
      <c r="Z595" s="44" t="str">
        <f ca="1">IF(AND(Tableau1[[#This Row],[Charge]]&lt;&gt;0, Tableau1[[#This Row],[Nombre intervenants]]&lt;&gt;0,Tableau1[[#This Row],[Lien document]]&lt;&gt;0,Tableau1[[#This Row],[DMS_SAP]]&lt;&gt;0)=TRUE,"MIS A JOUR","")</f>
        <v/>
      </c>
      <c r="AA595" s="48"/>
      <c r="AB595" s="65" t="str">
        <f ca="1">IF(Tableau1[[#This Row],[Date rév.]]&lt;&gt;"", DAYS360(Tableau1[[#This Row],[Date rév.]],TODAY()),"")</f>
        <v/>
      </c>
      <c r="AC595" s="50" t="str">
        <f>IFERROR(INDEX(Chemin_accès!$B$11:$C$22,MATCH(Tableau1[[#This Row],[Type]],Chemin_accès!$C$11:$C$22,0),1),Chemin_accès!$B$11)</f>
        <v>\\stjn.local\trimet\Btechnique\Commun\Atelier Central mécanique\Plan entretien\Modèles préventif\GammeDMS_7.MENG.xlsm</v>
      </c>
      <c r="AD595" s="50" t="str">
        <f>Chemin_accès!$B$8&amp;Tableau1[[#This Row],[Localisation / Classement]]&amp;"\"&amp;Tableau1[[#This Row],[Poste technique ou N° d''équipement]]&amp;"_"&amp;Tableau1[[#This Row],[Plan Entretien]]&amp;".xlsm"</f>
        <v>\\stjn.local\trimet\Btechnique\Commun\Atelier Central mécanique\Plan entretien\GammeEntretien\\_.xlsm</v>
      </c>
    </row>
    <row r="596" spans="1:30" x14ac:dyDescent="0.3">
      <c r="A596" s="44" t="str">
        <f t="shared" ca="1" si="9"/>
        <v>7.MENG</v>
      </c>
      <c r="B59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96" s="47"/>
      <c r="D596" s="44"/>
      <c r="E596" s="44"/>
      <c r="F596" s="47"/>
      <c r="G596" s="47"/>
      <c r="H596" s="45"/>
      <c r="I596" s="45"/>
      <c r="J596" s="45"/>
      <c r="K596" s="45"/>
      <c r="L596" s="46"/>
      <c r="M596" s="47"/>
      <c r="N596" s="47"/>
      <c r="O596" s="47"/>
      <c r="P596" s="47"/>
      <c r="Q596" s="47"/>
      <c r="R596" s="47"/>
      <c r="S596" s="48"/>
      <c r="T596" s="68" t="str">
        <f>IF(Tableau1[[#This Row],[DMS_SAP]]="","",HYPERLINK(Tableau1[[#This Row],[Chemin fichier source]],"X"))</f>
        <v/>
      </c>
      <c r="U596" s="68" t="str">
        <f>IF(Tableau1[[#This Row],[Date rév.]]="","",HYPERLINK(Tableau1[[#This Row],[Lien document]],"X"))</f>
        <v/>
      </c>
      <c r="V596" s="47"/>
      <c r="W59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96" s="47"/>
      <c r="Y596" s="47"/>
      <c r="Z596" s="44" t="str">
        <f ca="1">IF(AND(Tableau1[[#This Row],[Charge]]&lt;&gt;0, Tableau1[[#This Row],[Nombre intervenants]]&lt;&gt;0,Tableau1[[#This Row],[Lien document]]&lt;&gt;0,Tableau1[[#This Row],[DMS_SAP]]&lt;&gt;0)=TRUE,"MIS A JOUR","")</f>
        <v/>
      </c>
      <c r="AA596" s="48"/>
      <c r="AB596" s="65" t="str">
        <f ca="1">IF(Tableau1[[#This Row],[Date rév.]]&lt;&gt;"", DAYS360(Tableau1[[#This Row],[Date rév.]],TODAY()),"")</f>
        <v/>
      </c>
      <c r="AC596" s="50" t="str">
        <f>IFERROR(INDEX(Chemin_accès!$B$11:$C$22,MATCH(Tableau1[[#This Row],[Type]],Chemin_accès!$C$11:$C$22,0),1),Chemin_accès!$B$11)</f>
        <v>\\stjn.local\trimet\Btechnique\Commun\Atelier Central mécanique\Plan entretien\Modèles préventif\GammeDMS_7.MENG.xlsm</v>
      </c>
      <c r="AD596" s="50" t="str">
        <f>Chemin_accès!$B$8&amp;Tableau1[[#This Row],[Localisation / Classement]]&amp;"\"&amp;Tableau1[[#This Row],[Poste technique ou N° d''équipement]]&amp;"_"&amp;Tableau1[[#This Row],[Plan Entretien]]&amp;".xlsm"</f>
        <v>\\stjn.local\trimet\Btechnique\Commun\Atelier Central mécanique\Plan entretien\GammeEntretien\\_.xlsm</v>
      </c>
    </row>
    <row r="597" spans="1:30" x14ac:dyDescent="0.3">
      <c r="A597" s="44" t="str">
        <f t="shared" ca="1" si="9"/>
        <v>7.MENG</v>
      </c>
      <c r="B59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97" s="47"/>
      <c r="D597" s="44"/>
      <c r="E597" s="44"/>
      <c r="F597" s="47"/>
      <c r="G597" s="47"/>
      <c r="H597" s="45"/>
      <c r="I597" s="45"/>
      <c r="J597" s="45"/>
      <c r="K597" s="45"/>
      <c r="L597" s="46"/>
      <c r="M597" s="47"/>
      <c r="N597" s="47"/>
      <c r="O597" s="47"/>
      <c r="P597" s="47"/>
      <c r="Q597" s="47"/>
      <c r="R597" s="47"/>
      <c r="S597" s="48"/>
      <c r="T597" s="68" t="str">
        <f>IF(Tableau1[[#This Row],[DMS_SAP]]="","",HYPERLINK(Tableau1[[#This Row],[Chemin fichier source]],"X"))</f>
        <v/>
      </c>
      <c r="U597" s="68" t="str">
        <f>IF(Tableau1[[#This Row],[Date rév.]]="","",HYPERLINK(Tableau1[[#This Row],[Lien document]],"X"))</f>
        <v/>
      </c>
      <c r="V597" s="47"/>
      <c r="W59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97" s="47"/>
      <c r="Y597" s="47"/>
      <c r="Z597" s="44" t="str">
        <f ca="1">IF(AND(Tableau1[[#This Row],[Charge]]&lt;&gt;0, Tableau1[[#This Row],[Nombre intervenants]]&lt;&gt;0,Tableau1[[#This Row],[Lien document]]&lt;&gt;0,Tableau1[[#This Row],[DMS_SAP]]&lt;&gt;0)=TRUE,"MIS A JOUR","")</f>
        <v/>
      </c>
      <c r="AA597" s="48"/>
      <c r="AB597" s="65" t="str">
        <f ca="1">IF(Tableau1[[#This Row],[Date rév.]]&lt;&gt;"", DAYS360(Tableau1[[#This Row],[Date rév.]],TODAY()),"")</f>
        <v/>
      </c>
      <c r="AC597" s="50" t="str">
        <f>IFERROR(INDEX(Chemin_accès!$B$11:$C$22,MATCH(Tableau1[[#This Row],[Type]],Chemin_accès!$C$11:$C$22,0),1),Chemin_accès!$B$11)</f>
        <v>\\stjn.local\trimet\Btechnique\Commun\Atelier Central mécanique\Plan entretien\Modèles préventif\GammeDMS_7.MENG.xlsm</v>
      </c>
      <c r="AD597" s="50" t="str">
        <f>Chemin_accès!$B$8&amp;Tableau1[[#This Row],[Localisation / Classement]]&amp;"\"&amp;Tableau1[[#This Row],[Poste technique ou N° d''équipement]]&amp;"_"&amp;Tableau1[[#This Row],[Plan Entretien]]&amp;".xlsm"</f>
        <v>\\stjn.local\trimet\Btechnique\Commun\Atelier Central mécanique\Plan entretien\GammeEntretien\\_.xlsm</v>
      </c>
    </row>
    <row r="598" spans="1:30" x14ac:dyDescent="0.3">
      <c r="A598" s="44" t="str">
        <f t="shared" ca="1" si="9"/>
        <v>7.MENG</v>
      </c>
      <c r="B59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98" s="47"/>
      <c r="D598" s="44"/>
      <c r="E598" s="44"/>
      <c r="F598" s="47"/>
      <c r="G598" s="47"/>
      <c r="H598" s="45"/>
      <c r="I598" s="45"/>
      <c r="J598" s="45"/>
      <c r="K598" s="45"/>
      <c r="L598" s="46"/>
      <c r="M598" s="47"/>
      <c r="N598" s="47"/>
      <c r="O598" s="47"/>
      <c r="P598" s="47"/>
      <c r="Q598" s="47"/>
      <c r="R598" s="47"/>
      <c r="S598" s="48"/>
      <c r="T598" s="68" t="str">
        <f>IF(Tableau1[[#This Row],[DMS_SAP]]="","",HYPERLINK(Tableau1[[#This Row],[Chemin fichier source]],"X"))</f>
        <v/>
      </c>
      <c r="U598" s="68" t="str">
        <f>IF(Tableau1[[#This Row],[Date rév.]]="","",HYPERLINK(Tableau1[[#This Row],[Lien document]],"X"))</f>
        <v/>
      </c>
      <c r="V598" s="47"/>
      <c r="W59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98" s="47"/>
      <c r="Y598" s="47"/>
      <c r="Z598" s="44" t="str">
        <f ca="1">IF(AND(Tableau1[[#This Row],[Charge]]&lt;&gt;0, Tableau1[[#This Row],[Nombre intervenants]]&lt;&gt;0,Tableau1[[#This Row],[Lien document]]&lt;&gt;0,Tableau1[[#This Row],[DMS_SAP]]&lt;&gt;0)=TRUE,"MIS A JOUR","")</f>
        <v/>
      </c>
      <c r="AA598" s="48"/>
      <c r="AB598" s="65" t="str">
        <f ca="1">IF(Tableau1[[#This Row],[Date rév.]]&lt;&gt;"", DAYS360(Tableau1[[#This Row],[Date rév.]],TODAY()),"")</f>
        <v/>
      </c>
      <c r="AC598" s="50" t="str">
        <f>IFERROR(INDEX(Chemin_accès!$B$11:$C$22,MATCH(Tableau1[[#This Row],[Type]],Chemin_accès!$C$11:$C$22,0),1),Chemin_accès!$B$11)</f>
        <v>\\stjn.local\trimet\Btechnique\Commun\Atelier Central mécanique\Plan entretien\Modèles préventif\GammeDMS_7.MENG.xlsm</v>
      </c>
      <c r="AD598" s="50" t="str">
        <f>Chemin_accès!$B$8&amp;Tableau1[[#This Row],[Localisation / Classement]]&amp;"\"&amp;Tableau1[[#This Row],[Poste technique ou N° d''équipement]]&amp;"_"&amp;Tableau1[[#This Row],[Plan Entretien]]&amp;".xlsm"</f>
        <v>\\stjn.local\trimet\Btechnique\Commun\Atelier Central mécanique\Plan entretien\GammeEntretien\\_.xlsm</v>
      </c>
    </row>
    <row r="599" spans="1:30" x14ac:dyDescent="0.3">
      <c r="A599" s="44" t="str">
        <f t="shared" ca="1" si="9"/>
        <v>7.MENG</v>
      </c>
      <c r="B59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599" s="47"/>
      <c r="D599" s="44"/>
      <c r="E599" s="44"/>
      <c r="F599" s="47"/>
      <c r="G599" s="47"/>
      <c r="H599" s="45"/>
      <c r="I599" s="45"/>
      <c r="J599" s="45"/>
      <c r="K599" s="45"/>
      <c r="L599" s="46"/>
      <c r="M599" s="47"/>
      <c r="N599" s="47"/>
      <c r="O599" s="47"/>
      <c r="P599" s="47"/>
      <c r="Q599" s="47"/>
      <c r="R599" s="47"/>
      <c r="S599" s="48"/>
      <c r="T599" s="68" t="str">
        <f>IF(Tableau1[[#This Row],[DMS_SAP]]="","",HYPERLINK(Tableau1[[#This Row],[Chemin fichier source]],"X"))</f>
        <v/>
      </c>
      <c r="U599" s="68" t="str">
        <f>IF(Tableau1[[#This Row],[Date rév.]]="","",HYPERLINK(Tableau1[[#This Row],[Lien document]],"X"))</f>
        <v/>
      </c>
      <c r="V599" s="47"/>
      <c r="W59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599" s="47"/>
      <c r="Y599" s="47"/>
      <c r="Z599" s="44" t="str">
        <f ca="1">IF(AND(Tableau1[[#This Row],[Charge]]&lt;&gt;0, Tableau1[[#This Row],[Nombre intervenants]]&lt;&gt;0,Tableau1[[#This Row],[Lien document]]&lt;&gt;0,Tableau1[[#This Row],[DMS_SAP]]&lt;&gt;0)=TRUE,"MIS A JOUR","")</f>
        <v/>
      </c>
      <c r="AA599" s="48"/>
      <c r="AB599" s="65" t="str">
        <f ca="1">IF(Tableau1[[#This Row],[Date rév.]]&lt;&gt;"", DAYS360(Tableau1[[#This Row],[Date rév.]],TODAY()),"")</f>
        <v/>
      </c>
      <c r="AC599" s="50" t="str">
        <f>IFERROR(INDEX(Chemin_accès!$B$11:$C$22,MATCH(Tableau1[[#This Row],[Type]],Chemin_accès!$C$11:$C$22,0),1),Chemin_accès!$B$11)</f>
        <v>\\stjn.local\trimet\Btechnique\Commun\Atelier Central mécanique\Plan entretien\Modèles préventif\GammeDMS_7.MENG.xlsm</v>
      </c>
      <c r="AD599" s="50" t="str">
        <f>Chemin_accès!$B$8&amp;Tableau1[[#This Row],[Localisation / Classement]]&amp;"\"&amp;Tableau1[[#This Row],[Poste technique ou N° d''équipement]]&amp;"_"&amp;Tableau1[[#This Row],[Plan Entretien]]&amp;".xlsm"</f>
        <v>\\stjn.local\trimet\Btechnique\Commun\Atelier Central mécanique\Plan entretien\GammeEntretien\\_.xlsm</v>
      </c>
    </row>
    <row r="600" spans="1:30" x14ac:dyDescent="0.3">
      <c r="A600" s="44" t="str">
        <f t="shared" ca="1" si="9"/>
        <v>7.MENG</v>
      </c>
      <c r="B60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00" s="47"/>
      <c r="D600" s="44"/>
      <c r="E600" s="44"/>
      <c r="F600" s="47"/>
      <c r="G600" s="47"/>
      <c r="H600" s="45"/>
      <c r="I600" s="45"/>
      <c r="J600" s="45"/>
      <c r="K600" s="45"/>
      <c r="L600" s="46"/>
      <c r="M600" s="47"/>
      <c r="N600" s="47"/>
      <c r="O600" s="47"/>
      <c r="P600" s="47"/>
      <c r="Q600" s="47"/>
      <c r="R600" s="47"/>
      <c r="S600" s="48"/>
      <c r="T600" s="68" t="str">
        <f>IF(Tableau1[[#This Row],[DMS_SAP]]="","",HYPERLINK(Tableau1[[#This Row],[Chemin fichier source]],"X"))</f>
        <v/>
      </c>
      <c r="U600" s="68" t="str">
        <f>IF(Tableau1[[#This Row],[Date rév.]]="","",HYPERLINK(Tableau1[[#This Row],[Lien document]],"X"))</f>
        <v/>
      </c>
      <c r="V600" s="47"/>
      <c r="W60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00" s="47"/>
      <c r="Y600" s="47"/>
      <c r="Z600" s="44" t="str">
        <f ca="1">IF(AND(Tableau1[[#This Row],[Charge]]&lt;&gt;0, Tableau1[[#This Row],[Nombre intervenants]]&lt;&gt;0,Tableau1[[#This Row],[Lien document]]&lt;&gt;0,Tableau1[[#This Row],[DMS_SAP]]&lt;&gt;0)=TRUE,"MIS A JOUR","")</f>
        <v/>
      </c>
      <c r="AA600" s="48"/>
      <c r="AB600" s="65" t="str">
        <f ca="1">IF(Tableau1[[#This Row],[Date rév.]]&lt;&gt;"", DAYS360(Tableau1[[#This Row],[Date rév.]],TODAY()),"")</f>
        <v/>
      </c>
      <c r="AC600" s="50" t="str">
        <f>IFERROR(INDEX(Chemin_accès!$B$11:$C$22,MATCH(Tableau1[[#This Row],[Type]],Chemin_accès!$C$11:$C$22,0),1),Chemin_accès!$B$11)</f>
        <v>\\stjn.local\trimet\Btechnique\Commun\Atelier Central mécanique\Plan entretien\Modèles préventif\GammeDMS_7.MENG.xlsm</v>
      </c>
      <c r="AD600" s="50" t="str">
        <f>Chemin_accès!$B$8&amp;Tableau1[[#This Row],[Localisation / Classement]]&amp;"\"&amp;Tableau1[[#This Row],[Poste technique ou N° d''équipement]]&amp;"_"&amp;Tableau1[[#This Row],[Plan Entretien]]&amp;".xlsm"</f>
        <v>\\stjn.local\trimet\Btechnique\Commun\Atelier Central mécanique\Plan entretien\GammeEntretien\\_.xlsm</v>
      </c>
    </row>
    <row r="601" spans="1:30" x14ac:dyDescent="0.3">
      <c r="A601" s="44" t="str">
        <f t="shared" ca="1" si="9"/>
        <v>7.MENG</v>
      </c>
      <c r="B60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01" s="47"/>
      <c r="D601" s="44"/>
      <c r="E601" s="44"/>
      <c r="F601" s="47"/>
      <c r="G601" s="47"/>
      <c r="H601" s="45"/>
      <c r="I601" s="45"/>
      <c r="J601" s="45"/>
      <c r="K601" s="45"/>
      <c r="L601" s="46"/>
      <c r="M601" s="47"/>
      <c r="N601" s="47"/>
      <c r="O601" s="47"/>
      <c r="P601" s="47"/>
      <c r="Q601" s="47"/>
      <c r="R601" s="47"/>
      <c r="S601" s="48"/>
      <c r="T601" s="68" t="str">
        <f>IF(Tableau1[[#This Row],[DMS_SAP]]="","",HYPERLINK(Tableau1[[#This Row],[Chemin fichier source]],"X"))</f>
        <v/>
      </c>
      <c r="U601" s="68" t="str">
        <f>IF(Tableau1[[#This Row],[Date rév.]]="","",HYPERLINK(Tableau1[[#This Row],[Lien document]],"X"))</f>
        <v/>
      </c>
      <c r="V601" s="47"/>
      <c r="W60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01" s="47"/>
      <c r="Y601" s="47"/>
      <c r="Z601" s="44" t="str">
        <f ca="1">IF(AND(Tableau1[[#This Row],[Charge]]&lt;&gt;0, Tableau1[[#This Row],[Nombre intervenants]]&lt;&gt;0,Tableau1[[#This Row],[Lien document]]&lt;&gt;0,Tableau1[[#This Row],[DMS_SAP]]&lt;&gt;0)=TRUE,"MIS A JOUR","")</f>
        <v/>
      </c>
      <c r="AA601" s="48"/>
      <c r="AB601" s="65" t="str">
        <f ca="1">IF(Tableau1[[#This Row],[Date rév.]]&lt;&gt;"", DAYS360(Tableau1[[#This Row],[Date rév.]],TODAY()),"")</f>
        <v/>
      </c>
      <c r="AC601" s="50" t="str">
        <f>IFERROR(INDEX(Chemin_accès!$B$11:$C$22,MATCH(Tableau1[[#This Row],[Type]],Chemin_accès!$C$11:$C$22,0),1),Chemin_accès!$B$11)</f>
        <v>\\stjn.local\trimet\Btechnique\Commun\Atelier Central mécanique\Plan entretien\Modèles préventif\GammeDMS_7.MENG.xlsm</v>
      </c>
      <c r="AD601" s="50" t="str">
        <f>Chemin_accès!$B$8&amp;Tableau1[[#This Row],[Localisation / Classement]]&amp;"\"&amp;Tableau1[[#This Row],[Poste technique ou N° d''équipement]]&amp;"_"&amp;Tableau1[[#This Row],[Plan Entretien]]&amp;".xlsm"</f>
        <v>\\stjn.local\trimet\Btechnique\Commun\Atelier Central mécanique\Plan entretien\GammeEntretien\\_.xlsm</v>
      </c>
    </row>
    <row r="602" spans="1:30" x14ac:dyDescent="0.3">
      <c r="A602" s="44" t="str">
        <f t="shared" ca="1" si="9"/>
        <v>7.MENG</v>
      </c>
      <c r="B60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02" s="47"/>
      <c r="D602" s="44"/>
      <c r="E602" s="44"/>
      <c r="F602" s="47"/>
      <c r="G602" s="47"/>
      <c r="H602" s="45"/>
      <c r="I602" s="45"/>
      <c r="J602" s="45"/>
      <c r="K602" s="45"/>
      <c r="L602" s="46"/>
      <c r="M602" s="47"/>
      <c r="N602" s="47"/>
      <c r="O602" s="47"/>
      <c r="P602" s="47"/>
      <c r="Q602" s="47"/>
      <c r="R602" s="47"/>
      <c r="S602" s="48"/>
      <c r="T602" s="68" t="str">
        <f>IF(Tableau1[[#This Row],[DMS_SAP]]="","",HYPERLINK(Tableau1[[#This Row],[Chemin fichier source]],"X"))</f>
        <v/>
      </c>
      <c r="U602" s="68" t="str">
        <f>IF(Tableau1[[#This Row],[Date rév.]]="","",HYPERLINK(Tableau1[[#This Row],[Lien document]],"X"))</f>
        <v/>
      </c>
      <c r="V602" s="47"/>
      <c r="W60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02" s="47"/>
      <c r="Y602" s="47"/>
      <c r="Z602" s="44" t="str">
        <f ca="1">IF(AND(Tableau1[[#This Row],[Charge]]&lt;&gt;0, Tableau1[[#This Row],[Nombre intervenants]]&lt;&gt;0,Tableau1[[#This Row],[Lien document]]&lt;&gt;0,Tableau1[[#This Row],[DMS_SAP]]&lt;&gt;0)=TRUE,"MIS A JOUR","")</f>
        <v/>
      </c>
      <c r="AA602" s="48"/>
      <c r="AB602" s="65" t="str">
        <f ca="1">IF(Tableau1[[#This Row],[Date rév.]]&lt;&gt;"", DAYS360(Tableau1[[#This Row],[Date rév.]],TODAY()),"")</f>
        <v/>
      </c>
      <c r="AC602" s="50" t="str">
        <f>IFERROR(INDEX(Chemin_accès!$B$11:$C$22,MATCH(Tableau1[[#This Row],[Type]],Chemin_accès!$C$11:$C$22,0),1),Chemin_accès!$B$11)</f>
        <v>\\stjn.local\trimet\Btechnique\Commun\Atelier Central mécanique\Plan entretien\Modèles préventif\GammeDMS_7.MENG.xlsm</v>
      </c>
      <c r="AD602" s="50" t="str">
        <f>Chemin_accès!$B$8&amp;Tableau1[[#This Row],[Localisation / Classement]]&amp;"\"&amp;Tableau1[[#This Row],[Poste technique ou N° d''équipement]]&amp;"_"&amp;Tableau1[[#This Row],[Plan Entretien]]&amp;".xlsm"</f>
        <v>\\stjn.local\trimet\Btechnique\Commun\Atelier Central mécanique\Plan entretien\GammeEntretien\\_.xlsm</v>
      </c>
    </row>
    <row r="603" spans="1:30" x14ac:dyDescent="0.3">
      <c r="A603" s="44" t="str">
        <f t="shared" ca="1" si="9"/>
        <v>7.MENG</v>
      </c>
      <c r="B60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03" s="47"/>
      <c r="D603" s="44"/>
      <c r="E603" s="44"/>
      <c r="F603" s="47"/>
      <c r="G603" s="47"/>
      <c r="H603" s="45"/>
      <c r="I603" s="45"/>
      <c r="J603" s="45"/>
      <c r="K603" s="45"/>
      <c r="L603" s="46"/>
      <c r="M603" s="47"/>
      <c r="N603" s="47"/>
      <c r="O603" s="47"/>
      <c r="P603" s="47"/>
      <c r="Q603" s="47"/>
      <c r="R603" s="47"/>
      <c r="S603" s="48"/>
      <c r="T603" s="68" t="str">
        <f>IF(Tableau1[[#This Row],[DMS_SAP]]="","",HYPERLINK(Tableau1[[#This Row],[Chemin fichier source]],"X"))</f>
        <v/>
      </c>
      <c r="U603" s="68" t="str">
        <f>IF(Tableau1[[#This Row],[Date rév.]]="","",HYPERLINK(Tableau1[[#This Row],[Lien document]],"X"))</f>
        <v/>
      </c>
      <c r="V603" s="47"/>
      <c r="W60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03" s="47"/>
      <c r="Y603" s="47"/>
      <c r="Z603" s="44" t="str">
        <f ca="1">IF(AND(Tableau1[[#This Row],[Charge]]&lt;&gt;0, Tableau1[[#This Row],[Nombre intervenants]]&lt;&gt;0,Tableau1[[#This Row],[Lien document]]&lt;&gt;0,Tableau1[[#This Row],[DMS_SAP]]&lt;&gt;0)=TRUE,"MIS A JOUR","")</f>
        <v/>
      </c>
      <c r="AA603" s="48"/>
      <c r="AB603" s="65" t="str">
        <f ca="1">IF(Tableau1[[#This Row],[Date rév.]]&lt;&gt;"", DAYS360(Tableau1[[#This Row],[Date rév.]],TODAY()),"")</f>
        <v/>
      </c>
      <c r="AC603" s="50" t="str">
        <f>IFERROR(INDEX(Chemin_accès!$B$11:$C$22,MATCH(Tableau1[[#This Row],[Type]],Chemin_accès!$C$11:$C$22,0),1),Chemin_accès!$B$11)</f>
        <v>\\stjn.local\trimet\Btechnique\Commun\Atelier Central mécanique\Plan entretien\Modèles préventif\GammeDMS_7.MENG.xlsm</v>
      </c>
      <c r="AD603" s="50" t="str">
        <f>Chemin_accès!$B$8&amp;Tableau1[[#This Row],[Localisation / Classement]]&amp;"\"&amp;Tableau1[[#This Row],[Poste technique ou N° d''équipement]]&amp;"_"&amp;Tableau1[[#This Row],[Plan Entretien]]&amp;".xlsm"</f>
        <v>\\stjn.local\trimet\Btechnique\Commun\Atelier Central mécanique\Plan entretien\GammeEntretien\\_.xlsm</v>
      </c>
    </row>
    <row r="604" spans="1:30" x14ac:dyDescent="0.3">
      <c r="A604" s="44" t="str">
        <f t="shared" ca="1" si="9"/>
        <v>7.MENG</v>
      </c>
      <c r="B60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04" s="47"/>
      <c r="D604" s="44"/>
      <c r="E604" s="44"/>
      <c r="F604" s="47"/>
      <c r="G604" s="47"/>
      <c r="H604" s="45"/>
      <c r="I604" s="45"/>
      <c r="J604" s="45"/>
      <c r="K604" s="45"/>
      <c r="L604" s="46"/>
      <c r="M604" s="47"/>
      <c r="N604" s="47"/>
      <c r="O604" s="47"/>
      <c r="P604" s="47"/>
      <c r="Q604" s="47"/>
      <c r="R604" s="47"/>
      <c r="S604" s="48"/>
      <c r="T604" s="68" t="str">
        <f>IF(Tableau1[[#This Row],[DMS_SAP]]="","",HYPERLINK(Tableau1[[#This Row],[Chemin fichier source]],"X"))</f>
        <v/>
      </c>
      <c r="U604" s="68" t="str">
        <f>IF(Tableau1[[#This Row],[Date rév.]]="","",HYPERLINK(Tableau1[[#This Row],[Lien document]],"X"))</f>
        <v/>
      </c>
      <c r="V604" s="47"/>
      <c r="W60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04" s="47"/>
      <c r="Y604" s="47"/>
      <c r="Z604" s="44" t="str">
        <f ca="1">IF(AND(Tableau1[[#This Row],[Charge]]&lt;&gt;0, Tableau1[[#This Row],[Nombre intervenants]]&lt;&gt;0,Tableau1[[#This Row],[Lien document]]&lt;&gt;0,Tableau1[[#This Row],[DMS_SAP]]&lt;&gt;0)=TRUE,"MIS A JOUR","")</f>
        <v/>
      </c>
      <c r="AA604" s="48"/>
      <c r="AB604" s="65" t="str">
        <f ca="1">IF(Tableau1[[#This Row],[Date rév.]]&lt;&gt;"", DAYS360(Tableau1[[#This Row],[Date rév.]],TODAY()),"")</f>
        <v/>
      </c>
      <c r="AC604" s="50" t="str">
        <f>IFERROR(INDEX(Chemin_accès!$B$11:$C$22,MATCH(Tableau1[[#This Row],[Type]],Chemin_accès!$C$11:$C$22,0),1),Chemin_accès!$B$11)</f>
        <v>\\stjn.local\trimet\Btechnique\Commun\Atelier Central mécanique\Plan entretien\Modèles préventif\GammeDMS_7.MENG.xlsm</v>
      </c>
      <c r="AD604" s="50" t="str">
        <f>Chemin_accès!$B$8&amp;Tableau1[[#This Row],[Localisation / Classement]]&amp;"\"&amp;Tableau1[[#This Row],[Poste technique ou N° d''équipement]]&amp;"_"&amp;Tableau1[[#This Row],[Plan Entretien]]&amp;".xlsm"</f>
        <v>\\stjn.local\trimet\Btechnique\Commun\Atelier Central mécanique\Plan entretien\GammeEntretien\\_.xlsm</v>
      </c>
    </row>
    <row r="605" spans="1:30" x14ac:dyDescent="0.3">
      <c r="A605" s="44" t="str">
        <f t="shared" ca="1" si="9"/>
        <v>7.MENG</v>
      </c>
      <c r="B60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05" s="47"/>
      <c r="D605" s="44"/>
      <c r="E605" s="44"/>
      <c r="F605" s="47"/>
      <c r="G605" s="47"/>
      <c r="H605" s="45"/>
      <c r="I605" s="45"/>
      <c r="J605" s="45"/>
      <c r="K605" s="45"/>
      <c r="L605" s="46"/>
      <c r="M605" s="47"/>
      <c r="N605" s="47"/>
      <c r="O605" s="47"/>
      <c r="P605" s="47"/>
      <c r="Q605" s="47"/>
      <c r="R605" s="47"/>
      <c r="S605" s="48"/>
      <c r="T605" s="68" t="str">
        <f>IF(Tableau1[[#This Row],[DMS_SAP]]="","",HYPERLINK(Tableau1[[#This Row],[Chemin fichier source]],"X"))</f>
        <v/>
      </c>
      <c r="U605" s="68" t="str">
        <f>IF(Tableau1[[#This Row],[Date rév.]]="","",HYPERLINK(Tableau1[[#This Row],[Lien document]],"X"))</f>
        <v/>
      </c>
      <c r="V605" s="47"/>
      <c r="W60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05" s="47"/>
      <c r="Y605" s="47"/>
      <c r="Z605" s="44" t="str">
        <f ca="1">IF(AND(Tableau1[[#This Row],[Charge]]&lt;&gt;0, Tableau1[[#This Row],[Nombre intervenants]]&lt;&gt;0,Tableau1[[#This Row],[Lien document]]&lt;&gt;0,Tableau1[[#This Row],[DMS_SAP]]&lt;&gt;0)=TRUE,"MIS A JOUR","")</f>
        <v/>
      </c>
      <c r="AA605" s="48"/>
      <c r="AB605" s="65" t="str">
        <f ca="1">IF(Tableau1[[#This Row],[Date rév.]]&lt;&gt;"", DAYS360(Tableau1[[#This Row],[Date rév.]],TODAY()),"")</f>
        <v/>
      </c>
      <c r="AC605" s="50" t="str">
        <f>IFERROR(INDEX(Chemin_accès!$B$11:$C$22,MATCH(Tableau1[[#This Row],[Type]],Chemin_accès!$C$11:$C$22,0),1),Chemin_accès!$B$11)</f>
        <v>\\stjn.local\trimet\Btechnique\Commun\Atelier Central mécanique\Plan entretien\Modèles préventif\GammeDMS_7.MENG.xlsm</v>
      </c>
      <c r="AD605" s="50" t="str">
        <f>Chemin_accès!$B$8&amp;Tableau1[[#This Row],[Localisation / Classement]]&amp;"\"&amp;Tableau1[[#This Row],[Poste technique ou N° d''équipement]]&amp;"_"&amp;Tableau1[[#This Row],[Plan Entretien]]&amp;".xlsm"</f>
        <v>\\stjn.local\trimet\Btechnique\Commun\Atelier Central mécanique\Plan entretien\GammeEntretien\\_.xlsm</v>
      </c>
    </row>
    <row r="606" spans="1:30" x14ac:dyDescent="0.3">
      <c r="A606" s="44" t="str">
        <f t="shared" ca="1" si="9"/>
        <v>7.MENG</v>
      </c>
      <c r="B60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06" s="47"/>
      <c r="D606" s="44"/>
      <c r="E606" s="44"/>
      <c r="F606" s="47"/>
      <c r="G606" s="47"/>
      <c r="H606" s="45"/>
      <c r="I606" s="45"/>
      <c r="J606" s="45"/>
      <c r="K606" s="45"/>
      <c r="L606" s="46"/>
      <c r="M606" s="47"/>
      <c r="N606" s="47"/>
      <c r="O606" s="47"/>
      <c r="P606" s="47"/>
      <c r="Q606" s="47"/>
      <c r="R606" s="47"/>
      <c r="S606" s="48"/>
      <c r="T606" s="68" t="str">
        <f>IF(Tableau1[[#This Row],[DMS_SAP]]="","",HYPERLINK(Tableau1[[#This Row],[Chemin fichier source]],"X"))</f>
        <v/>
      </c>
      <c r="U606" s="68" t="str">
        <f>IF(Tableau1[[#This Row],[Date rév.]]="","",HYPERLINK(Tableau1[[#This Row],[Lien document]],"X"))</f>
        <v/>
      </c>
      <c r="V606" s="47"/>
      <c r="W60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06" s="47"/>
      <c r="Y606" s="47"/>
      <c r="Z606" s="44" t="str">
        <f ca="1">IF(AND(Tableau1[[#This Row],[Charge]]&lt;&gt;0, Tableau1[[#This Row],[Nombre intervenants]]&lt;&gt;0,Tableau1[[#This Row],[Lien document]]&lt;&gt;0,Tableau1[[#This Row],[DMS_SAP]]&lt;&gt;0)=TRUE,"MIS A JOUR","")</f>
        <v/>
      </c>
      <c r="AA606" s="48"/>
      <c r="AB606" s="65" t="str">
        <f ca="1">IF(Tableau1[[#This Row],[Date rév.]]&lt;&gt;"", DAYS360(Tableau1[[#This Row],[Date rév.]],TODAY()),"")</f>
        <v/>
      </c>
      <c r="AC606" s="50" t="str">
        <f>IFERROR(INDEX(Chemin_accès!$B$11:$C$22,MATCH(Tableau1[[#This Row],[Type]],Chemin_accès!$C$11:$C$22,0),1),Chemin_accès!$B$11)</f>
        <v>\\stjn.local\trimet\Btechnique\Commun\Atelier Central mécanique\Plan entretien\Modèles préventif\GammeDMS_7.MENG.xlsm</v>
      </c>
      <c r="AD606" s="50" t="str">
        <f>Chemin_accès!$B$8&amp;Tableau1[[#This Row],[Localisation / Classement]]&amp;"\"&amp;Tableau1[[#This Row],[Poste technique ou N° d''équipement]]&amp;"_"&amp;Tableau1[[#This Row],[Plan Entretien]]&amp;".xlsm"</f>
        <v>\\stjn.local\trimet\Btechnique\Commun\Atelier Central mécanique\Plan entretien\GammeEntretien\\_.xlsm</v>
      </c>
    </row>
    <row r="607" spans="1:30" x14ac:dyDescent="0.3">
      <c r="A607" s="44" t="str">
        <f t="shared" ca="1" si="9"/>
        <v>7.MENG</v>
      </c>
      <c r="B60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07" s="47"/>
      <c r="D607" s="44"/>
      <c r="E607" s="44"/>
      <c r="F607" s="47"/>
      <c r="G607" s="47"/>
      <c r="H607" s="45"/>
      <c r="I607" s="45"/>
      <c r="J607" s="45"/>
      <c r="K607" s="45"/>
      <c r="L607" s="46"/>
      <c r="M607" s="47"/>
      <c r="N607" s="47"/>
      <c r="O607" s="47"/>
      <c r="P607" s="47"/>
      <c r="Q607" s="47"/>
      <c r="R607" s="47"/>
      <c r="S607" s="48"/>
      <c r="T607" s="68" t="str">
        <f>IF(Tableau1[[#This Row],[DMS_SAP]]="","",HYPERLINK(Tableau1[[#This Row],[Chemin fichier source]],"X"))</f>
        <v/>
      </c>
      <c r="U607" s="68" t="str">
        <f>IF(Tableau1[[#This Row],[Date rév.]]="","",HYPERLINK(Tableau1[[#This Row],[Lien document]],"X"))</f>
        <v/>
      </c>
      <c r="V607" s="47"/>
      <c r="W60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07" s="47"/>
      <c r="Y607" s="47"/>
      <c r="Z607" s="44" t="str">
        <f ca="1">IF(AND(Tableau1[[#This Row],[Charge]]&lt;&gt;0, Tableau1[[#This Row],[Nombre intervenants]]&lt;&gt;0,Tableau1[[#This Row],[Lien document]]&lt;&gt;0,Tableau1[[#This Row],[DMS_SAP]]&lt;&gt;0)=TRUE,"MIS A JOUR","")</f>
        <v/>
      </c>
      <c r="AA607" s="48"/>
      <c r="AB607" s="65" t="str">
        <f ca="1">IF(Tableau1[[#This Row],[Date rév.]]&lt;&gt;"", DAYS360(Tableau1[[#This Row],[Date rév.]],TODAY()),"")</f>
        <v/>
      </c>
      <c r="AC607" s="50" t="str">
        <f>IFERROR(INDEX(Chemin_accès!$B$11:$C$22,MATCH(Tableau1[[#This Row],[Type]],Chemin_accès!$C$11:$C$22,0),1),Chemin_accès!$B$11)</f>
        <v>\\stjn.local\trimet\Btechnique\Commun\Atelier Central mécanique\Plan entretien\Modèles préventif\GammeDMS_7.MENG.xlsm</v>
      </c>
      <c r="AD607" s="50" t="str">
        <f>Chemin_accès!$B$8&amp;Tableau1[[#This Row],[Localisation / Classement]]&amp;"\"&amp;Tableau1[[#This Row],[Poste technique ou N° d''équipement]]&amp;"_"&amp;Tableau1[[#This Row],[Plan Entretien]]&amp;".xlsm"</f>
        <v>\\stjn.local\trimet\Btechnique\Commun\Atelier Central mécanique\Plan entretien\GammeEntretien\\_.xlsm</v>
      </c>
    </row>
    <row r="608" spans="1:30" x14ac:dyDescent="0.3">
      <c r="A608" s="44" t="str">
        <f t="shared" ca="1" si="9"/>
        <v>7.MENG</v>
      </c>
      <c r="B60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08" s="47"/>
      <c r="D608" s="44"/>
      <c r="E608" s="44"/>
      <c r="F608" s="47"/>
      <c r="G608" s="47"/>
      <c r="H608" s="45"/>
      <c r="I608" s="45"/>
      <c r="J608" s="45"/>
      <c r="K608" s="45"/>
      <c r="L608" s="46"/>
      <c r="M608" s="47"/>
      <c r="N608" s="47"/>
      <c r="O608" s="47"/>
      <c r="P608" s="47"/>
      <c r="Q608" s="47"/>
      <c r="R608" s="47"/>
      <c r="S608" s="48"/>
      <c r="T608" s="68" t="str">
        <f>IF(Tableau1[[#This Row],[DMS_SAP]]="","",HYPERLINK(Tableau1[[#This Row],[Chemin fichier source]],"X"))</f>
        <v/>
      </c>
      <c r="U608" s="68" t="str">
        <f>IF(Tableau1[[#This Row],[Date rév.]]="","",HYPERLINK(Tableau1[[#This Row],[Lien document]],"X"))</f>
        <v/>
      </c>
      <c r="V608" s="47"/>
      <c r="W60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08" s="47"/>
      <c r="Y608" s="47"/>
      <c r="Z608" s="44" t="str">
        <f ca="1">IF(AND(Tableau1[[#This Row],[Charge]]&lt;&gt;0, Tableau1[[#This Row],[Nombre intervenants]]&lt;&gt;0,Tableau1[[#This Row],[Lien document]]&lt;&gt;0,Tableau1[[#This Row],[DMS_SAP]]&lt;&gt;0)=TRUE,"MIS A JOUR","")</f>
        <v/>
      </c>
      <c r="AA608" s="48"/>
      <c r="AB608" s="65" t="str">
        <f ca="1">IF(Tableau1[[#This Row],[Date rév.]]&lt;&gt;"", DAYS360(Tableau1[[#This Row],[Date rév.]],TODAY()),"")</f>
        <v/>
      </c>
      <c r="AC608" s="50" t="str">
        <f>IFERROR(INDEX(Chemin_accès!$B$11:$C$22,MATCH(Tableau1[[#This Row],[Type]],Chemin_accès!$C$11:$C$22,0),1),Chemin_accès!$B$11)</f>
        <v>\\stjn.local\trimet\Btechnique\Commun\Atelier Central mécanique\Plan entretien\Modèles préventif\GammeDMS_7.MENG.xlsm</v>
      </c>
      <c r="AD608" s="50" t="str">
        <f>Chemin_accès!$B$8&amp;Tableau1[[#This Row],[Localisation / Classement]]&amp;"\"&amp;Tableau1[[#This Row],[Poste technique ou N° d''équipement]]&amp;"_"&amp;Tableau1[[#This Row],[Plan Entretien]]&amp;".xlsm"</f>
        <v>\\stjn.local\trimet\Btechnique\Commun\Atelier Central mécanique\Plan entretien\GammeEntretien\\_.xlsm</v>
      </c>
    </row>
    <row r="609" spans="1:30" x14ac:dyDescent="0.3">
      <c r="A609" s="44" t="str">
        <f t="shared" ca="1" si="9"/>
        <v>7.MENG</v>
      </c>
      <c r="B60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09" s="47"/>
      <c r="D609" s="44"/>
      <c r="E609" s="44"/>
      <c r="F609" s="47"/>
      <c r="G609" s="47"/>
      <c r="H609" s="45"/>
      <c r="I609" s="45"/>
      <c r="J609" s="45"/>
      <c r="K609" s="45"/>
      <c r="L609" s="46"/>
      <c r="M609" s="47"/>
      <c r="N609" s="47"/>
      <c r="O609" s="47"/>
      <c r="P609" s="47"/>
      <c r="Q609" s="47"/>
      <c r="R609" s="47"/>
      <c r="S609" s="48"/>
      <c r="T609" s="68" t="str">
        <f>IF(Tableau1[[#This Row],[DMS_SAP]]="","",HYPERLINK(Tableau1[[#This Row],[Chemin fichier source]],"X"))</f>
        <v/>
      </c>
      <c r="U609" s="68" t="str">
        <f>IF(Tableau1[[#This Row],[Date rév.]]="","",HYPERLINK(Tableau1[[#This Row],[Lien document]],"X"))</f>
        <v/>
      </c>
      <c r="V609" s="47"/>
      <c r="W60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09" s="47"/>
      <c r="Y609" s="47"/>
      <c r="Z609" s="44" t="str">
        <f ca="1">IF(AND(Tableau1[[#This Row],[Charge]]&lt;&gt;0, Tableau1[[#This Row],[Nombre intervenants]]&lt;&gt;0,Tableau1[[#This Row],[Lien document]]&lt;&gt;0,Tableau1[[#This Row],[DMS_SAP]]&lt;&gt;0)=TRUE,"MIS A JOUR","")</f>
        <v/>
      </c>
      <c r="AA609" s="48"/>
      <c r="AB609" s="65" t="str">
        <f ca="1">IF(Tableau1[[#This Row],[Date rév.]]&lt;&gt;"", DAYS360(Tableau1[[#This Row],[Date rév.]],TODAY()),"")</f>
        <v/>
      </c>
      <c r="AC609" s="50" t="str">
        <f>IFERROR(INDEX(Chemin_accès!$B$11:$C$22,MATCH(Tableau1[[#This Row],[Type]],Chemin_accès!$C$11:$C$22,0),1),Chemin_accès!$B$11)</f>
        <v>\\stjn.local\trimet\Btechnique\Commun\Atelier Central mécanique\Plan entretien\Modèles préventif\GammeDMS_7.MENG.xlsm</v>
      </c>
      <c r="AD609" s="50" t="str">
        <f>Chemin_accès!$B$8&amp;Tableau1[[#This Row],[Localisation / Classement]]&amp;"\"&amp;Tableau1[[#This Row],[Poste technique ou N° d''équipement]]&amp;"_"&amp;Tableau1[[#This Row],[Plan Entretien]]&amp;".xlsm"</f>
        <v>\\stjn.local\trimet\Btechnique\Commun\Atelier Central mécanique\Plan entretien\GammeEntretien\\_.xlsm</v>
      </c>
    </row>
    <row r="610" spans="1:30" x14ac:dyDescent="0.3">
      <c r="A610" s="44" t="str">
        <f t="shared" ca="1" si="9"/>
        <v>7.MENG</v>
      </c>
      <c r="B61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10" s="47"/>
      <c r="D610" s="44"/>
      <c r="E610" s="44"/>
      <c r="F610" s="47"/>
      <c r="G610" s="47"/>
      <c r="H610" s="45"/>
      <c r="I610" s="45"/>
      <c r="J610" s="45"/>
      <c r="K610" s="45"/>
      <c r="L610" s="46"/>
      <c r="M610" s="47"/>
      <c r="N610" s="47"/>
      <c r="O610" s="47"/>
      <c r="P610" s="47"/>
      <c r="Q610" s="47"/>
      <c r="R610" s="47"/>
      <c r="S610" s="48"/>
      <c r="T610" s="68" t="str">
        <f>IF(Tableau1[[#This Row],[DMS_SAP]]="","",HYPERLINK(Tableau1[[#This Row],[Chemin fichier source]],"X"))</f>
        <v/>
      </c>
      <c r="U610" s="68" t="str">
        <f>IF(Tableau1[[#This Row],[Date rév.]]="","",HYPERLINK(Tableau1[[#This Row],[Lien document]],"X"))</f>
        <v/>
      </c>
      <c r="V610" s="47"/>
      <c r="W61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10" s="47"/>
      <c r="Y610" s="47"/>
      <c r="Z610" s="44" t="str">
        <f ca="1">IF(AND(Tableau1[[#This Row],[Charge]]&lt;&gt;0, Tableau1[[#This Row],[Nombre intervenants]]&lt;&gt;0,Tableau1[[#This Row],[Lien document]]&lt;&gt;0,Tableau1[[#This Row],[DMS_SAP]]&lt;&gt;0)=TRUE,"MIS A JOUR","")</f>
        <v/>
      </c>
      <c r="AA610" s="48"/>
      <c r="AB610" s="65" t="str">
        <f ca="1">IF(Tableau1[[#This Row],[Date rév.]]&lt;&gt;"", DAYS360(Tableau1[[#This Row],[Date rév.]],TODAY()),"")</f>
        <v/>
      </c>
      <c r="AC610" s="50" t="str">
        <f>IFERROR(INDEX(Chemin_accès!$B$11:$C$22,MATCH(Tableau1[[#This Row],[Type]],Chemin_accès!$C$11:$C$22,0),1),Chemin_accès!$B$11)</f>
        <v>\\stjn.local\trimet\Btechnique\Commun\Atelier Central mécanique\Plan entretien\Modèles préventif\GammeDMS_7.MENG.xlsm</v>
      </c>
      <c r="AD610" s="50" t="str">
        <f>Chemin_accès!$B$8&amp;Tableau1[[#This Row],[Localisation / Classement]]&amp;"\"&amp;Tableau1[[#This Row],[Poste technique ou N° d''équipement]]&amp;"_"&amp;Tableau1[[#This Row],[Plan Entretien]]&amp;".xlsm"</f>
        <v>\\stjn.local\trimet\Btechnique\Commun\Atelier Central mécanique\Plan entretien\GammeEntretien\\_.xlsm</v>
      </c>
    </row>
    <row r="611" spans="1:30" x14ac:dyDescent="0.3">
      <c r="A611" s="44" t="str">
        <f t="shared" ca="1" si="9"/>
        <v>7.MENG</v>
      </c>
      <c r="B61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11" s="47"/>
      <c r="D611" s="44"/>
      <c r="E611" s="44"/>
      <c r="F611" s="47"/>
      <c r="G611" s="47"/>
      <c r="H611" s="45"/>
      <c r="I611" s="45"/>
      <c r="J611" s="45"/>
      <c r="K611" s="45"/>
      <c r="L611" s="46"/>
      <c r="M611" s="47"/>
      <c r="N611" s="47"/>
      <c r="O611" s="47"/>
      <c r="P611" s="47"/>
      <c r="Q611" s="47"/>
      <c r="R611" s="47"/>
      <c r="S611" s="48"/>
      <c r="T611" s="68" t="str">
        <f>IF(Tableau1[[#This Row],[DMS_SAP]]="","",HYPERLINK(Tableau1[[#This Row],[Chemin fichier source]],"X"))</f>
        <v/>
      </c>
      <c r="U611" s="68" t="str">
        <f>IF(Tableau1[[#This Row],[Date rév.]]="","",HYPERLINK(Tableau1[[#This Row],[Lien document]],"X"))</f>
        <v/>
      </c>
      <c r="V611" s="47"/>
      <c r="W61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11" s="47"/>
      <c r="Y611" s="47"/>
      <c r="Z611" s="44" t="str">
        <f ca="1">IF(AND(Tableau1[[#This Row],[Charge]]&lt;&gt;0, Tableau1[[#This Row],[Nombre intervenants]]&lt;&gt;0,Tableau1[[#This Row],[Lien document]]&lt;&gt;0,Tableau1[[#This Row],[DMS_SAP]]&lt;&gt;0)=TRUE,"MIS A JOUR","")</f>
        <v/>
      </c>
      <c r="AA611" s="48"/>
      <c r="AB611" s="65" t="str">
        <f ca="1">IF(Tableau1[[#This Row],[Date rév.]]&lt;&gt;"", DAYS360(Tableau1[[#This Row],[Date rév.]],TODAY()),"")</f>
        <v/>
      </c>
      <c r="AC611" s="50" t="str">
        <f>IFERROR(INDEX(Chemin_accès!$B$11:$C$22,MATCH(Tableau1[[#This Row],[Type]],Chemin_accès!$C$11:$C$22,0),1),Chemin_accès!$B$11)</f>
        <v>\\stjn.local\trimet\Btechnique\Commun\Atelier Central mécanique\Plan entretien\Modèles préventif\GammeDMS_7.MENG.xlsm</v>
      </c>
      <c r="AD611" s="50" t="str">
        <f>Chemin_accès!$B$8&amp;Tableau1[[#This Row],[Localisation / Classement]]&amp;"\"&amp;Tableau1[[#This Row],[Poste technique ou N° d''équipement]]&amp;"_"&amp;Tableau1[[#This Row],[Plan Entretien]]&amp;".xlsm"</f>
        <v>\\stjn.local\trimet\Btechnique\Commun\Atelier Central mécanique\Plan entretien\GammeEntretien\\_.xlsm</v>
      </c>
    </row>
    <row r="612" spans="1:30" x14ac:dyDescent="0.3">
      <c r="A612" s="44" t="str">
        <f t="shared" ca="1" si="9"/>
        <v>7.MENG</v>
      </c>
      <c r="B61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12" s="47"/>
      <c r="D612" s="44"/>
      <c r="E612" s="44"/>
      <c r="F612" s="47"/>
      <c r="G612" s="47"/>
      <c r="H612" s="45"/>
      <c r="I612" s="45"/>
      <c r="J612" s="45"/>
      <c r="K612" s="45"/>
      <c r="L612" s="46"/>
      <c r="M612" s="47"/>
      <c r="N612" s="47"/>
      <c r="O612" s="47"/>
      <c r="P612" s="47"/>
      <c r="Q612" s="47"/>
      <c r="R612" s="47"/>
      <c r="S612" s="48"/>
      <c r="T612" s="68" t="str">
        <f>IF(Tableau1[[#This Row],[DMS_SAP]]="","",HYPERLINK(Tableau1[[#This Row],[Chemin fichier source]],"X"))</f>
        <v/>
      </c>
      <c r="U612" s="68" t="str">
        <f>IF(Tableau1[[#This Row],[Date rév.]]="","",HYPERLINK(Tableau1[[#This Row],[Lien document]],"X"))</f>
        <v/>
      </c>
      <c r="V612" s="47"/>
      <c r="W61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12" s="47"/>
      <c r="Y612" s="47"/>
      <c r="Z612" s="44" t="str">
        <f ca="1">IF(AND(Tableau1[[#This Row],[Charge]]&lt;&gt;0, Tableau1[[#This Row],[Nombre intervenants]]&lt;&gt;0,Tableau1[[#This Row],[Lien document]]&lt;&gt;0,Tableau1[[#This Row],[DMS_SAP]]&lt;&gt;0)=TRUE,"MIS A JOUR","")</f>
        <v/>
      </c>
      <c r="AA612" s="48"/>
      <c r="AB612" s="65" t="str">
        <f ca="1">IF(Tableau1[[#This Row],[Date rév.]]&lt;&gt;"", DAYS360(Tableau1[[#This Row],[Date rév.]],TODAY()),"")</f>
        <v/>
      </c>
      <c r="AC612" s="50" t="str">
        <f>IFERROR(INDEX(Chemin_accès!$B$11:$C$22,MATCH(Tableau1[[#This Row],[Type]],Chemin_accès!$C$11:$C$22,0),1),Chemin_accès!$B$11)</f>
        <v>\\stjn.local\trimet\Btechnique\Commun\Atelier Central mécanique\Plan entretien\Modèles préventif\GammeDMS_7.MENG.xlsm</v>
      </c>
      <c r="AD612" s="50" t="str">
        <f>Chemin_accès!$B$8&amp;Tableau1[[#This Row],[Localisation / Classement]]&amp;"\"&amp;Tableau1[[#This Row],[Poste technique ou N° d''équipement]]&amp;"_"&amp;Tableau1[[#This Row],[Plan Entretien]]&amp;".xlsm"</f>
        <v>\\stjn.local\trimet\Btechnique\Commun\Atelier Central mécanique\Plan entretien\GammeEntretien\\_.xlsm</v>
      </c>
    </row>
    <row r="613" spans="1:30" x14ac:dyDescent="0.3">
      <c r="A613" s="44" t="str">
        <f t="shared" ca="1" si="9"/>
        <v>7.MENG</v>
      </c>
      <c r="B61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13" s="47"/>
      <c r="D613" s="44"/>
      <c r="E613" s="44"/>
      <c r="F613" s="47"/>
      <c r="G613" s="47"/>
      <c r="H613" s="45"/>
      <c r="I613" s="45"/>
      <c r="J613" s="45"/>
      <c r="K613" s="45"/>
      <c r="L613" s="46"/>
      <c r="M613" s="47"/>
      <c r="N613" s="47"/>
      <c r="O613" s="47"/>
      <c r="P613" s="47"/>
      <c r="Q613" s="47"/>
      <c r="R613" s="47"/>
      <c r="S613" s="48"/>
      <c r="T613" s="68" t="str">
        <f>IF(Tableau1[[#This Row],[DMS_SAP]]="","",HYPERLINK(Tableau1[[#This Row],[Chemin fichier source]],"X"))</f>
        <v/>
      </c>
      <c r="U613" s="68" t="str">
        <f>IF(Tableau1[[#This Row],[Date rév.]]="","",HYPERLINK(Tableau1[[#This Row],[Lien document]],"X"))</f>
        <v/>
      </c>
      <c r="V613" s="47"/>
      <c r="W61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13" s="47"/>
      <c r="Y613" s="47"/>
      <c r="Z613" s="44" t="str">
        <f ca="1">IF(AND(Tableau1[[#This Row],[Charge]]&lt;&gt;0, Tableau1[[#This Row],[Nombre intervenants]]&lt;&gt;0,Tableau1[[#This Row],[Lien document]]&lt;&gt;0,Tableau1[[#This Row],[DMS_SAP]]&lt;&gt;0)=TRUE,"MIS A JOUR","")</f>
        <v/>
      </c>
      <c r="AA613" s="48"/>
      <c r="AB613" s="65" t="str">
        <f ca="1">IF(Tableau1[[#This Row],[Date rév.]]&lt;&gt;"", DAYS360(Tableau1[[#This Row],[Date rév.]],TODAY()),"")</f>
        <v/>
      </c>
      <c r="AC613" s="50" t="str">
        <f>IFERROR(INDEX(Chemin_accès!$B$11:$C$22,MATCH(Tableau1[[#This Row],[Type]],Chemin_accès!$C$11:$C$22,0),1),Chemin_accès!$B$11)</f>
        <v>\\stjn.local\trimet\Btechnique\Commun\Atelier Central mécanique\Plan entretien\Modèles préventif\GammeDMS_7.MENG.xlsm</v>
      </c>
      <c r="AD613" s="50" t="str">
        <f>Chemin_accès!$B$8&amp;Tableau1[[#This Row],[Localisation / Classement]]&amp;"\"&amp;Tableau1[[#This Row],[Poste technique ou N° d''équipement]]&amp;"_"&amp;Tableau1[[#This Row],[Plan Entretien]]&amp;".xlsm"</f>
        <v>\\stjn.local\trimet\Btechnique\Commun\Atelier Central mécanique\Plan entretien\GammeEntretien\\_.xlsm</v>
      </c>
    </row>
    <row r="614" spans="1:30" x14ac:dyDescent="0.3">
      <c r="A614" s="44" t="str">
        <f t="shared" ca="1" si="9"/>
        <v>7.MENG</v>
      </c>
      <c r="B61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14" s="47"/>
      <c r="D614" s="44"/>
      <c r="E614" s="44"/>
      <c r="F614" s="47"/>
      <c r="G614" s="47"/>
      <c r="H614" s="45"/>
      <c r="I614" s="45"/>
      <c r="J614" s="45"/>
      <c r="K614" s="45"/>
      <c r="L614" s="46"/>
      <c r="M614" s="47"/>
      <c r="N614" s="47"/>
      <c r="O614" s="47"/>
      <c r="P614" s="47"/>
      <c r="Q614" s="47"/>
      <c r="R614" s="47"/>
      <c r="S614" s="48"/>
      <c r="T614" s="68" t="str">
        <f>IF(Tableau1[[#This Row],[DMS_SAP]]="","",HYPERLINK(Tableau1[[#This Row],[Chemin fichier source]],"X"))</f>
        <v/>
      </c>
      <c r="U614" s="68" t="str">
        <f>IF(Tableau1[[#This Row],[Date rév.]]="","",HYPERLINK(Tableau1[[#This Row],[Lien document]],"X"))</f>
        <v/>
      </c>
      <c r="V614" s="47"/>
      <c r="W61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14" s="47"/>
      <c r="Y614" s="47"/>
      <c r="Z614" s="44" t="str">
        <f ca="1">IF(AND(Tableau1[[#This Row],[Charge]]&lt;&gt;0, Tableau1[[#This Row],[Nombre intervenants]]&lt;&gt;0,Tableau1[[#This Row],[Lien document]]&lt;&gt;0,Tableau1[[#This Row],[DMS_SAP]]&lt;&gt;0)=TRUE,"MIS A JOUR","")</f>
        <v/>
      </c>
      <c r="AA614" s="48"/>
      <c r="AB614" s="65" t="str">
        <f ca="1">IF(Tableau1[[#This Row],[Date rév.]]&lt;&gt;"", DAYS360(Tableau1[[#This Row],[Date rév.]],TODAY()),"")</f>
        <v/>
      </c>
      <c r="AC614" s="50" t="str">
        <f>IFERROR(INDEX(Chemin_accès!$B$11:$C$22,MATCH(Tableau1[[#This Row],[Type]],Chemin_accès!$C$11:$C$22,0),1),Chemin_accès!$B$11)</f>
        <v>\\stjn.local\trimet\Btechnique\Commun\Atelier Central mécanique\Plan entretien\Modèles préventif\GammeDMS_7.MENG.xlsm</v>
      </c>
      <c r="AD614" s="50" t="str">
        <f>Chemin_accès!$B$8&amp;Tableau1[[#This Row],[Localisation / Classement]]&amp;"\"&amp;Tableau1[[#This Row],[Poste technique ou N° d''équipement]]&amp;"_"&amp;Tableau1[[#This Row],[Plan Entretien]]&amp;".xlsm"</f>
        <v>\\stjn.local\trimet\Btechnique\Commun\Atelier Central mécanique\Plan entretien\GammeEntretien\\_.xlsm</v>
      </c>
    </row>
    <row r="615" spans="1:30" x14ac:dyDescent="0.3">
      <c r="A615" s="44" t="str">
        <f t="shared" ca="1" si="9"/>
        <v>7.MENG</v>
      </c>
      <c r="B61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15" s="47"/>
      <c r="D615" s="44"/>
      <c r="E615" s="44"/>
      <c r="F615" s="47"/>
      <c r="G615" s="47"/>
      <c r="H615" s="45"/>
      <c r="I615" s="45"/>
      <c r="J615" s="45"/>
      <c r="K615" s="45"/>
      <c r="L615" s="46"/>
      <c r="M615" s="47"/>
      <c r="N615" s="47"/>
      <c r="O615" s="47"/>
      <c r="P615" s="47"/>
      <c r="Q615" s="47"/>
      <c r="R615" s="47"/>
      <c r="S615" s="48"/>
      <c r="T615" s="68" t="str">
        <f>IF(Tableau1[[#This Row],[DMS_SAP]]="","",HYPERLINK(Tableau1[[#This Row],[Chemin fichier source]],"X"))</f>
        <v/>
      </c>
      <c r="U615" s="68" t="str">
        <f>IF(Tableau1[[#This Row],[Date rév.]]="","",HYPERLINK(Tableau1[[#This Row],[Lien document]],"X"))</f>
        <v/>
      </c>
      <c r="V615" s="47"/>
      <c r="W61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15" s="47"/>
      <c r="Y615" s="47"/>
      <c r="Z615" s="44" t="str">
        <f ca="1">IF(AND(Tableau1[[#This Row],[Charge]]&lt;&gt;0, Tableau1[[#This Row],[Nombre intervenants]]&lt;&gt;0,Tableau1[[#This Row],[Lien document]]&lt;&gt;0,Tableau1[[#This Row],[DMS_SAP]]&lt;&gt;0)=TRUE,"MIS A JOUR","")</f>
        <v/>
      </c>
      <c r="AA615" s="48"/>
      <c r="AB615" s="65" t="str">
        <f ca="1">IF(Tableau1[[#This Row],[Date rév.]]&lt;&gt;"", DAYS360(Tableau1[[#This Row],[Date rév.]],TODAY()),"")</f>
        <v/>
      </c>
      <c r="AC615" s="50" t="str">
        <f>IFERROR(INDEX(Chemin_accès!$B$11:$C$22,MATCH(Tableau1[[#This Row],[Type]],Chemin_accès!$C$11:$C$22,0),1),Chemin_accès!$B$11)</f>
        <v>\\stjn.local\trimet\Btechnique\Commun\Atelier Central mécanique\Plan entretien\Modèles préventif\GammeDMS_7.MENG.xlsm</v>
      </c>
      <c r="AD615" s="50" t="str">
        <f>Chemin_accès!$B$8&amp;Tableau1[[#This Row],[Localisation / Classement]]&amp;"\"&amp;Tableau1[[#This Row],[Poste technique ou N° d''équipement]]&amp;"_"&amp;Tableau1[[#This Row],[Plan Entretien]]&amp;".xlsm"</f>
        <v>\\stjn.local\trimet\Btechnique\Commun\Atelier Central mécanique\Plan entretien\GammeEntretien\\_.xlsm</v>
      </c>
    </row>
    <row r="616" spans="1:30" x14ac:dyDescent="0.3">
      <c r="A616" s="44" t="str">
        <f t="shared" ca="1" si="9"/>
        <v>7.MENG</v>
      </c>
      <c r="B61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16" s="47"/>
      <c r="D616" s="44"/>
      <c r="E616" s="44"/>
      <c r="F616" s="47"/>
      <c r="G616" s="47"/>
      <c r="H616" s="45"/>
      <c r="I616" s="45"/>
      <c r="J616" s="45"/>
      <c r="K616" s="45"/>
      <c r="L616" s="46"/>
      <c r="M616" s="47"/>
      <c r="N616" s="47"/>
      <c r="O616" s="47"/>
      <c r="P616" s="47"/>
      <c r="Q616" s="47"/>
      <c r="R616" s="47"/>
      <c r="S616" s="48"/>
      <c r="T616" s="68" t="str">
        <f>IF(Tableau1[[#This Row],[DMS_SAP]]="","",HYPERLINK(Tableau1[[#This Row],[Chemin fichier source]],"X"))</f>
        <v/>
      </c>
      <c r="U616" s="68" t="str">
        <f>IF(Tableau1[[#This Row],[Date rév.]]="","",HYPERLINK(Tableau1[[#This Row],[Lien document]],"X"))</f>
        <v/>
      </c>
      <c r="V616" s="47"/>
      <c r="W61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16" s="47"/>
      <c r="Y616" s="47"/>
      <c r="Z616" s="44" t="str">
        <f ca="1">IF(AND(Tableau1[[#This Row],[Charge]]&lt;&gt;0, Tableau1[[#This Row],[Nombre intervenants]]&lt;&gt;0,Tableau1[[#This Row],[Lien document]]&lt;&gt;0,Tableau1[[#This Row],[DMS_SAP]]&lt;&gt;0)=TRUE,"MIS A JOUR","")</f>
        <v/>
      </c>
      <c r="AA616" s="48"/>
      <c r="AB616" s="65" t="str">
        <f ca="1">IF(Tableau1[[#This Row],[Date rév.]]&lt;&gt;"", DAYS360(Tableau1[[#This Row],[Date rév.]],TODAY()),"")</f>
        <v/>
      </c>
      <c r="AC616" s="50" t="str">
        <f>IFERROR(INDEX(Chemin_accès!$B$11:$C$22,MATCH(Tableau1[[#This Row],[Type]],Chemin_accès!$C$11:$C$22,0),1),Chemin_accès!$B$11)</f>
        <v>\\stjn.local\trimet\Btechnique\Commun\Atelier Central mécanique\Plan entretien\Modèles préventif\GammeDMS_7.MENG.xlsm</v>
      </c>
      <c r="AD616" s="50" t="str">
        <f>Chemin_accès!$B$8&amp;Tableau1[[#This Row],[Localisation / Classement]]&amp;"\"&amp;Tableau1[[#This Row],[Poste technique ou N° d''équipement]]&amp;"_"&amp;Tableau1[[#This Row],[Plan Entretien]]&amp;".xlsm"</f>
        <v>\\stjn.local\trimet\Btechnique\Commun\Atelier Central mécanique\Plan entretien\GammeEntretien\\_.xlsm</v>
      </c>
    </row>
    <row r="617" spans="1:30" x14ac:dyDescent="0.3">
      <c r="A617" s="44" t="str">
        <f t="shared" ca="1" si="9"/>
        <v>7.MENG</v>
      </c>
      <c r="B61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17" s="47"/>
      <c r="D617" s="44"/>
      <c r="E617" s="44"/>
      <c r="F617" s="47"/>
      <c r="G617" s="47"/>
      <c r="H617" s="45"/>
      <c r="I617" s="45"/>
      <c r="J617" s="45"/>
      <c r="K617" s="45"/>
      <c r="L617" s="46"/>
      <c r="M617" s="47"/>
      <c r="N617" s="47"/>
      <c r="O617" s="47"/>
      <c r="P617" s="47"/>
      <c r="Q617" s="47"/>
      <c r="R617" s="47"/>
      <c r="S617" s="48"/>
      <c r="T617" s="68" t="str">
        <f>IF(Tableau1[[#This Row],[DMS_SAP]]="","",HYPERLINK(Tableau1[[#This Row],[Chemin fichier source]],"X"))</f>
        <v/>
      </c>
      <c r="U617" s="68" t="str">
        <f>IF(Tableau1[[#This Row],[Date rév.]]="","",HYPERLINK(Tableau1[[#This Row],[Lien document]],"X"))</f>
        <v/>
      </c>
      <c r="V617" s="47"/>
      <c r="W61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17" s="47"/>
      <c r="Y617" s="47"/>
      <c r="Z617" s="44" t="str">
        <f ca="1">IF(AND(Tableau1[[#This Row],[Charge]]&lt;&gt;0, Tableau1[[#This Row],[Nombre intervenants]]&lt;&gt;0,Tableau1[[#This Row],[Lien document]]&lt;&gt;0,Tableau1[[#This Row],[DMS_SAP]]&lt;&gt;0)=TRUE,"MIS A JOUR","")</f>
        <v/>
      </c>
      <c r="AA617" s="48"/>
      <c r="AB617" s="65" t="str">
        <f ca="1">IF(Tableau1[[#This Row],[Date rév.]]&lt;&gt;"", DAYS360(Tableau1[[#This Row],[Date rév.]],TODAY()),"")</f>
        <v/>
      </c>
      <c r="AC617" s="50" t="str">
        <f>IFERROR(INDEX(Chemin_accès!$B$11:$C$22,MATCH(Tableau1[[#This Row],[Type]],Chemin_accès!$C$11:$C$22,0),1),Chemin_accès!$B$11)</f>
        <v>\\stjn.local\trimet\Btechnique\Commun\Atelier Central mécanique\Plan entretien\Modèles préventif\GammeDMS_7.MENG.xlsm</v>
      </c>
      <c r="AD617" s="50" t="str">
        <f>Chemin_accès!$B$8&amp;Tableau1[[#This Row],[Localisation / Classement]]&amp;"\"&amp;Tableau1[[#This Row],[Poste technique ou N° d''équipement]]&amp;"_"&amp;Tableau1[[#This Row],[Plan Entretien]]&amp;".xlsm"</f>
        <v>\\stjn.local\trimet\Btechnique\Commun\Atelier Central mécanique\Plan entretien\GammeEntretien\\_.xlsm</v>
      </c>
    </row>
    <row r="618" spans="1:30" x14ac:dyDescent="0.3">
      <c r="A618" s="44" t="str">
        <f t="shared" ca="1" si="9"/>
        <v>7.MENG</v>
      </c>
      <c r="B61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18" s="47"/>
      <c r="D618" s="44"/>
      <c r="E618" s="44"/>
      <c r="F618" s="47"/>
      <c r="G618" s="47"/>
      <c r="H618" s="45"/>
      <c r="I618" s="45"/>
      <c r="J618" s="45"/>
      <c r="K618" s="45"/>
      <c r="L618" s="46"/>
      <c r="M618" s="47"/>
      <c r="N618" s="47"/>
      <c r="O618" s="47"/>
      <c r="P618" s="47"/>
      <c r="Q618" s="47"/>
      <c r="R618" s="47"/>
      <c r="S618" s="48"/>
      <c r="T618" s="68" t="str">
        <f>IF(Tableau1[[#This Row],[DMS_SAP]]="","",HYPERLINK(Tableau1[[#This Row],[Chemin fichier source]],"X"))</f>
        <v/>
      </c>
      <c r="U618" s="68" t="str">
        <f>IF(Tableau1[[#This Row],[Date rév.]]="","",HYPERLINK(Tableau1[[#This Row],[Lien document]],"X"))</f>
        <v/>
      </c>
      <c r="V618" s="47"/>
      <c r="W61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18" s="47"/>
      <c r="Y618" s="47"/>
      <c r="Z618" s="44" t="str">
        <f ca="1">IF(AND(Tableau1[[#This Row],[Charge]]&lt;&gt;0, Tableau1[[#This Row],[Nombre intervenants]]&lt;&gt;0,Tableau1[[#This Row],[Lien document]]&lt;&gt;0,Tableau1[[#This Row],[DMS_SAP]]&lt;&gt;0)=TRUE,"MIS A JOUR","")</f>
        <v/>
      </c>
      <c r="AA618" s="48"/>
      <c r="AB618" s="65" t="str">
        <f ca="1">IF(Tableau1[[#This Row],[Date rév.]]&lt;&gt;"", DAYS360(Tableau1[[#This Row],[Date rév.]],TODAY()),"")</f>
        <v/>
      </c>
      <c r="AC618" s="50" t="str">
        <f>IFERROR(INDEX(Chemin_accès!$B$11:$C$22,MATCH(Tableau1[[#This Row],[Type]],Chemin_accès!$C$11:$C$22,0),1),Chemin_accès!$B$11)</f>
        <v>\\stjn.local\trimet\Btechnique\Commun\Atelier Central mécanique\Plan entretien\Modèles préventif\GammeDMS_7.MENG.xlsm</v>
      </c>
      <c r="AD618" s="50" t="str">
        <f>Chemin_accès!$B$8&amp;Tableau1[[#This Row],[Localisation / Classement]]&amp;"\"&amp;Tableau1[[#This Row],[Poste technique ou N° d''équipement]]&amp;"_"&amp;Tableau1[[#This Row],[Plan Entretien]]&amp;".xlsm"</f>
        <v>\\stjn.local\trimet\Btechnique\Commun\Atelier Central mécanique\Plan entretien\GammeEntretien\\_.xlsm</v>
      </c>
    </row>
    <row r="619" spans="1:30" x14ac:dyDescent="0.3">
      <c r="A619" s="44" t="str">
        <f t="shared" ca="1" si="9"/>
        <v>7.MENG</v>
      </c>
      <c r="B61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19" s="47"/>
      <c r="D619" s="44"/>
      <c r="E619" s="44"/>
      <c r="F619" s="47"/>
      <c r="G619" s="47"/>
      <c r="H619" s="45"/>
      <c r="I619" s="45"/>
      <c r="J619" s="45"/>
      <c r="K619" s="45"/>
      <c r="L619" s="46"/>
      <c r="M619" s="47"/>
      <c r="N619" s="47"/>
      <c r="O619" s="47"/>
      <c r="P619" s="47"/>
      <c r="Q619" s="47"/>
      <c r="R619" s="47"/>
      <c r="S619" s="48"/>
      <c r="T619" s="68" t="str">
        <f>IF(Tableau1[[#This Row],[DMS_SAP]]="","",HYPERLINK(Tableau1[[#This Row],[Chemin fichier source]],"X"))</f>
        <v/>
      </c>
      <c r="U619" s="68" t="str">
        <f>IF(Tableau1[[#This Row],[Date rév.]]="","",HYPERLINK(Tableau1[[#This Row],[Lien document]],"X"))</f>
        <v/>
      </c>
      <c r="V619" s="47"/>
      <c r="W61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19" s="47"/>
      <c r="Y619" s="47"/>
      <c r="Z619" s="44" t="str">
        <f ca="1">IF(AND(Tableau1[[#This Row],[Charge]]&lt;&gt;0, Tableau1[[#This Row],[Nombre intervenants]]&lt;&gt;0,Tableau1[[#This Row],[Lien document]]&lt;&gt;0,Tableau1[[#This Row],[DMS_SAP]]&lt;&gt;0)=TRUE,"MIS A JOUR","")</f>
        <v/>
      </c>
      <c r="AA619" s="48"/>
      <c r="AB619" s="65" t="str">
        <f ca="1">IF(Tableau1[[#This Row],[Date rév.]]&lt;&gt;"", DAYS360(Tableau1[[#This Row],[Date rév.]],TODAY()),"")</f>
        <v/>
      </c>
      <c r="AC619" s="50" t="str">
        <f>IFERROR(INDEX(Chemin_accès!$B$11:$C$22,MATCH(Tableau1[[#This Row],[Type]],Chemin_accès!$C$11:$C$22,0),1),Chemin_accès!$B$11)</f>
        <v>\\stjn.local\trimet\Btechnique\Commun\Atelier Central mécanique\Plan entretien\Modèles préventif\GammeDMS_7.MENG.xlsm</v>
      </c>
      <c r="AD619" s="50" t="str">
        <f>Chemin_accès!$B$8&amp;Tableau1[[#This Row],[Localisation / Classement]]&amp;"\"&amp;Tableau1[[#This Row],[Poste technique ou N° d''équipement]]&amp;"_"&amp;Tableau1[[#This Row],[Plan Entretien]]&amp;".xlsm"</f>
        <v>\\stjn.local\trimet\Btechnique\Commun\Atelier Central mécanique\Plan entretien\GammeEntretien\\_.xlsm</v>
      </c>
    </row>
    <row r="620" spans="1:30" x14ac:dyDescent="0.3">
      <c r="A620" s="44" t="str">
        <f t="shared" ca="1" si="9"/>
        <v>7.MENG</v>
      </c>
      <c r="B62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20" s="47"/>
      <c r="D620" s="44"/>
      <c r="E620" s="44"/>
      <c r="F620" s="47"/>
      <c r="G620" s="47"/>
      <c r="H620" s="45"/>
      <c r="I620" s="45"/>
      <c r="J620" s="45"/>
      <c r="K620" s="45"/>
      <c r="L620" s="46"/>
      <c r="M620" s="47"/>
      <c r="N620" s="47"/>
      <c r="O620" s="47"/>
      <c r="P620" s="47"/>
      <c r="Q620" s="47"/>
      <c r="R620" s="47"/>
      <c r="S620" s="48"/>
      <c r="T620" s="68" t="str">
        <f>IF(Tableau1[[#This Row],[DMS_SAP]]="","",HYPERLINK(Tableau1[[#This Row],[Chemin fichier source]],"X"))</f>
        <v/>
      </c>
      <c r="U620" s="68" t="str">
        <f>IF(Tableau1[[#This Row],[Date rév.]]="","",HYPERLINK(Tableau1[[#This Row],[Lien document]],"X"))</f>
        <v/>
      </c>
      <c r="V620" s="47"/>
      <c r="W62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20" s="47"/>
      <c r="Y620" s="47"/>
      <c r="Z620" s="44" t="str">
        <f ca="1">IF(AND(Tableau1[[#This Row],[Charge]]&lt;&gt;0, Tableau1[[#This Row],[Nombre intervenants]]&lt;&gt;0,Tableau1[[#This Row],[Lien document]]&lt;&gt;0,Tableau1[[#This Row],[DMS_SAP]]&lt;&gt;0)=TRUE,"MIS A JOUR","")</f>
        <v/>
      </c>
      <c r="AA620" s="48"/>
      <c r="AB620" s="65" t="str">
        <f ca="1">IF(Tableau1[[#This Row],[Date rév.]]&lt;&gt;"", DAYS360(Tableau1[[#This Row],[Date rév.]],TODAY()),"")</f>
        <v/>
      </c>
      <c r="AC620" s="50" t="str">
        <f>IFERROR(INDEX(Chemin_accès!$B$11:$C$22,MATCH(Tableau1[[#This Row],[Type]],Chemin_accès!$C$11:$C$22,0),1),Chemin_accès!$B$11)</f>
        <v>\\stjn.local\trimet\Btechnique\Commun\Atelier Central mécanique\Plan entretien\Modèles préventif\GammeDMS_7.MENG.xlsm</v>
      </c>
      <c r="AD620" s="50" t="str">
        <f>Chemin_accès!$B$8&amp;Tableau1[[#This Row],[Localisation / Classement]]&amp;"\"&amp;Tableau1[[#This Row],[Poste technique ou N° d''équipement]]&amp;"_"&amp;Tableau1[[#This Row],[Plan Entretien]]&amp;".xlsm"</f>
        <v>\\stjn.local\trimet\Btechnique\Commun\Atelier Central mécanique\Plan entretien\GammeEntretien\\_.xlsm</v>
      </c>
    </row>
    <row r="621" spans="1:30" x14ac:dyDescent="0.3">
      <c r="A621" s="44" t="str">
        <f t="shared" ca="1" si="9"/>
        <v>7.MENG</v>
      </c>
      <c r="B62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21" s="47"/>
      <c r="D621" s="44"/>
      <c r="E621" s="44"/>
      <c r="F621" s="47"/>
      <c r="G621" s="47"/>
      <c r="H621" s="45"/>
      <c r="I621" s="45"/>
      <c r="J621" s="45"/>
      <c r="K621" s="45"/>
      <c r="L621" s="46"/>
      <c r="M621" s="47"/>
      <c r="N621" s="47"/>
      <c r="O621" s="47"/>
      <c r="P621" s="47"/>
      <c r="Q621" s="47"/>
      <c r="R621" s="47"/>
      <c r="S621" s="48"/>
      <c r="T621" s="68" t="str">
        <f>IF(Tableau1[[#This Row],[DMS_SAP]]="","",HYPERLINK(Tableau1[[#This Row],[Chemin fichier source]],"X"))</f>
        <v/>
      </c>
      <c r="U621" s="68" t="str">
        <f>IF(Tableau1[[#This Row],[Date rév.]]="","",HYPERLINK(Tableau1[[#This Row],[Lien document]],"X"))</f>
        <v/>
      </c>
      <c r="V621" s="47"/>
      <c r="W62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21" s="47"/>
      <c r="Y621" s="47"/>
      <c r="Z621" s="44" t="str">
        <f ca="1">IF(AND(Tableau1[[#This Row],[Charge]]&lt;&gt;0, Tableau1[[#This Row],[Nombre intervenants]]&lt;&gt;0,Tableau1[[#This Row],[Lien document]]&lt;&gt;0,Tableau1[[#This Row],[DMS_SAP]]&lt;&gt;0)=TRUE,"MIS A JOUR","")</f>
        <v/>
      </c>
      <c r="AA621" s="48"/>
      <c r="AB621" s="65" t="str">
        <f ca="1">IF(Tableau1[[#This Row],[Date rév.]]&lt;&gt;"", DAYS360(Tableau1[[#This Row],[Date rév.]],TODAY()),"")</f>
        <v/>
      </c>
      <c r="AC621" s="50" t="str">
        <f>IFERROR(INDEX(Chemin_accès!$B$11:$C$22,MATCH(Tableau1[[#This Row],[Type]],Chemin_accès!$C$11:$C$22,0),1),Chemin_accès!$B$11)</f>
        <v>\\stjn.local\trimet\Btechnique\Commun\Atelier Central mécanique\Plan entretien\Modèles préventif\GammeDMS_7.MENG.xlsm</v>
      </c>
      <c r="AD621" s="50" t="str">
        <f>Chemin_accès!$B$8&amp;Tableau1[[#This Row],[Localisation / Classement]]&amp;"\"&amp;Tableau1[[#This Row],[Poste technique ou N° d''équipement]]&amp;"_"&amp;Tableau1[[#This Row],[Plan Entretien]]&amp;".xlsm"</f>
        <v>\\stjn.local\trimet\Btechnique\Commun\Atelier Central mécanique\Plan entretien\GammeEntretien\\_.xlsm</v>
      </c>
    </row>
    <row r="622" spans="1:30" x14ac:dyDescent="0.3">
      <c r="A622" s="44" t="str">
        <f t="shared" ca="1" si="9"/>
        <v>7.MENG</v>
      </c>
      <c r="B62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22" s="47"/>
      <c r="D622" s="44"/>
      <c r="E622" s="44"/>
      <c r="F622" s="47"/>
      <c r="G622" s="47"/>
      <c r="H622" s="45"/>
      <c r="I622" s="45"/>
      <c r="J622" s="45"/>
      <c r="K622" s="45"/>
      <c r="L622" s="46"/>
      <c r="M622" s="47"/>
      <c r="N622" s="47"/>
      <c r="O622" s="47"/>
      <c r="P622" s="47"/>
      <c r="Q622" s="47"/>
      <c r="R622" s="47"/>
      <c r="S622" s="48"/>
      <c r="T622" s="68" t="str">
        <f>IF(Tableau1[[#This Row],[DMS_SAP]]="","",HYPERLINK(Tableau1[[#This Row],[Chemin fichier source]],"X"))</f>
        <v/>
      </c>
      <c r="U622" s="68" t="str">
        <f>IF(Tableau1[[#This Row],[Date rév.]]="","",HYPERLINK(Tableau1[[#This Row],[Lien document]],"X"))</f>
        <v/>
      </c>
      <c r="V622" s="47"/>
      <c r="W62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22" s="47"/>
      <c r="Y622" s="47"/>
      <c r="Z622" s="44" t="str">
        <f ca="1">IF(AND(Tableau1[[#This Row],[Charge]]&lt;&gt;0, Tableau1[[#This Row],[Nombre intervenants]]&lt;&gt;0,Tableau1[[#This Row],[Lien document]]&lt;&gt;0,Tableau1[[#This Row],[DMS_SAP]]&lt;&gt;0)=TRUE,"MIS A JOUR","")</f>
        <v/>
      </c>
      <c r="AA622" s="48"/>
      <c r="AB622" s="65" t="str">
        <f ca="1">IF(Tableau1[[#This Row],[Date rév.]]&lt;&gt;"", DAYS360(Tableau1[[#This Row],[Date rév.]],TODAY()),"")</f>
        <v/>
      </c>
      <c r="AC622" s="50" t="str">
        <f>IFERROR(INDEX(Chemin_accès!$B$11:$C$22,MATCH(Tableau1[[#This Row],[Type]],Chemin_accès!$C$11:$C$22,0),1),Chemin_accès!$B$11)</f>
        <v>\\stjn.local\trimet\Btechnique\Commun\Atelier Central mécanique\Plan entretien\Modèles préventif\GammeDMS_7.MENG.xlsm</v>
      </c>
      <c r="AD622" s="50" t="str">
        <f>Chemin_accès!$B$8&amp;Tableau1[[#This Row],[Localisation / Classement]]&amp;"\"&amp;Tableau1[[#This Row],[Poste technique ou N° d''équipement]]&amp;"_"&amp;Tableau1[[#This Row],[Plan Entretien]]&amp;".xlsm"</f>
        <v>\\stjn.local\trimet\Btechnique\Commun\Atelier Central mécanique\Plan entretien\GammeEntretien\\_.xlsm</v>
      </c>
    </row>
    <row r="623" spans="1:30" x14ac:dyDescent="0.3">
      <c r="A623" s="44" t="str">
        <f t="shared" ca="1" si="9"/>
        <v>7.MENG</v>
      </c>
      <c r="B62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23" s="47"/>
      <c r="D623" s="44"/>
      <c r="E623" s="44"/>
      <c r="F623" s="47"/>
      <c r="G623" s="47"/>
      <c r="H623" s="45"/>
      <c r="I623" s="45"/>
      <c r="J623" s="45"/>
      <c r="K623" s="45"/>
      <c r="L623" s="46"/>
      <c r="M623" s="47"/>
      <c r="N623" s="47"/>
      <c r="O623" s="47"/>
      <c r="P623" s="47"/>
      <c r="Q623" s="47"/>
      <c r="R623" s="47"/>
      <c r="S623" s="48"/>
      <c r="T623" s="68" t="str">
        <f>IF(Tableau1[[#This Row],[DMS_SAP]]="","",HYPERLINK(Tableau1[[#This Row],[Chemin fichier source]],"X"))</f>
        <v/>
      </c>
      <c r="U623" s="68" t="str">
        <f>IF(Tableau1[[#This Row],[Date rév.]]="","",HYPERLINK(Tableau1[[#This Row],[Lien document]],"X"))</f>
        <v/>
      </c>
      <c r="V623" s="47"/>
      <c r="W62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23" s="47"/>
      <c r="Y623" s="47"/>
      <c r="Z623" s="44" t="str">
        <f ca="1">IF(AND(Tableau1[[#This Row],[Charge]]&lt;&gt;0, Tableau1[[#This Row],[Nombre intervenants]]&lt;&gt;0,Tableau1[[#This Row],[Lien document]]&lt;&gt;0,Tableau1[[#This Row],[DMS_SAP]]&lt;&gt;0)=TRUE,"MIS A JOUR","")</f>
        <v/>
      </c>
      <c r="AA623" s="48"/>
      <c r="AB623" s="65" t="str">
        <f ca="1">IF(Tableau1[[#This Row],[Date rév.]]&lt;&gt;"", DAYS360(Tableau1[[#This Row],[Date rév.]],TODAY()),"")</f>
        <v/>
      </c>
      <c r="AC623" s="50" t="str">
        <f>IFERROR(INDEX(Chemin_accès!$B$11:$C$22,MATCH(Tableau1[[#This Row],[Type]],Chemin_accès!$C$11:$C$22,0),1),Chemin_accès!$B$11)</f>
        <v>\\stjn.local\trimet\Btechnique\Commun\Atelier Central mécanique\Plan entretien\Modèles préventif\GammeDMS_7.MENG.xlsm</v>
      </c>
      <c r="AD623" s="50" t="str">
        <f>Chemin_accès!$B$8&amp;Tableau1[[#This Row],[Localisation / Classement]]&amp;"\"&amp;Tableau1[[#This Row],[Poste technique ou N° d''équipement]]&amp;"_"&amp;Tableau1[[#This Row],[Plan Entretien]]&amp;".xlsm"</f>
        <v>\\stjn.local\trimet\Btechnique\Commun\Atelier Central mécanique\Plan entretien\GammeEntretien\\_.xlsm</v>
      </c>
    </row>
    <row r="624" spans="1:30" x14ac:dyDescent="0.3">
      <c r="A624" s="44" t="str">
        <f t="shared" ca="1" si="9"/>
        <v>7.MENG</v>
      </c>
      <c r="B62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24" s="47"/>
      <c r="D624" s="44"/>
      <c r="E624" s="44"/>
      <c r="F624" s="47"/>
      <c r="G624" s="47"/>
      <c r="H624" s="45"/>
      <c r="I624" s="45"/>
      <c r="J624" s="45"/>
      <c r="K624" s="45"/>
      <c r="L624" s="46"/>
      <c r="M624" s="47"/>
      <c r="N624" s="47"/>
      <c r="O624" s="47"/>
      <c r="P624" s="47"/>
      <c r="Q624" s="47"/>
      <c r="R624" s="47"/>
      <c r="S624" s="48"/>
      <c r="T624" s="68" t="str">
        <f>IF(Tableau1[[#This Row],[DMS_SAP]]="","",HYPERLINK(Tableau1[[#This Row],[Chemin fichier source]],"X"))</f>
        <v/>
      </c>
      <c r="U624" s="68" t="str">
        <f>IF(Tableau1[[#This Row],[Date rév.]]="","",HYPERLINK(Tableau1[[#This Row],[Lien document]],"X"))</f>
        <v/>
      </c>
      <c r="V624" s="47"/>
      <c r="W62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24" s="47"/>
      <c r="Y624" s="47"/>
      <c r="Z624" s="44" t="str">
        <f ca="1">IF(AND(Tableau1[[#This Row],[Charge]]&lt;&gt;0, Tableau1[[#This Row],[Nombre intervenants]]&lt;&gt;0,Tableau1[[#This Row],[Lien document]]&lt;&gt;0,Tableau1[[#This Row],[DMS_SAP]]&lt;&gt;0)=TRUE,"MIS A JOUR","")</f>
        <v/>
      </c>
      <c r="AA624" s="48"/>
      <c r="AB624" s="65" t="str">
        <f ca="1">IF(Tableau1[[#This Row],[Date rév.]]&lt;&gt;"", DAYS360(Tableau1[[#This Row],[Date rév.]],TODAY()),"")</f>
        <v/>
      </c>
      <c r="AC624" s="50" t="str">
        <f>IFERROR(INDEX(Chemin_accès!$B$11:$C$22,MATCH(Tableau1[[#This Row],[Type]],Chemin_accès!$C$11:$C$22,0),1),Chemin_accès!$B$11)</f>
        <v>\\stjn.local\trimet\Btechnique\Commun\Atelier Central mécanique\Plan entretien\Modèles préventif\GammeDMS_7.MENG.xlsm</v>
      </c>
      <c r="AD624" s="50" t="str">
        <f>Chemin_accès!$B$8&amp;Tableau1[[#This Row],[Localisation / Classement]]&amp;"\"&amp;Tableau1[[#This Row],[Poste technique ou N° d''équipement]]&amp;"_"&amp;Tableau1[[#This Row],[Plan Entretien]]&amp;".xlsm"</f>
        <v>\\stjn.local\trimet\Btechnique\Commun\Atelier Central mécanique\Plan entretien\GammeEntretien\\_.xlsm</v>
      </c>
    </row>
    <row r="625" spans="1:30" x14ac:dyDescent="0.3">
      <c r="A625" s="44" t="str">
        <f t="shared" ca="1" si="9"/>
        <v>7.MENG</v>
      </c>
      <c r="B62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25" s="47"/>
      <c r="D625" s="44"/>
      <c r="E625" s="44"/>
      <c r="F625" s="47"/>
      <c r="G625" s="47"/>
      <c r="H625" s="45"/>
      <c r="I625" s="45"/>
      <c r="J625" s="45"/>
      <c r="K625" s="45"/>
      <c r="L625" s="46"/>
      <c r="M625" s="47"/>
      <c r="N625" s="47"/>
      <c r="O625" s="47"/>
      <c r="P625" s="47"/>
      <c r="Q625" s="47"/>
      <c r="R625" s="47"/>
      <c r="S625" s="48"/>
      <c r="T625" s="68" t="str">
        <f>IF(Tableau1[[#This Row],[DMS_SAP]]="","",HYPERLINK(Tableau1[[#This Row],[Chemin fichier source]],"X"))</f>
        <v/>
      </c>
      <c r="U625" s="68" t="str">
        <f>IF(Tableau1[[#This Row],[Date rév.]]="","",HYPERLINK(Tableau1[[#This Row],[Lien document]],"X"))</f>
        <v/>
      </c>
      <c r="V625" s="47"/>
      <c r="W62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25" s="47"/>
      <c r="Y625" s="47"/>
      <c r="Z625" s="44" t="str">
        <f ca="1">IF(AND(Tableau1[[#This Row],[Charge]]&lt;&gt;0, Tableau1[[#This Row],[Nombre intervenants]]&lt;&gt;0,Tableau1[[#This Row],[Lien document]]&lt;&gt;0,Tableau1[[#This Row],[DMS_SAP]]&lt;&gt;0)=TRUE,"MIS A JOUR","")</f>
        <v/>
      </c>
      <c r="AA625" s="48"/>
      <c r="AB625" s="65" t="str">
        <f ca="1">IF(Tableau1[[#This Row],[Date rév.]]&lt;&gt;"", DAYS360(Tableau1[[#This Row],[Date rév.]],TODAY()),"")</f>
        <v/>
      </c>
      <c r="AC625" s="50" t="str">
        <f>IFERROR(INDEX(Chemin_accès!$B$11:$C$22,MATCH(Tableau1[[#This Row],[Type]],Chemin_accès!$C$11:$C$22,0),1),Chemin_accès!$B$11)</f>
        <v>\\stjn.local\trimet\Btechnique\Commun\Atelier Central mécanique\Plan entretien\Modèles préventif\GammeDMS_7.MENG.xlsm</v>
      </c>
      <c r="AD625" s="50" t="str">
        <f>Chemin_accès!$B$8&amp;Tableau1[[#This Row],[Localisation / Classement]]&amp;"\"&amp;Tableau1[[#This Row],[Poste technique ou N° d''équipement]]&amp;"_"&amp;Tableau1[[#This Row],[Plan Entretien]]&amp;".xlsm"</f>
        <v>\\stjn.local\trimet\Btechnique\Commun\Atelier Central mécanique\Plan entretien\GammeEntretien\\_.xlsm</v>
      </c>
    </row>
    <row r="626" spans="1:30" x14ac:dyDescent="0.3">
      <c r="A626" s="44" t="str">
        <f t="shared" ca="1" si="9"/>
        <v>7.MENG</v>
      </c>
      <c r="B62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26" s="47"/>
      <c r="D626" s="44"/>
      <c r="E626" s="44"/>
      <c r="F626" s="47"/>
      <c r="G626" s="47"/>
      <c r="H626" s="45"/>
      <c r="I626" s="45"/>
      <c r="J626" s="45"/>
      <c r="K626" s="45"/>
      <c r="L626" s="46"/>
      <c r="M626" s="47"/>
      <c r="N626" s="47"/>
      <c r="O626" s="47"/>
      <c r="P626" s="47"/>
      <c r="Q626" s="47"/>
      <c r="R626" s="47"/>
      <c r="S626" s="48"/>
      <c r="T626" s="68" t="str">
        <f>IF(Tableau1[[#This Row],[DMS_SAP]]="","",HYPERLINK(Tableau1[[#This Row],[Chemin fichier source]],"X"))</f>
        <v/>
      </c>
      <c r="U626" s="68" t="str">
        <f>IF(Tableau1[[#This Row],[Date rév.]]="","",HYPERLINK(Tableau1[[#This Row],[Lien document]],"X"))</f>
        <v/>
      </c>
      <c r="V626" s="47"/>
      <c r="W62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26" s="47"/>
      <c r="Y626" s="47"/>
      <c r="Z626" s="44" t="str">
        <f ca="1">IF(AND(Tableau1[[#This Row],[Charge]]&lt;&gt;0, Tableau1[[#This Row],[Nombre intervenants]]&lt;&gt;0,Tableau1[[#This Row],[Lien document]]&lt;&gt;0,Tableau1[[#This Row],[DMS_SAP]]&lt;&gt;0)=TRUE,"MIS A JOUR","")</f>
        <v/>
      </c>
      <c r="AA626" s="48"/>
      <c r="AB626" s="65" t="str">
        <f ca="1">IF(Tableau1[[#This Row],[Date rév.]]&lt;&gt;"", DAYS360(Tableau1[[#This Row],[Date rév.]],TODAY()),"")</f>
        <v/>
      </c>
      <c r="AC626" s="50" t="str">
        <f>IFERROR(INDEX(Chemin_accès!$B$11:$C$22,MATCH(Tableau1[[#This Row],[Type]],Chemin_accès!$C$11:$C$22,0),1),Chemin_accès!$B$11)</f>
        <v>\\stjn.local\trimet\Btechnique\Commun\Atelier Central mécanique\Plan entretien\Modèles préventif\GammeDMS_7.MENG.xlsm</v>
      </c>
      <c r="AD626" s="50" t="str">
        <f>Chemin_accès!$B$8&amp;Tableau1[[#This Row],[Localisation / Classement]]&amp;"\"&amp;Tableau1[[#This Row],[Poste technique ou N° d''équipement]]&amp;"_"&amp;Tableau1[[#This Row],[Plan Entretien]]&amp;".xlsm"</f>
        <v>\\stjn.local\trimet\Btechnique\Commun\Atelier Central mécanique\Plan entretien\GammeEntretien\\_.xlsm</v>
      </c>
    </row>
    <row r="627" spans="1:30" x14ac:dyDescent="0.3">
      <c r="A627" s="44" t="str">
        <f t="shared" ca="1" si="9"/>
        <v>7.MENG</v>
      </c>
      <c r="B62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27" s="47"/>
      <c r="D627" s="44"/>
      <c r="E627" s="44"/>
      <c r="F627" s="47"/>
      <c r="G627" s="47"/>
      <c r="H627" s="45"/>
      <c r="I627" s="45"/>
      <c r="J627" s="45"/>
      <c r="K627" s="45"/>
      <c r="L627" s="46"/>
      <c r="M627" s="47"/>
      <c r="N627" s="47"/>
      <c r="O627" s="47"/>
      <c r="P627" s="47"/>
      <c r="Q627" s="47"/>
      <c r="R627" s="47"/>
      <c r="S627" s="48"/>
      <c r="T627" s="68" t="str">
        <f>IF(Tableau1[[#This Row],[DMS_SAP]]="","",HYPERLINK(Tableau1[[#This Row],[Chemin fichier source]],"X"))</f>
        <v/>
      </c>
      <c r="U627" s="68" t="str">
        <f>IF(Tableau1[[#This Row],[Date rév.]]="","",HYPERLINK(Tableau1[[#This Row],[Lien document]],"X"))</f>
        <v/>
      </c>
      <c r="V627" s="47"/>
      <c r="W62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27" s="47"/>
      <c r="Y627" s="47"/>
      <c r="Z627" s="44" t="str">
        <f ca="1">IF(AND(Tableau1[[#This Row],[Charge]]&lt;&gt;0, Tableau1[[#This Row],[Nombre intervenants]]&lt;&gt;0,Tableau1[[#This Row],[Lien document]]&lt;&gt;0,Tableau1[[#This Row],[DMS_SAP]]&lt;&gt;0)=TRUE,"MIS A JOUR","")</f>
        <v/>
      </c>
      <c r="AA627" s="48"/>
      <c r="AB627" s="65" t="str">
        <f ca="1">IF(Tableau1[[#This Row],[Date rév.]]&lt;&gt;"", DAYS360(Tableau1[[#This Row],[Date rév.]],TODAY()),"")</f>
        <v/>
      </c>
      <c r="AC627" s="50" t="str">
        <f>IFERROR(INDEX(Chemin_accès!$B$11:$C$22,MATCH(Tableau1[[#This Row],[Type]],Chemin_accès!$C$11:$C$22,0),1),Chemin_accès!$B$11)</f>
        <v>\\stjn.local\trimet\Btechnique\Commun\Atelier Central mécanique\Plan entretien\Modèles préventif\GammeDMS_7.MENG.xlsm</v>
      </c>
      <c r="AD627" s="50" t="str">
        <f>Chemin_accès!$B$8&amp;Tableau1[[#This Row],[Localisation / Classement]]&amp;"\"&amp;Tableau1[[#This Row],[Poste technique ou N° d''équipement]]&amp;"_"&amp;Tableau1[[#This Row],[Plan Entretien]]&amp;".xlsm"</f>
        <v>\\stjn.local\trimet\Btechnique\Commun\Atelier Central mécanique\Plan entretien\GammeEntretien\\_.xlsm</v>
      </c>
    </row>
    <row r="628" spans="1:30" x14ac:dyDescent="0.3">
      <c r="A628" s="44" t="str">
        <f t="shared" ca="1" si="9"/>
        <v>7.MENG</v>
      </c>
      <c r="B62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28" s="47"/>
      <c r="D628" s="44"/>
      <c r="E628" s="44"/>
      <c r="F628" s="47"/>
      <c r="G628" s="47"/>
      <c r="H628" s="45"/>
      <c r="I628" s="45"/>
      <c r="J628" s="45"/>
      <c r="K628" s="45"/>
      <c r="L628" s="46"/>
      <c r="M628" s="47"/>
      <c r="N628" s="47"/>
      <c r="O628" s="47"/>
      <c r="P628" s="47"/>
      <c r="Q628" s="47"/>
      <c r="R628" s="47"/>
      <c r="S628" s="48"/>
      <c r="T628" s="68" t="str">
        <f>IF(Tableau1[[#This Row],[DMS_SAP]]="","",HYPERLINK(Tableau1[[#This Row],[Chemin fichier source]],"X"))</f>
        <v/>
      </c>
      <c r="U628" s="68" t="str">
        <f>IF(Tableau1[[#This Row],[Date rév.]]="","",HYPERLINK(Tableau1[[#This Row],[Lien document]],"X"))</f>
        <v/>
      </c>
      <c r="V628" s="47"/>
      <c r="W62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28" s="47"/>
      <c r="Y628" s="47"/>
      <c r="Z628" s="44" t="str">
        <f ca="1">IF(AND(Tableau1[[#This Row],[Charge]]&lt;&gt;0, Tableau1[[#This Row],[Nombre intervenants]]&lt;&gt;0,Tableau1[[#This Row],[Lien document]]&lt;&gt;0,Tableau1[[#This Row],[DMS_SAP]]&lt;&gt;0)=TRUE,"MIS A JOUR","")</f>
        <v/>
      </c>
      <c r="AA628" s="48"/>
      <c r="AB628" s="65" t="str">
        <f ca="1">IF(Tableau1[[#This Row],[Date rév.]]&lt;&gt;"", DAYS360(Tableau1[[#This Row],[Date rév.]],TODAY()),"")</f>
        <v/>
      </c>
      <c r="AC628" s="50" t="str">
        <f>IFERROR(INDEX(Chemin_accès!$B$11:$C$22,MATCH(Tableau1[[#This Row],[Type]],Chemin_accès!$C$11:$C$22,0),1),Chemin_accès!$B$11)</f>
        <v>\\stjn.local\trimet\Btechnique\Commun\Atelier Central mécanique\Plan entretien\Modèles préventif\GammeDMS_7.MENG.xlsm</v>
      </c>
      <c r="AD628" s="50" t="str">
        <f>Chemin_accès!$B$8&amp;Tableau1[[#This Row],[Localisation / Classement]]&amp;"\"&amp;Tableau1[[#This Row],[Poste technique ou N° d''équipement]]&amp;"_"&amp;Tableau1[[#This Row],[Plan Entretien]]&amp;".xlsm"</f>
        <v>\\stjn.local\trimet\Btechnique\Commun\Atelier Central mécanique\Plan entretien\GammeEntretien\\_.xlsm</v>
      </c>
    </row>
    <row r="629" spans="1:30" x14ac:dyDescent="0.3">
      <c r="A629" s="44" t="str">
        <f t="shared" ca="1" si="9"/>
        <v>7.MENG</v>
      </c>
      <c r="B62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29" s="47"/>
      <c r="D629" s="44"/>
      <c r="E629" s="44"/>
      <c r="F629" s="47"/>
      <c r="G629" s="47"/>
      <c r="H629" s="45"/>
      <c r="I629" s="45"/>
      <c r="J629" s="45"/>
      <c r="K629" s="45"/>
      <c r="L629" s="46"/>
      <c r="M629" s="47"/>
      <c r="N629" s="47"/>
      <c r="O629" s="47"/>
      <c r="P629" s="47"/>
      <c r="Q629" s="47"/>
      <c r="R629" s="47"/>
      <c r="S629" s="48"/>
      <c r="T629" s="68" t="str">
        <f>IF(Tableau1[[#This Row],[DMS_SAP]]="","",HYPERLINK(Tableau1[[#This Row],[Chemin fichier source]],"X"))</f>
        <v/>
      </c>
      <c r="U629" s="68" t="str">
        <f>IF(Tableau1[[#This Row],[Date rév.]]="","",HYPERLINK(Tableau1[[#This Row],[Lien document]],"X"))</f>
        <v/>
      </c>
      <c r="V629" s="47"/>
      <c r="W62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29" s="47"/>
      <c r="Y629" s="47"/>
      <c r="Z629" s="44" t="str">
        <f ca="1">IF(AND(Tableau1[[#This Row],[Charge]]&lt;&gt;0, Tableau1[[#This Row],[Nombre intervenants]]&lt;&gt;0,Tableau1[[#This Row],[Lien document]]&lt;&gt;0,Tableau1[[#This Row],[DMS_SAP]]&lt;&gt;0)=TRUE,"MIS A JOUR","")</f>
        <v/>
      </c>
      <c r="AA629" s="48"/>
      <c r="AB629" s="65" t="str">
        <f ca="1">IF(Tableau1[[#This Row],[Date rév.]]&lt;&gt;"", DAYS360(Tableau1[[#This Row],[Date rév.]],TODAY()),"")</f>
        <v/>
      </c>
      <c r="AC629" s="50" t="str">
        <f>IFERROR(INDEX(Chemin_accès!$B$11:$C$22,MATCH(Tableau1[[#This Row],[Type]],Chemin_accès!$C$11:$C$22,0),1),Chemin_accès!$B$11)</f>
        <v>\\stjn.local\trimet\Btechnique\Commun\Atelier Central mécanique\Plan entretien\Modèles préventif\GammeDMS_7.MENG.xlsm</v>
      </c>
      <c r="AD629" s="50" t="str">
        <f>Chemin_accès!$B$8&amp;Tableau1[[#This Row],[Localisation / Classement]]&amp;"\"&amp;Tableau1[[#This Row],[Poste technique ou N° d''équipement]]&amp;"_"&amp;Tableau1[[#This Row],[Plan Entretien]]&amp;".xlsm"</f>
        <v>\\stjn.local\trimet\Btechnique\Commun\Atelier Central mécanique\Plan entretien\GammeEntretien\\_.xlsm</v>
      </c>
    </row>
    <row r="630" spans="1:30" x14ac:dyDescent="0.3">
      <c r="A630" s="44" t="str">
        <f t="shared" ca="1" si="9"/>
        <v>7.MENG</v>
      </c>
      <c r="B63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30" s="47"/>
      <c r="D630" s="44"/>
      <c r="E630" s="44"/>
      <c r="F630" s="47"/>
      <c r="G630" s="47"/>
      <c r="H630" s="45"/>
      <c r="I630" s="45"/>
      <c r="J630" s="45"/>
      <c r="K630" s="45"/>
      <c r="L630" s="46"/>
      <c r="M630" s="47"/>
      <c r="N630" s="47"/>
      <c r="O630" s="47"/>
      <c r="P630" s="47"/>
      <c r="Q630" s="47"/>
      <c r="R630" s="47"/>
      <c r="S630" s="48"/>
      <c r="T630" s="68" t="str">
        <f>IF(Tableau1[[#This Row],[DMS_SAP]]="","",HYPERLINK(Tableau1[[#This Row],[Chemin fichier source]],"X"))</f>
        <v/>
      </c>
      <c r="U630" s="68" t="str">
        <f>IF(Tableau1[[#This Row],[Date rév.]]="","",HYPERLINK(Tableau1[[#This Row],[Lien document]],"X"))</f>
        <v/>
      </c>
      <c r="V630" s="47"/>
      <c r="W63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30" s="47"/>
      <c r="Y630" s="47"/>
      <c r="Z630" s="44" t="str">
        <f ca="1">IF(AND(Tableau1[[#This Row],[Charge]]&lt;&gt;0, Tableau1[[#This Row],[Nombre intervenants]]&lt;&gt;0,Tableau1[[#This Row],[Lien document]]&lt;&gt;0,Tableau1[[#This Row],[DMS_SAP]]&lt;&gt;0)=TRUE,"MIS A JOUR","")</f>
        <v/>
      </c>
      <c r="AA630" s="48"/>
      <c r="AB630" s="65" t="str">
        <f ca="1">IF(Tableau1[[#This Row],[Date rév.]]&lt;&gt;"", DAYS360(Tableau1[[#This Row],[Date rév.]],TODAY()),"")</f>
        <v/>
      </c>
      <c r="AC630" s="50" t="str">
        <f>IFERROR(INDEX(Chemin_accès!$B$11:$C$22,MATCH(Tableau1[[#This Row],[Type]],Chemin_accès!$C$11:$C$22,0),1),Chemin_accès!$B$11)</f>
        <v>\\stjn.local\trimet\Btechnique\Commun\Atelier Central mécanique\Plan entretien\Modèles préventif\GammeDMS_7.MENG.xlsm</v>
      </c>
      <c r="AD630" s="50" t="str">
        <f>Chemin_accès!$B$8&amp;Tableau1[[#This Row],[Localisation / Classement]]&amp;"\"&amp;Tableau1[[#This Row],[Poste technique ou N° d''équipement]]&amp;"_"&amp;Tableau1[[#This Row],[Plan Entretien]]&amp;".xlsm"</f>
        <v>\\stjn.local\trimet\Btechnique\Commun\Atelier Central mécanique\Plan entretien\GammeEntretien\\_.xlsm</v>
      </c>
    </row>
    <row r="631" spans="1:30" x14ac:dyDescent="0.3">
      <c r="A631" s="44" t="str">
        <f t="shared" ca="1" si="9"/>
        <v>7.MENG</v>
      </c>
      <c r="B63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31" s="47"/>
      <c r="D631" s="44"/>
      <c r="E631" s="44"/>
      <c r="F631" s="47"/>
      <c r="G631" s="47"/>
      <c r="H631" s="45"/>
      <c r="I631" s="45"/>
      <c r="J631" s="45"/>
      <c r="K631" s="45"/>
      <c r="L631" s="46"/>
      <c r="M631" s="47"/>
      <c r="N631" s="47"/>
      <c r="O631" s="47"/>
      <c r="P631" s="47"/>
      <c r="Q631" s="47"/>
      <c r="R631" s="47"/>
      <c r="S631" s="48"/>
      <c r="T631" s="68" t="str">
        <f>IF(Tableau1[[#This Row],[DMS_SAP]]="","",HYPERLINK(Tableau1[[#This Row],[Chemin fichier source]],"X"))</f>
        <v/>
      </c>
      <c r="U631" s="68" t="str">
        <f>IF(Tableau1[[#This Row],[Date rév.]]="","",HYPERLINK(Tableau1[[#This Row],[Lien document]],"X"))</f>
        <v/>
      </c>
      <c r="V631" s="47"/>
      <c r="W63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31" s="47"/>
      <c r="Y631" s="47"/>
      <c r="Z631" s="44" t="str">
        <f ca="1">IF(AND(Tableau1[[#This Row],[Charge]]&lt;&gt;0, Tableau1[[#This Row],[Nombre intervenants]]&lt;&gt;0,Tableau1[[#This Row],[Lien document]]&lt;&gt;0,Tableau1[[#This Row],[DMS_SAP]]&lt;&gt;0)=TRUE,"MIS A JOUR","")</f>
        <v/>
      </c>
      <c r="AA631" s="48"/>
      <c r="AB631" s="65" t="str">
        <f ca="1">IF(Tableau1[[#This Row],[Date rév.]]&lt;&gt;"", DAYS360(Tableau1[[#This Row],[Date rév.]],TODAY()),"")</f>
        <v/>
      </c>
      <c r="AC631" s="50" t="str">
        <f>IFERROR(INDEX(Chemin_accès!$B$11:$C$22,MATCH(Tableau1[[#This Row],[Type]],Chemin_accès!$C$11:$C$22,0),1),Chemin_accès!$B$11)</f>
        <v>\\stjn.local\trimet\Btechnique\Commun\Atelier Central mécanique\Plan entretien\Modèles préventif\GammeDMS_7.MENG.xlsm</v>
      </c>
      <c r="AD631" s="50" t="str">
        <f>Chemin_accès!$B$8&amp;Tableau1[[#This Row],[Localisation / Classement]]&amp;"\"&amp;Tableau1[[#This Row],[Poste technique ou N° d''équipement]]&amp;"_"&amp;Tableau1[[#This Row],[Plan Entretien]]&amp;".xlsm"</f>
        <v>\\stjn.local\trimet\Btechnique\Commun\Atelier Central mécanique\Plan entretien\GammeEntretien\\_.xlsm</v>
      </c>
    </row>
    <row r="632" spans="1:30" x14ac:dyDescent="0.3">
      <c r="A632" s="44" t="str">
        <f t="shared" ca="1" si="9"/>
        <v>7.MENG</v>
      </c>
      <c r="B63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32" s="47"/>
      <c r="D632" s="44"/>
      <c r="E632" s="44"/>
      <c r="F632" s="47"/>
      <c r="G632" s="47"/>
      <c r="H632" s="45"/>
      <c r="I632" s="45"/>
      <c r="J632" s="45"/>
      <c r="K632" s="45"/>
      <c r="L632" s="46"/>
      <c r="M632" s="47"/>
      <c r="N632" s="47"/>
      <c r="O632" s="47"/>
      <c r="P632" s="47"/>
      <c r="Q632" s="47"/>
      <c r="R632" s="47"/>
      <c r="S632" s="48"/>
      <c r="T632" s="68" t="str">
        <f>IF(Tableau1[[#This Row],[DMS_SAP]]="","",HYPERLINK(Tableau1[[#This Row],[Chemin fichier source]],"X"))</f>
        <v/>
      </c>
      <c r="U632" s="68" t="str">
        <f>IF(Tableau1[[#This Row],[Date rév.]]="","",HYPERLINK(Tableau1[[#This Row],[Lien document]],"X"))</f>
        <v/>
      </c>
      <c r="V632" s="47"/>
      <c r="W63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32" s="47"/>
      <c r="Y632" s="47"/>
      <c r="Z632" s="44" t="str">
        <f ca="1">IF(AND(Tableau1[[#This Row],[Charge]]&lt;&gt;0, Tableau1[[#This Row],[Nombre intervenants]]&lt;&gt;0,Tableau1[[#This Row],[Lien document]]&lt;&gt;0,Tableau1[[#This Row],[DMS_SAP]]&lt;&gt;0)=TRUE,"MIS A JOUR","")</f>
        <v/>
      </c>
      <c r="AA632" s="48"/>
      <c r="AB632" s="65" t="str">
        <f ca="1">IF(Tableau1[[#This Row],[Date rév.]]&lt;&gt;"", DAYS360(Tableau1[[#This Row],[Date rév.]],TODAY()),"")</f>
        <v/>
      </c>
      <c r="AC632" s="50" t="str">
        <f>IFERROR(INDEX(Chemin_accès!$B$11:$C$22,MATCH(Tableau1[[#This Row],[Type]],Chemin_accès!$C$11:$C$22,0),1),Chemin_accès!$B$11)</f>
        <v>\\stjn.local\trimet\Btechnique\Commun\Atelier Central mécanique\Plan entretien\Modèles préventif\GammeDMS_7.MENG.xlsm</v>
      </c>
      <c r="AD632" s="50" t="str">
        <f>Chemin_accès!$B$8&amp;Tableau1[[#This Row],[Localisation / Classement]]&amp;"\"&amp;Tableau1[[#This Row],[Poste technique ou N° d''équipement]]&amp;"_"&amp;Tableau1[[#This Row],[Plan Entretien]]&amp;".xlsm"</f>
        <v>\\stjn.local\trimet\Btechnique\Commun\Atelier Central mécanique\Plan entretien\GammeEntretien\\_.xlsm</v>
      </c>
    </row>
    <row r="633" spans="1:30" x14ac:dyDescent="0.3">
      <c r="A633" s="44" t="str">
        <f t="shared" ca="1" si="9"/>
        <v>7.MENG</v>
      </c>
      <c r="B63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33" s="47"/>
      <c r="D633" s="44"/>
      <c r="E633" s="44"/>
      <c r="F633" s="47"/>
      <c r="G633" s="47"/>
      <c r="H633" s="45"/>
      <c r="I633" s="45"/>
      <c r="J633" s="45"/>
      <c r="K633" s="45"/>
      <c r="L633" s="46"/>
      <c r="M633" s="47"/>
      <c r="N633" s="47"/>
      <c r="O633" s="47"/>
      <c r="P633" s="47"/>
      <c r="Q633" s="47"/>
      <c r="R633" s="47"/>
      <c r="S633" s="48"/>
      <c r="T633" s="68" t="str">
        <f>IF(Tableau1[[#This Row],[DMS_SAP]]="","",HYPERLINK(Tableau1[[#This Row],[Chemin fichier source]],"X"))</f>
        <v/>
      </c>
      <c r="U633" s="68" t="str">
        <f>IF(Tableau1[[#This Row],[Date rév.]]="","",HYPERLINK(Tableau1[[#This Row],[Lien document]],"X"))</f>
        <v/>
      </c>
      <c r="V633" s="47"/>
      <c r="W63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33" s="47"/>
      <c r="Y633" s="47"/>
      <c r="Z633" s="44" t="str">
        <f ca="1">IF(AND(Tableau1[[#This Row],[Charge]]&lt;&gt;0, Tableau1[[#This Row],[Nombre intervenants]]&lt;&gt;0,Tableau1[[#This Row],[Lien document]]&lt;&gt;0,Tableau1[[#This Row],[DMS_SAP]]&lt;&gt;0)=TRUE,"MIS A JOUR","")</f>
        <v/>
      </c>
      <c r="AA633" s="48"/>
      <c r="AB633" s="65" t="str">
        <f ca="1">IF(Tableau1[[#This Row],[Date rév.]]&lt;&gt;"", DAYS360(Tableau1[[#This Row],[Date rév.]],TODAY()),"")</f>
        <v/>
      </c>
      <c r="AC633" s="50" t="str">
        <f>IFERROR(INDEX(Chemin_accès!$B$11:$C$22,MATCH(Tableau1[[#This Row],[Type]],Chemin_accès!$C$11:$C$22,0),1),Chemin_accès!$B$11)</f>
        <v>\\stjn.local\trimet\Btechnique\Commun\Atelier Central mécanique\Plan entretien\Modèles préventif\GammeDMS_7.MENG.xlsm</v>
      </c>
      <c r="AD633" s="50" t="str">
        <f>Chemin_accès!$B$8&amp;Tableau1[[#This Row],[Localisation / Classement]]&amp;"\"&amp;Tableau1[[#This Row],[Poste technique ou N° d''équipement]]&amp;"_"&amp;Tableau1[[#This Row],[Plan Entretien]]&amp;".xlsm"</f>
        <v>\\stjn.local\trimet\Btechnique\Commun\Atelier Central mécanique\Plan entretien\GammeEntretien\\_.xlsm</v>
      </c>
    </row>
    <row r="634" spans="1:30" x14ac:dyDescent="0.3">
      <c r="A634" s="44" t="str">
        <f t="shared" ca="1" si="9"/>
        <v>7.MENG</v>
      </c>
      <c r="B63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34" s="47"/>
      <c r="D634" s="44"/>
      <c r="E634" s="44"/>
      <c r="F634" s="47"/>
      <c r="G634" s="47"/>
      <c r="H634" s="45"/>
      <c r="I634" s="45"/>
      <c r="J634" s="45"/>
      <c r="K634" s="45"/>
      <c r="L634" s="46"/>
      <c r="M634" s="47"/>
      <c r="N634" s="47"/>
      <c r="O634" s="47"/>
      <c r="P634" s="47"/>
      <c r="Q634" s="47"/>
      <c r="R634" s="47"/>
      <c r="S634" s="48"/>
      <c r="T634" s="68" t="str">
        <f>IF(Tableau1[[#This Row],[DMS_SAP]]="","",HYPERLINK(Tableau1[[#This Row],[Chemin fichier source]],"X"))</f>
        <v/>
      </c>
      <c r="U634" s="68" t="str">
        <f>IF(Tableau1[[#This Row],[Date rév.]]="","",HYPERLINK(Tableau1[[#This Row],[Lien document]],"X"))</f>
        <v/>
      </c>
      <c r="V634" s="47"/>
      <c r="W63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34" s="47"/>
      <c r="Y634" s="47"/>
      <c r="Z634" s="44" t="str">
        <f ca="1">IF(AND(Tableau1[[#This Row],[Charge]]&lt;&gt;0, Tableau1[[#This Row],[Nombre intervenants]]&lt;&gt;0,Tableau1[[#This Row],[Lien document]]&lt;&gt;0,Tableau1[[#This Row],[DMS_SAP]]&lt;&gt;0)=TRUE,"MIS A JOUR","")</f>
        <v/>
      </c>
      <c r="AA634" s="48"/>
      <c r="AB634" s="65" t="str">
        <f ca="1">IF(Tableau1[[#This Row],[Date rév.]]&lt;&gt;"", DAYS360(Tableau1[[#This Row],[Date rév.]],TODAY()),"")</f>
        <v/>
      </c>
      <c r="AC634" s="50" t="str">
        <f>IFERROR(INDEX(Chemin_accès!$B$11:$C$22,MATCH(Tableau1[[#This Row],[Type]],Chemin_accès!$C$11:$C$22,0),1),Chemin_accès!$B$11)</f>
        <v>\\stjn.local\trimet\Btechnique\Commun\Atelier Central mécanique\Plan entretien\Modèles préventif\GammeDMS_7.MENG.xlsm</v>
      </c>
      <c r="AD634" s="50" t="str">
        <f>Chemin_accès!$B$8&amp;Tableau1[[#This Row],[Localisation / Classement]]&amp;"\"&amp;Tableau1[[#This Row],[Poste technique ou N° d''équipement]]&amp;"_"&amp;Tableau1[[#This Row],[Plan Entretien]]&amp;".xlsm"</f>
        <v>\\stjn.local\trimet\Btechnique\Commun\Atelier Central mécanique\Plan entretien\GammeEntretien\\_.xlsm</v>
      </c>
    </row>
    <row r="635" spans="1:30" x14ac:dyDescent="0.3">
      <c r="A635" s="44" t="str">
        <f t="shared" ca="1" si="9"/>
        <v>7.MENG</v>
      </c>
      <c r="B63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35" s="47"/>
      <c r="D635" s="44"/>
      <c r="E635" s="44"/>
      <c r="F635" s="47"/>
      <c r="G635" s="47"/>
      <c r="H635" s="45"/>
      <c r="I635" s="45"/>
      <c r="J635" s="45"/>
      <c r="K635" s="45"/>
      <c r="L635" s="46"/>
      <c r="M635" s="47"/>
      <c r="N635" s="47"/>
      <c r="O635" s="47"/>
      <c r="P635" s="47"/>
      <c r="Q635" s="47"/>
      <c r="R635" s="47"/>
      <c r="S635" s="48"/>
      <c r="T635" s="68" t="str">
        <f>IF(Tableau1[[#This Row],[DMS_SAP]]="","",HYPERLINK(Tableau1[[#This Row],[Chemin fichier source]],"X"))</f>
        <v/>
      </c>
      <c r="U635" s="68" t="str">
        <f>IF(Tableau1[[#This Row],[Date rév.]]="","",HYPERLINK(Tableau1[[#This Row],[Lien document]],"X"))</f>
        <v/>
      </c>
      <c r="V635" s="47"/>
      <c r="W63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35" s="47"/>
      <c r="Y635" s="47"/>
      <c r="Z635" s="44" t="str">
        <f ca="1">IF(AND(Tableau1[[#This Row],[Charge]]&lt;&gt;0, Tableau1[[#This Row],[Nombre intervenants]]&lt;&gt;0,Tableau1[[#This Row],[Lien document]]&lt;&gt;0,Tableau1[[#This Row],[DMS_SAP]]&lt;&gt;0)=TRUE,"MIS A JOUR","")</f>
        <v/>
      </c>
      <c r="AA635" s="48"/>
      <c r="AB635" s="65" t="str">
        <f ca="1">IF(Tableau1[[#This Row],[Date rév.]]&lt;&gt;"", DAYS360(Tableau1[[#This Row],[Date rév.]],TODAY()),"")</f>
        <v/>
      </c>
      <c r="AC635" s="50" t="str">
        <f>IFERROR(INDEX(Chemin_accès!$B$11:$C$22,MATCH(Tableau1[[#This Row],[Type]],Chemin_accès!$C$11:$C$22,0),1),Chemin_accès!$B$11)</f>
        <v>\\stjn.local\trimet\Btechnique\Commun\Atelier Central mécanique\Plan entretien\Modèles préventif\GammeDMS_7.MENG.xlsm</v>
      </c>
      <c r="AD635" s="50" t="str">
        <f>Chemin_accès!$B$8&amp;Tableau1[[#This Row],[Localisation / Classement]]&amp;"\"&amp;Tableau1[[#This Row],[Poste technique ou N° d''équipement]]&amp;"_"&amp;Tableau1[[#This Row],[Plan Entretien]]&amp;".xlsm"</f>
        <v>\\stjn.local\trimet\Btechnique\Commun\Atelier Central mécanique\Plan entretien\GammeEntretien\\_.xlsm</v>
      </c>
    </row>
    <row r="636" spans="1:30" x14ac:dyDescent="0.3">
      <c r="A636" s="44" t="str">
        <f t="shared" ca="1" si="9"/>
        <v>7.MENG</v>
      </c>
      <c r="B63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36" s="47"/>
      <c r="D636" s="44"/>
      <c r="E636" s="44"/>
      <c r="F636" s="47"/>
      <c r="G636" s="47"/>
      <c r="H636" s="45"/>
      <c r="I636" s="45"/>
      <c r="J636" s="45"/>
      <c r="K636" s="45"/>
      <c r="L636" s="46"/>
      <c r="M636" s="47"/>
      <c r="N636" s="47"/>
      <c r="O636" s="47"/>
      <c r="P636" s="47"/>
      <c r="Q636" s="47"/>
      <c r="R636" s="47"/>
      <c r="S636" s="48"/>
      <c r="T636" s="68" t="str">
        <f>IF(Tableau1[[#This Row],[DMS_SAP]]="","",HYPERLINK(Tableau1[[#This Row],[Chemin fichier source]],"X"))</f>
        <v/>
      </c>
      <c r="U636" s="68" t="str">
        <f>IF(Tableau1[[#This Row],[Date rév.]]="","",HYPERLINK(Tableau1[[#This Row],[Lien document]],"X"))</f>
        <v/>
      </c>
      <c r="V636" s="47"/>
      <c r="W63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36" s="47"/>
      <c r="Y636" s="47"/>
      <c r="Z636" s="44" t="str">
        <f ca="1">IF(AND(Tableau1[[#This Row],[Charge]]&lt;&gt;0, Tableau1[[#This Row],[Nombre intervenants]]&lt;&gt;0,Tableau1[[#This Row],[Lien document]]&lt;&gt;0,Tableau1[[#This Row],[DMS_SAP]]&lt;&gt;0)=TRUE,"MIS A JOUR","")</f>
        <v/>
      </c>
      <c r="AA636" s="48"/>
      <c r="AB636" s="65" t="str">
        <f ca="1">IF(Tableau1[[#This Row],[Date rév.]]&lt;&gt;"", DAYS360(Tableau1[[#This Row],[Date rév.]],TODAY()),"")</f>
        <v/>
      </c>
      <c r="AC636" s="50" t="str">
        <f>IFERROR(INDEX(Chemin_accès!$B$11:$C$22,MATCH(Tableau1[[#This Row],[Type]],Chemin_accès!$C$11:$C$22,0),1),Chemin_accès!$B$11)</f>
        <v>\\stjn.local\trimet\Btechnique\Commun\Atelier Central mécanique\Plan entretien\Modèles préventif\GammeDMS_7.MENG.xlsm</v>
      </c>
      <c r="AD636" s="50" t="str">
        <f>Chemin_accès!$B$8&amp;Tableau1[[#This Row],[Localisation / Classement]]&amp;"\"&amp;Tableau1[[#This Row],[Poste technique ou N° d''équipement]]&amp;"_"&amp;Tableau1[[#This Row],[Plan Entretien]]&amp;".xlsm"</f>
        <v>\\stjn.local\trimet\Btechnique\Commun\Atelier Central mécanique\Plan entretien\GammeEntretien\\_.xlsm</v>
      </c>
    </row>
    <row r="637" spans="1:30" x14ac:dyDescent="0.3">
      <c r="A637" s="44" t="str">
        <f t="shared" ca="1" si="9"/>
        <v>7.MENG</v>
      </c>
      <c r="B63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37" s="47"/>
      <c r="D637" s="44"/>
      <c r="E637" s="44"/>
      <c r="F637" s="47"/>
      <c r="G637" s="47"/>
      <c r="H637" s="45"/>
      <c r="I637" s="45"/>
      <c r="J637" s="45"/>
      <c r="K637" s="45"/>
      <c r="L637" s="46"/>
      <c r="M637" s="47"/>
      <c r="N637" s="47"/>
      <c r="O637" s="47"/>
      <c r="P637" s="47"/>
      <c r="Q637" s="47"/>
      <c r="R637" s="47"/>
      <c r="S637" s="48"/>
      <c r="T637" s="68" t="str">
        <f>IF(Tableau1[[#This Row],[DMS_SAP]]="","",HYPERLINK(Tableau1[[#This Row],[Chemin fichier source]],"X"))</f>
        <v/>
      </c>
      <c r="U637" s="68" t="str">
        <f>IF(Tableau1[[#This Row],[Date rév.]]="","",HYPERLINK(Tableau1[[#This Row],[Lien document]],"X"))</f>
        <v/>
      </c>
      <c r="V637" s="47"/>
      <c r="W63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37" s="47"/>
      <c r="Y637" s="47"/>
      <c r="Z637" s="44" t="str">
        <f ca="1">IF(AND(Tableau1[[#This Row],[Charge]]&lt;&gt;0, Tableau1[[#This Row],[Nombre intervenants]]&lt;&gt;0,Tableau1[[#This Row],[Lien document]]&lt;&gt;0,Tableau1[[#This Row],[DMS_SAP]]&lt;&gt;0)=TRUE,"MIS A JOUR","")</f>
        <v/>
      </c>
      <c r="AA637" s="48"/>
      <c r="AB637" s="65" t="str">
        <f ca="1">IF(Tableau1[[#This Row],[Date rév.]]&lt;&gt;"", DAYS360(Tableau1[[#This Row],[Date rév.]],TODAY()),"")</f>
        <v/>
      </c>
      <c r="AC637" s="50" t="str">
        <f>IFERROR(INDEX(Chemin_accès!$B$11:$C$22,MATCH(Tableau1[[#This Row],[Type]],Chemin_accès!$C$11:$C$22,0),1),Chemin_accès!$B$11)</f>
        <v>\\stjn.local\trimet\Btechnique\Commun\Atelier Central mécanique\Plan entretien\Modèles préventif\GammeDMS_7.MENG.xlsm</v>
      </c>
      <c r="AD637" s="50" t="str">
        <f>Chemin_accès!$B$8&amp;Tableau1[[#This Row],[Localisation / Classement]]&amp;"\"&amp;Tableau1[[#This Row],[Poste technique ou N° d''équipement]]&amp;"_"&amp;Tableau1[[#This Row],[Plan Entretien]]&amp;".xlsm"</f>
        <v>\\stjn.local\trimet\Btechnique\Commun\Atelier Central mécanique\Plan entretien\GammeEntretien\\_.xlsm</v>
      </c>
    </row>
    <row r="638" spans="1:30" x14ac:dyDescent="0.3">
      <c r="A638" s="44" t="str">
        <f t="shared" ca="1" si="9"/>
        <v>7.MENG</v>
      </c>
      <c r="B63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38" s="47"/>
      <c r="D638" s="44"/>
      <c r="E638" s="44"/>
      <c r="F638" s="47"/>
      <c r="G638" s="47"/>
      <c r="H638" s="45"/>
      <c r="I638" s="45"/>
      <c r="J638" s="45"/>
      <c r="K638" s="45"/>
      <c r="L638" s="46"/>
      <c r="M638" s="47"/>
      <c r="N638" s="47"/>
      <c r="O638" s="47"/>
      <c r="P638" s="47"/>
      <c r="Q638" s="47"/>
      <c r="R638" s="47"/>
      <c r="S638" s="48"/>
      <c r="T638" s="68" t="str">
        <f>IF(Tableau1[[#This Row],[DMS_SAP]]="","",HYPERLINK(Tableau1[[#This Row],[Chemin fichier source]],"X"))</f>
        <v/>
      </c>
      <c r="U638" s="68" t="str">
        <f>IF(Tableau1[[#This Row],[Date rév.]]="","",HYPERLINK(Tableau1[[#This Row],[Lien document]],"X"))</f>
        <v/>
      </c>
      <c r="V638" s="47"/>
      <c r="W63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38" s="47"/>
      <c r="Y638" s="47"/>
      <c r="Z638" s="44" t="str">
        <f ca="1">IF(AND(Tableau1[[#This Row],[Charge]]&lt;&gt;0, Tableau1[[#This Row],[Nombre intervenants]]&lt;&gt;0,Tableau1[[#This Row],[Lien document]]&lt;&gt;0,Tableau1[[#This Row],[DMS_SAP]]&lt;&gt;0)=TRUE,"MIS A JOUR","")</f>
        <v/>
      </c>
      <c r="AA638" s="48"/>
      <c r="AB638" s="65" t="str">
        <f ca="1">IF(Tableau1[[#This Row],[Date rév.]]&lt;&gt;"", DAYS360(Tableau1[[#This Row],[Date rév.]],TODAY()),"")</f>
        <v/>
      </c>
      <c r="AC638" s="50" t="str">
        <f>IFERROR(INDEX(Chemin_accès!$B$11:$C$22,MATCH(Tableau1[[#This Row],[Type]],Chemin_accès!$C$11:$C$22,0),1),Chemin_accès!$B$11)</f>
        <v>\\stjn.local\trimet\Btechnique\Commun\Atelier Central mécanique\Plan entretien\Modèles préventif\GammeDMS_7.MENG.xlsm</v>
      </c>
      <c r="AD638" s="50" t="str">
        <f>Chemin_accès!$B$8&amp;Tableau1[[#This Row],[Localisation / Classement]]&amp;"\"&amp;Tableau1[[#This Row],[Poste technique ou N° d''équipement]]&amp;"_"&amp;Tableau1[[#This Row],[Plan Entretien]]&amp;".xlsm"</f>
        <v>\\stjn.local\trimet\Btechnique\Commun\Atelier Central mécanique\Plan entretien\GammeEntretien\\_.xlsm</v>
      </c>
    </row>
    <row r="639" spans="1:30" x14ac:dyDescent="0.3">
      <c r="A639" s="44" t="str">
        <f t="shared" ca="1" si="9"/>
        <v>7.MENG</v>
      </c>
      <c r="B63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39" s="47"/>
      <c r="D639" s="44"/>
      <c r="E639" s="44"/>
      <c r="F639" s="47"/>
      <c r="G639" s="47"/>
      <c r="H639" s="45"/>
      <c r="I639" s="45"/>
      <c r="J639" s="45"/>
      <c r="K639" s="45"/>
      <c r="L639" s="46"/>
      <c r="M639" s="47"/>
      <c r="N639" s="47"/>
      <c r="O639" s="47"/>
      <c r="P639" s="47"/>
      <c r="Q639" s="47"/>
      <c r="R639" s="47"/>
      <c r="S639" s="48"/>
      <c r="T639" s="68" t="str">
        <f>IF(Tableau1[[#This Row],[DMS_SAP]]="","",HYPERLINK(Tableau1[[#This Row],[Chemin fichier source]],"X"))</f>
        <v/>
      </c>
      <c r="U639" s="68" t="str">
        <f>IF(Tableau1[[#This Row],[Date rév.]]="","",HYPERLINK(Tableau1[[#This Row],[Lien document]],"X"))</f>
        <v/>
      </c>
      <c r="V639" s="47"/>
      <c r="W63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39" s="47"/>
      <c r="Y639" s="47"/>
      <c r="Z639" s="44" t="str">
        <f ca="1">IF(AND(Tableau1[[#This Row],[Charge]]&lt;&gt;0, Tableau1[[#This Row],[Nombre intervenants]]&lt;&gt;0,Tableau1[[#This Row],[Lien document]]&lt;&gt;0,Tableau1[[#This Row],[DMS_SAP]]&lt;&gt;0)=TRUE,"MIS A JOUR","")</f>
        <v/>
      </c>
      <c r="AA639" s="48"/>
      <c r="AB639" s="65" t="str">
        <f ca="1">IF(Tableau1[[#This Row],[Date rév.]]&lt;&gt;"", DAYS360(Tableau1[[#This Row],[Date rév.]],TODAY()),"")</f>
        <v/>
      </c>
      <c r="AC639" s="50" t="str">
        <f>IFERROR(INDEX(Chemin_accès!$B$11:$C$22,MATCH(Tableau1[[#This Row],[Type]],Chemin_accès!$C$11:$C$22,0),1),Chemin_accès!$B$11)</f>
        <v>\\stjn.local\trimet\Btechnique\Commun\Atelier Central mécanique\Plan entretien\Modèles préventif\GammeDMS_7.MENG.xlsm</v>
      </c>
      <c r="AD639" s="50" t="str">
        <f>Chemin_accès!$B$8&amp;Tableau1[[#This Row],[Localisation / Classement]]&amp;"\"&amp;Tableau1[[#This Row],[Poste technique ou N° d''équipement]]&amp;"_"&amp;Tableau1[[#This Row],[Plan Entretien]]&amp;".xlsm"</f>
        <v>\\stjn.local\trimet\Btechnique\Commun\Atelier Central mécanique\Plan entretien\GammeEntretien\\_.xlsm</v>
      </c>
    </row>
    <row r="640" spans="1:30" x14ac:dyDescent="0.3">
      <c r="A640" s="44" t="str">
        <f t="shared" ca="1" si="9"/>
        <v>7.MENG</v>
      </c>
      <c r="B64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40" s="47"/>
      <c r="D640" s="44"/>
      <c r="E640" s="44"/>
      <c r="F640" s="47"/>
      <c r="G640" s="47"/>
      <c r="H640" s="45"/>
      <c r="I640" s="45"/>
      <c r="J640" s="45"/>
      <c r="K640" s="45"/>
      <c r="L640" s="46"/>
      <c r="M640" s="47"/>
      <c r="N640" s="47"/>
      <c r="O640" s="47"/>
      <c r="P640" s="47"/>
      <c r="Q640" s="47"/>
      <c r="R640" s="47"/>
      <c r="S640" s="48"/>
      <c r="T640" s="68" t="str">
        <f>IF(Tableau1[[#This Row],[DMS_SAP]]="","",HYPERLINK(Tableau1[[#This Row],[Chemin fichier source]],"X"))</f>
        <v/>
      </c>
      <c r="U640" s="68" t="str">
        <f>IF(Tableau1[[#This Row],[Date rév.]]="","",HYPERLINK(Tableau1[[#This Row],[Lien document]],"X"))</f>
        <v/>
      </c>
      <c r="V640" s="47"/>
      <c r="W64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40" s="47"/>
      <c r="Y640" s="47"/>
      <c r="Z640" s="44" t="str">
        <f ca="1">IF(AND(Tableau1[[#This Row],[Charge]]&lt;&gt;0, Tableau1[[#This Row],[Nombre intervenants]]&lt;&gt;0,Tableau1[[#This Row],[Lien document]]&lt;&gt;0,Tableau1[[#This Row],[DMS_SAP]]&lt;&gt;0)=TRUE,"MIS A JOUR","")</f>
        <v/>
      </c>
      <c r="AA640" s="48"/>
      <c r="AB640" s="65" t="str">
        <f ca="1">IF(Tableau1[[#This Row],[Date rév.]]&lt;&gt;"", DAYS360(Tableau1[[#This Row],[Date rév.]],TODAY()),"")</f>
        <v/>
      </c>
      <c r="AC640" s="50" t="str">
        <f>IFERROR(INDEX(Chemin_accès!$B$11:$C$22,MATCH(Tableau1[[#This Row],[Type]],Chemin_accès!$C$11:$C$22,0),1),Chemin_accès!$B$11)</f>
        <v>\\stjn.local\trimet\Btechnique\Commun\Atelier Central mécanique\Plan entretien\Modèles préventif\GammeDMS_7.MENG.xlsm</v>
      </c>
      <c r="AD640" s="50" t="str">
        <f>Chemin_accès!$B$8&amp;Tableau1[[#This Row],[Localisation / Classement]]&amp;"\"&amp;Tableau1[[#This Row],[Poste technique ou N° d''équipement]]&amp;"_"&amp;Tableau1[[#This Row],[Plan Entretien]]&amp;".xlsm"</f>
        <v>\\stjn.local\trimet\Btechnique\Commun\Atelier Central mécanique\Plan entretien\GammeEntretien\\_.xlsm</v>
      </c>
    </row>
    <row r="641" spans="1:30" x14ac:dyDescent="0.3">
      <c r="A641" s="44" t="str">
        <f t="shared" ref="A641:A704" ca="1" si="10">MID(CELL("filename",$A$1),FIND("]",CELL("filename",$A$1))+1,32)</f>
        <v>7.MENG</v>
      </c>
      <c r="B64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41" s="47"/>
      <c r="D641" s="44"/>
      <c r="E641" s="44"/>
      <c r="F641" s="47"/>
      <c r="G641" s="47"/>
      <c r="H641" s="45"/>
      <c r="I641" s="45"/>
      <c r="J641" s="45"/>
      <c r="K641" s="45"/>
      <c r="L641" s="46"/>
      <c r="M641" s="47"/>
      <c r="N641" s="47"/>
      <c r="O641" s="47"/>
      <c r="P641" s="47"/>
      <c r="Q641" s="47"/>
      <c r="R641" s="47"/>
      <c r="S641" s="48"/>
      <c r="T641" s="68" t="str">
        <f>IF(Tableau1[[#This Row],[DMS_SAP]]="","",HYPERLINK(Tableau1[[#This Row],[Chemin fichier source]],"X"))</f>
        <v/>
      </c>
      <c r="U641" s="68" t="str">
        <f>IF(Tableau1[[#This Row],[Date rév.]]="","",HYPERLINK(Tableau1[[#This Row],[Lien document]],"X"))</f>
        <v/>
      </c>
      <c r="V641" s="47"/>
      <c r="W64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41" s="47"/>
      <c r="Y641" s="47"/>
      <c r="Z641" s="44" t="str">
        <f ca="1">IF(AND(Tableau1[[#This Row],[Charge]]&lt;&gt;0, Tableau1[[#This Row],[Nombre intervenants]]&lt;&gt;0,Tableau1[[#This Row],[Lien document]]&lt;&gt;0,Tableau1[[#This Row],[DMS_SAP]]&lt;&gt;0)=TRUE,"MIS A JOUR","")</f>
        <v/>
      </c>
      <c r="AA641" s="48"/>
      <c r="AB641" s="65" t="str">
        <f ca="1">IF(Tableau1[[#This Row],[Date rév.]]&lt;&gt;"", DAYS360(Tableau1[[#This Row],[Date rév.]],TODAY()),"")</f>
        <v/>
      </c>
      <c r="AC641" s="50" t="str">
        <f>IFERROR(INDEX(Chemin_accès!$B$11:$C$22,MATCH(Tableau1[[#This Row],[Type]],Chemin_accès!$C$11:$C$22,0),1),Chemin_accès!$B$11)</f>
        <v>\\stjn.local\trimet\Btechnique\Commun\Atelier Central mécanique\Plan entretien\Modèles préventif\GammeDMS_7.MENG.xlsm</v>
      </c>
      <c r="AD641" s="50" t="str">
        <f>Chemin_accès!$B$8&amp;Tableau1[[#This Row],[Localisation / Classement]]&amp;"\"&amp;Tableau1[[#This Row],[Poste technique ou N° d''équipement]]&amp;"_"&amp;Tableau1[[#This Row],[Plan Entretien]]&amp;".xlsm"</f>
        <v>\\stjn.local\trimet\Btechnique\Commun\Atelier Central mécanique\Plan entretien\GammeEntretien\\_.xlsm</v>
      </c>
    </row>
    <row r="642" spans="1:30" x14ac:dyDescent="0.3">
      <c r="A642" s="44" t="str">
        <f t="shared" ca="1" si="10"/>
        <v>7.MENG</v>
      </c>
      <c r="B64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42" s="47"/>
      <c r="D642" s="44"/>
      <c r="E642" s="44"/>
      <c r="F642" s="47"/>
      <c r="G642" s="47"/>
      <c r="H642" s="45"/>
      <c r="I642" s="45"/>
      <c r="J642" s="45"/>
      <c r="K642" s="45"/>
      <c r="L642" s="46"/>
      <c r="M642" s="47"/>
      <c r="N642" s="47"/>
      <c r="O642" s="47"/>
      <c r="P642" s="47"/>
      <c r="Q642" s="47"/>
      <c r="R642" s="47"/>
      <c r="S642" s="48"/>
      <c r="T642" s="68" t="str">
        <f>IF(Tableau1[[#This Row],[DMS_SAP]]="","",HYPERLINK(Tableau1[[#This Row],[Chemin fichier source]],"X"))</f>
        <v/>
      </c>
      <c r="U642" s="68" t="str">
        <f>IF(Tableau1[[#This Row],[Date rév.]]="","",HYPERLINK(Tableau1[[#This Row],[Lien document]],"X"))</f>
        <v/>
      </c>
      <c r="V642" s="47"/>
      <c r="W64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42" s="47"/>
      <c r="Y642" s="47"/>
      <c r="Z642" s="44" t="str">
        <f ca="1">IF(AND(Tableau1[[#This Row],[Charge]]&lt;&gt;0, Tableau1[[#This Row],[Nombre intervenants]]&lt;&gt;0,Tableau1[[#This Row],[Lien document]]&lt;&gt;0,Tableau1[[#This Row],[DMS_SAP]]&lt;&gt;0)=TRUE,"MIS A JOUR","")</f>
        <v/>
      </c>
      <c r="AA642" s="48"/>
      <c r="AB642" s="65" t="str">
        <f ca="1">IF(Tableau1[[#This Row],[Date rév.]]&lt;&gt;"", DAYS360(Tableau1[[#This Row],[Date rév.]],TODAY()),"")</f>
        <v/>
      </c>
      <c r="AC642" s="50" t="str">
        <f>IFERROR(INDEX(Chemin_accès!$B$11:$C$22,MATCH(Tableau1[[#This Row],[Type]],Chemin_accès!$C$11:$C$22,0),1),Chemin_accès!$B$11)</f>
        <v>\\stjn.local\trimet\Btechnique\Commun\Atelier Central mécanique\Plan entretien\Modèles préventif\GammeDMS_7.MENG.xlsm</v>
      </c>
      <c r="AD642" s="50" t="str">
        <f>Chemin_accès!$B$8&amp;Tableau1[[#This Row],[Localisation / Classement]]&amp;"\"&amp;Tableau1[[#This Row],[Poste technique ou N° d''équipement]]&amp;"_"&amp;Tableau1[[#This Row],[Plan Entretien]]&amp;".xlsm"</f>
        <v>\\stjn.local\trimet\Btechnique\Commun\Atelier Central mécanique\Plan entretien\GammeEntretien\\_.xlsm</v>
      </c>
    </row>
    <row r="643" spans="1:30" x14ac:dyDescent="0.3">
      <c r="A643" s="44" t="str">
        <f t="shared" ca="1" si="10"/>
        <v>7.MENG</v>
      </c>
      <c r="B64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43" s="47"/>
      <c r="D643" s="44"/>
      <c r="E643" s="44"/>
      <c r="F643" s="47"/>
      <c r="G643" s="47"/>
      <c r="H643" s="45"/>
      <c r="I643" s="45"/>
      <c r="J643" s="45"/>
      <c r="K643" s="45"/>
      <c r="L643" s="46"/>
      <c r="M643" s="47"/>
      <c r="N643" s="47"/>
      <c r="O643" s="47"/>
      <c r="P643" s="47"/>
      <c r="Q643" s="47"/>
      <c r="R643" s="47"/>
      <c r="S643" s="48"/>
      <c r="T643" s="68" t="str">
        <f>IF(Tableau1[[#This Row],[DMS_SAP]]="","",HYPERLINK(Tableau1[[#This Row],[Chemin fichier source]],"X"))</f>
        <v/>
      </c>
      <c r="U643" s="68" t="str">
        <f>IF(Tableau1[[#This Row],[Date rév.]]="","",HYPERLINK(Tableau1[[#This Row],[Lien document]],"X"))</f>
        <v/>
      </c>
      <c r="V643" s="47"/>
      <c r="W64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43" s="47"/>
      <c r="Y643" s="47"/>
      <c r="Z643" s="44" t="str">
        <f ca="1">IF(AND(Tableau1[[#This Row],[Charge]]&lt;&gt;0, Tableau1[[#This Row],[Nombre intervenants]]&lt;&gt;0,Tableau1[[#This Row],[Lien document]]&lt;&gt;0,Tableau1[[#This Row],[DMS_SAP]]&lt;&gt;0)=TRUE,"MIS A JOUR","")</f>
        <v/>
      </c>
      <c r="AA643" s="48"/>
      <c r="AB643" s="65" t="str">
        <f ca="1">IF(Tableau1[[#This Row],[Date rév.]]&lt;&gt;"", DAYS360(Tableau1[[#This Row],[Date rév.]],TODAY()),"")</f>
        <v/>
      </c>
      <c r="AC643" s="50" t="str">
        <f>IFERROR(INDEX(Chemin_accès!$B$11:$C$22,MATCH(Tableau1[[#This Row],[Type]],Chemin_accès!$C$11:$C$22,0),1),Chemin_accès!$B$11)</f>
        <v>\\stjn.local\trimet\Btechnique\Commun\Atelier Central mécanique\Plan entretien\Modèles préventif\GammeDMS_7.MENG.xlsm</v>
      </c>
      <c r="AD643" s="50" t="str">
        <f>Chemin_accès!$B$8&amp;Tableau1[[#This Row],[Localisation / Classement]]&amp;"\"&amp;Tableau1[[#This Row],[Poste technique ou N° d''équipement]]&amp;"_"&amp;Tableau1[[#This Row],[Plan Entretien]]&amp;".xlsm"</f>
        <v>\\stjn.local\trimet\Btechnique\Commun\Atelier Central mécanique\Plan entretien\GammeEntretien\\_.xlsm</v>
      </c>
    </row>
    <row r="644" spans="1:30" x14ac:dyDescent="0.3">
      <c r="A644" s="44" t="str">
        <f t="shared" ca="1" si="10"/>
        <v>7.MENG</v>
      </c>
      <c r="B64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44" s="47"/>
      <c r="D644" s="44"/>
      <c r="E644" s="44"/>
      <c r="F644" s="47"/>
      <c r="G644" s="47"/>
      <c r="H644" s="45"/>
      <c r="I644" s="45"/>
      <c r="J644" s="45"/>
      <c r="K644" s="45"/>
      <c r="L644" s="46"/>
      <c r="M644" s="47"/>
      <c r="N644" s="47"/>
      <c r="O644" s="47"/>
      <c r="P644" s="47"/>
      <c r="Q644" s="47"/>
      <c r="R644" s="47"/>
      <c r="S644" s="48"/>
      <c r="T644" s="68" t="str">
        <f>IF(Tableau1[[#This Row],[DMS_SAP]]="","",HYPERLINK(Tableau1[[#This Row],[Chemin fichier source]],"X"))</f>
        <v/>
      </c>
      <c r="U644" s="68" t="str">
        <f>IF(Tableau1[[#This Row],[Date rév.]]="","",HYPERLINK(Tableau1[[#This Row],[Lien document]],"X"))</f>
        <v/>
      </c>
      <c r="V644" s="47"/>
      <c r="W64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44" s="47"/>
      <c r="Y644" s="47"/>
      <c r="Z644" s="44" t="str">
        <f ca="1">IF(AND(Tableau1[[#This Row],[Charge]]&lt;&gt;0, Tableau1[[#This Row],[Nombre intervenants]]&lt;&gt;0,Tableau1[[#This Row],[Lien document]]&lt;&gt;0,Tableau1[[#This Row],[DMS_SAP]]&lt;&gt;0)=TRUE,"MIS A JOUR","")</f>
        <v/>
      </c>
      <c r="AA644" s="48"/>
      <c r="AB644" s="65" t="str">
        <f ca="1">IF(Tableau1[[#This Row],[Date rév.]]&lt;&gt;"", DAYS360(Tableau1[[#This Row],[Date rév.]],TODAY()),"")</f>
        <v/>
      </c>
      <c r="AC644" s="50" t="str">
        <f>IFERROR(INDEX(Chemin_accès!$B$11:$C$22,MATCH(Tableau1[[#This Row],[Type]],Chemin_accès!$C$11:$C$22,0),1),Chemin_accès!$B$11)</f>
        <v>\\stjn.local\trimet\Btechnique\Commun\Atelier Central mécanique\Plan entretien\Modèles préventif\GammeDMS_7.MENG.xlsm</v>
      </c>
      <c r="AD644" s="50" t="str">
        <f>Chemin_accès!$B$8&amp;Tableau1[[#This Row],[Localisation / Classement]]&amp;"\"&amp;Tableau1[[#This Row],[Poste technique ou N° d''équipement]]&amp;"_"&amp;Tableau1[[#This Row],[Plan Entretien]]&amp;".xlsm"</f>
        <v>\\stjn.local\trimet\Btechnique\Commun\Atelier Central mécanique\Plan entretien\GammeEntretien\\_.xlsm</v>
      </c>
    </row>
    <row r="645" spans="1:30" x14ac:dyDescent="0.3">
      <c r="A645" s="44" t="str">
        <f t="shared" ca="1" si="10"/>
        <v>7.MENG</v>
      </c>
      <c r="B64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45" s="47"/>
      <c r="D645" s="44"/>
      <c r="E645" s="44"/>
      <c r="F645" s="47"/>
      <c r="G645" s="47"/>
      <c r="H645" s="45"/>
      <c r="I645" s="45"/>
      <c r="J645" s="45"/>
      <c r="K645" s="45"/>
      <c r="L645" s="46"/>
      <c r="M645" s="47"/>
      <c r="N645" s="47"/>
      <c r="O645" s="47"/>
      <c r="P645" s="47"/>
      <c r="Q645" s="47"/>
      <c r="R645" s="47"/>
      <c r="S645" s="48"/>
      <c r="T645" s="68" t="str">
        <f>IF(Tableau1[[#This Row],[DMS_SAP]]="","",HYPERLINK(Tableau1[[#This Row],[Chemin fichier source]],"X"))</f>
        <v/>
      </c>
      <c r="U645" s="68" t="str">
        <f>IF(Tableau1[[#This Row],[Date rév.]]="","",HYPERLINK(Tableau1[[#This Row],[Lien document]],"X"))</f>
        <v/>
      </c>
      <c r="V645" s="47"/>
      <c r="W64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45" s="47"/>
      <c r="Y645" s="47"/>
      <c r="Z645" s="44" t="str">
        <f ca="1">IF(AND(Tableau1[[#This Row],[Charge]]&lt;&gt;0, Tableau1[[#This Row],[Nombre intervenants]]&lt;&gt;0,Tableau1[[#This Row],[Lien document]]&lt;&gt;0,Tableau1[[#This Row],[DMS_SAP]]&lt;&gt;0)=TRUE,"MIS A JOUR","")</f>
        <v/>
      </c>
      <c r="AA645" s="48"/>
      <c r="AB645" s="65" t="str">
        <f ca="1">IF(Tableau1[[#This Row],[Date rév.]]&lt;&gt;"", DAYS360(Tableau1[[#This Row],[Date rév.]],TODAY()),"")</f>
        <v/>
      </c>
      <c r="AC645" s="50" t="str">
        <f>IFERROR(INDEX(Chemin_accès!$B$11:$C$22,MATCH(Tableau1[[#This Row],[Type]],Chemin_accès!$C$11:$C$22,0),1),Chemin_accès!$B$11)</f>
        <v>\\stjn.local\trimet\Btechnique\Commun\Atelier Central mécanique\Plan entretien\Modèles préventif\GammeDMS_7.MENG.xlsm</v>
      </c>
      <c r="AD645" s="50" t="str">
        <f>Chemin_accès!$B$8&amp;Tableau1[[#This Row],[Localisation / Classement]]&amp;"\"&amp;Tableau1[[#This Row],[Poste technique ou N° d''équipement]]&amp;"_"&amp;Tableau1[[#This Row],[Plan Entretien]]&amp;".xlsm"</f>
        <v>\\stjn.local\trimet\Btechnique\Commun\Atelier Central mécanique\Plan entretien\GammeEntretien\\_.xlsm</v>
      </c>
    </row>
    <row r="646" spans="1:30" x14ac:dyDescent="0.3">
      <c r="A646" s="44" t="str">
        <f t="shared" ca="1" si="10"/>
        <v>7.MENG</v>
      </c>
      <c r="B64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46" s="47"/>
      <c r="D646" s="44"/>
      <c r="E646" s="44"/>
      <c r="F646" s="47"/>
      <c r="G646" s="47"/>
      <c r="H646" s="45"/>
      <c r="I646" s="45"/>
      <c r="J646" s="45"/>
      <c r="K646" s="45"/>
      <c r="L646" s="46"/>
      <c r="M646" s="47"/>
      <c r="N646" s="47"/>
      <c r="O646" s="47"/>
      <c r="P646" s="47"/>
      <c r="Q646" s="47"/>
      <c r="R646" s="47"/>
      <c r="S646" s="48"/>
      <c r="T646" s="68" t="str">
        <f>IF(Tableau1[[#This Row],[DMS_SAP]]="","",HYPERLINK(Tableau1[[#This Row],[Chemin fichier source]],"X"))</f>
        <v/>
      </c>
      <c r="U646" s="68" t="str">
        <f>IF(Tableau1[[#This Row],[Date rév.]]="","",HYPERLINK(Tableau1[[#This Row],[Lien document]],"X"))</f>
        <v/>
      </c>
      <c r="V646" s="47"/>
      <c r="W64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46" s="47"/>
      <c r="Y646" s="47"/>
      <c r="Z646" s="44" t="str">
        <f ca="1">IF(AND(Tableau1[[#This Row],[Charge]]&lt;&gt;0, Tableau1[[#This Row],[Nombre intervenants]]&lt;&gt;0,Tableau1[[#This Row],[Lien document]]&lt;&gt;0,Tableau1[[#This Row],[DMS_SAP]]&lt;&gt;0)=TRUE,"MIS A JOUR","")</f>
        <v/>
      </c>
      <c r="AA646" s="48"/>
      <c r="AB646" s="65" t="str">
        <f ca="1">IF(Tableau1[[#This Row],[Date rév.]]&lt;&gt;"", DAYS360(Tableau1[[#This Row],[Date rév.]],TODAY()),"")</f>
        <v/>
      </c>
      <c r="AC646" s="50" t="str">
        <f>IFERROR(INDEX(Chemin_accès!$B$11:$C$22,MATCH(Tableau1[[#This Row],[Type]],Chemin_accès!$C$11:$C$22,0),1),Chemin_accès!$B$11)</f>
        <v>\\stjn.local\trimet\Btechnique\Commun\Atelier Central mécanique\Plan entretien\Modèles préventif\GammeDMS_7.MENG.xlsm</v>
      </c>
      <c r="AD646" s="50" t="str">
        <f>Chemin_accès!$B$8&amp;Tableau1[[#This Row],[Localisation / Classement]]&amp;"\"&amp;Tableau1[[#This Row],[Poste technique ou N° d''équipement]]&amp;"_"&amp;Tableau1[[#This Row],[Plan Entretien]]&amp;".xlsm"</f>
        <v>\\stjn.local\trimet\Btechnique\Commun\Atelier Central mécanique\Plan entretien\GammeEntretien\\_.xlsm</v>
      </c>
    </row>
    <row r="647" spans="1:30" x14ac:dyDescent="0.3">
      <c r="A647" s="44" t="str">
        <f t="shared" ca="1" si="10"/>
        <v>7.MENG</v>
      </c>
      <c r="B64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47" s="47"/>
      <c r="D647" s="44"/>
      <c r="E647" s="44"/>
      <c r="F647" s="47"/>
      <c r="G647" s="47"/>
      <c r="H647" s="45"/>
      <c r="I647" s="45"/>
      <c r="J647" s="45"/>
      <c r="K647" s="45"/>
      <c r="L647" s="46"/>
      <c r="M647" s="47"/>
      <c r="N647" s="47"/>
      <c r="O647" s="47"/>
      <c r="P647" s="47"/>
      <c r="Q647" s="47"/>
      <c r="R647" s="47"/>
      <c r="S647" s="48"/>
      <c r="T647" s="68" t="str">
        <f>IF(Tableau1[[#This Row],[DMS_SAP]]="","",HYPERLINK(Tableau1[[#This Row],[Chemin fichier source]],"X"))</f>
        <v/>
      </c>
      <c r="U647" s="68" t="str">
        <f>IF(Tableau1[[#This Row],[Date rév.]]="","",HYPERLINK(Tableau1[[#This Row],[Lien document]],"X"))</f>
        <v/>
      </c>
      <c r="V647" s="47"/>
      <c r="W64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47" s="47"/>
      <c r="Y647" s="47"/>
      <c r="Z647" s="44" t="str">
        <f ca="1">IF(AND(Tableau1[[#This Row],[Charge]]&lt;&gt;0, Tableau1[[#This Row],[Nombre intervenants]]&lt;&gt;0,Tableau1[[#This Row],[Lien document]]&lt;&gt;0,Tableau1[[#This Row],[DMS_SAP]]&lt;&gt;0)=TRUE,"MIS A JOUR","")</f>
        <v/>
      </c>
      <c r="AA647" s="48"/>
      <c r="AB647" s="65" t="str">
        <f ca="1">IF(Tableau1[[#This Row],[Date rév.]]&lt;&gt;"", DAYS360(Tableau1[[#This Row],[Date rév.]],TODAY()),"")</f>
        <v/>
      </c>
      <c r="AC647" s="50" t="str">
        <f>IFERROR(INDEX(Chemin_accès!$B$11:$C$22,MATCH(Tableau1[[#This Row],[Type]],Chemin_accès!$C$11:$C$22,0),1),Chemin_accès!$B$11)</f>
        <v>\\stjn.local\trimet\Btechnique\Commun\Atelier Central mécanique\Plan entretien\Modèles préventif\GammeDMS_7.MENG.xlsm</v>
      </c>
      <c r="AD647" s="50" t="str">
        <f>Chemin_accès!$B$8&amp;Tableau1[[#This Row],[Localisation / Classement]]&amp;"\"&amp;Tableau1[[#This Row],[Poste technique ou N° d''équipement]]&amp;"_"&amp;Tableau1[[#This Row],[Plan Entretien]]&amp;".xlsm"</f>
        <v>\\stjn.local\trimet\Btechnique\Commun\Atelier Central mécanique\Plan entretien\GammeEntretien\\_.xlsm</v>
      </c>
    </row>
    <row r="648" spans="1:30" x14ac:dyDescent="0.3">
      <c r="A648" s="44" t="str">
        <f t="shared" ca="1" si="10"/>
        <v>7.MENG</v>
      </c>
      <c r="B64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48" s="47"/>
      <c r="D648" s="44"/>
      <c r="E648" s="44"/>
      <c r="F648" s="47"/>
      <c r="G648" s="47"/>
      <c r="H648" s="45"/>
      <c r="I648" s="45"/>
      <c r="J648" s="45"/>
      <c r="K648" s="45"/>
      <c r="L648" s="46"/>
      <c r="M648" s="47"/>
      <c r="N648" s="47"/>
      <c r="O648" s="47"/>
      <c r="P648" s="47"/>
      <c r="Q648" s="47"/>
      <c r="R648" s="47"/>
      <c r="S648" s="48"/>
      <c r="T648" s="68" t="str">
        <f>IF(Tableau1[[#This Row],[DMS_SAP]]="","",HYPERLINK(Tableau1[[#This Row],[Chemin fichier source]],"X"))</f>
        <v/>
      </c>
      <c r="U648" s="68" t="str">
        <f>IF(Tableau1[[#This Row],[Date rév.]]="","",HYPERLINK(Tableau1[[#This Row],[Lien document]],"X"))</f>
        <v/>
      </c>
      <c r="V648" s="47"/>
      <c r="W64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48" s="47"/>
      <c r="Y648" s="47"/>
      <c r="Z648" s="44" t="str">
        <f ca="1">IF(AND(Tableau1[[#This Row],[Charge]]&lt;&gt;0, Tableau1[[#This Row],[Nombre intervenants]]&lt;&gt;0,Tableau1[[#This Row],[Lien document]]&lt;&gt;0,Tableau1[[#This Row],[DMS_SAP]]&lt;&gt;0)=TRUE,"MIS A JOUR","")</f>
        <v/>
      </c>
      <c r="AA648" s="48"/>
      <c r="AB648" s="65" t="str">
        <f ca="1">IF(Tableau1[[#This Row],[Date rév.]]&lt;&gt;"", DAYS360(Tableau1[[#This Row],[Date rév.]],TODAY()),"")</f>
        <v/>
      </c>
      <c r="AC648" s="50" t="str">
        <f>IFERROR(INDEX(Chemin_accès!$B$11:$C$22,MATCH(Tableau1[[#This Row],[Type]],Chemin_accès!$C$11:$C$22,0),1),Chemin_accès!$B$11)</f>
        <v>\\stjn.local\trimet\Btechnique\Commun\Atelier Central mécanique\Plan entretien\Modèles préventif\GammeDMS_7.MENG.xlsm</v>
      </c>
      <c r="AD648" s="50" t="str">
        <f>Chemin_accès!$B$8&amp;Tableau1[[#This Row],[Localisation / Classement]]&amp;"\"&amp;Tableau1[[#This Row],[Poste technique ou N° d''équipement]]&amp;"_"&amp;Tableau1[[#This Row],[Plan Entretien]]&amp;".xlsm"</f>
        <v>\\stjn.local\trimet\Btechnique\Commun\Atelier Central mécanique\Plan entretien\GammeEntretien\\_.xlsm</v>
      </c>
    </row>
    <row r="649" spans="1:30" x14ac:dyDescent="0.3">
      <c r="A649" s="44" t="str">
        <f t="shared" ca="1" si="10"/>
        <v>7.MENG</v>
      </c>
      <c r="B64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49" s="47"/>
      <c r="D649" s="44"/>
      <c r="E649" s="44"/>
      <c r="F649" s="47"/>
      <c r="G649" s="47"/>
      <c r="H649" s="45"/>
      <c r="I649" s="45"/>
      <c r="J649" s="45"/>
      <c r="K649" s="45"/>
      <c r="L649" s="46"/>
      <c r="M649" s="47"/>
      <c r="N649" s="47"/>
      <c r="O649" s="47"/>
      <c r="P649" s="47"/>
      <c r="Q649" s="47"/>
      <c r="R649" s="47"/>
      <c r="S649" s="48"/>
      <c r="T649" s="68" t="str">
        <f>IF(Tableau1[[#This Row],[DMS_SAP]]="","",HYPERLINK(Tableau1[[#This Row],[Chemin fichier source]],"X"))</f>
        <v/>
      </c>
      <c r="U649" s="68" t="str">
        <f>IF(Tableau1[[#This Row],[Date rév.]]="","",HYPERLINK(Tableau1[[#This Row],[Lien document]],"X"))</f>
        <v/>
      </c>
      <c r="V649" s="47"/>
      <c r="W64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49" s="47"/>
      <c r="Y649" s="47"/>
      <c r="Z649" s="44" t="str">
        <f ca="1">IF(AND(Tableau1[[#This Row],[Charge]]&lt;&gt;0, Tableau1[[#This Row],[Nombre intervenants]]&lt;&gt;0,Tableau1[[#This Row],[Lien document]]&lt;&gt;0,Tableau1[[#This Row],[DMS_SAP]]&lt;&gt;0)=TRUE,"MIS A JOUR","")</f>
        <v/>
      </c>
      <c r="AA649" s="48"/>
      <c r="AB649" s="65" t="str">
        <f ca="1">IF(Tableau1[[#This Row],[Date rév.]]&lt;&gt;"", DAYS360(Tableau1[[#This Row],[Date rév.]],TODAY()),"")</f>
        <v/>
      </c>
      <c r="AC649" s="50" t="str">
        <f>IFERROR(INDEX(Chemin_accès!$B$11:$C$22,MATCH(Tableau1[[#This Row],[Type]],Chemin_accès!$C$11:$C$22,0),1),Chemin_accès!$B$11)</f>
        <v>\\stjn.local\trimet\Btechnique\Commun\Atelier Central mécanique\Plan entretien\Modèles préventif\GammeDMS_7.MENG.xlsm</v>
      </c>
      <c r="AD649" s="50" t="str">
        <f>Chemin_accès!$B$8&amp;Tableau1[[#This Row],[Localisation / Classement]]&amp;"\"&amp;Tableau1[[#This Row],[Poste technique ou N° d''équipement]]&amp;"_"&amp;Tableau1[[#This Row],[Plan Entretien]]&amp;".xlsm"</f>
        <v>\\stjn.local\trimet\Btechnique\Commun\Atelier Central mécanique\Plan entretien\GammeEntretien\\_.xlsm</v>
      </c>
    </row>
    <row r="650" spans="1:30" x14ac:dyDescent="0.3">
      <c r="A650" s="44" t="str">
        <f t="shared" ca="1" si="10"/>
        <v>7.MENG</v>
      </c>
      <c r="B65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50" s="47"/>
      <c r="D650" s="44"/>
      <c r="E650" s="44"/>
      <c r="F650" s="47"/>
      <c r="G650" s="47"/>
      <c r="H650" s="45"/>
      <c r="I650" s="45"/>
      <c r="J650" s="45"/>
      <c r="K650" s="45"/>
      <c r="L650" s="46"/>
      <c r="M650" s="47"/>
      <c r="N650" s="47"/>
      <c r="O650" s="47"/>
      <c r="P650" s="47"/>
      <c r="Q650" s="47"/>
      <c r="R650" s="47"/>
      <c r="S650" s="48"/>
      <c r="T650" s="68" t="str">
        <f>IF(Tableau1[[#This Row],[DMS_SAP]]="","",HYPERLINK(Tableau1[[#This Row],[Chemin fichier source]],"X"))</f>
        <v/>
      </c>
      <c r="U650" s="68" t="str">
        <f>IF(Tableau1[[#This Row],[Date rév.]]="","",HYPERLINK(Tableau1[[#This Row],[Lien document]],"X"))</f>
        <v/>
      </c>
      <c r="V650" s="47"/>
      <c r="W65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50" s="47"/>
      <c r="Y650" s="47"/>
      <c r="Z650" s="44" t="str">
        <f ca="1">IF(AND(Tableau1[[#This Row],[Charge]]&lt;&gt;0, Tableau1[[#This Row],[Nombre intervenants]]&lt;&gt;0,Tableau1[[#This Row],[Lien document]]&lt;&gt;0,Tableau1[[#This Row],[DMS_SAP]]&lt;&gt;0)=TRUE,"MIS A JOUR","")</f>
        <v/>
      </c>
      <c r="AA650" s="48"/>
      <c r="AB650" s="65" t="str">
        <f ca="1">IF(Tableau1[[#This Row],[Date rév.]]&lt;&gt;"", DAYS360(Tableau1[[#This Row],[Date rév.]],TODAY()),"")</f>
        <v/>
      </c>
      <c r="AC650" s="50" t="str">
        <f>IFERROR(INDEX(Chemin_accès!$B$11:$C$22,MATCH(Tableau1[[#This Row],[Type]],Chemin_accès!$C$11:$C$22,0),1),Chemin_accès!$B$11)</f>
        <v>\\stjn.local\trimet\Btechnique\Commun\Atelier Central mécanique\Plan entretien\Modèles préventif\GammeDMS_7.MENG.xlsm</v>
      </c>
      <c r="AD650" s="50" t="str">
        <f>Chemin_accès!$B$8&amp;Tableau1[[#This Row],[Localisation / Classement]]&amp;"\"&amp;Tableau1[[#This Row],[Poste technique ou N° d''équipement]]&amp;"_"&amp;Tableau1[[#This Row],[Plan Entretien]]&amp;".xlsm"</f>
        <v>\\stjn.local\trimet\Btechnique\Commun\Atelier Central mécanique\Plan entretien\GammeEntretien\\_.xlsm</v>
      </c>
    </row>
    <row r="651" spans="1:30" x14ac:dyDescent="0.3">
      <c r="A651" s="44" t="str">
        <f t="shared" ca="1" si="10"/>
        <v>7.MENG</v>
      </c>
      <c r="B65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51" s="47"/>
      <c r="D651" s="44"/>
      <c r="E651" s="44"/>
      <c r="F651" s="47"/>
      <c r="G651" s="47"/>
      <c r="H651" s="45"/>
      <c r="I651" s="45"/>
      <c r="J651" s="45"/>
      <c r="K651" s="45"/>
      <c r="L651" s="46"/>
      <c r="M651" s="47"/>
      <c r="N651" s="47"/>
      <c r="O651" s="47"/>
      <c r="P651" s="47"/>
      <c r="Q651" s="47"/>
      <c r="R651" s="47"/>
      <c r="S651" s="48"/>
      <c r="T651" s="68" t="str">
        <f>IF(Tableau1[[#This Row],[DMS_SAP]]="","",HYPERLINK(Tableau1[[#This Row],[Chemin fichier source]],"X"))</f>
        <v/>
      </c>
      <c r="U651" s="68" t="str">
        <f>IF(Tableau1[[#This Row],[Date rév.]]="","",HYPERLINK(Tableau1[[#This Row],[Lien document]],"X"))</f>
        <v/>
      </c>
      <c r="V651" s="47"/>
      <c r="W65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51" s="47"/>
      <c r="Y651" s="47"/>
      <c r="Z651" s="44" t="str">
        <f ca="1">IF(AND(Tableau1[[#This Row],[Charge]]&lt;&gt;0, Tableau1[[#This Row],[Nombre intervenants]]&lt;&gt;0,Tableau1[[#This Row],[Lien document]]&lt;&gt;0,Tableau1[[#This Row],[DMS_SAP]]&lt;&gt;0)=TRUE,"MIS A JOUR","")</f>
        <v/>
      </c>
      <c r="AA651" s="48"/>
      <c r="AB651" s="65" t="str">
        <f ca="1">IF(Tableau1[[#This Row],[Date rév.]]&lt;&gt;"", DAYS360(Tableau1[[#This Row],[Date rév.]],TODAY()),"")</f>
        <v/>
      </c>
      <c r="AC651" s="50" t="str">
        <f>IFERROR(INDEX(Chemin_accès!$B$11:$C$22,MATCH(Tableau1[[#This Row],[Type]],Chemin_accès!$C$11:$C$22,0),1),Chemin_accès!$B$11)</f>
        <v>\\stjn.local\trimet\Btechnique\Commun\Atelier Central mécanique\Plan entretien\Modèles préventif\GammeDMS_7.MENG.xlsm</v>
      </c>
      <c r="AD651" s="50" t="str">
        <f>Chemin_accès!$B$8&amp;Tableau1[[#This Row],[Localisation / Classement]]&amp;"\"&amp;Tableau1[[#This Row],[Poste technique ou N° d''équipement]]&amp;"_"&amp;Tableau1[[#This Row],[Plan Entretien]]&amp;".xlsm"</f>
        <v>\\stjn.local\trimet\Btechnique\Commun\Atelier Central mécanique\Plan entretien\GammeEntretien\\_.xlsm</v>
      </c>
    </row>
    <row r="652" spans="1:30" x14ac:dyDescent="0.3">
      <c r="A652" s="44" t="str">
        <f t="shared" ca="1" si="10"/>
        <v>7.MENG</v>
      </c>
      <c r="B65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52" s="47"/>
      <c r="D652" s="44"/>
      <c r="E652" s="44"/>
      <c r="F652" s="47"/>
      <c r="G652" s="47"/>
      <c r="H652" s="45"/>
      <c r="I652" s="45"/>
      <c r="J652" s="45"/>
      <c r="K652" s="45"/>
      <c r="L652" s="46"/>
      <c r="M652" s="47"/>
      <c r="N652" s="47"/>
      <c r="O652" s="47"/>
      <c r="P652" s="47"/>
      <c r="Q652" s="47"/>
      <c r="R652" s="47"/>
      <c r="S652" s="48"/>
      <c r="T652" s="68" t="str">
        <f>IF(Tableau1[[#This Row],[DMS_SAP]]="","",HYPERLINK(Tableau1[[#This Row],[Chemin fichier source]],"X"))</f>
        <v/>
      </c>
      <c r="U652" s="68" t="str">
        <f>IF(Tableau1[[#This Row],[Date rév.]]="","",HYPERLINK(Tableau1[[#This Row],[Lien document]],"X"))</f>
        <v/>
      </c>
      <c r="V652" s="47"/>
      <c r="W65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52" s="47"/>
      <c r="Y652" s="47"/>
      <c r="Z652" s="44" t="str">
        <f ca="1">IF(AND(Tableau1[[#This Row],[Charge]]&lt;&gt;0, Tableau1[[#This Row],[Nombre intervenants]]&lt;&gt;0,Tableau1[[#This Row],[Lien document]]&lt;&gt;0,Tableau1[[#This Row],[DMS_SAP]]&lt;&gt;0)=TRUE,"MIS A JOUR","")</f>
        <v/>
      </c>
      <c r="AA652" s="48"/>
      <c r="AB652" s="65" t="str">
        <f ca="1">IF(Tableau1[[#This Row],[Date rév.]]&lt;&gt;"", DAYS360(Tableau1[[#This Row],[Date rév.]],TODAY()),"")</f>
        <v/>
      </c>
      <c r="AC652" s="50" t="str">
        <f>IFERROR(INDEX(Chemin_accès!$B$11:$C$22,MATCH(Tableau1[[#This Row],[Type]],Chemin_accès!$C$11:$C$22,0),1),Chemin_accès!$B$11)</f>
        <v>\\stjn.local\trimet\Btechnique\Commun\Atelier Central mécanique\Plan entretien\Modèles préventif\GammeDMS_7.MENG.xlsm</v>
      </c>
      <c r="AD652" s="50" t="str">
        <f>Chemin_accès!$B$8&amp;Tableau1[[#This Row],[Localisation / Classement]]&amp;"\"&amp;Tableau1[[#This Row],[Poste technique ou N° d''équipement]]&amp;"_"&amp;Tableau1[[#This Row],[Plan Entretien]]&amp;".xlsm"</f>
        <v>\\stjn.local\trimet\Btechnique\Commun\Atelier Central mécanique\Plan entretien\GammeEntretien\\_.xlsm</v>
      </c>
    </row>
    <row r="653" spans="1:30" x14ac:dyDescent="0.3">
      <c r="A653" s="44" t="str">
        <f t="shared" ca="1" si="10"/>
        <v>7.MENG</v>
      </c>
      <c r="B65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53" s="47"/>
      <c r="D653" s="44"/>
      <c r="E653" s="44"/>
      <c r="F653" s="47"/>
      <c r="G653" s="47"/>
      <c r="H653" s="45"/>
      <c r="I653" s="45"/>
      <c r="J653" s="45"/>
      <c r="K653" s="45"/>
      <c r="L653" s="46"/>
      <c r="M653" s="47"/>
      <c r="N653" s="47"/>
      <c r="O653" s="47"/>
      <c r="P653" s="47"/>
      <c r="Q653" s="47"/>
      <c r="R653" s="47"/>
      <c r="S653" s="48"/>
      <c r="T653" s="68" t="str">
        <f>IF(Tableau1[[#This Row],[DMS_SAP]]="","",HYPERLINK(Tableau1[[#This Row],[Chemin fichier source]],"X"))</f>
        <v/>
      </c>
      <c r="U653" s="68" t="str">
        <f>IF(Tableau1[[#This Row],[Date rév.]]="","",HYPERLINK(Tableau1[[#This Row],[Lien document]],"X"))</f>
        <v/>
      </c>
      <c r="V653" s="47"/>
      <c r="W65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53" s="47"/>
      <c r="Y653" s="47"/>
      <c r="Z653" s="44" t="str">
        <f ca="1">IF(AND(Tableau1[[#This Row],[Charge]]&lt;&gt;0, Tableau1[[#This Row],[Nombre intervenants]]&lt;&gt;0,Tableau1[[#This Row],[Lien document]]&lt;&gt;0,Tableau1[[#This Row],[DMS_SAP]]&lt;&gt;0)=TRUE,"MIS A JOUR","")</f>
        <v/>
      </c>
      <c r="AA653" s="48"/>
      <c r="AB653" s="65" t="str">
        <f ca="1">IF(Tableau1[[#This Row],[Date rév.]]&lt;&gt;"", DAYS360(Tableau1[[#This Row],[Date rév.]],TODAY()),"")</f>
        <v/>
      </c>
      <c r="AC653" s="50" t="str">
        <f>IFERROR(INDEX(Chemin_accès!$B$11:$C$22,MATCH(Tableau1[[#This Row],[Type]],Chemin_accès!$C$11:$C$22,0),1),Chemin_accès!$B$11)</f>
        <v>\\stjn.local\trimet\Btechnique\Commun\Atelier Central mécanique\Plan entretien\Modèles préventif\GammeDMS_7.MENG.xlsm</v>
      </c>
      <c r="AD653" s="50" t="str">
        <f>Chemin_accès!$B$8&amp;Tableau1[[#This Row],[Localisation / Classement]]&amp;"\"&amp;Tableau1[[#This Row],[Poste technique ou N° d''équipement]]&amp;"_"&amp;Tableau1[[#This Row],[Plan Entretien]]&amp;".xlsm"</f>
        <v>\\stjn.local\trimet\Btechnique\Commun\Atelier Central mécanique\Plan entretien\GammeEntretien\\_.xlsm</v>
      </c>
    </row>
    <row r="654" spans="1:30" x14ac:dyDescent="0.3">
      <c r="A654" s="44" t="str">
        <f t="shared" ca="1" si="10"/>
        <v>7.MENG</v>
      </c>
      <c r="B65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54" s="47"/>
      <c r="D654" s="44"/>
      <c r="E654" s="44"/>
      <c r="F654" s="47"/>
      <c r="G654" s="47"/>
      <c r="H654" s="45"/>
      <c r="I654" s="45"/>
      <c r="J654" s="45"/>
      <c r="K654" s="45"/>
      <c r="L654" s="46"/>
      <c r="M654" s="47"/>
      <c r="N654" s="47"/>
      <c r="O654" s="47"/>
      <c r="P654" s="47"/>
      <c r="Q654" s="47"/>
      <c r="R654" s="47"/>
      <c r="S654" s="48"/>
      <c r="T654" s="68" t="str">
        <f>IF(Tableau1[[#This Row],[DMS_SAP]]="","",HYPERLINK(Tableau1[[#This Row],[Chemin fichier source]],"X"))</f>
        <v/>
      </c>
      <c r="U654" s="68" t="str">
        <f>IF(Tableau1[[#This Row],[Date rév.]]="","",HYPERLINK(Tableau1[[#This Row],[Lien document]],"X"))</f>
        <v/>
      </c>
      <c r="V654" s="47"/>
      <c r="W65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54" s="47"/>
      <c r="Y654" s="47"/>
      <c r="Z654" s="44" t="str">
        <f ca="1">IF(AND(Tableau1[[#This Row],[Charge]]&lt;&gt;0, Tableau1[[#This Row],[Nombre intervenants]]&lt;&gt;0,Tableau1[[#This Row],[Lien document]]&lt;&gt;0,Tableau1[[#This Row],[DMS_SAP]]&lt;&gt;0)=TRUE,"MIS A JOUR","")</f>
        <v/>
      </c>
      <c r="AA654" s="48"/>
      <c r="AB654" s="65" t="str">
        <f ca="1">IF(Tableau1[[#This Row],[Date rév.]]&lt;&gt;"", DAYS360(Tableau1[[#This Row],[Date rév.]],TODAY()),"")</f>
        <v/>
      </c>
      <c r="AC654" s="50" t="str">
        <f>IFERROR(INDEX(Chemin_accès!$B$11:$C$22,MATCH(Tableau1[[#This Row],[Type]],Chemin_accès!$C$11:$C$22,0),1),Chemin_accès!$B$11)</f>
        <v>\\stjn.local\trimet\Btechnique\Commun\Atelier Central mécanique\Plan entretien\Modèles préventif\GammeDMS_7.MENG.xlsm</v>
      </c>
      <c r="AD654" s="50" t="str">
        <f>Chemin_accès!$B$8&amp;Tableau1[[#This Row],[Localisation / Classement]]&amp;"\"&amp;Tableau1[[#This Row],[Poste technique ou N° d''équipement]]&amp;"_"&amp;Tableau1[[#This Row],[Plan Entretien]]&amp;".xlsm"</f>
        <v>\\stjn.local\trimet\Btechnique\Commun\Atelier Central mécanique\Plan entretien\GammeEntretien\\_.xlsm</v>
      </c>
    </row>
    <row r="655" spans="1:30" x14ac:dyDescent="0.3">
      <c r="A655" s="44" t="str">
        <f t="shared" ca="1" si="10"/>
        <v>7.MENG</v>
      </c>
      <c r="B65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55" s="47"/>
      <c r="D655" s="44"/>
      <c r="E655" s="44"/>
      <c r="F655" s="47"/>
      <c r="G655" s="47"/>
      <c r="H655" s="45"/>
      <c r="I655" s="45"/>
      <c r="J655" s="45"/>
      <c r="K655" s="45"/>
      <c r="L655" s="46"/>
      <c r="M655" s="47"/>
      <c r="N655" s="47"/>
      <c r="O655" s="47"/>
      <c r="P655" s="47"/>
      <c r="Q655" s="47"/>
      <c r="R655" s="47"/>
      <c r="S655" s="48"/>
      <c r="T655" s="68" t="str">
        <f>IF(Tableau1[[#This Row],[DMS_SAP]]="","",HYPERLINK(Tableau1[[#This Row],[Chemin fichier source]],"X"))</f>
        <v/>
      </c>
      <c r="U655" s="68" t="str">
        <f>IF(Tableau1[[#This Row],[Date rév.]]="","",HYPERLINK(Tableau1[[#This Row],[Lien document]],"X"))</f>
        <v/>
      </c>
      <c r="V655" s="47"/>
      <c r="W65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55" s="47"/>
      <c r="Y655" s="47"/>
      <c r="Z655" s="44" t="str">
        <f ca="1">IF(AND(Tableau1[[#This Row],[Charge]]&lt;&gt;0, Tableau1[[#This Row],[Nombre intervenants]]&lt;&gt;0,Tableau1[[#This Row],[Lien document]]&lt;&gt;0,Tableau1[[#This Row],[DMS_SAP]]&lt;&gt;0)=TRUE,"MIS A JOUR","")</f>
        <v/>
      </c>
      <c r="AA655" s="48"/>
      <c r="AB655" s="65" t="str">
        <f ca="1">IF(Tableau1[[#This Row],[Date rév.]]&lt;&gt;"", DAYS360(Tableau1[[#This Row],[Date rév.]],TODAY()),"")</f>
        <v/>
      </c>
      <c r="AC655" s="50" t="str">
        <f>IFERROR(INDEX(Chemin_accès!$B$11:$C$22,MATCH(Tableau1[[#This Row],[Type]],Chemin_accès!$C$11:$C$22,0),1),Chemin_accès!$B$11)</f>
        <v>\\stjn.local\trimet\Btechnique\Commun\Atelier Central mécanique\Plan entretien\Modèles préventif\GammeDMS_7.MENG.xlsm</v>
      </c>
      <c r="AD655" s="50" t="str">
        <f>Chemin_accès!$B$8&amp;Tableau1[[#This Row],[Localisation / Classement]]&amp;"\"&amp;Tableau1[[#This Row],[Poste technique ou N° d''équipement]]&amp;"_"&amp;Tableau1[[#This Row],[Plan Entretien]]&amp;".xlsm"</f>
        <v>\\stjn.local\trimet\Btechnique\Commun\Atelier Central mécanique\Plan entretien\GammeEntretien\\_.xlsm</v>
      </c>
    </row>
    <row r="656" spans="1:30" x14ac:dyDescent="0.3">
      <c r="A656" s="44" t="str">
        <f t="shared" ca="1" si="10"/>
        <v>7.MENG</v>
      </c>
      <c r="B65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56" s="47"/>
      <c r="D656" s="44"/>
      <c r="E656" s="44"/>
      <c r="F656" s="47"/>
      <c r="G656" s="47"/>
      <c r="H656" s="45"/>
      <c r="I656" s="45"/>
      <c r="J656" s="45"/>
      <c r="K656" s="45"/>
      <c r="L656" s="46"/>
      <c r="M656" s="47"/>
      <c r="N656" s="47"/>
      <c r="O656" s="47"/>
      <c r="P656" s="47"/>
      <c r="Q656" s="47"/>
      <c r="R656" s="47"/>
      <c r="S656" s="48"/>
      <c r="T656" s="68" t="str">
        <f>IF(Tableau1[[#This Row],[DMS_SAP]]="","",HYPERLINK(Tableau1[[#This Row],[Chemin fichier source]],"X"))</f>
        <v/>
      </c>
      <c r="U656" s="68" t="str">
        <f>IF(Tableau1[[#This Row],[Date rév.]]="","",HYPERLINK(Tableau1[[#This Row],[Lien document]],"X"))</f>
        <v/>
      </c>
      <c r="V656" s="47"/>
      <c r="W65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56" s="47"/>
      <c r="Y656" s="47"/>
      <c r="Z656" s="44" t="str">
        <f ca="1">IF(AND(Tableau1[[#This Row],[Charge]]&lt;&gt;0, Tableau1[[#This Row],[Nombre intervenants]]&lt;&gt;0,Tableau1[[#This Row],[Lien document]]&lt;&gt;0,Tableau1[[#This Row],[DMS_SAP]]&lt;&gt;0)=TRUE,"MIS A JOUR","")</f>
        <v/>
      </c>
      <c r="AA656" s="48"/>
      <c r="AB656" s="65" t="str">
        <f ca="1">IF(Tableau1[[#This Row],[Date rév.]]&lt;&gt;"", DAYS360(Tableau1[[#This Row],[Date rév.]],TODAY()),"")</f>
        <v/>
      </c>
      <c r="AC656" s="50" t="str">
        <f>IFERROR(INDEX(Chemin_accès!$B$11:$C$22,MATCH(Tableau1[[#This Row],[Type]],Chemin_accès!$C$11:$C$22,0),1),Chemin_accès!$B$11)</f>
        <v>\\stjn.local\trimet\Btechnique\Commun\Atelier Central mécanique\Plan entretien\Modèles préventif\GammeDMS_7.MENG.xlsm</v>
      </c>
      <c r="AD656" s="50" t="str">
        <f>Chemin_accès!$B$8&amp;Tableau1[[#This Row],[Localisation / Classement]]&amp;"\"&amp;Tableau1[[#This Row],[Poste technique ou N° d''équipement]]&amp;"_"&amp;Tableau1[[#This Row],[Plan Entretien]]&amp;".xlsm"</f>
        <v>\\stjn.local\trimet\Btechnique\Commun\Atelier Central mécanique\Plan entretien\GammeEntretien\\_.xlsm</v>
      </c>
    </row>
    <row r="657" spans="1:30" x14ac:dyDescent="0.3">
      <c r="A657" s="44" t="str">
        <f t="shared" ca="1" si="10"/>
        <v>7.MENG</v>
      </c>
      <c r="B65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57" s="47"/>
      <c r="D657" s="44"/>
      <c r="E657" s="44"/>
      <c r="F657" s="47"/>
      <c r="G657" s="47"/>
      <c r="H657" s="45"/>
      <c r="I657" s="45"/>
      <c r="J657" s="45"/>
      <c r="K657" s="45"/>
      <c r="L657" s="46"/>
      <c r="M657" s="47"/>
      <c r="N657" s="47"/>
      <c r="O657" s="47"/>
      <c r="P657" s="47"/>
      <c r="Q657" s="47"/>
      <c r="R657" s="47"/>
      <c r="S657" s="48"/>
      <c r="T657" s="68" t="str">
        <f>IF(Tableau1[[#This Row],[DMS_SAP]]="","",HYPERLINK(Tableau1[[#This Row],[Chemin fichier source]],"X"))</f>
        <v/>
      </c>
      <c r="U657" s="68" t="str">
        <f>IF(Tableau1[[#This Row],[Date rév.]]="","",HYPERLINK(Tableau1[[#This Row],[Lien document]],"X"))</f>
        <v/>
      </c>
      <c r="V657" s="47"/>
      <c r="W65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57" s="47"/>
      <c r="Y657" s="47"/>
      <c r="Z657" s="44" t="str">
        <f ca="1">IF(AND(Tableau1[[#This Row],[Charge]]&lt;&gt;0, Tableau1[[#This Row],[Nombre intervenants]]&lt;&gt;0,Tableau1[[#This Row],[Lien document]]&lt;&gt;0,Tableau1[[#This Row],[DMS_SAP]]&lt;&gt;0)=TRUE,"MIS A JOUR","")</f>
        <v/>
      </c>
      <c r="AA657" s="48"/>
      <c r="AB657" s="65" t="str">
        <f ca="1">IF(Tableau1[[#This Row],[Date rév.]]&lt;&gt;"", DAYS360(Tableau1[[#This Row],[Date rév.]],TODAY()),"")</f>
        <v/>
      </c>
      <c r="AC657" s="50" t="str">
        <f>IFERROR(INDEX(Chemin_accès!$B$11:$C$22,MATCH(Tableau1[[#This Row],[Type]],Chemin_accès!$C$11:$C$22,0),1),Chemin_accès!$B$11)</f>
        <v>\\stjn.local\trimet\Btechnique\Commun\Atelier Central mécanique\Plan entretien\Modèles préventif\GammeDMS_7.MENG.xlsm</v>
      </c>
      <c r="AD657" s="50" t="str">
        <f>Chemin_accès!$B$8&amp;Tableau1[[#This Row],[Localisation / Classement]]&amp;"\"&amp;Tableau1[[#This Row],[Poste technique ou N° d''équipement]]&amp;"_"&amp;Tableau1[[#This Row],[Plan Entretien]]&amp;".xlsm"</f>
        <v>\\stjn.local\trimet\Btechnique\Commun\Atelier Central mécanique\Plan entretien\GammeEntretien\\_.xlsm</v>
      </c>
    </row>
    <row r="658" spans="1:30" x14ac:dyDescent="0.3">
      <c r="A658" s="44" t="str">
        <f t="shared" ca="1" si="10"/>
        <v>7.MENG</v>
      </c>
      <c r="B65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58" s="47"/>
      <c r="D658" s="44"/>
      <c r="E658" s="44"/>
      <c r="F658" s="47"/>
      <c r="G658" s="47"/>
      <c r="H658" s="45"/>
      <c r="I658" s="45"/>
      <c r="J658" s="45"/>
      <c r="K658" s="45"/>
      <c r="L658" s="46"/>
      <c r="M658" s="47"/>
      <c r="N658" s="47"/>
      <c r="O658" s="47"/>
      <c r="P658" s="47"/>
      <c r="Q658" s="47"/>
      <c r="R658" s="47"/>
      <c r="S658" s="48"/>
      <c r="T658" s="68" t="str">
        <f>IF(Tableau1[[#This Row],[DMS_SAP]]="","",HYPERLINK(Tableau1[[#This Row],[Chemin fichier source]],"X"))</f>
        <v/>
      </c>
      <c r="U658" s="68" t="str">
        <f>IF(Tableau1[[#This Row],[Date rév.]]="","",HYPERLINK(Tableau1[[#This Row],[Lien document]],"X"))</f>
        <v/>
      </c>
      <c r="V658" s="47"/>
      <c r="W65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58" s="47"/>
      <c r="Y658" s="47"/>
      <c r="Z658" s="44" t="str">
        <f ca="1">IF(AND(Tableau1[[#This Row],[Charge]]&lt;&gt;0, Tableau1[[#This Row],[Nombre intervenants]]&lt;&gt;0,Tableau1[[#This Row],[Lien document]]&lt;&gt;0,Tableau1[[#This Row],[DMS_SAP]]&lt;&gt;0)=TRUE,"MIS A JOUR","")</f>
        <v/>
      </c>
      <c r="AA658" s="48"/>
      <c r="AB658" s="65" t="str">
        <f ca="1">IF(Tableau1[[#This Row],[Date rév.]]&lt;&gt;"", DAYS360(Tableau1[[#This Row],[Date rév.]],TODAY()),"")</f>
        <v/>
      </c>
      <c r="AC658" s="50" t="str">
        <f>IFERROR(INDEX(Chemin_accès!$B$11:$C$22,MATCH(Tableau1[[#This Row],[Type]],Chemin_accès!$C$11:$C$22,0),1),Chemin_accès!$B$11)</f>
        <v>\\stjn.local\trimet\Btechnique\Commun\Atelier Central mécanique\Plan entretien\Modèles préventif\GammeDMS_7.MENG.xlsm</v>
      </c>
      <c r="AD658" s="50" t="str">
        <f>Chemin_accès!$B$8&amp;Tableau1[[#This Row],[Localisation / Classement]]&amp;"\"&amp;Tableau1[[#This Row],[Poste technique ou N° d''équipement]]&amp;"_"&amp;Tableau1[[#This Row],[Plan Entretien]]&amp;".xlsm"</f>
        <v>\\stjn.local\trimet\Btechnique\Commun\Atelier Central mécanique\Plan entretien\GammeEntretien\\_.xlsm</v>
      </c>
    </row>
    <row r="659" spans="1:30" x14ac:dyDescent="0.3">
      <c r="A659" s="44" t="str">
        <f t="shared" ca="1" si="10"/>
        <v>7.MENG</v>
      </c>
      <c r="B65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59" s="47"/>
      <c r="D659" s="44"/>
      <c r="E659" s="44"/>
      <c r="F659" s="47"/>
      <c r="G659" s="47"/>
      <c r="H659" s="45"/>
      <c r="I659" s="45"/>
      <c r="J659" s="45"/>
      <c r="K659" s="45"/>
      <c r="L659" s="46"/>
      <c r="M659" s="47"/>
      <c r="N659" s="47"/>
      <c r="O659" s="47"/>
      <c r="P659" s="47"/>
      <c r="Q659" s="47"/>
      <c r="R659" s="47"/>
      <c r="S659" s="48"/>
      <c r="T659" s="68" t="str">
        <f>IF(Tableau1[[#This Row],[DMS_SAP]]="","",HYPERLINK(Tableau1[[#This Row],[Chemin fichier source]],"X"))</f>
        <v/>
      </c>
      <c r="U659" s="68" t="str">
        <f>IF(Tableau1[[#This Row],[Date rév.]]="","",HYPERLINK(Tableau1[[#This Row],[Lien document]],"X"))</f>
        <v/>
      </c>
      <c r="V659" s="47"/>
      <c r="W65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59" s="47"/>
      <c r="Y659" s="47"/>
      <c r="Z659" s="44" t="str">
        <f ca="1">IF(AND(Tableau1[[#This Row],[Charge]]&lt;&gt;0, Tableau1[[#This Row],[Nombre intervenants]]&lt;&gt;0,Tableau1[[#This Row],[Lien document]]&lt;&gt;0,Tableau1[[#This Row],[DMS_SAP]]&lt;&gt;0)=TRUE,"MIS A JOUR","")</f>
        <v/>
      </c>
      <c r="AA659" s="48"/>
      <c r="AB659" s="65" t="str">
        <f ca="1">IF(Tableau1[[#This Row],[Date rév.]]&lt;&gt;"", DAYS360(Tableau1[[#This Row],[Date rév.]],TODAY()),"")</f>
        <v/>
      </c>
      <c r="AC659" s="50" t="str">
        <f>IFERROR(INDEX(Chemin_accès!$B$11:$C$22,MATCH(Tableau1[[#This Row],[Type]],Chemin_accès!$C$11:$C$22,0),1),Chemin_accès!$B$11)</f>
        <v>\\stjn.local\trimet\Btechnique\Commun\Atelier Central mécanique\Plan entretien\Modèles préventif\GammeDMS_7.MENG.xlsm</v>
      </c>
      <c r="AD659" s="50" t="str">
        <f>Chemin_accès!$B$8&amp;Tableau1[[#This Row],[Localisation / Classement]]&amp;"\"&amp;Tableau1[[#This Row],[Poste technique ou N° d''équipement]]&amp;"_"&amp;Tableau1[[#This Row],[Plan Entretien]]&amp;".xlsm"</f>
        <v>\\stjn.local\trimet\Btechnique\Commun\Atelier Central mécanique\Plan entretien\GammeEntretien\\_.xlsm</v>
      </c>
    </row>
    <row r="660" spans="1:30" x14ac:dyDescent="0.3">
      <c r="A660" s="44" t="str">
        <f t="shared" ca="1" si="10"/>
        <v>7.MENG</v>
      </c>
      <c r="B66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60" s="47"/>
      <c r="D660" s="44"/>
      <c r="E660" s="44"/>
      <c r="F660" s="47"/>
      <c r="G660" s="47"/>
      <c r="H660" s="45"/>
      <c r="I660" s="45"/>
      <c r="J660" s="45"/>
      <c r="K660" s="45"/>
      <c r="L660" s="46"/>
      <c r="M660" s="47"/>
      <c r="N660" s="47"/>
      <c r="O660" s="47"/>
      <c r="P660" s="47"/>
      <c r="Q660" s="47"/>
      <c r="R660" s="47"/>
      <c r="S660" s="48"/>
      <c r="T660" s="68" t="str">
        <f>IF(Tableau1[[#This Row],[DMS_SAP]]="","",HYPERLINK(Tableau1[[#This Row],[Chemin fichier source]],"X"))</f>
        <v/>
      </c>
      <c r="U660" s="68" t="str">
        <f>IF(Tableau1[[#This Row],[Date rév.]]="","",HYPERLINK(Tableau1[[#This Row],[Lien document]],"X"))</f>
        <v/>
      </c>
      <c r="V660" s="47"/>
      <c r="W66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60" s="47"/>
      <c r="Y660" s="47"/>
      <c r="Z660" s="44" t="str">
        <f ca="1">IF(AND(Tableau1[[#This Row],[Charge]]&lt;&gt;0, Tableau1[[#This Row],[Nombre intervenants]]&lt;&gt;0,Tableau1[[#This Row],[Lien document]]&lt;&gt;0,Tableau1[[#This Row],[DMS_SAP]]&lt;&gt;0)=TRUE,"MIS A JOUR","")</f>
        <v/>
      </c>
      <c r="AA660" s="48"/>
      <c r="AB660" s="65" t="str">
        <f ca="1">IF(Tableau1[[#This Row],[Date rév.]]&lt;&gt;"", DAYS360(Tableau1[[#This Row],[Date rév.]],TODAY()),"")</f>
        <v/>
      </c>
      <c r="AC660" s="50" t="str">
        <f>IFERROR(INDEX(Chemin_accès!$B$11:$C$22,MATCH(Tableau1[[#This Row],[Type]],Chemin_accès!$C$11:$C$22,0),1),Chemin_accès!$B$11)</f>
        <v>\\stjn.local\trimet\Btechnique\Commun\Atelier Central mécanique\Plan entretien\Modèles préventif\GammeDMS_7.MENG.xlsm</v>
      </c>
      <c r="AD660" s="50" t="str">
        <f>Chemin_accès!$B$8&amp;Tableau1[[#This Row],[Localisation / Classement]]&amp;"\"&amp;Tableau1[[#This Row],[Poste technique ou N° d''équipement]]&amp;"_"&amp;Tableau1[[#This Row],[Plan Entretien]]&amp;".xlsm"</f>
        <v>\\stjn.local\trimet\Btechnique\Commun\Atelier Central mécanique\Plan entretien\GammeEntretien\\_.xlsm</v>
      </c>
    </row>
    <row r="661" spans="1:30" x14ac:dyDescent="0.3">
      <c r="A661" s="44" t="str">
        <f t="shared" ca="1" si="10"/>
        <v>7.MENG</v>
      </c>
      <c r="B66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61" s="47"/>
      <c r="D661" s="44"/>
      <c r="E661" s="44"/>
      <c r="F661" s="47"/>
      <c r="G661" s="47"/>
      <c r="H661" s="45"/>
      <c r="I661" s="45"/>
      <c r="J661" s="45"/>
      <c r="K661" s="45"/>
      <c r="L661" s="46"/>
      <c r="M661" s="47"/>
      <c r="N661" s="47"/>
      <c r="O661" s="47"/>
      <c r="P661" s="47"/>
      <c r="Q661" s="47"/>
      <c r="R661" s="47"/>
      <c r="S661" s="48"/>
      <c r="T661" s="68" t="str">
        <f>IF(Tableau1[[#This Row],[DMS_SAP]]="","",HYPERLINK(Tableau1[[#This Row],[Chemin fichier source]],"X"))</f>
        <v/>
      </c>
      <c r="U661" s="68" t="str">
        <f>IF(Tableau1[[#This Row],[Date rév.]]="","",HYPERLINK(Tableau1[[#This Row],[Lien document]],"X"))</f>
        <v/>
      </c>
      <c r="V661" s="47"/>
      <c r="W66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61" s="47"/>
      <c r="Y661" s="47"/>
      <c r="Z661" s="44" t="str">
        <f ca="1">IF(AND(Tableau1[[#This Row],[Charge]]&lt;&gt;0, Tableau1[[#This Row],[Nombre intervenants]]&lt;&gt;0,Tableau1[[#This Row],[Lien document]]&lt;&gt;0,Tableau1[[#This Row],[DMS_SAP]]&lt;&gt;0)=TRUE,"MIS A JOUR","")</f>
        <v/>
      </c>
      <c r="AA661" s="48"/>
      <c r="AB661" s="65" t="str">
        <f ca="1">IF(Tableau1[[#This Row],[Date rév.]]&lt;&gt;"", DAYS360(Tableau1[[#This Row],[Date rév.]],TODAY()),"")</f>
        <v/>
      </c>
      <c r="AC661" s="50" t="str">
        <f>IFERROR(INDEX(Chemin_accès!$B$11:$C$22,MATCH(Tableau1[[#This Row],[Type]],Chemin_accès!$C$11:$C$22,0),1),Chemin_accès!$B$11)</f>
        <v>\\stjn.local\trimet\Btechnique\Commun\Atelier Central mécanique\Plan entretien\Modèles préventif\GammeDMS_7.MENG.xlsm</v>
      </c>
      <c r="AD661" s="50" t="str">
        <f>Chemin_accès!$B$8&amp;Tableau1[[#This Row],[Localisation / Classement]]&amp;"\"&amp;Tableau1[[#This Row],[Poste technique ou N° d''équipement]]&amp;"_"&amp;Tableau1[[#This Row],[Plan Entretien]]&amp;".xlsm"</f>
        <v>\\stjn.local\trimet\Btechnique\Commun\Atelier Central mécanique\Plan entretien\GammeEntretien\\_.xlsm</v>
      </c>
    </row>
    <row r="662" spans="1:30" x14ac:dyDescent="0.3">
      <c r="A662" s="44" t="str">
        <f t="shared" ca="1" si="10"/>
        <v>7.MENG</v>
      </c>
      <c r="B66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62" s="47"/>
      <c r="D662" s="44"/>
      <c r="E662" s="44"/>
      <c r="F662" s="47"/>
      <c r="G662" s="47"/>
      <c r="H662" s="45"/>
      <c r="I662" s="45"/>
      <c r="J662" s="45"/>
      <c r="K662" s="45"/>
      <c r="L662" s="46"/>
      <c r="M662" s="47"/>
      <c r="N662" s="47"/>
      <c r="O662" s="47"/>
      <c r="P662" s="47"/>
      <c r="Q662" s="47"/>
      <c r="R662" s="47"/>
      <c r="S662" s="48"/>
      <c r="T662" s="68" t="str">
        <f>IF(Tableau1[[#This Row],[DMS_SAP]]="","",HYPERLINK(Tableau1[[#This Row],[Chemin fichier source]],"X"))</f>
        <v/>
      </c>
      <c r="U662" s="68" t="str">
        <f>IF(Tableau1[[#This Row],[Date rév.]]="","",HYPERLINK(Tableau1[[#This Row],[Lien document]],"X"))</f>
        <v/>
      </c>
      <c r="V662" s="47"/>
      <c r="W66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62" s="47"/>
      <c r="Y662" s="47"/>
      <c r="Z662" s="44" t="str">
        <f ca="1">IF(AND(Tableau1[[#This Row],[Charge]]&lt;&gt;0, Tableau1[[#This Row],[Nombre intervenants]]&lt;&gt;0,Tableau1[[#This Row],[Lien document]]&lt;&gt;0,Tableau1[[#This Row],[DMS_SAP]]&lt;&gt;0)=TRUE,"MIS A JOUR","")</f>
        <v/>
      </c>
      <c r="AA662" s="48"/>
      <c r="AB662" s="65" t="str">
        <f ca="1">IF(Tableau1[[#This Row],[Date rév.]]&lt;&gt;"", DAYS360(Tableau1[[#This Row],[Date rév.]],TODAY()),"")</f>
        <v/>
      </c>
      <c r="AC662" s="50" t="str">
        <f>IFERROR(INDEX(Chemin_accès!$B$11:$C$22,MATCH(Tableau1[[#This Row],[Type]],Chemin_accès!$C$11:$C$22,0),1),Chemin_accès!$B$11)</f>
        <v>\\stjn.local\trimet\Btechnique\Commun\Atelier Central mécanique\Plan entretien\Modèles préventif\GammeDMS_7.MENG.xlsm</v>
      </c>
      <c r="AD662" s="50" t="str">
        <f>Chemin_accès!$B$8&amp;Tableau1[[#This Row],[Localisation / Classement]]&amp;"\"&amp;Tableau1[[#This Row],[Poste technique ou N° d''équipement]]&amp;"_"&amp;Tableau1[[#This Row],[Plan Entretien]]&amp;".xlsm"</f>
        <v>\\stjn.local\trimet\Btechnique\Commun\Atelier Central mécanique\Plan entretien\GammeEntretien\\_.xlsm</v>
      </c>
    </row>
    <row r="663" spans="1:30" x14ac:dyDescent="0.3">
      <c r="A663" s="44" t="str">
        <f t="shared" ca="1" si="10"/>
        <v>7.MENG</v>
      </c>
      <c r="B66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63" s="47"/>
      <c r="D663" s="44"/>
      <c r="E663" s="44"/>
      <c r="F663" s="47"/>
      <c r="G663" s="47"/>
      <c r="H663" s="45"/>
      <c r="I663" s="45"/>
      <c r="J663" s="45"/>
      <c r="K663" s="45"/>
      <c r="L663" s="46"/>
      <c r="M663" s="47"/>
      <c r="N663" s="47"/>
      <c r="O663" s="47"/>
      <c r="P663" s="47"/>
      <c r="Q663" s="47"/>
      <c r="R663" s="47"/>
      <c r="S663" s="48"/>
      <c r="T663" s="68" t="str">
        <f>IF(Tableau1[[#This Row],[DMS_SAP]]="","",HYPERLINK(Tableau1[[#This Row],[Chemin fichier source]],"X"))</f>
        <v/>
      </c>
      <c r="U663" s="68" t="str">
        <f>IF(Tableau1[[#This Row],[Date rév.]]="","",HYPERLINK(Tableau1[[#This Row],[Lien document]],"X"))</f>
        <v/>
      </c>
      <c r="V663" s="47"/>
      <c r="W66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63" s="47"/>
      <c r="Y663" s="47"/>
      <c r="Z663" s="44" t="str">
        <f ca="1">IF(AND(Tableau1[[#This Row],[Charge]]&lt;&gt;0, Tableau1[[#This Row],[Nombre intervenants]]&lt;&gt;0,Tableau1[[#This Row],[Lien document]]&lt;&gt;0,Tableau1[[#This Row],[DMS_SAP]]&lt;&gt;0)=TRUE,"MIS A JOUR","")</f>
        <v/>
      </c>
      <c r="AA663" s="48"/>
      <c r="AB663" s="65" t="str">
        <f ca="1">IF(Tableau1[[#This Row],[Date rév.]]&lt;&gt;"", DAYS360(Tableau1[[#This Row],[Date rév.]],TODAY()),"")</f>
        <v/>
      </c>
      <c r="AC663" s="50" t="str">
        <f>IFERROR(INDEX(Chemin_accès!$B$11:$C$22,MATCH(Tableau1[[#This Row],[Type]],Chemin_accès!$C$11:$C$22,0),1),Chemin_accès!$B$11)</f>
        <v>\\stjn.local\trimet\Btechnique\Commun\Atelier Central mécanique\Plan entretien\Modèles préventif\GammeDMS_7.MENG.xlsm</v>
      </c>
      <c r="AD663" s="50" t="str">
        <f>Chemin_accès!$B$8&amp;Tableau1[[#This Row],[Localisation / Classement]]&amp;"\"&amp;Tableau1[[#This Row],[Poste technique ou N° d''équipement]]&amp;"_"&amp;Tableau1[[#This Row],[Plan Entretien]]&amp;".xlsm"</f>
        <v>\\stjn.local\trimet\Btechnique\Commun\Atelier Central mécanique\Plan entretien\GammeEntretien\\_.xlsm</v>
      </c>
    </row>
    <row r="664" spans="1:30" x14ac:dyDescent="0.3">
      <c r="A664" s="44" t="str">
        <f t="shared" ca="1" si="10"/>
        <v>7.MENG</v>
      </c>
      <c r="B66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64" s="47"/>
      <c r="D664" s="44"/>
      <c r="E664" s="44"/>
      <c r="F664" s="47"/>
      <c r="G664" s="47"/>
      <c r="H664" s="45"/>
      <c r="I664" s="45"/>
      <c r="J664" s="45"/>
      <c r="K664" s="45"/>
      <c r="L664" s="46"/>
      <c r="M664" s="47"/>
      <c r="N664" s="47"/>
      <c r="O664" s="47"/>
      <c r="P664" s="47"/>
      <c r="Q664" s="47"/>
      <c r="R664" s="47"/>
      <c r="S664" s="48"/>
      <c r="T664" s="68" t="str">
        <f>IF(Tableau1[[#This Row],[DMS_SAP]]="","",HYPERLINK(Tableau1[[#This Row],[Chemin fichier source]],"X"))</f>
        <v/>
      </c>
      <c r="U664" s="68" t="str">
        <f>IF(Tableau1[[#This Row],[Date rév.]]="","",HYPERLINK(Tableau1[[#This Row],[Lien document]],"X"))</f>
        <v/>
      </c>
      <c r="V664" s="47"/>
      <c r="W66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64" s="47"/>
      <c r="Y664" s="47"/>
      <c r="Z664" s="44" t="str">
        <f ca="1">IF(AND(Tableau1[[#This Row],[Charge]]&lt;&gt;0, Tableau1[[#This Row],[Nombre intervenants]]&lt;&gt;0,Tableau1[[#This Row],[Lien document]]&lt;&gt;0,Tableau1[[#This Row],[DMS_SAP]]&lt;&gt;0)=TRUE,"MIS A JOUR","")</f>
        <v/>
      </c>
      <c r="AA664" s="48"/>
      <c r="AB664" s="65" t="str">
        <f ca="1">IF(Tableau1[[#This Row],[Date rév.]]&lt;&gt;"", DAYS360(Tableau1[[#This Row],[Date rév.]],TODAY()),"")</f>
        <v/>
      </c>
      <c r="AC664" s="50" t="str">
        <f>IFERROR(INDEX(Chemin_accès!$B$11:$C$22,MATCH(Tableau1[[#This Row],[Type]],Chemin_accès!$C$11:$C$22,0),1),Chemin_accès!$B$11)</f>
        <v>\\stjn.local\trimet\Btechnique\Commun\Atelier Central mécanique\Plan entretien\Modèles préventif\GammeDMS_7.MENG.xlsm</v>
      </c>
      <c r="AD664" s="50" t="str">
        <f>Chemin_accès!$B$8&amp;Tableau1[[#This Row],[Localisation / Classement]]&amp;"\"&amp;Tableau1[[#This Row],[Poste technique ou N° d''équipement]]&amp;"_"&amp;Tableau1[[#This Row],[Plan Entretien]]&amp;".xlsm"</f>
        <v>\\stjn.local\trimet\Btechnique\Commun\Atelier Central mécanique\Plan entretien\GammeEntretien\\_.xlsm</v>
      </c>
    </row>
    <row r="665" spans="1:30" x14ac:dyDescent="0.3">
      <c r="A665" s="44" t="str">
        <f t="shared" ca="1" si="10"/>
        <v>7.MENG</v>
      </c>
      <c r="B66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65" s="47"/>
      <c r="D665" s="44"/>
      <c r="E665" s="44"/>
      <c r="F665" s="47"/>
      <c r="G665" s="47"/>
      <c r="H665" s="45"/>
      <c r="I665" s="45"/>
      <c r="J665" s="45"/>
      <c r="K665" s="45"/>
      <c r="L665" s="46"/>
      <c r="M665" s="47"/>
      <c r="N665" s="47"/>
      <c r="O665" s="47"/>
      <c r="P665" s="47"/>
      <c r="Q665" s="47"/>
      <c r="R665" s="47"/>
      <c r="S665" s="48"/>
      <c r="T665" s="68" t="str">
        <f>IF(Tableau1[[#This Row],[DMS_SAP]]="","",HYPERLINK(Tableau1[[#This Row],[Chemin fichier source]],"X"))</f>
        <v/>
      </c>
      <c r="U665" s="68" t="str">
        <f>IF(Tableau1[[#This Row],[Date rév.]]="","",HYPERLINK(Tableau1[[#This Row],[Lien document]],"X"))</f>
        <v/>
      </c>
      <c r="V665" s="47"/>
      <c r="W66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65" s="47"/>
      <c r="Y665" s="47"/>
      <c r="Z665" s="44" t="str">
        <f ca="1">IF(AND(Tableau1[[#This Row],[Charge]]&lt;&gt;0, Tableau1[[#This Row],[Nombre intervenants]]&lt;&gt;0,Tableau1[[#This Row],[Lien document]]&lt;&gt;0,Tableau1[[#This Row],[DMS_SAP]]&lt;&gt;0)=TRUE,"MIS A JOUR","")</f>
        <v/>
      </c>
      <c r="AA665" s="48"/>
      <c r="AB665" s="65" t="str">
        <f ca="1">IF(Tableau1[[#This Row],[Date rév.]]&lt;&gt;"", DAYS360(Tableau1[[#This Row],[Date rév.]],TODAY()),"")</f>
        <v/>
      </c>
      <c r="AC665" s="50" t="str">
        <f>IFERROR(INDEX(Chemin_accès!$B$11:$C$22,MATCH(Tableau1[[#This Row],[Type]],Chemin_accès!$C$11:$C$22,0),1),Chemin_accès!$B$11)</f>
        <v>\\stjn.local\trimet\Btechnique\Commun\Atelier Central mécanique\Plan entretien\Modèles préventif\GammeDMS_7.MENG.xlsm</v>
      </c>
      <c r="AD665" s="50" t="str">
        <f>Chemin_accès!$B$8&amp;Tableau1[[#This Row],[Localisation / Classement]]&amp;"\"&amp;Tableau1[[#This Row],[Poste technique ou N° d''équipement]]&amp;"_"&amp;Tableau1[[#This Row],[Plan Entretien]]&amp;".xlsm"</f>
        <v>\\stjn.local\trimet\Btechnique\Commun\Atelier Central mécanique\Plan entretien\GammeEntretien\\_.xlsm</v>
      </c>
    </row>
    <row r="666" spans="1:30" x14ac:dyDescent="0.3">
      <c r="A666" s="44" t="str">
        <f t="shared" ca="1" si="10"/>
        <v>7.MENG</v>
      </c>
      <c r="B66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66" s="47"/>
      <c r="D666" s="44"/>
      <c r="E666" s="44"/>
      <c r="F666" s="47"/>
      <c r="G666" s="47"/>
      <c r="H666" s="45"/>
      <c r="I666" s="45"/>
      <c r="J666" s="45"/>
      <c r="K666" s="45"/>
      <c r="L666" s="46"/>
      <c r="M666" s="47"/>
      <c r="N666" s="47"/>
      <c r="O666" s="47"/>
      <c r="P666" s="47"/>
      <c r="Q666" s="47"/>
      <c r="R666" s="47"/>
      <c r="S666" s="48"/>
      <c r="T666" s="68" t="str">
        <f>IF(Tableau1[[#This Row],[DMS_SAP]]="","",HYPERLINK(Tableau1[[#This Row],[Chemin fichier source]],"X"))</f>
        <v/>
      </c>
      <c r="U666" s="68" t="str">
        <f>IF(Tableau1[[#This Row],[Date rév.]]="","",HYPERLINK(Tableau1[[#This Row],[Lien document]],"X"))</f>
        <v/>
      </c>
      <c r="V666" s="47"/>
      <c r="W66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66" s="47"/>
      <c r="Y666" s="47"/>
      <c r="Z666" s="44" t="str">
        <f ca="1">IF(AND(Tableau1[[#This Row],[Charge]]&lt;&gt;0, Tableau1[[#This Row],[Nombre intervenants]]&lt;&gt;0,Tableau1[[#This Row],[Lien document]]&lt;&gt;0,Tableau1[[#This Row],[DMS_SAP]]&lt;&gt;0)=TRUE,"MIS A JOUR","")</f>
        <v/>
      </c>
      <c r="AA666" s="48"/>
      <c r="AB666" s="65" t="str">
        <f ca="1">IF(Tableau1[[#This Row],[Date rév.]]&lt;&gt;"", DAYS360(Tableau1[[#This Row],[Date rév.]],TODAY()),"")</f>
        <v/>
      </c>
      <c r="AC666" s="50" t="str">
        <f>IFERROR(INDEX(Chemin_accès!$B$11:$C$22,MATCH(Tableau1[[#This Row],[Type]],Chemin_accès!$C$11:$C$22,0),1),Chemin_accès!$B$11)</f>
        <v>\\stjn.local\trimet\Btechnique\Commun\Atelier Central mécanique\Plan entretien\Modèles préventif\GammeDMS_7.MENG.xlsm</v>
      </c>
      <c r="AD666" s="50" t="str">
        <f>Chemin_accès!$B$8&amp;Tableau1[[#This Row],[Localisation / Classement]]&amp;"\"&amp;Tableau1[[#This Row],[Poste technique ou N° d''équipement]]&amp;"_"&amp;Tableau1[[#This Row],[Plan Entretien]]&amp;".xlsm"</f>
        <v>\\stjn.local\trimet\Btechnique\Commun\Atelier Central mécanique\Plan entretien\GammeEntretien\\_.xlsm</v>
      </c>
    </row>
    <row r="667" spans="1:30" x14ac:dyDescent="0.3">
      <c r="A667" s="44" t="str">
        <f t="shared" ca="1" si="10"/>
        <v>7.MENG</v>
      </c>
      <c r="B66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67" s="47"/>
      <c r="D667" s="44"/>
      <c r="E667" s="44"/>
      <c r="F667" s="47"/>
      <c r="G667" s="47"/>
      <c r="H667" s="45"/>
      <c r="I667" s="45"/>
      <c r="J667" s="45"/>
      <c r="K667" s="45"/>
      <c r="L667" s="46"/>
      <c r="M667" s="47"/>
      <c r="N667" s="47"/>
      <c r="O667" s="47"/>
      <c r="P667" s="47"/>
      <c r="Q667" s="47"/>
      <c r="R667" s="47"/>
      <c r="S667" s="48"/>
      <c r="T667" s="68" t="str">
        <f>IF(Tableau1[[#This Row],[DMS_SAP]]="","",HYPERLINK(Tableau1[[#This Row],[Chemin fichier source]],"X"))</f>
        <v/>
      </c>
      <c r="U667" s="68" t="str">
        <f>IF(Tableau1[[#This Row],[Date rév.]]="","",HYPERLINK(Tableau1[[#This Row],[Lien document]],"X"))</f>
        <v/>
      </c>
      <c r="V667" s="47"/>
      <c r="W66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67" s="47"/>
      <c r="Y667" s="47"/>
      <c r="Z667" s="44" t="str">
        <f ca="1">IF(AND(Tableau1[[#This Row],[Charge]]&lt;&gt;0, Tableau1[[#This Row],[Nombre intervenants]]&lt;&gt;0,Tableau1[[#This Row],[Lien document]]&lt;&gt;0,Tableau1[[#This Row],[DMS_SAP]]&lt;&gt;0)=TRUE,"MIS A JOUR","")</f>
        <v/>
      </c>
      <c r="AA667" s="48"/>
      <c r="AB667" s="65" t="str">
        <f ca="1">IF(Tableau1[[#This Row],[Date rév.]]&lt;&gt;"", DAYS360(Tableau1[[#This Row],[Date rév.]],TODAY()),"")</f>
        <v/>
      </c>
      <c r="AC667" s="50" t="str">
        <f>IFERROR(INDEX(Chemin_accès!$B$11:$C$22,MATCH(Tableau1[[#This Row],[Type]],Chemin_accès!$C$11:$C$22,0),1),Chemin_accès!$B$11)</f>
        <v>\\stjn.local\trimet\Btechnique\Commun\Atelier Central mécanique\Plan entretien\Modèles préventif\GammeDMS_7.MENG.xlsm</v>
      </c>
      <c r="AD667" s="50" t="str">
        <f>Chemin_accès!$B$8&amp;Tableau1[[#This Row],[Localisation / Classement]]&amp;"\"&amp;Tableau1[[#This Row],[Poste technique ou N° d''équipement]]&amp;"_"&amp;Tableau1[[#This Row],[Plan Entretien]]&amp;".xlsm"</f>
        <v>\\stjn.local\trimet\Btechnique\Commun\Atelier Central mécanique\Plan entretien\GammeEntretien\\_.xlsm</v>
      </c>
    </row>
    <row r="668" spans="1:30" x14ac:dyDescent="0.3">
      <c r="A668" s="44" t="str">
        <f t="shared" ca="1" si="10"/>
        <v>7.MENG</v>
      </c>
      <c r="B66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68" s="47"/>
      <c r="D668" s="44"/>
      <c r="E668" s="44"/>
      <c r="F668" s="47"/>
      <c r="G668" s="47"/>
      <c r="H668" s="45"/>
      <c r="I668" s="45"/>
      <c r="J668" s="45"/>
      <c r="K668" s="45"/>
      <c r="L668" s="46"/>
      <c r="M668" s="47"/>
      <c r="N668" s="47"/>
      <c r="O668" s="47"/>
      <c r="P668" s="47"/>
      <c r="Q668" s="47"/>
      <c r="R668" s="47"/>
      <c r="S668" s="48"/>
      <c r="T668" s="68" t="str">
        <f>IF(Tableau1[[#This Row],[DMS_SAP]]="","",HYPERLINK(Tableau1[[#This Row],[Chemin fichier source]],"X"))</f>
        <v/>
      </c>
      <c r="U668" s="68" t="str">
        <f>IF(Tableau1[[#This Row],[Date rév.]]="","",HYPERLINK(Tableau1[[#This Row],[Lien document]],"X"))</f>
        <v/>
      </c>
      <c r="V668" s="47"/>
      <c r="W66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68" s="47"/>
      <c r="Y668" s="47"/>
      <c r="Z668" s="44" t="str">
        <f ca="1">IF(AND(Tableau1[[#This Row],[Charge]]&lt;&gt;0, Tableau1[[#This Row],[Nombre intervenants]]&lt;&gt;0,Tableau1[[#This Row],[Lien document]]&lt;&gt;0,Tableau1[[#This Row],[DMS_SAP]]&lt;&gt;0)=TRUE,"MIS A JOUR","")</f>
        <v/>
      </c>
      <c r="AA668" s="48"/>
      <c r="AB668" s="65" t="str">
        <f ca="1">IF(Tableau1[[#This Row],[Date rév.]]&lt;&gt;"", DAYS360(Tableau1[[#This Row],[Date rév.]],TODAY()),"")</f>
        <v/>
      </c>
      <c r="AC668" s="50" t="str">
        <f>IFERROR(INDEX(Chemin_accès!$B$11:$C$22,MATCH(Tableau1[[#This Row],[Type]],Chemin_accès!$C$11:$C$22,0),1),Chemin_accès!$B$11)</f>
        <v>\\stjn.local\trimet\Btechnique\Commun\Atelier Central mécanique\Plan entretien\Modèles préventif\GammeDMS_7.MENG.xlsm</v>
      </c>
      <c r="AD668" s="50" t="str">
        <f>Chemin_accès!$B$8&amp;Tableau1[[#This Row],[Localisation / Classement]]&amp;"\"&amp;Tableau1[[#This Row],[Poste technique ou N° d''équipement]]&amp;"_"&amp;Tableau1[[#This Row],[Plan Entretien]]&amp;".xlsm"</f>
        <v>\\stjn.local\trimet\Btechnique\Commun\Atelier Central mécanique\Plan entretien\GammeEntretien\\_.xlsm</v>
      </c>
    </row>
    <row r="669" spans="1:30" x14ac:dyDescent="0.3">
      <c r="A669" s="44" t="str">
        <f t="shared" ca="1" si="10"/>
        <v>7.MENG</v>
      </c>
      <c r="B66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69" s="47"/>
      <c r="D669" s="44"/>
      <c r="E669" s="44"/>
      <c r="F669" s="47"/>
      <c r="G669" s="47"/>
      <c r="H669" s="45"/>
      <c r="I669" s="45"/>
      <c r="J669" s="45"/>
      <c r="K669" s="45"/>
      <c r="L669" s="46"/>
      <c r="M669" s="47"/>
      <c r="N669" s="47"/>
      <c r="O669" s="47"/>
      <c r="P669" s="47"/>
      <c r="Q669" s="47"/>
      <c r="R669" s="47"/>
      <c r="S669" s="48"/>
      <c r="T669" s="68" t="str">
        <f>IF(Tableau1[[#This Row],[DMS_SAP]]="","",HYPERLINK(Tableau1[[#This Row],[Chemin fichier source]],"X"))</f>
        <v/>
      </c>
      <c r="U669" s="68" t="str">
        <f>IF(Tableau1[[#This Row],[Date rév.]]="","",HYPERLINK(Tableau1[[#This Row],[Lien document]],"X"))</f>
        <v/>
      </c>
      <c r="V669" s="47"/>
      <c r="W66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69" s="47"/>
      <c r="Y669" s="47"/>
      <c r="Z669" s="44" t="str">
        <f ca="1">IF(AND(Tableau1[[#This Row],[Charge]]&lt;&gt;0, Tableau1[[#This Row],[Nombre intervenants]]&lt;&gt;0,Tableau1[[#This Row],[Lien document]]&lt;&gt;0,Tableau1[[#This Row],[DMS_SAP]]&lt;&gt;0)=TRUE,"MIS A JOUR","")</f>
        <v/>
      </c>
      <c r="AA669" s="48"/>
      <c r="AB669" s="65" t="str">
        <f ca="1">IF(Tableau1[[#This Row],[Date rév.]]&lt;&gt;"", DAYS360(Tableau1[[#This Row],[Date rév.]],TODAY()),"")</f>
        <v/>
      </c>
      <c r="AC669" s="50" t="str">
        <f>IFERROR(INDEX(Chemin_accès!$B$11:$C$22,MATCH(Tableau1[[#This Row],[Type]],Chemin_accès!$C$11:$C$22,0),1),Chemin_accès!$B$11)</f>
        <v>\\stjn.local\trimet\Btechnique\Commun\Atelier Central mécanique\Plan entretien\Modèles préventif\GammeDMS_7.MENG.xlsm</v>
      </c>
      <c r="AD669" s="50" t="str">
        <f>Chemin_accès!$B$8&amp;Tableau1[[#This Row],[Localisation / Classement]]&amp;"\"&amp;Tableau1[[#This Row],[Poste technique ou N° d''équipement]]&amp;"_"&amp;Tableau1[[#This Row],[Plan Entretien]]&amp;".xlsm"</f>
        <v>\\stjn.local\trimet\Btechnique\Commun\Atelier Central mécanique\Plan entretien\GammeEntretien\\_.xlsm</v>
      </c>
    </row>
    <row r="670" spans="1:30" x14ac:dyDescent="0.3">
      <c r="A670" s="44" t="str">
        <f t="shared" ca="1" si="10"/>
        <v>7.MENG</v>
      </c>
      <c r="B67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70" s="47"/>
      <c r="D670" s="44"/>
      <c r="E670" s="44"/>
      <c r="F670" s="47"/>
      <c r="G670" s="47"/>
      <c r="H670" s="45"/>
      <c r="I670" s="45"/>
      <c r="J670" s="45"/>
      <c r="K670" s="45"/>
      <c r="L670" s="46"/>
      <c r="M670" s="47"/>
      <c r="N670" s="47"/>
      <c r="O670" s="47"/>
      <c r="P670" s="47"/>
      <c r="Q670" s="47"/>
      <c r="R670" s="47"/>
      <c r="S670" s="48"/>
      <c r="T670" s="68" t="str">
        <f>IF(Tableau1[[#This Row],[DMS_SAP]]="","",HYPERLINK(Tableau1[[#This Row],[Chemin fichier source]],"X"))</f>
        <v/>
      </c>
      <c r="U670" s="68" t="str">
        <f>IF(Tableau1[[#This Row],[Date rév.]]="","",HYPERLINK(Tableau1[[#This Row],[Lien document]],"X"))</f>
        <v/>
      </c>
      <c r="V670" s="47"/>
      <c r="W67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70" s="47"/>
      <c r="Y670" s="47"/>
      <c r="Z670" s="44" t="str">
        <f ca="1">IF(AND(Tableau1[[#This Row],[Charge]]&lt;&gt;0, Tableau1[[#This Row],[Nombre intervenants]]&lt;&gt;0,Tableau1[[#This Row],[Lien document]]&lt;&gt;0,Tableau1[[#This Row],[DMS_SAP]]&lt;&gt;0)=TRUE,"MIS A JOUR","")</f>
        <v/>
      </c>
      <c r="AA670" s="48"/>
      <c r="AB670" s="65" t="str">
        <f ca="1">IF(Tableau1[[#This Row],[Date rév.]]&lt;&gt;"", DAYS360(Tableau1[[#This Row],[Date rév.]],TODAY()),"")</f>
        <v/>
      </c>
      <c r="AC670" s="50" t="str">
        <f>IFERROR(INDEX(Chemin_accès!$B$11:$C$22,MATCH(Tableau1[[#This Row],[Type]],Chemin_accès!$C$11:$C$22,0),1),Chemin_accès!$B$11)</f>
        <v>\\stjn.local\trimet\Btechnique\Commun\Atelier Central mécanique\Plan entretien\Modèles préventif\GammeDMS_7.MENG.xlsm</v>
      </c>
      <c r="AD670" s="50" t="str">
        <f>Chemin_accès!$B$8&amp;Tableau1[[#This Row],[Localisation / Classement]]&amp;"\"&amp;Tableau1[[#This Row],[Poste technique ou N° d''équipement]]&amp;"_"&amp;Tableau1[[#This Row],[Plan Entretien]]&amp;".xlsm"</f>
        <v>\\stjn.local\trimet\Btechnique\Commun\Atelier Central mécanique\Plan entretien\GammeEntretien\\_.xlsm</v>
      </c>
    </row>
    <row r="671" spans="1:30" x14ac:dyDescent="0.3">
      <c r="A671" s="44" t="str">
        <f t="shared" ca="1" si="10"/>
        <v>7.MENG</v>
      </c>
      <c r="B67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71" s="47"/>
      <c r="D671" s="44"/>
      <c r="E671" s="44"/>
      <c r="F671" s="47"/>
      <c r="G671" s="47"/>
      <c r="H671" s="45"/>
      <c r="I671" s="45"/>
      <c r="J671" s="45"/>
      <c r="K671" s="45"/>
      <c r="L671" s="46"/>
      <c r="M671" s="47"/>
      <c r="N671" s="47"/>
      <c r="O671" s="47"/>
      <c r="P671" s="47"/>
      <c r="Q671" s="47"/>
      <c r="R671" s="47"/>
      <c r="S671" s="48"/>
      <c r="T671" s="68" t="str">
        <f>IF(Tableau1[[#This Row],[DMS_SAP]]="","",HYPERLINK(Tableau1[[#This Row],[Chemin fichier source]],"X"))</f>
        <v/>
      </c>
      <c r="U671" s="68" t="str">
        <f>IF(Tableau1[[#This Row],[Date rév.]]="","",HYPERLINK(Tableau1[[#This Row],[Lien document]],"X"))</f>
        <v/>
      </c>
      <c r="V671" s="47"/>
      <c r="W67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71" s="47"/>
      <c r="Y671" s="47"/>
      <c r="Z671" s="44" t="str">
        <f ca="1">IF(AND(Tableau1[[#This Row],[Charge]]&lt;&gt;0, Tableau1[[#This Row],[Nombre intervenants]]&lt;&gt;0,Tableau1[[#This Row],[Lien document]]&lt;&gt;0,Tableau1[[#This Row],[DMS_SAP]]&lt;&gt;0)=TRUE,"MIS A JOUR","")</f>
        <v/>
      </c>
      <c r="AA671" s="48"/>
      <c r="AB671" s="65" t="str">
        <f ca="1">IF(Tableau1[[#This Row],[Date rév.]]&lt;&gt;"", DAYS360(Tableau1[[#This Row],[Date rév.]],TODAY()),"")</f>
        <v/>
      </c>
      <c r="AC671" s="50" t="str">
        <f>IFERROR(INDEX(Chemin_accès!$B$11:$C$22,MATCH(Tableau1[[#This Row],[Type]],Chemin_accès!$C$11:$C$22,0),1),Chemin_accès!$B$11)</f>
        <v>\\stjn.local\trimet\Btechnique\Commun\Atelier Central mécanique\Plan entretien\Modèles préventif\GammeDMS_7.MENG.xlsm</v>
      </c>
      <c r="AD671" s="50" t="str">
        <f>Chemin_accès!$B$8&amp;Tableau1[[#This Row],[Localisation / Classement]]&amp;"\"&amp;Tableau1[[#This Row],[Poste technique ou N° d''équipement]]&amp;"_"&amp;Tableau1[[#This Row],[Plan Entretien]]&amp;".xlsm"</f>
        <v>\\stjn.local\trimet\Btechnique\Commun\Atelier Central mécanique\Plan entretien\GammeEntretien\\_.xlsm</v>
      </c>
    </row>
    <row r="672" spans="1:30" x14ac:dyDescent="0.3">
      <c r="A672" s="44" t="str">
        <f t="shared" ca="1" si="10"/>
        <v>7.MENG</v>
      </c>
      <c r="B67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72" s="47"/>
      <c r="D672" s="44"/>
      <c r="E672" s="44"/>
      <c r="F672" s="47"/>
      <c r="G672" s="47"/>
      <c r="H672" s="45"/>
      <c r="I672" s="45"/>
      <c r="J672" s="45"/>
      <c r="K672" s="45"/>
      <c r="L672" s="46"/>
      <c r="M672" s="47"/>
      <c r="N672" s="47"/>
      <c r="O672" s="47"/>
      <c r="P672" s="47"/>
      <c r="Q672" s="47"/>
      <c r="R672" s="47"/>
      <c r="S672" s="48"/>
      <c r="T672" s="68" t="str">
        <f>IF(Tableau1[[#This Row],[DMS_SAP]]="","",HYPERLINK(Tableau1[[#This Row],[Chemin fichier source]],"X"))</f>
        <v/>
      </c>
      <c r="U672" s="68" t="str">
        <f>IF(Tableau1[[#This Row],[Date rév.]]="","",HYPERLINK(Tableau1[[#This Row],[Lien document]],"X"))</f>
        <v/>
      </c>
      <c r="V672" s="47"/>
      <c r="W67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72" s="47"/>
      <c r="Y672" s="47"/>
      <c r="Z672" s="44" t="str">
        <f ca="1">IF(AND(Tableau1[[#This Row],[Charge]]&lt;&gt;0, Tableau1[[#This Row],[Nombre intervenants]]&lt;&gt;0,Tableau1[[#This Row],[Lien document]]&lt;&gt;0,Tableau1[[#This Row],[DMS_SAP]]&lt;&gt;0)=TRUE,"MIS A JOUR","")</f>
        <v/>
      </c>
      <c r="AA672" s="48"/>
      <c r="AB672" s="65" t="str">
        <f ca="1">IF(Tableau1[[#This Row],[Date rév.]]&lt;&gt;"", DAYS360(Tableau1[[#This Row],[Date rév.]],TODAY()),"")</f>
        <v/>
      </c>
      <c r="AC672" s="50" t="str">
        <f>IFERROR(INDEX(Chemin_accès!$B$11:$C$22,MATCH(Tableau1[[#This Row],[Type]],Chemin_accès!$C$11:$C$22,0),1),Chemin_accès!$B$11)</f>
        <v>\\stjn.local\trimet\Btechnique\Commun\Atelier Central mécanique\Plan entretien\Modèles préventif\GammeDMS_7.MENG.xlsm</v>
      </c>
      <c r="AD672" s="50" t="str">
        <f>Chemin_accès!$B$8&amp;Tableau1[[#This Row],[Localisation / Classement]]&amp;"\"&amp;Tableau1[[#This Row],[Poste technique ou N° d''équipement]]&amp;"_"&amp;Tableau1[[#This Row],[Plan Entretien]]&amp;".xlsm"</f>
        <v>\\stjn.local\trimet\Btechnique\Commun\Atelier Central mécanique\Plan entretien\GammeEntretien\\_.xlsm</v>
      </c>
    </row>
    <row r="673" spans="1:30" x14ac:dyDescent="0.3">
      <c r="A673" s="44" t="str">
        <f t="shared" ca="1" si="10"/>
        <v>7.MENG</v>
      </c>
      <c r="B67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73" s="47"/>
      <c r="D673" s="44"/>
      <c r="E673" s="44"/>
      <c r="F673" s="47"/>
      <c r="G673" s="47"/>
      <c r="H673" s="45"/>
      <c r="I673" s="45"/>
      <c r="J673" s="45"/>
      <c r="K673" s="45"/>
      <c r="L673" s="46"/>
      <c r="M673" s="47"/>
      <c r="N673" s="47"/>
      <c r="O673" s="47"/>
      <c r="P673" s="47"/>
      <c r="Q673" s="47"/>
      <c r="R673" s="47"/>
      <c r="S673" s="48"/>
      <c r="T673" s="68" t="str">
        <f>IF(Tableau1[[#This Row],[DMS_SAP]]="","",HYPERLINK(Tableau1[[#This Row],[Chemin fichier source]],"X"))</f>
        <v/>
      </c>
      <c r="U673" s="68" t="str">
        <f>IF(Tableau1[[#This Row],[Date rév.]]="","",HYPERLINK(Tableau1[[#This Row],[Lien document]],"X"))</f>
        <v/>
      </c>
      <c r="V673" s="47"/>
      <c r="W67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73" s="47"/>
      <c r="Y673" s="47"/>
      <c r="Z673" s="44" t="str">
        <f ca="1">IF(AND(Tableau1[[#This Row],[Charge]]&lt;&gt;0, Tableau1[[#This Row],[Nombre intervenants]]&lt;&gt;0,Tableau1[[#This Row],[Lien document]]&lt;&gt;0,Tableau1[[#This Row],[DMS_SAP]]&lt;&gt;0)=TRUE,"MIS A JOUR","")</f>
        <v/>
      </c>
      <c r="AA673" s="48"/>
      <c r="AB673" s="65" t="str">
        <f ca="1">IF(Tableau1[[#This Row],[Date rév.]]&lt;&gt;"", DAYS360(Tableau1[[#This Row],[Date rév.]],TODAY()),"")</f>
        <v/>
      </c>
      <c r="AC673" s="50" t="str">
        <f>IFERROR(INDEX(Chemin_accès!$B$11:$C$22,MATCH(Tableau1[[#This Row],[Type]],Chemin_accès!$C$11:$C$22,0),1),Chemin_accès!$B$11)</f>
        <v>\\stjn.local\trimet\Btechnique\Commun\Atelier Central mécanique\Plan entretien\Modèles préventif\GammeDMS_7.MENG.xlsm</v>
      </c>
      <c r="AD673" s="50" t="str">
        <f>Chemin_accès!$B$8&amp;Tableau1[[#This Row],[Localisation / Classement]]&amp;"\"&amp;Tableau1[[#This Row],[Poste technique ou N° d''équipement]]&amp;"_"&amp;Tableau1[[#This Row],[Plan Entretien]]&amp;".xlsm"</f>
        <v>\\stjn.local\trimet\Btechnique\Commun\Atelier Central mécanique\Plan entretien\GammeEntretien\\_.xlsm</v>
      </c>
    </row>
    <row r="674" spans="1:30" x14ac:dyDescent="0.3">
      <c r="A674" s="44" t="str">
        <f t="shared" ca="1" si="10"/>
        <v>7.MENG</v>
      </c>
      <c r="B67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74" s="47"/>
      <c r="D674" s="44"/>
      <c r="E674" s="44"/>
      <c r="F674" s="47"/>
      <c r="G674" s="47"/>
      <c r="H674" s="45"/>
      <c r="I674" s="45"/>
      <c r="J674" s="45"/>
      <c r="K674" s="45"/>
      <c r="L674" s="46"/>
      <c r="M674" s="47"/>
      <c r="N674" s="47"/>
      <c r="O674" s="47"/>
      <c r="P674" s="47"/>
      <c r="Q674" s="47"/>
      <c r="R674" s="47"/>
      <c r="S674" s="48"/>
      <c r="T674" s="68" t="str">
        <f>IF(Tableau1[[#This Row],[DMS_SAP]]="","",HYPERLINK(Tableau1[[#This Row],[Chemin fichier source]],"X"))</f>
        <v/>
      </c>
      <c r="U674" s="68" t="str">
        <f>IF(Tableau1[[#This Row],[Date rév.]]="","",HYPERLINK(Tableau1[[#This Row],[Lien document]],"X"))</f>
        <v/>
      </c>
      <c r="V674" s="47"/>
      <c r="W67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74" s="47"/>
      <c r="Y674" s="47"/>
      <c r="Z674" s="44" t="str">
        <f ca="1">IF(AND(Tableau1[[#This Row],[Charge]]&lt;&gt;0, Tableau1[[#This Row],[Nombre intervenants]]&lt;&gt;0,Tableau1[[#This Row],[Lien document]]&lt;&gt;0,Tableau1[[#This Row],[DMS_SAP]]&lt;&gt;0)=TRUE,"MIS A JOUR","")</f>
        <v/>
      </c>
      <c r="AA674" s="48"/>
      <c r="AB674" s="65" t="str">
        <f ca="1">IF(Tableau1[[#This Row],[Date rév.]]&lt;&gt;"", DAYS360(Tableau1[[#This Row],[Date rév.]],TODAY()),"")</f>
        <v/>
      </c>
      <c r="AC674" s="50" t="str">
        <f>IFERROR(INDEX(Chemin_accès!$B$11:$C$22,MATCH(Tableau1[[#This Row],[Type]],Chemin_accès!$C$11:$C$22,0),1),Chemin_accès!$B$11)</f>
        <v>\\stjn.local\trimet\Btechnique\Commun\Atelier Central mécanique\Plan entretien\Modèles préventif\GammeDMS_7.MENG.xlsm</v>
      </c>
      <c r="AD674" s="50" t="str">
        <f>Chemin_accès!$B$8&amp;Tableau1[[#This Row],[Localisation / Classement]]&amp;"\"&amp;Tableau1[[#This Row],[Poste technique ou N° d''équipement]]&amp;"_"&amp;Tableau1[[#This Row],[Plan Entretien]]&amp;".xlsm"</f>
        <v>\\stjn.local\trimet\Btechnique\Commun\Atelier Central mécanique\Plan entretien\GammeEntretien\\_.xlsm</v>
      </c>
    </row>
    <row r="675" spans="1:30" x14ac:dyDescent="0.3">
      <c r="A675" s="44" t="str">
        <f t="shared" ca="1" si="10"/>
        <v>7.MENG</v>
      </c>
      <c r="B67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75" s="47"/>
      <c r="D675" s="44"/>
      <c r="E675" s="44"/>
      <c r="F675" s="47"/>
      <c r="G675" s="47"/>
      <c r="H675" s="45"/>
      <c r="I675" s="45"/>
      <c r="J675" s="45"/>
      <c r="K675" s="45"/>
      <c r="L675" s="46"/>
      <c r="M675" s="47"/>
      <c r="N675" s="47"/>
      <c r="O675" s="47"/>
      <c r="P675" s="47"/>
      <c r="Q675" s="47"/>
      <c r="R675" s="47"/>
      <c r="S675" s="48"/>
      <c r="T675" s="68" t="str">
        <f>IF(Tableau1[[#This Row],[DMS_SAP]]="","",HYPERLINK(Tableau1[[#This Row],[Chemin fichier source]],"X"))</f>
        <v/>
      </c>
      <c r="U675" s="68" t="str">
        <f>IF(Tableau1[[#This Row],[Date rév.]]="","",HYPERLINK(Tableau1[[#This Row],[Lien document]],"X"))</f>
        <v/>
      </c>
      <c r="V675" s="47"/>
      <c r="W67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75" s="47"/>
      <c r="Y675" s="47"/>
      <c r="Z675" s="44" t="str">
        <f ca="1">IF(AND(Tableau1[[#This Row],[Charge]]&lt;&gt;0, Tableau1[[#This Row],[Nombre intervenants]]&lt;&gt;0,Tableau1[[#This Row],[Lien document]]&lt;&gt;0,Tableau1[[#This Row],[DMS_SAP]]&lt;&gt;0)=TRUE,"MIS A JOUR","")</f>
        <v/>
      </c>
      <c r="AA675" s="48"/>
      <c r="AB675" s="65" t="str">
        <f ca="1">IF(Tableau1[[#This Row],[Date rév.]]&lt;&gt;"", DAYS360(Tableau1[[#This Row],[Date rév.]],TODAY()),"")</f>
        <v/>
      </c>
      <c r="AC675" s="50" t="str">
        <f>IFERROR(INDEX(Chemin_accès!$B$11:$C$22,MATCH(Tableau1[[#This Row],[Type]],Chemin_accès!$C$11:$C$22,0),1),Chemin_accès!$B$11)</f>
        <v>\\stjn.local\trimet\Btechnique\Commun\Atelier Central mécanique\Plan entretien\Modèles préventif\GammeDMS_7.MENG.xlsm</v>
      </c>
      <c r="AD675" s="50" t="str">
        <f>Chemin_accès!$B$8&amp;Tableau1[[#This Row],[Localisation / Classement]]&amp;"\"&amp;Tableau1[[#This Row],[Poste technique ou N° d''équipement]]&amp;"_"&amp;Tableau1[[#This Row],[Plan Entretien]]&amp;".xlsm"</f>
        <v>\\stjn.local\trimet\Btechnique\Commun\Atelier Central mécanique\Plan entretien\GammeEntretien\\_.xlsm</v>
      </c>
    </row>
    <row r="676" spans="1:30" x14ac:dyDescent="0.3">
      <c r="A676" s="44" t="str">
        <f t="shared" ca="1" si="10"/>
        <v>7.MENG</v>
      </c>
      <c r="B67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76" s="47"/>
      <c r="D676" s="44"/>
      <c r="E676" s="44"/>
      <c r="F676" s="47"/>
      <c r="G676" s="47"/>
      <c r="H676" s="45"/>
      <c r="I676" s="45"/>
      <c r="J676" s="45"/>
      <c r="K676" s="45"/>
      <c r="L676" s="46"/>
      <c r="M676" s="47"/>
      <c r="N676" s="47"/>
      <c r="O676" s="47"/>
      <c r="P676" s="47"/>
      <c r="Q676" s="47"/>
      <c r="R676" s="47"/>
      <c r="S676" s="48"/>
      <c r="T676" s="68" t="str">
        <f>IF(Tableau1[[#This Row],[DMS_SAP]]="","",HYPERLINK(Tableau1[[#This Row],[Chemin fichier source]],"X"))</f>
        <v/>
      </c>
      <c r="U676" s="68" t="str">
        <f>IF(Tableau1[[#This Row],[Date rév.]]="","",HYPERLINK(Tableau1[[#This Row],[Lien document]],"X"))</f>
        <v/>
      </c>
      <c r="V676" s="47"/>
      <c r="W67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76" s="47"/>
      <c r="Y676" s="47"/>
      <c r="Z676" s="44" t="str">
        <f ca="1">IF(AND(Tableau1[[#This Row],[Charge]]&lt;&gt;0, Tableau1[[#This Row],[Nombre intervenants]]&lt;&gt;0,Tableau1[[#This Row],[Lien document]]&lt;&gt;0,Tableau1[[#This Row],[DMS_SAP]]&lt;&gt;0)=TRUE,"MIS A JOUR","")</f>
        <v/>
      </c>
      <c r="AA676" s="48"/>
      <c r="AB676" s="65" t="str">
        <f ca="1">IF(Tableau1[[#This Row],[Date rév.]]&lt;&gt;"", DAYS360(Tableau1[[#This Row],[Date rév.]],TODAY()),"")</f>
        <v/>
      </c>
      <c r="AC676" s="50" t="str">
        <f>IFERROR(INDEX(Chemin_accès!$B$11:$C$22,MATCH(Tableau1[[#This Row],[Type]],Chemin_accès!$C$11:$C$22,0),1),Chemin_accès!$B$11)</f>
        <v>\\stjn.local\trimet\Btechnique\Commun\Atelier Central mécanique\Plan entretien\Modèles préventif\GammeDMS_7.MENG.xlsm</v>
      </c>
      <c r="AD676" s="50" t="str">
        <f>Chemin_accès!$B$8&amp;Tableau1[[#This Row],[Localisation / Classement]]&amp;"\"&amp;Tableau1[[#This Row],[Poste technique ou N° d''équipement]]&amp;"_"&amp;Tableau1[[#This Row],[Plan Entretien]]&amp;".xlsm"</f>
        <v>\\stjn.local\trimet\Btechnique\Commun\Atelier Central mécanique\Plan entretien\GammeEntretien\\_.xlsm</v>
      </c>
    </row>
    <row r="677" spans="1:30" x14ac:dyDescent="0.3">
      <c r="A677" s="44" t="str">
        <f t="shared" ca="1" si="10"/>
        <v>7.MENG</v>
      </c>
      <c r="B67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77" s="47"/>
      <c r="D677" s="44"/>
      <c r="E677" s="44"/>
      <c r="F677" s="47"/>
      <c r="G677" s="47"/>
      <c r="H677" s="45"/>
      <c r="I677" s="45"/>
      <c r="J677" s="45"/>
      <c r="K677" s="45"/>
      <c r="L677" s="46"/>
      <c r="M677" s="47"/>
      <c r="N677" s="47"/>
      <c r="O677" s="47"/>
      <c r="P677" s="47"/>
      <c r="Q677" s="47"/>
      <c r="R677" s="47"/>
      <c r="S677" s="48"/>
      <c r="T677" s="68" t="str">
        <f>IF(Tableau1[[#This Row],[DMS_SAP]]="","",HYPERLINK(Tableau1[[#This Row],[Chemin fichier source]],"X"))</f>
        <v/>
      </c>
      <c r="U677" s="68" t="str">
        <f>IF(Tableau1[[#This Row],[Date rév.]]="","",HYPERLINK(Tableau1[[#This Row],[Lien document]],"X"))</f>
        <v/>
      </c>
      <c r="V677" s="47"/>
      <c r="W67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77" s="47"/>
      <c r="Y677" s="47"/>
      <c r="Z677" s="44" t="str">
        <f ca="1">IF(AND(Tableau1[[#This Row],[Charge]]&lt;&gt;0, Tableau1[[#This Row],[Nombre intervenants]]&lt;&gt;0,Tableau1[[#This Row],[Lien document]]&lt;&gt;0,Tableau1[[#This Row],[DMS_SAP]]&lt;&gt;0)=TRUE,"MIS A JOUR","")</f>
        <v/>
      </c>
      <c r="AA677" s="48"/>
      <c r="AB677" s="65" t="str">
        <f ca="1">IF(Tableau1[[#This Row],[Date rév.]]&lt;&gt;"", DAYS360(Tableau1[[#This Row],[Date rév.]],TODAY()),"")</f>
        <v/>
      </c>
      <c r="AC677" s="50" t="str">
        <f>IFERROR(INDEX(Chemin_accès!$B$11:$C$22,MATCH(Tableau1[[#This Row],[Type]],Chemin_accès!$C$11:$C$22,0),1),Chemin_accès!$B$11)</f>
        <v>\\stjn.local\trimet\Btechnique\Commun\Atelier Central mécanique\Plan entretien\Modèles préventif\GammeDMS_7.MENG.xlsm</v>
      </c>
      <c r="AD677" s="50" t="str">
        <f>Chemin_accès!$B$8&amp;Tableau1[[#This Row],[Localisation / Classement]]&amp;"\"&amp;Tableau1[[#This Row],[Poste technique ou N° d''équipement]]&amp;"_"&amp;Tableau1[[#This Row],[Plan Entretien]]&amp;".xlsm"</f>
        <v>\\stjn.local\trimet\Btechnique\Commun\Atelier Central mécanique\Plan entretien\GammeEntretien\\_.xlsm</v>
      </c>
    </row>
    <row r="678" spans="1:30" x14ac:dyDescent="0.3">
      <c r="A678" s="44" t="str">
        <f t="shared" ca="1" si="10"/>
        <v>7.MENG</v>
      </c>
      <c r="B67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78" s="47"/>
      <c r="D678" s="44"/>
      <c r="E678" s="44"/>
      <c r="F678" s="47"/>
      <c r="G678" s="47"/>
      <c r="H678" s="45"/>
      <c r="I678" s="45"/>
      <c r="J678" s="45"/>
      <c r="K678" s="45"/>
      <c r="L678" s="46"/>
      <c r="M678" s="47"/>
      <c r="N678" s="47"/>
      <c r="O678" s="47"/>
      <c r="P678" s="47"/>
      <c r="Q678" s="47"/>
      <c r="R678" s="47"/>
      <c r="S678" s="48"/>
      <c r="T678" s="68" t="str">
        <f>IF(Tableau1[[#This Row],[DMS_SAP]]="","",HYPERLINK(Tableau1[[#This Row],[Chemin fichier source]],"X"))</f>
        <v/>
      </c>
      <c r="U678" s="68" t="str">
        <f>IF(Tableau1[[#This Row],[Date rév.]]="","",HYPERLINK(Tableau1[[#This Row],[Lien document]],"X"))</f>
        <v/>
      </c>
      <c r="V678" s="47"/>
      <c r="W67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78" s="47"/>
      <c r="Y678" s="47"/>
      <c r="Z678" s="44" t="str">
        <f ca="1">IF(AND(Tableau1[[#This Row],[Charge]]&lt;&gt;0, Tableau1[[#This Row],[Nombre intervenants]]&lt;&gt;0,Tableau1[[#This Row],[Lien document]]&lt;&gt;0,Tableau1[[#This Row],[DMS_SAP]]&lt;&gt;0)=TRUE,"MIS A JOUR","")</f>
        <v/>
      </c>
      <c r="AA678" s="48"/>
      <c r="AB678" s="65" t="str">
        <f ca="1">IF(Tableau1[[#This Row],[Date rév.]]&lt;&gt;"", DAYS360(Tableau1[[#This Row],[Date rév.]],TODAY()),"")</f>
        <v/>
      </c>
      <c r="AC678" s="50" t="str">
        <f>IFERROR(INDEX(Chemin_accès!$B$11:$C$22,MATCH(Tableau1[[#This Row],[Type]],Chemin_accès!$C$11:$C$22,0),1),Chemin_accès!$B$11)</f>
        <v>\\stjn.local\trimet\Btechnique\Commun\Atelier Central mécanique\Plan entretien\Modèles préventif\GammeDMS_7.MENG.xlsm</v>
      </c>
      <c r="AD678" s="50" t="str">
        <f>Chemin_accès!$B$8&amp;Tableau1[[#This Row],[Localisation / Classement]]&amp;"\"&amp;Tableau1[[#This Row],[Poste technique ou N° d''équipement]]&amp;"_"&amp;Tableau1[[#This Row],[Plan Entretien]]&amp;".xlsm"</f>
        <v>\\stjn.local\trimet\Btechnique\Commun\Atelier Central mécanique\Plan entretien\GammeEntretien\\_.xlsm</v>
      </c>
    </row>
    <row r="679" spans="1:30" x14ac:dyDescent="0.3">
      <c r="A679" s="44" t="str">
        <f t="shared" ca="1" si="10"/>
        <v>7.MENG</v>
      </c>
      <c r="B67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79" s="47"/>
      <c r="D679" s="44"/>
      <c r="E679" s="44"/>
      <c r="F679" s="47"/>
      <c r="G679" s="47"/>
      <c r="H679" s="45"/>
      <c r="I679" s="45"/>
      <c r="J679" s="45"/>
      <c r="K679" s="45"/>
      <c r="L679" s="46"/>
      <c r="M679" s="47"/>
      <c r="N679" s="47"/>
      <c r="O679" s="47"/>
      <c r="P679" s="47"/>
      <c r="Q679" s="47"/>
      <c r="R679" s="47"/>
      <c r="S679" s="48"/>
      <c r="T679" s="68" t="str">
        <f>IF(Tableau1[[#This Row],[DMS_SAP]]="","",HYPERLINK(Tableau1[[#This Row],[Chemin fichier source]],"X"))</f>
        <v/>
      </c>
      <c r="U679" s="68" t="str">
        <f>IF(Tableau1[[#This Row],[Date rév.]]="","",HYPERLINK(Tableau1[[#This Row],[Lien document]],"X"))</f>
        <v/>
      </c>
      <c r="V679" s="47"/>
      <c r="W67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79" s="47"/>
      <c r="Y679" s="47"/>
      <c r="Z679" s="44" t="str">
        <f ca="1">IF(AND(Tableau1[[#This Row],[Charge]]&lt;&gt;0, Tableau1[[#This Row],[Nombre intervenants]]&lt;&gt;0,Tableau1[[#This Row],[Lien document]]&lt;&gt;0,Tableau1[[#This Row],[DMS_SAP]]&lt;&gt;0)=TRUE,"MIS A JOUR","")</f>
        <v/>
      </c>
      <c r="AA679" s="48"/>
      <c r="AB679" s="65" t="str">
        <f ca="1">IF(Tableau1[[#This Row],[Date rév.]]&lt;&gt;"", DAYS360(Tableau1[[#This Row],[Date rév.]],TODAY()),"")</f>
        <v/>
      </c>
      <c r="AC679" s="50" t="str">
        <f>IFERROR(INDEX(Chemin_accès!$B$11:$C$22,MATCH(Tableau1[[#This Row],[Type]],Chemin_accès!$C$11:$C$22,0),1),Chemin_accès!$B$11)</f>
        <v>\\stjn.local\trimet\Btechnique\Commun\Atelier Central mécanique\Plan entretien\Modèles préventif\GammeDMS_7.MENG.xlsm</v>
      </c>
      <c r="AD679" s="50" t="str">
        <f>Chemin_accès!$B$8&amp;Tableau1[[#This Row],[Localisation / Classement]]&amp;"\"&amp;Tableau1[[#This Row],[Poste technique ou N° d''équipement]]&amp;"_"&amp;Tableau1[[#This Row],[Plan Entretien]]&amp;".xlsm"</f>
        <v>\\stjn.local\trimet\Btechnique\Commun\Atelier Central mécanique\Plan entretien\GammeEntretien\\_.xlsm</v>
      </c>
    </row>
    <row r="680" spans="1:30" x14ac:dyDescent="0.3">
      <c r="A680" s="44" t="str">
        <f t="shared" ca="1" si="10"/>
        <v>7.MENG</v>
      </c>
      <c r="B68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80" s="47"/>
      <c r="D680" s="44"/>
      <c r="E680" s="44"/>
      <c r="F680" s="47"/>
      <c r="G680" s="47"/>
      <c r="H680" s="45"/>
      <c r="I680" s="45"/>
      <c r="J680" s="45"/>
      <c r="K680" s="45"/>
      <c r="L680" s="46"/>
      <c r="M680" s="47"/>
      <c r="N680" s="47"/>
      <c r="O680" s="47"/>
      <c r="P680" s="47"/>
      <c r="Q680" s="47"/>
      <c r="R680" s="47"/>
      <c r="S680" s="48"/>
      <c r="T680" s="68" t="str">
        <f>IF(Tableau1[[#This Row],[DMS_SAP]]="","",HYPERLINK(Tableau1[[#This Row],[Chemin fichier source]],"X"))</f>
        <v/>
      </c>
      <c r="U680" s="68" t="str">
        <f>IF(Tableau1[[#This Row],[Date rév.]]="","",HYPERLINK(Tableau1[[#This Row],[Lien document]],"X"))</f>
        <v/>
      </c>
      <c r="V680" s="47"/>
      <c r="W68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80" s="47"/>
      <c r="Y680" s="47"/>
      <c r="Z680" s="44" t="str">
        <f ca="1">IF(AND(Tableau1[[#This Row],[Charge]]&lt;&gt;0, Tableau1[[#This Row],[Nombre intervenants]]&lt;&gt;0,Tableau1[[#This Row],[Lien document]]&lt;&gt;0,Tableau1[[#This Row],[DMS_SAP]]&lt;&gt;0)=TRUE,"MIS A JOUR","")</f>
        <v/>
      </c>
      <c r="AA680" s="48"/>
      <c r="AB680" s="65" t="str">
        <f ca="1">IF(Tableau1[[#This Row],[Date rév.]]&lt;&gt;"", DAYS360(Tableau1[[#This Row],[Date rév.]],TODAY()),"")</f>
        <v/>
      </c>
      <c r="AC680" s="50" t="str">
        <f>IFERROR(INDEX(Chemin_accès!$B$11:$C$22,MATCH(Tableau1[[#This Row],[Type]],Chemin_accès!$C$11:$C$22,0),1),Chemin_accès!$B$11)</f>
        <v>\\stjn.local\trimet\Btechnique\Commun\Atelier Central mécanique\Plan entretien\Modèles préventif\GammeDMS_7.MENG.xlsm</v>
      </c>
      <c r="AD680" s="50" t="str">
        <f>Chemin_accès!$B$8&amp;Tableau1[[#This Row],[Localisation / Classement]]&amp;"\"&amp;Tableau1[[#This Row],[Poste technique ou N° d''équipement]]&amp;"_"&amp;Tableau1[[#This Row],[Plan Entretien]]&amp;".xlsm"</f>
        <v>\\stjn.local\trimet\Btechnique\Commun\Atelier Central mécanique\Plan entretien\GammeEntretien\\_.xlsm</v>
      </c>
    </row>
    <row r="681" spans="1:30" x14ac:dyDescent="0.3">
      <c r="A681" s="44" t="str">
        <f t="shared" ca="1" si="10"/>
        <v>7.MENG</v>
      </c>
      <c r="B68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81" s="47"/>
      <c r="D681" s="44"/>
      <c r="E681" s="44"/>
      <c r="F681" s="47"/>
      <c r="G681" s="47"/>
      <c r="H681" s="45"/>
      <c r="I681" s="45"/>
      <c r="J681" s="45"/>
      <c r="K681" s="45"/>
      <c r="L681" s="46"/>
      <c r="M681" s="47"/>
      <c r="N681" s="47"/>
      <c r="O681" s="47"/>
      <c r="P681" s="47"/>
      <c r="Q681" s="47"/>
      <c r="R681" s="47"/>
      <c r="S681" s="48"/>
      <c r="T681" s="68" t="str">
        <f>IF(Tableau1[[#This Row],[DMS_SAP]]="","",HYPERLINK(Tableau1[[#This Row],[Chemin fichier source]],"X"))</f>
        <v/>
      </c>
      <c r="U681" s="68" t="str">
        <f>IF(Tableau1[[#This Row],[Date rév.]]="","",HYPERLINK(Tableau1[[#This Row],[Lien document]],"X"))</f>
        <v/>
      </c>
      <c r="V681" s="47"/>
      <c r="W68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81" s="47"/>
      <c r="Y681" s="47"/>
      <c r="Z681" s="44" t="str">
        <f ca="1">IF(AND(Tableau1[[#This Row],[Charge]]&lt;&gt;0, Tableau1[[#This Row],[Nombre intervenants]]&lt;&gt;0,Tableau1[[#This Row],[Lien document]]&lt;&gt;0,Tableau1[[#This Row],[DMS_SAP]]&lt;&gt;0)=TRUE,"MIS A JOUR","")</f>
        <v/>
      </c>
      <c r="AA681" s="48"/>
      <c r="AB681" s="65" t="str">
        <f ca="1">IF(Tableau1[[#This Row],[Date rév.]]&lt;&gt;"", DAYS360(Tableau1[[#This Row],[Date rév.]],TODAY()),"")</f>
        <v/>
      </c>
      <c r="AC681" s="50" t="str">
        <f>IFERROR(INDEX(Chemin_accès!$B$11:$C$22,MATCH(Tableau1[[#This Row],[Type]],Chemin_accès!$C$11:$C$22,0),1),Chemin_accès!$B$11)</f>
        <v>\\stjn.local\trimet\Btechnique\Commun\Atelier Central mécanique\Plan entretien\Modèles préventif\GammeDMS_7.MENG.xlsm</v>
      </c>
      <c r="AD681" s="50" t="str">
        <f>Chemin_accès!$B$8&amp;Tableau1[[#This Row],[Localisation / Classement]]&amp;"\"&amp;Tableau1[[#This Row],[Poste technique ou N° d''équipement]]&amp;"_"&amp;Tableau1[[#This Row],[Plan Entretien]]&amp;".xlsm"</f>
        <v>\\stjn.local\trimet\Btechnique\Commun\Atelier Central mécanique\Plan entretien\GammeEntretien\\_.xlsm</v>
      </c>
    </row>
    <row r="682" spans="1:30" x14ac:dyDescent="0.3">
      <c r="A682" s="44" t="str">
        <f t="shared" ca="1" si="10"/>
        <v>7.MENG</v>
      </c>
      <c r="B68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82" s="47"/>
      <c r="D682" s="44"/>
      <c r="E682" s="44"/>
      <c r="F682" s="47"/>
      <c r="G682" s="47"/>
      <c r="H682" s="45"/>
      <c r="I682" s="45"/>
      <c r="J682" s="45"/>
      <c r="K682" s="45"/>
      <c r="L682" s="46"/>
      <c r="M682" s="47"/>
      <c r="N682" s="47"/>
      <c r="O682" s="47"/>
      <c r="P682" s="47"/>
      <c r="Q682" s="47"/>
      <c r="R682" s="47"/>
      <c r="S682" s="48"/>
      <c r="T682" s="68" t="str">
        <f>IF(Tableau1[[#This Row],[DMS_SAP]]="","",HYPERLINK(Tableau1[[#This Row],[Chemin fichier source]],"X"))</f>
        <v/>
      </c>
      <c r="U682" s="68" t="str">
        <f>IF(Tableau1[[#This Row],[Date rév.]]="","",HYPERLINK(Tableau1[[#This Row],[Lien document]],"X"))</f>
        <v/>
      </c>
      <c r="V682" s="47"/>
      <c r="W68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82" s="47"/>
      <c r="Y682" s="47"/>
      <c r="Z682" s="44" t="str">
        <f ca="1">IF(AND(Tableau1[[#This Row],[Charge]]&lt;&gt;0, Tableau1[[#This Row],[Nombre intervenants]]&lt;&gt;0,Tableau1[[#This Row],[Lien document]]&lt;&gt;0,Tableau1[[#This Row],[DMS_SAP]]&lt;&gt;0)=TRUE,"MIS A JOUR","")</f>
        <v/>
      </c>
      <c r="AA682" s="48"/>
      <c r="AB682" s="65" t="str">
        <f ca="1">IF(Tableau1[[#This Row],[Date rév.]]&lt;&gt;"", DAYS360(Tableau1[[#This Row],[Date rév.]],TODAY()),"")</f>
        <v/>
      </c>
      <c r="AC682" s="50" t="str">
        <f>IFERROR(INDEX(Chemin_accès!$B$11:$C$22,MATCH(Tableau1[[#This Row],[Type]],Chemin_accès!$C$11:$C$22,0),1),Chemin_accès!$B$11)</f>
        <v>\\stjn.local\trimet\Btechnique\Commun\Atelier Central mécanique\Plan entretien\Modèles préventif\GammeDMS_7.MENG.xlsm</v>
      </c>
      <c r="AD682" s="50" t="str">
        <f>Chemin_accès!$B$8&amp;Tableau1[[#This Row],[Localisation / Classement]]&amp;"\"&amp;Tableau1[[#This Row],[Poste technique ou N° d''équipement]]&amp;"_"&amp;Tableau1[[#This Row],[Plan Entretien]]&amp;".xlsm"</f>
        <v>\\stjn.local\trimet\Btechnique\Commun\Atelier Central mécanique\Plan entretien\GammeEntretien\\_.xlsm</v>
      </c>
    </row>
    <row r="683" spans="1:30" x14ac:dyDescent="0.3">
      <c r="A683" s="44" t="str">
        <f t="shared" ca="1" si="10"/>
        <v>7.MENG</v>
      </c>
      <c r="B68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83" s="47"/>
      <c r="D683" s="44"/>
      <c r="E683" s="44"/>
      <c r="F683" s="47"/>
      <c r="G683" s="47"/>
      <c r="H683" s="45"/>
      <c r="I683" s="45"/>
      <c r="J683" s="45"/>
      <c r="K683" s="45"/>
      <c r="L683" s="46"/>
      <c r="M683" s="47"/>
      <c r="N683" s="47"/>
      <c r="O683" s="47"/>
      <c r="P683" s="47"/>
      <c r="Q683" s="47"/>
      <c r="R683" s="47"/>
      <c r="S683" s="48"/>
      <c r="T683" s="68" t="str">
        <f>IF(Tableau1[[#This Row],[DMS_SAP]]="","",HYPERLINK(Tableau1[[#This Row],[Chemin fichier source]],"X"))</f>
        <v/>
      </c>
      <c r="U683" s="68" t="str">
        <f>IF(Tableau1[[#This Row],[Date rév.]]="","",HYPERLINK(Tableau1[[#This Row],[Lien document]],"X"))</f>
        <v/>
      </c>
      <c r="V683" s="47"/>
      <c r="W68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83" s="47"/>
      <c r="Y683" s="47"/>
      <c r="Z683" s="44" t="str">
        <f ca="1">IF(AND(Tableau1[[#This Row],[Charge]]&lt;&gt;0, Tableau1[[#This Row],[Nombre intervenants]]&lt;&gt;0,Tableau1[[#This Row],[Lien document]]&lt;&gt;0,Tableau1[[#This Row],[DMS_SAP]]&lt;&gt;0)=TRUE,"MIS A JOUR","")</f>
        <v/>
      </c>
      <c r="AA683" s="48"/>
      <c r="AB683" s="65" t="str">
        <f ca="1">IF(Tableau1[[#This Row],[Date rév.]]&lt;&gt;"", DAYS360(Tableau1[[#This Row],[Date rév.]],TODAY()),"")</f>
        <v/>
      </c>
      <c r="AC683" s="50" t="str">
        <f>IFERROR(INDEX(Chemin_accès!$B$11:$C$22,MATCH(Tableau1[[#This Row],[Type]],Chemin_accès!$C$11:$C$22,0),1),Chemin_accès!$B$11)</f>
        <v>\\stjn.local\trimet\Btechnique\Commun\Atelier Central mécanique\Plan entretien\Modèles préventif\GammeDMS_7.MENG.xlsm</v>
      </c>
      <c r="AD683" s="50" t="str">
        <f>Chemin_accès!$B$8&amp;Tableau1[[#This Row],[Localisation / Classement]]&amp;"\"&amp;Tableau1[[#This Row],[Poste technique ou N° d''équipement]]&amp;"_"&amp;Tableau1[[#This Row],[Plan Entretien]]&amp;".xlsm"</f>
        <v>\\stjn.local\trimet\Btechnique\Commun\Atelier Central mécanique\Plan entretien\GammeEntretien\\_.xlsm</v>
      </c>
    </row>
    <row r="684" spans="1:30" x14ac:dyDescent="0.3">
      <c r="A684" s="44" t="str">
        <f t="shared" ca="1" si="10"/>
        <v>7.MENG</v>
      </c>
      <c r="B68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84" s="47"/>
      <c r="D684" s="44"/>
      <c r="E684" s="44"/>
      <c r="F684" s="47"/>
      <c r="G684" s="47"/>
      <c r="H684" s="45"/>
      <c r="I684" s="45"/>
      <c r="J684" s="45"/>
      <c r="K684" s="45"/>
      <c r="L684" s="46"/>
      <c r="M684" s="47"/>
      <c r="N684" s="47"/>
      <c r="O684" s="47"/>
      <c r="P684" s="47"/>
      <c r="Q684" s="47"/>
      <c r="R684" s="47"/>
      <c r="S684" s="48"/>
      <c r="T684" s="68" t="str">
        <f>IF(Tableau1[[#This Row],[DMS_SAP]]="","",HYPERLINK(Tableau1[[#This Row],[Chemin fichier source]],"X"))</f>
        <v/>
      </c>
      <c r="U684" s="68" t="str">
        <f>IF(Tableau1[[#This Row],[Date rév.]]="","",HYPERLINK(Tableau1[[#This Row],[Lien document]],"X"))</f>
        <v/>
      </c>
      <c r="V684" s="47"/>
      <c r="W68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84" s="47"/>
      <c r="Y684" s="47"/>
      <c r="Z684" s="44" t="str">
        <f ca="1">IF(AND(Tableau1[[#This Row],[Charge]]&lt;&gt;0, Tableau1[[#This Row],[Nombre intervenants]]&lt;&gt;0,Tableau1[[#This Row],[Lien document]]&lt;&gt;0,Tableau1[[#This Row],[DMS_SAP]]&lt;&gt;0)=TRUE,"MIS A JOUR","")</f>
        <v/>
      </c>
      <c r="AA684" s="48"/>
      <c r="AB684" s="65" t="str">
        <f ca="1">IF(Tableau1[[#This Row],[Date rév.]]&lt;&gt;"", DAYS360(Tableau1[[#This Row],[Date rév.]],TODAY()),"")</f>
        <v/>
      </c>
      <c r="AC684" s="50" t="str">
        <f>IFERROR(INDEX(Chemin_accès!$B$11:$C$22,MATCH(Tableau1[[#This Row],[Type]],Chemin_accès!$C$11:$C$22,0),1),Chemin_accès!$B$11)</f>
        <v>\\stjn.local\trimet\Btechnique\Commun\Atelier Central mécanique\Plan entretien\Modèles préventif\GammeDMS_7.MENG.xlsm</v>
      </c>
      <c r="AD684" s="50" t="str">
        <f>Chemin_accès!$B$8&amp;Tableau1[[#This Row],[Localisation / Classement]]&amp;"\"&amp;Tableau1[[#This Row],[Poste technique ou N° d''équipement]]&amp;"_"&amp;Tableau1[[#This Row],[Plan Entretien]]&amp;".xlsm"</f>
        <v>\\stjn.local\trimet\Btechnique\Commun\Atelier Central mécanique\Plan entretien\GammeEntretien\\_.xlsm</v>
      </c>
    </row>
    <row r="685" spans="1:30" x14ac:dyDescent="0.3">
      <c r="A685" s="44" t="str">
        <f t="shared" ca="1" si="10"/>
        <v>7.MENG</v>
      </c>
      <c r="B68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85" s="47"/>
      <c r="D685" s="44"/>
      <c r="E685" s="44"/>
      <c r="F685" s="47"/>
      <c r="G685" s="47"/>
      <c r="H685" s="45"/>
      <c r="I685" s="45"/>
      <c r="J685" s="45"/>
      <c r="K685" s="45"/>
      <c r="L685" s="46"/>
      <c r="M685" s="47"/>
      <c r="N685" s="47"/>
      <c r="O685" s="47"/>
      <c r="P685" s="47"/>
      <c r="Q685" s="47"/>
      <c r="R685" s="47"/>
      <c r="S685" s="48"/>
      <c r="T685" s="68" t="str">
        <f>IF(Tableau1[[#This Row],[DMS_SAP]]="","",HYPERLINK(Tableau1[[#This Row],[Chemin fichier source]],"X"))</f>
        <v/>
      </c>
      <c r="U685" s="68" t="str">
        <f>IF(Tableau1[[#This Row],[Date rév.]]="","",HYPERLINK(Tableau1[[#This Row],[Lien document]],"X"))</f>
        <v/>
      </c>
      <c r="V685" s="47"/>
      <c r="W68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85" s="47"/>
      <c r="Y685" s="47"/>
      <c r="Z685" s="44" t="str">
        <f ca="1">IF(AND(Tableau1[[#This Row],[Charge]]&lt;&gt;0, Tableau1[[#This Row],[Nombre intervenants]]&lt;&gt;0,Tableau1[[#This Row],[Lien document]]&lt;&gt;0,Tableau1[[#This Row],[DMS_SAP]]&lt;&gt;0)=TRUE,"MIS A JOUR","")</f>
        <v/>
      </c>
      <c r="AA685" s="48"/>
      <c r="AB685" s="65" t="str">
        <f ca="1">IF(Tableau1[[#This Row],[Date rév.]]&lt;&gt;"", DAYS360(Tableau1[[#This Row],[Date rév.]],TODAY()),"")</f>
        <v/>
      </c>
      <c r="AC685" s="50" t="str">
        <f>IFERROR(INDEX(Chemin_accès!$B$11:$C$22,MATCH(Tableau1[[#This Row],[Type]],Chemin_accès!$C$11:$C$22,0),1),Chemin_accès!$B$11)</f>
        <v>\\stjn.local\trimet\Btechnique\Commun\Atelier Central mécanique\Plan entretien\Modèles préventif\GammeDMS_7.MENG.xlsm</v>
      </c>
      <c r="AD685" s="50" t="str">
        <f>Chemin_accès!$B$8&amp;Tableau1[[#This Row],[Localisation / Classement]]&amp;"\"&amp;Tableau1[[#This Row],[Poste technique ou N° d''équipement]]&amp;"_"&amp;Tableau1[[#This Row],[Plan Entretien]]&amp;".xlsm"</f>
        <v>\\stjn.local\trimet\Btechnique\Commun\Atelier Central mécanique\Plan entretien\GammeEntretien\\_.xlsm</v>
      </c>
    </row>
    <row r="686" spans="1:30" x14ac:dyDescent="0.3">
      <c r="A686" s="44" t="str">
        <f t="shared" ca="1" si="10"/>
        <v>7.MENG</v>
      </c>
      <c r="B68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86" s="47"/>
      <c r="D686" s="44"/>
      <c r="E686" s="44"/>
      <c r="F686" s="47"/>
      <c r="G686" s="47"/>
      <c r="H686" s="45"/>
      <c r="I686" s="45"/>
      <c r="J686" s="45"/>
      <c r="K686" s="45"/>
      <c r="L686" s="46"/>
      <c r="M686" s="47"/>
      <c r="N686" s="47"/>
      <c r="O686" s="47"/>
      <c r="P686" s="47"/>
      <c r="Q686" s="47"/>
      <c r="R686" s="47"/>
      <c r="S686" s="48"/>
      <c r="T686" s="68" t="str">
        <f>IF(Tableau1[[#This Row],[DMS_SAP]]="","",HYPERLINK(Tableau1[[#This Row],[Chemin fichier source]],"X"))</f>
        <v/>
      </c>
      <c r="U686" s="68" t="str">
        <f>IF(Tableau1[[#This Row],[Date rév.]]="","",HYPERLINK(Tableau1[[#This Row],[Lien document]],"X"))</f>
        <v/>
      </c>
      <c r="V686" s="47"/>
      <c r="W68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86" s="47"/>
      <c r="Y686" s="47"/>
      <c r="Z686" s="44" t="str">
        <f ca="1">IF(AND(Tableau1[[#This Row],[Charge]]&lt;&gt;0, Tableau1[[#This Row],[Nombre intervenants]]&lt;&gt;0,Tableau1[[#This Row],[Lien document]]&lt;&gt;0,Tableau1[[#This Row],[DMS_SAP]]&lt;&gt;0)=TRUE,"MIS A JOUR","")</f>
        <v/>
      </c>
      <c r="AA686" s="48"/>
      <c r="AB686" s="65" t="str">
        <f ca="1">IF(Tableau1[[#This Row],[Date rév.]]&lt;&gt;"", DAYS360(Tableau1[[#This Row],[Date rév.]],TODAY()),"")</f>
        <v/>
      </c>
      <c r="AC686" s="50" t="str">
        <f>IFERROR(INDEX(Chemin_accès!$B$11:$C$22,MATCH(Tableau1[[#This Row],[Type]],Chemin_accès!$C$11:$C$22,0),1),Chemin_accès!$B$11)</f>
        <v>\\stjn.local\trimet\Btechnique\Commun\Atelier Central mécanique\Plan entretien\Modèles préventif\GammeDMS_7.MENG.xlsm</v>
      </c>
      <c r="AD686" s="50" t="str">
        <f>Chemin_accès!$B$8&amp;Tableau1[[#This Row],[Localisation / Classement]]&amp;"\"&amp;Tableau1[[#This Row],[Poste technique ou N° d''équipement]]&amp;"_"&amp;Tableau1[[#This Row],[Plan Entretien]]&amp;".xlsm"</f>
        <v>\\stjn.local\trimet\Btechnique\Commun\Atelier Central mécanique\Plan entretien\GammeEntretien\\_.xlsm</v>
      </c>
    </row>
    <row r="687" spans="1:30" x14ac:dyDescent="0.3">
      <c r="A687" s="44" t="str">
        <f t="shared" ca="1" si="10"/>
        <v>7.MENG</v>
      </c>
      <c r="B68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87" s="47"/>
      <c r="D687" s="44"/>
      <c r="E687" s="44"/>
      <c r="F687" s="47"/>
      <c r="G687" s="47"/>
      <c r="H687" s="45"/>
      <c r="I687" s="45"/>
      <c r="J687" s="45"/>
      <c r="K687" s="45"/>
      <c r="L687" s="46"/>
      <c r="M687" s="47"/>
      <c r="N687" s="47"/>
      <c r="O687" s="47"/>
      <c r="P687" s="47"/>
      <c r="Q687" s="47"/>
      <c r="R687" s="47"/>
      <c r="S687" s="48"/>
      <c r="T687" s="68" t="str">
        <f>IF(Tableau1[[#This Row],[DMS_SAP]]="","",HYPERLINK(Tableau1[[#This Row],[Chemin fichier source]],"X"))</f>
        <v/>
      </c>
      <c r="U687" s="68" t="str">
        <f>IF(Tableau1[[#This Row],[Date rév.]]="","",HYPERLINK(Tableau1[[#This Row],[Lien document]],"X"))</f>
        <v/>
      </c>
      <c r="V687" s="47"/>
      <c r="W68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87" s="47"/>
      <c r="Y687" s="47"/>
      <c r="Z687" s="44" t="str">
        <f ca="1">IF(AND(Tableau1[[#This Row],[Charge]]&lt;&gt;0, Tableau1[[#This Row],[Nombre intervenants]]&lt;&gt;0,Tableau1[[#This Row],[Lien document]]&lt;&gt;0,Tableau1[[#This Row],[DMS_SAP]]&lt;&gt;0)=TRUE,"MIS A JOUR","")</f>
        <v/>
      </c>
      <c r="AA687" s="48"/>
      <c r="AB687" s="65" t="str">
        <f ca="1">IF(Tableau1[[#This Row],[Date rév.]]&lt;&gt;"", DAYS360(Tableau1[[#This Row],[Date rév.]],TODAY()),"")</f>
        <v/>
      </c>
      <c r="AC687" s="50" t="str">
        <f>IFERROR(INDEX(Chemin_accès!$B$11:$C$22,MATCH(Tableau1[[#This Row],[Type]],Chemin_accès!$C$11:$C$22,0),1),Chemin_accès!$B$11)</f>
        <v>\\stjn.local\trimet\Btechnique\Commun\Atelier Central mécanique\Plan entretien\Modèles préventif\GammeDMS_7.MENG.xlsm</v>
      </c>
      <c r="AD687" s="50" t="str">
        <f>Chemin_accès!$B$8&amp;Tableau1[[#This Row],[Localisation / Classement]]&amp;"\"&amp;Tableau1[[#This Row],[Poste technique ou N° d''équipement]]&amp;"_"&amp;Tableau1[[#This Row],[Plan Entretien]]&amp;".xlsm"</f>
        <v>\\stjn.local\trimet\Btechnique\Commun\Atelier Central mécanique\Plan entretien\GammeEntretien\\_.xlsm</v>
      </c>
    </row>
    <row r="688" spans="1:30" x14ac:dyDescent="0.3">
      <c r="A688" s="44" t="str">
        <f t="shared" ca="1" si="10"/>
        <v>7.MENG</v>
      </c>
      <c r="B68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88" s="47"/>
      <c r="D688" s="44"/>
      <c r="E688" s="44"/>
      <c r="F688" s="47"/>
      <c r="G688" s="47"/>
      <c r="H688" s="45"/>
      <c r="I688" s="45"/>
      <c r="J688" s="45"/>
      <c r="K688" s="45"/>
      <c r="L688" s="46"/>
      <c r="M688" s="47"/>
      <c r="N688" s="47"/>
      <c r="O688" s="47"/>
      <c r="P688" s="47"/>
      <c r="Q688" s="47"/>
      <c r="R688" s="47"/>
      <c r="S688" s="48"/>
      <c r="T688" s="68" t="str">
        <f>IF(Tableau1[[#This Row],[DMS_SAP]]="","",HYPERLINK(Tableau1[[#This Row],[Chemin fichier source]],"X"))</f>
        <v/>
      </c>
      <c r="U688" s="68" t="str">
        <f>IF(Tableau1[[#This Row],[Date rév.]]="","",HYPERLINK(Tableau1[[#This Row],[Lien document]],"X"))</f>
        <v/>
      </c>
      <c r="V688" s="47"/>
      <c r="W68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88" s="47"/>
      <c r="Y688" s="47"/>
      <c r="Z688" s="44" t="str">
        <f ca="1">IF(AND(Tableau1[[#This Row],[Charge]]&lt;&gt;0, Tableau1[[#This Row],[Nombre intervenants]]&lt;&gt;0,Tableau1[[#This Row],[Lien document]]&lt;&gt;0,Tableau1[[#This Row],[DMS_SAP]]&lt;&gt;0)=TRUE,"MIS A JOUR","")</f>
        <v/>
      </c>
      <c r="AA688" s="48"/>
      <c r="AB688" s="65" t="str">
        <f ca="1">IF(Tableau1[[#This Row],[Date rév.]]&lt;&gt;"", DAYS360(Tableau1[[#This Row],[Date rév.]],TODAY()),"")</f>
        <v/>
      </c>
      <c r="AC688" s="50" t="str">
        <f>IFERROR(INDEX(Chemin_accès!$B$11:$C$22,MATCH(Tableau1[[#This Row],[Type]],Chemin_accès!$C$11:$C$22,0),1),Chemin_accès!$B$11)</f>
        <v>\\stjn.local\trimet\Btechnique\Commun\Atelier Central mécanique\Plan entretien\Modèles préventif\GammeDMS_7.MENG.xlsm</v>
      </c>
      <c r="AD688" s="50" t="str">
        <f>Chemin_accès!$B$8&amp;Tableau1[[#This Row],[Localisation / Classement]]&amp;"\"&amp;Tableau1[[#This Row],[Poste technique ou N° d''équipement]]&amp;"_"&amp;Tableau1[[#This Row],[Plan Entretien]]&amp;".xlsm"</f>
        <v>\\stjn.local\trimet\Btechnique\Commun\Atelier Central mécanique\Plan entretien\GammeEntretien\\_.xlsm</v>
      </c>
    </row>
    <row r="689" spans="1:30" x14ac:dyDescent="0.3">
      <c r="A689" s="44" t="str">
        <f t="shared" ca="1" si="10"/>
        <v>7.MENG</v>
      </c>
      <c r="B68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89" s="47"/>
      <c r="D689" s="44"/>
      <c r="E689" s="44"/>
      <c r="F689" s="47"/>
      <c r="G689" s="47"/>
      <c r="H689" s="45"/>
      <c r="I689" s="45"/>
      <c r="J689" s="45"/>
      <c r="K689" s="45"/>
      <c r="L689" s="46"/>
      <c r="M689" s="47"/>
      <c r="N689" s="47"/>
      <c r="O689" s="47"/>
      <c r="P689" s="47"/>
      <c r="Q689" s="47"/>
      <c r="R689" s="47"/>
      <c r="S689" s="48"/>
      <c r="T689" s="68" t="str">
        <f>IF(Tableau1[[#This Row],[DMS_SAP]]="","",HYPERLINK(Tableau1[[#This Row],[Chemin fichier source]],"X"))</f>
        <v/>
      </c>
      <c r="U689" s="68" t="str">
        <f>IF(Tableau1[[#This Row],[Date rév.]]="","",HYPERLINK(Tableau1[[#This Row],[Lien document]],"X"))</f>
        <v/>
      </c>
      <c r="V689" s="47"/>
      <c r="W68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89" s="47"/>
      <c r="Y689" s="47"/>
      <c r="Z689" s="44" t="str">
        <f ca="1">IF(AND(Tableau1[[#This Row],[Charge]]&lt;&gt;0, Tableau1[[#This Row],[Nombre intervenants]]&lt;&gt;0,Tableau1[[#This Row],[Lien document]]&lt;&gt;0,Tableau1[[#This Row],[DMS_SAP]]&lt;&gt;0)=TRUE,"MIS A JOUR","")</f>
        <v/>
      </c>
      <c r="AA689" s="48"/>
      <c r="AB689" s="65" t="str">
        <f ca="1">IF(Tableau1[[#This Row],[Date rév.]]&lt;&gt;"", DAYS360(Tableau1[[#This Row],[Date rév.]],TODAY()),"")</f>
        <v/>
      </c>
      <c r="AC689" s="50" t="str">
        <f>IFERROR(INDEX(Chemin_accès!$B$11:$C$22,MATCH(Tableau1[[#This Row],[Type]],Chemin_accès!$C$11:$C$22,0),1),Chemin_accès!$B$11)</f>
        <v>\\stjn.local\trimet\Btechnique\Commun\Atelier Central mécanique\Plan entretien\Modèles préventif\GammeDMS_7.MENG.xlsm</v>
      </c>
      <c r="AD689" s="50" t="str">
        <f>Chemin_accès!$B$8&amp;Tableau1[[#This Row],[Localisation / Classement]]&amp;"\"&amp;Tableau1[[#This Row],[Poste technique ou N° d''équipement]]&amp;"_"&amp;Tableau1[[#This Row],[Plan Entretien]]&amp;".xlsm"</f>
        <v>\\stjn.local\trimet\Btechnique\Commun\Atelier Central mécanique\Plan entretien\GammeEntretien\\_.xlsm</v>
      </c>
    </row>
    <row r="690" spans="1:30" x14ac:dyDescent="0.3">
      <c r="A690" s="44" t="str">
        <f t="shared" ca="1" si="10"/>
        <v>7.MENG</v>
      </c>
      <c r="B69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90" s="47"/>
      <c r="D690" s="44"/>
      <c r="E690" s="44"/>
      <c r="F690" s="47"/>
      <c r="G690" s="47"/>
      <c r="H690" s="45"/>
      <c r="I690" s="45"/>
      <c r="J690" s="45"/>
      <c r="K690" s="45"/>
      <c r="L690" s="46"/>
      <c r="M690" s="47"/>
      <c r="N690" s="47"/>
      <c r="O690" s="47"/>
      <c r="P690" s="47"/>
      <c r="Q690" s="47"/>
      <c r="R690" s="47"/>
      <c r="S690" s="48"/>
      <c r="T690" s="68" t="str">
        <f>IF(Tableau1[[#This Row],[DMS_SAP]]="","",HYPERLINK(Tableau1[[#This Row],[Chemin fichier source]],"X"))</f>
        <v/>
      </c>
      <c r="U690" s="68" t="str">
        <f>IF(Tableau1[[#This Row],[Date rév.]]="","",HYPERLINK(Tableau1[[#This Row],[Lien document]],"X"))</f>
        <v/>
      </c>
      <c r="V690" s="47"/>
      <c r="W69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90" s="47"/>
      <c r="Y690" s="47"/>
      <c r="Z690" s="44" t="str">
        <f ca="1">IF(AND(Tableau1[[#This Row],[Charge]]&lt;&gt;0, Tableau1[[#This Row],[Nombre intervenants]]&lt;&gt;0,Tableau1[[#This Row],[Lien document]]&lt;&gt;0,Tableau1[[#This Row],[DMS_SAP]]&lt;&gt;0)=TRUE,"MIS A JOUR","")</f>
        <v/>
      </c>
      <c r="AA690" s="48"/>
      <c r="AB690" s="65" t="str">
        <f ca="1">IF(Tableau1[[#This Row],[Date rév.]]&lt;&gt;"", DAYS360(Tableau1[[#This Row],[Date rév.]],TODAY()),"")</f>
        <v/>
      </c>
      <c r="AC690" s="50" t="str">
        <f>IFERROR(INDEX(Chemin_accès!$B$11:$C$22,MATCH(Tableau1[[#This Row],[Type]],Chemin_accès!$C$11:$C$22,0),1),Chemin_accès!$B$11)</f>
        <v>\\stjn.local\trimet\Btechnique\Commun\Atelier Central mécanique\Plan entretien\Modèles préventif\GammeDMS_7.MENG.xlsm</v>
      </c>
      <c r="AD690" s="50" t="str">
        <f>Chemin_accès!$B$8&amp;Tableau1[[#This Row],[Localisation / Classement]]&amp;"\"&amp;Tableau1[[#This Row],[Poste technique ou N° d''équipement]]&amp;"_"&amp;Tableau1[[#This Row],[Plan Entretien]]&amp;".xlsm"</f>
        <v>\\stjn.local\trimet\Btechnique\Commun\Atelier Central mécanique\Plan entretien\GammeEntretien\\_.xlsm</v>
      </c>
    </row>
    <row r="691" spans="1:30" x14ac:dyDescent="0.3">
      <c r="A691" s="44" t="str">
        <f t="shared" ca="1" si="10"/>
        <v>7.MENG</v>
      </c>
      <c r="B69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91" s="47"/>
      <c r="D691" s="44"/>
      <c r="E691" s="44"/>
      <c r="F691" s="47"/>
      <c r="G691" s="47"/>
      <c r="H691" s="45"/>
      <c r="I691" s="45"/>
      <c r="J691" s="45"/>
      <c r="K691" s="45"/>
      <c r="L691" s="46"/>
      <c r="M691" s="47"/>
      <c r="N691" s="47"/>
      <c r="O691" s="47"/>
      <c r="P691" s="47"/>
      <c r="Q691" s="47"/>
      <c r="R691" s="47"/>
      <c r="S691" s="48"/>
      <c r="T691" s="68" t="str">
        <f>IF(Tableau1[[#This Row],[DMS_SAP]]="","",HYPERLINK(Tableau1[[#This Row],[Chemin fichier source]],"X"))</f>
        <v/>
      </c>
      <c r="U691" s="68" t="str">
        <f>IF(Tableau1[[#This Row],[Date rév.]]="","",HYPERLINK(Tableau1[[#This Row],[Lien document]],"X"))</f>
        <v/>
      </c>
      <c r="V691" s="47"/>
      <c r="W69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91" s="47"/>
      <c r="Y691" s="47"/>
      <c r="Z691" s="44" t="str">
        <f ca="1">IF(AND(Tableau1[[#This Row],[Charge]]&lt;&gt;0, Tableau1[[#This Row],[Nombre intervenants]]&lt;&gt;0,Tableau1[[#This Row],[Lien document]]&lt;&gt;0,Tableau1[[#This Row],[DMS_SAP]]&lt;&gt;0)=TRUE,"MIS A JOUR","")</f>
        <v/>
      </c>
      <c r="AA691" s="48"/>
      <c r="AB691" s="65" t="str">
        <f ca="1">IF(Tableau1[[#This Row],[Date rév.]]&lt;&gt;"", DAYS360(Tableau1[[#This Row],[Date rév.]],TODAY()),"")</f>
        <v/>
      </c>
      <c r="AC691" s="50" t="str">
        <f>IFERROR(INDEX(Chemin_accès!$B$11:$C$22,MATCH(Tableau1[[#This Row],[Type]],Chemin_accès!$C$11:$C$22,0),1),Chemin_accès!$B$11)</f>
        <v>\\stjn.local\trimet\Btechnique\Commun\Atelier Central mécanique\Plan entretien\Modèles préventif\GammeDMS_7.MENG.xlsm</v>
      </c>
      <c r="AD691" s="50" t="str">
        <f>Chemin_accès!$B$8&amp;Tableau1[[#This Row],[Localisation / Classement]]&amp;"\"&amp;Tableau1[[#This Row],[Poste technique ou N° d''équipement]]&amp;"_"&amp;Tableau1[[#This Row],[Plan Entretien]]&amp;".xlsm"</f>
        <v>\\stjn.local\trimet\Btechnique\Commun\Atelier Central mécanique\Plan entretien\GammeEntretien\\_.xlsm</v>
      </c>
    </row>
    <row r="692" spans="1:30" x14ac:dyDescent="0.3">
      <c r="A692" s="44" t="str">
        <f t="shared" ca="1" si="10"/>
        <v>7.MENG</v>
      </c>
      <c r="B69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92" s="47"/>
      <c r="D692" s="44"/>
      <c r="E692" s="44"/>
      <c r="F692" s="47"/>
      <c r="G692" s="47"/>
      <c r="H692" s="45"/>
      <c r="I692" s="45"/>
      <c r="J692" s="45"/>
      <c r="K692" s="45"/>
      <c r="L692" s="46"/>
      <c r="M692" s="47"/>
      <c r="N692" s="47"/>
      <c r="O692" s="47"/>
      <c r="P692" s="47"/>
      <c r="Q692" s="47"/>
      <c r="R692" s="47"/>
      <c r="S692" s="48"/>
      <c r="T692" s="68" t="str">
        <f>IF(Tableau1[[#This Row],[DMS_SAP]]="","",HYPERLINK(Tableau1[[#This Row],[Chemin fichier source]],"X"))</f>
        <v/>
      </c>
      <c r="U692" s="68" t="str">
        <f>IF(Tableau1[[#This Row],[Date rév.]]="","",HYPERLINK(Tableau1[[#This Row],[Lien document]],"X"))</f>
        <v/>
      </c>
      <c r="V692" s="47"/>
      <c r="W69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92" s="47"/>
      <c r="Y692" s="47"/>
      <c r="Z692" s="44" t="str">
        <f ca="1">IF(AND(Tableau1[[#This Row],[Charge]]&lt;&gt;0, Tableau1[[#This Row],[Nombre intervenants]]&lt;&gt;0,Tableau1[[#This Row],[Lien document]]&lt;&gt;0,Tableau1[[#This Row],[DMS_SAP]]&lt;&gt;0)=TRUE,"MIS A JOUR","")</f>
        <v/>
      </c>
      <c r="AA692" s="48"/>
      <c r="AB692" s="65" t="str">
        <f ca="1">IF(Tableau1[[#This Row],[Date rév.]]&lt;&gt;"", DAYS360(Tableau1[[#This Row],[Date rév.]],TODAY()),"")</f>
        <v/>
      </c>
      <c r="AC692" s="50" t="str">
        <f>IFERROR(INDEX(Chemin_accès!$B$11:$C$22,MATCH(Tableau1[[#This Row],[Type]],Chemin_accès!$C$11:$C$22,0),1),Chemin_accès!$B$11)</f>
        <v>\\stjn.local\trimet\Btechnique\Commun\Atelier Central mécanique\Plan entretien\Modèles préventif\GammeDMS_7.MENG.xlsm</v>
      </c>
      <c r="AD692" s="50" t="str">
        <f>Chemin_accès!$B$8&amp;Tableau1[[#This Row],[Localisation / Classement]]&amp;"\"&amp;Tableau1[[#This Row],[Poste technique ou N° d''équipement]]&amp;"_"&amp;Tableau1[[#This Row],[Plan Entretien]]&amp;".xlsm"</f>
        <v>\\stjn.local\trimet\Btechnique\Commun\Atelier Central mécanique\Plan entretien\GammeEntretien\\_.xlsm</v>
      </c>
    </row>
    <row r="693" spans="1:30" x14ac:dyDescent="0.3">
      <c r="A693" s="44" t="str">
        <f t="shared" ca="1" si="10"/>
        <v>7.MENG</v>
      </c>
      <c r="B69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93" s="47"/>
      <c r="D693" s="44"/>
      <c r="E693" s="44"/>
      <c r="F693" s="47"/>
      <c r="G693" s="47"/>
      <c r="H693" s="45"/>
      <c r="I693" s="45"/>
      <c r="J693" s="45"/>
      <c r="K693" s="45"/>
      <c r="L693" s="46"/>
      <c r="M693" s="47"/>
      <c r="N693" s="47"/>
      <c r="O693" s="47"/>
      <c r="P693" s="47"/>
      <c r="Q693" s="47"/>
      <c r="R693" s="47"/>
      <c r="S693" s="48"/>
      <c r="T693" s="68" t="str">
        <f>IF(Tableau1[[#This Row],[DMS_SAP]]="","",HYPERLINK(Tableau1[[#This Row],[Chemin fichier source]],"X"))</f>
        <v/>
      </c>
      <c r="U693" s="68" t="str">
        <f>IF(Tableau1[[#This Row],[Date rév.]]="","",HYPERLINK(Tableau1[[#This Row],[Lien document]],"X"))</f>
        <v/>
      </c>
      <c r="V693" s="47"/>
      <c r="W69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93" s="47"/>
      <c r="Y693" s="47"/>
      <c r="Z693" s="44" t="str">
        <f ca="1">IF(AND(Tableau1[[#This Row],[Charge]]&lt;&gt;0, Tableau1[[#This Row],[Nombre intervenants]]&lt;&gt;0,Tableau1[[#This Row],[Lien document]]&lt;&gt;0,Tableau1[[#This Row],[DMS_SAP]]&lt;&gt;0)=TRUE,"MIS A JOUR","")</f>
        <v/>
      </c>
      <c r="AA693" s="48"/>
      <c r="AB693" s="65" t="str">
        <f ca="1">IF(Tableau1[[#This Row],[Date rév.]]&lt;&gt;"", DAYS360(Tableau1[[#This Row],[Date rév.]],TODAY()),"")</f>
        <v/>
      </c>
      <c r="AC693" s="50" t="str">
        <f>IFERROR(INDEX(Chemin_accès!$B$11:$C$22,MATCH(Tableau1[[#This Row],[Type]],Chemin_accès!$C$11:$C$22,0),1),Chemin_accès!$B$11)</f>
        <v>\\stjn.local\trimet\Btechnique\Commun\Atelier Central mécanique\Plan entretien\Modèles préventif\GammeDMS_7.MENG.xlsm</v>
      </c>
      <c r="AD693" s="50" t="str">
        <f>Chemin_accès!$B$8&amp;Tableau1[[#This Row],[Localisation / Classement]]&amp;"\"&amp;Tableau1[[#This Row],[Poste technique ou N° d''équipement]]&amp;"_"&amp;Tableau1[[#This Row],[Plan Entretien]]&amp;".xlsm"</f>
        <v>\\stjn.local\trimet\Btechnique\Commun\Atelier Central mécanique\Plan entretien\GammeEntretien\\_.xlsm</v>
      </c>
    </row>
    <row r="694" spans="1:30" x14ac:dyDescent="0.3">
      <c r="A694" s="44" t="str">
        <f t="shared" ca="1" si="10"/>
        <v>7.MENG</v>
      </c>
      <c r="B69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94" s="47"/>
      <c r="D694" s="44"/>
      <c r="E694" s="44"/>
      <c r="F694" s="47"/>
      <c r="G694" s="47"/>
      <c r="H694" s="45"/>
      <c r="I694" s="45"/>
      <c r="J694" s="45"/>
      <c r="K694" s="45"/>
      <c r="L694" s="46"/>
      <c r="M694" s="47"/>
      <c r="N694" s="47"/>
      <c r="O694" s="47"/>
      <c r="P694" s="47"/>
      <c r="Q694" s="47"/>
      <c r="R694" s="47"/>
      <c r="S694" s="48"/>
      <c r="T694" s="68" t="str">
        <f>IF(Tableau1[[#This Row],[DMS_SAP]]="","",HYPERLINK(Tableau1[[#This Row],[Chemin fichier source]],"X"))</f>
        <v/>
      </c>
      <c r="U694" s="68" t="str">
        <f>IF(Tableau1[[#This Row],[Date rév.]]="","",HYPERLINK(Tableau1[[#This Row],[Lien document]],"X"))</f>
        <v/>
      </c>
      <c r="V694" s="47"/>
      <c r="W69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94" s="47"/>
      <c r="Y694" s="47"/>
      <c r="Z694" s="44" t="str">
        <f ca="1">IF(AND(Tableau1[[#This Row],[Charge]]&lt;&gt;0, Tableau1[[#This Row],[Nombre intervenants]]&lt;&gt;0,Tableau1[[#This Row],[Lien document]]&lt;&gt;0,Tableau1[[#This Row],[DMS_SAP]]&lt;&gt;0)=TRUE,"MIS A JOUR","")</f>
        <v/>
      </c>
      <c r="AA694" s="48"/>
      <c r="AB694" s="65" t="str">
        <f ca="1">IF(Tableau1[[#This Row],[Date rév.]]&lt;&gt;"", DAYS360(Tableau1[[#This Row],[Date rév.]],TODAY()),"")</f>
        <v/>
      </c>
      <c r="AC694" s="50" t="str">
        <f>IFERROR(INDEX(Chemin_accès!$B$11:$C$22,MATCH(Tableau1[[#This Row],[Type]],Chemin_accès!$C$11:$C$22,0),1),Chemin_accès!$B$11)</f>
        <v>\\stjn.local\trimet\Btechnique\Commun\Atelier Central mécanique\Plan entretien\Modèles préventif\GammeDMS_7.MENG.xlsm</v>
      </c>
      <c r="AD694" s="50" t="str">
        <f>Chemin_accès!$B$8&amp;Tableau1[[#This Row],[Localisation / Classement]]&amp;"\"&amp;Tableau1[[#This Row],[Poste technique ou N° d''équipement]]&amp;"_"&amp;Tableau1[[#This Row],[Plan Entretien]]&amp;".xlsm"</f>
        <v>\\stjn.local\trimet\Btechnique\Commun\Atelier Central mécanique\Plan entretien\GammeEntretien\\_.xlsm</v>
      </c>
    </row>
    <row r="695" spans="1:30" x14ac:dyDescent="0.3">
      <c r="A695" s="44" t="str">
        <f t="shared" ca="1" si="10"/>
        <v>7.MENG</v>
      </c>
      <c r="B69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95" s="47"/>
      <c r="D695" s="44"/>
      <c r="E695" s="44"/>
      <c r="F695" s="47"/>
      <c r="G695" s="47"/>
      <c r="H695" s="45"/>
      <c r="I695" s="45"/>
      <c r="J695" s="45"/>
      <c r="K695" s="45"/>
      <c r="L695" s="46"/>
      <c r="M695" s="47"/>
      <c r="N695" s="47"/>
      <c r="O695" s="47"/>
      <c r="P695" s="47"/>
      <c r="Q695" s="47"/>
      <c r="R695" s="47"/>
      <c r="S695" s="48"/>
      <c r="T695" s="68" t="str">
        <f>IF(Tableau1[[#This Row],[DMS_SAP]]="","",HYPERLINK(Tableau1[[#This Row],[Chemin fichier source]],"X"))</f>
        <v/>
      </c>
      <c r="U695" s="68" t="str">
        <f>IF(Tableau1[[#This Row],[Date rév.]]="","",HYPERLINK(Tableau1[[#This Row],[Lien document]],"X"))</f>
        <v/>
      </c>
      <c r="V695" s="47"/>
      <c r="W69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95" s="47"/>
      <c r="Y695" s="47"/>
      <c r="Z695" s="44" t="str">
        <f ca="1">IF(AND(Tableau1[[#This Row],[Charge]]&lt;&gt;0, Tableau1[[#This Row],[Nombre intervenants]]&lt;&gt;0,Tableau1[[#This Row],[Lien document]]&lt;&gt;0,Tableau1[[#This Row],[DMS_SAP]]&lt;&gt;0)=TRUE,"MIS A JOUR","")</f>
        <v/>
      </c>
      <c r="AA695" s="48"/>
      <c r="AB695" s="65" t="str">
        <f ca="1">IF(Tableau1[[#This Row],[Date rév.]]&lt;&gt;"", DAYS360(Tableau1[[#This Row],[Date rév.]],TODAY()),"")</f>
        <v/>
      </c>
      <c r="AC695" s="50" t="str">
        <f>IFERROR(INDEX(Chemin_accès!$B$11:$C$22,MATCH(Tableau1[[#This Row],[Type]],Chemin_accès!$C$11:$C$22,0),1),Chemin_accès!$B$11)</f>
        <v>\\stjn.local\trimet\Btechnique\Commun\Atelier Central mécanique\Plan entretien\Modèles préventif\GammeDMS_7.MENG.xlsm</v>
      </c>
      <c r="AD695" s="50" t="str">
        <f>Chemin_accès!$B$8&amp;Tableau1[[#This Row],[Localisation / Classement]]&amp;"\"&amp;Tableau1[[#This Row],[Poste technique ou N° d''équipement]]&amp;"_"&amp;Tableau1[[#This Row],[Plan Entretien]]&amp;".xlsm"</f>
        <v>\\stjn.local\trimet\Btechnique\Commun\Atelier Central mécanique\Plan entretien\GammeEntretien\\_.xlsm</v>
      </c>
    </row>
    <row r="696" spans="1:30" x14ac:dyDescent="0.3">
      <c r="A696" s="44" t="str">
        <f t="shared" ca="1" si="10"/>
        <v>7.MENG</v>
      </c>
      <c r="B69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96" s="47"/>
      <c r="D696" s="44"/>
      <c r="E696" s="44"/>
      <c r="F696" s="47"/>
      <c r="G696" s="47"/>
      <c r="H696" s="45"/>
      <c r="I696" s="45"/>
      <c r="J696" s="45"/>
      <c r="K696" s="45"/>
      <c r="L696" s="46"/>
      <c r="M696" s="47"/>
      <c r="N696" s="47"/>
      <c r="O696" s="47"/>
      <c r="P696" s="47"/>
      <c r="Q696" s="47"/>
      <c r="R696" s="47"/>
      <c r="S696" s="48"/>
      <c r="T696" s="68" t="str">
        <f>IF(Tableau1[[#This Row],[DMS_SAP]]="","",HYPERLINK(Tableau1[[#This Row],[Chemin fichier source]],"X"))</f>
        <v/>
      </c>
      <c r="U696" s="68" t="str">
        <f>IF(Tableau1[[#This Row],[Date rév.]]="","",HYPERLINK(Tableau1[[#This Row],[Lien document]],"X"))</f>
        <v/>
      </c>
      <c r="V696" s="47"/>
      <c r="W69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96" s="47"/>
      <c r="Y696" s="47"/>
      <c r="Z696" s="44" t="str">
        <f ca="1">IF(AND(Tableau1[[#This Row],[Charge]]&lt;&gt;0, Tableau1[[#This Row],[Nombre intervenants]]&lt;&gt;0,Tableau1[[#This Row],[Lien document]]&lt;&gt;0,Tableau1[[#This Row],[DMS_SAP]]&lt;&gt;0)=TRUE,"MIS A JOUR","")</f>
        <v/>
      </c>
      <c r="AA696" s="48"/>
      <c r="AB696" s="65" t="str">
        <f ca="1">IF(Tableau1[[#This Row],[Date rév.]]&lt;&gt;"", DAYS360(Tableau1[[#This Row],[Date rév.]],TODAY()),"")</f>
        <v/>
      </c>
      <c r="AC696" s="50" t="str">
        <f>IFERROR(INDEX(Chemin_accès!$B$11:$C$22,MATCH(Tableau1[[#This Row],[Type]],Chemin_accès!$C$11:$C$22,0),1),Chemin_accès!$B$11)</f>
        <v>\\stjn.local\trimet\Btechnique\Commun\Atelier Central mécanique\Plan entretien\Modèles préventif\GammeDMS_7.MENG.xlsm</v>
      </c>
      <c r="AD696" s="50" t="str">
        <f>Chemin_accès!$B$8&amp;Tableau1[[#This Row],[Localisation / Classement]]&amp;"\"&amp;Tableau1[[#This Row],[Poste technique ou N° d''équipement]]&amp;"_"&amp;Tableau1[[#This Row],[Plan Entretien]]&amp;".xlsm"</f>
        <v>\\stjn.local\trimet\Btechnique\Commun\Atelier Central mécanique\Plan entretien\GammeEntretien\\_.xlsm</v>
      </c>
    </row>
    <row r="697" spans="1:30" x14ac:dyDescent="0.3">
      <c r="A697" s="44" t="str">
        <f t="shared" ca="1" si="10"/>
        <v>7.MENG</v>
      </c>
      <c r="B69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97" s="47"/>
      <c r="D697" s="44"/>
      <c r="E697" s="44"/>
      <c r="F697" s="47"/>
      <c r="G697" s="47"/>
      <c r="H697" s="45"/>
      <c r="I697" s="45"/>
      <c r="J697" s="45"/>
      <c r="K697" s="45"/>
      <c r="L697" s="46"/>
      <c r="M697" s="47"/>
      <c r="N697" s="47"/>
      <c r="O697" s="47"/>
      <c r="P697" s="47"/>
      <c r="Q697" s="47"/>
      <c r="R697" s="47"/>
      <c r="S697" s="48"/>
      <c r="T697" s="68" t="str">
        <f>IF(Tableau1[[#This Row],[DMS_SAP]]="","",HYPERLINK(Tableau1[[#This Row],[Chemin fichier source]],"X"))</f>
        <v/>
      </c>
      <c r="U697" s="68" t="str">
        <f>IF(Tableau1[[#This Row],[Date rév.]]="","",HYPERLINK(Tableau1[[#This Row],[Lien document]],"X"))</f>
        <v/>
      </c>
      <c r="V697" s="47"/>
      <c r="W69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97" s="47"/>
      <c r="Y697" s="47"/>
      <c r="Z697" s="44" t="str">
        <f ca="1">IF(AND(Tableau1[[#This Row],[Charge]]&lt;&gt;0, Tableau1[[#This Row],[Nombre intervenants]]&lt;&gt;0,Tableau1[[#This Row],[Lien document]]&lt;&gt;0,Tableau1[[#This Row],[DMS_SAP]]&lt;&gt;0)=TRUE,"MIS A JOUR","")</f>
        <v/>
      </c>
      <c r="AA697" s="48"/>
      <c r="AB697" s="65" t="str">
        <f ca="1">IF(Tableau1[[#This Row],[Date rév.]]&lt;&gt;"", DAYS360(Tableau1[[#This Row],[Date rév.]],TODAY()),"")</f>
        <v/>
      </c>
      <c r="AC697" s="50" t="str">
        <f>IFERROR(INDEX(Chemin_accès!$B$11:$C$22,MATCH(Tableau1[[#This Row],[Type]],Chemin_accès!$C$11:$C$22,0),1),Chemin_accès!$B$11)</f>
        <v>\\stjn.local\trimet\Btechnique\Commun\Atelier Central mécanique\Plan entretien\Modèles préventif\GammeDMS_7.MENG.xlsm</v>
      </c>
      <c r="AD697" s="50" t="str">
        <f>Chemin_accès!$B$8&amp;Tableau1[[#This Row],[Localisation / Classement]]&amp;"\"&amp;Tableau1[[#This Row],[Poste technique ou N° d''équipement]]&amp;"_"&amp;Tableau1[[#This Row],[Plan Entretien]]&amp;".xlsm"</f>
        <v>\\stjn.local\trimet\Btechnique\Commun\Atelier Central mécanique\Plan entretien\GammeEntretien\\_.xlsm</v>
      </c>
    </row>
    <row r="698" spans="1:30" x14ac:dyDescent="0.3">
      <c r="A698" s="44" t="str">
        <f t="shared" ca="1" si="10"/>
        <v>7.MENG</v>
      </c>
      <c r="B69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98" s="47"/>
      <c r="D698" s="44"/>
      <c r="E698" s="44"/>
      <c r="F698" s="47"/>
      <c r="G698" s="47"/>
      <c r="H698" s="45"/>
      <c r="I698" s="45"/>
      <c r="J698" s="45"/>
      <c r="K698" s="45"/>
      <c r="L698" s="46"/>
      <c r="M698" s="47"/>
      <c r="N698" s="47"/>
      <c r="O698" s="47"/>
      <c r="P698" s="47"/>
      <c r="Q698" s="47"/>
      <c r="R698" s="47"/>
      <c r="S698" s="48"/>
      <c r="T698" s="68" t="str">
        <f>IF(Tableau1[[#This Row],[DMS_SAP]]="","",HYPERLINK(Tableau1[[#This Row],[Chemin fichier source]],"X"))</f>
        <v/>
      </c>
      <c r="U698" s="68" t="str">
        <f>IF(Tableau1[[#This Row],[Date rév.]]="","",HYPERLINK(Tableau1[[#This Row],[Lien document]],"X"))</f>
        <v/>
      </c>
      <c r="V698" s="47"/>
      <c r="W69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98" s="47"/>
      <c r="Y698" s="47"/>
      <c r="Z698" s="44" t="str">
        <f ca="1">IF(AND(Tableau1[[#This Row],[Charge]]&lt;&gt;0, Tableau1[[#This Row],[Nombre intervenants]]&lt;&gt;0,Tableau1[[#This Row],[Lien document]]&lt;&gt;0,Tableau1[[#This Row],[DMS_SAP]]&lt;&gt;0)=TRUE,"MIS A JOUR","")</f>
        <v/>
      </c>
      <c r="AA698" s="48"/>
      <c r="AB698" s="65" t="str">
        <f ca="1">IF(Tableau1[[#This Row],[Date rév.]]&lt;&gt;"", DAYS360(Tableau1[[#This Row],[Date rév.]],TODAY()),"")</f>
        <v/>
      </c>
      <c r="AC698" s="50" t="str">
        <f>IFERROR(INDEX(Chemin_accès!$B$11:$C$22,MATCH(Tableau1[[#This Row],[Type]],Chemin_accès!$C$11:$C$22,0),1),Chemin_accès!$B$11)</f>
        <v>\\stjn.local\trimet\Btechnique\Commun\Atelier Central mécanique\Plan entretien\Modèles préventif\GammeDMS_7.MENG.xlsm</v>
      </c>
      <c r="AD698" s="50" t="str">
        <f>Chemin_accès!$B$8&amp;Tableau1[[#This Row],[Localisation / Classement]]&amp;"\"&amp;Tableau1[[#This Row],[Poste technique ou N° d''équipement]]&amp;"_"&amp;Tableau1[[#This Row],[Plan Entretien]]&amp;".xlsm"</f>
        <v>\\stjn.local\trimet\Btechnique\Commun\Atelier Central mécanique\Plan entretien\GammeEntretien\\_.xlsm</v>
      </c>
    </row>
    <row r="699" spans="1:30" x14ac:dyDescent="0.3">
      <c r="A699" s="44" t="str">
        <f t="shared" ca="1" si="10"/>
        <v>7.MENG</v>
      </c>
      <c r="B69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699" s="47"/>
      <c r="D699" s="44"/>
      <c r="E699" s="44"/>
      <c r="F699" s="47"/>
      <c r="G699" s="47"/>
      <c r="H699" s="45"/>
      <c r="I699" s="45"/>
      <c r="J699" s="45"/>
      <c r="K699" s="45"/>
      <c r="L699" s="46"/>
      <c r="M699" s="47"/>
      <c r="N699" s="47"/>
      <c r="O699" s="47"/>
      <c r="P699" s="47"/>
      <c r="Q699" s="47"/>
      <c r="R699" s="47"/>
      <c r="S699" s="48"/>
      <c r="T699" s="68" t="str">
        <f>IF(Tableau1[[#This Row],[DMS_SAP]]="","",HYPERLINK(Tableau1[[#This Row],[Chemin fichier source]],"X"))</f>
        <v/>
      </c>
      <c r="U699" s="68" t="str">
        <f>IF(Tableau1[[#This Row],[Date rév.]]="","",HYPERLINK(Tableau1[[#This Row],[Lien document]],"X"))</f>
        <v/>
      </c>
      <c r="V699" s="47"/>
      <c r="W69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699" s="47"/>
      <c r="Y699" s="47"/>
      <c r="Z699" s="44" t="str">
        <f ca="1">IF(AND(Tableau1[[#This Row],[Charge]]&lt;&gt;0, Tableau1[[#This Row],[Nombre intervenants]]&lt;&gt;0,Tableau1[[#This Row],[Lien document]]&lt;&gt;0,Tableau1[[#This Row],[DMS_SAP]]&lt;&gt;0)=TRUE,"MIS A JOUR","")</f>
        <v/>
      </c>
      <c r="AA699" s="48"/>
      <c r="AB699" s="65" t="str">
        <f ca="1">IF(Tableau1[[#This Row],[Date rév.]]&lt;&gt;"", DAYS360(Tableau1[[#This Row],[Date rév.]],TODAY()),"")</f>
        <v/>
      </c>
      <c r="AC699" s="50" t="str">
        <f>IFERROR(INDEX(Chemin_accès!$B$11:$C$22,MATCH(Tableau1[[#This Row],[Type]],Chemin_accès!$C$11:$C$22,0),1),Chemin_accès!$B$11)</f>
        <v>\\stjn.local\trimet\Btechnique\Commun\Atelier Central mécanique\Plan entretien\Modèles préventif\GammeDMS_7.MENG.xlsm</v>
      </c>
      <c r="AD699" s="50" t="str">
        <f>Chemin_accès!$B$8&amp;Tableau1[[#This Row],[Localisation / Classement]]&amp;"\"&amp;Tableau1[[#This Row],[Poste technique ou N° d''équipement]]&amp;"_"&amp;Tableau1[[#This Row],[Plan Entretien]]&amp;".xlsm"</f>
        <v>\\stjn.local\trimet\Btechnique\Commun\Atelier Central mécanique\Plan entretien\GammeEntretien\\_.xlsm</v>
      </c>
    </row>
    <row r="700" spans="1:30" x14ac:dyDescent="0.3">
      <c r="A700" s="44" t="str">
        <f t="shared" ca="1" si="10"/>
        <v>7.MENG</v>
      </c>
      <c r="B70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00" s="47"/>
      <c r="D700" s="44"/>
      <c r="E700" s="44"/>
      <c r="F700" s="47"/>
      <c r="G700" s="47"/>
      <c r="H700" s="45"/>
      <c r="I700" s="45"/>
      <c r="J700" s="45"/>
      <c r="K700" s="45"/>
      <c r="L700" s="46"/>
      <c r="M700" s="47"/>
      <c r="N700" s="47"/>
      <c r="O700" s="47"/>
      <c r="P700" s="47"/>
      <c r="Q700" s="47"/>
      <c r="R700" s="47"/>
      <c r="S700" s="48"/>
      <c r="T700" s="68" t="str">
        <f>IF(Tableau1[[#This Row],[DMS_SAP]]="","",HYPERLINK(Tableau1[[#This Row],[Chemin fichier source]],"X"))</f>
        <v/>
      </c>
      <c r="U700" s="68" t="str">
        <f>IF(Tableau1[[#This Row],[Date rév.]]="","",HYPERLINK(Tableau1[[#This Row],[Lien document]],"X"))</f>
        <v/>
      </c>
      <c r="V700" s="47"/>
      <c r="W70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00" s="47"/>
      <c r="Y700" s="47"/>
      <c r="Z700" s="44" t="str">
        <f ca="1">IF(AND(Tableau1[[#This Row],[Charge]]&lt;&gt;0, Tableau1[[#This Row],[Nombre intervenants]]&lt;&gt;0,Tableau1[[#This Row],[Lien document]]&lt;&gt;0,Tableau1[[#This Row],[DMS_SAP]]&lt;&gt;0)=TRUE,"MIS A JOUR","")</f>
        <v/>
      </c>
      <c r="AA700" s="48"/>
      <c r="AB700" s="65" t="str">
        <f ca="1">IF(Tableau1[[#This Row],[Date rév.]]&lt;&gt;"", DAYS360(Tableau1[[#This Row],[Date rév.]],TODAY()),"")</f>
        <v/>
      </c>
      <c r="AC700" s="50" t="str">
        <f>IFERROR(INDEX(Chemin_accès!$B$11:$C$22,MATCH(Tableau1[[#This Row],[Type]],Chemin_accès!$C$11:$C$22,0),1),Chemin_accès!$B$11)</f>
        <v>\\stjn.local\trimet\Btechnique\Commun\Atelier Central mécanique\Plan entretien\Modèles préventif\GammeDMS_7.MENG.xlsm</v>
      </c>
      <c r="AD700" s="50" t="str">
        <f>Chemin_accès!$B$8&amp;Tableau1[[#This Row],[Localisation / Classement]]&amp;"\"&amp;Tableau1[[#This Row],[Poste technique ou N° d''équipement]]&amp;"_"&amp;Tableau1[[#This Row],[Plan Entretien]]&amp;".xlsm"</f>
        <v>\\stjn.local\trimet\Btechnique\Commun\Atelier Central mécanique\Plan entretien\GammeEntretien\\_.xlsm</v>
      </c>
    </row>
    <row r="701" spans="1:30" x14ac:dyDescent="0.3">
      <c r="A701" s="44" t="str">
        <f t="shared" ca="1" si="10"/>
        <v>7.MENG</v>
      </c>
      <c r="B70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01" s="47"/>
      <c r="D701" s="44"/>
      <c r="E701" s="44"/>
      <c r="F701" s="47"/>
      <c r="G701" s="47"/>
      <c r="H701" s="45"/>
      <c r="I701" s="45"/>
      <c r="J701" s="45"/>
      <c r="K701" s="45"/>
      <c r="L701" s="46"/>
      <c r="M701" s="47"/>
      <c r="N701" s="47"/>
      <c r="O701" s="47"/>
      <c r="P701" s="47"/>
      <c r="Q701" s="47"/>
      <c r="R701" s="47"/>
      <c r="S701" s="48"/>
      <c r="T701" s="68" t="str">
        <f>IF(Tableau1[[#This Row],[DMS_SAP]]="","",HYPERLINK(Tableau1[[#This Row],[Chemin fichier source]],"X"))</f>
        <v/>
      </c>
      <c r="U701" s="68" t="str">
        <f>IF(Tableau1[[#This Row],[Date rév.]]="","",HYPERLINK(Tableau1[[#This Row],[Lien document]],"X"))</f>
        <v/>
      </c>
      <c r="V701" s="47"/>
      <c r="W70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01" s="47"/>
      <c r="Y701" s="47"/>
      <c r="Z701" s="44" t="str">
        <f ca="1">IF(AND(Tableau1[[#This Row],[Charge]]&lt;&gt;0, Tableau1[[#This Row],[Nombre intervenants]]&lt;&gt;0,Tableau1[[#This Row],[Lien document]]&lt;&gt;0,Tableau1[[#This Row],[DMS_SAP]]&lt;&gt;0)=TRUE,"MIS A JOUR","")</f>
        <v/>
      </c>
      <c r="AA701" s="48"/>
      <c r="AB701" s="65" t="str">
        <f ca="1">IF(Tableau1[[#This Row],[Date rév.]]&lt;&gt;"", DAYS360(Tableau1[[#This Row],[Date rév.]],TODAY()),"")</f>
        <v/>
      </c>
      <c r="AC701" s="50" t="str">
        <f>IFERROR(INDEX(Chemin_accès!$B$11:$C$22,MATCH(Tableau1[[#This Row],[Type]],Chemin_accès!$C$11:$C$22,0),1),Chemin_accès!$B$11)</f>
        <v>\\stjn.local\trimet\Btechnique\Commun\Atelier Central mécanique\Plan entretien\Modèles préventif\GammeDMS_7.MENG.xlsm</v>
      </c>
      <c r="AD701" s="50" t="str">
        <f>Chemin_accès!$B$8&amp;Tableau1[[#This Row],[Localisation / Classement]]&amp;"\"&amp;Tableau1[[#This Row],[Poste technique ou N° d''équipement]]&amp;"_"&amp;Tableau1[[#This Row],[Plan Entretien]]&amp;".xlsm"</f>
        <v>\\stjn.local\trimet\Btechnique\Commun\Atelier Central mécanique\Plan entretien\GammeEntretien\\_.xlsm</v>
      </c>
    </row>
    <row r="702" spans="1:30" x14ac:dyDescent="0.3">
      <c r="A702" s="44" t="str">
        <f t="shared" ca="1" si="10"/>
        <v>7.MENG</v>
      </c>
      <c r="B70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02" s="47"/>
      <c r="D702" s="44"/>
      <c r="E702" s="44"/>
      <c r="F702" s="47"/>
      <c r="G702" s="47"/>
      <c r="H702" s="45"/>
      <c r="I702" s="45"/>
      <c r="J702" s="45"/>
      <c r="K702" s="45"/>
      <c r="L702" s="46"/>
      <c r="M702" s="47"/>
      <c r="N702" s="47"/>
      <c r="O702" s="47"/>
      <c r="P702" s="47"/>
      <c r="Q702" s="47"/>
      <c r="R702" s="47"/>
      <c r="S702" s="48"/>
      <c r="T702" s="68" t="str">
        <f>IF(Tableau1[[#This Row],[DMS_SAP]]="","",HYPERLINK(Tableau1[[#This Row],[Chemin fichier source]],"X"))</f>
        <v/>
      </c>
      <c r="U702" s="68" t="str">
        <f>IF(Tableau1[[#This Row],[Date rév.]]="","",HYPERLINK(Tableau1[[#This Row],[Lien document]],"X"))</f>
        <v/>
      </c>
      <c r="V702" s="47"/>
      <c r="W70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02" s="47"/>
      <c r="Y702" s="47"/>
      <c r="Z702" s="44" t="str">
        <f ca="1">IF(AND(Tableau1[[#This Row],[Charge]]&lt;&gt;0, Tableau1[[#This Row],[Nombre intervenants]]&lt;&gt;0,Tableau1[[#This Row],[Lien document]]&lt;&gt;0,Tableau1[[#This Row],[DMS_SAP]]&lt;&gt;0)=TRUE,"MIS A JOUR","")</f>
        <v/>
      </c>
      <c r="AA702" s="48"/>
      <c r="AB702" s="65" t="str">
        <f ca="1">IF(Tableau1[[#This Row],[Date rév.]]&lt;&gt;"", DAYS360(Tableau1[[#This Row],[Date rév.]],TODAY()),"")</f>
        <v/>
      </c>
      <c r="AC702" s="50" t="str">
        <f>IFERROR(INDEX(Chemin_accès!$B$11:$C$22,MATCH(Tableau1[[#This Row],[Type]],Chemin_accès!$C$11:$C$22,0),1),Chemin_accès!$B$11)</f>
        <v>\\stjn.local\trimet\Btechnique\Commun\Atelier Central mécanique\Plan entretien\Modèles préventif\GammeDMS_7.MENG.xlsm</v>
      </c>
      <c r="AD702" s="50" t="str">
        <f>Chemin_accès!$B$8&amp;Tableau1[[#This Row],[Localisation / Classement]]&amp;"\"&amp;Tableau1[[#This Row],[Poste technique ou N° d''équipement]]&amp;"_"&amp;Tableau1[[#This Row],[Plan Entretien]]&amp;".xlsm"</f>
        <v>\\stjn.local\trimet\Btechnique\Commun\Atelier Central mécanique\Plan entretien\GammeEntretien\\_.xlsm</v>
      </c>
    </row>
    <row r="703" spans="1:30" x14ac:dyDescent="0.3">
      <c r="A703" s="44" t="str">
        <f t="shared" ca="1" si="10"/>
        <v>7.MENG</v>
      </c>
      <c r="B70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03" s="47"/>
      <c r="D703" s="44"/>
      <c r="E703" s="44"/>
      <c r="F703" s="47"/>
      <c r="G703" s="47"/>
      <c r="H703" s="45"/>
      <c r="I703" s="45"/>
      <c r="J703" s="45"/>
      <c r="K703" s="45"/>
      <c r="L703" s="46"/>
      <c r="M703" s="47"/>
      <c r="N703" s="47"/>
      <c r="O703" s="47"/>
      <c r="P703" s="47"/>
      <c r="Q703" s="47"/>
      <c r="R703" s="47"/>
      <c r="S703" s="48"/>
      <c r="T703" s="68" t="str">
        <f>IF(Tableau1[[#This Row],[DMS_SAP]]="","",HYPERLINK(Tableau1[[#This Row],[Chemin fichier source]],"X"))</f>
        <v/>
      </c>
      <c r="U703" s="68" t="str">
        <f>IF(Tableau1[[#This Row],[Date rév.]]="","",HYPERLINK(Tableau1[[#This Row],[Lien document]],"X"))</f>
        <v/>
      </c>
      <c r="V703" s="47"/>
      <c r="W70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03" s="47"/>
      <c r="Y703" s="47"/>
      <c r="Z703" s="44" t="str">
        <f ca="1">IF(AND(Tableau1[[#This Row],[Charge]]&lt;&gt;0, Tableau1[[#This Row],[Nombre intervenants]]&lt;&gt;0,Tableau1[[#This Row],[Lien document]]&lt;&gt;0,Tableau1[[#This Row],[DMS_SAP]]&lt;&gt;0)=TRUE,"MIS A JOUR","")</f>
        <v/>
      </c>
      <c r="AA703" s="48"/>
      <c r="AB703" s="65" t="str">
        <f ca="1">IF(Tableau1[[#This Row],[Date rév.]]&lt;&gt;"", DAYS360(Tableau1[[#This Row],[Date rév.]],TODAY()),"")</f>
        <v/>
      </c>
      <c r="AC703" s="50" t="str">
        <f>IFERROR(INDEX(Chemin_accès!$B$11:$C$22,MATCH(Tableau1[[#This Row],[Type]],Chemin_accès!$C$11:$C$22,0),1),Chemin_accès!$B$11)</f>
        <v>\\stjn.local\trimet\Btechnique\Commun\Atelier Central mécanique\Plan entretien\Modèles préventif\GammeDMS_7.MENG.xlsm</v>
      </c>
      <c r="AD703" s="50" t="str">
        <f>Chemin_accès!$B$8&amp;Tableau1[[#This Row],[Localisation / Classement]]&amp;"\"&amp;Tableau1[[#This Row],[Poste technique ou N° d''équipement]]&amp;"_"&amp;Tableau1[[#This Row],[Plan Entretien]]&amp;".xlsm"</f>
        <v>\\stjn.local\trimet\Btechnique\Commun\Atelier Central mécanique\Plan entretien\GammeEntretien\\_.xlsm</v>
      </c>
    </row>
    <row r="704" spans="1:30" x14ac:dyDescent="0.3">
      <c r="A704" s="44" t="str">
        <f t="shared" ca="1" si="10"/>
        <v>7.MENG</v>
      </c>
      <c r="B70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04" s="47"/>
      <c r="D704" s="44"/>
      <c r="E704" s="44"/>
      <c r="F704" s="47"/>
      <c r="G704" s="47"/>
      <c r="H704" s="45"/>
      <c r="I704" s="45"/>
      <c r="J704" s="45"/>
      <c r="K704" s="45"/>
      <c r="L704" s="46"/>
      <c r="M704" s="47"/>
      <c r="N704" s="47"/>
      <c r="O704" s="47"/>
      <c r="P704" s="47"/>
      <c r="Q704" s="47"/>
      <c r="R704" s="47"/>
      <c r="S704" s="48"/>
      <c r="T704" s="68" t="str">
        <f>IF(Tableau1[[#This Row],[DMS_SAP]]="","",HYPERLINK(Tableau1[[#This Row],[Chemin fichier source]],"X"))</f>
        <v/>
      </c>
      <c r="U704" s="68" t="str">
        <f>IF(Tableau1[[#This Row],[Date rév.]]="","",HYPERLINK(Tableau1[[#This Row],[Lien document]],"X"))</f>
        <v/>
      </c>
      <c r="V704" s="47"/>
      <c r="W70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04" s="47"/>
      <c r="Y704" s="47"/>
      <c r="Z704" s="44" t="str">
        <f ca="1">IF(AND(Tableau1[[#This Row],[Charge]]&lt;&gt;0, Tableau1[[#This Row],[Nombre intervenants]]&lt;&gt;0,Tableau1[[#This Row],[Lien document]]&lt;&gt;0,Tableau1[[#This Row],[DMS_SAP]]&lt;&gt;0)=TRUE,"MIS A JOUR","")</f>
        <v/>
      </c>
      <c r="AA704" s="48"/>
      <c r="AB704" s="65" t="str">
        <f ca="1">IF(Tableau1[[#This Row],[Date rév.]]&lt;&gt;"", DAYS360(Tableau1[[#This Row],[Date rév.]],TODAY()),"")</f>
        <v/>
      </c>
      <c r="AC704" s="50" t="str">
        <f>IFERROR(INDEX(Chemin_accès!$B$11:$C$22,MATCH(Tableau1[[#This Row],[Type]],Chemin_accès!$C$11:$C$22,0),1),Chemin_accès!$B$11)</f>
        <v>\\stjn.local\trimet\Btechnique\Commun\Atelier Central mécanique\Plan entretien\Modèles préventif\GammeDMS_7.MENG.xlsm</v>
      </c>
      <c r="AD704" s="50" t="str">
        <f>Chemin_accès!$B$8&amp;Tableau1[[#This Row],[Localisation / Classement]]&amp;"\"&amp;Tableau1[[#This Row],[Poste technique ou N° d''équipement]]&amp;"_"&amp;Tableau1[[#This Row],[Plan Entretien]]&amp;".xlsm"</f>
        <v>\\stjn.local\trimet\Btechnique\Commun\Atelier Central mécanique\Plan entretien\GammeEntretien\\_.xlsm</v>
      </c>
    </row>
    <row r="705" spans="1:30" x14ac:dyDescent="0.3">
      <c r="A705" s="44" t="str">
        <f t="shared" ref="A705:A768" ca="1" si="11">MID(CELL("filename",$A$1),FIND("]",CELL("filename",$A$1))+1,32)</f>
        <v>7.MENG</v>
      </c>
      <c r="B70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05" s="47"/>
      <c r="D705" s="44"/>
      <c r="E705" s="44"/>
      <c r="F705" s="47"/>
      <c r="G705" s="47"/>
      <c r="H705" s="45"/>
      <c r="I705" s="45"/>
      <c r="J705" s="45"/>
      <c r="K705" s="45"/>
      <c r="L705" s="46"/>
      <c r="M705" s="47"/>
      <c r="N705" s="47"/>
      <c r="O705" s="47"/>
      <c r="P705" s="47"/>
      <c r="Q705" s="47"/>
      <c r="R705" s="47"/>
      <c r="S705" s="48"/>
      <c r="T705" s="68" t="str">
        <f>IF(Tableau1[[#This Row],[DMS_SAP]]="","",HYPERLINK(Tableau1[[#This Row],[Chemin fichier source]],"X"))</f>
        <v/>
      </c>
      <c r="U705" s="68" t="str">
        <f>IF(Tableau1[[#This Row],[Date rév.]]="","",HYPERLINK(Tableau1[[#This Row],[Lien document]],"X"))</f>
        <v/>
      </c>
      <c r="V705" s="47"/>
      <c r="W70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05" s="47"/>
      <c r="Y705" s="47"/>
      <c r="Z705" s="44" t="str">
        <f ca="1">IF(AND(Tableau1[[#This Row],[Charge]]&lt;&gt;0, Tableau1[[#This Row],[Nombre intervenants]]&lt;&gt;0,Tableau1[[#This Row],[Lien document]]&lt;&gt;0,Tableau1[[#This Row],[DMS_SAP]]&lt;&gt;0)=TRUE,"MIS A JOUR","")</f>
        <v/>
      </c>
      <c r="AA705" s="48"/>
      <c r="AB705" s="65" t="str">
        <f ca="1">IF(Tableau1[[#This Row],[Date rév.]]&lt;&gt;"", DAYS360(Tableau1[[#This Row],[Date rév.]],TODAY()),"")</f>
        <v/>
      </c>
      <c r="AC705" s="50" t="str">
        <f>IFERROR(INDEX(Chemin_accès!$B$11:$C$22,MATCH(Tableau1[[#This Row],[Type]],Chemin_accès!$C$11:$C$22,0),1),Chemin_accès!$B$11)</f>
        <v>\\stjn.local\trimet\Btechnique\Commun\Atelier Central mécanique\Plan entretien\Modèles préventif\GammeDMS_7.MENG.xlsm</v>
      </c>
      <c r="AD705" s="50" t="str">
        <f>Chemin_accès!$B$8&amp;Tableau1[[#This Row],[Localisation / Classement]]&amp;"\"&amp;Tableau1[[#This Row],[Poste technique ou N° d''équipement]]&amp;"_"&amp;Tableau1[[#This Row],[Plan Entretien]]&amp;".xlsm"</f>
        <v>\\stjn.local\trimet\Btechnique\Commun\Atelier Central mécanique\Plan entretien\GammeEntretien\\_.xlsm</v>
      </c>
    </row>
    <row r="706" spans="1:30" x14ac:dyDescent="0.3">
      <c r="A706" s="44" t="str">
        <f t="shared" ca="1" si="11"/>
        <v>7.MENG</v>
      </c>
      <c r="B70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06" s="47"/>
      <c r="D706" s="44"/>
      <c r="E706" s="44"/>
      <c r="F706" s="47"/>
      <c r="G706" s="47"/>
      <c r="H706" s="45"/>
      <c r="I706" s="45"/>
      <c r="J706" s="45"/>
      <c r="K706" s="45"/>
      <c r="L706" s="46"/>
      <c r="M706" s="47"/>
      <c r="N706" s="47"/>
      <c r="O706" s="47"/>
      <c r="P706" s="47"/>
      <c r="Q706" s="47"/>
      <c r="R706" s="47"/>
      <c r="S706" s="48"/>
      <c r="T706" s="68" t="str">
        <f>IF(Tableau1[[#This Row],[DMS_SAP]]="","",HYPERLINK(Tableau1[[#This Row],[Chemin fichier source]],"X"))</f>
        <v/>
      </c>
      <c r="U706" s="68" t="str">
        <f>IF(Tableau1[[#This Row],[Date rév.]]="","",HYPERLINK(Tableau1[[#This Row],[Lien document]],"X"))</f>
        <v/>
      </c>
      <c r="V706" s="47"/>
      <c r="W70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06" s="47"/>
      <c r="Y706" s="47"/>
      <c r="Z706" s="44" t="str">
        <f ca="1">IF(AND(Tableau1[[#This Row],[Charge]]&lt;&gt;0, Tableau1[[#This Row],[Nombre intervenants]]&lt;&gt;0,Tableau1[[#This Row],[Lien document]]&lt;&gt;0,Tableau1[[#This Row],[DMS_SAP]]&lt;&gt;0)=TRUE,"MIS A JOUR","")</f>
        <v/>
      </c>
      <c r="AA706" s="48"/>
      <c r="AB706" s="65" t="str">
        <f ca="1">IF(Tableau1[[#This Row],[Date rév.]]&lt;&gt;"", DAYS360(Tableau1[[#This Row],[Date rév.]],TODAY()),"")</f>
        <v/>
      </c>
      <c r="AC706" s="50" t="str">
        <f>IFERROR(INDEX(Chemin_accès!$B$11:$C$22,MATCH(Tableau1[[#This Row],[Type]],Chemin_accès!$C$11:$C$22,0),1),Chemin_accès!$B$11)</f>
        <v>\\stjn.local\trimet\Btechnique\Commun\Atelier Central mécanique\Plan entretien\Modèles préventif\GammeDMS_7.MENG.xlsm</v>
      </c>
      <c r="AD706" s="50" t="str">
        <f>Chemin_accès!$B$8&amp;Tableau1[[#This Row],[Localisation / Classement]]&amp;"\"&amp;Tableau1[[#This Row],[Poste technique ou N° d''équipement]]&amp;"_"&amp;Tableau1[[#This Row],[Plan Entretien]]&amp;".xlsm"</f>
        <v>\\stjn.local\trimet\Btechnique\Commun\Atelier Central mécanique\Plan entretien\GammeEntretien\\_.xlsm</v>
      </c>
    </row>
    <row r="707" spans="1:30" x14ac:dyDescent="0.3">
      <c r="A707" s="44" t="str">
        <f t="shared" ca="1" si="11"/>
        <v>7.MENG</v>
      </c>
      <c r="B70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07" s="47"/>
      <c r="D707" s="44"/>
      <c r="E707" s="44"/>
      <c r="F707" s="47"/>
      <c r="G707" s="47"/>
      <c r="H707" s="45"/>
      <c r="I707" s="45"/>
      <c r="J707" s="45"/>
      <c r="K707" s="45"/>
      <c r="L707" s="46"/>
      <c r="M707" s="47"/>
      <c r="N707" s="47"/>
      <c r="O707" s="47"/>
      <c r="P707" s="47"/>
      <c r="Q707" s="47"/>
      <c r="R707" s="47"/>
      <c r="S707" s="48"/>
      <c r="T707" s="68" t="str">
        <f>IF(Tableau1[[#This Row],[DMS_SAP]]="","",HYPERLINK(Tableau1[[#This Row],[Chemin fichier source]],"X"))</f>
        <v/>
      </c>
      <c r="U707" s="68" t="str">
        <f>IF(Tableau1[[#This Row],[Date rév.]]="","",HYPERLINK(Tableau1[[#This Row],[Lien document]],"X"))</f>
        <v/>
      </c>
      <c r="V707" s="47"/>
      <c r="W70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07" s="47"/>
      <c r="Y707" s="47"/>
      <c r="Z707" s="44" t="str">
        <f ca="1">IF(AND(Tableau1[[#This Row],[Charge]]&lt;&gt;0, Tableau1[[#This Row],[Nombre intervenants]]&lt;&gt;0,Tableau1[[#This Row],[Lien document]]&lt;&gt;0,Tableau1[[#This Row],[DMS_SAP]]&lt;&gt;0)=TRUE,"MIS A JOUR","")</f>
        <v/>
      </c>
      <c r="AA707" s="48"/>
      <c r="AB707" s="65" t="str">
        <f ca="1">IF(Tableau1[[#This Row],[Date rév.]]&lt;&gt;"", DAYS360(Tableau1[[#This Row],[Date rév.]],TODAY()),"")</f>
        <v/>
      </c>
      <c r="AC707" s="50" t="str">
        <f>IFERROR(INDEX(Chemin_accès!$B$11:$C$22,MATCH(Tableau1[[#This Row],[Type]],Chemin_accès!$C$11:$C$22,0),1),Chemin_accès!$B$11)</f>
        <v>\\stjn.local\trimet\Btechnique\Commun\Atelier Central mécanique\Plan entretien\Modèles préventif\GammeDMS_7.MENG.xlsm</v>
      </c>
      <c r="AD707" s="50" t="str">
        <f>Chemin_accès!$B$8&amp;Tableau1[[#This Row],[Localisation / Classement]]&amp;"\"&amp;Tableau1[[#This Row],[Poste technique ou N° d''équipement]]&amp;"_"&amp;Tableau1[[#This Row],[Plan Entretien]]&amp;".xlsm"</f>
        <v>\\stjn.local\trimet\Btechnique\Commun\Atelier Central mécanique\Plan entretien\GammeEntretien\\_.xlsm</v>
      </c>
    </row>
    <row r="708" spans="1:30" x14ac:dyDescent="0.3">
      <c r="A708" s="44" t="str">
        <f t="shared" ca="1" si="11"/>
        <v>7.MENG</v>
      </c>
      <c r="B70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08" s="47"/>
      <c r="D708" s="44"/>
      <c r="E708" s="44"/>
      <c r="F708" s="47"/>
      <c r="G708" s="47"/>
      <c r="H708" s="45"/>
      <c r="I708" s="45"/>
      <c r="J708" s="45"/>
      <c r="K708" s="45"/>
      <c r="L708" s="46"/>
      <c r="M708" s="47"/>
      <c r="N708" s="47"/>
      <c r="O708" s="47"/>
      <c r="P708" s="47"/>
      <c r="Q708" s="47"/>
      <c r="R708" s="47"/>
      <c r="S708" s="48"/>
      <c r="T708" s="68" t="str">
        <f>IF(Tableau1[[#This Row],[DMS_SAP]]="","",HYPERLINK(Tableau1[[#This Row],[Chemin fichier source]],"X"))</f>
        <v/>
      </c>
      <c r="U708" s="68" t="str">
        <f>IF(Tableau1[[#This Row],[Date rév.]]="","",HYPERLINK(Tableau1[[#This Row],[Lien document]],"X"))</f>
        <v/>
      </c>
      <c r="V708" s="47"/>
      <c r="W70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08" s="47"/>
      <c r="Y708" s="47"/>
      <c r="Z708" s="44" t="str">
        <f ca="1">IF(AND(Tableau1[[#This Row],[Charge]]&lt;&gt;0, Tableau1[[#This Row],[Nombre intervenants]]&lt;&gt;0,Tableau1[[#This Row],[Lien document]]&lt;&gt;0,Tableau1[[#This Row],[DMS_SAP]]&lt;&gt;0)=TRUE,"MIS A JOUR","")</f>
        <v/>
      </c>
      <c r="AA708" s="48"/>
      <c r="AB708" s="65" t="str">
        <f ca="1">IF(Tableau1[[#This Row],[Date rév.]]&lt;&gt;"", DAYS360(Tableau1[[#This Row],[Date rév.]],TODAY()),"")</f>
        <v/>
      </c>
      <c r="AC708" s="50" t="str">
        <f>IFERROR(INDEX(Chemin_accès!$B$11:$C$22,MATCH(Tableau1[[#This Row],[Type]],Chemin_accès!$C$11:$C$22,0),1),Chemin_accès!$B$11)</f>
        <v>\\stjn.local\trimet\Btechnique\Commun\Atelier Central mécanique\Plan entretien\Modèles préventif\GammeDMS_7.MENG.xlsm</v>
      </c>
      <c r="AD708" s="50" t="str">
        <f>Chemin_accès!$B$8&amp;Tableau1[[#This Row],[Localisation / Classement]]&amp;"\"&amp;Tableau1[[#This Row],[Poste technique ou N° d''équipement]]&amp;"_"&amp;Tableau1[[#This Row],[Plan Entretien]]&amp;".xlsm"</f>
        <v>\\stjn.local\trimet\Btechnique\Commun\Atelier Central mécanique\Plan entretien\GammeEntretien\\_.xlsm</v>
      </c>
    </row>
    <row r="709" spans="1:30" x14ac:dyDescent="0.3">
      <c r="A709" s="44" t="str">
        <f t="shared" ca="1" si="11"/>
        <v>7.MENG</v>
      </c>
      <c r="B70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09" s="47"/>
      <c r="D709" s="44"/>
      <c r="E709" s="44"/>
      <c r="F709" s="47"/>
      <c r="G709" s="47"/>
      <c r="H709" s="45"/>
      <c r="I709" s="45"/>
      <c r="J709" s="45"/>
      <c r="K709" s="45"/>
      <c r="L709" s="46"/>
      <c r="M709" s="47"/>
      <c r="N709" s="47"/>
      <c r="O709" s="47"/>
      <c r="P709" s="47"/>
      <c r="Q709" s="47"/>
      <c r="R709" s="47"/>
      <c r="S709" s="48"/>
      <c r="T709" s="68" t="str">
        <f>IF(Tableau1[[#This Row],[DMS_SAP]]="","",HYPERLINK(Tableau1[[#This Row],[Chemin fichier source]],"X"))</f>
        <v/>
      </c>
      <c r="U709" s="68" t="str">
        <f>IF(Tableau1[[#This Row],[Date rév.]]="","",HYPERLINK(Tableau1[[#This Row],[Lien document]],"X"))</f>
        <v/>
      </c>
      <c r="V709" s="47"/>
      <c r="W70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09" s="47"/>
      <c r="Y709" s="47"/>
      <c r="Z709" s="44" t="str">
        <f ca="1">IF(AND(Tableau1[[#This Row],[Charge]]&lt;&gt;0, Tableau1[[#This Row],[Nombre intervenants]]&lt;&gt;0,Tableau1[[#This Row],[Lien document]]&lt;&gt;0,Tableau1[[#This Row],[DMS_SAP]]&lt;&gt;0)=TRUE,"MIS A JOUR","")</f>
        <v/>
      </c>
      <c r="AA709" s="48"/>
      <c r="AB709" s="65" t="str">
        <f ca="1">IF(Tableau1[[#This Row],[Date rév.]]&lt;&gt;"", DAYS360(Tableau1[[#This Row],[Date rév.]],TODAY()),"")</f>
        <v/>
      </c>
      <c r="AC709" s="50" t="str">
        <f>IFERROR(INDEX(Chemin_accès!$B$11:$C$22,MATCH(Tableau1[[#This Row],[Type]],Chemin_accès!$C$11:$C$22,0),1),Chemin_accès!$B$11)</f>
        <v>\\stjn.local\trimet\Btechnique\Commun\Atelier Central mécanique\Plan entretien\Modèles préventif\GammeDMS_7.MENG.xlsm</v>
      </c>
      <c r="AD709" s="50" t="str">
        <f>Chemin_accès!$B$8&amp;Tableau1[[#This Row],[Localisation / Classement]]&amp;"\"&amp;Tableau1[[#This Row],[Poste technique ou N° d''équipement]]&amp;"_"&amp;Tableau1[[#This Row],[Plan Entretien]]&amp;".xlsm"</f>
        <v>\\stjn.local\trimet\Btechnique\Commun\Atelier Central mécanique\Plan entretien\GammeEntretien\\_.xlsm</v>
      </c>
    </row>
    <row r="710" spans="1:30" x14ac:dyDescent="0.3">
      <c r="A710" s="44" t="str">
        <f t="shared" ca="1" si="11"/>
        <v>7.MENG</v>
      </c>
      <c r="B71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10" s="47"/>
      <c r="D710" s="44"/>
      <c r="E710" s="44"/>
      <c r="F710" s="47"/>
      <c r="G710" s="47"/>
      <c r="H710" s="45"/>
      <c r="I710" s="45"/>
      <c r="J710" s="45"/>
      <c r="K710" s="45"/>
      <c r="L710" s="46"/>
      <c r="M710" s="47"/>
      <c r="N710" s="47"/>
      <c r="O710" s="47"/>
      <c r="P710" s="47"/>
      <c r="Q710" s="47"/>
      <c r="R710" s="47"/>
      <c r="S710" s="48"/>
      <c r="T710" s="68" t="str">
        <f>IF(Tableau1[[#This Row],[DMS_SAP]]="","",HYPERLINK(Tableau1[[#This Row],[Chemin fichier source]],"X"))</f>
        <v/>
      </c>
      <c r="U710" s="68" t="str">
        <f>IF(Tableau1[[#This Row],[Date rév.]]="","",HYPERLINK(Tableau1[[#This Row],[Lien document]],"X"))</f>
        <v/>
      </c>
      <c r="V710" s="47"/>
      <c r="W71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10" s="47"/>
      <c r="Y710" s="47"/>
      <c r="Z710" s="44" t="str">
        <f ca="1">IF(AND(Tableau1[[#This Row],[Charge]]&lt;&gt;0, Tableau1[[#This Row],[Nombre intervenants]]&lt;&gt;0,Tableau1[[#This Row],[Lien document]]&lt;&gt;0,Tableau1[[#This Row],[DMS_SAP]]&lt;&gt;0)=TRUE,"MIS A JOUR","")</f>
        <v/>
      </c>
      <c r="AA710" s="48"/>
      <c r="AB710" s="65" t="str">
        <f ca="1">IF(Tableau1[[#This Row],[Date rév.]]&lt;&gt;"", DAYS360(Tableau1[[#This Row],[Date rév.]],TODAY()),"")</f>
        <v/>
      </c>
      <c r="AC710" s="50" t="str">
        <f>IFERROR(INDEX(Chemin_accès!$B$11:$C$22,MATCH(Tableau1[[#This Row],[Type]],Chemin_accès!$C$11:$C$22,0),1),Chemin_accès!$B$11)</f>
        <v>\\stjn.local\trimet\Btechnique\Commun\Atelier Central mécanique\Plan entretien\Modèles préventif\GammeDMS_7.MENG.xlsm</v>
      </c>
      <c r="AD710" s="50" t="str">
        <f>Chemin_accès!$B$8&amp;Tableau1[[#This Row],[Localisation / Classement]]&amp;"\"&amp;Tableau1[[#This Row],[Poste technique ou N° d''équipement]]&amp;"_"&amp;Tableau1[[#This Row],[Plan Entretien]]&amp;".xlsm"</f>
        <v>\\stjn.local\trimet\Btechnique\Commun\Atelier Central mécanique\Plan entretien\GammeEntretien\\_.xlsm</v>
      </c>
    </row>
    <row r="711" spans="1:30" x14ac:dyDescent="0.3">
      <c r="A711" s="44" t="str">
        <f t="shared" ca="1" si="11"/>
        <v>7.MENG</v>
      </c>
      <c r="B71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11" s="47"/>
      <c r="D711" s="44"/>
      <c r="E711" s="44"/>
      <c r="F711" s="47"/>
      <c r="G711" s="47"/>
      <c r="H711" s="45"/>
      <c r="I711" s="45"/>
      <c r="J711" s="45"/>
      <c r="K711" s="45"/>
      <c r="L711" s="46"/>
      <c r="M711" s="47"/>
      <c r="N711" s="47"/>
      <c r="O711" s="47"/>
      <c r="P711" s="47"/>
      <c r="Q711" s="47"/>
      <c r="R711" s="47"/>
      <c r="S711" s="48"/>
      <c r="T711" s="68" t="str">
        <f>IF(Tableau1[[#This Row],[DMS_SAP]]="","",HYPERLINK(Tableau1[[#This Row],[Chemin fichier source]],"X"))</f>
        <v/>
      </c>
      <c r="U711" s="68" t="str">
        <f>IF(Tableau1[[#This Row],[Date rév.]]="","",HYPERLINK(Tableau1[[#This Row],[Lien document]],"X"))</f>
        <v/>
      </c>
      <c r="V711" s="47"/>
      <c r="W71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11" s="47"/>
      <c r="Y711" s="47"/>
      <c r="Z711" s="44" t="str">
        <f ca="1">IF(AND(Tableau1[[#This Row],[Charge]]&lt;&gt;0, Tableau1[[#This Row],[Nombre intervenants]]&lt;&gt;0,Tableau1[[#This Row],[Lien document]]&lt;&gt;0,Tableau1[[#This Row],[DMS_SAP]]&lt;&gt;0)=TRUE,"MIS A JOUR","")</f>
        <v/>
      </c>
      <c r="AA711" s="48"/>
      <c r="AB711" s="65" t="str">
        <f ca="1">IF(Tableau1[[#This Row],[Date rév.]]&lt;&gt;"", DAYS360(Tableau1[[#This Row],[Date rév.]],TODAY()),"")</f>
        <v/>
      </c>
      <c r="AC711" s="50" t="str">
        <f>IFERROR(INDEX(Chemin_accès!$B$11:$C$22,MATCH(Tableau1[[#This Row],[Type]],Chemin_accès!$C$11:$C$22,0),1),Chemin_accès!$B$11)</f>
        <v>\\stjn.local\trimet\Btechnique\Commun\Atelier Central mécanique\Plan entretien\Modèles préventif\GammeDMS_7.MENG.xlsm</v>
      </c>
      <c r="AD711" s="50" t="str">
        <f>Chemin_accès!$B$8&amp;Tableau1[[#This Row],[Localisation / Classement]]&amp;"\"&amp;Tableau1[[#This Row],[Poste technique ou N° d''équipement]]&amp;"_"&amp;Tableau1[[#This Row],[Plan Entretien]]&amp;".xlsm"</f>
        <v>\\stjn.local\trimet\Btechnique\Commun\Atelier Central mécanique\Plan entretien\GammeEntretien\\_.xlsm</v>
      </c>
    </row>
    <row r="712" spans="1:30" x14ac:dyDescent="0.3">
      <c r="A712" s="44" t="str">
        <f t="shared" ca="1" si="11"/>
        <v>7.MENG</v>
      </c>
      <c r="B71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12" s="47"/>
      <c r="D712" s="44"/>
      <c r="E712" s="44"/>
      <c r="F712" s="47"/>
      <c r="G712" s="47"/>
      <c r="H712" s="45"/>
      <c r="I712" s="45"/>
      <c r="J712" s="45"/>
      <c r="K712" s="45"/>
      <c r="L712" s="46"/>
      <c r="M712" s="47"/>
      <c r="N712" s="47"/>
      <c r="O712" s="47"/>
      <c r="P712" s="47"/>
      <c r="Q712" s="47"/>
      <c r="R712" s="47"/>
      <c r="S712" s="48"/>
      <c r="T712" s="68" t="str">
        <f>IF(Tableau1[[#This Row],[DMS_SAP]]="","",HYPERLINK(Tableau1[[#This Row],[Chemin fichier source]],"X"))</f>
        <v/>
      </c>
      <c r="U712" s="68" t="str">
        <f>IF(Tableau1[[#This Row],[Date rév.]]="","",HYPERLINK(Tableau1[[#This Row],[Lien document]],"X"))</f>
        <v/>
      </c>
      <c r="V712" s="47"/>
      <c r="W71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12" s="47"/>
      <c r="Y712" s="47"/>
      <c r="Z712" s="44" t="str">
        <f ca="1">IF(AND(Tableau1[[#This Row],[Charge]]&lt;&gt;0, Tableau1[[#This Row],[Nombre intervenants]]&lt;&gt;0,Tableau1[[#This Row],[Lien document]]&lt;&gt;0,Tableau1[[#This Row],[DMS_SAP]]&lt;&gt;0)=TRUE,"MIS A JOUR","")</f>
        <v/>
      </c>
      <c r="AA712" s="48"/>
      <c r="AB712" s="65" t="str">
        <f ca="1">IF(Tableau1[[#This Row],[Date rév.]]&lt;&gt;"", DAYS360(Tableau1[[#This Row],[Date rév.]],TODAY()),"")</f>
        <v/>
      </c>
      <c r="AC712" s="50" t="str">
        <f>IFERROR(INDEX(Chemin_accès!$B$11:$C$22,MATCH(Tableau1[[#This Row],[Type]],Chemin_accès!$C$11:$C$22,0),1),Chemin_accès!$B$11)</f>
        <v>\\stjn.local\trimet\Btechnique\Commun\Atelier Central mécanique\Plan entretien\Modèles préventif\GammeDMS_7.MENG.xlsm</v>
      </c>
      <c r="AD712" s="50" t="str">
        <f>Chemin_accès!$B$8&amp;Tableau1[[#This Row],[Localisation / Classement]]&amp;"\"&amp;Tableau1[[#This Row],[Poste technique ou N° d''équipement]]&amp;"_"&amp;Tableau1[[#This Row],[Plan Entretien]]&amp;".xlsm"</f>
        <v>\\stjn.local\trimet\Btechnique\Commun\Atelier Central mécanique\Plan entretien\GammeEntretien\\_.xlsm</v>
      </c>
    </row>
    <row r="713" spans="1:30" x14ac:dyDescent="0.3">
      <c r="A713" s="44" t="str">
        <f t="shared" ca="1" si="11"/>
        <v>7.MENG</v>
      </c>
      <c r="B71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13" s="47"/>
      <c r="D713" s="44"/>
      <c r="E713" s="44"/>
      <c r="F713" s="47"/>
      <c r="G713" s="47"/>
      <c r="H713" s="45"/>
      <c r="I713" s="45"/>
      <c r="J713" s="45"/>
      <c r="K713" s="45"/>
      <c r="L713" s="46"/>
      <c r="M713" s="47"/>
      <c r="N713" s="47"/>
      <c r="O713" s="47"/>
      <c r="P713" s="47"/>
      <c r="Q713" s="47"/>
      <c r="R713" s="47"/>
      <c r="S713" s="48"/>
      <c r="T713" s="68" t="str">
        <f>IF(Tableau1[[#This Row],[DMS_SAP]]="","",HYPERLINK(Tableau1[[#This Row],[Chemin fichier source]],"X"))</f>
        <v/>
      </c>
      <c r="U713" s="68" t="str">
        <f>IF(Tableau1[[#This Row],[Date rév.]]="","",HYPERLINK(Tableau1[[#This Row],[Lien document]],"X"))</f>
        <v/>
      </c>
      <c r="V713" s="47"/>
      <c r="W71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13" s="47"/>
      <c r="Y713" s="47"/>
      <c r="Z713" s="44" t="str">
        <f ca="1">IF(AND(Tableau1[[#This Row],[Charge]]&lt;&gt;0, Tableau1[[#This Row],[Nombre intervenants]]&lt;&gt;0,Tableau1[[#This Row],[Lien document]]&lt;&gt;0,Tableau1[[#This Row],[DMS_SAP]]&lt;&gt;0)=TRUE,"MIS A JOUR","")</f>
        <v/>
      </c>
      <c r="AA713" s="48"/>
      <c r="AB713" s="65" t="str">
        <f ca="1">IF(Tableau1[[#This Row],[Date rév.]]&lt;&gt;"", DAYS360(Tableau1[[#This Row],[Date rév.]],TODAY()),"")</f>
        <v/>
      </c>
      <c r="AC713" s="50" t="str">
        <f>IFERROR(INDEX(Chemin_accès!$B$11:$C$22,MATCH(Tableau1[[#This Row],[Type]],Chemin_accès!$C$11:$C$22,0),1),Chemin_accès!$B$11)</f>
        <v>\\stjn.local\trimet\Btechnique\Commun\Atelier Central mécanique\Plan entretien\Modèles préventif\GammeDMS_7.MENG.xlsm</v>
      </c>
      <c r="AD713" s="50" t="str">
        <f>Chemin_accès!$B$8&amp;Tableau1[[#This Row],[Localisation / Classement]]&amp;"\"&amp;Tableau1[[#This Row],[Poste technique ou N° d''équipement]]&amp;"_"&amp;Tableau1[[#This Row],[Plan Entretien]]&amp;".xlsm"</f>
        <v>\\stjn.local\trimet\Btechnique\Commun\Atelier Central mécanique\Plan entretien\GammeEntretien\\_.xlsm</v>
      </c>
    </row>
    <row r="714" spans="1:30" x14ac:dyDescent="0.3">
      <c r="A714" s="44" t="str">
        <f t="shared" ca="1" si="11"/>
        <v>7.MENG</v>
      </c>
      <c r="B71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14" s="47"/>
      <c r="D714" s="44"/>
      <c r="E714" s="44"/>
      <c r="F714" s="47"/>
      <c r="G714" s="47"/>
      <c r="H714" s="45"/>
      <c r="I714" s="45"/>
      <c r="J714" s="45"/>
      <c r="K714" s="45"/>
      <c r="L714" s="46"/>
      <c r="M714" s="47"/>
      <c r="N714" s="47"/>
      <c r="O714" s="47"/>
      <c r="P714" s="47"/>
      <c r="Q714" s="47"/>
      <c r="R714" s="47"/>
      <c r="S714" s="48"/>
      <c r="T714" s="68" t="str">
        <f>IF(Tableau1[[#This Row],[DMS_SAP]]="","",HYPERLINK(Tableau1[[#This Row],[Chemin fichier source]],"X"))</f>
        <v/>
      </c>
      <c r="U714" s="68" t="str">
        <f>IF(Tableau1[[#This Row],[Date rév.]]="","",HYPERLINK(Tableau1[[#This Row],[Lien document]],"X"))</f>
        <v/>
      </c>
      <c r="V714" s="47"/>
      <c r="W71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14" s="47"/>
      <c r="Y714" s="47"/>
      <c r="Z714" s="44" t="str">
        <f ca="1">IF(AND(Tableau1[[#This Row],[Charge]]&lt;&gt;0, Tableau1[[#This Row],[Nombre intervenants]]&lt;&gt;0,Tableau1[[#This Row],[Lien document]]&lt;&gt;0,Tableau1[[#This Row],[DMS_SAP]]&lt;&gt;0)=TRUE,"MIS A JOUR","")</f>
        <v/>
      </c>
      <c r="AA714" s="48"/>
      <c r="AB714" s="65" t="str">
        <f ca="1">IF(Tableau1[[#This Row],[Date rév.]]&lt;&gt;"", DAYS360(Tableau1[[#This Row],[Date rév.]],TODAY()),"")</f>
        <v/>
      </c>
      <c r="AC714" s="50" t="str">
        <f>IFERROR(INDEX(Chemin_accès!$B$11:$C$22,MATCH(Tableau1[[#This Row],[Type]],Chemin_accès!$C$11:$C$22,0),1),Chemin_accès!$B$11)</f>
        <v>\\stjn.local\trimet\Btechnique\Commun\Atelier Central mécanique\Plan entretien\Modèles préventif\GammeDMS_7.MENG.xlsm</v>
      </c>
      <c r="AD714" s="50" t="str">
        <f>Chemin_accès!$B$8&amp;Tableau1[[#This Row],[Localisation / Classement]]&amp;"\"&amp;Tableau1[[#This Row],[Poste technique ou N° d''équipement]]&amp;"_"&amp;Tableau1[[#This Row],[Plan Entretien]]&amp;".xlsm"</f>
        <v>\\stjn.local\trimet\Btechnique\Commun\Atelier Central mécanique\Plan entretien\GammeEntretien\\_.xlsm</v>
      </c>
    </row>
    <row r="715" spans="1:30" x14ac:dyDescent="0.3">
      <c r="A715" s="44" t="str">
        <f t="shared" ca="1" si="11"/>
        <v>7.MENG</v>
      </c>
      <c r="B71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15" s="47"/>
      <c r="D715" s="44"/>
      <c r="E715" s="44"/>
      <c r="F715" s="47"/>
      <c r="G715" s="47"/>
      <c r="H715" s="45"/>
      <c r="I715" s="45"/>
      <c r="J715" s="45"/>
      <c r="K715" s="45"/>
      <c r="L715" s="46"/>
      <c r="M715" s="47"/>
      <c r="N715" s="47"/>
      <c r="O715" s="47"/>
      <c r="P715" s="47"/>
      <c r="Q715" s="47"/>
      <c r="R715" s="47"/>
      <c r="S715" s="48"/>
      <c r="T715" s="68" t="str">
        <f>IF(Tableau1[[#This Row],[DMS_SAP]]="","",HYPERLINK(Tableau1[[#This Row],[Chemin fichier source]],"X"))</f>
        <v/>
      </c>
      <c r="U715" s="68" t="str">
        <f>IF(Tableau1[[#This Row],[Date rév.]]="","",HYPERLINK(Tableau1[[#This Row],[Lien document]],"X"))</f>
        <v/>
      </c>
      <c r="V715" s="47"/>
      <c r="W71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15" s="47"/>
      <c r="Y715" s="47"/>
      <c r="Z715" s="44" t="str">
        <f ca="1">IF(AND(Tableau1[[#This Row],[Charge]]&lt;&gt;0, Tableau1[[#This Row],[Nombre intervenants]]&lt;&gt;0,Tableau1[[#This Row],[Lien document]]&lt;&gt;0,Tableau1[[#This Row],[DMS_SAP]]&lt;&gt;0)=TRUE,"MIS A JOUR","")</f>
        <v/>
      </c>
      <c r="AA715" s="48"/>
      <c r="AB715" s="65" t="str">
        <f ca="1">IF(Tableau1[[#This Row],[Date rév.]]&lt;&gt;"", DAYS360(Tableau1[[#This Row],[Date rév.]],TODAY()),"")</f>
        <v/>
      </c>
      <c r="AC715" s="50" t="str">
        <f>IFERROR(INDEX(Chemin_accès!$B$11:$C$22,MATCH(Tableau1[[#This Row],[Type]],Chemin_accès!$C$11:$C$22,0),1),Chemin_accès!$B$11)</f>
        <v>\\stjn.local\trimet\Btechnique\Commun\Atelier Central mécanique\Plan entretien\Modèles préventif\GammeDMS_7.MENG.xlsm</v>
      </c>
      <c r="AD715" s="50" t="str">
        <f>Chemin_accès!$B$8&amp;Tableau1[[#This Row],[Localisation / Classement]]&amp;"\"&amp;Tableau1[[#This Row],[Poste technique ou N° d''équipement]]&amp;"_"&amp;Tableau1[[#This Row],[Plan Entretien]]&amp;".xlsm"</f>
        <v>\\stjn.local\trimet\Btechnique\Commun\Atelier Central mécanique\Plan entretien\GammeEntretien\\_.xlsm</v>
      </c>
    </row>
    <row r="716" spans="1:30" x14ac:dyDescent="0.3">
      <c r="A716" s="44" t="str">
        <f t="shared" ca="1" si="11"/>
        <v>7.MENG</v>
      </c>
      <c r="B71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16" s="47"/>
      <c r="D716" s="44"/>
      <c r="E716" s="44"/>
      <c r="F716" s="47"/>
      <c r="G716" s="47"/>
      <c r="H716" s="45"/>
      <c r="I716" s="45"/>
      <c r="J716" s="45"/>
      <c r="K716" s="45"/>
      <c r="L716" s="46"/>
      <c r="M716" s="47"/>
      <c r="N716" s="47"/>
      <c r="O716" s="47"/>
      <c r="P716" s="47"/>
      <c r="Q716" s="47"/>
      <c r="R716" s="47"/>
      <c r="S716" s="48"/>
      <c r="T716" s="68" t="str">
        <f>IF(Tableau1[[#This Row],[DMS_SAP]]="","",HYPERLINK(Tableau1[[#This Row],[Chemin fichier source]],"X"))</f>
        <v/>
      </c>
      <c r="U716" s="68" t="str">
        <f>IF(Tableau1[[#This Row],[Date rév.]]="","",HYPERLINK(Tableau1[[#This Row],[Lien document]],"X"))</f>
        <v/>
      </c>
      <c r="V716" s="47"/>
      <c r="W71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16" s="47"/>
      <c r="Y716" s="47"/>
      <c r="Z716" s="44" t="str">
        <f ca="1">IF(AND(Tableau1[[#This Row],[Charge]]&lt;&gt;0, Tableau1[[#This Row],[Nombre intervenants]]&lt;&gt;0,Tableau1[[#This Row],[Lien document]]&lt;&gt;0,Tableau1[[#This Row],[DMS_SAP]]&lt;&gt;0)=TRUE,"MIS A JOUR","")</f>
        <v/>
      </c>
      <c r="AA716" s="48"/>
      <c r="AB716" s="65" t="str">
        <f ca="1">IF(Tableau1[[#This Row],[Date rév.]]&lt;&gt;"", DAYS360(Tableau1[[#This Row],[Date rév.]],TODAY()),"")</f>
        <v/>
      </c>
      <c r="AC716" s="50" t="str">
        <f>IFERROR(INDEX(Chemin_accès!$B$11:$C$22,MATCH(Tableau1[[#This Row],[Type]],Chemin_accès!$C$11:$C$22,0),1),Chemin_accès!$B$11)</f>
        <v>\\stjn.local\trimet\Btechnique\Commun\Atelier Central mécanique\Plan entretien\Modèles préventif\GammeDMS_7.MENG.xlsm</v>
      </c>
      <c r="AD716" s="50" t="str">
        <f>Chemin_accès!$B$8&amp;Tableau1[[#This Row],[Localisation / Classement]]&amp;"\"&amp;Tableau1[[#This Row],[Poste technique ou N° d''équipement]]&amp;"_"&amp;Tableau1[[#This Row],[Plan Entretien]]&amp;".xlsm"</f>
        <v>\\stjn.local\trimet\Btechnique\Commun\Atelier Central mécanique\Plan entretien\GammeEntretien\\_.xlsm</v>
      </c>
    </row>
    <row r="717" spans="1:30" x14ac:dyDescent="0.3">
      <c r="A717" s="44" t="str">
        <f t="shared" ca="1" si="11"/>
        <v>7.MENG</v>
      </c>
      <c r="B71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17" s="47"/>
      <c r="D717" s="44"/>
      <c r="E717" s="44"/>
      <c r="F717" s="47"/>
      <c r="G717" s="47"/>
      <c r="H717" s="45"/>
      <c r="I717" s="45"/>
      <c r="J717" s="45"/>
      <c r="K717" s="45"/>
      <c r="L717" s="46"/>
      <c r="M717" s="47"/>
      <c r="N717" s="47"/>
      <c r="O717" s="47"/>
      <c r="P717" s="47"/>
      <c r="Q717" s="47"/>
      <c r="R717" s="47"/>
      <c r="S717" s="48"/>
      <c r="T717" s="68" t="str">
        <f>IF(Tableau1[[#This Row],[DMS_SAP]]="","",HYPERLINK(Tableau1[[#This Row],[Chemin fichier source]],"X"))</f>
        <v/>
      </c>
      <c r="U717" s="68" t="str">
        <f>IF(Tableau1[[#This Row],[Date rév.]]="","",HYPERLINK(Tableau1[[#This Row],[Lien document]],"X"))</f>
        <v/>
      </c>
      <c r="V717" s="47"/>
      <c r="W71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17" s="47"/>
      <c r="Y717" s="47"/>
      <c r="Z717" s="44" t="str">
        <f ca="1">IF(AND(Tableau1[[#This Row],[Charge]]&lt;&gt;0, Tableau1[[#This Row],[Nombre intervenants]]&lt;&gt;0,Tableau1[[#This Row],[Lien document]]&lt;&gt;0,Tableau1[[#This Row],[DMS_SAP]]&lt;&gt;0)=TRUE,"MIS A JOUR","")</f>
        <v/>
      </c>
      <c r="AA717" s="48"/>
      <c r="AB717" s="65" t="str">
        <f ca="1">IF(Tableau1[[#This Row],[Date rév.]]&lt;&gt;"", DAYS360(Tableau1[[#This Row],[Date rév.]],TODAY()),"")</f>
        <v/>
      </c>
      <c r="AC717" s="50" t="str">
        <f>IFERROR(INDEX(Chemin_accès!$B$11:$C$22,MATCH(Tableau1[[#This Row],[Type]],Chemin_accès!$C$11:$C$22,0),1),Chemin_accès!$B$11)</f>
        <v>\\stjn.local\trimet\Btechnique\Commun\Atelier Central mécanique\Plan entretien\Modèles préventif\GammeDMS_7.MENG.xlsm</v>
      </c>
      <c r="AD717" s="50" t="str">
        <f>Chemin_accès!$B$8&amp;Tableau1[[#This Row],[Localisation / Classement]]&amp;"\"&amp;Tableau1[[#This Row],[Poste technique ou N° d''équipement]]&amp;"_"&amp;Tableau1[[#This Row],[Plan Entretien]]&amp;".xlsm"</f>
        <v>\\stjn.local\trimet\Btechnique\Commun\Atelier Central mécanique\Plan entretien\GammeEntretien\\_.xlsm</v>
      </c>
    </row>
    <row r="718" spans="1:30" x14ac:dyDescent="0.3">
      <c r="A718" s="44" t="str">
        <f t="shared" ca="1" si="11"/>
        <v>7.MENG</v>
      </c>
      <c r="B71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18" s="47"/>
      <c r="D718" s="44"/>
      <c r="E718" s="44"/>
      <c r="F718" s="47"/>
      <c r="G718" s="47"/>
      <c r="H718" s="45"/>
      <c r="I718" s="45"/>
      <c r="J718" s="45"/>
      <c r="K718" s="45"/>
      <c r="L718" s="46"/>
      <c r="M718" s="47"/>
      <c r="N718" s="47"/>
      <c r="O718" s="47"/>
      <c r="P718" s="47"/>
      <c r="Q718" s="47"/>
      <c r="R718" s="47"/>
      <c r="S718" s="48"/>
      <c r="T718" s="68" t="str">
        <f>IF(Tableau1[[#This Row],[DMS_SAP]]="","",HYPERLINK(Tableau1[[#This Row],[Chemin fichier source]],"X"))</f>
        <v/>
      </c>
      <c r="U718" s="68" t="str">
        <f>IF(Tableau1[[#This Row],[Date rév.]]="","",HYPERLINK(Tableau1[[#This Row],[Lien document]],"X"))</f>
        <v/>
      </c>
      <c r="V718" s="47"/>
      <c r="W71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18" s="47"/>
      <c r="Y718" s="47"/>
      <c r="Z718" s="44" t="str">
        <f ca="1">IF(AND(Tableau1[[#This Row],[Charge]]&lt;&gt;0, Tableau1[[#This Row],[Nombre intervenants]]&lt;&gt;0,Tableau1[[#This Row],[Lien document]]&lt;&gt;0,Tableau1[[#This Row],[DMS_SAP]]&lt;&gt;0)=TRUE,"MIS A JOUR","")</f>
        <v/>
      </c>
      <c r="AA718" s="48"/>
      <c r="AB718" s="65" t="str">
        <f ca="1">IF(Tableau1[[#This Row],[Date rév.]]&lt;&gt;"", DAYS360(Tableau1[[#This Row],[Date rév.]],TODAY()),"")</f>
        <v/>
      </c>
      <c r="AC718" s="50" t="str">
        <f>IFERROR(INDEX(Chemin_accès!$B$11:$C$22,MATCH(Tableau1[[#This Row],[Type]],Chemin_accès!$C$11:$C$22,0),1),Chemin_accès!$B$11)</f>
        <v>\\stjn.local\trimet\Btechnique\Commun\Atelier Central mécanique\Plan entretien\Modèles préventif\GammeDMS_7.MENG.xlsm</v>
      </c>
      <c r="AD718" s="50" t="str">
        <f>Chemin_accès!$B$8&amp;Tableau1[[#This Row],[Localisation / Classement]]&amp;"\"&amp;Tableau1[[#This Row],[Poste technique ou N° d''équipement]]&amp;"_"&amp;Tableau1[[#This Row],[Plan Entretien]]&amp;".xlsm"</f>
        <v>\\stjn.local\trimet\Btechnique\Commun\Atelier Central mécanique\Plan entretien\GammeEntretien\\_.xlsm</v>
      </c>
    </row>
    <row r="719" spans="1:30" x14ac:dyDescent="0.3">
      <c r="A719" s="44" t="str">
        <f t="shared" ca="1" si="11"/>
        <v>7.MENG</v>
      </c>
      <c r="B71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19" s="47"/>
      <c r="D719" s="44"/>
      <c r="E719" s="44"/>
      <c r="F719" s="47"/>
      <c r="G719" s="47"/>
      <c r="H719" s="45"/>
      <c r="I719" s="45"/>
      <c r="J719" s="45"/>
      <c r="K719" s="45"/>
      <c r="L719" s="46"/>
      <c r="M719" s="47"/>
      <c r="N719" s="47"/>
      <c r="O719" s="47"/>
      <c r="P719" s="47"/>
      <c r="Q719" s="47"/>
      <c r="R719" s="47"/>
      <c r="S719" s="48"/>
      <c r="T719" s="68" t="str">
        <f>IF(Tableau1[[#This Row],[DMS_SAP]]="","",HYPERLINK(Tableau1[[#This Row],[Chemin fichier source]],"X"))</f>
        <v/>
      </c>
      <c r="U719" s="68" t="str">
        <f>IF(Tableau1[[#This Row],[Date rév.]]="","",HYPERLINK(Tableau1[[#This Row],[Lien document]],"X"))</f>
        <v/>
      </c>
      <c r="V719" s="47"/>
      <c r="W71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19" s="47"/>
      <c r="Y719" s="47"/>
      <c r="Z719" s="44" t="str">
        <f ca="1">IF(AND(Tableau1[[#This Row],[Charge]]&lt;&gt;0, Tableau1[[#This Row],[Nombre intervenants]]&lt;&gt;0,Tableau1[[#This Row],[Lien document]]&lt;&gt;0,Tableau1[[#This Row],[DMS_SAP]]&lt;&gt;0)=TRUE,"MIS A JOUR","")</f>
        <v/>
      </c>
      <c r="AA719" s="48"/>
      <c r="AB719" s="65" t="str">
        <f ca="1">IF(Tableau1[[#This Row],[Date rév.]]&lt;&gt;"", DAYS360(Tableau1[[#This Row],[Date rév.]],TODAY()),"")</f>
        <v/>
      </c>
      <c r="AC719" s="50" t="str">
        <f>IFERROR(INDEX(Chemin_accès!$B$11:$C$22,MATCH(Tableau1[[#This Row],[Type]],Chemin_accès!$C$11:$C$22,0),1),Chemin_accès!$B$11)</f>
        <v>\\stjn.local\trimet\Btechnique\Commun\Atelier Central mécanique\Plan entretien\Modèles préventif\GammeDMS_7.MENG.xlsm</v>
      </c>
      <c r="AD719" s="50" t="str">
        <f>Chemin_accès!$B$8&amp;Tableau1[[#This Row],[Localisation / Classement]]&amp;"\"&amp;Tableau1[[#This Row],[Poste technique ou N° d''équipement]]&amp;"_"&amp;Tableau1[[#This Row],[Plan Entretien]]&amp;".xlsm"</f>
        <v>\\stjn.local\trimet\Btechnique\Commun\Atelier Central mécanique\Plan entretien\GammeEntretien\\_.xlsm</v>
      </c>
    </row>
    <row r="720" spans="1:30" x14ac:dyDescent="0.3">
      <c r="A720" s="44" t="str">
        <f t="shared" ca="1" si="11"/>
        <v>7.MENG</v>
      </c>
      <c r="B72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20" s="47"/>
      <c r="D720" s="44"/>
      <c r="E720" s="44"/>
      <c r="F720" s="47"/>
      <c r="G720" s="47"/>
      <c r="H720" s="45"/>
      <c r="I720" s="45"/>
      <c r="J720" s="45"/>
      <c r="K720" s="45"/>
      <c r="L720" s="46"/>
      <c r="M720" s="47"/>
      <c r="N720" s="47"/>
      <c r="O720" s="47"/>
      <c r="P720" s="47"/>
      <c r="Q720" s="47"/>
      <c r="R720" s="47"/>
      <c r="S720" s="48"/>
      <c r="T720" s="68" t="str">
        <f>IF(Tableau1[[#This Row],[DMS_SAP]]="","",HYPERLINK(Tableau1[[#This Row],[Chemin fichier source]],"X"))</f>
        <v/>
      </c>
      <c r="U720" s="68" t="str">
        <f>IF(Tableau1[[#This Row],[Date rév.]]="","",HYPERLINK(Tableau1[[#This Row],[Lien document]],"X"))</f>
        <v/>
      </c>
      <c r="V720" s="47"/>
      <c r="W72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20" s="47"/>
      <c r="Y720" s="47"/>
      <c r="Z720" s="44" t="str">
        <f ca="1">IF(AND(Tableau1[[#This Row],[Charge]]&lt;&gt;0, Tableau1[[#This Row],[Nombre intervenants]]&lt;&gt;0,Tableau1[[#This Row],[Lien document]]&lt;&gt;0,Tableau1[[#This Row],[DMS_SAP]]&lt;&gt;0)=TRUE,"MIS A JOUR","")</f>
        <v/>
      </c>
      <c r="AA720" s="48"/>
      <c r="AB720" s="65" t="str">
        <f ca="1">IF(Tableau1[[#This Row],[Date rév.]]&lt;&gt;"", DAYS360(Tableau1[[#This Row],[Date rév.]],TODAY()),"")</f>
        <v/>
      </c>
      <c r="AC720" s="50" t="str">
        <f>IFERROR(INDEX(Chemin_accès!$B$11:$C$22,MATCH(Tableau1[[#This Row],[Type]],Chemin_accès!$C$11:$C$22,0),1),Chemin_accès!$B$11)</f>
        <v>\\stjn.local\trimet\Btechnique\Commun\Atelier Central mécanique\Plan entretien\Modèles préventif\GammeDMS_7.MENG.xlsm</v>
      </c>
      <c r="AD720" s="50" t="str">
        <f>Chemin_accès!$B$8&amp;Tableau1[[#This Row],[Localisation / Classement]]&amp;"\"&amp;Tableau1[[#This Row],[Poste technique ou N° d''équipement]]&amp;"_"&amp;Tableau1[[#This Row],[Plan Entretien]]&amp;".xlsm"</f>
        <v>\\stjn.local\trimet\Btechnique\Commun\Atelier Central mécanique\Plan entretien\GammeEntretien\\_.xlsm</v>
      </c>
    </row>
    <row r="721" spans="1:30" x14ac:dyDescent="0.3">
      <c r="A721" s="44" t="str">
        <f t="shared" ca="1" si="11"/>
        <v>7.MENG</v>
      </c>
      <c r="B72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21" s="47"/>
      <c r="D721" s="44"/>
      <c r="E721" s="44"/>
      <c r="F721" s="47"/>
      <c r="G721" s="47"/>
      <c r="H721" s="45"/>
      <c r="I721" s="45"/>
      <c r="J721" s="45"/>
      <c r="K721" s="45"/>
      <c r="L721" s="46"/>
      <c r="M721" s="47"/>
      <c r="N721" s="47"/>
      <c r="O721" s="47"/>
      <c r="P721" s="47"/>
      <c r="Q721" s="47"/>
      <c r="R721" s="47"/>
      <c r="S721" s="48"/>
      <c r="T721" s="68" t="str">
        <f>IF(Tableau1[[#This Row],[DMS_SAP]]="","",HYPERLINK(Tableau1[[#This Row],[Chemin fichier source]],"X"))</f>
        <v/>
      </c>
      <c r="U721" s="68" t="str">
        <f>IF(Tableau1[[#This Row],[Date rév.]]="","",HYPERLINK(Tableau1[[#This Row],[Lien document]],"X"))</f>
        <v/>
      </c>
      <c r="V721" s="47"/>
      <c r="W72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21" s="47"/>
      <c r="Y721" s="47"/>
      <c r="Z721" s="44" t="str">
        <f ca="1">IF(AND(Tableau1[[#This Row],[Charge]]&lt;&gt;0, Tableau1[[#This Row],[Nombre intervenants]]&lt;&gt;0,Tableau1[[#This Row],[Lien document]]&lt;&gt;0,Tableau1[[#This Row],[DMS_SAP]]&lt;&gt;0)=TRUE,"MIS A JOUR","")</f>
        <v/>
      </c>
      <c r="AA721" s="48"/>
      <c r="AB721" s="65" t="str">
        <f ca="1">IF(Tableau1[[#This Row],[Date rév.]]&lt;&gt;"", DAYS360(Tableau1[[#This Row],[Date rév.]],TODAY()),"")</f>
        <v/>
      </c>
      <c r="AC721" s="50" t="str">
        <f>IFERROR(INDEX(Chemin_accès!$B$11:$C$22,MATCH(Tableau1[[#This Row],[Type]],Chemin_accès!$C$11:$C$22,0),1),Chemin_accès!$B$11)</f>
        <v>\\stjn.local\trimet\Btechnique\Commun\Atelier Central mécanique\Plan entretien\Modèles préventif\GammeDMS_7.MENG.xlsm</v>
      </c>
      <c r="AD721" s="50" t="str">
        <f>Chemin_accès!$B$8&amp;Tableau1[[#This Row],[Localisation / Classement]]&amp;"\"&amp;Tableau1[[#This Row],[Poste technique ou N° d''équipement]]&amp;"_"&amp;Tableau1[[#This Row],[Plan Entretien]]&amp;".xlsm"</f>
        <v>\\stjn.local\trimet\Btechnique\Commun\Atelier Central mécanique\Plan entretien\GammeEntretien\\_.xlsm</v>
      </c>
    </row>
    <row r="722" spans="1:30" x14ac:dyDescent="0.3">
      <c r="A722" s="44" t="str">
        <f t="shared" ca="1" si="11"/>
        <v>7.MENG</v>
      </c>
      <c r="B72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22" s="47"/>
      <c r="D722" s="44"/>
      <c r="E722" s="44"/>
      <c r="F722" s="47"/>
      <c r="G722" s="47"/>
      <c r="H722" s="45"/>
      <c r="I722" s="45"/>
      <c r="J722" s="45"/>
      <c r="K722" s="45"/>
      <c r="L722" s="46"/>
      <c r="M722" s="47"/>
      <c r="N722" s="47"/>
      <c r="O722" s="47"/>
      <c r="P722" s="47"/>
      <c r="Q722" s="47"/>
      <c r="R722" s="47"/>
      <c r="S722" s="48"/>
      <c r="T722" s="68" t="str">
        <f>IF(Tableau1[[#This Row],[DMS_SAP]]="","",HYPERLINK(Tableau1[[#This Row],[Chemin fichier source]],"X"))</f>
        <v/>
      </c>
      <c r="U722" s="68" t="str">
        <f>IF(Tableau1[[#This Row],[Date rév.]]="","",HYPERLINK(Tableau1[[#This Row],[Lien document]],"X"))</f>
        <v/>
      </c>
      <c r="V722" s="47"/>
      <c r="W72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22" s="47"/>
      <c r="Y722" s="47"/>
      <c r="Z722" s="44" t="str">
        <f ca="1">IF(AND(Tableau1[[#This Row],[Charge]]&lt;&gt;0, Tableau1[[#This Row],[Nombre intervenants]]&lt;&gt;0,Tableau1[[#This Row],[Lien document]]&lt;&gt;0,Tableau1[[#This Row],[DMS_SAP]]&lt;&gt;0)=TRUE,"MIS A JOUR","")</f>
        <v/>
      </c>
      <c r="AA722" s="48"/>
      <c r="AB722" s="65" t="str">
        <f ca="1">IF(Tableau1[[#This Row],[Date rév.]]&lt;&gt;"", DAYS360(Tableau1[[#This Row],[Date rév.]],TODAY()),"")</f>
        <v/>
      </c>
      <c r="AC722" s="50" t="str">
        <f>IFERROR(INDEX(Chemin_accès!$B$11:$C$22,MATCH(Tableau1[[#This Row],[Type]],Chemin_accès!$C$11:$C$22,0),1),Chemin_accès!$B$11)</f>
        <v>\\stjn.local\trimet\Btechnique\Commun\Atelier Central mécanique\Plan entretien\Modèles préventif\GammeDMS_7.MENG.xlsm</v>
      </c>
      <c r="AD722" s="50" t="str">
        <f>Chemin_accès!$B$8&amp;Tableau1[[#This Row],[Localisation / Classement]]&amp;"\"&amp;Tableau1[[#This Row],[Poste technique ou N° d''équipement]]&amp;"_"&amp;Tableau1[[#This Row],[Plan Entretien]]&amp;".xlsm"</f>
        <v>\\stjn.local\trimet\Btechnique\Commun\Atelier Central mécanique\Plan entretien\GammeEntretien\\_.xlsm</v>
      </c>
    </row>
    <row r="723" spans="1:30" x14ac:dyDescent="0.3">
      <c r="A723" s="44" t="str">
        <f t="shared" ca="1" si="11"/>
        <v>7.MENG</v>
      </c>
      <c r="B72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23" s="47"/>
      <c r="D723" s="44"/>
      <c r="E723" s="44"/>
      <c r="F723" s="47"/>
      <c r="G723" s="47"/>
      <c r="H723" s="45"/>
      <c r="I723" s="45"/>
      <c r="J723" s="45"/>
      <c r="K723" s="45"/>
      <c r="L723" s="46"/>
      <c r="M723" s="47"/>
      <c r="N723" s="47"/>
      <c r="O723" s="47"/>
      <c r="P723" s="47"/>
      <c r="Q723" s="47"/>
      <c r="R723" s="47"/>
      <c r="S723" s="48"/>
      <c r="T723" s="68" t="str">
        <f>IF(Tableau1[[#This Row],[DMS_SAP]]="","",HYPERLINK(Tableau1[[#This Row],[Chemin fichier source]],"X"))</f>
        <v/>
      </c>
      <c r="U723" s="68" t="str">
        <f>IF(Tableau1[[#This Row],[Date rév.]]="","",HYPERLINK(Tableau1[[#This Row],[Lien document]],"X"))</f>
        <v/>
      </c>
      <c r="V723" s="47"/>
      <c r="W72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23" s="47"/>
      <c r="Y723" s="47"/>
      <c r="Z723" s="44" t="str">
        <f ca="1">IF(AND(Tableau1[[#This Row],[Charge]]&lt;&gt;0, Tableau1[[#This Row],[Nombre intervenants]]&lt;&gt;0,Tableau1[[#This Row],[Lien document]]&lt;&gt;0,Tableau1[[#This Row],[DMS_SAP]]&lt;&gt;0)=TRUE,"MIS A JOUR","")</f>
        <v/>
      </c>
      <c r="AA723" s="48"/>
      <c r="AB723" s="65" t="str">
        <f ca="1">IF(Tableau1[[#This Row],[Date rév.]]&lt;&gt;"", DAYS360(Tableau1[[#This Row],[Date rév.]],TODAY()),"")</f>
        <v/>
      </c>
      <c r="AC723" s="50" t="str">
        <f>IFERROR(INDEX(Chemin_accès!$B$11:$C$22,MATCH(Tableau1[[#This Row],[Type]],Chemin_accès!$C$11:$C$22,0),1),Chemin_accès!$B$11)</f>
        <v>\\stjn.local\trimet\Btechnique\Commun\Atelier Central mécanique\Plan entretien\Modèles préventif\GammeDMS_7.MENG.xlsm</v>
      </c>
      <c r="AD723" s="50" t="str">
        <f>Chemin_accès!$B$8&amp;Tableau1[[#This Row],[Localisation / Classement]]&amp;"\"&amp;Tableau1[[#This Row],[Poste technique ou N° d''équipement]]&amp;"_"&amp;Tableau1[[#This Row],[Plan Entretien]]&amp;".xlsm"</f>
        <v>\\stjn.local\trimet\Btechnique\Commun\Atelier Central mécanique\Plan entretien\GammeEntretien\\_.xlsm</v>
      </c>
    </row>
    <row r="724" spans="1:30" x14ac:dyDescent="0.3">
      <c r="A724" s="44" t="str">
        <f t="shared" ca="1" si="11"/>
        <v>7.MENG</v>
      </c>
      <c r="B72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24" s="47"/>
      <c r="D724" s="44"/>
      <c r="E724" s="44"/>
      <c r="F724" s="47"/>
      <c r="G724" s="47"/>
      <c r="H724" s="45"/>
      <c r="I724" s="45"/>
      <c r="J724" s="45"/>
      <c r="K724" s="45"/>
      <c r="L724" s="46"/>
      <c r="M724" s="47"/>
      <c r="N724" s="47"/>
      <c r="O724" s="47"/>
      <c r="P724" s="47"/>
      <c r="Q724" s="47"/>
      <c r="R724" s="47"/>
      <c r="S724" s="48"/>
      <c r="T724" s="68" t="str">
        <f>IF(Tableau1[[#This Row],[DMS_SAP]]="","",HYPERLINK(Tableau1[[#This Row],[Chemin fichier source]],"X"))</f>
        <v/>
      </c>
      <c r="U724" s="68" t="str">
        <f>IF(Tableau1[[#This Row],[Date rév.]]="","",HYPERLINK(Tableau1[[#This Row],[Lien document]],"X"))</f>
        <v/>
      </c>
      <c r="V724" s="47"/>
      <c r="W72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24" s="47"/>
      <c r="Y724" s="47"/>
      <c r="Z724" s="44" t="str">
        <f ca="1">IF(AND(Tableau1[[#This Row],[Charge]]&lt;&gt;0, Tableau1[[#This Row],[Nombre intervenants]]&lt;&gt;0,Tableau1[[#This Row],[Lien document]]&lt;&gt;0,Tableau1[[#This Row],[DMS_SAP]]&lt;&gt;0)=TRUE,"MIS A JOUR","")</f>
        <v/>
      </c>
      <c r="AA724" s="48"/>
      <c r="AB724" s="65" t="str">
        <f ca="1">IF(Tableau1[[#This Row],[Date rév.]]&lt;&gt;"", DAYS360(Tableau1[[#This Row],[Date rév.]],TODAY()),"")</f>
        <v/>
      </c>
      <c r="AC724" s="50" t="str">
        <f>IFERROR(INDEX(Chemin_accès!$B$11:$C$22,MATCH(Tableau1[[#This Row],[Type]],Chemin_accès!$C$11:$C$22,0),1),Chemin_accès!$B$11)</f>
        <v>\\stjn.local\trimet\Btechnique\Commun\Atelier Central mécanique\Plan entretien\Modèles préventif\GammeDMS_7.MENG.xlsm</v>
      </c>
      <c r="AD724" s="50" t="str">
        <f>Chemin_accès!$B$8&amp;Tableau1[[#This Row],[Localisation / Classement]]&amp;"\"&amp;Tableau1[[#This Row],[Poste technique ou N° d''équipement]]&amp;"_"&amp;Tableau1[[#This Row],[Plan Entretien]]&amp;".xlsm"</f>
        <v>\\stjn.local\trimet\Btechnique\Commun\Atelier Central mécanique\Plan entretien\GammeEntretien\\_.xlsm</v>
      </c>
    </row>
    <row r="725" spans="1:30" x14ac:dyDescent="0.3">
      <c r="A725" s="44" t="str">
        <f t="shared" ca="1" si="11"/>
        <v>7.MENG</v>
      </c>
      <c r="B72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25" s="47"/>
      <c r="D725" s="44"/>
      <c r="E725" s="44"/>
      <c r="F725" s="47"/>
      <c r="G725" s="47"/>
      <c r="H725" s="45"/>
      <c r="I725" s="45"/>
      <c r="J725" s="45"/>
      <c r="K725" s="45"/>
      <c r="L725" s="46"/>
      <c r="M725" s="47"/>
      <c r="N725" s="47"/>
      <c r="O725" s="47"/>
      <c r="P725" s="47"/>
      <c r="Q725" s="47"/>
      <c r="R725" s="47"/>
      <c r="S725" s="48"/>
      <c r="T725" s="68" t="str">
        <f>IF(Tableau1[[#This Row],[DMS_SAP]]="","",HYPERLINK(Tableau1[[#This Row],[Chemin fichier source]],"X"))</f>
        <v/>
      </c>
      <c r="U725" s="68" t="str">
        <f>IF(Tableau1[[#This Row],[Date rév.]]="","",HYPERLINK(Tableau1[[#This Row],[Lien document]],"X"))</f>
        <v/>
      </c>
      <c r="V725" s="47"/>
      <c r="W72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25" s="47"/>
      <c r="Y725" s="47"/>
      <c r="Z725" s="44" t="str">
        <f ca="1">IF(AND(Tableau1[[#This Row],[Charge]]&lt;&gt;0, Tableau1[[#This Row],[Nombre intervenants]]&lt;&gt;0,Tableau1[[#This Row],[Lien document]]&lt;&gt;0,Tableau1[[#This Row],[DMS_SAP]]&lt;&gt;0)=TRUE,"MIS A JOUR","")</f>
        <v/>
      </c>
      <c r="AA725" s="48"/>
      <c r="AB725" s="65" t="str">
        <f ca="1">IF(Tableau1[[#This Row],[Date rév.]]&lt;&gt;"", DAYS360(Tableau1[[#This Row],[Date rév.]],TODAY()),"")</f>
        <v/>
      </c>
      <c r="AC725" s="50" t="str">
        <f>IFERROR(INDEX(Chemin_accès!$B$11:$C$22,MATCH(Tableau1[[#This Row],[Type]],Chemin_accès!$C$11:$C$22,0),1),Chemin_accès!$B$11)</f>
        <v>\\stjn.local\trimet\Btechnique\Commun\Atelier Central mécanique\Plan entretien\Modèles préventif\GammeDMS_7.MENG.xlsm</v>
      </c>
      <c r="AD725" s="50" t="str">
        <f>Chemin_accès!$B$8&amp;Tableau1[[#This Row],[Localisation / Classement]]&amp;"\"&amp;Tableau1[[#This Row],[Poste technique ou N° d''équipement]]&amp;"_"&amp;Tableau1[[#This Row],[Plan Entretien]]&amp;".xlsm"</f>
        <v>\\stjn.local\trimet\Btechnique\Commun\Atelier Central mécanique\Plan entretien\GammeEntretien\\_.xlsm</v>
      </c>
    </row>
    <row r="726" spans="1:30" x14ac:dyDescent="0.3">
      <c r="A726" s="44" t="str">
        <f t="shared" ca="1" si="11"/>
        <v>7.MENG</v>
      </c>
      <c r="B72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26" s="47"/>
      <c r="D726" s="44"/>
      <c r="E726" s="44"/>
      <c r="F726" s="47"/>
      <c r="G726" s="47"/>
      <c r="H726" s="45"/>
      <c r="I726" s="45"/>
      <c r="J726" s="45"/>
      <c r="K726" s="45"/>
      <c r="L726" s="46"/>
      <c r="M726" s="47"/>
      <c r="N726" s="47"/>
      <c r="O726" s="47"/>
      <c r="P726" s="47"/>
      <c r="Q726" s="47"/>
      <c r="R726" s="47"/>
      <c r="S726" s="48"/>
      <c r="T726" s="68" t="str">
        <f>IF(Tableau1[[#This Row],[DMS_SAP]]="","",HYPERLINK(Tableau1[[#This Row],[Chemin fichier source]],"X"))</f>
        <v/>
      </c>
      <c r="U726" s="68" t="str">
        <f>IF(Tableau1[[#This Row],[Date rév.]]="","",HYPERLINK(Tableau1[[#This Row],[Lien document]],"X"))</f>
        <v/>
      </c>
      <c r="V726" s="47"/>
      <c r="W72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26" s="47"/>
      <c r="Y726" s="47"/>
      <c r="Z726" s="44" t="str">
        <f ca="1">IF(AND(Tableau1[[#This Row],[Charge]]&lt;&gt;0, Tableau1[[#This Row],[Nombre intervenants]]&lt;&gt;0,Tableau1[[#This Row],[Lien document]]&lt;&gt;0,Tableau1[[#This Row],[DMS_SAP]]&lt;&gt;0)=TRUE,"MIS A JOUR","")</f>
        <v/>
      </c>
      <c r="AA726" s="48"/>
      <c r="AB726" s="65" t="str">
        <f ca="1">IF(Tableau1[[#This Row],[Date rév.]]&lt;&gt;"", DAYS360(Tableau1[[#This Row],[Date rév.]],TODAY()),"")</f>
        <v/>
      </c>
      <c r="AC726" s="50" t="str">
        <f>IFERROR(INDEX(Chemin_accès!$B$11:$C$22,MATCH(Tableau1[[#This Row],[Type]],Chemin_accès!$C$11:$C$22,0),1),Chemin_accès!$B$11)</f>
        <v>\\stjn.local\trimet\Btechnique\Commun\Atelier Central mécanique\Plan entretien\Modèles préventif\GammeDMS_7.MENG.xlsm</v>
      </c>
      <c r="AD726" s="50" t="str">
        <f>Chemin_accès!$B$8&amp;Tableau1[[#This Row],[Localisation / Classement]]&amp;"\"&amp;Tableau1[[#This Row],[Poste technique ou N° d''équipement]]&amp;"_"&amp;Tableau1[[#This Row],[Plan Entretien]]&amp;".xlsm"</f>
        <v>\\stjn.local\trimet\Btechnique\Commun\Atelier Central mécanique\Plan entretien\GammeEntretien\\_.xlsm</v>
      </c>
    </row>
    <row r="727" spans="1:30" x14ac:dyDescent="0.3">
      <c r="A727" s="44" t="str">
        <f t="shared" ca="1" si="11"/>
        <v>7.MENG</v>
      </c>
      <c r="B72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27" s="47"/>
      <c r="D727" s="44"/>
      <c r="E727" s="44"/>
      <c r="F727" s="47"/>
      <c r="G727" s="47"/>
      <c r="H727" s="45"/>
      <c r="I727" s="45"/>
      <c r="J727" s="45"/>
      <c r="K727" s="45"/>
      <c r="L727" s="46"/>
      <c r="M727" s="47"/>
      <c r="N727" s="47"/>
      <c r="O727" s="47"/>
      <c r="P727" s="47"/>
      <c r="Q727" s="47"/>
      <c r="R727" s="47"/>
      <c r="S727" s="48"/>
      <c r="T727" s="68" t="str">
        <f>IF(Tableau1[[#This Row],[DMS_SAP]]="","",HYPERLINK(Tableau1[[#This Row],[Chemin fichier source]],"X"))</f>
        <v/>
      </c>
      <c r="U727" s="68" t="str">
        <f>IF(Tableau1[[#This Row],[Date rév.]]="","",HYPERLINK(Tableau1[[#This Row],[Lien document]],"X"))</f>
        <v/>
      </c>
      <c r="V727" s="47"/>
      <c r="W72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27" s="47"/>
      <c r="Y727" s="47"/>
      <c r="Z727" s="44" t="str">
        <f ca="1">IF(AND(Tableau1[[#This Row],[Charge]]&lt;&gt;0, Tableau1[[#This Row],[Nombre intervenants]]&lt;&gt;0,Tableau1[[#This Row],[Lien document]]&lt;&gt;0,Tableau1[[#This Row],[DMS_SAP]]&lt;&gt;0)=TRUE,"MIS A JOUR","")</f>
        <v/>
      </c>
      <c r="AA727" s="48"/>
      <c r="AB727" s="65" t="str">
        <f ca="1">IF(Tableau1[[#This Row],[Date rév.]]&lt;&gt;"", DAYS360(Tableau1[[#This Row],[Date rév.]],TODAY()),"")</f>
        <v/>
      </c>
      <c r="AC727" s="50" t="str">
        <f>IFERROR(INDEX(Chemin_accès!$B$11:$C$22,MATCH(Tableau1[[#This Row],[Type]],Chemin_accès!$C$11:$C$22,0),1),Chemin_accès!$B$11)</f>
        <v>\\stjn.local\trimet\Btechnique\Commun\Atelier Central mécanique\Plan entretien\Modèles préventif\GammeDMS_7.MENG.xlsm</v>
      </c>
      <c r="AD727" s="50" t="str">
        <f>Chemin_accès!$B$8&amp;Tableau1[[#This Row],[Localisation / Classement]]&amp;"\"&amp;Tableau1[[#This Row],[Poste technique ou N° d''équipement]]&amp;"_"&amp;Tableau1[[#This Row],[Plan Entretien]]&amp;".xlsm"</f>
        <v>\\stjn.local\trimet\Btechnique\Commun\Atelier Central mécanique\Plan entretien\GammeEntretien\\_.xlsm</v>
      </c>
    </row>
    <row r="728" spans="1:30" x14ac:dyDescent="0.3">
      <c r="A728" s="44" t="str">
        <f t="shared" ca="1" si="11"/>
        <v>7.MENG</v>
      </c>
      <c r="B72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28" s="47"/>
      <c r="D728" s="44"/>
      <c r="E728" s="44"/>
      <c r="F728" s="47"/>
      <c r="G728" s="47"/>
      <c r="H728" s="45"/>
      <c r="I728" s="45"/>
      <c r="J728" s="45"/>
      <c r="K728" s="45"/>
      <c r="L728" s="46"/>
      <c r="M728" s="47"/>
      <c r="N728" s="47"/>
      <c r="O728" s="47"/>
      <c r="P728" s="47"/>
      <c r="Q728" s="47"/>
      <c r="R728" s="47"/>
      <c r="S728" s="48"/>
      <c r="T728" s="68" t="str">
        <f>IF(Tableau1[[#This Row],[DMS_SAP]]="","",HYPERLINK(Tableau1[[#This Row],[Chemin fichier source]],"X"))</f>
        <v/>
      </c>
      <c r="U728" s="68" t="str">
        <f>IF(Tableau1[[#This Row],[Date rév.]]="","",HYPERLINK(Tableau1[[#This Row],[Lien document]],"X"))</f>
        <v/>
      </c>
      <c r="V728" s="47"/>
      <c r="W72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28" s="47"/>
      <c r="Y728" s="47"/>
      <c r="Z728" s="44" t="str">
        <f ca="1">IF(AND(Tableau1[[#This Row],[Charge]]&lt;&gt;0, Tableau1[[#This Row],[Nombre intervenants]]&lt;&gt;0,Tableau1[[#This Row],[Lien document]]&lt;&gt;0,Tableau1[[#This Row],[DMS_SAP]]&lt;&gt;0)=TRUE,"MIS A JOUR","")</f>
        <v/>
      </c>
      <c r="AA728" s="48"/>
      <c r="AB728" s="65" t="str">
        <f ca="1">IF(Tableau1[[#This Row],[Date rév.]]&lt;&gt;"", DAYS360(Tableau1[[#This Row],[Date rév.]],TODAY()),"")</f>
        <v/>
      </c>
      <c r="AC728" s="50" t="str">
        <f>IFERROR(INDEX(Chemin_accès!$B$11:$C$22,MATCH(Tableau1[[#This Row],[Type]],Chemin_accès!$C$11:$C$22,0),1),Chemin_accès!$B$11)</f>
        <v>\\stjn.local\trimet\Btechnique\Commun\Atelier Central mécanique\Plan entretien\Modèles préventif\GammeDMS_7.MENG.xlsm</v>
      </c>
      <c r="AD728" s="50" t="str">
        <f>Chemin_accès!$B$8&amp;Tableau1[[#This Row],[Localisation / Classement]]&amp;"\"&amp;Tableau1[[#This Row],[Poste technique ou N° d''équipement]]&amp;"_"&amp;Tableau1[[#This Row],[Plan Entretien]]&amp;".xlsm"</f>
        <v>\\stjn.local\trimet\Btechnique\Commun\Atelier Central mécanique\Plan entretien\GammeEntretien\\_.xlsm</v>
      </c>
    </row>
    <row r="729" spans="1:30" x14ac:dyDescent="0.3">
      <c r="A729" s="44" t="str">
        <f t="shared" ca="1" si="11"/>
        <v>7.MENG</v>
      </c>
      <c r="B72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29" s="47"/>
      <c r="D729" s="44"/>
      <c r="E729" s="44"/>
      <c r="F729" s="47"/>
      <c r="G729" s="47"/>
      <c r="H729" s="45"/>
      <c r="I729" s="45"/>
      <c r="J729" s="45"/>
      <c r="K729" s="45"/>
      <c r="L729" s="46"/>
      <c r="M729" s="47"/>
      <c r="N729" s="47"/>
      <c r="O729" s="47"/>
      <c r="P729" s="47"/>
      <c r="Q729" s="47"/>
      <c r="R729" s="47"/>
      <c r="S729" s="48"/>
      <c r="T729" s="68" t="str">
        <f>IF(Tableau1[[#This Row],[DMS_SAP]]="","",HYPERLINK(Tableau1[[#This Row],[Chemin fichier source]],"X"))</f>
        <v/>
      </c>
      <c r="U729" s="68" t="str">
        <f>IF(Tableau1[[#This Row],[Date rév.]]="","",HYPERLINK(Tableau1[[#This Row],[Lien document]],"X"))</f>
        <v/>
      </c>
      <c r="V729" s="47"/>
      <c r="W72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29" s="47"/>
      <c r="Y729" s="47"/>
      <c r="Z729" s="44" t="str">
        <f ca="1">IF(AND(Tableau1[[#This Row],[Charge]]&lt;&gt;0, Tableau1[[#This Row],[Nombre intervenants]]&lt;&gt;0,Tableau1[[#This Row],[Lien document]]&lt;&gt;0,Tableau1[[#This Row],[DMS_SAP]]&lt;&gt;0)=TRUE,"MIS A JOUR","")</f>
        <v/>
      </c>
      <c r="AA729" s="48"/>
      <c r="AB729" s="65" t="str">
        <f ca="1">IF(Tableau1[[#This Row],[Date rév.]]&lt;&gt;"", DAYS360(Tableau1[[#This Row],[Date rév.]],TODAY()),"")</f>
        <v/>
      </c>
      <c r="AC729" s="50" t="str">
        <f>IFERROR(INDEX(Chemin_accès!$B$11:$C$22,MATCH(Tableau1[[#This Row],[Type]],Chemin_accès!$C$11:$C$22,0),1),Chemin_accès!$B$11)</f>
        <v>\\stjn.local\trimet\Btechnique\Commun\Atelier Central mécanique\Plan entretien\Modèles préventif\GammeDMS_7.MENG.xlsm</v>
      </c>
      <c r="AD729" s="50" t="str">
        <f>Chemin_accès!$B$8&amp;Tableau1[[#This Row],[Localisation / Classement]]&amp;"\"&amp;Tableau1[[#This Row],[Poste technique ou N° d''équipement]]&amp;"_"&amp;Tableau1[[#This Row],[Plan Entretien]]&amp;".xlsm"</f>
        <v>\\stjn.local\trimet\Btechnique\Commun\Atelier Central mécanique\Plan entretien\GammeEntretien\\_.xlsm</v>
      </c>
    </row>
    <row r="730" spans="1:30" x14ac:dyDescent="0.3">
      <c r="A730" s="44" t="str">
        <f t="shared" ca="1" si="11"/>
        <v>7.MENG</v>
      </c>
      <c r="B73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30" s="47"/>
      <c r="D730" s="44"/>
      <c r="E730" s="44"/>
      <c r="F730" s="47"/>
      <c r="G730" s="47"/>
      <c r="H730" s="45"/>
      <c r="I730" s="45"/>
      <c r="J730" s="45"/>
      <c r="K730" s="45"/>
      <c r="L730" s="46"/>
      <c r="M730" s="47"/>
      <c r="N730" s="47"/>
      <c r="O730" s="47"/>
      <c r="P730" s="47"/>
      <c r="Q730" s="47"/>
      <c r="R730" s="47"/>
      <c r="S730" s="48"/>
      <c r="T730" s="68" t="str">
        <f>IF(Tableau1[[#This Row],[DMS_SAP]]="","",HYPERLINK(Tableau1[[#This Row],[Chemin fichier source]],"X"))</f>
        <v/>
      </c>
      <c r="U730" s="68" t="str">
        <f>IF(Tableau1[[#This Row],[Date rév.]]="","",HYPERLINK(Tableau1[[#This Row],[Lien document]],"X"))</f>
        <v/>
      </c>
      <c r="V730" s="47"/>
      <c r="W73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30" s="47"/>
      <c r="Y730" s="47"/>
      <c r="Z730" s="44" t="str">
        <f ca="1">IF(AND(Tableau1[[#This Row],[Charge]]&lt;&gt;0, Tableau1[[#This Row],[Nombre intervenants]]&lt;&gt;0,Tableau1[[#This Row],[Lien document]]&lt;&gt;0,Tableau1[[#This Row],[DMS_SAP]]&lt;&gt;0)=TRUE,"MIS A JOUR","")</f>
        <v/>
      </c>
      <c r="AA730" s="48"/>
      <c r="AB730" s="65" t="str">
        <f ca="1">IF(Tableau1[[#This Row],[Date rév.]]&lt;&gt;"", DAYS360(Tableau1[[#This Row],[Date rév.]],TODAY()),"")</f>
        <v/>
      </c>
      <c r="AC730" s="50" t="str">
        <f>IFERROR(INDEX(Chemin_accès!$B$11:$C$22,MATCH(Tableau1[[#This Row],[Type]],Chemin_accès!$C$11:$C$22,0),1),Chemin_accès!$B$11)</f>
        <v>\\stjn.local\trimet\Btechnique\Commun\Atelier Central mécanique\Plan entretien\Modèles préventif\GammeDMS_7.MENG.xlsm</v>
      </c>
      <c r="AD730" s="50" t="str">
        <f>Chemin_accès!$B$8&amp;Tableau1[[#This Row],[Localisation / Classement]]&amp;"\"&amp;Tableau1[[#This Row],[Poste technique ou N° d''équipement]]&amp;"_"&amp;Tableau1[[#This Row],[Plan Entretien]]&amp;".xlsm"</f>
        <v>\\stjn.local\trimet\Btechnique\Commun\Atelier Central mécanique\Plan entretien\GammeEntretien\\_.xlsm</v>
      </c>
    </row>
    <row r="731" spans="1:30" x14ac:dyDescent="0.3">
      <c r="A731" s="44" t="str">
        <f t="shared" ca="1" si="11"/>
        <v>7.MENG</v>
      </c>
      <c r="B73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31" s="47"/>
      <c r="D731" s="44"/>
      <c r="E731" s="44"/>
      <c r="F731" s="47"/>
      <c r="G731" s="47"/>
      <c r="H731" s="45"/>
      <c r="I731" s="45"/>
      <c r="J731" s="45"/>
      <c r="K731" s="45"/>
      <c r="L731" s="46"/>
      <c r="M731" s="47"/>
      <c r="N731" s="47"/>
      <c r="O731" s="47"/>
      <c r="P731" s="47"/>
      <c r="Q731" s="47"/>
      <c r="R731" s="47"/>
      <c r="S731" s="48"/>
      <c r="T731" s="68" t="str">
        <f>IF(Tableau1[[#This Row],[DMS_SAP]]="","",HYPERLINK(Tableau1[[#This Row],[Chemin fichier source]],"X"))</f>
        <v/>
      </c>
      <c r="U731" s="68" t="str">
        <f>IF(Tableau1[[#This Row],[Date rév.]]="","",HYPERLINK(Tableau1[[#This Row],[Lien document]],"X"))</f>
        <v/>
      </c>
      <c r="V731" s="47"/>
      <c r="W73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31" s="47"/>
      <c r="Y731" s="47"/>
      <c r="Z731" s="44" t="str">
        <f ca="1">IF(AND(Tableau1[[#This Row],[Charge]]&lt;&gt;0, Tableau1[[#This Row],[Nombre intervenants]]&lt;&gt;0,Tableau1[[#This Row],[Lien document]]&lt;&gt;0,Tableau1[[#This Row],[DMS_SAP]]&lt;&gt;0)=TRUE,"MIS A JOUR","")</f>
        <v/>
      </c>
      <c r="AA731" s="48"/>
      <c r="AB731" s="65" t="str">
        <f ca="1">IF(Tableau1[[#This Row],[Date rév.]]&lt;&gt;"", DAYS360(Tableau1[[#This Row],[Date rév.]],TODAY()),"")</f>
        <v/>
      </c>
      <c r="AC731" s="50" t="str">
        <f>IFERROR(INDEX(Chemin_accès!$B$11:$C$22,MATCH(Tableau1[[#This Row],[Type]],Chemin_accès!$C$11:$C$22,0),1),Chemin_accès!$B$11)</f>
        <v>\\stjn.local\trimet\Btechnique\Commun\Atelier Central mécanique\Plan entretien\Modèles préventif\GammeDMS_7.MENG.xlsm</v>
      </c>
      <c r="AD731" s="50" t="str">
        <f>Chemin_accès!$B$8&amp;Tableau1[[#This Row],[Localisation / Classement]]&amp;"\"&amp;Tableau1[[#This Row],[Poste technique ou N° d''équipement]]&amp;"_"&amp;Tableau1[[#This Row],[Plan Entretien]]&amp;".xlsm"</f>
        <v>\\stjn.local\trimet\Btechnique\Commun\Atelier Central mécanique\Plan entretien\GammeEntretien\\_.xlsm</v>
      </c>
    </row>
    <row r="732" spans="1:30" x14ac:dyDescent="0.3">
      <c r="A732" s="44" t="str">
        <f t="shared" ca="1" si="11"/>
        <v>7.MENG</v>
      </c>
      <c r="B73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32" s="47"/>
      <c r="D732" s="44"/>
      <c r="E732" s="44"/>
      <c r="F732" s="47"/>
      <c r="G732" s="47"/>
      <c r="H732" s="45"/>
      <c r="I732" s="45"/>
      <c r="J732" s="45"/>
      <c r="K732" s="45"/>
      <c r="L732" s="46"/>
      <c r="M732" s="47"/>
      <c r="N732" s="47"/>
      <c r="O732" s="47"/>
      <c r="P732" s="47"/>
      <c r="Q732" s="47"/>
      <c r="R732" s="47"/>
      <c r="S732" s="48"/>
      <c r="T732" s="68" t="str">
        <f>IF(Tableau1[[#This Row],[DMS_SAP]]="","",HYPERLINK(Tableau1[[#This Row],[Chemin fichier source]],"X"))</f>
        <v/>
      </c>
      <c r="U732" s="68" t="str">
        <f>IF(Tableau1[[#This Row],[Date rév.]]="","",HYPERLINK(Tableau1[[#This Row],[Lien document]],"X"))</f>
        <v/>
      </c>
      <c r="V732" s="47"/>
      <c r="W73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32" s="47"/>
      <c r="Y732" s="47"/>
      <c r="Z732" s="44" t="str">
        <f ca="1">IF(AND(Tableau1[[#This Row],[Charge]]&lt;&gt;0, Tableau1[[#This Row],[Nombre intervenants]]&lt;&gt;0,Tableau1[[#This Row],[Lien document]]&lt;&gt;0,Tableau1[[#This Row],[DMS_SAP]]&lt;&gt;0)=TRUE,"MIS A JOUR","")</f>
        <v/>
      </c>
      <c r="AA732" s="48"/>
      <c r="AB732" s="65" t="str">
        <f ca="1">IF(Tableau1[[#This Row],[Date rév.]]&lt;&gt;"", DAYS360(Tableau1[[#This Row],[Date rév.]],TODAY()),"")</f>
        <v/>
      </c>
      <c r="AC732" s="50" t="str">
        <f>IFERROR(INDEX(Chemin_accès!$B$11:$C$22,MATCH(Tableau1[[#This Row],[Type]],Chemin_accès!$C$11:$C$22,0),1),Chemin_accès!$B$11)</f>
        <v>\\stjn.local\trimet\Btechnique\Commun\Atelier Central mécanique\Plan entretien\Modèles préventif\GammeDMS_7.MENG.xlsm</v>
      </c>
      <c r="AD732" s="50" t="str">
        <f>Chemin_accès!$B$8&amp;Tableau1[[#This Row],[Localisation / Classement]]&amp;"\"&amp;Tableau1[[#This Row],[Poste technique ou N° d''équipement]]&amp;"_"&amp;Tableau1[[#This Row],[Plan Entretien]]&amp;".xlsm"</f>
        <v>\\stjn.local\trimet\Btechnique\Commun\Atelier Central mécanique\Plan entretien\GammeEntretien\\_.xlsm</v>
      </c>
    </row>
    <row r="733" spans="1:30" x14ac:dyDescent="0.3">
      <c r="A733" s="44" t="str">
        <f t="shared" ca="1" si="11"/>
        <v>7.MENG</v>
      </c>
      <c r="B73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33" s="47"/>
      <c r="D733" s="44"/>
      <c r="E733" s="44"/>
      <c r="F733" s="47"/>
      <c r="G733" s="47"/>
      <c r="H733" s="45"/>
      <c r="I733" s="45"/>
      <c r="J733" s="45"/>
      <c r="K733" s="45"/>
      <c r="L733" s="46"/>
      <c r="M733" s="47"/>
      <c r="N733" s="47"/>
      <c r="O733" s="47"/>
      <c r="P733" s="47"/>
      <c r="Q733" s="47"/>
      <c r="R733" s="47"/>
      <c r="S733" s="48"/>
      <c r="T733" s="68" t="str">
        <f>IF(Tableau1[[#This Row],[DMS_SAP]]="","",HYPERLINK(Tableau1[[#This Row],[Chemin fichier source]],"X"))</f>
        <v/>
      </c>
      <c r="U733" s="68" t="str">
        <f>IF(Tableau1[[#This Row],[Date rév.]]="","",HYPERLINK(Tableau1[[#This Row],[Lien document]],"X"))</f>
        <v/>
      </c>
      <c r="V733" s="47"/>
      <c r="W73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33" s="47"/>
      <c r="Y733" s="47"/>
      <c r="Z733" s="44" t="str">
        <f ca="1">IF(AND(Tableau1[[#This Row],[Charge]]&lt;&gt;0, Tableau1[[#This Row],[Nombre intervenants]]&lt;&gt;0,Tableau1[[#This Row],[Lien document]]&lt;&gt;0,Tableau1[[#This Row],[DMS_SAP]]&lt;&gt;0)=TRUE,"MIS A JOUR","")</f>
        <v/>
      </c>
      <c r="AA733" s="48"/>
      <c r="AB733" s="65" t="str">
        <f ca="1">IF(Tableau1[[#This Row],[Date rév.]]&lt;&gt;"", DAYS360(Tableau1[[#This Row],[Date rév.]],TODAY()),"")</f>
        <v/>
      </c>
      <c r="AC733" s="50" t="str">
        <f>IFERROR(INDEX(Chemin_accès!$B$11:$C$22,MATCH(Tableau1[[#This Row],[Type]],Chemin_accès!$C$11:$C$22,0),1),Chemin_accès!$B$11)</f>
        <v>\\stjn.local\trimet\Btechnique\Commun\Atelier Central mécanique\Plan entretien\Modèles préventif\GammeDMS_7.MENG.xlsm</v>
      </c>
      <c r="AD733" s="50" t="str">
        <f>Chemin_accès!$B$8&amp;Tableau1[[#This Row],[Localisation / Classement]]&amp;"\"&amp;Tableau1[[#This Row],[Poste technique ou N° d''équipement]]&amp;"_"&amp;Tableau1[[#This Row],[Plan Entretien]]&amp;".xlsm"</f>
        <v>\\stjn.local\trimet\Btechnique\Commun\Atelier Central mécanique\Plan entretien\GammeEntretien\\_.xlsm</v>
      </c>
    </row>
    <row r="734" spans="1:30" x14ac:dyDescent="0.3">
      <c r="A734" s="44" t="str">
        <f t="shared" ca="1" si="11"/>
        <v>7.MENG</v>
      </c>
      <c r="B73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34" s="47"/>
      <c r="D734" s="44"/>
      <c r="E734" s="44"/>
      <c r="F734" s="47"/>
      <c r="G734" s="47"/>
      <c r="H734" s="45"/>
      <c r="I734" s="45"/>
      <c r="J734" s="45"/>
      <c r="K734" s="45"/>
      <c r="L734" s="46"/>
      <c r="M734" s="47"/>
      <c r="N734" s="47"/>
      <c r="O734" s="47"/>
      <c r="P734" s="47"/>
      <c r="Q734" s="47"/>
      <c r="R734" s="47"/>
      <c r="S734" s="48"/>
      <c r="T734" s="68" t="str">
        <f>IF(Tableau1[[#This Row],[DMS_SAP]]="","",HYPERLINK(Tableau1[[#This Row],[Chemin fichier source]],"X"))</f>
        <v/>
      </c>
      <c r="U734" s="68" t="str">
        <f>IF(Tableau1[[#This Row],[Date rév.]]="","",HYPERLINK(Tableau1[[#This Row],[Lien document]],"X"))</f>
        <v/>
      </c>
      <c r="V734" s="47"/>
      <c r="W73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34" s="47"/>
      <c r="Y734" s="47"/>
      <c r="Z734" s="44" t="str">
        <f ca="1">IF(AND(Tableau1[[#This Row],[Charge]]&lt;&gt;0, Tableau1[[#This Row],[Nombre intervenants]]&lt;&gt;0,Tableau1[[#This Row],[Lien document]]&lt;&gt;0,Tableau1[[#This Row],[DMS_SAP]]&lt;&gt;0)=TRUE,"MIS A JOUR","")</f>
        <v/>
      </c>
      <c r="AA734" s="48"/>
      <c r="AB734" s="65" t="str">
        <f ca="1">IF(Tableau1[[#This Row],[Date rév.]]&lt;&gt;"", DAYS360(Tableau1[[#This Row],[Date rév.]],TODAY()),"")</f>
        <v/>
      </c>
      <c r="AC734" s="50" t="str">
        <f>IFERROR(INDEX(Chemin_accès!$B$11:$C$22,MATCH(Tableau1[[#This Row],[Type]],Chemin_accès!$C$11:$C$22,0),1),Chemin_accès!$B$11)</f>
        <v>\\stjn.local\trimet\Btechnique\Commun\Atelier Central mécanique\Plan entretien\Modèles préventif\GammeDMS_7.MENG.xlsm</v>
      </c>
      <c r="AD734" s="50" t="str">
        <f>Chemin_accès!$B$8&amp;Tableau1[[#This Row],[Localisation / Classement]]&amp;"\"&amp;Tableau1[[#This Row],[Poste technique ou N° d''équipement]]&amp;"_"&amp;Tableau1[[#This Row],[Plan Entretien]]&amp;".xlsm"</f>
        <v>\\stjn.local\trimet\Btechnique\Commun\Atelier Central mécanique\Plan entretien\GammeEntretien\\_.xlsm</v>
      </c>
    </row>
    <row r="735" spans="1:30" x14ac:dyDescent="0.3">
      <c r="A735" s="44" t="str">
        <f t="shared" ca="1" si="11"/>
        <v>7.MENG</v>
      </c>
      <c r="B73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35" s="47"/>
      <c r="D735" s="44"/>
      <c r="E735" s="44"/>
      <c r="F735" s="47"/>
      <c r="G735" s="47"/>
      <c r="H735" s="45"/>
      <c r="I735" s="45"/>
      <c r="J735" s="45"/>
      <c r="K735" s="45"/>
      <c r="L735" s="46"/>
      <c r="M735" s="47"/>
      <c r="N735" s="47"/>
      <c r="O735" s="47"/>
      <c r="P735" s="47"/>
      <c r="Q735" s="47"/>
      <c r="R735" s="47"/>
      <c r="S735" s="48"/>
      <c r="T735" s="68" t="str">
        <f>IF(Tableau1[[#This Row],[DMS_SAP]]="","",HYPERLINK(Tableau1[[#This Row],[Chemin fichier source]],"X"))</f>
        <v/>
      </c>
      <c r="U735" s="68" t="str">
        <f>IF(Tableau1[[#This Row],[Date rév.]]="","",HYPERLINK(Tableau1[[#This Row],[Lien document]],"X"))</f>
        <v/>
      </c>
      <c r="V735" s="47"/>
      <c r="W73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35" s="47"/>
      <c r="Y735" s="47"/>
      <c r="Z735" s="44" t="str">
        <f ca="1">IF(AND(Tableau1[[#This Row],[Charge]]&lt;&gt;0, Tableau1[[#This Row],[Nombre intervenants]]&lt;&gt;0,Tableau1[[#This Row],[Lien document]]&lt;&gt;0,Tableau1[[#This Row],[DMS_SAP]]&lt;&gt;0)=TRUE,"MIS A JOUR","")</f>
        <v/>
      </c>
      <c r="AA735" s="48"/>
      <c r="AB735" s="65" t="str">
        <f ca="1">IF(Tableau1[[#This Row],[Date rév.]]&lt;&gt;"", DAYS360(Tableau1[[#This Row],[Date rév.]],TODAY()),"")</f>
        <v/>
      </c>
      <c r="AC735" s="50" t="str">
        <f>IFERROR(INDEX(Chemin_accès!$B$11:$C$22,MATCH(Tableau1[[#This Row],[Type]],Chemin_accès!$C$11:$C$22,0),1),Chemin_accès!$B$11)</f>
        <v>\\stjn.local\trimet\Btechnique\Commun\Atelier Central mécanique\Plan entretien\Modèles préventif\GammeDMS_7.MENG.xlsm</v>
      </c>
      <c r="AD735" s="50" t="str">
        <f>Chemin_accès!$B$8&amp;Tableau1[[#This Row],[Localisation / Classement]]&amp;"\"&amp;Tableau1[[#This Row],[Poste technique ou N° d''équipement]]&amp;"_"&amp;Tableau1[[#This Row],[Plan Entretien]]&amp;".xlsm"</f>
        <v>\\stjn.local\trimet\Btechnique\Commun\Atelier Central mécanique\Plan entretien\GammeEntretien\\_.xlsm</v>
      </c>
    </row>
    <row r="736" spans="1:30" x14ac:dyDescent="0.3">
      <c r="A736" s="44" t="str">
        <f t="shared" ca="1" si="11"/>
        <v>7.MENG</v>
      </c>
      <c r="B73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36" s="47"/>
      <c r="D736" s="44"/>
      <c r="E736" s="44"/>
      <c r="F736" s="47"/>
      <c r="G736" s="47"/>
      <c r="H736" s="45"/>
      <c r="I736" s="45"/>
      <c r="J736" s="45"/>
      <c r="K736" s="45"/>
      <c r="L736" s="46"/>
      <c r="M736" s="47"/>
      <c r="N736" s="47"/>
      <c r="O736" s="47"/>
      <c r="P736" s="47"/>
      <c r="Q736" s="47"/>
      <c r="R736" s="47"/>
      <c r="S736" s="48"/>
      <c r="T736" s="68" t="str">
        <f>IF(Tableau1[[#This Row],[DMS_SAP]]="","",HYPERLINK(Tableau1[[#This Row],[Chemin fichier source]],"X"))</f>
        <v/>
      </c>
      <c r="U736" s="68" t="str">
        <f>IF(Tableau1[[#This Row],[Date rév.]]="","",HYPERLINK(Tableau1[[#This Row],[Lien document]],"X"))</f>
        <v/>
      </c>
      <c r="V736" s="47"/>
      <c r="W73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36" s="47"/>
      <c r="Y736" s="47"/>
      <c r="Z736" s="44" t="str">
        <f ca="1">IF(AND(Tableau1[[#This Row],[Charge]]&lt;&gt;0, Tableau1[[#This Row],[Nombre intervenants]]&lt;&gt;0,Tableau1[[#This Row],[Lien document]]&lt;&gt;0,Tableau1[[#This Row],[DMS_SAP]]&lt;&gt;0)=TRUE,"MIS A JOUR","")</f>
        <v/>
      </c>
      <c r="AA736" s="48"/>
      <c r="AB736" s="65" t="str">
        <f ca="1">IF(Tableau1[[#This Row],[Date rév.]]&lt;&gt;"", DAYS360(Tableau1[[#This Row],[Date rév.]],TODAY()),"")</f>
        <v/>
      </c>
      <c r="AC736" s="50" t="str">
        <f>IFERROR(INDEX(Chemin_accès!$B$11:$C$22,MATCH(Tableau1[[#This Row],[Type]],Chemin_accès!$C$11:$C$22,0),1),Chemin_accès!$B$11)</f>
        <v>\\stjn.local\trimet\Btechnique\Commun\Atelier Central mécanique\Plan entretien\Modèles préventif\GammeDMS_7.MENG.xlsm</v>
      </c>
      <c r="AD736" s="50" t="str">
        <f>Chemin_accès!$B$8&amp;Tableau1[[#This Row],[Localisation / Classement]]&amp;"\"&amp;Tableau1[[#This Row],[Poste technique ou N° d''équipement]]&amp;"_"&amp;Tableau1[[#This Row],[Plan Entretien]]&amp;".xlsm"</f>
        <v>\\stjn.local\trimet\Btechnique\Commun\Atelier Central mécanique\Plan entretien\GammeEntretien\\_.xlsm</v>
      </c>
    </row>
    <row r="737" spans="1:30" x14ac:dyDescent="0.3">
      <c r="A737" s="44" t="str">
        <f t="shared" ca="1" si="11"/>
        <v>7.MENG</v>
      </c>
      <c r="B73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37" s="47"/>
      <c r="D737" s="44"/>
      <c r="E737" s="44"/>
      <c r="F737" s="47"/>
      <c r="G737" s="47"/>
      <c r="H737" s="45"/>
      <c r="I737" s="45"/>
      <c r="J737" s="45"/>
      <c r="K737" s="45"/>
      <c r="L737" s="46"/>
      <c r="M737" s="47"/>
      <c r="N737" s="47"/>
      <c r="O737" s="47"/>
      <c r="P737" s="47"/>
      <c r="Q737" s="47"/>
      <c r="R737" s="47"/>
      <c r="S737" s="48"/>
      <c r="T737" s="68" t="str">
        <f>IF(Tableau1[[#This Row],[DMS_SAP]]="","",HYPERLINK(Tableau1[[#This Row],[Chemin fichier source]],"X"))</f>
        <v/>
      </c>
      <c r="U737" s="68" t="str">
        <f>IF(Tableau1[[#This Row],[Date rév.]]="","",HYPERLINK(Tableau1[[#This Row],[Lien document]],"X"))</f>
        <v/>
      </c>
      <c r="V737" s="47"/>
      <c r="W73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37" s="47"/>
      <c r="Y737" s="47"/>
      <c r="Z737" s="44" t="str">
        <f ca="1">IF(AND(Tableau1[[#This Row],[Charge]]&lt;&gt;0, Tableau1[[#This Row],[Nombre intervenants]]&lt;&gt;0,Tableau1[[#This Row],[Lien document]]&lt;&gt;0,Tableau1[[#This Row],[DMS_SAP]]&lt;&gt;0)=TRUE,"MIS A JOUR","")</f>
        <v/>
      </c>
      <c r="AA737" s="48"/>
      <c r="AB737" s="65" t="str">
        <f ca="1">IF(Tableau1[[#This Row],[Date rév.]]&lt;&gt;"", DAYS360(Tableau1[[#This Row],[Date rév.]],TODAY()),"")</f>
        <v/>
      </c>
      <c r="AC737" s="50" t="str">
        <f>IFERROR(INDEX(Chemin_accès!$B$11:$C$22,MATCH(Tableau1[[#This Row],[Type]],Chemin_accès!$C$11:$C$22,0),1),Chemin_accès!$B$11)</f>
        <v>\\stjn.local\trimet\Btechnique\Commun\Atelier Central mécanique\Plan entretien\Modèles préventif\GammeDMS_7.MENG.xlsm</v>
      </c>
      <c r="AD737" s="50" t="str">
        <f>Chemin_accès!$B$8&amp;Tableau1[[#This Row],[Localisation / Classement]]&amp;"\"&amp;Tableau1[[#This Row],[Poste technique ou N° d''équipement]]&amp;"_"&amp;Tableau1[[#This Row],[Plan Entretien]]&amp;".xlsm"</f>
        <v>\\stjn.local\trimet\Btechnique\Commun\Atelier Central mécanique\Plan entretien\GammeEntretien\\_.xlsm</v>
      </c>
    </row>
    <row r="738" spans="1:30" x14ac:dyDescent="0.3">
      <c r="A738" s="44" t="str">
        <f t="shared" ca="1" si="11"/>
        <v>7.MENG</v>
      </c>
      <c r="B73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38" s="47"/>
      <c r="D738" s="44"/>
      <c r="E738" s="44"/>
      <c r="F738" s="47"/>
      <c r="G738" s="47"/>
      <c r="H738" s="45"/>
      <c r="I738" s="45"/>
      <c r="J738" s="45"/>
      <c r="K738" s="45"/>
      <c r="L738" s="46"/>
      <c r="M738" s="47"/>
      <c r="N738" s="47"/>
      <c r="O738" s="47"/>
      <c r="P738" s="47"/>
      <c r="Q738" s="47"/>
      <c r="R738" s="47"/>
      <c r="S738" s="48"/>
      <c r="T738" s="68" t="str">
        <f>IF(Tableau1[[#This Row],[DMS_SAP]]="","",HYPERLINK(Tableau1[[#This Row],[Chemin fichier source]],"X"))</f>
        <v/>
      </c>
      <c r="U738" s="68" t="str">
        <f>IF(Tableau1[[#This Row],[Date rév.]]="","",HYPERLINK(Tableau1[[#This Row],[Lien document]],"X"))</f>
        <v/>
      </c>
      <c r="V738" s="47"/>
      <c r="W73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38" s="47"/>
      <c r="Y738" s="47"/>
      <c r="Z738" s="44" t="str">
        <f ca="1">IF(AND(Tableau1[[#This Row],[Charge]]&lt;&gt;0, Tableau1[[#This Row],[Nombre intervenants]]&lt;&gt;0,Tableau1[[#This Row],[Lien document]]&lt;&gt;0,Tableau1[[#This Row],[DMS_SAP]]&lt;&gt;0)=TRUE,"MIS A JOUR","")</f>
        <v/>
      </c>
      <c r="AA738" s="48"/>
      <c r="AB738" s="65" t="str">
        <f ca="1">IF(Tableau1[[#This Row],[Date rév.]]&lt;&gt;"", DAYS360(Tableau1[[#This Row],[Date rév.]],TODAY()),"")</f>
        <v/>
      </c>
      <c r="AC738" s="50" t="str">
        <f>IFERROR(INDEX(Chemin_accès!$B$11:$C$22,MATCH(Tableau1[[#This Row],[Type]],Chemin_accès!$C$11:$C$22,0),1),Chemin_accès!$B$11)</f>
        <v>\\stjn.local\trimet\Btechnique\Commun\Atelier Central mécanique\Plan entretien\Modèles préventif\GammeDMS_7.MENG.xlsm</v>
      </c>
      <c r="AD738" s="50" t="str">
        <f>Chemin_accès!$B$8&amp;Tableau1[[#This Row],[Localisation / Classement]]&amp;"\"&amp;Tableau1[[#This Row],[Poste technique ou N° d''équipement]]&amp;"_"&amp;Tableau1[[#This Row],[Plan Entretien]]&amp;".xlsm"</f>
        <v>\\stjn.local\trimet\Btechnique\Commun\Atelier Central mécanique\Plan entretien\GammeEntretien\\_.xlsm</v>
      </c>
    </row>
    <row r="739" spans="1:30" x14ac:dyDescent="0.3">
      <c r="A739" s="44" t="str">
        <f t="shared" ca="1" si="11"/>
        <v>7.MENG</v>
      </c>
      <c r="B73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39" s="47"/>
      <c r="D739" s="44"/>
      <c r="E739" s="44"/>
      <c r="F739" s="47"/>
      <c r="G739" s="47"/>
      <c r="H739" s="45"/>
      <c r="I739" s="45"/>
      <c r="J739" s="45"/>
      <c r="K739" s="45"/>
      <c r="L739" s="46"/>
      <c r="M739" s="47"/>
      <c r="N739" s="47"/>
      <c r="O739" s="47"/>
      <c r="P739" s="47"/>
      <c r="Q739" s="47"/>
      <c r="R739" s="47"/>
      <c r="S739" s="48"/>
      <c r="T739" s="68" t="str">
        <f>IF(Tableau1[[#This Row],[DMS_SAP]]="","",HYPERLINK(Tableau1[[#This Row],[Chemin fichier source]],"X"))</f>
        <v/>
      </c>
      <c r="U739" s="68" t="str">
        <f>IF(Tableau1[[#This Row],[Date rév.]]="","",HYPERLINK(Tableau1[[#This Row],[Lien document]],"X"))</f>
        <v/>
      </c>
      <c r="V739" s="47"/>
      <c r="W73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39" s="47"/>
      <c r="Y739" s="47"/>
      <c r="Z739" s="44" t="str">
        <f ca="1">IF(AND(Tableau1[[#This Row],[Charge]]&lt;&gt;0, Tableau1[[#This Row],[Nombre intervenants]]&lt;&gt;0,Tableau1[[#This Row],[Lien document]]&lt;&gt;0,Tableau1[[#This Row],[DMS_SAP]]&lt;&gt;0)=TRUE,"MIS A JOUR","")</f>
        <v/>
      </c>
      <c r="AA739" s="48"/>
      <c r="AB739" s="65" t="str">
        <f ca="1">IF(Tableau1[[#This Row],[Date rév.]]&lt;&gt;"", DAYS360(Tableau1[[#This Row],[Date rév.]],TODAY()),"")</f>
        <v/>
      </c>
      <c r="AC739" s="50" t="str">
        <f>IFERROR(INDEX(Chemin_accès!$B$11:$C$22,MATCH(Tableau1[[#This Row],[Type]],Chemin_accès!$C$11:$C$22,0),1),Chemin_accès!$B$11)</f>
        <v>\\stjn.local\trimet\Btechnique\Commun\Atelier Central mécanique\Plan entretien\Modèles préventif\GammeDMS_7.MENG.xlsm</v>
      </c>
      <c r="AD739" s="50" t="str">
        <f>Chemin_accès!$B$8&amp;Tableau1[[#This Row],[Localisation / Classement]]&amp;"\"&amp;Tableau1[[#This Row],[Poste technique ou N° d''équipement]]&amp;"_"&amp;Tableau1[[#This Row],[Plan Entretien]]&amp;".xlsm"</f>
        <v>\\stjn.local\trimet\Btechnique\Commun\Atelier Central mécanique\Plan entretien\GammeEntretien\\_.xlsm</v>
      </c>
    </row>
    <row r="740" spans="1:30" x14ac:dyDescent="0.3">
      <c r="A740" s="44" t="str">
        <f t="shared" ca="1" si="11"/>
        <v>7.MENG</v>
      </c>
      <c r="B74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40" s="47"/>
      <c r="D740" s="44"/>
      <c r="E740" s="44"/>
      <c r="F740" s="47"/>
      <c r="G740" s="47"/>
      <c r="H740" s="45"/>
      <c r="I740" s="45"/>
      <c r="J740" s="45"/>
      <c r="K740" s="45"/>
      <c r="L740" s="46"/>
      <c r="M740" s="47"/>
      <c r="N740" s="47"/>
      <c r="O740" s="47"/>
      <c r="P740" s="47"/>
      <c r="Q740" s="47"/>
      <c r="R740" s="47"/>
      <c r="S740" s="48"/>
      <c r="T740" s="68" t="str">
        <f>IF(Tableau1[[#This Row],[DMS_SAP]]="","",HYPERLINK(Tableau1[[#This Row],[Chemin fichier source]],"X"))</f>
        <v/>
      </c>
      <c r="U740" s="68" t="str">
        <f>IF(Tableau1[[#This Row],[Date rév.]]="","",HYPERLINK(Tableau1[[#This Row],[Lien document]],"X"))</f>
        <v/>
      </c>
      <c r="V740" s="47"/>
      <c r="W74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40" s="47"/>
      <c r="Y740" s="47"/>
      <c r="Z740" s="44" t="str">
        <f ca="1">IF(AND(Tableau1[[#This Row],[Charge]]&lt;&gt;0, Tableau1[[#This Row],[Nombre intervenants]]&lt;&gt;0,Tableau1[[#This Row],[Lien document]]&lt;&gt;0,Tableau1[[#This Row],[DMS_SAP]]&lt;&gt;0)=TRUE,"MIS A JOUR","")</f>
        <v/>
      </c>
      <c r="AA740" s="48"/>
      <c r="AB740" s="65" t="str">
        <f ca="1">IF(Tableau1[[#This Row],[Date rév.]]&lt;&gt;"", DAYS360(Tableau1[[#This Row],[Date rév.]],TODAY()),"")</f>
        <v/>
      </c>
      <c r="AC740" s="50" t="str">
        <f>IFERROR(INDEX(Chemin_accès!$B$11:$C$22,MATCH(Tableau1[[#This Row],[Type]],Chemin_accès!$C$11:$C$22,0),1),Chemin_accès!$B$11)</f>
        <v>\\stjn.local\trimet\Btechnique\Commun\Atelier Central mécanique\Plan entretien\Modèles préventif\GammeDMS_7.MENG.xlsm</v>
      </c>
      <c r="AD740" s="50" t="str">
        <f>Chemin_accès!$B$8&amp;Tableau1[[#This Row],[Localisation / Classement]]&amp;"\"&amp;Tableau1[[#This Row],[Poste technique ou N° d''équipement]]&amp;"_"&amp;Tableau1[[#This Row],[Plan Entretien]]&amp;".xlsm"</f>
        <v>\\stjn.local\trimet\Btechnique\Commun\Atelier Central mécanique\Plan entretien\GammeEntretien\\_.xlsm</v>
      </c>
    </row>
    <row r="741" spans="1:30" x14ac:dyDescent="0.3">
      <c r="A741" s="44" t="str">
        <f t="shared" ca="1" si="11"/>
        <v>7.MENG</v>
      </c>
      <c r="B74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41" s="47"/>
      <c r="D741" s="44"/>
      <c r="E741" s="44"/>
      <c r="F741" s="47"/>
      <c r="G741" s="47"/>
      <c r="H741" s="45"/>
      <c r="I741" s="45"/>
      <c r="J741" s="45"/>
      <c r="K741" s="45"/>
      <c r="L741" s="46"/>
      <c r="M741" s="47"/>
      <c r="N741" s="47"/>
      <c r="O741" s="47"/>
      <c r="P741" s="47"/>
      <c r="Q741" s="47"/>
      <c r="R741" s="47"/>
      <c r="S741" s="48"/>
      <c r="T741" s="68" t="str">
        <f>IF(Tableau1[[#This Row],[DMS_SAP]]="","",HYPERLINK(Tableau1[[#This Row],[Chemin fichier source]],"X"))</f>
        <v/>
      </c>
      <c r="U741" s="68" t="str">
        <f>IF(Tableau1[[#This Row],[Date rév.]]="","",HYPERLINK(Tableau1[[#This Row],[Lien document]],"X"))</f>
        <v/>
      </c>
      <c r="V741" s="47"/>
      <c r="W74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41" s="47"/>
      <c r="Y741" s="47"/>
      <c r="Z741" s="44" t="str">
        <f ca="1">IF(AND(Tableau1[[#This Row],[Charge]]&lt;&gt;0, Tableau1[[#This Row],[Nombre intervenants]]&lt;&gt;0,Tableau1[[#This Row],[Lien document]]&lt;&gt;0,Tableau1[[#This Row],[DMS_SAP]]&lt;&gt;0)=TRUE,"MIS A JOUR","")</f>
        <v/>
      </c>
      <c r="AA741" s="48"/>
      <c r="AB741" s="65" t="str">
        <f ca="1">IF(Tableau1[[#This Row],[Date rév.]]&lt;&gt;"", DAYS360(Tableau1[[#This Row],[Date rév.]],TODAY()),"")</f>
        <v/>
      </c>
      <c r="AC741" s="50" t="str">
        <f>IFERROR(INDEX(Chemin_accès!$B$11:$C$22,MATCH(Tableau1[[#This Row],[Type]],Chemin_accès!$C$11:$C$22,0),1),Chemin_accès!$B$11)</f>
        <v>\\stjn.local\trimet\Btechnique\Commun\Atelier Central mécanique\Plan entretien\Modèles préventif\GammeDMS_7.MENG.xlsm</v>
      </c>
      <c r="AD741" s="50" t="str">
        <f>Chemin_accès!$B$8&amp;Tableau1[[#This Row],[Localisation / Classement]]&amp;"\"&amp;Tableau1[[#This Row],[Poste technique ou N° d''équipement]]&amp;"_"&amp;Tableau1[[#This Row],[Plan Entretien]]&amp;".xlsm"</f>
        <v>\\stjn.local\trimet\Btechnique\Commun\Atelier Central mécanique\Plan entretien\GammeEntretien\\_.xlsm</v>
      </c>
    </row>
    <row r="742" spans="1:30" x14ac:dyDescent="0.3">
      <c r="A742" s="44" t="str">
        <f t="shared" ca="1" si="11"/>
        <v>7.MENG</v>
      </c>
      <c r="B74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42" s="47"/>
      <c r="D742" s="44"/>
      <c r="E742" s="44"/>
      <c r="F742" s="47"/>
      <c r="G742" s="47"/>
      <c r="H742" s="45"/>
      <c r="I742" s="45"/>
      <c r="J742" s="45"/>
      <c r="K742" s="45"/>
      <c r="L742" s="46"/>
      <c r="M742" s="47"/>
      <c r="N742" s="47"/>
      <c r="O742" s="47"/>
      <c r="P742" s="47"/>
      <c r="Q742" s="47"/>
      <c r="R742" s="47"/>
      <c r="S742" s="48"/>
      <c r="T742" s="68" t="str">
        <f>IF(Tableau1[[#This Row],[DMS_SAP]]="","",HYPERLINK(Tableau1[[#This Row],[Chemin fichier source]],"X"))</f>
        <v/>
      </c>
      <c r="U742" s="68" t="str">
        <f>IF(Tableau1[[#This Row],[Date rév.]]="","",HYPERLINK(Tableau1[[#This Row],[Lien document]],"X"))</f>
        <v/>
      </c>
      <c r="V742" s="47"/>
      <c r="W74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42" s="47"/>
      <c r="Y742" s="47"/>
      <c r="Z742" s="44" t="str">
        <f ca="1">IF(AND(Tableau1[[#This Row],[Charge]]&lt;&gt;0, Tableau1[[#This Row],[Nombre intervenants]]&lt;&gt;0,Tableau1[[#This Row],[Lien document]]&lt;&gt;0,Tableau1[[#This Row],[DMS_SAP]]&lt;&gt;0)=TRUE,"MIS A JOUR","")</f>
        <v/>
      </c>
      <c r="AA742" s="48"/>
      <c r="AB742" s="65" t="str">
        <f ca="1">IF(Tableau1[[#This Row],[Date rév.]]&lt;&gt;"", DAYS360(Tableau1[[#This Row],[Date rév.]],TODAY()),"")</f>
        <v/>
      </c>
      <c r="AC742" s="50" t="str">
        <f>IFERROR(INDEX(Chemin_accès!$B$11:$C$22,MATCH(Tableau1[[#This Row],[Type]],Chemin_accès!$C$11:$C$22,0),1),Chemin_accès!$B$11)</f>
        <v>\\stjn.local\trimet\Btechnique\Commun\Atelier Central mécanique\Plan entretien\Modèles préventif\GammeDMS_7.MENG.xlsm</v>
      </c>
      <c r="AD742" s="50" t="str">
        <f>Chemin_accès!$B$8&amp;Tableau1[[#This Row],[Localisation / Classement]]&amp;"\"&amp;Tableau1[[#This Row],[Poste technique ou N° d''équipement]]&amp;"_"&amp;Tableau1[[#This Row],[Plan Entretien]]&amp;".xlsm"</f>
        <v>\\stjn.local\trimet\Btechnique\Commun\Atelier Central mécanique\Plan entretien\GammeEntretien\\_.xlsm</v>
      </c>
    </row>
    <row r="743" spans="1:30" x14ac:dyDescent="0.3">
      <c r="A743" s="44" t="str">
        <f t="shared" ca="1" si="11"/>
        <v>7.MENG</v>
      </c>
      <c r="B74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43" s="47"/>
      <c r="D743" s="44"/>
      <c r="E743" s="44"/>
      <c r="F743" s="47"/>
      <c r="G743" s="47"/>
      <c r="H743" s="45"/>
      <c r="I743" s="45"/>
      <c r="J743" s="45"/>
      <c r="K743" s="45"/>
      <c r="L743" s="46"/>
      <c r="M743" s="47"/>
      <c r="N743" s="47"/>
      <c r="O743" s="47"/>
      <c r="P743" s="47"/>
      <c r="Q743" s="47"/>
      <c r="R743" s="47"/>
      <c r="S743" s="48"/>
      <c r="T743" s="68" t="str">
        <f>IF(Tableau1[[#This Row],[DMS_SAP]]="","",HYPERLINK(Tableau1[[#This Row],[Chemin fichier source]],"X"))</f>
        <v/>
      </c>
      <c r="U743" s="68" t="str">
        <f>IF(Tableau1[[#This Row],[Date rév.]]="","",HYPERLINK(Tableau1[[#This Row],[Lien document]],"X"))</f>
        <v/>
      </c>
      <c r="V743" s="47"/>
      <c r="W74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43" s="47"/>
      <c r="Y743" s="47"/>
      <c r="Z743" s="44" t="str">
        <f ca="1">IF(AND(Tableau1[[#This Row],[Charge]]&lt;&gt;0, Tableau1[[#This Row],[Nombre intervenants]]&lt;&gt;0,Tableau1[[#This Row],[Lien document]]&lt;&gt;0,Tableau1[[#This Row],[DMS_SAP]]&lt;&gt;0)=TRUE,"MIS A JOUR","")</f>
        <v/>
      </c>
      <c r="AA743" s="48"/>
      <c r="AB743" s="65" t="str">
        <f ca="1">IF(Tableau1[[#This Row],[Date rév.]]&lt;&gt;"", DAYS360(Tableau1[[#This Row],[Date rév.]],TODAY()),"")</f>
        <v/>
      </c>
      <c r="AC743" s="50" t="str">
        <f>IFERROR(INDEX(Chemin_accès!$B$11:$C$22,MATCH(Tableau1[[#This Row],[Type]],Chemin_accès!$C$11:$C$22,0),1),Chemin_accès!$B$11)</f>
        <v>\\stjn.local\trimet\Btechnique\Commun\Atelier Central mécanique\Plan entretien\Modèles préventif\GammeDMS_7.MENG.xlsm</v>
      </c>
      <c r="AD743" s="50" t="str">
        <f>Chemin_accès!$B$8&amp;Tableau1[[#This Row],[Localisation / Classement]]&amp;"\"&amp;Tableau1[[#This Row],[Poste technique ou N° d''équipement]]&amp;"_"&amp;Tableau1[[#This Row],[Plan Entretien]]&amp;".xlsm"</f>
        <v>\\stjn.local\trimet\Btechnique\Commun\Atelier Central mécanique\Plan entretien\GammeEntretien\\_.xlsm</v>
      </c>
    </row>
    <row r="744" spans="1:30" x14ac:dyDescent="0.3">
      <c r="A744" s="44" t="str">
        <f t="shared" ca="1" si="11"/>
        <v>7.MENG</v>
      </c>
      <c r="B74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44" s="47"/>
      <c r="D744" s="44"/>
      <c r="E744" s="44"/>
      <c r="F744" s="47"/>
      <c r="G744" s="47"/>
      <c r="H744" s="45"/>
      <c r="I744" s="45"/>
      <c r="J744" s="45"/>
      <c r="K744" s="45"/>
      <c r="L744" s="46"/>
      <c r="M744" s="47"/>
      <c r="N744" s="47"/>
      <c r="O744" s="47"/>
      <c r="P744" s="47"/>
      <c r="Q744" s="47"/>
      <c r="R744" s="47"/>
      <c r="S744" s="48"/>
      <c r="T744" s="68" t="str">
        <f>IF(Tableau1[[#This Row],[DMS_SAP]]="","",HYPERLINK(Tableau1[[#This Row],[Chemin fichier source]],"X"))</f>
        <v/>
      </c>
      <c r="U744" s="68" t="str">
        <f>IF(Tableau1[[#This Row],[Date rév.]]="","",HYPERLINK(Tableau1[[#This Row],[Lien document]],"X"))</f>
        <v/>
      </c>
      <c r="V744" s="47"/>
      <c r="W74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44" s="47"/>
      <c r="Y744" s="47"/>
      <c r="Z744" s="44" t="str">
        <f ca="1">IF(AND(Tableau1[[#This Row],[Charge]]&lt;&gt;0, Tableau1[[#This Row],[Nombre intervenants]]&lt;&gt;0,Tableau1[[#This Row],[Lien document]]&lt;&gt;0,Tableau1[[#This Row],[DMS_SAP]]&lt;&gt;0)=TRUE,"MIS A JOUR","")</f>
        <v/>
      </c>
      <c r="AA744" s="48"/>
      <c r="AB744" s="65" t="str">
        <f ca="1">IF(Tableau1[[#This Row],[Date rév.]]&lt;&gt;"", DAYS360(Tableau1[[#This Row],[Date rév.]],TODAY()),"")</f>
        <v/>
      </c>
      <c r="AC744" s="50" t="str">
        <f>IFERROR(INDEX(Chemin_accès!$B$11:$C$22,MATCH(Tableau1[[#This Row],[Type]],Chemin_accès!$C$11:$C$22,0),1),Chemin_accès!$B$11)</f>
        <v>\\stjn.local\trimet\Btechnique\Commun\Atelier Central mécanique\Plan entretien\Modèles préventif\GammeDMS_7.MENG.xlsm</v>
      </c>
      <c r="AD744" s="50" t="str">
        <f>Chemin_accès!$B$8&amp;Tableau1[[#This Row],[Localisation / Classement]]&amp;"\"&amp;Tableau1[[#This Row],[Poste technique ou N° d''équipement]]&amp;"_"&amp;Tableau1[[#This Row],[Plan Entretien]]&amp;".xlsm"</f>
        <v>\\stjn.local\trimet\Btechnique\Commun\Atelier Central mécanique\Plan entretien\GammeEntretien\\_.xlsm</v>
      </c>
    </row>
    <row r="745" spans="1:30" x14ac:dyDescent="0.3">
      <c r="A745" s="44" t="str">
        <f t="shared" ca="1" si="11"/>
        <v>7.MENG</v>
      </c>
      <c r="B74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45" s="47"/>
      <c r="D745" s="44"/>
      <c r="E745" s="44"/>
      <c r="F745" s="47"/>
      <c r="G745" s="47"/>
      <c r="H745" s="45"/>
      <c r="I745" s="45"/>
      <c r="J745" s="45"/>
      <c r="K745" s="45"/>
      <c r="L745" s="46"/>
      <c r="M745" s="47"/>
      <c r="N745" s="47"/>
      <c r="O745" s="47"/>
      <c r="P745" s="47"/>
      <c r="Q745" s="47"/>
      <c r="R745" s="47"/>
      <c r="S745" s="48"/>
      <c r="T745" s="68" t="str">
        <f>IF(Tableau1[[#This Row],[DMS_SAP]]="","",HYPERLINK(Tableau1[[#This Row],[Chemin fichier source]],"X"))</f>
        <v/>
      </c>
      <c r="U745" s="68" t="str">
        <f>IF(Tableau1[[#This Row],[Date rév.]]="","",HYPERLINK(Tableau1[[#This Row],[Lien document]],"X"))</f>
        <v/>
      </c>
      <c r="V745" s="47"/>
      <c r="W74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45" s="47"/>
      <c r="Y745" s="47"/>
      <c r="Z745" s="44" t="str">
        <f ca="1">IF(AND(Tableau1[[#This Row],[Charge]]&lt;&gt;0, Tableau1[[#This Row],[Nombre intervenants]]&lt;&gt;0,Tableau1[[#This Row],[Lien document]]&lt;&gt;0,Tableau1[[#This Row],[DMS_SAP]]&lt;&gt;0)=TRUE,"MIS A JOUR","")</f>
        <v/>
      </c>
      <c r="AA745" s="48"/>
      <c r="AB745" s="65" t="str">
        <f ca="1">IF(Tableau1[[#This Row],[Date rév.]]&lt;&gt;"", DAYS360(Tableau1[[#This Row],[Date rév.]],TODAY()),"")</f>
        <v/>
      </c>
      <c r="AC745" s="50" t="str">
        <f>IFERROR(INDEX(Chemin_accès!$B$11:$C$22,MATCH(Tableau1[[#This Row],[Type]],Chemin_accès!$C$11:$C$22,0),1),Chemin_accès!$B$11)</f>
        <v>\\stjn.local\trimet\Btechnique\Commun\Atelier Central mécanique\Plan entretien\Modèles préventif\GammeDMS_7.MENG.xlsm</v>
      </c>
      <c r="AD745" s="50" t="str">
        <f>Chemin_accès!$B$8&amp;Tableau1[[#This Row],[Localisation / Classement]]&amp;"\"&amp;Tableau1[[#This Row],[Poste technique ou N° d''équipement]]&amp;"_"&amp;Tableau1[[#This Row],[Plan Entretien]]&amp;".xlsm"</f>
        <v>\\stjn.local\trimet\Btechnique\Commun\Atelier Central mécanique\Plan entretien\GammeEntretien\\_.xlsm</v>
      </c>
    </row>
    <row r="746" spans="1:30" x14ac:dyDescent="0.3">
      <c r="A746" s="44" t="str">
        <f t="shared" ca="1" si="11"/>
        <v>7.MENG</v>
      </c>
      <c r="B74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46" s="47"/>
      <c r="D746" s="44"/>
      <c r="E746" s="44"/>
      <c r="F746" s="47"/>
      <c r="G746" s="47"/>
      <c r="H746" s="45"/>
      <c r="I746" s="45"/>
      <c r="J746" s="45"/>
      <c r="K746" s="45"/>
      <c r="L746" s="46"/>
      <c r="M746" s="47"/>
      <c r="N746" s="47"/>
      <c r="O746" s="47"/>
      <c r="P746" s="47"/>
      <c r="Q746" s="47"/>
      <c r="R746" s="47"/>
      <c r="S746" s="48"/>
      <c r="T746" s="68" t="str">
        <f>IF(Tableau1[[#This Row],[DMS_SAP]]="","",HYPERLINK(Tableau1[[#This Row],[Chemin fichier source]],"X"))</f>
        <v/>
      </c>
      <c r="U746" s="68" t="str">
        <f>IF(Tableau1[[#This Row],[Date rév.]]="","",HYPERLINK(Tableau1[[#This Row],[Lien document]],"X"))</f>
        <v/>
      </c>
      <c r="V746" s="47"/>
      <c r="W74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46" s="47"/>
      <c r="Y746" s="47"/>
      <c r="Z746" s="44" t="str">
        <f ca="1">IF(AND(Tableau1[[#This Row],[Charge]]&lt;&gt;0, Tableau1[[#This Row],[Nombre intervenants]]&lt;&gt;0,Tableau1[[#This Row],[Lien document]]&lt;&gt;0,Tableau1[[#This Row],[DMS_SAP]]&lt;&gt;0)=TRUE,"MIS A JOUR","")</f>
        <v/>
      </c>
      <c r="AA746" s="48"/>
      <c r="AB746" s="65" t="str">
        <f ca="1">IF(Tableau1[[#This Row],[Date rév.]]&lt;&gt;"", DAYS360(Tableau1[[#This Row],[Date rév.]],TODAY()),"")</f>
        <v/>
      </c>
      <c r="AC746" s="50" t="str">
        <f>IFERROR(INDEX(Chemin_accès!$B$11:$C$22,MATCH(Tableau1[[#This Row],[Type]],Chemin_accès!$C$11:$C$22,0),1),Chemin_accès!$B$11)</f>
        <v>\\stjn.local\trimet\Btechnique\Commun\Atelier Central mécanique\Plan entretien\Modèles préventif\GammeDMS_7.MENG.xlsm</v>
      </c>
      <c r="AD746" s="50" t="str">
        <f>Chemin_accès!$B$8&amp;Tableau1[[#This Row],[Localisation / Classement]]&amp;"\"&amp;Tableau1[[#This Row],[Poste technique ou N° d''équipement]]&amp;"_"&amp;Tableau1[[#This Row],[Plan Entretien]]&amp;".xlsm"</f>
        <v>\\stjn.local\trimet\Btechnique\Commun\Atelier Central mécanique\Plan entretien\GammeEntretien\\_.xlsm</v>
      </c>
    </row>
    <row r="747" spans="1:30" x14ac:dyDescent="0.3">
      <c r="A747" s="44" t="str">
        <f t="shared" ca="1" si="11"/>
        <v>7.MENG</v>
      </c>
      <c r="B74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47" s="47"/>
      <c r="D747" s="44"/>
      <c r="E747" s="44"/>
      <c r="F747" s="47"/>
      <c r="G747" s="47"/>
      <c r="H747" s="45"/>
      <c r="I747" s="45"/>
      <c r="J747" s="45"/>
      <c r="K747" s="45"/>
      <c r="L747" s="46"/>
      <c r="M747" s="47"/>
      <c r="N747" s="47"/>
      <c r="O747" s="47"/>
      <c r="P747" s="47"/>
      <c r="Q747" s="47"/>
      <c r="R747" s="47"/>
      <c r="S747" s="48"/>
      <c r="T747" s="68" t="str">
        <f>IF(Tableau1[[#This Row],[DMS_SAP]]="","",HYPERLINK(Tableau1[[#This Row],[Chemin fichier source]],"X"))</f>
        <v/>
      </c>
      <c r="U747" s="68" t="str">
        <f>IF(Tableau1[[#This Row],[Date rév.]]="","",HYPERLINK(Tableau1[[#This Row],[Lien document]],"X"))</f>
        <v/>
      </c>
      <c r="V747" s="47"/>
      <c r="W74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47" s="47"/>
      <c r="Y747" s="47"/>
      <c r="Z747" s="44" t="str">
        <f ca="1">IF(AND(Tableau1[[#This Row],[Charge]]&lt;&gt;0, Tableau1[[#This Row],[Nombre intervenants]]&lt;&gt;0,Tableau1[[#This Row],[Lien document]]&lt;&gt;0,Tableau1[[#This Row],[DMS_SAP]]&lt;&gt;0)=TRUE,"MIS A JOUR","")</f>
        <v/>
      </c>
      <c r="AA747" s="48"/>
      <c r="AB747" s="65" t="str">
        <f ca="1">IF(Tableau1[[#This Row],[Date rév.]]&lt;&gt;"", DAYS360(Tableau1[[#This Row],[Date rév.]],TODAY()),"")</f>
        <v/>
      </c>
      <c r="AC747" s="50" t="str">
        <f>IFERROR(INDEX(Chemin_accès!$B$11:$C$22,MATCH(Tableau1[[#This Row],[Type]],Chemin_accès!$C$11:$C$22,0),1),Chemin_accès!$B$11)</f>
        <v>\\stjn.local\trimet\Btechnique\Commun\Atelier Central mécanique\Plan entretien\Modèles préventif\GammeDMS_7.MENG.xlsm</v>
      </c>
      <c r="AD747" s="50" t="str">
        <f>Chemin_accès!$B$8&amp;Tableau1[[#This Row],[Localisation / Classement]]&amp;"\"&amp;Tableau1[[#This Row],[Poste technique ou N° d''équipement]]&amp;"_"&amp;Tableau1[[#This Row],[Plan Entretien]]&amp;".xlsm"</f>
        <v>\\stjn.local\trimet\Btechnique\Commun\Atelier Central mécanique\Plan entretien\GammeEntretien\\_.xlsm</v>
      </c>
    </row>
    <row r="748" spans="1:30" x14ac:dyDescent="0.3">
      <c r="A748" s="44" t="str">
        <f t="shared" ca="1" si="11"/>
        <v>7.MENG</v>
      </c>
      <c r="B74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48" s="47"/>
      <c r="D748" s="44"/>
      <c r="E748" s="44"/>
      <c r="F748" s="47"/>
      <c r="G748" s="47"/>
      <c r="H748" s="45"/>
      <c r="I748" s="45"/>
      <c r="J748" s="45"/>
      <c r="K748" s="45"/>
      <c r="L748" s="46"/>
      <c r="M748" s="47"/>
      <c r="N748" s="47"/>
      <c r="O748" s="47"/>
      <c r="P748" s="47"/>
      <c r="Q748" s="47"/>
      <c r="R748" s="47"/>
      <c r="S748" s="48"/>
      <c r="T748" s="68" t="str">
        <f>IF(Tableau1[[#This Row],[DMS_SAP]]="","",HYPERLINK(Tableau1[[#This Row],[Chemin fichier source]],"X"))</f>
        <v/>
      </c>
      <c r="U748" s="68" t="str">
        <f>IF(Tableau1[[#This Row],[Date rév.]]="","",HYPERLINK(Tableau1[[#This Row],[Lien document]],"X"))</f>
        <v/>
      </c>
      <c r="V748" s="47"/>
      <c r="W74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48" s="47"/>
      <c r="Y748" s="47"/>
      <c r="Z748" s="44" t="str">
        <f ca="1">IF(AND(Tableau1[[#This Row],[Charge]]&lt;&gt;0, Tableau1[[#This Row],[Nombre intervenants]]&lt;&gt;0,Tableau1[[#This Row],[Lien document]]&lt;&gt;0,Tableau1[[#This Row],[DMS_SAP]]&lt;&gt;0)=TRUE,"MIS A JOUR","")</f>
        <v/>
      </c>
      <c r="AA748" s="48"/>
      <c r="AB748" s="65" t="str">
        <f ca="1">IF(Tableau1[[#This Row],[Date rév.]]&lt;&gt;"", DAYS360(Tableau1[[#This Row],[Date rév.]],TODAY()),"")</f>
        <v/>
      </c>
      <c r="AC748" s="50" t="str">
        <f>IFERROR(INDEX(Chemin_accès!$B$11:$C$22,MATCH(Tableau1[[#This Row],[Type]],Chemin_accès!$C$11:$C$22,0),1),Chemin_accès!$B$11)</f>
        <v>\\stjn.local\trimet\Btechnique\Commun\Atelier Central mécanique\Plan entretien\Modèles préventif\GammeDMS_7.MENG.xlsm</v>
      </c>
      <c r="AD748" s="50" t="str">
        <f>Chemin_accès!$B$8&amp;Tableau1[[#This Row],[Localisation / Classement]]&amp;"\"&amp;Tableau1[[#This Row],[Poste technique ou N° d''équipement]]&amp;"_"&amp;Tableau1[[#This Row],[Plan Entretien]]&amp;".xlsm"</f>
        <v>\\stjn.local\trimet\Btechnique\Commun\Atelier Central mécanique\Plan entretien\GammeEntretien\\_.xlsm</v>
      </c>
    </row>
    <row r="749" spans="1:30" x14ac:dyDescent="0.3">
      <c r="A749" s="44" t="str">
        <f t="shared" ca="1" si="11"/>
        <v>7.MENG</v>
      </c>
      <c r="B74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49" s="47"/>
      <c r="D749" s="44"/>
      <c r="E749" s="44"/>
      <c r="F749" s="47"/>
      <c r="G749" s="47"/>
      <c r="H749" s="45"/>
      <c r="I749" s="45"/>
      <c r="J749" s="45"/>
      <c r="K749" s="45"/>
      <c r="L749" s="46"/>
      <c r="M749" s="47"/>
      <c r="N749" s="47"/>
      <c r="O749" s="47"/>
      <c r="P749" s="47"/>
      <c r="Q749" s="47"/>
      <c r="R749" s="47"/>
      <c r="S749" s="48"/>
      <c r="T749" s="68" t="str">
        <f>IF(Tableau1[[#This Row],[DMS_SAP]]="","",HYPERLINK(Tableau1[[#This Row],[Chemin fichier source]],"X"))</f>
        <v/>
      </c>
      <c r="U749" s="68" t="str">
        <f>IF(Tableau1[[#This Row],[Date rév.]]="","",HYPERLINK(Tableau1[[#This Row],[Lien document]],"X"))</f>
        <v/>
      </c>
      <c r="V749" s="47"/>
      <c r="W74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49" s="47"/>
      <c r="Y749" s="47"/>
      <c r="Z749" s="44" t="str">
        <f ca="1">IF(AND(Tableau1[[#This Row],[Charge]]&lt;&gt;0, Tableau1[[#This Row],[Nombre intervenants]]&lt;&gt;0,Tableau1[[#This Row],[Lien document]]&lt;&gt;0,Tableau1[[#This Row],[DMS_SAP]]&lt;&gt;0)=TRUE,"MIS A JOUR","")</f>
        <v/>
      </c>
      <c r="AA749" s="48"/>
      <c r="AB749" s="65" t="str">
        <f ca="1">IF(Tableau1[[#This Row],[Date rév.]]&lt;&gt;"", DAYS360(Tableau1[[#This Row],[Date rév.]],TODAY()),"")</f>
        <v/>
      </c>
      <c r="AC749" s="50" t="str">
        <f>IFERROR(INDEX(Chemin_accès!$B$11:$C$22,MATCH(Tableau1[[#This Row],[Type]],Chemin_accès!$C$11:$C$22,0),1),Chemin_accès!$B$11)</f>
        <v>\\stjn.local\trimet\Btechnique\Commun\Atelier Central mécanique\Plan entretien\Modèles préventif\GammeDMS_7.MENG.xlsm</v>
      </c>
      <c r="AD749" s="50" t="str">
        <f>Chemin_accès!$B$8&amp;Tableau1[[#This Row],[Localisation / Classement]]&amp;"\"&amp;Tableau1[[#This Row],[Poste technique ou N° d''équipement]]&amp;"_"&amp;Tableau1[[#This Row],[Plan Entretien]]&amp;".xlsm"</f>
        <v>\\stjn.local\trimet\Btechnique\Commun\Atelier Central mécanique\Plan entretien\GammeEntretien\\_.xlsm</v>
      </c>
    </row>
    <row r="750" spans="1:30" x14ac:dyDescent="0.3">
      <c r="A750" s="44" t="str">
        <f t="shared" ca="1" si="11"/>
        <v>7.MENG</v>
      </c>
      <c r="B75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50" s="47"/>
      <c r="D750" s="44"/>
      <c r="E750" s="44"/>
      <c r="F750" s="47"/>
      <c r="G750" s="47"/>
      <c r="H750" s="45"/>
      <c r="I750" s="45"/>
      <c r="J750" s="45"/>
      <c r="K750" s="45"/>
      <c r="L750" s="46"/>
      <c r="M750" s="47"/>
      <c r="N750" s="47"/>
      <c r="O750" s="47"/>
      <c r="P750" s="47"/>
      <c r="Q750" s="47"/>
      <c r="R750" s="47"/>
      <c r="S750" s="48"/>
      <c r="T750" s="68" t="str">
        <f>IF(Tableau1[[#This Row],[DMS_SAP]]="","",HYPERLINK(Tableau1[[#This Row],[Chemin fichier source]],"X"))</f>
        <v/>
      </c>
      <c r="U750" s="68" t="str">
        <f>IF(Tableau1[[#This Row],[Date rév.]]="","",HYPERLINK(Tableau1[[#This Row],[Lien document]],"X"))</f>
        <v/>
      </c>
      <c r="V750" s="47"/>
      <c r="W75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50" s="47"/>
      <c r="Y750" s="47"/>
      <c r="Z750" s="44" t="str">
        <f ca="1">IF(AND(Tableau1[[#This Row],[Charge]]&lt;&gt;0, Tableau1[[#This Row],[Nombre intervenants]]&lt;&gt;0,Tableau1[[#This Row],[Lien document]]&lt;&gt;0,Tableau1[[#This Row],[DMS_SAP]]&lt;&gt;0)=TRUE,"MIS A JOUR","")</f>
        <v/>
      </c>
      <c r="AA750" s="48"/>
      <c r="AB750" s="65" t="str">
        <f ca="1">IF(Tableau1[[#This Row],[Date rév.]]&lt;&gt;"", DAYS360(Tableau1[[#This Row],[Date rév.]],TODAY()),"")</f>
        <v/>
      </c>
      <c r="AC750" s="50" t="str">
        <f>IFERROR(INDEX(Chemin_accès!$B$11:$C$22,MATCH(Tableau1[[#This Row],[Type]],Chemin_accès!$C$11:$C$22,0),1),Chemin_accès!$B$11)</f>
        <v>\\stjn.local\trimet\Btechnique\Commun\Atelier Central mécanique\Plan entretien\Modèles préventif\GammeDMS_7.MENG.xlsm</v>
      </c>
      <c r="AD750" s="50" t="str">
        <f>Chemin_accès!$B$8&amp;Tableau1[[#This Row],[Localisation / Classement]]&amp;"\"&amp;Tableau1[[#This Row],[Poste technique ou N° d''équipement]]&amp;"_"&amp;Tableau1[[#This Row],[Plan Entretien]]&amp;".xlsm"</f>
        <v>\\stjn.local\trimet\Btechnique\Commun\Atelier Central mécanique\Plan entretien\GammeEntretien\\_.xlsm</v>
      </c>
    </row>
    <row r="751" spans="1:30" x14ac:dyDescent="0.3">
      <c r="A751" s="44" t="str">
        <f t="shared" ca="1" si="11"/>
        <v>7.MENG</v>
      </c>
      <c r="B75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51" s="47"/>
      <c r="D751" s="44"/>
      <c r="E751" s="44"/>
      <c r="F751" s="47"/>
      <c r="G751" s="47"/>
      <c r="H751" s="45"/>
      <c r="I751" s="45"/>
      <c r="J751" s="45"/>
      <c r="K751" s="45"/>
      <c r="L751" s="46"/>
      <c r="M751" s="47"/>
      <c r="N751" s="47"/>
      <c r="O751" s="47"/>
      <c r="P751" s="47"/>
      <c r="Q751" s="47"/>
      <c r="R751" s="47"/>
      <c r="S751" s="48"/>
      <c r="T751" s="68" t="str">
        <f>IF(Tableau1[[#This Row],[DMS_SAP]]="","",HYPERLINK(Tableau1[[#This Row],[Chemin fichier source]],"X"))</f>
        <v/>
      </c>
      <c r="U751" s="68" t="str">
        <f>IF(Tableau1[[#This Row],[Date rév.]]="","",HYPERLINK(Tableau1[[#This Row],[Lien document]],"X"))</f>
        <v/>
      </c>
      <c r="V751" s="47"/>
      <c r="W75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51" s="47"/>
      <c r="Y751" s="47"/>
      <c r="Z751" s="44" t="str">
        <f ca="1">IF(AND(Tableau1[[#This Row],[Charge]]&lt;&gt;0, Tableau1[[#This Row],[Nombre intervenants]]&lt;&gt;0,Tableau1[[#This Row],[Lien document]]&lt;&gt;0,Tableau1[[#This Row],[DMS_SAP]]&lt;&gt;0)=TRUE,"MIS A JOUR","")</f>
        <v/>
      </c>
      <c r="AA751" s="48"/>
      <c r="AB751" s="65" t="str">
        <f ca="1">IF(Tableau1[[#This Row],[Date rév.]]&lt;&gt;"", DAYS360(Tableau1[[#This Row],[Date rév.]],TODAY()),"")</f>
        <v/>
      </c>
      <c r="AC751" s="50" t="str">
        <f>IFERROR(INDEX(Chemin_accès!$B$11:$C$22,MATCH(Tableau1[[#This Row],[Type]],Chemin_accès!$C$11:$C$22,0),1),Chemin_accès!$B$11)</f>
        <v>\\stjn.local\trimet\Btechnique\Commun\Atelier Central mécanique\Plan entretien\Modèles préventif\GammeDMS_7.MENG.xlsm</v>
      </c>
      <c r="AD751" s="50" t="str">
        <f>Chemin_accès!$B$8&amp;Tableau1[[#This Row],[Localisation / Classement]]&amp;"\"&amp;Tableau1[[#This Row],[Poste technique ou N° d''équipement]]&amp;"_"&amp;Tableau1[[#This Row],[Plan Entretien]]&amp;".xlsm"</f>
        <v>\\stjn.local\trimet\Btechnique\Commun\Atelier Central mécanique\Plan entretien\GammeEntretien\\_.xlsm</v>
      </c>
    </row>
    <row r="752" spans="1:30" x14ac:dyDescent="0.3">
      <c r="A752" s="44" t="str">
        <f t="shared" ca="1" si="11"/>
        <v>7.MENG</v>
      </c>
      <c r="B75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52" s="47"/>
      <c r="D752" s="44"/>
      <c r="E752" s="44"/>
      <c r="F752" s="47"/>
      <c r="G752" s="47"/>
      <c r="H752" s="45"/>
      <c r="I752" s="45"/>
      <c r="J752" s="45"/>
      <c r="K752" s="45"/>
      <c r="L752" s="46"/>
      <c r="M752" s="47"/>
      <c r="N752" s="47"/>
      <c r="O752" s="47"/>
      <c r="P752" s="47"/>
      <c r="Q752" s="47"/>
      <c r="R752" s="47"/>
      <c r="S752" s="48"/>
      <c r="T752" s="68" t="str">
        <f>IF(Tableau1[[#This Row],[DMS_SAP]]="","",HYPERLINK(Tableau1[[#This Row],[Chemin fichier source]],"X"))</f>
        <v/>
      </c>
      <c r="U752" s="68" t="str">
        <f>IF(Tableau1[[#This Row],[Date rév.]]="","",HYPERLINK(Tableau1[[#This Row],[Lien document]],"X"))</f>
        <v/>
      </c>
      <c r="V752" s="47"/>
      <c r="W75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52" s="47"/>
      <c r="Y752" s="47"/>
      <c r="Z752" s="44" t="str">
        <f ca="1">IF(AND(Tableau1[[#This Row],[Charge]]&lt;&gt;0, Tableau1[[#This Row],[Nombre intervenants]]&lt;&gt;0,Tableau1[[#This Row],[Lien document]]&lt;&gt;0,Tableau1[[#This Row],[DMS_SAP]]&lt;&gt;0)=TRUE,"MIS A JOUR","")</f>
        <v/>
      </c>
      <c r="AA752" s="48"/>
      <c r="AB752" s="65" t="str">
        <f ca="1">IF(Tableau1[[#This Row],[Date rév.]]&lt;&gt;"", DAYS360(Tableau1[[#This Row],[Date rév.]],TODAY()),"")</f>
        <v/>
      </c>
      <c r="AC752" s="50" t="str">
        <f>IFERROR(INDEX(Chemin_accès!$B$11:$C$22,MATCH(Tableau1[[#This Row],[Type]],Chemin_accès!$C$11:$C$22,0),1),Chemin_accès!$B$11)</f>
        <v>\\stjn.local\trimet\Btechnique\Commun\Atelier Central mécanique\Plan entretien\Modèles préventif\GammeDMS_7.MENG.xlsm</v>
      </c>
      <c r="AD752" s="50" t="str">
        <f>Chemin_accès!$B$8&amp;Tableau1[[#This Row],[Localisation / Classement]]&amp;"\"&amp;Tableau1[[#This Row],[Poste technique ou N° d''équipement]]&amp;"_"&amp;Tableau1[[#This Row],[Plan Entretien]]&amp;".xlsm"</f>
        <v>\\stjn.local\trimet\Btechnique\Commun\Atelier Central mécanique\Plan entretien\GammeEntretien\\_.xlsm</v>
      </c>
    </row>
    <row r="753" spans="1:30" x14ac:dyDescent="0.3">
      <c r="A753" s="44" t="str">
        <f t="shared" ca="1" si="11"/>
        <v>7.MENG</v>
      </c>
      <c r="B75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53" s="47"/>
      <c r="D753" s="44"/>
      <c r="E753" s="44"/>
      <c r="F753" s="47"/>
      <c r="G753" s="47"/>
      <c r="H753" s="45"/>
      <c r="I753" s="45"/>
      <c r="J753" s="45"/>
      <c r="K753" s="45"/>
      <c r="L753" s="46"/>
      <c r="M753" s="47"/>
      <c r="N753" s="47"/>
      <c r="O753" s="47"/>
      <c r="P753" s="47"/>
      <c r="Q753" s="47"/>
      <c r="R753" s="47"/>
      <c r="S753" s="48"/>
      <c r="T753" s="68" t="str">
        <f>IF(Tableau1[[#This Row],[DMS_SAP]]="","",HYPERLINK(Tableau1[[#This Row],[Chemin fichier source]],"X"))</f>
        <v/>
      </c>
      <c r="U753" s="68" t="str">
        <f>IF(Tableau1[[#This Row],[Date rév.]]="","",HYPERLINK(Tableau1[[#This Row],[Lien document]],"X"))</f>
        <v/>
      </c>
      <c r="V753" s="47"/>
      <c r="W75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53" s="47"/>
      <c r="Y753" s="47"/>
      <c r="Z753" s="44" t="str">
        <f ca="1">IF(AND(Tableau1[[#This Row],[Charge]]&lt;&gt;0, Tableau1[[#This Row],[Nombre intervenants]]&lt;&gt;0,Tableau1[[#This Row],[Lien document]]&lt;&gt;0,Tableau1[[#This Row],[DMS_SAP]]&lt;&gt;0)=TRUE,"MIS A JOUR","")</f>
        <v/>
      </c>
      <c r="AA753" s="48"/>
      <c r="AB753" s="65" t="str">
        <f ca="1">IF(Tableau1[[#This Row],[Date rév.]]&lt;&gt;"", DAYS360(Tableau1[[#This Row],[Date rév.]],TODAY()),"")</f>
        <v/>
      </c>
      <c r="AC753" s="50" t="str">
        <f>IFERROR(INDEX(Chemin_accès!$B$11:$C$22,MATCH(Tableau1[[#This Row],[Type]],Chemin_accès!$C$11:$C$22,0),1),Chemin_accès!$B$11)</f>
        <v>\\stjn.local\trimet\Btechnique\Commun\Atelier Central mécanique\Plan entretien\Modèles préventif\GammeDMS_7.MENG.xlsm</v>
      </c>
      <c r="AD753" s="50" t="str">
        <f>Chemin_accès!$B$8&amp;Tableau1[[#This Row],[Localisation / Classement]]&amp;"\"&amp;Tableau1[[#This Row],[Poste technique ou N° d''équipement]]&amp;"_"&amp;Tableau1[[#This Row],[Plan Entretien]]&amp;".xlsm"</f>
        <v>\\stjn.local\trimet\Btechnique\Commun\Atelier Central mécanique\Plan entretien\GammeEntretien\\_.xlsm</v>
      </c>
    </row>
    <row r="754" spans="1:30" x14ac:dyDescent="0.3">
      <c r="A754" s="44" t="str">
        <f t="shared" ca="1" si="11"/>
        <v>7.MENG</v>
      </c>
      <c r="B75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54" s="47"/>
      <c r="D754" s="44"/>
      <c r="E754" s="44"/>
      <c r="F754" s="47"/>
      <c r="G754" s="47"/>
      <c r="H754" s="45"/>
      <c r="I754" s="45"/>
      <c r="J754" s="45"/>
      <c r="K754" s="45"/>
      <c r="L754" s="46"/>
      <c r="M754" s="47"/>
      <c r="N754" s="47"/>
      <c r="O754" s="47"/>
      <c r="P754" s="47"/>
      <c r="Q754" s="47"/>
      <c r="R754" s="47"/>
      <c r="S754" s="48"/>
      <c r="T754" s="68" t="str">
        <f>IF(Tableau1[[#This Row],[DMS_SAP]]="","",HYPERLINK(Tableau1[[#This Row],[Chemin fichier source]],"X"))</f>
        <v/>
      </c>
      <c r="U754" s="68" t="str">
        <f>IF(Tableau1[[#This Row],[Date rév.]]="","",HYPERLINK(Tableau1[[#This Row],[Lien document]],"X"))</f>
        <v/>
      </c>
      <c r="V754" s="47"/>
      <c r="W75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54" s="47"/>
      <c r="Y754" s="47"/>
      <c r="Z754" s="44" t="str">
        <f ca="1">IF(AND(Tableau1[[#This Row],[Charge]]&lt;&gt;0, Tableau1[[#This Row],[Nombre intervenants]]&lt;&gt;0,Tableau1[[#This Row],[Lien document]]&lt;&gt;0,Tableau1[[#This Row],[DMS_SAP]]&lt;&gt;0)=TRUE,"MIS A JOUR","")</f>
        <v/>
      </c>
      <c r="AA754" s="48"/>
      <c r="AB754" s="65" t="str">
        <f ca="1">IF(Tableau1[[#This Row],[Date rév.]]&lt;&gt;"", DAYS360(Tableau1[[#This Row],[Date rév.]],TODAY()),"")</f>
        <v/>
      </c>
      <c r="AC754" s="50" t="str">
        <f>IFERROR(INDEX(Chemin_accès!$B$11:$C$22,MATCH(Tableau1[[#This Row],[Type]],Chemin_accès!$C$11:$C$22,0),1),Chemin_accès!$B$11)</f>
        <v>\\stjn.local\trimet\Btechnique\Commun\Atelier Central mécanique\Plan entretien\Modèles préventif\GammeDMS_7.MENG.xlsm</v>
      </c>
      <c r="AD754" s="50" t="str">
        <f>Chemin_accès!$B$8&amp;Tableau1[[#This Row],[Localisation / Classement]]&amp;"\"&amp;Tableau1[[#This Row],[Poste technique ou N° d''équipement]]&amp;"_"&amp;Tableau1[[#This Row],[Plan Entretien]]&amp;".xlsm"</f>
        <v>\\stjn.local\trimet\Btechnique\Commun\Atelier Central mécanique\Plan entretien\GammeEntretien\\_.xlsm</v>
      </c>
    </row>
    <row r="755" spans="1:30" x14ac:dyDescent="0.3">
      <c r="A755" s="44" t="str">
        <f t="shared" ca="1" si="11"/>
        <v>7.MENG</v>
      </c>
      <c r="B75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55" s="47"/>
      <c r="D755" s="44"/>
      <c r="E755" s="44"/>
      <c r="F755" s="47"/>
      <c r="G755" s="47"/>
      <c r="H755" s="45"/>
      <c r="I755" s="45"/>
      <c r="J755" s="45"/>
      <c r="K755" s="45"/>
      <c r="L755" s="46"/>
      <c r="M755" s="47"/>
      <c r="N755" s="47"/>
      <c r="O755" s="47"/>
      <c r="P755" s="47"/>
      <c r="Q755" s="47"/>
      <c r="R755" s="47"/>
      <c r="S755" s="48"/>
      <c r="T755" s="68" t="str">
        <f>IF(Tableau1[[#This Row],[DMS_SAP]]="","",HYPERLINK(Tableau1[[#This Row],[Chemin fichier source]],"X"))</f>
        <v/>
      </c>
      <c r="U755" s="68" t="str">
        <f>IF(Tableau1[[#This Row],[Date rév.]]="","",HYPERLINK(Tableau1[[#This Row],[Lien document]],"X"))</f>
        <v/>
      </c>
      <c r="V755" s="47"/>
      <c r="W75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55" s="47"/>
      <c r="Y755" s="47"/>
      <c r="Z755" s="44" t="str">
        <f ca="1">IF(AND(Tableau1[[#This Row],[Charge]]&lt;&gt;0, Tableau1[[#This Row],[Nombre intervenants]]&lt;&gt;0,Tableau1[[#This Row],[Lien document]]&lt;&gt;0,Tableau1[[#This Row],[DMS_SAP]]&lt;&gt;0)=TRUE,"MIS A JOUR","")</f>
        <v/>
      </c>
      <c r="AA755" s="48"/>
      <c r="AB755" s="65" t="str">
        <f ca="1">IF(Tableau1[[#This Row],[Date rév.]]&lt;&gt;"", DAYS360(Tableau1[[#This Row],[Date rév.]],TODAY()),"")</f>
        <v/>
      </c>
      <c r="AC755" s="50" t="str">
        <f>IFERROR(INDEX(Chemin_accès!$B$11:$C$22,MATCH(Tableau1[[#This Row],[Type]],Chemin_accès!$C$11:$C$22,0),1),Chemin_accès!$B$11)</f>
        <v>\\stjn.local\trimet\Btechnique\Commun\Atelier Central mécanique\Plan entretien\Modèles préventif\GammeDMS_7.MENG.xlsm</v>
      </c>
      <c r="AD755" s="50" t="str">
        <f>Chemin_accès!$B$8&amp;Tableau1[[#This Row],[Localisation / Classement]]&amp;"\"&amp;Tableau1[[#This Row],[Poste technique ou N° d''équipement]]&amp;"_"&amp;Tableau1[[#This Row],[Plan Entretien]]&amp;".xlsm"</f>
        <v>\\stjn.local\trimet\Btechnique\Commun\Atelier Central mécanique\Plan entretien\GammeEntretien\\_.xlsm</v>
      </c>
    </row>
    <row r="756" spans="1:30" x14ac:dyDescent="0.3">
      <c r="A756" s="44" t="str">
        <f t="shared" ca="1" si="11"/>
        <v>7.MENG</v>
      </c>
      <c r="B75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56" s="47"/>
      <c r="D756" s="44"/>
      <c r="E756" s="44"/>
      <c r="F756" s="47"/>
      <c r="G756" s="47"/>
      <c r="H756" s="45"/>
      <c r="I756" s="45"/>
      <c r="J756" s="45"/>
      <c r="K756" s="45"/>
      <c r="L756" s="46"/>
      <c r="M756" s="47"/>
      <c r="N756" s="47"/>
      <c r="O756" s="47"/>
      <c r="P756" s="47"/>
      <c r="Q756" s="47"/>
      <c r="R756" s="47"/>
      <c r="S756" s="48"/>
      <c r="T756" s="68" t="str">
        <f>IF(Tableau1[[#This Row],[DMS_SAP]]="","",HYPERLINK(Tableau1[[#This Row],[Chemin fichier source]],"X"))</f>
        <v/>
      </c>
      <c r="U756" s="68" t="str">
        <f>IF(Tableau1[[#This Row],[Date rév.]]="","",HYPERLINK(Tableau1[[#This Row],[Lien document]],"X"))</f>
        <v/>
      </c>
      <c r="V756" s="47"/>
      <c r="W75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56" s="47"/>
      <c r="Y756" s="47"/>
      <c r="Z756" s="44" t="str">
        <f ca="1">IF(AND(Tableau1[[#This Row],[Charge]]&lt;&gt;0, Tableau1[[#This Row],[Nombre intervenants]]&lt;&gt;0,Tableau1[[#This Row],[Lien document]]&lt;&gt;0,Tableau1[[#This Row],[DMS_SAP]]&lt;&gt;0)=TRUE,"MIS A JOUR","")</f>
        <v/>
      </c>
      <c r="AA756" s="48"/>
      <c r="AB756" s="65" t="str">
        <f ca="1">IF(Tableau1[[#This Row],[Date rév.]]&lt;&gt;"", DAYS360(Tableau1[[#This Row],[Date rév.]],TODAY()),"")</f>
        <v/>
      </c>
      <c r="AC756" s="50" t="str">
        <f>IFERROR(INDEX(Chemin_accès!$B$11:$C$22,MATCH(Tableau1[[#This Row],[Type]],Chemin_accès!$C$11:$C$22,0),1),Chemin_accès!$B$11)</f>
        <v>\\stjn.local\trimet\Btechnique\Commun\Atelier Central mécanique\Plan entretien\Modèles préventif\GammeDMS_7.MENG.xlsm</v>
      </c>
      <c r="AD756" s="50" t="str">
        <f>Chemin_accès!$B$8&amp;Tableau1[[#This Row],[Localisation / Classement]]&amp;"\"&amp;Tableau1[[#This Row],[Poste technique ou N° d''équipement]]&amp;"_"&amp;Tableau1[[#This Row],[Plan Entretien]]&amp;".xlsm"</f>
        <v>\\stjn.local\trimet\Btechnique\Commun\Atelier Central mécanique\Plan entretien\GammeEntretien\\_.xlsm</v>
      </c>
    </row>
    <row r="757" spans="1:30" x14ac:dyDescent="0.3">
      <c r="A757" s="44" t="str">
        <f t="shared" ca="1" si="11"/>
        <v>7.MENG</v>
      </c>
      <c r="B75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57" s="47"/>
      <c r="D757" s="44"/>
      <c r="E757" s="44"/>
      <c r="F757" s="47"/>
      <c r="G757" s="47"/>
      <c r="H757" s="45"/>
      <c r="I757" s="45"/>
      <c r="J757" s="45"/>
      <c r="K757" s="45"/>
      <c r="L757" s="46"/>
      <c r="M757" s="47"/>
      <c r="N757" s="47"/>
      <c r="O757" s="47"/>
      <c r="P757" s="47"/>
      <c r="Q757" s="47"/>
      <c r="R757" s="47"/>
      <c r="S757" s="48"/>
      <c r="T757" s="68" t="str">
        <f>IF(Tableau1[[#This Row],[DMS_SAP]]="","",HYPERLINK(Tableau1[[#This Row],[Chemin fichier source]],"X"))</f>
        <v/>
      </c>
      <c r="U757" s="68" t="str">
        <f>IF(Tableau1[[#This Row],[Date rév.]]="","",HYPERLINK(Tableau1[[#This Row],[Lien document]],"X"))</f>
        <v/>
      </c>
      <c r="V757" s="47"/>
      <c r="W75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57" s="47"/>
      <c r="Y757" s="47"/>
      <c r="Z757" s="44" t="str">
        <f ca="1">IF(AND(Tableau1[[#This Row],[Charge]]&lt;&gt;0, Tableau1[[#This Row],[Nombre intervenants]]&lt;&gt;0,Tableau1[[#This Row],[Lien document]]&lt;&gt;0,Tableau1[[#This Row],[DMS_SAP]]&lt;&gt;0)=TRUE,"MIS A JOUR","")</f>
        <v/>
      </c>
      <c r="AA757" s="48"/>
      <c r="AB757" s="65" t="str">
        <f ca="1">IF(Tableau1[[#This Row],[Date rév.]]&lt;&gt;"", DAYS360(Tableau1[[#This Row],[Date rév.]],TODAY()),"")</f>
        <v/>
      </c>
      <c r="AC757" s="50" t="str">
        <f>IFERROR(INDEX(Chemin_accès!$B$11:$C$22,MATCH(Tableau1[[#This Row],[Type]],Chemin_accès!$C$11:$C$22,0),1),Chemin_accès!$B$11)</f>
        <v>\\stjn.local\trimet\Btechnique\Commun\Atelier Central mécanique\Plan entretien\Modèles préventif\GammeDMS_7.MENG.xlsm</v>
      </c>
      <c r="AD757" s="50" t="str">
        <f>Chemin_accès!$B$8&amp;Tableau1[[#This Row],[Localisation / Classement]]&amp;"\"&amp;Tableau1[[#This Row],[Poste technique ou N° d''équipement]]&amp;"_"&amp;Tableau1[[#This Row],[Plan Entretien]]&amp;".xlsm"</f>
        <v>\\stjn.local\trimet\Btechnique\Commun\Atelier Central mécanique\Plan entretien\GammeEntretien\\_.xlsm</v>
      </c>
    </row>
    <row r="758" spans="1:30" x14ac:dyDescent="0.3">
      <c r="A758" s="44" t="str">
        <f t="shared" ca="1" si="11"/>
        <v>7.MENG</v>
      </c>
      <c r="B75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58" s="47"/>
      <c r="D758" s="44"/>
      <c r="E758" s="44"/>
      <c r="F758" s="47"/>
      <c r="G758" s="47"/>
      <c r="H758" s="45"/>
      <c r="I758" s="45"/>
      <c r="J758" s="45"/>
      <c r="K758" s="45"/>
      <c r="L758" s="46"/>
      <c r="M758" s="47"/>
      <c r="N758" s="47"/>
      <c r="O758" s="47"/>
      <c r="P758" s="47"/>
      <c r="Q758" s="47"/>
      <c r="R758" s="47"/>
      <c r="S758" s="48"/>
      <c r="T758" s="68" t="str">
        <f>IF(Tableau1[[#This Row],[DMS_SAP]]="","",HYPERLINK(Tableau1[[#This Row],[Chemin fichier source]],"X"))</f>
        <v/>
      </c>
      <c r="U758" s="68" t="str">
        <f>IF(Tableau1[[#This Row],[Date rév.]]="","",HYPERLINK(Tableau1[[#This Row],[Lien document]],"X"))</f>
        <v/>
      </c>
      <c r="V758" s="47"/>
      <c r="W75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58" s="47"/>
      <c r="Y758" s="47"/>
      <c r="Z758" s="44" t="str">
        <f ca="1">IF(AND(Tableau1[[#This Row],[Charge]]&lt;&gt;0, Tableau1[[#This Row],[Nombre intervenants]]&lt;&gt;0,Tableau1[[#This Row],[Lien document]]&lt;&gt;0,Tableau1[[#This Row],[DMS_SAP]]&lt;&gt;0)=TRUE,"MIS A JOUR","")</f>
        <v/>
      </c>
      <c r="AA758" s="48"/>
      <c r="AB758" s="65" t="str">
        <f ca="1">IF(Tableau1[[#This Row],[Date rév.]]&lt;&gt;"", DAYS360(Tableau1[[#This Row],[Date rév.]],TODAY()),"")</f>
        <v/>
      </c>
      <c r="AC758" s="50" t="str">
        <f>IFERROR(INDEX(Chemin_accès!$B$11:$C$22,MATCH(Tableau1[[#This Row],[Type]],Chemin_accès!$C$11:$C$22,0),1),Chemin_accès!$B$11)</f>
        <v>\\stjn.local\trimet\Btechnique\Commun\Atelier Central mécanique\Plan entretien\Modèles préventif\GammeDMS_7.MENG.xlsm</v>
      </c>
      <c r="AD758" s="50" t="str">
        <f>Chemin_accès!$B$8&amp;Tableau1[[#This Row],[Localisation / Classement]]&amp;"\"&amp;Tableau1[[#This Row],[Poste technique ou N° d''équipement]]&amp;"_"&amp;Tableau1[[#This Row],[Plan Entretien]]&amp;".xlsm"</f>
        <v>\\stjn.local\trimet\Btechnique\Commun\Atelier Central mécanique\Plan entretien\GammeEntretien\\_.xlsm</v>
      </c>
    </row>
    <row r="759" spans="1:30" x14ac:dyDescent="0.3">
      <c r="A759" s="44" t="str">
        <f t="shared" ca="1" si="11"/>
        <v>7.MENG</v>
      </c>
      <c r="B75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59" s="47"/>
      <c r="D759" s="44"/>
      <c r="E759" s="44"/>
      <c r="F759" s="47"/>
      <c r="G759" s="47"/>
      <c r="H759" s="45"/>
      <c r="I759" s="45"/>
      <c r="J759" s="45"/>
      <c r="K759" s="45"/>
      <c r="L759" s="46"/>
      <c r="M759" s="47"/>
      <c r="N759" s="47"/>
      <c r="O759" s="47"/>
      <c r="P759" s="47"/>
      <c r="Q759" s="47"/>
      <c r="R759" s="47"/>
      <c r="S759" s="48"/>
      <c r="T759" s="68" t="str">
        <f>IF(Tableau1[[#This Row],[DMS_SAP]]="","",HYPERLINK(Tableau1[[#This Row],[Chemin fichier source]],"X"))</f>
        <v/>
      </c>
      <c r="U759" s="68" t="str">
        <f>IF(Tableau1[[#This Row],[Date rév.]]="","",HYPERLINK(Tableau1[[#This Row],[Lien document]],"X"))</f>
        <v/>
      </c>
      <c r="V759" s="47"/>
      <c r="W75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59" s="47"/>
      <c r="Y759" s="47"/>
      <c r="Z759" s="44" t="str">
        <f ca="1">IF(AND(Tableau1[[#This Row],[Charge]]&lt;&gt;0, Tableau1[[#This Row],[Nombre intervenants]]&lt;&gt;0,Tableau1[[#This Row],[Lien document]]&lt;&gt;0,Tableau1[[#This Row],[DMS_SAP]]&lt;&gt;0)=TRUE,"MIS A JOUR","")</f>
        <v/>
      </c>
      <c r="AA759" s="48"/>
      <c r="AB759" s="65" t="str">
        <f ca="1">IF(Tableau1[[#This Row],[Date rév.]]&lt;&gt;"", DAYS360(Tableau1[[#This Row],[Date rév.]],TODAY()),"")</f>
        <v/>
      </c>
      <c r="AC759" s="50" t="str">
        <f>IFERROR(INDEX(Chemin_accès!$B$11:$C$22,MATCH(Tableau1[[#This Row],[Type]],Chemin_accès!$C$11:$C$22,0),1),Chemin_accès!$B$11)</f>
        <v>\\stjn.local\trimet\Btechnique\Commun\Atelier Central mécanique\Plan entretien\Modèles préventif\GammeDMS_7.MENG.xlsm</v>
      </c>
      <c r="AD759" s="50" t="str">
        <f>Chemin_accès!$B$8&amp;Tableau1[[#This Row],[Localisation / Classement]]&amp;"\"&amp;Tableau1[[#This Row],[Poste technique ou N° d''équipement]]&amp;"_"&amp;Tableau1[[#This Row],[Plan Entretien]]&amp;".xlsm"</f>
        <v>\\stjn.local\trimet\Btechnique\Commun\Atelier Central mécanique\Plan entretien\GammeEntretien\\_.xlsm</v>
      </c>
    </row>
    <row r="760" spans="1:30" x14ac:dyDescent="0.3">
      <c r="A760" s="44" t="str">
        <f t="shared" ca="1" si="11"/>
        <v>7.MENG</v>
      </c>
      <c r="B76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60" s="47"/>
      <c r="D760" s="44"/>
      <c r="E760" s="44"/>
      <c r="F760" s="47"/>
      <c r="G760" s="47"/>
      <c r="H760" s="45"/>
      <c r="I760" s="45"/>
      <c r="J760" s="45"/>
      <c r="K760" s="45"/>
      <c r="L760" s="46"/>
      <c r="M760" s="47"/>
      <c r="N760" s="47"/>
      <c r="O760" s="47"/>
      <c r="P760" s="47"/>
      <c r="Q760" s="47"/>
      <c r="R760" s="47"/>
      <c r="S760" s="48"/>
      <c r="T760" s="68" t="str">
        <f>IF(Tableau1[[#This Row],[DMS_SAP]]="","",HYPERLINK(Tableau1[[#This Row],[Chemin fichier source]],"X"))</f>
        <v/>
      </c>
      <c r="U760" s="68" t="str">
        <f>IF(Tableau1[[#This Row],[Date rév.]]="","",HYPERLINK(Tableau1[[#This Row],[Lien document]],"X"))</f>
        <v/>
      </c>
      <c r="V760" s="47"/>
      <c r="W76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60" s="47"/>
      <c r="Y760" s="47"/>
      <c r="Z760" s="44" t="str">
        <f ca="1">IF(AND(Tableau1[[#This Row],[Charge]]&lt;&gt;0, Tableau1[[#This Row],[Nombre intervenants]]&lt;&gt;0,Tableau1[[#This Row],[Lien document]]&lt;&gt;0,Tableau1[[#This Row],[DMS_SAP]]&lt;&gt;0)=TRUE,"MIS A JOUR","")</f>
        <v/>
      </c>
      <c r="AA760" s="48"/>
      <c r="AB760" s="65" t="str">
        <f ca="1">IF(Tableau1[[#This Row],[Date rév.]]&lt;&gt;"", DAYS360(Tableau1[[#This Row],[Date rév.]],TODAY()),"")</f>
        <v/>
      </c>
      <c r="AC760" s="50" t="str">
        <f>IFERROR(INDEX(Chemin_accès!$B$11:$C$22,MATCH(Tableau1[[#This Row],[Type]],Chemin_accès!$C$11:$C$22,0),1),Chemin_accès!$B$11)</f>
        <v>\\stjn.local\trimet\Btechnique\Commun\Atelier Central mécanique\Plan entretien\Modèles préventif\GammeDMS_7.MENG.xlsm</v>
      </c>
      <c r="AD760" s="50" t="str">
        <f>Chemin_accès!$B$8&amp;Tableau1[[#This Row],[Localisation / Classement]]&amp;"\"&amp;Tableau1[[#This Row],[Poste technique ou N° d''équipement]]&amp;"_"&amp;Tableau1[[#This Row],[Plan Entretien]]&amp;".xlsm"</f>
        <v>\\stjn.local\trimet\Btechnique\Commun\Atelier Central mécanique\Plan entretien\GammeEntretien\\_.xlsm</v>
      </c>
    </row>
    <row r="761" spans="1:30" x14ac:dyDescent="0.3">
      <c r="A761" s="44" t="str">
        <f t="shared" ca="1" si="11"/>
        <v>7.MENG</v>
      </c>
      <c r="B76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61" s="47"/>
      <c r="D761" s="44"/>
      <c r="E761" s="44"/>
      <c r="F761" s="47"/>
      <c r="G761" s="47"/>
      <c r="H761" s="45"/>
      <c r="I761" s="45"/>
      <c r="J761" s="45"/>
      <c r="K761" s="45"/>
      <c r="L761" s="46"/>
      <c r="M761" s="47"/>
      <c r="N761" s="47"/>
      <c r="O761" s="47"/>
      <c r="P761" s="47"/>
      <c r="Q761" s="47"/>
      <c r="R761" s="47"/>
      <c r="S761" s="48"/>
      <c r="T761" s="68" t="str">
        <f>IF(Tableau1[[#This Row],[DMS_SAP]]="","",HYPERLINK(Tableau1[[#This Row],[Chemin fichier source]],"X"))</f>
        <v/>
      </c>
      <c r="U761" s="68" t="str">
        <f>IF(Tableau1[[#This Row],[Date rév.]]="","",HYPERLINK(Tableau1[[#This Row],[Lien document]],"X"))</f>
        <v/>
      </c>
      <c r="V761" s="47"/>
      <c r="W76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61" s="47"/>
      <c r="Y761" s="47"/>
      <c r="Z761" s="44" t="str">
        <f ca="1">IF(AND(Tableau1[[#This Row],[Charge]]&lt;&gt;0, Tableau1[[#This Row],[Nombre intervenants]]&lt;&gt;0,Tableau1[[#This Row],[Lien document]]&lt;&gt;0,Tableau1[[#This Row],[DMS_SAP]]&lt;&gt;0)=TRUE,"MIS A JOUR","")</f>
        <v/>
      </c>
      <c r="AA761" s="48"/>
      <c r="AB761" s="65" t="str">
        <f ca="1">IF(Tableau1[[#This Row],[Date rév.]]&lt;&gt;"", DAYS360(Tableau1[[#This Row],[Date rév.]],TODAY()),"")</f>
        <v/>
      </c>
      <c r="AC761" s="50" t="str">
        <f>IFERROR(INDEX(Chemin_accès!$B$11:$C$22,MATCH(Tableau1[[#This Row],[Type]],Chemin_accès!$C$11:$C$22,0),1),Chemin_accès!$B$11)</f>
        <v>\\stjn.local\trimet\Btechnique\Commun\Atelier Central mécanique\Plan entretien\Modèles préventif\GammeDMS_7.MENG.xlsm</v>
      </c>
      <c r="AD761" s="50" t="str">
        <f>Chemin_accès!$B$8&amp;Tableau1[[#This Row],[Localisation / Classement]]&amp;"\"&amp;Tableau1[[#This Row],[Poste technique ou N° d''équipement]]&amp;"_"&amp;Tableau1[[#This Row],[Plan Entretien]]&amp;".xlsm"</f>
        <v>\\stjn.local\trimet\Btechnique\Commun\Atelier Central mécanique\Plan entretien\GammeEntretien\\_.xlsm</v>
      </c>
    </row>
    <row r="762" spans="1:30" x14ac:dyDescent="0.3">
      <c r="A762" s="44" t="str">
        <f t="shared" ca="1" si="11"/>
        <v>7.MENG</v>
      </c>
      <c r="B76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62" s="47"/>
      <c r="D762" s="44"/>
      <c r="E762" s="44"/>
      <c r="F762" s="47"/>
      <c r="G762" s="47"/>
      <c r="H762" s="45"/>
      <c r="I762" s="45"/>
      <c r="J762" s="45"/>
      <c r="K762" s="45"/>
      <c r="L762" s="46"/>
      <c r="M762" s="47"/>
      <c r="N762" s="47"/>
      <c r="O762" s="47"/>
      <c r="P762" s="47"/>
      <c r="Q762" s="47"/>
      <c r="R762" s="47"/>
      <c r="S762" s="48"/>
      <c r="T762" s="68" t="str">
        <f>IF(Tableau1[[#This Row],[DMS_SAP]]="","",HYPERLINK(Tableau1[[#This Row],[Chemin fichier source]],"X"))</f>
        <v/>
      </c>
      <c r="U762" s="68" t="str">
        <f>IF(Tableau1[[#This Row],[Date rév.]]="","",HYPERLINK(Tableau1[[#This Row],[Lien document]],"X"))</f>
        <v/>
      </c>
      <c r="V762" s="47"/>
      <c r="W76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62" s="47"/>
      <c r="Y762" s="47"/>
      <c r="Z762" s="44" t="str">
        <f ca="1">IF(AND(Tableau1[[#This Row],[Charge]]&lt;&gt;0, Tableau1[[#This Row],[Nombre intervenants]]&lt;&gt;0,Tableau1[[#This Row],[Lien document]]&lt;&gt;0,Tableau1[[#This Row],[DMS_SAP]]&lt;&gt;0)=TRUE,"MIS A JOUR","")</f>
        <v/>
      </c>
      <c r="AA762" s="48"/>
      <c r="AB762" s="65" t="str">
        <f ca="1">IF(Tableau1[[#This Row],[Date rév.]]&lt;&gt;"", DAYS360(Tableau1[[#This Row],[Date rév.]],TODAY()),"")</f>
        <v/>
      </c>
      <c r="AC762" s="50" t="str">
        <f>IFERROR(INDEX(Chemin_accès!$B$11:$C$22,MATCH(Tableau1[[#This Row],[Type]],Chemin_accès!$C$11:$C$22,0),1),Chemin_accès!$B$11)</f>
        <v>\\stjn.local\trimet\Btechnique\Commun\Atelier Central mécanique\Plan entretien\Modèles préventif\GammeDMS_7.MENG.xlsm</v>
      </c>
      <c r="AD762" s="50" t="str">
        <f>Chemin_accès!$B$8&amp;Tableau1[[#This Row],[Localisation / Classement]]&amp;"\"&amp;Tableau1[[#This Row],[Poste technique ou N° d''équipement]]&amp;"_"&amp;Tableau1[[#This Row],[Plan Entretien]]&amp;".xlsm"</f>
        <v>\\stjn.local\trimet\Btechnique\Commun\Atelier Central mécanique\Plan entretien\GammeEntretien\\_.xlsm</v>
      </c>
    </row>
    <row r="763" spans="1:30" x14ac:dyDescent="0.3">
      <c r="A763" s="44" t="str">
        <f t="shared" ca="1" si="11"/>
        <v>7.MENG</v>
      </c>
      <c r="B76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63" s="47"/>
      <c r="D763" s="44"/>
      <c r="E763" s="44"/>
      <c r="F763" s="47"/>
      <c r="G763" s="47"/>
      <c r="H763" s="45"/>
      <c r="I763" s="45"/>
      <c r="J763" s="45"/>
      <c r="K763" s="45"/>
      <c r="L763" s="46"/>
      <c r="M763" s="47"/>
      <c r="N763" s="47"/>
      <c r="O763" s="47"/>
      <c r="P763" s="47"/>
      <c r="Q763" s="47"/>
      <c r="R763" s="47"/>
      <c r="S763" s="48"/>
      <c r="T763" s="68" t="str">
        <f>IF(Tableau1[[#This Row],[DMS_SAP]]="","",HYPERLINK(Tableau1[[#This Row],[Chemin fichier source]],"X"))</f>
        <v/>
      </c>
      <c r="U763" s="68" t="str">
        <f>IF(Tableau1[[#This Row],[Date rév.]]="","",HYPERLINK(Tableau1[[#This Row],[Lien document]],"X"))</f>
        <v/>
      </c>
      <c r="V763" s="47"/>
      <c r="W76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63" s="47"/>
      <c r="Y763" s="47"/>
      <c r="Z763" s="44" t="str">
        <f ca="1">IF(AND(Tableau1[[#This Row],[Charge]]&lt;&gt;0, Tableau1[[#This Row],[Nombre intervenants]]&lt;&gt;0,Tableau1[[#This Row],[Lien document]]&lt;&gt;0,Tableau1[[#This Row],[DMS_SAP]]&lt;&gt;0)=TRUE,"MIS A JOUR","")</f>
        <v/>
      </c>
      <c r="AA763" s="48"/>
      <c r="AB763" s="65" t="str">
        <f ca="1">IF(Tableau1[[#This Row],[Date rév.]]&lt;&gt;"", DAYS360(Tableau1[[#This Row],[Date rév.]],TODAY()),"")</f>
        <v/>
      </c>
      <c r="AC763" s="50" t="str">
        <f>IFERROR(INDEX(Chemin_accès!$B$11:$C$22,MATCH(Tableau1[[#This Row],[Type]],Chemin_accès!$C$11:$C$22,0),1),Chemin_accès!$B$11)</f>
        <v>\\stjn.local\trimet\Btechnique\Commun\Atelier Central mécanique\Plan entretien\Modèles préventif\GammeDMS_7.MENG.xlsm</v>
      </c>
      <c r="AD763" s="50" t="str">
        <f>Chemin_accès!$B$8&amp;Tableau1[[#This Row],[Localisation / Classement]]&amp;"\"&amp;Tableau1[[#This Row],[Poste technique ou N° d''équipement]]&amp;"_"&amp;Tableau1[[#This Row],[Plan Entretien]]&amp;".xlsm"</f>
        <v>\\stjn.local\trimet\Btechnique\Commun\Atelier Central mécanique\Plan entretien\GammeEntretien\\_.xlsm</v>
      </c>
    </row>
    <row r="764" spans="1:30" x14ac:dyDescent="0.3">
      <c r="A764" s="44" t="str">
        <f t="shared" ca="1" si="11"/>
        <v>7.MENG</v>
      </c>
      <c r="B76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64" s="47"/>
      <c r="D764" s="44"/>
      <c r="E764" s="44"/>
      <c r="F764" s="47"/>
      <c r="G764" s="47"/>
      <c r="H764" s="45"/>
      <c r="I764" s="45"/>
      <c r="J764" s="45"/>
      <c r="K764" s="45"/>
      <c r="L764" s="46"/>
      <c r="M764" s="47"/>
      <c r="N764" s="47"/>
      <c r="O764" s="47"/>
      <c r="P764" s="47"/>
      <c r="Q764" s="47"/>
      <c r="R764" s="47"/>
      <c r="S764" s="48"/>
      <c r="T764" s="68" t="str">
        <f>IF(Tableau1[[#This Row],[DMS_SAP]]="","",HYPERLINK(Tableau1[[#This Row],[Chemin fichier source]],"X"))</f>
        <v/>
      </c>
      <c r="U764" s="68" t="str">
        <f>IF(Tableau1[[#This Row],[Date rév.]]="","",HYPERLINK(Tableau1[[#This Row],[Lien document]],"X"))</f>
        <v/>
      </c>
      <c r="V764" s="47"/>
      <c r="W76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64" s="47"/>
      <c r="Y764" s="47"/>
      <c r="Z764" s="44" t="str">
        <f ca="1">IF(AND(Tableau1[[#This Row],[Charge]]&lt;&gt;0, Tableau1[[#This Row],[Nombre intervenants]]&lt;&gt;0,Tableau1[[#This Row],[Lien document]]&lt;&gt;0,Tableau1[[#This Row],[DMS_SAP]]&lt;&gt;0)=TRUE,"MIS A JOUR","")</f>
        <v/>
      </c>
      <c r="AA764" s="48"/>
      <c r="AB764" s="65" t="str">
        <f ca="1">IF(Tableau1[[#This Row],[Date rév.]]&lt;&gt;"", DAYS360(Tableau1[[#This Row],[Date rév.]],TODAY()),"")</f>
        <v/>
      </c>
      <c r="AC764" s="50" t="str">
        <f>IFERROR(INDEX(Chemin_accès!$B$11:$C$22,MATCH(Tableau1[[#This Row],[Type]],Chemin_accès!$C$11:$C$22,0),1),Chemin_accès!$B$11)</f>
        <v>\\stjn.local\trimet\Btechnique\Commun\Atelier Central mécanique\Plan entretien\Modèles préventif\GammeDMS_7.MENG.xlsm</v>
      </c>
      <c r="AD764" s="50" t="str">
        <f>Chemin_accès!$B$8&amp;Tableau1[[#This Row],[Localisation / Classement]]&amp;"\"&amp;Tableau1[[#This Row],[Poste technique ou N° d''équipement]]&amp;"_"&amp;Tableau1[[#This Row],[Plan Entretien]]&amp;".xlsm"</f>
        <v>\\stjn.local\trimet\Btechnique\Commun\Atelier Central mécanique\Plan entretien\GammeEntretien\\_.xlsm</v>
      </c>
    </row>
    <row r="765" spans="1:30" x14ac:dyDescent="0.3">
      <c r="A765" s="44" t="str">
        <f t="shared" ca="1" si="11"/>
        <v>7.MENG</v>
      </c>
      <c r="B76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65" s="47"/>
      <c r="D765" s="44"/>
      <c r="E765" s="44"/>
      <c r="F765" s="47"/>
      <c r="G765" s="47"/>
      <c r="H765" s="45"/>
      <c r="I765" s="45"/>
      <c r="J765" s="45"/>
      <c r="K765" s="45"/>
      <c r="L765" s="46"/>
      <c r="M765" s="47"/>
      <c r="N765" s="47"/>
      <c r="O765" s="47"/>
      <c r="P765" s="47"/>
      <c r="Q765" s="47"/>
      <c r="R765" s="47"/>
      <c r="S765" s="48"/>
      <c r="T765" s="68" t="str">
        <f>IF(Tableau1[[#This Row],[DMS_SAP]]="","",HYPERLINK(Tableau1[[#This Row],[Chemin fichier source]],"X"))</f>
        <v/>
      </c>
      <c r="U765" s="68" t="str">
        <f>IF(Tableau1[[#This Row],[Date rév.]]="","",HYPERLINK(Tableau1[[#This Row],[Lien document]],"X"))</f>
        <v/>
      </c>
      <c r="V765" s="47"/>
      <c r="W76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65" s="47"/>
      <c r="Y765" s="47"/>
      <c r="Z765" s="44" t="str">
        <f ca="1">IF(AND(Tableau1[[#This Row],[Charge]]&lt;&gt;0, Tableau1[[#This Row],[Nombre intervenants]]&lt;&gt;0,Tableau1[[#This Row],[Lien document]]&lt;&gt;0,Tableau1[[#This Row],[DMS_SAP]]&lt;&gt;0)=TRUE,"MIS A JOUR","")</f>
        <v/>
      </c>
      <c r="AA765" s="48"/>
      <c r="AB765" s="65" t="str">
        <f ca="1">IF(Tableau1[[#This Row],[Date rév.]]&lt;&gt;"", DAYS360(Tableau1[[#This Row],[Date rév.]],TODAY()),"")</f>
        <v/>
      </c>
      <c r="AC765" s="50" t="str">
        <f>IFERROR(INDEX(Chemin_accès!$B$11:$C$22,MATCH(Tableau1[[#This Row],[Type]],Chemin_accès!$C$11:$C$22,0),1),Chemin_accès!$B$11)</f>
        <v>\\stjn.local\trimet\Btechnique\Commun\Atelier Central mécanique\Plan entretien\Modèles préventif\GammeDMS_7.MENG.xlsm</v>
      </c>
      <c r="AD765" s="50" t="str">
        <f>Chemin_accès!$B$8&amp;Tableau1[[#This Row],[Localisation / Classement]]&amp;"\"&amp;Tableau1[[#This Row],[Poste technique ou N° d''équipement]]&amp;"_"&amp;Tableau1[[#This Row],[Plan Entretien]]&amp;".xlsm"</f>
        <v>\\stjn.local\trimet\Btechnique\Commun\Atelier Central mécanique\Plan entretien\GammeEntretien\\_.xlsm</v>
      </c>
    </row>
    <row r="766" spans="1:30" x14ac:dyDescent="0.3">
      <c r="A766" s="44" t="str">
        <f t="shared" ca="1" si="11"/>
        <v>7.MENG</v>
      </c>
      <c r="B76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66" s="47"/>
      <c r="D766" s="44"/>
      <c r="E766" s="44"/>
      <c r="F766" s="47"/>
      <c r="G766" s="47"/>
      <c r="H766" s="45"/>
      <c r="I766" s="45"/>
      <c r="J766" s="45"/>
      <c r="K766" s="45"/>
      <c r="L766" s="46"/>
      <c r="M766" s="47"/>
      <c r="N766" s="47"/>
      <c r="O766" s="47"/>
      <c r="P766" s="47"/>
      <c r="Q766" s="47"/>
      <c r="R766" s="47"/>
      <c r="S766" s="48"/>
      <c r="T766" s="68" t="str">
        <f>IF(Tableau1[[#This Row],[DMS_SAP]]="","",HYPERLINK(Tableau1[[#This Row],[Chemin fichier source]],"X"))</f>
        <v/>
      </c>
      <c r="U766" s="68" t="str">
        <f>IF(Tableau1[[#This Row],[Date rév.]]="","",HYPERLINK(Tableau1[[#This Row],[Lien document]],"X"))</f>
        <v/>
      </c>
      <c r="V766" s="47"/>
      <c r="W76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66" s="47"/>
      <c r="Y766" s="47"/>
      <c r="Z766" s="44" t="str">
        <f ca="1">IF(AND(Tableau1[[#This Row],[Charge]]&lt;&gt;0, Tableau1[[#This Row],[Nombre intervenants]]&lt;&gt;0,Tableau1[[#This Row],[Lien document]]&lt;&gt;0,Tableau1[[#This Row],[DMS_SAP]]&lt;&gt;0)=TRUE,"MIS A JOUR","")</f>
        <v/>
      </c>
      <c r="AA766" s="48"/>
      <c r="AB766" s="65" t="str">
        <f ca="1">IF(Tableau1[[#This Row],[Date rév.]]&lt;&gt;"", DAYS360(Tableau1[[#This Row],[Date rév.]],TODAY()),"")</f>
        <v/>
      </c>
      <c r="AC766" s="50" t="str">
        <f>IFERROR(INDEX(Chemin_accès!$B$11:$C$22,MATCH(Tableau1[[#This Row],[Type]],Chemin_accès!$C$11:$C$22,0),1),Chemin_accès!$B$11)</f>
        <v>\\stjn.local\trimet\Btechnique\Commun\Atelier Central mécanique\Plan entretien\Modèles préventif\GammeDMS_7.MENG.xlsm</v>
      </c>
      <c r="AD766" s="50" t="str">
        <f>Chemin_accès!$B$8&amp;Tableau1[[#This Row],[Localisation / Classement]]&amp;"\"&amp;Tableau1[[#This Row],[Poste technique ou N° d''équipement]]&amp;"_"&amp;Tableau1[[#This Row],[Plan Entretien]]&amp;".xlsm"</f>
        <v>\\stjn.local\trimet\Btechnique\Commun\Atelier Central mécanique\Plan entretien\GammeEntretien\\_.xlsm</v>
      </c>
    </row>
    <row r="767" spans="1:30" x14ac:dyDescent="0.3">
      <c r="A767" s="44" t="str">
        <f t="shared" ca="1" si="11"/>
        <v>7.MENG</v>
      </c>
      <c r="B76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67" s="47"/>
      <c r="D767" s="44"/>
      <c r="E767" s="44"/>
      <c r="F767" s="47"/>
      <c r="G767" s="47"/>
      <c r="H767" s="45"/>
      <c r="I767" s="45"/>
      <c r="J767" s="45"/>
      <c r="K767" s="45"/>
      <c r="L767" s="46"/>
      <c r="M767" s="47"/>
      <c r="N767" s="47"/>
      <c r="O767" s="47"/>
      <c r="P767" s="47"/>
      <c r="Q767" s="47"/>
      <c r="R767" s="47"/>
      <c r="S767" s="48"/>
      <c r="T767" s="68" t="str">
        <f>IF(Tableau1[[#This Row],[DMS_SAP]]="","",HYPERLINK(Tableau1[[#This Row],[Chemin fichier source]],"X"))</f>
        <v/>
      </c>
      <c r="U767" s="68" t="str">
        <f>IF(Tableau1[[#This Row],[Date rév.]]="","",HYPERLINK(Tableau1[[#This Row],[Lien document]],"X"))</f>
        <v/>
      </c>
      <c r="V767" s="47"/>
      <c r="W76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67" s="47"/>
      <c r="Y767" s="47"/>
      <c r="Z767" s="44" t="str">
        <f ca="1">IF(AND(Tableau1[[#This Row],[Charge]]&lt;&gt;0, Tableau1[[#This Row],[Nombre intervenants]]&lt;&gt;0,Tableau1[[#This Row],[Lien document]]&lt;&gt;0,Tableau1[[#This Row],[DMS_SAP]]&lt;&gt;0)=TRUE,"MIS A JOUR","")</f>
        <v/>
      </c>
      <c r="AA767" s="48"/>
      <c r="AB767" s="65" t="str">
        <f ca="1">IF(Tableau1[[#This Row],[Date rév.]]&lt;&gt;"", DAYS360(Tableau1[[#This Row],[Date rév.]],TODAY()),"")</f>
        <v/>
      </c>
      <c r="AC767" s="50" t="str">
        <f>IFERROR(INDEX(Chemin_accès!$B$11:$C$22,MATCH(Tableau1[[#This Row],[Type]],Chemin_accès!$C$11:$C$22,0),1),Chemin_accès!$B$11)</f>
        <v>\\stjn.local\trimet\Btechnique\Commun\Atelier Central mécanique\Plan entretien\Modèles préventif\GammeDMS_7.MENG.xlsm</v>
      </c>
      <c r="AD767" s="50" t="str">
        <f>Chemin_accès!$B$8&amp;Tableau1[[#This Row],[Localisation / Classement]]&amp;"\"&amp;Tableau1[[#This Row],[Poste technique ou N° d''équipement]]&amp;"_"&amp;Tableau1[[#This Row],[Plan Entretien]]&amp;".xlsm"</f>
        <v>\\stjn.local\trimet\Btechnique\Commun\Atelier Central mécanique\Plan entretien\GammeEntretien\\_.xlsm</v>
      </c>
    </row>
    <row r="768" spans="1:30" x14ac:dyDescent="0.3">
      <c r="A768" s="44" t="str">
        <f t="shared" ca="1" si="11"/>
        <v>7.MENG</v>
      </c>
      <c r="B76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68" s="47"/>
      <c r="D768" s="44"/>
      <c r="E768" s="44"/>
      <c r="F768" s="47"/>
      <c r="G768" s="47"/>
      <c r="H768" s="45"/>
      <c r="I768" s="45"/>
      <c r="J768" s="45"/>
      <c r="K768" s="45"/>
      <c r="L768" s="46"/>
      <c r="M768" s="47"/>
      <c r="N768" s="47"/>
      <c r="O768" s="47"/>
      <c r="P768" s="47"/>
      <c r="Q768" s="47"/>
      <c r="R768" s="47"/>
      <c r="S768" s="48"/>
      <c r="T768" s="68" t="str">
        <f>IF(Tableau1[[#This Row],[DMS_SAP]]="","",HYPERLINK(Tableau1[[#This Row],[Chemin fichier source]],"X"))</f>
        <v/>
      </c>
      <c r="U768" s="68" t="str">
        <f>IF(Tableau1[[#This Row],[Date rév.]]="","",HYPERLINK(Tableau1[[#This Row],[Lien document]],"X"))</f>
        <v/>
      </c>
      <c r="V768" s="47"/>
      <c r="W76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68" s="47"/>
      <c r="Y768" s="47"/>
      <c r="Z768" s="44" t="str">
        <f ca="1">IF(AND(Tableau1[[#This Row],[Charge]]&lt;&gt;0, Tableau1[[#This Row],[Nombre intervenants]]&lt;&gt;0,Tableau1[[#This Row],[Lien document]]&lt;&gt;0,Tableau1[[#This Row],[DMS_SAP]]&lt;&gt;0)=TRUE,"MIS A JOUR","")</f>
        <v/>
      </c>
      <c r="AA768" s="48"/>
      <c r="AB768" s="65" t="str">
        <f ca="1">IF(Tableau1[[#This Row],[Date rév.]]&lt;&gt;"", DAYS360(Tableau1[[#This Row],[Date rév.]],TODAY()),"")</f>
        <v/>
      </c>
      <c r="AC768" s="50" t="str">
        <f>IFERROR(INDEX(Chemin_accès!$B$11:$C$22,MATCH(Tableau1[[#This Row],[Type]],Chemin_accès!$C$11:$C$22,0),1),Chemin_accès!$B$11)</f>
        <v>\\stjn.local\trimet\Btechnique\Commun\Atelier Central mécanique\Plan entretien\Modèles préventif\GammeDMS_7.MENG.xlsm</v>
      </c>
      <c r="AD768" s="50" t="str">
        <f>Chemin_accès!$B$8&amp;Tableau1[[#This Row],[Localisation / Classement]]&amp;"\"&amp;Tableau1[[#This Row],[Poste technique ou N° d''équipement]]&amp;"_"&amp;Tableau1[[#This Row],[Plan Entretien]]&amp;".xlsm"</f>
        <v>\\stjn.local\trimet\Btechnique\Commun\Atelier Central mécanique\Plan entretien\GammeEntretien\\_.xlsm</v>
      </c>
    </row>
    <row r="769" spans="1:30" x14ac:dyDescent="0.3">
      <c r="A769" s="44" t="str">
        <f t="shared" ref="A769:A832" ca="1" si="12">MID(CELL("filename",$A$1),FIND("]",CELL("filename",$A$1))+1,32)</f>
        <v>7.MENG</v>
      </c>
      <c r="B76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69" s="47"/>
      <c r="D769" s="44"/>
      <c r="E769" s="44"/>
      <c r="F769" s="47"/>
      <c r="G769" s="47"/>
      <c r="H769" s="45"/>
      <c r="I769" s="45"/>
      <c r="J769" s="45"/>
      <c r="K769" s="45"/>
      <c r="L769" s="46"/>
      <c r="M769" s="47"/>
      <c r="N769" s="47"/>
      <c r="O769" s="47"/>
      <c r="P769" s="47"/>
      <c r="Q769" s="47"/>
      <c r="R769" s="47"/>
      <c r="S769" s="48"/>
      <c r="T769" s="68" t="str">
        <f>IF(Tableau1[[#This Row],[DMS_SAP]]="","",HYPERLINK(Tableau1[[#This Row],[Chemin fichier source]],"X"))</f>
        <v/>
      </c>
      <c r="U769" s="68" t="str">
        <f>IF(Tableau1[[#This Row],[Date rév.]]="","",HYPERLINK(Tableau1[[#This Row],[Lien document]],"X"))</f>
        <v/>
      </c>
      <c r="V769" s="47"/>
      <c r="W76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69" s="47"/>
      <c r="Y769" s="47"/>
      <c r="Z769" s="44" t="str">
        <f ca="1">IF(AND(Tableau1[[#This Row],[Charge]]&lt;&gt;0, Tableau1[[#This Row],[Nombre intervenants]]&lt;&gt;0,Tableau1[[#This Row],[Lien document]]&lt;&gt;0,Tableau1[[#This Row],[DMS_SAP]]&lt;&gt;0)=TRUE,"MIS A JOUR","")</f>
        <v/>
      </c>
      <c r="AA769" s="48"/>
      <c r="AB769" s="65" t="str">
        <f ca="1">IF(Tableau1[[#This Row],[Date rév.]]&lt;&gt;"", DAYS360(Tableau1[[#This Row],[Date rév.]],TODAY()),"")</f>
        <v/>
      </c>
      <c r="AC769" s="50" t="str">
        <f>IFERROR(INDEX(Chemin_accès!$B$11:$C$22,MATCH(Tableau1[[#This Row],[Type]],Chemin_accès!$C$11:$C$22,0),1),Chemin_accès!$B$11)</f>
        <v>\\stjn.local\trimet\Btechnique\Commun\Atelier Central mécanique\Plan entretien\Modèles préventif\GammeDMS_7.MENG.xlsm</v>
      </c>
      <c r="AD769" s="50" t="str">
        <f>Chemin_accès!$B$8&amp;Tableau1[[#This Row],[Localisation / Classement]]&amp;"\"&amp;Tableau1[[#This Row],[Poste technique ou N° d''équipement]]&amp;"_"&amp;Tableau1[[#This Row],[Plan Entretien]]&amp;".xlsm"</f>
        <v>\\stjn.local\trimet\Btechnique\Commun\Atelier Central mécanique\Plan entretien\GammeEntretien\\_.xlsm</v>
      </c>
    </row>
    <row r="770" spans="1:30" x14ac:dyDescent="0.3">
      <c r="A770" s="44" t="str">
        <f t="shared" ca="1" si="12"/>
        <v>7.MENG</v>
      </c>
      <c r="B77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70" s="47"/>
      <c r="D770" s="44"/>
      <c r="E770" s="44"/>
      <c r="F770" s="47"/>
      <c r="G770" s="47"/>
      <c r="H770" s="45"/>
      <c r="I770" s="45"/>
      <c r="J770" s="45"/>
      <c r="K770" s="45"/>
      <c r="L770" s="46"/>
      <c r="M770" s="47"/>
      <c r="N770" s="47"/>
      <c r="O770" s="47"/>
      <c r="P770" s="47"/>
      <c r="Q770" s="47"/>
      <c r="R770" s="47"/>
      <c r="S770" s="48"/>
      <c r="T770" s="68" t="str">
        <f>IF(Tableau1[[#This Row],[DMS_SAP]]="","",HYPERLINK(Tableau1[[#This Row],[Chemin fichier source]],"X"))</f>
        <v/>
      </c>
      <c r="U770" s="68" t="str">
        <f>IF(Tableau1[[#This Row],[Date rév.]]="","",HYPERLINK(Tableau1[[#This Row],[Lien document]],"X"))</f>
        <v/>
      </c>
      <c r="V770" s="47"/>
      <c r="W77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70" s="47"/>
      <c r="Y770" s="47"/>
      <c r="Z770" s="44" t="str">
        <f ca="1">IF(AND(Tableau1[[#This Row],[Charge]]&lt;&gt;0, Tableau1[[#This Row],[Nombre intervenants]]&lt;&gt;0,Tableau1[[#This Row],[Lien document]]&lt;&gt;0,Tableau1[[#This Row],[DMS_SAP]]&lt;&gt;0)=TRUE,"MIS A JOUR","")</f>
        <v/>
      </c>
      <c r="AA770" s="48"/>
      <c r="AB770" s="65" t="str">
        <f ca="1">IF(Tableau1[[#This Row],[Date rév.]]&lt;&gt;"", DAYS360(Tableau1[[#This Row],[Date rév.]],TODAY()),"")</f>
        <v/>
      </c>
      <c r="AC770" s="50" t="str">
        <f>IFERROR(INDEX(Chemin_accès!$B$11:$C$22,MATCH(Tableau1[[#This Row],[Type]],Chemin_accès!$C$11:$C$22,0),1),Chemin_accès!$B$11)</f>
        <v>\\stjn.local\trimet\Btechnique\Commun\Atelier Central mécanique\Plan entretien\Modèles préventif\GammeDMS_7.MENG.xlsm</v>
      </c>
      <c r="AD770" s="50" t="str">
        <f>Chemin_accès!$B$8&amp;Tableau1[[#This Row],[Localisation / Classement]]&amp;"\"&amp;Tableau1[[#This Row],[Poste technique ou N° d''équipement]]&amp;"_"&amp;Tableau1[[#This Row],[Plan Entretien]]&amp;".xlsm"</f>
        <v>\\stjn.local\trimet\Btechnique\Commun\Atelier Central mécanique\Plan entretien\GammeEntretien\\_.xlsm</v>
      </c>
    </row>
    <row r="771" spans="1:30" x14ac:dyDescent="0.3">
      <c r="A771" s="44" t="str">
        <f t="shared" ca="1" si="12"/>
        <v>7.MENG</v>
      </c>
      <c r="B77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71" s="47"/>
      <c r="D771" s="44"/>
      <c r="E771" s="44"/>
      <c r="F771" s="47"/>
      <c r="G771" s="47"/>
      <c r="H771" s="45"/>
      <c r="I771" s="45"/>
      <c r="J771" s="45"/>
      <c r="K771" s="45"/>
      <c r="L771" s="46"/>
      <c r="M771" s="47"/>
      <c r="N771" s="47"/>
      <c r="O771" s="47"/>
      <c r="P771" s="47"/>
      <c r="Q771" s="47"/>
      <c r="R771" s="47"/>
      <c r="S771" s="48"/>
      <c r="T771" s="68" t="str">
        <f>IF(Tableau1[[#This Row],[DMS_SAP]]="","",HYPERLINK(Tableau1[[#This Row],[Chemin fichier source]],"X"))</f>
        <v/>
      </c>
      <c r="U771" s="68" t="str">
        <f>IF(Tableau1[[#This Row],[Date rév.]]="","",HYPERLINK(Tableau1[[#This Row],[Lien document]],"X"))</f>
        <v/>
      </c>
      <c r="V771" s="47"/>
      <c r="W77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71" s="47"/>
      <c r="Y771" s="47"/>
      <c r="Z771" s="44" t="str">
        <f ca="1">IF(AND(Tableau1[[#This Row],[Charge]]&lt;&gt;0, Tableau1[[#This Row],[Nombre intervenants]]&lt;&gt;0,Tableau1[[#This Row],[Lien document]]&lt;&gt;0,Tableau1[[#This Row],[DMS_SAP]]&lt;&gt;0)=TRUE,"MIS A JOUR","")</f>
        <v/>
      </c>
      <c r="AA771" s="48"/>
      <c r="AB771" s="65" t="str">
        <f ca="1">IF(Tableau1[[#This Row],[Date rév.]]&lt;&gt;"", DAYS360(Tableau1[[#This Row],[Date rév.]],TODAY()),"")</f>
        <v/>
      </c>
      <c r="AC771" s="50" t="str">
        <f>IFERROR(INDEX(Chemin_accès!$B$11:$C$22,MATCH(Tableau1[[#This Row],[Type]],Chemin_accès!$C$11:$C$22,0),1),Chemin_accès!$B$11)</f>
        <v>\\stjn.local\trimet\Btechnique\Commun\Atelier Central mécanique\Plan entretien\Modèles préventif\GammeDMS_7.MENG.xlsm</v>
      </c>
      <c r="AD771" s="50" t="str">
        <f>Chemin_accès!$B$8&amp;Tableau1[[#This Row],[Localisation / Classement]]&amp;"\"&amp;Tableau1[[#This Row],[Poste technique ou N° d''équipement]]&amp;"_"&amp;Tableau1[[#This Row],[Plan Entretien]]&amp;".xlsm"</f>
        <v>\\stjn.local\trimet\Btechnique\Commun\Atelier Central mécanique\Plan entretien\GammeEntretien\\_.xlsm</v>
      </c>
    </row>
    <row r="772" spans="1:30" x14ac:dyDescent="0.3">
      <c r="A772" s="44" t="str">
        <f t="shared" ca="1" si="12"/>
        <v>7.MENG</v>
      </c>
      <c r="B77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72" s="47"/>
      <c r="D772" s="44"/>
      <c r="E772" s="44"/>
      <c r="F772" s="47"/>
      <c r="G772" s="47"/>
      <c r="H772" s="45"/>
      <c r="I772" s="45"/>
      <c r="J772" s="45"/>
      <c r="K772" s="45"/>
      <c r="L772" s="46"/>
      <c r="M772" s="47"/>
      <c r="N772" s="47"/>
      <c r="O772" s="47"/>
      <c r="P772" s="47"/>
      <c r="Q772" s="47"/>
      <c r="R772" s="47"/>
      <c r="S772" s="48"/>
      <c r="T772" s="68" t="str">
        <f>IF(Tableau1[[#This Row],[DMS_SAP]]="","",HYPERLINK(Tableau1[[#This Row],[Chemin fichier source]],"X"))</f>
        <v/>
      </c>
      <c r="U772" s="68" t="str">
        <f>IF(Tableau1[[#This Row],[Date rév.]]="","",HYPERLINK(Tableau1[[#This Row],[Lien document]],"X"))</f>
        <v/>
      </c>
      <c r="V772" s="47"/>
      <c r="W77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72" s="47"/>
      <c r="Y772" s="47"/>
      <c r="Z772" s="44" t="str">
        <f ca="1">IF(AND(Tableau1[[#This Row],[Charge]]&lt;&gt;0, Tableau1[[#This Row],[Nombre intervenants]]&lt;&gt;0,Tableau1[[#This Row],[Lien document]]&lt;&gt;0,Tableau1[[#This Row],[DMS_SAP]]&lt;&gt;0)=TRUE,"MIS A JOUR","")</f>
        <v/>
      </c>
      <c r="AA772" s="48"/>
      <c r="AB772" s="65" t="str">
        <f ca="1">IF(Tableau1[[#This Row],[Date rév.]]&lt;&gt;"", DAYS360(Tableau1[[#This Row],[Date rév.]],TODAY()),"")</f>
        <v/>
      </c>
      <c r="AC772" s="50" t="str">
        <f>IFERROR(INDEX(Chemin_accès!$B$11:$C$22,MATCH(Tableau1[[#This Row],[Type]],Chemin_accès!$C$11:$C$22,0),1),Chemin_accès!$B$11)</f>
        <v>\\stjn.local\trimet\Btechnique\Commun\Atelier Central mécanique\Plan entretien\Modèles préventif\GammeDMS_7.MENG.xlsm</v>
      </c>
      <c r="AD772" s="50" t="str">
        <f>Chemin_accès!$B$8&amp;Tableau1[[#This Row],[Localisation / Classement]]&amp;"\"&amp;Tableau1[[#This Row],[Poste technique ou N° d''équipement]]&amp;"_"&amp;Tableau1[[#This Row],[Plan Entretien]]&amp;".xlsm"</f>
        <v>\\stjn.local\trimet\Btechnique\Commun\Atelier Central mécanique\Plan entretien\GammeEntretien\\_.xlsm</v>
      </c>
    </row>
    <row r="773" spans="1:30" x14ac:dyDescent="0.3">
      <c r="A773" s="44" t="str">
        <f t="shared" ca="1" si="12"/>
        <v>7.MENG</v>
      </c>
      <c r="B77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73" s="47"/>
      <c r="D773" s="44"/>
      <c r="E773" s="44"/>
      <c r="F773" s="47"/>
      <c r="G773" s="47"/>
      <c r="H773" s="45"/>
      <c r="I773" s="45"/>
      <c r="J773" s="45"/>
      <c r="K773" s="45"/>
      <c r="L773" s="46"/>
      <c r="M773" s="47"/>
      <c r="N773" s="47"/>
      <c r="O773" s="47"/>
      <c r="P773" s="47"/>
      <c r="Q773" s="47"/>
      <c r="R773" s="47"/>
      <c r="S773" s="48"/>
      <c r="T773" s="68" t="str">
        <f>IF(Tableau1[[#This Row],[DMS_SAP]]="","",HYPERLINK(Tableau1[[#This Row],[Chemin fichier source]],"X"))</f>
        <v/>
      </c>
      <c r="U773" s="68" t="str">
        <f>IF(Tableau1[[#This Row],[Date rév.]]="","",HYPERLINK(Tableau1[[#This Row],[Lien document]],"X"))</f>
        <v/>
      </c>
      <c r="V773" s="47"/>
      <c r="W77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73" s="47"/>
      <c r="Y773" s="47"/>
      <c r="Z773" s="44" t="str">
        <f ca="1">IF(AND(Tableau1[[#This Row],[Charge]]&lt;&gt;0, Tableau1[[#This Row],[Nombre intervenants]]&lt;&gt;0,Tableau1[[#This Row],[Lien document]]&lt;&gt;0,Tableau1[[#This Row],[DMS_SAP]]&lt;&gt;0)=TRUE,"MIS A JOUR","")</f>
        <v/>
      </c>
      <c r="AA773" s="48"/>
      <c r="AB773" s="65" t="str">
        <f ca="1">IF(Tableau1[[#This Row],[Date rév.]]&lt;&gt;"", DAYS360(Tableau1[[#This Row],[Date rév.]],TODAY()),"")</f>
        <v/>
      </c>
      <c r="AC773" s="50" t="str">
        <f>IFERROR(INDEX(Chemin_accès!$B$11:$C$22,MATCH(Tableau1[[#This Row],[Type]],Chemin_accès!$C$11:$C$22,0),1),Chemin_accès!$B$11)</f>
        <v>\\stjn.local\trimet\Btechnique\Commun\Atelier Central mécanique\Plan entretien\Modèles préventif\GammeDMS_7.MENG.xlsm</v>
      </c>
      <c r="AD773" s="50" t="str">
        <f>Chemin_accès!$B$8&amp;Tableau1[[#This Row],[Localisation / Classement]]&amp;"\"&amp;Tableau1[[#This Row],[Poste technique ou N° d''équipement]]&amp;"_"&amp;Tableau1[[#This Row],[Plan Entretien]]&amp;".xlsm"</f>
        <v>\\stjn.local\trimet\Btechnique\Commun\Atelier Central mécanique\Plan entretien\GammeEntretien\\_.xlsm</v>
      </c>
    </row>
    <row r="774" spans="1:30" x14ac:dyDescent="0.3">
      <c r="A774" s="44" t="str">
        <f t="shared" ca="1" si="12"/>
        <v>7.MENG</v>
      </c>
      <c r="B77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74" s="47"/>
      <c r="D774" s="44"/>
      <c r="E774" s="44"/>
      <c r="F774" s="47"/>
      <c r="G774" s="47"/>
      <c r="H774" s="45"/>
      <c r="I774" s="45"/>
      <c r="J774" s="45"/>
      <c r="K774" s="45"/>
      <c r="L774" s="46"/>
      <c r="M774" s="47"/>
      <c r="N774" s="47"/>
      <c r="O774" s="47"/>
      <c r="P774" s="47"/>
      <c r="Q774" s="47"/>
      <c r="R774" s="47"/>
      <c r="S774" s="48"/>
      <c r="T774" s="68" t="str">
        <f>IF(Tableau1[[#This Row],[DMS_SAP]]="","",HYPERLINK(Tableau1[[#This Row],[Chemin fichier source]],"X"))</f>
        <v/>
      </c>
      <c r="U774" s="68" t="str">
        <f>IF(Tableau1[[#This Row],[Date rév.]]="","",HYPERLINK(Tableau1[[#This Row],[Lien document]],"X"))</f>
        <v/>
      </c>
      <c r="V774" s="47"/>
      <c r="W77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74" s="47"/>
      <c r="Y774" s="47"/>
      <c r="Z774" s="44" t="str">
        <f ca="1">IF(AND(Tableau1[[#This Row],[Charge]]&lt;&gt;0, Tableau1[[#This Row],[Nombre intervenants]]&lt;&gt;0,Tableau1[[#This Row],[Lien document]]&lt;&gt;0,Tableau1[[#This Row],[DMS_SAP]]&lt;&gt;0)=TRUE,"MIS A JOUR","")</f>
        <v/>
      </c>
      <c r="AA774" s="48"/>
      <c r="AB774" s="65" t="str">
        <f ca="1">IF(Tableau1[[#This Row],[Date rév.]]&lt;&gt;"", DAYS360(Tableau1[[#This Row],[Date rév.]],TODAY()),"")</f>
        <v/>
      </c>
      <c r="AC774" s="50" t="str">
        <f>IFERROR(INDEX(Chemin_accès!$B$11:$C$22,MATCH(Tableau1[[#This Row],[Type]],Chemin_accès!$C$11:$C$22,0),1),Chemin_accès!$B$11)</f>
        <v>\\stjn.local\trimet\Btechnique\Commun\Atelier Central mécanique\Plan entretien\Modèles préventif\GammeDMS_7.MENG.xlsm</v>
      </c>
      <c r="AD774" s="50" t="str">
        <f>Chemin_accès!$B$8&amp;Tableau1[[#This Row],[Localisation / Classement]]&amp;"\"&amp;Tableau1[[#This Row],[Poste technique ou N° d''équipement]]&amp;"_"&amp;Tableau1[[#This Row],[Plan Entretien]]&amp;".xlsm"</f>
        <v>\\stjn.local\trimet\Btechnique\Commun\Atelier Central mécanique\Plan entretien\GammeEntretien\\_.xlsm</v>
      </c>
    </row>
    <row r="775" spans="1:30" x14ac:dyDescent="0.3">
      <c r="A775" s="44" t="str">
        <f t="shared" ca="1" si="12"/>
        <v>7.MENG</v>
      </c>
      <c r="B77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75" s="47"/>
      <c r="D775" s="44"/>
      <c r="E775" s="44"/>
      <c r="F775" s="47"/>
      <c r="G775" s="47"/>
      <c r="H775" s="45"/>
      <c r="I775" s="45"/>
      <c r="J775" s="45"/>
      <c r="K775" s="45"/>
      <c r="L775" s="46"/>
      <c r="M775" s="47"/>
      <c r="N775" s="47"/>
      <c r="O775" s="47"/>
      <c r="P775" s="47"/>
      <c r="Q775" s="47"/>
      <c r="R775" s="47"/>
      <c r="S775" s="48"/>
      <c r="T775" s="68" t="str">
        <f>IF(Tableau1[[#This Row],[DMS_SAP]]="","",HYPERLINK(Tableau1[[#This Row],[Chemin fichier source]],"X"))</f>
        <v/>
      </c>
      <c r="U775" s="68" t="str">
        <f>IF(Tableau1[[#This Row],[Date rév.]]="","",HYPERLINK(Tableau1[[#This Row],[Lien document]],"X"))</f>
        <v/>
      </c>
      <c r="V775" s="47"/>
      <c r="W77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75" s="47"/>
      <c r="Y775" s="47"/>
      <c r="Z775" s="44" t="str">
        <f ca="1">IF(AND(Tableau1[[#This Row],[Charge]]&lt;&gt;0, Tableau1[[#This Row],[Nombre intervenants]]&lt;&gt;0,Tableau1[[#This Row],[Lien document]]&lt;&gt;0,Tableau1[[#This Row],[DMS_SAP]]&lt;&gt;0)=TRUE,"MIS A JOUR","")</f>
        <v/>
      </c>
      <c r="AA775" s="48"/>
      <c r="AB775" s="65" t="str">
        <f ca="1">IF(Tableau1[[#This Row],[Date rév.]]&lt;&gt;"", DAYS360(Tableau1[[#This Row],[Date rév.]],TODAY()),"")</f>
        <v/>
      </c>
      <c r="AC775" s="50" t="str">
        <f>IFERROR(INDEX(Chemin_accès!$B$11:$C$22,MATCH(Tableau1[[#This Row],[Type]],Chemin_accès!$C$11:$C$22,0),1),Chemin_accès!$B$11)</f>
        <v>\\stjn.local\trimet\Btechnique\Commun\Atelier Central mécanique\Plan entretien\Modèles préventif\GammeDMS_7.MENG.xlsm</v>
      </c>
      <c r="AD775" s="50" t="str">
        <f>Chemin_accès!$B$8&amp;Tableau1[[#This Row],[Localisation / Classement]]&amp;"\"&amp;Tableau1[[#This Row],[Poste technique ou N° d''équipement]]&amp;"_"&amp;Tableau1[[#This Row],[Plan Entretien]]&amp;".xlsm"</f>
        <v>\\stjn.local\trimet\Btechnique\Commun\Atelier Central mécanique\Plan entretien\GammeEntretien\\_.xlsm</v>
      </c>
    </row>
    <row r="776" spans="1:30" x14ac:dyDescent="0.3">
      <c r="A776" s="44" t="str">
        <f t="shared" ca="1" si="12"/>
        <v>7.MENG</v>
      </c>
      <c r="B77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76" s="47"/>
      <c r="D776" s="44"/>
      <c r="E776" s="44"/>
      <c r="F776" s="47"/>
      <c r="G776" s="47"/>
      <c r="H776" s="45"/>
      <c r="I776" s="45"/>
      <c r="J776" s="45"/>
      <c r="K776" s="45"/>
      <c r="L776" s="46"/>
      <c r="M776" s="47"/>
      <c r="N776" s="47"/>
      <c r="O776" s="47"/>
      <c r="P776" s="47"/>
      <c r="Q776" s="47"/>
      <c r="R776" s="47"/>
      <c r="S776" s="48"/>
      <c r="T776" s="68" t="str">
        <f>IF(Tableau1[[#This Row],[DMS_SAP]]="","",HYPERLINK(Tableau1[[#This Row],[Chemin fichier source]],"X"))</f>
        <v/>
      </c>
      <c r="U776" s="68" t="str">
        <f>IF(Tableau1[[#This Row],[Date rév.]]="","",HYPERLINK(Tableau1[[#This Row],[Lien document]],"X"))</f>
        <v/>
      </c>
      <c r="V776" s="47"/>
      <c r="W77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76" s="47"/>
      <c r="Y776" s="47"/>
      <c r="Z776" s="44" t="str">
        <f ca="1">IF(AND(Tableau1[[#This Row],[Charge]]&lt;&gt;0, Tableau1[[#This Row],[Nombre intervenants]]&lt;&gt;0,Tableau1[[#This Row],[Lien document]]&lt;&gt;0,Tableau1[[#This Row],[DMS_SAP]]&lt;&gt;0)=TRUE,"MIS A JOUR","")</f>
        <v/>
      </c>
      <c r="AA776" s="48"/>
      <c r="AB776" s="65" t="str">
        <f ca="1">IF(Tableau1[[#This Row],[Date rév.]]&lt;&gt;"", DAYS360(Tableau1[[#This Row],[Date rév.]],TODAY()),"")</f>
        <v/>
      </c>
      <c r="AC776" s="50" t="str">
        <f>IFERROR(INDEX(Chemin_accès!$B$11:$C$22,MATCH(Tableau1[[#This Row],[Type]],Chemin_accès!$C$11:$C$22,0),1),Chemin_accès!$B$11)</f>
        <v>\\stjn.local\trimet\Btechnique\Commun\Atelier Central mécanique\Plan entretien\Modèles préventif\GammeDMS_7.MENG.xlsm</v>
      </c>
      <c r="AD776" s="50" t="str">
        <f>Chemin_accès!$B$8&amp;Tableau1[[#This Row],[Localisation / Classement]]&amp;"\"&amp;Tableau1[[#This Row],[Poste technique ou N° d''équipement]]&amp;"_"&amp;Tableau1[[#This Row],[Plan Entretien]]&amp;".xlsm"</f>
        <v>\\stjn.local\trimet\Btechnique\Commun\Atelier Central mécanique\Plan entretien\GammeEntretien\\_.xlsm</v>
      </c>
    </row>
    <row r="777" spans="1:30" x14ac:dyDescent="0.3">
      <c r="A777" s="44" t="str">
        <f t="shared" ca="1" si="12"/>
        <v>7.MENG</v>
      </c>
      <c r="B77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77" s="47"/>
      <c r="D777" s="44"/>
      <c r="E777" s="44"/>
      <c r="F777" s="47"/>
      <c r="G777" s="47"/>
      <c r="H777" s="45"/>
      <c r="I777" s="45"/>
      <c r="J777" s="45"/>
      <c r="K777" s="45"/>
      <c r="L777" s="46"/>
      <c r="M777" s="47"/>
      <c r="N777" s="47"/>
      <c r="O777" s="47"/>
      <c r="P777" s="47"/>
      <c r="Q777" s="47"/>
      <c r="R777" s="47"/>
      <c r="S777" s="48"/>
      <c r="T777" s="68" t="str">
        <f>IF(Tableau1[[#This Row],[DMS_SAP]]="","",HYPERLINK(Tableau1[[#This Row],[Chemin fichier source]],"X"))</f>
        <v/>
      </c>
      <c r="U777" s="68" t="str">
        <f>IF(Tableau1[[#This Row],[Date rév.]]="","",HYPERLINK(Tableau1[[#This Row],[Lien document]],"X"))</f>
        <v/>
      </c>
      <c r="V777" s="47"/>
      <c r="W77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77" s="47"/>
      <c r="Y777" s="47"/>
      <c r="Z777" s="44" t="str">
        <f ca="1">IF(AND(Tableau1[[#This Row],[Charge]]&lt;&gt;0, Tableau1[[#This Row],[Nombre intervenants]]&lt;&gt;0,Tableau1[[#This Row],[Lien document]]&lt;&gt;0,Tableau1[[#This Row],[DMS_SAP]]&lt;&gt;0)=TRUE,"MIS A JOUR","")</f>
        <v/>
      </c>
      <c r="AA777" s="48"/>
      <c r="AB777" s="65" t="str">
        <f ca="1">IF(Tableau1[[#This Row],[Date rév.]]&lt;&gt;"", DAYS360(Tableau1[[#This Row],[Date rév.]],TODAY()),"")</f>
        <v/>
      </c>
      <c r="AC777" s="50" t="str">
        <f>IFERROR(INDEX(Chemin_accès!$B$11:$C$22,MATCH(Tableau1[[#This Row],[Type]],Chemin_accès!$C$11:$C$22,0),1),Chemin_accès!$B$11)</f>
        <v>\\stjn.local\trimet\Btechnique\Commun\Atelier Central mécanique\Plan entretien\Modèles préventif\GammeDMS_7.MENG.xlsm</v>
      </c>
      <c r="AD777" s="50" t="str">
        <f>Chemin_accès!$B$8&amp;Tableau1[[#This Row],[Localisation / Classement]]&amp;"\"&amp;Tableau1[[#This Row],[Poste technique ou N° d''équipement]]&amp;"_"&amp;Tableau1[[#This Row],[Plan Entretien]]&amp;".xlsm"</f>
        <v>\\stjn.local\trimet\Btechnique\Commun\Atelier Central mécanique\Plan entretien\GammeEntretien\\_.xlsm</v>
      </c>
    </row>
    <row r="778" spans="1:30" x14ac:dyDescent="0.3">
      <c r="A778" s="44" t="str">
        <f t="shared" ca="1" si="12"/>
        <v>7.MENG</v>
      </c>
      <c r="B77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78" s="47"/>
      <c r="D778" s="44"/>
      <c r="E778" s="44"/>
      <c r="F778" s="47"/>
      <c r="G778" s="47"/>
      <c r="H778" s="45"/>
      <c r="I778" s="45"/>
      <c r="J778" s="45"/>
      <c r="K778" s="45"/>
      <c r="L778" s="46"/>
      <c r="M778" s="47"/>
      <c r="N778" s="47"/>
      <c r="O778" s="47"/>
      <c r="P778" s="47"/>
      <c r="Q778" s="47"/>
      <c r="R778" s="47"/>
      <c r="S778" s="48"/>
      <c r="T778" s="68" t="str">
        <f>IF(Tableau1[[#This Row],[DMS_SAP]]="","",HYPERLINK(Tableau1[[#This Row],[Chemin fichier source]],"X"))</f>
        <v/>
      </c>
      <c r="U778" s="68" t="str">
        <f>IF(Tableau1[[#This Row],[Date rév.]]="","",HYPERLINK(Tableau1[[#This Row],[Lien document]],"X"))</f>
        <v/>
      </c>
      <c r="V778" s="47"/>
      <c r="W77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78" s="47"/>
      <c r="Y778" s="47"/>
      <c r="Z778" s="44" t="str">
        <f ca="1">IF(AND(Tableau1[[#This Row],[Charge]]&lt;&gt;0, Tableau1[[#This Row],[Nombre intervenants]]&lt;&gt;0,Tableau1[[#This Row],[Lien document]]&lt;&gt;0,Tableau1[[#This Row],[DMS_SAP]]&lt;&gt;0)=TRUE,"MIS A JOUR","")</f>
        <v/>
      </c>
      <c r="AA778" s="48"/>
      <c r="AB778" s="65" t="str">
        <f ca="1">IF(Tableau1[[#This Row],[Date rév.]]&lt;&gt;"", DAYS360(Tableau1[[#This Row],[Date rév.]],TODAY()),"")</f>
        <v/>
      </c>
      <c r="AC778" s="50" t="str">
        <f>IFERROR(INDEX(Chemin_accès!$B$11:$C$22,MATCH(Tableau1[[#This Row],[Type]],Chemin_accès!$C$11:$C$22,0),1),Chemin_accès!$B$11)</f>
        <v>\\stjn.local\trimet\Btechnique\Commun\Atelier Central mécanique\Plan entretien\Modèles préventif\GammeDMS_7.MENG.xlsm</v>
      </c>
      <c r="AD778" s="50" t="str">
        <f>Chemin_accès!$B$8&amp;Tableau1[[#This Row],[Localisation / Classement]]&amp;"\"&amp;Tableau1[[#This Row],[Poste technique ou N° d''équipement]]&amp;"_"&amp;Tableau1[[#This Row],[Plan Entretien]]&amp;".xlsm"</f>
        <v>\\stjn.local\trimet\Btechnique\Commun\Atelier Central mécanique\Plan entretien\GammeEntretien\\_.xlsm</v>
      </c>
    </row>
    <row r="779" spans="1:30" x14ac:dyDescent="0.3">
      <c r="A779" s="44" t="str">
        <f t="shared" ca="1" si="12"/>
        <v>7.MENG</v>
      </c>
      <c r="B77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79" s="47"/>
      <c r="D779" s="44"/>
      <c r="E779" s="44"/>
      <c r="F779" s="47"/>
      <c r="G779" s="47"/>
      <c r="H779" s="45"/>
      <c r="I779" s="45"/>
      <c r="J779" s="45"/>
      <c r="K779" s="45"/>
      <c r="L779" s="46"/>
      <c r="M779" s="47"/>
      <c r="N779" s="47"/>
      <c r="O779" s="47"/>
      <c r="P779" s="47"/>
      <c r="Q779" s="47"/>
      <c r="R779" s="47"/>
      <c r="S779" s="48"/>
      <c r="T779" s="68" t="str">
        <f>IF(Tableau1[[#This Row],[DMS_SAP]]="","",HYPERLINK(Tableau1[[#This Row],[Chemin fichier source]],"X"))</f>
        <v/>
      </c>
      <c r="U779" s="68" t="str">
        <f>IF(Tableau1[[#This Row],[Date rév.]]="","",HYPERLINK(Tableau1[[#This Row],[Lien document]],"X"))</f>
        <v/>
      </c>
      <c r="V779" s="47"/>
      <c r="W77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79" s="47"/>
      <c r="Y779" s="47"/>
      <c r="Z779" s="44" t="str">
        <f ca="1">IF(AND(Tableau1[[#This Row],[Charge]]&lt;&gt;0, Tableau1[[#This Row],[Nombre intervenants]]&lt;&gt;0,Tableau1[[#This Row],[Lien document]]&lt;&gt;0,Tableau1[[#This Row],[DMS_SAP]]&lt;&gt;0)=TRUE,"MIS A JOUR","")</f>
        <v/>
      </c>
      <c r="AA779" s="48"/>
      <c r="AB779" s="65" t="str">
        <f ca="1">IF(Tableau1[[#This Row],[Date rév.]]&lt;&gt;"", DAYS360(Tableau1[[#This Row],[Date rév.]],TODAY()),"")</f>
        <v/>
      </c>
      <c r="AC779" s="50" t="str">
        <f>IFERROR(INDEX(Chemin_accès!$B$11:$C$22,MATCH(Tableau1[[#This Row],[Type]],Chemin_accès!$C$11:$C$22,0),1),Chemin_accès!$B$11)</f>
        <v>\\stjn.local\trimet\Btechnique\Commun\Atelier Central mécanique\Plan entretien\Modèles préventif\GammeDMS_7.MENG.xlsm</v>
      </c>
      <c r="AD779" s="50" t="str">
        <f>Chemin_accès!$B$8&amp;Tableau1[[#This Row],[Localisation / Classement]]&amp;"\"&amp;Tableau1[[#This Row],[Poste technique ou N° d''équipement]]&amp;"_"&amp;Tableau1[[#This Row],[Plan Entretien]]&amp;".xlsm"</f>
        <v>\\stjn.local\trimet\Btechnique\Commun\Atelier Central mécanique\Plan entretien\GammeEntretien\\_.xlsm</v>
      </c>
    </row>
    <row r="780" spans="1:30" x14ac:dyDescent="0.3">
      <c r="A780" s="44" t="str">
        <f t="shared" ca="1" si="12"/>
        <v>7.MENG</v>
      </c>
      <c r="B78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80" s="47"/>
      <c r="D780" s="44"/>
      <c r="E780" s="44"/>
      <c r="F780" s="47"/>
      <c r="G780" s="47"/>
      <c r="H780" s="45"/>
      <c r="I780" s="45"/>
      <c r="J780" s="45"/>
      <c r="K780" s="45"/>
      <c r="L780" s="46"/>
      <c r="M780" s="47"/>
      <c r="N780" s="47"/>
      <c r="O780" s="47"/>
      <c r="P780" s="47"/>
      <c r="Q780" s="47"/>
      <c r="R780" s="47"/>
      <c r="S780" s="48"/>
      <c r="T780" s="68" t="str">
        <f>IF(Tableau1[[#This Row],[DMS_SAP]]="","",HYPERLINK(Tableau1[[#This Row],[Chemin fichier source]],"X"))</f>
        <v/>
      </c>
      <c r="U780" s="68" t="str">
        <f>IF(Tableau1[[#This Row],[Date rév.]]="","",HYPERLINK(Tableau1[[#This Row],[Lien document]],"X"))</f>
        <v/>
      </c>
      <c r="V780" s="47"/>
      <c r="W78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80" s="47"/>
      <c r="Y780" s="47"/>
      <c r="Z780" s="44" t="str">
        <f ca="1">IF(AND(Tableau1[[#This Row],[Charge]]&lt;&gt;0, Tableau1[[#This Row],[Nombre intervenants]]&lt;&gt;0,Tableau1[[#This Row],[Lien document]]&lt;&gt;0,Tableau1[[#This Row],[DMS_SAP]]&lt;&gt;0)=TRUE,"MIS A JOUR","")</f>
        <v/>
      </c>
      <c r="AA780" s="48"/>
      <c r="AB780" s="65" t="str">
        <f ca="1">IF(Tableau1[[#This Row],[Date rév.]]&lt;&gt;"", DAYS360(Tableau1[[#This Row],[Date rév.]],TODAY()),"")</f>
        <v/>
      </c>
      <c r="AC780" s="50" t="str">
        <f>IFERROR(INDEX(Chemin_accès!$B$11:$C$22,MATCH(Tableau1[[#This Row],[Type]],Chemin_accès!$C$11:$C$22,0),1),Chemin_accès!$B$11)</f>
        <v>\\stjn.local\trimet\Btechnique\Commun\Atelier Central mécanique\Plan entretien\Modèles préventif\GammeDMS_7.MENG.xlsm</v>
      </c>
      <c r="AD780" s="50" t="str">
        <f>Chemin_accès!$B$8&amp;Tableau1[[#This Row],[Localisation / Classement]]&amp;"\"&amp;Tableau1[[#This Row],[Poste technique ou N° d''équipement]]&amp;"_"&amp;Tableau1[[#This Row],[Plan Entretien]]&amp;".xlsm"</f>
        <v>\\stjn.local\trimet\Btechnique\Commun\Atelier Central mécanique\Plan entretien\GammeEntretien\\_.xlsm</v>
      </c>
    </row>
    <row r="781" spans="1:30" x14ac:dyDescent="0.3">
      <c r="A781" s="44" t="str">
        <f t="shared" ca="1" si="12"/>
        <v>7.MENG</v>
      </c>
      <c r="B78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81" s="47"/>
      <c r="D781" s="44"/>
      <c r="E781" s="44"/>
      <c r="F781" s="47"/>
      <c r="G781" s="47"/>
      <c r="H781" s="45"/>
      <c r="I781" s="45"/>
      <c r="J781" s="45"/>
      <c r="K781" s="45"/>
      <c r="L781" s="46"/>
      <c r="M781" s="47"/>
      <c r="N781" s="47"/>
      <c r="O781" s="47"/>
      <c r="P781" s="47"/>
      <c r="Q781" s="47"/>
      <c r="R781" s="47"/>
      <c r="S781" s="48"/>
      <c r="T781" s="68" t="str">
        <f>IF(Tableau1[[#This Row],[DMS_SAP]]="","",HYPERLINK(Tableau1[[#This Row],[Chemin fichier source]],"X"))</f>
        <v/>
      </c>
      <c r="U781" s="68" t="str">
        <f>IF(Tableau1[[#This Row],[Date rév.]]="","",HYPERLINK(Tableau1[[#This Row],[Lien document]],"X"))</f>
        <v/>
      </c>
      <c r="V781" s="47"/>
      <c r="W78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81" s="47"/>
      <c r="Y781" s="47"/>
      <c r="Z781" s="44" t="str">
        <f ca="1">IF(AND(Tableau1[[#This Row],[Charge]]&lt;&gt;0, Tableau1[[#This Row],[Nombre intervenants]]&lt;&gt;0,Tableau1[[#This Row],[Lien document]]&lt;&gt;0,Tableau1[[#This Row],[DMS_SAP]]&lt;&gt;0)=TRUE,"MIS A JOUR","")</f>
        <v/>
      </c>
      <c r="AA781" s="48"/>
      <c r="AB781" s="65" t="str">
        <f ca="1">IF(Tableau1[[#This Row],[Date rév.]]&lt;&gt;"", DAYS360(Tableau1[[#This Row],[Date rév.]],TODAY()),"")</f>
        <v/>
      </c>
      <c r="AC781" s="50" t="str">
        <f>IFERROR(INDEX(Chemin_accès!$B$11:$C$22,MATCH(Tableau1[[#This Row],[Type]],Chemin_accès!$C$11:$C$22,0),1),Chemin_accès!$B$11)</f>
        <v>\\stjn.local\trimet\Btechnique\Commun\Atelier Central mécanique\Plan entretien\Modèles préventif\GammeDMS_7.MENG.xlsm</v>
      </c>
      <c r="AD781" s="50" t="str">
        <f>Chemin_accès!$B$8&amp;Tableau1[[#This Row],[Localisation / Classement]]&amp;"\"&amp;Tableau1[[#This Row],[Poste technique ou N° d''équipement]]&amp;"_"&amp;Tableau1[[#This Row],[Plan Entretien]]&amp;".xlsm"</f>
        <v>\\stjn.local\trimet\Btechnique\Commun\Atelier Central mécanique\Plan entretien\GammeEntretien\\_.xlsm</v>
      </c>
    </row>
    <row r="782" spans="1:30" x14ac:dyDescent="0.3">
      <c r="A782" s="44" t="str">
        <f t="shared" ca="1" si="12"/>
        <v>7.MENG</v>
      </c>
      <c r="B78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82" s="47"/>
      <c r="D782" s="44"/>
      <c r="E782" s="44"/>
      <c r="F782" s="47"/>
      <c r="G782" s="47"/>
      <c r="H782" s="45"/>
      <c r="I782" s="45"/>
      <c r="J782" s="45"/>
      <c r="K782" s="45"/>
      <c r="L782" s="46"/>
      <c r="M782" s="47"/>
      <c r="N782" s="47"/>
      <c r="O782" s="47"/>
      <c r="P782" s="47"/>
      <c r="Q782" s="47"/>
      <c r="R782" s="47"/>
      <c r="S782" s="48"/>
      <c r="T782" s="68" t="str">
        <f>IF(Tableau1[[#This Row],[DMS_SAP]]="","",HYPERLINK(Tableau1[[#This Row],[Chemin fichier source]],"X"))</f>
        <v/>
      </c>
      <c r="U782" s="68" t="str">
        <f>IF(Tableau1[[#This Row],[Date rév.]]="","",HYPERLINK(Tableau1[[#This Row],[Lien document]],"X"))</f>
        <v/>
      </c>
      <c r="V782" s="47"/>
      <c r="W78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82" s="47"/>
      <c r="Y782" s="47"/>
      <c r="Z782" s="44" t="str">
        <f ca="1">IF(AND(Tableau1[[#This Row],[Charge]]&lt;&gt;0, Tableau1[[#This Row],[Nombre intervenants]]&lt;&gt;0,Tableau1[[#This Row],[Lien document]]&lt;&gt;0,Tableau1[[#This Row],[DMS_SAP]]&lt;&gt;0)=TRUE,"MIS A JOUR","")</f>
        <v/>
      </c>
      <c r="AA782" s="48"/>
      <c r="AB782" s="65" t="str">
        <f ca="1">IF(Tableau1[[#This Row],[Date rév.]]&lt;&gt;"", DAYS360(Tableau1[[#This Row],[Date rév.]],TODAY()),"")</f>
        <v/>
      </c>
      <c r="AC782" s="50" t="str">
        <f>IFERROR(INDEX(Chemin_accès!$B$11:$C$22,MATCH(Tableau1[[#This Row],[Type]],Chemin_accès!$C$11:$C$22,0),1),Chemin_accès!$B$11)</f>
        <v>\\stjn.local\trimet\Btechnique\Commun\Atelier Central mécanique\Plan entretien\Modèles préventif\GammeDMS_7.MENG.xlsm</v>
      </c>
      <c r="AD782" s="50" t="str">
        <f>Chemin_accès!$B$8&amp;Tableau1[[#This Row],[Localisation / Classement]]&amp;"\"&amp;Tableau1[[#This Row],[Poste technique ou N° d''équipement]]&amp;"_"&amp;Tableau1[[#This Row],[Plan Entretien]]&amp;".xlsm"</f>
        <v>\\stjn.local\trimet\Btechnique\Commun\Atelier Central mécanique\Plan entretien\GammeEntretien\\_.xlsm</v>
      </c>
    </row>
    <row r="783" spans="1:30" x14ac:dyDescent="0.3">
      <c r="A783" s="44" t="str">
        <f t="shared" ca="1" si="12"/>
        <v>7.MENG</v>
      </c>
      <c r="B78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83" s="47"/>
      <c r="D783" s="44"/>
      <c r="E783" s="44"/>
      <c r="F783" s="47"/>
      <c r="G783" s="47"/>
      <c r="H783" s="45"/>
      <c r="I783" s="45"/>
      <c r="J783" s="45"/>
      <c r="K783" s="45"/>
      <c r="L783" s="46"/>
      <c r="M783" s="47"/>
      <c r="N783" s="47"/>
      <c r="O783" s="47"/>
      <c r="P783" s="47"/>
      <c r="Q783" s="47"/>
      <c r="R783" s="47"/>
      <c r="S783" s="48"/>
      <c r="T783" s="68" t="str">
        <f>IF(Tableau1[[#This Row],[DMS_SAP]]="","",HYPERLINK(Tableau1[[#This Row],[Chemin fichier source]],"X"))</f>
        <v/>
      </c>
      <c r="U783" s="68" t="str">
        <f>IF(Tableau1[[#This Row],[Date rév.]]="","",HYPERLINK(Tableau1[[#This Row],[Lien document]],"X"))</f>
        <v/>
      </c>
      <c r="V783" s="47"/>
      <c r="W78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83" s="47"/>
      <c r="Y783" s="47"/>
      <c r="Z783" s="44" t="str">
        <f ca="1">IF(AND(Tableau1[[#This Row],[Charge]]&lt;&gt;0, Tableau1[[#This Row],[Nombre intervenants]]&lt;&gt;0,Tableau1[[#This Row],[Lien document]]&lt;&gt;0,Tableau1[[#This Row],[DMS_SAP]]&lt;&gt;0)=TRUE,"MIS A JOUR","")</f>
        <v/>
      </c>
      <c r="AA783" s="48"/>
      <c r="AB783" s="65" t="str">
        <f ca="1">IF(Tableau1[[#This Row],[Date rév.]]&lt;&gt;"", DAYS360(Tableau1[[#This Row],[Date rév.]],TODAY()),"")</f>
        <v/>
      </c>
      <c r="AC783" s="50" t="str">
        <f>IFERROR(INDEX(Chemin_accès!$B$11:$C$22,MATCH(Tableau1[[#This Row],[Type]],Chemin_accès!$C$11:$C$22,0),1),Chemin_accès!$B$11)</f>
        <v>\\stjn.local\trimet\Btechnique\Commun\Atelier Central mécanique\Plan entretien\Modèles préventif\GammeDMS_7.MENG.xlsm</v>
      </c>
      <c r="AD783" s="50" t="str">
        <f>Chemin_accès!$B$8&amp;Tableau1[[#This Row],[Localisation / Classement]]&amp;"\"&amp;Tableau1[[#This Row],[Poste technique ou N° d''équipement]]&amp;"_"&amp;Tableau1[[#This Row],[Plan Entretien]]&amp;".xlsm"</f>
        <v>\\stjn.local\trimet\Btechnique\Commun\Atelier Central mécanique\Plan entretien\GammeEntretien\\_.xlsm</v>
      </c>
    </row>
    <row r="784" spans="1:30" x14ac:dyDescent="0.3">
      <c r="A784" s="44" t="str">
        <f t="shared" ca="1" si="12"/>
        <v>7.MENG</v>
      </c>
      <c r="B78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84" s="47"/>
      <c r="D784" s="44"/>
      <c r="E784" s="44"/>
      <c r="F784" s="47"/>
      <c r="G784" s="47"/>
      <c r="H784" s="45"/>
      <c r="I784" s="45"/>
      <c r="J784" s="45"/>
      <c r="K784" s="45"/>
      <c r="L784" s="46"/>
      <c r="M784" s="47"/>
      <c r="N784" s="47"/>
      <c r="O784" s="47"/>
      <c r="P784" s="47"/>
      <c r="Q784" s="47"/>
      <c r="R784" s="47"/>
      <c r="S784" s="48"/>
      <c r="T784" s="68" t="str">
        <f>IF(Tableau1[[#This Row],[DMS_SAP]]="","",HYPERLINK(Tableau1[[#This Row],[Chemin fichier source]],"X"))</f>
        <v/>
      </c>
      <c r="U784" s="68" t="str">
        <f>IF(Tableau1[[#This Row],[Date rév.]]="","",HYPERLINK(Tableau1[[#This Row],[Lien document]],"X"))</f>
        <v/>
      </c>
      <c r="V784" s="47"/>
      <c r="W78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84" s="47"/>
      <c r="Y784" s="47"/>
      <c r="Z784" s="44" t="str">
        <f ca="1">IF(AND(Tableau1[[#This Row],[Charge]]&lt;&gt;0, Tableau1[[#This Row],[Nombre intervenants]]&lt;&gt;0,Tableau1[[#This Row],[Lien document]]&lt;&gt;0,Tableau1[[#This Row],[DMS_SAP]]&lt;&gt;0)=TRUE,"MIS A JOUR","")</f>
        <v/>
      </c>
      <c r="AA784" s="48"/>
      <c r="AB784" s="65" t="str">
        <f ca="1">IF(Tableau1[[#This Row],[Date rév.]]&lt;&gt;"", DAYS360(Tableau1[[#This Row],[Date rév.]],TODAY()),"")</f>
        <v/>
      </c>
      <c r="AC784" s="50" t="str">
        <f>IFERROR(INDEX(Chemin_accès!$B$11:$C$22,MATCH(Tableau1[[#This Row],[Type]],Chemin_accès!$C$11:$C$22,0),1),Chemin_accès!$B$11)</f>
        <v>\\stjn.local\trimet\Btechnique\Commun\Atelier Central mécanique\Plan entretien\Modèles préventif\GammeDMS_7.MENG.xlsm</v>
      </c>
      <c r="AD784" s="50" t="str">
        <f>Chemin_accès!$B$8&amp;Tableau1[[#This Row],[Localisation / Classement]]&amp;"\"&amp;Tableau1[[#This Row],[Poste technique ou N° d''équipement]]&amp;"_"&amp;Tableau1[[#This Row],[Plan Entretien]]&amp;".xlsm"</f>
        <v>\\stjn.local\trimet\Btechnique\Commun\Atelier Central mécanique\Plan entretien\GammeEntretien\\_.xlsm</v>
      </c>
    </row>
    <row r="785" spans="1:30" x14ac:dyDescent="0.3">
      <c r="A785" s="44" t="str">
        <f t="shared" ca="1" si="12"/>
        <v>7.MENG</v>
      </c>
      <c r="B78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85" s="47"/>
      <c r="D785" s="44"/>
      <c r="E785" s="44"/>
      <c r="F785" s="47"/>
      <c r="G785" s="47"/>
      <c r="H785" s="45"/>
      <c r="I785" s="45"/>
      <c r="J785" s="45"/>
      <c r="K785" s="45"/>
      <c r="L785" s="46"/>
      <c r="M785" s="47"/>
      <c r="N785" s="47"/>
      <c r="O785" s="47"/>
      <c r="P785" s="47"/>
      <c r="Q785" s="47"/>
      <c r="R785" s="47"/>
      <c r="S785" s="48"/>
      <c r="T785" s="68" t="str">
        <f>IF(Tableau1[[#This Row],[DMS_SAP]]="","",HYPERLINK(Tableau1[[#This Row],[Chemin fichier source]],"X"))</f>
        <v/>
      </c>
      <c r="U785" s="68" t="str">
        <f>IF(Tableau1[[#This Row],[Date rév.]]="","",HYPERLINK(Tableau1[[#This Row],[Lien document]],"X"))</f>
        <v/>
      </c>
      <c r="V785" s="47"/>
      <c r="W78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85" s="47"/>
      <c r="Y785" s="47"/>
      <c r="Z785" s="44" t="str">
        <f ca="1">IF(AND(Tableau1[[#This Row],[Charge]]&lt;&gt;0, Tableau1[[#This Row],[Nombre intervenants]]&lt;&gt;0,Tableau1[[#This Row],[Lien document]]&lt;&gt;0,Tableau1[[#This Row],[DMS_SAP]]&lt;&gt;0)=TRUE,"MIS A JOUR","")</f>
        <v/>
      </c>
      <c r="AA785" s="48"/>
      <c r="AB785" s="65" t="str">
        <f ca="1">IF(Tableau1[[#This Row],[Date rév.]]&lt;&gt;"", DAYS360(Tableau1[[#This Row],[Date rév.]],TODAY()),"")</f>
        <v/>
      </c>
      <c r="AC785" s="50" t="str">
        <f>IFERROR(INDEX(Chemin_accès!$B$11:$C$22,MATCH(Tableau1[[#This Row],[Type]],Chemin_accès!$C$11:$C$22,0),1),Chemin_accès!$B$11)</f>
        <v>\\stjn.local\trimet\Btechnique\Commun\Atelier Central mécanique\Plan entretien\Modèles préventif\GammeDMS_7.MENG.xlsm</v>
      </c>
      <c r="AD785" s="50" t="str">
        <f>Chemin_accès!$B$8&amp;Tableau1[[#This Row],[Localisation / Classement]]&amp;"\"&amp;Tableau1[[#This Row],[Poste technique ou N° d''équipement]]&amp;"_"&amp;Tableau1[[#This Row],[Plan Entretien]]&amp;".xlsm"</f>
        <v>\\stjn.local\trimet\Btechnique\Commun\Atelier Central mécanique\Plan entretien\GammeEntretien\\_.xlsm</v>
      </c>
    </row>
    <row r="786" spans="1:30" x14ac:dyDescent="0.3">
      <c r="A786" s="44" t="str">
        <f t="shared" ca="1" si="12"/>
        <v>7.MENG</v>
      </c>
      <c r="B78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86" s="47"/>
      <c r="D786" s="44"/>
      <c r="E786" s="44"/>
      <c r="F786" s="47"/>
      <c r="G786" s="47"/>
      <c r="H786" s="45"/>
      <c r="I786" s="45"/>
      <c r="J786" s="45"/>
      <c r="K786" s="45"/>
      <c r="L786" s="46"/>
      <c r="M786" s="47"/>
      <c r="N786" s="47"/>
      <c r="O786" s="47"/>
      <c r="P786" s="47"/>
      <c r="Q786" s="47"/>
      <c r="R786" s="47"/>
      <c r="S786" s="48"/>
      <c r="T786" s="68" t="str">
        <f>IF(Tableau1[[#This Row],[DMS_SAP]]="","",HYPERLINK(Tableau1[[#This Row],[Chemin fichier source]],"X"))</f>
        <v/>
      </c>
      <c r="U786" s="68" t="str">
        <f>IF(Tableau1[[#This Row],[Date rév.]]="","",HYPERLINK(Tableau1[[#This Row],[Lien document]],"X"))</f>
        <v/>
      </c>
      <c r="V786" s="47"/>
      <c r="W78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86" s="47"/>
      <c r="Y786" s="47"/>
      <c r="Z786" s="44" t="str">
        <f ca="1">IF(AND(Tableau1[[#This Row],[Charge]]&lt;&gt;0, Tableau1[[#This Row],[Nombre intervenants]]&lt;&gt;0,Tableau1[[#This Row],[Lien document]]&lt;&gt;0,Tableau1[[#This Row],[DMS_SAP]]&lt;&gt;0)=TRUE,"MIS A JOUR","")</f>
        <v/>
      </c>
      <c r="AA786" s="48"/>
      <c r="AB786" s="65" t="str">
        <f ca="1">IF(Tableau1[[#This Row],[Date rév.]]&lt;&gt;"", DAYS360(Tableau1[[#This Row],[Date rév.]],TODAY()),"")</f>
        <v/>
      </c>
      <c r="AC786" s="50" t="str">
        <f>IFERROR(INDEX(Chemin_accès!$B$11:$C$22,MATCH(Tableau1[[#This Row],[Type]],Chemin_accès!$C$11:$C$22,0),1),Chemin_accès!$B$11)</f>
        <v>\\stjn.local\trimet\Btechnique\Commun\Atelier Central mécanique\Plan entretien\Modèles préventif\GammeDMS_7.MENG.xlsm</v>
      </c>
      <c r="AD786" s="50" t="str">
        <f>Chemin_accès!$B$8&amp;Tableau1[[#This Row],[Localisation / Classement]]&amp;"\"&amp;Tableau1[[#This Row],[Poste technique ou N° d''équipement]]&amp;"_"&amp;Tableau1[[#This Row],[Plan Entretien]]&amp;".xlsm"</f>
        <v>\\stjn.local\trimet\Btechnique\Commun\Atelier Central mécanique\Plan entretien\GammeEntretien\\_.xlsm</v>
      </c>
    </row>
    <row r="787" spans="1:30" x14ac:dyDescent="0.3">
      <c r="A787" s="44" t="str">
        <f t="shared" ca="1" si="12"/>
        <v>7.MENG</v>
      </c>
      <c r="B78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87" s="47"/>
      <c r="D787" s="44"/>
      <c r="E787" s="44"/>
      <c r="F787" s="47"/>
      <c r="G787" s="47"/>
      <c r="H787" s="45"/>
      <c r="I787" s="45"/>
      <c r="J787" s="45"/>
      <c r="K787" s="45"/>
      <c r="L787" s="46"/>
      <c r="M787" s="47"/>
      <c r="N787" s="47"/>
      <c r="O787" s="47"/>
      <c r="P787" s="47"/>
      <c r="Q787" s="47"/>
      <c r="R787" s="47"/>
      <c r="S787" s="48"/>
      <c r="T787" s="68" t="str">
        <f>IF(Tableau1[[#This Row],[DMS_SAP]]="","",HYPERLINK(Tableau1[[#This Row],[Chemin fichier source]],"X"))</f>
        <v/>
      </c>
      <c r="U787" s="68" t="str">
        <f>IF(Tableau1[[#This Row],[Date rév.]]="","",HYPERLINK(Tableau1[[#This Row],[Lien document]],"X"))</f>
        <v/>
      </c>
      <c r="V787" s="47"/>
      <c r="W78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87" s="47"/>
      <c r="Y787" s="47"/>
      <c r="Z787" s="44" t="str">
        <f ca="1">IF(AND(Tableau1[[#This Row],[Charge]]&lt;&gt;0, Tableau1[[#This Row],[Nombre intervenants]]&lt;&gt;0,Tableau1[[#This Row],[Lien document]]&lt;&gt;0,Tableau1[[#This Row],[DMS_SAP]]&lt;&gt;0)=TRUE,"MIS A JOUR","")</f>
        <v/>
      </c>
      <c r="AA787" s="48"/>
      <c r="AB787" s="65" t="str">
        <f ca="1">IF(Tableau1[[#This Row],[Date rév.]]&lt;&gt;"", DAYS360(Tableau1[[#This Row],[Date rév.]],TODAY()),"")</f>
        <v/>
      </c>
      <c r="AC787" s="50" t="str">
        <f>IFERROR(INDEX(Chemin_accès!$B$11:$C$22,MATCH(Tableau1[[#This Row],[Type]],Chemin_accès!$C$11:$C$22,0),1),Chemin_accès!$B$11)</f>
        <v>\\stjn.local\trimet\Btechnique\Commun\Atelier Central mécanique\Plan entretien\Modèles préventif\GammeDMS_7.MENG.xlsm</v>
      </c>
      <c r="AD787" s="50" t="str">
        <f>Chemin_accès!$B$8&amp;Tableau1[[#This Row],[Localisation / Classement]]&amp;"\"&amp;Tableau1[[#This Row],[Poste technique ou N° d''équipement]]&amp;"_"&amp;Tableau1[[#This Row],[Plan Entretien]]&amp;".xlsm"</f>
        <v>\\stjn.local\trimet\Btechnique\Commun\Atelier Central mécanique\Plan entretien\GammeEntretien\\_.xlsm</v>
      </c>
    </row>
    <row r="788" spans="1:30" x14ac:dyDescent="0.3">
      <c r="A788" s="44" t="str">
        <f t="shared" ca="1" si="12"/>
        <v>7.MENG</v>
      </c>
      <c r="B78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88" s="47"/>
      <c r="D788" s="44"/>
      <c r="E788" s="44"/>
      <c r="F788" s="47"/>
      <c r="G788" s="47"/>
      <c r="H788" s="45"/>
      <c r="I788" s="45"/>
      <c r="J788" s="45"/>
      <c r="K788" s="45"/>
      <c r="L788" s="46"/>
      <c r="M788" s="47"/>
      <c r="N788" s="47"/>
      <c r="O788" s="47"/>
      <c r="P788" s="47"/>
      <c r="Q788" s="47"/>
      <c r="R788" s="47"/>
      <c r="S788" s="48"/>
      <c r="T788" s="68" t="str">
        <f>IF(Tableau1[[#This Row],[DMS_SAP]]="","",HYPERLINK(Tableau1[[#This Row],[Chemin fichier source]],"X"))</f>
        <v/>
      </c>
      <c r="U788" s="68" t="str">
        <f>IF(Tableau1[[#This Row],[Date rév.]]="","",HYPERLINK(Tableau1[[#This Row],[Lien document]],"X"))</f>
        <v/>
      </c>
      <c r="V788" s="47"/>
      <c r="W78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88" s="47"/>
      <c r="Y788" s="47"/>
      <c r="Z788" s="44" t="str">
        <f ca="1">IF(AND(Tableau1[[#This Row],[Charge]]&lt;&gt;0, Tableau1[[#This Row],[Nombre intervenants]]&lt;&gt;0,Tableau1[[#This Row],[Lien document]]&lt;&gt;0,Tableau1[[#This Row],[DMS_SAP]]&lt;&gt;0)=TRUE,"MIS A JOUR","")</f>
        <v/>
      </c>
      <c r="AA788" s="48"/>
      <c r="AB788" s="65" t="str">
        <f ca="1">IF(Tableau1[[#This Row],[Date rév.]]&lt;&gt;"", DAYS360(Tableau1[[#This Row],[Date rév.]],TODAY()),"")</f>
        <v/>
      </c>
      <c r="AC788" s="50" t="str">
        <f>IFERROR(INDEX(Chemin_accès!$B$11:$C$22,MATCH(Tableau1[[#This Row],[Type]],Chemin_accès!$C$11:$C$22,0),1),Chemin_accès!$B$11)</f>
        <v>\\stjn.local\trimet\Btechnique\Commun\Atelier Central mécanique\Plan entretien\Modèles préventif\GammeDMS_7.MENG.xlsm</v>
      </c>
      <c r="AD788" s="50" t="str">
        <f>Chemin_accès!$B$8&amp;Tableau1[[#This Row],[Localisation / Classement]]&amp;"\"&amp;Tableau1[[#This Row],[Poste technique ou N° d''équipement]]&amp;"_"&amp;Tableau1[[#This Row],[Plan Entretien]]&amp;".xlsm"</f>
        <v>\\stjn.local\trimet\Btechnique\Commun\Atelier Central mécanique\Plan entretien\GammeEntretien\\_.xlsm</v>
      </c>
    </row>
    <row r="789" spans="1:30" x14ac:dyDescent="0.3">
      <c r="A789" s="44" t="str">
        <f t="shared" ca="1" si="12"/>
        <v>7.MENG</v>
      </c>
      <c r="B78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89" s="47"/>
      <c r="D789" s="44"/>
      <c r="E789" s="44"/>
      <c r="F789" s="47"/>
      <c r="G789" s="47"/>
      <c r="H789" s="45"/>
      <c r="I789" s="45"/>
      <c r="J789" s="45"/>
      <c r="K789" s="45"/>
      <c r="L789" s="46"/>
      <c r="M789" s="47"/>
      <c r="N789" s="47"/>
      <c r="O789" s="47"/>
      <c r="P789" s="47"/>
      <c r="Q789" s="47"/>
      <c r="R789" s="47"/>
      <c r="S789" s="48"/>
      <c r="T789" s="68" t="str">
        <f>IF(Tableau1[[#This Row],[DMS_SAP]]="","",HYPERLINK(Tableau1[[#This Row],[Chemin fichier source]],"X"))</f>
        <v/>
      </c>
      <c r="U789" s="68" t="str">
        <f>IF(Tableau1[[#This Row],[Date rév.]]="","",HYPERLINK(Tableau1[[#This Row],[Lien document]],"X"))</f>
        <v/>
      </c>
      <c r="V789" s="47"/>
      <c r="W78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89" s="47"/>
      <c r="Y789" s="47"/>
      <c r="Z789" s="44" t="str">
        <f ca="1">IF(AND(Tableau1[[#This Row],[Charge]]&lt;&gt;0, Tableau1[[#This Row],[Nombre intervenants]]&lt;&gt;0,Tableau1[[#This Row],[Lien document]]&lt;&gt;0,Tableau1[[#This Row],[DMS_SAP]]&lt;&gt;0)=TRUE,"MIS A JOUR","")</f>
        <v/>
      </c>
      <c r="AA789" s="48"/>
      <c r="AB789" s="65" t="str">
        <f ca="1">IF(Tableau1[[#This Row],[Date rév.]]&lt;&gt;"", DAYS360(Tableau1[[#This Row],[Date rév.]],TODAY()),"")</f>
        <v/>
      </c>
      <c r="AC789" s="50" t="str">
        <f>IFERROR(INDEX(Chemin_accès!$B$11:$C$22,MATCH(Tableau1[[#This Row],[Type]],Chemin_accès!$C$11:$C$22,0),1),Chemin_accès!$B$11)</f>
        <v>\\stjn.local\trimet\Btechnique\Commun\Atelier Central mécanique\Plan entretien\Modèles préventif\GammeDMS_7.MENG.xlsm</v>
      </c>
      <c r="AD789" s="50" t="str">
        <f>Chemin_accès!$B$8&amp;Tableau1[[#This Row],[Localisation / Classement]]&amp;"\"&amp;Tableau1[[#This Row],[Poste technique ou N° d''équipement]]&amp;"_"&amp;Tableau1[[#This Row],[Plan Entretien]]&amp;".xlsm"</f>
        <v>\\stjn.local\trimet\Btechnique\Commun\Atelier Central mécanique\Plan entretien\GammeEntretien\\_.xlsm</v>
      </c>
    </row>
    <row r="790" spans="1:30" x14ac:dyDescent="0.3">
      <c r="A790" s="44" t="str">
        <f t="shared" ca="1" si="12"/>
        <v>7.MENG</v>
      </c>
      <c r="B79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90" s="47"/>
      <c r="D790" s="44"/>
      <c r="E790" s="44"/>
      <c r="F790" s="47"/>
      <c r="G790" s="47"/>
      <c r="H790" s="45"/>
      <c r="I790" s="45"/>
      <c r="J790" s="45"/>
      <c r="K790" s="45"/>
      <c r="L790" s="46"/>
      <c r="M790" s="47"/>
      <c r="N790" s="47"/>
      <c r="O790" s="47"/>
      <c r="P790" s="47"/>
      <c r="Q790" s="47"/>
      <c r="R790" s="47"/>
      <c r="S790" s="48"/>
      <c r="T790" s="68" t="str">
        <f>IF(Tableau1[[#This Row],[DMS_SAP]]="","",HYPERLINK(Tableau1[[#This Row],[Chemin fichier source]],"X"))</f>
        <v/>
      </c>
      <c r="U790" s="68" t="str">
        <f>IF(Tableau1[[#This Row],[Date rév.]]="","",HYPERLINK(Tableau1[[#This Row],[Lien document]],"X"))</f>
        <v/>
      </c>
      <c r="V790" s="47"/>
      <c r="W79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90" s="47"/>
      <c r="Y790" s="47"/>
      <c r="Z790" s="44" t="str">
        <f ca="1">IF(AND(Tableau1[[#This Row],[Charge]]&lt;&gt;0, Tableau1[[#This Row],[Nombre intervenants]]&lt;&gt;0,Tableau1[[#This Row],[Lien document]]&lt;&gt;0,Tableau1[[#This Row],[DMS_SAP]]&lt;&gt;0)=TRUE,"MIS A JOUR","")</f>
        <v/>
      </c>
      <c r="AA790" s="48"/>
      <c r="AB790" s="65" t="str">
        <f ca="1">IF(Tableau1[[#This Row],[Date rév.]]&lt;&gt;"", DAYS360(Tableau1[[#This Row],[Date rév.]],TODAY()),"")</f>
        <v/>
      </c>
      <c r="AC790" s="50" t="str">
        <f>IFERROR(INDEX(Chemin_accès!$B$11:$C$22,MATCH(Tableau1[[#This Row],[Type]],Chemin_accès!$C$11:$C$22,0),1),Chemin_accès!$B$11)</f>
        <v>\\stjn.local\trimet\Btechnique\Commun\Atelier Central mécanique\Plan entretien\Modèles préventif\GammeDMS_7.MENG.xlsm</v>
      </c>
      <c r="AD790" s="50" t="str">
        <f>Chemin_accès!$B$8&amp;Tableau1[[#This Row],[Localisation / Classement]]&amp;"\"&amp;Tableau1[[#This Row],[Poste technique ou N° d''équipement]]&amp;"_"&amp;Tableau1[[#This Row],[Plan Entretien]]&amp;".xlsm"</f>
        <v>\\stjn.local\trimet\Btechnique\Commun\Atelier Central mécanique\Plan entretien\GammeEntretien\\_.xlsm</v>
      </c>
    </row>
    <row r="791" spans="1:30" x14ac:dyDescent="0.3">
      <c r="A791" s="44" t="str">
        <f t="shared" ca="1" si="12"/>
        <v>7.MENG</v>
      </c>
      <c r="B79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91" s="47"/>
      <c r="D791" s="44"/>
      <c r="E791" s="44"/>
      <c r="F791" s="47"/>
      <c r="G791" s="47"/>
      <c r="H791" s="45"/>
      <c r="I791" s="45"/>
      <c r="J791" s="45"/>
      <c r="K791" s="45"/>
      <c r="L791" s="46"/>
      <c r="M791" s="47"/>
      <c r="N791" s="47"/>
      <c r="O791" s="47"/>
      <c r="P791" s="47"/>
      <c r="Q791" s="47"/>
      <c r="R791" s="47"/>
      <c r="S791" s="48"/>
      <c r="T791" s="68" t="str">
        <f>IF(Tableau1[[#This Row],[DMS_SAP]]="","",HYPERLINK(Tableau1[[#This Row],[Chemin fichier source]],"X"))</f>
        <v/>
      </c>
      <c r="U791" s="68" t="str">
        <f>IF(Tableau1[[#This Row],[Date rév.]]="","",HYPERLINK(Tableau1[[#This Row],[Lien document]],"X"))</f>
        <v/>
      </c>
      <c r="V791" s="47"/>
      <c r="W79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91" s="47"/>
      <c r="Y791" s="47"/>
      <c r="Z791" s="44" t="str">
        <f ca="1">IF(AND(Tableau1[[#This Row],[Charge]]&lt;&gt;0, Tableau1[[#This Row],[Nombre intervenants]]&lt;&gt;0,Tableau1[[#This Row],[Lien document]]&lt;&gt;0,Tableau1[[#This Row],[DMS_SAP]]&lt;&gt;0)=TRUE,"MIS A JOUR","")</f>
        <v/>
      </c>
      <c r="AA791" s="48"/>
      <c r="AB791" s="65" t="str">
        <f ca="1">IF(Tableau1[[#This Row],[Date rév.]]&lt;&gt;"", DAYS360(Tableau1[[#This Row],[Date rév.]],TODAY()),"")</f>
        <v/>
      </c>
      <c r="AC791" s="50" t="str">
        <f>IFERROR(INDEX(Chemin_accès!$B$11:$C$22,MATCH(Tableau1[[#This Row],[Type]],Chemin_accès!$C$11:$C$22,0),1),Chemin_accès!$B$11)</f>
        <v>\\stjn.local\trimet\Btechnique\Commun\Atelier Central mécanique\Plan entretien\Modèles préventif\GammeDMS_7.MENG.xlsm</v>
      </c>
      <c r="AD791" s="50" t="str">
        <f>Chemin_accès!$B$8&amp;Tableau1[[#This Row],[Localisation / Classement]]&amp;"\"&amp;Tableau1[[#This Row],[Poste technique ou N° d''équipement]]&amp;"_"&amp;Tableau1[[#This Row],[Plan Entretien]]&amp;".xlsm"</f>
        <v>\\stjn.local\trimet\Btechnique\Commun\Atelier Central mécanique\Plan entretien\GammeEntretien\\_.xlsm</v>
      </c>
    </row>
    <row r="792" spans="1:30" x14ac:dyDescent="0.3">
      <c r="A792" s="44" t="str">
        <f t="shared" ca="1" si="12"/>
        <v>7.MENG</v>
      </c>
      <c r="B79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92" s="47"/>
      <c r="D792" s="44"/>
      <c r="E792" s="44"/>
      <c r="F792" s="47"/>
      <c r="G792" s="47"/>
      <c r="H792" s="45"/>
      <c r="I792" s="45"/>
      <c r="J792" s="45"/>
      <c r="K792" s="45"/>
      <c r="L792" s="46"/>
      <c r="M792" s="47"/>
      <c r="N792" s="47"/>
      <c r="O792" s="47"/>
      <c r="P792" s="47"/>
      <c r="Q792" s="47"/>
      <c r="R792" s="47"/>
      <c r="S792" s="48"/>
      <c r="T792" s="68" t="str">
        <f>IF(Tableau1[[#This Row],[DMS_SAP]]="","",HYPERLINK(Tableau1[[#This Row],[Chemin fichier source]],"X"))</f>
        <v/>
      </c>
      <c r="U792" s="68" t="str">
        <f>IF(Tableau1[[#This Row],[Date rév.]]="","",HYPERLINK(Tableau1[[#This Row],[Lien document]],"X"))</f>
        <v/>
      </c>
      <c r="V792" s="47"/>
      <c r="W79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92" s="47"/>
      <c r="Y792" s="47"/>
      <c r="Z792" s="44" t="str">
        <f ca="1">IF(AND(Tableau1[[#This Row],[Charge]]&lt;&gt;0, Tableau1[[#This Row],[Nombre intervenants]]&lt;&gt;0,Tableau1[[#This Row],[Lien document]]&lt;&gt;0,Tableau1[[#This Row],[DMS_SAP]]&lt;&gt;0)=TRUE,"MIS A JOUR","")</f>
        <v/>
      </c>
      <c r="AA792" s="48"/>
      <c r="AB792" s="65" t="str">
        <f ca="1">IF(Tableau1[[#This Row],[Date rév.]]&lt;&gt;"", DAYS360(Tableau1[[#This Row],[Date rév.]],TODAY()),"")</f>
        <v/>
      </c>
      <c r="AC792" s="50" t="str">
        <f>IFERROR(INDEX(Chemin_accès!$B$11:$C$22,MATCH(Tableau1[[#This Row],[Type]],Chemin_accès!$C$11:$C$22,0),1),Chemin_accès!$B$11)</f>
        <v>\\stjn.local\trimet\Btechnique\Commun\Atelier Central mécanique\Plan entretien\Modèles préventif\GammeDMS_7.MENG.xlsm</v>
      </c>
      <c r="AD792" s="50" t="str">
        <f>Chemin_accès!$B$8&amp;Tableau1[[#This Row],[Localisation / Classement]]&amp;"\"&amp;Tableau1[[#This Row],[Poste technique ou N° d''équipement]]&amp;"_"&amp;Tableau1[[#This Row],[Plan Entretien]]&amp;".xlsm"</f>
        <v>\\stjn.local\trimet\Btechnique\Commun\Atelier Central mécanique\Plan entretien\GammeEntretien\\_.xlsm</v>
      </c>
    </row>
    <row r="793" spans="1:30" x14ac:dyDescent="0.3">
      <c r="A793" s="44" t="str">
        <f t="shared" ca="1" si="12"/>
        <v>7.MENG</v>
      </c>
      <c r="B79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93" s="47"/>
      <c r="D793" s="44"/>
      <c r="E793" s="44"/>
      <c r="F793" s="47"/>
      <c r="G793" s="47"/>
      <c r="H793" s="45"/>
      <c r="I793" s="45"/>
      <c r="J793" s="45"/>
      <c r="K793" s="45"/>
      <c r="L793" s="46"/>
      <c r="M793" s="47"/>
      <c r="N793" s="47"/>
      <c r="O793" s="47"/>
      <c r="P793" s="47"/>
      <c r="Q793" s="47"/>
      <c r="R793" s="47"/>
      <c r="S793" s="48"/>
      <c r="T793" s="68" t="str">
        <f>IF(Tableau1[[#This Row],[DMS_SAP]]="","",HYPERLINK(Tableau1[[#This Row],[Chemin fichier source]],"X"))</f>
        <v/>
      </c>
      <c r="U793" s="68" t="str">
        <f>IF(Tableau1[[#This Row],[Date rév.]]="","",HYPERLINK(Tableau1[[#This Row],[Lien document]],"X"))</f>
        <v/>
      </c>
      <c r="V793" s="47"/>
      <c r="W79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93" s="47"/>
      <c r="Y793" s="47"/>
      <c r="Z793" s="44" t="str">
        <f ca="1">IF(AND(Tableau1[[#This Row],[Charge]]&lt;&gt;0, Tableau1[[#This Row],[Nombre intervenants]]&lt;&gt;0,Tableau1[[#This Row],[Lien document]]&lt;&gt;0,Tableau1[[#This Row],[DMS_SAP]]&lt;&gt;0)=TRUE,"MIS A JOUR","")</f>
        <v/>
      </c>
      <c r="AA793" s="48"/>
      <c r="AB793" s="65" t="str">
        <f ca="1">IF(Tableau1[[#This Row],[Date rév.]]&lt;&gt;"", DAYS360(Tableau1[[#This Row],[Date rév.]],TODAY()),"")</f>
        <v/>
      </c>
      <c r="AC793" s="50" t="str">
        <f>IFERROR(INDEX(Chemin_accès!$B$11:$C$22,MATCH(Tableau1[[#This Row],[Type]],Chemin_accès!$C$11:$C$22,0),1),Chemin_accès!$B$11)</f>
        <v>\\stjn.local\trimet\Btechnique\Commun\Atelier Central mécanique\Plan entretien\Modèles préventif\GammeDMS_7.MENG.xlsm</v>
      </c>
      <c r="AD793" s="50" t="str">
        <f>Chemin_accès!$B$8&amp;Tableau1[[#This Row],[Localisation / Classement]]&amp;"\"&amp;Tableau1[[#This Row],[Poste technique ou N° d''équipement]]&amp;"_"&amp;Tableau1[[#This Row],[Plan Entretien]]&amp;".xlsm"</f>
        <v>\\stjn.local\trimet\Btechnique\Commun\Atelier Central mécanique\Plan entretien\GammeEntretien\\_.xlsm</v>
      </c>
    </row>
    <row r="794" spans="1:30" x14ac:dyDescent="0.3">
      <c r="A794" s="44" t="str">
        <f t="shared" ca="1" si="12"/>
        <v>7.MENG</v>
      </c>
      <c r="B79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94" s="47"/>
      <c r="D794" s="44"/>
      <c r="E794" s="44"/>
      <c r="F794" s="47"/>
      <c r="G794" s="47"/>
      <c r="H794" s="45"/>
      <c r="I794" s="45"/>
      <c r="J794" s="45"/>
      <c r="K794" s="45"/>
      <c r="L794" s="46"/>
      <c r="M794" s="47"/>
      <c r="N794" s="47"/>
      <c r="O794" s="47"/>
      <c r="P794" s="47"/>
      <c r="Q794" s="47"/>
      <c r="R794" s="47"/>
      <c r="S794" s="48"/>
      <c r="T794" s="68" t="str">
        <f>IF(Tableau1[[#This Row],[DMS_SAP]]="","",HYPERLINK(Tableau1[[#This Row],[Chemin fichier source]],"X"))</f>
        <v/>
      </c>
      <c r="U794" s="68" t="str">
        <f>IF(Tableau1[[#This Row],[Date rév.]]="","",HYPERLINK(Tableau1[[#This Row],[Lien document]],"X"))</f>
        <v/>
      </c>
      <c r="V794" s="47"/>
      <c r="W79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94" s="47"/>
      <c r="Y794" s="47"/>
      <c r="Z794" s="44" t="str">
        <f ca="1">IF(AND(Tableau1[[#This Row],[Charge]]&lt;&gt;0, Tableau1[[#This Row],[Nombre intervenants]]&lt;&gt;0,Tableau1[[#This Row],[Lien document]]&lt;&gt;0,Tableau1[[#This Row],[DMS_SAP]]&lt;&gt;0)=TRUE,"MIS A JOUR","")</f>
        <v/>
      </c>
      <c r="AA794" s="48"/>
      <c r="AB794" s="65" t="str">
        <f ca="1">IF(Tableau1[[#This Row],[Date rév.]]&lt;&gt;"", DAYS360(Tableau1[[#This Row],[Date rév.]],TODAY()),"")</f>
        <v/>
      </c>
      <c r="AC794" s="50" t="str">
        <f>IFERROR(INDEX(Chemin_accès!$B$11:$C$22,MATCH(Tableau1[[#This Row],[Type]],Chemin_accès!$C$11:$C$22,0),1),Chemin_accès!$B$11)</f>
        <v>\\stjn.local\trimet\Btechnique\Commun\Atelier Central mécanique\Plan entretien\Modèles préventif\GammeDMS_7.MENG.xlsm</v>
      </c>
      <c r="AD794" s="50" t="str">
        <f>Chemin_accès!$B$8&amp;Tableau1[[#This Row],[Localisation / Classement]]&amp;"\"&amp;Tableau1[[#This Row],[Poste technique ou N° d''équipement]]&amp;"_"&amp;Tableau1[[#This Row],[Plan Entretien]]&amp;".xlsm"</f>
        <v>\\stjn.local\trimet\Btechnique\Commun\Atelier Central mécanique\Plan entretien\GammeEntretien\\_.xlsm</v>
      </c>
    </row>
    <row r="795" spans="1:30" x14ac:dyDescent="0.3">
      <c r="A795" s="44" t="str">
        <f t="shared" ca="1" si="12"/>
        <v>7.MENG</v>
      </c>
      <c r="B79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95" s="47"/>
      <c r="D795" s="44"/>
      <c r="E795" s="44"/>
      <c r="F795" s="47"/>
      <c r="G795" s="47"/>
      <c r="H795" s="45"/>
      <c r="I795" s="45"/>
      <c r="J795" s="45"/>
      <c r="K795" s="45"/>
      <c r="L795" s="46"/>
      <c r="M795" s="47"/>
      <c r="N795" s="47"/>
      <c r="O795" s="47"/>
      <c r="P795" s="47"/>
      <c r="Q795" s="47"/>
      <c r="R795" s="47"/>
      <c r="S795" s="48"/>
      <c r="T795" s="68" t="str">
        <f>IF(Tableau1[[#This Row],[DMS_SAP]]="","",HYPERLINK(Tableau1[[#This Row],[Chemin fichier source]],"X"))</f>
        <v/>
      </c>
      <c r="U795" s="68" t="str">
        <f>IF(Tableau1[[#This Row],[Date rév.]]="","",HYPERLINK(Tableau1[[#This Row],[Lien document]],"X"))</f>
        <v/>
      </c>
      <c r="V795" s="47"/>
      <c r="W79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95" s="47"/>
      <c r="Y795" s="47"/>
      <c r="Z795" s="44" t="str">
        <f ca="1">IF(AND(Tableau1[[#This Row],[Charge]]&lt;&gt;0, Tableau1[[#This Row],[Nombre intervenants]]&lt;&gt;0,Tableau1[[#This Row],[Lien document]]&lt;&gt;0,Tableau1[[#This Row],[DMS_SAP]]&lt;&gt;0)=TRUE,"MIS A JOUR","")</f>
        <v/>
      </c>
      <c r="AA795" s="48"/>
      <c r="AB795" s="65" t="str">
        <f ca="1">IF(Tableau1[[#This Row],[Date rév.]]&lt;&gt;"", DAYS360(Tableau1[[#This Row],[Date rév.]],TODAY()),"")</f>
        <v/>
      </c>
      <c r="AC795" s="50" t="str">
        <f>IFERROR(INDEX(Chemin_accès!$B$11:$C$22,MATCH(Tableau1[[#This Row],[Type]],Chemin_accès!$C$11:$C$22,0),1),Chemin_accès!$B$11)</f>
        <v>\\stjn.local\trimet\Btechnique\Commun\Atelier Central mécanique\Plan entretien\Modèles préventif\GammeDMS_7.MENG.xlsm</v>
      </c>
      <c r="AD795" s="50" t="str">
        <f>Chemin_accès!$B$8&amp;Tableau1[[#This Row],[Localisation / Classement]]&amp;"\"&amp;Tableau1[[#This Row],[Poste technique ou N° d''équipement]]&amp;"_"&amp;Tableau1[[#This Row],[Plan Entretien]]&amp;".xlsm"</f>
        <v>\\stjn.local\trimet\Btechnique\Commun\Atelier Central mécanique\Plan entretien\GammeEntretien\\_.xlsm</v>
      </c>
    </row>
    <row r="796" spans="1:30" x14ac:dyDescent="0.3">
      <c r="A796" s="44" t="str">
        <f t="shared" ca="1" si="12"/>
        <v>7.MENG</v>
      </c>
      <c r="B79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96" s="47"/>
      <c r="D796" s="44"/>
      <c r="E796" s="44"/>
      <c r="F796" s="47"/>
      <c r="G796" s="47"/>
      <c r="H796" s="45"/>
      <c r="I796" s="45"/>
      <c r="J796" s="45"/>
      <c r="K796" s="45"/>
      <c r="L796" s="46"/>
      <c r="M796" s="47"/>
      <c r="N796" s="47"/>
      <c r="O796" s="47"/>
      <c r="P796" s="47"/>
      <c r="Q796" s="47"/>
      <c r="R796" s="47"/>
      <c r="S796" s="48"/>
      <c r="T796" s="68" t="str">
        <f>IF(Tableau1[[#This Row],[DMS_SAP]]="","",HYPERLINK(Tableau1[[#This Row],[Chemin fichier source]],"X"))</f>
        <v/>
      </c>
      <c r="U796" s="68" t="str">
        <f>IF(Tableau1[[#This Row],[Date rév.]]="","",HYPERLINK(Tableau1[[#This Row],[Lien document]],"X"))</f>
        <v/>
      </c>
      <c r="V796" s="47"/>
      <c r="W79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96" s="47"/>
      <c r="Y796" s="47"/>
      <c r="Z796" s="44" t="str">
        <f ca="1">IF(AND(Tableau1[[#This Row],[Charge]]&lt;&gt;0, Tableau1[[#This Row],[Nombre intervenants]]&lt;&gt;0,Tableau1[[#This Row],[Lien document]]&lt;&gt;0,Tableau1[[#This Row],[DMS_SAP]]&lt;&gt;0)=TRUE,"MIS A JOUR","")</f>
        <v/>
      </c>
      <c r="AA796" s="48"/>
      <c r="AB796" s="65" t="str">
        <f ca="1">IF(Tableau1[[#This Row],[Date rév.]]&lt;&gt;"", DAYS360(Tableau1[[#This Row],[Date rév.]],TODAY()),"")</f>
        <v/>
      </c>
      <c r="AC796" s="50" t="str">
        <f>IFERROR(INDEX(Chemin_accès!$B$11:$C$22,MATCH(Tableau1[[#This Row],[Type]],Chemin_accès!$C$11:$C$22,0),1),Chemin_accès!$B$11)</f>
        <v>\\stjn.local\trimet\Btechnique\Commun\Atelier Central mécanique\Plan entretien\Modèles préventif\GammeDMS_7.MENG.xlsm</v>
      </c>
      <c r="AD796" s="50" t="str">
        <f>Chemin_accès!$B$8&amp;Tableau1[[#This Row],[Localisation / Classement]]&amp;"\"&amp;Tableau1[[#This Row],[Poste technique ou N° d''équipement]]&amp;"_"&amp;Tableau1[[#This Row],[Plan Entretien]]&amp;".xlsm"</f>
        <v>\\stjn.local\trimet\Btechnique\Commun\Atelier Central mécanique\Plan entretien\GammeEntretien\\_.xlsm</v>
      </c>
    </row>
    <row r="797" spans="1:30" x14ac:dyDescent="0.3">
      <c r="A797" s="44" t="str">
        <f t="shared" ca="1" si="12"/>
        <v>7.MENG</v>
      </c>
      <c r="B79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97" s="47"/>
      <c r="D797" s="44"/>
      <c r="E797" s="44"/>
      <c r="F797" s="47"/>
      <c r="G797" s="47"/>
      <c r="H797" s="45"/>
      <c r="I797" s="45"/>
      <c r="J797" s="45"/>
      <c r="K797" s="45"/>
      <c r="L797" s="46"/>
      <c r="M797" s="47"/>
      <c r="N797" s="47"/>
      <c r="O797" s="47"/>
      <c r="P797" s="47"/>
      <c r="Q797" s="47"/>
      <c r="R797" s="47"/>
      <c r="S797" s="48"/>
      <c r="T797" s="68" t="str">
        <f>IF(Tableau1[[#This Row],[DMS_SAP]]="","",HYPERLINK(Tableau1[[#This Row],[Chemin fichier source]],"X"))</f>
        <v/>
      </c>
      <c r="U797" s="68" t="str">
        <f>IF(Tableau1[[#This Row],[Date rév.]]="","",HYPERLINK(Tableau1[[#This Row],[Lien document]],"X"))</f>
        <v/>
      </c>
      <c r="V797" s="47"/>
      <c r="W79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97" s="47"/>
      <c r="Y797" s="47"/>
      <c r="Z797" s="44" t="str">
        <f ca="1">IF(AND(Tableau1[[#This Row],[Charge]]&lt;&gt;0, Tableau1[[#This Row],[Nombre intervenants]]&lt;&gt;0,Tableau1[[#This Row],[Lien document]]&lt;&gt;0,Tableau1[[#This Row],[DMS_SAP]]&lt;&gt;0)=TRUE,"MIS A JOUR","")</f>
        <v/>
      </c>
      <c r="AA797" s="48"/>
      <c r="AB797" s="65" t="str">
        <f ca="1">IF(Tableau1[[#This Row],[Date rév.]]&lt;&gt;"", DAYS360(Tableau1[[#This Row],[Date rév.]],TODAY()),"")</f>
        <v/>
      </c>
      <c r="AC797" s="50" t="str">
        <f>IFERROR(INDEX(Chemin_accès!$B$11:$C$22,MATCH(Tableau1[[#This Row],[Type]],Chemin_accès!$C$11:$C$22,0),1),Chemin_accès!$B$11)</f>
        <v>\\stjn.local\trimet\Btechnique\Commun\Atelier Central mécanique\Plan entretien\Modèles préventif\GammeDMS_7.MENG.xlsm</v>
      </c>
      <c r="AD797" s="50" t="str">
        <f>Chemin_accès!$B$8&amp;Tableau1[[#This Row],[Localisation / Classement]]&amp;"\"&amp;Tableau1[[#This Row],[Poste technique ou N° d''équipement]]&amp;"_"&amp;Tableau1[[#This Row],[Plan Entretien]]&amp;".xlsm"</f>
        <v>\\stjn.local\trimet\Btechnique\Commun\Atelier Central mécanique\Plan entretien\GammeEntretien\\_.xlsm</v>
      </c>
    </row>
    <row r="798" spans="1:30" x14ac:dyDescent="0.3">
      <c r="A798" s="44" t="str">
        <f t="shared" ca="1" si="12"/>
        <v>7.MENG</v>
      </c>
      <c r="B79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98" s="47"/>
      <c r="D798" s="44"/>
      <c r="E798" s="44"/>
      <c r="F798" s="47"/>
      <c r="G798" s="47"/>
      <c r="H798" s="45"/>
      <c r="I798" s="45"/>
      <c r="J798" s="45"/>
      <c r="K798" s="45"/>
      <c r="L798" s="46"/>
      <c r="M798" s="47"/>
      <c r="N798" s="47"/>
      <c r="O798" s="47"/>
      <c r="P798" s="47"/>
      <c r="Q798" s="47"/>
      <c r="R798" s="47"/>
      <c r="S798" s="48"/>
      <c r="T798" s="68" t="str">
        <f>IF(Tableau1[[#This Row],[DMS_SAP]]="","",HYPERLINK(Tableau1[[#This Row],[Chemin fichier source]],"X"))</f>
        <v/>
      </c>
      <c r="U798" s="68" t="str">
        <f>IF(Tableau1[[#This Row],[Date rév.]]="","",HYPERLINK(Tableau1[[#This Row],[Lien document]],"X"))</f>
        <v/>
      </c>
      <c r="V798" s="47"/>
      <c r="W79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98" s="47"/>
      <c r="Y798" s="47"/>
      <c r="Z798" s="44" t="str">
        <f ca="1">IF(AND(Tableau1[[#This Row],[Charge]]&lt;&gt;0, Tableau1[[#This Row],[Nombre intervenants]]&lt;&gt;0,Tableau1[[#This Row],[Lien document]]&lt;&gt;0,Tableau1[[#This Row],[DMS_SAP]]&lt;&gt;0)=TRUE,"MIS A JOUR","")</f>
        <v/>
      </c>
      <c r="AA798" s="48"/>
      <c r="AB798" s="65" t="str">
        <f ca="1">IF(Tableau1[[#This Row],[Date rév.]]&lt;&gt;"", DAYS360(Tableau1[[#This Row],[Date rév.]],TODAY()),"")</f>
        <v/>
      </c>
      <c r="AC798" s="50" t="str">
        <f>IFERROR(INDEX(Chemin_accès!$B$11:$C$22,MATCH(Tableau1[[#This Row],[Type]],Chemin_accès!$C$11:$C$22,0),1),Chemin_accès!$B$11)</f>
        <v>\\stjn.local\trimet\Btechnique\Commun\Atelier Central mécanique\Plan entretien\Modèles préventif\GammeDMS_7.MENG.xlsm</v>
      </c>
      <c r="AD798" s="50" t="str">
        <f>Chemin_accès!$B$8&amp;Tableau1[[#This Row],[Localisation / Classement]]&amp;"\"&amp;Tableau1[[#This Row],[Poste technique ou N° d''équipement]]&amp;"_"&amp;Tableau1[[#This Row],[Plan Entretien]]&amp;".xlsm"</f>
        <v>\\stjn.local\trimet\Btechnique\Commun\Atelier Central mécanique\Plan entretien\GammeEntretien\\_.xlsm</v>
      </c>
    </row>
    <row r="799" spans="1:30" x14ac:dyDescent="0.3">
      <c r="A799" s="44" t="str">
        <f t="shared" ca="1" si="12"/>
        <v>7.MENG</v>
      </c>
      <c r="B79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799" s="47"/>
      <c r="D799" s="44"/>
      <c r="E799" s="44"/>
      <c r="F799" s="47"/>
      <c r="G799" s="47"/>
      <c r="H799" s="45"/>
      <c r="I799" s="45"/>
      <c r="J799" s="45"/>
      <c r="K799" s="45"/>
      <c r="L799" s="46"/>
      <c r="M799" s="47"/>
      <c r="N799" s="47"/>
      <c r="O799" s="47"/>
      <c r="P799" s="47"/>
      <c r="Q799" s="47"/>
      <c r="R799" s="47"/>
      <c r="S799" s="48"/>
      <c r="T799" s="68" t="str">
        <f>IF(Tableau1[[#This Row],[DMS_SAP]]="","",HYPERLINK(Tableau1[[#This Row],[Chemin fichier source]],"X"))</f>
        <v/>
      </c>
      <c r="U799" s="68" t="str">
        <f>IF(Tableau1[[#This Row],[Date rév.]]="","",HYPERLINK(Tableau1[[#This Row],[Lien document]],"X"))</f>
        <v/>
      </c>
      <c r="V799" s="47"/>
      <c r="W79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799" s="47"/>
      <c r="Y799" s="47"/>
      <c r="Z799" s="44" t="str">
        <f ca="1">IF(AND(Tableau1[[#This Row],[Charge]]&lt;&gt;0, Tableau1[[#This Row],[Nombre intervenants]]&lt;&gt;0,Tableau1[[#This Row],[Lien document]]&lt;&gt;0,Tableau1[[#This Row],[DMS_SAP]]&lt;&gt;0)=TRUE,"MIS A JOUR","")</f>
        <v/>
      </c>
      <c r="AA799" s="48"/>
      <c r="AB799" s="65" t="str">
        <f ca="1">IF(Tableau1[[#This Row],[Date rév.]]&lt;&gt;"", DAYS360(Tableau1[[#This Row],[Date rév.]],TODAY()),"")</f>
        <v/>
      </c>
      <c r="AC799" s="50" t="str">
        <f>IFERROR(INDEX(Chemin_accès!$B$11:$C$22,MATCH(Tableau1[[#This Row],[Type]],Chemin_accès!$C$11:$C$22,0),1),Chemin_accès!$B$11)</f>
        <v>\\stjn.local\trimet\Btechnique\Commun\Atelier Central mécanique\Plan entretien\Modèles préventif\GammeDMS_7.MENG.xlsm</v>
      </c>
      <c r="AD799" s="50" t="str">
        <f>Chemin_accès!$B$8&amp;Tableau1[[#This Row],[Localisation / Classement]]&amp;"\"&amp;Tableau1[[#This Row],[Poste technique ou N° d''équipement]]&amp;"_"&amp;Tableau1[[#This Row],[Plan Entretien]]&amp;".xlsm"</f>
        <v>\\stjn.local\trimet\Btechnique\Commun\Atelier Central mécanique\Plan entretien\GammeEntretien\\_.xlsm</v>
      </c>
    </row>
    <row r="800" spans="1:30" x14ac:dyDescent="0.3">
      <c r="A800" s="44" t="str">
        <f t="shared" ca="1" si="12"/>
        <v>7.MENG</v>
      </c>
      <c r="B80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00" s="47"/>
      <c r="D800" s="44"/>
      <c r="E800" s="44"/>
      <c r="F800" s="47"/>
      <c r="G800" s="47"/>
      <c r="H800" s="45"/>
      <c r="I800" s="45"/>
      <c r="J800" s="45"/>
      <c r="K800" s="45"/>
      <c r="L800" s="46"/>
      <c r="M800" s="47"/>
      <c r="N800" s="47"/>
      <c r="O800" s="47"/>
      <c r="P800" s="47"/>
      <c r="Q800" s="47"/>
      <c r="R800" s="47"/>
      <c r="S800" s="48"/>
      <c r="T800" s="68" t="str">
        <f>IF(Tableau1[[#This Row],[DMS_SAP]]="","",HYPERLINK(Tableau1[[#This Row],[Chemin fichier source]],"X"))</f>
        <v/>
      </c>
      <c r="U800" s="68" t="str">
        <f>IF(Tableau1[[#This Row],[Date rév.]]="","",HYPERLINK(Tableau1[[#This Row],[Lien document]],"X"))</f>
        <v/>
      </c>
      <c r="V800" s="47"/>
      <c r="W80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00" s="47"/>
      <c r="Y800" s="47"/>
      <c r="Z800" s="44" t="str">
        <f ca="1">IF(AND(Tableau1[[#This Row],[Charge]]&lt;&gt;0, Tableau1[[#This Row],[Nombre intervenants]]&lt;&gt;0,Tableau1[[#This Row],[Lien document]]&lt;&gt;0,Tableau1[[#This Row],[DMS_SAP]]&lt;&gt;0)=TRUE,"MIS A JOUR","")</f>
        <v/>
      </c>
      <c r="AA800" s="48"/>
      <c r="AB800" s="65" t="str">
        <f ca="1">IF(Tableau1[[#This Row],[Date rév.]]&lt;&gt;"", DAYS360(Tableau1[[#This Row],[Date rév.]],TODAY()),"")</f>
        <v/>
      </c>
      <c r="AC800" s="50" t="str">
        <f>IFERROR(INDEX(Chemin_accès!$B$11:$C$22,MATCH(Tableau1[[#This Row],[Type]],Chemin_accès!$C$11:$C$22,0),1),Chemin_accès!$B$11)</f>
        <v>\\stjn.local\trimet\Btechnique\Commun\Atelier Central mécanique\Plan entretien\Modèles préventif\GammeDMS_7.MENG.xlsm</v>
      </c>
      <c r="AD800" s="50" t="str">
        <f>Chemin_accès!$B$8&amp;Tableau1[[#This Row],[Localisation / Classement]]&amp;"\"&amp;Tableau1[[#This Row],[Poste technique ou N° d''équipement]]&amp;"_"&amp;Tableau1[[#This Row],[Plan Entretien]]&amp;".xlsm"</f>
        <v>\\stjn.local\trimet\Btechnique\Commun\Atelier Central mécanique\Plan entretien\GammeEntretien\\_.xlsm</v>
      </c>
    </row>
    <row r="801" spans="1:30" x14ac:dyDescent="0.3">
      <c r="A801" s="44" t="str">
        <f t="shared" ca="1" si="12"/>
        <v>7.MENG</v>
      </c>
      <c r="B80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01" s="47"/>
      <c r="D801" s="44"/>
      <c r="E801" s="44"/>
      <c r="F801" s="47"/>
      <c r="G801" s="47"/>
      <c r="H801" s="45"/>
      <c r="I801" s="45"/>
      <c r="J801" s="45"/>
      <c r="K801" s="45"/>
      <c r="L801" s="46"/>
      <c r="M801" s="47"/>
      <c r="N801" s="47"/>
      <c r="O801" s="47"/>
      <c r="P801" s="47"/>
      <c r="Q801" s="47"/>
      <c r="R801" s="47"/>
      <c r="S801" s="48"/>
      <c r="T801" s="68" t="str">
        <f>IF(Tableau1[[#This Row],[DMS_SAP]]="","",HYPERLINK(Tableau1[[#This Row],[Chemin fichier source]],"X"))</f>
        <v/>
      </c>
      <c r="U801" s="68" t="str">
        <f>IF(Tableau1[[#This Row],[Date rév.]]="","",HYPERLINK(Tableau1[[#This Row],[Lien document]],"X"))</f>
        <v/>
      </c>
      <c r="V801" s="47"/>
      <c r="W80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01" s="47"/>
      <c r="Y801" s="47"/>
      <c r="Z801" s="44" t="str">
        <f ca="1">IF(AND(Tableau1[[#This Row],[Charge]]&lt;&gt;0, Tableau1[[#This Row],[Nombre intervenants]]&lt;&gt;0,Tableau1[[#This Row],[Lien document]]&lt;&gt;0,Tableau1[[#This Row],[DMS_SAP]]&lt;&gt;0)=TRUE,"MIS A JOUR","")</f>
        <v/>
      </c>
      <c r="AA801" s="48"/>
      <c r="AB801" s="65" t="str">
        <f ca="1">IF(Tableau1[[#This Row],[Date rév.]]&lt;&gt;"", DAYS360(Tableau1[[#This Row],[Date rév.]],TODAY()),"")</f>
        <v/>
      </c>
      <c r="AC801" s="50" t="str">
        <f>IFERROR(INDEX(Chemin_accès!$B$11:$C$22,MATCH(Tableau1[[#This Row],[Type]],Chemin_accès!$C$11:$C$22,0),1),Chemin_accès!$B$11)</f>
        <v>\\stjn.local\trimet\Btechnique\Commun\Atelier Central mécanique\Plan entretien\Modèles préventif\GammeDMS_7.MENG.xlsm</v>
      </c>
      <c r="AD801" s="50" t="str">
        <f>Chemin_accès!$B$8&amp;Tableau1[[#This Row],[Localisation / Classement]]&amp;"\"&amp;Tableau1[[#This Row],[Poste technique ou N° d''équipement]]&amp;"_"&amp;Tableau1[[#This Row],[Plan Entretien]]&amp;".xlsm"</f>
        <v>\\stjn.local\trimet\Btechnique\Commun\Atelier Central mécanique\Plan entretien\GammeEntretien\\_.xlsm</v>
      </c>
    </row>
    <row r="802" spans="1:30" x14ac:dyDescent="0.3">
      <c r="A802" s="44" t="str">
        <f t="shared" ca="1" si="12"/>
        <v>7.MENG</v>
      </c>
      <c r="B80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02" s="47"/>
      <c r="D802" s="44"/>
      <c r="E802" s="44"/>
      <c r="F802" s="47"/>
      <c r="G802" s="47"/>
      <c r="H802" s="45"/>
      <c r="I802" s="45"/>
      <c r="J802" s="45"/>
      <c r="K802" s="45"/>
      <c r="L802" s="46"/>
      <c r="M802" s="47"/>
      <c r="N802" s="47"/>
      <c r="O802" s="47"/>
      <c r="P802" s="47"/>
      <c r="Q802" s="47"/>
      <c r="R802" s="47"/>
      <c r="S802" s="48"/>
      <c r="T802" s="68" t="str">
        <f>IF(Tableau1[[#This Row],[DMS_SAP]]="","",HYPERLINK(Tableau1[[#This Row],[Chemin fichier source]],"X"))</f>
        <v/>
      </c>
      <c r="U802" s="68" t="str">
        <f>IF(Tableau1[[#This Row],[Date rév.]]="","",HYPERLINK(Tableau1[[#This Row],[Lien document]],"X"))</f>
        <v/>
      </c>
      <c r="V802" s="47"/>
      <c r="W80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02" s="47"/>
      <c r="Y802" s="47"/>
      <c r="Z802" s="44" t="str">
        <f ca="1">IF(AND(Tableau1[[#This Row],[Charge]]&lt;&gt;0, Tableau1[[#This Row],[Nombre intervenants]]&lt;&gt;0,Tableau1[[#This Row],[Lien document]]&lt;&gt;0,Tableau1[[#This Row],[DMS_SAP]]&lt;&gt;0)=TRUE,"MIS A JOUR","")</f>
        <v/>
      </c>
      <c r="AA802" s="48"/>
      <c r="AB802" s="65" t="str">
        <f ca="1">IF(Tableau1[[#This Row],[Date rév.]]&lt;&gt;"", DAYS360(Tableau1[[#This Row],[Date rév.]],TODAY()),"")</f>
        <v/>
      </c>
      <c r="AC802" s="50" t="str">
        <f>IFERROR(INDEX(Chemin_accès!$B$11:$C$22,MATCH(Tableau1[[#This Row],[Type]],Chemin_accès!$C$11:$C$22,0),1),Chemin_accès!$B$11)</f>
        <v>\\stjn.local\trimet\Btechnique\Commun\Atelier Central mécanique\Plan entretien\Modèles préventif\GammeDMS_7.MENG.xlsm</v>
      </c>
      <c r="AD802" s="50" t="str">
        <f>Chemin_accès!$B$8&amp;Tableau1[[#This Row],[Localisation / Classement]]&amp;"\"&amp;Tableau1[[#This Row],[Poste technique ou N° d''équipement]]&amp;"_"&amp;Tableau1[[#This Row],[Plan Entretien]]&amp;".xlsm"</f>
        <v>\\stjn.local\trimet\Btechnique\Commun\Atelier Central mécanique\Plan entretien\GammeEntretien\\_.xlsm</v>
      </c>
    </row>
    <row r="803" spans="1:30" x14ac:dyDescent="0.3">
      <c r="A803" s="44" t="str">
        <f t="shared" ca="1" si="12"/>
        <v>7.MENG</v>
      </c>
      <c r="B80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03" s="47"/>
      <c r="D803" s="44"/>
      <c r="E803" s="44"/>
      <c r="F803" s="47"/>
      <c r="G803" s="47"/>
      <c r="H803" s="45"/>
      <c r="I803" s="45"/>
      <c r="J803" s="45"/>
      <c r="K803" s="45"/>
      <c r="L803" s="46"/>
      <c r="M803" s="47"/>
      <c r="N803" s="47"/>
      <c r="O803" s="47"/>
      <c r="P803" s="47"/>
      <c r="Q803" s="47"/>
      <c r="R803" s="47"/>
      <c r="S803" s="48"/>
      <c r="T803" s="68" t="str">
        <f>IF(Tableau1[[#This Row],[DMS_SAP]]="","",HYPERLINK(Tableau1[[#This Row],[Chemin fichier source]],"X"))</f>
        <v/>
      </c>
      <c r="U803" s="68" t="str">
        <f>IF(Tableau1[[#This Row],[Date rév.]]="","",HYPERLINK(Tableau1[[#This Row],[Lien document]],"X"))</f>
        <v/>
      </c>
      <c r="V803" s="47"/>
      <c r="W80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03" s="47"/>
      <c r="Y803" s="47"/>
      <c r="Z803" s="44" t="str">
        <f ca="1">IF(AND(Tableau1[[#This Row],[Charge]]&lt;&gt;0, Tableau1[[#This Row],[Nombre intervenants]]&lt;&gt;0,Tableau1[[#This Row],[Lien document]]&lt;&gt;0,Tableau1[[#This Row],[DMS_SAP]]&lt;&gt;0)=TRUE,"MIS A JOUR","")</f>
        <v/>
      </c>
      <c r="AA803" s="48"/>
      <c r="AB803" s="65" t="str">
        <f ca="1">IF(Tableau1[[#This Row],[Date rév.]]&lt;&gt;"", DAYS360(Tableau1[[#This Row],[Date rév.]],TODAY()),"")</f>
        <v/>
      </c>
      <c r="AC803" s="50" t="str">
        <f>IFERROR(INDEX(Chemin_accès!$B$11:$C$22,MATCH(Tableau1[[#This Row],[Type]],Chemin_accès!$C$11:$C$22,0),1),Chemin_accès!$B$11)</f>
        <v>\\stjn.local\trimet\Btechnique\Commun\Atelier Central mécanique\Plan entretien\Modèles préventif\GammeDMS_7.MENG.xlsm</v>
      </c>
      <c r="AD803" s="50" t="str">
        <f>Chemin_accès!$B$8&amp;Tableau1[[#This Row],[Localisation / Classement]]&amp;"\"&amp;Tableau1[[#This Row],[Poste technique ou N° d''équipement]]&amp;"_"&amp;Tableau1[[#This Row],[Plan Entretien]]&amp;".xlsm"</f>
        <v>\\stjn.local\trimet\Btechnique\Commun\Atelier Central mécanique\Plan entretien\GammeEntretien\\_.xlsm</v>
      </c>
    </row>
    <row r="804" spans="1:30" x14ac:dyDescent="0.3">
      <c r="A804" s="44" t="str">
        <f t="shared" ca="1" si="12"/>
        <v>7.MENG</v>
      </c>
      <c r="B80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04" s="47"/>
      <c r="D804" s="44"/>
      <c r="E804" s="44"/>
      <c r="F804" s="47"/>
      <c r="G804" s="47"/>
      <c r="H804" s="45"/>
      <c r="I804" s="45"/>
      <c r="J804" s="45"/>
      <c r="K804" s="45"/>
      <c r="L804" s="46"/>
      <c r="M804" s="47"/>
      <c r="N804" s="47"/>
      <c r="O804" s="47"/>
      <c r="P804" s="47"/>
      <c r="Q804" s="47"/>
      <c r="R804" s="47"/>
      <c r="S804" s="48"/>
      <c r="T804" s="68" t="str">
        <f>IF(Tableau1[[#This Row],[DMS_SAP]]="","",HYPERLINK(Tableau1[[#This Row],[Chemin fichier source]],"X"))</f>
        <v/>
      </c>
      <c r="U804" s="68" t="str">
        <f>IF(Tableau1[[#This Row],[Date rév.]]="","",HYPERLINK(Tableau1[[#This Row],[Lien document]],"X"))</f>
        <v/>
      </c>
      <c r="V804" s="47"/>
      <c r="W80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04" s="47"/>
      <c r="Y804" s="47"/>
      <c r="Z804" s="44" t="str">
        <f ca="1">IF(AND(Tableau1[[#This Row],[Charge]]&lt;&gt;0, Tableau1[[#This Row],[Nombre intervenants]]&lt;&gt;0,Tableau1[[#This Row],[Lien document]]&lt;&gt;0,Tableau1[[#This Row],[DMS_SAP]]&lt;&gt;0)=TRUE,"MIS A JOUR","")</f>
        <v/>
      </c>
      <c r="AA804" s="48"/>
      <c r="AB804" s="65" t="str">
        <f ca="1">IF(Tableau1[[#This Row],[Date rév.]]&lt;&gt;"", DAYS360(Tableau1[[#This Row],[Date rév.]],TODAY()),"")</f>
        <v/>
      </c>
      <c r="AC804" s="50" t="str">
        <f>IFERROR(INDEX(Chemin_accès!$B$11:$C$22,MATCH(Tableau1[[#This Row],[Type]],Chemin_accès!$C$11:$C$22,0),1),Chemin_accès!$B$11)</f>
        <v>\\stjn.local\trimet\Btechnique\Commun\Atelier Central mécanique\Plan entretien\Modèles préventif\GammeDMS_7.MENG.xlsm</v>
      </c>
      <c r="AD804" s="50" t="str">
        <f>Chemin_accès!$B$8&amp;Tableau1[[#This Row],[Localisation / Classement]]&amp;"\"&amp;Tableau1[[#This Row],[Poste technique ou N° d''équipement]]&amp;"_"&amp;Tableau1[[#This Row],[Plan Entretien]]&amp;".xlsm"</f>
        <v>\\stjn.local\trimet\Btechnique\Commun\Atelier Central mécanique\Plan entretien\GammeEntretien\\_.xlsm</v>
      </c>
    </row>
    <row r="805" spans="1:30" x14ac:dyDescent="0.3">
      <c r="A805" s="44" t="str">
        <f t="shared" ca="1" si="12"/>
        <v>7.MENG</v>
      </c>
      <c r="B80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05" s="47"/>
      <c r="D805" s="44"/>
      <c r="E805" s="44"/>
      <c r="F805" s="47"/>
      <c r="G805" s="47"/>
      <c r="H805" s="45"/>
      <c r="I805" s="45"/>
      <c r="J805" s="45"/>
      <c r="K805" s="45"/>
      <c r="L805" s="46"/>
      <c r="M805" s="47"/>
      <c r="N805" s="47"/>
      <c r="O805" s="47"/>
      <c r="P805" s="47"/>
      <c r="Q805" s="47"/>
      <c r="R805" s="47"/>
      <c r="S805" s="48"/>
      <c r="T805" s="68" t="str">
        <f>IF(Tableau1[[#This Row],[DMS_SAP]]="","",HYPERLINK(Tableau1[[#This Row],[Chemin fichier source]],"X"))</f>
        <v/>
      </c>
      <c r="U805" s="68" t="str">
        <f>IF(Tableau1[[#This Row],[Date rév.]]="","",HYPERLINK(Tableau1[[#This Row],[Lien document]],"X"))</f>
        <v/>
      </c>
      <c r="V805" s="47"/>
      <c r="W80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05" s="47"/>
      <c r="Y805" s="47"/>
      <c r="Z805" s="44" t="str">
        <f ca="1">IF(AND(Tableau1[[#This Row],[Charge]]&lt;&gt;0, Tableau1[[#This Row],[Nombre intervenants]]&lt;&gt;0,Tableau1[[#This Row],[Lien document]]&lt;&gt;0,Tableau1[[#This Row],[DMS_SAP]]&lt;&gt;0)=TRUE,"MIS A JOUR","")</f>
        <v/>
      </c>
      <c r="AA805" s="48"/>
      <c r="AB805" s="65" t="str">
        <f ca="1">IF(Tableau1[[#This Row],[Date rév.]]&lt;&gt;"", DAYS360(Tableau1[[#This Row],[Date rév.]],TODAY()),"")</f>
        <v/>
      </c>
      <c r="AC805" s="50" t="str">
        <f>IFERROR(INDEX(Chemin_accès!$B$11:$C$22,MATCH(Tableau1[[#This Row],[Type]],Chemin_accès!$C$11:$C$22,0),1),Chemin_accès!$B$11)</f>
        <v>\\stjn.local\trimet\Btechnique\Commun\Atelier Central mécanique\Plan entretien\Modèles préventif\GammeDMS_7.MENG.xlsm</v>
      </c>
      <c r="AD805" s="50" t="str">
        <f>Chemin_accès!$B$8&amp;Tableau1[[#This Row],[Localisation / Classement]]&amp;"\"&amp;Tableau1[[#This Row],[Poste technique ou N° d''équipement]]&amp;"_"&amp;Tableau1[[#This Row],[Plan Entretien]]&amp;".xlsm"</f>
        <v>\\stjn.local\trimet\Btechnique\Commun\Atelier Central mécanique\Plan entretien\GammeEntretien\\_.xlsm</v>
      </c>
    </row>
    <row r="806" spans="1:30" x14ac:dyDescent="0.3">
      <c r="A806" s="44" t="str">
        <f t="shared" ca="1" si="12"/>
        <v>7.MENG</v>
      </c>
      <c r="B80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06" s="47"/>
      <c r="D806" s="44"/>
      <c r="E806" s="44"/>
      <c r="F806" s="47"/>
      <c r="G806" s="47"/>
      <c r="H806" s="45"/>
      <c r="I806" s="45"/>
      <c r="J806" s="45"/>
      <c r="K806" s="45"/>
      <c r="L806" s="46"/>
      <c r="M806" s="47"/>
      <c r="N806" s="47"/>
      <c r="O806" s="47"/>
      <c r="P806" s="47"/>
      <c r="Q806" s="47"/>
      <c r="R806" s="47"/>
      <c r="S806" s="48"/>
      <c r="T806" s="68" t="str">
        <f>IF(Tableau1[[#This Row],[DMS_SAP]]="","",HYPERLINK(Tableau1[[#This Row],[Chemin fichier source]],"X"))</f>
        <v/>
      </c>
      <c r="U806" s="68" t="str">
        <f>IF(Tableau1[[#This Row],[Date rév.]]="","",HYPERLINK(Tableau1[[#This Row],[Lien document]],"X"))</f>
        <v/>
      </c>
      <c r="V806" s="47"/>
      <c r="W80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06" s="47"/>
      <c r="Y806" s="47"/>
      <c r="Z806" s="44" t="str">
        <f ca="1">IF(AND(Tableau1[[#This Row],[Charge]]&lt;&gt;0, Tableau1[[#This Row],[Nombre intervenants]]&lt;&gt;0,Tableau1[[#This Row],[Lien document]]&lt;&gt;0,Tableau1[[#This Row],[DMS_SAP]]&lt;&gt;0)=TRUE,"MIS A JOUR","")</f>
        <v/>
      </c>
      <c r="AA806" s="48"/>
      <c r="AB806" s="65" t="str">
        <f ca="1">IF(Tableau1[[#This Row],[Date rév.]]&lt;&gt;"", DAYS360(Tableau1[[#This Row],[Date rév.]],TODAY()),"")</f>
        <v/>
      </c>
      <c r="AC806" s="50" t="str">
        <f>IFERROR(INDEX(Chemin_accès!$B$11:$C$22,MATCH(Tableau1[[#This Row],[Type]],Chemin_accès!$C$11:$C$22,0),1),Chemin_accès!$B$11)</f>
        <v>\\stjn.local\trimet\Btechnique\Commun\Atelier Central mécanique\Plan entretien\Modèles préventif\GammeDMS_7.MENG.xlsm</v>
      </c>
      <c r="AD806" s="50" t="str">
        <f>Chemin_accès!$B$8&amp;Tableau1[[#This Row],[Localisation / Classement]]&amp;"\"&amp;Tableau1[[#This Row],[Poste technique ou N° d''équipement]]&amp;"_"&amp;Tableau1[[#This Row],[Plan Entretien]]&amp;".xlsm"</f>
        <v>\\stjn.local\trimet\Btechnique\Commun\Atelier Central mécanique\Plan entretien\GammeEntretien\\_.xlsm</v>
      </c>
    </row>
    <row r="807" spans="1:30" x14ac:dyDescent="0.3">
      <c r="A807" s="44" t="str">
        <f t="shared" ca="1" si="12"/>
        <v>7.MENG</v>
      </c>
      <c r="B80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07" s="47"/>
      <c r="D807" s="44"/>
      <c r="E807" s="44"/>
      <c r="F807" s="47"/>
      <c r="G807" s="47"/>
      <c r="H807" s="45"/>
      <c r="I807" s="45"/>
      <c r="J807" s="45"/>
      <c r="K807" s="45"/>
      <c r="L807" s="46"/>
      <c r="M807" s="47"/>
      <c r="N807" s="47"/>
      <c r="O807" s="47"/>
      <c r="P807" s="47"/>
      <c r="Q807" s="47"/>
      <c r="R807" s="47"/>
      <c r="S807" s="48"/>
      <c r="T807" s="68" t="str">
        <f>IF(Tableau1[[#This Row],[DMS_SAP]]="","",HYPERLINK(Tableau1[[#This Row],[Chemin fichier source]],"X"))</f>
        <v/>
      </c>
      <c r="U807" s="68" t="str">
        <f>IF(Tableau1[[#This Row],[Date rév.]]="","",HYPERLINK(Tableau1[[#This Row],[Lien document]],"X"))</f>
        <v/>
      </c>
      <c r="V807" s="47"/>
      <c r="W80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07" s="47"/>
      <c r="Y807" s="47"/>
      <c r="Z807" s="44" t="str">
        <f ca="1">IF(AND(Tableau1[[#This Row],[Charge]]&lt;&gt;0, Tableau1[[#This Row],[Nombre intervenants]]&lt;&gt;0,Tableau1[[#This Row],[Lien document]]&lt;&gt;0,Tableau1[[#This Row],[DMS_SAP]]&lt;&gt;0)=TRUE,"MIS A JOUR","")</f>
        <v/>
      </c>
      <c r="AA807" s="48"/>
      <c r="AB807" s="65" t="str">
        <f ca="1">IF(Tableau1[[#This Row],[Date rév.]]&lt;&gt;"", DAYS360(Tableau1[[#This Row],[Date rév.]],TODAY()),"")</f>
        <v/>
      </c>
      <c r="AC807" s="50" t="str">
        <f>IFERROR(INDEX(Chemin_accès!$B$11:$C$22,MATCH(Tableau1[[#This Row],[Type]],Chemin_accès!$C$11:$C$22,0),1),Chemin_accès!$B$11)</f>
        <v>\\stjn.local\trimet\Btechnique\Commun\Atelier Central mécanique\Plan entretien\Modèles préventif\GammeDMS_7.MENG.xlsm</v>
      </c>
      <c r="AD807" s="50" t="str">
        <f>Chemin_accès!$B$8&amp;Tableau1[[#This Row],[Localisation / Classement]]&amp;"\"&amp;Tableau1[[#This Row],[Poste technique ou N° d''équipement]]&amp;"_"&amp;Tableau1[[#This Row],[Plan Entretien]]&amp;".xlsm"</f>
        <v>\\stjn.local\trimet\Btechnique\Commun\Atelier Central mécanique\Plan entretien\GammeEntretien\\_.xlsm</v>
      </c>
    </row>
    <row r="808" spans="1:30" x14ac:dyDescent="0.3">
      <c r="A808" s="44" t="str">
        <f t="shared" ca="1" si="12"/>
        <v>7.MENG</v>
      </c>
      <c r="B80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08" s="47"/>
      <c r="D808" s="44"/>
      <c r="E808" s="44"/>
      <c r="F808" s="47"/>
      <c r="G808" s="47"/>
      <c r="H808" s="45"/>
      <c r="I808" s="45"/>
      <c r="J808" s="45"/>
      <c r="K808" s="45"/>
      <c r="L808" s="46"/>
      <c r="M808" s="47"/>
      <c r="N808" s="47"/>
      <c r="O808" s="47"/>
      <c r="P808" s="47"/>
      <c r="Q808" s="47"/>
      <c r="R808" s="47"/>
      <c r="S808" s="48"/>
      <c r="T808" s="68" t="str">
        <f>IF(Tableau1[[#This Row],[DMS_SAP]]="","",HYPERLINK(Tableau1[[#This Row],[Chemin fichier source]],"X"))</f>
        <v/>
      </c>
      <c r="U808" s="68" t="str">
        <f>IF(Tableau1[[#This Row],[Date rév.]]="","",HYPERLINK(Tableau1[[#This Row],[Lien document]],"X"))</f>
        <v/>
      </c>
      <c r="V808" s="47"/>
      <c r="W80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08" s="47"/>
      <c r="Y808" s="47"/>
      <c r="Z808" s="44" t="str">
        <f ca="1">IF(AND(Tableau1[[#This Row],[Charge]]&lt;&gt;0, Tableau1[[#This Row],[Nombre intervenants]]&lt;&gt;0,Tableau1[[#This Row],[Lien document]]&lt;&gt;0,Tableau1[[#This Row],[DMS_SAP]]&lt;&gt;0)=TRUE,"MIS A JOUR","")</f>
        <v/>
      </c>
      <c r="AA808" s="48"/>
      <c r="AB808" s="65" t="str">
        <f ca="1">IF(Tableau1[[#This Row],[Date rév.]]&lt;&gt;"", DAYS360(Tableau1[[#This Row],[Date rév.]],TODAY()),"")</f>
        <v/>
      </c>
      <c r="AC808" s="50" t="str">
        <f>IFERROR(INDEX(Chemin_accès!$B$11:$C$22,MATCH(Tableau1[[#This Row],[Type]],Chemin_accès!$C$11:$C$22,0),1),Chemin_accès!$B$11)</f>
        <v>\\stjn.local\trimet\Btechnique\Commun\Atelier Central mécanique\Plan entretien\Modèles préventif\GammeDMS_7.MENG.xlsm</v>
      </c>
      <c r="AD808" s="50" t="str">
        <f>Chemin_accès!$B$8&amp;Tableau1[[#This Row],[Localisation / Classement]]&amp;"\"&amp;Tableau1[[#This Row],[Poste technique ou N° d''équipement]]&amp;"_"&amp;Tableau1[[#This Row],[Plan Entretien]]&amp;".xlsm"</f>
        <v>\\stjn.local\trimet\Btechnique\Commun\Atelier Central mécanique\Plan entretien\GammeEntretien\\_.xlsm</v>
      </c>
    </row>
    <row r="809" spans="1:30" x14ac:dyDescent="0.3">
      <c r="A809" s="44" t="str">
        <f t="shared" ca="1" si="12"/>
        <v>7.MENG</v>
      </c>
      <c r="B80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09" s="47"/>
      <c r="D809" s="44"/>
      <c r="E809" s="44"/>
      <c r="F809" s="47"/>
      <c r="G809" s="47"/>
      <c r="H809" s="45"/>
      <c r="I809" s="45"/>
      <c r="J809" s="45"/>
      <c r="K809" s="45"/>
      <c r="L809" s="46"/>
      <c r="M809" s="47"/>
      <c r="N809" s="47"/>
      <c r="O809" s="47"/>
      <c r="P809" s="47"/>
      <c r="Q809" s="47"/>
      <c r="R809" s="47"/>
      <c r="S809" s="48"/>
      <c r="T809" s="68" t="str">
        <f>IF(Tableau1[[#This Row],[DMS_SAP]]="","",HYPERLINK(Tableau1[[#This Row],[Chemin fichier source]],"X"))</f>
        <v/>
      </c>
      <c r="U809" s="68" t="str">
        <f>IF(Tableau1[[#This Row],[Date rév.]]="","",HYPERLINK(Tableau1[[#This Row],[Lien document]],"X"))</f>
        <v/>
      </c>
      <c r="V809" s="47"/>
      <c r="W80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09" s="47"/>
      <c r="Y809" s="47"/>
      <c r="Z809" s="44" t="str">
        <f ca="1">IF(AND(Tableau1[[#This Row],[Charge]]&lt;&gt;0, Tableau1[[#This Row],[Nombre intervenants]]&lt;&gt;0,Tableau1[[#This Row],[Lien document]]&lt;&gt;0,Tableau1[[#This Row],[DMS_SAP]]&lt;&gt;0)=TRUE,"MIS A JOUR","")</f>
        <v/>
      </c>
      <c r="AA809" s="48"/>
      <c r="AB809" s="65" t="str">
        <f ca="1">IF(Tableau1[[#This Row],[Date rév.]]&lt;&gt;"", DAYS360(Tableau1[[#This Row],[Date rév.]],TODAY()),"")</f>
        <v/>
      </c>
      <c r="AC809" s="50" t="str">
        <f>IFERROR(INDEX(Chemin_accès!$B$11:$C$22,MATCH(Tableau1[[#This Row],[Type]],Chemin_accès!$C$11:$C$22,0),1),Chemin_accès!$B$11)</f>
        <v>\\stjn.local\trimet\Btechnique\Commun\Atelier Central mécanique\Plan entretien\Modèles préventif\GammeDMS_7.MENG.xlsm</v>
      </c>
      <c r="AD809" s="50" t="str">
        <f>Chemin_accès!$B$8&amp;Tableau1[[#This Row],[Localisation / Classement]]&amp;"\"&amp;Tableau1[[#This Row],[Poste technique ou N° d''équipement]]&amp;"_"&amp;Tableau1[[#This Row],[Plan Entretien]]&amp;".xlsm"</f>
        <v>\\stjn.local\trimet\Btechnique\Commun\Atelier Central mécanique\Plan entretien\GammeEntretien\\_.xlsm</v>
      </c>
    </row>
    <row r="810" spans="1:30" x14ac:dyDescent="0.3">
      <c r="A810" s="44" t="str">
        <f t="shared" ca="1" si="12"/>
        <v>7.MENG</v>
      </c>
      <c r="B81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10" s="47"/>
      <c r="D810" s="44"/>
      <c r="E810" s="44"/>
      <c r="F810" s="47"/>
      <c r="G810" s="47"/>
      <c r="H810" s="45"/>
      <c r="I810" s="45"/>
      <c r="J810" s="45"/>
      <c r="K810" s="45"/>
      <c r="L810" s="46"/>
      <c r="M810" s="47"/>
      <c r="N810" s="47"/>
      <c r="O810" s="47"/>
      <c r="P810" s="47"/>
      <c r="Q810" s="47"/>
      <c r="R810" s="47"/>
      <c r="S810" s="48"/>
      <c r="T810" s="68" t="str">
        <f>IF(Tableau1[[#This Row],[DMS_SAP]]="","",HYPERLINK(Tableau1[[#This Row],[Chemin fichier source]],"X"))</f>
        <v/>
      </c>
      <c r="U810" s="68" t="str">
        <f>IF(Tableau1[[#This Row],[Date rév.]]="","",HYPERLINK(Tableau1[[#This Row],[Lien document]],"X"))</f>
        <v/>
      </c>
      <c r="V810" s="47"/>
      <c r="W81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10" s="47"/>
      <c r="Y810" s="47"/>
      <c r="Z810" s="44" t="str">
        <f ca="1">IF(AND(Tableau1[[#This Row],[Charge]]&lt;&gt;0, Tableau1[[#This Row],[Nombre intervenants]]&lt;&gt;0,Tableau1[[#This Row],[Lien document]]&lt;&gt;0,Tableau1[[#This Row],[DMS_SAP]]&lt;&gt;0)=TRUE,"MIS A JOUR","")</f>
        <v/>
      </c>
      <c r="AA810" s="48"/>
      <c r="AB810" s="65" t="str">
        <f ca="1">IF(Tableau1[[#This Row],[Date rév.]]&lt;&gt;"", DAYS360(Tableau1[[#This Row],[Date rév.]],TODAY()),"")</f>
        <v/>
      </c>
      <c r="AC810" s="50" t="str">
        <f>IFERROR(INDEX(Chemin_accès!$B$11:$C$22,MATCH(Tableau1[[#This Row],[Type]],Chemin_accès!$C$11:$C$22,0),1),Chemin_accès!$B$11)</f>
        <v>\\stjn.local\trimet\Btechnique\Commun\Atelier Central mécanique\Plan entretien\Modèles préventif\GammeDMS_7.MENG.xlsm</v>
      </c>
      <c r="AD810" s="50" t="str">
        <f>Chemin_accès!$B$8&amp;Tableau1[[#This Row],[Localisation / Classement]]&amp;"\"&amp;Tableau1[[#This Row],[Poste technique ou N° d''équipement]]&amp;"_"&amp;Tableau1[[#This Row],[Plan Entretien]]&amp;".xlsm"</f>
        <v>\\stjn.local\trimet\Btechnique\Commun\Atelier Central mécanique\Plan entretien\GammeEntretien\\_.xlsm</v>
      </c>
    </row>
    <row r="811" spans="1:30" x14ac:dyDescent="0.3">
      <c r="A811" s="44" t="str">
        <f t="shared" ca="1" si="12"/>
        <v>7.MENG</v>
      </c>
      <c r="B81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11" s="47"/>
      <c r="D811" s="44"/>
      <c r="E811" s="44"/>
      <c r="F811" s="47"/>
      <c r="G811" s="47"/>
      <c r="H811" s="45"/>
      <c r="I811" s="45"/>
      <c r="J811" s="45"/>
      <c r="K811" s="45"/>
      <c r="L811" s="46"/>
      <c r="M811" s="47"/>
      <c r="N811" s="47"/>
      <c r="O811" s="47"/>
      <c r="P811" s="47"/>
      <c r="Q811" s="47"/>
      <c r="R811" s="47"/>
      <c r="S811" s="48"/>
      <c r="T811" s="68" t="str">
        <f>IF(Tableau1[[#This Row],[DMS_SAP]]="","",HYPERLINK(Tableau1[[#This Row],[Chemin fichier source]],"X"))</f>
        <v/>
      </c>
      <c r="U811" s="68" t="str">
        <f>IF(Tableau1[[#This Row],[Date rév.]]="","",HYPERLINK(Tableau1[[#This Row],[Lien document]],"X"))</f>
        <v/>
      </c>
      <c r="V811" s="47"/>
      <c r="W81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11" s="47"/>
      <c r="Y811" s="47"/>
      <c r="Z811" s="44" t="str">
        <f ca="1">IF(AND(Tableau1[[#This Row],[Charge]]&lt;&gt;0, Tableau1[[#This Row],[Nombre intervenants]]&lt;&gt;0,Tableau1[[#This Row],[Lien document]]&lt;&gt;0,Tableau1[[#This Row],[DMS_SAP]]&lt;&gt;0)=TRUE,"MIS A JOUR","")</f>
        <v/>
      </c>
      <c r="AA811" s="48"/>
      <c r="AB811" s="65" t="str">
        <f ca="1">IF(Tableau1[[#This Row],[Date rév.]]&lt;&gt;"", DAYS360(Tableau1[[#This Row],[Date rév.]],TODAY()),"")</f>
        <v/>
      </c>
      <c r="AC811" s="50" t="str">
        <f>IFERROR(INDEX(Chemin_accès!$B$11:$C$22,MATCH(Tableau1[[#This Row],[Type]],Chemin_accès!$C$11:$C$22,0),1),Chemin_accès!$B$11)</f>
        <v>\\stjn.local\trimet\Btechnique\Commun\Atelier Central mécanique\Plan entretien\Modèles préventif\GammeDMS_7.MENG.xlsm</v>
      </c>
      <c r="AD811" s="50" t="str">
        <f>Chemin_accès!$B$8&amp;Tableau1[[#This Row],[Localisation / Classement]]&amp;"\"&amp;Tableau1[[#This Row],[Poste technique ou N° d''équipement]]&amp;"_"&amp;Tableau1[[#This Row],[Plan Entretien]]&amp;".xlsm"</f>
        <v>\\stjn.local\trimet\Btechnique\Commun\Atelier Central mécanique\Plan entretien\GammeEntretien\\_.xlsm</v>
      </c>
    </row>
    <row r="812" spans="1:30" x14ac:dyDescent="0.3">
      <c r="A812" s="44" t="str">
        <f t="shared" ca="1" si="12"/>
        <v>7.MENG</v>
      </c>
      <c r="B81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12" s="47"/>
      <c r="D812" s="44"/>
      <c r="E812" s="44"/>
      <c r="F812" s="47"/>
      <c r="G812" s="47"/>
      <c r="H812" s="45"/>
      <c r="I812" s="45"/>
      <c r="J812" s="45"/>
      <c r="K812" s="45"/>
      <c r="L812" s="46"/>
      <c r="M812" s="47"/>
      <c r="N812" s="47"/>
      <c r="O812" s="47"/>
      <c r="P812" s="47"/>
      <c r="Q812" s="47"/>
      <c r="R812" s="47"/>
      <c r="S812" s="48"/>
      <c r="T812" s="68" t="str">
        <f>IF(Tableau1[[#This Row],[DMS_SAP]]="","",HYPERLINK(Tableau1[[#This Row],[Chemin fichier source]],"X"))</f>
        <v/>
      </c>
      <c r="U812" s="68" t="str">
        <f>IF(Tableau1[[#This Row],[Date rév.]]="","",HYPERLINK(Tableau1[[#This Row],[Lien document]],"X"))</f>
        <v/>
      </c>
      <c r="V812" s="47"/>
      <c r="W81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12" s="47"/>
      <c r="Y812" s="47"/>
      <c r="Z812" s="44" t="str">
        <f ca="1">IF(AND(Tableau1[[#This Row],[Charge]]&lt;&gt;0, Tableau1[[#This Row],[Nombre intervenants]]&lt;&gt;0,Tableau1[[#This Row],[Lien document]]&lt;&gt;0,Tableau1[[#This Row],[DMS_SAP]]&lt;&gt;0)=TRUE,"MIS A JOUR","")</f>
        <v/>
      </c>
      <c r="AA812" s="48"/>
      <c r="AB812" s="65" t="str">
        <f ca="1">IF(Tableau1[[#This Row],[Date rév.]]&lt;&gt;"", DAYS360(Tableau1[[#This Row],[Date rév.]],TODAY()),"")</f>
        <v/>
      </c>
      <c r="AC812" s="50" t="str">
        <f>IFERROR(INDEX(Chemin_accès!$B$11:$C$22,MATCH(Tableau1[[#This Row],[Type]],Chemin_accès!$C$11:$C$22,0),1),Chemin_accès!$B$11)</f>
        <v>\\stjn.local\trimet\Btechnique\Commun\Atelier Central mécanique\Plan entretien\Modèles préventif\GammeDMS_7.MENG.xlsm</v>
      </c>
      <c r="AD812" s="50" t="str">
        <f>Chemin_accès!$B$8&amp;Tableau1[[#This Row],[Localisation / Classement]]&amp;"\"&amp;Tableau1[[#This Row],[Poste technique ou N° d''équipement]]&amp;"_"&amp;Tableau1[[#This Row],[Plan Entretien]]&amp;".xlsm"</f>
        <v>\\stjn.local\trimet\Btechnique\Commun\Atelier Central mécanique\Plan entretien\GammeEntretien\\_.xlsm</v>
      </c>
    </row>
    <row r="813" spans="1:30" x14ac:dyDescent="0.3">
      <c r="A813" s="44" t="str">
        <f t="shared" ca="1" si="12"/>
        <v>7.MENG</v>
      </c>
      <c r="B81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13" s="47"/>
      <c r="D813" s="44"/>
      <c r="E813" s="44"/>
      <c r="F813" s="47"/>
      <c r="G813" s="47"/>
      <c r="H813" s="45"/>
      <c r="I813" s="45"/>
      <c r="J813" s="45"/>
      <c r="K813" s="45"/>
      <c r="L813" s="46"/>
      <c r="M813" s="47"/>
      <c r="N813" s="47"/>
      <c r="O813" s="47"/>
      <c r="P813" s="47"/>
      <c r="Q813" s="47"/>
      <c r="R813" s="47"/>
      <c r="S813" s="48"/>
      <c r="T813" s="68" t="str">
        <f>IF(Tableau1[[#This Row],[DMS_SAP]]="","",HYPERLINK(Tableau1[[#This Row],[Chemin fichier source]],"X"))</f>
        <v/>
      </c>
      <c r="U813" s="68" t="str">
        <f>IF(Tableau1[[#This Row],[Date rév.]]="","",HYPERLINK(Tableau1[[#This Row],[Lien document]],"X"))</f>
        <v/>
      </c>
      <c r="V813" s="47"/>
      <c r="W81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13" s="47"/>
      <c r="Y813" s="47"/>
      <c r="Z813" s="44" t="str">
        <f ca="1">IF(AND(Tableau1[[#This Row],[Charge]]&lt;&gt;0, Tableau1[[#This Row],[Nombre intervenants]]&lt;&gt;0,Tableau1[[#This Row],[Lien document]]&lt;&gt;0,Tableau1[[#This Row],[DMS_SAP]]&lt;&gt;0)=TRUE,"MIS A JOUR","")</f>
        <v/>
      </c>
      <c r="AA813" s="48"/>
      <c r="AB813" s="65" t="str">
        <f ca="1">IF(Tableau1[[#This Row],[Date rév.]]&lt;&gt;"", DAYS360(Tableau1[[#This Row],[Date rév.]],TODAY()),"")</f>
        <v/>
      </c>
      <c r="AC813" s="50" t="str">
        <f>IFERROR(INDEX(Chemin_accès!$B$11:$C$22,MATCH(Tableau1[[#This Row],[Type]],Chemin_accès!$C$11:$C$22,0),1),Chemin_accès!$B$11)</f>
        <v>\\stjn.local\trimet\Btechnique\Commun\Atelier Central mécanique\Plan entretien\Modèles préventif\GammeDMS_7.MENG.xlsm</v>
      </c>
      <c r="AD813" s="50" t="str">
        <f>Chemin_accès!$B$8&amp;Tableau1[[#This Row],[Localisation / Classement]]&amp;"\"&amp;Tableau1[[#This Row],[Poste technique ou N° d''équipement]]&amp;"_"&amp;Tableau1[[#This Row],[Plan Entretien]]&amp;".xlsm"</f>
        <v>\\stjn.local\trimet\Btechnique\Commun\Atelier Central mécanique\Plan entretien\GammeEntretien\\_.xlsm</v>
      </c>
    </row>
    <row r="814" spans="1:30" x14ac:dyDescent="0.3">
      <c r="A814" s="44" t="str">
        <f t="shared" ca="1" si="12"/>
        <v>7.MENG</v>
      </c>
      <c r="B81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14" s="47"/>
      <c r="D814" s="44"/>
      <c r="E814" s="44"/>
      <c r="F814" s="47"/>
      <c r="G814" s="47"/>
      <c r="H814" s="45"/>
      <c r="I814" s="45"/>
      <c r="J814" s="45"/>
      <c r="K814" s="45"/>
      <c r="L814" s="46"/>
      <c r="M814" s="47"/>
      <c r="N814" s="47"/>
      <c r="O814" s="47"/>
      <c r="P814" s="47"/>
      <c r="Q814" s="47"/>
      <c r="R814" s="47"/>
      <c r="S814" s="48"/>
      <c r="T814" s="68" t="str">
        <f>IF(Tableau1[[#This Row],[DMS_SAP]]="","",HYPERLINK(Tableau1[[#This Row],[Chemin fichier source]],"X"))</f>
        <v/>
      </c>
      <c r="U814" s="68" t="str">
        <f>IF(Tableau1[[#This Row],[Date rév.]]="","",HYPERLINK(Tableau1[[#This Row],[Lien document]],"X"))</f>
        <v/>
      </c>
      <c r="V814" s="47"/>
      <c r="W81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14" s="47"/>
      <c r="Y814" s="47"/>
      <c r="Z814" s="44" t="str">
        <f ca="1">IF(AND(Tableau1[[#This Row],[Charge]]&lt;&gt;0, Tableau1[[#This Row],[Nombre intervenants]]&lt;&gt;0,Tableau1[[#This Row],[Lien document]]&lt;&gt;0,Tableau1[[#This Row],[DMS_SAP]]&lt;&gt;0)=TRUE,"MIS A JOUR","")</f>
        <v/>
      </c>
      <c r="AA814" s="48"/>
      <c r="AB814" s="65" t="str">
        <f ca="1">IF(Tableau1[[#This Row],[Date rév.]]&lt;&gt;"", DAYS360(Tableau1[[#This Row],[Date rév.]],TODAY()),"")</f>
        <v/>
      </c>
      <c r="AC814" s="50" t="str">
        <f>IFERROR(INDEX(Chemin_accès!$B$11:$C$22,MATCH(Tableau1[[#This Row],[Type]],Chemin_accès!$C$11:$C$22,0),1),Chemin_accès!$B$11)</f>
        <v>\\stjn.local\trimet\Btechnique\Commun\Atelier Central mécanique\Plan entretien\Modèles préventif\GammeDMS_7.MENG.xlsm</v>
      </c>
      <c r="AD814" s="50" t="str">
        <f>Chemin_accès!$B$8&amp;Tableau1[[#This Row],[Localisation / Classement]]&amp;"\"&amp;Tableau1[[#This Row],[Poste technique ou N° d''équipement]]&amp;"_"&amp;Tableau1[[#This Row],[Plan Entretien]]&amp;".xlsm"</f>
        <v>\\stjn.local\trimet\Btechnique\Commun\Atelier Central mécanique\Plan entretien\GammeEntretien\\_.xlsm</v>
      </c>
    </row>
    <row r="815" spans="1:30" x14ac:dyDescent="0.3">
      <c r="A815" s="44" t="str">
        <f t="shared" ca="1" si="12"/>
        <v>7.MENG</v>
      </c>
      <c r="B81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15" s="47"/>
      <c r="D815" s="44"/>
      <c r="E815" s="44"/>
      <c r="F815" s="47"/>
      <c r="G815" s="47"/>
      <c r="H815" s="45"/>
      <c r="I815" s="45"/>
      <c r="J815" s="45"/>
      <c r="K815" s="45"/>
      <c r="L815" s="46"/>
      <c r="M815" s="47"/>
      <c r="N815" s="47"/>
      <c r="O815" s="47"/>
      <c r="P815" s="47"/>
      <c r="Q815" s="47"/>
      <c r="R815" s="47"/>
      <c r="S815" s="48"/>
      <c r="T815" s="68" t="str">
        <f>IF(Tableau1[[#This Row],[DMS_SAP]]="","",HYPERLINK(Tableau1[[#This Row],[Chemin fichier source]],"X"))</f>
        <v/>
      </c>
      <c r="U815" s="68" t="str">
        <f>IF(Tableau1[[#This Row],[Date rév.]]="","",HYPERLINK(Tableau1[[#This Row],[Lien document]],"X"))</f>
        <v/>
      </c>
      <c r="V815" s="47"/>
      <c r="W81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15" s="47"/>
      <c r="Y815" s="47"/>
      <c r="Z815" s="44" t="str">
        <f ca="1">IF(AND(Tableau1[[#This Row],[Charge]]&lt;&gt;0, Tableau1[[#This Row],[Nombre intervenants]]&lt;&gt;0,Tableau1[[#This Row],[Lien document]]&lt;&gt;0,Tableau1[[#This Row],[DMS_SAP]]&lt;&gt;0)=TRUE,"MIS A JOUR","")</f>
        <v/>
      </c>
      <c r="AA815" s="48"/>
      <c r="AB815" s="65" t="str">
        <f ca="1">IF(Tableau1[[#This Row],[Date rév.]]&lt;&gt;"", DAYS360(Tableau1[[#This Row],[Date rév.]],TODAY()),"")</f>
        <v/>
      </c>
      <c r="AC815" s="50" t="str">
        <f>IFERROR(INDEX(Chemin_accès!$B$11:$C$22,MATCH(Tableau1[[#This Row],[Type]],Chemin_accès!$C$11:$C$22,0),1),Chemin_accès!$B$11)</f>
        <v>\\stjn.local\trimet\Btechnique\Commun\Atelier Central mécanique\Plan entretien\Modèles préventif\GammeDMS_7.MENG.xlsm</v>
      </c>
      <c r="AD815" s="50" t="str">
        <f>Chemin_accès!$B$8&amp;Tableau1[[#This Row],[Localisation / Classement]]&amp;"\"&amp;Tableau1[[#This Row],[Poste technique ou N° d''équipement]]&amp;"_"&amp;Tableau1[[#This Row],[Plan Entretien]]&amp;".xlsm"</f>
        <v>\\stjn.local\trimet\Btechnique\Commun\Atelier Central mécanique\Plan entretien\GammeEntretien\\_.xlsm</v>
      </c>
    </row>
    <row r="816" spans="1:30" x14ac:dyDescent="0.3">
      <c r="A816" s="44" t="str">
        <f t="shared" ca="1" si="12"/>
        <v>7.MENG</v>
      </c>
      <c r="B81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16" s="47"/>
      <c r="D816" s="44"/>
      <c r="E816" s="44"/>
      <c r="F816" s="47"/>
      <c r="G816" s="47"/>
      <c r="H816" s="45"/>
      <c r="I816" s="45"/>
      <c r="J816" s="45"/>
      <c r="K816" s="45"/>
      <c r="L816" s="46"/>
      <c r="M816" s="47"/>
      <c r="N816" s="47"/>
      <c r="O816" s="47"/>
      <c r="P816" s="47"/>
      <c r="Q816" s="47"/>
      <c r="R816" s="47"/>
      <c r="S816" s="48"/>
      <c r="T816" s="68" t="str">
        <f>IF(Tableau1[[#This Row],[DMS_SAP]]="","",HYPERLINK(Tableau1[[#This Row],[Chemin fichier source]],"X"))</f>
        <v/>
      </c>
      <c r="U816" s="68" t="str">
        <f>IF(Tableau1[[#This Row],[Date rév.]]="","",HYPERLINK(Tableau1[[#This Row],[Lien document]],"X"))</f>
        <v/>
      </c>
      <c r="V816" s="47"/>
      <c r="W81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16" s="47"/>
      <c r="Y816" s="47"/>
      <c r="Z816" s="44" t="str">
        <f ca="1">IF(AND(Tableau1[[#This Row],[Charge]]&lt;&gt;0, Tableau1[[#This Row],[Nombre intervenants]]&lt;&gt;0,Tableau1[[#This Row],[Lien document]]&lt;&gt;0,Tableau1[[#This Row],[DMS_SAP]]&lt;&gt;0)=TRUE,"MIS A JOUR","")</f>
        <v/>
      </c>
      <c r="AA816" s="48"/>
      <c r="AB816" s="65" t="str">
        <f ca="1">IF(Tableau1[[#This Row],[Date rév.]]&lt;&gt;"", DAYS360(Tableau1[[#This Row],[Date rév.]],TODAY()),"")</f>
        <v/>
      </c>
      <c r="AC816" s="50" t="str">
        <f>IFERROR(INDEX(Chemin_accès!$B$11:$C$22,MATCH(Tableau1[[#This Row],[Type]],Chemin_accès!$C$11:$C$22,0),1),Chemin_accès!$B$11)</f>
        <v>\\stjn.local\trimet\Btechnique\Commun\Atelier Central mécanique\Plan entretien\Modèles préventif\GammeDMS_7.MENG.xlsm</v>
      </c>
      <c r="AD816" s="50" t="str">
        <f>Chemin_accès!$B$8&amp;Tableau1[[#This Row],[Localisation / Classement]]&amp;"\"&amp;Tableau1[[#This Row],[Poste technique ou N° d''équipement]]&amp;"_"&amp;Tableau1[[#This Row],[Plan Entretien]]&amp;".xlsm"</f>
        <v>\\stjn.local\trimet\Btechnique\Commun\Atelier Central mécanique\Plan entretien\GammeEntretien\\_.xlsm</v>
      </c>
    </row>
    <row r="817" spans="1:30" x14ac:dyDescent="0.3">
      <c r="A817" s="44" t="str">
        <f t="shared" ca="1" si="12"/>
        <v>7.MENG</v>
      </c>
      <c r="B81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17" s="47"/>
      <c r="D817" s="44"/>
      <c r="E817" s="44"/>
      <c r="F817" s="47"/>
      <c r="G817" s="47"/>
      <c r="H817" s="45"/>
      <c r="I817" s="45"/>
      <c r="J817" s="45"/>
      <c r="K817" s="45"/>
      <c r="L817" s="46"/>
      <c r="M817" s="47"/>
      <c r="N817" s="47"/>
      <c r="O817" s="47"/>
      <c r="P817" s="47"/>
      <c r="Q817" s="47"/>
      <c r="R817" s="47"/>
      <c r="S817" s="48"/>
      <c r="T817" s="68" t="str">
        <f>IF(Tableau1[[#This Row],[DMS_SAP]]="","",HYPERLINK(Tableau1[[#This Row],[Chemin fichier source]],"X"))</f>
        <v/>
      </c>
      <c r="U817" s="68" t="str">
        <f>IF(Tableau1[[#This Row],[Date rév.]]="","",HYPERLINK(Tableau1[[#This Row],[Lien document]],"X"))</f>
        <v/>
      </c>
      <c r="V817" s="47"/>
      <c r="W81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17" s="47"/>
      <c r="Y817" s="47"/>
      <c r="Z817" s="44" t="str">
        <f ca="1">IF(AND(Tableau1[[#This Row],[Charge]]&lt;&gt;0, Tableau1[[#This Row],[Nombre intervenants]]&lt;&gt;0,Tableau1[[#This Row],[Lien document]]&lt;&gt;0,Tableau1[[#This Row],[DMS_SAP]]&lt;&gt;0)=TRUE,"MIS A JOUR","")</f>
        <v/>
      </c>
      <c r="AA817" s="48"/>
      <c r="AB817" s="65" t="str">
        <f ca="1">IF(Tableau1[[#This Row],[Date rév.]]&lt;&gt;"", DAYS360(Tableau1[[#This Row],[Date rév.]],TODAY()),"")</f>
        <v/>
      </c>
      <c r="AC817" s="50" t="str">
        <f>IFERROR(INDEX(Chemin_accès!$B$11:$C$22,MATCH(Tableau1[[#This Row],[Type]],Chemin_accès!$C$11:$C$22,0),1),Chemin_accès!$B$11)</f>
        <v>\\stjn.local\trimet\Btechnique\Commun\Atelier Central mécanique\Plan entretien\Modèles préventif\GammeDMS_7.MENG.xlsm</v>
      </c>
      <c r="AD817" s="50" t="str">
        <f>Chemin_accès!$B$8&amp;Tableau1[[#This Row],[Localisation / Classement]]&amp;"\"&amp;Tableau1[[#This Row],[Poste technique ou N° d''équipement]]&amp;"_"&amp;Tableau1[[#This Row],[Plan Entretien]]&amp;".xlsm"</f>
        <v>\\stjn.local\trimet\Btechnique\Commun\Atelier Central mécanique\Plan entretien\GammeEntretien\\_.xlsm</v>
      </c>
    </row>
    <row r="818" spans="1:30" x14ac:dyDescent="0.3">
      <c r="A818" s="44" t="str">
        <f t="shared" ca="1" si="12"/>
        <v>7.MENG</v>
      </c>
      <c r="B81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18" s="47"/>
      <c r="D818" s="44"/>
      <c r="E818" s="44"/>
      <c r="F818" s="47"/>
      <c r="G818" s="47"/>
      <c r="H818" s="45"/>
      <c r="I818" s="45"/>
      <c r="J818" s="45"/>
      <c r="K818" s="45"/>
      <c r="L818" s="46"/>
      <c r="M818" s="47"/>
      <c r="N818" s="47"/>
      <c r="O818" s="47"/>
      <c r="P818" s="47"/>
      <c r="Q818" s="47"/>
      <c r="R818" s="47"/>
      <c r="S818" s="48"/>
      <c r="T818" s="68" t="str">
        <f>IF(Tableau1[[#This Row],[DMS_SAP]]="","",HYPERLINK(Tableau1[[#This Row],[Chemin fichier source]],"X"))</f>
        <v/>
      </c>
      <c r="U818" s="68" t="str">
        <f>IF(Tableau1[[#This Row],[Date rév.]]="","",HYPERLINK(Tableau1[[#This Row],[Lien document]],"X"))</f>
        <v/>
      </c>
      <c r="V818" s="47"/>
      <c r="W81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18" s="47"/>
      <c r="Y818" s="47"/>
      <c r="Z818" s="44" t="str">
        <f ca="1">IF(AND(Tableau1[[#This Row],[Charge]]&lt;&gt;0, Tableau1[[#This Row],[Nombre intervenants]]&lt;&gt;0,Tableau1[[#This Row],[Lien document]]&lt;&gt;0,Tableau1[[#This Row],[DMS_SAP]]&lt;&gt;0)=TRUE,"MIS A JOUR","")</f>
        <v/>
      </c>
      <c r="AA818" s="48"/>
      <c r="AB818" s="65" t="str">
        <f ca="1">IF(Tableau1[[#This Row],[Date rév.]]&lt;&gt;"", DAYS360(Tableau1[[#This Row],[Date rév.]],TODAY()),"")</f>
        <v/>
      </c>
      <c r="AC818" s="50" t="str">
        <f>IFERROR(INDEX(Chemin_accès!$B$11:$C$22,MATCH(Tableau1[[#This Row],[Type]],Chemin_accès!$C$11:$C$22,0),1),Chemin_accès!$B$11)</f>
        <v>\\stjn.local\trimet\Btechnique\Commun\Atelier Central mécanique\Plan entretien\Modèles préventif\GammeDMS_7.MENG.xlsm</v>
      </c>
      <c r="AD818" s="50" t="str">
        <f>Chemin_accès!$B$8&amp;Tableau1[[#This Row],[Localisation / Classement]]&amp;"\"&amp;Tableau1[[#This Row],[Poste technique ou N° d''équipement]]&amp;"_"&amp;Tableau1[[#This Row],[Plan Entretien]]&amp;".xlsm"</f>
        <v>\\stjn.local\trimet\Btechnique\Commun\Atelier Central mécanique\Plan entretien\GammeEntretien\\_.xlsm</v>
      </c>
    </row>
    <row r="819" spans="1:30" x14ac:dyDescent="0.3">
      <c r="A819" s="44" t="str">
        <f t="shared" ca="1" si="12"/>
        <v>7.MENG</v>
      </c>
      <c r="B81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19" s="47"/>
      <c r="D819" s="44"/>
      <c r="E819" s="44"/>
      <c r="F819" s="47"/>
      <c r="G819" s="47"/>
      <c r="H819" s="45"/>
      <c r="I819" s="45"/>
      <c r="J819" s="45"/>
      <c r="K819" s="45"/>
      <c r="L819" s="46"/>
      <c r="M819" s="47"/>
      <c r="N819" s="47"/>
      <c r="O819" s="47"/>
      <c r="P819" s="47"/>
      <c r="Q819" s="47"/>
      <c r="R819" s="47"/>
      <c r="S819" s="48"/>
      <c r="T819" s="68" t="str">
        <f>IF(Tableau1[[#This Row],[DMS_SAP]]="","",HYPERLINK(Tableau1[[#This Row],[Chemin fichier source]],"X"))</f>
        <v/>
      </c>
      <c r="U819" s="68" t="str">
        <f>IF(Tableau1[[#This Row],[Date rév.]]="","",HYPERLINK(Tableau1[[#This Row],[Lien document]],"X"))</f>
        <v/>
      </c>
      <c r="V819" s="47"/>
      <c r="W81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19" s="47"/>
      <c r="Y819" s="47"/>
      <c r="Z819" s="44" t="str">
        <f ca="1">IF(AND(Tableau1[[#This Row],[Charge]]&lt;&gt;0, Tableau1[[#This Row],[Nombre intervenants]]&lt;&gt;0,Tableau1[[#This Row],[Lien document]]&lt;&gt;0,Tableau1[[#This Row],[DMS_SAP]]&lt;&gt;0)=TRUE,"MIS A JOUR","")</f>
        <v/>
      </c>
      <c r="AA819" s="48"/>
      <c r="AB819" s="65" t="str">
        <f ca="1">IF(Tableau1[[#This Row],[Date rév.]]&lt;&gt;"", DAYS360(Tableau1[[#This Row],[Date rév.]],TODAY()),"")</f>
        <v/>
      </c>
      <c r="AC819" s="50" t="str">
        <f>IFERROR(INDEX(Chemin_accès!$B$11:$C$22,MATCH(Tableau1[[#This Row],[Type]],Chemin_accès!$C$11:$C$22,0),1),Chemin_accès!$B$11)</f>
        <v>\\stjn.local\trimet\Btechnique\Commun\Atelier Central mécanique\Plan entretien\Modèles préventif\GammeDMS_7.MENG.xlsm</v>
      </c>
      <c r="AD819" s="50" t="str">
        <f>Chemin_accès!$B$8&amp;Tableau1[[#This Row],[Localisation / Classement]]&amp;"\"&amp;Tableau1[[#This Row],[Poste technique ou N° d''équipement]]&amp;"_"&amp;Tableau1[[#This Row],[Plan Entretien]]&amp;".xlsm"</f>
        <v>\\stjn.local\trimet\Btechnique\Commun\Atelier Central mécanique\Plan entretien\GammeEntretien\\_.xlsm</v>
      </c>
    </row>
    <row r="820" spans="1:30" x14ac:dyDescent="0.3">
      <c r="A820" s="44" t="str">
        <f t="shared" ca="1" si="12"/>
        <v>7.MENG</v>
      </c>
      <c r="B82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20" s="47"/>
      <c r="D820" s="44"/>
      <c r="E820" s="44"/>
      <c r="F820" s="47"/>
      <c r="G820" s="47"/>
      <c r="H820" s="45"/>
      <c r="I820" s="45"/>
      <c r="J820" s="45"/>
      <c r="K820" s="45"/>
      <c r="L820" s="46"/>
      <c r="M820" s="47"/>
      <c r="N820" s="47"/>
      <c r="O820" s="47"/>
      <c r="P820" s="47"/>
      <c r="Q820" s="47"/>
      <c r="R820" s="47"/>
      <c r="S820" s="48"/>
      <c r="T820" s="68" t="str">
        <f>IF(Tableau1[[#This Row],[DMS_SAP]]="","",HYPERLINK(Tableau1[[#This Row],[Chemin fichier source]],"X"))</f>
        <v/>
      </c>
      <c r="U820" s="68" t="str">
        <f>IF(Tableau1[[#This Row],[Date rév.]]="","",HYPERLINK(Tableau1[[#This Row],[Lien document]],"X"))</f>
        <v/>
      </c>
      <c r="V820" s="47"/>
      <c r="W82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20" s="47"/>
      <c r="Y820" s="47"/>
      <c r="Z820" s="44" t="str">
        <f ca="1">IF(AND(Tableau1[[#This Row],[Charge]]&lt;&gt;0, Tableau1[[#This Row],[Nombre intervenants]]&lt;&gt;0,Tableau1[[#This Row],[Lien document]]&lt;&gt;0,Tableau1[[#This Row],[DMS_SAP]]&lt;&gt;0)=TRUE,"MIS A JOUR","")</f>
        <v/>
      </c>
      <c r="AA820" s="48"/>
      <c r="AB820" s="65" t="str">
        <f ca="1">IF(Tableau1[[#This Row],[Date rév.]]&lt;&gt;"", DAYS360(Tableau1[[#This Row],[Date rév.]],TODAY()),"")</f>
        <v/>
      </c>
      <c r="AC820" s="50" t="str">
        <f>IFERROR(INDEX(Chemin_accès!$B$11:$C$22,MATCH(Tableau1[[#This Row],[Type]],Chemin_accès!$C$11:$C$22,0),1),Chemin_accès!$B$11)</f>
        <v>\\stjn.local\trimet\Btechnique\Commun\Atelier Central mécanique\Plan entretien\Modèles préventif\GammeDMS_7.MENG.xlsm</v>
      </c>
      <c r="AD820" s="50" t="str">
        <f>Chemin_accès!$B$8&amp;Tableau1[[#This Row],[Localisation / Classement]]&amp;"\"&amp;Tableau1[[#This Row],[Poste technique ou N° d''équipement]]&amp;"_"&amp;Tableau1[[#This Row],[Plan Entretien]]&amp;".xlsm"</f>
        <v>\\stjn.local\trimet\Btechnique\Commun\Atelier Central mécanique\Plan entretien\GammeEntretien\\_.xlsm</v>
      </c>
    </row>
    <row r="821" spans="1:30" x14ac:dyDescent="0.3">
      <c r="A821" s="44" t="str">
        <f t="shared" ca="1" si="12"/>
        <v>7.MENG</v>
      </c>
      <c r="B82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21" s="47"/>
      <c r="D821" s="44"/>
      <c r="E821" s="44"/>
      <c r="F821" s="47"/>
      <c r="G821" s="47"/>
      <c r="H821" s="45"/>
      <c r="I821" s="45"/>
      <c r="J821" s="45"/>
      <c r="K821" s="45"/>
      <c r="L821" s="46"/>
      <c r="M821" s="47"/>
      <c r="N821" s="47"/>
      <c r="O821" s="47"/>
      <c r="P821" s="47"/>
      <c r="Q821" s="47"/>
      <c r="R821" s="47"/>
      <c r="S821" s="48"/>
      <c r="T821" s="68" t="str">
        <f>IF(Tableau1[[#This Row],[DMS_SAP]]="","",HYPERLINK(Tableau1[[#This Row],[Chemin fichier source]],"X"))</f>
        <v/>
      </c>
      <c r="U821" s="68" t="str">
        <f>IF(Tableau1[[#This Row],[Date rév.]]="","",HYPERLINK(Tableau1[[#This Row],[Lien document]],"X"))</f>
        <v/>
      </c>
      <c r="V821" s="47"/>
      <c r="W82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21" s="47"/>
      <c r="Y821" s="47"/>
      <c r="Z821" s="44" t="str">
        <f ca="1">IF(AND(Tableau1[[#This Row],[Charge]]&lt;&gt;0, Tableau1[[#This Row],[Nombre intervenants]]&lt;&gt;0,Tableau1[[#This Row],[Lien document]]&lt;&gt;0,Tableau1[[#This Row],[DMS_SAP]]&lt;&gt;0)=TRUE,"MIS A JOUR","")</f>
        <v/>
      </c>
      <c r="AA821" s="48"/>
      <c r="AB821" s="65" t="str">
        <f ca="1">IF(Tableau1[[#This Row],[Date rév.]]&lt;&gt;"", DAYS360(Tableau1[[#This Row],[Date rév.]],TODAY()),"")</f>
        <v/>
      </c>
      <c r="AC821" s="50" t="str">
        <f>IFERROR(INDEX(Chemin_accès!$B$11:$C$22,MATCH(Tableau1[[#This Row],[Type]],Chemin_accès!$C$11:$C$22,0),1),Chemin_accès!$B$11)</f>
        <v>\\stjn.local\trimet\Btechnique\Commun\Atelier Central mécanique\Plan entretien\Modèles préventif\GammeDMS_7.MENG.xlsm</v>
      </c>
      <c r="AD821" s="50" t="str">
        <f>Chemin_accès!$B$8&amp;Tableau1[[#This Row],[Localisation / Classement]]&amp;"\"&amp;Tableau1[[#This Row],[Poste technique ou N° d''équipement]]&amp;"_"&amp;Tableau1[[#This Row],[Plan Entretien]]&amp;".xlsm"</f>
        <v>\\stjn.local\trimet\Btechnique\Commun\Atelier Central mécanique\Plan entretien\GammeEntretien\\_.xlsm</v>
      </c>
    </row>
    <row r="822" spans="1:30" x14ac:dyDescent="0.3">
      <c r="A822" s="44" t="str">
        <f t="shared" ca="1" si="12"/>
        <v>7.MENG</v>
      </c>
      <c r="B82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22" s="47"/>
      <c r="D822" s="44"/>
      <c r="E822" s="44"/>
      <c r="F822" s="47"/>
      <c r="G822" s="47"/>
      <c r="H822" s="45"/>
      <c r="I822" s="45"/>
      <c r="J822" s="45"/>
      <c r="K822" s="45"/>
      <c r="L822" s="46"/>
      <c r="M822" s="47"/>
      <c r="N822" s="47"/>
      <c r="O822" s="47"/>
      <c r="P822" s="47"/>
      <c r="Q822" s="47"/>
      <c r="R822" s="47"/>
      <c r="S822" s="48"/>
      <c r="T822" s="68" t="str">
        <f>IF(Tableau1[[#This Row],[DMS_SAP]]="","",HYPERLINK(Tableau1[[#This Row],[Chemin fichier source]],"X"))</f>
        <v/>
      </c>
      <c r="U822" s="68" t="str">
        <f>IF(Tableau1[[#This Row],[Date rév.]]="","",HYPERLINK(Tableau1[[#This Row],[Lien document]],"X"))</f>
        <v/>
      </c>
      <c r="V822" s="47"/>
      <c r="W82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22" s="47"/>
      <c r="Y822" s="47"/>
      <c r="Z822" s="44" t="str">
        <f ca="1">IF(AND(Tableau1[[#This Row],[Charge]]&lt;&gt;0, Tableau1[[#This Row],[Nombre intervenants]]&lt;&gt;0,Tableau1[[#This Row],[Lien document]]&lt;&gt;0,Tableau1[[#This Row],[DMS_SAP]]&lt;&gt;0)=TRUE,"MIS A JOUR","")</f>
        <v/>
      </c>
      <c r="AA822" s="48"/>
      <c r="AB822" s="65" t="str">
        <f ca="1">IF(Tableau1[[#This Row],[Date rév.]]&lt;&gt;"", DAYS360(Tableau1[[#This Row],[Date rév.]],TODAY()),"")</f>
        <v/>
      </c>
      <c r="AC822" s="50" t="str">
        <f>IFERROR(INDEX(Chemin_accès!$B$11:$C$22,MATCH(Tableau1[[#This Row],[Type]],Chemin_accès!$C$11:$C$22,0),1),Chemin_accès!$B$11)</f>
        <v>\\stjn.local\trimet\Btechnique\Commun\Atelier Central mécanique\Plan entretien\Modèles préventif\GammeDMS_7.MENG.xlsm</v>
      </c>
      <c r="AD822" s="50" t="str">
        <f>Chemin_accès!$B$8&amp;Tableau1[[#This Row],[Localisation / Classement]]&amp;"\"&amp;Tableau1[[#This Row],[Poste technique ou N° d''équipement]]&amp;"_"&amp;Tableau1[[#This Row],[Plan Entretien]]&amp;".xlsm"</f>
        <v>\\stjn.local\trimet\Btechnique\Commun\Atelier Central mécanique\Plan entretien\GammeEntretien\\_.xlsm</v>
      </c>
    </row>
    <row r="823" spans="1:30" x14ac:dyDescent="0.3">
      <c r="A823" s="44" t="str">
        <f t="shared" ca="1" si="12"/>
        <v>7.MENG</v>
      </c>
      <c r="B82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23" s="47"/>
      <c r="D823" s="44"/>
      <c r="E823" s="44"/>
      <c r="F823" s="47"/>
      <c r="G823" s="47"/>
      <c r="H823" s="45"/>
      <c r="I823" s="45"/>
      <c r="J823" s="45"/>
      <c r="K823" s="45"/>
      <c r="L823" s="46"/>
      <c r="M823" s="47"/>
      <c r="N823" s="47"/>
      <c r="O823" s="47"/>
      <c r="P823" s="47"/>
      <c r="Q823" s="47"/>
      <c r="R823" s="47"/>
      <c r="S823" s="48"/>
      <c r="T823" s="68" t="str">
        <f>IF(Tableau1[[#This Row],[DMS_SAP]]="","",HYPERLINK(Tableau1[[#This Row],[Chemin fichier source]],"X"))</f>
        <v/>
      </c>
      <c r="U823" s="68" t="str">
        <f>IF(Tableau1[[#This Row],[Date rév.]]="","",HYPERLINK(Tableau1[[#This Row],[Lien document]],"X"))</f>
        <v/>
      </c>
      <c r="V823" s="47"/>
      <c r="W82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23" s="47"/>
      <c r="Y823" s="47"/>
      <c r="Z823" s="44" t="str">
        <f ca="1">IF(AND(Tableau1[[#This Row],[Charge]]&lt;&gt;0, Tableau1[[#This Row],[Nombre intervenants]]&lt;&gt;0,Tableau1[[#This Row],[Lien document]]&lt;&gt;0,Tableau1[[#This Row],[DMS_SAP]]&lt;&gt;0)=TRUE,"MIS A JOUR","")</f>
        <v/>
      </c>
      <c r="AA823" s="48"/>
      <c r="AB823" s="65" t="str">
        <f ca="1">IF(Tableau1[[#This Row],[Date rév.]]&lt;&gt;"", DAYS360(Tableau1[[#This Row],[Date rév.]],TODAY()),"")</f>
        <v/>
      </c>
      <c r="AC823" s="50" t="str">
        <f>IFERROR(INDEX(Chemin_accès!$B$11:$C$22,MATCH(Tableau1[[#This Row],[Type]],Chemin_accès!$C$11:$C$22,0),1),Chemin_accès!$B$11)</f>
        <v>\\stjn.local\trimet\Btechnique\Commun\Atelier Central mécanique\Plan entretien\Modèles préventif\GammeDMS_7.MENG.xlsm</v>
      </c>
      <c r="AD823" s="50" t="str">
        <f>Chemin_accès!$B$8&amp;Tableau1[[#This Row],[Localisation / Classement]]&amp;"\"&amp;Tableau1[[#This Row],[Poste technique ou N° d''équipement]]&amp;"_"&amp;Tableau1[[#This Row],[Plan Entretien]]&amp;".xlsm"</f>
        <v>\\stjn.local\trimet\Btechnique\Commun\Atelier Central mécanique\Plan entretien\GammeEntretien\\_.xlsm</v>
      </c>
    </row>
    <row r="824" spans="1:30" x14ac:dyDescent="0.3">
      <c r="A824" s="44" t="str">
        <f t="shared" ca="1" si="12"/>
        <v>7.MENG</v>
      </c>
      <c r="B82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24" s="47"/>
      <c r="D824" s="44"/>
      <c r="E824" s="44"/>
      <c r="F824" s="47"/>
      <c r="G824" s="47"/>
      <c r="H824" s="45"/>
      <c r="I824" s="45"/>
      <c r="J824" s="45"/>
      <c r="K824" s="45"/>
      <c r="L824" s="46"/>
      <c r="M824" s="47"/>
      <c r="N824" s="47"/>
      <c r="O824" s="47"/>
      <c r="P824" s="47"/>
      <c r="Q824" s="47"/>
      <c r="R824" s="47"/>
      <c r="S824" s="48"/>
      <c r="T824" s="68" t="str">
        <f>IF(Tableau1[[#This Row],[DMS_SAP]]="","",HYPERLINK(Tableau1[[#This Row],[Chemin fichier source]],"X"))</f>
        <v/>
      </c>
      <c r="U824" s="68" t="str">
        <f>IF(Tableau1[[#This Row],[Date rév.]]="","",HYPERLINK(Tableau1[[#This Row],[Lien document]],"X"))</f>
        <v/>
      </c>
      <c r="V824" s="47"/>
      <c r="W82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24" s="47"/>
      <c r="Y824" s="47"/>
      <c r="Z824" s="44" t="str">
        <f ca="1">IF(AND(Tableau1[[#This Row],[Charge]]&lt;&gt;0, Tableau1[[#This Row],[Nombre intervenants]]&lt;&gt;0,Tableau1[[#This Row],[Lien document]]&lt;&gt;0,Tableau1[[#This Row],[DMS_SAP]]&lt;&gt;0)=TRUE,"MIS A JOUR","")</f>
        <v/>
      </c>
      <c r="AA824" s="48"/>
      <c r="AB824" s="65" t="str">
        <f ca="1">IF(Tableau1[[#This Row],[Date rév.]]&lt;&gt;"", DAYS360(Tableau1[[#This Row],[Date rév.]],TODAY()),"")</f>
        <v/>
      </c>
      <c r="AC824" s="50" t="str">
        <f>IFERROR(INDEX(Chemin_accès!$B$11:$C$22,MATCH(Tableau1[[#This Row],[Type]],Chemin_accès!$C$11:$C$22,0),1),Chemin_accès!$B$11)</f>
        <v>\\stjn.local\trimet\Btechnique\Commun\Atelier Central mécanique\Plan entretien\Modèles préventif\GammeDMS_7.MENG.xlsm</v>
      </c>
      <c r="AD824" s="50" t="str">
        <f>Chemin_accès!$B$8&amp;Tableau1[[#This Row],[Localisation / Classement]]&amp;"\"&amp;Tableau1[[#This Row],[Poste technique ou N° d''équipement]]&amp;"_"&amp;Tableau1[[#This Row],[Plan Entretien]]&amp;".xlsm"</f>
        <v>\\stjn.local\trimet\Btechnique\Commun\Atelier Central mécanique\Plan entretien\GammeEntretien\\_.xlsm</v>
      </c>
    </row>
    <row r="825" spans="1:30" x14ac:dyDescent="0.3">
      <c r="A825" s="44" t="str">
        <f t="shared" ca="1" si="12"/>
        <v>7.MENG</v>
      </c>
      <c r="B82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25" s="47"/>
      <c r="D825" s="44"/>
      <c r="E825" s="44"/>
      <c r="F825" s="47"/>
      <c r="G825" s="47"/>
      <c r="H825" s="45"/>
      <c r="I825" s="45"/>
      <c r="J825" s="45"/>
      <c r="K825" s="45"/>
      <c r="L825" s="46"/>
      <c r="M825" s="47"/>
      <c r="N825" s="47"/>
      <c r="O825" s="47"/>
      <c r="P825" s="47"/>
      <c r="Q825" s="47"/>
      <c r="R825" s="47"/>
      <c r="S825" s="48"/>
      <c r="T825" s="68" t="str">
        <f>IF(Tableau1[[#This Row],[DMS_SAP]]="","",HYPERLINK(Tableau1[[#This Row],[Chemin fichier source]],"X"))</f>
        <v/>
      </c>
      <c r="U825" s="68" t="str">
        <f>IF(Tableau1[[#This Row],[Date rév.]]="","",HYPERLINK(Tableau1[[#This Row],[Lien document]],"X"))</f>
        <v/>
      </c>
      <c r="V825" s="47"/>
      <c r="W82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25" s="47"/>
      <c r="Y825" s="47"/>
      <c r="Z825" s="44" t="str">
        <f ca="1">IF(AND(Tableau1[[#This Row],[Charge]]&lt;&gt;0, Tableau1[[#This Row],[Nombre intervenants]]&lt;&gt;0,Tableau1[[#This Row],[Lien document]]&lt;&gt;0,Tableau1[[#This Row],[DMS_SAP]]&lt;&gt;0)=TRUE,"MIS A JOUR","")</f>
        <v/>
      </c>
      <c r="AA825" s="48"/>
      <c r="AB825" s="65" t="str">
        <f ca="1">IF(Tableau1[[#This Row],[Date rév.]]&lt;&gt;"", DAYS360(Tableau1[[#This Row],[Date rév.]],TODAY()),"")</f>
        <v/>
      </c>
      <c r="AC825" s="50" t="str">
        <f>IFERROR(INDEX(Chemin_accès!$B$11:$C$22,MATCH(Tableau1[[#This Row],[Type]],Chemin_accès!$C$11:$C$22,0),1),Chemin_accès!$B$11)</f>
        <v>\\stjn.local\trimet\Btechnique\Commun\Atelier Central mécanique\Plan entretien\Modèles préventif\GammeDMS_7.MENG.xlsm</v>
      </c>
      <c r="AD825" s="50" t="str">
        <f>Chemin_accès!$B$8&amp;Tableau1[[#This Row],[Localisation / Classement]]&amp;"\"&amp;Tableau1[[#This Row],[Poste technique ou N° d''équipement]]&amp;"_"&amp;Tableau1[[#This Row],[Plan Entretien]]&amp;".xlsm"</f>
        <v>\\stjn.local\trimet\Btechnique\Commun\Atelier Central mécanique\Plan entretien\GammeEntretien\\_.xlsm</v>
      </c>
    </row>
    <row r="826" spans="1:30" x14ac:dyDescent="0.3">
      <c r="A826" s="44" t="str">
        <f t="shared" ca="1" si="12"/>
        <v>7.MENG</v>
      </c>
      <c r="B82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26" s="47"/>
      <c r="D826" s="44"/>
      <c r="E826" s="44"/>
      <c r="F826" s="47"/>
      <c r="G826" s="47"/>
      <c r="H826" s="45"/>
      <c r="I826" s="45"/>
      <c r="J826" s="45"/>
      <c r="K826" s="45"/>
      <c r="L826" s="46"/>
      <c r="M826" s="47"/>
      <c r="N826" s="47"/>
      <c r="O826" s="47"/>
      <c r="P826" s="47"/>
      <c r="Q826" s="47"/>
      <c r="R826" s="47"/>
      <c r="S826" s="48"/>
      <c r="T826" s="68" t="str">
        <f>IF(Tableau1[[#This Row],[DMS_SAP]]="","",HYPERLINK(Tableau1[[#This Row],[Chemin fichier source]],"X"))</f>
        <v/>
      </c>
      <c r="U826" s="68" t="str">
        <f>IF(Tableau1[[#This Row],[Date rév.]]="","",HYPERLINK(Tableau1[[#This Row],[Lien document]],"X"))</f>
        <v/>
      </c>
      <c r="V826" s="47"/>
      <c r="W82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26" s="47"/>
      <c r="Y826" s="47"/>
      <c r="Z826" s="44" t="str">
        <f ca="1">IF(AND(Tableau1[[#This Row],[Charge]]&lt;&gt;0, Tableau1[[#This Row],[Nombre intervenants]]&lt;&gt;0,Tableau1[[#This Row],[Lien document]]&lt;&gt;0,Tableau1[[#This Row],[DMS_SAP]]&lt;&gt;0)=TRUE,"MIS A JOUR","")</f>
        <v/>
      </c>
      <c r="AA826" s="48"/>
      <c r="AB826" s="65" t="str">
        <f ca="1">IF(Tableau1[[#This Row],[Date rév.]]&lt;&gt;"", DAYS360(Tableau1[[#This Row],[Date rév.]],TODAY()),"")</f>
        <v/>
      </c>
      <c r="AC826" s="50" t="str">
        <f>IFERROR(INDEX(Chemin_accès!$B$11:$C$22,MATCH(Tableau1[[#This Row],[Type]],Chemin_accès!$C$11:$C$22,0),1),Chemin_accès!$B$11)</f>
        <v>\\stjn.local\trimet\Btechnique\Commun\Atelier Central mécanique\Plan entretien\Modèles préventif\GammeDMS_7.MENG.xlsm</v>
      </c>
      <c r="AD826" s="50" t="str">
        <f>Chemin_accès!$B$8&amp;Tableau1[[#This Row],[Localisation / Classement]]&amp;"\"&amp;Tableau1[[#This Row],[Poste technique ou N° d''équipement]]&amp;"_"&amp;Tableau1[[#This Row],[Plan Entretien]]&amp;".xlsm"</f>
        <v>\\stjn.local\trimet\Btechnique\Commun\Atelier Central mécanique\Plan entretien\GammeEntretien\\_.xlsm</v>
      </c>
    </row>
    <row r="827" spans="1:30" x14ac:dyDescent="0.3">
      <c r="A827" s="44" t="str">
        <f t="shared" ca="1" si="12"/>
        <v>7.MENG</v>
      </c>
      <c r="B82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27" s="47"/>
      <c r="D827" s="44"/>
      <c r="E827" s="44"/>
      <c r="F827" s="47"/>
      <c r="G827" s="47"/>
      <c r="H827" s="45"/>
      <c r="I827" s="45"/>
      <c r="J827" s="45"/>
      <c r="K827" s="45"/>
      <c r="L827" s="46"/>
      <c r="M827" s="47"/>
      <c r="N827" s="47"/>
      <c r="O827" s="47"/>
      <c r="P827" s="47"/>
      <c r="Q827" s="47"/>
      <c r="R827" s="47"/>
      <c r="S827" s="48"/>
      <c r="T827" s="68" t="str">
        <f>IF(Tableau1[[#This Row],[DMS_SAP]]="","",HYPERLINK(Tableau1[[#This Row],[Chemin fichier source]],"X"))</f>
        <v/>
      </c>
      <c r="U827" s="68" t="str">
        <f>IF(Tableau1[[#This Row],[Date rév.]]="","",HYPERLINK(Tableau1[[#This Row],[Lien document]],"X"))</f>
        <v/>
      </c>
      <c r="V827" s="47"/>
      <c r="W82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27" s="47"/>
      <c r="Y827" s="47"/>
      <c r="Z827" s="44" t="str">
        <f ca="1">IF(AND(Tableau1[[#This Row],[Charge]]&lt;&gt;0, Tableau1[[#This Row],[Nombre intervenants]]&lt;&gt;0,Tableau1[[#This Row],[Lien document]]&lt;&gt;0,Tableau1[[#This Row],[DMS_SAP]]&lt;&gt;0)=TRUE,"MIS A JOUR","")</f>
        <v/>
      </c>
      <c r="AA827" s="48"/>
      <c r="AB827" s="65" t="str">
        <f ca="1">IF(Tableau1[[#This Row],[Date rév.]]&lt;&gt;"", DAYS360(Tableau1[[#This Row],[Date rév.]],TODAY()),"")</f>
        <v/>
      </c>
      <c r="AC827" s="50" t="str">
        <f>IFERROR(INDEX(Chemin_accès!$B$11:$C$22,MATCH(Tableau1[[#This Row],[Type]],Chemin_accès!$C$11:$C$22,0),1),Chemin_accès!$B$11)</f>
        <v>\\stjn.local\trimet\Btechnique\Commun\Atelier Central mécanique\Plan entretien\Modèles préventif\GammeDMS_7.MENG.xlsm</v>
      </c>
      <c r="AD827" s="50" t="str">
        <f>Chemin_accès!$B$8&amp;Tableau1[[#This Row],[Localisation / Classement]]&amp;"\"&amp;Tableau1[[#This Row],[Poste technique ou N° d''équipement]]&amp;"_"&amp;Tableau1[[#This Row],[Plan Entretien]]&amp;".xlsm"</f>
        <v>\\stjn.local\trimet\Btechnique\Commun\Atelier Central mécanique\Plan entretien\GammeEntretien\\_.xlsm</v>
      </c>
    </row>
    <row r="828" spans="1:30" x14ac:dyDescent="0.3">
      <c r="A828" s="44" t="str">
        <f t="shared" ca="1" si="12"/>
        <v>7.MENG</v>
      </c>
      <c r="B82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28" s="47"/>
      <c r="D828" s="44"/>
      <c r="E828" s="44"/>
      <c r="F828" s="47"/>
      <c r="G828" s="47"/>
      <c r="H828" s="45"/>
      <c r="I828" s="45"/>
      <c r="J828" s="45"/>
      <c r="K828" s="45"/>
      <c r="L828" s="46"/>
      <c r="M828" s="47"/>
      <c r="N828" s="47"/>
      <c r="O828" s="47"/>
      <c r="P828" s="47"/>
      <c r="Q828" s="47"/>
      <c r="R828" s="47"/>
      <c r="S828" s="48"/>
      <c r="T828" s="68" t="str">
        <f>IF(Tableau1[[#This Row],[DMS_SAP]]="","",HYPERLINK(Tableau1[[#This Row],[Chemin fichier source]],"X"))</f>
        <v/>
      </c>
      <c r="U828" s="68" t="str">
        <f>IF(Tableau1[[#This Row],[Date rév.]]="","",HYPERLINK(Tableau1[[#This Row],[Lien document]],"X"))</f>
        <v/>
      </c>
      <c r="V828" s="47"/>
      <c r="W82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28" s="47"/>
      <c r="Y828" s="47"/>
      <c r="Z828" s="44" t="str">
        <f ca="1">IF(AND(Tableau1[[#This Row],[Charge]]&lt;&gt;0, Tableau1[[#This Row],[Nombre intervenants]]&lt;&gt;0,Tableau1[[#This Row],[Lien document]]&lt;&gt;0,Tableau1[[#This Row],[DMS_SAP]]&lt;&gt;0)=TRUE,"MIS A JOUR","")</f>
        <v/>
      </c>
      <c r="AA828" s="48"/>
      <c r="AB828" s="65" t="str">
        <f ca="1">IF(Tableau1[[#This Row],[Date rév.]]&lt;&gt;"", DAYS360(Tableau1[[#This Row],[Date rév.]],TODAY()),"")</f>
        <v/>
      </c>
      <c r="AC828" s="50" t="str">
        <f>IFERROR(INDEX(Chemin_accès!$B$11:$C$22,MATCH(Tableau1[[#This Row],[Type]],Chemin_accès!$C$11:$C$22,0),1),Chemin_accès!$B$11)</f>
        <v>\\stjn.local\trimet\Btechnique\Commun\Atelier Central mécanique\Plan entretien\Modèles préventif\GammeDMS_7.MENG.xlsm</v>
      </c>
      <c r="AD828" s="50" t="str">
        <f>Chemin_accès!$B$8&amp;Tableau1[[#This Row],[Localisation / Classement]]&amp;"\"&amp;Tableau1[[#This Row],[Poste technique ou N° d''équipement]]&amp;"_"&amp;Tableau1[[#This Row],[Plan Entretien]]&amp;".xlsm"</f>
        <v>\\stjn.local\trimet\Btechnique\Commun\Atelier Central mécanique\Plan entretien\GammeEntretien\\_.xlsm</v>
      </c>
    </row>
    <row r="829" spans="1:30" x14ac:dyDescent="0.3">
      <c r="A829" s="44" t="str">
        <f t="shared" ca="1" si="12"/>
        <v>7.MENG</v>
      </c>
      <c r="B82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29" s="47"/>
      <c r="D829" s="44"/>
      <c r="E829" s="44"/>
      <c r="F829" s="47"/>
      <c r="G829" s="47"/>
      <c r="H829" s="45"/>
      <c r="I829" s="45"/>
      <c r="J829" s="45"/>
      <c r="K829" s="45"/>
      <c r="L829" s="46"/>
      <c r="M829" s="47"/>
      <c r="N829" s="47"/>
      <c r="O829" s="47"/>
      <c r="P829" s="47"/>
      <c r="Q829" s="47"/>
      <c r="R829" s="47"/>
      <c r="S829" s="48"/>
      <c r="T829" s="68" t="str">
        <f>IF(Tableau1[[#This Row],[DMS_SAP]]="","",HYPERLINK(Tableau1[[#This Row],[Chemin fichier source]],"X"))</f>
        <v/>
      </c>
      <c r="U829" s="68" t="str">
        <f>IF(Tableau1[[#This Row],[Date rév.]]="","",HYPERLINK(Tableau1[[#This Row],[Lien document]],"X"))</f>
        <v/>
      </c>
      <c r="V829" s="47"/>
      <c r="W82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29" s="47"/>
      <c r="Y829" s="47"/>
      <c r="Z829" s="44" t="str">
        <f ca="1">IF(AND(Tableau1[[#This Row],[Charge]]&lt;&gt;0, Tableau1[[#This Row],[Nombre intervenants]]&lt;&gt;0,Tableau1[[#This Row],[Lien document]]&lt;&gt;0,Tableau1[[#This Row],[DMS_SAP]]&lt;&gt;0)=TRUE,"MIS A JOUR","")</f>
        <v/>
      </c>
      <c r="AA829" s="48"/>
      <c r="AB829" s="65" t="str">
        <f ca="1">IF(Tableau1[[#This Row],[Date rév.]]&lt;&gt;"", DAYS360(Tableau1[[#This Row],[Date rév.]],TODAY()),"")</f>
        <v/>
      </c>
      <c r="AC829" s="50" t="str">
        <f>IFERROR(INDEX(Chemin_accès!$B$11:$C$22,MATCH(Tableau1[[#This Row],[Type]],Chemin_accès!$C$11:$C$22,0),1),Chemin_accès!$B$11)</f>
        <v>\\stjn.local\trimet\Btechnique\Commun\Atelier Central mécanique\Plan entretien\Modèles préventif\GammeDMS_7.MENG.xlsm</v>
      </c>
      <c r="AD829" s="50" t="str">
        <f>Chemin_accès!$B$8&amp;Tableau1[[#This Row],[Localisation / Classement]]&amp;"\"&amp;Tableau1[[#This Row],[Poste technique ou N° d''équipement]]&amp;"_"&amp;Tableau1[[#This Row],[Plan Entretien]]&amp;".xlsm"</f>
        <v>\\stjn.local\trimet\Btechnique\Commun\Atelier Central mécanique\Plan entretien\GammeEntretien\\_.xlsm</v>
      </c>
    </row>
    <row r="830" spans="1:30" x14ac:dyDescent="0.3">
      <c r="A830" s="44" t="str">
        <f t="shared" ca="1" si="12"/>
        <v>7.MENG</v>
      </c>
      <c r="B83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30" s="47"/>
      <c r="D830" s="44"/>
      <c r="E830" s="44"/>
      <c r="F830" s="47"/>
      <c r="G830" s="47"/>
      <c r="H830" s="45"/>
      <c r="I830" s="45"/>
      <c r="J830" s="45"/>
      <c r="K830" s="45"/>
      <c r="L830" s="46"/>
      <c r="M830" s="47"/>
      <c r="N830" s="47"/>
      <c r="O830" s="47"/>
      <c r="P830" s="47"/>
      <c r="Q830" s="47"/>
      <c r="R830" s="47"/>
      <c r="S830" s="48"/>
      <c r="T830" s="68" t="str">
        <f>IF(Tableau1[[#This Row],[DMS_SAP]]="","",HYPERLINK(Tableau1[[#This Row],[Chemin fichier source]],"X"))</f>
        <v/>
      </c>
      <c r="U830" s="68" t="str">
        <f>IF(Tableau1[[#This Row],[Date rév.]]="","",HYPERLINK(Tableau1[[#This Row],[Lien document]],"X"))</f>
        <v/>
      </c>
      <c r="V830" s="47"/>
      <c r="W83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30" s="47"/>
      <c r="Y830" s="47"/>
      <c r="Z830" s="44" t="str">
        <f ca="1">IF(AND(Tableau1[[#This Row],[Charge]]&lt;&gt;0, Tableau1[[#This Row],[Nombre intervenants]]&lt;&gt;0,Tableau1[[#This Row],[Lien document]]&lt;&gt;0,Tableau1[[#This Row],[DMS_SAP]]&lt;&gt;0)=TRUE,"MIS A JOUR","")</f>
        <v/>
      </c>
      <c r="AA830" s="48"/>
      <c r="AB830" s="65" t="str">
        <f ca="1">IF(Tableau1[[#This Row],[Date rév.]]&lt;&gt;"", DAYS360(Tableau1[[#This Row],[Date rév.]],TODAY()),"")</f>
        <v/>
      </c>
      <c r="AC830" s="50" t="str">
        <f>IFERROR(INDEX(Chemin_accès!$B$11:$C$22,MATCH(Tableau1[[#This Row],[Type]],Chemin_accès!$C$11:$C$22,0),1),Chemin_accès!$B$11)</f>
        <v>\\stjn.local\trimet\Btechnique\Commun\Atelier Central mécanique\Plan entretien\Modèles préventif\GammeDMS_7.MENG.xlsm</v>
      </c>
      <c r="AD830" s="50" t="str">
        <f>Chemin_accès!$B$8&amp;Tableau1[[#This Row],[Localisation / Classement]]&amp;"\"&amp;Tableau1[[#This Row],[Poste technique ou N° d''équipement]]&amp;"_"&amp;Tableau1[[#This Row],[Plan Entretien]]&amp;".xlsm"</f>
        <v>\\stjn.local\trimet\Btechnique\Commun\Atelier Central mécanique\Plan entretien\GammeEntretien\\_.xlsm</v>
      </c>
    </row>
    <row r="831" spans="1:30" x14ac:dyDescent="0.3">
      <c r="A831" s="44" t="str">
        <f t="shared" ca="1" si="12"/>
        <v>7.MENG</v>
      </c>
      <c r="B83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31" s="47"/>
      <c r="D831" s="44"/>
      <c r="E831" s="44"/>
      <c r="F831" s="47"/>
      <c r="G831" s="47"/>
      <c r="H831" s="45"/>
      <c r="I831" s="45"/>
      <c r="J831" s="45"/>
      <c r="K831" s="45"/>
      <c r="L831" s="46"/>
      <c r="M831" s="47"/>
      <c r="N831" s="47"/>
      <c r="O831" s="47"/>
      <c r="P831" s="47"/>
      <c r="Q831" s="47"/>
      <c r="R831" s="47"/>
      <c r="S831" s="48"/>
      <c r="T831" s="68" t="str">
        <f>IF(Tableau1[[#This Row],[DMS_SAP]]="","",HYPERLINK(Tableau1[[#This Row],[Chemin fichier source]],"X"))</f>
        <v/>
      </c>
      <c r="U831" s="68" t="str">
        <f>IF(Tableau1[[#This Row],[Date rév.]]="","",HYPERLINK(Tableau1[[#This Row],[Lien document]],"X"))</f>
        <v/>
      </c>
      <c r="V831" s="47"/>
      <c r="W83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31" s="47"/>
      <c r="Y831" s="47"/>
      <c r="Z831" s="44" t="str">
        <f ca="1">IF(AND(Tableau1[[#This Row],[Charge]]&lt;&gt;0, Tableau1[[#This Row],[Nombre intervenants]]&lt;&gt;0,Tableau1[[#This Row],[Lien document]]&lt;&gt;0,Tableau1[[#This Row],[DMS_SAP]]&lt;&gt;0)=TRUE,"MIS A JOUR","")</f>
        <v/>
      </c>
      <c r="AA831" s="48"/>
      <c r="AB831" s="65" t="str">
        <f ca="1">IF(Tableau1[[#This Row],[Date rév.]]&lt;&gt;"", DAYS360(Tableau1[[#This Row],[Date rév.]],TODAY()),"")</f>
        <v/>
      </c>
      <c r="AC831" s="50" t="str">
        <f>IFERROR(INDEX(Chemin_accès!$B$11:$C$22,MATCH(Tableau1[[#This Row],[Type]],Chemin_accès!$C$11:$C$22,0),1),Chemin_accès!$B$11)</f>
        <v>\\stjn.local\trimet\Btechnique\Commun\Atelier Central mécanique\Plan entretien\Modèles préventif\GammeDMS_7.MENG.xlsm</v>
      </c>
      <c r="AD831" s="50" t="str">
        <f>Chemin_accès!$B$8&amp;Tableau1[[#This Row],[Localisation / Classement]]&amp;"\"&amp;Tableau1[[#This Row],[Poste technique ou N° d''équipement]]&amp;"_"&amp;Tableau1[[#This Row],[Plan Entretien]]&amp;".xlsm"</f>
        <v>\\stjn.local\trimet\Btechnique\Commun\Atelier Central mécanique\Plan entretien\GammeEntretien\\_.xlsm</v>
      </c>
    </row>
    <row r="832" spans="1:30" x14ac:dyDescent="0.3">
      <c r="A832" s="44" t="str">
        <f t="shared" ca="1" si="12"/>
        <v>7.MENG</v>
      </c>
      <c r="B83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32" s="47"/>
      <c r="D832" s="44"/>
      <c r="E832" s="44"/>
      <c r="F832" s="47"/>
      <c r="G832" s="47"/>
      <c r="H832" s="45"/>
      <c r="I832" s="45"/>
      <c r="J832" s="45"/>
      <c r="K832" s="45"/>
      <c r="L832" s="46"/>
      <c r="M832" s="47"/>
      <c r="N832" s="47"/>
      <c r="O832" s="47"/>
      <c r="P832" s="47"/>
      <c r="Q832" s="47"/>
      <c r="R832" s="47"/>
      <c r="S832" s="48"/>
      <c r="T832" s="68" t="str">
        <f>IF(Tableau1[[#This Row],[DMS_SAP]]="","",HYPERLINK(Tableau1[[#This Row],[Chemin fichier source]],"X"))</f>
        <v/>
      </c>
      <c r="U832" s="68" t="str">
        <f>IF(Tableau1[[#This Row],[Date rév.]]="","",HYPERLINK(Tableau1[[#This Row],[Lien document]],"X"))</f>
        <v/>
      </c>
      <c r="V832" s="47"/>
      <c r="W83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32" s="47"/>
      <c r="Y832" s="47"/>
      <c r="Z832" s="44" t="str">
        <f ca="1">IF(AND(Tableau1[[#This Row],[Charge]]&lt;&gt;0, Tableau1[[#This Row],[Nombre intervenants]]&lt;&gt;0,Tableau1[[#This Row],[Lien document]]&lt;&gt;0,Tableau1[[#This Row],[DMS_SAP]]&lt;&gt;0)=TRUE,"MIS A JOUR","")</f>
        <v/>
      </c>
      <c r="AA832" s="48"/>
      <c r="AB832" s="65" t="str">
        <f ca="1">IF(Tableau1[[#This Row],[Date rév.]]&lt;&gt;"", DAYS360(Tableau1[[#This Row],[Date rév.]],TODAY()),"")</f>
        <v/>
      </c>
      <c r="AC832" s="50" t="str">
        <f>IFERROR(INDEX(Chemin_accès!$B$11:$C$22,MATCH(Tableau1[[#This Row],[Type]],Chemin_accès!$C$11:$C$22,0),1),Chemin_accès!$B$11)</f>
        <v>\\stjn.local\trimet\Btechnique\Commun\Atelier Central mécanique\Plan entretien\Modèles préventif\GammeDMS_7.MENG.xlsm</v>
      </c>
      <c r="AD832" s="50" t="str">
        <f>Chemin_accès!$B$8&amp;Tableau1[[#This Row],[Localisation / Classement]]&amp;"\"&amp;Tableau1[[#This Row],[Poste technique ou N° d''équipement]]&amp;"_"&amp;Tableau1[[#This Row],[Plan Entretien]]&amp;".xlsm"</f>
        <v>\\stjn.local\trimet\Btechnique\Commun\Atelier Central mécanique\Plan entretien\GammeEntretien\\_.xlsm</v>
      </c>
    </row>
    <row r="833" spans="1:30" x14ac:dyDescent="0.3">
      <c r="A833" s="44" t="str">
        <f t="shared" ref="A833:A896" ca="1" si="13">MID(CELL("filename",$A$1),FIND("]",CELL("filename",$A$1))+1,32)</f>
        <v>7.MENG</v>
      </c>
      <c r="B83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33" s="47"/>
      <c r="D833" s="44"/>
      <c r="E833" s="44"/>
      <c r="F833" s="47"/>
      <c r="G833" s="47"/>
      <c r="H833" s="45"/>
      <c r="I833" s="45"/>
      <c r="J833" s="45"/>
      <c r="K833" s="45"/>
      <c r="L833" s="46"/>
      <c r="M833" s="47"/>
      <c r="N833" s="47"/>
      <c r="O833" s="47"/>
      <c r="P833" s="47"/>
      <c r="Q833" s="47"/>
      <c r="R833" s="47"/>
      <c r="S833" s="48"/>
      <c r="T833" s="68" t="str">
        <f>IF(Tableau1[[#This Row],[DMS_SAP]]="","",HYPERLINK(Tableau1[[#This Row],[Chemin fichier source]],"X"))</f>
        <v/>
      </c>
      <c r="U833" s="68" t="str">
        <f>IF(Tableau1[[#This Row],[Date rév.]]="","",HYPERLINK(Tableau1[[#This Row],[Lien document]],"X"))</f>
        <v/>
      </c>
      <c r="V833" s="47"/>
      <c r="W83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33" s="47"/>
      <c r="Y833" s="47"/>
      <c r="Z833" s="44" t="str">
        <f ca="1">IF(AND(Tableau1[[#This Row],[Charge]]&lt;&gt;0, Tableau1[[#This Row],[Nombre intervenants]]&lt;&gt;0,Tableau1[[#This Row],[Lien document]]&lt;&gt;0,Tableau1[[#This Row],[DMS_SAP]]&lt;&gt;0)=TRUE,"MIS A JOUR","")</f>
        <v/>
      </c>
      <c r="AA833" s="48"/>
      <c r="AB833" s="65" t="str">
        <f ca="1">IF(Tableau1[[#This Row],[Date rév.]]&lt;&gt;"", DAYS360(Tableau1[[#This Row],[Date rév.]],TODAY()),"")</f>
        <v/>
      </c>
      <c r="AC833" s="50" t="str">
        <f>IFERROR(INDEX(Chemin_accès!$B$11:$C$22,MATCH(Tableau1[[#This Row],[Type]],Chemin_accès!$C$11:$C$22,0),1),Chemin_accès!$B$11)</f>
        <v>\\stjn.local\trimet\Btechnique\Commun\Atelier Central mécanique\Plan entretien\Modèles préventif\GammeDMS_7.MENG.xlsm</v>
      </c>
      <c r="AD833" s="50" t="str">
        <f>Chemin_accès!$B$8&amp;Tableau1[[#This Row],[Localisation / Classement]]&amp;"\"&amp;Tableau1[[#This Row],[Poste technique ou N° d''équipement]]&amp;"_"&amp;Tableau1[[#This Row],[Plan Entretien]]&amp;".xlsm"</f>
        <v>\\stjn.local\trimet\Btechnique\Commun\Atelier Central mécanique\Plan entretien\GammeEntretien\\_.xlsm</v>
      </c>
    </row>
    <row r="834" spans="1:30" x14ac:dyDescent="0.3">
      <c r="A834" s="44" t="str">
        <f t="shared" ca="1" si="13"/>
        <v>7.MENG</v>
      </c>
      <c r="B83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34" s="47"/>
      <c r="D834" s="44"/>
      <c r="E834" s="44"/>
      <c r="F834" s="47"/>
      <c r="G834" s="47"/>
      <c r="H834" s="45"/>
      <c r="I834" s="45"/>
      <c r="J834" s="45"/>
      <c r="K834" s="45"/>
      <c r="L834" s="46"/>
      <c r="M834" s="47"/>
      <c r="N834" s="47"/>
      <c r="O834" s="47"/>
      <c r="P834" s="47"/>
      <c r="Q834" s="47"/>
      <c r="R834" s="47"/>
      <c r="S834" s="48"/>
      <c r="T834" s="68" t="str">
        <f>IF(Tableau1[[#This Row],[DMS_SAP]]="","",HYPERLINK(Tableau1[[#This Row],[Chemin fichier source]],"X"))</f>
        <v/>
      </c>
      <c r="U834" s="68" t="str">
        <f>IF(Tableau1[[#This Row],[Date rév.]]="","",HYPERLINK(Tableau1[[#This Row],[Lien document]],"X"))</f>
        <v/>
      </c>
      <c r="V834" s="47"/>
      <c r="W83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34" s="47"/>
      <c r="Y834" s="47"/>
      <c r="Z834" s="44" t="str">
        <f ca="1">IF(AND(Tableau1[[#This Row],[Charge]]&lt;&gt;0, Tableau1[[#This Row],[Nombre intervenants]]&lt;&gt;0,Tableau1[[#This Row],[Lien document]]&lt;&gt;0,Tableau1[[#This Row],[DMS_SAP]]&lt;&gt;0)=TRUE,"MIS A JOUR","")</f>
        <v/>
      </c>
      <c r="AA834" s="48"/>
      <c r="AB834" s="65" t="str">
        <f ca="1">IF(Tableau1[[#This Row],[Date rév.]]&lt;&gt;"", DAYS360(Tableau1[[#This Row],[Date rév.]],TODAY()),"")</f>
        <v/>
      </c>
      <c r="AC834" s="50" t="str">
        <f>IFERROR(INDEX(Chemin_accès!$B$11:$C$22,MATCH(Tableau1[[#This Row],[Type]],Chemin_accès!$C$11:$C$22,0),1),Chemin_accès!$B$11)</f>
        <v>\\stjn.local\trimet\Btechnique\Commun\Atelier Central mécanique\Plan entretien\Modèles préventif\GammeDMS_7.MENG.xlsm</v>
      </c>
      <c r="AD834" s="50" t="str">
        <f>Chemin_accès!$B$8&amp;Tableau1[[#This Row],[Localisation / Classement]]&amp;"\"&amp;Tableau1[[#This Row],[Poste technique ou N° d''équipement]]&amp;"_"&amp;Tableau1[[#This Row],[Plan Entretien]]&amp;".xlsm"</f>
        <v>\\stjn.local\trimet\Btechnique\Commun\Atelier Central mécanique\Plan entretien\GammeEntretien\\_.xlsm</v>
      </c>
    </row>
    <row r="835" spans="1:30" x14ac:dyDescent="0.3">
      <c r="A835" s="44" t="str">
        <f t="shared" ca="1" si="13"/>
        <v>7.MENG</v>
      </c>
      <c r="B83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35" s="47"/>
      <c r="D835" s="44"/>
      <c r="E835" s="44"/>
      <c r="F835" s="47"/>
      <c r="G835" s="47"/>
      <c r="H835" s="45"/>
      <c r="I835" s="45"/>
      <c r="J835" s="45"/>
      <c r="K835" s="45"/>
      <c r="L835" s="46"/>
      <c r="M835" s="47"/>
      <c r="N835" s="47"/>
      <c r="O835" s="47"/>
      <c r="P835" s="47"/>
      <c r="Q835" s="47"/>
      <c r="R835" s="47"/>
      <c r="S835" s="48"/>
      <c r="T835" s="68" t="str">
        <f>IF(Tableau1[[#This Row],[DMS_SAP]]="","",HYPERLINK(Tableau1[[#This Row],[Chemin fichier source]],"X"))</f>
        <v/>
      </c>
      <c r="U835" s="68" t="str">
        <f>IF(Tableau1[[#This Row],[Date rév.]]="","",HYPERLINK(Tableau1[[#This Row],[Lien document]],"X"))</f>
        <v/>
      </c>
      <c r="V835" s="47"/>
      <c r="W83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35" s="47"/>
      <c r="Y835" s="47"/>
      <c r="Z835" s="44" t="str">
        <f ca="1">IF(AND(Tableau1[[#This Row],[Charge]]&lt;&gt;0, Tableau1[[#This Row],[Nombre intervenants]]&lt;&gt;0,Tableau1[[#This Row],[Lien document]]&lt;&gt;0,Tableau1[[#This Row],[DMS_SAP]]&lt;&gt;0)=TRUE,"MIS A JOUR","")</f>
        <v/>
      </c>
      <c r="AA835" s="48"/>
      <c r="AB835" s="65" t="str">
        <f ca="1">IF(Tableau1[[#This Row],[Date rév.]]&lt;&gt;"", DAYS360(Tableau1[[#This Row],[Date rév.]],TODAY()),"")</f>
        <v/>
      </c>
      <c r="AC835" s="50" t="str">
        <f>IFERROR(INDEX(Chemin_accès!$B$11:$C$22,MATCH(Tableau1[[#This Row],[Type]],Chemin_accès!$C$11:$C$22,0),1),Chemin_accès!$B$11)</f>
        <v>\\stjn.local\trimet\Btechnique\Commun\Atelier Central mécanique\Plan entretien\Modèles préventif\GammeDMS_7.MENG.xlsm</v>
      </c>
      <c r="AD835" s="50" t="str">
        <f>Chemin_accès!$B$8&amp;Tableau1[[#This Row],[Localisation / Classement]]&amp;"\"&amp;Tableau1[[#This Row],[Poste technique ou N° d''équipement]]&amp;"_"&amp;Tableau1[[#This Row],[Plan Entretien]]&amp;".xlsm"</f>
        <v>\\stjn.local\trimet\Btechnique\Commun\Atelier Central mécanique\Plan entretien\GammeEntretien\\_.xlsm</v>
      </c>
    </row>
    <row r="836" spans="1:30" x14ac:dyDescent="0.3">
      <c r="A836" s="44" t="str">
        <f t="shared" ca="1" si="13"/>
        <v>7.MENG</v>
      </c>
      <c r="B83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36" s="47"/>
      <c r="D836" s="44"/>
      <c r="E836" s="44"/>
      <c r="F836" s="47"/>
      <c r="G836" s="47"/>
      <c r="H836" s="45"/>
      <c r="I836" s="45"/>
      <c r="J836" s="45"/>
      <c r="K836" s="45"/>
      <c r="L836" s="46"/>
      <c r="M836" s="47"/>
      <c r="N836" s="47"/>
      <c r="O836" s="47"/>
      <c r="P836" s="47"/>
      <c r="Q836" s="47"/>
      <c r="R836" s="47"/>
      <c r="S836" s="48"/>
      <c r="T836" s="68" t="str">
        <f>IF(Tableau1[[#This Row],[DMS_SAP]]="","",HYPERLINK(Tableau1[[#This Row],[Chemin fichier source]],"X"))</f>
        <v/>
      </c>
      <c r="U836" s="68" t="str">
        <f>IF(Tableau1[[#This Row],[Date rév.]]="","",HYPERLINK(Tableau1[[#This Row],[Lien document]],"X"))</f>
        <v/>
      </c>
      <c r="V836" s="47"/>
      <c r="W83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36" s="47"/>
      <c r="Y836" s="47"/>
      <c r="Z836" s="44" t="str">
        <f ca="1">IF(AND(Tableau1[[#This Row],[Charge]]&lt;&gt;0, Tableau1[[#This Row],[Nombre intervenants]]&lt;&gt;0,Tableau1[[#This Row],[Lien document]]&lt;&gt;0,Tableau1[[#This Row],[DMS_SAP]]&lt;&gt;0)=TRUE,"MIS A JOUR","")</f>
        <v/>
      </c>
      <c r="AA836" s="48"/>
      <c r="AB836" s="65" t="str">
        <f ca="1">IF(Tableau1[[#This Row],[Date rév.]]&lt;&gt;"", DAYS360(Tableau1[[#This Row],[Date rév.]],TODAY()),"")</f>
        <v/>
      </c>
      <c r="AC836" s="50" t="str">
        <f>IFERROR(INDEX(Chemin_accès!$B$11:$C$22,MATCH(Tableau1[[#This Row],[Type]],Chemin_accès!$C$11:$C$22,0),1),Chemin_accès!$B$11)</f>
        <v>\\stjn.local\trimet\Btechnique\Commun\Atelier Central mécanique\Plan entretien\Modèles préventif\GammeDMS_7.MENG.xlsm</v>
      </c>
      <c r="AD836" s="50" t="str">
        <f>Chemin_accès!$B$8&amp;Tableau1[[#This Row],[Localisation / Classement]]&amp;"\"&amp;Tableau1[[#This Row],[Poste technique ou N° d''équipement]]&amp;"_"&amp;Tableau1[[#This Row],[Plan Entretien]]&amp;".xlsm"</f>
        <v>\\stjn.local\trimet\Btechnique\Commun\Atelier Central mécanique\Plan entretien\GammeEntretien\\_.xlsm</v>
      </c>
    </row>
    <row r="837" spans="1:30" x14ac:dyDescent="0.3">
      <c r="A837" s="44" t="str">
        <f t="shared" ca="1" si="13"/>
        <v>7.MENG</v>
      </c>
      <c r="B83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37" s="47"/>
      <c r="D837" s="44"/>
      <c r="E837" s="44"/>
      <c r="F837" s="47"/>
      <c r="G837" s="47"/>
      <c r="H837" s="45"/>
      <c r="I837" s="45"/>
      <c r="J837" s="45"/>
      <c r="K837" s="45"/>
      <c r="L837" s="46"/>
      <c r="M837" s="47"/>
      <c r="N837" s="47"/>
      <c r="O837" s="47"/>
      <c r="P837" s="47"/>
      <c r="Q837" s="47"/>
      <c r="R837" s="47"/>
      <c r="S837" s="48"/>
      <c r="T837" s="68" t="str">
        <f>IF(Tableau1[[#This Row],[DMS_SAP]]="","",HYPERLINK(Tableau1[[#This Row],[Chemin fichier source]],"X"))</f>
        <v/>
      </c>
      <c r="U837" s="68" t="str">
        <f>IF(Tableau1[[#This Row],[Date rév.]]="","",HYPERLINK(Tableau1[[#This Row],[Lien document]],"X"))</f>
        <v/>
      </c>
      <c r="V837" s="47"/>
      <c r="W83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37" s="47"/>
      <c r="Y837" s="47"/>
      <c r="Z837" s="44" t="str">
        <f ca="1">IF(AND(Tableau1[[#This Row],[Charge]]&lt;&gt;0, Tableau1[[#This Row],[Nombre intervenants]]&lt;&gt;0,Tableau1[[#This Row],[Lien document]]&lt;&gt;0,Tableau1[[#This Row],[DMS_SAP]]&lt;&gt;0)=TRUE,"MIS A JOUR","")</f>
        <v/>
      </c>
      <c r="AA837" s="48"/>
      <c r="AB837" s="65" t="str">
        <f ca="1">IF(Tableau1[[#This Row],[Date rév.]]&lt;&gt;"", DAYS360(Tableau1[[#This Row],[Date rév.]],TODAY()),"")</f>
        <v/>
      </c>
      <c r="AC837" s="50" t="str">
        <f>IFERROR(INDEX(Chemin_accès!$B$11:$C$22,MATCH(Tableau1[[#This Row],[Type]],Chemin_accès!$C$11:$C$22,0),1),Chemin_accès!$B$11)</f>
        <v>\\stjn.local\trimet\Btechnique\Commun\Atelier Central mécanique\Plan entretien\Modèles préventif\GammeDMS_7.MENG.xlsm</v>
      </c>
      <c r="AD837" s="50" t="str">
        <f>Chemin_accès!$B$8&amp;Tableau1[[#This Row],[Localisation / Classement]]&amp;"\"&amp;Tableau1[[#This Row],[Poste technique ou N° d''équipement]]&amp;"_"&amp;Tableau1[[#This Row],[Plan Entretien]]&amp;".xlsm"</f>
        <v>\\stjn.local\trimet\Btechnique\Commun\Atelier Central mécanique\Plan entretien\GammeEntretien\\_.xlsm</v>
      </c>
    </row>
    <row r="838" spans="1:30" x14ac:dyDescent="0.3">
      <c r="A838" s="44" t="str">
        <f t="shared" ca="1" si="13"/>
        <v>7.MENG</v>
      </c>
      <c r="B83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38" s="47"/>
      <c r="D838" s="44"/>
      <c r="E838" s="44"/>
      <c r="F838" s="47"/>
      <c r="G838" s="47"/>
      <c r="H838" s="45"/>
      <c r="I838" s="45"/>
      <c r="J838" s="45"/>
      <c r="K838" s="45"/>
      <c r="L838" s="46"/>
      <c r="M838" s="47"/>
      <c r="N838" s="47"/>
      <c r="O838" s="47"/>
      <c r="P838" s="47"/>
      <c r="Q838" s="47"/>
      <c r="R838" s="47"/>
      <c r="S838" s="48"/>
      <c r="T838" s="68" t="str">
        <f>IF(Tableau1[[#This Row],[DMS_SAP]]="","",HYPERLINK(Tableau1[[#This Row],[Chemin fichier source]],"X"))</f>
        <v/>
      </c>
      <c r="U838" s="68" t="str">
        <f>IF(Tableau1[[#This Row],[Date rév.]]="","",HYPERLINK(Tableau1[[#This Row],[Lien document]],"X"))</f>
        <v/>
      </c>
      <c r="V838" s="47"/>
      <c r="W83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38" s="47"/>
      <c r="Y838" s="47"/>
      <c r="Z838" s="44" t="str">
        <f ca="1">IF(AND(Tableau1[[#This Row],[Charge]]&lt;&gt;0, Tableau1[[#This Row],[Nombre intervenants]]&lt;&gt;0,Tableau1[[#This Row],[Lien document]]&lt;&gt;0,Tableau1[[#This Row],[DMS_SAP]]&lt;&gt;0)=TRUE,"MIS A JOUR","")</f>
        <v/>
      </c>
      <c r="AA838" s="48"/>
      <c r="AB838" s="65" t="str">
        <f ca="1">IF(Tableau1[[#This Row],[Date rév.]]&lt;&gt;"", DAYS360(Tableau1[[#This Row],[Date rév.]],TODAY()),"")</f>
        <v/>
      </c>
      <c r="AC838" s="50" t="str">
        <f>IFERROR(INDEX(Chemin_accès!$B$11:$C$22,MATCH(Tableau1[[#This Row],[Type]],Chemin_accès!$C$11:$C$22,0),1),Chemin_accès!$B$11)</f>
        <v>\\stjn.local\trimet\Btechnique\Commun\Atelier Central mécanique\Plan entretien\Modèles préventif\GammeDMS_7.MENG.xlsm</v>
      </c>
      <c r="AD838" s="50" t="str">
        <f>Chemin_accès!$B$8&amp;Tableau1[[#This Row],[Localisation / Classement]]&amp;"\"&amp;Tableau1[[#This Row],[Poste technique ou N° d''équipement]]&amp;"_"&amp;Tableau1[[#This Row],[Plan Entretien]]&amp;".xlsm"</f>
        <v>\\stjn.local\trimet\Btechnique\Commun\Atelier Central mécanique\Plan entretien\GammeEntretien\\_.xlsm</v>
      </c>
    </row>
    <row r="839" spans="1:30" x14ac:dyDescent="0.3">
      <c r="A839" s="44" t="str">
        <f t="shared" ca="1" si="13"/>
        <v>7.MENG</v>
      </c>
      <c r="B83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39" s="47"/>
      <c r="D839" s="44"/>
      <c r="E839" s="44"/>
      <c r="F839" s="47"/>
      <c r="G839" s="47"/>
      <c r="H839" s="45"/>
      <c r="I839" s="45"/>
      <c r="J839" s="45"/>
      <c r="K839" s="45"/>
      <c r="L839" s="46"/>
      <c r="M839" s="47"/>
      <c r="N839" s="47"/>
      <c r="O839" s="47"/>
      <c r="P839" s="47"/>
      <c r="Q839" s="47"/>
      <c r="R839" s="47"/>
      <c r="S839" s="48"/>
      <c r="T839" s="68" t="str">
        <f>IF(Tableau1[[#This Row],[DMS_SAP]]="","",HYPERLINK(Tableau1[[#This Row],[Chemin fichier source]],"X"))</f>
        <v/>
      </c>
      <c r="U839" s="68" t="str">
        <f>IF(Tableau1[[#This Row],[Date rév.]]="","",HYPERLINK(Tableau1[[#This Row],[Lien document]],"X"))</f>
        <v/>
      </c>
      <c r="V839" s="47"/>
      <c r="W83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39" s="47"/>
      <c r="Y839" s="47"/>
      <c r="Z839" s="44" t="str">
        <f ca="1">IF(AND(Tableau1[[#This Row],[Charge]]&lt;&gt;0, Tableau1[[#This Row],[Nombre intervenants]]&lt;&gt;0,Tableau1[[#This Row],[Lien document]]&lt;&gt;0,Tableau1[[#This Row],[DMS_SAP]]&lt;&gt;0)=TRUE,"MIS A JOUR","")</f>
        <v/>
      </c>
      <c r="AA839" s="48"/>
      <c r="AB839" s="65" t="str">
        <f ca="1">IF(Tableau1[[#This Row],[Date rév.]]&lt;&gt;"", DAYS360(Tableau1[[#This Row],[Date rév.]],TODAY()),"")</f>
        <v/>
      </c>
      <c r="AC839" s="50" t="str">
        <f>IFERROR(INDEX(Chemin_accès!$B$11:$C$22,MATCH(Tableau1[[#This Row],[Type]],Chemin_accès!$C$11:$C$22,0),1),Chemin_accès!$B$11)</f>
        <v>\\stjn.local\trimet\Btechnique\Commun\Atelier Central mécanique\Plan entretien\Modèles préventif\GammeDMS_7.MENG.xlsm</v>
      </c>
      <c r="AD839" s="50" t="str">
        <f>Chemin_accès!$B$8&amp;Tableau1[[#This Row],[Localisation / Classement]]&amp;"\"&amp;Tableau1[[#This Row],[Poste technique ou N° d''équipement]]&amp;"_"&amp;Tableau1[[#This Row],[Plan Entretien]]&amp;".xlsm"</f>
        <v>\\stjn.local\trimet\Btechnique\Commun\Atelier Central mécanique\Plan entretien\GammeEntretien\\_.xlsm</v>
      </c>
    </row>
    <row r="840" spans="1:30" x14ac:dyDescent="0.3">
      <c r="A840" s="44" t="str">
        <f t="shared" ca="1" si="13"/>
        <v>7.MENG</v>
      </c>
      <c r="B84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40" s="47"/>
      <c r="D840" s="44"/>
      <c r="E840" s="44"/>
      <c r="F840" s="47"/>
      <c r="G840" s="47"/>
      <c r="H840" s="45"/>
      <c r="I840" s="45"/>
      <c r="J840" s="45"/>
      <c r="K840" s="45"/>
      <c r="L840" s="46"/>
      <c r="M840" s="47"/>
      <c r="N840" s="47"/>
      <c r="O840" s="47"/>
      <c r="P840" s="47"/>
      <c r="Q840" s="47"/>
      <c r="R840" s="47"/>
      <c r="S840" s="48"/>
      <c r="T840" s="68" t="str">
        <f>IF(Tableau1[[#This Row],[DMS_SAP]]="","",HYPERLINK(Tableau1[[#This Row],[Chemin fichier source]],"X"))</f>
        <v/>
      </c>
      <c r="U840" s="68" t="str">
        <f>IF(Tableau1[[#This Row],[Date rév.]]="","",HYPERLINK(Tableau1[[#This Row],[Lien document]],"X"))</f>
        <v/>
      </c>
      <c r="V840" s="47"/>
      <c r="W84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40" s="47"/>
      <c r="Y840" s="47"/>
      <c r="Z840" s="44" t="str">
        <f ca="1">IF(AND(Tableau1[[#This Row],[Charge]]&lt;&gt;0, Tableau1[[#This Row],[Nombre intervenants]]&lt;&gt;0,Tableau1[[#This Row],[Lien document]]&lt;&gt;0,Tableau1[[#This Row],[DMS_SAP]]&lt;&gt;0)=TRUE,"MIS A JOUR","")</f>
        <v/>
      </c>
      <c r="AA840" s="48"/>
      <c r="AB840" s="65" t="str">
        <f ca="1">IF(Tableau1[[#This Row],[Date rév.]]&lt;&gt;"", DAYS360(Tableau1[[#This Row],[Date rév.]],TODAY()),"")</f>
        <v/>
      </c>
      <c r="AC840" s="50" t="str">
        <f>IFERROR(INDEX(Chemin_accès!$B$11:$C$22,MATCH(Tableau1[[#This Row],[Type]],Chemin_accès!$C$11:$C$22,0),1),Chemin_accès!$B$11)</f>
        <v>\\stjn.local\trimet\Btechnique\Commun\Atelier Central mécanique\Plan entretien\Modèles préventif\GammeDMS_7.MENG.xlsm</v>
      </c>
      <c r="AD840" s="50" t="str">
        <f>Chemin_accès!$B$8&amp;Tableau1[[#This Row],[Localisation / Classement]]&amp;"\"&amp;Tableau1[[#This Row],[Poste technique ou N° d''équipement]]&amp;"_"&amp;Tableau1[[#This Row],[Plan Entretien]]&amp;".xlsm"</f>
        <v>\\stjn.local\trimet\Btechnique\Commun\Atelier Central mécanique\Plan entretien\GammeEntretien\\_.xlsm</v>
      </c>
    </row>
    <row r="841" spans="1:30" x14ac:dyDescent="0.3">
      <c r="A841" s="44" t="str">
        <f t="shared" ca="1" si="13"/>
        <v>7.MENG</v>
      </c>
      <c r="B84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41" s="47"/>
      <c r="D841" s="44"/>
      <c r="E841" s="44"/>
      <c r="F841" s="47"/>
      <c r="G841" s="47"/>
      <c r="H841" s="45"/>
      <c r="I841" s="45"/>
      <c r="J841" s="45"/>
      <c r="K841" s="45"/>
      <c r="L841" s="46"/>
      <c r="M841" s="47"/>
      <c r="N841" s="47"/>
      <c r="O841" s="47"/>
      <c r="P841" s="47"/>
      <c r="Q841" s="47"/>
      <c r="R841" s="47"/>
      <c r="S841" s="48"/>
      <c r="T841" s="68" t="str">
        <f>IF(Tableau1[[#This Row],[DMS_SAP]]="","",HYPERLINK(Tableau1[[#This Row],[Chemin fichier source]],"X"))</f>
        <v/>
      </c>
      <c r="U841" s="68" t="str">
        <f>IF(Tableau1[[#This Row],[Date rév.]]="","",HYPERLINK(Tableau1[[#This Row],[Lien document]],"X"))</f>
        <v/>
      </c>
      <c r="V841" s="47"/>
      <c r="W84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41" s="47"/>
      <c r="Y841" s="47"/>
      <c r="Z841" s="44" t="str">
        <f ca="1">IF(AND(Tableau1[[#This Row],[Charge]]&lt;&gt;0, Tableau1[[#This Row],[Nombre intervenants]]&lt;&gt;0,Tableau1[[#This Row],[Lien document]]&lt;&gt;0,Tableau1[[#This Row],[DMS_SAP]]&lt;&gt;0)=TRUE,"MIS A JOUR","")</f>
        <v/>
      </c>
      <c r="AA841" s="48"/>
      <c r="AB841" s="65" t="str">
        <f ca="1">IF(Tableau1[[#This Row],[Date rév.]]&lt;&gt;"", DAYS360(Tableau1[[#This Row],[Date rév.]],TODAY()),"")</f>
        <v/>
      </c>
      <c r="AC841" s="50" t="str">
        <f>IFERROR(INDEX(Chemin_accès!$B$11:$C$22,MATCH(Tableau1[[#This Row],[Type]],Chemin_accès!$C$11:$C$22,0),1),Chemin_accès!$B$11)</f>
        <v>\\stjn.local\trimet\Btechnique\Commun\Atelier Central mécanique\Plan entretien\Modèles préventif\GammeDMS_7.MENG.xlsm</v>
      </c>
      <c r="AD841" s="50" t="str">
        <f>Chemin_accès!$B$8&amp;Tableau1[[#This Row],[Localisation / Classement]]&amp;"\"&amp;Tableau1[[#This Row],[Poste technique ou N° d''équipement]]&amp;"_"&amp;Tableau1[[#This Row],[Plan Entretien]]&amp;".xlsm"</f>
        <v>\\stjn.local\trimet\Btechnique\Commun\Atelier Central mécanique\Plan entretien\GammeEntretien\\_.xlsm</v>
      </c>
    </row>
    <row r="842" spans="1:30" x14ac:dyDescent="0.3">
      <c r="A842" s="44" t="str">
        <f t="shared" ca="1" si="13"/>
        <v>7.MENG</v>
      </c>
      <c r="B84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42" s="47"/>
      <c r="D842" s="44"/>
      <c r="E842" s="44"/>
      <c r="F842" s="47"/>
      <c r="G842" s="47"/>
      <c r="H842" s="45"/>
      <c r="I842" s="45"/>
      <c r="J842" s="45"/>
      <c r="K842" s="45"/>
      <c r="L842" s="46"/>
      <c r="M842" s="47"/>
      <c r="N842" s="47"/>
      <c r="O842" s="47"/>
      <c r="P842" s="47"/>
      <c r="Q842" s="47"/>
      <c r="R842" s="47"/>
      <c r="S842" s="48"/>
      <c r="T842" s="68" t="str">
        <f>IF(Tableau1[[#This Row],[DMS_SAP]]="","",HYPERLINK(Tableau1[[#This Row],[Chemin fichier source]],"X"))</f>
        <v/>
      </c>
      <c r="U842" s="68" t="str">
        <f>IF(Tableau1[[#This Row],[Date rév.]]="","",HYPERLINK(Tableau1[[#This Row],[Lien document]],"X"))</f>
        <v/>
      </c>
      <c r="V842" s="47"/>
      <c r="W84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42" s="47"/>
      <c r="Y842" s="47"/>
      <c r="Z842" s="44" t="str">
        <f ca="1">IF(AND(Tableau1[[#This Row],[Charge]]&lt;&gt;0, Tableau1[[#This Row],[Nombre intervenants]]&lt;&gt;0,Tableau1[[#This Row],[Lien document]]&lt;&gt;0,Tableau1[[#This Row],[DMS_SAP]]&lt;&gt;0)=TRUE,"MIS A JOUR","")</f>
        <v/>
      </c>
      <c r="AA842" s="48"/>
      <c r="AB842" s="65" t="str">
        <f ca="1">IF(Tableau1[[#This Row],[Date rév.]]&lt;&gt;"", DAYS360(Tableau1[[#This Row],[Date rév.]],TODAY()),"")</f>
        <v/>
      </c>
      <c r="AC842" s="50" t="str">
        <f>IFERROR(INDEX(Chemin_accès!$B$11:$C$22,MATCH(Tableau1[[#This Row],[Type]],Chemin_accès!$C$11:$C$22,0),1),Chemin_accès!$B$11)</f>
        <v>\\stjn.local\trimet\Btechnique\Commun\Atelier Central mécanique\Plan entretien\Modèles préventif\GammeDMS_7.MENG.xlsm</v>
      </c>
      <c r="AD842" s="50" t="str">
        <f>Chemin_accès!$B$8&amp;Tableau1[[#This Row],[Localisation / Classement]]&amp;"\"&amp;Tableau1[[#This Row],[Poste technique ou N° d''équipement]]&amp;"_"&amp;Tableau1[[#This Row],[Plan Entretien]]&amp;".xlsm"</f>
        <v>\\stjn.local\trimet\Btechnique\Commun\Atelier Central mécanique\Plan entretien\GammeEntretien\\_.xlsm</v>
      </c>
    </row>
    <row r="843" spans="1:30" x14ac:dyDescent="0.3">
      <c r="A843" s="44" t="str">
        <f t="shared" ca="1" si="13"/>
        <v>7.MENG</v>
      </c>
      <c r="B84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43" s="47"/>
      <c r="D843" s="44"/>
      <c r="E843" s="44"/>
      <c r="F843" s="47"/>
      <c r="G843" s="47"/>
      <c r="H843" s="45"/>
      <c r="I843" s="45"/>
      <c r="J843" s="45"/>
      <c r="K843" s="45"/>
      <c r="L843" s="46"/>
      <c r="M843" s="47"/>
      <c r="N843" s="47"/>
      <c r="O843" s="47"/>
      <c r="P843" s="47"/>
      <c r="Q843" s="47"/>
      <c r="R843" s="47"/>
      <c r="S843" s="48"/>
      <c r="T843" s="68" t="str">
        <f>IF(Tableau1[[#This Row],[DMS_SAP]]="","",HYPERLINK(Tableau1[[#This Row],[Chemin fichier source]],"X"))</f>
        <v/>
      </c>
      <c r="U843" s="68" t="str">
        <f>IF(Tableau1[[#This Row],[Date rév.]]="","",HYPERLINK(Tableau1[[#This Row],[Lien document]],"X"))</f>
        <v/>
      </c>
      <c r="V843" s="47"/>
      <c r="W84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43" s="47"/>
      <c r="Y843" s="47"/>
      <c r="Z843" s="44" t="str">
        <f ca="1">IF(AND(Tableau1[[#This Row],[Charge]]&lt;&gt;0, Tableau1[[#This Row],[Nombre intervenants]]&lt;&gt;0,Tableau1[[#This Row],[Lien document]]&lt;&gt;0,Tableau1[[#This Row],[DMS_SAP]]&lt;&gt;0)=TRUE,"MIS A JOUR","")</f>
        <v/>
      </c>
      <c r="AA843" s="48"/>
      <c r="AB843" s="65" t="str">
        <f ca="1">IF(Tableau1[[#This Row],[Date rév.]]&lt;&gt;"", DAYS360(Tableau1[[#This Row],[Date rév.]],TODAY()),"")</f>
        <v/>
      </c>
      <c r="AC843" s="50" t="str">
        <f>IFERROR(INDEX(Chemin_accès!$B$11:$C$22,MATCH(Tableau1[[#This Row],[Type]],Chemin_accès!$C$11:$C$22,0),1),Chemin_accès!$B$11)</f>
        <v>\\stjn.local\trimet\Btechnique\Commun\Atelier Central mécanique\Plan entretien\Modèles préventif\GammeDMS_7.MENG.xlsm</v>
      </c>
      <c r="AD843" s="50" t="str">
        <f>Chemin_accès!$B$8&amp;Tableau1[[#This Row],[Localisation / Classement]]&amp;"\"&amp;Tableau1[[#This Row],[Poste technique ou N° d''équipement]]&amp;"_"&amp;Tableau1[[#This Row],[Plan Entretien]]&amp;".xlsm"</f>
        <v>\\stjn.local\trimet\Btechnique\Commun\Atelier Central mécanique\Plan entretien\GammeEntretien\\_.xlsm</v>
      </c>
    </row>
    <row r="844" spans="1:30" x14ac:dyDescent="0.3">
      <c r="A844" s="44" t="str">
        <f t="shared" ca="1" si="13"/>
        <v>7.MENG</v>
      </c>
      <c r="B84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44" s="47"/>
      <c r="D844" s="44"/>
      <c r="E844" s="44"/>
      <c r="F844" s="47"/>
      <c r="G844" s="47"/>
      <c r="H844" s="45"/>
      <c r="I844" s="45"/>
      <c r="J844" s="45"/>
      <c r="K844" s="45"/>
      <c r="L844" s="46"/>
      <c r="M844" s="47"/>
      <c r="N844" s="47"/>
      <c r="O844" s="47"/>
      <c r="P844" s="47"/>
      <c r="Q844" s="47"/>
      <c r="R844" s="47"/>
      <c r="S844" s="48"/>
      <c r="T844" s="68" t="str">
        <f>IF(Tableau1[[#This Row],[DMS_SAP]]="","",HYPERLINK(Tableau1[[#This Row],[Chemin fichier source]],"X"))</f>
        <v/>
      </c>
      <c r="U844" s="68" t="str">
        <f>IF(Tableau1[[#This Row],[Date rév.]]="","",HYPERLINK(Tableau1[[#This Row],[Lien document]],"X"))</f>
        <v/>
      </c>
      <c r="V844" s="47"/>
      <c r="W84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44" s="47"/>
      <c r="Y844" s="47"/>
      <c r="Z844" s="44" t="str">
        <f ca="1">IF(AND(Tableau1[[#This Row],[Charge]]&lt;&gt;0, Tableau1[[#This Row],[Nombre intervenants]]&lt;&gt;0,Tableau1[[#This Row],[Lien document]]&lt;&gt;0,Tableau1[[#This Row],[DMS_SAP]]&lt;&gt;0)=TRUE,"MIS A JOUR","")</f>
        <v/>
      </c>
      <c r="AA844" s="48"/>
      <c r="AB844" s="65" t="str">
        <f ca="1">IF(Tableau1[[#This Row],[Date rév.]]&lt;&gt;"", DAYS360(Tableau1[[#This Row],[Date rév.]],TODAY()),"")</f>
        <v/>
      </c>
      <c r="AC844" s="50" t="str">
        <f>IFERROR(INDEX(Chemin_accès!$B$11:$C$22,MATCH(Tableau1[[#This Row],[Type]],Chemin_accès!$C$11:$C$22,0),1),Chemin_accès!$B$11)</f>
        <v>\\stjn.local\trimet\Btechnique\Commun\Atelier Central mécanique\Plan entretien\Modèles préventif\GammeDMS_7.MENG.xlsm</v>
      </c>
      <c r="AD844" s="50" t="str">
        <f>Chemin_accès!$B$8&amp;Tableau1[[#This Row],[Localisation / Classement]]&amp;"\"&amp;Tableau1[[#This Row],[Poste technique ou N° d''équipement]]&amp;"_"&amp;Tableau1[[#This Row],[Plan Entretien]]&amp;".xlsm"</f>
        <v>\\stjn.local\trimet\Btechnique\Commun\Atelier Central mécanique\Plan entretien\GammeEntretien\\_.xlsm</v>
      </c>
    </row>
    <row r="845" spans="1:30" x14ac:dyDescent="0.3">
      <c r="A845" s="44" t="str">
        <f t="shared" ca="1" si="13"/>
        <v>7.MENG</v>
      </c>
      <c r="B84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45" s="47"/>
      <c r="D845" s="44"/>
      <c r="E845" s="44"/>
      <c r="F845" s="47"/>
      <c r="G845" s="47"/>
      <c r="H845" s="45"/>
      <c r="I845" s="45"/>
      <c r="J845" s="45"/>
      <c r="K845" s="45"/>
      <c r="L845" s="46"/>
      <c r="M845" s="47"/>
      <c r="N845" s="47"/>
      <c r="O845" s="47"/>
      <c r="P845" s="47"/>
      <c r="Q845" s="47"/>
      <c r="R845" s="47"/>
      <c r="S845" s="48"/>
      <c r="T845" s="68" t="str">
        <f>IF(Tableau1[[#This Row],[DMS_SAP]]="","",HYPERLINK(Tableau1[[#This Row],[Chemin fichier source]],"X"))</f>
        <v/>
      </c>
      <c r="U845" s="68" t="str">
        <f>IF(Tableau1[[#This Row],[Date rév.]]="","",HYPERLINK(Tableau1[[#This Row],[Lien document]],"X"))</f>
        <v/>
      </c>
      <c r="V845" s="47"/>
      <c r="W84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45" s="47"/>
      <c r="Y845" s="47"/>
      <c r="Z845" s="44" t="str">
        <f ca="1">IF(AND(Tableau1[[#This Row],[Charge]]&lt;&gt;0, Tableau1[[#This Row],[Nombre intervenants]]&lt;&gt;0,Tableau1[[#This Row],[Lien document]]&lt;&gt;0,Tableau1[[#This Row],[DMS_SAP]]&lt;&gt;0)=TRUE,"MIS A JOUR","")</f>
        <v/>
      </c>
      <c r="AA845" s="48"/>
      <c r="AB845" s="65" t="str">
        <f ca="1">IF(Tableau1[[#This Row],[Date rév.]]&lt;&gt;"", DAYS360(Tableau1[[#This Row],[Date rév.]],TODAY()),"")</f>
        <v/>
      </c>
      <c r="AC845" s="50" t="str">
        <f>IFERROR(INDEX(Chemin_accès!$B$11:$C$22,MATCH(Tableau1[[#This Row],[Type]],Chemin_accès!$C$11:$C$22,0),1),Chemin_accès!$B$11)</f>
        <v>\\stjn.local\trimet\Btechnique\Commun\Atelier Central mécanique\Plan entretien\Modèles préventif\GammeDMS_7.MENG.xlsm</v>
      </c>
      <c r="AD845" s="50" t="str">
        <f>Chemin_accès!$B$8&amp;Tableau1[[#This Row],[Localisation / Classement]]&amp;"\"&amp;Tableau1[[#This Row],[Poste technique ou N° d''équipement]]&amp;"_"&amp;Tableau1[[#This Row],[Plan Entretien]]&amp;".xlsm"</f>
        <v>\\stjn.local\trimet\Btechnique\Commun\Atelier Central mécanique\Plan entretien\GammeEntretien\\_.xlsm</v>
      </c>
    </row>
    <row r="846" spans="1:30" x14ac:dyDescent="0.3">
      <c r="A846" s="44" t="str">
        <f t="shared" ca="1" si="13"/>
        <v>7.MENG</v>
      </c>
      <c r="B84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46" s="47"/>
      <c r="D846" s="44"/>
      <c r="E846" s="44"/>
      <c r="F846" s="47"/>
      <c r="G846" s="47"/>
      <c r="H846" s="45"/>
      <c r="I846" s="45"/>
      <c r="J846" s="45"/>
      <c r="K846" s="45"/>
      <c r="L846" s="46"/>
      <c r="M846" s="47"/>
      <c r="N846" s="47"/>
      <c r="O846" s="47"/>
      <c r="P846" s="47"/>
      <c r="Q846" s="47"/>
      <c r="R846" s="47"/>
      <c r="S846" s="48"/>
      <c r="T846" s="68" t="str">
        <f>IF(Tableau1[[#This Row],[DMS_SAP]]="","",HYPERLINK(Tableau1[[#This Row],[Chemin fichier source]],"X"))</f>
        <v/>
      </c>
      <c r="U846" s="68" t="str">
        <f>IF(Tableau1[[#This Row],[Date rév.]]="","",HYPERLINK(Tableau1[[#This Row],[Lien document]],"X"))</f>
        <v/>
      </c>
      <c r="V846" s="47"/>
      <c r="W84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46" s="47"/>
      <c r="Y846" s="47"/>
      <c r="Z846" s="44" t="str">
        <f ca="1">IF(AND(Tableau1[[#This Row],[Charge]]&lt;&gt;0, Tableau1[[#This Row],[Nombre intervenants]]&lt;&gt;0,Tableau1[[#This Row],[Lien document]]&lt;&gt;0,Tableau1[[#This Row],[DMS_SAP]]&lt;&gt;0)=TRUE,"MIS A JOUR","")</f>
        <v/>
      </c>
      <c r="AA846" s="48"/>
      <c r="AB846" s="65" t="str">
        <f ca="1">IF(Tableau1[[#This Row],[Date rév.]]&lt;&gt;"", DAYS360(Tableau1[[#This Row],[Date rév.]],TODAY()),"")</f>
        <v/>
      </c>
      <c r="AC846" s="50" t="str">
        <f>IFERROR(INDEX(Chemin_accès!$B$11:$C$22,MATCH(Tableau1[[#This Row],[Type]],Chemin_accès!$C$11:$C$22,0),1),Chemin_accès!$B$11)</f>
        <v>\\stjn.local\trimet\Btechnique\Commun\Atelier Central mécanique\Plan entretien\Modèles préventif\GammeDMS_7.MENG.xlsm</v>
      </c>
      <c r="AD846" s="50" t="str">
        <f>Chemin_accès!$B$8&amp;Tableau1[[#This Row],[Localisation / Classement]]&amp;"\"&amp;Tableau1[[#This Row],[Poste technique ou N° d''équipement]]&amp;"_"&amp;Tableau1[[#This Row],[Plan Entretien]]&amp;".xlsm"</f>
        <v>\\stjn.local\trimet\Btechnique\Commun\Atelier Central mécanique\Plan entretien\GammeEntretien\\_.xlsm</v>
      </c>
    </row>
    <row r="847" spans="1:30" x14ac:dyDescent="0.3">
      <c r="A847" s="44" t="str">
        <f t="shared" ca="1" si="13"/>
        <v>7.MENG</v>
      </c>
      <c r="B84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47" s="47"/>
      <c r="D847" s="44"/>
      <c r="E847" s="44"/>
      <c r="F847" s="47"/>
      <c r="G847" s="47"/>
      <c r="H847" s="45"/>
      <c r="I847" s="45"/>
      <c r="J847" s="45"/>
      <c r="K847" s="45"/>
      <c r="L847" s="46"/>
      <c r="M847" s="47"/>
      <c r="N847" s="47"/>
      <c r="O847" s="47"/>
      <c r="P847" s="47"/>
      <c r="Q847" s="47"/>
      <c r="R847" s="47"/>
      <c r="S847" s="48"/>
      <c r="T847" s="68" t="str">
        <f>IF(Tableau1[[#This Row],[DMS_SAP]]="","",HYPERLINK(Tableau1[[#This Row],[Chemin fichier source]],"X"))</f>
        <v/>
      </c>
      <c r="U847" s="68" t="str">
        <f>IF(Tableau1[[#This Row],[Date rév.]]="","",HYPERLINK(Tableau1[[#This Row],[Lien document]],"X"))</f>
        <v/>
      </c>
      <c r="V847" s="47"/>
      <c r="W84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47" s="47"/>
      <c r="Y847" s="47"/>
      <c r="Z847" s="44" t="str">
        <f ca="1">IF(AND(Tableau1[[#This Row],[Charge]]&lt;&gt;0, Tableau1[[#This Row],[Nombre intervenants]]&lt;&gt;0,Tableau1[[#This Row],[Lien document]]&lt;&gt;0,Tableau1[[#This Row],[DMS_SAP]]&lt;&gt;0)=TRUE,"MIS A JOUR","")</f>
        <v/>
      </c>
      <c r="AA847" s="48"/>
      <c r="AB847" s="65" t="str">
        <f ca="1">IF(Tableau1[[#This Row],[Date rév.]]&lt;&gt;"", DAYS360(Tableau1[[#This Row],[Date rév.]],TODAY()),"")</f>
        <v/>
      </c>
      <c r="AC847" s="50" t="str">
        <f>IFERROR(INDEX(Chemin_accès!$B$11:$C$22,MATCH(Tableau1[[#This Row],[Type]],Chemin_accès!$C$11:$C$22,0),1),Chemin_accès!$B$11)</f>
        <v>\\stjn.local\trimet\Btechnique\Commun\Atelier Central mécanique\Plan entretien\Modèles préventif\GammeDMS_7.MENG.xlsm</v>
      </c>
      <c r="AD847" s="50" t="str">
        <f>Chemin_accès!$B$8&amp;Tableau1[[#This Row],[Localisation / Classement]]&amp;"\"&amp;Tableau1[[#This Row],[Poste technique ou N° d''équipement]]&amp;"_"&amp;Tableau1[[#This Row],[Plan Entretien]]&amp;".xlsm"</f>
        <v>\\stjn.local\trimet\Btechnique\Commun\Atelier Central mécanique\Plan entretien\GammeEntretien\\_.xlsm</v>
      </c>
    </row>
    <row r="848" spans="1:30" x14ac:dyDescent="0.3">
      <c r="A848" s="44" t="str">
        <f t="shared" ca="1" si="13"/>
        <v>7.MENG</v>
      </c>
      <c r="B84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48" s="47"/>
      <c r="D848" s="44"/>
      <c r="E848" s="44"/>
      <c r="F848" s="47"/>
      <c r="G848" s="47"/>
      <c r="H848" s="45"/>
      <c r="I848" s="45"/>
      <c r="J848" s="45"/>
      <c r="K848" s="45"/>
      <c r="L848" s="46"/>
      <c r="M848" s="47"/>
      <c r="N848" s="47"/>
      <c r="O848" s="47"/>
      <c r="P848" s="47"/>
      <c r="Q848" s="47"/>
      <c r="R848" s="47"/>
      <c r="S848" s="48"/>
      <c r="T848" s="68" t="str">
        <f>IF(Tableau1[[#This Row],[DMS_SAP]]="","",HYPERLINK(Tableau1[[#This Row],[Chemin fichier source]],"X"))</f>
        <v/>
      </c>
      <c r="U848" s="68" t="str">
        <f>IF(Tableau1[[#This Row],[Date rév.]]="","",HYPERLINK(Tableau1[[#This Row],[Lien document]],"X"))</f>
        <v/>
      </c>
      <c r="V848" s="47"/>
      <c r="W84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48" s="47"/>
      <c r="Y848" s="47"/>
      <c r="Z848" s="44" t="str">
        <f ca="1">IF(AND(Tableau1[[#This Row],[Charge]]&lt;&gt;0, Tableau1[[#This Row],[Nombre intervenants]]&lt;&gt;0,Tableau1[[#This Row],[Lien document]]&lt;&gt;0,Tableau1[[#This Row],[DMS_SAP]]&lt;&gt;0)=TRUE,"MIS A JOUR","")</f>
        <v/>
      </c>
      <c r="AA848" s="48"/>
      <c r="AB848" s="65" t="str">
        <f ca="1">IF(Tableau1[[#This Row],[Date rév.]]&lt;&gt;"", DAYS360(Tableau1[[#This Row],[Date rév.]],TODAY()),"")</f>
        <v/>
      </c>
      <c r="AC848" s="50" t="str">
        <f>IFERROR(INDEX(Chemin_accès!$B$11:$C$22,MATCH(Tableau1[[#This Row],[Type]],Chemin_accès!$C$11:$C$22,0),1),Chemin_accès!$B$11)</f>
        <v>\\stjn.local\trimet\Btechnique\Commun\Atelier Central mécanique\Plan entretien\Modèles préventif\GammeDMS_7.MENG.xlsm</v>
      </c>
      <c r="AD848" s="50" t="str">
        <f>Chemin_accès!$B$8&amp;Tableau1[[#This Row],[Localisation / Classement]]&amp;"\"&amp;Tableau1[[#This Row],[Poste technique ou N° d''équipement]]&amp;"_"&amp;Tableau1[[#This Row],[Plan Entretien]]&amp;".xlsm"</f>
        <v>\\stjn.local\trimet\Btechnique\Commun\Atelier Central mécanique\Plan entretien\GammeEntretien\\_.xlsm</v>
      </c>
    </row>
    <row r="849" spans="1:30" x14ac:dyDescent="0.3">
      <c r="A849" s="44" t="str">
        <f t="shared" ca="1" si="13"/>
        <v>7.MENG</v>
      </c>
      <c r="B84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49" s="47"/>
      <c r="D849" s="44"/>
      <c r="E849" s="44"/>
      <c r="F849" s="47"/>
      <c r="G849" s="47"/>
      <c r="H849" s="45"/>
      <c r="I849" s="45"/>
      <c r="J849" s="45"/>
      <c r="K849" s="45"/>
      <c r="L849" s="46"/>
      <c r="M849" s="47"/>
      <c r="N849" s="47"/>
      <c r="O849" s="47"/>
      <c r="P849" s="47"/>
      <c r="Q849" s="47"/>
      <c r="R849" s="47"/>
      <c r="S849" s="48"/>
      <c r="T849" s="68" t="str">
        <f>IF(Tableau1[[#This Row],[DMS_SAP]]="","",HYPERLINK(Tableau1[[#This Row],[Chemin fichier source]],"X"))</f>
        <v/>
      </c>
      <c r="U849" s="68" t="str">
        <f>IF(Tableau1[[#This Row],[Date rév.]]="","",HYPERLINK(Tableau1[[#This Row],[Lien document]],"X"))</f>
        <v/>
      </c>
      <c r="V849" s="47"/>
      <c r="W84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49" s="47"/>
      <c r="Y849" s="47"/>
      <c r="Z849" s="44" t="str">
        <f ca="1">IF(AND(Tableau1[[#This Row],[Charge]]&lt;&gt;0, Tableau1[[#This Row],[Nombre intervenants]]&lt;&gt;0,Tableau1[[#This Row],[Lien document]]&lt;&gt;0,Tableau1[[#This Row],[DMS_SAP]]&lt;&gt;0)=TRUE,"MIS A JOUR","")</f>
        <v/>
      </c>
      <c r="AA849" s="48"/>
      <c r="AB849" s="65" t="str">
        <f ca="1">IF(Tableau1[[#This Row],[Date rév.]]&lt;&gt;"", DAYS360(Tableau1[[#This Row],[Date rév.]],TODAY()),"")</f>
        <v/>
      </c>
      <c r="AC849" s="50" t="str">
        <f>IFERROR(INDEX(Chemin_accès!$B$11:$C$22,MATCH(Tableau1[[#This Row],[Type]],Chemin_accès!$C$11:$C$22,0),1),Chemin_accès!$B$11)</f>
        <v>\\stjn.local\trimet\Btechnique\Commun\Atelier Central mécanique\Plan entretien\Modèles préventif\GammeDMS_7.MENG.xlsm</v>
      </c>
      <c r="AD849" s="50" t="str">
        <f>Chemin_accès!$B$8&amp;Tableau1[[#This Row],[Localisation / Classement]]&amp;"\"&amp;Tableau1[[#This Row],[Poste technique ou N° d''équipement]]&amp;"_"&amp;Tableau1[[#This Row],[Plan Entretien]]&amp;".xlsm"</f>
        <v>\\stjn.local\trimet\Btechnique\Commun\Atelier Central mécanique\Plan entretien\GammeEntretien\\_.xlsm</v>
      </c>
    </row>
    <row r="850" spans="1:30" x14ac:dyDescent="0.3">
      <c r="A850" s="44" t="str">
        <f t="shared" ca="1" si="13"/>
        <v>7.MENG</v>
      </c>
      <c r="B85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50" s="47"/>
      <c r="D850" s="44"/>
      <c r="E850" s="44"/>
      <c r="F850" s="47"/>
      <c r="G850" s="47"/>
      <c r="H850" s="45"/>
      <c r="I850" s="45"/>
      <c r="J850" s="45"/>
      <c r="K850" s="45"/>
      <c r="L850" s="46"/>
      <c r="M850" s="47"/>
      <c r="N850" s="47"/>
      <c r="O850" s="47"/>
      <c r="P850" s="47"/>
      <c r="Q850" s="47"/>
      <c r="R850" s="47"/>
      <c r="S850" s="48"/>
      <c r="T850" s="68" t="str">
        <f>IF(Tableau1[[#This Row],[DMS_SAP]]="","",HYPERLINK(Tableau1[[#This Row],[Chemin fichier source]],"X"))</f>
        <v/>
      </c>
      <c r="U850" s="68" t="str">
        <f>IF(Tableau1[[#This Row],[Date rév.]]="","",HYPERLINK(Tableau1[[#This Row],[Lien document]],"X"))</f>
        <v/>
      </c>
      <c r="V850" s="47"/>
      <c r="W85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50" s="47"/>
      <c r="Y850" s="47"/>
      <c r="Z850" s="44" t="str">
        <f ca="1">IF(AND(Tableau1[[#This Row],[Charge]]&lt;&gt;0, Tableau1[[#This Row],[Nombre intervenants]]&lt;&gt;0,Tableau1[[#This Row],[Lien document]]&lt;&gt;0,Tableau1[[#This Row],[DMS_SAP]]&lt;&gt;0)=TRUE,"MIS A JOUR","")</f>
        <v/>
      </c>
      <c r="AA850" s="48"/>
      <c r="AB850" s="65" t="str">
        <f ca="1">IF(Tableau1[[#This Row],[Date rév.]]&lt;&gt;"", DAYS360(Tableau1[[#This Row],[Date rév.]],TODAY()),"")</f>
        <v/>
      </c>
      <c r="AC850" s="50" t="str">
        <f>IFERROR(INDEX(Chemin_accès!$B$11:$C$22,MATCH(Tableau1[[#This Row],[Type]],Chemin_accès!$C$11:$C$22,0),1),Chemin_accès!$B$11)</f>
        <v>\\stjn.local\trimet\Btechnique\Commun\Atelier Central mécanique\Plan entretien\Modèles préventif\GammeDMS_7.MENG.xlsm</v>
      </c>
      <c r="AD850" s="50" t="str">
        <f>Chemin_accès!$B$8&amp;Tableau1[[#This Row],[Localisation / Classement]]&amp;"\"&amp;Tableau1[[#This Row],[Poste technique ou N° d''équipement]]&amp;"_"&amp;Tableau1[[#This Row],[Plan Entretien]]&amp;".xlsm"</f>
        <v>\\stjn.local\trimet\Btechnique\Commun\Atelier Central mécanique\Plan entretien\GammeEntretien\\_.xlsm</v>
      </c>
    </row>
    <row r="851" spans="1:30" x14ac:dyDescent="0.3">
      <c r="A851" s="44" t="str">
        <f t="shared" ca="1" si="13"/>
        <v>7.MENG</v>
      </c>
      <c r="B85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51" s="47"/>
      <c r="D851" s="44"/>
      <c r="E851" s="44"/>
      <c r="F851" s="47"/>
      <c r="G851" s="47"/>
      <c r="H851" s="45"/>
      <c r="I851" s="45"/>
      <c r="J851" s="45"/>
      <c r="K851" s="45"/>
      <c r="L851" s="46"/>
      <c r="M851" s="47"/>
      <c r="N851" s="47"/>
      <c r="O851" s="47"/>
      <c r="P851" s="47"/>
      <c r="Q851" s="47"/>
      <c r="R851" s="47"/>
      <c r="S851" s="48"/>
      <c r="T851" s="68" t="str">
        <f>IF(Tableau1[[#This Row],[DMS_SAP]]="","",HYPERLINK(Tableau1[[#This Row],[Chemin fichier source]],"X"))</f>
        <v/>
      </c>
      <c r="U851" s="68" t="str">
        <f>IF(Tableau1[[#This Row],[Date rév.]]="","",HYPERLINK(Tableau1[[#This Row],[Lien document]],"X"))</f>
        <v/>
      </c>
      <c r="V851" s="47"/>
      <c r="W85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51" s="47"/>
      <c r="Y851" s="47"/>
      <c r="Z851" s="44" t="str">
        <f ca="1">IF(AND(Tableau1[[#This Row],[Charge]]&lt;&gt;0, Tableau1[[#This Row],[Nombre intervenants]]&lt;&gt;0,Tableau1[[#This Row],[Lien document]]&lt;&gt;0,Tableau1[[#This Row],[DMS_SAP]]&lt;&gt;0)=TRUE,"MIS A JOUR","")</f>
        <v/>
      </c>
      <c r="AA851" s="48"/>
      <c r="AB851" s="65" t="str">
        <f ca="1">IF(Tableau1[[#This Row],[Date rév.]]&lt;&gt;"", DAYS360(Tableau1[[#This Row],[Date rév.]],TODAY()),"")</f>
        <v/>
      </c>
      <c r="AC851" s="50" t="str">
        <f>IFERROR(INDEX(Chemin_accès!$B$11:$C$22,MATCH(Tableau1[[#This Row],[Type]],Chemin_accès!$C$11:$C$22,0),1),Chemin_accès!$B$11)</f>
        <v>\\stjn.local\trimet\Btechnique\Commun\Atelier Central mécanique\Plan entretien\Modèles préventif\GammeDMS_7.MENG.xlsm</v>
      </c>
      <c r="AD851" s="50" t="str">
        <f>Chemin_accès!$B$8&amp;Tableau1[[#This Row],[Localisation / Classement]]&amp;"\"&amp;Tableau1[[#This Row],[Poste technique ou N° d''équipement]]&amp;"_"&amp;Tableau1[[#This Row],[Plan Entretien]]&amp;".xlsm"</f>
        <v>\\stjn.local\trimet\Btechnique\Commun\Atelier Central mécanique\Plan entretien\GammeEntretien\\_.xlsm</v>
      </c>
    </row>
    <row r="852" spans="1:30" x14ac:dyDescent="0.3">
      <c r="A852" s="44" t="str">
        <f t="shared" ca="1" si="13"/>
        <v>7.MENG</v>
      </c>
      <c r="B85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52" s="47"/>
      <c r="D852" s="44"/>
      <c r="E852" s="44"/>
      <c r="F852" s="47"/>
      <c r="G852" s="47"/>
      <c r="H852" s="45"/>
      <c r="I852" s="45"/>
      <c r="J852" s="45"/>
      <c r="K852" s="45"/>
      <c r="L852" s="46"/>
      <c r="M852" s="47"/>
      <c r="N852" s="47"/>
      <c r="O852" s="47"/>
      <c r="P852" s="47"/>
      <c r="Q852" s="47"/>
      <c r="R852" s="47"/>
      <c r="S852" s="48"/>
      <c r="T852" s="68" t="str">
        <f>IF(Tableau1[[#This Row],[DMS_SAP]]="","",HYPERLINK(Tableau1[[#This Row],[Chemin fichier source]],"X"))</f>
        <v/>
      </c>
      <c r="U852" s="68" t="str">
        <f>IF(Tableau1[[#This Row],[Date rév.]]="","",HYPERLINK(Tableau1[[#This Row],[Lien document]],"X"))</f>
        <v/>
      </c>
      <c r="V852" s="47"/>
      <c r="W85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52" s="47"/>
      <c r="Y852" s="47"/>
      <c r="Z852" s="44" t="str">
        <f ca="1">IF(AND(Tableau1[[#This Row],[Charge]]&lt;&gt;0, Tableau1[[#This Row],[Nombre intervenants]]&lt;&gt;0,Tableau1[[#This Row],[Lien document]]&lt;&gt;0,Tableau1[[#This Row],[DMS_SAP]]&lt;&gt;0)=TRUE,"MIS A JOUR","")</f>
        <v/>
      </c>
      <c r="AA852" s="48"/>
      <c r="AB852" s="65" t="str">
        <f ca="1">IF(Tableau1[[#This Row],[Date rév.]]&lt;&gt;"", DAYS360(Tableau1[[#This Row],[Date rév.]],TODAY()),"")</f>
        <v/>
      </c>
      <c r="AC852" s="50" t="str">
        <f>IFERROR(INDEX(Chemin_accès!$B$11:$C$22,MATCH(Tableau1[[#This Row],[Type]],Chemin_accès!$C$11:$C$22,0),1),Chemin_accès!$B$11)</f>
        <v>\\stjn.local\trimet\Btechnique\Commun\Atelier Central mécanique\Plan entretien\Modèles préventif\GammeDMS_7.MENG.xlsm</v>
      </c>
      <c r="AD852" s="50" t="str">
        <f>Chemin_accès!$B$8&amp;Tableau1[[#This Row],[Localisation / Classement]]&amp;"\"&amp;Tableau1[[#This Row],[Poste technique ou N° d''équipement]]&amp;"_"&amp;Tableau1[[#This Row],[Plan Entretien]]&amp;".xlsm"</f>
        <v>\\stjn.local\trimet\Btechnique\Commun\Atelier Central mécanique\Plan entretien\GammeEntretien\\_.xlsm</v>
      </c>
    </row>
    <row r="853" spans="1:30" x14ac:dyDescent="0.3">
      <c r="A853" s="44" t="str">
        <f t="shared" ca="1" si="13"/>
        <v>7.MENG</v>
      </c>
      <c r="B85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53" s="47"/>
      <c r="D853" s="44"/>
      <c r="E853" s="44"/>
      <c r="F853" s="47"/>
      <c r="G853" s="47"/>
      <c r="H853" s="45"/>
      <c r="I853" s="45"/>
      <c r="J853" s="45"/>
      <c r="K853" s="45"/>
      <c r="L853" s="46"/>
      <c r="M853" s="47"/>
      <c r="N853" s="47"/>
      <c r="O853" s="47"/>
      <c r="P853" s="47"/>
      <c r="Q853" s="47"/>
      <c r="R853" s="47"/>
      <c r="S853" s="48"/>
      <c r="T853" s="68" t="str">
        <f>IF(Tableau1[[#This Row],[DMS_SAP]]="","",HYPERLINK(Tableau1[[#This Row],[Chemin fichier source]],"X"))</f>
        <v/>
      </c>
      <c r="U853" s="68" t="str">
        <f>IF(Tableau1[[#This Row],[Date rév.]]="","",HYPERLINK(Tableau1[[#This Row],[Lien document]],"X"))</f>
        <v/>
      </c>
      <c r="V853" s="47"/>
      <c r="W85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53" s="47"/>
      <c r="Y853" s="47"/>
      <c r="Z853" s="44" t="str">
        <f ca="1">IF(AND(Tableau1[[#This Row],[Charge]]&lt;&gt;0, Tableau1[[#This Row],[Nombre intervenants]]&lt;&gt;0,Tableau1[[#This Row],[Lien document]]&lt;&gt;0,Tableau1[[#This Row],[DMS_SAP]]&lt;&gt;0)=TRUE,"MIS A JOUR","")</f>
        <v/>
      </c>
      <c r="AA853" s="48"/>
      <c r="AB853" s="65" t="str">
        <f ca="1">IF(Tableau1[[#This Row],[Date rév.]]&lt;&gt;"", DAYS360(Tableau1[[#This Row],[Date rév.]],TODAY()),"")</f>
        <v/>
      </c>
      <c r="AC853" s="50" t="str">
        <f>IFERROR(INDEX(Chemin_accès!$B$11:$C$22,MATCH(Tableau1[[#This Row],[Type]],Chemin_accès!$C$11:$C$22,0),1),Chemin_accès!$B$11)</f>
        <v>\\stjn.local\trimet\Btechnique\Commun\Atelier Central mécanique\Plan entretien\Modèles préventif\GammeDMS_7.MENG.xlsm</v>
      </c>
      <c r="AD853" s="50" t="str">
        <f>Chemin_accès!$B$8&amp;Tableau1[[#This Row],[Localisation / Classement]]&amp;"\"&amp;Tableau1[[#This Row],[Poste technique ou N° d''équipement]]&amp;"_"&amp;Tableau1[[#This Row],[Plan Entretien]]&amp;".xlsm"</f>
        <v>\\stjn.local\trimet\Btechnique\Commun\Atelier Central mécanique\Plan entretien\GammeEntretien\\_.xlsm</v>
      </c>
    </row>
    <row r="854" spans="1:30" x14ac:dyDescent="0.3">
      <c r="A854" s="44" t="str">
        <f t="shared" ca="1" si="13"/>
        <v>7.MENG</v>
      </c>
      <c r="B85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54" s="47"/>
      <c r="D854" s="44"/>
      <c r="E854" s="44"/>
      <c r="F854" s="47"/>
      <c r="G854" s="47"/>
      <c r="H854" s="45"/>
      <c r="I854" s="45"/>
      <c r="J854" s="45"/>
      <c r="K854" s="45"/>
      <c r="L854" s="46"/>
      <c r="M854" s="47"/>
      <c r="N854" s="47"/>
      <c r="O854" s="47"/>
      <c r="P854" s="47"/>
      <c r="Q854" s="47"/>
      <c r="R854" s="47"/>
      <c r="S854" s="48"/>
      <c r="T854" s="68" t="str">
        <f>IF(Tableau1[[#This Row],[DMS_SAP]]="","",HYPERLINK(Tableau1[[#This Row],[Chemin fichier source]],"X"))</f>
        <v/>
      </c>
      <c r="U854" s="68" t="str">
        <f>IF(Tableau1[[#This Row],[Date rév.]]="","",HYPERLINK(Tableau1[[#This Row],[Lien document]],"X"))</f>
        <v/>
      </c>
      <c r="V854" s="47"/>
      <c r="W85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54" s="47"/>
      <c r="Y854" s="47"/>
      <c r="Z854" s="44" t="str">
        <f ca="1">IF(AND(Tableau1[[#This Row],[Charge]]&lt;&gt;0, Tableau1[[#This Row],[Nombre intervenants]]&lt;&gt;0,Tableau1[[#This Row],[Lien document]]&lt;&gt;0,Tableau1[[#This Row],[DMS_SAP]]&lt;&gt;0)=TRUE,"MIS A JOUR","")</f>
        <v/>
      </c>
      <c r="AA854" s="48"/>
      <c r="AB854" s="65" t="str">
        <f ca="1">IF(Tableau1[[#This Row],[Date rév.]]&lt;&gt;"", DAYS360(Tableau1[[#This Row],[Date rév.]],TODAY()),"")</f>
        <v/>
      </c>
      <c r="AC854" s="50" t="str">
        <f>IFERROR(INDEX(Chemin_accès!$B$11:$C$22,MATCH(Tableau1[[#This Row],[Type]],Chemin_accès!$C$11:$C$22,0),1),Chemin_accès!$B$11)</f>
        <v>\\stjn.local\trimet\Btechnique\Commun\Atelier Central mécanique\Plan entretien\Modèles préventif\GammeDMS_7.MENG.xlsm</v>
      </c>
      <c r="AD854" s="50" t="str">
        <f>Chemin_accès!$B$8&amp;Tableau1[[#This Row],[Localisation / Classement]]&amp;"\"&amp;Tableau1[[#This Row],[Poste technique ou N° d''équipement]]&amp;"_"&amp;Tableau1[[#This Row],[Plan Entretien]]&amp;".xlsm"</f>
        <v>\\stjn.local\trimet\Btechnique\Commun\Atelier Central mécanique\Plan entretien\GammeEntretien\\_.xlsm</v>
      </c>
    </row>
    <row r="855" spans="1:30" x14ac:dyDescent="0.3">
      <c r="A855" s="44" t="str">
        <f t="shared" ca="1" si="13"/>
        <v>7.MENG</v>
      </c>
      <c r="B85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55" s="47"/>
      <c r="D855" s="44"/>
      <c r="E855" s="44"/>
      <c r="F855" s="47"/>
      <c r="G855" s="47"/>
      <c r="H855" s="45"/>
      <c r="I855" s="45"/>
      <c r="J855" s="45"/>
      <c r="K855" s="45"/>
      <c r="L855" s="46"/>
      <c r="M855" s="47"/>
      <c r="N855" s="47"/>
      <c r="O855" s="47"/>
      <c r="P855" s="47"/>
      <c r="Q855" s="47"/>
      <c r="R855" s="47"/>
      <c r="S855" s="48"/>
      <c r="T855" s="68" t="str">
        <f>IF(Tableau1[[#This Row],[DMS_SAP]]="","",HYPERLINK(Tableau1[[#This Row],[Chemin fichier source]],"X"))</f>
        <v/>
      </c>
      <c r="U855" s="68" t="str">
        <f>IF(Tableau1[[#This Row],[Date rév.]]="","",HYPERLINK(Tableau1[[#This Row],[Lien document]],"X"))</f>
        <v/>
      </c>
      <c r="V855" s="47"/>
      <c r="W85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55" s="47"/>
      <c r="Y855" s="47"/>
      <c r="Z855" s="44" t="str">
        <f ca="1">IF(AND(Tableau1[[#This Row],[Charge]]&lt;&gt;0, Tableau1[[#This Row],[Nombre intervenants]]&lt;&gt;0,Tableau1[[#This Row],[Lien document]]&lt;&gt;0,Tableau1[[#This Row],[DMS_SAP]]&lt;&gt;0)=TRUE,"MIS A JOUR","")</f>
        <v/>
      </c>
      <c r="AA855" s="48"/>
      <c r="AB855" s="65" t="str">
        <f ca="1">IF(Tableau1[[#This Row],[Date rév.]]&lt;&gt;"", DAYS360(Tableau1[[#This Row],[Date rév.]],TODAY()),"")</f>
        <v/>
      </c>
      <c r="AC855" s="50" t="str">
        <f>IFERROR(INDEX(Chemin_accès!$B$11:$C$22,MATCH(Tableau1[[#This Row],[Type]],Chemin_accès!$C$11:$C$22,0),1),Chemin_accès!$B$11)</f>
        <v>\\stjn.local\trimet\Btechnique\Commun\Atelier Central mécanique\Plan entretien\Modèles préventif\GammeDMS_7.MENG.xlsm</v>
      </c>
      <c r="AD855" s="50" t="str">
        <f>Chemin_accès!$B$8&amp;Tableau1[[#This Row],[Localisation / Classement]]&amp;"\"&amp;Tableau1[[#This Row],[Poste technique ou N° d''équipement]]&amp;"_"&amp;Tableau1[[#This Row],[Plan Entretien]]&amp;".xlsm"</f>
        <v>\\stjn.local\trimet\Btechnique\Commun\Atelier Central mécanique\Plan entretien\GammeEntretien\\_.xlsm</v>
      </c>
    </row>
    <row r="856" spans="1:30" x14ac:dyDescent="0.3">
      <c r="A856" s="44" t="str">
        <f t="shared" ca="1" si="13"/>
        <v>7.MENG</v>
      </c>
      <c r="B85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56" s="47"/>
      <c r="D856" s="44"/>
      <c r="E856" s="44"/>
      <c r="F856" s="47"/>
      <c r="G856" s="47"/>
      <c r="H856" s="45"/>
      <c r="I856" s="45"/>
      <c r="J856" s="45"/>
      <c r="K856" s="45"/>
      <c r="L856" s="46"/>
      <c r="M856" s="47"/>
      <c r="N856" s="47"/>
      <c r="O856" s="47"/>
      <c r="P856" s="47"/>
      <c r="Q856" s="47"/>
      <c r="R856" s="47"/>
      <c r="S856" s="48"/>
      <c r="T856" s="68" t="str">
        <f>IF(Tableau1[[#This Row],[DMS_SAP]]="","",HYPERLINK(Tableau1[[#This Row],[Chemin fichier source]],"X"))</f>
        <v/>
      </c>
      <c r="U856" s="68" t="str">
        <f>IF(Tableau1[[#This Row],[Date rév.]]="","",HYPERLINK(Tableau1[[#This Row],[Lien document]],"X"))</f>
        <v/>
      </c>
      <c r="V856" s="47"/>
      <c r="W85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56" s="47"/>
      <c r="Y856" s="47"/>
      <c r="Z856" s="44" t="str">
        <f ca="1">IF(AND(Tableau1[[#This Row],[Charge]]&lt;&gt;0, Tableau1[[#This Row],[Nombre intervenants]]&lt;&gt;0,Tableau1[[#This Row],[Lien document]]&lt;&gt;0,Tableau1[[#This Row],[DMS_SAP]]&lt;&gt;0)=TRUE,"MIS A JOUR","")</f>
        <v/>
      </c>
      <c r="AA856" s="48"/>
      <c r="AB856" s="65" t="str">
        <f ca="1">IF(Tableau1[[#This Row],[Date rév.]]&lt;&gt;"", DAYS360(Tableau1[[#This Row],[Date rév.]],TODAY()),"")</f>
        <v/>
      </c>
      <c r="AC856" s="50" t="str">
        <f>IFERROR(INDEX(Chemin_accès!$B$11:$C$22,MATCH(Tableau1[[#This Row],[Type]],Chemin_accès!$C$11:$C$22,0),1),Chemin_accès!$B$11)</f>
        <v>\\stjn.local\trimet\Btechnique\Commun\Atelier Central mécanique\Plan entretien\Modèles préventif\GammeDMS_7.MENG.xlsm</v>
      </c>
      <c r="AD856" s="50" t="str">
        <f>Chemin_accès!$B$8&amp;Tableau1[[#This Row],[Localisation / Classement]]&amp;"\"&amp;Tableau1[[#This Row],[Poste technique ou N° d''équipement]]&amp;"_"&amp;Tableau1[[#This Row],[Plan Entretien]]&amp;".xlsm"</f>
        <v>\\stjn.local\trimet\Btechnique\Commun\Atelier Central mécanique\Plan entretien\GammeEntretien\\_.xlsm</v>
      </c>
    </row>
    <row r="857" spans="1:30" x14ac:dyDescent="0.3">
      <c r="A857" s="44" t="str">
        <f t="shared" ca="1" si="13"/>
        <v>7.MENG</v>
      </c>
      <c r="B85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57" s="47"/>
      <c r="D857" s="44"/>
      <c r="E857" s="44"/>
      <c r="F857" s="47"/>
      <c r="G857" s="47"/>
      <c r="H857" s="45"/>
      <c r="I857" s="45"/>
      <c r="J857" s="45"/>
      <c r="K857" s="45"/>
      <c r="L857" s="46"/>
      <c r="M857" s="47"/>
      <c r="N857" s="47"/>
      <c r="O857" s="47"/>
      <c r="P857" s="47"/>
      <c r="Q857" s="47"/>
      <c r="R857" s="47"/>
      <c r="S857" s="48"/>
      <c r="T857" s="68" t="str">
        <f>IF(Tableau1[[#This Row],[DMS_SAP]]="","",HYPERLINK(Tableau1[[#This Row],[Chemin fichier source]],"X"))</f>
        <v/>
      </c>
      <c r="U857" s="68" t="str">
        <f>IF(Tableau1[[#This Row],[Date rév.]]="","",HYPERLINK(Tableau1[[#This Row],[Lien document]],"X"))</f>
        <v/>
      </c>
      <c r="V857" s="47"/>
      <c r="W85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57" s="47"/>
      <c r="Y857" s="47"/>
      <c r="Z857" s="44" t="str">
        <f ca="1">IF(AND(Tableau1[[#This Row],[Charge]]&lt;&gt;0, Tableau1[[#This Row],[Nombre intervenants]]&lt;&gt;0,Tableau1[[#This Row],[Lien document]]&lt;&gt;0,Tableau1[[#This Row],[DMS_SAP]]&lt;&gt;0)=TRUE,"MIS A JOUR","")</f>
        <v/>
      </c>
      <c r="AA857" s="48"/>
      <c r="AB857" s="65" t="str">
        <f ca="1">IF(Tableau1[[#This Row],[Date rév.]]&lt;&gt;"", DAYS360(Tableau1[[#This Row],[Date rév.]],TODAY()),"")</f>
        <v/>
      </c>
      <c r="AC857" s="50" t="str">
        <f>IFERROR(INDEX(Chemin_accès!$B$11:$C$22,MATCH(Tableau1[[#This Row],[Type]],Chemin_accès!$C$11:$C$22,0),1),Chemin_accès!$B$11)</f>
        <v>\\stjn.local\trimet\Btechnique\Commun\Atelier Central mécanique\Plan entretien\Modèles préventif\GammeDMS_7.MENG.xlsm</v>
      </c>
      <c r="AD857" s="50" t="str">
        <f>Chemin_accès!$B$8&amp;Tableau1[[#This Row],[Localisation / Classement]]&amp;"\"&amp;Tableau1[[#This Row],[Poste technique ou N° d''équipement]]&amp;"_"&amp;Tableau1[[#This Row],[Plan Entretien]]&amp;".xlsm"</f>
        <v>\\stjn.local\trimet\Btechnique\Commun\Atelier Central mécanique\Plan entretien\GammeEntretien\\_.xlsm</v>
      </c>
    </row>
    <row r="858" spans="1:30" x14ac:dyDescent="0.3">
      <c r="A858" s="44" t="str">
        <f t="shared" ca="1" si="13"/>
        <v>7.MENG</v>
      </c>
      <c r="B85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58" s="47"/>
      <c r="D858" s="44"/>
      <c r="E858" s="44"/>
      <c r="F858" s="47"/>
      <c r="G858" s="47"/>
      <c r="H858" s="45"/>
      <c r="I858" s="45"/>
      <c r="J858" s="45"/>
      <c r="K858" s="45"/>
      <c r="L858" s="46"/>
      <c r="M858" s="47"/>
      <c r="N858" s="47"/>
      <c r="O858" s="47"/>
      <c r="P858" s="47"/>
      <c r="Q858" s="47"/>
      <c r="R858" s="47"/>
      <c r="S858" s="48"/>
      <c r="T858" s="68" t="str">
        <f>IF(Tableau1[[#This Row],[DMS_SAP]]="","",HYPERLINK(Tableau1[[#This Row],[Chemin fichier source]],"X"))</f>
        <v/>
      </c>
      <c r="U858" s="68" t="str">
        <f>IF(Tableau1[[#This Row],[Date rév.]]="","",HYPERLINK(Tableau1[[#This Row],[Lien document]],"X"))</f>
        <v/>
      </c>
      <c r="V858" s="47"/>
      <c r="W85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58" s="47"/>
      <c r="Y858" s="47"/>
      <c r="Z858" s="44" t="str">
        <f ca="1">IF(AND(Tableau1[[#This Row],[Charge]]&lt;&gt;0, Tableau1[[#This Row],[Nombre intervenants]]&lt;&gt;0,Tableau1[[#This Row],[Lien document]]&lt;&gt;0,Tableau1[[#This Row],[DMS_SAP]]&lt;&gt;0)=TRUE,"MIS A JOUR","")</f>
        <v/>
      </c>
      <c r="AA858" s="48"/>
      <c r="AB858" s="65" t="str">
        <f ca="1">IF(Tableau1[[#This Row],[Date rév.]]&lt;&gt;"", DAYS360(Tableau1[[#This Row],[Date rév.]],TODAY()),"")</f>
        <v/>
      </c>
      <c r="AC858" s="50" t="str">
        <f>IFERROR(INDEX(Chemin_accès!$B$11:$C$22,MATCH(Tableau1[[#This Row],[Type]],Chemin_accès!$C$11:$C$22,0),1),Chemin_accès!$B$11)</f>
        <v>\\stjn.local\trimet\Btechnique\Commun\Atelier Central mécanique\Plan entretien\Modèles préventif\GammeDMS_7.MENG.xlsm</v>
      </c>
      <c r="AD858" s="50" t="str">
        <f>Chemin_accès!$B$8&amp;Tableau1[[#This Row],[Localisation / Classement]]&amp;"\"&amp;Tableau1[[#This Row],[Poste technique ou N° d''équipement]]&amp;"_"&amp;Tableau1[[#This Row],[Plan Entretien]]&amp;".xlsm"</f>
        <v>\\stjn.local\trimet\Btechnique\Commun\Atelier Central mécanique\Plan entretien\GammeEntretien\\_.xlsm</v>
      </c>
    </row>
    <row r="859" spans="1:30" x14ac:dyDescent="0.3">
      <c r="A859" s="44" t="str">
        <f t="shared" ca="1" si="13"/>
        <v>7.MENG</v>
      </c>
      <c r="B85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59" s="47"/>
      <c r="D859" s="44"/>
      <c r="E859" s="44"/>
      <c r="F859" s="47"/>
      <c r="G859" s="47"/>
      <c r="H859" s="45"/>
      <c r="I859" s="45"/>
      <c r="J859" s="45"/>
      <c r="K859" s="45"/>
      <c r="L859" s="46"/>
      <c r="M859" s="47"/>
      <c r="N859" s="47"/>
      <c r="O859" s="47"/>
      <c r="P859" s="47"/>
      <c r="Q859" s="47"/>
      <c r="R859" s="47"/>
      <c r="S859" s="48"/>
      <c r="T859" s="68" t="str">
        <f>IF(Tableau1[[#This Row],[DMS_SAP]]="","",HYPERLINK(Tableau1[[#This Row],[Chemin fichier source]],"X"))</f>
        <v/>
      </c>
      <c r="U859" s="68" t="str">
        <f>IF(Tableau1[[#This Row],[Date rév.]]="","",HYPERLINK(Tableau1[[#This Row],[Lien document]],"X"))</f>
        <v/>
      </c>
      <c r="V859" s="47"/>
      <c r="W85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59" s="47"/>
      <c r="Y859" s="47"/>
      <c r="Z859" s="44" t="str">
        <f ca="1">IF(AND(Tableau1[[#This Row],[Charge]]&lt;&gt;0, Tableau1[[#This Row],[Nombre intervenants]]&lt;&gt;0,Tableau1[[#This Row],[Lien document]]&lt;&gt;0,Tableau1[[#This Row],[DMS_SAP]]&lt;&gt;0)=TRUE,"MIS A JOUR","")</f>
        <v/>
      </c>
      <c r="AA859" s="48"/>
      <c r="AB859" s="65" t="str">
        <f ca="1">IF(Tableau1[[#This Row],[Date rév.]]&lt;&gt;"", DAYS360(Tableau1[[#This Row],[Date rév.]],TODAY()),"")</f>
        <v/>
      </c>
      <c r="AC859" s="50" t="str">
        <f>IFERROR(INDEX(Chemin_accès!$B$11:$C$22,MATCH(Tableau1[[#This Row],[Type]],Chemin_accès!$C$11:$C$22,0),1),Chemin_accès!$B$11)</f>
        <v>\\stjn.local\trimet\Btechnique\Commun\Atelier Central mécanique\Plan entretien\Modèles préventif\GammeDMS_7.MENG.xlsm</v>
      </c>
      <c r="AD859" s="50" t="str">
        <f>Chemin_accès!$B$8&amp;Tableau1[[#This Row],[Localisation / Classement]]&amp;"\"&amp;Tableau1[[#This Row],[Poste technique ou N° d''équipement]]&amp;"_"&amp;Tableau1[[#This Row],[Plan Entretien]]&amp;".xlsm"</f>
        <v>\\stjn.local\trimet\Btechnique\Commun\Atelier Central mécanique\Plan entretien\GammeEntretien\\_.xlsm</v>
      </c>
    </row>
    <row r="860" spans="1:30" x14ac:dyDescent="0.3">
      <c r="A860" s="44" t="str">
        <f t="shared" ca="1" si="13"/>
        <v>7.MENG</v>
      </c>
      <c r="B86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60" s="47"/>
      <c r="D860" s="44"/>
      <c r="E860" s="44"/>
      <c r="F860" s="47"/>
      <c r="G860" s="47"/>
      <c r="H860" s="45"/>
      <c r="I860" s="45"/>
      <c r="J860" s="45"/>
      <c r="K860" s="45"/>
      <c r="L860" s="46"/>
      <c r="M860" s="47"/>
      <c r="N860" s="47"/>
      <c r="O860" s="47"/>
      <c r="P860" s="47"/>
      <c r="Q860" s="47"/>
      <c r="R860" s="47"/>
      <c r="S860" s="48"/>
      <c r="T860" s="68" t="str">
        <f>IF(Tableau1[[#This Row],[DMS_SAP]]="","",HYPERLINK(Tableau1[[#This Row],[Chemin fichier source]],"X"))</f>
        <v/>
      </c>
      <c r="U860" s="68" t="str">
        <f>IF(Tableau1[[#This Row],[Date rév.]]="","",HYPERLINK(Tableau1[[#This Row],[Lien document]],"X"))</f>
        <v/>
      </c>
      <c r="V860" s="47"/>
      <c r="W86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60" s="47"/>
      <c r="Y860" s="47"/>
      <c r="Z860" s="44" t="str">
        <f ca="1">IF(AND(Tableau1[[#This Row],[Charge]]&lt;&gt;0, Tableau1[[#This Row],[Nombre intervenants]]&lt;&gt;0,Tableau1[[#This Row],[Lien document]]&lt;&gt;0,Tableau1[[#This Row],[DMS_SAP]]&lt;&gt;0)=TRUE,"MIS A JOUR","")</f>
        <v/>
      </c>
      <c r="AA860" s="48"/>
      <c r="AB860" s="65" t="str">
        <f ca="1">IF(Tableau1[[#This Row],[Date rév.]]&lt;&gt;"", DAYS360(Tableau1[[#This Row],[Date rév.]],TODAY()),"")</f>
        <v/>
      </c>
      <c r="AC860" s="50" t="str">
        <f>IFERROR(INDEX(Chemin_accès!$B$11:$C$22,MATCH(Tableau1[[#This Row],[Type]],Chemin_accès!$C$11:$C$22,0),1),Chemin_accès!$B$11)</f>
        <v>\\stjn.local\trimet\Btechnique\Commun\Atelier Central mécanique\Plan entretien\Modèles préventif\GammeDMS_7.MENG.xlsm</v>
      </c>
      <c r="AD860" s="50" t="str">
        <f>Chemin_accès!$B$8&amp;Tableau1[[#This Row],[Localisation / Classement]]&amp;"\"&amp;Tableau1[[#This Row],[Poste technique ou N° d''équipement]]&amp;"_"&amp;Tableau1[[#This Row],[Plan Entretien]]&amp;".xlsm"</f>
        <v>\\stjn.local\trimet\Btechnique\Commun\Atelier Central mécanique\Plan entretien\GammeEntretien\\_.xlsm</v>
      </c>
    </row>
    <row r="861" spans="1:30" x14ac:dyDescent="0.3">
      <c r="A861" s="44" t="str">
        <f t="shared" ca="1" si="13"/>
        <v>7.MENG</v>
      </c>
      <c r="B86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61" s="47"/>
      <c r="D861" s="44"/>
      <c r="E861" s="44"/>
      <c r="F861" s="47"/>
      <c r="G861" s="47"/>
      <c r="H861" s="45"/>
      <c r="I861" s="45"/>
      <c r="J861" s="45"/>
      <c r="K861" s="45"/>
      <c r="L861" s="46"/>
      <c r="M861" s="47"/>
      <c r="N861" s="47"/>
      <c r="O861" s="47"/>
      <c r="P861" s="47"/>
      <c r="Q861" s="47"/>
      <c r="R861" s="47"/>
      <c r="S861" s="48"/>
      <c r="T861" s="68" t="str">
        <f>IF(Tableau1[[#This Row],[DMS_SAP]]="","",HYPERLINK(Tableau1[[#This Row],[Chemin fichier source]],"X"))</f>
        <v/>
      </c>
      <c r="U861" s="68" t="str">
        <f>IF(Tableau1[[#This Row],[Date rév.]]="","",HYPERLINK(Tableau1[[#This Row],[Lien document]],"X"))</f>
        <v/>
      </c>
      <c r="V861" s="47"/>
      <c r="W86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61" s="47"/>
      <c r="Y861" s="47"/>
      <c r="Z861" s="44" t="str">
        <f ca="1">IF(AND(Tableau1[[#This Row],[Charge]]&lt;&gt;0, Tableau1[[#This Row],[Nombre intervenants]]&lt;&gt;0,Tableau1[[#This Row],[Lien document]]&lt;&gt;0,Tableau1[[#This Row],[DMS_SAP]]&lt;&gt;0)=TRUE,"MIS A JOUR","")</f>
        <v/>
      </c>
      <c r="AA861" s="48"/>
      <c r="AB861" s="65" t="str">
        <f ca="1">IF(Tableau1[[#This Row],[Date rév.]]&lt;&gt;"", DAYS360(Tableau1[[#This Row],[Date rév.]],TODAY()),"")</f>
        <v/>
      </c>
      <c r="AC861" s="50" t="str">
        <f>IFERROR(INDEX(Chemin_accès!$B$11:$C$22,MATCH(Tableau1[[#This Row],[Type]],Chemin_accès!$C$11:$C$22,0),1),Chemin_accès!$B$11)</f>
        <v>\\stjn.local\trimet\Btechnique\Commun\Atelier Central mécanique\Plan entretien\Modèles préventif\GammeDMS_7.MENG.xlsm</v>
      </c>
      <c r="AD861" s="50" t="str">
        <f>Chemin_accès!$B$8&amp;Tableau1[[#This Row],[Localisation / Classement]]&amp;"\"&amp;Tableau1[[#This Row],[Poste technique ou N° d''équipement]]&amp;"_"&amp;Tableau1[[#This Row],[Plan Entretien]]&amp;".xlsm"</f>
        <v>\\stjn.local\trimet\Btechnique\Commun\Atelier Central mécanique\Plan entretien\GammeEntretien\\_.xlsm</v>
      </c>
    </row>
    <row r="862" spans="1:30" x14ac:dyDescent="0.3">
      <c r="A862" s="44" t="str">
        <f t="shared" ca="1" si="13"/>
        <v>7.MENG</v>
      </c>
      <c r="B86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62" s="47"/>
      <c r="D862" s="44"/>
      <c r="E862" s="44"/>
      <c r="F862" s="47"/>
      <c r="G862" s="47"/>
      <c r="H862" s="45"/>
      <c r="I862" s="45"/>
      <c r="J862" s="45"/>
      <c r="K862" s="45"/>
      <c r="L862" s="46"/>
      <c r="M862" s="47"/>
      <c r="N862" s="47"/>
      <c r="O862" s="47"/>
      <c r="P862" s="47"/>
      <c r="Q862" s="47"/>
      <c r="R862" s="47"/>
      <c r="S862" s="48"/>
      <c r="T862" s="68" t="str">
        <f>IF(Tableau1[[#This Row],[DMS_SAP]]="","",HYPERLINK(Tableau1[[#This Row],[Chemin fichier source]],"X"))</f>
        <v/>
      </c>
      <c r="U862" s="68" t="str">
        <f>IF(Tableau1[[#This Row],[Date rév.]]="","",HYPERLINK(Tableau1[[#This Row],[Lien document]],"X"))</f>
        <v/>
      </c>
      <c r="V862" s="47"/>
      <c r="W86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62" s="47"/>
      <c r="Y862" s="47"/>
      <c r="Z862" s="44" t="str">
        <f ca="1">IF(AND(Tableau1[[#This Row],[Charge]]&lt;&gt;0, Tableau1[[#This Row],[Nombre intervenants]]&lt;&gt;0,Tableau1[[#This Row],[Lien document]]&lt;&gt;0,Tableau1[[#This Row],[DMS_SAP]]&lt;&gt;0)=TRUE,"MIS A JOUR","")</f>
        <v/>
      </c>
      <c r="AA862" s="48"/>
      <c r="AB862" s="65" t="str">
        <f ca="1">IF(Tableau1[[#This Row],[Date rév.]]&lt;&gt;"", DAYS360(Tableau1[[#This Row],[Date rév.]],TODAY()),"")</f>
        <v/>
      </c>
      <c r="AC862" s="50" t="str">
        <f>IFERROR(INDEX(Chemin_accès!$B$11:$C$22,MATCH(Tableau1[[#This Row],[Type]],Chemin_accès!$C$11:$C$22,0),1),Chemin_accès!$B$11)</f>
        <v>\\stjn.local\trimet\Btechnique\Commun\Atelier Central mécanique\Plan entretien\Modèles préventif\GammeDMS_7.MENG.xlsm</v>
      </c>
      <c r="AD862" s="50" t="str">
        <f>Chemin_accès!$B$8&amp;Tableau1[[#This Row],[Localisation / Classement]]&amp;"\"&amp;Tableau1[[#This Row],[Poste technique ou N° d''équipement]]&amp;"_"&amp;Tableau1[[#This Row],[Plan Entretien]]&amp;".xlsm"</f>
        <v>\\stjn.local\trimet\Btechnique\Commun\Atelier Central mécanique\Plan entretien\GammeEntretien\\_.xlsm</v>
      </c>
    </row>
    <row r="863" spans="1:30" x14ac:dyDescent="0.3">
      <c r="A863" s="44" t="str">
        <f t="shared" ca="1" si="13"/>
        <v>7.MENG</v>
      </c>
      <c r="B86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63" s="47"/>
      <c r="D863" s="44"/>
      <c r="E863" s="44"/>
      <c r="F863" s="47"/>
      <c r="G863" s="47"/>
      <c r="H863" s="45"/>
      <c r="I863" s="45"/>
      <c r="J863" s="45"/>
      <c r="K863" s="45"/>
      <c r="L863" s="46"/>
      <c r="M863" s="47"/>
      <c r="N863" s="47"/>
      <c r="O863" s="47"/>
      <c r="P863" s="47"/>
      <c r="Q863" s="47"/>
      <c r="R863" s="47"/>
      <c r="S863" s="48"/>
      <c r="T863" s="68" t="str">
        <f>IF(Tableau1[[#This Row],[DMS_SAP]]="","",HYPERLINK(Tableau1[[#This Row],[Chemin fichier source]],"X"))</f>
        <v/>
      </c>
      <c r="U863" s="68" t="str">
        <f>IF(Tableau1[[#This Row],[Date rév.]]="","",HYPERLINK(Tableau1[[#This Row],[Lien document]],"X"))</f>
        <v/>
      </c>
      <c r="V863" s="47"/>
      <c r="W86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63" s="47"/>
      <c r="Y863" s="47"/>
      <c r="Z863" s="44" t="str">
        <f ca="1">IF(AND(Tableau1[[#This Row],[Charge]]&lt;&gt;0, Tableau1[[#This Row],[Nombre intervenants]]&lt;&gt;0,Tableau1[[#This Row],[Lien document]]&lt;&gt;0,Tableau1[[#This Row],[DMS_SAP]]&lt;&gt;0)=TRUE,"MIS A JOUR","")</f>
        <v/>
      </c>
      <c r="AA863" s="48"/>
      <c r="AB863" s="65" t="str">
        <f ca="1">IF(Tableau1[[#This Row],[Date rév.]]&lt;&gt;"", DAYS360(Tableau1[[#This Row],[Date rév.]],TODAY()),"")</f>
        <v/>
      </c>
      <c r="AC863" s="50" t="str">
        <f>IFERROR(INDEX(Chemin_accès!$B$11:$C$22,MATCH(Tableau1[[#This Row],[Type]],Chemin_accès!$C$11:$C$22,0),1),Chemin_accès!$B$11)</f>
        <v>\\stjn.local\trimet\Btechnique\Commun\Atelier Central mécanique\Plan entretien\Modèles préventif\GammeDMS_7.MENG.xlsm</v>
      </c>
      <c r="AD863" s="50" t="str">
        <f>Chemin_accès!$B$8&amp;Tableau1[[#This Row],[Localisation / Classement]]&amp;"\"&amp;Tableau1[[#This Row],[Poste technique ou N° d''équipement]]&amp;"_"&amp;Tableau1[[#This Row],[Plan Entretien]]&amp;".xlsm"</f>
        <v>\\stjn.local\trimet\Btechnique\Commun\Atelier Central mécanique\Plan entretien\GammeEntretien\\_.xlsm</v>
      </c>
    </row>
    <row r="864" spans="1:30" x14ac:dyDescent="0.3">
      <c r="A864" s="44" t="str">
        <f t="shared" ca="1" si="13"/>
        <v>7.MENG</v>
      </c>
      <c r="B86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64" s="47"/>
      <c r="D864" s="44"/>
      <c r="E864" s="44"/>
      <c r="F864" s="47"/>
      <c r="G864" s="47"/>
      <c r="H864" s="45"/>
      <c r="I864" s="45"/>
      <c r="J864" s="45"/>
      <c r="K864" s="45"/>
      <c r="L864" s="46"/>
      <c r="M864" s="47"/>
      <c r="N864" s="47"/>
      <c r="O864" s="47"/>
      <c r="P864" s="47"/>
      <c r="Q864" s="47"/>
      <c r="R864" s="47"/>
      <c r="S864" s="48"/>
      <c r="T864" s="68" t="str">
        <f>IF(Tableau1[[#This Row],[DMS_SAP]]="","",HYPERLINK(Tableau1[[#This Row],[Chemin fichier source]],"X"))</f>
        <v/>
      </c>
      <c r="U864" s="68" t="str">
        <f>IF(Tableau1[[#This Row],[Date rév.]]="","",HYPERLINK(Tableau1[[#This Row],[Lien document]],"X"))</f>
        <v/>
      </c>
      <c r="V864" s="47"/>
      <c r="W86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64" s="47"/>
      <c r="Y864" s="47"/>
      <c r="Z864" s="44" t="str">
        <f ca="1">IF(AND(Tableau1[[#This Row],[Charge]]&lt;&gt;0, Tableau1[[#This Row],[Nombre intervenants]]&lt;&gt;0,Tableau1[[#This Row],[Lien document]]&lt;&gt;0,Tableau1[[#This Row],[DMS_SAP]]&lt;&gt;0)=TRUE,"MIS A JOUR","")</f>
        <v/>
      </c>
      <c r="AA864" s="48"/>
      <c r="AB864" s="65" t="str">
        <f ca="1">IF(Tableau1[[#This Row],[Date rév.]]&lt;&gt;"", DAYS360(Tableau1[[#This Row],[Date rév.]],TODAY()),"")</f>
        <v/>
      </c>
      <c r="AC864" s="50" t="str">
        <f>IFERROR(INDEX(Chemin_accès!$B$11:$C$22,MATCH(Tableau1[[#This Row],[Type]],Chemin_accès!$C$11:$C$22,0),1),Chemin_accès!$B$11)</f>
        <v>\\stjn.local\trimet\Btechnique\Commun\Atelier Central mécanique\Plan entretien\Modèles préventif\GammeDMS_7.MENG.xlsm</v>
      </c>
      <c r="AD864" s="50" t="str">
        <f>Chemin_accès!$B$8&amp;Tableau1[[#This Row],[Localisation / Classement]]&amp;"\"&amp;Tableau1[[#This Row],[Poste technique ou N° d''équipement]]&amp;"_"&amp;Tableau1[[#This Row],[Plan Entretien]]&amp;".xlsm"</f>
        <v>\\stjn.local\trimet\Btechnique\Commun\Atelier Central mécanique\Plan entretien\GammeEntretien\\_.xlsm</v>
      </c>
    </row>
    <row r="865" spans="1:30" x14ac:dyDescent="0.3">
      <c r="A865" s="44" t="str">
        <f t="shared" ca="1" si="13"/>
        <v>7.MENG</v>
      </c>
      <c r="B86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65" s="47"/>
      <c r="D865" s="44"/>
      <c r="E865" s="44"/>
      <c r="F865" s="47"/>
      <c r="G865" s="47"/>
      <c r="H865" s="45"/>
      <c r="I865" s="45"/>
      <c r="J865" s="45"/>
      <c r="K865" s="45"/>
      <c r="L865" s="46"/>
      <c r="M865" s="47"/>
      <c r="N865" s="47"/>
      <c r="O865" s="47"/>
      <c r="P865" s="47"/>
      <c r="Q865" s="47"/>
      <c r="R865" s="47"/>
      <c r="S865" s="48"/>
      <c r="T865" s="68" t="str">
        <f>IF(Tableau1[[#This Row],[DMS_SAP]]="","",HYPERLINK(Tableau1[[#This Row],[Chemin fichier source]],"X"))</f>
        <v/>
      </c>
      <c r="U865" s="68" t="str">
        <f>IF(Tableau1[[#This Row],[Date rév.]]="","",HYPERLINK(Tableau1[[#This Row],[Lien document]],"X"))</f>
        <v/>
      </c>
      <c r="V865" s="47"/>
      <c r="W86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65" s="47"/>
      <c r="Y865" s="47"/>
      <c r="Z865" s="44" t="str">
        <f ca="1">IF(AND(Tableau1[[#This Row],[Charge]]&lt;&gt;0, Tableau1[[#This Row],[Nombre intervenants]]&lt;&gt;0,Tableau1[[#This Row],[Lien document]]&lt;&gt;0,Tableau1[[#This Row],[DMS_SAP]]&lt;&gt;0)=TRUE,"MIS A JOUR","")</f>
        <v/>
      </c>
      <c r="AA865" s="48"/>
      <c r="AB865" s="65" t="str">
        <f ca="1">IF(Tableau1[[#This Row],[Date rév.]]&lt;&gt;"", DAYS360(Tableau1[[#This Row],[Date rév.]],TODAY()),"")</f>
        <v/>
      </c>
      <c r="AC865" s="50" t="str">
        <f>IFERROR(INDEX(Chemin_accès!$B$11:$C$22,MATCH(Tableau1[[#This Row],[Type]],Chemin_accès!$C$11:$C$22,0),1),Chemin_accès!$B$11)</f>
        <v>\\stjn.local\trimet\Btechnique\Commun\Atelier Central mécanique\Plan entretien\Modèles préventif\GammeDMS_7.MENG.xlsm</v>
      </c>
      <c r="AD865" s="50" t="str">
        <f>Chemin_accès!$B$8&amp;Tableau1[[#This Row],[Localisation / Classement]]&amp;"\"&amp;Tableau1[[#This Row],[Poste technique ou N° d''équipement]]&amp;"_"&amp;Tableau1[[#This Row],[Plan Entretien]]&amp;".xlsm"</f>
        <v>\\stjn.local\trimet\Btechnique\Commun\Atelier Central mécanique\Plan entretien\GammeEntretien\\_.xlsm</v>
      </c>
    </row>
    <row r="866" spans="1:30" x14ac:dyDescent="0.3">
      <c r="A866" s="44" t="str">
        <f t="shared" ca="1" si="13"/>
        <v>7.MENG</v>
      </c>
      <c r="B86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66" s="47"/>
      <c r="D866" s="44"/>
      <c r="E866" s="44"/>
      <c r="F866" s="47"/>
      <c r="G866" s="47"/>
      <c r="H866" s="45"/>
      <c r="I866" s="45"/>
      <c r="J866" s="45"/>
      <c r="K866" s="45"/>
      <c r="L866" s="46"/>
      <c r="M866" s="47"/>
      <c r="N866" s="47"/>
      <c r="O866" s="47"/>
      <c r="P866" s="47"/>
      <c r="Q866" s="47"/>
      <c r="R866" s="47"/>
      <c r="S866" s="48"/>
      <c r="T866" s="68" t="str">
        <f>IF(Tableau1[[#This Row],[DMS_SAP]]="","",HYPERLINK(Tableau1[[#This Row],[Chemin fichier source]],"X"))</f>
        <v/>
      </c>
      <c r="U866" s="68" t="str">
        <f>IF(Tableau1[[#This Row],[Date rév.]]="","",HYPERLINK(Tableau1[[#This Row],[Lien document]],"X"))</f>
        <v/>
      </c>
      <c r="V866" s="47"/>
      <c r="W86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66" s="47"/>
      <c r="Y866" s="47"/>
      <c r="Z866" s="44" t="str">
        <f ca="1">IF(AND(Tableau1[[#This Row],[Charge]]&lt;&gt;0, Tableau1[[#This Row],[Nombre intervenants]]&lt;&gt;0,Tableau1[[#This Row],[Lien document]]&lt;&gt;0,Tableau1[[#This Row],[DMS_SAP]]&lt;&gt;0)=TRUE,"MIS A JOUR","")</f>
        <v/>
      </c>
      <c r="AA866" s="48"/>
      <c r="AB866" s="65" t="str">
        <f ca="1">IF(Tableau1[[#This Row],[Date rév.]]&lt;&gt;"", DAYS360(Tableau1[[#This Row],[Date rév.]],TODAY()),"")</f>
        <v/>
      </c>
      <c r="AC866" s="50" t="str">
        <f>IFERROR(INDEX(Chemin_accès!$B$11:$C$22,MATCH(Tableau1[[#This Row],[Type]],Chemin_accès!$C$11:$C$22,0),1),Chemin_accès!$B$11)</f>
        <v>\\stjn.local\trimet\Btechnique\Commun\Atelier Central mécanique\Plan entretien\Modèles préventif\GammeDMS_7.MENG.xlsm</v>
      </c>
      <c r="AD866" s="50" t="str">
        <f>Chemin_accès!$B$8&amp;Tableau1[[#This Row],[Localisation / Classement]]&amp;"\"&amp;Tableau1[[#This Row],[Poste technique ou N° d''équipement]]&amp;"_"&amp;Tableau1[[#This Row],[Plan Entretien]]&amp;".xlsm"</f>
        <v>\\stjn.local\trimet\Btechnique\Commun\Atelier Central mécanique\Plan entretien\GammeEntretien\\_.xlsm</v>
      </c>
    </row>
    <row r="867" spans="1:30" x14ac:dyDescent="0.3">
      <c r="A867" s="44" t="str">
        <f t="shared" ca="1" si="13"/>
        <v>7.MENG</v>
      </c>
      <c r="B86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67" s="47"/>
      <c r="D867" s="44"/>
      <c r="E867" s="44"/>
      <c r="F867" s="47"/>
      <c r="G867" s="47"/>
      <c r="H867" s="45"/>
      <c r="I867" s="45"/>
      <c r="J867" s="45"/>
      <c r="K867" s="45"/>
      <c r="L867" s="46"/>
      <c r="M867" s="47"/>
      <c r="N867" s="47"/>
      <c r="O867" s="47"/>
      <c r="P867" s="47"/>
      <c r="Q867" s="47"/>
      <c r="R867" s="47"/>
      <c r="S867" s="48"/>
      <c r="T867" s="68" t="str">
        <f>IF(Tableau1[[#This Row],[DMS_SAP]]="","",HYPERLINK(Tableau1[[#This Row],[Chemin fichier source]],"X"))</f>
        <v/>
      </c>
      <c r="U867" s="68" t="str">
        <f>IF(Tableau1[[#This Row],[Date rév.]]="","",HYPERLINK(Tableau1[[#This Row],[Lien document]],"X"))</f>
        <v/>
      </c>
      <c r="V867" s="47"/>
      <c r="W86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67" s="47"/>
      <c r="Y867" s="47"/>
      <c r="Z867" s="44" t="str">
        <f ca="1">IF(AND(Tableau1[[#This Row],[Charge]]&lt;&gt;0, Tableau1[[#This Row],[Nombre intervenants]]&lt;&gt;0,Tableau1[[#This Row],[Lien document]]&lt;&gt;0,Tableau1[[#This Row],[DMS_SAP]]&lt;&gt;0)=TRUE,"MIS A JOUR","")</f>
        <v/>
      </c>
      <c r="AA867" s="48"/>
      <c r="AB867" s="65" t="str">
        <f ca="1">IF(Tableau1[[#This Row],[Date rév.]]&lt;&gt;"", DAYS360(Tableau1[[#This Row],[Date rév.]],TODAY()),"")</f>
        <v/>
      </c>
      <c r="AC867" s="50" t="str">
        <f>IFERROR(INDEX(Chemin_accès!$B$11:$C$22,MATCH(Tableau1[[#This Row],[Type]],Chemin_accès!$C$11:$C$22,0),1),Chemin_accès!$B$11)</f>
        <v>\\stjn.local\trimet\Btechnique\Commun\Atelier Central mécanique\Plan entretien\Modèles préventif\GammeDMS_7.MENG.xlsm</v>
      </c>
      <c r="AD867" s="50" t="str">
        <f>Chemin_accès!$B$8&amp;Tableau1[[#This Row],[Localisation / Classement]]&amp;"\"&amp;Tableau1[[#This Row],[Poste technique ou N° d''équipement]]&amp;"_"&amp;Tableau1[[#This Row],[Plan Entretien]]&amp;".xlsm"</f>
        <v>\\stjn.local\trimet\Btechnique\Commun\Atelier Central mécanique\Plan entretien\GammeEntretien\\_.xlsm</v>
      </c>
    </row>
    <row r="868" spans="1:30" x14ac:dyDescent="0.3">
      <c r="A868" s="44" t="str">
        <f t="shared" ca="1" si="13"/>
        <v>7.MENG</v>
      </c>
      <c r="B86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68" s="47"/>
      <c r="D868" s="44"/>
      <c r="E868" s="44"/>
      <c r="F868" s="47"/>
      <c r="G868" s="47"/>
      <c r="H868" s="45"/>
      <c r="I868" s="45"/>
      <c r="J868" s="45"/>
      <c r="K868" s="45"/>
      <c r="L868" s="46"/>
      <c r="M868" s="47"/>
      <c r="N868" s="47"/>
      <c r="O868" s="47"/>
      <c r="P868" s="47"/>
      <c r="Q868" s="47"/>
      <c r="R868" s="47"/>
      <c r="S868" s="48"/>
      <c r="T868" s="68" t="str">
        <f>IF(Tableau1[[#This Row],[DMS_SAP]]="","",HYPERLINK(Tableau1[[#This Row],[Chemin fichier source]],"X"))</f>
        <v/>
      </c>
      <c r="U868" s="68" t="str">
        <f>IF(Tableau1[[#This Row],[Date rév.]]="","",HYPERLINK(Tableau1[[#This Row],[Lien document]],"X"))</f>
        <v/>
      </c>
      <c r="V868" s="47"/>
      <c r="W86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68" s="47"/>
      <c r="Y868" s="47"/>
      <c r="Z868" s="44" t="str">
        <f ca="1">IF(AND(Tableau1[[#This Row],[Charge]]&lt;&gt;0, Tableau1[[#This Row],[Nombre intervenants]]&lt;&gt;0,Tableau1[[#This Row],[Lien document]]&lt;&gt;0,Tableau1[[#This Row],[DMS_SAP]]&lt;&gt;0)=TRUE,"MIS A JOUR","")</f>
        <v/>
      </c>
      <c r="AA868" s="48"/>
      <c r="AB868" s="65" t="str">
        <f ca="1">IF(Tableau1[[#This Row],[Date rév.]]&lt;&gt;"", DAYS360(Tableau1[[#This Row],[Date rév.]],TODAY()),"")</f>
        <v/>
      </c>
      <c r="AC868" s="50" t="str">
        <f>IFERROR(INDEX(Chemin_accès!$B$11:$C$22,MATCH(Tableau1[[#This Row],[Type]],Chemin_accès!$C$11:$C$22,0),1),Chemin_accès!$B$11)</f>
        <v>\\stjn.local\trimet\Btechnique\Commun\Atelier Central mécanique\Plan entretien\Modèles préventif\GammeDMS_7.MENG.xlsm</v>
      </c>
      <c r="AD868" s="50" t="str">
        <f>Chemin_accès!$B$8&amp;Tableau1[[#This Row],[Localisation / Classement]]&amp;"\"&amp;Tableau1[[#This Row],[Poste technique ou N° d''équipement]]&amp;"_"&amp;Tableau1[[#This Row],[Plan Entretien]]&amp;".xlsm"</f>
        <v>\\stjn.local\trimet\Btechnique\Commun\Atelier Central mécanique\Plan entretien\GammeEntretien\\_.xlsm</v>
      </c>
    </row>
    <row r="869" spans="1:30" x14ac:dyDescent="0.3">
      <c r="A869" s="44" t="str">
        <f t="shared" ca="1" si="13"/>
        <v>7.MENG</v>
      </c>
      <c r="B86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69" s="47"/>
      <c r="D869" s="44"/>
      <c r="E869" s="44"/>
      <c r="F869" s="47"/>
      <c r="G869" s="47"/>
      <c r="H869" s="45"/>
      <c r="I869" s="45"/>
      <c r="J869" s="45"/>
      <c r="K869" s="45"/>
      <c r="L869" s="46"/>
      <c r="M869" s="47"/>
      <c r="N869" s="47"/>
      <c r="O869" s="47"/>
      <c r="P869" s="47"/>
      <c r="Q869" s="47"/>
      <c r="R869" s="47"/>
      <c r="S869" s="48"/>
      <c r="T869" s="68" t="str">
        <f>IF(Tableau1[[#This Row],[DMS_SAP]]="","",HYPERLINK(Tableau1[[#This Row],[Chemin fichier source]],"X"))</f>
        <v/>
      </c>
      <c r="U869" s="68" t="str">
        <f>IF(Tableau1[[#This Row],[Date rév.]]="","",HYPERLINK(Tableau1[[#This Row],[Lien document]],"X"))</f>
        <v/>
      </c>
      <c r="V869" s="47"/>
      <c r="W86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69" s="47"/>
      <c r="Y869" s="47"/>
      <c r="Z869" s="44" t="str">
        <f ca="1">IF(AND(Tableau1[[#This Row],[Charge]]&lt;&gt;0, Tableau1[[#This Row],[Nombre intervenants]]&lt;&gt;0,Tableau1[[#This Row],[Lien document]]&lt;&gt;0,Tableau1[[#This Row],[DMS_SAP]]&lt;&gt;0)=TRUE,"MIS A JOUR","")</f>
        <v/>
      </c>
      <c r="AA869" s="48"/>
      <c r="AB869" s="65" t="str">
        <f ca="1">IF(Tableau1[[#This Row],[Date rév.]]&lt;&gt;"", DAYS360(Tableau1[[#This Row],[Date rév.]],TODAY()),"")</f>
        <v/>
      </c>
      <c r="AC869" s="50" t="str">
        <f>IFERROR(INDEX(Chemin_accès!$B$11:$C$22,MATCH(Tableau1[[#This Row],[Type]],Chemin_accès!$C$11:$C$22,0),1),Chemin_accès!$B$11)</f>
        <v>\\stjn.local\trimet\Btechnique\Commun\Atelier Central mécanique\Plan entretien\Modèles préventif\GammeDMS_7.MENG.xlsm</v>
      </c>
      <c r="AD869" s="50" t="str">
        <f>Chemin_accès!$B$8&amp;Tableau1[[#This Row],[Localisation / Classement]]&amp;"\"&amp;Tableau1[[#This Row],[Poste technique ou N° d''équipement]]&amp;"_"&amp;Tableau1[[#This Row],[Plan Entretien]]&amp;".xlsm"</f>
        <v>\\stjn.local\trimet\Btechnique\Commun\Atelier Central mécanique\Plan entretien\GammeEntretien\\_.xlsm</v>
      </c>
    </row>
    <row r="870" spans="1:30" x14ac:dyDescent="0.3">
      <c r="A870" s="44" t="str">
        <f t="shared" ca="1" si="13"/>
        <v>7.MENG</v>
      </c>
      <c r="B87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70" s="47"/>
      <c r="D870" s="44"/>
      <c r="E870" s="44"/>
      <c r="F870" s="47"/>
      <c r="G870" s="47"/>
      <c r="H870" s="45"/>
      <c r="I870" s="45"/>
      <c r="J870" s="45"/>
      <c r="K870" s="45"/>
      <c r="L870" s="46"/>
      <c r="M870" s="47"/>
      <c r="N870" s="47"/>
      <c r="O870" s="47"/>
      <c r="P870" s="47"/>
      <c r="Q870" s="47"/>
      <c r="R870" s="47"/>
      <c r="S870" s="48"/>
      <c r="T870" s="68" t="str">
        <f>IF(Tableau1[[#This Row],[DMS_SAP]]="","",HYPERLINK(Tableau1[[#This Row],[Chemin fichier source]],"X"))</f>
        <v/>
      </c>
      <c r="U870" s="68" t="str">
        <f>IF(Tableau1[[#This Row],[Date rév.]]="","",HYPERLINK(Tableau1[[#This Row],[Lien document]],"X"))</f>
        <v/>
      </c>
      <c r="V870" s="47"/>
      <c r="W87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70" s="47"/>
      <c r="Y870" s="47"/>
      <c r="Z870" s="44" t="str">
        <f ca="1">IF(AND(Tableau1[[#This Row],[Charge]]&lt;&gt;0, Tableau1[[#This Row],[Nombre intervenants]]&lt;&gt;0,Tableau1[[#This Row],[Lien document]]&lt;&gt;0,Tableau1[[#This Row],[DMS_SAP]]&lt;&gt;0)=TRUE,"MIS A JOUR","")</f>
        <v/>
      </c>
      <c r="AA870" s="48"/>
      <c r="AB870" s="65" t="str">
        <f ca="1">IF(Tableau1[[#This Row],[Date rév.]]&lt;&gt;"", DAYS360(Tableau1[[#This Row],[Date rév.]],TODAY()),"")</f>
        <v/>
      </c>
      <c r="AC870" s="50" t="str">
        <f>IFERROR(INDEX(Chemin_accès!$B$11:$C$22,MATCH(Tableau1[[#This Row],[Type]],Chemin_accès!$C$11:$C$22,0),1),Chemin_accès!$B$11)</f>
        <v>\\stjn.local\trimet\Btechnique\Commun\Atelier Central mécanique\Plan entretien\Modèles préventif\GammeDMS_7.MENG.xlsm</v>
      </c>
      <c r="AD870" s="50" t="str">
        <f>Chemin_accès!$B$8&amp;Tableau1[[#This Row],[Localisation / Classement]]&amp;"\"&amp;Tableau1[[#This Row],[Poste technique ou N° d''équipement]]&amp;"_"&amp;Tableau1[[#This Row],[Plan Entretien]]&amp;".xlsm"</f>
        <v>\\stjn.local\trimet\Btechnique\Commun\Atelier Central mécanique\Plan entretien\GammeEntretien\\_.xlsm</v>
      </c>
    </row>
    <row r="871" spans="1:30" x14ac:dyDescent="0.3">
      <c r="A871" s="44" t="str">
        <f t="shared" ca="1" si="13"/>
        <v>7.MENG</v>
      </c>
      <c r="B87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71" s="47"/>
      <c r="D871" s="44"/>
      <c r="E871" s="44"/>
      <c r="F871" s="47"/>
      <c r="G871" s="47"/>
      <c r="H871" s="45"/>
      <c r="I871" s="45"/>
      <c r="J871" s="45"/>
      <c r="K871" s="45"/>
      <c r="L871" s="46"/>
      <c r="M871" s="47"/>
      <c r="N871" s="47"/>
      <c r="O871" s="47"/>
      <c r="P871" s="47"/>
      <c r="Q871" s="47"/>
      <c r="R871" s="47"/>
      <c r="S871" s="48"/>
      <c r="T871" s="68" t="str">
        <f>IF(Tableau1[[#This Row],[DMS_SAP]]="","",HYPERLINK(Tableau1[[#This Row],[Chemin fichier source]],"X"))</f>
        <v/>
      </c>
      <c r="U871" s="68" t="str">
        <f>IF(Tableau1[[#This Row],[Date rév.]]="","",HYPERLINK(Tableau1[[#This Row],[Lien document]],"X"))</f>
        <v/>
      </c>
      <c r="V871" s="47"/>
      <c r="W87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71" s="47"/>
      <c r="Y871" s="47"/>
      <c r="Z871" s="44" t="str">
        <f ca="1">IF(AND(Tableau1[[#This Row],[Charge]]&lt;&gt;0, Tableau1[[#This Row],[Nombre intervenants]]&lt;&gt;0,Tableau1[[#This Row],[Lien document]]&lt;&gt;0,Tableau1[[#This Row],[DMS_SAP]]&lt;&gt;0)=TRUE,"MIS A JOUR","")</f>
        <v/>
      </c>
      <c r="AA871" s="48"/>
      <c r="AB871" s="65" t="str">
        <f ca="1">IF(Tableau1[[#This Row],[Date rév.]]&lt;&gt;"", DAYS360(Tableau1[[#This Row],[Date rév.]],TODAY()),"")</f>
        <v/>
      </c>
      <c r="AC871" s="50" t="str">
        <f>IFERROR(INDEX(Chemin_accès!$B$11:$C$22,MATCH(Tableau1[[#This Row],[Type]],Chemin_accès!$C$11:$C$22,0),1),Chemin_accès!$B$11)</f>
        <v>\\stjn.local\trimet\Btechnique\Commun\Atelier Central mécanique\Plan entretien\Modèles préventif\GammeDMS_7.MENG.xlsm</v>
      </c>
      <c r="AD871" s="50" t="str">
        <f>Chemin_accès!$B$8&amp;Tableau1[[#This Row],[Localisation / Classement]]&amp;"\"&amp;Tableau1[[#This Row],[Poste technique ou N° d''équipement]]&amp;"_"&amp;Tableau1[[#This Row],[Plan Entretien]]&amp;".xlsm"</f>
        <v>\\stjn.local\trimet\Btechnique\Commun\Atelier Central mécanique\Plan entretien\GammeEntretien\\_.xlsm</v>
      </c>
    </row>
    <row r="872" spans="1:30" x14ac:dyDescent="0.3">
      <c r="A872" s="44" t="str">
        <f t="shared" ca="1" si="13"/>
        <v>7.MENG</v>
      </c>
      <c r="B87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72" s="47"/>
      <c r="D872" s="44"/>
      <c r="E872" s="44"/>
      <c r="F872" s="47"/>
      <c r="G872" s="47"/>
      <c r="H872" s="45"/>
      <c r="I872" s="45"/>
      <c r="J872" s="45"/>
      <c r="K872" s="45"/>
      <c r="L872" s="46"/>
      <c r="M872" s="47"/>
      <c r="N872" s="47"/>
      <c r="O872" s="47"/>
      <c r="P872" s="47"/>
      <c r="Q872" s="47"/>
      <c r="R872" s="47"/>
      <c r="S872" s="48"/>
      <c r="T872" s="68" t="str">
        <f>IF(Tableau1[[#This Row],[DMS_SAP]]="","",HYPERLINK(Tableau1[[#This Row],[Chemin fichier source]],"X"))</f>
        <v/>
      </c>
      <c r="U872" s="68" t="str">
        <f>IF(Tableau1[[#This Row],[Date rév.]]="","",HYPERLINK(Tableau1[[#This Row],[Lien document]],"X"))</f>
        <v/>
      </c>
      <c r="V872" s="47"/>
      <c r="W87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72" s="47"/>
      <c r="Y872" s="47"/>
      <c r="Z872" s="44" t="str">
        <f ca="1">IF(AND(Tableau1[[#This Row],[Charge]]&lt;&gt;0, Tableau1[[#This Row],[Nombre intervenants]]&lt;&gt;0,Tableau1[[#This Row],[Lien document]]&lt;&gt;0,Tableau1[[#This Row],[DMS_SAP]]&lt;&gt;0)=TRUE,"MIS A JOUR","")</f>
        <v/>
      </c>
      <c r="AA872" s="48"/>
      <c r="AB872" s="65" t="str">
        <f ca="1">IF(Tableau1[[#This Row],[Date rév.]]&lt;&gt;"", DAYS360(Tableau1[[#This Row],[Date rév.]],TODAY()),"")</f>
        <v/>
      </c>
      <c r="AC872" s="50" t="str">
        <f>IFERROR(INDEX(Chemin_accès!$B$11:$C$22,MATCH(Tableau1[[#This Row],[Type]],Chemin_accès!$C$11:$C$22,0),1),Chemin_accès!$B$11)</f>
        <v>\\stjn.local\trimet\Btechnique\Commun\Atelier Central mécanique\Plan entretien\Modèles préventif\GammeDMS_7.MENG.xlsm</v>
      </c>
      <c r="AD872" s="50" t="str">
        <f>Chemin_accès!$B$8&amp;Tableau1[[#This Row],[Localisation / Classement]]&amp;"\"&amp;Tableau1[[#This Row],[Poste technique ou N° d''équipement]]&amp;"_"&amp;Tableau1[[#This Row],[Plan Entretien]]&amp;".xlsm"</f>
        <v>\\stjn.local\trimet\Btechnique\Commun\Atelier Central mécanique\Plan entretien\GammeEntretien\\_.xlsm</v>
      </c>
    </row>
    <row r="873" spans="1:30" x14ac:dyDescent="0.3">
      <c r="A873" s="44" t="str">
        <f t="shared" ca="1" si="13"/>
        <v>7.MENG</v>
      </c>
      <c r="B87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73" s="47"/>
      <c r="D873" s="44"/>
      <c r="E873" s="44"/>
      <c r="F873" s="47"/>
      <c r="G873" s="47"/>
      <c r="H873" s="45"/>
      <c r="I873" s="45"/>
      <c r="J873" s="45"/>
      <c r="K873" s="45"/>
      <c r="L873" s="46"/>
      <c r="M873" s="47"/>
      <c r="N873" s="47"/>
      <c r="O873" s="47"/>
      <c r="P873" s="47"/>
      <c r="Q873" s="47"/>
      <c r="R873" s="47"/>
      <c r="S873" s="48"/>
      <c r="T873" s="68" t="str">
        <f>IF(Tableau1[[#This Row],[DMS_SAP]]="","",HYPERLINK(Tableau1[[#This Row],[Chemin fichier source]],"X"))</f>
        <v/>
      </c>
      <c r="U873" s="68" t="str">
        <f>IF(Tableau1[[#This Row],[Date rév.]]="","",HYPERLINK(Tableau1[[#This Row],[Lien document]],"X"))</f>
        <v/>
      </c>
      <c r="V873" s="47"/>
      <c r="W87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73" s="47"/>
      <c r="Y873" s="47"/>
      <c r="Z873" s="44" t="str">
        <f ca="1">IF(AND(Tableau1[[#This Row],[Charge]]&lt;&gt;0, Tableau1[[#This Row],[Nombre intervenants]]&lt;&gt;0,Tableau1[[#This Row],[Lien document]]&lt;&gt;0,Tableau1[[#This Row],[DMS_SAP]]&lt;&gt;0)=TRUE,"MIS A JOUR","")</f>
        <v/>
      </c>
      <c r="AA873" s="48"/>
      <c r="AB873" s="65" t="str">
        <f ca="1">IF(Tableau1[[#This Row],[Date rév.]]&lt;&gt;"", DAYS360(Tableau1[[#This Row],[Date rév.]],TODAY()),"")</f>
        <v/>
      </c>
      <c r="AC873" s="50" t="str">
        <f>IFERROR(INDEX(Chemin_accès!$B$11:$C$22,MATCH(Tableau1[[#This Row],[Type]],Chemin_accès!$C$11:$C$22,0),1),Chemin_accès!$B$11)</f>
        <v>\\stjn.local\trimet\Btechnique\Commun\Atelier Central mécanique\Plan entretien\Modèles préventif\GammeDMS_7.MENG.xlsm</v>
      </c>
      <c r="AD873" s="50" t="str">
        <f>Chemin_accès!$B$8&amp;Tableau1[[#This Row],[Localisation / Classement]]&amp;"\"&amp;Tableau1[[#This Row],[Poste technique ou N° d''équipement]]&amp;"_"&amp;Tableau1[[#This Row],[Plan Entretien]]&amp;".xlsm"</f>
        <v>\\stjn.local\trimet\Btechnique\Commun\Atelier Central mécanique\Plan entretien\GammeEntretien\\_.xlsm</v>
      </c>
    </row>
    <row r="874" spans="1:30" x14ac:dyDescent="0.3">
      <c r="A874" s="44" t="str">
        <f t="shared" ca="1" si="13"/>
        <v>7.MENG</v>
      </c>
      <c r="B87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74" s="47"/>
      <c r="D874" s="44"/>
      <c r="E874" s="44"/>
      <c r="F874" s="47"/>
      <c r="G874" s="47"/>
      <c r="H874" s="45"/>
      <c r="I874" s="45"/>
      <c r="J874" s="45"/>
      <c r="K874" s="45"/>
      <c r="L874" s="46"/>
      <c r="M874" s="47"/>
      <c r="N874" s="47"/>
      <c r="O874" s="47"/>
      <c r="P874" s="47"/>
      <c r="Q874" s="47"/>
      <c r="R874" s="47"/>
      <c r="S874" s="48"/>
      <c r="T874" s="68" t="str">
        <f>IF(Tableau1[[#This Row],[DMS_SAP]]="","",HYPERLINK(Tableau1[[#This Row],[Chemin fichier source]],"X"))</f>
        <v/>
      </c>
      <c r="U874" s="68" t="str">
        <f>IF(Tableau1[[#This Row],[Date rév.]]="","",HYPERLINK(Tableau1[[#This Row],[Lien document]],"X"))</f>
        <v/>
      </c>
      <c r="V874" s="47"/>
      <c r="W87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74" s="47"/>
      <c r="Y874" s="47"/>
      <c r="Z874" s="44" t="str">
        <f ca="1">IF(AND(Tableau1[[#This Row],[Charge]]&lt;&gt;0, Tableau1[[#This Row],[Nombre intervenants]]&lt;&gt;0,Tableau1[[#This Row],[Lien document]]&lt;&gt;0,Tableau1[[#This Row],[DMS_SAP]]&lt;&gt;0)=TRUE,"MIS A JOUR","")</f>
        <v/>
      </c>
      <c r="AA874" s="48"/>
      <c r="AB874" s="65" t="str">
        <f ca="1">IF(Tableau1[[#This Row],[Date rév.]]&lt;&gt;"", DAYS360(Tableau1[[#This Row],[Date rév.]],TODAY()),"")</f>
        <v/>
      </c>
      <c r="AC874" s="50" t="str">
        <f>IFERROR(INDEX(Chemin_accès!$B$11:$C$22,MATCH(Tableau1[[#This Row],[Type]],Chemin_accès!$C$11:$C$22,0),1),Chemin_accès!$B$11)</f>
        <v>\\stjn.local\trimet\Btechnique\Commun\Atelier Central mécanique\Plan entretien\Modèles préventif\GammeDMS_7.MENG.xlsm</v>
      </c>
      <c r="AD874" s="50" t="str">
        <f>Chemin_accès!$B$8&amp;Tableau1[[#This Row],[Localisation / Classement]]&amp;"\"&amp;Tableau1[[#This Row],[Poste technique ou N° d''équipement]]&amp;"_"&amp;Tableau1[[#This Row],[Plan Entretien]]&amp;".xlsm"</f>
        <v>\\stjn.local\trimet\Btechnique\Commun\Atelier Central mécanique\Plan entretien\GammeEntretien\\_.xlsm</v>
      </c>
    </row>
    <row r="875" spans="1:30" x14ac:dyDescent="0.3">
      <c r="A875" s="44" t="str">
        <f t="shared" ca="1" si="13"/>
        <v>7.MENG</v>
      </c>
      <c r="B87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75" s="47"/>
      <c r="D875" s="44"/>
      <c r="E875" s="44"/>
      <c r="F875" s="47"/>
      <c r="G875" s="47"/>
      <c r="H875" s="45"/>
      <c r="I875" s="45"/>
      <c r="J875" s="45"/>
      <c r="K875" s="45"/>
      <c r="L875" s="46"/>
      <c r="M875" s="47"/>
      <c r="N875" s="47"/>
      <c r="O875" s="47"/>
      <c r="P875" s="47"/>
      <c r="Q875" s="47"/>
      <c r="R875" s="47"/>
      <c r="S875" s="48"/>
      <c r="T875" s="68" t="str">
        <f>IF(Tableau1[[#This Row],[DMS_SAP]]="","",HYPERLINK(Tableau1[[#This Row],[Chemin fichier source]],"X"))</f>
        <v/>
      </c>
      <c r="U875" s="68" t="str">
        <f>IF(Tableau1[[#This Row],[Date rév.]]="","",HYPERLINK(Tableau1[[#This Row],[Lien document]],"X"))</f>
        <v/>
      </c>
      <c r="V875" s="47"/>
      <c r="W87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75" s="47"/>
      <c r="Y875" s="47"/>
      <c r="Z875" s="44" t="str">
        <f ca="1">IF(AND(Tableau1[[#This Row],[Charge]]&lt;&gt;0, Tableau1[[#This Row],[Nombre intervenants]]&lt;&gt;0,Tableau1[[#This Row],[Lien document]]&lt;&gt;0,Tableau1[[#This Row],[DMS_SAP]]&lt;&gt;0)=TRUE,"MIS A JOUR","")</f>
        <v/>
      </c>
      <c r="AA875" s="48"/>
      <c r="AB875" s="65" t="str">
        <f ca="1">IF(Tableau1[[#This Row],[Date rév.]]&lt;&gt;"", DAYS360(Tableau1[[#This Row],[Date rév.]],TODAY()),"")</f>
        <v/>
      </c>
      <c r="AC875" s="50" t="str">
        <f>IFERROR(INDEX(Chemin_accès!$B$11:$C$22,MATCH(Tableau1[[#This Row],[Type]],Chemin_accès!$C$11:$C$22,0),1),Chemin_accès!$B$11)</f>
        <v>\\stjn.local\trimet\Btechnique\Commun\Atelier Central mécanique\Plan entretien\Modèles préventif\GammeDMS_7.MENG.xlsm</v>
      </c>
      <c r="AD875" s="50" t="str">
        <f>Chemin_accès!$B$8&amp;Tableau1[[#This Row],[Localisation / Classement]]&amp;"\"&amp;Tableau1[[#This Row],[Poste technique ou N° d''équipement]]&amp;"_"&amp;Tableau1[[#This Row],[Plan Entretien]]&amp;".xlsm"</f>
        <v>\\stjn.local\trimet\Btechnique\Commun\Atelier Central mécanique\Plan entretien\GammeEntretien\\_.xlsm</v>
      </c>
    </row>
    <row r="876" spans="1:30" x14ac:dyDescent="0.3">
      <c r="A876" s="44" t="str">
        <f t="shared" ca="1" si="13"/>
        <v>7.MENG</v>
      </c>
      <c r="B87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76" s="47"/>
      <c r="D876" s="44"/>
      <c r="E876" s="44"/>
      <c r="F876" s="47"/>
      <c r="G876" s="47"/>
      <c r="H876" s="45"/>
      <c r="I876" s="45"/>
      <c r="J876" s="45"/>
      <c r="K876" s="45"/>
      <c r="L876" s="46"/>
      <c r="M876" s="47"/>
      <c r="N876" s="47"/>
      <c r="O876" s="47"/>
      <c r="P876" s="47"/>
      <c r="Q876" s="47"/>
      <c r="R876" s="47"/>
      <c r="S876" s="48"/>
      <c r="T876" s="68" t="str">
        <f>IF(Tableau1[[#This Row],[DMS_SAP]]="","",HYPERLINK(Tableau1[[#This Row],[Chemin fichier source]],"X"))</f>
        <v/>
      </c>
      <c r="U876" s="68" t="str">
        <f>IF(Tableau1[[#This Row],[Date rév.]]="","",HYPERLINK(Tableau1[[#This Row],[Lien document]],"X"))</f>
        <v/>
      </c>
      <c r="V876" s="47"/>
      <c r="W87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76" s="47"/>
      <c r="Y876" s="47"/>
      <c r="Z876" s="44" t="str">
        <f ca="1">IF(AND(Tableau1[[#This Row],[Charge]]&lt;&gt;0, Tableau1[[#This Row],[Nombre intervenants]]&lt;&gt;0,Tableau1[[#This Row],[Lien document]]&lt;&gt;0,Tableau1[[#This Row],[DMS_SAP]]&lt;&gt;0)=TRUE,"MIS A JOUR","")</f>
        <v/>
      </c>
      <c r="AA876" s="48"/>
      <c r="AB876" s="65" t="str">
        <f ca="1">IF(Tableau1[[#This Row],[Date rév.]]&lt;&gt;"", DAYS360(Tableau1[[#This Row],[Date rév.]],TODAY()),"")</f>
        <v/>
      </c>
      <c r="AC876" s="50" t="str">
        <f>IFERROR(INDEX(Chemin_accès!$B$11:$C$22,MATCH(Tableau1[[#This Row],[Type]],Chemin_accès!$C$11:$C$22,0),1),Chemin_accès!$B$11)</f>
        <v>\\stjn.local\trimet\Btechnique\Commun\Atelier Central mécanique\Plan entretien\Modèles préventif\GammeDMS_7.MENG.xlsm</v>
      </c>
      <c r="AD876" s="50" t="str">
        <f>Chemin_accès!$B$8&amp;Tableau1[[#This Row],[Localisation / Classement]]&amp;"\"&amp;Tableau1[[#This Row],[Poste technique ou N° d''équipement]]&amp;"_"&amp;Tableau1[[#This Row],[Plan Entretien]]&amp;".xlsm"</f>
        <v>\\stjn.local\trimet\Btechnique\Commun\Atelier Central mécanique\Plan entretien\GammeEntretien\\_.xlsm</v>
      </c>
    </row>
    <row r="877" spans="1:30" x14ac:dyDescent="0.3">
      <c r="A877" s="44" t="str">
        <f t="shared" ca="1" si="13"/>
        <v>7.MENG</v>
      </c>
      <c r="B87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77" s="47"/>
      <c r="D877" s="44"/>
      <c r="E877" s="44"/>
      <c r="F877" s="47"/>
      <c r="G877" s="47"/>
      <c r="H877" s="45"/>
      <c r="I877" s="45"/>
      <c r="J877" s="45"/>
      <c r="K877" s="45"/>
      <c r="L877" s="46"/>
      <c r="M877" s="47"/>
      <c r="N877" s="47"/>
      <c r="O877" s="47"/>
      <c r="P877" s="47"/>
      <c r="Q877" s="47"/>
      <c r="R877" s="47"/>
      <c r="S877" s="48"/>
      <c r="T877" s="68" t="str">
        <f>IF(Tableau1[[#This Row],[DMS_SAP]]="","",HYPERLINK(Tableau1[[#This Row],[Chemin fichier source]],"X"))</f>
        <v/>
      </c>
      <c r="U877" s="68" t="str">
        <f>IF(Tableau1[[#This Row],[Date rév.]]="","",HYPERLINK(Tableau1[[#This Row],[Lien document]],"X"))</f>
        <v/>
      </c>
      <c r="V877" s="47"/>
      <c r="W87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77" s="47"/>
      <c r="Y877" s="47"/>
      <c r="Z877" s="44" t="str">
        <f ca="1">IF(AND(Tableau1[[#This Row],[Charge]]&lt;&gt;0, Tableau1[[#This Row],[Nombre intervenants]]&lt;&gt;0,Tableau1[[#This Row],[Lien document]]&lt;&gt;0,Tableau1[[#This Row],[DMS_SAP]]&lt;&gt;0)=TRUE,"MIS A JOUR","")</f>
        <v/>
      </c>
      <c r="AA877" s="48"/>
      <c r="AB877" s="65" t="str">
        <f ca="1">IF(Tableau1[[#This Row],[Date rév.]]&lt;&gt;"", DAYS360(Tableau1[[#This Row],[Date rév.]],TODAY()),"")</f>
        <v/>
      </c>
      <c r="AC877" s="50" t="str">
        <f>IFERROR(INDEX(Chemin_accès!$B$11:$C$22,MATCH(Tableau1[[#This Row],[Type]],Chemin_accès!$C$11:$C$22,0),1),Chemin_accès!$B$11)</f>
        <v>\\stjn.local\trimet\Btechnique\Commun\Atelier Central mécanique\Plan entretien\Modèles préventif\GammeDMS_7.MENG.xlsm</v>
      </c>
      <c r="AD877" s="50" t="str">
        <f>Chemin_accès!$B$8&amp;Tableau1[[#This Row],[Localisation / Classement]]&amp;"\"&amp;Tableau1[[#This Row],[Poste technique ou N° d''équipement]]&amp;"_"&amp;Tableau1[[#This Row],[Plan Entretien]]&amp;".xlsm"</f>
        <v>\\stjn.local\trimet\Btechnique\Commun\Atelier Central mécanique\Plan entretien\GammeEntretien\\_.xlsm</v>
      </c>
    </row>
    <row r="878" spans="1:30" x14ac:dyDescent="0.3">
      <c r="A878" s="44" t="str">
        <f t="shared" ca="1" si="13"/>
        <v>7.MENG</v>
      </c>
      <c r="B87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78" s="47"/>
      <c r="D878" s="44"/>
      <c r="E878" s="44"/>
      <c r="F878" s="47"/>
      <c r="G878" s="47"/>
      <c r="H878" s="45"/>
      <c r="I878" s="45"/>
      <c r="J878" s="45"/>
      <c r="K878" s="45"/>
      <c r="L878" s="46"/>
      <c r="M878" s="47"/>
      <c r="N878" s="47"/>
      <c r="O878" s="47"/>
      <c r="P878" s="47"/>
      <c r="Q878" s="47"/>
      <c r="R878" s="47"/>
      <c r="S878" s="48"/>
      <c r="T878" s="68" t="str">
        <f>IF(Tableau1[[#This Row],[DMS_SAP]]="","",HYPERLINK(Tableau1[[#This Row],[Chemin fichier source]],"X"))</f>
        <v/>
      </c>
      <c r="U878" s="68" t="str">
        <f>IF(Tableau1[[#This Row],[Date rév.]]="","",HYPERLINK(Tableau1[[#This Row],[Lien document]],"X"))</f>
        <v/>
      </c>
      <c r="V878" s="47"/>
      <c r="W87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78" s="47"/>
      <c r="Y878" s="47"/>
      <c r="Z878" s="44" t="str">
        <f ca="1">IF(AND(Tableau1[[#This Row],[Charge]]&lt;&gt;0, Tableau1[[#This Row],[Nombre intervenants]]&lt;&gt;0,Tableau1[[#This Row],[Lien document]]&lt;&gt;0,Tableau1[[#This Row],[DMS_SAP]]&lt;&gt;0)=TRUE,"MIS A JOUR","")</f>
        <v/>
      </c>
      <c r="AA878" s="48"/>
      <c r="AB878" s="65" t="str">
        <f ca="1">IF(Tableau1[[#This Row],[Date rév.]]&lt;&gt;"", DAYS360(Tableau1[[#This Row],[Date rév.]],TODAY()),"")</f>
        <v/>
      </c>
      <c r="AC878" s="50" t="str">
        <f>IFERROR(INDEX(Chemin_accès!$B$11:$C$22,MATCH(Tableau1[[#This Row],[Type]],Chemin_accès!$C$11:$C$22,0),1),Chemin_accès!$B$11)</f>
        <v>\\stjn.local\trimet\Btechnique\Commun\Atelier Central mécanique\Plan entretien\Modèles préventif\GammeDMS_7.MENG.xlsm</v>
      </c>
      <c r="AD878" s="50" t="str">
        <f>Chemin_accès!$B$8&amp;Tableau1[[#This Row],[Localisation / Classement]]&amp;"\"&amp;Tableau1[[#This Row],[Poste technique ou N° d''équipement]]&amp;"_"&amp;Tableau1[[#This Row],[Plan Entretien]]&amp;".xlsm"</f>
        <v>\\stjn.local\trimet\Btechnique\Commun\Atelier Central mécanique\Plan entretien\GammeEntretien\\_.xlsm</v>
      </c>
    </row>
    <row r="879" spans="1:30" x14ac:dyDescent="0.3">
      <c r="A879" s="44" t="str">
        <f t="shared" ca="1" si="13"/>
        <v>7.MENG</v>
      </c>
      <c r="B87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79" s="47"/>
      <c r="D879" s="44"/>
      <c r="E879" s="44"/>
      <c r="F879" s="47"/>
      <c r="G879" s="47"/>
      <c r="H879" s="45"/>
      <c r="I879" s="45"/>
      <c r="J879" s="45"/>
      <c r="K879" s="45"/>
      <c r="L879" s="46"/>
      <c r="M879" s="47"/>
      <c r="N879" s="47"/>
      <c r="O879" s="47"/>
      <c r="P879" s="47"/>
      <c r="Q879" s="47"/>
      <c r="R879" s="47"/>
      <c r="S879" s="48"/>
      <c r="T879" s="68" t="str">
        <f>IF(Tableau1[[#This Row],[DMS_SAP]]="","",HYPERLINK(Tableau1[[#This Row],[Chemin fichier source]],"X"))</f>
        <v/>
      </c>
      <c r="U879" s="68" t="str">
        <f>IF(Tableau1[[#This Row],[Date rév.]]="","",HYPERLINK(Tableau1[[#This Row],[Lien document]],"X"))</f>
        <v/>
      </c>
      <c r="V879" s="47"/>
      <c r="W87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79" s="47"/>
      <c r="Y879" s="47"/>
      <c r="Z879" s="44" t="str">
        <f ca="1">IF(AND(Tableau1[[#This Row],[Charge]]&lt;&gt;0, Tableau1[[#This Row],[Nombre intervenants]]&lt;&gt;0,Tableau1[[#This Row],[Lien document]]&lt;&gt;0,Tableau1[[#This Row],[DMS_SAP]]&lt;&gt;0)=TRUE,"MIS A JOUR","")</f>
        <v/>
      </c>
      <c r="AA879" s="48"/>
      <c r="AB879" s="65" t="str">
        <f ca="1">IF(Tableau1[[#This Row],[Date rév.]]&lt;&gt;"", DAYS360(Tableau1[[#This Row],[Date rév.]],TODAY()),"")</f>
        <v/>
      </c>
      <c r="AC879" s="50" t="str">
        <f>IFERROR(INDEX(Chemin_accès!$B$11:$C$22,MATCH(Tableau1[[#This Row],[Type]],Chemin_accès!$C$11:$C$22,0),1),Chemin_accès!$B$11)</f>
        <v>\\stjn.local\trimet\Btechnique\Commun\Atelier Central mécanique\Plan entretien\Modèles préventif\GammeDMS_7.MENG.xlsm</v>
      </c>
      <c r="AD879" s="50" t="str">
        <f>Chemin_accès!$B$8&amp;Tableau1[[#This Row],[Localisation / Classement]]&amp;"\"&amp;Tableau1[[#This Row],[Poste technique ou N° d''équipement]]&amp;"_"&amp;Tableau1[[#This Row],[Plan Entretien]]&amp;".xlsm"</f>
        <v>\\stjn.local\trimet\Btechnique\Commun\Atelier Central mécanique\Plan entretien\GammeEntretien\\_.xlsm</v>
      </c>
    </row>
    <row r="880" spans="1:30" x14ac:dyDescent="0.3">
      <c r="A880" s="44" t="str">
        <f t="shared" ca="1" si="13"/>
        <v>7.MENG</v>
      </c>
      <c r="B88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80" s="47"/>
      <c r="D880" s="44"/>
      <c r="E880" s="44"/>
      <c r="F880" s="47"/>
      <c r="G880" s="47"/>
      <c r="H880" s="45"/>
      <c r="I880" s="45"/>
      <c r="J880" s="45"/>
      <c r="K880" s="45"/>
      <c r="L880" s="46"/>
      <c r="M880" s="47"/>
      <c r="N880" s="47"/>
      <c r="O880" s="47"/>
      <c r="P880" s="47"/>
      <c r="Q880" s="47"/>
      <c r="R880" s="47"/>
      <c r="S880" s="48"/>
      <c r="T880" s="68" t="str">
        <f>IF(Tableau1[[#This Row],[DMS_SAP]]="","",HYPERLINK(Tableau1[[#This Row],[Chemin fichier source]],"X"))</f>
        <v/>
      </c>
      <c r="U880" s="68" t="str">
        <f>IF(Tableau1[[#This Row],[Date rév.]]="","",HYPERLINK(Tableau1[[#This Row],[Lien document]],"X"))</f>
        <v/>
      </c>
      <c r="V880" s="47"/>
      <c r="W88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80" s="47"/>
      <c r="Y880" s="47"/>
      <c r="Z880" s="44" t="str">
        <f ca="1">IF(AND(Tableau1[[#This Row],[Charge]]&lt;&gt;0, Tableau1[[#This Row],[Nombre intervenants]]&lt;&gt;0,Tableau1[[#This Row],[Lien document]]&lt;&gt;0,Tableau1[[#This Row],[DMS_SAP]]&lt;&gt;0)=TRUE,"MIS A JOUR","")</f>
        <v/>
      </c>
      <c r="AA880" s="48"/>
      <c r="AB880" s="65" t="str">
        <f ca="1">IF(Tableau1[[#This Row],[Date rév.]]&lt;&gt;"", DAYS360(Tableau1[[#This Row],[Date rév.]],TODAY()),"")</f>
        <v/>
      </c>
      <c r="AC880" s="50" t="str">
        <f>IFERROR(INDEX(Chemin_accès!$B$11:$C$22,MATCH(Tableau1[[#This Row],[Type]],Chemin_accès!$C$11:$C$22,0),1),Chemin_accès!$B$11)</f>
        <v>\\stjn.local\trimet\Btechnique\Commun\Atelier Central mécanique\Plan entretien\Modèles préventif\GammeDMS_7.MENG.xlsm</v>
      </c>
      <c r="AD880" s="50" t="str">
        <f>Chemin_accès!$B$8&amp;Tableau1[[#This Row],[Localisation / Classement]]&amp;"\"&amp;Tableau1[[#This Row],[Poste technique ou N° d''équipement]]&amp;"_"&amp;Tableau1[[#This Row],[Plan Entretien]]&amp;".xlsm"</f>
        <v>\\stjn.local\trimet\Btechnique\Commun\Atelier Central mécanique\Plan entretien\GammeEntretien\\_.xlsm</v>
      </c>
    </row>
    <row r="881" spans="1:30" x14ac:dyDescent="0.3">
      <c r="A881" s="44" t="str">
        <f t="shared" ca="1" si="13"/>
        <v>7.MENG</v>
      </c>
      <c r="B88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81" s="47"/>
      <c r="D881" s="44"/>
      <c r="E881" s="44"/>
      <c r="F881" s="47"/>
      <c r="G881" s="47"/>
      <c r="H881" s="45"/>
      <c r="I881" s="45"/>
      <c r="J881" s="45"/>
      <c r="K881" s="45"/>
      <c r="L881" s="46"/>
      <c r="M881" s="47"/>
      <c r="N881" s="47"/>
      <c r="O881" s="47"/>
      <c r="P881" s="47"/>
      <c r="Q881" s="47"/>
      <c r="R881" s="47"/>
      <c r="S881" s="48"/>
      <c r="T881" s="68" t="str">
        <f>IF(Tableau1[[#This Row],[DMS_SAP]]="","",HYPERLINK(Tableau1[[#This Row],[Chemin fichier source]],"X"))</f>
        <v/>
      </c>
      <c r="U881" s="68" t="str">
        <f>IF(Tableau1[[#This Row],[Date rév.]]="","",HYPERLINK(Tableau1[[#This Row],[Lien document]],"X"))</f>
        <v/>
      </c>
      <c r="V881" s="47"/>
      <c r="W88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81" s="47"/>
      <c r="Y881" s="47"/>
      <c r="Z881" s="44" t="str">
        <f ca="1">IF(AND(Tableau1[[#This Row],[Charge]]&lt;&gt;0, Tableau1[[#This Row],[Nombre intervenants]]&lt;&gt;0,Tableau1[[#This Row],[Lien document]]&lt;&gt;0,Tableau1[[#This Row],[DMS_SAP]]&lt;&gt;0)=TRUE,"MIS A JOUR","")</f>
        <v/>
      </c>
      <c r="AA881" s="48"/>
      <c r="AB881" s="65" t="str">
        <f ca="1">IF(Tableau1[[#This Row],[Date rév.]]&lt;&gt;"", DAYS360(Tableau1[[#This Row],[Date rév.]],TODAY()),"")</f>
        <v/>
      </c>
      <c r="AC881" s="50" t="str">
        <f>IFERROR(INDEX(Chemin_accès!$B$11:$C$22,MATCH(Tableau1[[#This Row],[Type]],Chemin_accès!$C$11:$C$22,0),1),Chemin_accès!$B$11)</f>
        <v>\\stjn.local\trimet\Btechnique\Commun\Atelier Central mécanique\Plan entretien\Modèles préventif\GammeDMS_7.MENG.xlsm</v>
      </c>
      <c r="AD881" s="50" t="str">
        <f>Chemin_accès!$B$8&amp;Tableau1[[#This Row],[Localisation / Classement]]&amp;"\"&amp;Tableau1[[#This Row],[Poste technique ou N° d''équipement]]&amp;"_"&amp;Tableau1[[#This Row],[Plan Entretien]]&amp;".xlsm"</f>
        <v>\\stjn.local\trimet\Btechnique\Commun\Atelier Central mécanique\Plan entretien\GammeEntretien\\_.xlsm</v>
      </c>
    </row>
    <row r="882" spans="1:30" x14ac:dyDescent="0.3">
      <c r="A882" s="44" t="str">
        <f t="shared" ca="1" si="13"/>
        <v>7.MENG</v>
      </c>
      <c r="B88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82" s="47"/>
      <c r="D882" s="44"/>
      <c r="E882" s="44"/>
      <c r="F882" s="47"/>
      <c r="G882" s="47"/>
      <c r="H882" s="45"/>
      <c r="I882" s="45"/>
      <c r="J882" s="45"/>
      <c r="K882" s="45"/>
      <c r="L882" s="46"/>
      <c r="M882" s="47"/>
      <c r="N882" s="47"/>
      <c r="O882" s="47"/>
      <c r="P882" s="47"/>
      <c r="Q882" s="47"/>
      <c r="R882" s="47"/>
      <c r="S882" s="48"/>
      <c r="T882" s="68" t="str">
        <f>IF(Tableau1[[#This Row],[DMS_SAP]]="","",HYPERLINK(Tableau1[[#This Row],[Chemin fichier source]],"X"))</f>
        <v/>
      </c>
      <c r="U882" s="68" t="str">
        <f>IF(Tableau1[[#This Row],[Date rév.]]="","",HYPERLINK(Tableau1[[#This Row],[Lien document]],"X"))</f>
        <v/>
      </c>
      <c r="V882" s="47"/>
      <c r="W88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82" s="47"/>
      <c r="Y882" s="47"/>
      <c r="Z882" s="44" t="str">
        <f ca="1">IF(AND(Tableau1[[#This Row],[Charge]]&lt;&gt;0, Tableau1[[#This Row],[Nombre intervenants]]&lt;&gt;0,Tableau1[[#This Row],[Lien document]]&lt;&gt;0,Tableau1[[#This Row],[DMS_SAP]]&lt;&gt;0)=TRUE,"MIS A JOUR","")</f>
        <v/>
      </c>
      <c r="AA882" s="48"/>
      <c r="AB882" s="65" t="str">
        <f ca="1">IF(Tableau1[[#This Row],[Date rév.]]&lt;&gt;"", DAYS360(Tableau1[[#This Row],[Date rév.]],TODAY()),"")</f>
        <v/>
      </c>
      <c r="AC882" s="50" t="str">
        <f>IFERROR(INDEX(Chemin_accès!$B$11:$C$22,MATCH(Tableau1[[#This Row],[Type]],Chemin_accès!$C$11:$C$22,0),1),Chemin_accès!$B$11)</f>
        <v>\\stjn.local\trimet\Btechnique\Commun\Atelier Central mécanique\Plan entretien\Modèles préventif\GammeDMS_7.MENG.xlsm</v>
      </c>
      <c r="AD882" s="50" t="str">
        <f>Chemin_accès!$B$8&amp;Tableau1[[#This Row],[Localisation / Classement]]&amp;"\"&amp;Tableau1[[#This Row],[Poste technique ou N° d''équipement]]&amp;"_"&amp;Tableau1[[#This Row],[Plan Entretien]]&amp;".xlsm"</f>
        <v>\\stjn.local\trimet\Btechnique\Commun\Atelier Central mécanique\Plan entretien\GammeEntretien\\_.xlsm</v>
      </c>
    </row>
    <row r="883" spans="1:30" x14ac:dyDescent="0.3">
      <c r="A883" s="44" t="str">
        <f t="shared" ca="1" si="13"/>
        <v>7.MENG</v>
      </c>
      <c r="B88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83" s="47"/>
      <c r="D883" s="44"/>
      <c r="E883" s="44"/>
      <c r="F883" s="47"/>
      <c r="G883" s="47"/>
      <c r="H883" s="45"/>
      <c r="I883" s="45"/>
      <c r="J883" s="45"/>
      <c r="K883" s="45"/>
      <c r="L883" s="46"/>
      <c r="M883" s="47"/>
      <c r="N883" s="47"/>
      <c r="O883" s="47"/>
      <c r="P883" s="47"/>
      <c r="Q883" s="47"/>
      <c r="R883" s="47"/>
      <c r="S883" s="48"/>
      <c r="T883" s="68" t="str">
        <f>IF(Tableau1[[#This Row],[DMS_SAP]]="","",HYPERLINK(Tableau1[[#This Row],[Chemin fichier source]],"X"))</f>
        <v/>
      </c>
      <c r="U883" s="68" t="str">
        <f>IF(Tableau1[[#This Row],[Date rév.]]="","",HYPERLINK(Tableau1[[#This Row],[Lien document]],"X"))</f>
        <v/>
      </c>
      <c r="V883" s="47"/>
      <c r="W88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83" s="47"/>
      <c r="Y883" s="47"/>
      <c r="Z883" s="44" t="str">
        <f ca="1">IF(AND(Tableau1[[#This Row],[Charge]]&lt;&gt;0, Tableau1[[#This Row],[Nombre intervenants]]&lt;&gt;0,Tableau1[[#This Row],[Lien document]]&lt;&gt;0,Tableau1[[#This Row],[DMS_SAP]]&lt;&gt;0)=TRUE,"MIS A JOUR","")</f>
        <v/>
      </c>
      <c r="AA883" s="48"/>
      <c r="AB883" s="65" t="str">
        <f ca="1">IF(Tableau1[[#This Row],[Date rév.]]&lt;&gt;"", DAYS360(Tableau1[[#This Row],[Date rév.]],TODAY()),"")</f>
        <v/>
      </c>
      <c r="AC883" s="50" t="str">
        <f>IFERROR(INDEX(Chemin_accès!$B$11:$C$22,MATCH(Tableau1[[#This Row],[Type]],Chemin_accès!$C$11:$C$22,0),1),Chemin_accès!$B$11)</f>
        <v>\\stjn.local\trimet\Btechnique\Commun\Atelier Central mécanique\Plan entretien\Modèles préventif\GammeDMS_7.MENG.xlsm</v>
      </c>
      <c r="AD883" s="50" t="str">
        <f>Chemin_accès!$B$8&amp;Tableau1[[#This Row],[Localisation / Classement]]&amp;"\"&amp;Tableau1[[#This Row],[Poste technique ou N° d''équipement]]&amp;"_"&amp;Tableau1[[#This Row],[Plan Entretien]]&amp;".xlsm"</f>
        <v>\\stjn.local\trimet\Btechnique\Commun\Atelier Central mécanique\Plan entretien\GammeEntretien\\_.xlsm</v>
      </c>
    </row>
    <row r="884" spans="1:30" x14ac:dyDescent="0.3">
      <c r="A884" s="44" t="str">
        <f t="shared" ca="1" si="13"/>
        <v>7.MENG</v>
      </c>
      <c r="B88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84" s="47"/>
      <c r="D884" s="44"/>
      <c r="E884" s="44"/>
      <c r="F884" s="47"/>
      <c r="G884" s="47"/>
      <c r="H884" s="45"/>
      <c r="I884" s="45"/>
      <c r="J884" s="45"/>
      <c r="K884" s="45"/>
      <c r="L884" s="46"/>
      <c r="M884" s="47"/>
      <c r="N884" s="47"/>
      <c r="O884" s="47"/>
      <c r="P884" s="47"/>
      <c r="Q884" s="47"/>
      <c r="R884" s="47"/>
      <c r="S884" s="48"/>
      <c r="T884" s="68" t="str">
        <f>IF(Tableau1[[#This Row],[DMS_SAP]]="","",HYPERLINK(Tableau1[[#This Row],[Chemin fichier source]],"X"))</f>
        <v/>
      </c>
      <c r="U884" s="68" t="str">
        <f>IF(Tableau1[[#This Row],[Date rév.]]="","",HYPERLINK(Tableau1[[#This Row],[Lien document]],"X"))</f>
        <v/>
      </c>
      <c r="V884" s="47"/>
      <c r="W88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84" s="47"/>
      <c r="Y884" s="47"/>
      <c r="Z884" s="44" t="str">
        <f ca="1">IF(AND(Tableau1[[#This Row],[Charge]]&lt;&gt;0, Tableau1[[#This Row],[Nombre intervenants]]&lt;&gt;0,Tableau1[[#This Row],[Lien document]]&lt;&gt;0,Tableau1[[#This Row],[DMS_SAP]]&lt;&gt;0)=TRUE,"MIS A JOUR","")</f>
        <v/>
      </c>
      <c r="AA884" s="48"/>
      <c r="AB884" s="65" t="str">
        <f ca="1">IF(Tableau1[[#This Row],[Date rév.]]&lt;&gt;"", DAYS360(Tableau1[[#This Row],[Date rév.]],TODAY()),"")</f>
        <v/>
      </c>
      <c r="AC884" s="50" t="str">
        <f>IFERROR(INDEX(Chemin_accès!$B$11:$C$22,MATCH(Tableau1[[#This Row],[Type]],Chemin_accès!$C$11:$C$22,0),1),Chemin_accès!$B$11)</f>
        <v>\\stjn.local\trimet\Btechnique\Commun\Atelier Central mécanique\Plan entretien\Modèles préventif\GammeDMS_7.MENG.xlsm</v>
      </c>
      <c r="AD884" s="50" t="str">
        <f>Chemin_accès!$B$8&amp;Tableau1[[#This Row],[Localisation / Classement]]&amp;"\"&amp;Tableau1[[#This Row],[Poste technique ou N° d''équipement]]&amp;"_"&amp;Tableau1[[#This Row],[Plan Entretien]]&amp;".xlsm"</f>
        <v>\\stjn.local\trimet\Btechnique\Commun\Atelier Central mécanique\Plan entretien\GammeEntretien\\_.xlsm</v>
      </c>
    </row>
    <row r="885" spans="1:30" x14ac:dyDescent="0.3">
      <c r="A885" s="44" t="str">
        <f t="shared" ca="1" si="13"/>
        <v>7.MENG</v>
      </c>
      <c r="B88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85" s="47"/>
      <c r="D885" s="44"/>
      <c r="E885" s="44"/>
      <c r="F885" s="47"/>
      <c r="G885" s="47"/>
      <c r="H885" s="45"/>
      <c r="I885" s="45"/>
      <c r="J885" s="45"/>
      <c r="K885" s="45"/>
      <c r="L885" s="46"/>
      <c r="M885" s="47"/>
      <c r="N885" s="47"/>
      <c r="O885" s="47"/>
      <c r="P885" s="47"/>
      <c r="Q885" s="47"/>
      <c r="R885" s="47"/>
      <c r="S885" s="48"/>
      <c r="T885" s="68" t="str">
        <f>IF(Tableau1[[#This Row],[DMS_SAP]]="","",HYPERLINK(Tableau1[[#This Row],[Chemin fichier source]],"X"))</f>
        <v/>
      </c>
      <c r="U885" s="68" t="str">
        <f>IF(Tableau1[[#This Row],[Date rév.]]="","",HYPERLINK(Tableau1[[#This Row],[Lien document]],"X"))</f>
        <v/>
      </c>
      <c r="V885" s="47"/>
      <c r="W88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85" s="47"/>
      <c r="Y885" s="47"/>
      <c r="Z885" s="44" t="str">
        <f ca="1">IF(AND(Tableau1[[#This Row],[Charge]]&lt;&gt;0, Tableau1[[#This Row],[Nombre intervenants]]&lt;&gt;0,Tableau1[[#This Row],[Lien document]]&lt;&gt;0,Tableau1[[#This Row],[DMS_SAP]]&lt;&gt;0)=TRUE,"MIS A JOUR","")</f>
        <v/>
      </c>
      <c r="AA885" s="48"/>
      <c r="AB885" s="65" t="str">
        <f ca="1">IF(Tableau1[[#This Row],[Date rév.]]&lt;&gt;"", DAYS360(Tableau1[[#This Row],[Date rév.]],TODAY()),"")</f>
        <v/>
      </c>
      <c r="AC885" s="50" t="str">
        <f>IFERROR(INDEX(Chemin_accès!$B$11:$C$22,MATCH(Tableau1[[#This Row],[Type]],Chemin_accès!$C$11:$C$22,0),1),Chemin_accès!$B$11)</f>
        <v>\\stjn.local\trimet\Btechnique\Commun\Atelier Central mécanique\Plan entretien\Modèles préventif\GammeDMS_7.MENG.xlsm</v>
      </c>
      <c r="AD885" s="50" t="str">
        <f>Chemin_accès!$B$8&amp;Tableau1[[#This Row],[Localisation / Classement]]&amp;"\"&amp;Tableau1[[#This Row],[Poste technique ou N° d''équipement]]&amp;"_"&amp;Tableau1[[#This Row],[Plan Entretien]]&amp;".xlsm"</f>
        <v>\\stjn.local\trimet\Btechnique\Commun\Atelier Central mécanique\Plan entretien\GammeEntretien\\_.xlsm</v>
      </c>
    </row>
    <row r="886" spans="1:30" x14ac:dyDescent="0.3">
      <c r="A886" s="44" t="str">
        <f t="shared" ca="1" si="13"/>
        <v>7.MENG</v>
      </c>
      <c r="B88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86" s="47"/>
      <c r="D886" s="44"/>
      <c r="E886" s="44"/>
      <c r="F886" s="47"/>
      <c r="G886" s="47"/>
      <c r="H886" s="45"/>
      <c r="I886" s="45"/>
      <c r="J886" s="45"/>
      <c r="K886" s="45"/>
      <c r="L886" s="46"/>
      <c r="M886" s="47"/>
      <c r="N886" s="47"/>
      <c r="O886" s="47"/>
      <c r="P886" s="47"/>
      <c r="Q886" s="47"/>
      <c r="R886" s="47"/>
      <c r="S886" s="48"/>
      <c r="T886" s="68" t="str">
        <f>IF(Tableau1[[#This Row],[DMS_SAP]]="","",HYPERLINK(Tableau1[[#This Row],[Chemin fichier source]],"X"))</f>
        <v/>
      </c>
      <c r="U886" s="68" t="str">
        <f>IF(Tableau1[[#This Row],[Date rév.]]="","",HYPERLINK(Tableau1[[#This Row],[Lien document]],"X"))</f>
        <v/>
      </c>
      <c r="V886" s="47"/>
      <c r="W88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86" s="47"/>
      <c r="Y886" s="47"/>
      <c r="Z886" s="44" t="str">
        <f ca="1">IF(AND(Tableau1[[#This Row],[Charge]]&lt;&gt;0, Tableau1[[#This Row],[Nombre intervenants]]&lt;&gt;0,Tableau1[[#This Row],[Lien document]]&lt;&gt;0,Tableau1[[#This Row],[DMS_SAP]]&lt;&gt;0)=TRUE,"MIS A JOUR","")</f>
        <v/>
      </c>
      <c r="AA886" s="48"/>
      <c r="AB886" s="65" t="str">
        <f ca="1">IF(Tableau1[[#This Row],[Date rév.]]&lt;&gt;"", DAYS360(Tableau1[[#This Row],[Date rév.]],TODAY()),"")</f>
        <v/>
      </c>
      <c r="AC886" s="50" t="str">
        <f>IFERROR(INDEX(Chemin_accès!$B$11:$C$22,MATCH(Tableau1[[#This Row],[Type]],Chemin_accès!$C$11:$C$22,0),1),Chemin_accès!$B$11)</f>
        <v>\\stjn.local\trimet\Btechnique\Commun\Atelier Central mécanique\Plan entretien\Modèles préventif\GammeDMS_7.MENG.xlsm</v>
      </c>
      <c r="AD886" s="50" t="str">
        <f>Chemin_accès!$B$8&amp;Tableau1[[#This Row],[Localisation / Classement]]&amp;"\"&amp;Tableau1[[#This Row],[Poste technique ou N° d''équipement]]&amp;"_"&amp;Tableau1[[#This Row],[Plan Entretien]]&amp;".xlsm"</f>
        <v>\\stjn.local\trimet\Btechnique\Commun\Atelier Central mécanique\Plan entretien\GammeEntretien\\_.xlsm</v>
      </c>
    </row>
    <row r="887" spans="1:30" x14ac:dyDescent="0.3">
      <c r="A887" s="44" t="str">
        <f t="shared" ca="1" si="13"/>
        <v>7.MENG</v>
      </c>
      <c r="B88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87" s="47"/>
      <c r="D887" s="44"/>
      <c r="E887" s="44"/>
      <c r="F887" s="47"/>
      <c r="G887" s="47"/>
      <c r="H887" s="45"/>
      <c r="I887" s="45"/>
      <c r="J887" s="45"/>
      <c r="K887" s="45"/>
      <c r="L887" s="46"/>
      <c r="M887" s="47"/>
      <c r="N887" s="47"/>
      <c r="O887" s="47"/>
      <c r="P887" s="47"/>
      <c r="Q887" s="47"/>
      <c r="R887" s="47"/>
      <c r="S887" s="48"/>
      <c r="T887" s="68" t="str">
        <f>IF(Tableau1[[#This Row],[DMS_SAP]]="","",HYPERLINK(Tableau1[[#This Row],[Chemin fichier source]],"X"))</f>
        <v/>
      </c>
      <c r="U887" s="68" t="str">
        <f>IF(Tableau1[[#This Row],[Date rév.]]="","",HYPERLINK(Tableau1[[#This Row],[Lien document]],"X"))</f>
        <v/>
      </c>
      <c r="V887" s="47"/>
      <c r="W88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87" s="47"/>
      <c r="Y887" s="47"/>
      <c r="Z887" s="44" t="str">
        <f ca="1">IF(AND(Tableau1[[#This Row],[Charge]]&lt;&gt;0, Tableau1[[#This Row],[Nombre intervenants]]&lt;&gt;0,Tableau1[[#This Row],[Lien document]]&lt;&gt;0,Tableau1[[#This Row],[DMS_SAP]]&lt;&gt;0)=TRUE,"MIS A JOUR","")</f>
        <v/>
      </c>
      <c r="AA887" s="48"/>
      <c r="AB887" s="65" t="str">
        <f ca="1">IF(Tableau1[[#This Row],[Date rév.]]&lt;&gt;"", DAYS360(Tableau1[[#This Row],[Date rév.]],TODAY()),"")</f>
        <v/>
      </c>
      <c r="AC887" s="50" t="str">
        <f>IFERROR(INDEX(Chemin_accès!$B$11:$C$22,MATCH(Tableau1[[#This Row],[Type]],Chemin_accès!$C$11:$C$22,0),1),Chemin_accès!$B$11)</f>
        <v>\\stjn.local\trimet\Btechnique\Commun\Atelier Central mécanique\Plan entretien\Modèles préventif\GammeDMS_7.MENG.xlsm</v>
      </c>
      <c r="AD887" s="50" t="str">
        <f>Chemin_accès!$B$8&amp;Tableau1[[#This Row],[Localisation / Classement]]&amp;"\"&amp;Tableau1[[#This Row],[Poste technique ou N° d''équipement]]&amp;"_"&amp;Tableau1[[#This Row],[Plan Entretien]]&amp;".xlsm"</f>
        <v>\\stjn.local\trimet\Btechnique\Commun\Atelier Central mécanique\Plan entretien\GammeEntretien\\_.xlsm</v>
      </c>
    </row>
    <row r="888" spans="1:30" x14ac:dyDescent="0.3">
      <c r="A888" s="44" t="str">
        <f t="shared" ca="1" si="13"/>
        <v>7.MENG</v>
      </c>
      <c r="B88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88" s="47"/>
      <c r="D888" s="44"/>
      <c r="E888" s="44"/>
      <c r="F888" s="47"/>
      <c r="G888" s="47"/>
      <c r="H888" s="45"/>
      <c r="I888" s="45"/>
      <c r="J888" s="45"/>
      <c r="K888" s="45"/>
      <c r="L888" s="46"/>
      <c r="M888" s="47"/>
      <c r="N888" s="47"/>
      <c r="O888" s="47"/>
      <c r="P888" s="47"/>
      <c r="Q888" s="47"/>
      <c r="R888" s="47"/>
      <c r="S888" s="48"/>
      <c r="T888" s="68" t="str">
        <f>IF(Tableau1[[#This Row],[DMS_SAP]]="","",HYPERLINK(Tableau1[[#This Row],[Chemin fichier source]],"X"))</f>
        <v/>
      </c>
      <c r="U888" s="68" t="str">
        <f>IF(Tableau1[[#This Row],[Date rév.]]="","",HYPERLINK(Tableau1[[#This Row],[Lien document]],"X"))</f>
        <v/>
      </c>
      <c r="V888" s="47"/>
      <c r="W88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88" s="47"/>
      <c r="Y888" s="47"/>
      <c r="Z888" s="44" t="str">
        <f ca="1">IF(AND(Tableau1[[#This Row],[Charge]]&lt;&gt;0, Tableau1[[#This Row],[Nombre intervenants]]&lt;&gt;0,Tableau1[[#This Row],[Lien document]]&lt;&gt;0,Tableau1[[#This Row],[DMS_SAP]]&lt;&gt;0)=TRUE,"MIS A JOUR","")</f>
        <v/>
      </c>
      <c r="AA888" s="48"/>
      <c r="AB888" s="65" t="str">
        <f ca="1">IF(Tableau1[[#This Row],[Date rév.]]&lt;&gt;"", DAYS360(Tableau1[[#This Row],[Date rév.]],TODAY()),"")</f>
        <v/>
      </c>
      <c r="AC888" s="50" t="str">
        <f>IFERROR(INDEX(Chemin_accès!$B$11:$C$22,MATCH(Tableau1[[#This Row],[Type]],Chemin_accès!$C$11:$C$22,0),1),Chemin_accès!$B$11)</f>
        <v>\\stjn.local\trimet\Btechnique\Commun\Atelier Central mécanique\Plan entretien\Modèles préventif\GammeDMS_7.MENG.xlsm</v>
      </c>
      <c r="AD888" s="50" t="str">
        <f>Chemin_accès!$B$8&amp;Tableau1[[#This Row],[Localisation / Classement]]&amp;"\"&amp;Tableau1[[#This Row],[Poste technique ou N° d''équipement]]&amp;"_"&amp;Tableau1[[#This Row],[Plan Entretien]]&amp;".xlsm"</f>
        <v>\\stjn.local\trimet\Btechnique\Commun\Atelier Central mécanique\Plan entretien\GammeEntretien\\_.xlsm</v>
      </c>
    </row>
    <row r="889" spans="1:30" x14ac:dyDescent="0.3">
      <c r="A889" s="44" t="str">
        <f t="shared" ca="1" si="13"/>
        <v>7.MENG</v>
      </c>
      <c r="B88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89" s="47"/>
      <c r="D889" s="44"/>
      <c r="E889" s="44"/>
      <c r="F889" s="47"/>
      <c r="G889" s="47"/>
      <c r="H889" s="45"/>
      <c r="I889" s="45"/>
      <c r="J889" s="45"/>
      <c r="K889" s="45"/>
      <c r="L889" s="46"/>
      <c r="M889" s="47"/>
      <c r="N889" s="47"/>
      <c r="O889" s="47"/>
      <c r="P889" s="47"/>
      <c r="Q889" s="47"/>
      <c r="R889" s="47"/>
      <c r="S889" s="48"/>
      <c r="T889" s="68" t="str">
        <f>IF(Tableau1[[#This Row],[DMS_SAP]]="","",HYPERLINK(Tableau1[[#This Row],[Chemin fichier source]],"X"))</f>
        <v/>
      </c>
      <c r="U889" s="68" t="str">
        <f>IF(Tableau1[[#This Row],[Date rév.]]="","",HYPERLINK(Tableau1[[#This Row],[Lien document]],"X"))</f>
        <v/>
      </c>
      <c r="V889" s="47"/>
      <c r="W88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89" s="47"/>
      <c r="Y889" s="47"/>
      <c r="Z889" s="44" t="str">
        <f ca="1">IF(AND(Tableau1[[#This Row],[Charge]]&lt;&gt;0, Tableau1[[#This Row],[Nombre intervenants]]&lt;&gt;0,Tableau1[[#This Row],[Lien document]]&lt;&gt;0,Tableau1[[#This Row],[DMS_SAP]]&lt;&gt;0)=TRUE,"MIS A JOUR","")</f>
        <v/>
      </c>
      <c r="AA889" s="48"/>
      <c r="AB889" s="65" t="str">
        <f ca="1">IF(Tableau1[[#This Row],[Date rév.]]&lt;&gt;"", DAYS360(Tableau1[[#This Row],[Date rév.]],TODAY()),"")</f>
        <v/>
      </c>
      <c r="AC889" s="50" t="str">
        <f>IFERROR(INDEX(Chemin_accès!$B$11:$C$22,MATCH(Tableau1[[#This Row],[Type]],Chemin_accès!$C$11:$C$22,0),1),Chemin_accès!$B$11)</f>
        <v>\\stjn.local\trimet\Btechnique\Commun\Atelier Central mécanique\Plan entretien\Modèles préventif\GammeDMS_7.MENG.xlsm</v>
      </c>
      <c r="AD889" s="50" t="str">
        <f>Chemin_accès!$B$8&amp;Tableau1[[#This Row],[Localisation / Classement]]&amp;"\"&amp;Tableau1[[#This Row],[Poste technique ou N° d''équipement]]&amp;"_"&amp;Tableau1[[#This Row],[Plan Entretien]]&amp;".xlsm"</f>
        <v>\\stjn.local\trimet\Btechnique\Commun\Atelier Central mécanique\Plan entretien\GammeEntretien\\_.xlsm</v>
      </c>
    </row>
    <row r="890" spans="1:30" x14ac:dyDescent="0.3">
      <c r="A890" s="44" t="str">
        <f t="shared" ca="1" si="13"/>
        <v>7.MENG</v>
      </c>
      <c r="B89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90" s="47"/>
      <c r="D890" s="44"/>
      <c r="E890" s="44"/>
      <c r="F890" s="47"/>
      <c r="G890" s="47"/>
      <c r="H890" s="45"/>
      <c r="I890" s="45"/>
      <c r="J890" s="45"/>
      <c r="K890" s="45"/>
      <c r="L890" s="46"/>
      <c r="M890" s="47"/>
      <c r="N890" s="47"/>
      <c r="O890" s="47"/>
      <c r="P890" s="47"/>
      <c r="Q890" s="47"/>
      <c r="R890" s="47"/>
      <c r="S890" s="48"/>
      <c r="T890" s="68" t="str">
        <f>IF(Tableau1[[#This Row],[DMS_SAP]]="","",HYPERLINK(Tableau1[[#This Row],[Chemin fichier source]],"X"))</f>
        <v/>
      </c>
      <c r="U890" s="68" t="str">
        <f>IF(Tableau1[[#This Row],[Date rév.]]="","",HYPERLINK(Tableau1[[#This Row],[Lien document]],"X"))</f>
        <v/>
      </c>
      <c r="V890" s="47"/>
      <c r="W89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90" s="47"/>
      <c r="Y890" s="47"/>
      <c r="Z890" s="44" t="str">
        <f ca="1">IF(AND(Tableau1[[#This Row],[Charge]]&lt;&gt;0, Tableau1[[#This Row],[Nombre intervenants]]&lt;&gt;0,Tableau1[[#This Row],[Lien document]]&lt;&gt;0,Tableau1[[#This Row],[DMS_SAP]]&lt;&gt;0)=TRUE,"MIS A JOUR","")</f>
        <v/>
      </c>
      <c r="AA890" s="48"/>
      <c r="AB890" s="65" t="str">
        <f ca="1">IF(Tableau1[[#This Row],[Date rév.]]&lt;&gt;"", DAYS360(Tableau1[[#This Row],[Date rév.]],TODAY()),"")</f>
        <v/>
      </c>
      <c r="AC890" s="50" t="str">
        <f>IFERROR(INDEX(Chemin_accès!$B$11:$C$22,MATCH(Tableau1[[#This Row],[Type]],Chemin_accès!$C$11:$C$22,0),1),Chemin_accès!$B$11)</f>
        <v>\\stjn.local\trimet\Btechnique\Commun\Atelier Central mécanique\Plan entretien\Modèles préventif\GammeDMS_7.MENG.xlsm</v>
      </c>
      <c r="AD890" s="50" t="str">
        <f>Chemin_accès!$B$8&amp;Tableau1[[#This Row],[Localisation / Classement]]&amp;"\"&amp;Tableau1[[#This Row],[Poste technique ou N° d''équipement]]&amp;"_"&amp;Tableau1[[#This Row],[Plan Entretien]]&amp;".xlsm"</f>
        <v>\\stjn.local\trimet\Btechnique\Commun\Atelier Central mécanique\Plan entretien\GammeEntretien\\_.xlsm</v>
      </c>
    </row>
    <row r="891" spans="1:30" x14ac:dyDescent="0.3">
      <c r="A891" s="44" t="str">
        <f t="shared" ca="1" si="13"/>
        <v>7.MENG</v>
      </c>
      <c r="B89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91" s="47"/>
      <c r="D891" s="44"/>
      <c r="E891" s="44"/>
      <c r="F891" s="47"/>
      <c r="G891" s="47"/>
      <c r="H891" s="45"/>
      <c r="I891" s="45"/>
      <c r="J891" s="45"/>
      <c r="K891" s="45"/>
      <c r="L891" s="46"/>
      <c r="M891" s="47"/>
      <c r="N891" s="47"/>
      <c r="O891" s="47"/>
      <c r="P891" s="47"/>
      <c r="Q891" s="47"/>
      <c r="R891" s="47"/>
      <c r="S891" s="48"/>
      <c r="T891" s="68" t="str">
        <f>IF(Tableau1[[#This Row],[DMS_SAP]]="","",HYPERLINK(Tableau1[[#This Row],[Chemin fichier source]],"X"))</f>
        <v/>
      </c>
      <c r="U891" s="68" t="str">
        <f>IF(Tableau1[[#This Row],[Date rév.]]="","",HYPERLINK(Tableau1[[#This Row],[Lien document]],"X"))</f>
        <v/>
      </c>
      <c r="V891" s="47"/>
      <c r="W89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91" s="47"/>
      <c r="Y891" s="47"/>
      <c r="Z891" s="44" t="str">
        <f ca="1">IF(AND(Tableau1[[#This Row],[Charge]]&lt;&gt;0, Tableau1[[#This Row],[Nombre intervenants]]&lt;&gt;0,Tableau1[[#This Row],[Lien document]]&lt;&gt;0,Tableau1[[#This Row],[DMS_SAP]]&lt;&gt;0)=TRUE,"MIS A JOUR","")</f>
        <v/>
      </c>
      <c r="AA891" s="48"/>
      <c r="AB891" s="65" t="str">
        <f ca="1">IF(Tableau1[[#This Row],[Date rév.]]&lt;&gt;"", DAYS360(Tableau1[[#This Row],[Date rév.]],TODAY()),"")</f>
        <v/>
      </c>
      <c r="AC891" s="50" t="str">
        <f>IFERROR(INDEX(Chemin_accès!$B$11:$C$22,MATCH(Tableau1[[#This Row],[Type]],Chemin_accès!$C$11:$C$22,0),1),Chemin_accès!$B$11)</f>
        <v>\\stjn.local\trimet\Btechnique\Commun\Atelier Central mécanique\Plan entretien\Modèles préventif\GammeDMS_7.MENG.xlsm</v>
      </c>
      <c r="AD891" s="50" t="str">
        <f>Chemin_accès!$B$8&amp;Tableau1[[#This Row],[Localisation / Classement]]&amp;"\"&amp;Tableau1[[#This Row],[Poste technique ou N° d''équipement]]&amp;"_"&amp;Tableau1[[#This Row],[Plan Entretien]]&amp;".xlsm"</f>
        <v>\\stjn.local\trimet\Btechnique\Commun\Atelier Central mécanique\Plan entretien\GammeEntretien\\_.xlsm</v>
      </c>
    </row>
    <row r="892" spans="1:30" x14ac:dyDescent="0.3">
      <c r="A892" s="44" t="str">
        <f t="shared" ca="1" si="13"/>
        <v>7.MENG</v>
      </c>
      <c r="B89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92" s="47"/>
      <c r="D892" s="44"/>
      <c r="E892" s="44"/>
      <c r="F892" s="47"/>
      <c r="G892" s="47"/>
      <c r="H892" s="45"/>
      <c r="I892" s="45"/>
      <c r="J892" s="45"/>
      <c r="K892" s="45"/>
      <c r="L892" s="46"/>
      <c r="M892" s="47"/>
      <c r="N892" s="47"/>
      <c r="O892" s="47"/>
      <c r="P892" s="47"/>
      <c r="Q892" s="47"/>
      <c r="R892" s="47"/>
      <c r="S892" s="48"/>
      <c r="T892" s="68" t="str">
        <f>IF(Tableau1[[#This Row],[DMS_SAP]]="","",HYPERLINK(Tableau1[[#This Row],[Chemin fichier source]],"X"))</f>
        <v/>
      </c>
      <c r="U892" s="68" t="str">
        <f>IF(Tableau1[[#This Row],[Date rév.]]="","",HYPERLINK(Tableau1[[#This Row],[Lien document]],"X"))</f>
        <v/>
      </c>
      <c r="V892" s="47"/>
      <c r="W89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92" s="47"/>
      <c r="Y892" s="47"/>
      <c r="Z892" s="44" t="str">
        <f ca="1">IF(AND(Tableau1[[#This Row],[Charge]]&lt;&gt;0, Tableau1[[#This Row],[Nombre intervenants]]&lt;&gt;0,Tableau1[[#This Row],[Lien document]]&lt;&gt;0,Tableau1[[#This Row],[DMS_SAP]]&lt;&gt;0)=TRUE,"MIS A JOUR","")</f>
        <v/>
      </c>
      <c r="AA892" s="48"/>
      <c r="AB892" s="65" t="str">
        <f ca="1">IF(Tableau1[[#This Row],[Date rév.]]&lt;&gt;"", DAYS360(Tableau1[[#This Row],[Date rév.]],TODAY()),"")</f>
        <v/>
      </c>
      <c r="AC892" s="50" t="str">
        <f>IFERROR(INDEX(Chemin_accès!$B$11:$C$22,MATCH(Tableau1[[#This Row],[Type]],Chemin_accès!$C$11:$C$22,0),1),Chemin_accès!$B$11)</f>
        <v>\\stjn.local\trimet\Btechnique\Commun\Atelier Central mécanique\Plan entretien\Modèles préventif\GammeDMS_7.MENG.xlsm</v>
      </c>
      <c r="AD892" s="50" t="str">
        <f>Chemin_accès!$B$8&amp;Tableau1[[#This Row],[Localisation / Classement]]&amp;"\"&amp;Tableau1[[#This Row],[Poste technique ou N° d''équipement]]&amp;"_"&amp;Tableau1[[#This Row],[Plan Entretien]]&amp;".xlsm"</f>
        <v>\\stjn.local\trimet\Btechnique\Commun\Atelier Central mécanique\Plan entretien\GammeEntretien\\_.xlsm</v>
      </c>
    </row>
    <row r="893" spans="1:30" x14ac:dyDescent="0.3">
      <c r="A893" s="44" t="str">
        <f t="shared" ca="1" si="13"/>
        <v>7.MENG</v>
      </c>
      <c r="B89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93" s="47"/>
      <c r="D893" s="44"/>
      <c r="E893" s="44"/>
      <c r="F893" s="47"/>
      <c r="G893" s="47"/>
      <c r="H893" s="45"/>
      <c r="I893" s="45"/>
      <c r="J893" s="45"/>
      <c r="K893" s="45"/>
      <c r="L893" s="46"/>
      <c r="M893" s="47"/>
      <c r="N893" s="47"/>
      <c r="O893" s="47"/>
      <c r="P893" s="47"/>
      <c r="Q893" s="47"/>
      <c r="R893" s="47"/>
      <c r="S893" s="48"/>
      <c r="T893" s="68" t="str">
        <f>IF(Tableau1[[#This Row],[DMS_SAP]]="","",HYPERLINK(Tableau1[[#This Row],[Chemin fichier source]],"X"))</f>
        <v/>
      </c>
      <c r="U893" s="68" t="str">
        <f>IF(Tableau1[[#This Row],[Date rév.]]="","",HYPERLINK(Tableau1[[#This Row],[Lien document]],"X"))</f>
        <v/>
      </c>
      <c r="V893" s="47"/>
      <c r="W89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93" s="47"/>
      <c r="Y893" s="47"/>
      <c r="Z893" s="44" t="str">
        <f ca="1">IF(AND(Tableau1[[#This Row],[Charge]]&lt;&gt;0, Tableau1[[#This Row],[Nombre intervenants]]&lt;&gt;0,Tableau1[[#This Row],[Lien document]]&lt;&gt;0,Tableau1[[#This Row],[DMS_SAP]]&lt;&gt;0)=TRUE,"MIS A JOUR","")</f>
        <v/>
      </c>
      <c r="AA893" s="48"/>
      <c r="AB893" s="65" t="str">
        <f ca="1">IF(Tableau1[[#This Row],[Date rév.]]&lt;&gt;"", DAYS360(Tableau1[[#This Row],[Date rév.]],TODAY()),"")</f>
        <v/>
      </c>
      <c r="AC893" s="50" t="str">
        <f>IFERROR(INDEX(Chemin_accès!$B$11:$C$22,MATCH(Tableau1[[#This Row],[Type]],Chemin_accès!$C$11:$C$22,0),1),Chemin_accès!$B$11)</f>
        <v>\\stjn.local\trimet\Btechnique\Commun\Atelier Central mécanique\Plan entretien\Modèles préventif\GammeDMS_7.MENG.xlsm</v>
      </c>
      <c r="AD893" s="50" t="str">
        <f>Chemin_accès!$B$8&amp;Tableau1[[#This Row],[Localisation / Classement]]&amp;"\"&amp;Tableau1[[#This Row],[Poste technique ou N° d''équipement]]&amp;"_"&amp;Tableau1[[#This Row],[Plan Entretien]]&amp;".xlsm"</f>
        <v>\\stjn.local\trimet\Btechnique\Commun\Atelier Central mécanique\Plan entretien\GammeEntretien\\_.xlsm</v>
      </c>
    </row>
    <row r="894" spans="1:30" x14ac:dyDescent="0.3">
      <c r="A894" s="44" t="str">
        <f t="shared" ca="1" si="13"/>
        <v>7.MENG</v>
      </c>
      <c r="B89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94" s="47"/>
      <c r="D894" s="44"/>
      <c r="E894" s="44"/>
      <c r="F894" s="47"/>
      <c r="G894" s="47"/>
      <c r="H894" s="45"/>
      <c r="I894" s="45"/>
      <c r="J894" s="45"/>
      <c r="K894" s="45"/>
      <c r="L894" s="46"/>
      <c r="M894" s="47"/>
      <c r="N894" s="47"/>
      <c r="O894" s="47"/>
      <c r="P894" s="47"/>
      <c r="Q894" s="47"/>
      <c r="R894" s="47"/>
      <c r="S894" s="48"/>
      <c r="T894" s="68" t="str">
        <f>IF(Tableau1[[#This Row],[DMS_SAP]]="","",HYPERLINK(Tableau1[[#This Row],[Chemin fichier source]],"X"))</f>
        <v/>
      </c>
      <c r="U894" s="68" t="str">
        <f>IF(Tableau1[[#This Row],[Date rév.]]="","",HYPERLINK(Tableau1[[#This Row],[Lien document]],"X"))</f>
        <v/>
      </c>
      <c r="V894" s="47"/>
      <c r="W89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94" s="47"/>
      <c r="Y894" s="47"/>
      <c r="Z894" s="44" t="str">
        <f ca="1">IF(AND(Tableau1[[#This Row],[Charge]]&lt;&gt;0, Tableau1[[#This Row],[Nombre intervenants]]&lt;&gt;0,Tableau1[[#This Row],[Lien document]]&lt;&gt;0,Tableau1[[#This Row],[DMS_SAP]]&lt;&gt;0)=TRUE,"MIS A JOUR","")</f>
        <v/>
      </c>
      <c r="AA894" s="48"/>
      <c r="AB894" s="65" t="str">
        <f ca="1">IF(Tableau1[[#This Row],[Date rév.]]&lt;&gt;"", DAYS360(Tableau1[[#This Row],[Date rév.]],TODAY()),"")</f>
        <v/>
      </c>
      <c r="AC894" s="50" t="str">
        <f>IFERROR(INDEX(Chemin_accès!$B$11:$C$22,MATCH(Tableau1[[#This Row],[Type]],Chemin_accès!$C$11:$C$22,0),1),Chemin_accès!$B$11)</f>
        <v>\\stjn.local\trimet\Btechnique\Commun\Atelier Central mécanique\Plan entretien\Modèles préventif\GammeDMS_7.MENG.xlsm</v>
      </c>
      <c r="AD894" s="50" t="str">
        <f>Chemin_accès!$B$8&amp;Tableau1[[#This Row],[Localisation / Classement]]&amp;"\"&amp;Tableau1[[#This Row],[Poste technique ou N° d''équipement]]&amp;"_"&amp;Tableau1[[#This Row],[Plan Entretien]]&amp;".xlsm"</f>
        <v>\\stjn.local\trimet\Btechnique\Commun\Atelier Central mécanique\Plan entretien\GammeEntretien\\_.xlsm</v>
      </c>
    </row>
    <row r="895" spans="1:30" x14ac:dyDescent="0.3">
      <c r="A895" s="44" t="str">
        <f t="shared" ca="1" si="13"/>
        <v>7.MENG</v>
      </c>
      <c r="B89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95" s="47"/>
      <c r="D895" s="44"/>
      <c r="E895" s="44"/>
      <c r="F895" s="47"/>
      <c r="G895" s="47"/>
      <c r="H895" s="45"/>
      <c r="I895" s="45"/>
      <c r="J895" s="45"/>
      <c r="K895" s="45"/>
      <c r="L895" s="46"/>
      <c r="M895" s="47"/>
      <c r="N895" s="47"/>
      <c r="O895" s="47"/>
      <c r="P895" s="47"/>
      <c r="Q895" s="47"/>
      <c r="R895" s="47"/>
      <c r="S895" s="48"/>
      <c r="T895" s="68" t="str">
        <f>IF(Tableau1[[#This Row],[DMS_SAP]]="","",HYPERLINK(Tableau1[[#This Row],[Chemin fichier source]],"X"))</f>
        <v/>
      </c>
      <c r="U895" s="68" t="str">
        <f>IF(Tableau1[[#This Row],[Date rév.]]="","",HYPERLINK(Tableau1[[#This Row],[Lien document]],"X"))</f>
        <v/>
      </c>
      <c r="V895" s="47"/>
      <c r="W89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95" s="47"/>
      <c r="Y895" s="47"/>
      <c r="Z895" s="44" t="str">
        <f ca="1">IF(AND(Tableau1[[#This Row],[Charge]]&lt;&gt;0, Tableau1[[#This Row],[Nombre intervenants]]&lt;&gt;0,Tableau1[[#This Row],[Lien document]]&lt;&gt;0,Tableau1[[#This Row],[DMS_SAP]]&lt;&gt;0)=TRUE,"MIS A JOUR","")</f>
        <v/>
      </c>
      <c r="AA895" s="48"/>
      <c r="AB895" s="65" t="str">
        <f ca="1">IF(Tableau1[[#This Row],[Date rév.]]&lt;&gt;"", DAYS360(Tableau1[[#This Row],[Date rév.]],TODAY()),"")</f>
        <v/>
      </c>
      <c r="AC895" s="50" t="str">
        <f>IFERROR(INDEX(Chemin_accès!$B$11:$C$22,MATCH(Tableau1[[#This Row],[Type]],Chemin_accès!$C$11:$C$22,0),1),Chemin_accès!$B$11)</f>
        <v>\\stjn.local\trimet\Btechnique\Commun\Atelier Central mécanique\Plan entretien\Modèles préventif\GammeDMS_7.MENG.xlsm</v>
      </c>
      <c r="AD895" s="50" t="str">
        <f>Chemin_accès!$B$8&amp;Tableau1[[#This Row],[Localisation / Classement]]&amp;"\"&amp;Tableau1[[#This Row],[Poste technique ou N° d''équipement]]&amp;"_"&amp;Tableau1[[#This Row],[Plan Entretien]]&amp;".xlsm"</f>
        <v>\\stjn.local\trimet\Btechnique\Commun\Atelier Central mécanique\Plan entretien\GammeEntretien\\_.xlsm</v>
      </c>
    </row>
    <row r="896" spans="1:30" x14ac:dyDescent="0.3">
      <c r="A896" s="44" t="str">
        <f t="shared" ca="1" si="13"/>
        <v>7.MENG</v>
      </c>
      <c r="B89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96" s="47"/>
      <c r="D896" s="44"/>
      <c r="E896" s="44"/>
      <c r="F896" s="47"/>
      <c r="G896" s="47"/>
      <c r="H896" s="45"/>
      <c r="I896" s="45"/>
      <c r="J896" s="45"/>
      <c r="K896" s="45"/>
      <c r="L896" s="46"/>
      <c r="M896" s="47"/>
      <c r="N896" s="47"/>
      <c r="O896" s="47"/>
      <c r="P896" s="47"/>
      <c r="Q896" s="47"/>
      <c r="R896" s="47"/>
      <c r="S896" s="48"/>
      <c r="T896" s="68" t="str">
        <f>IF(Tableau1[[#This Row],[DMS_SAP]]="","",HYPERLINK(Tableau1[[#This Row],[Chemin fichier source]],"X"))</f>
        <v/>
      </c>
      <c r="U896" s="68" t="str">
        <f>IF(Tableau1[[#This Row],[Date rév.]]="","",HYPERLINK(Tableau1[[#This Row],[Lien document]],"X"))</f>
        <v/>
      </c>
      <c r="V896" s="47"/>
      <c r="W89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96" s="47"/>
      <c r="Y896" s="47"/>
      <c r="Z896" s="44" t="str">
        <f ca="1">IF(AND(Tableau1[[#This Row],[Charge]]&lt;&gt;0, Tableau1[[#This Row],[Nombre intervenants]]&lt;&gt;0,Tableau1[[#This Row],[Lien document]]&lt;&gt;0,Tableau1[[#This Row],[DMS_SAP]]&lt;&gt;0)=TRUE,"MIS A JOUR","")</f>
        <v/>
      </c>
      <c r="AA896" s="48"/>
      <c r="AB896" s="65" t="str">
        <f ca="1">IF(Tableau1[[#This Row],[Date rév.]]&lt;&gt;"", DAYS360(Tableau1[[#This Row],[Date rév.]],TODAY()),"")</f>
        <v/>
      </c>
      <c r="AC896" s="50" t="str">
        <f>IFERROR(INDEX(Chemin_accès!$B$11:$C$22,MATCH(Tableau1[[#This Row],[Type]],Chemin_accès!$C$11:$C$22,0),1),Chemin_accès!$B$11)</f>
        <v>\\stjn.local\trimet\Btechnique\Commun\Atelier Central mécanique\Plan entretien\Modèles préventif\GammeDMS_7.MENG.xlsm</v>
      </c>
      <c r="AD896" s="50" t="str">
        <f>Chemin_accès!$B$8&amp;Tableau1[[#This Row],[Localisation / Classement]]&amp;"\"&amp;Tableau1[[#This Row],[Poste technique ou N° d''équipement]]&amp;"_"&amp;Tableau1[[#This Row],[Plan Entretien]]&amp;".xlsm"</f>
        <v>\\stjn.local\trimet\Btechnique\Commun\Atelier Central mécanique\Plan entretien\GammeEntretien\\_.xlsm</v>
      </c>
    </row>
    <row r="897" spans="1:30" x14ac:dyDescent="0.3">
      <c r="A897" s="44" t="str">
        <f t="shared" ref="A897:A960" ca="1" si="14">MID(CELL("filename",$A$1),FIND("]",CELL("filename",$A$1))+1,32)</f>
        <v>7.MENG</v>
      </c>
      <c r="B89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97" s="47"/>
      <c r="D897" s="44"/>
      <c r="E897" s="44"/>
      <c r="F897" s="47"/>
      <c r="G897" s="47"/>
      <c r="H897" s="45"/>
      <c r="I897" s="45"/>
      <c r="J897" s="45"/>
      <c r="K897" s="45"/>
      <c r="L897" s="46"/>
      <c r="M897" s="47"/>
      <c r="N897" s="47"/>
      <c r="O897" s="47"/>
      <c r="P897" s="47"/>
      <c r="Q897" s="47"/>
      <c r="R897" s="47"/>
      <c r="S897" s="48"/>
      <c r="T897" s="68" t="str">
        <f>IF(Tableau1[[#This Row],[DMS_SAP]]="","",HYPERLINK(Tableau1[[#This Row],[Chemin fichier source]],"X"))</f>
        <v/>
      </c>
      <c r="U897" s="68" t="str">
        <f>IF(Tableau1[[#This Row],[Date rév.]]="","",HYPERLINK(Tableau1[[#This Row],[Lien document]],"X"))</f>
        <v/>
      </c>
      <c r="V897" s="47"/>
      <c r="W89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97" s="47"/>
      <c r="Y897" s="47"/>
      <c r="Z897" s="44" t="str">
        <f ca="1">IF(AND(Tableau1[[#This Row],[Charge]]&lt;&gt;0, Tableau1[[#This Row],[Nombre intervenants]]&lt;&gt;0,Tableau1[[#This Row],[Lien document]]&lt;&gt;0,Tableau1[[#This Row],[DMS_SAP]]&lt;&gt;0)=TRUE,"MIS A JOUR","")</f>
        <v/>
      </c>
      <c r="AA897" s="48"/>
      <c r="AB897" s="65" t="str">
        <f ca="1">IF(Tableau1[[#This Row],[Date rév.]]&lt;&gt;"", DAYS360(Tableau1[[#This Row],[Date rév.]],TODAY()),"")</f>
        <v/>
      </c>
      <c r="AC897" s="50" t="str">
        <f>IFERROR(INDEX(Chemin_accès!$B$11:$C$22,MATCH(Tableau1[[#This Row],[Type]],Chemin_accès!$C$11:$C$22,0),1),Chemin_accès!$B$11)</f>
        <v>\\stjn.local\trimet\Btechnique\Commun\Atelier Central mécanique\Plan entretien\Modèles préventif\GammeDMS_7.MENG.xlsm</v>
      </c>
      <c r="AD897" s="50" t="str">
        <f>Chemin_accès!$B$8&amp;Tableau1[[#This Row],[Localisation / Classement]]&amp;"\"&amp;Tableau1[[#This Row],[Poste technique ou N° d''équipement]]&amp;"_"&amp;Tableau1[[#This Row],[Plan Entretien]]&amp;".xlsm"</f>
        <v>\\stjn.local\trimet\Btechnique\Commun\Atelier Central mécanique\Plan entretien\GammeEntretien\\_.xlsm</v>
      </c>
    </row>
    <row r="898" spans="1:30" x14ac:dyDescent="0.3">
      <c r="A898" s="44" t="str">
        <f t="shared" ca="1" si="14"/>
        <v>7.MENG</v>
      </c>
      <c r="B89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98" s="47"/>
      <c r="D898" s="44"/>
      <c r="E898" s="44"/>
      <c r="F898" s="47"/>
      <c r="G898" s="47"/>
      <c r="H898" s="45"/>
      <c r="I898" s="45"/>
      <c r="J898" s="45"/>
      <c r="K898" s="45"/>
      <c r="L898" s="46"/>
      <c r="M898" s="47"/>
      <c r="N898" s="47"/>
      <c r="O898" s="47"/>
      <c r="P898" s="47"/>
      <c r="Q898" s="47"/>
      <c r="R898" s="47"/>
      <c r="S898" s="48"/>
      <c r="T898" s="68" t="str">
        <f>IF(Tableau1[[#This Row],[DMS_SAP]]="","",HYPERLINK(Tableau1[[#This Row],[Chemin fichier source]],"X"))</f>
        <v/>
      </c>
      <c r="U898" s="68" t="str">
        <f>IF(Tableau1[[#This Row],[Date rév.]]="","",HYPERLINK(Tableau1[[#This Row],[Lien document]],"X"))</f>
        <v/>
      </c>
      <c r="V898" s="47"/>
      <c r="W89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98" s="47"/>
      <c r="Y898" s="47"/>
      <c r="Z898" s="44" t="str">
        <f ca="1">IF(AND(Tableau1[[#This Row],[Charge]]&lt;&gt;0, Tableau1[[#This Row],[Nombre intervenants]]&lt;&gt;0,Tableau1[[#This Row],[Lien document]]&lt;&gt;0,Tableau1[[#This Row],[DMS_SAP]]&lt;&gt;0)=TRUE,"MIS A JOUR","")</f>
        <v/>
      </c>
      <c r="AA898" s="48"/>
      <c r="AB898" s="65" t="str">
        <f ca="1">IF(Tableau1[[#This Row],[Date rév.]]&lt;&gt;"", DAYS360(Tableau1[[#This Row],[Date rév.]],TODAY()),"")</f>
        <v/>
      </c>
      <c r="AC898" s="50" t="str">
        <f>IFERROR(INDEX(Chemin_accès!$B$11:$C$22,MATCH(Tableau1[[#This Row],[Type]],Chemin_accès!$C$11:$C$22,0),1),Chemin_accès!$B$11)</f>
        <v>\\stjn.local\trimet\Btechnique\Commun\Atelier Central mécanique\Plan entretien\Modèles préventif\GammeDMS_7.MENG.xlsm</v>
      </c>
      <c r="AD898" s="50" t="str">
        <f>Chemin_accès!$B$8&amp;Tableau1[[#This Row],[Localisation / Classement]]&amp;"\"&amp;Tableau1[[#This Row],[Poste technique ou N° d''équipement]]&amp;"_"&amp;Tableau1[[#This Row],[Plan Entretien]]&amp;".xlsm"</f>
        <v>\\stjn.local\trimet\Btechnique\Commun\Atelier Central mécanique\Plan entretien\GammeEntretien\\_.xlsm</v>
      </c>
    </row>
    <row r="899" spans="1:30" x14ac:dyDescent="0.3">
      <c r="A899" s="44" t="str">
        <f t="shared" ca="1" si="14"/>
        <v>7.MENG</v>
      </c>
      <c r="B89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899" s="47"/>
      <c r="D899" s="44"/>
      <c r="E899" s="44"/>
      <c r="F899" s="47"/>
      <c r="G899" s="47"/>
      <c r="H899" s="45"/>
      <c r="I899" s="45"/>
      <c r="J899" s="45"/>
      <c r="K899" s="45"/>
      <c r="L899" s="46"/>
      <c r="M899" s="47"/>
      <c r="N899" s="47"/>
      <c r="O899" s="47"/>
      <c r="P899" s="47"/>
      <c r="Q899" s="47"/>
      <c r="R899" s="47"/>
      <c r="S899" s="48"/>
      <c r="T899" s="68" t="str">
        <f>IF(Tableau1[[#This Row],[DMS_SAP]]="","",HYPERLINK(Tableau1[[#This Row],[Chemin fichier source]],"X"))</f>
        <v/>
      </c>
      <c r="U899" s="68" t="str">
        <f>IF(Tableau1[[#This Row],[Date rév.]]="","",HYPERLINK(Tableau1[[#This Row],[Lien document]],"X"))</f>
        <v/>
      </c>
      <c r="V899" s="47"/>
      <c r="W89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899" s="47"/>
      <c r="Y899" s="47"/>
      <c r="Z899" s="44" t="str">
        <f ca="1">IF(AND(Tableau1[[#This Row],[Charge]]&lt;&gt;0, Tableau1[[#This Row],[Nombre intervenants]]&lt;&gt;0,Tableau1[[#This Row],[Lien document]]&lt;&gt;0,Tableau1[[#This Row],[DMS_SAP]]&lt;&gt;0)=TRUE,"MIS A JOUR","")</f>
        <v/>
      </c>
      <c r="AA899" s="48"/>
      <c r="AB899" s="65" t="str">
        <f ca="1">IF(Tableau1[[#This Row],[Date rév.]]&lt;&gt;"", DAYS360(Tableau1[[#This Row],[Date rév.]],TODAY()),"")</f>
        <v/>
      </c>
      <c r="AC899" s="50" t="str">
        <f>IFERROR(INDEX(Chemin_accès!$B$11:$C$22,MATCH(Tableau1[[#This Row],[Type]],Chemin_accès!$C$11:$C$22,0),1),Chemin_accès!$B$11)</f>
        <v>\\stjn.local\trimet\Btechnique\Commun\Atelier Central mécanique\Plan entretien\Modèles préventif\GammeDMS_7.MENG.xlsm</v>
      </c>
      <c r="AD899" s="50" t="str">
        <f>Chemin_accès!$B$8&amp;Tableau1[[#This Row],[Localisation / Classement]]&amp;"\"&amp;Tableau1[[#This Row],[Poste technique ou N° d''équipement]]&amp;"_"&amp;Tableau1[[#This Row],[Plan Entretien]]&amp;".xlsm"</f>
        <v>\\stjn.local\trimet\Btechnique\Commun\Atelier Central mécanique\Plan entretien\GammeEntretien\\_.xlsm</v>
      </c>
    </row>
    <row r="900" spans="1:30" x14ac:dyDescent="0.3">
      <c r="A900" s="44" t="str">
        <f t="shared" ca="1" si="14"/>
        <v>7.MENG</v>
      </c>
      <c r="B90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00" s="47"/>
      <c r="D900" s="44"/>
      <c r="E900" s="44"/>
      <c r="F900" s="47"/>
      <c r="G900" s="47"/>
      <c r="H900" s="45"/>
      <c r="I900" s="45"/>
      <c r="J900" s="45"/>
      <c r="K900" s="45"/>
      <c r="L900" s="46"/>
      <c r="M900" s="47"/>
      <c r="N900" s="47"/>
      <c r="O900" s="47"/>
      <c r="P900" s="47"/>
      <c r="Q900" s="47"/>
      <c r="R900" s="47"/>
      <c r="S900" s="48"/>
      <c r="T900" s="68" t="str">
        <f>IF(Tableau1[[#This Row],[DMS_SAP]]="","",HYPERLINK(Tableau1[[#This Row],[Chemin fichier source]],"X"))</f>
        <v/>
      </c>
      <c r="U900" s="68" t="str">
        <f>IF(Tableau1[[#This Row],[Date rév.]]="","",HYPERLINK(Tableau1[[#This Row],[Lien document]],"X"))</f>
        <v/>
      </c>
      <c r="V900" s="47"/>
      <c r="W90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00" s="47"/>
      <c r="Y900" s="47"/>
      <c r="Z900" s="44" t="str">
        <f ca="1">IF(AND(Tableau1[[#This Row],[Charge]]&lt;&gt;0, Tableau1[[#This Row],[Nombre intervenants]]&lt;&gt;0,Tableau1[[#This Row],[Lien document]]&lt;&gt;0,Tableau1[[#This Row],[DMS_SAP]]&lt;&gt;0)=TRUE,"MIS A JOUR","")</f>
        <v/>
      </c>
      <c r="AA900" s="48"/>
      <c r="AB900" s="65" t="str">
        <f ca="1">IF(Tableau1[[#This Row],[Date rév.]]&lt;&gt;"", DAYS360(Tableau1[[#This Row],[Date rév.]],TODAY()),"")</f>
        <v/>
      </c>
      <c r="AC900" s="50" t="str">
        <f>IFERROR(INDEX(Chemin_accès!$B$11:$C$22,MATCH(Tableau1[[#This Row],[Type]],Chemin_accès!$C$11:$C$22,0),1),Chemin_accès!$B$11)</f>
        <v>\\stjn.local\trimet\Btechnique\Commun\Atelier Central mécanique\Plan entretien\Modèles préventif\GammeDMS_7.MENG.xlsm</v>
      </c>
      <c r="AD900" s="50" t="str">
        <f>Chemin_accès!$B$8&amp;Tableau1[[#This Row],[Localisation / Classement]]&amp;"\"&amp;Tableau1[[#This Row],[Poste technique ou N° d''équipement]]&amp;"_"&amp;Tableau1[[#This Row],[Plan Entretien]]&amp;".xlsm"</f>
        <v>\\stjn.local\trimet\Btechnique\Commun\Atelier Central mécanique\Plan entretien\GammeEntretien\\_.xlsm</v>
      </c>
    </row>
    <row r="901" spans="1:30" x14ac:dyDescent="0.3">
      <c r="A901" s="44" t="str">
        <f t="shared" ca="1" si="14"/>
        <v>7.MENG</v>
      </c>
      <c r="B90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01" s="47"/>
      <c r="D901" s="44"/>
      <c r="E901" s="44"/>
      <c r="F901" s="47"/>
      <c r="G901" s="47"/>
      <c r="H901" s="45"/>
      <c r="I901" s="45"/>
      <c r="J901" s="45"/>
      <c r="K901" s="45"/>
      <c r="L901" s="46"/>
      <c r="M901" s="47"/>
      <c r="N901" s="47"/>
      <c r="O901" s="47"/>
      <c r="P901" s="47"/>
      <c r="Q901" s="47"/>
      <c r="R901" s="47"/>
      <c r="S901" s="48"/>
      <c r="T901" s="68" t="str">
        <f>IF(Tableau1[[#This Row],[DMS_SAP]]="","",HYPERLINK(Tableau1[[#This Row],[Chemin fichier source]],"X"))</f>
        <v/>
      </c>
      <c r="U901" s="68" t="str">
        <f>IF(Tableau1[[#This Row],[Date rév.]]="","",HYPERLINK(Tableau1[[#This Row],[Lien document]],"X"))</f>
        <v/>
      </c>
      <c r="V901" s="47"/>
      <c r="W90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01" s="47"/>
      <c r="Y901" s="47"/>
      <c r="Z901" s="44" t="str">
        <f ca="1">IF(AND(Tableau1[[#This Row],[Charge]]&lt;&gt;0, Tableau1[[#This Row],[Nombre intervenants]]&lt;&gt;0,Tableau1[[#This Row],[Lien document]]&lt;&gt;0,Tableau1[[#This Row],[DMS_SAP]]&lt;&gt;0)=TRUE,"MIS A JOUR","")</f>
        <v/>
      </c>
      <c r="AA901" s="48"/>
      <c r="AB901" s="65" t="str">
        <f ca="1">IF(Tableau1[[#This Row],[Date rév.]]&lt;&gt;"", DAYS360(Tableau1[[#This Row],[Date rév.]],TODAY()),"")</f>
        <v/>
      </c>
      <c r="AC901" s="50" t="str">
        <f>IFERROR(INDEX(Chemin_accès!$B$11:$C$22,MATCH(Tableau1[[#This Row],[Type]],Chemin_accès!$C$11:$C$22,0),1),Chemin_accès!$B$11)</f>
        <v>\\stjn.local\trimet\Btechnique\Commun\Atelier Central mécanique\Plan entretien\Modèles préventif\GammeDMS_7.MENG.xlsm</v>
      </c>
      <c r="AD901" s="50" t="str">
        <f>Chemin_accès!$B$8&amp;Tableau1[[#This Row],[Localisation / Classement]]&amp;"\"&amp;Tableau1[[#This Row],[Poste technique ou N° d''équipement]]&amp;"_"&amp;Tableau1[[#This Row],[Plan Entretien]]&amp;".xlsm"</f>
        <v>\\stjn.local\trimet\Btechnique\Commun\Atelier Central mécanique\Plan entretien\GammeEntretien\\_.xlsm</v>
      </c>
    </row>
    <row r="902" spans="1:30" x14ac:dyDescent="0.3">
      <c r="A902" s="44" t="str">
        <f t="shared" ca="1" si="14"/>
        <v>7.MENG</v>
      </c>
      <c r="B90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02" s="47"/>
      <c r="D902" s="44"/>
      <c r="E902" s="44"/>
      <c r="F902" s="47"/>
      <c r="G902" s="47"/>
      <c r="H902" s="45"/>
      <c r="I902" s="45"/>
      <c r="J902" s="45"/>
      <c r="K902" s="45"/>
      <c r="L902" s="46"/>
      <c r="M902" s="47"/>
      <c r="N902" s="47"/>
      <c r="O902" s="47"/>
      <c r="P902" s="47"/>
      <c r="Q902" s="47"/>
      <c r="R902" s="47"/>
      <c r="S902" s="48"/>
      <c r="T902" s="68" t="str">
        <f>IF(Tableau1[[#This Row],[DMS_SAP]]="","",HYPERLINK(Tableau1[[#This Row],[Chemin fichier source]],"X"))</f>
        <v/>
      </c>
      <c r="U902" s="68" t="str">
        <f>IF(Tableau1[[#This Row],[Date rév.]]="","",HYPERLINK(Tableau1[[#This Row],[Lien document]],"X"))</f>
        <v/>
      </c>
      <c r="V902" s="47"/>
      <c r="W90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02" s="47"/>
      <c r="Y902" s="47"/>
      <c r="Z902" s="44" t="str">
        <f ca="1">IF(AND(Tableau1[[#This Row],[Charge]]&lt;&gt;0, Tableau1[[#This Row],[Nombre intervenants]]&lt;&gt;0,Tableau1[[#This Row],[Lien document]]&lt;&gt;0,Tableau1[[#This Row],[DMS_SAP]]&lt;&gt;0)=TRUE,"MIS A JOUR","")</f>
        <v/>
      </c>
      <c r="AA902" s="48"/>
      <c r="AB902" s="65" t="str">
        <f ca="1">IF(Tableau1[[#This Row],[Date rév.]]&lt;&gt;"", DAYS360(Tableau1[[#This Row],[Date rév.]],TODAY()),"")</f>
        <v/>
      </c>
      <c r="AC902" s="50" t="str">
        <f>IFERROR(INDEX(Chemin_accès!$B$11:$C$22,MATCH(Tableau1[[#This Row],[Type]],Chemin_accès!$C$11:$C$22,0),1),Chemin_accès!$B$11)</f>
        <v>\\stjn.local\trimet\Btechnique\Commun\Atelier Central mécanique\Plan entretien\Modèles préventif\GammeDMS_7.MENG.xlsm</v>
      </c>
      <c r="AD902" s="50" t="str">
        <f>Chemin_accès!$B$8&amp;Tableau1[[#This Row],[Localisation / Classement]]&amp;"\"&amp;Tableau1[[#This Row],[Poste technique ou N° d''équipement]]&amp;"_"&amp;Tableau1[[#This Row],[Plan Entretien]]&amp;".xlsm"</f>
        <v>\\stjn.local\trimet\Btechnique\Commun\Atelier Central mécanique\Plan entretien\GammeEntretien\\_.xlsm</v>
      </c>
    </row>
    <row r="903" spans="1:30" x14ac:dyDescent="0.3">
      <c r="A903" s="44" t="str">
        <f t="shared" ca="1" si="14"/>
        <v>7.MENG</v>
      </c>
      <c r="B90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03" s="47"/>
      <c r="D903" s="44"/>
      <c r="E903" s="44"/>
      <c r="F903" s="47"/>
      <c r="G903" s="47"/>
      <c r="H903" s="45"/>
      <c r="I903" s="45"/>
      <c r="J903" s="45"/>
      <c r="K903" s="45"/>
      <c r="L903" s="46"/>
      <c r="M903" s="47"/>
      <c r="N903" s="47"/>
      <c r="O903" s="47"/>
      <c r="P903" s="47"/>
      <c r="Q903" s="47"/>
      <c r="R903" s="47"/>
      <c r="S903" s="48"/>
      <c r="T903" s="68" t="str">
        <f>IF(Tableau1[[#This Row],[DMS_SAP]]="","",HYPERLINK(Tableau1[[#This Row],[Chemin fichier source]],"X"))</f>
        <v/>
      </c>
      <c r="U903" s="68" t="str">
        <f>IF(Tableau1[[#This Row],[Date rév.]]="","",HYPERLINK(Tableau1[[#This Row],[Lien document]],"X"))</f>
        <v/>
      </c>
      <c r="V903" s="47"/>
      <c r="W90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03" s="47"/>
      <c r="Y903" s="47"/>
      <c r="Z903" s="44" t="str">
        <f ca="1">IF(AND(Tableau1[[#This Row],[Charge]]&lt;&gt;0, Tableau1[[#This Row],[Nombre intervenants]]&lt;&gt;0,Tableau1[[#This Row],[Lien document]]&lt;&gt;0,Tableau1[[#This Row],[DMS_SAP]]&lt;&gt;0)=TRUE,"MIS A JOUR","")</f>
        <v/>
      </c>
      <c r="AA903" s="48"/>
      <c r="AB903" s="65" t="str">
        <f ca="1">IF(Tableau1[[#This Row],[Date rév.]]&lt;&gt;"", DAYS360(Tableau1[[#This Row],[Date rév.]],TODAY()),"")</f>
        <v/>
      </c>
      <c r="AC903" s="50" t="str">
        <f>IFERROR(INDEX(Chemin_accès!$B$11:$C$22,MATCH(Tableau1[[#This Row],[Type]],Chemin_accès!$C$11:$C$22,0),1),Chemin_accès!$B$11)</f>
        <v>\\stjn.local\trimet\Btechnique\Commun\Atelier Central mécanique\Plan entretien\Modèles préventif\GammeDMS_7.MENG.xlsm</v>
      </c>
      <c r="AD903" s="50" t="str">
        <f>Chemin_accès!$B$8&amp;Tableau1[[#This Row],[Localisation / Classement]]&amp;"\"&amp;Tableau1[[#This Row],[Poste technique ou N° d''équipement]]&amp;"_"&amp;Tableau1[[#This Row],[Plan Entretien]]&amp;".xlsm"</f>
        <v>\\stjn.local\trimet\Btechnique\Commun\Atelier Central mécanique\Plan entretien\GammeEntretien\\_.xlsm</v>
      </c>
    </row>
    <row r="904" spans="1:30" x14ac:dyDescent="0.3">
      <c r="A904" s="44" t="str">
        <f t="shared" ca="1" si="14"/>
        <v>7.MENG</v>
      </c>
      <c r="B90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04" s="47"/>
      <c r="D904" s="44"/>
      <c r="E904" s="44"/>
      <c r="F904" s="47"/>
      <c r="G904" s="47"/>
      <c r="H904" s="45"/>
      <c r="I904" s="45"/>
      <c r="J904" s="45"/>
      <c r="K904" s="45"/>
      <c r="L904" s="46"/>
      <c r="M904" s="47"/>
      <c r="N904" s="47"/>
      <c r="O904" s="47"/>
      <c r="P904" s="47"/>
      <c r="Q904" s="47"/>
      <c r="R904" s="47"/>
      <c r="S904" s="48"/>
      <c r="T904" s="68" t="str">
        <f>IF(Tableau1[[#This Row],[DMS_SAP]]="","",HYPERLINK(Tableau1[[#This Row],[Chemin fichier source]],"X"))</f>
        <v/>
      </c>
      <c r="U904" s="68" t="str">
        <f>IF(Tableau1[[#This Row],[Date rév.]]="","",HYPERLINK(Tableau1[[#This Row],[Lien document]],"X"))</f>
        <v/>
      </c>
      <c r="V904" s="47"/>
      <c r="W90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04" s="47"/>
      <c r="Y904" s="47"/>
      <c r="Z904" s="44" t="str">
        <f ca="1">IF(AND(Tableau1[[#This Row],[Charge]]&lt;&gt;0, Tableau1[[#This Row],[Nombre intervenants]]&lt;&gt;0,Tableau1[[#This Row],[Lien document]]&lt;&gt;0,Tableau1[[#This Row],[DMS_SAP]]&lt;&gt;0)=TRUE,"MIS A JOUR","")</f>
        <v/>
      </c>
      <c r="AA904" s="48"/>
      <c r="AB904" s="65" t="str">
        <f ca="1">IF(Tableau1[[#This Row],[Date rév.]]&lt;&gt;"", DAYS360(Tableau1[[#This Row],[Date rév.]],TODAY()),"")</f>
        <v/>
      </c>
      <c r="AC904" s="50" t="str">
        <f>IFERROR(INDEX(Chemin_accès!$B$11:$C$22,MATCH(Tableau1[[#This Row],[Type]],Chemin_accès!$C$11:$C$22,0),1),Chemin_accès!$B$11)</f>
        <v>\\stjn.local\trimet\Btechnique\Commun\Atelier Central mécanique\Plan entretien\Modèles préventif\GammeDMS_7.MENG.xlsm</v>
      </c>
      <c r="AD904" s="50" t="str">
        <f>Chemin_accès!$B$8&amp;Tableau1[[#This Row],[Localisation / Classement]]&amp;"\"&amp;Tableau1[[#This Row],[Poste technique ou N° d''équipement]]&amp;"_"&amp;Tableau1[[#This Row],[Plan Entretien]]&amp;".xlsm"</f>
        <v>\\stjn.local\trimet\Btechnique\Commun\Atelier Central mécanique\Plan entretien\GammeEntretien\\_.xlsm</v>
      </c>
    </row>
    <row r="905" spans="1:30" x14ac:dyDescent="0.3">
      <c r="A905" s="44" t="str">
        <f t="shared" ca="1" si="14"/>
        <v>7.MENG</v>
      </c>
      <c r="B90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05" s="47"/>
      <c r="D905" s="44"/>
      <c r="E905" s="44"/>
      <c r="F905" s="47"/>
      <c r="G905" s="47"/>
      <c r="H905" s="45"/>
      <c r="I905" s="45"/>
      <c r="J905" s="45"/>
      <c r="K905" s="45"/>
      <c r="L905" s="46"/>
      <c r="M905" s="47"/>
      <c r="N905" s="47"/>
      <c r="O905" s="47"/>
      <c r="P905" s="47"/>
      <c r="Q905" s="47"/>
      <c r="R905" s="47"/>
      <c r="S905" s="48"/>
      <c r="T905" s="68" t="str">
        <f>IF(Tableau1[[#This Row],[DMS_SAP]]="","",HYPERLINK(Tableau1[[#This Row],[Chemin fichier source]],"X"))</f>
        <v/>
      </c>
      <c r="U905" s="68" t="str">
        <f>IF(Tableau1[[#This Row],[Date rév.]]="","",HYPERLINK(Tableau1[[#This Row],[Lien document]],"X"))</f>
        <v/>
      </c>
      <c r="V905" s="47"/>
      <c r="W90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05" s="47"/>
      <c r="Y905" s="47"/>
      <c r="Z905" s="44" t="str">
        <f ca="1">IF(AND(Tableau1[[#This Row],[Charge]]&lt;&gt;0, Tableau1[[#This Row],[Nombre intervenants]]&lt;&gt;0,Tableau1[[#This Row],[Lien document]]&lt;&gt;0,Tableau1[[#This Row],[DMS_SAP]]&lt;&gt;0)=TRUE,"MIS A JOUR","")</f>
        <v/>
      </c>
      <c r="AA905" s="48"/>
      <c r="AB905" s="65" t="str">
        <f ca="1">IF(Tableau1[[#This Row],[Date rév.]]&lt;&gt;"", DAYS360(Tableau1[[#This Row],[Date rév.]],TODAY()),"")</f>
        <v/>
      </c>
      <c r="AC905" s="50" t="str">
        <f>IFERROR(INDEX(Chemin_accès!$B$11:$C$22,MATCH(Tableau1[[#This Row],[Type]],Chemin_accès!$C$11:$C$22,0),1),Chemin_accès!$B$11)</f>
        <v>\\stjn.local\trimet\Btechnique\Commun\Atelier Central mécanique\Plan entretien\Modèles préventif\GammeDMS_7.MENG.xlsm</v>
      </c>
      <c r="AD905" s="50" t="str">
        <f>Chemin_accès!$B$8&amp;Tableau1[[#This Row],[Localisation / Classement]]&amp;"\"&amp;Tableau1[[#This Row],[Poste technique ou N° d''équipement]]&amp;"_"&amp;Tableau1[[#This Row],[Plan Entretien]]&amp;".xlsm"</f>
        <v>\\stjn.local\trimet\Btechnique\Commun\Atelier Central mécanique\Plan entretien\GammeEntretien\\_.xlsm</v>
      </c>
    </row>
    <row r="906" spans="1:30" x14ac:dyDescent="0.3">
      <c r="A906" s="44" t="str">
        <f t="shared" ca="1" si="14"/>
        <v>7.MENG</v>
      </c>
      <c r="B90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06" s="47"/>
      <c r="D906" s="44"/>
      <c r="E906" s="44"/>
      <c r="F906" s="47"/>
      <c r="G906" s="47"/>
      <c r="H906" s="45"/>
      <c r="I906" s="45"/>
      <c r="J906" s="45"/>
      <c r="K906" s="45"/>
      <c r="L906" s="46"/>
      <c r="M906" s="47"/>
      <c r="N906" s="47"/>
      <c r="O906" s="47"/>
      <c r="P906" s="47"/>
      <c r="Q906" s="47"/>
      <c r="R906" s="47"/>
      <c r="S906" s="48"/>
      <c r="T906" s="68" t="str">
        <f>IF(Tableau1[[#This Row],[DMS_SAP]]="","",HYPERLINK(Tableau1[[#This Row],[Chemin fichier source]],"X"))</f>
        <v/>
      </c>
      <c r="U906" s="68" t="str">
        <f>IF(Tableau1[[#This Row],[Date rév.]]="","",HYPERLINK(Tableau1[[#This Row],[Lien document]],"X"))</f>
        <v/>
      </c>
      <c r="V906" s="47"/>
      <c r="W90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06" s="47"/>
      <c r="Y906" s="47"/>
      <c r="Z906" s="44" t="str">
        <f ca="1">IF(AND(Tableau1[[#This Row],[Charge]]&lt;&gt;0, Tableau1[[#This Row],[Nombre intervenants]]&lt;&gt;0,Tableau1[[#This Row],[Lien document]]&lt;&gt;0,Tableau1[[#This Row],[DMS_SAP]]&lt;&gt;0)=TRUE,"MIS A JOUR","")</f>
        <v/>
      </c>
      <c r="AA906" s="48"/>
      <c r="AB906" s="65" t="str">
        <f ca="1">IF(Tableau1[[#This Row],[Date rév.]]&lt;&gt;"", DAYS360(Tableau1[[#This Row],[Date rév.]],TODAY()),"")</f>
        <v/>
      </c>
      <c r="AC906" s="50" t="str">
        <f>IFERROR(INDEX(Chemin_accès!$B$11:$C$22,MATCH(Tableau1[[#This Row],[Type]],Chemin_accès!$C$11:$C$22,0),1),Chemin_accès!$B$11)</f>
        <v>\\stjn.local\trimet\Btechnique\Commun\Atelier Central mécanique\Plan entretien\Modèles préventif\GammeDMS_7.MENG.xlsm</v>
      </c>
      <c r="AD906" s="50" t="str">
        <f>Chemin_accès!$B$8&amp;Tableau1[[#This Row],[Localisation / Classement]]&amp;"\"&amp;Tableau1[[#This Row],[Poste technique ou N° d''équipement]]&amp;"_"&amp;Tableau1[[#This Row],[Plan Entretien]]&amp;".xlsm"</f>
        <v>\\stjn.local\trimet\Btechnique\Commun\Atelier Central mécanique\Plan entretien\GammeEntretien\\_.xlsm</v>
      </c>
    </row>
    <row r="907" spans="1:30" x14ac:dyDescent="0.3">
      <c r="A907" s="44" t="str">
        <f t="shared" ca="1" si="14"/>
        <v>7.MENG</v>
      </c>
      <c r="B90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07" s="47"/>
      <c r="D907" s="44"/>
      <c r="E907" s="44"/>
      <c r="F907" s="47"/>
      <c r="G907" s="47"/>
      <c r="H907" s="45"/>
      <c r="I907" s="45"/>
      <c r="J907" s="45"/>
      <c r="K907" s="45"/>
      <c r="L907" s="46"/>
      <c r="M907" s="47"/>
      <c r="N907" s="47"/>
      <c r="O907" s="47"/>
      <c r="P907" s="47"/>
      <c r="Q907" s="47"/>
      <c r="R907" s="47"/>
      <c r="S907" s="48"/>
      <c r="T907" s="68" t="str">
        <f>IF(Tableau1[[#This Row],[DMS_SAP]]="","",HYPERLINK(Tableau1[[#This Row],[Chemin fichier source]],"X"))</f>
        <v/>
      </c>
      <c r="U907" s="68" t="str">
        <f>IF(Tableau1[[#This Row],[Date rév.]]="","",HYPERLINK(Tableau1[[#This Row],[Lien document]],"X"))</f>
        <v/>
      </c>
      <c r="V907" s="47"/>
      <c r="W90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07" s="47"/>
      <c r="Y907" s="47"/>
      <c r="Z907" s="44" t="str">
        <f ca="1">IF(AND(Tableau1[[#This Row],[Charge]]&lt;&gt;0, Tableau1[[#This Row],[Nombre intervenants]]&lt;&gt;0,Tableau1[[#This Row],[Lien document]]&lt;&gt;0,Tableau1[[#This Row],[DMS_SAP]]&lt;&gt;0)=TRUE,"MIS A JOUR","")</f>
        <v/>
      </c>
      <c r="AA907" s="48"/>
      <c r="AB907" s="65" t="str">
        <f ca="1">IF(Tableau1[[#This Row],[Date rév.]]&lt;&gt;"", DAYS360(Tableau1[[#This Row],[Date rév.]],TODAY()),"")</f>
        <v/>
      </c>
      <c r="AC907" s="50" t="str">
        <f>IFERROR(INDEX(Chemin_accès!$B$11:$C$22,MATCH(Tableau1[[#This Row],[Type]],Chemin_accès!$C$11:$C$22,0),1),Chemin_accès!$B$11)</f>
        <v>\\stjn.local\trimet\Btechnique\Commun\Atelier Central mécanique\Plan entretien\Modèles préventif\GammeDMS_7.MENG.xlsm</v>
      </c>
      <c r="AD907" s="50" t="str">
        <f>Chemin_accès!$B$8&amp;Tableau1[[#This Row],[Localisation / Classement]]&amp;"\"&amp;Tableau1[[#This Row],[Poste technique ou N° d''équipement]]&amp;"_"&amp;Tableau1[[#This Row],[Plan Entretien]]&amp;".xlsm"</f>
        <v>\\stjn.local\trimet\Btechnique\Commun\Atelier Central mécanique\Plan entretien\GammeEntretien\\_.xlsm</v>
      </c>
    </row>
    <row r="908" spans="1:30" x14ac:dyDescent="0.3">
      <c r="A908" s="44" t="str">
        <f t="shared" ca="1" si="14"/>
        <v>7.MENG</v>
      </c>
      <c r="B90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08" s="47"/>
      <c r="D908" s="44"/>
      <c r="E908" s="44"/>
      <c r="F908" s="47"/>
      <c r="G908" s="47"/>
      <c r="H908" s="45"/>
      <c r="I908" s="45"/>
      <c r="J908" s="45"/>
      <c r="K908" s="45"/>
      <c r="L908" s="46"/>
      <c r="M908" s="47"/>
      <c r="N908" s="47"/>
      <c r="O908" s="47"/>
      <c r="P908" s="47"/>
      <c r="Q908" s="47"/>
      <c r="R908" s="47"/>
      <c r="S908" s="48"/>
      <c r="T908" s="68" t="str">
        <f>IF(Tableau1[[#This Row],[DMS_SAP]]="","",HYPERLINK(Tableau1[[#This Row],[Chemin fichier source]],"X"))</f>
        <v/>
      </c>
      <c r="U908" s="68" t="str">
        <f>IF(Tableau1[[#This Row],[Date rév.]]="","",HYPERLINK(Tableau1[[#This Row],[Lien document]],"X"))</f>
        <v/>
      </c>
      <c r="V908" s="47"/>
      <c r="W90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08" s="47"/>
      <c r="Y908" s="47"/>
      <c r="Z908" s="44" t="str">
        <f ca="1">IF(AND(Tableau1[[#This Row],[Charge]]&lt;&gt;0, Tableau1[[#This Row],[Nombre intervenants]]&lt;&gt;0,Tableau1[[#This Row],[Lien document]]&lt;&gt;0,Tableau1[[#This Row],[DMS_SAP]]&lt;&gt;0)=TRUE,"MIS A JOUR","")</f>
        <v/>
      </c>
      <c r="AA908" s="48"/>
      <c r="AB908" s="65" t="str">
        <f ca="1">IF(Tableau1[[#This Row],[Date rév.]]&lt;&gt;"", DAYS360(Tableau1[[#This Row],[Date rév.]],TODAY()),"")</f>
        <v/>
      </c>
      <c r="AC908" s="50" t="str">
        <f>IFERROR(INDEX(Chemin_accès!$B$11:$C$22,MATCH(Tableau1[[#This Row],[Type]],Chemin_accès!$C$11:$C$22,0),1),Chemin_accès!$B$11)</f>
        <v>\\stjn.local\trimet\Btechnique\Commun\Atelier Central mécanique\Plan entretien\Modèles préventif\GammeDMS_7.MENG.xlsm</v>
      </c>
      <c r="AD908" s="50" t="str">
        <f>Chemin_accès!$B$8&amp;Tableau1[[#This Row],[Localisation / Classement]]&amp;"\"&amp;Tableau1[[#This Row],[Poste technique ou N° d''équipement]]&amp;"_"&amp;Tableau1[[#This Row],[Plan Entretien]]&amp;".xlsm"</f>
        <v>\\stjn.local\trimet\Btechnique\Commun\Atelier Central mécanique\Plan entretien\GammeEntretien\\_.xlsm</v>
      </c>
    </row>
    <row r="909" spans="1:30" x14ac:dyDescent="0.3">
      <c r="A909" s="44" t="str">
        <f t="shared" ca="1" si="14"/>
        <v>7.MENG</v>
      </c>
      <c r="B90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09" s="47"/>
      <c r="D909" s="44"/>
      <c r="E909" s="44"/>
      <c r="F909" s="47"/>
      <c r="G909" s="47"/>
      <c r="H909" s="45"/>
      <c r="I909" s="45"/>
      <c r="J909" s="45"/>
      <c r="K909" s="45"/>
      <c r="L909" s="46"/>
      <c r="M909" s="47"/>
      <c r="N909" s="47"/>
      <c r="O909" s="47"/>
      <c r="P909" s="47"/>
      <c r="Q909" s="47"/>
      <c r="R909" s="47"/>
      <c r="S909" s="48"/>
      <c r="T909" s="68" t="str">
        <f>IF(Tableau1[[#This Row],[DMS_SAP]]="","",HYPERLINK(Tableau1[[#This Row],[Chemin fichier source]],"X"))</f>
        <v/>
      </c>
      <c r="U909" s="68" t="str">
        <f>IF(Tableau1[[#This Row],[Date rév.]]="","",HYPERLINK(Tableau1[[#This Row],[Lien document]],"X"))</f>
        <v/>
      </c>
      <c r="V909" s="47"/>
      <c r="W90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09" s="47"/>
      <c r="Y909" s="47"/>
      <c r="Z909" s="44" t="str">
        <f ca="1">IF(AND(Tableau1[[#This Row],[Charge]]&lt;&gt;0, Tableau1[[#This Row],[Nombre intervenants]]&lt;&gt;0,Tableau1[[#This Row],[Lien document]]&lt;&gt;0,Tableau1[[#This Row],[DMS_SAP]]&lt;&gt;0)=TRUE,"MIS A JOUR","")</f>
        <v/>
      </c>
      <c r="AA909" s="48"/>
      <c r="AB909" s="65" t="str">
        <f ca="1">IF(Tableau1[[#This Row],[Date rév.]]&lt;&gt;"", DAYS360(Tableau1[[#This Row],[Date rév.]],TODAY()),"")</f>
        <v/>
      </c>
      <c r="AC909" s="50" t="str">
        <f>IFERROR(INDEX(Chemin_accès!$B$11:$C$22,MATCH(Tableau1[[#This Row],[Type]],Chemin_accès!$C$11:$C$22,0),1),Chemin_accès!$B$11)</f>
        <v>\\stjn.local\trimet\Btechnique\Commun\Atelier Central mécanique\Plan entretien\Modèles préventif\GammeDMS_7.MENG.xlsm</v>
      </c>
      <c r="AD909" s="50" t="str">
        <f>Chemin_accès!$B$8&amp;Tableau1[[#This Row],[Localisation / Classement]]&amp;"\"&amp;Tableau1[[#This Row],[Poste technique ou N° d''équipement]]&amp;"_"&amp;Tableau1[[#This Row],[Plan Entretien]]&amp;".xlsm"</f>
        <v>\\stjn.local\trimet\Btechnique\Commun\Atelier Central mécanique\Plan entretien\GammeEntretien\\_.xlsm</v>
      </c>
    </row>
    <row r="910" spans="1:30" x14ac:dyDescent="0.3">
      <c r="A910" s="44" t="str">
        <f t="shared" ca="1" si="14"/>
        <v>7.MENG</v>
      </c>
      <c r="B91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10" s="47"/>
      <c r="D910" s="44"/>
      <c r="E910" s="44"/>
      <c r="F910" s="47"/>
      <c r="G910" s="47"/>
      <c r="H910" s="45"/>
      <c r="I910" s="45"/>
      <c r="J910" s="45"/>
      <c r="K910" s="45"/>
      <c r="L910" s="46"/>
      <c r="M910" s="47"/>
      <c r="N910" s="47"/>
      <c r="O910" s="47"/>
      <c r="P910" s="47"/>
      <c r="Q910" s="47"/>
      <c r="R910" s="47"/>
      <c r="S910" s="48"/>
      <c r="T910" s="68" t="str">
        <f>IF(Tableau1[[#This Row],[DMS_SAP]]="","",HYPERLINK(Tableau1[[#This Row],[Chemin fichier source]],"X"))</f>
        <v/>
      </c>
      <c r="U910" s="68" t="str">
        <f>IF(Tableau1[[#This Row],[Date rév.]]="","",HYPERLINK(Tableau1[[#This Row],[Lien document]],"X"))</f>
        <v/>
      </c>
      <c r="V910" s="47"/>
      <c r="W91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10" s="47"/>
      <c r="Y910" s="47"/>
      <c r="Z910" s="44" t="str">
        <f ca="1">IF(AND(Tableau1[[#This Row],[Charge]]&lt;&gt;0, Tableau1[[#This Row],[Nombre intervenants]]&lt;&gt;0,Tableau1[[#This Row],[Lien document]]&lt;&gt;0,Tableau1[[#This Row],[DMS_SAP]]&lt;&gt;0)=TRUE,"MIS A JOUR","")</f>
        <v/>
      </c>
      <c r="AA910" s="48"/>
      <c r="AB910" s="65" t="str">
        <f ca="1">IF(Tableau1[[#This Row],[Date rév.]]&lt;&gt;"", DAYS360(Tableau1[[#This Row],[Date rév.]],TODAY()),"")</f>
        <v/>
      </c>
      <c r="AC910" s="50" t="str">
        <f>IFERROR(INDEX(Chemin_accès!$B$11:$C$22,MATCH(Tableau1[[#This Row],[Type]],Chemin_accès!$C$11:$C$22,0),1),Chemin_accès!$B$11)</f>
        <v>\\stjn.local\trimet\Btechnique\Commun\Atelier Central mécanique\Plan entretien\Modèles préventif\GammeDMS_7.MENG.xlsm</v>
      </c>
      <c r="AD910" s="50" t="str">
        <f>Chemin_accès!$B$8&amp;Tableau1[[#This Row],[Localisation / Classement]]&amp;"\"&amp;Tableau1[[#This Row],[Poste technique ou N° d''équipement]]&amp;"_"&amp;Tableau1[[#This Row],[Plan Entretien]]&amp;".xlsm"</f>
        <v>\\stjn.local\trimet\Btechnique\Commun\Atelier Central mécanique\Plan entretien\GammeEntretien\\_.xlsm</v>
      </c>
    </row>
    <row r="911" spans="1:30" x14ac:dyDescent="0.3">
      <c r="A911" s="44" t="str">
        <f t="shared" ca="1" si="14"/>
        <v>7.MENG</v>
      </c>
      <c r="B91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11" s="47"/>
      <c r="D911" s="44"/>
      <c r="E911" s="44"/>
      <c r="F911" s="47"/>
      <c r="G911" s="47"/>
      <c r="H911" s="45"/>
      <c r="I911" s="45"/>
      <c r="J911" s="45"/>
      <c r="K911" s="45"/>
      <c r="L911" s="46"/>
      <c r="M911" s="47"/>
      <c r="N911" s="47"/>
      <c r="O911" s="47"/>
      <c r="P911" s="47"/>
      <c r="Q911" s="47"/>
      <c r="R911" s="47"/>
      <c r="S911" s="48"/>
      <c r="T911" s="68" t="str">
        <f>IF(Tableau1[[#This Row],[DMS_SAP]]="","",HYPERLINK(Tableau1[[#This Row],[Chemin fichier source]],"X"))</f>
        <v/>
      </c>
      <c r="U911" s="68" t="str">
        <f>IF(Tableau1[[#This Row],[Date rév.]]="","",HYPERLINK(Tableau1[[#This Row],[Lien document]],"X"))</f>
        <v/>
      </c>
      <c r="V911" s="47"/>
      <c r="W91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11" s="47"/>
      <c r="Y911" s="47"/>
      <c r="Z911" s="44" t="str">
        <f ca="1">IF(AND(Tableau1[[#This Row],[Charge]]&lt;&gt;0, Tableau1[[#This Row],[Nombre intervenants]]&lt;&gt;0,Tableau1[[#This Row],[Lien document]]&lt;&gt;0,Tableau1[[#This Row],[DMS_SAP]]&lt;&gt;0)=TRUE,"MIS A JOUR","")</f>
        <v/>
      </c>
      <c r="AA911" s="48"/>
      <c r="AB911" s="65" t="str">
        <f ca="1">IF(Tableau1[[#This Row],[Date rév.]]&lt;&gt;"", DAYS360(Tableau1[[#This Row],[Date rév.]],TODAY()),"")</f>
        <v/>
      </c>
      <c r="AC911" s="50" t="str">
        <f>IFERROR(INDEX(Chemin_accès!$B$11:$C$22,MATCH(Tableau1[[#This Row],[Type]],Chemin_accès!$C$11:$C$22,0),1),Chemin_accès!$B$11)</f>
        <v>\\stjn.local\trimet\Btechnique\Commun\Atelier Central mécanique\Plan entretien\Modèles préventif\GammeDMS_7.MENG.xlsm</v>
      </c>
      <c r="AD911" s="50" t="str">
        <f>Chemin_accès!$B$8&amp;Tableau1[[#This Row],[Localisation / Classement]]&amp;"\"&amp;Tableau1[[#This Row],[Poste technique ou N° d''équipement]]&amp;"_"&amp;Tableau1[[#This Row],[Plan Entretien]]&amp;".xlsm"</f>
        <v>\\stjn.local\trimet\Btechnique\Commun\Atelier Central mécanique\Plan entretien\GammeEntretien\\_.xlsm</v>
      </c>
    </row>
    <row r="912" spans="1:30" x14ac:dyDescent="0.3">
      <c r="A912" s="44" t="str">
        <f t="shared" ca="1" si="14"/>
        <v>7.MENG</v>
      </c>
      <c r="B91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12" s="47"/>
      <c r="D912" s="44"/>
      <c r="E912" s="44"/>
      <c r="F912" s="47"/>
      <c r="G912" s="47"/>
      <c r="H912" s="45"/>
      <c r="I912" s="45"/>
      <c r="J912" s="45"/>
      <c r="K912" s="45"/>
      <c r="L912" s="46"/>
      <c r="M912" s="47"/>
      <c r="N912" s="47"/>
      <c r="O912" s="47"/>
      <c r="P912" s="47"/>
      <c r="Q912" s="47"/>
      <c r="R912" s="47"/>
      <c r="S912" s="48"/>
      <c r="T912" s="68" t="str">
        <f>IF(Tableau1[[#This Row],[DMS_SAP]]="","",HYPERLINK(Tableau1[[#This Row],[Chemin fichier source]],"X"))</f>
        <v/>
      </c>
      <c r="U912" s="68" t="str">
        <f>IF(Tableau1[[#This Row],[Date rév.]]="","",HYPERLINK(Tableau1[[#This Row],[Lien document]],"X"))</f>
        <v/>
      </c>
      <c r="V912" s="47"/>
      <c r="W91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12" s="47"/>
      <c r="Y912" s="47"/>
      <c r="Z912" s="44" t="str">
        <f ca="1">IF(AND(Tableau1[[#This Row],[Charge]]&lt;&gt;0, Tableau1[[#This Row],[Nombre intervenants]]&lt;&gt;0,Tableau1[[#This Row],[Lien document]]&lt;&gt;0,Tableau1[[#This Row],[DMS_SAP]]&lt;&gt;0)=TRUE,"MIS A JOUR","")</f>
        <v/>
      </c>
      <c r="AA912" s="48"/>
      <c r="AB912" s="65" t="str">
        <f ca="1">IF(Tableau1[[#This Row],[Date rév.]]&lt;&gt;"", DAYS360(Tableau1[[#This Row],[Date rév.]],TODAY()),"")</f>
        <v/>
      </c>
      <c r="AC912" s="50" t="str">
        <f>IFERROR(INDEX(Chemin_accès!$B$11:$C$22,MATCH(Tableau1[[#This Row],[Type]],Chemin_accès!$C$11:$C$22,0),1),Chemin_accès!$B$11)</f>
        <v>\\stjn.local\trimet\Btechnique\Commun\Atelier Central mécanique\Plan entretien\Modèles préventif\GammeDMS_7.MENG.xlsm</v>
      </c>
      <c r="AD912" s="50" t="str">
        <f>Chemin_accès!$B$8&amp;Tableau1[[#This Row],[Localisation / Classement]]&amp;"\"&amp;Tableau1[[#This Row],[Poste technique ou N° d''équipement]]&amp;"_"&amp;Tableau1[[#This Row],[Plan Entretien]]&amp;".xlsm"</f>
        <v>\\stjn.local\trimet\Btechnique\Commun\Atelier Central mécanique\Plan entretien\GammeEntretien\\_.xlsm</v>
      </c>
    </row>
    <row r="913" spans="1:30" x14ac:dyDescent="0.3">
      <c r="A913" s="44" t="str">
        <f t="shared" ca="1" si="14"/>
        <v>7.MENG</v>
      </c>
      <c r="B91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13" s="47"/>
      <c r="D913" s="44"/>
      <c r="E913" s="44"/>
      <c r="F913" s="47"/>
      <c r="G913" s="47"/>
      <c r="H913" s="45"/>
      <c r="I913" s="45"/>
      <c r="J913" s="45"/>
      <c r="K913" s="45"/>
      <c r="L913" s="46"/>
      <c r="M913" s="47"/>
      <c r="N913" s="47"/>
      <c r="O913" s="47"/>
      <c r="P913" s="47"/>
      <c r="Q913" s="47"/>
      <c r="R913" s="47"/>
      <c r="S913" s="48"/>
      <c r="T913" s="68" t="str">
        <f>IF(Tableau1[[#This Row],[DMS_SAP]]="","",HYPERLINK(Tableau1[[#This Row],[Chemin fichier source]],"X"))</f>
        <v/>
      </c>
      <c r="U913" s="68" t="str">
        <f>IF(Tableau1[[#This Row],[Date rév.]]="","",HYPERLINK(Tableau1[[#This Row],[Lien document]],"X"))</f>
        <v/>
      </c>
      <c r="V913" s="47"/>
      <c r="W91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13" s="47"/>
      <c r="Y913" s="47"/>
      <c r="Z913" s="44" t="str">
        <f ca="1">IF(AND(Tableau1[[#This Row],[Charge]]&lt;&gt;0, Tableau1[[#This Row],[Nombre intervenants]]&lt;&gt;0,Tableau1[[#This Row],[Lien document]]&lt;&gt;0,Tableau1[[#This Row],[DMS_SAP]]&lt;&gt;0)=TRUE,"MIS A JOUR","")</f>
        <v/>
      </c>
      <c r="AA913" s="48"/>
      <c r="AB913" s="65" t="str">
        <f ca="1">IF(Tableau1[[#This Row],[Date rév.]]&lt;&gt;"", DAYS360(Tableau1[[#This Row],[Date rév.]],TODAY()),"")</f>
        <v/>
      </c>
      <c r="AC913" s="50" t="str">
        <f>IFERROR(INDEX(Chemin_accès!$B$11:$C$22,MATCH(Tableau1[[#This Row],[Type]],Chemin_accès!$C$11:$C$22,0),1),Chemin_accès!$B$11)</f>
        <v>\\stjn.local\trimet\Btechnique\Commun\Atelier Central mécanique\Plan entretien\Modèles préventif\GammeDMS_7.MENG.xlsm</v>
      </c>
      <c r="AD913" s="50" t="str">
        <f>Chemin_accès!$B$8&amp;Tableau1[[#This Row],[Localisation / Classement]]&amp;"\"&amp;Tableau1[[#This Row],[Poste technique ou N° d''équipement]]&amp;"_"&amp;Tableau1[[#This Row],[Plan Entretien]]&amp;".xlsm"</f>
        <v>\\stjn.local\trimet\Btechnique\Commun\Atelier Central mécanique\Plan entretien\GammeEntretien\\_.xlsm</v>
      </c>
    </row>
    <row r="914" spans="1:30" x14ac:dyDescent="0.3">
      <c r="A914" s="44" t="str">
        <f t="shared" ca="1" si="14"/>
        <v>7.MENG</v>
      </c>
      <c r="B91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14" s="47"/>
      <c r="D914" s="44"/>
      <c r="E914" s="44"/>
      <c r="F914" s="47"/>
      <c r="G914" s="47"/>
      <c r="H914" s="45"/>
      <c r="I914" s="45"/>
      <c r="J914" s="45"/>
      <c r="K914" s="45"/>
      <c r="L914" s="46"/>
      <c r="M914" s="47"/>
      <c r="N914" s="47"/>
      <c r="O914" s="47"/>
      <c r="P914" s="47"/>
      <c r="Q914" s="47"/>
      <c r="R914" s="47"/>
      <c r="S914" s="48"/>
      <c r="T914" s="68" t="str">
        <f>IF(Tableau1[[#This Row],[DMS_SAP]]="","",HYPERLINK(Tableau1[[#This Row],[Chemin fichier source]],"X"))</f>
        <v/>
      </c>
      <c r="U914" s="68" t="str">
        <f>IF(Tableau1[[#This Row],[Date rév.]]="","",HYPERLINK(Tableau1[[#This Row],[Lien document]],"X"))</f>
        <v/>
      </c>
      <c r="V914" s="47"/>
      <c r="W91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14" s="47"/>
      <c r="Y914" s="47"/>
      <c r="Z914" s="44" t="str">
        <f ca="1">IF(AND(Tableau1[[#This Row],[Charge]]&lt;&gt;0, Tableau1[[#This Row],[Nombre intervenants]]&lt;&gt;0,Tableau1[[#This Row],[Lien document]]&lt;&gt;0,Tableau1[[#This Row],[DMS_SAP]]&lt;&gt;0)=TRUE,"MIS A JOUR","")</f>
        <v/>
      </c>
      <c r="AA914" s="48"/>
      <c r="AB914" s="65" t="str">
        <f ca="1">IF(Tableau1[[#This Row],[Date rév.]]&lt;&gt;"", DAYS360(Tableau1[[#This Row],[Date rév.]],TODAY()),"")</f>
        <v/>
      </c>
      <c r="AC914" s="50" t="str">
        <f>IFERROR(INDEX(Chemin_accès!$B$11:$C$22,MATCH(Tableau1[[#This Row],[Type]],Chemin_accès!$C$11:$C$22,0),1),Chemin_accès!$B$11)</f>
        <v>\\stjn.local\trimet\Btechnique\Commun\Atelier Central mécanique\Plan entretien\Modèles préventif\GammeDMS_7.MENG.xlsm</v>
      </c>
      <c r="AD914" s="50" t="str">
        <f>Chemin_accès!$B$8&amp;Tableau1[[#This Row],[Localisation / Classement]]&amp;"\"&amp;Tableau1[[#This Row],[Poste technique ou N° d''équipement]]&amp;"_"&amp;Tableau1[[#This Row],[Plan Entretien]]&amp;".xlsm"</f>
        <v>\\stjn.local\trimet\Btechnique\Commun\Atelier Central mécanique\Plan entretien\GammeEntretien\\_.xlsm</v>
      </c>
    </row>
    <row r="915" spans="1:30" x14ac:dyDescent="0.3">
      <c r="A915" s="44" t="str">
        <f t="shared" ca="1" si="14"/>
        <v>7.MENG</v>
      </c>
      <c r="B91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15" s="47"/>
      <c r="D915" s="44"/>
      <c r="E915" s="44"/>
      <c r="F915" s="47"/>
      <c r="G915" s="47"/>
      <c r="H915" s="45"/>
      <c r="I915" s="45"/>
      <c r="J915" s="45"/>
      <c r="K915" s="45"/>
      <c r="L915" s="46"/>
      <c r="M915" s="47"/>
      <c r="N915" s="47"/>
      <c r="O915" s="47"/>
      <c r="P915" s="47"/>
      <c r="Q915" s="47"/>
      <c r="R915" s="47"/>
      <c r="S915" s="48"/>
      <c r="T915" s="68" t="str">
        <f>IF(Tableau1[[#This Row],[DMS_SAP]]="","",HYPERLINK(Tableau1[[#This Row],[Chemin fichier source]],"X"))</f>
        <v/>
      </c>
      <c r="U915" s="68" t="str">
        <f>IF(Tableau1[[#This Row],[Date rév.]]="","",HYPERLINK(Tableau1[[#This Row],[Lien document]],"X"))</f>
        <v/>
      </c>
      <c r="V915" s="47"/>
      <c r="W91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15" s="47"/>
      <c r="Y915" s="47"/>
      <c r="Z915" s="44" t="str">
        <f ca="1">IF(AND(Tableau1[[#This Row],[Charge]]&lt;&gt;0, Tableau1[[#This Row],[Nombre intervenants]]&lt;&gt;0,Tableau1[[#This Row],[Lien document]]&lt;&gt;0,Tableau1[[#This Row],[DMS_SAP]]&lt;&gt;0)=TRUE,"MIS A JOUR","")</f>
        <v/>
      </c>
      <c r="AA915" s="48"/>
      <c r="AB915" s="65" t="str">
        <f ca="1">IF(Tableau1[[#This Row],[Date rév.]]&lt;&gt;"", DAYS360(Tableau1[[#This Row],[Date rév.]],TODAY()),"")</f>
        <v/>
      </c>
      <c r="AC915" s="50" t="str">
        <f>IFERROR(INDEX(Chemin_accès!$B$11:$C$22,MATCH(Tableau1[[#This Row],[Type]],Chemin_accès!$C$11:$C$22,0),1),Chemin_accès!$B$11)</f>
        <v>\\stjn.local\trimet\Btechnique\Commun\Atelier Central mécanique\Plan entretien\Modèles préventif\GammeDMS_7.MENG.xlsm</v>
      </c>
      <c r="AD915" s="50" t="str">
        <f>Chemin_accès!$B$8&amp;Tableau1[[#This Row],[Localisation / Classement]]&amp;"\"&amp;Tableau1[[#This Row],[Poste technique ou N° d''équipement]]&amp;"_"&amp;Tableau1[[#This Row],[Plan Entretien]]&amp;".xlsm"</f>
        <v>\\stjn.local\trimet\Btechnique\Commun\Atelier Central mécanique\Plan entretien\GammeEntretien\\_.xlsm</v>
      </c>
    </row>
    <row r="916" spans="1:30" x14ac:dyDescent="0.3">
      <c r="A916" s="44" t="str">
        <f t="shared" ca="1" si="14"/>
        <v>7.MENG</v>
      </c>
      <c r="B91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16" s="47"/>
      <c r="D916" s="44"/>
      <c r="E916" s="44"/>
      <c r="F916" s="47"/>
      <c r="G916" s="47"/>
      <c r="H916" s="45"/>
      <c r="I916" s="45"/>
      <c r="J916" s="45"/>
      <c r="K916" s="45"/>
      <c r="L916" s="46"/>
      <c r="M916" s="47"/>
      <c r="N916" s="47"/>
      <c r="O916" s="47"/>
      <c r="P916" s="47"/>
      <c r="Q916" s="47"/>
      <c r="R916" s="47"/>
      <c r="S916" s="48"/>
      <c r="T916" s="68" t="str">
        <f>IF(Tableau1[[#This Row],[DMS_SAP]]="","",HYPERLINK(Tableau1[[#This Row],[Chemin fichier source]],"X"))</f>
        <v/>
      </c>
      <c r="U916" s="68" t="str">
        <f>IF(Tableau1[[#This Row],[Date rév.]]="","",HYPERLINK(Tableau1[[#This Row],[Lien document]],"X"))</f>
        <v/>
      </c>
      <c r="V916" s="47"/>
      <c r="W91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16" s="47"/>
      <c r="Y916" s="47"/>
      <c r="Z916" s="44" t="str">
        <f ca="1">IF(AND(Tableau1[[#This Row],[Charge]]&lt;&gt;0, Tableau1[[#This Row],[Nombre intervenants]]&lt;&gt;0,Tableau1[[#This Row],[Lien document]]&lt;&gt;0,Tableau1[[#This Row],[DMS_SAP]]&lt;&gt;0)=TRUE,"MIS A JOUR","")</f>
        <v/>
      </c>
      <c r="AA916" s="48"/>
      <c r="AB916" s="65" t="str">
        <f ca="1">IF(Tableau1[[#This Row],[Date rév.]]&lt;&gt;"", DAYS360(Tableau1[[#This Row],[Date rév.]],TODAY()),"")</f>
        <v/>
      </c>
      <c r="AC916" s="50" t="str">
        <f>IFERROR(INDEX(Chemin_accès!$B$11:$C$22,MATCH(Tableau1[[#This Row],[Type]],Chemin_accès!$C$11:$C$22,0),1),Chemin_accès!$B$11)</f>
        <v>\\stjn.local\trimet\Btechnique\Commun\Atelier Central mécanique\Plan entretien\Modèles préventif\GammeDMS_7.MENG.xlsm</v>
      </c>
      <c r="AD916" s="50" t="str">
        <f>Chemin_accès!$B$8&amp;Tableau1[[#This Row],[Localisation / Classement]]&amp;"\"&amp;Tableau1[[#This Row],[Poste technique ou N° d''équipement]]&amp;"_"&amp;Tableau1[[#This Row],[Plan Entretien]]&amp;".xlsm"</f>
        <v>\\stjn.local\trimet\Btechnique\Commun\Atelier Central mécanique\Plan entretien\GammeEntretien\\_.xlsm</v>
      </c>
    </row>
    <row r="917" spans="1:30" x14ac:dyDescent="0.3">
      <c r="A917" s="44" t="str">
        <f t="shared" ca="1" si="14"/>
        <v>7.MENG</v>
      </c>
      <c r="B91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17" s="47"/>
      <c r="D917" s="44"/>
      <c r="E917" s="44"/>
      <c r="F917" s="47"/>
      <c r="G917" s="47"/>
      <c r="H917" s="45"/>
      <c r="I917" s="45"/>
      <c r="J917" s="45"/>
      <c r="K917" s="45"/>
      <c r="L917" s="46"/>
      <c r="M917" s="47"/>
      <c r="N917" s="47"/>
      <c r="O917" s="47"/>
      <c r="P917" s="47"/>
      <c r="Q917" s="47"/>
      <c r="R917" s="47"/>
      <c r="S917" s="48"/>
      <c r="T917" s="68" t="str">
        <f>IF(Tableau1[[#This Row],[DMS_SAP]]="","",HYPERLINK(Tableau1[[#This Row],[Chemin fichier source]],"X"))</f>
        <v/>
      </c>
      <c r="U917" s="68" t="str">
        <f>IF(Tableau1[[#This Row],[Date rév.]]="","",HYPERLINK(Tableau1[[#This Row],[Lien document]],"X"))</f>
        <v/>
      </c>
      <c r="V917" s="47"/>
      <c r="W91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17" s="47"/>
      <c r="Y917" s="47"/>
      <c r="Z917" s="44" t="str">
        <f ca="1">IF(AND(Tableau1[[#This Row],[Charge]]&lt;&gt;0, Tableau1[[#This Row],[Nombre intervenants]]&lt;&gt;0,Tableau1[[#This Row],[Lien document]]&lt;&gt;0,Tableau1[[#This Row],[DMS_SAP]]&lt;&gt;0)=TRUE,"MIS A JOUR","")</f>
        <v/>
      </c>
      <c r="AA917" s="48"/>
      <c r="AB917" s="65" t="str">
        <f ca="1">IF(Tableau1[[#This Row],[Date rév.]]&lt;&gt;"", DAYS360(Tableau1[[#This Row],[Date rév.]],TODAY()),"")</f>
        <v/>
      </c>
      <c r="AC917" s="50" t="str">
        <f>IFERROR(INDEX(Chemin_accès!$B$11:$C$22,MATCH(Tableau1[[#This Row],[Type]],Chemin_accès!$C$11:$C$22,0),1),Chemin_accès!$B$11)</f>
        <v>\\stjn.local\trimet\Btechnique\Commun\Atelier Central mécanique\Plan entretien\Modèles préventif\GammeDMS_7.MENG.xlsm</v>
      </c>
      <c r="AD917" s="50" t="str">
        <f>Chemin_accès!$B$8&amp;Tableau1[[#This Row],[Localisation / Classement]]&amp;"\"&amp;Tableau1[[#This Row],[Poste technique ou N° d''équipement]]&amp;"_"&amp;Tableau1[[#This Row],[Plan Entretien]]&amp;".xlsm"</f>
        <v>\\stjn.local\trimet\Btechnique\Commun\Atelier Central mécanique\Plan entretien\GammeEntretien\\_.xlsm</v>
      </c>
    </row>
    <row r="918" spans="1:30" x14ac:dyDescent="0.3">
      <c r="A918" s="44" t="str">
        <f t="shared" ca="1" si="14"/>
        <v>7.MENG</v>
      </c>
      <c r="B91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18" s="47"/>
      <c r="D918" s="44"/>
      <c r="E918" s="44"/>
      <c r="F918" s="47"/>
      <c r="G918" s="47"/>
      <c r="H918" s="45"/>
      <c r="I918" s="45"/>
      <c r="J918" s="45"/>
      <c r="K918" s="45"/>
      <c r="L918" s="46"/>
      <c r="M918" s="47"/>
      <c r="N918" s="47"/>
      <c r="O918" s="47"/>
      <c r="P918" s="47"/>
      <c r="Q918" s="47"/>
      <c r="R918" s="47"/>
      <c r="S918" s="48"/>
      <c r="T918" s="68" t="str">
        <f>IF(Tableau1[[#This Row],[DMS_SAP]]="","",HYPERLINK(Tableau1[[#This Row],[Chemin fichier source]],"X"))</f>
        <v/>
      </c>
      <c r="U918" s="68" t="str">
        <f>IF(Tableau1[[#This Row],[Date rév.]]="","",HYPERLINK(Tableau1[[#This Row],[Lien document]],"X"))</f>
        <v/>
      </c>
      <c r="V918" s="47"/>
      <c r="W91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18" s="47"/>
      <c r="Y918" s="47"/>
      <c r="Z918" s="44" t="str">
        <f ca="1">IF(AND(Tableau1[[#This Row],[Charge]]&lt;&gt;0, Tableau1[[#This Row],[Nombre intervenants]]&lt;&gt;0,Tableau1[[#This Row],[Lien document]]&lt;&gt;0,Tableau1[[#This Row],[DMS_SAP]]&lt;&gt;0)=TRUE,"MIS A JOUR","")</f>
        <v/>
      </c>
      <c r="AA918" s="48"/>
      <c r="AB918" s="65" t="str">
        <f ca="1">IF(Tableau1[[#This Row],[Date rév.]]&lt;&gt;"", DAYS360(Tableau1[[#This Row],[Date rév.]],TODAY()),"")</f>
        <v/>
      </c>
      <c r="AC918" s="50" t="str">
        <f>IFERROR(INDEX(Chemin_accès!$B$11:$C$22,MATCH(Tableau1[[#This Row],[Type]],Chemin_accès!$C$11:$C$22,0),1),Chemin_accès!$B$11)</f>
        <v>\\stjn.local\trimet\Btechnique\Commun\Atelier Central mécanique\Plan entretien\Modèles préventif\GammeDMS_7.MENG.xlsm</v>
      </c>
      <c r="AD918" s="50" t="str">
        <f>Chemin_accès!$B$8&amp;Tableau1[[#This Row],[Localisation / Classement]]&amp;"\"&amp;Tableau1[[#This Row],[Poste technique ou N° d''équipement]]&amp;"_"&amp;Tableau1[[#This Row],[Plan Entretien]]&amp;".xlsm"</f>
        <v>\\stjn.local\trimet\Btechnique\Commun\Atelier Central mécanique\Plan entretien\GammeEntretien\\_.xlsm</v>
      </c>
    </row>
    <row r="919" spans="1:30" x14ac:dyDescent="0.3">
      <c r="A919" s="44" t="str">
        <f t="shared" ca="1" si="14"/>
        <v>7.MENG</v>
      </c>
      <c r="B91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19" s="47"/>
      <c r="D919" s="44"/>
      <c r="E919" s="44"/>
      <c r="F919" s="47"/>
      <c r="G919" s="47"/>
      <c r="H919" s="45"/>
      <c r="I919" s="45"/>
      <c r="J919" s="45"/>
      <c r="K919" s="45"/>
      <c r="L919" s="46"/>
      <c r="M919" s="47"/>
      <c r="N919" s="47"/>
      <c r="O919" s="47"/>
      <c r="P919" s="47"/>
      <c r="Q919" s="47"/>
      <c r="R919" s="47"/>
      <c r="S919" s="48"/>
      <c r="T919" s="68" t="str">
        <f>IF(Tableau1[[#This Row],[DMS_SAP]]="","",HYPERLINK(Tableau1[[#This Row],[Chemin fichier source]],"X"))</f>
        <v/>
      </c>
      <c r="U919" s="68" t="str">
        <f>IF(Tableau1[[#This Row],[Date rév.]]="","",HYPERLINK(Tableau1[[#This Row],[Lien document]],"X"))</f>
        <v/>
      </c>
      <c r="V919" s="47"/>
      <c r="W91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19" s="47"/>
      <c r="Y919" s="47"/>
      <c r="Z919" s="44" t="str">
        <f ca="1">IF(AND(Tableau1[[#This Row],[Charge]]&lt;&gt;0, Tableau1[[#This Row],[Nombre intervenants]]&lt;&gt;0,Tableau1[[#This Row],[Lien document]]&lt;&gt;0,Tableau1[[#This Row],[DMS_SAP]]&lt;&gt;0)=TRUE,"MIS A JOUR","")</f>
        <v/>
      </c>
      <c r="AA919" s="48"/>
      <c r="AB919" s="65" t="str">
        <f ca="1">IF(Tableau1[[#This Row],[Date rév.]]&lt;&gt;"", DAYS360(Tableau1[[#This Row],[Date rév.]],TODAY()),"")</f>
        <v/>
      </c>
      <c r="AC919" s="50" t="str">
        <f>IFERROR(INDEX(Chemin_accès!$B$11:$C$22,MATCH(Tableau1[[#This Row],[Type]],Chemin_accès!$C$11:$C$22,0),1),Chemin_accès!$B$11)</f>
        <v>\\stjn.local\trimet\Btechnique\Commun\Atelier Central mécanique\Plan entretien\Modèles préventif\GammeDMS_7.MENG.xlsm</v>
      </c>
      <c r="AD919" s="50" t="str">
        <f>Chemin_accès!$B$8&amp;Tableau1[[#This Row],[Localisation / Classement]]&amp;"\"&amp;Tableau1[[#This Row],[Poste technique ou N° d''équipement]]&amp;"_"&amp;Tableau1[[#This Row],[Plan Entretien]]&amp;".xlsm"</f>
        <v>\\stjn.local\trimet\Btechnique\Commun\Atelier Central mécanique\Plan entretien\GammeEntretien\\_.xlsm</v>
      </c>
    </row>
    <row r="920" spans="1:30" x14ac:dyDescent="0.3">
      <c r="A920" s="44" t="str">
        <f t="shared" ca="1" si="14"/>
        <v>7.MENG</v>
      </c>
      <c r="B92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20" s="47"/>
      <c r="D920" s="44"/>
      <c r="E920" s="44"/>
      <c r="F920" s="47"/>
      <c r="G920" s="47"/>
      <c r="H920" s="45"/>
      <c r="I920" s="45"/>
      <c r="J920" s="45"/>
      <c r="K920" s="45"/>
      <c r="L920" s="46"/>
      <c r="M920" s="47"/>
      <c r="N920" s="47"/>
      <c r="O920" s="47"/>
      <c r="P920" s="47"/>
      <c r="Q920" s="47"/>
      <c r="R920" s="47"/>
      <c r="S920" s="48"/>
      <c r="T920" s="68" t="str">
        <f>IF(Tableau1[[#This Row],[DMS_SAP]]="","",HYPERLINK(Tableau1[[#This Row],[Chemin fichier source]],"X"))</f>
        <v/>
      </c>
      <c r="U920" s="68" t="str">
        <f>IF(Tableau1[[#This Row],[Date rév.]]="","",HYPERLINK(Tableau1[[#This Row],[Lien document]],"X"))</f>
        <v/>
      </c>
      <c r="V920" s="47"/>
      <c r="W92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20" s="47"/>
      <c r="Y920" s="47"/>
      <c r="Z920" s="44" t="str">
        <f ca="1">IF(AND(Tableau1[[#This Row],[Charge]]&lt;&gt;0, Tableau1[[#This Row],[Nombre intervenants]]&lt;&gt;0,Tableau1[[#This Row],[Lien document]]&lt;&gt;0,Tableau1[[#This Row],[DMS_SAP]]&lt;&gt;0)=TRUE,"MIS A JOUR","")</f>
        <v/>
      </c>
      <c r="AA920" s="48"/>
      <c r="AB920" s="65" t="str">
        <f ca="1">IF(Tableau1[[#This Row],[Date rév.]]&lt;&gt;"", DAYS360(Tableau1[[#This Row],[Date rév.]],TODAY()),"")</f>
        <v/>
      </c>
      <c r="AC920" s="50" t="str">
        <f>IFERROR(INDEX(Chemin_accès!$B$11:$C$22,MATCH(Tableau1[[#This Row],[Type]],Chemin_accès!$C$11:$C$22,0),1),Chemin_accès!$B$11)</f>
        <v>\\stjn.local\trimet\Btechnique\Commun\Atelier Central mécanique\Plan entretien\Modèles préventif\GammeDMS_7.MENG.xlsm</v>
      </c>
      <c r="AD920" s="50" t="str">
        <f>Chemin_accès!$B$8&amp;Tableau1[[#This Row],[Localisation / Classement]]&amp;"\"&amp;Tableau1[[#This Row],[Poste technique ou N° d''équipement]]&amp;"_"&amp;Tableau1[[#This Row],[Plan Entretien]]&amp;".xlsm"</f>
        <v>\\stjn.local\trimet\Btechnique\Commun\Atelier Central mécanique\Plan entretien\GammeEntretien\\_.xlsm</v>
      </c>
    </row>
    <row r="921" spans="1:30" x14ac:dyDescent="0.3">
      <c r="A921" s="44" t="str">
        <f t="shared" ca="1" si="14"/>
        <v>7.MENG</v>
      </c>
      <c r="B92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21" s="47"/>
      <c r="D921" s="44"/>
      <c r="E921" s="44"/>
      <c r="F921" s="47"/>
      <c r="G921" s="47"/>
      <c r="H921" s="45"/>
      <c r="I921" s="45"/>
      <c r="J921" s="45"/>
      <c r="K921" s="45"/>
      <c r="L921" s="46"/>
      <c r="M921" s="47"/>
      <c r="N921" s="47"/>
      <c r="O921" s="47"/>
      <c r="P921" s="47"/>
      <c r="Q921" s="47"/>
      <c r="R921" s="47"/>
      <c r="S921" s="48"/>
      <c r="T921" s="68" t="str">
        <f>IF(Tableau1[[#This Row],[DMS_SAP]]="","",HYPERLINK(Tableau1[[#This Row],[Chemin fichier source]],"X"))</f>
        <v/>
      </c>
      <c r="U921" s="68" t="str">
        <f>IF(Tableau1[[#This Row],[Date rév.]]="","",HYPERLINK(Tableau1[[#This Row],[Lien document]],"X"))</f>
        <v/>
      </c>
      <c r="V921" s="47"/>
      <c r="W92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21" s="47"/>
      <c r="Y921" s="47"/>
      <c r="Z921" s="44" t="str">
        <f ca="1">IF(AND(Tableau1[[#This Row],[Charge]]&lt;&gt;0, Tableau1[[#This Row],[Nombre intervenants]]&lt;&gt;0,Tableau1[[#This Row],[Lien document]]&lt;&gt;0,Tableau1[[#This Row],[DMS_SAP]]&lt;&gt;0)=TRUE,"MIS A JOUR","")</f>
        <v/>
      </c>
      <c r="AA921" s="48"/>
      <c r="AB921" s="65" t="str">
        <f ca="1">IF(Tableau1[[#This Row],[Date rév.]]&lt;&gt;"", DAYS360(Tableau1[[#This Row],[Date rév.]],TODAY()),"")</f>
        <v/>
      </c>
      <c r="AC921" s="50" t="str">
        <f>IFERROR(INDEX(Chemin_accès!$B$11:$C$22,MATCH(Tableau1[[#This Row],[Type]],Chemin_accès!$C$11:$C$22,0),1),Chemin_accès!$B$11)</f>
        <v>\\stjn.local\trimet\Btechnique\Commun\Atelier Central mécanique\Plan entretien\Modèles préventif\GammeDMS_7.MENG.xlsm</v>
      </c>
      <c r="AD921" s="50" t="str">
        <f>Chemin_accès!$B$8&amp;Tableau1[[#This Row],[Localisation / Classement]]&amp;"\"&amp;Tableau1[[#This Row],[Poste technique ou N° d''équipement]]&amp;"_"&amp;Tableau1[[#This Row],[Plan Entretien]]&amp;".xlsm"</f>
        <v>\\stjn.local\trimet\Btechnique\Commun\Atelier Central mécanique\Plan entretien\GammeEntretien\\_.xlsm</v>
      </c>
    </row>
    <row r="922" spans="1:30" x14ac:dyDescent="0.3">
      <c r="A922" s="44" t="str">
        <f t="shared" ca="1" si="14"/>
        <v>7.MENG</v>
      </c>
      <c r="B92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22" s="47"/>
      <c r="D922" s="44"/>
      <c r="E922" s="44"/>
      <c r="F922" s="47"/>
      <c r="G922" s="47"/>
      <c r="H922" s="45"/>
      <c r="I922" s="45"/>
      <c r="J922" s="45"/>
      <c r="K922" s="45"/>
      <c r="L922" s="46"/>
      <c r="M922" s="47"/>
      <c r="N922" s="47"/>
      <c r="O922" s="47"/>
      <c r="P922" s="47"/>
      <c r="Q922" s="47"/>
      <c r="R922" s="47"/>
      <c r="S922" s="48"/>
      <c r="T922" s="68" t="str">
        <f>IF(Tableau1[[#This Row],[DMS_SAP]]="","",HYPERLINK(Tableau1[[#This Row],[Chemin fichier source]],"X"))</f>
        <v/>
      </c>
      <c r="U922" s="68" t="str">
        <f>IF(Tableau1[[#This Row],[Date rév.]]="","",HYPERLINK(Tableau1[[#This Row],[Lien document]],"X"))</f>
        <v/>
      </c>
      <c r="V922" s="47"/>
      <c r="W92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22" s="47"/>
      <c r="Y922" s="47"/>
      <c r="Z922" s="44" t="str">
        <f ca="1">IF(AND(Tableau1[[#This Row],[Charge]]&lt;&gt;0, Tableau1[[#This Row],[Nombre intervenants]]&lt;&gt;0,Tableau1[[#This Row],[Lien document]]&lt;&gt;0,Tableau1[[#This Row],[DMS_SAP]]&lt;&gt;0)=TRUE,"MIS A JOUR","")</f>
        <v/>
      </c>
      <c r="AA922" s="48"/>
      <c r="AB922" s="65" t="str">
        <f ca="1">IF(Tableau1[[#This Row],[Date rév.]]&lt;&gt;"", DAYS360(Tableau1[[#This Row],[Date rév.]],TODAY()),"")</f>
        <v/>
      </c>
      <c r="AC922" s="50" t="str">
        <f>IFERROR(INDEX(Chemin_accès!$B$11:$C$22,MATCH(Tableau1[[#This Row],[Type]],Chemin_accès!$C$11:$C$22,0),1),Chemin_accès!$B$11)</f>
        <v>\\stjn.local\trimet\Btechnique\Commun\Atelier Central mécanique\Plan entretien\Modèles préventif\GammeDMS_7.MENG.xlsm</v>
      </c>
      <c r="AD922" s="50" t="str">
        <f>Chemin_accès!$B$8&amp;Tableau1[[#This Row],[Localisation / Classement]]&amp;"\"&amp;Tableau1[[#This Row],[Poste technique ou N° d''équipement]]&amp;"_"&amp;Tableau1[[#This Row],[Plan Entretien]]&amp;".xlsm"</f>
        <v>\\stjn.local\trimet\Btechnique\Commun\Atelier Central mécanique\Plan entretien\GammeEntretien\\_.xlsm</v>
      </c>
    </row>
    <row r="923" spans="1:30" x14ac:dyDescent="0.3">
      <c r="A923" s="44" t="str">
        <f t="shared" ca="1" si="14"/>
        <v>7.MENG</v>
      </c>
      <c r="B92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23" s="47"/>
      <c r="D923" s="44"/>
      <c r="E923" s="44"/>
      <c r="F923" s="47"/>
      <c r="G923" s="47"/>
      <c r="H923" s="45"/>
      <c r="I923" s="45"/>
      <c r="J923" s="45"/>
      <c r="K923" s="45"/>
      <c r="L923" s="46"/>
      <c r="M923" s="47"/>
      <c r="N923" s="47"/>
      <c r="O923" s="47"/>
      <c r="P923" s="47"/>
      <c r="Q923" s="47"/>
      <c r="R923" s="47"/>
      <c r="S923" s="48"/>
      <c r="T923" s="68" t="str">
        <f>IF(Tableau1[[#This Row],[DMS_SAP]]="","",HYPERLINK(Tableau1[[#This Row],[Chemin fichier source]],"X"))</f>
        <v/>
      </c>
      <c r="U923" s="68" t="str">
        <f>IF(Tableau1[[#This Row],[Date rév.]]="","",HYPERLINK(Tableau1[[#This Row],[Lien document]],"X"))</f>
        <v/>
      </c>
      <c r="V923" s="47"/>
      <c r="W92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23" s="47"/>
      <c r="Y923" s="47"/>
      <c r="Z923" s="44" t="str">
        <f ca="1">IF(AND(Tableau1[[#This Row],[Charge]]&lt;&gt;0, Tableau1[[#This Row],[Nombre intervenants]]&lt;&gt;0,Tableau1[[#This Row],[Lien document]]&lt;&gt;0,Tableau1[[#This Row],[DMS_SAP]]&lt;&gt;0)=TRUE,"MIS A JOUR","")</f>
        <v/>
      </c>
      <c r="AA923" s="48"/>
      <c r="AB923" s="65" t="str">
        <f ca="1">IF(Tableau1[[#This Row],[Date rév.]]&lt;&gt;"", DAYS360(Tableau1[[#This Row],[Date rév.]],TODAY()),"")</f>
        <v/>
      </c>
      <c r="AC923" s="50" t="str">
        <f>IFERROR(INDEX(Chemin_accès!$B$11:$C$22,MATCH(Tableau1[[#This Row],[Type]],Chemin_accès!$C$11:$C$22,0),1),Chemin_accès!$B$11)</f>
        <v>\\stjn.local\trimet\Btechnique\Commun\Atelier Central mécanique\Plan entretien\Modèles préventif\GammeDMS_7.MENG.xlsm</v>
      </c>
      <c r="AD923" s="50" t="str">
        <f>Chemin_accès!$B$8&amp;Tableau1[[#This Row],[Localisation / Classement]]&amp;"\"&amp;Tableau1[[#This Row],[Poste technique ou N° d''équipement]]&amp;"_"&amp;Tableau1[[#This Row],[Plan Entretien]]&amp;".xlsm"</f>
        <v>\\stjn.local\trimet\Btechnique\Commun\Atelier Central mécanique\Plan entretien\GammeEntretien\\_.xlsm</v>
      </c>
    </row>
    <row r="924" spans="1:30" x14ac:dyDescent="0.3">
      <c r="A924" s="44" t="str">
        <f t="shared" ca="1" si="14"/>
        <v>7.MENG</v>
      </c>
      <c r="B92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24" s="47"/>
      <c r="D924" s="44"/>
      <c r="E924" s="44"/>
      <c r="F924" s="47"/>
      <c r="G924" s="47"/>
      <c r="H924" s="45"/>
      <c r="I924" s="45"/>
      <c r="J924" s="45"/>
      <c r="K924" s="45"/>
      <c r="L924" s="46"/>
      <c r="M924" s="47"/>
      <c r="N924" s="47"/>
      <c r="O924" s="47"/>
      <c r="P924" s="47"/>
      <c r="Q924" s="47"/>
      <c r="R924" s="47"/>
      <c r="S924" s="48"/>
      <c r="T924" s="68" t="str">
        <f>IF(Tableau1[[#This Row],[DMS_SAP]]="","",HYPERLINK(Tableau1[[#This Row],[Chemin fichier source]],"X"))</f>
        <v/>
      </c>
      <c r="U924" s="68" t="str">
        <f>IF(Tableau1[[#This Row],[Date rév.]]="","",HYPERLINK(Tableau1[[#This Row],[Lien document]],"X"))</f>
        <v/>
      </c>
      <c r="V924" s="47"/>
      <c r="W92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24" s="47"/>
      <c r="Y924" s="47"/>
      <c r="Z924" s="44" t="str">
        <f ca="1">IF(AND(Tableau1[[#This Row],[Charge]]&lt;&gt;0, Tableau1[[#This Row],[Nombre intervenants]]&lt;&gt;0,Tableau1[[#This Row],[Lien document]]&lt;&gt;0,Tableau1[[#This Row],[DMS_SAP]]&lt;&gt;0)=TRUE,"MIS A JOUR","")</f>
        <v/>
      </c>
      <c r="AA924" s="48"/>
      <c r="AB924" s="65" t="str">
        <f ca="1">IF(Tableau1[[#This Row],[Date rév.]]&lt;&gt;"", DAYS360(Tableau1[[#This Row],[Date rév.]],TODAY()),"")</f>
        <v/>
      </c>
      <c r="AC924" s="50" t="str">
        <f>IFERROR(INDEX(Chemin_accès!$B$11:$C$22,MATCH(Tableau1[[#This Row],[Type]],Chemin_accès!$C$11:$C$22,0),1),Chemin_accès!$B$11)</f>
        <v>\\stjn.local\trimet\Btechnique\Commun\Atelier Central mécanique\Plan entretien\Modèles préventif\GammeDMS_7.MENG.xlsm</v>
      </c>
      <c r="AD924" s="50" t="str">
        <f>Chemin_accès!$B$8&amp;Tableau1[[#This Row],[Localisation / Classement]]&amp;"\"&amp;Tableau1[[#This Row],[Poste technique ou N° d''équipement]]&amp;"_"&amp;Tableau1[[#This Row],[Plan Entretien]]&amp;".xlsm"</f>
        <v>\\stjn.local\trimet\Btechnique\Commun\Atelier Central mécanique\Plan entretien\GammeEntretien\\_.xlsm</v>
      </c>
    </row>
    <row r="925" spans="1:30" x14ac:dyDescent="0.3">
      <c r="A925" s="44" t="str">
        <f t="shared" ca="1" si="14"/>
        <v>7.MENG</v>
      </c>
      <c r="B92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25" s="47"/>
      <c r="D925" s="44"/>
      <c r="E925" s="44"/>
      <c r="F925" s="47"/>
      <c r="G925" s="47"/>
      <c r="H925" s="45"/>
      <c r="I925" s="45"/>
      <c r="J925" s="45"/>
      <c r="K925" s="45"/>
      <c r="L925" s="46"/>
      <c r="M925" s="47"/>
      <c r="N925" s="47"/>
      <c r="O925" s="47"/>
      <c r="P925" s="47"/>
      <c r="Q925" s="47"/>
      <c r="R925" s="47"/>
      <c r="S925" s="48"/>
      <c r="T925" s="68" t="str">
        <f>IF(Tableau1[[#This Row],[DMS_SAP]]="","",HYPERLINK(Tableau1[[#This Row],[Chemin fichier source]],"X"))</f>
        <v/>
      </c>
      <c r="U925" s="68" t="str">
        <f>IF(Tableau1[[#This Row],[Date rév.]]="","",HYPERLINK(Tableau1[[#This Row],[Lien document]],"X"))</f>
        <v/>
      </c>
      <c r="V925" s="47"/>
      <c r="W92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25" s="47"/>
      <c r="Y925" s="47"/>
      <c r="Z925" s="44" t="str">
        <f ca="1">IF(AND(Tableau1[[#This Row],[Charge]]&lt;&gt;0, Tableau1[[#This Row],[Nombre intervenants]]&lt;&gt;0,Tableau1[[#This Row],[Lien document]]&lt;&gt;0,Tableau1[[#This Row],[DMS_SAP]]&lt;&gt;0)=TRUE,"MIS A JOUR","")</f>
        <v/>
      </c>
      <c r="AA925" s="48"/>
      <c r="AB925" s="65" t="str">
        <f ca="1">IF(Tableau1[[#This Row],[Date rév.]]&lt;&gt;"", DAYS360(Tableau1[[#This Row],[Date rév.]],TODAY()),"")</f>
        <v/>
      </c>
      <c r="AC925" s="50" t="str">
        <f>IFERROR(INDEX(Chemin_accès!$B$11:$C$22,MATCH(Tableau1[[#This Row],[Type]],Chemin_accès!$C$11:$C$22,0),1),Chemin_accès!$B$11)</f>
        <v>\\stjn.local\trimet\Btechnique\Commun\Atelier Central mécanique\Plan entretien\Modèles préventif\GammeDMS_7.MENG.xlsm</v>
      </c>
      <c r="AD925" s="50" t="str">
        <f>Chemin_accès!$B$8&amp;Tableau1[[#This Row],[Localisation / Classement]]&amp;"\"&amp;Tableau1[[#This Row],[Poste technique ou N° d''équipement]]&amp;"_"&amp;Tableau1[[#This Row],[Plan Entretien]]&amp;".xlsm"</f>
        <v>\\stjn.local\trimet\Btechnique\Commun\Atelier Central mécanique\Plan entretien\GammeEntretien\\_.xlsm</v>
      </c>
    </row>
    <row r="926" spans="1:30" x14ac:dyDescent="0.3">
      <c r="A926" s="44" t="str">
        <f t="shared" ca="1" si="14"/>
        <v>7.MENG</v>
      </c>
      <c r="B92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26" s="47"/>
      <c r="D926" s="44"/>
      <c r="E926" s="44"/>
      <c r="F926" s="47"/>
      <c r="G926" s="47"/>
      <c r="H926" s="45"/>
      <c r="I926" s="45"/>
      <c r="J926" s="45"/>
      <c r="K926" s="45"/>
      <c r="L926" s="46"/>
      <c r="M926" s="47"/>
      <c r="N926" s="47"/>
      <c r="O926" s="47"/>
      <c r="P926" s="47"/>
      <c r="Q926" s="47"/>
      <c r="R926" s="47"/>
      <c r="S926" s="48"/>
      <c r="T926" s="68" t="str">
        <f>IF(Tableau1[[#This Row],[DMS_SAP]]="","",HYPERLINK(Tableau1[[#This Row],[Chemin fichier source]],"X"))</f>
        <v/>
      </c>
      <c r="U926" s="68" t="str">
        <f>IF(Tableau1[[#This Row],[Date rév.]]="","",HYPERLINK(Tableau1[[#This Row],[Lien document]],"X"))</f>
        <v/>
      </c>
      <c r="V926" s="47"/>
      <c r="W92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26" s="47"/>
      <c r="Y926" s="47"/>
      <c r="Z926" s="44" t="str">
        <f ca="1">IF(AND(Tableau1[[#This Row],[Charge]]&lt;&gt;0, Tableau1[[#This Row],[Nombre intervenants]]&lt;&gt;0,Tableau1[[#This Row],[Lien document]]&lt;&gt;0,Tableau1[[#This Row],[DMS_SAP]]&lt;&gt;0)=TRUE,"MIS A JOUR","")</f>
        <v/>
      </c>
      <c r="AA926" s="48"/>
      <c r="AB926" s="65" t="str">
        <f ca="1">IF(Tableau1[[#This Row],[Date rév.]]&lt;&gt;"", DAYS360(Tableau1[[#This Row],[Date rév.]],TODAY()),"")</f>
        <v/>
      </c>
      <c r="AC926" s="50" t="str">
        <f>IFERROR(INDEX(Chemin_accès!$B$11:$C$22,MATCH(Tableau1[[#This Row],[Type]],Chemin_accès!$C$11:$C$22,0),1),Chemin_accès!$B$11)</f>
        <v>\\stjn.local\trimet\Btechnique\Commun\Atelier Central mécanique\Plan entretien\Modèles préventif\GammeDMS_7.MENG.xlsm</v>
      </c>
      <c r="AD926" s="50" t="str">
        <f>Chemin_accès!$B$8&amp;Tableau1[[#This Row],[Localisation / Classement]]&amp;"\"&amp;Tableau1[[#This Row],[Poste technique ou N° d''équipement]]&amp;"_"&amp;Tableau1[[#This Row],[Plan Entretien]]&amp;".xlsm"</f>
        <v>\\stjn.local\trimet\Btechnique\Commun\Atelier Central mécanique\Plan entretien\GammeEntretien\\_.xlsm</v>
      </c>
    </row>
    <row r="927" spans="1:30" x14ac:dyDescent="0.3">
      <c r="A927" s="44" t="str">
        <f t="shared" ca="1" si="14"/>
        <v>7.MENG</v>
      </c>
      <c r="B92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27" s="47"/>
      <c r="D927" s="44"/>
      <c r="E927" s="44"/>
      <c r="F927" s="47"/>
      <c r="G927" s="47"/>
      <c r="H927" s="45"/>
      <c r="I927" s="45"/>
      <c r="J927" s="45"/>
      <c r="K927" s="45"/>
      <c r="L927" s="46"/>
      <c r="M927" s="47"/>
      <c r="N927" s="47"/>
      <c r="O927" s="47"/>
      <c r="P927" s="47"/>
      <c r="Q927" s="47"/>
      <c r="R927" s="47"/>
      <c r="S927" s="48"/>
      <c r="T927" s="68" t="str">
        <f>IF(Tableau1[[#This Row],[DMS_SAP]]="","",HYPERLINK(Tableau1[[#This Row],[Chemin fichier source]],"X"))</f>
        <v/>
      </c>
      <c r="U927" s="68" t="str">
        <f>IF(Tableau1[[#This Row],[Date rév.]]="","",HYPERLINK(Tableau1[[#This Row],[Lien document]],"X"))</f>
        <v/>
      </c>
      <c r="V927" s="47"/>
      <c r="W92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27" s="47"/>
      <c r="Y927" s="47"/>
      <c r="Z927" s="44" t="str">
        <f ca="1">IF(AND(Tableau1[[#This Row],[Charge]]&lt;&gt;0, Tableau1[[#This Row],[Nombre intervenants]]&lt;&gt;0,Tableau1[[#This Row],[Lien document]]&lt;&gt;0,Tableau1[[#This Row],[DMS_SAP]]&lt;&gt;0)=TRUE,"MIS A JOUR","")</f>
        <v/>
      </c>
      <c r="AA927" s="48"/>
      <c r="AB927" s="65" t="str">
        <f ca="1">IF(Tableau1[[#This Row],[Date rév.]]&lt;&gt;"", DAYS360(Tableau1[[#This Row],[Date rév.]],TODAY()),"")</f>
        <v/>
      </c>
      <c r="AC927" s="50" t="str">
        <f>IFERROR(INDEX(Chemin_accès!$B$11:$C$22,MATCH(Tableau1[[#This Row],[Type]],Chemin_accès!$C$11:$C$22,0),1),Chemin_accès!$B$11)</f>
        <v>\\stjn.local\trimet\Btechnique\Commun\Atelier Central mécanique\Plan entretien\Modèles préventif\GammeDMS_7.MENG.xlsm</v>
      </c>
      <c r="AD927" s="50" t="str">
        <f>Chemin_accès!$B$8&amp;Tableau1[[#This Row],[Localisation / Classement]]&amp;"\"&amp;Tableau1[[#This Row],[Poste technique ou N° d''équipement]]&amp;"_"&amp;Tableau1[[#This Row],[Plan Entretien]]&amp;".xlsm"</f>
        <v>\\stjn.local\trimet\Btechnique\Commun\Atelier Central mécanique\Plan entretien\GammeEntretien\\_.xlsm</v>
      </c>
    </row>
    <row r="928" spans="1:30" x14ac:dyDescent="0.3">
      <c r="A928" s="44" t="str">
        <f t="shared" ca="1" si="14"/>
        <v>7.MENG</v>
      </c>
      <c r="B92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28" s="47"/>
      <c r="D928" s="44"/>
      <c r="E928" s="44"/>
      <c r="F928" s="47"/>
      <c r="G928" s="47"/>
      <c r="H928" s="45"/>
      <c r="I928" s="45"/>
      <c r="J928" s="45"/>
      <c r="K928" s="45"/>
      <c r="L928" s="46"/>
      <c r="M928" s="47"/>
      <c r="N928" s="47"/>
      <c r="O928" s="47"/>
      <c r="P928" s="47"/>
      <c r="Q928" s="47"/>
      <c r="R928" s="47"/>
      <c r="S928" s="48"/>
      <c r="T928" s="68" t="str">
        <f>IF(Tableau1[[#This Row],[DMS_SAP]]="","",HYPERLINK(Tableau1[[#This Row],[Chemin fichier source]],"X"))</f>
        <v/>
      </c>
      <c r="U928" s="68" t="str">
        <f>IF(Tableau1[[#This Row],[Date rév.]]="","",HYPERLINK(Tableau1[[#This Row],[Lien document]],"X"))</f>
        <v/>
      </c>
      <c r="V928" s="47"/>
      <c r="W92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28" s="47"/>
      <c r="Y928" s="47"/>
      <c r="Z928" s="44" t="str">
        <f ca="1">IF(AND(Tableau1[[#This Row],[Charge]]&lt;&gt;0, Tableau1[[#This Row],[Nombre intervenants]]&lt;&gt;0,Tableau1[[#This Row],[Lien document]]&lt;&gt;0,Tableau1[[#This Row],[DMS_SAP]]&lt;&gt;0)=TRUE,"MIS A JOUR","")</f>
        <v/>
      </c>
      <c r="AA928" s="48"/>
      <c r="AB928" s="65" t="str">
        <f ca="1">IF(Tableau1[[#This Row],[Date rév.]]&lt;&gt;"", DAYS360(Tableau1[[#This Row],[Date rév.]],TODAY()),"")</f>
        <v/>
      </c>
      <c r="AC928" s="50" t="str">
        <f>IFERROR(INDEX(Chemin_accès!$B$11:$C$22,MATCH(Tableau1[[#This Row],[Type]],Chemin_accès!$C$11:$C$22,0),1),Chemin_accès!$B$11)</f>
        <v>\\stjn.local\trimet\Btechnique\Commun\Atelier Central mécanique\Plan entretien\Modèles préventif\GammeDMS_7.MENG.xlsm</v>
      </c>
      <c r="AD928" s="50" t="str">
        <f>Chemin_accès!$B$8&amp;Tableau1[[#This Row],[Localisation / Classement]]&amp;"\"&amp;Tableau1[[#This Row],[Poste technique ou N° d''équipement]]&amp;"_"&amp;Tableau1[[#This Row],[Plan Entretien]]&amp;".xlsm"</f>
        <v>\\stjn.local\trimet\Btechnique\Commun\Atelier Central mécanique\Plan entretien\GammeEntretien\\_.xlsm</v>
      </c>
    </row>
    <row r="929" spans="1:30" x14ac:dyDescent="0.3">
      <c r="A929" s="44" t="str">
        <f t="shared" ca="1" si="14"/>
        <v>7.MENG</v>
      </c>
      <c r="B92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29" s="47"/>
      <c r="D929" s="44"/>
      <c r="E929" s="44"/>
      <c r="F929" s="47"/>
      <c r="G929" s="47"/>
      <c r="H929" s="45"/>
      <c r="I929" s="45"/>
      <c r="J929" s="45"/>
      <c r="K929" s="45"/>
      <c r="L929" s="46"/>
      <c r="M929" s="47"/>
      <c r="N929" s="47"/>
      <c r="O929" s="47"/>
      <c r="P929" s="47"/>
      <c r="Q929" s="47"/>
      <c r="R929" s="47"/>
      <c r="S929" s="48"/>
      <c r="T929" s="68" t="str">
        <f>IF(Tableau1[[#This Row],[DMS_SAP]]="","",HYPERLINK(Tableau1[[#This Row],[Chemin fichier source]],"X"))</f>
        <v/>
      </c>
      <c r="U929" s="68" t="str">
        <f>IF(Tableau1[[#This Row],[Date rév.]]="","",HYPERLINK(Tableau1[[#This Row],[Lien document]],"X"))</f>
        <v/>
      </c>
      <c r="V929" s="47"/>
      <c r="W92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29" s="47"/>
      <c r="Y929" s="47"/>
      <c r="Z929" s="44" t="str">
        <f ca="1">IF(AND(Tableau1[[#This Row],[Charge]]&lt;&gt;0, Tableau1[[#This Row],[Nombre intervenants]]&lt;&gt;0,Tableau1[[#This Row],[Lien document]]&lt;&gt;0,Tableau1[[#This Row],[DMS_SAP]]&lt;&gt;0)=TRUE,"MIS A JOUR","")</f>
        <v/>
      </c>
      <c r="AA929" s="48"/>
      <c r="AB929" s="65" t="str">
        <f ca="1">IF(Tableau1[[#This Row],[Date rév.]]&lt;&gt;"", DAYS360(Tableau1[[#This Row],[Date rév.]],TODAY()),"")</f>
        <v/>
      </c>
      <c r="AC929" s="50" t="str">
        <f>IFERROR(INDEX(Chemin_accès!$B$11:$C$22,MATCH(Tableau1[[#This Row],[Type]],Chemin_accès!$C$11:$C$22,0),1),Chemin_accès!$B$11)</f>
        <v>\\stjn.local\trimet\Btechnique\Commun\Atelier Central mécanique\Plan entretien\Modèles préventif\GammeDMS_7.MENG.xlsm</v>
      </c>
      <c r="AD929" s="50" t="str">
        <f>Chemin_accès!$B$8&amp;Tableau1[[#This Row],[Localisation / Classement]]&amp;"\"&amp;Tableau1[[#This Row],[Poste technique ou N° d''équipement]]&amp;"_"&amp;Tableau1[[#This Row],[Plan Entretien]]&amp;".xlsm"</f>
        <v>\\stjn.local\trimet\Btechnique\Commun\Atelier Central mécanique\Plan entretien\GammeEntretien\\_.xlsm</v>
      </c>
    </row>
    <row r="930" spans="1:30" x14ac:dyDescent="0.3">
      <c r="A930" s="44" t="str">
        <f t="shared" ca="1" si="14"/>
        <v>7.MENG</v>
      </c>
      <c r="B93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30" s="47"/>
      <c r="D930" s="44"/>
      <c r="E930" s="44"/>
      <c r="F930" s="47"/>
      <c r="G930" s="47"/>
      <c r="H930" s="45"/>
      <c r="I930" s="45"/>
      <c r="J930" s="45"/>
      <c r="K930" s="45"/>
      <c r="L930" s="46"/>
      <c r="M930" s="47"/>
      <c r="N930" s="47"/>
      <c r="O930" s="47"/>
      <c r="P930" s="47"/>
      <c r="Q930" s="47"/>
      <c r="R930" s="47"/>
      <c r="S930" s="48"/>
      <c r="T930" s="68" t="str">
        <f>IF(Tableau1[[#This Row],[DMS_SAP]]="","",HYPERLINK(Tableau1[[#This Row],[Chemin fichier source]],"X"))</f>
        <v/>
      </c>
      <c r="U930" s="68" t="str">
        <f>IF(Tableau1[[#This Row],[Date rév.]]="","",HYPERLINK(Tableau1[[#This Row],[Lien document]],"X"))</f>
        <v/>
      </c>
      <c r="V930" s="47"/>
      <c r="W93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30" s="47"/>
      <c r="Y930" s="47"/>
      <c r="Z930" s="44" t="str">
        <f ca="1">IF(AND(Tableau1[[#This Row],[Charge]]&lt;&gt;0, Tableau1[[#This Row],[Nombre intervenants]]&lt;&gt;0,Tableau1[[#This Row],[Lien document]]&lt;&gt;0,Tableau1[[#This Row],[DMS_SAP]]&lt;&gt;0)=TRUE,"MIS A JOUR","")</f>
        <v/>
      </c>
      <c r="AA930" s="48"/>
      <c r="AB930" s="65" t="str">
        <f ca="1">IF(Tableau1[[#This Row],[Date rév.]]&lt;&gt;"", DAYS360(Tableau1[[#This Row],[Date rév.]],TODAY()),"")</f>
        <v/>
      </c>
      <c r="AC930" s="50" t="str">
        <f>IFERROR(INDEX(Chemin_accès!$B$11:$C$22,MATCH(Tableau1[[#This Row],[Type]],Chemin_accès!$C$11:$C$22,0),1),Chemin_accès!$B$11)</f>
        <v>\\stjn.local\trimet\Btechnique\Commun\Atelier Central mécanique\Plan entretien\Modèles préventif\GammeDMS_7.MENG.xlsm</v>
      </c>
      <c r="AD930" s="50" t="str">
        <f>Chemin_accès!$B$8&amp;Tableau1[[#This Row],[Localisation / Classement]]&amp;"\"&amp;Tableau1[[#This Row],[Poste technique ou N° d''équipement]]&amp;"_"&amp;Tableau1[[#This Row],[Plan Entretien]]&amp;".xlsm"</f>
        <v>\\stjn.local\trimet\Btechnique\Commun\Atelier Central mécanique\Plan entretien\GammeEntretien\\_.xlsm</v>
      </c>
    </row>
    <row r="931" spans="1:30" x14ac:dyDescent="0.3">
      <c r="A931" s="44" t="str">
        <f t="shared" ca="1" si="14"/>
        <v>7.MENG</v>
      </c>
      <c r="B93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31" s="47"/>
      <c r="D931" s="44"/>
      <c r="E931" s="44"/>
      <c r="F931" s="47"/>
      <c r="G931" s="47"/>
      <c r="H931" s="45"/>
      <c r="I931" s="45"/>
      <c r="J931" s="45"/>
      <c r="K931" s="45"/>
      <c r="L931" s="46"/>
      <c r="M931" s="47"/>
      <c r="N931" s="47"/>
      <c r="O931" s="47"/>
      <c r="P931" s="47"/>
      <c r="Q931" s="47"/>
      <c r="R931" s="47"/>
      <c r="S931" s="48"/>
      <c r="T931" s="68" t="str">
        <f>IF(Tableau1[[#This Row],[DMS_SAP]]="","",HYPERLINK(Tableau1[[#This Row],[Chemin fichier source]],"X"))</f>
        <v/>
      </c>
      <c r="U931" s="68" t="str">
        <f>IF(Tableau1[[#This Row],[Date rév.]]="","",HYPERLINK(Tableau1[[#This Row],[Lien document]],"X"))</f>
        <v/>
      </c>
      <c r="V931" s="47"/>
      <c r="W93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31" s="47"/>
      <c r="Y931" s="47"/>
      <c r="Z931" s="44" t="str">
        <f ca="1">IF(AND(Tableau1[[#This Row],[Charge]]&lt;&gt;0, Tableau1[[#This Row],[Nombre intervenants]]&lt;&gt;0,Tableau1[[#This Row],[Lien document]]&lt;&gt;0,Tableau1[[#This Row],[DMS_SAP]]&lt;&gt;0)=TRUE,"MIS A JOUR","")</f>
        <v/>
      </c>
      <c r="AA931" s="48"/>
      <c r="AB931" s="65" t="str">
        <f ca="1">IF(Tableau1[[#This Row],[Date rév.]]&lt;&gt;"", DAYS360(Tableau1[[#This Row],[Date rév.]],TODAY()),"")</f>
        <v/>
      </c>
      <c r="AC931" s="50" t="str">
        <f>IFERROR(INDEX(Chemin_accès!$B$11:$C$22,MATCH(Tableau1[[#This Row],[Type]],Chemin_accès!$C$11:$C$22,0),1),Chemin_accès!$B$11)</f>
        <v>\\stjn.local\trimet\Btechnique\Commun\Atelier Central mécanique\Plan entretien\Modèles préventif\GammeDMS_7.MENG.xlsm</v>
      </c>
      <c r="AD931" s="50" t="str">
        <f>Chemin_accès!$B$8&amp;Tableau1[[#This Row],[Localisation / Classement]]&amp;"\"&amp;Tableau1[[#This Row],[Poste technique ou N° d''équipement]]&amp;"_"&amp;Tableau1[[#This Row],[Plan Entretien]]&amp;".xlsm"</f>
        <v>\\stjn.local\trimet\Btechnique\Commun\Atelier Central mécanique\Plan entretien\GammeEntretien\\_.xlsm</v>
      </c>
    </row>
    <row r="932" spans="1:30" x14ac:dyDescent="0.3">
      <c r="A932" s="44" t="str">
        <f t="shared" ca="1" si="14"/>
        <v>7.MENG</v>
      </c>
      <c r="B93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32" s="47"/>
      <c r="D932" s="44"/>
      <c r="E932" s="44"/>
      <c r="F932" s="47"/>
      <c r="G932" s="47"/>
      <c r="H932" s="45"/>
      <c r="I932" s="45"/>
      <c r="J932" s="45"/>
      <c r="K932" s="45"/>
      <c r="L932" s="46"/>
      <c r="M932" s="47"/>
      <c r="N932" s="47"/>
      <c r="O932" s="47"/>
      <c r="P932" s="47"/>
      <c r="Q932" s="47"/>
      <c r="R932" s="47"/>
      <c r="S932" s="48"/>
      <c r="T932" s="68" t="str">
        <f>IF(Tableau1[[#This Row],[DMS_SAP]]="","",HYPERLINK(Tableau1[[#This Row],[Chemin fichier source]],"X"))</f>
        <v/>
      </c>
      <c r="U932" s="68" t="str">
        <f>IF(Tableau1[[#This Row],[Date rév.]]="","",HYPERLINK(Tableau1[[#This Row],[Lien document]],"X"))</f>
        <v/>
      </c>
      <c r="V932" s="47"/>
      <c r="W93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32" s="47"/>
      <c r="Y932" s="47"/>
      <c r="Z932" s="44" t="str">
        <f ca="1">IF(AND(Tableau1[[#This Row],[Charge]]&lt;&gt;0, Tableau1[[#This Row],[Nombre intervenants]]&lt;&gt;0,Tableau1[[#This Row],[Lien document]]&lt;&gt;0,Tableau1[[#This Row],[DMS_SAP]]&lt;&gt;0)=TRUE,"MIS A JOUR","")</f>
        <v/>
      </c>
      <c r="AA932" s="48"/>
      <c r="AB932" s="65" t="str">
        <f ca="1">IF(Tableau1[[#This Row],[Date rév.]]&lt;&gt;"", DAYS360(Tableau1[[#This Row],[Date rév.]],TODAY()),"")</f>
        <v/>
      </c>
      <c r="AC932" s="50" t="str">
        <f>IFERROR(INDEX(Chemin_accès!$B$11:$C$22,MATCH(Tableau1[[#This Row],[Type]],Chemin_accès!$C$11:$C$22,0),1),Chemin_accès!$B$11)</f>
        <v>\\stjn.local\trimet\Btechnique\Commun\Atelier Central mécanique\Plan entretien\Modèles préventif\GammeDMS_7.MENG.xlsm</v>
      </c>
      <c r="AD932" s="50" t="str">
        <f>Chemin_accès!$B$8&amp;Tableau1[[#This Row],[Localisation / Classement]]&amp;"\"&amp;Tableau1[[#This Row],[Poste technique ou N° d''équipement]]&amp;"_"&amp;Tableau1[[#This Row],[Plan Entretien]]&amp;".xlsm"</f>
        <v>\\stjn.local\trimet\Btechnique\Commun\Atelier Central mécanique\Plan entretien\GammeEntretien\\_.xlsm</v>
      </c>
    </row>
    <row r="933" spans="1:30" x14ac:dyDescent="0.3">
      <c r="A933" s="44" t="str">
        <f t="shared" ca="1" si="14"/>
        <v>7.MENG</v>
      </c>
      <c r="B93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33" s="47"/>
      <c r="D933" s="44"/>
      <c r="E933" s="44"/>
      <c r="F933" s="47"/>
      <c r="G933" s="47"/>
      <c r="H933" s="45"/>
      <c r="I933" s="45"/>
      <c r="J933" s="45"/>
      <c r="K933" s="45"/>
      <c r="L933" s="46"/>
      <c r="M933" s="47"/>
      <c r="N933" s="47"/>
      <c r="O933" s="47"/>
      <c r="P933" s="47"/>
      <c r="Q933" s="47"/>
      <c r="R933" s="47"/>
      <c r="S933" s="48"/>
      <c r="T933" s="68" t="str">
        <f>IF(Tableau1[[#This Row],[DMS_SAP]]="","",HYPERLINK(Tableau1[[#This Row],[Chemin fichier source]],"X"))</f>
        <v/>
      </c>
      <c r="U933" s="68" t="str">
        <f>IF(Tableau1[[#This Row],[Date rév.]]="","",HYPERLINK(Tableau1[[#This Row],[Lien document]],"X"))</f>
        <v/>
      </c>
      <c r="V933" s="47"/>
      <c r="W93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33" s="47"/>
      <c r="Y933" s="47"/>
      <c r="Z933" s="44" t="str">
        <f ca="1">IF(AND(Tableau1[[#This Row],[Charge]]&lt;&gt;0, Tableau1[[#This Row],[Nombre intervenants]]&lt;&gt;0,Tableau1[[#This Row],[Lien document]]&lt;&gt;0,Tableau1[[#This Row],[DMS_SAP]]&lt;&gt;0)=TRUE,"MIS A JOUR","")</f>
        <v/>
      </c>
      <c r="AA933" s="48"/>
      <c r="AB933" s="65" t="str">
        <f ca="1">IF(Tableau1[[#This Row],[Date rév.]]&lt;&gt;"", DAYS360(Tableau1[[#This Row],[Date rév.]],TODAY()),"")</f>
        <v/>
      </c>
      <c r="AC933" s="50" t="str">
        <f>IFERROR(INDEX(Chemin_accès!$B$11:$C$22,MATCH(Tableau1[[#This Row],[Type]],Chemin_accès!$C$11:$C$22,0),1),Chemin_accès!$B$11)</f>
        <v>\\stjn.local\trimet\Btechnique\Commun\Atelier Central mécanique\Plan entretien\Modèles préventif\GammeDMS_7.MENG.xlsm</v>
      </c>
      <c r="AD933" s="50" t="str">
        <f>Chemin_accès!$B$8&amp;Tableau1[[#This Row],[Localisation / Classement]]&amp;"\"&amp;Tableau1[[#This Row],[Poste technique ou N° d''équipement]]&amp;"_"&amp;Tableau1[[#This Row],[Plan Entretien]]&amp;".xlsm"</f>
        <v>\\stjn.local\trimet\Btechnique\Commun\Atelier Central mécanique\Plan entretien\GammeEntretien\\_.xlsm</v>
      </c>
    </row>
    <row r="934" spans="1:30" x14ac:dyDescent="0.3">
      <c r="A934" s="44" t="str">
        <f t="shared" ca="1" si="14"/>
        <v>7.MENG</v>
      </c>
      <c r="B93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34" s="47"/>
      <c r="D934" s="44"/>
      <c r="E934" s="44"/>
      <c r="F934" s="47"/>
      <c r="G934" s="47"/>
      <c r="H934" s="45"/>
      <c r="I934" s="45"/>
      <c r="J934" s="45"/>
      <c r="K934" s="45"/>
      <c r="L934" s="46"/>
      <c r="M934" s="47"/>
      <c r="N934" s="47"/>
      <c r="O934" s="47"/>
      <c r="P934" s="47"/>
      <c r="Q934" s="47"/>
      <c r="R934" s="47"/>
      <c r="S934" s="48"/>
      <c r="T934" s="68" t="str">
        <f>IF(Tableau1[[#This Row],[DMS_SAP]]="","",HYPERLINK(Tableau1[[#This Row],[Chemin fichier source]],"X"))</f>
        <v/>
      </c>
      <c r="U934" s="68" t="str">
        <f>IF(Tableau1[[#This Row],[Date rév.]]="","",HYPERLINK(Tableau1[[#This Row],[Lien document]],"X"))</f>
        <v/>
      </c>
      <c r="V934" s="47"/>
      <c r="W93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34" s="47"/>
      <c r="Y934" s="47"/>
      <c r="Z934" s="44" t="str">
        <f ca="1">IF(AND(Tableau1[[#This Row],[Charge]]&lt;&gt;0, Tableau1[[#This Row],[Nombre intervenants]]&lt;&gt;0,Tableau1[[#This Row],[Lien document]]&lt;&gt;0,Tableau1[[#This Row],[DMS_SAP]]&lt;&gt;0)=TRUE,"MIS A JOUR","")</f>
        <v/>
      </c>
      <c r="AA934" s="48"/>
      <c r="AB934" s="65" t="str">
        <f ca="1">IF(Tableau1[[#This Row],[Date rév.]]&lt;&gt;"", DAYS360(Tableau1[[#This Row],[Date rév.]],TODAY()),"")</f>
        <v/>
      </c>
      <c r="AC934" s="50" t="str">
        <f>IFERROR(INDEX(Chemin_accès!$B$11:$C$22,MATCH(Tableau1[[#This Row],[Type]],Chemin_accès!$C$11:$C$22,0),1),Chemin_accès!$B$11)</f>
        <v>\\stjn.local\trimet\Btechnique\Commun\Atelier Central mécanique\Plan entretien\Modèles préventif\GammeDMS_7.MENG.xlsm</v>
      </c>
      <c r="AD934" s="50" t="str">
        <f>Chemin_accès!$B$8&amp;Tableau1[[#This Row],[Localisation / Classement]]&amp;"\"&amp;Tableau1[[#This Row],[Poste technique ou N° d''équipement]]&amp;"_"&amp;Tableau1[[#This Row],[Plan Entretien]]&amp;".xlsm"</f>
        <v>\\stjn.local\trimet\Btechnique\Commun\Atelier Central mécanique\Plan entretien\GammeEntretien\\_.xlsm</v>
      </c>
    </row>
    <row r="935" spans="1:30" x14ac:dyDescent="0.3">
      <c r="A935" s="44" t="str">
        <f t="shared" ca="1" si="14"/>
        <v>7.MENG</v>
      </c>
      <c r="B93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35" s="47"/>
      <c r="D935" s="44"/>
      <c r="E935" s="44"/>
      <c r="F935" s="47"/>
      <c r="G935" s="47"/>
      <c r="H935" s="45"/>
      <c r="I935" s="45"/>
      <c r="J935" s="45"/>
      <c r="K935" s="45"/>
      <c r="L935" s="46"/>
      <c r="M935" s="47"/>
      <c r="N935" s="47"/>
      <c r="O935" s="47"/>
      <c r="P935" s="47"/>
      <c r="Q935" s="47"/>
      <c r="R935" s="47"/>
      <c r="S935" s="48"/>
      <c r="T935" s="68" t="str">
        <f>IF(Tableau1[[#This Row],[DMS_SAP]]="","",HYPERLINK(Tableau1[[#This Row],[Chemin fichier source]],"X"))</f>
        <v/>
      </c>
      <c r="U935" s="68" t="str">
        <f>IF(Tableau1[[#This Row],[Date rév.]]="","",HYPERLINK(Tableau1[[#This Row],[Lien document]],"X"))</f>
        <v/>
      </c>
      <c r="V935" s="47"/>
      <c r="W93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35" s="47"/>
      <c r="Y935" s="47"/>
      <c r="Z935" s="44" t="str">
        <f ca="1">IF(AND(Tableau1[[#This Row],[Charge]]&lt;&gt;0, Tableau1[[#This Row],[Nombre intervenants]]&lt;&gt;0,Tableau1[[#This Row],[Lien document]]&lt;&gt;0,Tableau1[[#This Row],[DMS_SAP]]&lt;&gt;0)=TRUE,"MIS A JOUR","")</f>
        <v/>
      </c>
      <c r="AA935" s="48"/>
      <c r="AB935" s="65" t="str">
        <f ca="1">IF(Tableau1[[#This Row],[Date rév.]]&lt;&gt;"", DAYS360(Tableau1[[#This Row],[Date rév.]],TODAY()),"")</f>
        <v/>
      </c>
      <c r="AC935" s="50" t="str">
        <f>IFERROR(INDEX(Chemin_accès!$B$11:$C$22,MATCH(Tableau1[[#This Row],[Type]],Chemin_accès!$C$11:$C$22,0),1),Chemin_accès!$B$11)</f>
        <v>\\stjn.local\trimet\Btechnique\Commun\Atelier Central mécanique\Plan entretien\Modèles préventif\GammeDMS_7.MENG.xlsm</v>
      </c>
      <c r="AD935" s="50" t="str">
        <f>Chemin_accès!$B$8&amp;Tableau1[[#This Row],[Localisation / Classement]]&amp;"\"&amp;Tableau1[[#This Row],[Poste technique ou N° d''équipement]]&amp;"_"&amp;Tableau1[[#This Row],[Plan Entretien]]&amp;".xlsm"</f>
        <v>\\stjn.local\trimet\Btechnique\Commun\Atelier Central mécanique\Plan entretien\GammeEntretien\\_.xlsm</v>
      </c>
    </row>
    <row r="936" spans="1:30" x14ac:dyDescent="0.3">
      <c r="A936" s="44" t="str">
        <f t="shared" ca="1" si="14"/>
        <v>7.MENG</v>
      </c>
      <c r="B93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36" s="47"/>
      <c r="D936" s="44"/>
      <c r="E936" s="44"/>
      <c r="F936" s="47"/>
      <c r="G936" s="47"/>
      <c r="H936" s="45"/>
      <c r="I936" s="45"/>
      <c r="J936" s="45"/>
      <c r="K936" s="45"/>
      <c r="L936" s="46"/>
      <c r="M936" s="47"/>
      <c r="N936" s="47"/>
      <c r="O936" s="47"/>
      <c r="P936" s="47"/>
      <c r="Q936" s="47"/>
      <c r="R936" s="47"/>
      <c r="S936" s="48"/>
      <c r="T936" s="68" t="str">
        <f>IF(Tableau1[[#This Row],[DMS_SAP]]="","",HYPERLINK(Tableau1[[#This Row],[Chemin fichier source]],"X"))</f>
        <v/>
      </c>
      <c r="U936" s="68" t="str">
        <f>IF(Tableau1[[#This Row],[Date rév.]]="","",HYPERLINK(Tableau1[[#This Row],[Lien document]],"X"))</f>
        <v/>
      </c>
      <c r="V936" s="47"/>
      <c r="W93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36" s="47"/>
      <c r="Y936" s="47"/>
      <c r="Z936" s="44" t="str">
        <f ca="1">IF(AND(Tableau1[[#This Row],[Charge]]&lt;&gt;0, Tableau1[[#This Row],[Nombre intervenants]]&lt;&gt;0,Tableau1[[#This Row],[Lien document]]&lt;&gt;0,Tableau1[[#This Row],[DMS_SAP]]&lt;&gt;0)=TRUE,"MIS A JOUR","")</f>
        <v/>
      </c>
      <c r="AA936" s="48"/>
      <c r="AB936" s="65" t="str">
        <f ca="1">IF(Tableau1[[#This Row],[Date rév.]]&lt;&gt;"", DAYS360(Tableau1[[#This Row],[Date rév.]],TODAY()),"")</f>
        <v/>
      </c>
      <c r="AC936" s="50" t="str">
        <f>IFERROR(INDEX(Chemin_accès!$B$11:$C$22,MATCH(Tableau1[[#This Row],[Type]],Chemin_accès!$C$11:$C$22,0),1),Chemin_accès!$B$11)</f>
        <v>\\stjn.local\trimet\Btechnique\Commun\Atelier Central mécanique\Plan entretien\Modèles préventif\GammeDMS_7.MENG.xlsm</v>
      </c>
      <c r="AD936" s="50" t="str">
        <f>Chemin_accès!$B$8&amp;Tableau1[[#This Row],[Localisation / Classement]]&amp;"\"&amp;Tableau1[[#This Row],[Poste technique ou N° d''équipement]]&amp;"_"&amp;Tableau1[[#This Row],[Plan Entretien]]&amp;".xlsm"</f>
        <v>\\stjn.local\trimet\Btechnique\Commun\Atelier Central mécanique\Plan entretien\GammeEntretien\\_.xlsm</v>
      </c>
    </row>
    <row r="937" spans="1:30" x14ac:dyDescent="0.3">
      <c r="A937" s="44" t="str">
        <f t="shared" ca="1" si="14"/>
        <v>7.MENG</v>
      </c>
      <c r="B93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37" s="47"/>
      <c r="D937" s="44"/>
      <c r="E937" s="44"/>
      <c r="F937" s="47"/>
      <c r="G937" s="47"/>
      <c r="H937" s="45"/>
      <c r="I937" s="45"/>
      <c r="J937" s="45"/>
      <c r="K937" s="45"/>
      <c r="L937" s="46"/>
      <c r="M937" s="47"/>
      <c r="N937" s="47"/>
      <c r="O937" s="47"/>
      <c r="P937" s="47"/>
      <c r="Q937" s="47"/>
      <c r="R937" s="47"/>
      <c r="S937" s="48"/>
      <c r="T937" s="68" t="str">
        <f>IF(Tableau1[[#This Row],[DMS_SAP]]="","",HYPERLINK(Tableau1[[#This Row],[Chemin fichier source]],"X"))</f>
        <v/>
      </c>
      <c r="U937" s="68" t="str">
        <f>IF(Tableau1[[#This Row],[Date rév.]]="","",HYPERLINK(Tableau1[[#This Row],[Lien document]],"X"))</f>
        <v/>
      </c>
      <c r="V937" s="47"/>
      <c r="W93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37" s="47"/>
      <c r="Y937" s="47"/>
      <c r="Z937" s="44" t="str">
        <f ca="1">IF(AND(Tableau1[[#This Row],[Charge]]&lt;&gt;0, Tableau1[[#This Row],[Nombre intervenants]]&lt;&gt;0,Tableau1[[#This Row],[Lien document]]&lt;&gt;0,Tableau1[[#This Row],[DMS_SAP]]&lt;&gt;0)=TRUE,"MIS A JOUR","")</f>
        <v/>
      </c>
      <c r="AA937" s="48"/>
      <c r="AB937" s="65" t="str">
        <f ca="1">IF(Tableau1[[#This Row],[Date rév.]]&lt;&gt;"", DAYS360(Tableau1[[#This Row],[Date rév.]],TODAY()),"")</f>
        <v/>
      </c>
      <c r="AC937" s="50" t="str">
        <f>IFERROR(INDEX(Chemin_accès!$B$11:$C$22,MATCH(Tableau1[[#This Row],[Type]],Chemin_accès!$C$11:$C$22,0),1),Chemin_accès!$B$11)</f>
        <v>\\stjn.local\trimet\Btechnique\Commun\Atelier Central mécanique\Plan entretien\Modèles préventif\GammeDMS_7.MENG.xlsm</v>
      </c>
      <c r="AD937" s="50" t="str">
        <f>Chemin_accès!$B$8&amp;Tableau1[[#This Row],[Localisation / Classement]]&amp;"\"&amp;Tableau1[[#This Row],[Poste technique ou N° d''équipement]]&amp;"_"&amp;Tableau1[[#This Row],[Plan Entretien]]&amp;".xlsm"</f>
        <v>\\stjn.local\trimet\Btechnique\Commun\Atelier Central mécanique\Plan entretien\GammeEntretien\\_.xlsm</v>
      </c>
    </row>
    <row r="938" spans="1:30" x14ac:dyDescent="0.3">
      <c r="A938" s="44" t="str">
        <f t="shared" ca="1" si="14"/>
        <v>7.MENG</v>
      </c>
      <c r="B93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38" s="47"/>
      <c r="D938" s="44"/>
      <c r="E938" s="44"/>
      <c r="F938" s="47"/>
      <c r="G938" s="47"/>
      <c r="H938" s="45"/>
      <c r="I938" s="45"/>
      <c r="J938" s="45"/>
      <c r="K938" s="45"/>
      <c r="L938" s="46"/>
      <c r="M938" s="47"/>
      <c r="N938" s="47"/>
      <c r="O938" s="47"/>
      <c r="P938" s="47"/>
      <c r="Q938" s="47"/>
      <c r="R938" s="47"/>
      <c r="S938" s="48"/>
      <c r="T938" s="68" t="str">
        <f>IF(Tableau1[[#This Row],[DMS_SAP]]="","",HYPERLINK(Tableau1[[#This Row],[Chemin fichier source]],"X"))</f>
        <v/>
      </c>
      <c r="U938" s="68" t="str">
        <f>IF(Tableau1[[#This Row],[Date rév.]]="","",HYPERLINK(Tableau1[[#This Row],[Lien document]],"X"))</f>
        <v/>
      </c>
      <c r="V938" s="47"/>
      <c r="W93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38" s="47"/>
      <c r="Y938" s="47"/>
      <c r="Z938" s="44" t="str">
        <f ca="1">IF(AND(Tableau1[[#This Row],[Charge]]&lt;&gt;0, Tableau1[[#This Row],[Nombre intervenants]]&lt;&gt;0,Tableau1[[#This Row],[Lien document]]&lt;&gt;0,Tableau1[[#This Row],[DMS_SAP]]&lt;&gt;0)=TRUE,"MIS A JOUR","")</f>
        <v/>
      </c>
      <c r="AA938" s="48"/>
      <c r="AB938" s="65" t="str">
        <f ca="1">IF(Tableau1[[#This Row],[Date rév.]]&lt;&gt;"", DAYS360(Tableau1[[#This Row],[Date rév.]],TODAY()),"")</f>
        <v/>
      </c>
      <c r="AC938" s="50" t="str">
        <f>IFERROR(INDEX(Chemin_accès!$B$11:$C$22,MATCH(Tableau1[[#This Row],[Type]],Chemin_accès!$C$11:$C$22,0),1),Chemin_accès!$B$11)</f>
        <v>\\stjn.local\trimet\Btechnique\Commun\Atelier Central mécanique\Plan entretien\Modèles préventif\GammeDMS_7.MENG.xlsm</v>
      </c>
      <c r="AD938" s="50" t="str">
        <f>Chemin_accès!$B$8&amp;Tableau1[[#This Row],[Localisation / Classement]]&amp;"\"&amp;Tableau1[[#This Row],[Poste technique ou N° d''équipement]]&amp;"_"&amp;Tableau1[[#This Row],[Plan Entretien]]&amp;".xlsm"</f>
        <v>\\stjn.local\trimet\Btechnique\Commun\Atelier Central mécanique\Plan entretien\GammeEntretien\\_.xlsm</v>
      </c>
    </row>
    <row r="939" spans="1:30" x14ac:dyDescent="0.3">
      <c r="A939" s="44" t="str">
        <f t="shared" ca="1" si="14"/>
        <v>7.MENG</v>
      </c>
      <c r="B93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39" s="47"/>
      <c r="D939" s="44"/>
      <c r="E939" s="44"/>
      <c r="F939" s="47"/>
      <c r="G939" s="47"/>
      <c r="H939" s="45"/>
      <c r="I939" s="45"/>
      <c r="J939" s="45"/>
      <c r="K939" s="45"/>
      <c r="L939" s="46"/>
      <c r="M939" s="47"/>
      <c r="N939" s="47"/>
      <c r="O939" s="47"/>
      <c r="P939" s="47"/>
      <c r="Q939" s="47"/>
      <c r="R939" s="47"/>
      <c r="S939" s="48"/>
      <c r="T939" s="68" t="str">
        <f>IF(Tableau1[[#This Row],[DMS_SAP]]="","",HYPERLINK(Tableau1[[#This Row],[Chemin fichier source]],"X"))</f>
        <v/>
      </c>
      <c r="U939" s="68" t="str">
        <f>IF(Tableau1[[#This Row],[Date rév.]]="","",HYPERLINK(Tableau1[[#This Row],[Lien document]],"X"))</f>
        <v/>
      </c>
      <c r="V939" s="47"/>
      <c r="W93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39" s="47"/>
      <c r="Y939" s="47"/>
      <c r="Z939" s="44" t="str">
        <f ca="1">IF(AND(Tableau1[[#This Row],[Charge]]&lt;&gt;0, Tableau1[[#This Row],[Nombre intervenants]]&lt;&gt;0,Tableau1[[#This Row],[Lien document]]&lt;&gt;0,Tableau1[[#This Row],[DMS_SAP]]&lt;&gt;0)=TRUE,"MIS A JOUR","")</f>
        <v/>
      </c>
      <c r="AA939" s="48"/>
      <c r="AB939" s="65" t="str">
        <f ca="1">IF(Tableau1[[#This Row],[Date rév.]]&lt;&gt;"", DAYS360(Tableau1[[#This Row],[Date rév.]],TODAY()),"")</f>
        <v/>
      </c>
      <c r="AC939" s="50" t="str">
        <f>IFERROR(INDEX(Chemin_accès!$B$11:$C$22,MATCH(Tableau1[[#This Row],[Type]],Chemin_accès!$C$11:$C$22,0),1),Chemin_accès!$B$11)</f>
        <v>\\stjn.local\trimet\Btechnique\Commun\Atelier Central mécanique\Plan entretien\Modèles préventif\GammeDMS_7.MENG.xlsm</v>
      </c>
      <c r="AD939" s="50" t="str">
        <f>Chemin_accès!$B$8&amp;Tableau1[[#This Row],[Localisation / Classement]]&amp;"\"&amp;Tableau1[[#This Row],[Poste technique ou N° d''équipement]]&amp;"_"&amp;Tableau1[[#This Row],[Plan Entretien]]&amp;".xlsm"</f>
        <v>\\stjn.local\trimet\Btechnique\Commun\Atelier Central mécanique\Plan entretien\GammeEntretien\\_.xlsm</v>
      </c>
    </row>
    <row r="940" spans="1:30" x14ac:dyDescent="0.3">
      <c r="A940" s="44" t="str">
        <f t="shared" ca="1" si="14"/>
        <v>7.MENG</v>
      </c>
      <c r="B94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40" s="47"/>
      <c r="D940" s="44"/>
      <c r="E940" s="44"/>
      <c r="F940" s="47"/>
      <c r="G940" s="47"/>
      <c r="H940" s="45"/>
      <c r="I940" s="45"/>
      <c r="J940" s="45"/>
      <c r="K940" s="45"/>
      <c r="L940" s="46"/>
      <c r="M940" s="47"/>
      <c r="N940" s="47"/>
      <c r="O940" s="47"/>
      <c r="P940" s="47"/>
      <c r="Q940" s="47"/>
      <c r="R940" s="47"/>
      <c r="S940" s="48"/>
      <c r="T940" s="68" t="str">
        <f>IF(Tableau1[[#This Row],[DMS_SAP]]="","",HYPERLINK(Tableau1[[#This Row],[Chemin fichier source]],"X"))</f>
        <v/>
      </c>
      <c r="U940" s="68" t="str">
        <f>IF(Tableau1[[#This Row],[Date rév.]]="","",HYPERLINK(Tableau1[[#This Row],[Lien document]],"X"))</f>
        <v/>
      </c>
      <c r="V940" s="47"/>
      <c r="W94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40" s="47"/>
      <c r="Y940" s="47"/>
      <c r="Z940" s="44" t="str">
        <f ca="1">IF(AND(Tableau1[[#This Row],[Charge]]&lt;&gt;0, Tableau1[[#This Row],[Nombre intervenants]]&lt;&gt;0,Tableau1[[#This Row],[Lien document]]&lt;&gt;0,Tableau1[[#This Row],[DMS_SAP]]&lt;&gt;0)=TRUE,"MIS A JOUR","")</f>
        <v/>
      </c>
      <c r="AA940" s="48"/>
      <c r="AB940" s="65" t="str">
        <f ca="1">IF(Tableau1[[#This Row],[Date rév.]]&lt;&gt;"", DAYS360(Tableau1[[#This Row],[Date rév.]],TODAY()),"")</f>
        <v/>
      </c>
      <c r="AC940" s="50" t="str">
        <f>IFERROR(INDEX(Chemin_accès!$B$11:$C$22,MATCH(Tableau1[[#This Row],[Type]],Chemin_accès!$C$11:$C$22,0),1),Chemin_accès!$B$11)</f>
        <v>\\stjn.local\trimet\Btechnique\Commun\Atelier Central mécanique\Plan entretien\Modèles préventif\GammeDMS_7.MENG.xlsm</v>
      </c>
      <c r="AD940" s="50" t="str">
        <f>Chemin_accès!$B$8&amp;Tableau1[[#This Row],[Localisation / Classement]]&amp;"\"&amp;Tableau1[[#This Row],[Poste technique ou N° d''équipement]]&amp;"_"&amp;Tableau1[[#This Row],[Plan Entretien]]&amp;".xlsm"</f>
        <v>\\stjn.local\trimet\Btechnique\Commun\Atelier Central mécanique\Plan entretien\GammeEntretien\\_.xlsm</v>
      </c>
    </row>
    <row r="941" spans="1:30" x14ac:dyDescent="0.3">
      <c r="A941" s="44" t="str">
        <f t="shared" ca="1" si="14"/>
        <v>7.MENG</v>
      </c>
      <c r="B94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41" s="47"/>
      <c r="D941" s="44"/>
      <c r="E941" s="44"/>
      <c r="F941" s="47"/>
      <c r="G941" s="47"/>
      <c r="H941" s="45"/>
      <c r="I941" s="45"/>
      <c r="J941" s="45"/>
      <c r="K941" s="45"/>
      <c r="L941" s="46"/>
      <c r="M941" s="47"/>
      <c r="N941" s="47"/>
      <c r="O941" s="47"/>
      <c r="P941" s="47"/>
      <c r="Q941" s="47"/>
      <c r="R941" s="47"/>
      <c r="S941" s="48"/>
      <c r="T941" s="68" t="str">
        <f>IF(Tableau1[[#This Row],[DMS_SAP]]="","",HYPERLINK(Tableau1[[#This Row],[Chemin fichier source]],"X"))</f>
        <v/>
      </c>
      <c r="U941" s="68" t="str">
        <f>IF(Tableau1[[#This Row],[Date rév.]]="","",HYPERLINK(Tableau1[[#This Row],[Lien document]],"X"))</f>
        <v/>
      </c>
      <c r="V941" s="47"/>
      <c r="W94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41" s="47"/>
      <c r="Y941" s="47"/>
      <c r="Z941" s="44" t="str">
        <f ca="1">IF(AND(Tableau1[[#This Row],[Charge]]&lt;&gt;0, Tableau1[[#This Row],[Nombre intervenants]]&lt;&gt;0,Tableau1[[#This Row],[Lien document]]&lt;&gt;0,Tableau1[[#This Row],[DMS_SAP]]&lt;&gt;0)=TRUE,"MIS A JOUR","")</f>
        <v/>
      </c>
      <c r="AA941" s="48"/>
      <c r="AB941" s="65" t="str">
        <f ca="1">IF(Tableau1[[#This Row],[Date rév.]]&lt;&gt;"", DAYS360(Tableau1[[#This Row],[Date rév.]],TODAY()),"")</f>
        <v/>
      </c>
      <c r="AC941" s="50" t="str">
        <f>IFERROR(INDEX(Chemin_accès!$B$11:$C$22,MATCH(Tableau1[[#This Row],[Type]],Chemin_accès!$C$11:$C$22,0),1),Chemin_accès!$B$11)</f>
        <v>\\stjn.local\trimet\Btechnique\Commun\Atelier Central mécanique\Plan entretien\Modèles préventif\GammeDMS_7.MENG.xlsm</v>
      </c>
      <c r="AD941" s="50" t="str">
        <f>Chemin_accès!$B$8&amp;Tableau1[[#This Row],[Localisation / Classement]]&amp;"\"&amp;Tableau1[[#This Row],[Poste technique ou N° d''équipement]]&amp;"_"&amp;Tableau1[[#This Row],[Plan Entretien]]&amp;".xlsm"</f>
        <v>\\stjn.local\trimet\Btechnique\Commun\Atelier Central mécanique\Plan entretien\GammeEntretien\\_.xlsm</v>
      </c>
    </row>
    <row r="942" spans="1:30" x14ac:dyDescent="0.3">
      <c r="A942" s="44" t="str">
        <f t="shared" ca="1" si="14"/>
        <v>7.MENG</v>
      </c>
      <c r="B94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42" s="47"/>
      <c r="D942" s="44"/>
      <c r="E942" s="44"/>
      <c r="F942" s="47"/>
      <c r="G942" s="47"/>
      <c r="H942" s="45"/>
      <c r="I942" s="45"/>
      <c r="J942" s="45"/>
      <c r="K942" s="45"/>
      <c r="L942" s="46"/>
      <c r="M942" s="47"/>
      <c r="N942" s="47"/>
      <c r="O942" s="47"/>
      <c r="P942" s="47"/>
      <c r="Q942" s="47"/>
      <c r="R942" s="47"/>
      <c r="S942" s="48"/>
      <c r="T942" s="68" t="str">
        <f>IF(Tableau1[[#This Row],[DMS_SAP]]="","",HYPERLINK(Tableau1[[#This Row],[Chemin fichier source]],"X"))</f>
        <v/>
      </c>
      <c r="U942" s="68" t="str">
        <f>IF(Tableau1[[#This Row],[Date rév.]]="","",HYPERLINK(Tableau1[[#This Row],[Lien document]],"X"))</f>
        <v/>
      </c>
      <c r="V942" s="47"/>
      <c r="W94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42" s="47"/>
      <c r="Y942" s="47"/>
      <c r="Z942" s="44" t="str">
        <f ca="1">IF(AND(Tableau1[[#This Row],[Charge]]&lt;&gt;0, Tableau1[[#This Row],[Nombre intervenants]]&lt;&gt;0,Tableau1[[#This Row],[Lien document]]&lt;&gt;0,Tableau1[[#This Row],[DMS_SAP]]&lt;&gt;0)=TRUE,"MIS A JOUR","")</f>
        <v/>
      </c>
      <c r="AA942" s="48"/>
      <c r="AB942" s="65" t="str">
        <f ca="1">IF(Tableau1[[#This Row],[Date rév.]]&lt;&gt;"", DAYS360(Tableau1[[#This Row],[Date rév.]],TODAY()),"")</f>
        <v/>
      </c>
      <c r="AC942" s="50" t="str">
        <f>IFERROR(INDEX(Chemin_accès!$B$11:$C$22,MATCH(Tableau1[[#This Row],[Type]],Chemin_accès!$C$11:$C$22,0),1),Chemin_accès!$B$11)</f>
        <v>\\stjn.local\trimet\Btechnique\Commun\Atelier Central mécanique\Plan entretien\Modèles préventif\GammeDMS_7.MENG.xlsm</v>
      </c>
      <c r="AD942" s="50" t="str">
        <f>Chemin_accès!$B$8&amp;Tableau1[[#This Row],[Localisation / Classement]]&amp;"\"&amp;Tableau1[[#This Row],[Poste technique ou N° d''équipement]]&amp;"_"&amp;Tableau1[[#This Row],[Plan Entretien]]&amp;".xlsm"</f>
        <v>\\stjn.local\trimet\Btechnique\Commun\Atelier Central mécanique\Plan entretien\GammeEntretien\\_.xlsm</v>
      </c>
    </row>
    <row r="943" spans="1:30" x14ac:dyDescent="0.3">
      <c r="A943" s="44" t="str">
        <f t="shared" ca="1" si="14"/>
        <v>7.MENG</v>
      </c>
      <c r="B94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43" s="47"/>
      <c r="D943" s="44"/>
      <c r="E943" s="44"/>
      <c r="F943" s="47"/>
      <c r="G943" s="47"/>
      <c r="H943" s="45"/>
      <c r="I943" s="45"/>
      <c r="J943" s="45"/>
      <c r="K943" s="45"/>
      <c r="L943" s="46"/>
      <c r="M943" s="47"/>
      <c r="N943" s="47"/>
      <c r="O943" s="47"/>
      <c r="P943" s="47"/>
      <c r="Q943" s="47"/>
      <c r="R943" s="47"/>
      <c r="S943" s="48"/>
      <c r="T943" s="68" t="str">
        <f>IF(Tableau1[[#This Row],[DMS_SAP]]="","",HYPERLINK(Tableau1[[#This Row],[Chemin fichier source]],"X"))</f>
        <v/>
      </c>
      <c r="U943" s="68" t="str">
        <f>IF(Tableau1[[#This Row],[Date rév.]]="","",HYPERLINK(Tableau1[[#This Row],[Lien document]],"X"))</f>
        <v/>
      </c>
      <c r="V943" s="47"/>
      <c r="W94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43" s="47"/>
      <c r="Y943" s="47"/>
      <c r="Z943" s="44" t="str">
        <f ca="1">IF(AND(Tableau1[[#This Row],[Charge]]&lt;&gt;0, Tableau1[[#This Row],[Nombre intervenants]]&lt;&gt;0,Tableau1[[#This Row],[Lien document]]&lt;&gt;0,Tableau1[[#This Row],[DMS_SAP]]&lt;&gt;0)=TRUE,"MIS A JOUR","")</f>
        <v/>
      </c>
      <c r="AA943" s="48"/>
      <c r="AB943" s="65" t="str">
        <f ca="1">IF(Tableau1[[#This Row],[Date rév.]]&lt;&gt;"", DAYS360(Tableau1[[#This Row],[Date rév.]],TODAY()),"")</f>
        <v/>
      </c>
      <c r="AC943" s="50" t="str">
        <f>IFERROR(INDEX(Chemin_accès!$B$11:$C$22,MATCH(Tableau1[[#This Row],[Type]],Chemin_accès!$C$11:$C$22,0),1),Chemin_accès!$B$11)</f>
        <v>\\stjn.local\trimet\Btechnique\Commun\Atelier Central mécanique\Plan entretien\Modèles préventif\GammeDMS_7.MENG.xlsm</v>
      </c>
      <c r="AD943" s="50" t="str">
        <f>Chemin_accès!$B$8&amp;Tableau1[[#This Row],[Localisation / Classement]]&amp;"\"&amp;Tableau1[[#This Row],[Poste technique ou N° d''équipement]]&amp;"_"&amp;Tableau1[[#This Row],[Plan Entretien]]&amp;".xlsm"</f>
        <v>\\stjn.local\trimet\Btechnique\Commun\Atelier Central mécanique\Plan entretien\GammeEntretien\\_.xlsm</v>
      </c>
    </row>
    <row r="944" spans="1:30" x14ac:dyDescent="0.3">
      <c r="A944" s="44" t="str">
        <f t="shared" ca="1" si="14"/>
        <v>7.MENG</v>
      </c>
      <c r="B94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44" s="47"/>
      <c r="D944" s="44"/>
      <c r="E944" s="44"/>
      <c r="F944" s="47"/>
      <c r="G944" s="47"/>
      <c r="H944" s="45"/>
      <c r="I944" s="45"/>
      <c r="J944" s="45"/>
      <c r="K944" s="45"/>
      <c r="L944" s="46"/>
      <c r="M944" s="47"/>
      <c r="N944" s="47"/>
      <c r="O944" s="47"/>
      <c r="P944" s="47"/>
      <c r="Q944" s="47"/>
      <c r="R944" s="47"/>
      <c r="S944" s="48"/>
      <c r="T944" s="68" t="str">
        <f>IF(Tableau1[[#This Row],[DMS_SAP]]="","",HYPERLINK(Tableau1[[#This Row],[Chemin fichier source]],"X"))</f>
        <v/>
      </c>
      <c r="U944" s="68" t="str">
        <f>IF(Tableau1[[#This Row],[Date rév.]]="","",HYPERLINK(Tableau1[[#This Row],[Lien document]],"X"))</f>
        <v/>
      </c>
      <c r="V944" s="47"/>
      <c r="W94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44" s="47"/>
      <c r="Y944" s="47"/>
      <c r="Z944" s="44" t="str">
        <f ca="1">IF(AND(Tableau1[[#This Row],[Charge]]&lt;&gt;0, Tableau1[[#This Row],[Nombre intervenants]]&lt;&gt;0,Tableau1[[#This Row],[Lien document]]&lt;&gt;0,Tableau1[[#This Row],[DMS_SAP]]&lt;&gt;0)=TRUE,"MIS A JOUR","")</f>
        <v/>
      </c>
      <c r="AA944" s="48"/>
      <c r="AB944" s="65" t="str">
        <f ca="1">IF(Tableau1[[#This Row],[Date rév.]]&lt;&gt;"", DAYS360(Tableau1[[#This Row],[Date rév.]],TODAY()),"")</f>
        <v/>
      </c>
      <c r="AC944" s="50" t="str">
        <f>IFERROR(INDEX(Chemin_accès!$B$11:$C$22,MATCH(Tableau1[[#This Row],[Type]],Chemin_accès!$C$11:$C$22,0),1),Chemin_accès!$B$11)</f>
        <v>\\stjn.local\trimet\Btechnique\Commun\Atelier Central mécanique\Plan entretien\Modèles préventif\GammeDMS_7.MENG.xlsm</v>
      </c>
      <c r="AD944" s="50" t="str">
        <f>Chemin_accès!$B$8&amp;Tableau1[[#This Row],[Localisation / Classement]]&amp;"\"&amp;Tableau1[[#This Row],[Poste technique ou N° d''équipement]]&amp;"_"&amp;Tableau1[[#This Row],[Plan Entretien]]&amp;".xlsm"</f>
        <v>\\stjn.local\trimet\Btechnique\Commun\Atelier Central mécanique\Plan entretien\GammeEntretien\\_.xlsm</v>
      </c>
    </row>
    <row r="945" spans="1:30" x14ac:dyDescent="0.3">
      <c r="A945" s="44" t="str">
        <f t="shared" ca="1" si="14"/>
        <v>7.MENG</v>
      </c>
      <c r="B94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45" s="47"/>
      <c r="D945" s="44"/>
      <c r="E945" s="44"/>
      <c r="F945" s="47"/>
      <c r="G945" s="47"/>
      <c r="H945" s="45"/>
      <c r="I945" s="45"/>
      <c r="J945" s="45"/>
      <c r="K945" s="45"/>
      <c r="L945" s="46"/>
      <c r="M945" s="47"/>
      <c r="N945" s="47"/>
      <c r="O945" s="47"/>
      <c r="P945" s="47"/>
      <c r="Q945" s="47"/>
      <c r="R945" s="47"/>
      <c r="S945" s="48"/>
      <c r="T945" s="68" t="str">
        <f>IF(Tableau1[[#This Row],[DMS_SAP]]="","",HYPERLINK(Tableau1[[#This Row],[Chemin fichier source]],"X"))</f>
        <v/>
      </c>
      <c r="U945" s="68" t="str">
        <f>IF(Tableau1[[#This Row],[Date rév.]]="","",HYPERLINK(Tableau1[[#This Row],[Lien document]],"X"))</f>
        <v/>
      </c>
      <c r="V945" s="47"/>
      <c r="W94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45" s="47"/>
      <c r="Y945" s="47"/>
      <c r="Z945" s="44" t="str">
        <f ca="1">IF(AND(Tableau1[[#This Row],[Charge]]&lt;&gt;0, Tableau1[[#This Row],[Nombre intervenants]]&lt;&gt;0,Tableau1[[#This Row],[Lien document]]&lt;&gt;0,Tableau1[[#This Row],[DMS_SAP]]&lt;&gt;0)=TRUE,"MIS A JOUR","")</f>
        <v/>
      </c>
      <c r="AA945" s="48"/>
      <c r="AB945" s="65" t="str">
        <f ca="1">IF(Tableau1[[#This Row],[Date rév.]]&lt;&gt;"", DAYS360(Tableau1[[#This Row],[Date rév.]],TODAY()),"")</f>
        <v/>
      </c>
      <c r="AC945" s="50" t="str">
        <f>IFERROR(INDEX(Chemin_accès!$B$11:$C$22,MATCH(Tableau1[[#This Row],[Type]],Chemin_accès!$C$11:$C$22,0),1),Chemin_accès!$B$11)</f>
        <v>\\stjn.local\trimet\Btechnique\Commun\Atelier Central mécanique\Plan entretien\Modèles préventif\GammeDMS_7.MENG.xlsm</v>
      </c>
      <c r="AD945" s="50" t="str">
        <f>Chemin_accès!$B$8&amp;Tableau1[[#This Row],[Localisation / Classement]]&amp;"\"&amp;Tableau1[[#This Row],[Poste technique ou N° d''équipement]]&amp;"_"&amp;Tableau1[[#This Row],[Plan Entretien]]&amp;".xlsm"</f>
        <v>\\stjn.local\trimet\Btechnique\Commun\Atelier Central mécanique\Plan entretien\GammeEntretien\\_.xlsm</v>
      </c>
    </row>
    <row r="946" spans="1:30" x14ac:dyDescent="0.3">
      <c r="A946" s="44" t="str">
        <f t="shared" ca="1" si="14"/>
        <v>7.MENG</v>
      </c>
      <c r="B94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46" s="47"/>
      <c r="D946" s="44"/>
      <c r="E946" s="44"/>
      <c r="F946" s="47"/>
      <c r="G946" s="47"/>
      <c r="H946" s="45"/>
      <c r="I946" s="45"/>
      <c r="J946" s="45"/>
      <c r="K946" s="45"/>
      <c r="L946" s="46"/>
      <c r="M946" s="47"/>
      <c r="N946" s="47"/>
      <c r="O946" s="47"/>
      <c r="P946" s="47"/>
      <c r="Q946" s="47"/>
      <c r="R946" s="47"/>
      <c r="S946" s="48"/>
      <c r="T946" s="68" t="str">
        <f>IF(Tableau1[[#This Row],[DMS_SAP]]="","",HYPERLINK(Tableau1[[#This Row],[Chemin fichier source]],"X"))</f>
        <v/>
      </c>
      <c r="U946" s="68" t="str">
        <f>IF(Tableau1[[#This Row],[Date rév.]]="","",HYPERLINK(Tableau1[[#This Row],[Lien document]],"X"))</f>
        <v/>
      </c>
      <c r="V946" s="47"/>
      <c r="W94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46" s="47"/>
      <c r="Y946" s="47"/>
      <c r="Z946" s="44" t="str">
        <f ca="1">IF(AND(Tableau1[[#This Row],[Charge]]&lt;&gt;0, Tableau1[[#This Row],[Nombre intervenants]]&lt;&gt;0,Tableau1[[#This Row],[Lien document]]&lt;&gt;0,Tableau1[[#This Row],[DMS_SAP]]&lt;&gt;0)=TRUE,"MIS A JOUR","")</f>
        <v/>
      </c>
      <c r="AA946" s="48"/>
      <c r="AB946" s="65" t="str">
        <f ca="1">IF(Tableau1[[#This Row],[Date rév.]]&lt;&gt;"", DAYS360(Tableau1[[#This Row],[Date rév.]],TODAY()),"")</f>
        <v/>
      </c>
      <c r="AC946" s="50" t="str">
        <f>IFERROR(INDEX(Chemin_accès!$B$11:$C$22,MATCH(Tableau1[[#This Row],[Type]],Chemin_accès!$C$11:$C$22,0),1),Chemin_accès!$B$11)</f>
        <v>\\stjn.local\trimet\Btechnique\Commun\Atelier Central mécanique\Plan entretien\Modèles préventif\GammeDMS_7.MENG.xlsm</v>
      </c>
      <c r="AD946" s="50" t="str">
        <f>Chemin_accès!$B$8&amp;Tableau1[[#This Row],[Localisation / Classement]]&amp;"\"&amp;Tableau1[[#This Row],[Poste technique ou N° d''équipement]]&amp;"_"&amp;Tableau1[[#This Row],[Plan Entretien]]&amp;".xlsm"</f>
        <v>\\stjn.local\trimet\Btechnique\Commun\Atelier Central mécanique\Plan entretien\GammeEntretien\\_.xlsm</v>
      </c>
    </row>
    <row r="947" spans="1:30" x14ac:dyDescent="0.3">
      <c r="A947" s="44" t="str">
        <f t="shared" ca="1" si="14"/>
        <v>7.MENG</v>
      </c>
      <c r="B94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47" s="47"/>
      <c r="D947" s="44"/>
      <c r="E947" s="44"/>
      <c r="F947" s="47"/>
      <c r="G947" s="47"/>
      <c r="H947" s="45"/>
      <c r="I947" s="45"/>
      <c r="J947" s="45"/>
      <c r="K947" s="45"/>
      <c r="L947" s="46"/>
      <c r="M947" s="47"/>
      <c r="N947" s="47"/>
      <c r="O947" s="47"/>
      <c r="P947" s="47"/>
      <c r="Q947" s="47"/>
      <c r="R947" s="47"/>
      <c r="S947" s="48"/>
      <c r="T947" s="68" t="str">
        <f>IF(Tableau1[[#This Row],[DMS_SAP]]="","",HYPERLINK(Tableau1[[#This Row],[Chemin fichier source]],"X"))</f>
        <v/>
      </c>
      <c r="U947" s="68" t="str">
        <f>IF(Tableau1[[#This Row],[Date rév.]]="","",HYPERLINK(Tableau1[[#This Row],[Lien document]],"X"))</f>
        <v/>
      </c>
      <c r="V947" s="47"/>
      <c r="W94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47" s="47"/>
      <c r="Y947" s="47"/>
      <c r="Z947" s="44" t="str">
        <f ca="1">IF(AND(Tableau1[[#This Row],[Charge]]&lt;&gt;0, Tableau1[[#This Row],[Nombre intervenants]]&lt;&gt;0,Tableau1[[#This Row],[Lien document]]&lt;&gt;0,Tableau1[[#This Row],[DMS_SAP]]&lt;&gt;0)=TRUE,"MIS A JOUR","")</f>
        <v/>
      </c>
      <c r="AA947" s="48"/>
      <c r="AB947" s="65" t="str">
        <f ca="1">IF(Tableau1[[#This Row],[Date rév.]]&lt;&gt;"", DAYS360(Tableau1[[#This Row],[Date rév.]],TODAY()),"")</f>
        <v/>
      </c>
      <c r="AC947" s="50" t="str">
        <f>IFERROR(INDEX(Chemin_accès!$B$11:$C$22,MATCH(Tableau1[[#This Row],[Type]],Chemin_accès!$C$11:$C$22,0),1),Chemin_accès!$B$11)</f>
        <v>\\stjn.local\trimet\Btechnique\Commun\Atelier Central mécanique\Plan entretien\Modèles préventif\GammeDMS_7.MENG.xlsm</v>
      </c>
      <c r="AD947" s="50" t="str">
        <f>Chemin_accès!$B$8&amp;Tableau1[[#This Row],[Localisation / Classement]]&amp;"\"&amp;Tableau1[[#This Row],[Poste technique ou N° d''équipement]]&amp;"_"&amp;Tableau1[[#This Row],[Plan Entretien]]&amp;".xlsm"</f>
        <v>\\stjn.local\trimet\Btechnique\Commun\Atelier Central mécanique\Plan entretien\GammeEntretien\\_.xlsm</v>
      </c>
    </row>
    <row r="948" spans="1:30" x14ac:dyDescent="0.3">
      <c r="A948" s="44" t="str">
        <f t="shared" ca="1" si="14"/>
        <v>7.MENG</v>
      </c>
      <c r="B94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48" s="47"/>
      <c r="D948" s="44"/>
      <c r="E948" s="44"/>
      <c r="F948" s="47"/>
      <c r="G948" s="47"/>
      <c r="H948" s="45"/>
      <c r="I948" s="45"/>
      <c r="J948" s="45"/>
      <c r="K948" s="45"/>
      <c r="L948" s="46"/>
      <c r="M948" s="47"/>
      <c r="N948" s="47"/>
      <c r="O948" s="47"/>
      <c r="P948" s="47"/>
      <c r="Q948" s="47"/>
      <c r="R948" s="47"/>
      <c r="S948" s="48"/>
      <c r="T948" s="68" t="str">
        <f>IF(Tableau1[[#This Row],[DMS_SAP]]="","",HYPERLINK(Tableau1[[#This Row],[Chemin fichier source]],"X"))</f>
        <v/>
      </c>
      <c r="U948" s="68" t="str">
        <f>IF(Tableau1[[#This Row],[Date rév.]]="","",HYPERLINK(Tableau1[[#This Row],[Lien document]],"X"))</f>
        <v/>
      </c>
      <c r="V948" s="47"/>
      <c r="W94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48" s="47"/>
      <c r="Y948" s="47"/>
      <c r="Z948" s="44" t="str">
        <f ca="1">IF(AND(Tableau1[[#This Row],[Charge]]&lt;&gt;0, Tableau1[[#This Row],[Nombre intervenants]]&lt;&gt;0,Tableau1[[#This Row],[Lien document]]&lt;&gt;0,Tableau1[[#This Row],[DMS_SAP]]&lt;&gt;0)=TRUE,"MIS A JOUR","")</f>
        <v/>
      </c>
      <c r="AA948" s="48"/>
      <c r="AB948" s="65" t="str">
        <f ca="1">IF(Tableau1[[#This Row],[Date rév.]]&lt;&gt;"", DAYS360(Tableau1[[#This Row],[Date rév.]],TODAY()),"")</f>
        <v/>
      </c>
      <c r="AC948" s="50" t="str">
        <f>IFERROR(INDEX(Chemin_accès!$B$11:$C$22,MATCH(Tableau1[[#This Row],[Type]],Chemin_accès!$C$11:$C$22,0),1),Chemin_accès!$B$11)</f>
        <v>\\stjn.local\trimet\Btechnique\Commun\Atelier Central mécanique\Plan entretien\Modèles préventif\GammeDMS_7.MENG.xlsm</v>
      </c>
      <c r="AD948" s="50" t="str">
        <f>Chemin_accès!$B$8&amp;Tableau1[[#This Row],[Localisation / Classement]]&amp;"\"&amp;Tableau1[[#This Row],[Poste technique ou N° d''équipement]]&amp;"_"&amp;Tableau1[[#This Row],[Plan Entretien]]&amp;".xlsm"</f>
        <v>\\stjn.local\trimet\Btechnique\Commun\Atelier Central mécanique\Plan entretien\GammeEntretien\\_.xlsm</v>
      </c>
    </row>
    <row r="949" spans="1:30" x14ac:dyDescent="0.3">
      <c r="A949" s="44" t="str">
        <f t="shared" ca="1" si="14"/>
        <v>7.MENG</v>
      </c>
      <c r="B94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49" s="47"/>
      <c r="D949" s="44"/>
      <c r="E949" s="44"/>
      <c r="F949" s="47"/>
      <c r="G949" s="47"/>
      <c r="H949" s="45"/>
      <c r="I949" s="45"/>
      <c r="J949" s="45"/>
      <c r="K949" s="45"/>
      <c r="L949" s="46"/>
      <c r="M949" s="47"/>
      <c r="N949" s="47"/>
      <c r="O949" s="47"/>
      <c r="P949" s="47"/>
      <c r="Q949" s="47"/>
      <c r="R949" s="47"/>
      <c r="S949" s="48"/>
      <c r="T949" s="68" t="str">
        <f>IF(Tableau1[[#This Row],[DMS_SAP]]="","",HYPERLINK(Tableau1[[#This Row],[Chemin fichier source]],"X"))</f>
        <v/>
      </c>
      <c r="U949" s="68" t="str">
        <f>IF(Tableau1[[#This Row],[Date rév.]]="","",HYPERLINK(Tableau1[[#This Row],[Lien document]],"X"))</f>
        <v/>
      </c>
      <c r="V949" s="47"/>
      <c r="W94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49" s="47"/>
      <c r="Y949" s="47"/>
      <c r="Z949" s="44" t="str">
        <f ca="1">IF(AND(Tableau1[[#This Row],[Charge]]&lt;&gt;0, Tableau1[[#This Row],[Nombre intervenants]]&lt;&gt;0,Tableau1[[#This Row],[Lien document]]&lt;&gt;0,Tableau1[[#This Row],[DMS_SAP]]&lt;&gt;0)=TRUE,"MIS A JOUR","")</f>
        <v/>
      </c>
      <c r="AA949" s="48"/>
      <c r="AB949" s="65" t="str">
        <f ca="1">IF(Tableau1[[#This Row],[Date rév.]]&lt;&gt;"", DAYS360(Tableau1[[#This Row],[Date rév.]],TODAY()),"")</f>
        <v/>
      </c>
      <c r="AC949" s="50" t="str">
        <f>IFERROR(INDEX(Chemin_accès!$B$11:$C$22,MATCH(Tableau1[[#This Row],[Type]],Chemin_accès!$C$11:$C$22,0),1),Chemin_accès!$B$11)</f>
        <v>\\stjn.local\trimet\Btechnique\Commun\Atelier Central mécanique\Plan entretien\Modèles préventif\GammeDMS_7.MENG.xlsm</v>
      </c>
      <c r="AD949" s="50" t="str">
        <f>Chemin_accès!$B$8&amp;Tableau1[[#This Row],[Localisation / Classement]]&amp;"\"&amp;Tableau1[[#This Row],[Poste technique ou N° d''équipement]]&amp;"_"&amp;Tableau1[[#This Row],[Plan Entretien]]&amp;".xlsm"</f>
        <v>\\stjn.local\trimet\Btechnique\Commun\Atelier Central mécanique\Plan entretien\GammeEntretien\\_.xlsm</v>
      </c>
    </row>
    <row r="950" spans="1:30" x14ac:dyDescent="0.3">
      <c r="A950" s="44" t="str">
        <f t="shared" ca="1" si="14"/>
        <v>7.MENG</v>
      </c>
      <c r="B95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50" s="47"/>
      <c r="D950" s="44"/>
      <c r="E950" s="44"/>
      <c r="F950" s="47"/>
      <c r="G950" s="47"/>
      <c r="H950" s="45"/>
      <c r="I950" s="45"/>
      <c r="J950" s="45"/>
      <c r="K950" s="45"/>
      <c r="L950" s="46"/>
      <c r="M950" s="47"/>
      <c r="N950" s="47"/>
      <c r="O950" s="47"/>
      <c r="P950" s="47"/>
      <c r="Q950" s="47"/>
      <c r="R950" s="47"/>
      <c r="S950" s="48"/>
      <c r="T950" s="68" t="str">
        <f>IF(Tableau1[[#This Row],[DMS_SAP]]="","",HYPERLINK(Tableau1[[#This Row],[Chemin fichier source]],"X"))</f>
        <v/>
      </c>
      <c r="U950" s="68" t="str">
        <f>IF(Tableau1[[#This Row],[Date rév.]]="","",HYPERLINK(Tableau1[[#This Row],[Lien document]],"X"))</f>
        <v/>
      </c>
      <c r="V950" s="47"/>
      <c r="W95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50" s="47"/>
      <c r="Y950" s="47"/>
      <c r="Z950" s="44" t="str">
        <f ca="1">IF(AND(Tableau1[[#This Row],[Charge]]&lt;&gt;0, Tableau1[[#This Row],[Nombre intervenants]]&lt;&gt;0,Tableau1[[#This Row],[Lien document]]&lt;&gt;0,Tableau1[[#This Row],[DMS_SAP]]&lt;&gt;0)=TRUE,"MIS A JOUR","")</f>
        <v/>
      </c>
      <c r="AA950" s="48"/>
      <c r="AB950" s="65" t="str">
        <f ca="1">IF(Tableau1[[#This Row],[Date rév.]]&lt;&gt;"", DAYS360(Tableau1[[#This Row],[Date rév.]],TODAY()),"")</f>
        <v/>
      </c>
      <c r="AC950" s="50" t="str">
        <f>IFERROR(INDEX(Chemin_accès!$B$11:$C$22,MATCH(Tableau1[[#This Row],[Type]],Chemin_accès!$C$11:$C$22,0),1),Chemin_accès!$B$11)</f>
        <v>\\stjn.local\trimet\Btechnique\Commun\Atelier Central mécanique\Plan entretien\Modèles préventif\GammeDMS_7.MENG.xlsm</v>
      </c>
      <c r="AD950" s="50" t="str">
        <f>Chemin_accès!$B$8&amp;Tableau1[[#This Row],[Localisation / Classement]]&amp;"\"&amp;Tableau1[[#This Row],[Poste technique ou N° d''équipement]]&amp;"_"&amp;Tableau1[[#This Row],[Plan Entretien]]&amp;".xlsm"</f>
        <v>\\stjn.local\trimet\Btechnique\Commun\Atelier Central mécanique\Plan entretien\GammeEntretien\\_.xlsm</v>
      </c>
    </row>
    <row r="951" spans="1:30" x14ac:dyDescent="0.3">
      <c r="A951" s="44" t="str">
        <f t="shared" ca="1" si="14"/>
        <v>7.MENG</v>
      </c>
      <c r="B95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51" s="47"/>
      <c r="D951" s="44"/>
      <c r="E951" s="44"/>
      <c r="F951" s="47"/>
      <c r="G951" s="47"/>
      <c r="H951" s="45"/>
      <c r="I951" s="45"/>
      <c r="J951" s="45"/>
      <c r="K951" s="45"/>
      <c r="L951" s="46"/>
      <c r="M951" s="47"/>
      <c r="N951" s="47"/>
      <c r="O951" s="47"/>
      <c r="P951" s="47"/>
      <c r="Q951" s="47"/>
      <c r="R951" s="47"/>
      <c r="S951" s="48"/>
      <c r="T951" s="68" t="str">
        <f>IF(Tableau1[[#This Row],[DMS_SAP]]="","",HYPERLINK(Tableau1[[#This Row],[Chemin fichier source]],"X"))</f>
        <v/>
      </c>
      <c r="U951" s="68" t="str">
        <f>IF(Tableau1[[#This Row],[Date rév.]]="","",HYPERLINK(Tableau1[[#This Row],[Lien document]],"X"))</f>
        <v/>
      </c>
      <c r="V951" s="47"/>
      <c r="W95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51" s="47"/>
      <c r="Y951" s="47"/>
      <c r="Z951" s="44" t="str">
        <f ca="1">IF(AND(Tableau1[[#This Row],[Charge]]&lt;&gt;0, Tableau1[[#This Row],[Nombre intervenants]]&lt;&gt;0,Tableau1[[#This Row],[Lien document]]&lt;&gt;0,Tableau1[[#This Row],[DMS_SAP]]&lt;&gt;0)=TRUE,"MIS A JOUR","")</f>
        <v/>
      </c>
      <c r="AA951" s="48"/>
      <c r="AB951" s="65" t="str">
        <f ca="1">IF(Tableau1[[#This Row],[Date rév.]]&lt;&gt;"", DAYS360(Tableau1[[#This Row],[Date rév.]],TODAY()),"")</f>
        <v/>
      </c>
      <c r="AC951" s="50" t="str">
        <f>IFERROR(INDEX(Chemin_accès!$B$11:$C$22,MATCH(Tableau1[[#This Row],[Type]],Chemin_accès!$C$11:$C$22,0),1),Chemin_accès!$B$11)</f>
        <v>\\stjn.local\trimet\Btechnique\Commun\Atelier Central mécanique\Plan entretien\Modèles préventif\GammeDMS_7.MENG.xlsm</v>
      </c>
      <c r="AD951" s="50" t="str">
        <f>Chemin_accès!$B$8&amp;Tableau1[[#This Row],[Localisation / Classement]]&amp;"\"&amp;Tableau1[[#This Row],[Poste technique ou N° d''équipement]]&amp;"_"&amp;Tableau1[[#This Row],[Plan Entretien]]&amp;".xlsm"</f>
        <v>\\stjn.local\trimet\Btechnique\Commun\Atelier Central mécanique\Plan entretien\GammeEntretien\\_.xlsm</v>
      </c>
    </row>
    <row r="952" spans="1:30" x14ac:dyDescent="0.3">
      <c r="A952" s="44" t="str">
        <f t="shared" ca="1" si="14"/>
        <v>7.MENG</v>
      </c>
      <c r="B95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52" s="47"/>
      <c r="D952" s="44"/>
      <c r="E952" s="44"/>
      <c r="F952" s="47"/>
      <c r="G952" s="47"/>
      <c r="H952" s="45"/>
      <c r="I952" s="45"/>
      <c r="J952" s="45"/>
      <c r="K952" s="45"/>
      <c r="L952" s="46"/>
      <c r="M952" s="47"/>
      <c r="N952" s="47"/>
      <c r="O952" s="47"/>
      <c r="P952" s="47"/>
      <c r="Q952" s="47"/>
      <c r="R952" s="47"/>
      <c r="S952" s="48"/>
      <c r="T952" s="68" t="str">
        <f>IF(Tableau1[[#This Row],[DMS_SAP]]="","",HYPERLINK(Tableau1[[#This Row],[Chemin fichier source]],"X"))</f>
        <v/>
      </c>
      <c r="U952" s="68" t="str">
        <f>IF(Tableau1[[#This Row],[Date rév.]]="","",HYPERLINK(Tableau1[[#This Row],[Lien document]],"X"))</f>
        <v/>
      </c>
      <c r="V952" s="47"/>
      <c r="W95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52" s="47"/>
      <c r="Y952" s="47"/>
      <c r="Z952" s="44" t="str">
        <f ca="1">IF(AND(Tableau1[[#This Row],[Charge]]&lt;&gt;0, Tableau1[[#This Row],[Nombre intervenants]]&lt;&gt;0,Tableau1[[#This Row],[Lien document]]&lt;&gt;0,Tableau1[[#This Row],[DMS_SAP]]&lt;&gt;0)=TRUE,"MIS A JOUR","")</f>
        <v/>
      </c>
      <c r="AA952" s="48"/>
      <c r="AB952" s="65" t="str">
        <f ca="1">IF(Tableau1[[#This Row],[Date rév.]]&lt;&gt;"", DAYS360(Tableau1[[#This Row],[Date rév.]],TODAY()),"")</f>
        <v/>
      </c>
      <c r="AC952" s="50" t="str">
        <f>IFERROR(INDEX(Chemin_accès!$B$11:$C$22,MATCH(Tableau1[[#This Row],[Type]],Chemin_accès!$C$11:$C$22,0),1),Chemin_accès!$B$11)</f>
        <v>\\stjn.local\trimet\Btechnique\Commun\Atelier Central mécanique\Plan entretien\Modèles préventif\GammeDMS_7.MENG.xlsm</v>
      </c>
      <c r="AD952" s="50" t="str">
        <f>Chemin_accès!$B$8&amp;Tableau1[[#This Row],[Localisation / Classement]]&amp;"\"&amp;Tableau1[[#This Row],[Poste technique ou N° d''équipement]]&amp;"_"&amp;Tableau1[[#This Row],[Plan Entretien]]&amp;".xlsm"</f>
        <v>\\stjn.local\trimet\Btechnique\Commun\Atelier Central mécanique\Plan entretien\GammeEntretien\\_.xlsm</v>
      </c>
    </row>
    <row r="953" spans="1:30" x14ac:dyDescent="0.3">
      <c r="A953" s="44" t="str">
        <f t="shared" ca="1" si="14"/>
        <v>7.MENG</v>
      </c>
      <c r="B95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53" s="47"/>
      <c r="D953" s="44"/>
      <c r="E953" s="44"/>
      <c r="F953" s="47"/>
      <c r="G953" s="47"/>
      <c r="H953" s="45"/>
      <c r="I953" s="45"/>
      <c r="J953" s="45"/>
      <c r="K953" s="45"/>
      <c r="L953" s="46"/>
      <c r="M953" s="47"/>
      <c r="N953" s="47"/>
      <c r="O953" s="47"/>
      <c r="P953" s="47"/>
      <c r="Q953" s="47"/>
      <c r="R953" s="47"/>
      <c r="S953" s="48"/>
      <c r="T953" s="68" t="str">
        <f>IF(Tableau1[[#This Row],[DMS_SAP]]="","",HYPERLINK(Tableau1[[#This Row],[Chemin fichier source]],"X"))</f>
        <v/>
      </c>
      <c r="U953" s="68" t="str">
        <f>IF(Tableau1[[#This Row],[Date rév.]]="","",HYPERLINK(Tableau1[[#This Row],[Lien document]],"X"))</f>
        <v/>
      </c>
      <c r="V953" s="47"/>
      <c r="W95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53" s="47"/>
      <c r="Y953" s="47"/>
      <c r="Z953" s="44" t="str">
        <f ca="1">IF(AND(Tableau1[[#This Row],[Charge]]&lt;&gt;0, Tableau1[[#This Row],[Nombre intervenants]]&lt;&gt;0,Tableau1[[#This Row],[Lien document]]&lt;&gt;0,Tableau1[[#This Row],[DMS_SAP]]&lt;&gt;0)=TRUE,"MIS A JOUR","")</f>
        <v/>
      </c>
      <c r="AA953" s="48"/>
      <c r="AB953" s="65" t="str">
        <f ca="1">IF(Tableau1[[#This Row],[Date rév.]]&lt;&gt;"", DAYS360(Tableau1[[#This Row],[Date rév.]],TODAY()),"")</f>
        <v/>
      </c>
      <c r="AC953" s="50" t="str">
        <f>IFERROR(INDEX(Chemin_accès!$B$11:$C$22,MATCH(Tableau1[[#This Row],[Type]],Chemin_accès!$C$11:$C$22,0),1),Chemin_accès!$B$11)</f>
        <v>\\stjn.local\trimet\Btechnique\Commun\Atelier Central mécanique\Plan entretien\Modèles préventif\GammeDMS_7.MENG.xlsm</v>
      </c>
      <c r="AD953" s="50" t="str">
        <f>Chemin_accès!$B$8&amp;Tableau1[[#This Row],[Localisation / Classement]]&amp;"\"&amp;Tableau1[[#This Row],[Poste technique ou N° d''équipement]]&amp;"_"&amp;Tableau1[[#This Row],[Plan Entretien]]&amp;".xlsm"</f>
        <v>\\stjn.local\trimet\Btechnique\Commun\Atelier Central mécanique\Plan entretien\GammeEntretien\\_.xlsm</v>
      </c>
    </row>
    <row r="954" spans="1:30" x14ac:dyDescent="0.3">
      <c r="A954" s="44" t="str">
        <f t="shared" ca="1" si="14"/>
        <v>7.MENG</v>
      </c>
      <c r="B95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54" s="47"/>
      <c r="D954" s="44"/>
      <c r="E954" s="44"/>
      <c r="F954" s="47"/>
      <c r="G954" s="47"/>
      <c r="H954" s="45"/>
      <c r="I954" s="45"/>
      <c r="J954" s="45"/>
      <c r="K954" s="45"/>
      <c r="L954" s="46"/>
      <c r="M954" s="47"/>
      <c r="N954" s="47"/>
      <c r="O954" s="47"/>
      <c r="P954" s="47"/>
      <c r="Q954" s="47"/>
      <c r="R954" s="47"/>
      <c r="S954" s="48"/>
      <c r="T954" s="68" t="str">
        <f>IF(Tableau1[[#This Row],[DMS_SAP]]="","",HYPERLINK(Tableau1[[#This Row],[Chemin fichier source]],"X"))</f>
        <v/>
      </c>
      <c r="U954" s="68" t="str">
        <f>IF(Tableau1[[#This Row],[Date rév.]]="","",HYPERLINK(Tableau1[[#This Row],[Lien document]],"X"))</f>
        <v/>
      </c>
      <c r="V954" s="47"/>
      <c r="W95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54" s="47"/>
      <c r="Y954" s="47"/>
      <c r="Z954" s="44" t="str">
        <f ca="1">IF(AND(Tableau1[[#This Row],[Charge]]&lt;&gt;0, Tableau1[[#This Row],[Nombre intervenants]]&lt;&gt;0,Tableau1[[#This Row],[Lien document]]&lt;&gt;0,Tableau1[[#This Row],[DMS_SAP]]&lt;&gt;0)=TRUE,"MIS A JOUR","")</f>
        <v/>
      </c>
      <c r="AA954" s="48"/>
      <c r="AB954" s="65" t="str">
        <f ca="1">IF(Tableau1[[#This Row],[Date rév.]]&lt;&gt;"", DAYS360(Tableau1[[#This Row],[Date rév.]],TODAY()),"")</f>
        <v/>
      </c>
      <c r="AC954" s="50" t="str">
        <f>IFERROR(INDEX(Chemin_accès!$B$11:$C$22,MATCH(Tableau1[[#This Row],[Type]],Chemin_accès!$C$11:$C$22,0),1),Chemin_accès!$B$11)</f>
        <v>\\stjn.local\trimet\Btechnique\Commun\Atelier Central mécanique\Plan entretien\Modèles préventif\GammeDMS_7.MENG.xlsm</v>
      </c>
      <c r="AD954" s="50" t="str">
        <f>Chemin_accès!$B$8&amp;Tableau1[[#This Row],[Localisation / Classement]]&amp;"\"&amp;Tableau1[[#This Row],[Poste technique ou N° d''équipement]]&amp;"_"&amp;Tableau1[[#This Row],[Plan Entretien]]&amp;".xlsm"</f>
        <v>\\stjn.local\trimet\Btechnique\Commun\Atelier Central mécanique\Plan entretien\GammeEntretien\\_.xlsm</v>
      </c>
    </row>
    <row r="955" spans="1:30" x14ac:dyDescent="0.3">
      <c r="A955" s="44" t="str">
        <f t="shared" ca="1" si="14"/>
        <v>7.MENG</v>
      </c>
      <c r="B95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55" s="47"/>
      <c r="D955" s="44"/>
      <c r="E955" s="44"/>
      <c r="F955" s="47"/>
      <c r="G955" s="47"/>
      <c r="H955" s="45"/>
      <c r="I955" s="45"/>
      <c r="J955" s="45"/>
      <c r="K955" s="45"/>
      <c r="L955" s="46"/>
      <c r="M955" s="47"/>
      <c r="N955" s="47"/>
      <c r="O955" s="47"/>
      <c r="P955" s="47"/>
      <c r="Q955" s="47"/>
      <c r="R955" s="47"/>
      <c r="S955" s="48"/>
      <c r="T955" s="68" t="str">
        <f>IF(Tableau1[[#This Row],[DMS_SAP]]="","",HYPERLINK(Tableau1[[#This Row],[Chemin fichier source]],"X"))</f>
        <v/>
      </c>
      <c r="U955" s="68" t="str">
        <f>IF(Tableau1[[#This Row],[Date rév.]]="","",HYPERLINK(Tableau1[[#This Row],[Lien document]],"X"))</f>
        <v/>
      </c>
      <c r="V955" s="47"/>
      <c r="W95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55" s="47"/>
      <c r="Y955" s="47"/>
      <c r="Z955" s="44" t="str">
        <f ca="1">IF(AND(Tableau1[[#This Row],[Charge]]&lt;&gt;0, Tableau1[[#This Row],[Nombre intervenants]]&lt;&gt;0,Tableau1[[#This Row],[Lien document]]&lt;&gt;0,Tableau1[[#This Row],[DMS_SAP]]&lt;&gt;0)=TRUE,"MIS A JOUR","")</f>
        <v/>
      </c>
      <c r="AA955" s="48"/>
      <c r="AB955" s="65" t="str">
        <f ca="1">IF(Tableau1[[#This Row],[Date rév.]]&lt;&gt;"", DAYS360(Tableau1[[#This Row],[Date rév.]],TODAY()),"")</f>
        <v/>
      </c>
      <c r="AC955" s="50" t="str">
        <f>IFERROR(INDEX(Chemin_accès!$B$11:$C$22,MATCH(Tableau1[[#This Row],[Type]],Chemin_accès!$C$11:$C$22,0),1),Chemin_accès!$B$11)</f>
        <v>\\stjn.local\trimet\Btechnique\Commun\Atelier Central mécanique\Plan entretien\Modèles préventif\GammeDMS_7.MENG.xlsm</v>
      </c>
      <c r="AD955" s="50" t="str">
        <f>Chemin_accès!$B$8&amp;Tableau1[[#This Row],[Localisation / Classement]]&amp;"\"&amp;Tableau1[[#This Row],[Poste technique ou N° d''équipement]]&amp;"_"&amp;Tableau1[[#This Row],[Plan Entretien]]&amp;".xlsm"</f>
        <v>\\stjn.local\trimet\Btechnique\Commun\Atelier Central mécanique\Plan entretien\GammeEntretien\\_.xlsm</v>
      </c>
    </row>
    <row r="956" spans="1:30" x14ac:dyDescent="0.3">
      <c r="A956" s="44" t="str">
        <f t="shared" ca="1" si="14"/>
        <v>7.MENG</v>
      </c>
      <c r="B95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56" s="47"/>
      <c r="D956" s="44"/>
      <c r="E956" s="44"/>
      <c r="F956" s="47"/>
      <c r="G956" s="47"/>
      <c r="H956" s="45"/>
      <c r="I956" s="45"/>
      <c r="J956" s="45"/>
      <c r="K956" s="45"/>
      <c r="L956" s="46"/>
      <c r="M956" s="47"/>
      <c r="N956" s="47"/>
      <c r="O956" s="47"/>
      <c r="P956" s="47"/>
      <c r="Q956" s="47"/>
      <c r="R956" s="47"/>
      <c r="S956" s="48"/>
      <c r="T956" s="68" t="str">
        <f>IF(Tableau1[[#This Row],[DMS_SAP]]="","",HYPERLINK(Tableau1[[#This Row],[Chemin fichier source]],"X"))</f>
        <v/>
      </c>
      <c r="U956" s="68" t="str">
        <f>IF(Tableau1[[#This Row],[Date rév.]]="","",HYPERLINK(Tableau1[[#This Row],[Lien document]],"X"))</f>
        <v/>
      </c>
      <c r="V956" s="47"/>
      <c r="W95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56" s="47"/>
      <c r="Y956" s="47"/>
      <c r="Z956" s="44" t="str">
        <f ca="1">IF(AND(Tableau1[[#This Row],[Charge]]&lt;&gt;0, Tableau1[[#This Row],[Nombre intervenants]]&lt;&gt;0,Tableau1[[#This Row],[Lien document]]&lt;&gt;0,Tableau1[[#This Row],[DMS_SAP]]&lt;&gt;0)=TRUE,"MIS A JOUR","")</f>
        <v/>
      </c>
      <c r="AA956" s="48"/>
      <c r="AB956" s="65" t="str">
        <f ca="1">IF(Tableau1[[#This Row],[Date rév.]]&lt;&gt;"", DAYS360(Tableau1[[#This Row],[Date rév.]],TODAY()),"")</f>
        <v/>
      </c>
      <c r="AC956" s="50" t="str">
        <f>IFERROR(INDEX(Chemin_accès!$B$11:$C$22,MATCH(Tableau1[[#This Row],[Type]],Chemin_accès!$C$11:$C$22,0),1),Chemin_accès!$B$11)</f>
        <v>\\stjn.local\trimet\Btechnique\Commun\Atelier Central mécanique\Plan entretien\Modèles préventif\GammeDMS_7.MENG.xlsm</v>
      </c>
      <c r="AD956" s="50" t="str">
        <f>Chemin_accès!$B$8&amp;Tableau1[[#This Row],[Localisation / Classement]]&amp;"\"&amp;Tableau1[[#This Row],[Poste technique ou N° d''équipement]]&amp;"_"&amp;Tableau1[[#This Row],[Plan Entretien]]&amp;".xlsm"</f>
        <v>\\stjn.local\trimet\Btechnique\Commun\Atelier Central mécanique\Plan entretien\GammeEntretien\\_.xlsm</v>
      </c>
    </row>
    <row r="957" spans="1:30" x14ac:dyDescent="0.3">
      <c r="A957" s="44" t="str">
        <f t="shared" ca="1" si="14"/>
        <v>7.MENG</v>
      </c>
      <c r="B95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57" s="47"/>
      <c r="D957" s="44"/>
      <c r="E957" s="44"/>
      <c r="F957" s="47"/>
      <c r="G957" s="47"/>
      <c r="H957" s="45"/>
      <c r="I957" s="45"/>
      <c r="J957" s="45"/>
      <c r="K957" s="45"/>
      <c r="L957" s="46"/>
      <c r="M957" s="47"/>
      <c r="N957" s="47"/>
      <c r="O957" s="47"/>
      <c r="P957" s="47"/>
      <c r="Q957" s="47"/>
      <c r="R957" s="47"/>
      <c r="S957" s="48"/>
      <c r="T957" s="68" t="str">
        <f>IF(Tableau1[[#This Row],[DMS_SAP]]="","",HYPERLINK(Tableau1[[#This Row],[Chemin fichier source]],"X"))</f>
        <v/>
      </c>
      <c r="U957" s="68" t="str">
        <f>IF(Tableau1[[#This Row],[Date rév.]]="","",HYPERLINK(Tableau1[[#This Row],[Lien document]],"X"))</f>
        <v/>
      </c>
      <c r="V957" s="47"/>
      <c r="W95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57" s="47"/>
      <c r="Y957" s="47"/>
      <c r="Z957" s="44" t="str">
        <f ca="1">IF(AND(Tableau1[[#This Row],[Charge]]&lt;&gt;0, Tableau1[[#This Row],[Nombre intervenants]]&lt;&gt;0,Tableau1[[#This Row],[Lien document]]&lt;&gt;0,Tableau1[[#This Row],[DMS_SAP]]&lt;&gt;0)=TRUE,"MIS A JOUR","")</f>
        <v/>
      </c>
      <c r="AA957" s="48"/>
      <c r="AB957" s="65" t="str">
        <f ca="1">IF(Tableau1[[#This Row],[Date rév.]]&lt;&gt;"", DAYS360(Tableau1[[#This Row],[Date rév.]],TODAY()),"")</f>
        <v/>
      </c>
      <c r="AC957" s="50" t="str">
        <f>IFERROR(INDEX(Chemin_accès!$B$11:$C$22,MATCH(Tableau1[[#This Row],[Type]],Chemin_accès!$C$11:$C$22,0),1),Chemin_accès!$B$11)</f>
        <v>\\stjn.local\trimet\Btechnique\Commun\Atelier Central mécanique\Plan entretien\Modèles préventif\GammeDMS_7.MENG.xlsm</v>
      </c>
      <c r="AD957" s="50" t="str">
        <f>Chemin_accès!$B$8&amp;Tableau1[[#This Row],[Localisation / Classement]]&amp;"\"&amp;Tableau1[[#This Row],[Poste technique ou N° d''équipement]]&amp;"_"&amp;Tableau1[[#This Row],[Plan Entretien]]&amp;".xlsm"</f>
        <v>\\stjn.local\trimet\Btechnique\Commun\Atelier Central mécanique\Plan entretien\GammeEntretien\\_.xlsm</v>
      </c>
    </row>
    <row r="958" spans="1:30" x14ac:dyDescent="0.3">
      <c r="A958" s="44" t="str">
        <f t="shared" ca="1" si="14"/>
        <v>7.MENG</v>
      </c>
      <c r="B95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58" s="47"/>
      <c r="D958" s="44"/>
      <c r="E958" s="44"/>
      <c r="F958" s="47"/>
      <c r="G958" s="47"/>
      <c r="H958" s="45"/>
      <c r="I958" s="45"/>
      <c r="J958" s="45"/>
      <c r="K958" s="45"/>
      <c r="L958" s="46"/>
      <c r="M958" s="47"/>
      <c r="N958" s="47"/>
      <c r="O958" s="47"/>
      <c r="P958" s="47"/>
      <c r="Q958" s="47"/>
      <c r="R958" s="47"/>
      <c r="S958" s="48"/>
      <c r="T958" s="68" t="str">
        <f>IF(Tableau1[[#This Row],[DMS_SAP]]="","",HYPERLINK(Tableau1[[#This Row],[Chemin fichier source]],"X"))</f>
        <v/>
      </c>
      <c r="U958" s="68" t="str">
        <f>IF(Tableau1[[#This Row],[Date rév.]]="","",HYPERLINK(Tableau1[[#This Row],[Lien document]],"X"))</f>
        <v/>
      </c>
      <c r="V958" s="47"/>
      <c r="W95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58" s="47"/>
      <c r="Y958" s="47"/>
      <c r="Z958" s="44" t="str">
        <f ca="1">IF(AND(Tableau1[[#This Row],[Charge]]&lt;&gt;0, Tableau1[[#This Row],[Nombre intervenants]]&lt;&gt;0,Tableau1[[#This Row],[Lien document]]&lt;&gt;0,Tableau1[[#This Row],[DMS_SAP]]&lt;&gt;0)=TRUE,"MIS A JOUR","")</f>
        <v/>
      </c>
      <c r="AA958" s="48"/>
      <c r="AB958" s="65" t="str">
        <f ca="1">IF(Tableau1[[#This Row],[Date rév.]]&lt;&gt;"", DAYS360(Tableau1[[#This Row],[Date rév.]],TODAY()),"")</f>
        <v/>
      </c>
      <c r="AC958" s="50" t="str">
        <f>IFERROR(INDEX(Chemin_accès!$B$11:$C$22,MATCH(Tableau1[[#This Row],[Type]],Chemin_accès!$C$11:$C$22,0),1),Chemin_accès!$B$11)</f>
        <v>\\stjn.local\trimet\Btechnique\Commun\Atelier Central mécanique\Plan entretien\Modèles préventif\GammeDMS_7.MENG.xlsm</v>
      </c>
      <c r="AD958" s="50" t="str">
        <f>Chemin_accès!$B$8&amp;Tableau1[[#This Row],[Localisation / Classement]]&amp;"\"&amp;Tableau1[[#This Row],[Poste technique ou N° d''équipement]]&amp;"_"&amp;Tableau1[[#This Row],[Plan Entretien]]&amp;".xlsm"</f>
        <v>\\stjn.local\trimet\Btechnique\Commun\Atelier Central mécanique\Plan entretien\GammeEntretien\\_.xlsm</v>
      </c>
    </row>
    <row r="959" spans="1:30" x14ac:dyDescent="0.3">
      <c r="A959" s="44" t="str">
        <f t="shared" ca="1" si="14"/>
        <v>7.MENG</v>
      </c>
      <c r="B95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59" s="47"/>
      <c r="D959" s="44"/>
      <c r="E959" s="44"/>
      <c r="F959" s="47"/>
      <c r="G959" s="47"/>
      <c r="H959" s="45"/>
      <c r="I959" s="45"/>
      <c r="J959" s="45"/>
      <c r="K959" s="45"/>
      <c r="L959" s="46"/>
      <c r="M959" s="47"/>
      <c r="N959" s="47"/>
      <c r="O959" s="47"/>
      <c r="P959" s="47"/>
      <c r="Q959" s="47"/>
      <c r="R959" s="47"/>
      <c r="S959" s="48"/>
      <c r="T959" s="68" t="str">
        <f>IF(Tableau1[[#This Row],[DMS_SAP]]="","",HYPERLINK(Tableau1[[#This Row],[Chemin fichier source]],"X"))</f>
        <v/>
      </c>
      <c r="U959" s="68" t="str">
        <f>IF(Tableau1[[#This Row],[Date rév.]]="","",HYPERLINK(Tableau1[[#This Row],[Lien document]],"X"))</f>
        <v/>
      </c>
      <c r="V959" s="47"/>
      <c r="W95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59" s="47"/>
      <c r="Y959" s="47"/>
      <c r="Z959" s="44" t="str">
        <f ca="1">IF(AND(Tableau1[[#This Row],[Charge]]&lt;&gt;0, Tableau1[[#This Row],[Nombre intervenants]]&lt;&gt;0,Tableau1[[#This Row],[Lien document]]&lt;&gt;0,Tableau1[[#This Row],[DMS_SAP]]&lt;&gt;0)=TRUE,"MIS A JOUR","")</f>
        <v/>
      </c>
      <c r="AA959" s="48"/>
      <c r="AB959" s="65" t="str">
        <f ca="1">IF(Tableau1[[#This Row],[Date rév.]]&lt;&gt;"", DAYS360(Tableau1[[#This Row],[Date rév.]],TODAY()),"")</f>
        <v/>
      </c>
      <c r="AC959" s="50" t="str">
        <f>IFERROR(INDEX(Chemin_accès!$B$11:$C$22,MATCH(Tableau1[[#This Row],[Type]],Chemin_accès!$C$11:$C$22,0),1),Chemin_accès!$B$11)</f>
        <v>\\stjn.local\trimet\Btechnique\Commun\Atelier Central mécanique\Plan entretien\Modèles préventif\GammeDMS_7.MENG.xlsm</v>
      </c>
      <c r="AD959" s="50" t="str">
        <f>Chemin_accès!$B$8&amp;Tableau1[[#This Row],[Localisation / Classement]]&amp;"\"&amp;Tableau1[[#This Row],[Poste technique ou N° d''équipement]]&amp;"_"&amp;Tableau1[[#This Row],[Plan Entretien]]&amp;".xlsm"</f>
        <v>\\stjn.local\trimet\Btechnique\Commun\Atelier Central mécanique\Plan entretien\GammeEntretien\\_.xlsm</v>
      </c>
    </row>
    <row r="960" spans="1:30" x14ac:dyDescent="0.3">
      <c r="A960" s="44" t="str">
        <f t="shared" ca="1" si="14"/>
        <v>7.MENG</v>
      </c>
      <c r="B96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60" s="47"/>
      <c r="D960" s="44"/>
      <c r="E960" s="44"/>
      <c r="F960" s="47"/>
      <c r="G960" s="47"/>
      <c r="H960" s="45"/>
      <c r="I960" s="45"/>
      <c r="J960" s="45"/>
      <c r="K960" s="45"/>
      <c r="L960" s="46"/>
      <c r="M960" s="47"/>
      <c r="N960" s="47"/>
      <c r="O960" s="47"/>
      <c r="P960" s="47"/>
      <c r="Q960" s="47"/>
      <c r="R960" s="47"/>
      <c r="S960" s="48"/>
      <c r="T960" s="68" t="str">
        <f>IF(Tableau1[[#This Row],[DMS_SAP]]="","",HYPERLINK(Tableau1[[#This Row],[Chemin fichier source]],"X"))</f>
        <v/>
      </c>
      <c r="U960" s="68" t="str">
        <f>IF(Tableau1[[#This Row],[Date rév.]]="","",HYPERLINK(Tableau1[[#This Row],[Lien document]],"X"))</f>
        <v/>
      </c>
      <c r="V960" s="47"/>
      <c r="W96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60" s="47"/>
      <c r="Y960" s="47"/>
      <c r="Z960" s="44" t="str">
        <f ca="1">IF(AND(Tableau1[[#This Row],[Charge]]&lt;&gt;0, Tableau1[[#This Row],[Nombre intervenants]]&lt;&gt;0,Tableau1[[#This Row],[Lien document]]&lt;&gt;0,Tableau1[[#This Row],[DMS_SAP]]&lt;&gt;0)=TRUE,"MIS A JOUR","")</f>
        <v/>
      </c>
      <c r="AA960" s="48"/>
      <c r="AB960" s="65" t="str">
        <f ca="1">IF(Tableau1[[#This Row],[Date rév.]]&lt;&gt;"", DAYS360(Tableau1[[#This Row],[Date rév.]],TODAY()),"")</f>
        <v/>
      </c>
      <c r="AC960" s="50" t="str">
        <f>IFERROR(INDEX(Chemin_accès!$B$11:$C$22,MATCH(Tableau1[[#This Row],[Type]],Chemin_accès!$C$11:$C$22,0),1),Chemin_accès!$B$11)</f>
        <v>\\stjn.local\trimet\Btechnique\Commun\Atelier Central mécanique\Plan entretien\Modèles préventif\GammeDMS_7.MENG.xlsm</v>
      </c>
      <c r="AD960" s="50" t="str">
        <f>Chemin_accès!$B$8&amp;Tableau1[[#This Row],[Localisation / Classement]]&amp;"\"&amp;Tableau1[[#This Row],[Poste technique ou N° d''équipement]]&amp;"_"&amp;Tableau1[[#This Row],[Plan Entretien]]&amp;".xlsm"</f>
        <v>\\stjn.local\trimet\Btechnique\Commun\Atelier Central mécanique\Plan entretien\GammeEntretien\\_.xlsm</v>
      </c>
    </row>
    <row r="961" spans="1:30" x14ac:dyDescent="0.3">
      <c r="A961" s="44" t="str">
        <f t="shared" ref="A961:A1002" ca="1" si="15">MID(CELL("filename",$A$1),FIND("]",CELL("filename",$A$1))+1,32)</f>
        <v>7.MENG</v>
      </c>
      <c r="B96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61" s="47"/>
      <c r="D961" s="44"/>
      <c r="E961" s="44"/>
      <c r="F961" s="47"/>
      <c r="G961" s="47"/>
      <c r="H961" s="45"/>
      <c r="I961" s="45"/>
      <c r="J961" s="45"/>
      <c r="K961" s="45"/>
      <c r="L961" s="46"/>
      <c r="M961" s="47"/>
      <c r="N961" s="47"/>
      <c r="O961" s="47"/>
      <c r="P961" s="47"/>
      <c r="Q961" s="47"/>
      <c r="R961" s="47"/>
      <c r="S961" s="48"/>
      <c r="T961" s="68" t="str">
        <f>IF(Tableau1[[#This Row],[DMS_SAP]]="","",HYPERLINK(Tableau1[[#This Row],[Chemin fichier source]],"X"))</f>
        <v/>
      </c>
      <c r="U961" s="68" t="str">
        <f>IF(Tableau1[[#This Row],[Date rév.]]="","",HYPERLINK(Tableau1[[#This Row],[Lien document]],"X"))</f>
        <v/>
      </c>
      <c r="V961" s="47"/>
      <c r="W96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61" s="47"/>
      <c r="Y961" s="47"/>
      <c r="Z961" s="44" t="str">
        <f ca="1">IF(AND(Tableau1[[#This Row],[Charge]]&lt;&gt;0, Tableau1[[#This Row],[Nombre intervenants]]&lt;&gt;0,Tableau1[[#This Row],[Lien document]]&lt;&gt;0,Tableau1[[#This Row],[DMS_SAP]]&lt;&gt;0)=TRUE,"MIS A JOUR","")</f>
        <v/>
      </c>
      <c r="AA961" s="48"/>
      <c r="AB961" s="65" t="str">
        <f ca="1">IF(Tableau1[[#This Row],[Date rév.]]&lt;&gt;"", DAYS360(Tableau1[[#This Row],[Date rév.]],TODAY()),"")</f>
        <v/>
      </c>
      <c r="AC961" s="50" t="str">
        <f>IFERROR(INDEX(Chemin_accès!$B$11:$C$22,MATCH(Tableau1[[#This Row],[Type]],Chemin_accès!$C$11:$C$22,0),1),Chemin_accès!$B$11)</f>
        <v>\\stjn.local\trimet\Btechnique\Commun\Atelier Central mécanique\Plan entretien\Modèles préventif\GammeDMS_7.MENG.xlsm</v>
      </c>
      <c r="AD961" s="50" t="str">
        <f>Chemin_accès!$B$8&amp;Tableau1[[#This Row],[Localisation / Classement]]&amp;"\"&amp;Tableau1[[#This Row],[Poste technique ou N° d''équipement]]&amp;"_"&amp;Tableau1[[#This Row],[Plan Entretien]]&amp;".xlsm"</f>
        <v>\\stjn.local\trimet\Btechnique\Commun\Atelier Central mécanique\Plan entretien\GammeEntretien\\_.xlsm</v>
      </c>
    </row>
    <row r="962" spans="1:30" x14ac:dyDescent="0.3">
      <c r="A962" s="44" t="str">
        <f t="shared" ca="1" si="15"/>
        <v>7.MENG</v>
      </c>
      <c r="B96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62" s="47"/>
      <c r="D962" s="44"/>
      <c r="E962" s="44"/>
      <c r="F962" s="47"/>
      <c r="G962" s="47"/>
      <c r="H962" s="45"/>
      <c r="I962" s="45"/>
      <c r="J962" s="45"/>
      <c r="K962" s="45"/>
      <c r="L962" s="46"/>
      <c r="M962" s="47"/>
      <c r="N962" s="47"/>
      <c r="O962" s="47"/>
      <c r="P962" s="47"/>
      <c r="Q962" s="47"/>
      <c r="R962" s="47"/>
      <c r="S962" s="48"/>
      <c r="T962" s="68" t="str">
        <f>IF(Tableau1[[#This Row],[DMS_SAP]]="","",HYPERLINK(Tableau1[[#This Row],[Chemin fichier source]],"X"))</f>
        <v/>
      </c>
      <c r="U962" s="68" t="str">
        <f>IF(Tableau1[[#This Row],[Date rév.]]="","",HYPERLINK(Tableau1[[#This Row],[Lien document]],"X"))</f>
        <v/>
      </c>
      <c r="V962" s="47"/>
      <c r="W96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62" s="47"/>
      <c r="Y962" s="47"/>
      <c r="Z962" s="44" t="str">
        <f ca="1">IF(AND(Tableau1[[#This Row],[Charge]]&lt;&gt;0, Tableau1[[#This Row],[Nombre intervenants]]&lt;&gt;0,Tableau1[[#This Row],[Lien document]]&lt;&gt;0,Tableau1[[#This Row],[DMS_SAP]]&lt;&gt;0)=TRUE,"MIS A JOUR","")</f>
        <v/>
      </c>
      <c r="AA962" s="48"/>
      <c r="AB962" s="65" t="str">
        <f ca="1">IF(Tableau1[[#This Row],[Date rév.]]&lt;&gt;"", DAYS360(Tableau1[[#This Row],[Date rév.]],TODAY()),"")</f>
        <v/>
      </c>
      <c r="AC962" s="50" t="str">
        <f>IFERROR(INDEX(Chemin_accès!$B$11:$C$22,MATCH(Tableau1[[#This Row],[Type]],Chemin_accès!$C$11:$C$22,0),1),Chemin_accès!$B$11)</f>
        <v>\\stjn.local\trimet\Btechnique\Commun\Atelier Central mécanique\Plan entretien\Modèles préventif\GammeDMS_7.MENG.xlsm</v>
      </c>
      <c r="AD962" s="50" t="str">
        <f>Chemin_accès!$B$8&amp;Tableau1[[#This Row],[Localisation / Classement]]&amp;"\"&amp;Tableau1[[#This Row],[Poste technique ou N° d''équipement]]&amp;"_"&amp;Tableau1[[#This Row],[Plan Entretien]]&amp;".xlsm"</f>
        <v>\\stjn.local\trimet\Btechnique\Commun\Atelier Central mécanique\Plan entretien\GammeEntretien\\_.xlsm</v>
      </c>
    </row>
    <row r="963" spans="1:30" x14ac:dyDescent="0.3">
      <c r="A963" s="44" t="str">
        <f t="shared" ca="1" si="15"/>
        <v>7.MENG</v>
      </c>
      <c r="B96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63" s="47"/>
      <c r="D963" s="44"/>
      <c r="E963" s="44"/>
      <c r="F963" s="47"/>
      <c r="G963" s="47"/>
      <c r="H963" s="45"/>
      <c r="I963" s="45"/>
      <c r="J963" s="45"/>
      <c r="K963" s="45"/>
      <c r="L963" s="46"/>
      <c r="M963" s="47"/>
      <c r="N963" s="47"/>
      <c r="O963" s="47"/>
      <c r="P963" s="47"/>
      <c r="Q963" s="47"/>
      <c r="R963" s="47"/>
      <c r="S963" s="48"/>
      <c r="T963" s="68" t="str">
        <f>IF(Tableau1[[#This Row],[DMS_SAP]]="","",HYPERLINK(Tableau1[[#This Row],[Chemin fichier source]],"X"))</f>
        <v/>
      </c>
      <c r="U963" s="68" t="str">
        <f>IF(Tableau1[[#This Row],[Date rév.]]="","",HYPERLINK(Tableau1[[#This Row],[Lien document]],"X"))</f>
        <v/>
      </c>
      <c r="V963" s="47"/>
      <c r="W96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63" s="47"/>
      <c r="Y963" s="47"/>
      <c r="Z963" s="44" t="str">
        <f ca="1">IF(AND(Tableau1[[#This Row],[Charge]]&lt;&gt;0, Tableau1[[#This Row],[Nombre intervenants]]&lt;&gt;0,Tableau1[[#This Row],[Lien document]]&lt;&gt;0,Tableau1[[#This Row],[DMS_SAP]]&lt;&gt;0)=TRUE,"MIS A JOUR","")</f>
        <v/>
      </c>
      <c r="AA963" s="48"/>
      <c r="AB963" s="65" t="str">
        <f ca="1">IF(Tableau1[[#This Row],[Date rév.]]&lt;&gt;"", DAYS360(Tableau1[[#This Row],[Date rév.]],TODAY()),"")</f>
        <v/>
      </c>
      <c r="AC963" s="50" t="str">
        <f>IFERROR(INDEX(Chemin_accès!$B$11:$C$22,MATCH(Tableau1[[#This Row],[Type]],Chemin_accès!$C$11:$C$22,0),1),Chemin_accès!$B$11)</f>
        <v>\\stjn.local\trimet\Btechnique\Commun\Atelier Central mécanique\Plan entretien\Modèles préventif\GammeDMS_7.MENG.xlsm</v>
      </c>
      <c r="AD963" s="50" t="str">
        <f>Chemin_accès!$B$8&amp;Tableau1[[#This Row],[Localisation / Classement]]&amp;"\"&amp;Tableau1[[#This Row],[Poste technique ou N° d''équipement]]&amp;"_"&amp;Tableau1[[#This Row],[Plan Entretien]]&amp;".xlsm"</f>
        <v>\\stjn.local\trimet\Btechnique\Commun\Atelier Central mécanique\Plan entretien\GammeEntretien\\_.xlsm</v>
      </c>
    </row>
    <row r="964" spans="1:30" x14ac:dyDescent="0.3">
      <c r="A964" s="44" t="str">
        <f t="shared" ca="1" si="15"/>
        <v>7.MENG</v>
      </c>
      <c r="B96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64" s="47"/>
      <c r="D964" s="44"/>
      <c r="E964" s="44"/>
      <c r="F964" s="47"/>
      <c r="G964" s="47"/>
      <c r="H964" s="45"/>
      <c r="I964" s="45"/>
      <c r="J964" s="45"/>
      <c r="K964" s="45"/>
      <c r="L964" s="46"/>
      <c r="M964" s="47"/>
      <c r="N964" s="47"/>
      <c r="O964" s="47"/>
      <c r="P964" s="47"/>
      <c r="Q964" s="47"/>
      <c r="R964" s="47"/>
      <c r="S964" s="48"/>
      <c r="T964" s="68" t="str">
        <f>IF(Tableau1[[#This Row],[DMS_SAP]]="","",HYPERLINK(Tableau1[[#This Row],[Chemin fichier source]],"X"))</f>
        <v/>
      </c>
      <c r="U964" s="68" t="str">
        <f>IF(Tableau1[[#This Row],[Date rév.]]="","",HYPERLINK(Tableau1[[#This Row],[Lien document]],"X"))</f>
        <v/>
      </c>
      <c r="V964" s="47"/>
      <c r="W96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64" s="47"/>
      <c r="Y964" s="47"/>
      <c r="Z964" s="44" t="str">
        <f ca="1">IF(AND(Tableau1[[#This Row],[Charge]]&lt;&gt;0, Tableau1[[#This Row],[Nombre intervenants]]&lt;&gt;0,Tableau1[[#This Row],[Lien document]]&lt;&gt;0,Tableau1[[#This Row],[DMS_SAP]]&lt;&gt;0)=TRUE,"MIS A JOUR","")</f>
        <v/>
      </c>
      <c r="AA964" s="48"/>
      <c r="AB964" s="65" t="str">
        <f ca="1">IF(Tableau1[[#This Row],[Date rév.]]&lt;&gt;"", DAYS360(Tableau1[[#This Row],[Date rév.]],TODAY()),"")</f>
        <v/>
      </c>
      <c r="AC964" s="50" t="str">
        <f>IFERROR(INDEX(Chemin_accès!$B$11:$C$22,MATCH(Tableau1[[#This Row],[Type]],Chemin_accès!$C$11:$C$22,0),1),Chemin_accès!$B$11)</f>
        <v>\\stjn.local\trimet\Btechnique\Commun\Atelier Central mécanique\Plan entretien\Modèles préventif\GammeDMS_7.MENG.xlsm</v>
      </c>
      <c r="AD964" s="50" t="str">
        <f>Chemin_accès!$B$8&amp;Tableau1[[#This Row],[Localisation / Classement]]&amp;"\"&amp;Tableau1[[#This Row],[Poste technique ou N° d''équipement]]&amp;"_"&amp;Tableau1[[#This Row],[Plan Entretien]]&amp;".xlsm"</f>
        <v>\\stjn.local\trimet\Btechnique\Commun\Atelier Central mécanique\Plan entretien\GammeEntretien\\_.xlsm</v>
      </c>
    </row>
    <row r="965" spans="1:30" x14ac:dyDescent="0.3">
      <c r="A965" s="44" t="str">
        <f t="shared" ca="1" si="15"/>
        <v>7.MENG</v>
      </c>
      <c r="B96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65" s="47"/>
      <c r="D965" s="44"/>
      <c r="E965" s="44"/>
      <c r="F965" s="47"/>
      <c r="G965" s="47"/>
      <c r="H965" s="45"/>
      <c r="I965" s="45"/>
      <c r="J965" s="45"/>
      <c r="K965" s="45"/>
      <c r="L965" s="46"/>
      <c r="M965" s="47"/>
      <c r="N965" s="47"/>
      <c r="O965" s="47"/>
      <c r="P965" s="47"/>
      <c r="Q965" s="47"/>
      <c r="R965" s="47"/>
      <c r="S965" s="48"/>
      <c r="T965" s="68" t="str">
        <f>IF(Tableau1[[#This Row],[DMS_SAP]]="","",HYPERLINK(Tableau1[[#This Row],[Chemin fichier source]],"X"))</f>
        <v/>
      </c>
      <c r="U965" s="68" t="str">
        <f>IF(Tableau1[[#This Row],[Date rév.]]="","",HYPERLINK(Tableau1[[#This Row],[Lien document]],"X"))</f>
        <v/>
      </c>
      <c r="V965" s="47"/>
      <c r="W96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65" s="47"/>
      <c r="Y965" s="47"/>
      <c r="Z965" s="44" t="str">
        <f ca="1">IF(AND(Tableau1[[#This Row],[Charge]]&lt;&gt;0, Tableau1[[#This Row],[Nombre intervenants]]&lt;&gt;0,Tableau1[[#This Row],[Lien document]]&lt;&gt;0,Tableau1[[#This Row],[DMS_SAP]]&lt;&gt;0)=TRUE,"MIS A JOUR","")</f>
        <v/>
      </c>
      <c r="AA965" s="48"/>
      <c r="AB965" s="65" t="str">
        <f ca="1">IF(Tableau1[[#This Row],[Date rév.]]&lt;&gt;"", DAYS360(Tableau1[[#This Row],[Date rév.]],TODAY()),"")</f>
        <v/>
      </c>
      <c r="AC965" s="50" t="str">
        <f>IFERROR(INDEX(Chemin_accès!$B$11:$C$22,MATCH(Tableau1[[#This Row],[Type]],Chemin_accès!$C$11:$C$22,0),1),Chemin_accès!$B$11)</f>
        <v>\\stjn.local\trimet\Btechnique\Commun\Atelier Central mécanique\Plan entretien\Modèles préventif\GammeDMS_7.MENG.xlsm</v>
      </c>
      <c r="AD965" s="50" t="str">
        <f>Chemin_accès!$B$8&amp;Tableau1[[#This Row],[Localisation / Classement]]&amp;"\"&amp;Tableau1[[#This Row],[Poste technique ou N° d''équipement]]&amp;"_"&amp;Tableau1[[#This Row],[Plan Entretien]]&amp;".xlsm"</f>
        <v>\\stjn.local\trimet\Btechnique\Commun\Atelier Central mécanique\Plan entretien\GammeEntretien\\_.xlsm</v>
      </c>
    </row>
    <row r="966" spans="1:30" x14ac:dyDescent="0.3">
      <c r="A966" s="44" t="str">
        <f t="shared" ca="1" si="15"/>
        <v>7.MENG</v>
      </c>
      <c r="B96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66" s="47"/>
      <c r="D966" s="44"/>
      <c r="E966" s="44"/>
      <c r="F966" s="47"/>
      <c r="G966" s="47"/>
      <c r="H966" s="45"/>
      <c r="I966" s="45"/>
      <c r="J966" s="45"/>
      <c r="K966" s="45"/>
      <c r="L966" s="46"/>
      <c r="M966" s="47"/>
      <c r="N966" s="47"/>
      <c r="O966" s="47"/>
      <c r="P966" s="47"/>
      <c r="Q966" s="47"/>
      <c r="R966" s="47"/>
      <c r="S966" s="48"/>
      <c r="T966" s="68" t="str">
        <f>IF(Tableau1[[#This Row],[DMS_SAP]]="","",HYPERLINK(Tableau1[[#This Row],[Chemin fichier source]],"X"))</f>
        <v/>
      </c>
      <c r="U966" s="68" t="str">
        <f>IF(Tableau1[[#This Row],[Date rév.]]="","",HYPERLINK(Tableau1[[#This Row],[Lien document]],"X"))</f>
        <v/>
      </c>
      <c r="V966" s="47"/>
      <c r="W96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66" s="47"/>
      <c r="Y966" s="47"/>
      <c r="Z966" s="44" t="str">
        <f ca="1">IF(AND(Tableau1[[#This Row],[Charge]]&lt;&gt;0, Tableau1[[#This Row],[Nombre intervenants]]&lt;&gt;0,Tableau1[[#This Row],[Lien document]]&lt;&gt;0,Tableau1[[#This Row],[DMS_SAP]]&lt;&gt;0)=TRUE,"MIS A JOUR","")</f>
        <v/>
      </c>
      <c r="AA966" s="48"/>
      <c r="AB966" s="65" t="str">
        <f ca="1">IF(Tableau1[[#This Row],[Date rév.]]&lt;&gt;"", DAYS360(Tableau1[[#This Row],[Date rév.]],TODAY()),"")</f>
        <v/>
      </c>
      <c r="AC966" s="50" t="str">
        <f>IFERROR(INDEX(Chemin_accès!$B$11:$C$22,MATCH(Tableau1[[#This Row],[Type]],Chemin_accès!$C$11:$C$22,0),1),Chemin_accès!$B$11)</f>
        <v>\\stjn.local\trimet\Btechnique\Commun\Atelier Central mécanique\Plan entretien\Modèles préventif\GammeDMS_7.MENG.xlsm</v>
      </c>
      <c r="AD966" s="50" t="str">
        <f>Chemin_accès!$B$8&amp;Tableau1[[#This Row],[Localisation / Classement]]&amp;"\"&amp;Tableau1[[#This Row],[Poste technique ou N° d''équipement]]&amp;"_"&amp;Tableau1[[#This Row],[Plan Entretien]]&amp;".xlsm"</f>
        <v>\\stjn.local\trimet\Btechnique\Commun\Atelier Central mécanique\Plan entretien\GammeEntretien\\_.xlsm</v>
      </c>
    </row>
    <row r="967" spans="1:30" x14ac:dyDescent="0.3">
      <c r="A967" s="44" t="str">
        <f t="shared" ca="1" si="15"/>
        <v>7.MENG</v>
      </c>
      <c r="B96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67" s="47"/>
      <c r="D967" s="44"/>
      <c r="E967" s="44"/>
      <c r="F967" s="47"/>
      <c r="G967" s="47"/>
      <c r="H967" s="45"/>
      <c r="I967" s="45"/>
      <c r="J967" s="45"/>
      <c r="K967" s="45"/>
      <c r="L967" s="46"/>
      <c r="M967" s="47"/>
      <c r="N967" s="47"/>
      <c r="O967" s="47"/>
      <c r="P967" s="47"/>
      <c r="Q967" s="47"/>
      <c r="R967" s="47"/>
      <c r="S967" s="48"/>
      <c r="T967" s="68" t="str">
        <f>IF(Tableau1[[#This Row],[DMS_SAP]]="","",HYPERLINK(Tableau1[[#This Row],[Chemin fichier source]],"X"))</f>
        <v/>
      </c>
      <c r="U967" s="68" t="str">
        <f>IF(Tableau1[[#This Row],[Date rév.]]="","",HYPERLINK(Tableau1[[#This Row],[Lien document]],"X"))</f>
        <v/>
      </c>
      <c r="V967" s="47"/>
      <c r="W96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67" s="47"/>
      <c r="Y967" s="47"/>
      <c r="Z967" s="44" t="str">
        <f ca="1">IF(AND(Tableau1[[#This Row],[Charge]]&lt;&gt;0, Tableau1[[#This Row],[Nombre intervenants]]&lt;&gt;0,Tableau1[[#This Row],[Lien document]]&lt;&gt;0,Tableau1[[#This Row],[DMS_SAP]]&lt;&gt;0)=TRUE,"MIS A JOUR","")</f>
        <v/>
      </c>
      <c r="AA967" s="48"/>
      <c r="AB967" s="65" t="str">
        <f ca="1">IF(Tableau1[[#This Row],[Date rév.]]&lt;&gt;"", DAYS360(Tableau1[[#This Row],[Date rév.]],TODAY()),"")</f>
        <v/>
      </c>
      <c r="AC967" s="50" t="str">
        <f>IFERROR(INDEX(Chemin_accès!$B$11:$C$22,MATCH(Tableau1[[#This Row],[Type]],Chemin_accès!$C$11:$C$22,0),1),Chemin_accès!$B$11)</f>
        <v>\\stjn.local\trimet\Btechnique\Commun\Atelier Central mécanique\Plan entretien\Modèles préventif\GammeDMS_7.MENG.xlsm</v>
      </c>
      <c r="AD967" s="50" t="str">
        <f>Chemin_accès!$B$8&amp;Tableau1[[#This Row],[Localisation / Classement]]&amp;"\"&amp;Tableau1[[#This Row],[Poste technique ou N° d''équipement]]&amp;"_"&amp;Tableau1[[#This Row],[Plan Entretien]]&amp;".xlsm"</f>
        <v>\\stjn.local\trimet\Btechnique\Commun\Atelier Central mécanique\Plan entretien\GammeEntretien\\_.xlsm</v>
      </c>
    </row>
    <row r="968" spans="1:30" x14ac:dyDescent="0.3">
      <c r="A968" s="44" t="str">
        <f t="shared" ca="1" si="15"/>
        <v>7.MENG</v>
      </c>
      <c r="B96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68" s="47"/>
      <c r="D968" s="44"/>
      <c r="E968" s="44"/>
      <c r="F968" s="47"/>
      <c r="G968" s="47"/>
      <c r="H968" s="45"/>
      <c r="I968" s="45"/>
      <c r="J968" s="45"/>
      <c r="K968" s="45"/>
      <c r="L968" s="46"/>
      <c r="M968" s="47"/>
      <c r="N968" s="47"/>
      <c r="O968" s="47"/>
      <c r="P968" s="47"/>
      <c r="Q968" s="47"/>
      <c r="R968" s="47"/>
      <c r="S968" s="48"/>
      <c r="T968" s="68" t="str">
        <f>IF(Tableau1[[#This Row],[DMS_SAP]]="","",HYPERLINK(Tableau1[[#This Row],[Chemin fichier source]],"X"))</f>
        <v/>
      </c>
      <c r="U968" s="68" t="str">
        <f>IF(Tableau1[[#This Row],[Date rév.]]="","",HYPERLINK(Tableau1[[#This Row],[Lien document]],"X"))</f>
        <v/>
      </c>
      <c r="V968" s="47"/>
      <c r="W96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68" s="47"/>
      <c r="Y968" s="47"/>
      <c r="Z968" s="44" t="str">
        <f ca="1">IF(AND(Tableau1[[#This Row],[Charge]]&lt;&gt;0, Tableau1[[#This Row],[Nombre intervenants]]&lt;&gt;0,Tableau1[[#This Row],[Lien document]]&lt;&gt;0,Tableau1[[#This Row],[DMS_SAP]]&lt;&gt;0)=TRUE,"MIS A JOUR","")</f>
        <v/>
      </c>
      <c r="AA968" s="48"/>
      <c r="AB968" s="65" t="str">
        <f ca="1">IF(Tableau1[[#This Row],[Date rév.]]&lt;&gt;"", DAYS360(Tableau1[[#This Row],[Date rév.]],TODAY()),"")</f>
        <v/>
      </c>
      <c r="AC968" s="50" t="str">
        <f>IFERROR(INDEX(Chemin_accès!$B$11:$C$22,MATCH(Tableau1[[#This Row],[Type]],Chemin_accès!$C$11:$C$22,0),1),Chemin_accès!$B$11)</f>
        <v>\\stjn.local\trimet\Btechnique\Commun\Atelier Central mécanique\Plan entretien\Modèles préventif\GammeDMS_7.MENG.xlsm</v>
      </c>
      <c r="AD968" s="50" t="str">
        <f>Chemin_accès!$B$8&amp;Tableau1[[#This Row],[Localisation / Classement]]&amp;"\"&amp;Tableau1[[#This Row],[Poste technique ou N° d''équipement]]&amp;"_"&amp;Tableau1[[#This Row],[Plan Entretien]]&amp;".xlsm"</f>
        <v>\\stjn.local\trimet\Btechnique\Commun\Atelier Central mécanique\Plan entretien\GammeEntretien\\_.xlsm</v>
      </c>
    </row>
    <row r="969" spans="1:30" x14ac:dyDescent="0.3">
      <c r="A969" s="44" t="str">
        <f t="shared" ca="1" si="15"/>
        <v>7.MENG</v>
      </c>
      <c r="B96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69" s="47"/>
      <c r="D969" s="44"/>
      <c r="E969" s="44"/>
      <c r="F969" s="47"/>
      <c r="G969" s="47"/>
      <c r="H969" s="45"/>
      <c r="I969" s="45"/>
      <c r="J969" s="45"/>
      <c r="K969" s="45"/>
      <c r="L969" s="46"/>
      <c r="M969" s="47"/>
      <c r="N969" s="47"/>
      <c r="O969" s="47"/>
      <c r="P969" s="47"/>
      <c r="Q969" s="47"/>
      <c r="R969" s="47"/>
      <c r="S969" s="48"/>
      <c r="T969" s="68" t="str">
        <f>IF(Tableau1[[#This Row],[DMS_SAP]]="","",HYPERLINK(Tableau1[[#This Row],[Chemin fichier source]],"X"))</f>
        <v/>
      </c>
      <c r="U969" s="68" t="str">
        <f>IF(Tableau1[[#This Row],[Date rév.]]="","",HYPERLINK(Tableau1[[#This Row],[Lien document]],"X"))</f>
        <v/>
      </c>
      <c r="V969" s="47"/>
      <c r="W96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69" s="47"/>
      <c r="Y969" s="47"/>
      <c r="Z969" s="44" t="str">
        <f ca="1">IF(AND(Tableau1[[#This Row],[Charge]]&lt;&gt;0, Tableau1[[#This Row],[Nombre intervenants]]&lt;&gt;0,Tableau1[[#This Row],[Lien document]]&lt;&gt;0,Tableau1[[#This Row],[DMS_SAP]]&lt;&gt;0)=TRUE,"MIS A JOUR","")</f>
        <v/>
      </c>
      <c r="AA969" s="48"/>
      <c r="AB969" s="65" t="str">
        <f ca="1">IF(Tableau1[[#This Row],[Date rév.]]&lt;&gt;"", DAYS360(Tableau1[[#This Row],[Date rév.]],TODAY()),"")</f>
        <v/>
      </c>
      <c r="AC969" s="50" t="str">
        <f>IFERROR(INDEX(Chemin_accès!$B$11:$C$22,MATCH(Tableau1[[#This Row],[Type]],Chemin_accès!$C$11:$C$22,0),1),Chemin_accès!$B$11)</f>
        <v>\\stjn.local\trimet\Btechnique\Commun\Atelier Central mécanique\Plan entretien\Modèles préventif\GammeDMS_7.MENG.xlsm</v>
      </c>
      <c r="AD969" s="50" t="str">
        <f>Chemin_accès!$B$8&amp;Tableau1[[#This Row],[Localisation / Classement]]&amp;"\"&amp;Tableau1[[#This Row],[Poste technique ou N° d''équipement]]&amp;"_"&amp;Tableau1[[#This Row],[Plan Entretien]]&amp;".xlsm"</f>
        <v>\\stjn.local\trimet\Btechnique\Commun\Atelier Central mécanique\Plan entretien\GammeEntretien\\_.xlsm</v>
      </c>
    </row>
    <row r="970" spans="1:30" x14ac:dyDescent="0.3">
      <c r="A970" s="44" t="str">
        <f t="shared" ca="1" si="15"/>
        <v>7.MENG</v>
      </c>
      <c r="B97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70" s="47"/>
      <c r="D970" s="44"/>
      <c r="E970" s="44"/>
      <c r="F970" s="47"/>
      <c r="G970" s="47"/>
      <c r="H970" s="45"/>
      <c r="I970" s="45"/>
      <c r="J970" s="45"/>
      <c r="K970" s="45"/>
      <c r="L970" s="46"/>
      <c r="M970" s="47"/>
      <c r="N970" s="47"/>
      <c r="O970" s="47"/>
      <c r="P970" s="47"/>
      <c r="Q970" s="47"/>
      <c r="R970" s="47"/>
      <c r="S970" s="48"/>
      <c r="T970" s="68" t="str">
        <f>IF(Tableau1[[#This Row],[DMS_SAP]]="","",HYPERLINK(Tableau1[[#This Row],[Chemin fichier source]],"X"))</f>
        <v/>
      </c>
      <c r="U970" s="68" t="str">
        <f>IF(Tableau1[[#This Row],[Date rév.]]="","",HYPERLINK(Tableau1[[#This Row],[Lien document]],"X"))</f>
        <v/>
      </c>
      <c r="V970" s="47"/>
      <c r="W97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70" s="47"/>
      <c r="Y970" s="47"/>
      <c r="Z970" s="44" t="str">
        <f ca="1">IF(AND(Tableau1[[#This Row],[Charge]]&lt;&gt;0, Tableau1[[#This Row],[Nombre intervenants]]&lt;&gt;0,Tableau1[[#This Row],[Lien document]]&lt;&gt;0,Tableau1[[#This Row],[DMS_SAP]]&lt;&gt;0)=TRUE,"MIS A JOUR","")</f>
        <v/>
      </c>
      <c r="AA970" s="48"/>
      <c r="AB970" s="65" t="str">
        <f ca="1">IF(Tableau1[[#This Row],[Date rév.]]&lt;&gt;"", DAYS360(Tableau1[[#This Row],[Date rév.]],TODAY()),"")</f>
        <v/>
      </c>
      <c r="AC970" s="50" t="str">
        <f>IFERROR(INDEX(Chemin_accès!$B$11:$C$22,MATCH(Tableau1[[#This Row],[Type]],Chemin_accès!$C$11:$C$22,0),1),Chemin_accès!$B$11)</f>
        <v>\\stjn.local\trimet\Btechnique\Commun\Atelier Central mécanique\Plan entretien\Modèles préventif\GammeDMS_7.MENG.xlsm</v>
      </c>
      <c r="AD970" s="50" t="str">
        <f>Chemin_accès!$B$8&amp;Tableau1[[#This Row],[Localisation / Classement]]&amp;"\"&amp;Tableau1[[#This Row],[Poste technique ou N° d''équipement]]&amp;"_"&amp;Tableau1[[#This Row],[Plan Entretien]]&amp;".xlsm"</f>
        <v>\\stjn.local\trimet\Btechnique\Commun\Atelier Central mécanique\Plan entretien\GammeEntretien\\_.xlsm</v>
      </c>
    </row>
    <row r="971" spans="1:30" x14ac:dyDescent="0.3">
      <c r="A971" s="44" t="str">
        <f t="shared" ca="1" si="15"/>
        <v>7.MENG</v>
      </c>
      <c r="B97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71" s="47"/>
      <c r="D971" s="44"/>
      <c r="E971" s="44"/>
      <c r="F971" s="47"/>
      <c r="G971" s="47"/>
      <c r="H971" s="45"/>
      <c r="I971" s="45"/>
      <c r="J971" s="45"/>
      <c r="K971" s="45"/>
      <c r="L971" s="46"/>
      <c r="M971" s="47"/>
      <c r="N971" s="47"/>
      <c r="O971" s="47"/>
      <c r="P971" s="47"/>
      <c r="Q971" s="47"/>
      <c r="R971" s="47"/>
      <c r="S971" s="48"/>
      <c r="T971" s="68" t="str">
        <f>IF(Tableau1[[#This Row],[DMS_SAP]]="","",HYPERLINK(Tableau1[[#This Row],[Chemin fichier source]],"X"))</f>
        <v/>
      </c>
      <c r="U971" s="68" t="str">
        <f>IF(Tableau1[[#This Row],[Date rév.]]="","",HYPERLINK(Tableau1[[#This Row],[Lien document]],"X"))</f>
        <v/>
      </c>
      <c r="V971" s="47"/>
      <c r="W97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71" s="47"/>
      <c r="Y971" s="47"/>
      <c r="Z971" s="44" t="str">
        <f ca="1">IF(AND(Tableau1[[#This Row],[Charge]]&lt;&gt;0, Tableau1[[#This Row],[Nombre intervenants]]&lt;&gt;0,Tableau1[[#This Row],[Lien document]]&lt;&gt;0,Tableau1[[#This Row],[DMS_SAP]]&lt;&gt;0)=TRUE,"MIS A JOUR","")</f>
        <v/>
      </c>
      <c r="AA971" s="48"/>
      <c r="AB971" s="65" t="str">
        <f ca="1">IF(Tableau1[[#This Row],[Date rév.]]&lt;&gt;"", DAYS360(Tableau1[[#This Row],[Date rév.]],TODAY()),"")</f>
        <v/>
      </c>
      <c r="AC971" s="50" t="str">
        <f>IFERROR(INDEX(Chemin_accès!$B$11:$C$22,MATCH(Tableau1[[#This Row],[Type]],Chemin_accès!$C$11:$C$22,0),1),Chemin_accès!$B$11)</f>
        <v>\\stjn.local\trimet\Btechnique\Commun\Atelier Central mécanique\Plan entretien\Modèles préventif\GammeDMS_7.MENG.xlsm</v>
      </c>
      <c r="AD971" s="50" t="str">
        <f>Chemin_accès!$B$8&amp;Tableau1[[#This Row],[Localisation / Classement]]&amp;"\"&amp;Tableau1[[#This Row],[Poste technique ou N° d''équipement]]&amp;"_"&amp;Tableau1[[#This Row],[Plan Entretien]]&amp;".xlsm"</f>
        <v>\\stjn.local\trimet\Btechnique\Commun\Atelier Central mécanique\Plan entretien\GammeEntretien\\_.xlsm</v>
      </c>
    </row>
    <row r="972" spans="1:30" x14ac:dyDescent="0.3">
      <c r="A972" s="44" t="str">
        <f t="shared" ca="1" si="15"/>
        <v>7.MENG</v>
      </c>
      <c r="B97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72" s="47"/>
      <c r="D972" s="44"/>
      <c r="E972" s="44"/>
      <c r="F972" s="47"/>
      <c r="G972" s="47"/>
      <c r="H972" s="45"/>
      <c r="I972" s="45"/>
      <c r="J972" s="45"/>
      <c r="K972" s="45"/>
      <c r="L972" s="46"/>
      <c r="M972" s="47"/>
      <c r="N972" s="47"/>
      <c r="O972" s="47"/>
      <c r="P972" s="47"/>
      <c r="Q972" s="47"/>
      <c r="R972" s="47"/>
      <c r="S972" s="48"/>
      <c r="T972" s="68" t="str">
        <f>IF(Tableau1[[#This Row],[DMS_SAP]]="","",HYPERLINK(Tableau1[[#This Row],[Chemin fichier source]],"X"))</f>
        <v/>
      </c>
      <c r="U972" s="68" t="str">
        <f>IF(Tableau1[[#This Row],[Date rév.]]="","",HYPERLINK(Tableau1[[#This Row],[Lien document]],"X"))</f>
        <v/>
      </c>
      <c r="V972" s="47"/>
      <c r="W97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72" s="47"/>
      <c r="Y972" s="47"/>
      <c r="Z972" s="44" t="str">
        <f ca="1">IF(AND(Tableau1[[#This Row],[Charge]]&lt;&gt;0, Tableau1[[#This Row],[Nombre intervenants]]&lt;&gt;0,Tableau1[[#This Row],[Lien document]]&lt;&gt;0,Tableau1[[#This Row],[DMS_SAP]]&lt;&gt;0)=TRUE,"MIS A JOUR","")</f>
        <v/>
      </c>
      <c r="AA972" s="48"/>
      <c r="AB972" s="65" t="str">
        <f ca="1">IF(Tableau1[[#This Row],[Date rév.]]&lt;&gt;"", DAYS360(Tableau1[[#This Row],[Date rév.]],TODAY()),"")</f>
        <v/>
      </c>
      <c r="AC972" s="50" t="str">
        <f>IFERROR(INDEX(Chemin_accès!$B$11:$C$22,MATCH(Tableau1[[#This Row],[Type]],Chemin_accès!$C$11:$C$22,0),1),Chemin_accès!$B$11)</f>
        <v>\\stjn.local\trimet\Btechnique\Commun\Atelier Central mécanique\Plan entretien\Modèles préventif\GammeDMS_7.MENG.xlsm</v>
      </c>
      <c r="AD972" s="50" t="str">
        <f>Chemin_accès!$B$8&amp;Tableau1[[#This Row],[Localisation / Classement]]&amp;"\"&amp;Tableau1[[#This Row],[Poste technique ou N° d''équipement]]&amp;"_"&amp;Tableau1[[#This Row],[Plan Entretien]]&amp;".xlsm"</f>
        <v>\\stjn.local\trimet\Btechnique\Commun\Atelier Central mécanique\Plan entretien\GammeEntretien\\_.xlsm</v>
      </c>
    </row>
    <row r="973" spans="1:30" x14ac:dyDescent="0.3">
      <c r="A973" s="44" t="str">
        <f t="shared" ca="1" si="15"/>
        <v>7.MENG</v>
      </c>
      <c r="B97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73" s="47"/>
      <c r="D973" s="44"/>
      <c r="E973" s="44"/>
      <c r="F973" s="47"/>
      <c r="G973" s="47"/>
      <c r="H973" s="45"/>
      <c r="I973" s="45"/>
      <c r="J973" s="45"/>
      <c r="K973" s="45"/>
      <c r="L973" s="46"/>
      <c r="M973" s="47"/>
      <c r="N973" s="47"/>
      <c r="O973" s="47"/>
      <c r="P973" s="47"/>
      <c r="Q973" s="47"/>
      <c r="R973" s="47"/>
      <c r="S973" s="48"/>
      <c r="T973" s="68" t="str">
        <f>IF(Tableau1[[#This Row],[DMS_SAP]]="","",HYPERLINK(Tableau1[[#This Row],[Chemin fichier source]],"X"))</f>
        <v/>
      </c>
      <c r="U973" s="68" t="str">
        <f>IF(Tableau1[[#This Row],[Date rév.]]="","",HYPERLINK(Tableau1[[#This Row],[Lien document]],"X"))</f>
        <v/>
      </c>
      <c r="V973" s="47"/>
      <c r="W97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73" s="47"/>
      <c r="Y973" s="47"/>
      <c r="Z973" s="44" t="str">
        <f ca="1">IF(AND(Tableau1[[#This Row],[Charge]]&lt;&gt;0, Tableau1[[#This Row],[Nombre intervenants]]&lt;&gt;0,Tableau1[[#This Row],[Lien document]]&lt;&gt;0,Tableau1[[#This Row],[DMS_SAP]]&lt;&gt;0)=TRUE,"MIS A JOUR","")</f>
        <v/>
      </c>
      <c r="AA973" s="48"/>
      <c r="AB973" s="65" t="str">
        <f ca="1">IF(Tableau1[[#This Row],[Date rév.]]&lt;&gt;"", DAYS360(Tableau1[[#This Row],[Date rév.]],TODAY()),"")</f>
        <v/>
      </c>
      <c r="AC973" s="50" t="str">
        <f>IFERROR(INDEX(Chemin_accès!$B$11:$C$22,MATCH(Tableau1[[#This Row],[Type]],Chemin_accès!$C$11:$C$22,0),1),Chemin_accès!$B$11)</f>
        <v>\\stjn.local\trimet\Btechnique\Commun\Atelier Central mécanique\Plan entretien\Modèles préventif\GammeDMS_7.MENG.xlsm</v>
      </c>
      <c r="AD973" s="50" t="str">
        <f>Chemin_accès!$B$8&amp;Tableau1[[#This Row],[Localisation / Classement]]&amp;"\"&amp;Tableau1[[#This Row],[Poste technique ou N° d''équipement]]&amp;"_"&amp;Tableau1[[#This Row],[Plan Entretien]]&amp;".xlsm"</f>
        <v>\\stjn.local\trimet\Btechnique\Commun\Atelier Central mécanique\Plan entretien\GammeEntretien\\_.xlsm</v>
      </c>
    </row>
    <row r="974" spans="1:30" x14ac:dyDescent="0.3">
      <c r="A974" s="44" t="str">
        <f t="shared" ca="1" si="15"/>
        <v>7.MENG</v>
      </c>
      <c r="B97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74" s="47"/>
      <c r="D974" s="44"/>
      <c r="E974" s="44"/>
      <c r="F974" s="47"/>
      <c r="G974" s="47"/>
      <c r="H974" s="45"/>
      <c r="I974" s="45"/>
      <c r="J974" s="45"/>
      <c r="K974" s="45"/>
      <c r="L974" s="46"/>
      <c r="M974" s="47"/>
      <c r="N974" s="47"/>
      <c r="O974" s="47"/>
      <c r="P974" s="47"/>
      <c r="Q974" s="47"/>
      <c r="R974" s="47"/>
      <c r="S974" s="48"/>
      <c r="T974" s="68" t="str">
        <f>IF(Tableau1[[#This Row],[DMS_SAP]]="","",HYPERLINK(Tableau1[[#This Row],[Chemin fichier source]],"X"))</f>
        <v/>
      </c>
      <c r="U974" s="68" t="str">
        <f>IF(Tableau1[[#This Row],[Date rév.]]="","",HYPERLINK(Tableau1[[#This Row],[Lien document]],"X"))</f>
        <v/>
      </c>
      <c r="V974" s="47"/>
      <c r="W97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74" s="47"/>
      <c r="Y974" s="47"/>
      <c r="Z974" s="44" t="str">
        <f ca="1">IF(AND(Tableau1[[#This Row],[Charge]]&lt;&gt;0, Tableau1[[#This Row],[Nombre intervenants]]&lt;&gt;0,Tableau1[[#This Row],[Lien document]]&lt;&gt;0,Tableau1[[#This Row],[DMS_SAP]]&lt;&gt;0)=TRUE,"MIS A JOUR","")</f>
        <v/>
      </c>
      <c r="AA974" s="48"/>
      <c r="AB974" s="65" t="str">
        <f ca="1">IF(Tableau1[[#This Row],[Date rév.]]&lt;&gt;"", DAYS360(Tableau1[[#This Row],[Date rév.]],TODAY()),"")</f>
        <v/>
      </c>
      <c r="AC974" s="50" t="str">
        <f>IFERROR(INDEX(Chemin_accès!$B$11:$C$22,MATCH(Tableau1[[#This Row],[Type]],Chemin_accès!$C$11:$C$22,0),1),Chemin_accès!$B$11)</f>
        <v>\\stjn.local\trimet\Btechnique\Commun\Atelier Central mécanique\Plan entretien\Modèles préventif\GammeDMS_7.MENG.xlsm</v>
      </c>
      <c r="AD974" s="50" t="str">
        <f>Chemin_accès!$B$8&amp;Tableau1[[#This Row],[Localisation / Classement]]&amp;"\"&amp;Tableau1[[#This Row],[Poste technique ou N° d''équipement]]&amp;"_"&amp;Tableau1[[#This Row],[Plan Entretien]]&amp;".xlsm"</f>
        <v>\\stjn.local\trimet\Btechnique\Commun\Atelier Central mécanique\Plan entretien\GammeEntretien\\_.xlsm</v>
      </c>
    </row>
    <row r="975" spans="1:30" x14ac:dyDescent="0.3">
      <c r="A975" s="44" t="str">
        <f t="shared" ca="1" si="15"/>
        <v>7.MENG</v>
      </c>
      <c r="B97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75" s="47"/>
      <c r="D975" s="44"/>
      <c r="E975" s="44"/>
      <c r="F975" s="47"/>
      <c r="G975" s="47"/>
      <c r="H975" s="45"/>
      <c r="I975" s="45"/>
      <c r="J975" s="45"/>
      <c r="K975" s="45"/>
      <c r="L975" s="46"/>
      <c r="M975" s="47"/>
      <c r="N975" s="47"/>
      <c r="O975" s="47"/>
      <c r="P975" s="47"/>
      <c r="Q975" s="47"/>
      <c r="R975" s="47"/>
      <c r="S975" s="48"/>
      <c r="T975" s="68" t="str">
        <f>IF(Tableau1[[#This Row],[DMS_SAP]]="","",HYPERLINK(Tableau1[[#This Row],[Chemin fichier source]],"X"))</f>
        <v/>
      </c>
      <c r="U975" s="68" t="str">
        <f>IF(Tableau1[[#This Row],[Date rév.]]="","",HYPERLINK(Tableau1[[#This Row],[Lien document]],"X"))</f>
        <v/>
      </c>
      <c r="V975" s="47"/>
      <c r="W97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75" s="47"/>
      <c r="Y975" s="47"/>
      <c r="Z975" s="44" t="str">
        <f ca="1">IF(AND(Tableau1[[#This Row],[Charge]]&lt;&gt;0, Tableau1[[#This Row],[Nombre intervenants]]&lt;&gt;0,Tableau1[[#This Row],[Lien document]]&lt;&gt;0,Tableau1[[#This Row],[DMS_SAP]]&lt;&gt;0)=TRUE,"MIS A JOUR","")</f>
        <v/>
      </c>
      <c r="AA975" s="48"/>
      <c r="AB975" s="65" t="str">
        <f ca="1">IF(Tableau1[[#This Row],[Date rév.]]&lt;&gt;"", DAYS360(Tableau1[[#This Row],[Date rév.]],TODAY()),"")</f>
        <v/>
      </c>
      <c r="AC975" s="50" t="str">
        <f>IFERROR(INDEX(Chemin_accès!$B$11:$C$22,MATCH(Tableau1[[#This Row],[Type]],Chemin_accès!$C$11:$C$22,0),1),Chemin_accès!$B$11)</f>
        <v>\\stjn.local\trimet\Btechnique\Commun\Atelier Central mécanique\Plan entretien\Modèles préventif\GammeDMS_7.MENG.xlsm</v>
      </c>
      <c r="AD975" s="50" t="str">
        <f>Chemin_accès!$B$8&amp;Tableau1[[#This Row],[Localisation / Classement]]&amp;"\"&amp;Tableau1[[#This Row],[Poste technique ou N° d''équipement]]&amp;"_"&amp;Tableau1[[#This Row],[Plan Entretien]]&amp;".xlsm"</f>
        <v>\\stjn.local\trimet\Btechnique\Commun\Atelier Central mécanique\Plan entretien\GammeEntretien\\_.xlsm</v>
      </c>
    </row>
    <row r="976" spans="1:30" x14ac:dyDescent="0.3">
      <c r="A976" s="44" t="str">
        <f t="shared" ca="1" si="15"/>
        <v>7.MENG</v>
      </c>
      <c r="B97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76" s="47"/>
      <c r="D976" s="44"/>
      <c r="E976" s="44"/>
      <c r="F976" s="47"/>
      <c r="G976" s="47"/>
      <c r="H976" s="45"/>
      <c r="I976" s="45"/>
      <c r="J976" s="45"/>
      <c r="K976" s="45"/>
      <c r="L976" s="46"/>
      <c r="M976" s="47"/>
      <c r="N976" s="47"/>
      <c r="O976" s="47"/>
      <c r="P976" s="47"/>
      <c r="Q976" s="47"/>
      <c r="R976" s="47"/>
      <c r="S976" s="48"/>
      <c r="T976" s="68" t="str">
        <f>IF(Tableau1[[#This Row],[DMS_SAP]]="","",HYPERLINK(Tableau1[[#This Row],[Chemin fichier source]],"X"))</f>
        <v/>
      </c>
      <c r="U976" s="68" t="str">
        <f>IF(Tableau1[[#This Row],[Date rév.]]="","",HYPERLINK(Tableau1[[#This Row],[Lien document]],"X"))</f>
        <v/>
      </c>
      <c r="V976" s="47"/>
      <c r="W97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76" s="47"/>
      <c r="Y976" s="47"/>
      <c r="Z976" s="44" t="str">
        <f ca="1">IF(AND(Tableau1[[#This Row],[Charge]]&lt;&gt;0, Tableau1[[#This Row],[Nombre intervenants]]&lt;&gt;0,Tableau1[[#This Row],[Lien document]]&lt;&gt;0,Tableau1[[#This Row],[DMS_SAP]]&lt;&gt;0)=TRUE,"MIS A JOUR","")</f>
        <v/>
      </c>
      <c r="AA976" s="48"/>
      <c r="AB976" s="65" t="str">
        <f ca="1">IF(Tableau1[[#This Row],[Date rév.]]&lt;&gt;"", DAYS360(Tableau1[[#This Row],[Date rév.]],TODAY()),"")</f>
        <v/>
      </c>
      <c r="AC976" s="50" t="str">
        <f>IFERROR(INDEX(Chemin_accès!$B$11:$C$22,MATCH(Tableau1[[#This Row],[Type]],Chemin_accès!$C$11:$C$22,0),1),Chemin_accès!$B$11)</f>
        <v>\\stjn.local\trimet\Btechnique\Commun\Atelier Central mécanique\Plan entretien\Modèles préventif\GammeDMS_7.MENG.xlsm</v>
      </c>
      <c r="AD976" s="50" t="str">
        <f>Chemin_accès!$B$8&amp;Tableau1[[#This Row],[Localisation / Classement]]&amp;"\"&amp;Tableau1[[#This Row],[Poste technique ou N° d''équipement]]&amp;"_"&amp;Tableau1[[#This Row],[Plan Entretien]]&amp;".xlsm"</f>
        <v>\\stjn.local\trimet\Btechnique\Commun\Atelier Central mécanique\Plan entretien\GammeEntretien\\_.xlsm</v>
      </c>
    </row>
    <row r="977" spans="1:30" x14ac:dyDescent="0.3">
      <c r="A977" s="44" t="str">
        <f t="shared" ca="1" si="15"/>
        <v>7.MENG</v>
      </c>
      <c r="B97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77" s="47"/>
      <c r="D977" s="44"/>
      <c r="E977" s="44"/>
      <c r="F977" s="47"/>
      <c r="G977" s="47"/>
      <c r="H977" s="45"/>
      <c r="I977" s="45"/>
      <c r="J977" s="45"/>
      <c r="K977" s="45"/>
      <c r="L977" s="46"/>
      <c r="M977" s="47"/>
      <c r="N977" s="47"/>
      <c r="O977" s="47"/>
      <c r="P977" s="47"/>
      <c r="Q977" s="47"/>
      <c r="R977" s="47"/>
      <c r="S977" s="48"/>
      <c r="T977" s="68" t="str">
        <f>IF(Tableau1[[#This Row],[DMS_SAP]]="","",HYPERLINK(Tableau1[[#This Row],[Chemin fichier source]],"X"))</f>
        <v/>
      </c>
      <c r="U977" s="68" t="str">
        <f>IF(Tableau1[[#This Row],[Date rév.]]="","",HYPERLINK(Tableau1[[#This Row],[Lien document]],"X"))</f>
        <v/>
      </c>
      <c r="V977" s="47"/>
      <c r="W97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77" s="47"/>
      <c r="Y977" s="47"/>
      <c r="Z977" s="44" t="str">
        <f ca="1">IF(AND(Tableau1[[#This Row],[Charge]]&lt;&gt;0, Tableau1[[#This Row],[Nombre intervenants]]&lt;&gt;0,Tableau1[[#This Row],[Lien document]]&lt;&gt;0,Tableau1[[#This Row],[DMS_SAP]]&lt;&gt;0)=TRUE,"MIS A JOUR","")</f>
        <v/>
      </c>
      <c r="AA977" s="48"/>
      <c r="AB977" s="65" t="str">
        <f ca="1">IF(Tableau1[[#This Row],[Date rév.]]&lt;&gt;"", DAYS360(Tableau1[[#This Row],[Date rév.]],TODAY()),"")</f>
        <v/>
      </c>
      <c r="AC977" s="50" t="str">
        <f>IFERROR(INDEX(Chemin_accès!$B$11:$C$22,MATCH(Tableau1[[#This Row],[Type]],Chemin_accès!$C$11:$C$22,0),1),Chemin_accès!$B$11)</f>
        <v>\\stjn.local\trimet\Btechnique\Commun\Atelier Central mécanique\Plan entretien\Modèles préventif\GammeDMS_7.MENG.xlsm</v>
      </c>
      <c r="AD977" s="50" t="str">
        <f>Chemin_accès!$B$8&amp;Tableau1[[#This Row],[Localisation / Classement]]&amp;"\"&amp;Tableau1[[#This Row],[Poste technique ou N° d''équipement]]&amp;"_"&amp;Tableau1[[#This Row],[Plan Entretien]]&amp;".xlsm"</f>
        <v>\\stjn.local\trimet\Btechnique\Commun\Atelier Central mécanique\Plan entretien\GammeEntretien\\_.xlsm</v>
      </c>
    </row>
    <row r="978" spans="1:30" x14ac:dyDescent="0.3">
      <c r="A978" s="44" t="str">
        <f t="shared" ca="1" si="15"/>
        <v>7.MENG</v>
      </c>
      <c r="B97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78" s="47"/>
      <c r="D978" s="44"/>
      <c r="E978" s="44"/>
      <c r="F978" s="47"/>
      <c r="G978" s="47"/>
      <c r="H978" s="45"/>
      <c r="I978" s="45"/>
      <c r="J978" s="45"/>
      <c r="K978" s="45"/>
      <c r="L978" s="46"/>
      <c r="M978" s="47"/>
      <c r="N978" s="47"/>
      <c r="O978" s="47"/>
      <c r="P978" s="47"/>
      <c r="Q978" s="47"/>
      <c r="R978" s="47"/>
      <c r="S978" s="48"/>
      <c r="T978" s="68" t="str">
        <f>IF(Tableau1[[#This Row],[DMS_SAP]]="","",HYPERLINK(Tableau1[[#This Row],[Chemin fichier source]],"X"))</f>
        <v/>
      </c>
      <c r="U978" s="68" t="str">
        <f>IF(Tableau1[[#This Row],[Date rév.]]="","",HYPERLINK(Tableau1[[#This Row],[Lien document]],"X"))</f>
        <v/>
      </c>
      <c r="V978" s="47"/>
      <c r="W97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78" s="47"/>
      <c r="Y978" s="47"/>
      <c r="Z978" s="44" t="str">
        <f ca="1">IF(AND(Tableau1[[#This Row],[Charge]]&lt;&gt;0, Tableau1[[#This Row],[Nombre intervenants]]&lt;&gt;0,Tableau1[[#This Row],[Lien document]]&lt;&gt;0,Tableau1[[#This Row],[DMS_SAP]]&lt;&gt;0)=TRUE,"MIS A JOUR","")</f>
        <v/>
      </c>
      <c r="AA978" s="48"/>
      <c r="AB978" s="65" t="str">
        <f ca="1">IF(Tableau1[[#This Row],[Date rév.]]&lt;&gt;"", DAYS360(Tableau1[[#This Row],[Date rév.]],TODAY()),"")</f>
        <v/>
      </c>
      <c r="AC978" s="50" t="str">
        <f>IFERROR(INDEX(Chemin_accès!$B$11:$C$22,MATCH(Tableau1[[#This Row],[Type]],Chemin_accès!$C$11:$C$22,0),1),Chemin_accès!$B$11)</f>
        <v>\\stjn.local\trimet\Btechnique\Commun\Atelier Central mécanique\Plan entretien\Modèles préventif\GammeDMS_7.MENG.xlsm</v>
      </c>
      <c r="AD978" s="50" t="str">
        <f>Chemin_accès!$B$8&amp;Tableau1[[#This Row],[Localisation / Classement]]&amp;"\"&amp;Tableau1[[#This Row],[Poste technique ou N° d''équipement]]&amp;"_"&amp;Tableau1[[#This Row],[Plan Entretien]]&amp;".xlsm"</f>
        <v>\\stjn.local\trimet\Btechnique\Commun\Atelier Central mécanique\Plan entretien\GammeEntretien\\_.xlsm</v>
      </c>
    </row>
    <row r="979" spans="1:30" x14ac:dyDescent="0.3">
      <c r="A979" s="44" t="str">
        <f t="shared" ca="1" si="15"/>
        <v>7.MENG</v>
      </c>
      <c r="B97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79" s="47"/>
      <c r="D979" s="44"/>
      <c r="E979" s="44"/>
      <c r="F979" s="47"/>
      <c r="G979" s="47"/>
      <c r="H979" s="45"/>
      <c r="I979" s="45"/>
      <c r="J979" s="45"/>
      <c r="K979" s="45"/>
      <c r="L979" s="46"/>
      <c r="M979" s="47"/>
      <c r="N979" s="47"/>
      <c r="O979" s="47"/>
      <c r="P979" s="47"/>
      <c r="Q979" s="47"/>
      <c r="R979" s="47"/>
      <c r="S979" s="48"/>
      <c r="T979" s="68" t="str">
        <f>IF(Tableau1[[#This Row],[DMS_SAP]]="","",HYPERLINK(Tableau1[[#This Row],[Chemin fichier source]],"X"))</f>
        <v/>
      </c>
      <c r="U979" s="68" t="str">
        <f>IF(Tableau1[[#This Row],[Date rév.]]="","",HYPERLINK(Tableau1[[#This Row],[Lien document]],"X"))</f>
        <v/>
      </c>
      <c r="V979" s="47"/>
      <c r="W97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79" s="47"/>
      <c r="Y979" s="47"/>
      <c r="Z979" s="44" t="str">
        <f ca="1">IF(AND(Tableau1[[#This Row],[Charge]]&lt;&gt;0, Tableau1[[#This Row],[Nombre intervenants]]&lt;&gt;0,Tableau1[[#This Row],[Lien document]]&lt;&gt;0,Tableau1[[#This Row],[DMS_SAP]]&lt;&gt;0)=TRUE,"MIS A JOUR","")</f>
        <v/>
      </c>
      <c r="AA979" s="48"/>
      <c r="AB979" s="65" t="str">
        <f ca="1">IF(Tableau1[[#This Row],[Date rév.]]&lt;&gt;"", DAYS360(Tableau1[[#This Row],[Date rév.]],TODAY()),"")</f>
        <v/>
      </c>
      <c r="AC979" s="50" t="str">
        <f>IFERROR(INDEX(Chemin_accès!$B$11:$C$22,MATCH(Tableau1[[#This Row],[Type]],Chemin_accès!$C$11:$C$22,0),1),Chemin_accès!$B$11)</f>
        <v>\\stjn.local\trimet\Btechnique\Commun\Atelier Central mécanique\Plan entretien\Modèles préventif\GammeDMS_7.MENG.xlsm</v>
      </c>
      <c r="AD979" s="50" t="str">
        <f>Chemin_accès!$B$8&amp;Tableau1[[#This Row],[Localisation / Classement]]&amp;"\"&amp;Tableau1[[#This Row],[Poste technique ou N° d''équipement]]&amp;"_"&amp;Tableau1[[#This Row],[Plan Entretien]]&amp;".xlsm"</f>
        <v>\\stjn.local\trimet\Btechnique\Commun\Atelier Central mécanique\Plan entretien\GammeEntretien\\_.xlsm</v>
      </c>
    </row>
    <row r="980" spans="1:30" x14ac:dyDescent="0.3">
      <c r="A980" s="44" t="str">
        <f t="shared" ca="1" si="15"/>
        <v>7.MENG</v>
      </c>
      <c r="B98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80" s="47"/>
      <c r="D980" s="44"/>
      <c r="E980" s="44"/>
      <c r="F980" s="47"/>
      <c r="G980" s="47"/>
      <c r="H980" s="45"/>
      <c r="I980" s="45"/>
      <c r="J980" s="45"/>
      <c r="K980" s="45"/>
      <c r="L980" s="46"/>
      <c r="M980" s="47"/>
      <c r="N980" s="47"/>
      <c r="O980" s="47"/>
      <c r="P980" s="47"/>
      <c r="Q980" s="47"/>
      <c r="R980" s="47"/>
      <c r="S980" s="48"/>
      <c r="T980" s="68" t="str">
        <f>IF(Tableau1[[#This Row],[DMS_SAP]]="","",HYPERLINK(Tableau1[[#This Row],[Chemin fichier source]],"X"))</f>
        <v/>
      </c>
      <c r="U980" s="68" t="str">
        <f>IF(Tableau1[[#This Row],[Date rév.]]="","",HYPERLINK(Tableau1[[#This Row],[Lien document]],"X"))</f>
        <v/>
      </c>
      <c r="V980" s="47"/>
      <c r="W98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80" s="47"/>
      <c r="Y980" s="47"/>
      <c r="Z980" s="44" t="str">
        <f ca="1">IF(AND(Tableau1[[#This Row],[Charge]]&lt;&gt;0, Tableau1[[#This Row],[Nombre intervenants]]&lt;&gt;0,Tableau1[[#This Row],[Lien document]]&lt;&gt;0,Tableau1[[#This Row],[DMS_SAP]]&lt;&gt;0)=TRUE,"MIS A JOUR","")</f>
        <v/>
      </c>
      <c r="AA980" s="48"/>
      <c r="AB980" s="65" t="str">
        <f ca="1">IF(Tableau1[[#This Row],[Date rév.]]&lt;&gt;"", DAYS360(Tableau1[[#This Row],[Date rév.]],TODAY()),"")</f>
        <v/>
      </c>
      <c r="AC980" s="50" t="str">
        <f>IFERROR(INDEX(Chemin_accès!$B$11:$C$22,MATCH(Tableau1[[#This Row],[Type]],Chemin_accès!$C$11:$C$22,0),1),Chemin_accès!$B$11)</f>
        <v>\\stjn.local\trimet\Btechnique\Commun\Atelier Central mécanique\Plan entretien\Modèles préventif\GammeDMS_7.MENG.xlsm</v>
      </c>
      <c r="AD980" s="50" t="str">
        <f>Chemin_accès!$B$8&amp;Tableau1[[#This Row],[Localisation / Classement]]&amp;"\"&amp;Tableau1[[#This Row],[Poste technique ou N° d''équipement]]&amp;"_"&amp;Tableau1[[#This Row],[Plan Entretien]]&amp;".xlsm"</f>
        <v>\\stjn.local\trimet\Btechnique\Commun\Atelier Central mécanique\Plan entretien\GammeEntretien\\_.xlsm</v>
      </c>
    </row>
    <row r="981" spans="1:30" x14ac:dyDescent="0.3">
      <c r="A981" s="44" t="str">
        <f t="shared" ca="1" si="15"/>
        <v>7.MENG</v>
      </c>
      <c r="B98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81" s="47"/>
      <c r="D981" s="44"/>
      <c r="E981" s="44"/>
      <c r="F981" s="47"/>
      <c r="G981" s="47"/>
      <c r="H981" s="45"/>
      <c r="I981" s="45"/>
      <c r="J981" s="45"/>
      <c r="K981" s="45"/>
      <c r="L981" s="46"/>
      <c r="M981" s="47"/>
      <c r="N981" s="47"/>
      <c r="O981" s="47"/>
      <c r="P981" s="47"/>
      <c r="Q981" s="47"/>
      <c r="R981" s="47"/>
      <c r="S981" s="48"/>
      <c r="T981" s="68" t="str">
        <f>IF(Tableau1[[#This Row],[DMS_SAP]]="","",HYPERLINK(Tableau1[[#This Row],[Chemin fichier source]],"X"))</f>
        <v/>
      </c>
      <c r="U981" s="68" t="str">
        <f>IF(Tableau1[[#This Row],[Date rév.]]="","",HYPERLINK(Tableau1[[#This Row],[Lien document]],"X"))</f>
        <v/>
      </c>
      <c r="V981" s="47"/>
      <c r="W98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81" s="47"/>
      <c r="Y981" s="47"/>
      <c r="Z981" s="44" t="str">
        <f ca="1">IF(AND(Tableau1[[#This Row],[Charge]]&lt;&gt;0, Tableau1[[#This Row],[Nombre intervenants]]&lt;&gt;0,Tableau1[[#This Row],[Lien document]]&lt;&gt;0,Tableau1[[#This Row],[DMS_SAP]]&lt;&gt;0)=TRUE,"MIS A JOUR","")</f>
        <v/>
      </c>
      <c r="AA981" s="48"/>
      <c r="AB981" s="65" t="str">
        <f ca="1">IF(Tableau1[[#This Row],[Date rév.]]&lt;&gt;"", DAYS360(Tableau1[[#This Row],[Date rév.]],TODAY()),"")</f>
        <v/>
      </c>
      <c r="AC981" s="50" t="str">
        <f>IFERROR(INDEX(Chemin_accès!$B$11:$C$22,MATCH(Tableau1[[#This Row],[Type]],Chemin_accès!$C$11:$C$22,0),1),Chemin_accès!$B$11)</f>
        <v>\\stjn.local\trimet\Btechnique\Commun\Atelier Central mécanique\Plan entretien\Modèles préventif\GammeDMS_7.MENG.xlsm</v>
      </c>
      <c r="AD981" s="50" t="str">
        <f>Chemin_accès!$B$8&amp;Tableau1[[#This Row],[Localisation / Classement]]&amp;"\"&amp;Tableau1[[#This Row],[Poste technique ou N° d''équipement]]&amp;"_"&amp;Tableau1[[#This Row],[Plan Entretien]]&amp;".xlsm"</f>
        <v>\\stjn.local\trimet\Btechnique\Commun\Atelier Central mécanique\Plan entretien\GammeEntretien\\_.xlsm</v>
      </c>
    </row>
    <row r="982" spans="1:30" x14ac:dyDescent="0.3">
      <c r="A982" s="44" t="str">
        <f t="shared" ca="1" si="15"/>
        <v>7.MENG</v>
      </c>
      <c r="B98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82" s="47"/>
      <c r="D982" s="44"/>
      <c r="E982" s="44"/>
      <c r="F982" s="47"/>
      <c r="G982" s="47"/>
      <c r="H982" s="45"/>
      <c r="I982" s="45"/>
      <c r="J982" s="45"/>
      <c r="K982" s="45"/>
      <c r="L982" s="46"/>
      <c r="M982" s="47"/>
      <c r="N982" s="47"/>
      <c r="O982" s="47"/>
      <c r="P982" s="47"/>
      <c r="Q982" s="47"/>
      <c r="R982" s="47"/>
      <c r="S982" s="48"/>
      <c r="T982" s="68" t="str">
        <f>IF(Tableau1[[#This Row],[DMS_SAP]]="","",HYPERLINK(Tableau1[[#This Row],[Chemin fichier source]],"X"))</f>
        <v/>
      </c>
      <c r="U982" s="68" t="str">
        <f>IF(Tableau1[[#This Row],[Date rév.]]="","",HYPERLINK(Tableau1[[#This Row],[Lien document]],"X"))</f>
        <v/>
      </c>
      <c r="V982" s="47"/>
      <c r="W98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82" s="47"/>
      <c r="Y982" s="47"/>
      <c r="Z982" s="44" t="str">
        <f ca="1">IF(AND(Tableau1[[#This Row],[Charge]]&lt;&gt;0, Tableau1[[#This Row],[Nombre intervenants]]&lt;&gt;0,Tableau1[[#This Row],[Lien document]]&lt;&gt;0,Tableau1[[#This Row],[DMS_SAP]]&lt;&gt;0)=TRUE,"MIS A JOUR","")</f>
        <v/>
      </c>
      <c r="AA982" s="48"/>
      <c r="AB982" s="65" t="str">
        <f ca="1">IF(Tableau1[[#This Row],[Date rév.]]&lt;&gt;"", DAYS360(Tableau1[[#This Row],[Date rév.]],TODAY()),"")</f>
        <v/>
      </c>
      <c r="AC982" s="50" t="str">
        <f>IFERROR(INDEX(Chemin_accès!$B$11:$C$22,MATCH(Tableau1[[#This Row],[Type]],Chemin_accès!$C$11:$C$22,0),1),Chemin_accès!$B$11)</f>
        <v>\\stjn.local\trimet\Btechnique\Commun\Atelier Central mécanique\Plan entretien\Modèles préventif\GammeDMS_7.MENG.xlsm</v>
      </c>
      <c r="AD982" s="50" t="str">
        <f>Chemin_accès!$B$8&amp;Tableau1[[#This Row],[Localisation / Classement]]&amp;"\"&amp;Tableau1[[#This Row],[Poste technique ou N° d''équipement]]&amp;"_"&amp;Tableau1[[#This Row],[Plan Entretien]]&amp;".xlsm"</f>
        <v>\\stjn.local\trimet\Btechnique\Commun\Atelier Central mécanique\Plan entretien\GammeEntretien\\_.xlsm</v>
      </c>
    </row>
    <row r="983" spans="1:30" x14ac:dyDescent="0.3">
      <c r="A983" s="44" t="str">
        <f t="shared" ca="1" si="15"/>
        <v>7.MENG</v>
      </c>
      <c r="B98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83" s="47"/>
      <c r="D983" s="44"/>
      <c r="E983" s="44"/>
      <c r="F983" s="47"/>
      <c r="G983" s="47"/>
      <c r="H983" s="45"/>
      <c r="I983" s="45"/>
      <c r="J983" s="45"/>
      <c r="K983" s="45"/>
      <c r="L983" s="46"/>
      <c r="M983" s="47"/>
      <c r="N983" s="47"/>
      <c r="O983" s="47"/>
      <c r="P983" s="47"/>
      <c r="Q983" s="47"/>
      <c r="R983" s="47"/>
      <c r="S983" s="48"/>
      <c r="T983" s="68" t="str">
        <f>IF(Tableau1[[#This Row],[DMS_SAP]]="","",HYPERLINK(Tableau1[[#This Row],[Chemin fichier source]],"X"))</f>
        <v/>
      </c>
      <c r="U983" s="68" t="str">
        <f>IF(Tableau1[[#This Row],[Date rév.]]="","",HYPERLINK(Tableau1[[#This Row],[Lien document]],"X"))</f>
        <v/>
      </c>
      <c r="V983" s="47"/>
      <c r="W98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83" s="47"/>
      <c r="Y983" s="47"/>
      <c r="Z983" s="44" t="str">
        <f ca="1">IF(AND(Tableau1[[#This Row],[Charge]]&lt;&gt;0, Tableau1[[#This Row],[Nombre intervenants]]&lt;&gt;0,Tableau1[[#This Row],[Lien document]]&lt;&gt;0,Tableau1[[#This Row],[DMS_SAP]]&lt;&gt;0)=TRUE,"MIS A JOUR","")</f>
        <v/>
      </c>
      <c r="AA983" s="48"/>
      <c r="AB983" s="65" t="str">
        <f ca="1">IF(Tableau1[[#This Row],[Date rév.]]&lt;&gt;"", DAYS360(Tableau1[[#This Row],[Date rév.]],TODAY()),"")</f>
        <v/>
      </c>
      <c r="AC983" s="50" t="str">
        <f>IFERROR(INDEX(Chemin_accès!$B$11:$C$22,MATCH(Tableau1[[#This Row],[Type]],Chemin_accès!$C$11:$C$22,0),1),Chemin_accès!$B$11)</f>
        <v>\\stjn.local\trimet\Btechnique\Commun\Atelier Central mécanique\Plan entretien\Modèles préventif\GammeDMS_7.MENG.xlsm</v>
      </c>
      <c r="AD983" s="50" t="str">
        <f>Chemin_accès!$B$8&amp;Tableau1[[#This Row],[Localisation / Classement]]&amp;"\"&amp;Tableau1[[#This Row],[Poste technique ou N° d''équipement]]&amp;"_"&amp;Tableau1[[#This Row],[Plan Entretien]]&amp;".xlsm"</f>
        <v>\\stjn.local\trimet\Btechnique\Commun\Atelier Central mécanique\Plan entretien\GammeEntretien\\_.xlsm</v>
      </c>
    </row>
    <row r="984" spans="1:30" x14ac:dyDescent="0.3">
      <c r="A984" s="44" t="str">
        <f t="shared" ca="1" si="15"/>
        <v>7.MENG</v>
      </c>
      <c r="B98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84" s="47"/>
      <c r="D984" s="44"/>
      <c r="E984" s="44"/>
      <c r="F984" s="47"/>
      <c r="G984" s="47"/>
      <c r="H984" s="45"/>
      <c r="I984" s="45"/>
      <c r="J984" s="45"/>
      <c r="K984" s="45"/>
      <c r="L984" s="46"/>
      <c r="M984" s="47"/>
      <c r="N984" s="47"/>
      <c r="O984" s="47"/>
      <c r="P984" s="47"/>
      <c r="Q984" s="47"/>
      <c r="R984" s="47"/>
      <c r="S984" s="48"/>
      <c r="T984" s="68" t="str">
        <f>IF(Tableau1[[#This Row],[DMS_SAP]]="","",HYPERLINK(Tableau1[[#This Row],[Chemin fichier source]],"X"))</f>
        <v/>
      </c>
      <c r="U984" s="68" t="str">
        <f>IF(Tableau1[[#This Row],[Date rév.]]="","",HYPERLINK(Tableau1[[#This Row],[Lien document]],"X"))</f>
        <v/>
      </c>
      <c r="V984" s="47"/>
      <c r="W98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84" s="47"/>
      <c r="Y984" s="47"/>
      <c r="Z984" s="44" t="str">
        <f ca="1">IF(AND(Tableau1[[#This Row],[Charge]]&lt;&gt;0, Tableau1[[#This Row],[Nombre intervenants]]&lt;&gt;0,Tableau1[[#This Row],[Lien document]]&lt;&gt;0,Tableau1[[#This Row],[DMS_SAP]]&lt;&gt;0)=TRUE,"MIS A JOUR","")</f>
        <v/>
      </c>
      <c r="AA984" s="48"/>
      <c r="AB984" s="65" t="str">
        <f ca="1">IF(Tableau1[[#This Row],[Date rév.]]&lt;&gt;"", DAYS360(Tableau1[[#This Row],[Date rév.]],TODAY()),"")</f>
        <v/>
      </c>
      <c r="AC984" s="50" t="str">
        <f>IFERROR(INDEX(Chemin_accès!$B$11:$C$22,MATCH(Tableau1[[#This Row],[Type]],Chemin_accès!$C$11:$C$22,0),1),Chemin_accès!$B$11)</f>
        <v>\\stjn.local\trimet\Btechnique\Commun\Atelier Central mécanique\Plan entretien\Modèles préventif\GammeDMS_7.MENG.xlsm</v>
      </c>
      <c r="AD984" s="50" t="str">
        <f>Chemin_accès!$B$8&amp;Tableau1[[#This Row],[Localisation / Classement]]&amp;"\"&amp;Tableau1[[#This Row],[Poste technique ou N° d''équipement]]&amp;"_"&amp;Tableau1[[#This Row],[Plan Entretien]]&amp;".xlsm"</f>
        <v>\\stjn.local\trimet\Btechnique\Commun\Atelier Central mécanique\Plan entretien\GammeEntretien\\_.xlsm</v>
      </c>
    </row>
    <row r="985" spans="1:30" x14ac:dyDescent="0.3">
      <c r="A985" s="44" t="str">
        <f t="shared" ca="1" si="15"/>
        <v>7.MENG</v>
      </c>
      <c r="B98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85" s="47"/>
      <c r="D985" s="44"/>
      <c r="E985" s="44"/>
      <c r="F985" s="47"/>
      <c r="G985" s="47"/>
      <c r="H985" s="45"/>
      <c r="I985" s="45"/>
      <c r="J985" s="45"/>
      <c r="K985" s="45"/>
      <c r="L985" s="46"/>
      <c r="M985" s="47"/>
      <c r="N985" s="47"/>
      <c r="O985" s="47"/>
      <c r="P985" s="47"/>
      <c r="Q985" s="47"/>
      <c r="R985" s="47"/>
      <c r="S985" s="48"/>
      <c r="T985" s="68" t="str">
        <f>IF(Tableau1[[#This Row],[DMS_SAP]]="","",HYPERLINK(Tableau1[[#This Row],[Chemin fichier source]],"X"))</f>
        <v/>
      </c>
      <c r="U985" s="68" t="str">
        <f>IF(Tableau1[[#This Row],[Date rév.]]="","",HYPERLINK(Tableau1[[#This Row],[Lien document]],"X"))</f>
        <v/>
      </c>
      <c r="V985" s="47"/>
      <c r="W98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85" s="47"/>
      <c r="Y985" s="47"/>
      <c r="Z985" s="44" t="str">
        <f ca="1">IF(AND(Tableau1[[#This Row],[Charge]]&lt;&gt;0, Tableau1[[#This Row],[Nombre intervenants]]&lt;&gt;0,Tableau1[[#This Row],[Lien document]]&lt;&gt;0,Tableau1[[#This Row],[DMS_SAP]]&lt;&gt;0)=TRUE,"MIS A JOUR","")</f>
        <v/>
      </c>
      <c r="AA985" s="48"/>
      <c r="AB985" s="65" t="str">
        <f ca="1">IF(Tableau1[[#This Row],[Date rév.]]&lt;&gt;"", DAYS360(Tableau1[[#This Row],[Date rév.]],TODAY()),"")</f>
        <v/>
      </c>
      <c r="AC985" s="50" t="str">
        <f>IFERROR(INDEX(Chemin_accès!$B$11:$C$22,MATCH(Tableau1[[#This Row],[Type]],Chemin_accès!$C$11:$C$22,0),1),Chemin_accès!$B$11)</f>
        <v>\\stjn.local\trimet\Btechnique\Commun\Atelier Central mécanique\Plan entretien\Modèles préventif\GammeDMS_7.MENG.xlsm</v>
      </c>
      <c r="AD985" s="50" t="str">
        <f>Chemin_accès!$B$8&amp;Tableau1[[#This Row],[Localisation / Classement]]&amp;"\"&amp;Tableau1[[#This Row],[Poste technique ou N° d''équipement]]&amp;"_"&amp;Tableau1[[#This Row],[Plan Entretien]]&amp;".xlsm"</f>
        <v>\\stjn.local\trimet\Btechnique\Commun\Atelier Central mécanique\Plan entretien\GammeEntretien\\_.xlsm</v>
      </c>
    </row>
    <row r="986" spans="1:30" x14ac:dyDescent="0.3">
      <c r="A986" s="44" t="str">
        <f t="shared" ca="1" si="15"/>
        <v>7.MENG</v>
      </c>
      <c r="B98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86" s="47"/>
      <c r="D986" s="44"/>
      <c r="E986" s="44"/>
      <c r="F986" s="47"/>
      <c r="G986" s="47"/>
      <c r="H986" s="45"/>
      <c r="I986" s="45"/>
      <c r="J986" s="45"/>
      <c r="K986" s="45"/>
      <c r="L986" s="46"/>
      <c r="M986" s="47"/>
      <c r="N986" s="47"/>
      <c r="O986" s="47"/>
      <c r="P986" s="47"/>
      <c r="Q986" s="47"/>
      <c r="R986" s="47"/>
      <c r="S986" s="48"/>
      <c r="T986" s="68" t="str">
        <f>IF(Tableau1[[#This Row],[DMS_SAP]]="","",HYPERLINK(Tableau1[[#This Row],[Chemin fichier source]],"X"))</f>
        <v/>
      </c>
      <c r="U986" s="68" t="str">
        <f>IF(Tableau1[[#This Row],[Date rév.]]="","",HYPERLINK(Tableau1[[#This Row],[Lien document]],"X"))</f>
        <v/>
      </c>
      <c r="V986" s="47"/>
      <c r="W98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86" s="47"/>
      <c r="Y986" s="47"/>
      <c r="Z986" s="44" t="str">
        <f ca="1">IF(AND(Tableau1[[#This Row],[Charge]]&lt;&gt;0, Tableau1[[#This Row],[Nombre intervenants]]&lt;&gt;0,Tableau1[[#This Row],[Lien document]]&lt;&gt;0,Tableau1[[#This Row],[DMS_SAP]]&lt;&gt;0)=TRUE,"MIS A JOUR","")</f>
        <v/>
      </c>
      <c r="AA986" s="48"/>
      <c r="AB986" s="65" t="str">
        <f ca="1">IF(Tableau1[[#This Row],[Date rév.]]&lt;&gt;"", DAYS360(Tableau1[[#This Row],[Date rév.]],TODAY()),"")</f>
        <v/>
      </c>
      <c r="AC986" s="50" t="str">
        <f>IFERROR(INDEX(Chemin_accès!$B$11:$C$22,MATCH(Tableau1[[#This Row],[Type]],Chemin_accès!$C$11:$C$22,0),1),Chemin_accès!$B$11)</f>
        <v>\\stjn.local\trimet\Btechnique\Commun\Atelier Central mécanique\Plan entretien\Modèles préventif\GammeDMS_7.MENG.xlsm</v>
      </c>
      <c r="AD986" s="50" t="str">
        <f>Chemin_accès!$B$8&amp;Tableau1[[#This Row],[Localisation / Classement]]&amp;"\"&amp;Tableau1[[#This Row],[Poste technique ou N° d''équipement]]&amp;"_"&amp;Tableau1[[#This Row],[Plan Entretien]]&amp;".xlsm"</f>
        <v>\\stjn.local\trimet\Btechnique\Commun\Atelier Central mécanique\Plan entretien\GammeEntretien\\_.xlsm</v>
      </c>
    </row>
    <row r="987" spans="1:30" x14ac:dyDescent="0.3">
      <c r="A987" s="44" t="str">
        <f t="shared" ca="1" si="15"/>
        <v>7.MENG</v>
      </c>
      <c r="B98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87" s="47"/>
      <c r="D987" s="44"/>
      <c r="E987" s="44"/>
      <c r="F987" s="47"/>
      <c r="G987" s="47"/>
      <c r="H987" s="45"/>
      <c r="I987" s="45"/>
      <c r="J987" s="45"/>
      <c r="K987" s="45"/>
      <c r="L987" s="46"/>
      <c r="M987" s="47"/>
      <c r="N987" s="47"/>
      <c r="O987" s="47"/>
      <c r="P987" s="47"/>
      <c r="Q987" s="47"/>
      <c r="R987" s="47"/>
      <c r="S987" s="48"/>
      <c r="T987" s="68" t="str">
        <f>IF(Tableau1[[#This Row],[DMS_SAP]]="","",HYPERLINK(Tableau1[[#This Row],[Chemin fichier source]],"X"))</f>
        <v/>
      </c>
      <c r="U987" s="68" t="str">
        <f>IF(Tableau1[[#This Row],[Date rév.]]="","",HYPERLINK(Tableau1[[#This Row],[Lien document]],"X"))</f>
        <v/>
      </c>
      <c r="V987" s="47"/>
      <c r="W98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87" s="47"/>
      <c r="Y987" s="47"/>
      <c r="Z987" s="44" t="str">
        <f ca="1">IF(AND(Tableau1[[#This Row],[Charge]]&lt;&gt;0, Tableau1[[#This Row],[Nombre intervenants]]&lt;&gt;0,Tableau1[[#This Row],[Lien document]]&lt;&gt;0,Tableau1[[#This Row],[DMS_SAP]]&lt;&gt;0)=TRUE,"MIS A JOUR","")</f>
        <v/>
      </c>
      <c r="AA987" s="48"/>
      <c r="AB987" s="65" t="str">
        <f ca="1">IF(Tableau1[[#This Row],[Date rév.]]&lt;&gt;"", DAYS360(Tableau1[[#This Row],[Date rév.]],TODAY()),"")</f>
        <v/>
      </c>
      <c r="AC987" s="50" t="str">
        <f>IFERROR(INDEX(Chemin_accès!$B$11:$C$22,MATCH(Tableau1[[#This Row],[Type]],Chemin_accès!$C$11:$C$22,0),1),Chemin_accès!$B$11)</f>
        <v>\\stjn.local\trimet\Btechnique\Commun\Atelier Central mécanique\Plan entretien\Modèles préventif\GammeDMS_7.MENG.xlsm</v>
      </c>
      <c r="AD987" s="50" t="str">
        <f>Chemin_accès!$B$8&amp;Tableau1[[#This Row],[Localisation / Classement]]&amp;"\"&amp;Tableau1[[#This Row],[Poste technique ou N° d''équipement]]&amp;"_"&amp;Tableau1[[#This Row],[Plan Entretien]]&amp;".xlsm"</f>
        <v>\\stjn.local\trimet\Btechnique\Commun\Atelier Central mécanique\Plan entretien\GammeEntretien\\_.xlsm</v>
      </c>
    </row>
    <row r="988" spans="1:30" x14ac:dyDescent="0.3">
      <c r="A988" s="44" t="str">
        <f t="shared" ca="1" si="15"/>
        <v>7.MENG</v>
      </c>
      <c r="B98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88" s="47"/>
      <c r="D988" s="44"/>
      <c r="E988" s="44"/>
      <c r="F988" s="47"/>
      <c r="G988" s="47"/>
      <c r="H988" s="45"/>
      <c r="I988" s="45"/>
      <c r="J988" s="45"/>
      <c r="K988" s="45"/>
      <c r="L988" s="46"/>
      <c r="M988" s="47"/>
      <c r="N988" s="47"/>
      <c r="O988" s="47"/>
      <c r="P988" s="47"/>
      <c r="Q988" s="47"/>
      <c r="R988" s="47"/>
      <c r="S988" s="48"/>
      <c r="T988" s="68" t="str">
        <f>IF(Tableau1[[#This Row],[DMS_SAP]]="","",HYPERLINK(Tableau1[[#This Row],[Chemin fichier source]],"X"))</f>
        <v/>
      </c>
      <c r="U988" s="68" t="str">
        <f>IF(Tableau1[[#This Row],[Date rév.]]="","",HYPERLINK(Tableau1[[#This Row],[Lien document]],"X"))</f>
        <v/>
      </c>
      <c r="V988" s="47"/>
      <c r="W98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88" s="47"/>
      <c r="Y988" s="47"/>
      <c r="Z988" s="44" t="str">
        <f ca="1">IF(AND(Tableau1[[#This Row],[Charge]]&lt;&gt;0, Tableau1[[#This Row],[Nombre intervenants]]&lt;&gt;0,Tableau1[[#This Row],[Lien document]]&lt;&gt;0,Tableau1[[#This Row],[DMS_SAP]]&lt;&gt;0)=TRUE,"MIS A JOUR","")</f>
        <v/>
      </c>
      <c r="AA988" s="48"/>
      <c r="AB988" s="65" t="str">
        <f ca="1">IF(Tableau1[[#This Row],[Date rév.]]&lt;&gt;"", DAYS360(Tableau1[[#This Row],[Date rév.]],TODAY()),"")</f>
        <v/>
      </c>
      <c r="AC988" s="50" t="str">
        <f>IFERROR(INDEX(Chemin_accès!$B$11:$C$22,MATCH(Tableau1[[#This Row],[Type]],Chemin_accès!$C$11:$C$22,0),1),Chemin_accès!$B$11)</f>
        <v>\\stjn.local\trimet\Btechnique\Commun\Atelier Central mécanique\Plan entretien\Modèles préventif\GammeDMS_7.MENG.xlsm</v>
      </c>
      <c r="AD988" s="50" t="str">
        <f>Chemin_accès!$B$8&amp;Tableau1[[#This Row],[Localisation / Classement]]&amp;"\"&amp;Tableau1[[#This Row],[Poste technique ou N° d''équipement]]&amp;"_"&amp;Tableau1[[#This Row],[Plan Entretien]]&amp;".xlsm"</f>
        <v>\\stjn.local\trimet\Btechnique\Commun\Atelier Central mécanique\Plan entretien\GammeEntretien\\_.xlsm</v>
      </c>
    </row>
    <row r="989" spans="1:30" x14ac:dyDescent="0.3">
      <c r="A989" s="44" t="str">
        <f t="shared" ca="1" si="15"/>
        <v>7.MENG</v>
      </c>
      <c r="B98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89" s="47"/>
      <c r="D989" s="44"/>
      <c r="E989" s="44"/>
      <c r="F989" s="47"/>
      <c r="G989" s="47"/>
      <c r="H989" s="45"/>
      <c r="I989" s="45"/>
      <c r="J989" s="45"/>
      <c r="K989" s="45"/>
      <c r="L989" s="46"/>
      <c r="M989" s="47"/>
      <c r="N989" s="47"/>
      <c r="O989" s="47"/>
      <c r="P989" s="47"/>
      <c r="Q989" s="47"/>
      <c r="R989" s="47"/>
      <c r="S989" s="48"/>
      <c r="T989" s="68" t="str">
        <f>IF(Tableau1[[#This Row],[DMS_SAP]]="","",HYPERLINK(Tableau1[[#This Row],[Chemin fichier source]],"X"))</f>
        <v/>
      </c>
      <c r="U989" s="68" t="str">
        <f>IF(Tableau1[[#This Row],[Date rév.]]="","",HYPERLINK(Tableau1[[#This Row],[Lien document]],"X"))</f>
        <v/>
      </c>
      <c r="V989" s="47"/>
      <c r="W98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89" s="47"/>
      <c r="Y989" s="47"/>
      <c r="Z989" s="44" t="str">
        <f ca="1">IF(AND(Tableau1[[#This Row],[Charge]]&lt;&gt;0, Tableau1[[#This Row],[Nombre intervenants]]&lt;&gt;0,Tableau1[[#This Row],[Lien document]]&lt;&gt;0,Tableau1[[#This Row],[DMS_SAP]]&lt;&gt;0)=TRUE,"MIS A JOUR","")</f>
        <v/>
      </c>
      <c r="AA989" s="48"/>
      <c r="AB989" s="65" t="str">
        <f ca="1">IF(Tableau1[[#This Row],[Date rév.]]&lt;&gt;"", DAYS360(Tableau1[[#This Row],[Date rév.]],TODAY()),"")</f>
        <v/>
      </c>
      <c r="AC989" s="50" t="str">
        <f>IFERROR(INDEX(Chemin_accès!$B$11:$C$22,MATCH(Tableau1[[#This Row],[Type]],Chemin_accès!$C$11:$C$22,0),1),Chemin_accès!$B$11)</f>
        <v>\\stjn.local\trimet\Btechnique\Commun\Atelier Central mécanique\Plan entretien\Modèles préventif\GammeDMS_7.MENG.xlsm</v>
      </c>
      <c r="AD989" s="50" t="str">
        <f>Chemin_accès!$B$8&amp;Tableau1[[#This Row],[Localisation / Classement]]&amp;"\"&amp;Tableau1[[#This Row],[Poste technique ou N° d''équipement]]&amp;"_"&amp;Tableau1[[#This Row],[Plan Entretien]]&amp;".xlsm"</f>
        <v>\\stjn.local\trimet\Btechnique\Commun\Atelier Central mécanique\Plan entretien\GammeEntretien\\_.xlsm</v>
      </c>
    </row>
    <row r="990" spans="1:30" x14ac:dyDescent="0.3">
      <c r="A990" s="44" t="str">
        <f t="shared" ca="1" si="15"/>
        <v>7.MENG</v>
      </c>
      <c r="B99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90" s="47"/>
      <c r="D990" s="44"/>
      <c r="E990" s="44"/>
      <c r="F990" s="47"/>
      <c r="G990" s="47"/>
      <c r="H990" s="45"/>
      <c r="I990" s="45"/>
      <c r="J990" s="45"/>
      <c r="K990" s="45"/>
      <c r="L990" s="46"/>
      <c r="M990" s="47"/>
      <c r="N990" s="47"/>
      <c r="O990" s="47"/>
      <c r="P990" s="47"/>
      <c r="Q990" s="47"/>
      <c r="R990" s="47"/>
      <c r="S990" s="48"/>
      <c r="T990" s="68" t="str">
        <f>IF(Tableau1[[#This Row],[DMS_SAP]]="","",HYPERLINK(Tableau1[[#This Row],[Chemin fichier source]],"X"))</f>
        <v/>
      </c>
      <c r="U990" s="68" t="str">
        <f>IF(Tableau1[[#This Row],[Date rév.]]="","",HYPERLINK(Tableau1[[#This Row],[Lien document]],"X"))</f>
        <v/>
      </c>
      <c r="V990" s="47"/>
      <c r="W99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90" s="47"/>
      <c r="Y990" s="47"/>
      <c r="Z990" s="44" t="str">
        <f ca="1">IF(AND(Tableau1[[#This Row],[Charge]]&lt;&gt;0, Tableau1[[#This Row],[Nombre intervenants]]&lt;&gt;0,Tableau1[[#This Row],[Lien document]]&lt;&gt;0,Tableau1[[#This Row],[DMS_SAP]]&lt;&gt;0)=TRUE,"MIS A JOUR","")</f>
        <v/>
      </c>
      <c r="AA990" s="48"/>
      <c r="AB990" s="65" t="str">
        <f ca="1">IF(Tableau1[[#This Row],[Date rév.]]&lt;&gt;"", DAYS360(Tableau1[[#This Row],[Date rév.]],TODAY()),"")</f>
        <v/>
      </c>
      <c r="AC990" s="50" t="str">
        <f>IFERROR(INDEX(Chemin_accès!$B$11:$C$22,MATCH(Tableau1[[#This Row],[Type]],Chemin_accès!$C$11:$C$22,0),1),Chemin_accès!$B$11)</f>
        <v>\\stjn.local\trimet\Btechnique\Commun\Atelier Central mécanique\Plan entretien\Modèles préventif\GammeDMS_7.MENG.xlsm</v>
      </c>
      <c r="AD990" s="50" t="str">
        <f>Chemin_accès!$B$8&amp;Tableau1[[#This Row],[Localisation / Classement]]&amp;"\"&amp;Tableau1[[#This Row],[Poste technique ou N° d''équipement]]&amp;"_"&amp;Tableau1[[#This Row],[Plan Entretien]]&amp;".xlsm"</f>
        <v>\\stjn.local\trimet\Btechnique\Commun\Atelier Central mécanique\Plan entretien\GammeEntretien\\_.xlsm</v>
      </c>
    </row>
    <row r="991" spans="1:30" x14ac:dyDescent="0.3">
      <c r="A991" s="44" t="str">
        <f t="shared" ca="1" si="15"/>
        <v>7.MENG</v>
      </c>
      <c r="B99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91" s="47"/>
      <c r="D991" s="44"/>
      <c r="E991" s="44"/>
      <c r="F991" s="47"/>
      <c r="G991" s="47"/>
      <c r="H991" s="45"/>
      <c r="I991" s="45"/>
      <c r="J991" s="45"/>
      <c r="K991" s="45"/>
      <c r="L991" s="46"/>
      <c r="M991" s="47"/>
      <c r="N991" s="47"/>
      <c r="O991" s="47"/>
      <c r="P991" s="47"/>
      <c r="Q991" s="47"/>
      <c r="R991" s="47"/>
      <c r="S991" s="48"/>
      <c r="T991" s="68" t="str">
        <f>IF(Tableau1[[#This Row],[DMS_SAP]]="","",HYPERLINK(Tableau1[[#This Row],[Chemin fichier source]],"X"))</f>
        <v/>
      </c>
      <c r="U991" s="68" t="str">
        <f>IF(Tableau1[[#This Row],[Date rév.]]="","",HYPERLINK(Tableau1[[#This Row],[Lien document]],"X"))</f>
        <v/>
      </c>
      <c r="V991" s="47"/>
      <c r="W99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91" s="47"/>
      <c r="Y991" s="47"/>
      <c r="Z991" s="44" t="str">
        <f ca="1">IF(AND(Tableau1[[#This Row],[Charge]]&lt;&gt;0, Tableau1[[#This Row],[Nombre intervenants]]&lt;&gt;0,Tableau1[[#This Row],[Lien document]]&lt;&gt;0,Tableau1[[#This Row],[DMS_SAP]]&lt;&gt;0)=TRUE,"MIS A JOUR","")</f>
        <v/>
      </c>
      <c r="AA991" s="48"/>
      <c r="AB991" s="65" t="str">
        <f ca="1">IF(Tableau1[[#This Row],[Date rév.]]&lt;&gt;"", DAYS360(Tableau1[[#This Row],[Date rév.]],TODAY()),"")</f>
        <v/>
      </c>
      <c r="AC991" s="50" t="str">
        <f>IFERROR(INDEX(Chemin_accès!$B$11:$C$22,MATCH(Tableau1[[#This Row],[Type]],Chemin_accès!$C$11:$C$22,0),1),Chemin_accès!$B$11)</f>
        <v>\\stjn.local\trimet\Btechnique\Commun\Atelier Central mécanique\Plan entretien\Modèles préventif\GammeDMS_7.MENG.xlsm</v>
      </c>
      <c r="AD991" s="50" t="str">
        <f>Chemin_accès!$B$8&amp;Tableau1[[#This Row],[Localisation / Classement]]&amp;"\"&amp;Tableau1[[#This Row],[Poste technique ou N° d''équipement]]&amp;"_"&amp;Tableau1[[#This Row],[Plan Entretien]]&amp;".xlsm"</f>
        <v>\\stjn.local\trimet\Btechnique\Commun\Atelier Central mécanique\Plan entretien\GammeEntretien\\_.xlsm</v>
      </c>
    </row>
    <row r="992" spans="1:30" x14ac:dyDescent="0.3">
      <c r="A992" s="44" t="str">
        <f t="shared" ca="1" si="15"/>
        <v>7.MENG</v>
      </c>
      <c r="B99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92" s="47"/>
      <c r="D992" s="44"/>
      <c r="E992" s="44"/>
      <c r="F992" s="47"/>
      <c r="G992" s="47"/>
      <c r="H992" s="45"/>
      <c r="I992" s="45"/>
      <c r="J992" s="45"/>
      <c r="K992" s="45"/>
      <c r="L992" s="46"/>
      <c r="M992" s="47"/>
      <c r="N992" s="47"/>
      <c r="O992" s="47"/>
      <c r="P992" s="47"/>
      <c r="Q992" s="47"/>
      <c r="R992" s="47"/>
      <c r="S992" s="48"/>
      <c r="T992" s="68" t="str">
        <f>IF(Tableau1[[#This Row],[DMS_SAP]]="","",HYPERLINK(Tableau1[[#This Row],[Chemin fichier source]],"X"))</f>
        <v/>
      </c>
      <c r="U992" s="68" t="str">
        <f>IF(Tableau1[[#This Row],[Date rév.]]="","",HYPERLINK(Tableau1[[#This Row],[Lien document]],"X"))</f>
        <v/>
      </c>
      <c r="V992" s="47"/>
      <c r="W99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92" s="47"/>
      <c r="Y992" s="47"/>
      <c r="Z992" s="44" t="str">
        <f ca="1">IF(AND(Tableau1[[#This Row],[Charge]]&lt;&gt;0, Tableau1[[#This Row],[Nombre intervenants]]&lt;&gt;0,Tableau1[[#This Row],[Lien document]]&lt;&gt;0,Tableau1[[#This Row],[DMS_SAP]]&lt;&gt;0)=TRUE,"MIS A JOUR","")</f>
        <v/>
      </c>
      <c r="AA992" s="48"/>
      <c r="AB992" s="65" t="str">
        <f ca="1">IF(Tableau1[[#This Row],[Date rév.]]&lt;&gt;"", DAYS360(Tableau1[[#This Row],[Date rév.]],TODAY()),"")</f>
        <v/>
      </c>
      <c r="AC992" s="50" t="str">
        <f>IFERROR(INDEX(Chemin_accès!$B$11:$C$22,MATCH(Tableau1[[#This Row],[Type]],Chemin_accès!$C$11:$C$22,0),1),Chemin_accès!$B$11)</f>
        <v>\\stjn.local\trimet\Btechnique\Commun\Atelier Central mécanique\Plan entretien\Modèles préventif\GammeDMS_7.MENG.xlsm</v>
      </c>
      <c r="AD992" s="50" t="str">
        <f>Chemin_accès!$B$8&amp;Tableau1[[#This Row],[Localisation / Classement]]&amp;"\"&amp;Tableau1[[#This Row],[Poste technique ou N° d''équipement]]&amp;"_"&amp;Tableau1[[#This Row],[Plan Entretien]]&amp;".xlsm"</f>
        <v>\\stjn.local\trimet\Btechnique\Commun\Atelier Central mécanique\Plan entretien\GammeEntretien\\_.xlsm</v>
      </c>
    </row>
    <row r="993" spans="1:30" x14ac:dyDescent="0.3">
      <c r="A993" s="44" t="str">
        <f t="shared" ca="1" si="15"/>
        <v>7.MENG</v>
      </c>
      <c r="B993"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93" s="47"/>
      <c r="D993" s="44"/>
      <c r="E993" s="44"/>
      <c r="F993" s="47"/>
      <c r="G993" s="47"/>
      <c r="H993" s="45"/>
      <c r="I993" s="45"/>
      <c r="J993" s="45"/>
      <c r="K993" s="45"/>
      <c r="L993" s="46"/>
      <c r="M993" s="47"/>
      <c r="N993" s="47"/>
      <c r="O993" s="47"/>
      <c r="P993" s="47"/>
      <c r="Q993" s="47"/>
      <c r="R993" s="47"/>
      <c r="S993" s="48"/>
      <c r="T993" s="68" t="str">
        <f>IF(Tableau1[[#This Row],[DMS_SAP]]="","",HYPERLINK(Tableau1[[#This Row],[Chemin fichier source]],"X"))</f>
        <v/>
      </c>
      <c r="U993" s="68" t="str">
        <f>IF(Tableau1[[#This Row],[Date rév.]]="","",HYPERLINK(Tableau1[[#This Row],[Lien document]],"X"))</f>
        <v/>
      </c>
      <c r="V993" s="47"/>
      <c r="W993"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93" s="47"/>
      <c r="Y993" s="47"/>
      <c r="Z993" s="44" t="str">
        <f ca="1">IF(AND(Tableau1[[#This Row],[Charge]]&lt;&gt;0, Tableau1[[#This Row],[Nombre intervenants]]&lt;&gt;0,Tableau1[[#This Row],[Lien document]]&lt;&gt;0,Tableau1[[#This Row],[DMS_SAP]]&lt;&gt;0)=TRUE,"MIS A JOUR","")</f>
        <v/>
      </c>
      <c r="AA993" s="48"/>
      <c r="AB993" s="65" t="str">
        <f ca="1">IF(Tableau1[[#This Row],[Date rév.]]&lt;&gt;"", DAYS360(Tableau1[[#This Row],[Date rév.]],TODAY()),"")</f>
        <v/>
      </c>
      <c r="AC993" s="50" t="str">
        <f>IFERROR(INDEX(Chemin_accès!$B$11:$C$22,MATCH(Tableau1[[#This Row],[Type]],Chemin_accès!$C$11:$C$22,0),1),Chemin_accès!$B$11)</f>
        <v>\\stjn.local\trimet\Btechnique\Commun\Atelier Central mécanique\Plan entretien\Modèles préventif\GammeDMS_7.MENG.xlsm</v>
      </c>
      <c r="AD993" s="50" t="str">
        <f>Chemin_accès!$B$8&amp;Tableau1[[#This Row],[Localisation / Classement]]&amp;"\"&amp;Tableau1[[#This Row],[Poste technique ou N° d''équipement]]&amp;"_"&amp;Tableau1[[#This Row],[Plan Entretien]]&amp;".xlsm"</f>
        <v>\\stjn.local\trimet\Btechnique\Commun\Atelier Central mécanique\Plan entretien\GammeEntretien\\_.xlsm</v>
      </c>
    </row>
    <row r="994" spans="1:30" x14ac:dyDescent="0.3">
      <c r="A994" s="44" t="str">
        <f t="shared" ca="1" si="15"/>
        <v>7.MENG</v>
      </c>
      <c r="B994"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94" s="47"/>
      <c r="D994" s="44"/>
      <c r="E994" s="44"/>
      <c r="F994" s="47"/>
      <c r="G994" s="47"/>
      <c r="H994" s="45"/>
      <c r="I994" s="45"/>
      <c r="J994" s="45"/>
      <c r="K994" s="45"/>
      <c r="L994" s="46"/>
      <c r="M994" s="47"/>
      <c r="N994" s="47"/>
      <c r="O994" s="47"/>
      <c r="P994" s="47"/>
      <c r="Q994" s="47"/>
      <c r="R994" s="47"/>
      <c r="S994" s="48"/>
      <c r="T994" s="68" t="str">
        <f>IF(Tableau1[[#This Row],[DMS_SAP]]="","",HYPERLINK(Tableau1[[#This Row],[Chemin fichier source]],"X"))</f>
        <v/>
      </c>
      <c r="U994" s="68" t="str">
        <f>IF(Tableau1[[#This Row],[Date rév.]]="","",HYPERLINK(Tableau1[[#This Row],[Lien document]],"X"))</f>
        <v/>
      </c>
      <c r="V994" s="47"/>
      <c r="W994"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94" s="47"/>
      <c r="Y994" s="47"/>
      <c r="Z994" s="44" t="str">
        <f ca="1">IF(AND(Tableau1[[#This Row],[Charge]]&lt;&gt;0, Tableau1[[#This Row],[Nombre intervenants]]&lt;&gt;0,Tableau1[[#This Row],[Lien document]]&lt;&gt;0,Tableau1[[#This Row],[DMS_SAP]]&lt;&gt;0)=TRUE,"MIS A JOUR","")</f>
        <v/>
      </c>
      <c r="AA994" s="48"/>
      <c r="AB994" s="65" t="str">
        <f ca="1">IF(Tableau1[[#This Row],[Date rév.]]&lt;&gt;"", DAYS360(Tableau1[[#This Row],[Date rév.]],TODAY()),"")</f>
        <v/>
      </c>
      <c r="AC994" s="50" t="str">
        <f>IFERROR(INDEX(Chemin_accès!$B$11:$C$22,MATCH(Tableau1[[#This Row],[Type]],Chemin_accès!$C$11:$C$22,0),1),Chemin_accès!$B$11)</f>
        <v>\\stjn.local\trimet\Btechnique\Commun\Atelier Central mécanique\Plan entretien\Modèles préventif\GammeDMS_7.MENG.xlsm</v>
      </c>
      <c r="AD994" s="50" t="str">
        <f>Chemin_accès!$B$8&amp;Tableau1[[#This Row],[Localisation / Classement]]&amp;"\"&amp;Tableau1[[#This Row],[Poste technique ou N° d''équipement]]&amp;"_"&amp;Tableau1[[#This Row],[Plan Entretien]]&amp;".xlsm"</f>
        <v>\\stjn.local\trimet\Btechnique\Commun\Atelier Central mécanique\Plan entretien\GammeEntretien\\_.xlsm</v>
      </c>
    </row>
    <row r="995" spans="1:30" x14ac:dyDescent="0.3">
      <c r="A995" s="44" t="str">
        <f t="shared" ca="1" si="15"/>
        <v>7.MENG</v>
      </c>
      <c r="B995"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95" s="47"/>
      <c r="D995" s="44"/>
      <c r="E995" s="44"/>
      <c r="F995" s="47"/>
      <c r="G995" s="47"/>
      <c r="H995" s="45"/>
      <c r="I995" s="45"/>
      <c r="J995" s="45"/>
      <c r="K995" s="45"/>
      <c r="L995" s="46"/>
      <c r="M995" s="47"/>
      <c r="N995" s="47"/>
      <c r="O995" s="47"/>
      <c r="P995" s="47"/>
      <c r="Q995" s="47"/>
      <c r="R995" s="47"/>
      <c r="S995" s="48"/>
      <c r="T995" s="68" t="str">
        <f>IF(Tableau1[[#This Row],[DMS_SAP]]="","",HYPERLINK(Tableau1[[#This Row],[Chemin fichier source]],"X"))</f>
        <v/>
      </c>
      <c r="U995" s="68" t="str">
        <f>IF(Tableau1[[#This Row],[Date rév.]]="","",HYPERLINK(Tableau1[[#This Row],[Lien document]],"X"))</f>
        <v/>
      </c>
      <c r="V995" s="47"/>
      <c r="W995"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95" s="47"/>
      <c r="Y995" s="47"/>
      <c r="Z995" s="44" t="str">
        <f ca="1">IF(AND(Tableau1[[#This Row],[Charge]]&lt;&gt;0, Tableau1[[#This Row],[Nombre intervenants]]&lt;&gt;0,Tableau1[[#This Row],[Lien document]]&lt;&gt;0,Tableau1[[#This Row],[DMS_SAP]]&lt;&gt;0)=TRUE,"MIS A JOUR","")</f>
        <v/>
      </c>
      <c r="AA995" s="48"/>
      <c r="AB995" s="65" t="str">
        <f ca="1">IF(Tableau1[[#This Row],[Date rév.]]&lt;&gt;"", DAYS360(Tableau1[[#This Row],[Date rév.]],TODAY()),"")</f>
        <v/>
      </c>
      <c r="AC995" s="50" t="str">
        <f>IFERROR(INDEX(Chemin_accès!$B$11:$C$22,MATCH(Tableau1[[#This Row],[Type]],Chemin_accès!$C$11:$C$22,0),1),Chemin_accès!$B$11)</f>
        <v>\\stjn.local\trimet\Btechnique\Commun\Atelier Central mécanique\Plan entretien\Modèles préventif\GammeDMS_7.MENG.xlsm</v>
      </c>
      <c r="AD995" s="50" t="str">
        <f>Chemin_accès!$B$8&amp;Tableau1[[#This Row],[Localisation / Classement]]&amp;"\"&amp;Tableau1[[#This Row],[Poste technique ou N° d''équipement]]&amp;"_"&amp;Tableau1[[#This Row],[Plan Entretien]]&amp;".xlsm"</f>
        <v>\\stjn.local\trimet\Btechnique\Commun\Atelier Central mécanique\Plan entretien\GammeEntretien\\_.xlsm</v>
      </c>
    </row>
    <row r="996" spans="1:30" x14ac:dyDescent="0.3">
      <c r="A996" s="44" t="str">
        <f t="shared" ca="1" si="15"/>
        <v>7.MENG</v>
      </c>
      <c r="B996"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96" s="47"/>
      <c r="D996" s="44"/>
      <c r="E996" s="44"/>
      <c r="F996" s="47"/>
      <c r="G996" s="47"/>
      <c r="H996" s="45"/>
      <c r="I996" s="45"/>
      <c r="J996" s="45"/>
      <c r="K996" s="45"/>
      <c r="L996" s="46"/>
      <c r="M996" s="47"/>
      <c r="N996" s="47"/>
      <c r="O996" s="47"/>
      <c r="P996" s="47"/>
      <c r="Q996" s="47"/>
      <c r="R996" s="47"/>
      <c r="S996" s="48"/>
      <c r="T996" s="68" t="str">
        <f>IF(Tableau1[[#This Row],[DMS_SAP]]="","",HYPERLINK(Tableau1[[#This Row],[Chemin fichier source]],"X"))</f>
        <v/>
      </c>
      <c r="U996" s="68" t="str">
        <f>IF(Tableau1[[#This Row],[Date rév.]]="","",HYPERLINK(Tableau1[[#This Row],[Lien document]],"X"))</f>
        <v/>
      </c>
      <c r="V996" s="47"/>
      <c r="W996"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96" s="47"/>
      <c r="Y996" s="47"/>
      <c r="Z996" s="44" t="str">
        <f ca="1">IF(AND(Tableau1[[#This Row],[Charge]]&lt;&gt;0, Tableau1[[#This Row],[Nombre intervenants]]&lt;&gt;0,Tableau1[[#This Row],[Lien document]]&lt;&gt;0,Tableau1[[#This Row],[DMS_SAP]]&lt;&gt;0)=TRUE,"MIS A JOUR","")</f>
        <v/>
      </c>
      <c r="AA996" s="48"/>
      <c r="AB996" s="65" t="str">
        <f ca="1">IF(Tableau1[[#This Row],[Date rév.]]&lt;&gt;"", DAYS360(Tableau1[[#This Row],[Date rév.]],TODAY()),"")</f>
        <v/>
      </c>
      <c r="AC996" s="50" t="str">
        <f>IFERROR(INDEX(Chemin_accès!$B$11:$C$22,MATCH(Tableau1[[#This Row],[Type]],Chemin_accès!$C$11:$C$22,0),1),Chemin_accès!$B$11)</f>
        <v>\\stjn.local\trimet\Btechnique\Commun\Atelier Central mécanique\Plan entretien\Modèles préventif\GammeDMS_7.MENG.xlsm</v>
      </c>
      <c r="AD996" s="50" t="str">
        <f>Chemin_accès!$B$8&amp;Tableau1[[#This Row],[Localisation / Classement]]&amp;"\"&amp;Tableau1[[#This Row],[Poste technique ou N° d''équipement]]&amp;"_"&amp;Tableau1[[#This Row],[Plan Entretien]]&amp;".xlsm"</f>
        <v>\\stjn.local\trimet\Btechnique\Commun\Atelier Central mécanique\Plan entretien\GammeEntretien\\_.xlsm</v>
      </c>
    </row>
    <row r="997" spans="1:30" x14ac:dyDescent="0.3">
      <c r="A997" s="44" t="str">
        <f t="shared" ca="1" si="15"/>
        <v>7.MENG</v>
      </c>
      <c r="B997"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97" s="47"/>
      <c r="D997" s="44"/>
      <c r="E997" s="44"/>
      <c r="F997" s="47"/>
      <c r="G997" s="47"/>
      <c r="H997" s="45"/>
      <c r="I997" s="45"/>
      <c r="J997" s="45"/>
      <c r="K997" s="45"/>
      <c r="L997" s="46"/>
      <c r="M997" s="47"/>
      <c r="N997" s="47"/>
      <c r="O997" s="47"/>
      <c r="P997" s="47"/>
      <c r="Q997" s="47"/>
      <c r="R997" s="47"/>
      <c r="S997" s="48"/>
      <c r="T997" s="68" t="str">
        <f>IF(Tableau1[[#This Row],[DMS_SAP]]="","",HYPERLINK(Tableau1[[#This Row],[Chemin fichier source]],"X"))</f>
        <v/>
      </c>
      <c r="U997" s="68" t="str">
        <f>IF(Tableau1[[#This Row],[Date rév.]]="","",HYPERLINK(Tableau1[[#This Row],[Lien document]],"X"))</f>
        <v/>
      </c>
      <c r="V997" s="47"/>
      <c r="W997"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97" s="47"/>
      <c r="Y997" s="47"/>
      <c r="Z997" s="44" t="str">
        <f ca="1">IF(AND(Tableau1[[#This Row],[Charge]]&lt;&gt;0, Tableau1[[#This Row],[Nombre intervenants]]&lt;&gt;0,Tableau1[[#This Row],[Lien document]]&lt;&gt;0,Tableau1[[#This Row],[DMS_SAP]]&lt;&gt;0)=TRUE,"MIS A JOUR","")</f>
        <v/>
      </c>
      <c r="AA997" s="48"/>
      <c r="AB997" s="65" t="str">
        <f ca="1">IF(Tableau1[[#This Row],[Date rév.]]&lt;&gt;"", DAYS360(Tableau1[[#This Row],[Date rév.]],TODAY()),"")</f>
        <v/>
      </c>
      <c r="AC997" s="50" t="str">
        <f>IFERROR(INDEX(Chemin_accès!$B$11:$C$22,MATCH(Tableau1[[#This Row],[Type]],Chemin_accès!$C$11:$C$22,0),1),Chemin_accès!$B$11)</f>
        <v>\\stjn.local\trimet\Btechnique\Commun\Atelier Central mécanique\Plan entretien\Modèles préventif\GammeDMS_7.MENG.xlsm</v>
      </c>
      <c r="AD997" s="50" t="str">
        <f>Chemin_accès!$B$8&amp;Tableau1[[#This Row],[Localisation / Classement]]&amp;"\"&amp;Tableau1[[#This Row],[Poste technique ou N° d''équipement]]&amp;"_"&amp;Tableau1[[#This Row],[Plan Entretien]]&amp;".xlsm"</f>
        <v>\\stjn.local\trimet\Btechnique\Commun\Atelier Central mécanique\Plan entretien\GammeEntretien\\_.xlsm</v>
      </c>
    </row>
    <row r="998" spans="1:30" x14ac:dyDescent="0.3">
      <c r="A998" s="44" t="str">
        <f t="shared" ca="1" si="15"/>
        <v>7.MENG</v>
      </c>
      <c r="B998"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98" s="47"/>
      <c r="D998" s="44"/>
      <c r="E998" s="44"/>
      <c r="F998" s="47"/>
      <c r="G998" s="47"/>
      <c r="H998" s="45"/>
      <c r="I998" s="45"/>
      <c r="J998" s="45"/>
      <c r="K998" s="45"/>
      <c r="L998" s="46"/>
      <c r="M998" s="47"/>
      <c r="N998" s="47"/>
      <c r="O998" s="47"/>
      <c r="P998" s="47"/>
      <c r="Q998" s="47"/>
      <c r="R998" s="47"/>
      <c r="S998" s="48"/>
      <c r="T998" s="68" t="str">
        <f>IF(Tableau1[[#This Row],[DMS_SAP]]="","",HYPERLINK(Tableau1[[#This Row],[Chemin fichier source]],"X"))</f>
        <v/>
      </c>
      <c r="U998" s="68" t="str">
        <f>IF(Tableau1[[#This Row],[Date rév.]]="","",HYPERLINK(Tableau1[[#This Row],[Lien document]],"X"))</f>
        <v/>
      </c>
      <c r="V998" s="47"/>
      <c r="W998"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98" s="47"/>
      <c r="Y998" s="47"/>
      <c r="Z998" s="44" t="str">
        <f ca="1">IF(AND(Tableau1[[#This Row],[Charge]]&lt;&gt;0, Tableau1[[#This Row],[Nombre intervenants]]&lt;&gt;0,Tableau1[[#This Row],[Lien document]]&lt;&gt;0,Tableau1[[#This Row],[DMS_SAP]]&lt;&gt;0)=TRUE,"MIS A JOUR","")</f>
        <v/>
      </c>
      <c r="AA998" s="48"/>
      <c r="AB998" s="65" t="str">
        <f ca="1">IF(Tableau1[[#This Row],[Date rév.]]&lt;&gt;"", DAYS360(Tableau1[[#This Row],[Date rév.]],TODAY()),"")</f>
        <v/>
      </c>
      <c r="AC998" s="50" t="str">
        <f>IFERROR(INDEX(Chemin_accès!$B$11:$C$22,MATCH(Tableau1[[#This Row],[Type]],Chemin_accès!$C$11:$C$22,0),1),Chemin_accès!$B$11)</f>
        <v>\\stjn.local\trimet\Btechnique\Commun\Atelier Central mécanique\Plan entretien\Modèles préventif\GammeDMS_7.MENG.xlsm</v>
      </c>
      <c r="AD998" s="50" t="str">
        <f>Chemin_accès!$B$8&amp;Tableau1[[#This Row],[Localisation / Classement]]&amp;"\"&amp;Tableau1[[#This Row],[Poste technique ou N° d''équipement]]&amp;"_"&amp;Tableau1[[#This Row],[Plan Entretien]]&amp;".xlsm"</f>
        <v>\\stjn.local\trimet\Btechnique\Commun\Atelier Central mécanique\Plan entretien\GammeEntretien\\_.xlsm</v>
      </c>
    </row>
    <row r="999" spans="1:30" x14ac:dyDescent="0.3">
      <c r="A999" s="44" t="str">
        <f t="shared" ca="1" si="15"/>
        <v>7.MENG</v>
      </c>
      <c r="B999"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999" s="47"/>
      <c r="D999" s="44"/>
      <c r="E999" s="44"/>
      <c r="F999" s="47"/>
      <c r="G999" s="47"/>
      <c r="H999" s="45"/>
      <c r="I999" s="45"/>
      <c r="J999" s="45"/>
      <c r="K999" s="45"/>
      <c r="L999" s="46"/>
      <c r="M999" s="47"/>
      <c r="N999" s="47"/>
      <c r="O999" s="47"/>
      <c r="P999" s="47"/>
      <c r="Q999" s="47"/>
      <c r="R999" s="47"/>
      <c r="S999" s="48"/>
      <c r="T999" s="68" t="str">
        <f>IF(Tableau1[[#This Row],[DMS_SAP]]="","",HYPERLINK(Tableau1[[#This Row],[Chemin fichier source]],"X"))</f>
        <v/>
      </c>
      <c r="U999" s="68" t="str">
        <f>IF(Tableau1[[#This Row],[Date rév.]]="","",HYPERLINK(Tableau1[[#This Row],[Lien document]],"X"))</f>
        <v/>
      </c>
      <c r="V999" s="47"/>
      <c r="W999"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999" s="47"/>
      <c r="Y999" s="47"/>
      <c r="Z999" s="44" t="str">
        <f ca="1">IF(AND(Tableau1[[#This Row],[Charge]]&lt;&gt;0, Tableau1[[#This Row],[Nombre intervenants]]&lt;&gt;0,Tableau1[[#This Row],[Lien document]]&lt;&gt;0,Tableau1[[#This Row],[DMS_SAP]]&lt;&gt;0)=TRUE,"MIS A JOUR","")</f>
        <v/>
      </c>
      <c r="AA999" s="48"/>
      <c r="AB999" s="65" t="str">
        <f ca="1">IF(Tableau1[[#This Row],[Date rév.]]&lt;&gt;"", DAYS360(Tableau1[[#This Row],[Date rév.]],TODAY()),"")</f>
        <v/>
      </c>
      <c r="AC999" s="50" t="str">
        <f>IFERROR(INDEX(Chemin_accès!$B$11:$C$22,MATCH(Tableau1[[#This Row],[Type]],Chemin_accès!$C$11:$C$22,0),1),Chemin_accès!$B$11)</f>
        <v>\\stjn.local\trimet\Btechnique\Commun\Atelier Central mécanique\Plan entretien\Modèles préventif\GammeDMS_7.MENG.xlsm</v>
      </c>
      <c r="AD999" s="50" t="str">
        <f>Chemin_accès!$B$8&amp;Tableau1[[#This Row],[Localisation / Classement]]&amp;"\"&amp;Tableau1[[#This Row],[Poste technique ou N° d''équipement]]&amp;"_"&amp;Tableau1[[#This Row],[Plan Entretien]]&amp;".xlsm"</f>
        <v>\\stjn.local\trimet\Btechnique\Commun\Atelier Central mécanique\Plan entretien\GammeEntretien\\_.xlsm</v>
      </c>
    </row>
    <row r="1000" spans="1:30" x14ac:dyDescent="0.3">
      <c r="A1000" s="44" t="str">
        <f t="shared" ca="1" si="15"/>
        <v>7.MENG</v>
      </c>
      <c r="B1000"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000" s="47"/>
      <c r="D1000" s="44"/>
      <c r="E1000" s="44"/>
      <c r="F1000" s="47"/>
      <c r="G1000" s="47"/>
      <c r="H1000" s="45"/>
      <c r="I1000" s="45"/>
      <c r="J1000" s="45"/>
      <c r="K1000" s="45"/>
      <c r="L1000" s="46"/>
      <c r="M1000" s="47"/>
      <c r="N1000" s="47"/>
      <c r="O1000" s="47"/>
      <c r="P1000" s="47"/>
      <c r="Q1000" s="47"/>
      <c r="R1000" s="47"/>
      <c r="S1000" s="48"/>
      <c r="T1000" s="68" t="str">
        <f>IF(Tableau1[[#This Row],[DMS_SAP]]="","",HYPERLINK(Tableau1[[#This Row],[Chemin fichier source]],"X"))</f>
        <v/>
      </c>
      <c r="U1000" s="68" t="str">
        <f>IF(Tableau1[[#This Row],[Date rév.]]="","",HYPERLINK(Tableau1[[#This Row],[Lien document]],"X"))</f>
        <v/>
      </c>
      <c r="V1000" s="47"/>
      <c r="W1000"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000" s="47"/>
      <c r="Y1000" s="47"/>
      <c r="Z1000" s="44" t="str">
        <f ca="1">IF(AND(Tableau1[[#This Row],[Charge]]&lt;&gt;0, Tableau1[[#This Row],[Nombre intervenants]]&lt;&gt;0,Tableau1[[#This Row],[Lien document]]&lt;&gt;0,Tableau1[[#This Row],[DMS_SAP]]&lt;&gt;0)=TRUE,"MIS A JOUR","")</f>
        <v/>
      </c>
      <c r="AA1000" s="48"/>
      <c r="AB1000" s="65" t="str">
        <f ca="1">IF(Tableau1[[#This Row],[Date rév.]]&lt;&gt;"", DAYS360(Tableau1[[#This Row],[Date rév.]],TODAY()),"")</f>
        <v/>
      </c>
      <c r="AC1000" s="50" t="str">
        <f>IFERROR(INDEX(Chemin_accès!$B$11:$C$22,MATCH(Tableau1[[#This Row],[Type]],Chemin_accès!$C$11:$C$22,0),1),Chemin_accès!$B$11)</f>
        <v>\\stjn.local\trimet\Btechnique\Commun\Atelier Central mécanique\Plan entretien\Modèles préventif\GammeDMS_7.MENG.xlsm</v>
      </c>
      <c r="AD1000" s="50" t="str">
        <f>Chemin_accès!$B$8&amp;Tableau1[[#This Row],[Localisation / Classement]]&amp;"\"&amp;Tableau1[[#This Row],[Poste technique ou N° d''équipement]]&amp;"_"&amp;Tableau1[[#This Row],[Plan Entretien]]&amp;".xlsm"</f>
        <v>\\stjn.local\trimet\Btechnique\Commun\Atelier Central mécanique\Plan entretien\GammeEntretien\\_.xlsm</v>
      </c>
    </row>
    <row r="1001" spans="1:30" x14ac:dyDescent="0.3">
      <c r="A1001" s="44" t="str">
        <f t="shared" ca="1" si="15"/>
        <v>7.MENG</v>
      </c>
      <c r="B1001"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001" s="47"/>
      <c r="D1001" s="44"/>
      <c r="E1001" s="44"/>
      <c r="F1001" s="47"/>
      <c r="G1001" s="47"/>
      <c r="H1001" s="45"/>
      <c r="I1001" s="45"/>
      <c r="J1001" s="45"/>
      <c r="K1001" s="45"/>
      <c r="L1001" s="46"/>
      <c r="M1001" s="47"/>
      <c r="N1001" s="47"/>
      <c r="O1001" s="47"/>
      <c r="P1001" s="47"/>
      <c r="Q1001" s="47"/>
      <c r="R1001" s="47"/>
      <c r="S1001" s="48"/>
      <c r="T1001" s="68" t="str">
        <f>IF(Tableau1[[#This Row],[DMS_SAP]]="","",HYPERLINK(Tableau1[[#This Row],[Chemin fichier source]],"X"))</f>
        <v/>
      </c>
      <c r="U1001" s="68" t="str">
        <f>IF(Tableau1[[#This Row],[Date rév.]]="","",HYPERLINK(Tableau1[[#This Row],[Lien document]],"X"))</f>
        <v/>
      </c>
      <c r="V1001" s="47"/>
      <c r="W1001"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001" s="47"/>
      <c r="Y1001" s="47"/>
      <c r="Z1001" s="44" t="str">
        <f ca="1">IF(AND(Tableau1[[#This Row],[Charge]]&lt;&gt;0, Tableau1[[#This Row],[Nombre intervenants]]&lt;&gt;0,Tableau1[[#This Row],[Lien document]]&lt;&gt;0,Tableau1[[#This Row],[DMS_SAP]]&lt;&gt;0)=TRUE,"MIS A JOUR","")</f>
        <v/>
      </c>
      <c r="AA1001" s="48"/>
      <c r="AB1001" s="65" t="str">
        <f ca="1">IF(Tableau1[[#This Row],[Date rév.]]&lt;&gt;"", DAYS360(Tableau1[[#This Row],[Date rév.]],TODAY()),"")</f>
        <v/>
      </c>
      <c r="AC1001" s="50" t="str">
        <f>IFERROR(INDEX(Chemin_accès!$B$11:$C$22,MATCH(Tableau1[[#This Row],[Type]],Chemin_accès!$C$11:$C$22,0),1),Chemin_accès!$B$11)</f>
        <v>\\stjn.local\trimet\Btechnique\Commun\Atelier Central mécanique\Plan entretien\Modèles préventif\GammeDMS_7.MENG.xlsm</v>
      </c>
      <c r="AD1001" s="50" t="str">
        <f>Chemin_accès!$B$8&amp;Tableau1[[#This Row],[Localisation / Classement]]&amp;"\"&amp;Tableau1[[#This Row],[Poste technique ou N° d''équipement]]&amp;"_"&amp;Tableau1[[#This Row],[Plan Entretien]]&amp;".xlsm"</f>
        <v>\\stjn.local\trimet\Btechnique\Commun\Atelier Central mécanique\Plan entretien\GammeEntretien\\_.xlsm</v>
      </c>
    </row>
    <row r="1002" spans="1:30" x14ac:dyDescent="0.3">
      <c r="A1002" s="44" t="str">
        <f t="shared" ca="1" si="15"/>
        <v>7.MENG</v>
      </c>
      <c r="B1002" s="45" t="str">
        <f ca="1">IF(OR(Tableau1[[#This Row],[Poste Responsable]]="",Tableau1[[#This Row],[Localisation / Classement]]="",Tableau1[[#This Row],[Poste technique ou N° d''équipement]]="",Tableau1[[#This Row],[Niveau SAP]]="",Tableau1[[#This Row],[Poste entretien]]="",Tableau1[[#This Row],[Plan Entretien]]="",Tableau1[[#This Row],[Gamme en DMS]]="",Tableau1[[#This Row],[Groupe de Gamme]]="",Tableau1[[#This Row],[Compteur de Gamme]]="",Tableau1[[#This Row],[Charge]]="",Tableau1[[#This Row],[Nombre intervenants]]=""),"X","OK")</f>
        <v>X</v>
      </c>
      <c r="C1002" s="47"/>
      <c r="D1002" s="44"/>
      <c r="E1002" s="44"/>
      <c r="F1002" s="47"/>
      <c r="G1002" s="47"/>
      <c r="H1002" s="45"/>
      <c r="I1002" s="45"/>
      <c r="J1002" s="45"/>
      <c r="K1002" s="45"/>
      <c r="L1002" s="47"/>
      <c r="M1002" s="47"/>
      <c r="N1002" s="47"/>
      <c r="O1002" s="47"/>
      <c r="P1002" s="47"/>
      <c r="Q1002" s="47"/>
      <c r="R1002" s="47"/>
      <c r="S1002" s="48"/>
      <c r="T1002" s="68" t="str">
        <f>IF(Tableau1[[#This Row],[DMS_SAP]]="","",HYPERLINK(Tableau1[[#This Row],[Chemin fichier source]],"X"))</f>
        <v/>
      </c>
      <c r="U1002" s="68" t="str">
        <f>IF(Tableau1[[#This Row],[Date rév.]]="","",HYPERLINK(Tableau1[[#This Row],[Lien document]],"X"))</f>
        <v/>
      </c>
      <c r="V1002" s="47"/>
      <c r="W1002" s="49" t="str">
        <f ca="1">Chemin_accès!$B$2&amp;Tableau1[[#This Row],[Poste Responsable]]&amp;"\"&amp;Tableau1[[#This Row],[Localisation / Classement]]&amp;"\"&amp;Tableau1[[#This Row],[Poste technique ou N° d''équipement]]&amp;"_"&amp;Tableau1[[#This Row],[Plan Entretien]]&amp;".pdf"</f>
        <v>\\stjn.local\trimet\Donnees_Projets\Dms Sap\Maintenance\PlanEntretien\7.MENG\\_.pdf</v>
      </c>
      <c r="X1002" s="47"/>
      <c r="Y1002" s="47"/>
      <c r="Z1002" s="44" t="str">
        <f ca="1">IF(AND(Tableau1[[#This Row],[Charge]]&lt;&gt;0, Tableau1[[#This Row],[Nombre intervenants]]&lt;&gt;0,Tableau1[[#This Row],[Lien document]]&lt;&gt;0,Tableau1[[#This Row],[DMS_SAP]]&lt;&gt;0)=TRUE,"MIS A JOUR","")</f>
        <v/>
      </c>
      <c r="AA1002" s="48"/>
      <c r="AB1002" s="65" t="str">
        <f ca="1">IF(Tableau1[[#This Row],[Date rév.]]&lt;&gt;"", DAYS360(Tableau1[[#This Row],[Date rév.]],TODAY()),"")</f>
        <v/>
      </c>
      <c r="AC1002" s="50" t="str">
        <f>IFERROR(INDEX(Chemin_accès!$B$11:$C$22,MATCH(Tableau1[[#This Row],[Type]],Chemin_accès!$C$11:$C$22,0),1),Chemin_accès!$B$11)</f>
        <v>\\stjn.local\trimet\Btechnique\Commun\Atelier Central mécanique\Plan entretien\Modèles préventif\GammeDMS_7.MENG.xlsm</v>
      </c>
      <c r="AD1002" s="50" t="str">
        <f>Chemin_accès!$B$8&amp;Tableau1[[#This Row],[Localisation / Classement]]&amp;"\"&amp;Tableau1[[#This Row],[Poste technique ou N° d''équipement]]&amp;"_"&amp;Tableau1[[#This Row],[Plan Entretien]]&amp;".xlsm"</f>
        <v>\\stjn.local\trimet\Btechnique\Commun\Atelier Central mécanique\Plan entretien\GammeEntretien\\_.xlsm</v>
      </c>
    </row>
  </sheetData>
  <sheetProtection algorithmName="SHA-512" hashValue="xBc57VRR2N3NMTaTzSvh/etgalbq63czZQZSFv8YoEnJFb+umzTqC5oR4eY4nHELLn2YNzDP4Mvd4/otWxGVsw==" saltValue="bUyiVYt/jC78bVltctb/6Q==" spinCount="100000" sheet="1" objects="1" scenarios="1" autoFilter="0"/>
  <protectedRanges>
    <protectedRange sqref="Q15:S15 A4:O1002 T4:AD1002 P4:S4 P16:S1002 P6:Q15 R5:S14 Q6:R14 A3:AD3" name="Plage1"/>
  </protectedRanges>
  <customSheetViews>
    <customSheetView guid="{0EF03FB2-E8B1-47F2-9208-E204933E1F15}" showAutoFilter="1">
      <selection activeCell="B4" sqref="B4"/>
      <pageMargins left="0.7" right="0.7" top="0.75" bottom="0.75" header="0.3" footer="0.3"/>
      <pageSetup paperSize="8" orientation="portrait" r:id="rId1"/>
      <autoFilter ref="A2:S2" xr:uid="{708FDDD1-27FA-4510-A2D7-499A69319F6E}"/>
    </customSheetView>
    <customSheetView guid="{41F7FD2A-BA5B-4731-A557-2BD58F51B02E}" showAutoFilter="1">
      <selection activeCell="I19" sqref="I19"/>
      <pageMargins left="0.7" right="0.7" top="0.75" bottom="0.75" header="0.3" footer="0.3"/>
      <pageSetup paperSize="8" orientation="portrait" r:id="rId2"/>
      <autoFilter ref="A2:S2" xr:uid="{23746E42-0155-4453-8138-16C7EC8E64D9}"/>
    </customSheetView>
    <customSheetView guid="{850E940B-2428-4553-BF71-40EDCB2E1D07}" printArea="1" showAutoFilter="1">
      <selection activeCell="F5" sqref="F5"/>
      <pageMargins left="0.7" right="0.7" top="0.75" bottom="0.75" header="0.3" footer="0.3"/>
      <pageSetup paperSize="8" orientation="portrait" r:id="rId3"/>
      <autoFilter ref="A2:S2" xr:uid="{965D9F38-D0D5-405D-B84D-CEBE45F75D3B}"/>
    </customSheetView>
    <customSheetView guid="{CF0A3741-DD40-423F-97D7-0C00E4DC3A32}" printArea="1" showAutoFilter="1">
      <selection activeCell="D19" sqref="D19"/>
      <pageMargins left="0.7" right="0.7" top="0.75" bottom="0.75" header="0.3" footer="0.3"/>
      <pageSetup paperSize="8" orientation="portrait" r:id="rId4"/>
      <autoFilter ref="A2:S2" xr:uid="{A9D48343-D65F-41B4-8E4E-9620980A6084}"/>
    </customSheetView>
  </customSheetViews>
  <mergeCells count="2">
    <mergeCell ref="U1:Z1"/>
    <mergeCell ref="AA1:AB1"/>
  </mergeCells>
  <conditionalFormatting sqref="J51:M51 J26:L26 J35:L38 J3:M8 J56:M1002 J52:L55">
    <cfRule type="expression" dxfId="1129" priority="1675">
      <formula xml:space="preserve"> AND($J3 &lt;&gt; "",$K3 &lt;&gt; "")</formula>
    </cfRule>
  </conditionalFormatting>
  <conditionalFormatting sqref="N26 N35:N38 N3:N8 N56:N1002">
    <cfRule type="cellIs" dxfId="1128" priority="1693" operator="equal">
      <formula>"CHANG MEC"</formula>
    </cfRule>
    <cfRule type="cellIs" dxfId="1127" priority="2720" operator="equal">
      <formula>"TOUR"</formula>
    </cfRule>
    <cfRule type="cellIs" dxfId="1126" priority="2721" operator="equal">
      <formula>"REGL ELEC"</formula>
    </cfRule>
    <cfRule type="cellIs" dxfId="1125" priority="2722" operator="equal">
      <formula>"REGL MEC"</formula>
    </cfRule>
    <cfRule type="cellIs" dxfId="1124" priority="2723" operator="equal">
      <formula>"PROD"</formula>
    </cfRule>
    <cfRule type="cellIs" dxfId="1123" priority="2724" operator="equal">
      <formula>"GR"</formula>
    </cfRule>
    <cfRule type="cellIs" dxfId="1122" priority="2769" operator="equal">
      <formula>"CTRL ELEC"</formula>
    </cfRule>
    <cfRule type="cellIs" dxfId="1121" priority="2770" operator="equal">
      <formula>"CTRL MEC"</formula>
    </cfRule>
  </conditionalFormatting>
  <conditionalFormatting sqref="S5:AD5 A5:O5 N26:R26 T26:AD26 N35:R38 T35:AD38 A6:AD8 A26:L26 A38:L38 A3:AD4 A56:AD1002 O51:AD55 A35:C37 E35:L37 A51:M51 A52:L55">
    <cfRule type="expression" dxfId="1120" priority="1676">
      <formula xml:space="preserve"> $C3 = "C"</formula>
    </cfRule>
    <cfRule type="expression" dxfId="1119" priority="1677">
      <formula xml:space="preserve"> $C3 = "S"</formula>
    </cfRule>
    <cfRule type="expression" dxfId="1118" priority="1678">
      <formula xml:space="preserve"> $C3 = ""</formula>
    </cfRule>
  </conditionalFormatting>
  <conditionalFormatting sqref="I3:I8 I26 I35:I38 I51:I1002">
    <cfRule type="duplicateValues" dxfId="1117" priority="2801"/>
  </conditionalFormatting>
  <conditionalFormatting sqref="H3:H8 H26 H35:H38 H51:H1002">
    <cfRule type="duplicateValues" dxfId="1116" priority="2803"/>
  </conditionalFormatting>
  <conditionalFormatting sqref="J9:K9">
    <cfRule type="expression" dxfId="1115" priority="1654">
      <formula xml:space="preserve"> AND($J9 &lt;&gt; "",$K9 &lt;&gt; "")</formula>
    </cfRule>
  </conditionalFormatting>
  <conditionalFormatting sqref="N9">
    <cfRule type="cellIs" dxfId="1114" priority="1658" operator="equal">
      <formula>"CHANG MEC"</formula>
    </cfRule>
    <cfRule type="cellIs" dxfId="1113" priority="1659" operator="equal">
      <formula>"TOUR"</formula>
    </cfRule>
    <cfRule type="cellIs" dxfId="1112" priority="1660" operator="equal">
      <formula>"REGL ELEC"</formula>
    </cfRule>
    <cfRule type="cellIs" dxfId="1111" priority="1661" operator="equal">
      <formula>"REGL MEC"</formula>
    </cfRule>
    <cfRule type="cellIs" dxfId="1110" priority="1662" operator="equal">
      <formula>"PROD"</formula>
    </cfRule>
    <cfRule type="cellIs" dxfId="1109" priority="1663" operator="equal">
      <formula>"GR"</formula>
    </cfRule>
    <cfRule type="cellIs" dxfId="1108" priority="1664" operator="equal">
      <formula>"CTRL ELEC"</formula>
    </cfRule>
    <cfRule type="cellIs" dxfId="1107" priority="1665" operator="equal">
      <formula>"CTRL MEC"</formula>
    </cfRule>
  </conditionalFormatting>
  <conditionalFormatting sqref="A9:K9 N9:AD9">
    <cfRule type="expression" dxfId="1106" priority="1655">
      <formula xml:space="preserve"> $C9 = "C"</formula>
    </cfRule>
    <cfRule type="expression" dxfId="1105" priority="1656">
      <formula xml:space="preserve"> $C9 = "S"</formula>
    </cfRule>
    <cfRule type="expression" dxfId="1104" priority="1657">
      <formula xml:space="preserve"> $C9 = ""</formula>
    </cfRule>
  </conditionalFormatting>
  <conditionalFormatting sqref="I9">
    <cfRule type="duplicateValues" dxfId="1103" priority="1666"/>
  </conditionalFormatting>
  <conditionalFormatting sqref="H9">
    <cfRule type="duplicateValues" dxfId="1102" priority="1667"/>
  </conditionalFormatting>
  <conditionalFormatting sqref="J10:K10">
    <cfRule type="expression" dxfId="1101" priority="1626">
      <formula xml:space="preserve"> AND($J10 &lt;&gt; "",$K10 &lt;&gt; "")</formula>
    </cfRule>
  </conditionalFormatting>
  <conditionalFormatting sqref="N10">
    <cfRule type="cellIs" dxfId="1100" priority="1630" operator="equal">
      <formula>"CHANG MEC"</formula>
    </cfRule>
    <cfRule type="cellIs" dxfId="1099" priority="1631" operator="equal">
      <formula>"TOUR"</formula>
    </cfRule>
    <cfRule type="cellIs" dxfId="1098" priority="1632" operator="equal">
      <formula>"REGL ELEC"</formula>
    </cfRule>
    <cfRule type="cellIs" dxfId="1097" priority="1633" operator="equal">
      <formula>"REGL MEC"</formula>
    </cfRule>
    <cfRule type="cellIs" dxfId="1096" priority="1634" operator="equal">
      <formula>"PROD"</formula>
    </cfRule>
    <cfRule type="cellIs" dxfId="1095" priority="1635" operator="equal">
      <formula>"GR"</formula>
    </cfRule>
    <cfRule type="cellIs" dxfId="1094" priority="1636" operator="equal">
      <formula>"CTRL ELEC"</formula>
    </cfRule>
    <cfRule type="cellIs" dxfId="1093" priority="1637" operator="equal">
      <formula>"CTRL MEC"</formula>
    </cfRule>
  </conditionalFormatting>
  <conditionalFormatting sqref="A10:K10 N10:AD10">
    <cfRule type="expression" dxfId="1092" priority="1627">
      <formula xml:space="preserve"> $C10 = "C"</formula>
    </cfRule>
    <cfRule type="expression" dxfId="1091" priority="1628">
      <formula xml:space="preserve"> $C10 = "S"</formula>
    </cfRule>
    <cfRule type="expression" dxfId="1090" priority="1629">
      <formula xml:space="preserve"> $C10 = ""</formula>
    </cfRule>
  </conditionalFormatting>
  <conditionalFormatting sqref="I10">
    <cfRule type="duplicateValues" dxfId="1089" priority="1638"/>
  </conditionalFormatting>
  <conditionalFormatting sqref="H10">
    <cfRule type="duplicateValues" dxfId="1088" priority="1639"/>
  </conditionalFormatting>
  <conditionalFormatting sqref="J11:K11">
    <cfRule type="expression" dxfId="1087" priority="1612">
      <formula xml:space="preserve"> AND($J11 &lt;&gt; "",$K11 &lt;&gt; "")</formula>
    </cfRule>
  </conditionalFormatting>
  <conditionalFormatting sqref="N11">
    <cfRule type="cellIs" dxfId="1086" priority="1616" operator="equal">
      <formula>"CHANG MEC"</formula>
    </cfRule>
    <cfRule type="cellIs" dxfId="1085" priority="1617" operator="equal">
      <formula>"TOUR"</formula>
    </cfRule>
    <cfRule type="cellIs" dxfId="1084" priority="1618" operator="equal">
      <formula>"REGL ELEC"</formula>
    </cfRule>
    <cfRule type="cellIs" dxfId="1083" priority="1619" operator="equal">
      <formula>"REGL MEC"</formula>
    </cfRule>
    <cfRule type="cellIs" dxfId="1082" priority="1620" operator="equal">
      <formula>"PROD"</formula>
    </cfRule>
    <cfRule type="cellIs" dxfId="1081" priority="1621" operator="equal">
      <formula>"GR"</formula>
    </cfRule>
    <cfRule type="cellIs" dxfId="1080" priority="1622" operator="equal">
      <formula>"CTRL ELEC"</formula>
    </cfRule>
    <cfRule type="cellIs" dxfId="1079" priority="1623" operator="equal">
      <formula>"CTRL MEC"</formula>
    </cfRule>
  </conditionalFormatting>
  <conditionalFormatting sqref="A11:K11 N11:AD11">
    <cfRule type="expression" dxfId="1078" priority="1613">
      <formula xml:space="preserve"> $C11 = "C"</formula>
    </cfRule>
    <cfRule type="expression" dxfId="1077" priority="1614">
      <formula xml:space="preserve"> $C11 = "S"</formula>
    </cfRule>
    <cfRule type="expression" dxfId="1076" priority="1615">
      <formula xml:space="preserve"> $C11 = ""</formula>
    </cfRule>
  </conditionalFormatting>
  <conditionalFormatting sqref="I11">
    <cfRule type="duplicateValues" dxfId="1075" priority="1624"/>
  </conditionalFormatting>
  <conditionalFormatting sqref="H11">
    <cfRule type="duplicateValues" dxfId="1074" priority="1625"/>
  </conditionalFormatting>
  <conditionalFormatting sqref="J12:K12">
    <cfRule type="expression" dxfId="1073" priority="1584">
      <formula xml:space="preserve"> AND($J12 &lt;&gt; "",$K12 &lt;&gt; "")</formula>
    </cfRule>
  </conditionalFormatting>
  <conditionalFormatting sqref="N12">
    <cfRule type="cellIs" dxfId="1072" priority="1588" operator="equal">
      <formula>"CHANG MEC"</formula>
    </cfRule>
    <cfRule type="cellIs" dxfId="1071" priority="1589" operator="equal">
      <formula>"TOUR"</formula>
    </cfRule>
    <cfRule type="cellIs" dxfId="1070" priority="1590" operator="equal">
      <formula>"REGL ELEC"</formula>
    </cfRule>
    <cfRule type="cellIs" dxfId="1069" priority="1591" operator="equal">
      <formula>"REGL MEC"</formula>
    </cfRule>
    <cfRule type="cellIs" dxfId="1068" priority="1592" operator="equal">
      <formula>"PROD"</formula>
    </cfRule>
    <cfRule type="cellIs" dxfId="1067" priority="1593" operator="equal">
      <formula>"GR"</formula>
    </cfRule>
    <cfRule type="cellIs" dxfId="1066" priority="1594" operator="equal">
      <formula>"CTRL ELEC"</formula>
    </cfRule>
    <cfRule type="cellIs" dxfId="1065" priority="1595" operator="equal">
      <formula>"CTRL MEC"</formula>
    </cfRule>
  </conditionalFormatting>
  <conditionalFormatting sqref="A12:K12 N12:AD12">
    <cfRule type="expression" dxfId="1064" priority="1585">
      <formula xml:space="preserve"> $C12 = "C"</formula>
    </cfRule>
    <cfRule type="expression" dxfId="1063" priority="1586">
      <formula xml:space="preserve"> $C12 = "S"</formula>
    </cfRule>
    <cfRule type="expression" dxfId="1062" priority="1587">
      <formula xml:space="preserve"> $C12 = ""</formula>
    </cfRule>
  </conditionalFormatting>
  <conditionalFormatting sqref="I12">
    <cfRule type="duplicateValues" dxfId="1061" priority="1596"/>
  </conditionalFormatting>
  <conditionalFormatting sqref="H12">
    <cfRule type="duplicateValues" dxfId="1060" priority="1597"/>
  </conditionalFormatting>
  <conditionalFormatting sqref="J13:K13">
    <cfRule type="expression" dxfId="1059" priority="1556">
      <formula xml:space="preserve"> AND($J13 &lt;&gt; "",$K13 &lt;&gt; "")</formula>
    </cfRule>
  </conditionalFormatting>
  <conditionalFormatting sqref="N13">
    <cfRule type="cellIs" dxfId="1058" priority="1560" operator="equal">
      <formula>"CHANG MEC"</formula>
    </cfRule>
    <cfRule type="cellIs" dxfId="1057" priority="1561" operator="equal">
      <formula>"TOUR"</formula>
    </cfRule>
    <cfRule type="cellIs" dxfId="1056" priority="1562" operator="equal">
      <formula>"REGL ELEC"</formula>
    </cfRule>
    <cfRule type="cellIs" dxfId="1055" priority="1563" operator="equal">
      <formula>"REGL MEC"</formula>
    </cfRule>
    <cfRule type="cellIs" dxfId="1054" priority="1564" operator="equal">
      <formula>"PROD"</formula>
    </cfRule>
    <cfRule type="cellIs" dxfId="1053" priority="1565" operator="equal">
      <formula>"GR"</formula>
    </cfRule>
    <cfRule type="cellIs" dxfId="1052" priority="1566" operator="equal">
      <formula>"CTRL ELEC"</formula>
    </cfRule>
    <cfRule type="cellIs" dxfId="1051" priority="1567" operator="equal">
      <formula>"CTRL MEC"</formula>
    </cfRule>
  </conditionalFormatting>
  <conditionalFormatting sqref="A13:K13 N13:AD13">
    <cfRule type="expression" dxfId="1050" priority="1557">
      <formula xml:space="preserve"> $C13 = "C"</formula>
    </cfRule>
    <cfRule type="expression" dxfId="1049" priority="1558">
      <formula xml:space="preserve"> $C13 = "S"</formula>
    </cfRule>
    <cfRule type="expression" dxfId="1048" priority="1559">
      <formula xml:space="preserve"> $C13 = ""</formula>
    </cfRule>
  </conditionalFormatting>
  <conditionalFormatting sqref="I13">
    <cfRule type="duplicateValues" dxfId="1047" priority="1568"/>
  </conditionalFormatting>
  <conditionalFormatting sqref="H13">
    <cfRule type="duplicateValues" dxfId="1046" priority="1569"/>
  </conditionalFormatting>
  <conditionalFormatting sqref="J14:K14">
    <cfRule type="expression" dxfId="1045" priority="1542">
      <formula xml:space="preserve"> AND($J14 &lt;&gt; "",$K14 &lt;&gt; "")</formula>
    </cfRule>
  </conditionalFormatting>
  <conditionalFormatting sqref="N14">
    <cfRule type="cellIs" dxfId="1044" priority="1546" operator="equal">
      <formula>"CHANG MEC"</formula>
    </cfRule>
    <cfRule type="cellIs" dxfId="1043" priority="1547" operator="equal">
      <formula>"TOUR"</formula>
    </cfRule>
    <cfRule type="cellIs" dxfId="1042" priority="1548" operator="equal">
      <formula>"REGL ELEC"</formula>
    </cfRule>
    <cfRule type="cellIs" dxfId="1041" priority="1549" operator="equal">
      <formula>"REGL MEC"</formula>
    </cfRule>
    <cfRule type="cellIs" dxfId="1040" priority="1550" operator="equal">
      <formula>"PROD"</formula>
    </cfRule>
    <cfRule type="cellIs" dxfId="1039" priority="1551" operator="equal">
      <formula>"GR"</formula>
    </cfRule>
    <cfRule type="cellIs" dxfId="1038" priority="1552" operator="equal">
      <formula>"CTRL ELEC"</formula>
    </cfRule>
    <cfRule type="cellIs" dxfId="1037" priority="1553" operator="equal">
      <formula>"CTRL MEC"</formula>
    </cfRule>
  </conditionalFormatting>
  <conditionalFormatting sqref="A14:K14 N14:AD14">
    <cfRule type="expression" dxfId="1036" priority="1543">
      <formula xml:space="preserve"> $C14 = "C"</formula>
    </cfRule>
    <cfRule type="expression" dxfId="1035" priority="1544">
      <formula xml:space="preserve"> $C14 = "S"</formula>
    </cfRule>
    <cfRule type="expression" dxfId="1034" priority="1545">
      <formula xml:space="preserve"> $C14 = ""</formula>
    </cfRule>
  </conditionalFormatting>
  <conditionalFormatting sqref="I14">
    <cfRule type="duplicateValues" dxfId="1033" priority="1554"/>
  </conditionalFormatting>
  <conditionalFormatting sqref="H14">
    <cfRule type="duplicateValues" dxfId="1032" priority="1555"/>
  </conditionalFormatting>
  <conditionalFormatting sqref="J15:K15">
    <cfRule type="expression" dxfId="1031" priority="1528">
      <formula xml:space="preserve"> AND($J15 &lt;&gt; "",$K15 &lt;&gt; "")</formula>
    </cfRule>
  </conditionalFormatting>
  <conditionalFormatting sqref="N15">
    <cfRule type="cellIs" dxfId="1030" priority="1532" operator="equal">
      <formula>"CHANG MEC"</formula>
    </cfRule>
    <cfRule type="cellIs" dxfId="1029" priority="1533" operator="equal">
      <formula>"TOUR"</formula>
    </cfRule>
    <cfRule type="cellIs" dxfId="1028" priority="1534" operator="equal">
      <formula>"REGL ELEC"</formula>
    </cfRule>
    <cfRule type="cellIs" dxfId="1027" priority="1535" operator="equal">
      <formula>"REGL MEC"</formula>
    </cfRule>
    <cfRule type="cellIs" dxfId="1026" priority="1536" operator="equal">
      <formula>"PROD"</formula>
    </cfRule>
    <cfRule type="cellIs" dxfId="1025" priority="1537" operator="equal">
      <formula>"GR"</formula>
    </cfRule>
    <cfRule type="cellIs" dxfId="1024" priority="1538" operator="equal">
      <formula>"CTRL ELEC"</formula>
    </cfRule>
    <cfRule type="cellIs" dxfId="1023" priority="1539" operator="equal">
      <formula>"CTRL MEC"</formula>
    </cfRule>
  </conditionalFormatting>
  <conditionalFormatting sqref="A15:E15 G15:K15 N15:AD15">
    <cfRule type="expression" dxfId="1022" priority="1529">
      <formula xml:space="preserve"> $C15 = "C"</formula>
    </cfRule>
    <cfRule type="expression" dxfId="1021" priority="1530">
      <formula xml:space="preserve"> $C15 = "S"</formula>
    </cfRule>
    <cfRule type="expression" dxfId="1020" priority="1531">
      <formula xml:space="preserve"> $C15 = ""</formula>
    </cfRule>
  </conditionalFormatting>
  <conditionalFormatting sqref="I15">
    <cfRule type="duplicateValues" dxfId="1019" priority="1540"/>
  </conditionalFormatting>
  <conditionalFormatting sqref="H15">
    <cfRule type="duplicateValues" dxfId="1018" priority="1541"/>
  </conditionalFormatting>
  <conditionalFormatting sqref="J16:K16">
    <cfRule type="expression" dxfId="1017" priority="1500">
      <formula xml:space="preserve"> AND($J16 &lt;&gt; "",$K16 &lt;&gt; "")</formula>
    </cfRule>
  </conditionalFormatting>
  <conditionalFormatting sqref="N16">
    <cfRule type="cellIs" dxfId="1016" priority="1504" operator="equal">
      <formula>"CHANG MEC"</formula>
    </cfRule>
    <cfRule type="cellIs" dxfId="1015" priority="1505" operator="equal">
      <formula>"TOUR"</formula>
    </cfRule>
    <cfRule type="cellIs" dxfId="1014" priority="1506" operator="equal">
      <formula>"REGL ELEC"</formula>
    </cfRule>
    <cfRule type="cellIs" dxfId="1013" priority="1507" operator="equal">
      <formula>"REGL MEC"</formula>
    </cfRule>
    <cfRule type="cellIs" dxfId="1012" priority="1508" operator="equal">
      <formula>"PROD"</formula>
    </cfRule>
    <cfRule type="cellIs" dxfId="1011" priority="1509" operator="equal">
      <formula>"GR"</formula>
    </cfRule>
    <cfRule type="cellIs" dxfId="1010" priority="1510" operator="equal">
      <formula>"CTRL ELEC"</formula>
    </cfRule>
    <cfRule type="cellIs" dxfId="1009" priority="1511" operator="equal">
      <formula>"CTRL MEC"</formula>
    </cfRule>
  </conditionalFormatting>
  <conditionalFormatting sqref="A16:F16 H16:K16 N16:AD16">
    <cfRule type="expression" dxfId="1008" priority="1501">
      <formula xml:space="preserve"> $C16 = "C"</formula>
    </cfRule>
    <cfRule type="expression" dxfId="1007" priority="1502">
      <formula xml:space="preserve"> $C16 = "S"</formula>
    </cfRule>
    <cfRule type="expression" dxfId="1006" priority="1503">
      <formula xml:space="preserve"> $C16 = ""</formula>
    </cfRule>
  </conditionalFormatting>
  <conditionalFormatting sqref="I16">
    <cfRule type="duplicateValues" dxfId="1005" priority="1512"/>
  </conditionalFormatting>
  <conditionalFormatting sqref="H16">
    <cfRule type="duplicateValues" dxfId="1004" priority="1513"/>
  </conditionalFormatting>
  <conditionalFormatting sqref="G16">
    <cfRule type="expression" dxfId="1003" priority="1488">
      <formula xml:space="preserve"> $C16 = "C"</formula>
    </cfRule>
    <cfRule type="expression" dxfId="1002" priority="1489">
      <formula xml:space="preserve"> $C16 = "S"</formula>
    </cfRule>
    <cfRule type="expression" dxfId="1001" priority="1490">
      <formula xml:space="preserve"> $C16 = ""</formula>
    </cfRule>
  </conditionalFormatting>
  <conditionalFormatting sqref="F15">
    <cfRule type="expression" dxfId="1000" priority="1482">
      <formula xml:space="preserve"> $C15 = "C"</formula>
    </cfRule>
    <cfRule type="expression" dxfId="999" priority="1483">
      <formula xml:space="preserve"> $C15 = "S"</formula>
    </cfRule>
    <cfRule type="expression" dxfId="998" priority="1484">
      <formula xml:space="preserve"> $C15 = ""</formula>
    </cfRule>
  </conditionalFormatting>
  <conditionalFormatting sqref="M9">
    <cfRule type="expression" dxfId="997" priority="1478">
      <formula xml:space="preserve"> AND($J9 &lt;&gt; "",$K9 &lt;&gt; "")</formula>
    </cfRule>
  </conditionalFormatting>
  <conditionalFormatting sqref="M9">
    <cfRule type="expression" dxfId="996" priority="1479">
      <formula xml:space="preserve"> $C9 = "C"</formula>
    </cfRule>
    <cfRule type="expression" dxfId="995" priority="1480">
      <formula xml:space="preserve"> $C9 = "S"</formula>
    </cfRule>
    <cfRule type="expression" dxfId="994" priority="1481">
      <formula xml:space="preserve"> $C9 = ""</formula>
    </cfRule>
  </conditionalFormatting>
  <conditionalFormatting sqref="M10">
    <cfRule type="expression" dxfId="993" priority="1474">
      <formula xml:space="preserve"> AND($J10 &lt;&gt; "",$K10 &lt;&gt; "")</formula>
    </cfRule>
  </conditionalFormatting>
  <conditionalFormatting sqref="M10">
    <cfRule type="expression" dxfId="992" priority="1475">
      <formula xml:space="preserve"> $C10 = "C"</formula>
    </cfRule>
    <cfRule type="expression" dxfId="991" priority="1476">
      <formula xml:space="preserve"> $C10 = "S"</formula>
    </cfRule>
    <cfRule type="expression" dxfId="990" priority="1477">
      <formula xml:space="preserve"> $C10 = ""</formula>
    </cfRule>
  </conditionalFormatting>
  <conditionalFormatting sqref="J17:K17">
    <cfRule type="expression" dxfId="989" priority="1419">
      <formula xml:space="preserve"> AND($J17 &lt;&gt; "",$K17 &lt;&gt; "")</formula>
    </cfRule>
  </conditionalFormatting>
  <conditionalFormatting sqref="A17:F17 H17:K17 O17:R17 T17:AD17">
    <cfRule type="expression" dxfId="988" priority="1420">
      <formula xml:space="preserve"> $C17 = "C"</formula>
    </cfRule>
    <cfRule type="expression" dxfId="987" priority="1421">
      <formula xml:space="preserve"> $C17 = "S"</formula>
    </cfRule>
    <cfRule type="expression" dxfId="986" priority="1422">
      <formula xml:space="preserve"> $C17 = ""</formula>
    </cfRule>
  </conditionalFormatting>
  <conditionalFormatting sqref="I17">
    <cfRule type="duplicateValues" dxfId="985" priority="1431"/>
  </conditionalFormatting>
  <conditionalFormatting sqref="H17">
    <cfRule type="duplicateValues" dxfId="984" priority="1432"/>
  </conditionalFormatting>
  <conditionalFormatting sqref="G17">
    <cfRule type="expression" dxfId="983" priority="1416">
      <formula xml:space="preserve"> $C17 = "C"</formula>
    </cfRule>
    <cfRule type="expression" dxfId="982" priority="1417">
      <formula xml:space="preserve"> $C17 = "S"</formula>
    </cfRule>
    <cfRule type="expression" dxfId="981" priority="1418">
      <formula xml:space="preserve"> $C17 = ""</formula>
    </cfRule>
  </conditionalFormatting>
  <conditionalFormatting sqref="N17">
    <cfRule type="cellIs" dxfId="980" priority="1385" operator="equal">
      <formula>"CHANG MEC"</formula>
    </cfRule>
    <cfRule type="cellIs" dxfId="979" priority="1386" operator="equal">
      <formula>"TOUR"</formula>
    </cfRule>
    <cfRule type="cellIs" dxfId="978" priority="1387" operator="equal">
      <formula>"REGL ELEC"</formula>
    </cfRule>
    <cfRule type="cellIs" dxfId="977" priority="1388" operator="equal">
      <formula>"REGL MEC"</formula>
    </cfRule>
    <cfRule type="cellIs" dxfId="976" priority="1389" operator="equal">
      <formula>"PROD"</formula>
    </cfRule>
    <cfRule type="cellIs" dxfId="975" priority="1390" operator="equal">
      <formula>"GR"</formula>
    </cfRule>
    <cfRule type="cellIs" dxfId="974" priority="1391" operator="equal">
      <formula>"CTRL ELEC"</formula>
    </cfRule>
    <cfRule type="cellIs" dxfId="973" priority="1392" operator="equal">
      <formula>"CTRL MEC"</formula>
    </cfRule>
  </conditionalFormatting>
  <conditionalFormatting sqref="N17">
    <cfRule type="expression" dxfId="972" priority="1382">
      <formula xml:space="preserve"> $C17 = "C"</formula>
    </cfRule>
    <cfRule type="expression" dxfId="971" priority="1383">
      <formula xml:space="preserve"> $C17 = "S"</formula>
    </cfRule>
    <cfRule type="expression" dxfId="970" priority="1384">
      <formula xml:space="preserve"> $C17 = ""</formula>
    </cfRule>
  </conditionalFormatting>
  <conditionalFormatting sqref="S17">
    <cfRule type="expression" dxfId="969" priority="1376">
      <formula xml:space="preserve"> $C17 = "C"</formula>
    </cfRule>
    <cfRule type="expression" dxfId="968" priority="1377">
      <formula xml:space="preserve"> $C17 = "S"</formula>
    </cfRule>
    <cfRule type="expression" dxfId="967" priority="1378">
      <formula xml:space="preserve"> $C17 = ""</formula>
    </cfRule>
  </conditionalFormatting>
  <conditionalFormatting sqref="J18:K18">
    <cfRule type="expression" dxfId="966" priority="1370">
      <formula xml:space="preserve"> AND($J18 &lt;&gt; "",$K18 &lt;&gt; "")</formula>
    </cfRule>
  </conditionalFormatting>
  <conditionalFormatting sqref="A18:F18 H18:K18 O18:R18 T18:AD18">
    <cfRule type="expression" dxfId="965" priority="1371">
      <formula xml:space="preserve"> $C18 = "C"</formula>
    </cfRule>
    <cfRule type="expression" dxfId="964" priority="1372">
      <formula xml:space="preserve"> $C18 = "S"</formula>
    </cfRule>
    <cfRule type="expression" dxfId="963" priority="1373">
      <formula xml:space="preserve"> $C18 = ""</formula>
    </cfRule>
  </conditionalFormatting>
  <conditionalFormatting sqref="I18">
    <cfRule type="duplicateValues" dxfId="962" priority="1374"/>
  </conditionalFormatting>
  <conditionalFormatting sqref="H18">
    <cfRule type="duplicateValues" dxfId="961" priority="1375"/>
  </conditionalFormatting>
  <conditionalFormatting sqref="G18">
    <cfRule type="expression" dxfId="960" priority="1367">
      <formula xml:space="preserve"> $C18 = "C"</formula>
    </cfRule>
    <cfRule type="expression" dxfId="959" priority="1368">
      <formula xml:space="preserve"> $C18 = "S"</formula>
    </cfRule>
    <cfRule type="expression" dxfId="958" priority="1369">
      <formula xml:space="preserve"> $C18 = ""</formula>
    </cfRule>
  </conditionalFormatting>
  <conditionalFormatting sqref="N18">
    <cfRule type="cellIs" dxfId="957" priority="1355" operator="equal">
      <formula>"CHANG MEC"</formula>
    </cfRule>
    <cfRule type="cellIs" dxfId="956" priority="1356" operator="equal">
      <formula>"TOUR"</formula>
    </cfRule>
    <cfRule type="cellIs" dxfId="955" priority="1357" operator="equal">
      <formula>"REGL ELEC"</formula>
    </cfRule>
    <cfRule type="cellIs" dxfId="954" priority="1358" operator="equal">
      <formula>"REGL MEC"</formula>
    </cfRule>
    <cfRule type="cellIs" dxfId="953" priority="1359" operator="equal">
      <formula>"PROD"</formula>
    </cfRule>
    <cfRule type="cellIs" dxfId="952" priority="1360" operator="equal">
      <formula>"GR"</formula>
    </cfRule>
    <cfRule type="cellIs" dxfId="951" priority="1361" operator="equal">
      <formula>"CTRL ELEC"</formula>
    </cfRule>
    <cfRule type="cellIs" dxfId="950" priority="1362" operator="equal">
      <formula>"CTRL MEC"</formula>
    </cfRule>
  </conditionalFormatting>
  <conditionalFormatting sqref="N18">
    <cfRule type="expression" dxfId="949" priority="1352">
      <formula xml:space="preserve"> $C18 = "C"</formula>
    </cfRule>
    <cfRule type="expression" dxfId="948" priority="1353">
      <formula xml:space="preserve"> $C18 = "S"</formula>
    </cfRule>
    <cfRule type="expression" dxfId="947" priority="1354">
      <formula xml:space="preserve"> $C18 = ""</formula>
    </cfRule>
  </conditionalFormatting>
  <conditionalFormatting sqref="S18">
    <cfRule type="expression" dxfId="946" priority="1349">
      <formula xml:space="preserve"> $C18 = "C"</formula>
    </cfRule>
    <cfRule type="expression" dxfId="945" priority="1350">
      <formula xml:space="preserve"> $C18 = "S"</formula>
    </cfRule>
    <cfRule type="expression" dxfId="944" priority="1351">
      <formula xml:space="preserve"> $C18 = ""</formula>
    </cfRule>
  </conditionalFormatting>
  <conditionalFormatting sqref="J19:K19">
    <cfRule type="expression" dxfId="943" priority="1316">
      <formula xml:space="preserve"> AND($J19 &lt;&gt; "",$K19 &lt;&gt; "")</formula>
    </cfRule>
  </conditionalFormatting>
  <conditionalFormatting sqref="A19:F19 H19:K19 O19:R19 T19:AD19">
    <cfRule type="expression" dxfId="942" priority="1317">
      <formula xml:space="preserve"> $C19 = "C"</formula>
    </cfRule>
    <cfRule type="expression" dxfId="941" priority="1318">
      <formula xml:space="preserve"> $C19 = "S"</formula>
    </cfRule>
    <cfRule type="expression" dxfId="940" priority="1319">
      <formula xml:space="preserve"> $C19 = ""</formula>
    </cfRule>
  </conditionalFormatting>
  <conditionalFormatting sqref="I19">
    <cfRule type="duplicateValues" dxfId="939" priority="1320"/>
  </conditionalFormatting>
  <conditionalFormatting sqref="H19">
    <cfRule type="duplicateValues" dxfId="938" priority="1321"/>
  </conditionalFormatting>
  <conditionalFormatting sqref="G19">
    <cfRule type="expression" dxfId="937" priority="1313">
      <formula xml:space="preserve"> $C19 = "C"</formula>
    </cfRule>
    <cfRule type="expression" dxfId="936" priority="1314">
      <formula xml:space="preserve"> $C19 = "S"</formula>
    </cfRule>
    <cfRule type="expression" dxfId="935" priority="1315">
      <formula xml:space="preserve"> $C19 = ""</formula>
    </cfRule>
  </conditionalFormatting>
  <conditionalFormatting sqref="N19">
    <cfRule type="cellIs" dxfId="934" priority="1301" operator="equal">
      <formula>"CHANG MEC"</formula>
    </cfRule>
    <cfRule type="cellIs" dxfId="933" priority="1302" operator="equal">
      <formula>"TOUR"</formula>
    </cfRule>
    <cfRule type="cellIs" dxfId="932" priority="1303" operator="equal">
      <formula>"REGL ELEC"</formula>
    </cfRule>
    <cfRule type="cellIs" dxfId="931" priority="1304" operator="equal">
      <formula>"REGL MEC"</formula>
    </cfRule>
    <cfRule type="cellIs" dxfId="930" priority="1305" operator="equal">
      <formula>"PROD"</formula>
    </cfRule>
    <cfRule type="cellIs" dxfId="929" priority="1306" operator="equal">
      <formula>"GR"</formula>
    </cfRule>
    <cfRule type="cellIs" dxfId="928" priority="1307" operator="equal">
      <formula>"CTRL ELEC"</formula>
    </cfRule>
    <cfRule type="cellIs" dxfId="927" priority="1308" operator="equal">
      <formula>"CTRL MEC"</formula>
    </cfRule>
  </conditionalFormatting>
  <conditionalFormatting sqref="N19">
    <cfRule type="expression" dxfId="926" priority="1298">
      <formula xml:space="preserve"> $C19 = "C"</formula>
    </cfRule>
    <cfRule type="expression" dxfId="925" priority="1299">
      <formula xml:space="preserve"> $C19 = "S"</formula>
    </cfRule>
    <cfRule type="expression" dxfId="924" priority="1300">
      <formula xml:space="preserve"> $C19 = ""</formula>
    </cfRule>
  </conditionalFormatting>
  <conditionalFormatting sqref="S19">
    <cfRule type="expression" dxfId="923" priority="1295">
      <formula xml:space="preserve"> $C19 = "C"</formula>
    </cfRule>
    <cfRule type="expression" dxfId="922" priority="1296">
      <formula xml:space="preserve"> $C19 = "S"</formula>
    </cfRule>
    <cfRule type="expression" dxfId="921" priority="1297">
      <formula xml:space="preserve"> $C19 = ""</formula>
    </cfRule>
  </conditionalFormatting>
  <conditionalFormatting sqref="J20:K20">
    <cfRule type="expression" dxfId="920" priority="1281">
      <formula xml:space="preserve"> AND($J20 &lt;&gt; "",$K20 &lt;&gt; "")</formula>
    </cfRule>
  </conditionalFormatting>
  <conditionalFormatting sqref="A20:F20 H20:K20 O20:R20 T20:AD20">
    <cfRule type="expression" dxfId="919" priority="1282">
      <formula xml:space="preserve"> $C20 = "C"</formula>
    </cfRule>
    <cfRule type="expression" dxfId="918" priority="1283">
      <formula xml:space="preserve"> $C20 = "S"</formula>
    </cfRule>
    <cfRule type="expression" dxfId="917" priority="1284">
      <formula xml:space="preserve"> $C20 = ""</formula>
    </cfRule>
  </conditionalFormatting>
  <conditionalFormatting sqref="I20">
    <cfRule type="duplicateValues" dxfId="916" priority="1285"/>
  </conditionalFormatting>
  <conditionalFormatting sqref="H20">
    <cfRule type="duplicateValues" dxfId="915" priority="1286"/>
  </conditionalFormatting>
  <conditionalFormatting sqref="G20">
    <cfRule type="expression" dxfId="914" priority="1278">
      <formula xml:space="preserve"> $C20 = "C"</formula>
    </cfRule>
    <cfRule type="expression" dxfId="913" priority="1279">
      <formula xml:space="preserve"> $C20 = "S"</formula>
    </cfRule>
    <cfRule type="expression" dxfId="912" priority="1280">
      <formula xml:space="preserve"> $C20 = ""</formula>
    </cfRule>
  </conditionalFormatting>
  <conditionalFormatting sqref="N20">
    <cfRule type="cellIs" dxfId="911" priority="1266" operator="equal">
      <formula>"CHANG MEC"</formula>
    </cfRule>
    <cfRule type="cellIs" dxfId="910" priority="1267" operator="equal">
      <formula>"TOUR"</formula>
    </cfRule>
    <cfRule type="cellIs" dxfId="909" priority="1268" operator="equal">
      <formula>"REGL ELEC"</formula>
    </cfRule>
    <cfRule type="cellIs" dxfId="908" priority="1269" operator="equal">
      <formula>"REGL MEC"</formula>
    </cfRule>
    <cfRule type="cellIs" dxfId="907" priority="1270" operator="equal">
      <formula>"PROD"</formula>
    </cfRule>
    <cfRule type="cellIs" dxfId="906" priority="1271" operator="equal">
      <formula>"GR"</formula>
    </cfRule>
    <cfRule type="cellIs" dxfId="905" priority="1272" operator="equal">
      <formula>"CTRL ELEC"</formula>
    </cfRule>
    <cfRule type="cellIs" dxfId="904" priority="1273" operator="equal">
      <formula>"CTRL MEC"</formula>
    </cfRule>
  </conditionalFormatting>
  <conditionalFormatting sqref="N20">
    <cfRule type="expression" dxfId="903" priority="1263">
      <formula xml:space="preserve"> $C20 = "C"</formula>
    </cfRule>
    <cfRule type="expression" dxfId="902" priority="1264">
      <formula xml:space="preserve"> $C20 = "S"</formula>
    </cfRule>
    <cfRule type="expression" dxfId="901" priority="1265">
      <formula xml:space="preserve"> $C20 = ""</formula>
    </cfRule>
  </conditionalFormatting>
  <conditionalFormatting sqref="S20">
    <cfRule type="expression" dxfId="900" priority="1260">
      <formula xml:space="preserve"> $C20 = "C"</formula>
    </cfRule>
    <cfRule type="expression" dxfId="899" priority="1261">
      <formula xml:space="preserve"> $C20 = "S"</formula>
    </cfRule>
    <cfRule type="expression" dxfId="898" priority="1262">
      <formula xml:space="preserve"> $C20 = ""</formula>
    </cfRule>
  </conditionalFormatting>
  <conditionalFormatting sqref="J21:K21">
    <cfRule type="expression" dxfId="897" priority="1254">
      <formula xml:space="preserve"> AND($J21 &lt;&gt; "",$K21 &lt;&gt; "")</formula>
    </cfRule>
  </conditionalFormatting>
  <conditionalFormatting sqref="A21:F21 H21:K21 O21:R21 T21:AD21">
    <cfRule type="expression" dxfId="896" priority="1255">
      <formula xml:space="preserve"> $C21 = "C"</formula>
    </cfRule>
    <cfRule type="expression" dxfId="895" priority="1256">
      <formula xml:space="preserve"> $C21 = "S"</formula>
    </cfRule>
    <cfRule type="expression" dxfId="894" priority="1257">
      <formula xml:space="preserve"> $C21 = ""</formula>
    </cfRule>
  </conditionalFormatting>
  <conditionalFormatting sqref="I21">
    <cfRule type="duplicateValues" dxfId="893" priority="1258"/>
  </conditionalFormatting>
  <conditionalFormatting sqref="H21">
    <cfRule type="duplicateValues" dxfId="892" priority="1259"/>
  </conditionalFormatting>
  <conditionalFormatting sqref="N21">
    <cfRule type="cellIs" dxfId="891" priority="1239" operator="equal">
      <formula>"CHANG MEC"</formula>
    </cfRule>
    <cfRule type="cellIs" dxfId="890" priority="1240" operator="equal">
      <formula>"TOUR"</formula>
    </cfRule>
    <cfRule type="cellIs" dxfId="889" priority="1241" operator="equal">
      <formula>"REGL ELEC"</formula>
    </cfRule>
    <cfRule type="cellIs" dxfId="888" priority="1242" operator="equal">
      <formula>"REGL MEC"</formula>
    </cfRule>
    <cfRule type="cellIs" dxfId="887" priority="1243" operator="equal">
      <formula>"PROD"</formula>
    </cfRule>
    <cfRule type="cellIs" dxfId="886" priority="1244" operator="equal">
      <formula>"GR"</formula>
    </cfRule>
    <cfRule type="cellIs" dxfId="885" priority="1245" operator="equal">
      <formula>"CTRL ELEC"</formula>
    </cfRule>
    <cfRule type="cellIs" dxfId="884" priority="1246" operator="equal">
      <formula>"CTRL MEC"</formula>
    </cfRule>
  </conditionalFormatting>
  <conditionalFormatting sqref="N21">
    <cfRule type="expression" dxfId="883" priority="1236">
      <formula xml:space="preserve"> $C21 = "C"</formula>
    </cfRule>
    <cfRule type="expression" dxfId="882" priority="1237">
      <formula xml:space="preserve"> $C21 = "S"</formula>
    </cfRule>
    <cfRule type="expression" dxfId="881" priority="1238">
      <formula xml:space="preserve"> $C21 = ""</formula>
    </cfRule>
  </conditionalFormatting>
  <conditionalFormatting sqref="S21">
    <cfRule type="expression" dxfId="880" priority="1233">
      <formula xml:space="preserve"> $C21 = "C"</formula>
    </cfRule>
    <cfRule type="expression" dxfId="879" priority="1234">
      <formula xml:space="preserve"> $C21 = "S"</formula>
    </cfRule>
    <cfRule type="expression" dxfId="878" priority="1235">
      <formula xml:space="preserve"> $C21 = ""</formula>
    </cfRule>
  </conditionalFormatting>
  <conditionalFormatting sqref="J22:K22">
    <cfRule type="expression" dxfId="877" priority="1200">
      <formula xml:space="preserve"> AND($J22 &lt;&gt; "",$K22 &lt;&gt; "")</formula>
    </cfRule>
  </conditionalFormatting>
  <conditionalFormatting sqref="A22:F22 H22:K22 O22:R22 T22:AD22">
    <cfRule type="expression" dxfId="876" priority="1201">
      <formula xml:space="preserve"> $C22 = "C"</formula>
    </cfRule>
    <cfRule type="expression" dxfId="875" priority="1202">
      <formula xml:space="preserve"> $C22 = "S"</formula>
    </cfRule>
    <cfRule type="expression" dxfId="874" priority="1203">
      <formula xml:space="preserve"> $C22 = ""</formula>
    </cfRule>
  </conditionalFormatting>
  <conditionalFormatting sqref="I22">
    <cfRule type="duplicateValues" dxfId="873" priority="1204"/>
  </conditionalFormatting>
  <conditionalFormatting sqref="H22">
    <cfRule type="duplicateValues" dxfId="872" priority="1205"/>
  </conditionalFormatting>
  <conditionalFormatting sqref="N22">
    <cfRule type="cellIs" dxfId="871" priority="1185" operator="equal">
      <formula>"CHANG MEC"</formula>
    </cfRule>
    <cfRule type="cellIs" dxfId="870" priority="1186" operator="equal">
      <formula>"TOUR"</formula>
    </cfRule>
    <cfRule type="cellIs" dxfId="869" priority="1187" operator="equal">
      <formula>"REGL ELEC"</formula>
    </cfRule>
    <cfRule type="cellIs" dxfId="868" priority="1188" operator="equal">
      <formula>"REGL MEC"</formula>
    </cfRule>
    <cfRule type="cellIs" dxfId="867" priority="1189" operator="equal">
      <formula>"PROD"</formula>
    </cfRule>
    <cfRule type="cellIs" dxfId="866" priority="1190" operator="equal">
      <formula>"GR"</formula>
    </cfRule>
    <cfRule type="cellIs" dxfId="865" priority="1191" operator="equal">
      <formula>"CTRL ELEC"</formula>
    </cfRule>
    <cfRule type="cellIs" dxfId="864" priority="1192" operator="equal">
      <formula>"CTRL MEC"</formula>
    </cfRule>
  </conditionalFormatting>
  <conditionalFormatting sqref="N22">
    <cfRule type="expression" dxfId="863" priority="1182">
      <formula xml:space="preserve"> $C22 = "C"</formula>
    </cfRule>
    <cfRule type="expression" dxfId="862" priority="1183">
      <formula xml:space="preserve"> $C22 = "S"</formula>
    </cfRule>
    <cfRule type="expression" dxfId="861" priority="1184">
      <formula xml:space="preserve"> $C22 = ""</formula>
    </cfRule>
  </conditionalFormatting>
  <conditionalFormatting sqref="S22">
    <cfRule type="expression" dxfId="860" priority="1179">
      <formula xml:space="preserve"> $C22 = "C"</formula>
    </cfRule>
    <cfRule type="expression" dxfId="859" priority="1180">
      <formula xml:space="preserve"> $C22 = "S"</formula>
    </cfRule>
    <cfRule type="expression" dxfId="858" priority="1181">
      <formula xml:space="preserve"> $C22 = ""</formula>
    </cfRule>
  </conditionalFormatting>
  <conditionalFormatting sqref="J23:K23">
    <cfRule type="expression" dxfId="857" priority="1173">
      <formula xml:space="preserve"> AND($J23 &lt;&gt; "",$K23 &lt;&gt; "")</formula>
    </cfRule>
  </conditionalFormatting>
  <conditionalFormatting sqref="A23:F23 H23:K23 O23:R23 T23:AD23">
    <cfRule type="expression" dxfId="856" priority="1174">
      <formula xml:space="preserve"> $C23 = "C"</formula>
    </cfRule>
    <cfRule type="expression" dxfId="855" priority="1175">
      <formula xml:space="preserve"> $C23 = "S"</formula>
    </cfRule>
    <cfRule type="expression" dxfId="854" priority="1176">
      <formula xml:space="preserve"> $C23 = ""</formula>
    </cfRule>
  </conditionalFormatting>
  <conditionalFormatting sqref="I23">
    <cfRule type="duplicateValues" dxfId="853" priority="1177"/>
  </conditionalFormatting>
  <conditionalFormatting sqref="H23">
    <cfRule type="duplicateValues" dxfId="852" priority="1178"/>
  </conditionalFormatting>
  <conditionalFormatting sqref="G23">
    <cfRule type="expression" dxfId="851" priority="1170">
      <formula xml:space="preserve"> $C23 = "C"</formula>
    </cfRule>
    <cfRule type="expression" dxfId="850" priority="1171">
      <formula xml:space="preserve"> $C23 = "S"</formula>
    </cfRule>
    <cfRule type="expression" dxfId="849" priority="1172">
      <formula xml:space="preserve"> $C23 = ""</formula>
    </cfRule>
  </conditionalFormatting>
  <conditionalFormatting sqref="N23">
    <cfRule type="cellIs" dxfId="848" priority="1158" operator="equal">
      <formula>"CHANG MEC"</formula>
    </cfRule>
    <cfRule type="cellIs" dxfId="847" priority="1159" operator="equal">
      <formula>"TOUR"</formula>
    </cfRule>
    <cfRule type="cellIs" dxfId="846" priority="1160" operator="equal">
      <formula>"REGL ELEC"</formula>
    </cfRule>
    <cfRule type="cellIs" dxfId="845" priority="1161" operator="equal">
      <formula>"REGL MEC"</formula>
    </cfRule>
    <cfRule type="cellIs" dxfId="844" priority="1162" operator="equal">
      <formula>"PROD"</formula>
    </cfRule>
    <cfRule type="cellIs" dxfId="843" priority="1163" operator="equal">
      <formula>"GR"</formula>
    </cfRule>
    <cfRule type="cellIs" dxfId="842" priority="1164" operator="equal">
      <formula>"CTRL ELEC"</formula>
    </cfRule>
    <cfRule type="cellIs" dxfId="841" priority="1165" operator="equal">
      <formula>"CTRL MEC"</formula>
    </cfRule>
  </conditionalFormatting>
  <conditionalFormatting sqref="N23">
    <cfRule type="expression" dxfId="840" priority="1155">
      <formula xml:space="preserve"> $C23 = "C"</formula>
    </cfRule>
    <cfRule type="expression" dxfId="839" priority="1156">
      <formula xml:space="preserve"> $C23 = "S"</formula>
    </cfRule>
    <cfRule type="expression" dxfId="838" priority="1157">
      <formula xml:space="preserve"> $C23 = ""</formula>
    </cfRule>
  </conditionalFormatting>
  <conditionalFormatting sqref="S23">
    <cfRule type="expression" dxfId="837" priority="1152">
      <formula xml:space="preserve"> $C23 = "C"</formula>
    </cfRule>
    <cfRule type="expression" dxfId="836" priority="1153">
      <formula xml:space="preserve"> $C23 = "S"</formula>
    </cfRule>
    <cfRule type="expression" dxfId="835" priority="1154">
      <formula xml:space="preserve"> $C23 = ""</formula>
    </cfRule>
  </conditionalFormatting>
  <conditionalFormatting sqref="J24:K24">
    <cfRule type="expression" dxfId="834" priority="1146">
      <formula xml:space="preserve"> AND($J24 &lt;&gt; "",$K24 &lt;&gt; "")</formula>
    </cfRule>
  </conditionalFormatting>
  <conditionalFormatting sqref="A24:F24 H24:K24 O24:R24 T24:AD24">
    <cfRule type="expression" dxfId="833" priority="1147">
      <formula xml:space="preserve"> $C24 = "C"</formula>
    </cfRule>
    <cfRule type="expression" dxfId="832" priority="1148">
      <formula xml:space="preserve"> $C24 = "S"</formula>
    </cfRule>
    <cfRule type="expression" dxfId="831" priority="1149">
      <formula xml:space="preserve"> $C24 = ""</formula>
    </cfRule>
  </conditionalFormatting>
  <conditionalFormatting sqref="I24">
    <cfRule type="duplicateValues" dxfId="830" priority="1150"/>
  </conditionalFormatting>
  <conditionalFormatting sqref="H24">
    <cfRule type="duplicateValues" dxfId="829" priority="1151"/>
  </conditionalFormatting>
  <conditionalFormatting sqref="G24">
    <cfRule type="expression" dxfId="828" priority="1143">
      <formula xml:space="preserve"> $C24 = "C"</formula>
    </cfRule>
    <cfRule type="expression" dxfId="827" priority="1144">
      <formula xml:space="preserve"> $C24 = "S"</formula>
    </cfRule>
    <cfRule type="expression" dxfId="826" priority="1145">
      <formula xml:space="preserve"> $C24 = ""</formula>
    </cfRule>
  </conditionalFormatting>
  <conditionalFormatting sqref="N24">
    <cfRule type="cellIs" dxfId="825" priority="1131" operator="equal">
      <formula>"CHANG MEC"</formula>
    </cfRule>
    <cfRule type="cellIs" dxfId="824" priority="1132" operator="equal">
      <formula>"TOUR"</formula>
    </cfRule>
    <cfRule type="cellIs" dxfId="823" priority="1133" operator="equal">
      <formula>"REGL ELEC"</formula>
    </cfRule>
    <cfRule type="cellIs" dxfId="822" priority="1134" operator="equal">
      <formula>"REGL MEC"</formula>
    </cfRule>
    <cfRule type="cellIs" dxfId="821" priority="1135" operator="equal">
      <formula>"PROD"</formula>
    </cfRule>
    <cfRule type="cellIs" dxfId="820" priority="1136" operator="equal">
      <formula>"GR"</formula>
    </cfRule>
    <cfRule type="cellIs" dxfId="819" priority="1137" operator="equal">
      <formula>"CTRL ELEC"</formula>
    </cfRule>
    <cfRule type="cellIs" dxfId="818" priority="1138" operator="equal">
      <formula>"CTRL MEC"</formula>
    </cfRule>
  </conditionalFormatting>
  <conditionalFormatting sqref="N24">
    <cfRule type="expression" dxfId="817" priority="1128">
      <formula xml:space="preserve"> $C24 = "C"</formula>
    </cfRule>
    <cfRule type="expression" dxfId="816" priority="1129">
      <formula xml:space="preserve"> $C24 = "S"</formula>
    </cfRule>
    <cfRule type="expression" dxfId="815" priority="1130">
      <formula xml:space="preserve"> $C24 = ""</formula>
    </cfRule>
  </conditionalFormatting>
  <conditionalFormatting sqref="S24">
    <cfRule type="expression" dxfId="814" priority="1125">
      <formula xml:space="preserve"> $C24 = "C"</formula>
    </cfRule>
    <cfRule type="expression" dxfId="813" priority="1126">
      <formula xml:space="preserve"> $C24 = "S"</formula>
    </cfRule>
    <cfRule type="expression" dxfId="812" priority="1127">
      <formula xml:space="preserve"> $C24 = ""</formula>
    </cfRule>
  </conditionalFormatting>
  <conditionalFormatting sqref="J25:K25">
    <cfRule type="expression" dxfId="811" priority="1092">
      <formula xml:space="preserve"> AND($J25 &lt;&gt; "",$K25 &lt;&gt; "")</formula>
    </cfRule>
  </conditionalFormatting>
  <conditionalFormatting sqref="A25:F25 H25:K25 O25:R25 T25:AD25">
    <cfRule type="expression" dxfId="810" priority="1093">
      <formula xml:space="preserve"> $C25 = "C"</formula>
    </cfRule>
    <cfRule type="expression" dxfId="809" priority="1094">
      <formula xml:space="preserve"> $C25 = "S"</formula>
    </cfRule>
    <cfRule type="expression" dxfId="808" priority="1095">
      <formula xml:space="preserve"> $C25 = ""</formula>
    </cfRule>
  </conditionalFormatting>
  <conditionalFormatting sqref="I25">
    <cfRule type="duplicateValues" dxfId="807" priority="1096"/>
  </conditionalFormatting>
  <conditionalFormatting sqref="H25">
    <cfRule type="duplicateValues" dxfId="806" priority="1097"/>
  </conditionalFormatting>
  <conditionalFormatting sqref="G25">
    <cfRule type="expression" dxfId="805" priority="1089">
      <formula xml:space="preserve"> $C25 = "C"</formula>
    </cfRule>
    <cfRule type="expression" dxfId="804" priority="1090">
      <formula xml:space="preserve"> $C25 = "S"</formula>
    </cfRule>
    <cfRule type="expression" dxfId="803" priority="1091">
      <formula xml:space="preserve"> $C25 = ""</formula>
    </cfRule>
  </conditionalFormatting>
  <conditionalFormatting sqref="N25">
    <cfRule type="cellIs" dxfId="802" priority="1077" operator="equal">
      <formula>"CHANG MEC"</formula>
    </cfRule>
    <cfRule type="cellIs" dxfId="801" priority="1078" operator="equal">
      <formula>"TOUR"</formula>
    </cfRule>
    <cfRule type="cellIs" dxfId="800" priority="1079" operator="equal">
      <formula>"REGL ELEC"</formula>
    </cfRule>
    <cfRule type="cellIs" dxfId="799" priority="1080" operator="equal">
      <formula>"REGL MEC"</formula>
    </cfRule>
    <cfRule type="cellIs" dxfId="798" priority="1081" operator="equal">
      <formula>"PROD"</formula>
    </cfRule>
    <cfRule type="cellIs" dxfId="797" priority="1082" operator="equal">
      <formula>"GR"</formula>
    </cfRule>
    <cfRule type="cellIs" dxfId="796" priority="1083" operator="equal">
      <formula>"CTRL ELEC"</formula>
    </cfRule>
    <cfRule type="cellIs" dxfId="795" priority="1084" operator="equal">
      <formula>"CTRL MEC"</formula>
    </cfRule>
  </conditionalFormatting>
  <conditionalFormatting sqref="N25">
    <cfRule type="expression" dxfId="794" priority="1074">
      <formula xml:space="preserve"> $C25 = "C"</formula>
    </cfRule>
    <cfRule type="expression" dxfId="793" priority="1075">
      <formula xml:space="preserve"> $C25 = "S"</formula>
    </cfRule>
    <cfRule type="expression" dxfId="792" priority="1076">
      <formula xml:space="preserve"> $C25 = ""</formula>
    </cfRule>
  </conditionalFormatting>
  <conditionalFormatting sqref="S25">
    <cfRule type="expression" dxfId="791" priority="1071">
      <formula xml:space="preserve"> $C25 = "C"</formula>
    </cfRule>
    <cfRule type="expression" dxfId="790" priority="1072">
      <formula xml:space="preserve"> $C25 = "S"</formula>
    </cfRule>
    <cfRule type="expression" dxfId="789" priority="1073">
      <formula xml:space="preserve"> $C25 = ""</formula>
    </cfRule>
  </conditionalFormatting>
  <conditionalFormatting sqref="M11">
    <cfRule type="expression" dxfId="788" priority="1067">
      <formula xml:space="preserve"> AND($J11 &lt;&gt; "",$K11 &lt;&gt; "")</formula>
    </cfRule>
  </conditionalFormatting>
  <conditionalFormatting sqref="M11">
    <cfRule type="expression" dxfId="787" priority="1068">
      <formula xml:space="preserve"> $C11 = "C"</formula>
    </cfRule>
    <cfRule type="expression" dxfId="786" priority="1069">
      <formula xml:space="preserve"> $C11 = "S"</formula>
    </cfRule>
    <cfRule type="expression" dxfId="785" priority="1070">
      <formula xml:space="preserve"> $C11 = ""</formula>
    </cfRule>
  </conditionalFormatting>
  <conditionalFormatting sqref="M14">
    <cfRule type="expression" dxfId="784" priority="1063">
      <formula xml:space="preserve"> AND($J14 &lt;&gt; "",$K14 &lt;&gt; "")</formula>
    </cfRule>
  </conditionalFormatting>
  <conditionalFormatting sqref="M14">
    <cfRule type="expression" dxfId="783" priority="1064">
      <formula xml:space="preserve"> $C14 = "C"</formula>
    </cfRule>
    <cfRule type="expression" dxfId="782" priority="1065">
      <formula xml:space="preserve"> $C14 = "S"</formula>
    </cfRule>
    <cfRule type="expression" dxfId="781" priority="1066">
      <formula xml:space="preserve"> $C14 = ""</formula>
    </cfRule>
  </conditionalFormatting>
  <conditionalFormatting sqref="M17">
    <cfRule type="expression" dxfId="780" priority="1059">
      <formula xml:space="preserve"> AND($J17 &lt;&gt; "",$K17 &lt;&gt; "")</formula>
    </cfRule>
  </conditionalFormatting>
  <conditionalFormatting sqref="M17">
    <cfRule type="expression" dxfId="779" priority="1060">
      <formula xml:space="preserve"> $C17 = "C"</formula>
    </cfRule>
    <cfRule type="expression" dxfId="778" priority="1061">
      <formula xml:space="preserve"> $C17 = "S"</formula>
    </cfRule>
    <cfRule type="expression" dxfId="777" priority="1062">
      <formula xml:space="preserve"> $C17 = ""</formula>
    </cfRule>
  </conditionalFormatting>
  <conditionalFormatting sqref="M20">
    <cfRule type="expression" dxfId="776" priority="1051">
      <formula xml:space="preserve"> AND($J20 &lt;&gt; "",$K20 &lt;&gt; "")</formula>
    </cfRule>
  </conditionalFormatting>
  <conditionalFormatting sqref="M20">
    <cfRule type="expression" dxfId="775" priority="1052">
      <formula xml:space="preserve"> $C20 = "C"</formula>
    </cfRule>
    <cfRule type="expression" dxfId="774" priority="1053">
      <formula xml:space="preserve"> $C20 = "S"</formula>
    </cfRule>
    <cfRule type="expression" dxfId="773" priority="1054">
      <formula xml:space="preserve"> $C20 = ""</formula>
    </cfRule>
  </conditionalFormatting>
  <conditionalFormatting sqref="M12">
    <cfRule type="expression" dxfId="772" priority="1047">
      <formula xml:space="preserve"> AND($J12 &lt;&gt; "",$K12 &lt;&gt; "")</formula>
    </cfRule>
  </conditionalFormatting>
  <conditionalFormatting sqref="M12">
    <cfRule type="expression" dxfId="771" priority="1048">
      <formula xml:space="preserve"> $C12 = "C"</formula>
    </cfRule>
    <cfRule type="expression" dxfId="770" priority="1049">
      <formula xml:space="preserve"> $C12 = "S"</formula>
    </cfRule>
    <cfRule type="expression" dxfId="769" priority="1050">
      <formula xml:space="preserve"> $C12 = ""</formula>
    </cfRule>
  </conditionalFormatting>
  <conditionalFormatting sqref="M15">
    <cfRule type="expression" dxfId="768" priority="1043">
      <formula xml:space="preserve"> AND($J15 &lt;&gt; "",$K15 &lt;&gt; "")</formula>
    </cfRule>
  </conditionalFormatting>
  <conditionalFormatting sqref="M15">
    <cfRule type="expression" dxfId="767" priority="1044">
      <formula xml:space="preserve"> $C15 = "C"</formula>
    </cfRule>
    <cfRule type="expression" dxfId="766" priority="1045">
      <formula xml:space="preserve"> $C15 = "S"</formula>
    </cfRule>
    <cfRule type="expression" dxfId="765" priority="1046">
      <formula xml:space="preserve"> $C15 = ""</formula>
    </cfRule>
  </conditionalFormatting>
  <conditionalFormatting sqref="M18">
    <cfRule type="expression" dxfId="764" priority="1039">
      <formula xml:space="preserve"> AND($J18 &lt;&gt; "",$K18 &lt;&gt; "")</formula>
    </cfRule>
  </conditionalFormatting>
  <conditionalFormatting sqref="M18">
    <cfRule type="expression" dxfId="763" priority="1040">
      <formula xml:space="preserve"> $C18 = "C"</formula>
    </cfRule>
    <cfRule type="expression" dxfId="762" priority="1041">
      <formula xml:space="preserve"> $C18 = "S"</formula>
    </cfRule>
    <cfRule type="expression" dxfId="761" priority="1042">
      <formula xml:space="preserve"> $C18 = ""</formula>
    </cfRule>
  </conditionalFormatting>
  <conditionalFormatting sqref="M21">
    <cfRule type="expression" dxfId="760" priority="1035">
      <formula xml:space="preserve"> AND($J21 &lt;&gt; "",$K21 &lt;&gt; "")</formula>
    </cfRule>
  </conditionalFormatting>
  <conditionalFormatting sqref="M21">
    <cfRule type="expression" dxfId="759" priority="1036">
      <formula xml:space="preserve"> $C21 = "C"</formula>
    </cfRule>
    <cfRule type="expression" dxfId="758" priority="1037">
      <formula xml:space="preserve"> $C21 = "S"</formula>
    </cfRule>
    <cfRule type="expression" dxfId="757" priority="1038">
      <formula xml:space="preserve"> $C21 = ""</formula>
    </cfRule>
  </conditionalFormatting>
  <conditionalFormatting sqref="M24">
    <cfRule type="expression" dxfId="756" priority="1027">
      <formula xml:space="preserve"> AND($J24 &lt;&gt; "",$K24 &lt;&gt; "")</formula>
    </cfRule>
  </conditionalFormatting>
  <conditionalFormatting sqref="M24">
    <cfRule type="expression" dxfId="755" priority="1028">
      <formula xml:space="preserve"> $C24 = "C"</formula>
    </cfRule>
    <cfRule type="expression" dxfId="754" priority="1029">
      <formula xml:space="preserve"> $C24 = "S"</formula>
    </cfRule>
    <cfRule type="expression" dxfId="753" priority="1030">
      <formula xml:space="preserve"> $C24 = ""</formula>
    </cfRule>
  </conditionalFormatting>
  <conditionalFormatting sqref="M13">
    <cfRule type="expression" dxfId="752" priority="1023">
      <formula xml:space="preserve"> AND($J13 &lt;&gt; "",$K13 &lt;&gt; "")</formula>
    </cfRule>
  </conditionalFormatting>
  <conditionalFormatting sqref="M13">
    <cfRule type="expression" dxfId="751" priority="1024">
      <formula xml:space="preserve"> $C13 = "C"</formula>
    </cfRule>
    <cfRule type="expression" dxfId="750" priority="1025">
      <formula xml:space="preserve"> $C13 = "S"</formula>
    </cfRule>
    <cfRule type="expression" dxfId="749" priority="1026">
      <formula xml:space="preserve"> $C13 = ""</formula>
    </cfRule>
  </conditionalFormatting>
  <conditionalFormatting sqref="M16">
    <cfRule type="expression" dxfId="748" priority="1019">
      <formula xml:space="preserve"> AND($J16 &lt;&gt; "",$K16 &lt;&gt; "")</formula>
    </cfRule>
  </conditionalFormatting>
  <conditionalFormatting sqref="M16">
    <cfRule type="expression" dxfId="747" priority="1020">
      <formula xml:space="preserve"> $C16 = "C"</formula>
    </cfRule>
    <cfRule type="expression" dxfId="746" priority="1021">
      <formula xml:space="preserve"> $C16 = "S"</formula>
    </cfRule>
    <cfRule type="expression" dxfId="745" priority="1022">
      <formula xml:space="preserve"> $C16 = ""</formula>
    </cfRule>
  </conditionalFormatting>
  <conditionalFormatting sqref="M19">
    <cfRule type="expression" dxfId="744" priority="1015">
      <formula xml:space="preserve"> AND($J19 &lt;&gt; "",$K19 &lt;&gt; "")</formula>
    </cfRule>
  </conditionalFormatting>
  <conditionalFormatting sqref="M19">
    <cfRule type="expression" dxfId="743" priority="1016">
      <formula xml:space="preserve"> $C19 = "C"</formula>
    </cfRule>
    <cfRule type="expression" dxfId="742" priority="1017">
      <formula xml:space="preserve"> $C19 = "S"</formula>
    </cfRule>
    <cfRule type="expression" dxfId="741" priority="1018">
      <formula xml:space="preserve"> $C19 = ""</formula>
    </cfRule>
  </conditionalFormatting>
  <conditionalFormatting sqref="M22">
    <cfRule type="expression" dxfId="740" priority="1011">
      <formula xml:space="preserve"> AND($J22 &lt;&gt; "",$K22 &lt;&gt; "")</formula>
    </cfRule>
  </conditionalFormatting>
  <conditionalFormatting sqref="M22">
    <cfRule type="expression" dxfId="739" priority="1012">
      <formula xml:space="preserve"> $C22 = "C"</formula>
    </cfRule>
    <cfRule type="expression" dxfId="738" priority="1013">
      <formula xml:space="preserve"> $C22 = "S"</formula>
    </cfRule>
    <cfRule type="expression" dxfId="737" priority="1014">
      <formula xml:space="preserve"> $C22 = ""</formula>
    </cfRule>
  </conditionalFormatting>
  <conditionalFormatting sqref="M25">
    <cfRule type="expression" dxfId="736" priority="1003">
      <formula xml:space="preserve"> AND($J25 &lt;&gt; "",$K25 &lt;&gt; "")</formula>
    </cfRule>
  </conditionalFormatting>
  <conditionalFormatting sqref="M25">
    <cfRule type="expression" dxfId="735" priority="1004">
      <formula xml:space="preserve"> $C25 = "C"</formula>
    </cfRule>
    <cfRule type="expression" dxfId="734" priority="1005">
      <formula xml:space="preserve"> $C25 = "S"</formula>
    </cfRule>
    <cfRule type="expression" dxfId="733" priority="1006">
      <formula xml:space="preserve"> $C25 = ""</formula>
    </cfRule>
  </conditionalFormatting>
  <conditionalFormatting sqref="M23">
    <cfRule type="expression" dxfId="732" priority="995">
      <formula xml:space="preserve"> AND($J23 &lt;&gt; "",$K23 &lt;&gt; "")</formula>
    </cfRule>
  </conditionalFormatting>
  <conditionalFormatting sqref="M23">
    <cfRule type="expression" dxfId="731" priority="996">
      <formula xml:space="preserve"> $C23 = "C"</formula>
    </cfRule>
    <cfRule type="expression" dxfId="730" priority="997">
      <formula xml:space="preserve"> $C23 = "S"</formula>
    </cfRule>
    <cfRule type="expression" dxfId="729" priority="998">
      <formula xml:space="preserve"> $C23 = ""</formula>
    </cfRule>
  </conditionalFormatting>
  <conditionalFormatting sqref="G21">
    <cfRule type="expression" dxfId="728" priority="992">
      <formula xml:space="preserve"> $C21 = "C"</formula>
    </cfRule>
    <cfRule type="expression" dxfId="727" priority="993">
      <formula xml:space="preserve"> $C21 = "S"</formula>
    </cfRule>
    <cfRule type="expression" dxfId="726" priority="994">
      <formula xml:space="preserve"> $C21 = ""</formula>
    </cfRule>
  </conditionalFormatting>
  <conditionalFormatting sqref="G22">
    <cfRule type="expression" dxfId="725" priority="986">
      <formula xml:space="preserve"> $C22 = "C"</formula>
    </cfRule>
    <cfRule type="expression" dxfId="724" priority="987">
      <formula xml:space="preserve"> $C22 = "S"</formula>
    </cfRule>
    <cfRule type="expression" dxfId="723" priority="988">
      <formula xml:space="preserve"> $C22 = ""</formula>
    </cfRule>
  </conditionalFormatting>
  <conditionalFormatting sqref="M26">
    <cfRule type="expression" dxfId="722" priority="978">
      <formula xml:space="preserve"> AND($J26 &lt;&gt; "",$K26 &lt;&gt; "")</formula>
    </cfRule>
  </conditionalFormatting>
  <conditionalFormatting sqref="M26">
    <cfRule type="expression" dxfId="721" priority="979">
      <formula xml:space="preserve"> $C26 = "C"</formula>
    </cfRule>
    <cfRule type="expression" dxfId="720" priority="980">
      <formula xml:space="preserve"> $C26 = "S"</formula>
    </cfRule>
    <cfRule type="expression" dxfId="719" priority="981">
      <formula xml:space="preserve"> $C26 = ""</formula>
    </cfRule>
  </conditionalFormatting>
  <conditionalFormatting sqref="S26">
    <cfRule type="expression" dxfId="718" priority="972">
      <formula xml:space="preserve"> $C26 = "C"</formula>
    </cfRule>
    <cfRule type="expression" dxfId="717" priority="973">
      <formula xml:space="preserve"> $C26 = "S"</formula>
    </cfRule>
    <cfRule type="expression" dxfId="716" priority="974">
      <formula xml:space="preserve"> $C26 = ""</formula>
    </cfRule>
  </conditionalFormatting>
  <conditionalFormatting sqref="J27:K27">
    <cfRule type="expression" dxfId="715" priority="958">
      <formula xml:space="preserve"> AND($J27 &lt;&gt; "",$K27 &lt;&gt; "")</formula>
    </cfRule>
  </conditionalFormatting>
  <conditionalFormatting sqref="N27">
    <cfRule type="cellIs" dxfId="714" priority="962" operator="equal">
      <formula>"CHANG MEC"</formula>
    </cfRule>
    <cfRule type="cellIs" dxfId="713" priority="963" operator="equal">
      <formula>"TOUR"</formula>
    </cfRule>
    <cfRule type="cellIs" dxfId="712" priority="964" operator="equal">
      <formula>"REGL ELEC"</formula>
    </cfRule>
    <cfRule type="cellIs" dxfId="711" priority="965" operator="equal">
      <formula>"REGL MEC"</formula>
    </cfRule>
    <cfRule type="cellIs" dxfId="710" priority="966" operator="equal">
      <formula>"PROD"</formula>
    </cfRule>
    <cfRule type="cellIs" dxfId="709" priority="967" operator="equal">
      <formula>"GR"</formula>
    </cfRule>
    <cfRule type="cellIs" dxfId="708" priority="968" operator="equal">
      <formula>"CTRL ELEC"</formula>
    </cfRule>
    <cfRule type="cellIs" dxfId="707" priority="969" operator="equal">
      <formula>"CTRL MEC"</formula>
    </cfRule>
  </conditionalFormatting>
  <conditionalFormatting sqref="A27:K27 N27:R27 T27:AD27">
    <cfRule type="expression" dxfId="706" priority="959">
      <formula xml:space="preserve"> $C27 = "C"</formula>
    </cfRule>
    <cfRule type="expression" dxfId="705" priority="960">
      <formula xml:space="preserve"> $C27 = "S"</formula>
    </cfRule>
    <cfRule type="expression" dxfId="704" priority="961">
      <formula xml:space="preserve"> $C27 = ""</formula>
    </cfRule>
  </conditionalFormatting>
  <conditionalFormatting sqref="I27">
    <cfRule type="duplicateValues" dxfId="703" priority="970"/>
  </conditionalFormatting>
  <conditionalFormatting sqref="H27">
    <cfRule type="duplicateValues" dxfId="702" priority="971"/>
  </conditionalFormatting>
  <conditionalFormatting sqref="M27">
    <cfRule type="expression" dxfId="701" priority="954">
      <formula xml:space="preserve"> AND($J27 &lt;&gt; "",$K27 &lt;&gt; "")</formula>
    </cfRule>
  </conditionalFormatting>
  <conditionalFormatting sqref="M27">
    <cfRule type="expression" dxfId="700" priority="955">
      <formula xml:space="preserve"> $C27 = "C"</formula>
    </cfRule>
    <cfRule type="expression" dxfId="699" priority="956">
      <formula xml:space="preserve"> $C27 = "S"</formula>
    </cfRule>
    <cfRule type="expression" dxfId="698" priority="957">
      <formula xml:space="preserve"> $C27 = ""</formula>
    </cfRule>
  </conditionalFormatting>
  <conditionalFormatting sqref="S27">
    <cfRule type="expression" dxfId="697" priority="951">
      <formula xml:space="preserve"> $C27 = "C"</formula>
    </cfRule>
    <cfRule type="expression" dxfId="696" priority="952">
      <formula xml:space="preserve"> $C27 = "S"</formula>
    </cfRule>
    <cfRule type="expression" dxfId="695" priority="953">
      <formula xml:space="preserve"> $C27 = ""</formula>
    </cfRule>
  </conditionalFormatting>
  <conditionalFormatting sqref="J28:K28">
    <cfRule type="expression" dxfId="694" priority="916">
      <formula xml:space="preserve"> AND($J28 &lt;&gt; "",$K28 &lt;&gt; "")</formula>
    </cfRule>
  </conditionalFormatting>
  <conditionalFormatting sqref="N28">
    <cfRule type="cellIs" dxfId="693" priority="920" operator="equal">
      <formula>"CHANG MEC"</formula>
    </cfRule>
    <cfRule type="cellIs" dxfId="692" priority="921" operator="equal">
      <formula>"TOUR"</formula>
    </cfRule>
    <cfRule type="cellIs" dxfId="691" priority="922" operator="equal">
      <formula>"REGL ELEC"</formula>
    </cfRule>
    <cfRule type="cellIs" dxfId="690" priority="923" operator="equal">
      <formula>"REGL MEC"</formula>
    </cfRule>
    <cfRule type="cellIs" dxfId="689" priority="924" operator="equal">
      <formula>"PROD"</formula>
    </cfRule>
    <cfRule type="cellIs" dxfId="688" priority="925" operator="equal">
      <formula>"GR"</formula>
    </cfRule>
    <cfRule type="cellIs" dxfId="687" priority="926" operator="equal">
      <formula>"CTRL ELEC"</formula>
    </cfRule>
    <cfRule type="cellIs" dxfId="686" priority="927" operator="equal">
      <formula>"CTRL MEC"</formula>
    </cfRule>
  </conditionalFormatting>
  <conditionalFormatting sqref="A28:K28 N28:R28 T28:AD28">
    <cfRule type="expression" dxfId="685" priority="917">
      <formula xml:space="preserve"> $C28 = "C"</formula>
    </cfRule>
    <cfRule type="expression" dxfId="684" priority="918">
      <formula xml:space="preserve"> $C28 = "S"</formula>
    </cfRule>
    <cfRule type="expression" dxfId="683" priority="919">
      <formula xml:space="preserve"> $C28 = ""</formula>
    </cfRule>
  </conditionalFormatting>
  <conditionalFormatting sqref="I28">
    <cfRule type="duplicateValues" dxfId="682" priority="928"/>
  </conditionalFormatting>
  <conditionalFormatting sqref="H28">
    <cfRule type="duplicateValues" dxfId="681" priority="929"/>
  </conditionalFormatting>
  <conditionalFormatting sqref="M28">
    <cfRule type="expression" dxfId="680" priority="912">
      <formula xml:space="preserve"> AND($J28 &lt;&gt; "",$K28 &lt;&gt; "")</formula>
    </cfRule>
  </conditionalFormatting>
  <conditionalFormatting sqref="M28">
    <cfRule type="expression" dxfId="679" priority="913">
      <formula xml:space="preserve"> $C28 = "C"</formula>
    </cfRule>
    <cfRule type="expression" dxfId="678" priority="914">
      <formula xml:space="preserve"> $C28 = "S"</formula>
    </cfRule>
    <cfRule type="expression" dxfId="677" priority="915">
      <formula xml:space="preserve"> $C28 = ""</formula>
    </cfRule>
  </conditionalFormatting>
  <conditionalFormatting sqref="S28">
    <cfRule type="expression" dxfId="676" priority="909">
      <formula xml:space="preserve"> $C28 = "C"</formula>
    </cfRule>
    <cfRule type="expression" dxfId="675" priority="910">
      <formula xml:space="preserve"> $C28 = "S"</formula>
    </cfRule>
    <cfRule type="expression" dxfId="674" priority="911">
      <formula xml:space="preserve"> $C28 = ""</formula>
    </cfRule>
  </conditionalFormatting>
  <conditionalFormatting sqref="J29:K29">
    <cfRule type="expression" dxfId="673" priority="874">
      <formula xml:space="preserve"> AND($J29 &lt;&gt; "",$K29 &lt;&gt; "")</formula>
    </cfRule>
  </conditionalFormatting>
  <conditionalFormatting sqref="N29">
    <cfRule type="cellIs" dxfId="672" priority="878" operator="equal">
      <formula>"CHANG MEC"</formula>
    </cfRule>
    <cfRule type="cellIs" dxfId="671" priority="879" operator="equal">
      <formula>"TOUR"</formula>
    </cfRule>
    <cfRule type="cellIs" dxfId="670" priority="880" operator="equal">
      <formula>"REGL ELEC"</formula>
    </cfRule>
    <cfRule type="cellIs" dxfId="669" priority="881" operator="equal">
      <formula>"REGL MEC"</formula>
    </cfRule>
    <cfRule type="cellIs" dxfId="668" priority="882" operator="equal">
      <formula>"PROD"</formula>
    </cfRule>
    <cfRule type="cellIs" dxfId="667" priority="883" operator="equal">
      <formula>"GR"</formula>
    </cfRule>
    <cfRule type="cellIs" dxfId="666" priority="884" operator="equal">
      <formula>"CTRL ELEC"</formula>
    </cfRule>
    <cfRule type="cellIs" dxfId="665" priority="885" operator="equal">
      <formula>"CTRL MEC"</formula>
    </cfRule>
  </conditionalFormatting>
  <conditionalFormatting sqref="A29:K29 N29:R29 T29:AD29">
    <cfRule type="expression" dxfId="664" priority="875">
      <formula xml:space="preserve"> $C29 = "C"</formula>
    </cfRule>
    <cfRule type="expression" dxfId="663" priority="876">
      <formula xml:space="preserve"> $C29 = "S"</formula>
    </cfRule>
    <cfRule type="expression" dxfId="662" priority="877">
      <formula xml:space="preserve"> $C29 = ""</formula>
    </cfRule>
  </conditionalFormatting>
  <conditionalFormatting sqref="I29">
    <cfRule type="duplicateValues" dxfId="661" priority="886"/>
  </conditionalFormatting>
  <conditionalFormatting sqref="H29">
    <cfRule type="duplicateValues" dxfId="660" priority="887"/>
  </conditionalFormatting>
  <conditionalFormatting sqref="M29">
    <cfRule type="expression" dxfId="659" priority="870">
      <formula xml:space="preserve"> AND($J29 &lt;&gt; "",$K29 &lt;&gt; "")</formula>
    </cfRule>
  </conditionalFormatting>
  <conditionalFormatting sqref="M29">
    <cfRule type="expression" dxfId="658" priority="871">
      <formula xml:space="preserve"> $C29 = "C"</formula>
    </cfRule>
    <cfRule type="expression" dxfId="657" priority="872">
      <formula xml:space="preserve"> $C29 = "S"</formula>
    </cfRule>
    <cfRule type="expression" dxfId="656" priority="873">
      <formula xml:space="preserve"> $C29 = ""</formula>
    </cfRule>
  </conditionalFormatting>
  <conditionalFormatting sqref="S29">
    <cfRule type="expression" dxfId="655" priority="867">
      <formula xml:space="preserve"> $C29 = "C"</formula>
    </cfRule>
    <cfRule type="expression" dxfId="654" priority="868">
      <formula xml:space="preserve"> $C29 = "S"</formula>
    </cfRule>
    <cfRule type="expression" dxfId="653" priority="869">
      <formula xml:space="preserve"> $C29 = ""</formula>
    </cfRule>
  </conditionalFormatting>
  <conditionalFormatting sqref="J30:K30">
    <cfRule type="expression" dxfId="652" priority="853">
      <formula xml:space="preserve"> AND($J30 &lt;&gt; "",$K30 &lt;&gt; "")</formula>
    </cfRule>
  </conditionalFormatting>
  <conditionalFormatting sqref="N30">
    <cfRule type="cellIs" dxfId="651" priority="857" operator="equal">
      <formula>"CHANG MEC"</formula>
    </cfRule>
    <cfRule type="cellIs" dxfId="650" priority="858" operator="equal">
      <formula>"TOUR"</formula>
    </cfRule>
    <cfRule type="cellIs" dxfId="649" priority="859" operator="equal">
      <formula>"REGL ELEC"</formula>
    </cfRule>
    <cfRule type="cellIs" dxfId="648" priority="860" operator="equal">
      <formula>"REGL MEC"</formula>
    </cfRule>
    <cfRule type="cellIs" dxfId="647" priority="861" operator="equal">
      <formula>"PROD"</formula>
    </cfRule>
    <cfRule type="cellIs" dxfId="646" priority="862" operator="equal">
      <formula>"GR"</formula>
    </cfRule>
    <cfRule type="cellIs" dxfId="645" priority="863" operator="equal">
      <formula>"CTRL ELEC"</formula>
    </cfRule>
    <cfRule type="cellIs" dxfId="644" priority="864" operator="equal">
      <formula>"CTRL MEC"</formula>
    </cfRule>
  </conditionalFormatting>
  <conditionalFormatting sqref="A30:K30 N30:R30 T30:AD30">
    <cfRule type="expression" dxfId="643" priority="854">
      <formula xml:space="preserve"> $C30 = "C"</formula>
    </cfRule>
    <cfRule type="expression" dxfId="642" priority="855">
      <formula xml:space="preserve"> $C30 = "S"</formula>
    </cfRule>
    <cfRule type="expression" dxfId="641" priority="856">
      <formula xml:space="preserve"> $C30 = ""</formula>
    </cfRule>
  </conditionalFormatting>
  <conditionalFormatting sqref="I30">
    <cfRule type="duplicateValues" dxfId="640" priority="865"/>
  </conditionalFormatting>
  <conditionalFormatting sqref="H30">
    <cfRule type="duplicateValues" dxfId="639" priority="866"/>
  </conditionalFormatting>
  <conditionalFormatting sqref="M30">
    <cfRule type="expression" dxfId="638" priority="849">
      <formula xml:space="preserve"> AND($J30 &lt;&gt; "",$K30 &lt;&gt; "")</formula>
    </cfRule>
  </conditionalFormatting>
  <conditionalFormatting sqref="M30">
    <cfRule type="expression" dxfId="637" priority="850">
      <formula xml:space="preserve"> $C30 = "C"</formula>
    </cfRule>
    <cfRule type="expression" dxfId="636" priority="851">
      <formula xml:space="preserve"> $C30 = "S"</formula>
    </cfRule>
    <cfRule type="expression" dxfId="635" priority="852">
      <formula xml:space="preserve"> $C30 = ""</formula>
    </cfRule>
  </conditionalFormatting>
  <conditionalFormatting sqref="S30">
    <cfRule type="expression" dxfId="634" priority="846">
      <formula xml:space="preserve"> $C30 = "C"</formula>
    </cfRule>
    <cfRule type="expression" dxfId="633" priority="847">
      <formula xml:space="preserve"> $C30 = "S"</formula>
    </cfRule>
    <cfRule type="expression" dxfId="632" priority="848">
      <formula xml:space="preserve"> $C30 = ""</formula>
    </cfRule>
  </conditionalFormatting>
  <conditionalFormatting sqref="J31:K31">
    <cfRule type="expression" dxfId="631" priority="811">
      <formula xml:space="preserve"> AND($J31 &lt;&gt; "",$K31 &lt;&gt; "")</formula>
    </cfRule>
  </conditionalFormatting>
  <conditionalFormatting sqref="N31">
    <cfRule type="cellIs" dxfId="630" priority="815" operator="equal">
      <formula>"CHANG MEC"</formula>
    </cfRule>
    <cfRule type="cellIs" dxfId="629" priority="816" operator="equal">
      <formula>"TOUR"</formula>
    </cfRule>
    <cfRule type="cellIs" dxfId="628" priority="817" operator="equal">
      <formula>"REGL ELEC"</formula>
    </cfRule>
    <cfRule type="cellIs" dxfId="627" priority="818" operator="equal">
      <formula>"REGL MEC"</formula>
    </cfRule>
    <cfRule type="cellIs" dxfId="626" priority="819" operator="equal">
      <formula>"PROD"</formula>
    </cfRule>
    <cfRule type="cellIs" dxfId="625" priority="820" operator="equal">
      <formula>"GR"</formula>
    </cfRule>
    <cfRule type="cellIs" dxfId="624" priority="821" operator="equal">
      <formula>"CTRL ELEC"</formula>
    </cfRule>
    <cfRule type="cellIs" dxfId="623" priority="822" operator="equal">
      <formula>"CTRL MEC"</formula>
    </cfRule>
  </conditionalFormatting>
  <conditionalFormatting sqref="A31:K31 N31:R31 T31:AD31">
    <cfRule type="expression" dxfId="622" priority="812">
      <formula xml:space="preserve"> $C31 = "C"</formula>
    </cfRule>
    <cfRule type="expression" dxfId="621" priority="813">
      <formula xml:space="preserve"> $C31 = "S"</formula>
    </cfRule>
    <cfRule type="expression" dxfId="620" priority="814">
      <formula xml:space="preserve"> $C31 = ""</formula>
    </cfRule>
  </conditionalFormatting>
  <conditionalFormatting sqref="I31">
    <cfRule type="duplicateValues" dxfId="619" priority="823"/>
  </conditionalFormatting>
  <conditionalFormatting sqref="H31">
    <cfRule type="duplicateValues" dxfId="618" priority="824"/>
  </conditionalFormatting>
  <conditionalFormatting sqref="M31">
    <cfRule type="expression" dxfId="617" priority="807">
      <formula xml:space="preserve"> AND($J31 &lt;&gt; "",$K31 &lt;&gt; "")</formula>
    </cfRule>
  </conditionalFormatting>
  <conditionalFormatting sqref="M31">
    <cfRule type="expression" dxfId="616" priority="808">
      <formula xml:space="preserve"> $C31 = "C"</formula>
    </cfRule>
    <cfRule type="expression" dxfId="615" priority="809">
      <formula xml:space="preserve"> $C31 = "S"</formula>
    </cfRule>
    <cfRule type="expression" dxfId="614" priority="810">
      <formula xml:space="preserve"> $C31 = ""</formula>
    </cfRule>
  </conditionalFormatting>
  <conditionalFormatting sqref="S31">
    <cfRule type="expression" dxfId="613" priority="804">
      <formula xml:space="preserve"> $C31 = "C"</formula>
    </cfRule>
    <cfRule type="expression" dxfId="612" priority="805">
      <formula xml:space="preserve"> $C31 = "S"</formula>
    </cfRule>
    <cfRule type="expression" dxfId="611" priority="806">
      <formula xml:space="preserve"> $C31 = ""</formula>
    </cfRule>
  </conditionalFormatting>
  <conditionalFormatting sqref="M35">
    <cfRule type="expression" dxfId="610" priority="719">
      <formula xml:space="preserve"> AND($J35 &lt;&gt; "",$K35 &lt;&gt; "")</formula>
    </cfRule>
  </conditionalFormatting>
  <conditionalFormatting sqref="M35">
    <cfRule type="expression" dxfId="609" priority="720">
      <formula xml:space="preserve"> $C35 = "C"</formula>
    </cfRule>
    <cfRule type="expression" dxfId="608" priority="721">
      <formula xml:space="preserve"> $C35 = "S"</formula>
    </cfRule>
    <cfRule type="expression" dxfId="607" priority="722">
      <formula xml:space="preserve"> $C35 = ""</formula>
    </cfRule>
  </conditionalFormatting>
  <conditionalFormatting sqref="S35">
    <cfRule type="expression" dxfId="606" priority="713">
      <formula xml:space="preserve"> $C35 = "C"</formula>
    </cfRule>
    <cfRule type="expression" dxfId="605" priority="714">
      <formula xml:space="preserve"> $C35 = "S"</formula>
    </cfRule>
    <cfRule type="expression" dxfId="604" priority="715">
      <formula xml:space="preserve"> $C35 = ""</formula>
    </cfRule>
  </conditionalFormatting>
  <conditionalFormatting sqref="S36">
    <cfRule type="expression" dxfId="603" priority="710">
      <formula xml:space="preserve"> $C36 = "C"</formula>
    </cfRule>
    <cfRule type="expression" dxfId="602" priority="711">
      <formula xml:space="preserve"> $C36 = "S"</formula>
    </cfRule>
    <cfRule type="expression" dxfId="601" priority="712">
      <formula xml:space="preserve"> $C36 = ""</formula>
    </cfRule>
  </conditionalFormatting>
  <conditionalFormatting sqref="S37">
    <cfRule type="expression" dxfId="600" priority="704">
      <formula xml:space="preserve"> $C37 = "C"</formula>
    </cfRule>
    <cfRule type="expression" dxfId="599" priority="705">
      <formula xml:space="preserve"> $C37 = "S"</formula>
    </cfRule>
    <cfRule type="expression" dxfId="598" priority="706">
      <formula xml:space="preserve"> $C37 = ""</formula>
    </cfRule>
  </conditionalFormatting>
  <conditionalFormatting sqref="M36">
    <cfRule type="expression" dxfId="597" priority="700">
      <formula xml:space="preserve"> AND($J36 &lt;&gt; "",$K36 &lt;&gt; "")</formula>
    </cfRule>
  </conditionalFormatting>
  <conditionalFormatting sqref="M36">
    <cfRule type="expression" dxfId="596" priority="701">
      <formula xml:space="preserve"> $C36 = "C"</formula>
    </cfRule>
    <cfRule type="expression" dxfId="595" priority="702">
      <formula xml:space="preserve"> $C36 = "S"</formula>
    </cfRule>
    <cfRule type="expression" dxfId="594" priority="703">
      <formula xml:space="preserve"> $C36 = ""</formula>
    </cfRule>
  </conditionalFormatting>
  <conditionalFormatting sqref="M37">
    <cfRule type="expression" dxfId="593" priority="692">
      <formula xml:space="preserve"> AND($J37 &lt;&gt; "",$K37 &lt;&gt; "")</formula>
    </cfRule>
  </conditionalFormatting>
  <conditionalFormatting sqref="M37">
    <cfRule type="expression" dxfId="592" priority="693">
      <formula xml:space="preserve"> $C37 = "C"</formula>
    </cfRule>
    <cfRule type="expression" dxfId="591" priority="694">
      <formula xml:space="preserve"> $C37 = "S"</formula>
    </cfRule>
    <cfRule type="expression" dxfId="590" priority="695">
      <formula xml:space="preserve"> $C37 = ""</formula>
    </cfRule>
  </conditionalFormatting>
  <conditionalFormatting sqref="M38">
    <cfRule type="expression" dxfId="589" priority="684">
      <formula xml:space="preserve"> AND($J38 &lt;&gt; "",$K38 &lt;&gt; "")</formula>
    </cfRule>
  </conditionalFormatting>
  <conditionalFormatting sqref="M38">
    <cfRule type="expression" dxfId="588" priority="685">
      <formula xml:space="preserve"> $C38 = "C"</formula>
    </cfRule>
    <cfRule type="expression" dxfId="587" priority="686">
      <formula xml:space="preserve"> $C38 = "S"</formula>
    </cfRule>
    <cfRule type="expression" dxfId="586" priority="687">
      <formula xml:space="preserve"> $C38 = ""</formula>
    </cfRule>
  </conditionalFormatting>
  <conditionalFormatting sqref="S38">
    <cfRule type="expression" dxfId="585" priority="678">
      <formula xml:space="preserve"> $C38 = "C"</formula>
    </cfRule>
    <cfRule type="expression" dxfId="584" priority="679">
      <formula xml:space="preserve"> $C38 = "S"</formula>
    </cfRule>
    <cfRule type="expression" dxfId="583" priority="680">
      <formula xml:space="preserve"> $C38 = ""</formula>
    </cfRule>
  </conditionalFormatting>
  <conditionalFormatting sqref="J39:K39">
    <cfRule type="expression" dxfId="582" priority="601">
      <formula xml:space="preserve"> AND($J39 &lt;&gt; "",$K39 &lt;&gt; "")</formula>
    </cfRule>
  </conditionalFormatting>
  <conditionalFormatting sqref="N39">
    <cfRule type="cellIs" dxfId="581" priority="605" operator="equal">
      <formula>"CHANG MEC"</formula>
    </cfRule>
    <cfRule type="cellIs" dxfId="580" priority="606" operator="equal">
      <formula>"TOUR"</formula>
    </cfRule>
    <cfRule type="cellIs" dxfId="579" priority="607" operator="equal">
      <formula>"REGL ELEC"</formula>
    </cfRule>
    <cfRule type="cellIs" dxfId="578" priority="608" operator="equal">
      <formula>"REGL MEC"</formula>
    </cfRule>
    <cfRule type="cellIs" dxfId="577" priority="609" operator="equal">
      <formula>"PROD"</formula>
    </cfRule>
    <cfRule type="cellIs" dxfId="576" priority="610" operator="equal">
      <formula>"GR"</formula>
    </cfRule>
    <cfRule type="cellIs" dxfId="575" priority="611" operator="equal">
      <formula>"CTRL ELEC"</formula>
    </cfRule>
    <cfRule type="cellIs" dxfId="574" priority="612" operator="equal">
      <formula>"CTRL MEC"</formula>
    </cfRule>
  </conditionalFormatting>
  <conditionalFormatting sqref="A39:K39 N39:R39 T39:AD39">
    <cfRule type="expression" dxfId="573" priority="602">
      <formula xml:space="preserve"> $C39 = "C"</formula>
    </cfRule>
    <cfRule type="expression" dxfId="572" priority="603">
      <formula xml:space="preserve"> $C39 = "S"</formula>
    </cfRule>
    <cfRule type="expression" dxfId="571" priority="604">
      <formula xml:space="preserve"> $C39 = ""</formula>
    </cfRule>
  </conditionalFormatting>
  <conditionalFormatting sqref="I39">
    <cfRule type="duplicateValues" dxfId="570" priority="613"/>
  </conditionalFormatting>
  <conditionalFormatting sqref="H39">
    <cfRule type="duplicateValues" dxfId="569" priority="614"/>
  </conditionalFormatting>
  <conditionalFormatting sqref="M39">
    <cfRule type="expression" dxfId="568" priority="597">
      <formula xml:space="preserve"> AND($J39 &lt;&gt; "",$K39 &lt;&gt; "")</formula>
    </cfRule>
  </conditionalFormatting>
  <conditionalFormatting sqref="M39">
    <cfRule type="expression" dxfId="567" priority="598">
      <formula xml:space="preserve"> $C39 = "C"</formula>
    </cfRule>
    <cfRule type="expression" dxfId="566" priority="599">
      <formula xml:space="preserve"> $C39 = "S"</formula>
    </cfRule>
    <cfRule type="expression" dxfId="565" priority="600">
      <formula xml:space="preserve"> $C39 = ""</formula>
    </cfRule>
  </conditionalFormatting>
  <conditionalFormatting sqref="S39">
    <cfRule type="expression" dxfId="564" priority="594">
      <formula xml:space="preserve"> $C39 = "C"</formula>
    </cfRule>
    <cfRule type="expression" dxfId="563" priority="595">
      <formula xml:space="preserve"> $C39 = "S"</formula>
    </cfRule>
    <cfRule type="expression" dxfId="562" priority="596">
      <formula xml:space="preserve"> $C39 = ""</formula>
    </cfRule>
  </conditionalFormatting>
  <conditionalFormatting sqref="J40:K40">
    <cfRule type="expression" dxfId="561" priority="580">
      <formula xml:space="preserve"> AND($J40 &lt;&gt; "",$K40 &lt;&gt; "")</formula>
    </cfRule>
  </conditionalFormatting>
  <conditionalFormatting sqref="N40">
    <cfRule type="cellIs" dxfId="560" priority="584" operator="equal">
      <formula>"CHANG MEC"</formula>
    </cfRule>
    <cfRule type="cellIs" dxfId="559" priority="585" operator="equal">
      <formula>"TOUR"</formula>
    </cfRule>
    <cfRule type="cellIs" dxfId="558" priority="586" operator="equal">
      <formula>"REGL ELEC"</formula>
    </cfRule>
    <cfRule type="cellIs" dxfId="557" priority="587" operator="equal">
      <formula>"REGL MEC"</formula>
    </cfRule>
    <cfRule type="cellIs" dxfId="556" priority="588" operator="equal">
      <formula>"PROD"</formula>
    </cfRule>
    <cfRule type="cellIs" dxfId="555" priority="589" operator="equal">
      <formula>"GR"</formula>
    </cfRule>
    <cfRule type="cellIs" dxfId="554" priority="590" operator="equal">
      <formula>"CTRL ELEC"</formula>
    </cfRule>
    <cfRule type="cellIs" dxfId="553" priority="591" operator="equal">
      <formula>"CTRL MEC"</formula>
    </cfRule>
  </conditionalFormatting>
  <conditionalFormatting sqref="A40:K40 N40:R40 T40:AD40">
    <cfRule type="expression" dxfId="552" priority="581">
      <formula xml:space="preserve"> $C40 = "C"</formula>
    </cfRule>
    <cfRule type="expression" dxfId="551" priority="582">
      <formula xml:space="preserve"> $C40 = "S"</formula>
    </cfRule>
    <cfRule type="expression" dxfId="550" priority="583">
      <formula xml:space="preserve"> $C40 = ""</formula>
    </cfRule>
  </conditionalFormatting>
  <conditionalFormatting sqref="I40">
    <cfRule type="duplicateValues" dxfId="549" priority="592"/>
  </conditionalFormatting>
  <conditionalFormatting sqref="H40">
    <cfRule type="duplicateValues" dxfId="548" priority="593"/>
  </conditionalFormatting>
  <conditionalFormatting sqref="M40">
    <cfRule type="expression" dxfId="547" priority="576">
      <formula xml:space="preserve"> AND($J40 &lt;&gt; "",$K40 &lt;&gt; "")</formula>
    </cfRule>
  </conditionalFormatting>
  <conditionalFormatting sqref="M40">
    <cfRule type="expression" dxfId="546" priority="577">
      <formula xml:space="preserve"> $C40 = "C"</formula>
    </cfRule>
    <cfRule type="expression" dxfId="545" priority="578">
      <formula xml:space="preserve"> $C40 = "S"</formula>
    </cfRule>
    <cfRule type="expression" dxfId="544" priority="579">
      <formula xml:space="preserve"> $C40 = ""</formula>
    </cfRule>
  </conditionalFormatting>
  <conditionalFormatting sqref="S40">
    <cfRule type="expression" dxfId="543" priority="573">
      <formula xml:space="preserve"> $C40 = "C"</formula>
    </cfRule>
    <cfRule type="expression" dxfId="542" priority="574">
      <formula xml:space="preserve"> $C40 = "S"</formula>
    </cfRule>
    <cfRule type="expression" dxfId="541" priority="575">
      <formula xml:space="preserve"> $C40 = ""</formula>
    </cfRule>
  </conditionalFormatting>
  <conditionalFormatting sqref="J41:K41">
    <cfRule type="expression" dxfId="540" priority="538">
      <formula xml:space="preserve"> AND($J41 &lt;&gt; "",$K41 &lt;&gt; "")</formula>
    </cfRule>
  </conditionalFormatting>
  <conditionalFormatting sqref="N41">
    <cfRule type="cellIs" dxfId="539" priority="542" operator="equal">
      <formula>"CHANG MEC"</formula>
    </cfRule>
    <cfRule type="cellIs" dxfId="538" priority="543" operator="equal">
      <formula>"TOUR"</formula>
    </cfRule>
    <cfRule type="cellIs" dxfId="537" priority="544" operator="equal">
      <formula>"REGL ELEC"</formula>
    </cfRule>
    <cfRule type="cellIs" dxfId="536" priority="545" operator="equal">
      <formula>"REGL MEC"</formula>
    </cfRule>
    <cfRule type="cellIs" dxfId="535" priority="546" operator="equal">
      <formula>"PROD"</formula>
    </cfRule>
    <cfRule type="cellIs" dxfId="534" priority="547" operator="equal">
      <formula>"GR"</formula>
    </cfRule>
    <cfRule type="cellIs" dxfId="533" priority="548" operator="equal">
      <formula>"CTRL ELEC"</formula>
    </cfRule>
    <cfRule type="cellIs" dxfId="532" priority="549" operator="equal">
      <formula>"CTRL MEC"</formula>
    </cfRule>
  </conditionalFormatting>
  <conditionalFormatting sqref="A41:K41 N41:R41 T41:AD41">
    <cfRule type="expression" dxfId="531" priority="539">
      <formula xml:space="preserve"> $C41 = "C"</formula>
    </cfRule>
    <cfRule type="expression" dxfId="530" priority="540">
      <formula xml:space="preserve"> $C41 = "S"</formula>
    </cfRule>
    <cfRule type="expression" dxfId="529" priority="541">
      <formula xml:space="preserve"> $C41 = ""</formula>
    </cfRule>
  </conditionalFormatting>
  <conditionalFormatting sqref="I41">
    <cfRule type="duplicateValues" dxfId="528" priority="550"/>
  </conditionalFormatting>
  <conditionalFormatting sqref="H41">
    <cfRule type="duplicateValues" dxfId="527" priority="551"/>
  </conditionalFormatting>
  <conditionalFormatting sqref="M41">
    <cfRule type="expression" dxfId="526" priority="534">
      <formula xml:space="preserve"> AND($J41 &lt;&gt; "",$K41 &lt;&gt; "")</formula>
    </cfRule>
  </conditionalFormatting>
  <conditionalFormatting sqref="M41">
    <cfRule type="expression" dxfId="525" priority="535">
      <formula xml:space="preserve"> $C41 = "C"</formula>
    </cfRule>
    <cfRule type="expression" dxfId="524" priority="536">
      <formula xml:space="preserve"> $C41 = "S"</formula>
    </cfRule>
    <cfRule type="expression" dxfId="523" priority="537">
      <formula xml:space="preserve"> $C41 = ""</formula>
    </cfRule>
  </conditionalFormatting>
  <conditionalFormatting sqref="S41">
    <cfRule type="expression" dxfId="522" priority="531">
      <formula xml:space="preserve"> $C41 = "C"</formula>
    </cfRule>
    <cfRule type="expression" dxfId="521" priority="532">
      <formula xml:space="preserve"> $C41 = "S"</formula>
    </cfRule>
    <cfRule type="expression" dxfId="520" priority="533">
      <formula xml:space="preserve"> $C41 = ""</formula>
    </cfRule>
  </conditionalFormatting>
  <conditionalFormatting sqref="J42:K42">
    <cfRule type="expression" dxfId="519" priority="496">
      <formula xml:space="preserve"> AND($J42 &lt;&gt; "",$K42 &lt;&gt; "")</formula>
    </cfRule>
  </conditionalFormatting>
  <conditionalFormatting sqref="N42">
    <cfRule type="cellIs" dxfId="518" priority="500" operator="equal">
      <formula>"CHANG MEC"</formula>
    </cfRule>
    <cfRule type="cellIs" dxfId="517" priority="501" operator="equal">
      <formula>"TOUR"</formula>
    </cfRule>
    <cfRule type="cellIs" dxfId="516" priority="502" operator="equal">
      <formula>"REGL ELEC"</formula>
    </cfRule>
    <cfRule type="cellIs" dxfId="515" priority="503" operator="equal">
      <formula>"REGL MEC"</formula>
    </cfRule>
    <cfRule type="cellIs" dxfId="514" priority="504" operator="equal">
      <formula>"PROD"</formula>
    </cfRule>
    <cfRule type="cellIs" dxfId="513" priority="505" operator="equal">
      <formula>"GR"</formula>
    </cfRule>
    <cfRule type="cellIs" dxfId="512" priority="506" operator="equal">
      <formula>"CTRL ELEC"</formula>
    </cfRule>
    <cfRule type="cellIs" dxfId="511" priority="507" operator="equal">
      <formula>"CTRL MEC"</formula>
    </cfRule>
  </conditionalFormatting>
  <conditionalFormatting sqref="A42:K42 N42:R42 T42:AD42">
    <cfRule type="expression" dxfId="510" priority="497">
      <formula xml:space="preserve"> $C42 = "C"</formula>
    </cfRule>
    <cfRule type="expression" dxfId="509" priority="498">
      <formula xml:space="preserve"> $C42 = "S"</formula>
    </cfRule>
    <cfRule type="expression" dxfId="508" priority="499">
      <formula xml:space="preserve"> $C42 = ""</formula>
    </cfRule>
  </conditionalFormatting>
  <conditionalFormatting sqref="I42">
    <cfRule type="duplicateValues" dxfId="507" priority="508"/>
  </conditionalFormatting>
  <conditionalFormatting sqref="H42">
    <cfRule type="duplicateValues" dxfId="506" priority="509"/>
  </conditionalFormatting>
  <conditionalFormatting sqref="M42">
    <cfRule type="expression" dxfId="505" priority="492">
      <formula xml:space="preserve"> AND($J42 &lt;&gt; "",$K42 &lt;&gt; "")</formula>
    </cfRule>
  </conditionalFormatting>
  <conditionalFormatting sqref="M42">
    <cfRule type="expression" dxfId="504" priority="493">
      <formula xml:space="preserve"> $C42 = "C"</formula>
    </cfRule>
    <cfRule type="expression" dxfId="503" priority="494">
      <formula xml:space="preserve"> $C42 = "S"</formula>
    </cfRule>
    <cfRule type="expression" dxfId="502" priority="495">
      <formula xml:space="preserve"> $C42 = ""</formula>
    </cfRule>
  </conditionalFormatting>
  <conditionalFormatting sqref="S42">
    <cfRule type="expression" dxfId="501" priority="489">
      <formula xml:space="preserve"> $C42 = "C"</formula>
    </cfRule>
    <cfRule type="expression" dxfId="500" priority="490">
      <formula xml:space="preserve"> $C42 = "S"</formula>
    </cfRule>
    <cfRule type="expression" dxfId="499" priority="491">
      <formula xml:space="preserve"> $C42 = ""</formula>
    </cfRule>
  </conditionalFormatting>
  <conditionalFormatting sqref="J43:K43">
    <cfRule type="expression" dxfId="498" priority="475">
      <formula xml:space="preserve"> AND($J43 &lt;&gt; "",$K43 &lt;&gt; "")</formula>
    </cfRule>
  </conditionalFormatting>
  <conditionalFormatting sqref="N43">
    <cfRule type="cellIs" dxfId="497" priority="479" operator="equal">
      <formula>"CHANG MEC"</formula>
    </cfRule>
    <cfRule type="cellIs" dxfId="496" priority="480" operator="equal">
      <formula>"TOUR"</formula>
    </cfRule>
    <cfRule type="cellIs" dxfId="495" priority="481" operator="equal">
      <formula>"REGL ELEC"</formula>
    </cfRule>
    <cfRule type="cellIs" dxfId="494" priority="482" operator="equal">
      <formula>"REGL MEC"</formula>
    </cfRule>
    <cfRule type="cellIs" dxfId="493" priority="483" operator="equal">
      <formula>"PROD"</formula>
    </cfRule>
    <cfRule type="cellIs" dxfId="492" priority="484" operator="equal">
      <formula>"GR"</formula>
    </cfRule>
    <cfRule type="cellIs" dxfId="491" priority="485" operator="equal">
      <formula>"CTRL ELEC"</formula>
    </cfRule>
    <cfRule type="cellIs" dxfId="490" priority="486" operator="equal">
      <formula>"CTRL MEC"</formula>
    </cfRule>
  </conditionalFormatting>
  <conditionalFormatting sqref="A43:K43 N43:R43 T43:AD43">
    <cfRule type="expression" dxfId="489" priority="476">
      <formula xml:space="preserve"> $C43 = "C"</formula>
    </cfRule>
    <cfRule type="expression" dxfId="488" priority="477">
      <formula xml:space="preserve"> $C43 = "S"</formula>
    </cfRule>
    <cfRule type="expression" dxfId="487" priority="478">
      <formula xml:space="preserve"> $C43 = ""</formula>
    </cfRule>
  </conditionalFormatting>
  <conditionalFormatting sqref="I43">
    <cfRule type="duplicateValues" dxfId="486" priority="487"/>
  </conditionalFormatting>
  <conditionalFormatting sqref="H43">
    <cfRule type="duplicateValues" dxfId="485" priority="488"/>
  </conditionalFormatting>
  <conditionalFormatting sqref="M43">
    <cfRule type="expression" dxfId="484" priority="471">
      <formula xml:space="preserve"> AND($J43 &lt;&gt; "",$K43 &lt;&gt; "")</formula>
    </cfRule>
  </conditionalFormatting>
  <conditionalFormatting sqref="M43">
    <cfRule type="expression" dxfId="483" priority="472">
      <formula xml:space="preserve"> $C43 = "C"</formula>
    </cfRule>
    <cfRule type="expression" dxfId="482" priority="473">
      <formula xml:space="preserve"> $C43 = "S"</formula>
    </cfRule>
    <cfRule type="expression" dxfId="481" priority="474">
      <formula xml:space="preserve"> $C43 = ""</formula>
    </cfRule>
  </conditionalFormatting>
  <conditionalFormatting sqref="S43">
    <cfRule type="expression" dxfId="480" priority="468">
      <formula xml:space="preserve"> $C43 = "C"</formula>
    </cfRule>
    <cfRule type="expression" dxfId="479" priority="469">
      <formula xml:space="preserve"> $C43 = "S"</formula>
    </cfRule>
    <cfRule type="expression" dxfId="478" priority="470">
      <formula xml:space="preserve"> $C43 = ""</formula>
    </cfRule>
  </conditionalFormatting>
  <conditionalFormatting sqref="J44:K44">
    <cfRule type="expression" dxfId="477" priority="433">
      <formula xml:space="preserve"> AND($J44 &lt;&gt; "",$K44 &lt;&gt; "")</formula>
    </cfRule>
  </conditionalFormatting>
  <conditionalFormatting sqref="N44">
    <cfRule type="cellIs" dxfId="476" priority="437" operator="equal">
      <formula>"CHANG MEC"</formula>
    </cfRule>
    <cfRule type="cellIs" dxfId="475" priority="438" operator="equal">
      <formula>"TOUR"</formula>
    </cfRule>
    <cfRule type="cellIs" dxfId="474" priority="439" operator="equal">
      <formula>"REGL ELEC"</formula>
    </cfRule>
    <cfRule type="cellIs" dxfId="473" priority="440" operator="equal">
      <formula>"REGL MEC"</formula>
    </cfRule>
    <cfRule type="cellIs" dxfId="472" priority="441" operator="equal">
      <formula>"PROD"</formula>
    </cfRule>
    <cfRule type="cellIs" dxfId="471" priority="442" operator="equal">
      <formula>"GR"</formula>
    </cfRule>
    <cfRule type="cellIs" dxfId="470" priority="443" operator="equal">
      <formula>"CTRL ELEC"</formula>
    </cfRule>
    <cfRule type="cellIs" dxfId="469" priority="444" operator="equal">
      <formula>"CTRL MEC"</formula>
    </cfRule>
  </conditionalFormatting>
  <conditionalFormatting sqref="A44:K44 N44:R44 T44:AD44">
    <cfRule type="expression" dxfId="468" priority="434">
      <formula xml:space="preserve"> $C44 = "C"</formula>
    </cfRule>
    <cfRule type="expression" dxfId="467" priority="435">
      <formula xml:space="preserve"> $C44 = "S"</formula>
    </cfRule>
    <cfRule type="expression" dxfId="466" priority="436">
      <formula xml:space="preserve"> $C44 = ""</formula>
    </cfRule>
  </conditionalFormatting>
  <conditionalFormatting sqref="I44">
    <cfRule type="duplicateValues" dxfId="465" priority="445"/>
  </conditionalFormatting>
  <conditionalFormatting sqref="H44">
    <cfRule type="duplicateValues" dxfId="464" priority="446"/>
  </conditionalFormatting>
  <conditionalFormatting sqref="M44">
    <cfRule type="expression" dxfId="463" priority="429">
      <formula xml:space="preserve"> AND($J44 &lt;&gt; "",$K44 &lt;&gt; "")</formula>
    </cfRule>
  </conditionalFormatting>
  <conditionalFormatting sqref="M44">
    <cfRule type="expression" dxfId="462" priority="430">
      <formula xml:space="preserve"> $C44 = "C"</formula>
    </cfRule>
    <cfRule type="expression" dxfId="461" priority="431">
      <formula xml:space="preserve"> $C44 = "S"</formula>
    </cfRule>
    <cfRule type="expression" dxfId="460" priority="432">
      <formula xml:space="preserve"> $C44 = ""</formula>
    </cfRule>
  </conditionalFormatting>
  <conditionalFormatting sqref="S44">
    <cfRule type="expression" dxfId="459" priority="426">
      <formula xml:space="preserve"> $C44 = "C"</formula>
    </cfRule>
    <cfRule type="expression" dxfId="458" priority="427">
      <formula xml:space="preserve"> $C44 = "S"</formula>
    </cfRule>
    <cfRule type="expression" dxfId="457" priority="428">
      <formula xml:space="preserve"> $C44 = ""</formula>
    </cfRule>
  </conditionalFormatting>
  <conditionalFormatting sqref="L14">
    <cfRule type="expression" dxfId="456" priority="422">
      <formula xml:space="preserve"> AND($J14 &lt;&gt; "",$K14 &lt;&gt; "")</formula>
    </cfRule>
  </conditionalFormatting>
  <conditionalFormatting sqref="L14">
    <cfRule type="expression" dxfId="455" priority="423">
      <formula xml:space="preserve"> $C14 = "C"</formula>
    </cfRule>
    <cfRule type="expression" dxfId="454" priority="424">
      <formula xml:space="preserve"> $C14 = "S"</formula>
    </cfRule>
    <cfRule type="expression" dxfId="453" priority="425">
      <formula xml:space="preserve"> $C14 = ""</formula>
    </cfRule>
  </conditionalFormatting>
  <conditionalFormatting sqref="L11">
    <cfRule type="expression" dxfId="452" priority="418">
      <formula xml:space="preserve"> AND($J11 &lt;&gt; "",$K11 &lt;&gt; "")</formula>
    </cfRule>
  </conditionalFormatting>
  <conditionalFormatting sqref="L11">
    <cfRule type="expression" dxfId="451" priority="419">
      <formula xml:space="preserve"> $C11 = "C"</formula>
    </cfRule>
    <cfRule type="expression" dxfId="450" priority="420">
      <formula xml:space="preserve"> $C11 = "S"</formula>
    </cfRule>
    <cfRule type="expression" dxfId="449" priority="421">
      <formula xml:space="preserve"> $C11 = ""</formula>
    </cfRule>
  </conditionalFormatting>
  <conditionalFormatting sqref="L42">
    <cfRule type="expression" dxfId="448" priority="414">
      <formula xml:space="preserve"> AND($J42 &lt;&gt; "",$K42 &lt;&gt; "")</formula>
    </cfRule>
  </conditionalFormatting>
  <conditionalFormatting sqref="L42">
    <cfRule type="expression" dxfId="447" priority="415">
      <formula xml:space="preserve"> $C42 = "C"</formula>
    </cfRule>
    <cfRule type="expression" dxfId="446" priority="416">
      <formula xml:space="preserve"> $C42 = "S"</formula>
    </cfRule>
    <cfRule type="expression" dxfId="445" priority="417">
      <formula xml:space="preserve"> $C42 = ""</formula>
    </cfRule>
  </conditionalFormatting>
  <conditionalFormatting sqref="L39">
    <cfRule type="expression" dxfId="444" priority="410">
      <formula xml:space="preserve"> AND($J39 &lt;&gt; "",$K39 &lt;&gt; "")</formula>
    </cfRule>
  </conditionalFormatting>
  <conditionalFormatting sqref="L39">
    <cfRule type="expression" dxfId="443" priority="411">
      <formula xml:space="preserve"> $C39 = "C"</formula>
    </cfRule>
    <cfRule type="expression" dxfId="442" priority="412">
      <formula xml:space="preserve"> $C39 = "S"</formula>
    </cfRule>
    <cfRule type="expression" dxfId="441" priority="413">
      <formula xml:space="preserve"> $C39 = ""</formula>
    </cfRule>
  </conditionalFormatting>
  <conditionalFormatting sqref="L29">
    <cfRule type="expression" dxfId="440" priority="406">
      <formula xml:space="preserve"> AND($J29 &lt;&gt; "",$K29 &lt;&gt; "")</formula>
    </cfRule>
  </conditionalFormatting>
  <conditionalFormatting sqref="L29">
    <cfRule type="expression" dxfId="439" priority="407">
      <formula xml:space="preserve"> $C29 = "C"</formula>
    </cfRule>
    <cfRule type="expression" dxfId="438" priority="408">
      <formula xml:space="preserve"> $C29 = "S"</formula>
    </cfRule>
    <cfRule type="expression" dxfId="437" priority="409">
      <formula xml:space="preserve"> $C29 = ""</formula>
    </cfRule>
  </conditionalFormatting>
  <conditionalFormatting sqref="L23">
    <cfRule type="expression" dxfId="436" priority="402">
      <formula xml:space="preserve"> AND($J23 &lt;&gt; "",$K23 &lt;&gt; "")</formula>
    </cfRule>
  </conditionalFormatting>
  <conditionalFormatting sqref="L23">
    <cfRule type="expression" dxfId="435" priority="403">
      <formula xml:space="preserve"> $C23 = "C"</formula>
    </cfRule>
    <cfRule type="expression" dxfId="434" priority="404">
      <formula xml:space="preserve"> $C23 = "S"</formula>
    </cfRule>
    <cfRule type="expression" dxfId="433" priority="405">
      <formula xml:space="preserve"> $C23 = ""</formula>
    </cfRule>
  </conditionalFormatting>
  <conditionalFormatting sqref="L20">
    <cfRule type="expression" dxfId="432" priority="398">
      <formula xml:space="preserve"> AND($J20 &lt;&gt; "",$K20 &lt;&gt; "")</formula>
    </cfRule>
  </conditionalFormatting>
  <conditionalFormatting sqref="L20">
    <cfRule type="expression" dxfId="431" priority="399">
      <formula xml:space="preserve"> $C20 = "C"</formula>
    </cfRule>
    <cfRule type="expression" dxfId="430" priority="400">
      <formula xml:space="preserve"> $C20 = "S"</formula>
    </cfRule>
    <cfRule type="expression" dxfId="429" priority="401">
      <formula xml:space="preserve"> $C20 = ""</formula>
    </cfRule>
  </conditionalFormatting>
  <conditionalFormatting sqref="L17">
    <cfRule type="expression" dxfId="428" priority="394">
      <formula xml:space="preserve"> AND($J17 &lt;&gt; "",$K17 &lt;&gt; "")</formula>
    </cfRule>
  </conditionalFormatting>
  <conditionalFormatting sqref="L17">
    <cfRule type="expression" dxfId="427" priority="395">
      <formula xml:space="preserve"> $C17 = "C"</formula>
    </cfRule>
    <cfRule type="expression" dxfId="426" priority="396">
      <formula xml:space="preserve"> $C17 = "S"</formula>
    </cfRule>
    <cfRule type="expression" dxfId="425" priority="397">
      <formula xml:space="preserve"> $C17 = ""</formula>
    </cfRule>
  </conditionalFormatting>
  <conditionalFormatting sqref="L9">
    <cfRule type="expression" dxfId="424" priority="390">
      <formula xml:space="preserve"> AND($J9 &lt;&gt; "",$K9 &lt;&gt; "")</formula>
    </cfRule>
  </conditionalFormatting>
  <conditionalFormatting sqref="L9">
    <cfRule type="expression" dxfId="423" priority="391">
      <formula xml:space="preserve"> $C9 = "C"</formula>
    </cfRule>
    <cfRule type="expression" dxfId="422" priority="392">
      <formula xml:space="preserve"> $C9 = "S"</formula>
    </cfRule>
    <cfRule type="expression" dxfId="421" priority="393">
      <formula xml:space="preserve"> $C9 = ""</formula>
    </cfRule>
  </conditionalFormatting>
  <conditionalFormatting sqref="L43">
    <cfRule type="expression" dxfId="420" priority="386">
      <formula xml:space="preserve"> AND($J43 &lt;&gt; "",$K43 &lt;&gt; "")</formula>
    </cfRule>
  </conditionalFormatting>
  <conditionalFormatting sqref="L43">
    <cfRule type="expression" dxfId="419" priority="387">
      <formula xml:space="preserve"> $C43 = "C"</formula>
    </cfRule>
    <cfRule type="expression" dxfId="418" priority="388">
      <formula xml:space="preserve"> $C43 = "S"</formula>
    </cfRule>
    <cfRule type="expression" dxfId="417" priority="389">
      <formula xml:space="preserve"> $C43 = ""</formula>
    </cfRule>
  </conditionalFormatting>
  <conditionalFormatting sqref="L40">
    <cfRule type="expression" dxfId="416" priority="382">
      <formula xml:space="preserve"> AND($J40 &lt;&gt; "",$K40 &lt;&gt; "")</formula>
    </cfRule>
  </conditionalFormatting>
  <conditionalFormatting sqref="L40">
    <cfRule type="expression" dxfId="415" priority="383">
      <formula xml:space="preserve"> $C40 = "C"</formula>
    </cfRule>
    <cfRule type="expression" dxfId="414" priority="384">
      <formula xml:space="preserve"> $C40 = "S"</formula>
    </cfRule>
    <cfRule type="expression" dxfId="413" priority="385">
      <formula xml:space="preserve"> $C40 = ""</formula>
    </cfRule>
  </conditionalFormatting>
  <conditionalFormatting sqref="L30">
    <cfRule type="expression" dxfId="412" priority="374">
      <formula xml:space="preserve"> AND($J30 &lt;&gt; "",$K30 &lt;&gt; "")</formula>
    </cfRule>
  </conditionalFormatting>
  <conditionalFormatting sqref="L30">
    <cfRule type="expression" dxfId="411" priority="375">
      <formula xml:space="preserve"> $C30 = "C"</formula>
    </cfRule>
    <cfRule type="expression" dxfId="410" priority="376">
      <formula xml:space="preserve"> $C30 = "S"</formula>
    </cfRule>
    <cfRule type="expression" dxfId="409" priority="377">
      <formula xml:space="preserve"> $C30 = ""</formula>
    </cfRule>
  </conditionalFormatting>
  <conditionalFormatting sqref="L27">
    <cfRule type="expression" dxfId="408" priority="370">
      <formula xml:space="preserve"> AND($J27 &lt;&gt; "",$K27 &lt;&gt; "")</formula>
    </cfRule>
  </conditionalFormatting>
  <conditionalFormatting sqref="L27">
    <cfRule type="expression" dxfId="407" priority="371">
      <formula xml:space="preserve"> $C27 = "C"</formula>
    </cfRule>
    <cfRule type="expression" dxfId="406" priority="372">
      <formula xml:space="preserve"> $C27 = "S"</formula>
    </cfRule>
    <cfRule type="expression" dxfId="405" priority="373">
      <formula xml:space="preserve"> $C27 = ""</formula>
    </cfRule>
  </conditionalFormatting>
  <conditionalFormatting sqref="L24">
    <cfRule type="expression" dxfId="404" priority="366">
      <formula xml:space="preserve"> AND($J24 &lt;&gt; "",$K24 &lt;&gt; "")</formula>
    </cfRule>
  </conditionalFormatting>
  <conditionalFormatting sqref="L24">
    <cfRule type="expression" dxfId="403" priority="367">
      <formula xml:space="preserve"> $C24 = "C"</formula>
    </cfRule>
    <cfRule type="expression" dxfId="402" priority="368">
      <formula xml:space="preserve"> $C24 = "S"</formula>
    </cfRule>
    <cfRule type="expression" dxfId="401" priority="369">
      <formula xml:space="preserve"> $C24 = ""</formula>
    </cfRule>
  </conditionalFormatting>
  <conditionalFormatting sqref="L21">
    <cfRule type="expression" dxfId="400" priority="362">
      <formula xml:space="preserve"> AND($J21 &lt;&gt; "",$K21 &lt;&gt; "")</formula>
    </cfRule>
  </conditionalFormatting>
  <conditionalFormatting sqref="L21">
    <cfRule type="expression" dxfId="399" priority="363">
      <formula xml:space="preserve"> $C21 = "C"</formula>
    </cfRule>
    <cfRule type="expression" dxfId="398" priority="364">
      <formula xml:space="preserve"> $C21 = "S"</formula>
    </cfRule>
    <cfRule type="expression" dxfId="397" priority="365">
      <formula xml:space="preserve"> $C21 = ""</formula>
    </cfRule>
  </conditionalFormatting>
  <conditionalFormatting sqref="L18">
    <cfRule type="expression" dxfId="396" priority="358">
      <formula xml:space="preserve"> AND($J18 &lt;&gt; "",$K18 &lt;&gt; "")</formula>
    </cfRule>
  </conditionalFormatting>
  <conditionalFormatting sqref="L18">
    <cfRule type="expression" dxfId="395" priority="359">
      <formula xml:space="preserve"> $C18 = "C"</formula>
    </cfRule>
    <cfRule type="expression" dxfId="394" priority="360">
      <formula xml:space="preserve"> $C18 = "S"</formula>
    </cfRule>
    <cfRule type="expression" dxfId="393" priority="361">
      <formula xml:space="preserve"> $C18 = ""</formula>
    </cfRule>
  </conditionalFormatting>
  <conditionalFormatting sqref="L15">
    <cfRule type="expression" dxfId="392" priority="354">
      <formula xml:space="preserve"> AND($J15 &lt;&gt; "",$K15 &lt;&gt; "")</formula>
    </cfRule>
  </conditionalFormatting>
  <conditionalFormatting sqref="L15">
    <cfRule type="expression" dxfId="391" priority="355">
      <formula xml:space="preserve"> $C15 = "C"</formula>
    </cfRule>
    <cfRule type="expression" dxfId="390" priority="356">
      <formula xml:space="preserve"> $C15 = "S"</formula>
    </cfRule>
    <cfRule type="expression" dxfId="389" priority="357">
      <formula xml:space="preserve"> $C15 = ""</formula>
    </cfRule>
  </conditionalFormatting>
  <conditionalFormatting sqref="L12">
    <cfRule type="expression" dxfId="388" priority="350">
      <formula xml:space="preserve"> AND($J12 &lt;&gt; "",$K12 &lt;&gt; "")</formula>
    </cfRule>
  </conditionalFormatting>
  <conditionalFormatting sqref="L12">
    <cfRule type="expression" dxfId="387" priority="351">
      <formula xml:space="preserve"> $C12 = "C"</formula>
    </cfRule>
    <cfRule type="expression" dxfId="386" priority="352">
      <formula xml:space="preserve"> $C12 = "S"</formula>
    </cfRule>
    <cfRule type="expression" dxfId="385" priority="353">
      <formula xml:space="preserve"> $C12 = ""</formula>
    </cfRule>
  </conditionalFormatting>
  <conditionalFormatting sqref="L10">
    <cfRule type="expression" dxfId="384" priority="346">
      <formula xml:space="preserve"> AND($J10 &lt;&gt; "",$K10 &lt;&gt; "")</formula>
    </cfRule>
  </conditionalFormatting>
  <conditionalFormatting sqref="L10">
    <cfRule type="expression" dxfId="383" priority="347">
      <formula xml:space="preserve"> $C10 = "C"</formula>
    </cfRule>
    <cfRule type="expression" dxfId="382" priority="348">
      <formula xml:space="preserve"> $C10 = "S"</formula>
    </cfRule>
    <cfRule type="expression" dxfId="381" priority="349">
      <formula xml:space="preserve"> $C10 = ""</formula>
    </cfRule>
  </conditionalFormatting>
  <conditionalFormatting sqref="L44">
    <cfRule type="expression" dxfId="380" priority="342">
      <formula xml:space="preserve"> AND($J44 &lt;&gt; "",$K44 &lt;&gt; "")</formula>
    </cfRule>
  </conditionalFormatting>
  <conditionalFormatting sqref="L44">
    <cfRule type="expression" dxfId="379" priority="343">
      <formula xml:space="preserve"> $C44 = "C"</formula>
    </cfRule>
    <cfRule type="expression" dxfId="378" priority="344">
      <formula xml:space="preserve"> $C44 = "S"</formula>
    </cfRule>
    <cfRule type="expression" dxfId="377" priority="345">
      <formula xml:space="preserve"> $C44 = ""</formula>
    </cfRule>
  </conditionalFormatting>
  <conditionalFormatting sqref="L41">
    <cfRule type="expression" dxfId="376" priority="338">
      <formula xml:space="preserve"> AND($J41 &lt;&gt; "",$K41 &lt;&gt; "")</formula>
    </cfRule>
  </conditionalFormatting>
  <conditionalFormatting sqref="L41">
    <cfRule type="expression" dxfId="375" priority="339">
      <formula xml:space="preserve"> $C41 = "C"</formula>
    </cfRule>
    <cfRule type="expression" dxfId="374" priority="340">
      <formula xml:space="preserve"> $C41 = "S"</formula>
    </cfRule>
    <cfRule type="expression" dxfId="373" priority="341">
      <formula xml:space="preserve"> $C41 = ""</formula>
    </cfRule>
  </conditionalFormatting>
  <conditionalFormatting sqref="L31">
    <cfRule type="expression" dxfId="372" priority="330">
      <formula xml:space="preserve"> AND($J31 &lt;&gt; "",$K31 &lt;&gt; "")</formula>
    </cfRule>
  </conditionalFormatting>
  <conditionalFormatting sqref="L31">
    <cfRule type="expression" dxfId="371" priority="331">
      <formula xml:space="preserve"> $C31 = "C"</formula>
    </cfRule>
    <cfRule type="expression" dxfId="370" priority="332">
      <formula xml:space="preserve"> $C31 = "S"</formula>
    </cfRule>
    <cfRule type="expression" dxfId="369" priority="333">
      <formula xml:space="preserve"> $C31 = ""</formula>
    </cfRule>
  </conditionalFormatting>
  <conditionalFormatting sqref="L28">
    <cfRule type="expression" dxfId="368" priority="326">
      <formula xml:space="preserve"> AND($J28 &lt;&gt; "",$K28 &lt;&gt; "")</formula>
    </cfRule>
  </conditionalFormatting>
  <conditionalFormatting sqref="L28">
    <cfRule type="expression" dxfId="367" priority="327">
      <formula xml:space="preserve"> $C28 = "C"</formula>
    </cfRule>
    <cfRule type="expression" dxfId="366" priority="328">
      <formula xml:space="preserve"> $C28 = "S"</formula>
    </cfRule>
    <cfRule type="expression" dxfId="365" priority="329">
      <formula xml:space="preserve"> $C28 = ""</formula>
    </cfRule>
  </conditionalFormatting>
  <conditionalFormatting sqref="L25">
    <cfRule type="expression" dxfId="364" priority="322">
      <formula xml:space="preserve"> AND($J25 &lt;&gt; "",$K25 &lt;&gt; "")</formula>
    </cfRule>
  </conditionalFormatting>
  <conditionalFormatting sqref="L25">
    <cfRule type="expression" dxfId="363" priority="323">
      <formula xml:space="preserve"> $C25 = "C"</formula>
    </cfRule>
    <cfRule type="expression" dxfId="362" priority="324">
      <formula xml:space="preserve"> $C25 = "S"</formula>
    </cfRule>
    <cfRule type="expression" dxfId="361" priority="325">
      <formula xml:space="preserve"> $C25 = ""</formula>
    </cfRule>
  </conditionalFormatting>
  <conditionalFormatting sqref="L22">
    <cfRule type="expression" dxfId="360" priority="318">
      <formula xml:space="preserve"> AND($J22 &lt;&gt; "",$K22 &lt;&gt; "")</formula>
    </cfRule>
  </conditionalFormatting>
  <conditionalFormatting sqref="L22">
    <cfRule type="expression" dxfId="359" priority="319">
      <formula xml:space="preserve"> $C22 = "C"</formula>
    </cfRule>
    <cfRule type="expression" dxfId="358" priority="320">
      <formula xml:space="preserve"> $C22 = "S"</formula>
    </cfRule>
    <cfRule type="expression" dxfId="357" priority="321">
      <formula xml:space="preserve"> $C22 = ""</formula>
    </cfRule>
  </conditionalFormatting>
  <conditionalFormatting sqref="L19">
    <cfRule type="expression" dxfId="356" priority="314">
      <formula xml:space="preserve"> AND($J19 &lt;&gt; "",$K19 &lt;&gt; "")</formula>
    </cfRule>
  </conditionalFormatting>
  <conditionalFormatting sqref="L19">
    <cfRule type="expression" dxfId="355" priority="315">
      <formula xml:space="preserve"> $C19 = "C"</formula>
    </cfRule>
    <cfRule type="expression" dxfId="354" priority="316">
      <formula xml:space="preserve"> $C19 = "S"</formula>
    </cfRule>
    <cfRule type="expression" dxfId="353" priority="317">
      <formula xml:space="preserve"> $C19 = ""</formula>
    </cfRule>
  </conditionalFormatting>
  <conditionalFormatting sqref="L16">
    <cfRule type="expression" dxfId="352" priority="310">
      <formula xml:space="preserve"> AND($J16 &lt;&gt; "",$K16 &lt;&gt; "")</formula>
    </cfRule>
  </conditionalFormatting>
  <conditionalFormatting sqref="L16">
    <cfRule type="expression" dxfId="351" priority="311">
      <formula xml:space="preserve"> $C16 = "C"</formula>
    </cfRule>
    <cfRule type="expression" dxfId="350" priority="312">
      <formula xml:space="preserve"> $C16 = "S"</formula>
    </cfRule>
    <cfRule type="expression" dxfId="349" priority="313">
      <formula xml:space="preserve"> $C16 = ""</formula>
    </cfRule>
  </conditionalFormatting>
  <conditionalFormatting sqref="L13">
    <cfRule type="expression" dxfId="348" priority="306">
      <formula xml:space="preserve"> AND($J13 &lt;&gt; "",$K13 &lt;&gt; "")</formula>
    </cfRule>
  </conditionalFormatting>
  <conditionalFormatting sqref="L13">
    <cfRule type="expression" dxfId="347" priority="307">
      <formula xml:space="preserve"> $C13 = "C"</formula>
    </cfRule>
    <cfRule type="expression" dxfId="346" priority="308">
      <formula xml:space="preserve"> $C13 = "S"</formula>
    </cfRule>
    <cfRule type="expression" dxfId="345" priority="309">
      <formula xml:space="preserve"> $C13 = ""</formula>
    </cfRule>
  </conditionalFormatting>
  <conditionalFormatting sqref="J45:K45">
    <cfRule type="expression" dxfId="344" priority="292">
      <formula xml:space="preserve"> AND($J45 &lt;&gt; "",$K45 &lt;&gt; "")</formula>
    </cfRule>
  </conditionalFormatting>
  <conditionalFormatting sqref="N45">
    <cfRule type="cellIs" dxfId="343" priority="296" operator="equal">
      <formula>"CHANG MEC"</formula>
    </cfRule>
    <cfRule type="cellIs" dxfId="342" priority="297" operator="equal">
      <formula>"TOUR"</formula>
    </cfRule>
    <cfRule type="cellIs" dxfId="341" priority="298" operator="equal">
      <formula>"REGL ELEC"</formula>
    </cfRule>
    <cfRule type="cellIs" dxfId="340" priority="299" operator="equal">
      <formula>"REGL MEC"</formula>
    </cfRule>
    <cfRule type="cellIs" dxfId="339" priority="300" operator="equal">
      <formula>"PROD"</formula>
    </cfRule>
    <cfRule type="cellIs" dxfId="338" priority="301" operator="equal">
      <formula>"GR"</formula>
    </cfRule>
    <cfRule type="cellIs" dxfId="337" priority="302" operator="equal">
      <formula>"CTRL ELEC"</formula>
    </cfRule>
    <cfRule type="cellIs" dxfId="336" priority="303" operator="equal">
      <formula>"CTRL MEC"</formula>
    </cfRule>
  </conditionalFormatting>
  <conditionalFormatting sqref="A45:K45 N45:R45 T45:AD45">
    <cfRule type="expression" dxfId="335" priority="293">
      <formula xml:space="preserve"> $C45 = "C"</formula>
    </cfRule>
    <cfRule type="expression" dxfId="334" priority="294">
      <formula xml:space="preserve"> $C45 = "S"</formula>
    </cfRule>
    <cfRule type="expression" dxfId="333" priority="295">
      <formula xml:space="preserve"> $C45 = ""</formula>
    </cfRule>
  </conditionalFormatting>
  <conditionalFormatting sqref="I45">
    <cfRule type="duplicateValues" dxfId="332" priority="304"/>
  </conditionalFormatting>
  <conditionalFormatting sqref="H45">
    <cfRule type="duplicateValues" dxfId="331" priority="305"/>
  </conditionalFormatting>
  <conditionalFormatting sqref="M45">
    <cfRule type="expression" dxfId="330" priority="288">
      <formula xml:space="preserve"> AND($J45 &lt;&gt; "",$K45 &lt;&gt; "")</formula>
    </cfRule>
  </conditionalFormatting>
  <conditionalFormatting sqref="M45">
    <cfRule type="expression" dxfId="329" priority="289">
      <formula xml:space="preserve"> $C45 = "C"</formula>
    </cfRule>
    <cfRule type="expression" dxfId="328" priority="290">
      <formula xml:space="preserve"> $C45 = "S"</formula>
    </cfRule>
    <cfRule type="expression" dxfId="327" priority="291">
      <formula xml:space="preserve"> $C45 = ""</formula>
    </cfRule>
  </conditionalFormatting>
  <conditionalFormatting sqref="S45">
    <cfRule type="expression" dxfId="326" priority="285">
      <formula xml:space="preserve"> $C45 = "C"</formula>
    </cfRule>
    <cfRule type="expression" dxfId="325" priority="286">
      <formula xml:space="preserve"> $C45 = "S"</formula>
    </cfRule>
    <cfRule type="expression" dxfId="324" priority="287">
      <formula xml:space="preserve"> $C45 = ""</formula>
    </cfRule>
  </conditionalFormatting>
  <conditionalFormatting sqref="L45">
    <cfRule type="expression" dxfId="323" priority="281">
      <formula xml:space="preserve"> AND($J45 &lt;&gt; "",$K45 &lt;&gt; "")</formula>
    </cfRule>
  </conditionalFormatting>
  <conditionalFormatting sqref="L45">
    <cfRule type="expression" dxfId="322" priority="282">
      <formula xml:space="preserve"> $C45 = "C"</formula>
    </cfRule>
    <cfRule type="expression" dxfId="321" priority="283">
      <formula xml:space="preserve"> $C45 = "S"</formula>
    </cfRule>
    <cfRule type="expression" dxfId="320" priority="284">
      <formula xml:space="preserve"> $C45 = ""</formula>
    </cfRule>
  </conditionalFormatting>
  <conditionalFormatting sqref="J46:K46">
    <cfRule type="expression" dxfId="319" priority="267">
      <formula xml:space="preserve"> AND($J46 &lt;&gt; "",$K46 &lt;&gt; "")</formula>
    </cfRule>
  </conditionalFormatting>
  <conditionalFormatting sqref="N46">
    <cfRule type="cellIs" dxfId="318" priority="271" operator="equal">
      <formula>"CHANG MEC"</formula>
    </cfRule>
    <cfRule type="cellIs" dxfId="317" priority="272" operator="equal">
      <formula>"TOUR"</formula>
    </cfRule>
    <cfRule type="cellIs" dxfId="316" priority="273" operator="equal">
      <formula>"REGL ELEC"</formula>
    </cfRule>
    <cfRule type="cellIs" dxfId="315" priority="274" operator="equal">
      <formula>"REGL MEC"</formula>
    </cfRule>
    <cfRule type="cellIs" dxfId="314" priority="275" operator="equal">
      <formula>"PROD"</formula>
    </cfRule>
    <cfRule type="cellIs" dxfId="313" priority="276" operator="equal">
      <formula>"GR"</formula>
    </cfRule>
    <cfRule type="cellIs" dxfId="312" priority="277" operator="equal">
      <formula>"CTRL ELEC"</formula>
    </cfRule>
    <cfRule type="cellIs" dxfId="311" priority="278" operator="equal">
      <formula>"CTRL MEC"</formula>
    </cfRule>
  </conditionalFormatting>
  <conditionalFormatting sqref="A46:K46 N46:R46 T46:AD46">
    <cfRule type="expression" dxfId="310" priority="268">
      <formula xml:space="preserve"> $C46 = "C"</formula>
    </cfRule>
    <cfRule type="expression" dxfId="309" priority="269">
      <formula xml:space="preserve"> $C46 = "S"</formula>
    </cfRule>
    <cfRule type="expression" dxfId="308" priority="270">
      <formula xml:space="preserve"> $C46 = ""</formula>
    </cfRule>
  </conditionalFormatting>
  <conditionalFormatting sqref="I46">
    <cfRule type="duplicateValues" dxfId="307" priority="279"/>
  </conditionalFormatting>
  <conditionalFormatting sqref="H46">
    <cfRule type="duplicateValues" dxfId="306" priority="280"/>
  </conditionalFormatting>
  <conditionalFormatting sqref="M46">
    <cfRule type="expression" dxfId="305" priority="263">
      <formula xml:space="preserve"> AND($J46 &lt;&gt; "",$K46 &lt;&gt; "")</formula>
    </cfRule>
  </conditionalFormatting>
  <conditionalFormatting sqref="M46">
    <cfRule type="expression" dxfId="304" priority="264">
      <formula xml:space="preserve"> $C46 = "C"</formula>
    </cfRule>
    <cfRule type="expression" dxfId="303" priority="265">
      <formula xml:space="preserve"> $C46 = "S"</formula>
    </cfRule>
    <cfRule type="expression" dxfId="302" priority="266">
      <formula xml:space="preserve"> $C46 = ""</formula>
    </cfRule>
  </conditionalFormatting>
  <conditionalFormatting sqref="S46">
    <cfRule type="expression" dxfId="301" priority="260">
      <formula xml:space="preserve"> $C46 = "C"</formula>
    </cfRule>
    <cfRule type="expression" dxfId="300" priority="261">
      <formula xml:space="preserve"> $C46 = "S"</formula>
    </cfRule>
    <cfRule type="expression" dxfId="299" priority="262">
      <formula xml:space="preserve"> $C46 = ""</formula>
    </cfRule>
  </conditionalFormatting>
  <conditionalFormatting sqref="L46">
    <cfRule type="expression" dxfId="298" priority="256">
      <formula xml:space="preserve"> AND($J46 &lt;&gt; "",$K46 &lt;&gt; "")</formula>
    </cfRule>
  </conditionalFormatting>
  <conditionalFormatting sqref="L46">
    <cfRule type="expression" dxfId="297" priority="257">
      <formula xml:space="preserve"> $C46 = "C"</formula>
    </cfRule>
    <cfRule type="expression" dxfId="296" priority="258">
      <formula xml:space="preserve"> $C46 = "S"</formula>
    </cfRule>
    <cfRule type="expression" dxfId="295" priority="259">
      <formula xml:space="preserve"> $C46 = ""</formula>
    </cfRule>
  </conditionalFormatting>
  <conditionalFormatting sqref="J47:K47">
    <cfRule type="expression" dxfId="294" priority="242">
      <formula xml:space="preserve"> AND($J47 &lt;&gt; "",$K47 &lt;&gt; "")</formula>
    </cfRule>
  </conditionalFormatting>
  <conditionalFormatting sqref="N47">
    <cfRule type="cellIs" dxfId="293" priority="246" operator="equal">
      <formula>"CHANG MEC"</formula>
    </cfRule>
    <cfRule type="cellIs" dxfId="292" priority="247" operator="equal">
      <formula>"TOUR"</formula>
    </cfRule>
    <cfRule type="cellIs" dxfId="291" priority="248" operator="equal">
      <formula>"REGL ELEC"</formula>
    </cfRule>
    <cfRule type="cellIs" dxfId="290" priority="249" operator="equal">
      <formula>"REGL MEC"</formula>
    </cfRule>
    <cfRule type="cellIs" dxfId="289" priority="250" operator="equal">
      <formula>"PROD"</formula>
    </cfRule>
    <cfRule type="cellIs" dxfId="288" priority="251" operator="equal">
      <formula>"GR"</formula>
    </cfRule>
    <cfRule type="cellIs" dxfId="287" priority="252" operator="equal">
      <formula>"CTRL ELEC"</formula>
    </cfRule>
    <cfRule type="cellIs" dxfId="286" priority="253" operator="equal">
      <formula>"CTRL MEC"</formula>
    </cfRule>
  </conditionalFormatting>
  <conditionalFormatting sqref="A47:K47 N47:R47 T47:AD47">
    <cfRule type="expression" dxfId="285" priority="243">
      <formula xml:space="preserve"> $C47 = "C"</formula>
    </cfRule>
    <cfRule type="expression" dxfId="284" priority="244">
      <formula xml:space="preserve"> $C47 = "S"</formula>
    </cfRule>
    <cfRule type="expression" dxfId="283" priority="245">
      <formula xml:space="preserve"> $C47 = ""</formula>
    </cfRule>
  </conditionalFormatting>
  <conditionalFormatting sqref="I47">
    <cfRule type="duplicateValues" dxfId="282" priority="254"/>
  </conditionalFormatting>
  <conditionalFormatting sqref="H47">
    <cfRule type="duplicateValues" dxfId="281" priority="255"/>
  </conditionalFormatting>
  <conditionalFormatting sqref="M47">
    <cfRule type="expression" dxfId="280" priority="238">
      <formula xml:space="preserve"> AND($J47 &lt;&gt; "",$K47 &lt;&gt; "")</formula>
    </cfRule>
  </conditionalFormatting>
  <conditionalFormatting sqref="M47">
    <cfRule type="expression" dxfId="279" priority="239">
      <formula xml:space="preserve"> $C47 = "C"</formula>
    </cfRule>
    <cfRule type="expression" dxfId="278" priority="240">
      <formula xml:space="preserve"> $C47 = "S"</formula>
    </cfRule>
    <cfRule type="expression" dxfId="277" priority="241">
      <formula xml:space="preserve"> $C47 = ""</formula>
    </cfRule>
  </conditionalFormatting>
  <conditionalFormatting sqref="S47">
    <cfRule type="expression" dxfId="276" priority="235">
      <formula xml:space="preserve"> $C47 = "C"</formula>
    </cfRule>
    <cfRule type="expression" dxfId="275" priority="236">
      <formula xml:space="preserve"> $C47 = "S"</formula>
    </cfRule>
    <cfRule type="expression" dxfId="274" priority="237">
      <formula xml:space="preserve"> $C47 = ""</formula>
    </cfRule>
  </conditionalFormatting>
  <conditionalFormatting sqref="L47">
    <cfRule type="expression" dxfId="273" priority="231">
      <formula xml:space="preserve"> AND($J47 &lt;&gt; "",$K47 &lt;&gt; "")</formula>
    </cfRule>
  </conditionalFormatting>
  <conditionalFormatting sqref="L47">
    <cfRule type="expression" dxfId="272" priority="232">
      <formula xml:space="preserve"> $C47 = "C"</formula>
    </cfRule>
    <cfRule type="expression" dxfId="271" priority="233">
      <formula xml:space="preserve"> $C47 = "S"</formula>
    </cfRule>
    <cfRule type="expression" dxfId="270" priority="234">
      <formula xml:space="preserve"> $C47 = ""</formula>
    </cfRule>
  </conditionalFormatting>
  <conditionalFormatting sqref="J48:K48">
    <cfRule type="expression" dxfId="269" priority="217">
      <formula xml:space="preserve"> AND($J48 &lt;&gt; "",$K48 &lt;&gt; "")</formula>
    </cfRule>
  </conditionalFormatting>
  <conditionalFormatting sqref="N48">
    <cfRule type="cellIs" dxfId="268" priority="221" operator="equal">
      <formula>"CHANG MEC"</formula>
    </cfRule>
    <cfRule type="cellIs" dxfId="267" priority="222" operator="equal">
      <formula>"TOUR"</formula>
    </cfRule>
    <cfRule type="cellIs" dxfId="266" priority="223" operator="equal">
      <formula>"REGL ELEC"</formula>
    </cfRule>
    <cfRule type="cellIs" dxfId="265" priority="224" operator="equal">
      <formula>"REGL MEC"</formula>
    </cfRule>
    <cfRule type="cellIs" dxfId="264" priority="225" operator="equal">
      <formula>"PROD"</formula>
    </cfRule>
    <cfRule type="cellIs" dxfId="263" priority="226" operator="equal">
      <formula>"GR"</formula>
    </cfRule>
    <cfRule type="cellIs" dxfId="262" priority="227" operator="equal">
      <formula>"CTRL ELEC"</formula>
    </cfRule>
    <cfRule type="cellIs" dxfId="261" priority="228" operator="equal">
      <formula>"CTRL MEC"</formula>
    </cfRule>
  </conditionalFormatting>
  <conditionalFormatting sqref="A48:K48 N48:R48 T48:AD48">
    <cfRule type="expression" dxfId="260" priority="218">
      <formula xml:space="preserve"> $C48 = "C"</formula>
    </cfRule>
    <cfRule type="expression" dxfId="259" priority="219">
      <formula xml:space="preserve"> $C48 = "S"</formula>
    </cfRule>
    <cfRule type="expression" dxfId="258" priority="220">
      <formula xml:space="preserve"> $C48 = ""</formula>
    </cfRule>
  </conditionalFormatting>
  <conditionalFormatting sqref="I48">
    <cfRule type="duplicateValues" dxfId="257" priority="229"/>
  </conditionalFormatting>
  <conditionalFormatting sqref="H48">
    <cfRule type="duplicateValues" dxfId="256" priority="230"/>
  </conditionalFormatting>
  <conditionalFormatting sqref="M48">
    <cfRule type="expression" dxfId="255" priority="213">
      <formula xml:space="preserve"> AND($J48 &lt;&gt; "",$K48 &lt;&gt; "")</formula>
    </cfRule>
  </conditionalFormatting>
  <conditionalFormatting sqref="M48">
    <cfRule type="expression" dxfId="254" priority="214">
      <formula xml:space="preserve"> $C48 = "C"</formula>
    </cfRule>
    <cfRule type="expression" dxfId="253" priority="215">
      <formula xml:space="preserve"> $C48 = "S"</formula>
    </cfRule>
    <cfRule type="expression" dxfId="252" priority="216">
      <formula xml:space="preserve"> $C48 = ""</formula>
    </cfRule>
  </conditionalFormatting>
  <conditionalFormatting sqref="S48">
    <cfRule type="expression" dxfId="251" priority="210">
      <formula xml:space="preserve"> $C48 = "C"</formula>
    </cfRule>
    <cfRule type="expression" dxfId="250" priority="211">
      <formula xml:space="preserve"> $C48 = "S"</formula>
    </cfRule>
    <cfRule type="expression" dxfId="249" priority="212">
      <formula xml:space="preserve"> $C48 = ""</formula>
    </cfRule>
  </conditionalFormatting>
  <conditionalFormatting sqref="L48">
    <cfRule type="expression" dxfId="248" priority="206">
      <formula xml:space="preserve"> AND($J48 &lt;&gt; "",$K48 &lt;&gt; "")</formula>
    </cfRule>
  </conditionalFormatting>
  <conditionalFormatting sqref="L48">
    <cfRule type="expression" dxfId="247" priority="207">
      <formula xml:space="preserve"> $C48 = "C"</formula>
    </cfRule>
    <cfRule type="expression" dxfId="246" priority="208">
      <formula xml:space="preserve"> $C48 = "S"</formula>
    </cfRule>
    <cfRule type="expression" dxfId="245" priority="209">
      <formula xml:space="preserve"> $C48 = ""</formula>
    </cfRule>
  </conditionalFormatting>
  <conditionalFormatting sqref="J49:K49">
    <cfRule type="expression" dxfId="244" priority="192">
      <formula xml:space="preserve"> AND($J49 &lt;&gt; "",$K49 &lt;&gt; "")</formula>
    </cfRule>
  </conditionalFormatting>
  <conditionalFormatting sqref="N49">
    <cfRule type="cellIs" dxfId="243" priority="196" operator="equal">
      <formula>"CHANG MEC"</formula>
    </cfRule>
    <cfRule type="cellIs" dxfId="242" priority="197" operator="equal">
      <formula>"TOUR"</formula>
    </cfRule>
    <cfRule type="cellIs" dxfId="241" priority="198" operator="equal">
      <formula>"REGL ELEC"</formula>
    </cfRule>
    <cfRule type="cellIs" dxfId="240" priority="199" operator="equal">
      <formula>"REGL MEC"</formula>
    </cfRule>
    <cfRule type="cellIs" dxfId="239" priority="200" operator="equal">
      <formula>"PROD"</formula>
    </cfRule>
    <cfRule type="cellIs" dxfId="238" priority="201" operator="equal">
      <formula>"GR"</formula>
    </cfRule>
    <cfRule type="cellIs" dxfId="237" priority="202" operator="equal">
      <formula>"CTRL ELEC"</formula>
    </cfRule>
    <cfRule type="cellIs" dxfId="236" priority="203" operator="equal">
      <formula>"CTRL MEC"</formula>
    </cfRule>
  </conditionalFormatting>
  <conditionalFormatting sqref="A49:K49 N49:R49 T49:AD49">
    <cfRule type="expression" dxfId="235" priority="193">
      <formula xml:space="preserve"> $C49 = "C"</formula>
    </cfRule>
    <cfRule type="expression" dxfId="234" priority="194">
      <formula xml:space="preserve"> $C49 = "S"</formula>
    </cfRule>
    <cfRule type="expression" dxfId="233" priority="195">
      <formula xml:space="preserve"> $C49 = ""</formula>
    </cfRule>
  </conditionalFormatting>
  <conditionalFormatting sqref="I49">
    <cfRule type="duplicateValues" dxfId="232" priority="204"/>
  </conditionalFormatting>
  <conditionalFormatting sqref="H49">
    <cfRule type="duplicateValues" dxfId="231" priority="205"/>
  </conditionalFormatting>
  <conditionalFormatting sqref="M49">
    <cfRule type="expression" dxfId="230" priority="188">
      <formula xml:space="preserve"> AND($J49 &lt;&gt; "",$K49 &lt;&gt; "")</formula>
    </cfRule>
  </conditionalFormatting>
  <conditionalFormatting sqref="M49">
    <cfRule type="expression" dxfId="229" priority="189">
      <formula xml:space="preserve"> $C49 = "C"</formula>
    </cfRule>
    <cfRule type="expression" dxfId="228" priority="190">
      <formula xml:space="preserve"> $C49 = "S"</formula>
    </cfRule>
    <cfRule type="expression" dxfId="227" priority="191">
      <formula xml:space="preserve"> $C49 = ""</formula>
    </cfRule>
  </conditionalFormatting>
  <conditionalFormatting sqref="S49">
    <cfRule type="expression" dxfId="226" priority="185">
      <formula xml:space="preserve"> $C49 = "C"</formula>
    </cfRule>
    <cfRule type="expression" dxfId="225" priority="186">
      <formula xml:space="preserve"> $C49 = "S"</formula>
    </cfRule>
    <cfRule type="expression" dxfId="224" priority="187">
      <formula xml:space="preserve"> $C49 = ""</formula>
    </cfRule>
  </conditionalFormatting>
  <conditionalFormatting sqref="L49">
    <cfRule type="expression" dxfId="223" priority="181">
      <formula xml:space="preserve"> AND($J49 &lt;&gt; "",$K49 &lt;&gt; "")</formula>
    </cfRule>
  </conditionalFormatting>
  <conditionalFormatting sqref="L49">
    <cfRule type="expression" dxfId="222" priority="182">
      <formula xml:space="preserve"> $C49 = "C"</formula>
    </cfRule>
    <cfRule type="expression" dxfId="221" priority="183">
      <formula xml:space="preserve"> $C49 = "S"</formula>
    </cfRule>
    <cfRule type="expression" dxfId="220" priority="184">
      <formula xml:space="preserve"> $C49 = ""</formula>
    </cfRule>
  </conditionalFormatting>
  <conditionalFormatting sqref="J50:K50">
    <cfRule type="expression" dxfId="219" priority="167">
      <formula xml:space="preserve"> AND($J50 &lt;&gt; "",$K50 &lt;&gt; "")</formula>
    </cfRule>
  </conditionalFormatting>
  <conditionalFormatting sqref="N50">
    <cfRule type="cellIs" dxfId="218" priority="171" operator="equal">
      <formula>"CHANG MEC"</formula>
    </cfRule>
    <cfRule type="cellIs" dxfId="217" priority="172" operator="equal">
      <formula>"TOUR"</formula>
    </cfRule>
    <cfRule type="cellIs" dxfId="216" priority="173" operator="equal">
      <formula>"REGL ELEC"</formula>
    </cfRule>
    <cfRule type="cellIs" dxfId="215" priority="174" operator="equal">
      <formula>"REGL MEC"</formula>
    </cfRule>
    <cfRule type="cellIs" dxfId="214" priority="175" operator="equal">
      <formula>"PROD"</formula>
    </cfRule>
    <cfRule type="cellIs" dxfId="213" priority="176" operator="equal">
      <formula>"GR"</formula>
    </cfRule>
    <cfRule type="cellIs" dxfId="212" priority="177" operator="equal">
      <formula>"CTRL ELEC"</formula>
    </cfRule>
    <cfRule type="cellIs" dxfId="211" priority="178" operator="equal">
      <formula>"CTRL MEC"</formula>
    </cfRule>
  </conditionalFormatting>
  <conditionalFormatting sqref="A50:K50 N50:R50 T50:AD50">
    <cfRule type="expression" dxfId="210" priority="168">
      <formula xml:space="preserve"> $C50 = "C"</formula>
    </cfRule>
    <cfRule type="expression" dxfId="209" priority="169">
      <formula xml:space="preserve"> $C50 = "S"</formula>
    </cfRule>
    <cfRule type="expression" dxfId="208" priority="170">
      <formula xml:space="preserve"> $C50 = ""</formula>
    </cfRule>
  </conditionalFormatting>
  <conditionalFormatting sqref="I50">
    <cfRule type="duplicateValues" dxfId="207" priority="179"/>
  </conditionalFormatting>
  <conditionalFormatting sqref="H50">
    <cfRule type="duplicateValues" dxfId="206" priority="180"/>
  </conditionalFormatting>
  <conditionalFormatting sqref="M50">
    <cfRule type="expression" dxfId="205" priority="163">
      <formula xml:space="preserve"> AND($J50 &lt;&gt; "",$K50 &lt;&gt; "")</formula>
    </cfRule>
  </conditionalFormatting>
  <conditionalFormatting sqref="M50">
    <cfRule type="expression" dxfId="204" priority="164">
      <formula xml:space="preserve"> $C50 = "C"</formula>
    </cfRule>
    <cfRule type="expression" dxfId="203" priority="165">
      <formula xml:space="preserve"> $C50 = "S"</formula>
    </cfRule>
    <cfRule type="expression" dxfId="202" priority="166">
      <formula xml:space="preserve"> $C50 = ""</formula>
    </cfRule>
  </conditionalFormatting>
  <conditionalFormatting sqref="S50">
    <cfRule type="expression" dxfId="201" priority="160">
      <formula xml:space="preserve"> $C50 = "C"</formula>
    </cfRule>
    <cfRule type="expression" dxfId="200" priority="161">
      <formula xml:space="preserve"> $C50 = "S"</formula>
    </cfRule>
    <cfRule type="expression" dxfId="199" priority="162">
      <formula xml:space="preserve"> $C50 = ""</formula>
    </cfRule>
  </conditionalFormatting>
  <conditionalFormatting sqref="L50">
    <cfRule type="expression" dxfId="198" priority="156">
      <formula xml:space="preserve"> AND($J50 &lt;&gt; "",$K50 &lt;&gt; "")</formula>
    </cfRule>
  </conditionalFormatting>
  <conditionalFormatting sqref="L50">
    <cfRule type="expression" dxfId="197" priority="157">
      <formula xml:space="preserve"> $C50 = "C"</formula>
    </cfRule>
    <cfRule type="expression" dxfId="196" priority="158">
      <formula xml:space="preserve"> $C50 = "S"</formula>
    </cfRule>
    <cfRule type="expression" dxfId="195" priority="159">
      <formula xml:space="preserve"> $C50 = ""</formula>
    </cfRule>
  </conditionalFormatting>
  <conditionalFormatting sqref="J32:L32">
    <cfRule type="expression" dxfId="194" priority="142">
      <formula xml:space="preserve"> AND($J32 &lt;&gt; "",$K32 &lt;&gt; "")</formula>
    </cfRule>
  </conditionalFormatting>
  <conditionalFormatting sqref="N32">
    <cfRule type="cellIs" dxfId="193" priority="146" operator="equal">
      <formula>"CHANG MEC"</formula>
    </cfRule>
    <cfRule type="cellIs" dxfId="192" priority="147" operator="equal">
      <formula>"TOUR"</formula>
    </cfRule>
    <cfRule type="cellIs" dxfId="191" priority="148" operator="equal">
      <formula>"REGL ELEC"</formula>
    </cfRule>
    <cfRule type="cellIs" dxfId="190" priority="149" operator="equal">
      <formula>"REGL MEC"</formula>
    </cfRule>
    <cfRule type="cellIs" dxfId="189" priority="150" operator="equal">
      <formula>"PROD"</formula>
    </cfRule>
    <cfRule type="cellIs" dxfId="188" priority="151" operator="equal">
      <formula>"GR"</formula>
    </cfRule>
    <cfRule type="cellIs" dxfId="187" priority="152" operator="equal">
      <formula>"CTRL ELEC"</formula>
    </cfRule>
    <cfRule type="cellIs" dxfId="186" priority="153" operator="equal">
      <formula>"CTRL MEC"</formula>
    </cfRule>
  </conditionalFormatting>
  <conditionalFormatting sqref="N32:R32 T32:AD32 A32:L32">
    <cfRule type="expression" dxfId="185" priority="143">
      <formula xml:space="preserve"> $C32 = "C"</formula>
    </cfRule>
    <cfRule type="expression" dxfId="184" priority="144">
      <formula xml:space="preserve"> $C32 = "S"</formula>
    </cfRule>
    <cfRule type="expression" dxfId="183" priority="145">
      <formula xml:space="preserve"> $C32 = ""</formula>
    </cfRule>
  </conditionalFormatting>
  <conditionalFormatting sqref="I32">
    <cfRule type="duplicateValues" dxfId="182" priority="154"/>
  </conditionalFormatting>
  <conditionalFormatting sqref="H32">
    <cfRule type="duplicateValues" dxfId="181" priority="155"/>
  </conditionalFormatting>
  <conditionalFormatting sqref="M32">
    <cfRule type="expression" dxfId="180" priority="138">
      <formula xml:space="preserve"> AND($J32 &lt;&gt; "",$K32 &lt;&gt; "")</formula>
    </cfRule>
  </conditionalFormatting>
  <conditionalFormatting sqref="M32">
    <cfRule type="expression" dxfId="179" priority="139">
      <formula xml:space="preserve"> $C32 = "C"</formula>
    </cfRule>
    <cfRule type="expression" dxfId="178" priority="140">
      <formula xml:space="preserve"> $C32 = "S"</formula>
    </cfRule>
    <cfRule type="expression" dxfId="177" priority="141">
      <formula xml:space="preserve"> $C32 = ""</formula>
    </cfRule>
  </conditionalFormatting>
  <conditionalFormatting sqref="S32">
    <cfRule type="expression" dxfId="176" priority="135">
      <formula xml:space="preserve"> $C32 = "C"</formula>
    </cfRule>
    <cfRule type="expression" dxfId="175" priority="136">
      <formula xml:space="preserve"> $C32 = "S"</formula>
    </cfRule>
    <cfRule type="expression" dxfId="174" priority="137">
      <formula xml:space="preserve"> $C32 = ""</formula>
    </cfRule>
  </conditionalFormatting>
  <conditionalFormatting sqref="J33:L33">
    <cfRule type="expression" dxfId="173" priority="121">
      <formula xml:space="preserve"> AND($J33 &lt;&gt; "",$K33 &lt;&gt; "")</formula>
    </cfRule>
  </conditionalFormatting>
  <conditionalFormatting sqref="N33">
    <cfRule type="cellIs" dxfId="172" priority="125" operator="equal">
      <formula>"CHANG MEC"</formula>
    </cfRule>
    <cfRule type="cellIs" dxfId="171" priority="126" operator="equal">
      <formula>"TOUR"</formula>
    </cfRule>
    <cfRule type="cellIs" dxfId="170" priority="127" operator="equal">
      <formula>"REGL ELEC"</formula>
    </cfRule>
    <cfRule type="cellIs" dxfId="169" priority="128" operator="equal">
      <formula>"REGL MEC"</formula>
    </cfRule>
    <cfRule type="cellIs" dxfId="168" priority="129" operator="equal">
      <formula>"PROD"</formula>
    </cfRule>
    <cfRule type="cellIs" dxfId="167" priority="130" operator="equal">
      <formula>"GR"</formula>
    </cfRule>
    <cfRule type="cellIs" dxfId="166" priority="131" operator="equal">
      <formula>"CTRL ELEC"</formula>
    </cfRule>
    <cfRule type="cellIs" dxfId="165" priority="132" operator="equal">
      <formula>"CTRL MEC"</formula>
    </cfRule>
  </conditionalFormatting>
  <conditionalFormatting sqref="N33:R33 T33:AD33 A33:C33 E33:L33">
    <cfRule type="expression" dxfId="164" priority="122">
      <formula xml:space="preserve"> $C33 = "C"</formula>
    </cfRule>
    <cfRule type="expression" dxfId="163" priority="123">
      <formula xml:space="preserve"> $C33 = "S"</formula>
    </cfRule>
    <cfRule type="expression" dxfId="162" priority="124">
      <formula xml:space="preserve"> $C33 = ""</formula>
    </cfRule>
  </conditionalFormatting>
  <conditionalFormatting sqref="I33">
    <cfRule type="duplicateValues" dxfId="161" priority="133"/>
  </conditionalFormatting>
  <conditionalFormatting sqref="H33">
    <cfRule type="duplicateValues" dxfId="160" priority="134"/>
  </conditionalFormatting>
  <conditionalFormatting sqref="S33">
    <cfRule type="expression" dxfId="159" priority="118">
      <formula xml:space="preserve"> $C33 = "C"</formula>
    </cfRule>
    <cfRule type="expression" dxfId="158" priority="119">
      <formula xml:space="preserve"> $C33 = "S"</formula>
    </cfRule>
    <cfRule type="expression" dxfId="157" priority="120">
      <formula xml:space="preserve"> $C33 = ""</formula>
    </cfRule>
  </conditionalFormatting>
  <conditionalFormatting sqref="M33">
    <cfRule type="expression" dxfId="156" priority="114">
      <formula xml:space="preserve"> AND($J33 &lt;&gt; "",$K33 &lt;&gt; "")</formula>
    </cfRule>
  </conditionalFormatting>
  <conditionalFormatting sqref="M33">
    <cfRule type="expression" dxfId="155" priority="115">
      <formula xml:space="preserve"> $C33 = "C"</formula>
    </cfRule>
    <cfRule type="expression" dxfId="154" priority="116">
      <formula xml:space="preserve"> $C33 = "S"</formula>
    </cfRule>
    <cfRule type="expression" dxfId="153" priority="117">
      <formula xml:space="preserve"> $C33 = ""</formula>
    </cfRule>
  </conditionalFormatting>
  <conditionalFormatting sqref="J34:L34">
    <cfRule type="expression" dxfId="152" priority="100">
      <formula xml:space="preserve"> AND($J34 &lt;&gt; "",$K34 &lt;&gt; "")</formula>
    </cfRule>
  </conditionalFormatting>
  <conditionalFormatting sqref="N34">
    <cfRule type="cellIs" dxfId="151" priority="104" operator="equal">
      <formula>"CHANG MEC"</formula>
    </cfRule>
    <cfRule type="cellIs" dxfId="150" priority="105" operator="equal">
      <formula>"TOUR"</formula>
    </cfRule>
    <cfRule type="cellIs" dxfId="149" priority="106" operator="equal">
      <formula>"REGL ELEC"</formula>
    </cfRule>
    <cfRule type="cellIs" dxfId="148" priority="107" operator="equal">
      <formula>"REGL MEC"</formula>
    </cfRule>
    <cfRule type="cellIs" dxfId="147" priority="108" operator="equal">
      <formula>"PROD"</formula>
    </cfRule>
    <cfRule type="cellIs" dxfId="146" priority="109" operator="equal">
      <formula>"GR"</formula>
    </cfRule>
    <cfRule type="cellIs" dxfId="145" priority="110" operator="equal">
      <formula>"CTRL ELEC"</formula>
    </cfRule>
    <cfRule type="cellIs" dxfId="144" priority="111" operator="equal">
      <formula>"CTRL MEC"</formula>
    </cfRule>
  </conditionalFormatting>
  <conditionalFormatting sqref="N34:R34 T34:AD34 A34:C34 E34:L34">
    <cfRule type="expression" dxfId="143" priority="101">
      <formula xml:space="preserve"> $C34 = "C"</formula>
    </cfRule>
    <cfRule type="expression" dxfId="142" priority="102">
      <formula xml:space="preserve"> $C34 = "S"</formula>
    </cfRule>
    <cfRule type="expression" dxfId="141" priority="103">
      <formula xml:space="preserve"> $C34 = ""</formula>
    </cfRule>
  </conditionalFormatting>
  <conditionalFormatting sqref="I34">
    <cfRule type="duplicateValues" dxfId="140" priority="112"/>
  </conditionalFormatting>
  <conditionalFormatting sqref="H34">
    <cfRule type="duplicateValues" dxfId="139" priority="113"/>
  </conditionalFormatting>
  <conditionalFormatting sqref="S34">
    <cfRule type="expression" dxfId="138" priority="97">
      <formula xml:space="preserve"> $C34 = "C"</formula>
    </cfRule>
    <cfRule type="expression" dxfId="137" priority="98">
      <formula xml:space="preserve"> $C34 = "S"</formula>
    </cfRule>
    <cfRule type="expression" dxfId="136" priority="99">
      <formula xml:space="preserve"> $C34 = ""</formula>
    </cfRule>
  </conditionalFormatting>
  <conditionalFormatting sqref="M34">
    <cfRule type="expression" dxfId="135" priority="93">
      <formula xml:space="preserve"> AND($J34 &lt;&gt; "",$K34 &lt;&gt; "")</formula>
    </cfRule>
  </conditionalFormatting>
  <conditionalFormatting sqref="M34">
    <cfRule type="expression" dxfId="134" priority="94">
      <formula xml:space="preserve"> $C34 = "C"</formula>
    </cfRule>
    <cfRule type="expression" dxfId="133" priority="95">
      <formula xml:space="preserve"> $C34 = "S"</formula>
    </cfRule>
    <cfRule type="expression" dxfId="132" priority="96">
      <formula xml:space="preserve"> $C34 = ""</formula>
    </cfRule>
  </conditionalFormatting>
  <conditionalFormatting sqref="N51">
    <cfRule type="cellIs" dxfId="131" priority="85" operator="equal">
      <formula>"CHANG MEC"</formula>
    </cfRule>
    <cfRule type="cellIs" dxfId="130" priority="86" operator="equal">
      <formula>"TOUR"</formula>
    </cfRule>
    <cfRule type="cellIs" dxfId="129" priority="87" operator="equal">
      <formula>"REGL ELEC"</formula>
    </cfRule>
    <cfRule type="cellIs" dxfId="128" priority="88" operator="equal">
      <formula>"REGL MEC"</formula>
    </cfRule>
    <cfRule type="cellIs" dxfId="127" priority="89" operator="equal">
      <formula>"PROD"</formula>
    </cfRule>
    <cfRule type="cellIs" dxfId="126" priority="90" operator="equal">
      <formula>"GR"</formula>
    </cfRule>
    <cfRule type="cellIs" dxfId="125" priority="91" operator="equal">
      <formula>"CTRL ELEC"</formula>
    </cfRule>
    <cfRule type="cellIs" dxfId="124" priority="92" operator="equal">
      <formula>"CTRL MEC"</formula>
    </cfRule>
  </conditionalFormatting>
  <conditionalFormatting sqref="N51">
    <cfRule type="expression" dxfId="123" priority="82">
      <formula xml:space="preserve"> $C51 = "C"</formula>
    </cfRule>
    <cfRule type="expression" dxfId="122" priority="83">
      <formula xml:space="preserve"> $C51 = "S"</formula>
    </cfRule>
    <cfRule type="expression" dxfId="121" priority="84">
      <formula xml:space="preserve"> $C51 = ""</formula>
    </cfRule>
  </conditionalFormatting>
  <conditionalFormatting sqref="N55">
    <cfRule type="cellIs" dxfId="120" priority="74" operator="equal">
      <formula>"CHANG MEC"</formula>
    </cfRule>
    <cfRule type="cellIs" dxfId="119" priority="75" operator="equal">
      <formula>"TOUR"</formula>
    </cfRule>
    <cfRule type="cellIs" dxfId="118" priority="76" operator="equal">
      <formula>"REGL ELEC"</formula>
    </cfRule>
    <cfRule type="cellIs" dxfId="117" priority="77" operator="equal">
      <formula>"REGL MEC"</formula>
    </cfRule>
    <cfRule type="cellIs" dxfId="116" priority="78" operator="equal">
      <formula>"PROD"</formula>
    </cfRule>
    <cfRule type="cellIs" dxfId="115" priority="79" operator="equal">
      <formula>"GR"</formula>
    </cfRule>
    <cfRule type="cellIs" dxfId="114" priority="80" operator="equal">
      <formula>"CTRL ELEC"</formula>
    </cfRule>
    <cfRule type="cellIs" dxfId="113" priority="81" operator="equal">
      <formula>"CTRL MEC"</formula>
    </cfRule>
  </conditionalFormatting>
  <conditionalFormatting sqref="N55">
    <cfRule type="expression" dxfId="112" priority="71">
      <formula xml:space="preserve"> $C55 = "C"</formula>
    </cfRule>
    <cfRule type="expression" dxfId="111" priority="72">
      <formula xml:space="preserve"> $C55 = "S"</formula>
    </cfRule>
    <cfRule type="expression" dxfId="110" priority="73">
      <formula xml:space="preserve"> $C55 = ""</formula>
    </cfRule>
  </conditionalFormatting>
  <conditionalFormatting sqref="N54">
    <cfRule type="cellIs" dxfId="109" priority="63" operator="equal">
      <formula>"CHANG MEC"</formula>
    </cfRule>
    <cfRule type="cellIs" dxfId="108" priority="64" operator="equal">
      <formula>"TOUR"</formula>
    </cfRule>
    <cfRule type="cellIs" dxfId="107" priority="65" operator="equal">
      <formula>"REGL ELEC"</formula>
    </cfRule>
    <cfRule type="cellIs" dxfId="106" priority="66" operator="equal">
      <formula>"REGL MEC"</formula>
    </cfRule>
    <cfRule type="cellIs" dxfId="105" priority="67" operator="equal">
      <formula>"PROD"</formula>
    </cfRule>
    <cfRule type="cellIs" dxfId="104" priority="68" operator="equal">
      <formula>"GR"</formula>
    </cfRule>
    <cfRule type="cellIs" dxfId="103" priority="69" operator="equal">
      <formula>"CTRL ELEC"</formula>
    </cfRule>
    <cfRule type="cellIs" dxfId="102" priority="70" operator="equal">
      <formula>"CTRL MEC"</formula>
    </cfRule>
  </conditionalFormatting>
  <conditionalFormatting sqref="N54">
    <cfRule type="expression" dxfId="101" priority="60">
      <formula xml:space="preserve"> $C54 = "C"</formula>
    </cfRule>
    <cfRule type="expression" dxfId="100" priority="61">
      <formula xml:space="preserve"> $C54 = "S"</formula>
    </cfRule>
    <cfRule type="expression" dxfId="99" priority="62">
      <formula xml:space="preserve"> $C54 = ""</formula>
    </cfRule>
  </conditionalFormatting>
  <conditionalFormatting sqref="N53">
    <cfRule type="cellIs" dxfId="98" priority="52" operator="equal">
      <formula>"CHANG MEC"</formula>
    </cfRule>
    <cfRule type="cellIs" dxfId="97" priority="53" operator="equal">
      <formula>"TOUR"</formula>
    </cfRule>
    <cfRule type="cellIs" dxfId="96" priority="54" operator="equal">
      <formula>"REGL ELEC"</formula>
    </cfRule>
    <cfRule type="cellIs" dxfId="95" priority="55" operator="equal">
      <formula>"REGL MEC"</formula>
    </cfRule>
    <cfRule type="cellIs" dxfId="94" priority="56" operator="equal">
      <formula>"PROD"</formula>
    </cfRule>
    <cfRule type="cellIs" dxfId="93" priority="57" operator="equal">
      <formula>"GR"</formula>
    </cfRule>
    <cfRule type="cellIs" dxfId="92" priority="58" operator="equal">
      <formula>"CTRL ELEC"</formula>
    </cfRule>
    <cfRule type="cellIs" dxfId="91" priority="59" operator="equal">
      <formula>"CTRL MEC"</formula>
    </cfRule>
  </conditionalFormatting>
  <conditionalFormatting sqref="N53">
    <cfRule type="expression" dxfId="90" priority="49">
      <formula xml:space="preserve"> $C53 = "C"</formula>
    </cfRule>
    <cfRule type="expression" dxfId="89" priority="50">
      <formula xml:space="preserve"> $C53 = "S"</formula>
    </cfRule>
    <cfRule type="expression" dxfId="88" priority="51">
      <formula xml:space="preserve"> $C53 = ""</formula>
    </cfRule>
  </conditionalFormatting>
  <conditionalFormatting sqref="N52">
    <cfRule type="cellIs" dxfId="87" priority="41" operator="equal">
      <formula>"CHANG MEC"</formula>
    </cfRule>
    <cfRule type="cellIs" dxfId="86" priority="42" operator="equal">
      <formula>"TOUR"</formula>
    </cfRule>
    <cfRule type="cellIs" dxfId="85" priority="43" operator="equal">
      <formula>"REGL ELEC"</formula>
    </cfRule>
    <cfRule type="cellIs" dxfId="84" priority="44" operator="equal">
      <formula>"REGL MEC"</formula>
    </cfRule>
    <cfRule type="cellIs" dxfId="83" priority="45" operator="equal">
      <formula>"PROD"</formula>
    </cfRule>
    <cfRule type="cellIs" dxfId="82" priority="46" operator="equal">
      <formula>"GR"</formula>
    </cfRule>
    <cfRule type="cellIs" dxfId="81" priority="47" operator="equal">
      <formula>"CTRL ELEC"</formula>
    </cfRule>
    <cfRule type="cellIs" dxfId="80" priority="48" operator="equal">
      <formula>"CTRL MEC"</formula>
    </cfRule>
  </conditionalFormatting>
  <conditionalFormatting sqref="N52">
    <cfRule type="expression" dxfId="79" priority="38">
      <formula xml:space="preserve"> $C52 = "C"</formula>
    </cfRule>
    <cfRule type="expression" dxfId="78" priority="39">
      <formula xml:space="preserve"> $C52 = "S"</formula>
    </cfRule>
    <cfRule type="expression" dxfId="77" priority="40">
      <formula xml:space="preserve"> $C52 = ""</formula>
    </cfRule>
  </conditionalFormatting>
  <conditionalFormatting sqref="D33">
    <cfRule type="expression" dxfId="76" priority="32">
      <formula xml:space="preserve"> $C33 = "C"</formula>
    </cfRule>
    <cfRule type="expression" dxfId="75" priority="33">
      <formula xml:space="preserve"> $C33 = "S"</formula>
    </cfRule>
    <cfRule type="expression" dxfId="74" priority="34">
      <formula xml:space="preserve"> $C33 = ""</formula>
    </cfRule>
  </conditionalFormatting>
  <conditionalFormatting sqref="D34">
    <cfRule type="expression" dxfId="73" priority="29">
      <formula xml:space="preserve"> $C34 = "C"</formula>
    </cfRule>
    <cfRule type="expression" dxfId="72" priority="30">
      <formula xml:space="preserve"> $C34 = "S"</formula>
    </cfRule>
    <cfRule type="expression" dxfId="71" priority="31">
      <formula xml:space="preserve"> $C34 = ""</formula>
    </cfRule>
  </conditionalFormatting>
  <conditionalFormatting sqref="D35">
    <cfRule type="expression" dxfId="70" priority="23">
      <formula xml:space="preserve"> $C35 = "C"</formula>
    </cfRule>
    <cfRule type="expression" dxfId="69" priority="24">
      <formula xml:space="preserve"> $C35 = "S"</formula>
    </cfRule>
    <cfRule type="expression" dxfId="68" priority="25">
      <formula xml:space="preserve"> $C35 = ""</formula>
    </cfRule>
  </conditionalFormatting>
  <conditionalFormatting sqref="D36">
    <cfRule type="expression" dxfId="67" priority="20">
      <formula xml:space="preserve"> $C36 = "C"</formula>
    </cfRule>
    <cfRule type="expression" dxfId="66" priority="21">
      <formula xml:space="preserve"> $C36 = "S"</formula>
    </cfRule>
    <cfRule type="expression" dxfId="65" priority="22">
      <formula xml:space="preserve"> $C36 = ""</formula>
    </cfRule>
  </conditionalFormatting>
  <conditionalFormatting sqref="D37">
    <cfRule type="expression" dxfId="64" priority="17">
      <formula xml:space="preserve"> $C37 = "C"</formula>
    </cfRule>
    <cfRule type="expression" dxfId="63" priority="18">
      <formula xml:space="preserve"> $C37 = "S"</formula>
    </cfRule>
    <cfRule type="expression" dxfId="62" priority="19">
      <formula xml:space="preserve"> $C37 = ""</formula>
    </cfRule>
  </conditionalFormatting>
  <conditionalFormatting sqref="M52">
    <cfRule type="expression" dxfId="61" priority="13">
      <formula xml:space="preserve"> AND($J52 &lt;&gt; "",$K52 &lt;&gt; "")</formula>
    </cfRule>
  </conditionalFormatting>
  <conditionalFormatting sqref="M52">
    <cfRule type="expression" dxfId="60" priority="14">
      <formula xml:space="preserve"> $C52 = "C"</formula>
    </cfRule>
    <cfRule type="expression" dxfId="59" priority="15">
      <formula xml:space="preserve"> $C52 = "S"</formula>
    </cfRule>
    <cfRule type="expression" dxfId="58" priority="16">
      <formula xml:space="preserve"> $C52 = ""</formula>
    </cfRule>
  </conditionalFormatting>
  <conditionalFormatting sqref="M53">
    <cfRule type="expression" dxfId="57" priority="9">
      <formula xml:space="preserve"> AND($J53 &lt;&gt; "",$K53 &lt;&gt; "")</formula>
    </cfRule>
  </conditionalFormatting>
  <conditionalFormatting sqref="M53">
    <cfRule type="expression" dxfId="56" priority="10">
      <formula xml:space="preserve"> $C53 = "C"</formula>
    </cfRule>
    <cfRule type="expression" dxfId="55" priority="11">
      <formula xml:space="preserve"> $C53 = "S"</formula>
    </cfRule>
    <cfRule type="expression" dxfId="54" priority="12">
      <formula xml:space="preserve"> $C53 = ""</formula>
    </cfRule>
  </conditionalFormatting>
  <conditionalFormatting sqref="M54">
    <cfRule type="expression" dxfId="53" priority="5">
      <formula xml:space="preserve"> AND($J54 &lt;&gt; "",$K54 &lt;&gt; "")</formula>
    </cfRule>
  </conditionalFormatting>
  <conditionalFormatting sqref="M54">
    <cfRule type="expression" dxfId="52" priority="6">
      <formula xml:space="preserve"> $C54 = "C"</formula>
    </cfRule>
    <cfRule type="expression" dxfId="51" priority="7">
      <formula xml:space="preserve"> $C54 = "S"</formula>
    </cfRule>
    <cfRule type="expression" dxfId="50" priority="8">
      <formula xml:space="preserve"> $C54 = ""</formula>
    </cfRule>
  </conditionalFormatting>
  <conditionalFormatting sqref="M55">
    <cfRule type="expression" dxfId="49" priority="1">
      <formula xml:space="preserve"> AND($J55 &lt;&gt; "",$K55 &lt;&gt; "")</formula>
    </cfRule>
  </conditionalFormatting>
  <conditionalFormatting sqref="M55">
    <cfRule type="expression" dxfId="48" priority="2">
      <formula xml:space="preserve"> $C55 = "C"</formula>
    </cfRule>
    <cfRule type="expression" dxfId="47" priority="3">
      <formula xml:space="preserve"> $C55 = "S"</formula>
    </cfRule>
    <cfRule type="expression" dxfId="46" priority="4">
      <formula xml:space="preserve"> $C55 = ""</formula>
    </cfRule>
  </conditionalFormatting>
  <dataValidations disablePrompts="1" count="1">
    <dataValidation type="list" allowBlank="1" showInputMessage="1" showErrorMessage="1" sqref="E3:E1002" xr:uid="{00000000-0002-0000-0500-000000000000}">
      <formula1>"OUI,NON"</formula1>
    </dataValidation>
  </dataValidations>
  <pageMargins left="0.25" right="0.25" top="0.75" bottom="0.75" header="0.3" footer="0.3"/>
  <pageSetup paperSize="8" scale="84" fitToHeight="0" orientation="landscape" r:id="rId5"/>
  <drawing r:id="rId6"/>
  <legacyDrawing r:id="rId7"/>
  <mc:AlternateContent xmlns:mc="http://schemas.openxmlformats.org/markup-compatibility/2006">
    <mc:Choice Requires="x14">
      <controls>
        <mc:AlternateContent xmlns:mc="http://schemas.openxmlformats.org/markup-compatibility/2006">
          <mc:Choice Requires="x14">
            <control shapeId="11297" r:id="rId8" name="Button 33">
              <controlPr defaultSize="0" print="0" autoFill="0" autoPict="0" macro="[0]!Bouton_crea_modif">
                <anchor moveWithCells="1" sizeWithCells="1">
                  <from>
                    <xdr:col>3</xdr:col>
                    <xdr:colOff>45720</xdr:colOff>
                    <xdr:row>0</xdr:row>
                    <xdr:rowOff>30480</xdr:rowOff>
                  </from>
                  <to>
                    <xdr:col>4</xdr:col>
                    <xdr:colOff>152400</xdr:colOff>
                    <xdr:row>0</xdr:row>
                    <xdr:rowOff>487680</xdr:rowOff>
                  </to>
                </anchor>
              </controlPr>
            </control>
          </mc:Choice>
        </mc:AlternateContent>
        <mc:AlternateContent xmlns:mc="http://schemas.openxmlformats.org/markup-compatibility/2006">
          <mc:Choice Requires="x14">
            <control shapeId="11307" r:id="rId9" name="Button 43">
              <controlPr defaultSize="0" print="0" autoFill="0" autoPict="0" macro="[0]!DMS_SAP">
                <anchor moveWithCells="1" sizeWithCells="1">
                  <from>
                    <xdr:col>6</xdr:col>
                    <xdr:colOff>426720</xdr:colOff>
                    <xdr:row>0</xdr:row>
                    <xdr:rowOff>30480</xdr:rowOff>
                  </from>
                  <to>
                    <xdr:col>6</xdr:col>
                    <xdr:colOff>1859280</xdr:colOff>
                    <xdr:row>0</xdr:row>
                    <xdr:rowOff>487680</xdr:rowOff>
                  </to>
                </anchor>
              </controlPr>
            </control>
          </mc:Choice>
        </mc:AlternateContent>
        <mc:AlternateContent xmlns:mc="http://schemas.openxmlformats.org/markup-compatibility/2006">
          <mc:Choice Requires="x14">
            <control shapeId="11338" r:id="rId10" name="Button 74">
              <controlPr defaultSize="0" print="0" autoFill="0" autoPict="0" macro="[0]!Bouton_mode_avancé">
                <anchor moveWithCells="1" sizeWithCells="1">
                  <from>
                    <xdr:col>6</xdr:col>
                    <xdr:colOff>2232660</xdr:colOff>
                    <xdr:row>0</xdr:row>
                    <xdr:rowOff>30480</xdr:rowOff>
                  </from>
                  <to>
                    <xdr:col>7</xdr:col>
                    <xdr:colOff>236220</xdr:colOff>
                    <xdr:row>0</xdr:row>
                    <xdr:rowOff>487680</xdr:rowOff>
                  </to>
                </anchor>
              </controlPr>
            </control>
          </mc:Choice>
        </mc:AlternateContent>
        <mc:AlternateContent xmlns:mc="http://schemas.openxmlformats.org/markup-compatibility/2006">
          <mc:Choice Requires="x14">
            <control shapeId="11369" r:id="rId11" name="Button 105">
              <controlPr defaultSize="0" print="0" autoFill="0" autoPict="0" macro="[0]!Mode_normal">
                <anchor moveWithCells="1" sizeWithCells="1">
                  <from>
                    <xdr:col>0</xdr:col>
                    <xdr:colOff>45720</xdr:colOff>
                    <xdr:row>0</xdr:row>
                    <xdr:rowOff>30480</xdr:rowOff>
                  </from>
                  <to>
                    <xdr:col>1</xdr:col>
                    <xdr:colOff>236220</xdr:colOff>
                    <xdr:row>0</xdr:row>
                    <xdr:rowOff>487680</xdr:rowOff>
                  </to>
                </anchor>
              </controlPr>
            </control>
          </mc:Choice>
        </mc:AlternateContent>
        <mc:AlternateContent xmlns:mc="http://schemas.openxmlformats.org/markup-compatibility/2006">
          <mc:Choice Requires="x14">
            <control shapeId="11377" r:id="rId12" name="Button 113">
              <controlPr defaultSize="0" print="0" autoFill="0" autoPict="0" macro="[0]!Bouton_suppression">
                <anchor moveWithCells="1" sizeWithCells="1">
                  <from>
                    <xdr:col>4</xdr:col>
                    <xdr:colOff>220980</xdr:colOff>
                    <xdr:row>0</xdr:row>
                    <xdr:rowOff>38100</xdr:rowOff>
                  </from>
                  <to>
                    <xdr:col>6</xdr:col>
                    <xdr:colOff>365760</xdr:colOff>
                    <xdr:row>0</xdr:row>
                    <xdr:rowOff>487680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00000000-0002-0000-0500-000001000000}">
          <x14:formula1>
            <xm:f>list!$E$3:$E$10</xm:f>
          </x14:formula1>
          <xm:sqref>Q16:Q1002 R15 Q6:Q14 Q3:Q4</xm:sqref>
        </x14:dataValidation>
        <x14:dataValidation type="list" allowBlank="1" showInputMessage="1" showErrorMessage="1" xr:uid="{00000000-0002-0000-0500-000002000000}">
          <x14:formula1>
            <xm:f>list!$F$3:$F$5</xm:f>
          </x14:formula1>
          <xm:sqref>R16:R1002 S15 R6:R14 R3:R4</xm:sqref>
        </x14:dataValidation>
        <x14:dataValidation type="list" allowBlank="1" showInputMessage="1" showErrorMessage="1" xr:uid="{00000000-0002-0000-0500-000003000000}">
          <x14:formula1>
            <xm:f>list!$D$3:$D$5</xm:f>
          </x14:formula1>
          <xm:sqref>P6:P1002 Q15 P3:P4</xm:sqref>
        </x14:dataValidation>
        <x14:dataValidation type="list" allowBlank="1" showInputMessage="1" showErrorMessage="1" xr:uid="{00000000-0002-0000-0500-000004000000}">
          <x14:formula1>
            <xm:f>list!$C$3:$C$6</xm:f>
          </x14:formula1>
          <xm:sqref>O3:O1002</xm:sqref>
        </x14:dataValidation>
        <x14:dataValidation type="list" allowBlank="1" showInputMessage="1" showErrorMessage="1" xr:uid="{00000000-0002-0000-0500-000005000000}">
          <x14:formula1>
            <xm:f>list!$B$3:$B$11</xm:f>
          </x14:formula1>
          <xm:sqref>N3:N1002</xm:sqref>
        </x14:dataValidation>
        <x14:dataValidation type="list" allowBlank="1" showInputMessage="1" showErrorMessage="1" xr:uid="{00000000-0002-0000-0500-000006000000}">
          <x14:formula1>
            <xm:f>list!$A$3:$A$27</xm:f>
          </x14:formula1>
          <xm:sqref>L3:L1001</xm:sqref>
        </x14:dataValidation>
        <x14:dataValidation type="list" allowBlank="1" showInputMessage="1" showErrorMessage="1" xr:uid="{00000000-0002-0000-0500-000007000000}">
          <x14:formula1>
            <xm:f>list!$I$3:$I$37</xm:f>
          </x14:formula1>
          <xm:sqref>D3:D1002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tabColor rgb="FFFFC000"/>
  </sheetPr>
  <dimension ref="B3:BF45"/>
  <sheetViews>
    <sheetView showGridLines="0" zoomScaleNormal="100" workbookViewId="0">
      <selection activeCell="Y7" sqref="Y7:AB7"/>
    </sheetView>
  </sheetViews>
  <sheetFormatPr baseColWidth="10" defaultRowHeight="14.4" x14ac:dyDescent="0.3"/>
  <cols>
    <col min="1" max="30" width="2.6640625" customWidth="1"/>
  </cols>
  <sheetData>
    <row r="3" spans="2:58" ht="15" thickBot="1" x14ac:dyDescent="0.35"/>
    <row r="4" spans="2:58" ht="15" thickBot="1" x14ac:dyDescent="0.35">
      <c r="B4" s="86" t="str">
        <f ca="1">'7.MENG'!A3</f>
        <v>7.MENG</v>
      </c>
      <c r="C4" s="87"/>
      <c r="D4" s="87"/>
      <c r="E4" s="87"/>
      <c r="F4" s="88"/>
      <c r="G4" s="1"/>
      <c r="H4" s="1"/>
      <c r="I4" s="1"/>
      <c r="J4" s="1"/>
      <c r="K4" s="1"/>
      <c r="L4" s="1"/>
      <c r="M4" s="1"/>
      <c r="N4" s="1"/>
      <c r="O4" s="1"/>
      <c r="P4" s="1"/>
      <c r="Q4" s="1"/>
      <c r="R4" s="1"/>
      <c r="S4" s="1"/>
      <c r="T4" s="1"/>
      <c r="U4" s="1"/>
      <c r="V4" s="1"/>
      <c r="W4" s="1"/>
      <c r="X4" s="8"/>
      <c r="Y4" s="83">
        <f ca="1">TODAY()</f>
        <v>46293</v>
      </c>
      <c r="Z4" s="84"/>
      <c r="AA4" s="84"/>
      <c r="AB4" s="84"/>
      <c r="AC4" s="85"/>
      <c r="AQ4" s="19"/>
      <c r="AR4" s="19"/>
      <c r="AS4" s="19"/>
      <c r="AT4" s="19"/>
      <c r="AU4" s="19"/>
      <c r="AV4" s="19"/>
    </row>
    <row r="5" spans="2:58" x14ac:dyDescent="0.3">
      <c r="B5" s="3"/>
      <c r="AC5" s="4"/>
    </row>
    <row r="6" spans="2:58" x14ac:dyDescent="0.3">
      <c r="B6" s="3"/>
      <c r="C6" s="92" t="s">
        <v>10</v>
      </c>
      <c r="D6" s="93"/>
      <c r="E6" s="93"/>
      <c r="F6" s="93"/>
      <c r="G6" s="93"/>
      <c r="H6" s="93"/>
      <c r="I6" s="93"/>
      <c r="J6" s="94"/>
      <c r="K6" s="89">
        <f>COUNTIFS('7.MENG'!M3:M1002, "&gt;&lt;", '7.MENG'!C3:C1002, "&lt;&gt;S")</f>
        <v>51</v>
      </c>
      <c r="L6" s="90"/>
      <c r="M6" s="90"/>
      <c r="N6" s="91"/>
      <c r="Q6" s="82" t="s">
        <v>59</v>
      </c>
      <c r="R6" s="82"/>
      <c r="S6" s="82"/>
      <c r="T6" s="82"/>
      <c r="U6" s="82"/>
      <c r="V6" s="82"/>
      <c r="W6" s="82"/>
      <c r="X6" s="82"/>
      <c r="Y6" s="89">
        <f>COUNTA('7.MENG'!S3:S1002)</f>
        <v>53</v>
      </c>
      <c r="Z6" s="90"/>
      <c r="AA6" s="90" t="str">
        <f>"/" &amp; K6</f>
        <v>/51</v>
      </c>
      <c r="AB6" s="91"/>
      <c r="AC6" s="4"/>
    </row>
    <row r="7" spans="2:58" x14ac:dyDescent="0.3">
      <c r="B7" s="3"/>
      <c r="C7" s="82" t="s">
        <v>60</v>
      </c>
      <c r="D7" s="82"/>
      <c r="E7" s="82"/>
      <c r="F7" s="82"/>
      <c r="G7" s="82"/>
      <c r="H7" s="82"/>
      <c r="I7" s="82"/>
      <c r="J7" s="82"/>
      <c r="K7" s="96">
        <f>SUM('7.MENG'!X3:X1002)</f>
        <v>281</v>
      </c>
      <c r="L7" s="97"/>
      <c r="M7" s="98"/>
      <c r="N7" s="9" t="s">
        <v>83</v>
      </c>
      <c r="Q7" s="82" t="s">
        <v>82</v>
      </c>
      <c r="R7" s="82"/>
      <c r="S7" s="82"/>
      <c r="T7" s="82"/>
      <c r="U7" s="82"/>
      <c r="V7" s="82"/>
      <c r="W7" s="82"/>
      <c r="X7" s="82"/>
      <c r="Y7" s="95">
        <f ca="1">COUNTIF('7.MENG'!Z3:Z1002,"MIS A JOUR")</f>
        <v>1</v>
      </c>
      <c r="Z7" s="95"/>
      <c r="AA7" s="95"/>
      <c r="AB7" s="95"/>
      <c r="AC7" s="4"/>
      <c r="BC7" s="20"/>
      <c r="BD7" s="20"/>
      <c r="BE7" s="20"/>
      <c r="BF7" s="20"/>
    </row>
    <row r="8" spans="2:58" x14ac:dyDescent="0.3">
      <c r="B8" s="3"/>
      <c r="AC8" s="4"/>
      <c r="AP8" s="20"/>
      <c r="AQ8" s="20"/>
      <c r="AR8" s="20"/>
      <c r="AS8" s="20"/>
      <c r="AT8" s="20"/>
      <c r="AU8" s="20"/>
      <c r="AV8" s="20"/>
      <c r="AW8" s="20"/>
      <c r="AX8" s="20"/>
      <c r="AY8" s="20"/>
      <c r="AZ8" s="20"/>
      <c r="BA8" s="20"/>
      <c r="BB8" s="20"/>
      <c r="BC8" s="20"/>
      <c r="BD8" s="20"/>
      <c r="BE8" s="20"/>
      <c r="BF8" s="20"/>
    </row>
    <row r="9" spans="2:58" x14ac:dyDescent="0.3">
      <c r="B9" s="3"/>
      <c r="AC9" s="4"/>
      <c r="AP9" s="20"/>
      <c r="AQ9" s="20" t="s">
        <v>23</v>
      </c>
      <c r="AR9" s="20">
        <v>70</v>
      </c>
      <c r="AS9" s="20" t="s">
        <v>18</v>
      </c>
      <c r="AT9" s="20">
        <f>IFERROR(ROUNDUP(Y6*100/K6,1), 0)</f>
        <v>104</v>
      </c>
      <c r="AU9" s="20" t="s">
        <v>19</v>
      </c>
      <c r="AV9" s="20"/>
      <c r="AW9" s="20"/>
      <c r="AX9" s="20"/>
      <c r="AY9" s="20"/>
      <c r="AZ9" s="20"/>
      <c r="BA9" s="20"/>
      <c r="BB9" s="20"/>
      <c r="BC9" s="20"/>
      <c r="BD9" s="20"/>
      <c r="BE9" s="20"/>
      <c r="BF9" s="20"/>
    </row>
    <row r="10" spans="2:58" x14ac:dyDescent="0.3">
      <c r="B10" s="3"/>
      <c r="AC10" s="4"/>
      <c r="AP10" s="20"/>
      <c r="AQ10" s="20" t="s">
        <v>20</v>
      </c>
      <c r="AR10" s="20">
        <v>20</v>
      </c>
      <c r="AS10" s="20" t="s">
        <v>21</v>
      </c>
      <c r="AT10" s="20">
        <v>1</v>
      </c>
      <c r="AU10" s="20" t="s">
        <v>22</v>
      </c>
      <c r="AV10" s="20" t="str">
        <f>AT9&amp;"%"</f>
        <v>104%</v>
      </c>
      <c r="AW10" s="20"/>
      <c r="AX10" s="20"/>
      <c r="AY10" s="20"/>
      <c r="AZ10" s="20"/>
      <c r="BA10" s="20"/>
      <c r="BB10" s="20"/>
      <c r="BC10" s="20"/>
      <c r="BD10" s="20"/>
      <c r="BE10" s="20"/>
      <c r="BF10" s="20"/>
    </row>
    <row r="11" spans="2:58" x14ac:dyDescent="0.3">
      <c r="B11" s="3"/>
      <c r="AC11" s="4"/>
      <c r="AP11" s="20"/>
      <c r="AQ11" s="20" t="s">
        <v>17</v>
      </c>
      <c r="AR11" s="20">
        <v>10</v>
      </c>
      <c r="AS11" s="20" t="s">
        <v>24</v>
      </c>
      <c r="AT11" s="20">
        <f>SUM(AR9:AR12)-(AT9+AT10)</f>
        <v>95</v>
      </c>
      <c r="AU11" s="20" t="s">
        <v>19</v>
      </c>
      <c r="AV11" s="20"/>
      <c r="AW11" s="20"/>
      <c r="AX11" s="20"/>
      <c r="AY11" s="20"/>
      <c r="AZ11" s="20"/>
      <c r="BA11" s="20"/>
      <c r="BB11" s="20"/>
      <c r="BC11" s="20"/>
      <c r="BD11" s="20"/>
      <c r="BE11" s="20"/>
      <c r="BF11" s="20"/>
    </row>
    <row r="12" spans="2:58" x14ac:dyDescent="0.3">
      <c r="B12" s="3"/>
      <c r="AC12" s="4"/>
      <c r="AP12" s="20"/>
      <c r="AQ12" s="20" t="s">
        <v>24</v>
      </c>
      <c r="AR12" s="20">
        <f>SUM(AR9:AR11)</f>
        <v>100</v>
      </c>
      <c r="AS12" s="20"/>
      <c r="AT12" s="20"/>
      <c r="AU12" s="20"/>
      <c r="AV12" s="20"/>
      <c r="AW12" s="20"/>
      <c r="AX12" s="20"/>
      <c r="AY12" s="20"/>
      <c r="AZ12" s="20"/>
      <c r="BA12" s="20"/>
      <c r="BB12" s="20"/>
      <c r="BC12" s="20"/>
      <c r="BD12" s="20"/>
      <c r="BE12" s="20"/>
      <c r="BF12" s="20"/>
    </row>
    <row r="13" spans="2:58" x14ac:dyDescent="0.3">
      <c r="B13" s="3"/>
      <c r="AC13" s="4"/>
      <c r="AP13" s="20"/>
      <c r="AQ13" s="20"/>
      <c r="AR13" s="20"/>
      <c r="AS13" s="20"/>
      <c r="AT13" s="20"/>
      <c r="AU13" s="20"/>
      <c r="AV13" s="20"/>
      <c r="AW13" s="20"/>
      <c r="AX13" s="20"/>
      <c r="AY13" s="20"/>
      <c r="AZ13" s="20"/>
      <c r="BA13" s="20"/>
      <c r="BB13" s="20"/>
      <c r="BC13" s="20"/>
      <c r="BD13" s="20"/>
      <c r="BE13" s="20"/>
      <c r="BF13" s="20"/>
    </row>
    <row r="14" spans="2:58" x14ac:dyDescent="0.3">
      <c r="B14" s="3"/>
      <c r="AC14" s="4"/>
      <c r="AP14" s="20"/>
      <c r="AQ14" s="20" t="s">
        <v>23</v>
      </c>
      <c r="AR14" s="20">
        <v>70</v>
      </c>
      <c r="AS14" s="20" t="s">
        <v>18</v>
      </c>
      <c r="AT14" s="20">
        <f ca="1">IFERROR(ROUNDUP(COUNTIF('7.MENG'!Z3:Z1002,"MIS A JOUR")*100/Y6,1), 0)</f>
        <v>1.9000000000000001</v>
      </c>
      <c r="AU14" s="20" t="s">
        <v>19</v>
      </c>
      <c r="AV14" s="20"/>
      <c r="AW14" s="20"/>
      <c r="AX14" s="20"/>
      <c r="AY14" s="20"/>
      <c r="AZ14" s="20"/>
      <c r="BA14" s="20"/>
      <c r="BB14" s="20"/>
      <c r="BC14" s="20"/>
      <c r="BD14" s="20"/>
      <c r="BE14" s="20"/>
      <c r="BF14" s="20"/>
    </row>
    <row r="15" spans="2:58" x14ac:dyDescent="0.3">
      <c r="B15" s="3"/>
      <c r="AC15" s="4"/>
      <c r="AP15" s="20"/>
      <c r="AQ15" s="20" t="s">
        <v>20</v>
      </c>
      <c r="AR15" s="20">
        <v>20</v>
      </c>
      <c r="AS15" s="20" t="s">
        <v>21</v>
      </c>
      <c r="AT15" s="20">
        <v>1</v>
      </c>
      <c r="AU15" s="20" t="s">
        <v>22</v>
      </c>
      <c r="AV15" s="20" t="str">
        <f ca="1">AT14&amp;"%"</f>
        <v>1,9%</v>
      </c>
      <c r="AW15" s="20"/>
      <c r="AX15" s="20"/>
      <c r="AY15" s="20"/>
      <c r="AZ15" s="20"/>
      <c r="BA15" s="20"/>
      <c r="BB15" s="20"/>
      <c r="BC15" s="20"/>
      <c r="BD15" s="20"/>
      <c r="BE15" s="20"/>
      <c r="BF15" s="20"/>
    </row>
    <row r="16" spans="2:58" x14ac:dyDescent="0.3">
      <c r="B16" s="3"/>
      <c r="AC16" s="4"/>
      <c r="AP16" s="20"/>
      <c r="AQ16" s="20" t="s">
        <v>17</v>
      </c>
      <c r="AR16" s="20">
        <v>10</v>
      </c>
      <c r="AS16" s="20" t="s">
        <v>24</v>
      </c>
      <c r="AT16" s="20">
        <f ca="1">SUM(AR14:AR17)-(AT14+AT15)</f>
        <v>197.1</v>
      </c>
      <c r="AU16" s="20" t="s">
        <v>19</v>
      </c>
      <c r="AV16" s="20"/>
      <c r="AW16" s="20"/>
      <c r="AX16" s="20"/>
      <c r="AY16" s="20"/>
      <c r="AZ16" s="20"/>
      <c r="BA16" s="20"/>
      <c r="BB16" s="20"/>
      <c r="BC16" s="20"/>
      <c r="BD16" s="20"/>
      <c r="BE16" s="20"/>
      <c r="BF16" s="20"/>
    </row>
    <row r="17" spans="2:58" x14ac:dyDescent="0.3">
      <c r="B17" s="3"/>
      <c r="AC17" s="4"/>
      <c r="AP17" s="20"/>
      <c r="AQ17" s="20" t="s">
        <v>24</v>
      </c>
      <c r="AR17" s="20">
        <f>SUM(AR14:AR16)</f>
        <v>100</v>
      </c>
      <c r="AS17" s="20"/>
      <c r="AT17" s="20"/>
      <c r="AU17" s="20"/>
      <c r="AV17" s="20"/>
      <c r="AW17" s="20"/>
      <c r="AX17" s="20"/>
      <c r="AY17" s="20"/>
      <c r="AZ17" s="20"/>
      <c r="BA17" s="20"/>
      <c r="BB17" s="20"/>
      <c r="BC17" s="20"/>
      <c r="BD17" s="20"/>
      <c r="BE17" s="20"/>
      <c r="BF17" s="20"/>
    </row>
    <row r="18" spans="2:58" x14ac:dyDescent="0.3">
      <c r="B18" s="3"/>
      <c r="AC18" s="4"/>
      <c r="AP18" s="20"/>
      <c r="AQ18" s="20"/>
      <c r="AR18" s="20"/>
      <c r="AS18" s="20"/>
      <c r="AT18" s="20"/>
      <c r="AU18" s="20"/>
      <c r="AV18" s="20"/>
      <c r="AW18" s="20"/>
      <c r="AX18" s="20"/>
      <c r="AY18" s="20"/>
      <c r="AZ18" s="20"/>
      <c r="BA18" s="20"/>
      <c r="BB18" s="20"/>
      <c r="BC18" s="20"/>
      <c r="BD18" s="20"/>
      <c r="BE18" s="20"/>
      <c r="BF18" s="20"/>
    </row>
    <row r="19" spans="2:58" x14ac:dyDescent="0.3">
      <c r="B19" s="3"/>
      <c r="AC19" s="4"/>
      <c r="AP19" s="20"/>
      <c r="AQ19" s="21">
        <v>44470</v>
      </c>
      <c r="AR19" s="21">
        <v>44501</v>
      </c>
      <c r="AS19" s="21">
        <v>44531</v>
      </c>
      <c r="AT19" s="21">
        <v>44562</v>
      </c>
      <c r="AU19" s="21">
        <v>44593</v>
      </c>
      <c r="AV19" s="21">
        <v>44621</v>
      </c>
      <c r="AW19" s="21">
        <v>44652</v>
      </c>
      <c r="AX19" s="21">
        <v>44682</v>
      </c>
      <c r="AY19" s="21">
        <v>44713</v>
      </c>
      <c r="AZ19" s="21">
        <v>44743</v>
      </c>
      <c r="BA19" s="21">
        <v>44774</v>
      </c>
      <c r="BB19" s="21">
        <v>44805</v>
      </c>
      <c r="BC19" s="21">
        <v>44835</v>
      </c>
      <c r="BD19" s="21">
        <v>44866</v>
      </c>
      <c r="BE19" s="21">
        <v>44896</v>
      </c>
      <c r="BF19" s="20"/>
    </row>
    <row r="20" spans="2:58" x14ac:dyDescent="0.3">
      <c r="B20" s="3"/>
      <c r="AC20" s="4"/>
      <c r="AP20" s="20"/>
      <c r="AQ20" s="20">
        <f>COUNTIFS('7.MENG'!$S$3:$S$1002,"&gt;"&amp;AQ19,'7.MENG'!$S$3:$S$1002,"&lt;"&amp;EOMONTH(AQ19,0))</f>
        <v>0</v>
      </c>
      <c r="AR20" s="20">
        <f>COUNTIFS('7.MENG'!$S$3:$S$1002,"&gt;"&amp;AR19,'7.MENG'!$S$3:$S$1002,"&lt;"&amp;EOMONTH(AR19,0))</f>
        <v>0</v>
      </c>
      <c r="AS20" s="20">
        <f>COUNTIFS('7.MENG'!$S$3:$S$1002,"&gt;"&amp;AS19,'7.MENG'!$S$3:$S$1002,"&lt;"&amp;EOMONTH(AS19,0))</f>
        <v>0</v>
      </c>
      <c r="AT20" s="20">
        <f>COUNTIFS('7.MENG'!$S$3:$S$1002,"&gt;"&amp;AT19,'7.MENG'!$S$3:$S$1002,"&lt;"&amp;EOMONTH(AT19,0))</f>
        <v>46</v>
      </c>
      <c r="AU20" s="20">
        <f>COUNTIFS('7.MENG'!$S$3:$S$1002,"&gt;"&amp;AU19,'7.MENG'!$S$3:$S$1002,"&lt;"&amp;EOMONTH(AU19,0))</f>
        <v>0</v>
      </c>
      <c r="AV20" s="20">
        <f>COUNTIFS('7.MENG'!$S$3:$S$1002,"&gt;"&amp;AV19,'7.MENG'!$S$3:$S$1002,"&lt;"&amp;EOMONTH(AV19,0))</f>
        <v>0</v>
      </c>
      <c r="AW20" s="20">
        <f>COUNTIFS('7.MENG'!$S$3:$S$1002,"&gt;"&amp;AW19,'7.MENG'!$S$3:$S$1002,"&lt;"&amp;EOMONTH(AW19,0))</f>
        <v>0</v>
      </c>
      <c r="AX20" s="20">
        <f>COUNTIFS('7.MENG'!$S$3:$S$1002,"&gt;"&amp;AX19,'7.MENG'!$S$3:$S$1002,"&lt;"&amp;EOMONTH(AX19,0))</f>
        <v>0</v>
      </c>
      <c r="AY20" s="20">
        <f>COUNTIFS('7.MENG'!$S$3:$S$1002,"&gt;"&amp;AY19,'7.MENG'!$S$3:$S$1002,"&lt;"&amp;EOMONTH(AY19,0))</f>
        <v>0</v>
      </c>
      <c r="AZ20" s="20">
        <f>COUNTIFS('7.MENG'!$S$3:$S$1002,"&gt;"&amp;AZ19,'7.MENG'!$S$3:$S$1002,"&lt;"&amp;EOMONTH(AZ19,0))</f>
        <v>1</v>
      </c>
      <c r="BA20" s="20">
        <f>COUNTIFS('7.MENG'!$S$3:$S$1002,"&gt;"&amp;BA19,'7.MENG'!$S$3:$S$1002,"&lt;"&amp;EOMONTH(BA19,0))</f>
        <v>0</v>
      </c>
      <c r="BB20" s="20">
        <f>COUNTIFS('7.MENG'!$S$3:$S$1002,"&gt;"&amp;BB19,'7.MENG'!$S$3:$S$1002,"&lt;"&amp;EOMONTH(BB19,0))</f>
        <v>0</v>
      </c>
      <c r="BC20" s="20">
        <f>COUNTIFS('7.MENG'!$S$3:$S$1002,"&gt;"&amp;BC19,'7.MENG'!$S$3:$S$1002,"&lt;"&amp;EOMONTH(BC19,0))</f>
        <v>0</v>
      </c>
      <c r="BD20" s="20">
        <f>COUNTIFS('7.MENG'!$S$3:$S$1002,"&gt;"&amp;BD19,'7.MENG'!$S$3:$S$1002,"&lt;"&amp;EOMONTH(BD19,0))</f>
        <v>0</v>
      </c>
      <c r="BE20" s="20">
        <f>COUNTIFS('7.MENG'!$S$3:$S$1002,"&gt;"&amp;BE19,'7.MENG'!$S$3:$S$1002,"&lt;"&amp;EOMONTH(BE19,0))</f>
        <v>0</v>
      </c>
      <c r="BF20" s="20"/>
    </row>
    <row r="21" spans="2:58" x14ac:dyDescent="0.3">
      <c r="B21" s="3"/>
      <c r="AC21" s="4"/>
      <c r="AP21" s="20"/>
      <c r="AQ21" s="20">
        <f>COUNTIFS('7.MENG'!$AA$3:$AA$1002,"&gt;"&amp;AQ19,'7.MENG'!$AA$3:$AA$1002,"&lt;"&amp;EOMONTH(AQ19,0))</f>
        <v>0</v>
      </c>
      <c r="AR21" s="20">
        <f>COUNTIFS('7.MENG'!$AA$3:$AA$1002,"&gt;"&amp;AR19,'7.MENG'!$AA$3:$AA$1002,"&lt;"&amp;EOMONTH(AR19,0))</f>
        <v>0</v>
      </c>
      <c r="AS21" s="20">
        <f>COUNTIFS('7.MENG'!$AA$3:$AA$1002,"&gt;"&amp;AS19,'7.MENG'!$AA$3:$AA$1002,"&lt;"&amp;EOMONTH(AS19,0))</f>
        <v>0</v>
      </c>
      <c r="AT21" s="20">
        <f>COUNTIFS('7.MENG'!$AA$3:$AA$1002,"&gt;"&amp;AT19,'7.MENG'!$AA$3:$AA$1002,"&lt;"&amp;EOMONTH(AT19,0))</f>
        <v>0</v>
      </c>
      <c r="AU21" s="20">
        <f>COUNTIFS('7.MENG'!$AA$3:$AA$1002,"&gt;"&amp;AU19,'7.MENG'!$AA$3:$AA$1002,"&lt;"&amp;EOMONTH(AU19,0))</f>
        <v>0</v>
      </c>
      <c r="AV21" s="20">
        <f>COUNTIFS('7.MENG'!$AA$3:$AA$1002,"&gt;"&amp;AV19,'7.MENG'!$AA$3:$AA$1002,"&lt;"&amp;EOMONTH(AV19,0))</f>
        <v>0</v>
      </c>
      <c r="AW21" s="20">
        <f>COUNTIFS('7.MENG'!$AA$3:$AA$1002,"&gt;"&amp;AW19,'7.MENG'!$AA$3:$AA$1002,"&lt;"&amp;EOMONTH(AW19,0))</f>
        <v>0</v>
      </c>
      <c r="AX21" s="20">
        <f>COUNTIFS('7.MENG'!$AA$3:$AA$1002,"&gt;"&amp;AX19,'7.MENG'!$AA$3:$AA$1002,"&lt;"&amp;EOMONTH(AX19,0))</f>
        <v>0</v>
      </c>
      <c r="AY21" s="20">
        <f>COUNTIFS('7.MENG'!$AA$3:$AA$1002,"&gt;"&amp;AY19,'7.MENG'!$AA$3:$AA$1002,"&lt;"&amp;EOMONTH(AY19,0))</f>
        <v>0</v>
      </c>
      <c r="AZ21" s="20">
        <f>COUNTIFS('7.MENG'!$AA$3:$AA$1002,"&gt;"&amp;AZ19,'7.MENG'!$AA$3:$AA$1002,"&lt;"&amp;EOMONTH(AZ19,0))</f>
        <v>0</v>
      </c>
      <c r="BA21" s="20">
        <f>COUNTIFS('7.MENG'!$AA$3:$AA$1002,"&gt;"&amp;BA19,'7.MENG'!$AA$3:$AA$1002,"&lt;"&amp;EOMONTH(BA19,0))</f>
        <v>0</v>
      </c>
      <c r="BB21" s="20">
        <f>COUNTIFS('7.MENG'!$AA$3:$AA$1002,"&gt;"&amp;BB19,'7.MENG'!$AA$3:$AA$1002,"&lt;"&amp;EOMONTH(BB19,0))</f>
        <v>0</v>
      </c>
      <c r="BC21" s="20">
        <f>COUNTIFS('7.MENG'!$AA$3:$AA$1002,"&gt;"&amp;BC19,'7.MENG'!$AA$3:$AA$1002,"&lt;"&amp;EOMONTH(BC19,0))</f>
        <v>0</v>
      </c>
      <c r="BD21" s="20">
        <f>COUNTIFS('7.MENG'!$AA$3:$AA$1002,"&gt;"&amp;BD19,'7.MENG'!$AA$3:$AA$1002,"&lt;"&amp;EOMONTH(BD19,0))</f>
        <v>0</v>
      </c>
      <c r="BE21" s="20">
        <f>COUNTIFS('7.MENG'!$AA$3:$AA$1002,"&gt;"&amp;BE19,'7.MENG'!$AA$3:$AA$1002,"&lt;"&amp;EOMONTH(BE19,0))</f>
        <v>0</v>
      </c>
      <c r="BF21" s="20"/>
    </row>
    <row r="22" spans="2:58" x14ac:dyDescent="0.3">
      <c r="B22" s="3"/>
      <c r="AC22" s="4"/>
      <c r="AP22" s="20"/>
      <c r="AQ22" s="20"/>
      <c r="AR22" s="20"/>
      <c r="AS22" s="20"/>
      <c r="AT22" s="20"/>
      <c r="AU22" s="20"/>
      <c r="AV22" s="20"/>
      <c r="AW22" s="20"/>
      <c r="AX22" s="20"/>
      <c r="AY22" s="20"/>
      <c r="AZ22" s="20"/>
      <c r="BA22" s="20"/>
      <c r="BB22" s="20"/>
      <c r="BC22" s="20"/>
      <c r="BD22" s="20"/>
      <c r="BE22" s="20"/>
      <c r="BF22" s="20"/>
    </row>
    <row r="23" spans="2:58" x14ac:dyDescent="0.3">
      <c r="B23" s="3"/>
      <c r="AC23" s="4"/>
      <c r="AP23" s="20"/>
      <c r="AQ23" s="20"/>
      <c r="AR23" s="20"/>
      <c r="AS23" s="20"/>
      <c r="AT23" s="20"/>
      <c r="AU23" s="20"/>
      <c r="AV23" s="20"/>
      <c r="AW23" s="20"/>
      <c r="AX23" s="20"/>
      <c r="AY23" s="20"/>
      <c r="AZ23" s="20"/>
      <c r="BA23" s="20"/>
      <c r="BB23" s="20"/>
      <c r="BC23" s="20"/>
      <c r="BD23" s="20"/>
      <c r="BE23" s="20"/>
      <c r="BF23" s="20"/>
    </row>
    <row r="24" spans="2:58" x14ac:dyDescent="0.3">
      <c r="B24" s="3"/>
      <c r="AC24" s="4"/>
      <c r="AQ24" s="64"/>
      <c r="BC24" s="20"/>
      <c r="BD24" s="20"/>
      <c r="BE24" s="20"/>
      <c r="BF24" s="20"/>
    </row>
    <row r="25" spans="2:58" x14ac:dyDescent="0.3">
      <c r="B25" s="3"/>
      <c r="AC25" s="4"/>
    </row>
    <row r="26" spans="2:58" x14ac:dyDescent="0.3">
      <c r="B26" s="3"/>
      <c r="AC26" s="4"/>
    </row>
    <row r="27" spans="2:58" x14ac:dyDescent="0.3">
      <c r="B27" s="3"/>
      <c r="AC27" s="4"/>
    </row>
    <row r="28" spans="2:58" x14ac:dyDescent="0.3">
      <c r="B28" s="3"/>
      <c r="C28" s="16"/>
      <c r="D28" s="16"/>
      <c r="E28" s="16"/>
      <c r="F28" s="16"/>
      <c r="AC28" s="4"/>
    </row>
    <row r="29" spans="2:58" x14ac:dyDescent="0.3">
      <c r="B29" s="3"/>
      <c r="AC29" s="4"/>
    </row>
    <row r="30" spans="2:58" x14ac:dyDescent="0.3">
      <c r="B30" s="3"/>
      <c r="AC30" s="4"/>
    </row>
    <row r="31" spans="2:58" x14ac:dyDescent="0.3">
      <c r="B31" s="3"/>
      <c r="AC31" s="4"/>
    </row>
    <row r="32" spans="2:58" x14ac:dyDescent="0.3">
      <c r="B32" s="3"/>
      <c r="AC32" s="4"/>
    </row>
    <row r="33" spans="2:29" x14ac:dyDescent="0.3">
      <c r="B33" s="3"/>
      <c r="AC33" s="4"/>
    </row>
    <row r="34" spans="2:29" x14ac:dyDescent="0.3">
      <c r="B34" s="3"/>
      <c r="AC34" s="4"/>
    </row>
    <row r="35" spans="2:29" x14ac:dyDescent="0.3">
      <c r="B35" s="3"/>
      <c r="AC35" s="4"/>
    </row>
    <row r="36" spans="2:29" x14ac:dyDescent="0.3">
      <c r="B36" s="3"/>
      <c r="AC36" s="4"/>
    </row>
    <row r="37" spans="2:29" x14ac:dyDescent="0.3">
      <c r="B37" s="3"/>
      <c r="AC37" s="4"/>
    </row>
    <row r="38" spans="2:29" ht="15" thickBot="1" x14ac:dyDescent="0.35">
      <c r="B38" s="3"/>
      <c r="AC38" s="4"/>
    </row>
    <row r="39" spans="2:29" ht="15" thickBot="1" x14ac:dyDescent="0.35">
      <c r="B39" s="13" t="s">
        <v>16</v>
      </c>
      <c r="C39" s="17"/>
      <c r="D39" s="17"/>
      <c r="E39" s="17"/>
      <c r="F39" s="18"/>
      <c r="G39" s="1"/>
      <c r="H39" s="1"/>
      <c r="I39" s="1"/>
      <c r="J39" s="1"/>
      <c r="K39" s="1"/>
      <c r="L39" s="1"/>
      <c r="M39" s="1"/>
      <c r="N39" s="1"/>
      <c r="O39" s="1"/>
      <c r="P39" s="1"/>
      <c r="Q39" s="1"/>
      <c r="R39" s="1"/>
      <c r="S39" s="1"/>
      <c r="T39" s="1"/>
      <c r="U39" s="1"/>
      <c r="V39" s="1"/>
      <c r="W39" s="1"/>
      <c r="X39" s="1"/>
      <c r="Y39" s="1"/>
      <c r="Z39" s="1"/>
      <c r="AA39" s="1"/>
      <c r="AB39" s="1"/>
      <c r="AC39" s="2"/>
    </row>
    <row r="40" spans="2:29" x14ac:dyDescent="0.3">
      <c r="B40" s="3"/>
      <c r="AC40" s="4"/>
    </row>
    <row r="41" spans="2:29" x14ac:dyDescent="0.3">
      <c r="B41" s="3"/>
      <c r="AC41" s="4"/>
    </row>
    <row r="42" spans="2:29" x14ac:dyDescent="0.3">
      <c r="B42" s="3"/>
      <c r="AC42" s="4"/>
    </row>
    <row r="43" spans="2:29" x14ac:dyDescent="0.3">
      <c r="B43" s="3"/>
      <c r="AC43" s="4"/>
    </row>
    <row r="44" spans="2:29" x14ac:dyDescent="0.3">
      <c r="B44" s="3"/>
      <c r="AC44" s="4"/>
    </row>
    <row r="45" spans="2:29" ht="15" thickBot="1" x14ac:dyDescent="0.35">
      <c r="B45" s="5"/>
      <c r="C45" s="6"/>
      <c r="D45" s="6"/>
      <c r="E45" s="6"/>
      <c r="F45" s="6"/>
      <c r="G45" s="6"/>
      <c r="H45" s="6"/>
      <c r="I45" s="6"/>
      <c r="J45" s="6"/>
      <c r="K45" s="6"/>
      <c r="L45" s="6"/>
      <c r="M45" s="6"/>
      <c r="N45" s="6"/>
      <c r="O45" s="6"/>
      <c r="P45" s="6"/>
      <c r="Q45" s="6"/>
      <c r="R45" s="6"/>
      <c r="S45" s="6"/>
      <c r="T45" s="6"/>
      <c r="U45" s="6"/>
      <c r="V45" s="6"/>
      <c r="W45" s="6"/>
      <c r="X45" s="6"/>
      <c r="Y45" s="6"/>
      <c r="Z45" s="6"/>
      <c r="AA45" s="6"/>
      <c r="AB45" s="6"/>
      <c r="AC45" s="7"/>
    </row>
  </sheetData>
  <customSheetViews>
    <customSheetView guid="{0EF03FB2-E8B1-47F2-9208-E204933E1F15}" showGridLines="0">
      <pageMargins left="0.7" right="0.7" top="0.75" bottom="0.75" header="0.3" footer="0.3"/>
      <pageSetup orientation="portrait" r:id="rId1"/>
    </customSheetView>
    <customSheetView guid="{41F7FD2A-BA5B-4731-A557-2BD58F51B02E}" showGridLines="0">
      <pageMargins left="0.7" right="0.7" top="0.75" bottom="0.75" header="0.3" footer="0.3"/>
      <pageSetup orientation="portrait" r:id="rId2"/>
    </customSheetView>
    <customSheetView guid="{850E940B-2428-4553-BF71-40EDCB2E1D07}" showGridLines="0">
      <pageMargins left="0.7" right="0.7" top="0.75" bottom="0.75" header="0.3" footer="0.3"/>
      <pageSetup orientation="portrait" r:id="rId3"/>
    </customSheetView>
    <customSheetView guid="{CF0A3741-DD40-423F-97D7-0C00E4DC3A32}" showGridLines="0">
      <pageMargins left="0.7" right="0.7" top="0.75" bottom="0.75" header="0.3" footer="0.3"/>
      <pageSetup orientation="portrait" r:id="rId4"/>
    </customSheetView>
  </customSheetViews>
  <mergeCells count="11">
    <mergeCell ref="C7:J7"/>
    <mergeCell ref="Q6:X6"/>
    <mergeCell ref="Y4:AC4"/>
    <mergeCell ref="B4:F4"/>
    <mergeCell ref="K6:N6"/>
    <mergeCell ref="C6:J6"/>
    <mergeCell ref="Q7:X7"/>
    <mergeCell ref="Y7:AB7"/>
    <mergeCell ref="K7:M7"/>
    <mergeCell ref="AA6:AB6"/>
    <mergeCell ref="Y6:Z6"/>
  </mergeCells>
  <pageMargins left="0.7" right="0.7" top="0.75" bottom="0.75" header="0.3" footer="0.3"/>
  <pageSetup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vt:i4>
      </vt:variant>
    </vt:vector>
  </HeadingPairs>
  <TitlesOfParts>
    <vt:vector size="8" baseType="lpstr">
      <vt:lpstr>DMS_SAP</vt:lpstr>
      <vt:lpstr>Aide</vt:lpstr>
      <vt:lpstr>creationSap</vt:lpstr>
      <vt:lpstr>list</vt:lpstr>
      <vt:lpstr>Chemin_accès</vt:lpstr>
      <vt:lpstr>7.MENG</vt:lpstr>
      <vt:lpstr>KPI</vt:lpstr>
      <vt:lpstr>'7.MENG'!Zone_d_impression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Chaix, Florian</dc:creator>
  <cp:lastModifiedBy>Marquenet, Nilane</cp:lastModifiedBy>
  <cp:lastPrinted>2022-02-24T13:51:46Z</cp:lastPrinted>
  <dcterms:created xsi:type="dcterms:W3CDTF">2006-09-16T00:00:00Z</dcterms:created>
  <dcterms:modified xsi:type="dcterms:W3CDTF">2026-09-28T07:57:05Z</dcterms:modified>
</cp:coreProperties>
</file>