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Commun\BT METHODES Maintenance\MARQUENET\10 - Projets\10 - 010 - ERP IFS\10 - PeTools\"/>
    </mc:Choice>
  </mc:AlternateContent>
  <xr:revisionPtr revIDLastSave="0" documentId="13_ncr:1_{E2866441-4BC4-451D-BE04-A28D5645642F}" xr6:coauthVersionLast="47" xr6:coauthVersionMax="47" xr10:uidLastSave="{00000000-0000-0000-0000-000000000000}"/>
  <bookViews>
    <workbookView xWindow="-28920" yWindow="-105" windowWidth="29040" windowHeight="15840" firstSheet="1" activeTab="5" xr2:uid="{00000000-000D-0000-FFFF-FFFF00000000}"/>
  </bookViews>
  <sheets>
    <sheet name="DMS_SAP" sheetId="24" state="hidden" r:id="rId1"/>
    <sheet name="Aide" sheetId="26" r:id="rId2"/>
    <sheet name="creationSap" sheetId="8" r:id="rId3"/>
    <sheet name="list" sheetId="19" r:id="rId4"/>
    <sheet name="Chemin_accès" sheetId="21" r:id="rId5"/>
    <sheet name="7.MNRJ" sheetId="1" r:id="rId6"/>
    <sheet name="KPI" sheetId="10" r:id="rId7"/>
  </sheets>
  <functionGroups builtInGroupCount="19"/>
  <externalReferences>
    <externalReference r:id="rId8"/>
  </externalReferences>
  <definedNames>
    <definedName name="_xlnm._FilterDatabase" localSheetId="5" hidden="1">'7.MNRJ'!$A$2:$AB$2</definedName>
    <definedName name="TEST1" localSheetId="0">#REF!</definedName>
    <definedName name="TEST1">'[1]Listing DMS MDD'!#REF!</definedName>
    <definedName name="TEST2" localSheetId="0">#REF!</definedName>
    <definedName name="TEST2">'[1]Listing DMS MDD'!#REF!</definedName>
    <definedName name="TEST3" localSheetId="0">#REF!</definedName>
    <definedName name="TEST3">'[1]Listing DMS MDD'!#REF!</definedName>
    <definedName name="TESTKEYS" localSheetId="0">#REF!</definedName>
    <definedName name="TESTKEYS">'[1]Listing DMS MDD'!#REF!</definedName>
    <definedName name="TESTVKEY">#REF!</definedName>
    <definedName name="Z_0EF03FB2_E8B1_47F2_9208_E204933E1F15_.wvu.FilterData" localSheetId="5" hidden="1">'7.MNRJ'!$F$2:$AB$2</definedName>
    <definedName name="Z_0EF03FB2_E8B1_47F2_9208_E204933E1F15_.wvu.PrintArea" localSheetId="5" hidden="1">'7.MNRJ'!$H$2:$W$428</definedName>
    <definedName name="Z_41F7FD2A_BA5B_4731_A557_2BD58F51B02E_.wvu.FilterData" localSheetId="5" hidden="1">'7.MNRJ'!$F$2:$AB$2</definedName>
    <definedName name="Z_41F7FD2A_BA5B_4731_A557_2BD58F51B02E_.wvu.PrintArea" localSheetId="5" hidden="1">'7.MNRJ'!$H$2:$W$428</definedName>
    <definedName name="Z_850E940B_2428_4553_BF71_40EDCB2E1D07_.wvu.FilterData" localSheetId="5" hidden="1">'7.MNRJ'!$F$2:$AB$2</definedName>
    <definedName name="Z_850E940B_2428_4553_BF71_40EDCB2E1D07_.wvu.PrintArea" localSheetId="5" hidden="1">'7.MNRJ'!$H$2:$W$428</definedName>
    <definedName name="Z_CF0A3741_DD40_423F_97D7_0C00E4DC3A32_.wvu.FilterData" localSheetId="5" hidden="1">'7.MNRJ'!$F$2:$AB$2</definedName>
    <definedName name="Z_CF0A3741_DD40_423F_97D7_0C00E4DC3A32_.wvu.PrintArea" localSheetId="5" hidden="1">'7.MNRJ'!$H$2:$W$428</definedName>
    <definedName name="_xlnm.Print_Area" localSheetId="5">'7.MNRJ'!$A$454:$R$479</definedName>
  </definedNames>
  <calcPr calcId="191029"/>
  <customWorkbookViews>
    <customWorkbookView name="Ozouf, Mathieu - Affichage personnalisé" guid="{CF0A3741-DD40-423F-97D7-0C00E4DC3A32}" mergeInterval="0" personalView="1" maximized="1" xWindow="-9" yWindow="-9" windowWidth="1938" windowHeight="1048" activeSheetId="9"/>
    <customWorkbookView name="Valzolgher, Marie - Affichage personnalisé" guid="{850E940B-2428-4553-BF71-40EDCB2E1D07}" mergeInterval="0" personalView="1" maximized="1" windowWidth="1680" windowHeight="825" activeSheetId="4"/>
    <customWorkbookView name="Barentin, Fabrice - Affichage personnalisé" guid="{41F7FD2A-BA5B-4731-A557-2BD58F51B02E}" mergeInterval="0" personalView="1" maximized="1" windowWidth="1680" windowHeight="803" activeSheetId="17"/>
    <customWorkbookView name="Chaix, Florian - Affichage personnalisé" guid="{0EF03FB2-E8B1-47F2-9208-E204933E1F15}" mergeInterval="0" personalView="1" maximized="1" xWindow="-8" yWindow="-8" windowWidth="1936" windowHeight="105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10" l="1"/>
  <c r="K7" i="10"/>
  <c r="AQ20" i="10"/>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BF20" i="10"/>
  <c r="BG20" i="10"/>
  <c r="BH20" i="10"/>
  <c r="BI20" i="10"/>
  <c r="BJ20" i="10"/>
  <c r="BK20" i="10"/>
  <c r="BL20" i="10"/>
  <c r="BM20" i="10"/>
  <c r="BN20" i="10"/>
  <c r="BO20" i="10"/>
  <c r="BP20" i="10"/>
  <c r="BQ20" i="10"/>
  <c r="BF21" i="10"/>
  <c r="BG21" i="10"/>
  <c r="BH21" i="10"/>
  <c r="BI21" i="10"/>
  <c r="BJ21" i="10"/>
  <c r="BK21" i="10"/>
  <c r="BL21" i="10"/>
  <c r="BM21" i="10"/>
  <c r="BN21" i="10"/>
  <c r="BO21" i="10"/>
  <c r="BP21" i="10"/>
  <c r="BQ21" i="10"/>
  <c r="AV20" i="10" l="1"/>
  <c r="AW20" i="10"/>
  <c r="A6" i="26" l="1"/>
  <c r="A4" i="26"/>
  <c r="A2" i="26"/>
  <c r="BE21" i="10" l="1"/>
  <c r="BD21" i="10"/>
  <c r="BC21" i="10"/>
  <c r="BB21" i="10"/>
  <c r="BA21" i="10"/>
  <c r="AZ21" i="10"/>
  <c r="AY21" i="10"/>
  <c r="AX21" i="10"/>
  <c r="AW21" i="10"/>
  <c r="AV21" i="10"/>
  <c r="AU21" i="10"/>
  <c r="AT21" i="10"/>
  <c r="AS21" i="10"/>
  <c r="AR21" i="10"/>
  <c r="AQ21" i="10"/>
  <c r="BE20" i="10"/>
  <c r="BD20" i="10"/>
  <c r="BC20" i="10"/>
  <c r="BB20" i="10"/>
  <c r="BA20" i="10"/>
  <c r="AZ20" i="10"/>
  <c r="AY20" i="10"/>
  <c r="AX20" i="10"/>
  <c r="AU20" i="10"/>
  <c r="AT20" i="10"/>
  <c r="AS20" i="10"/>
  <c r="AR20" i="10"/>
  <c r="Y6" i="10"/>
  <c r="AD3" i="1" l="1"/>
  <c r="AD4" i="1"/>
  <c r="AD5" i="1"/>
  <c r="AD6" i="1"/>
  <c r="AD7" i="1"/>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D979" i="1"/>
  <c r="AD980" i="1"/>
  <c r="AD981" i="1"/>
  <c r="AD982" i="1"/>
  <c r="AD983" i="1"/>
  <c r="AD984" i="1"/>
  <c r="AD985" i="1"/>
  <c r="AD986" i="1"/>
  <c r="AD987" i="1"/>
  <c r="AD988" i="1"/>
  <c r="AD989" i="1"/>
  <c r="AD990" i="1"/>
  <c r="AD991" i="1"/>
  <c r="AD992" i="1"/>
  <c r="AD993" i="1"/>
  <c r="AD994" i="1"/>
  <c r="AD995" i="1"/>
  <c r="AD996" i="1"/>
  <c r="AD997" i="1"/>
  <c r="AD998" i="1"/>
  <c r="AD999" i="1"/>
  <c r="AD1000" i="1"/>
  <c r="AD1001" i="1"/>
  <c r="T9" i="1" l="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AR17" i="10" l="1"/>
  <c r="AR12" i="10"/>
  <c r="Y4" i="10"/>
  <c r="AC1001" i="1"/>
  <c r="AB1001" i="1"/>
  <c r="A1001" i="1"/>
  <c r="AC1000" i="1"/>
  <c r="AB1000" i="1"/>
  <c r="A1000" i="1"/>
  <c r="AC999" i="1"/>
  <c r="AB999" i="1"/>
  <c r="A999" i="1"/>
  <c r="W999" i="1" s="1"/>
  <c r="AC998" i="1"/>
  <c r="AB998" i="1"/>
  <c r="A998" i="1"/>
  <c r="AC997" i="1"/>
  <c r="AB997" i="1"/>
  <c r="A997" i="1"/>
  <c r="W997" i="1" s="1"/>
  <c r="AC996" i="1"/>
  <c r="AB996" i="1"/>
  <c r="A996" i="1"/>
  <c r="AC995" i="1"/>
  <c r="AB995" i="1"/>
  <c r="A995" i="1"/>
  <c r="AC994" i="1"/>
  <c r="AB994" i="1"/>
  <c r="A994" i="1"/>
  <c r="AC993" i="1"/>
  <c r="AB993" i="1"/>
  <c r="A993" i="1"/>
  <c r="AC992" i="1"/>
  <c r="AB992" i="1"/>
  <c r="A992" i="1"/>
  <c r="AC991" i="1"/>
  <c r="AB991" i="1"/>
  <c r="A991" i="1"/>
  <c r="W991" i="1" s="1"/>
  <c r="AC990" i="1"/>
  <c r="AB990" i="1"/>
  <c r="A990" i="1"/>
  <c r="AC989" i="1"/>
  <c r="AB989" i="1"/>
  <c r="A989" i="1"/>
  <c r="AC988" i="1"/>
  <c r="AB988" i="1"/>
  <c r="A988" i="1"/>
  <c r="AC987" i="1"/>
  <c r="AB987" i="1"/>
  <c r="A987" i="1"/>
  <c r="AC986" i="1"/>
  <c r="AB986" i="1"/>
  <c r="A986" i="1"/>
  <c r="AC985" i="1"/>
  <c r="AB985" i="1"/>
  <c r="A985" i="1"/>
  <c r="AC984" i="1"/>
  <c r="AB984" i="1"/>
  <c r="A984" i="1"/>
  <c r="W984" i="1" s="1"/>
  <c r="AC983" i="1"/>
  <c r="AB983" i="1"/>
  <c r="A983" i="1"/>
  <c r="W983" i="1" s="1"/>
  <c r="AC982" i="1"/>
  <c r="AB982" i="1"/>
  <c r="A982" i="1"/>
  <c r="AC981" i="1"/>
  <c r="AB981" i="1"/>
  <c r="A981" i="1"/>
  <c r="AC980" i="1"/>
  <c r="AB980" i="1"/>
  <c r="A980" i="1"/>
  <c r="AC979" i="1"/>
  <c r="AB979" i="1"/>
  <c r="A979" i="1"/>
  <c r="AC978" i="1"/>
  <c r="AB978" i="1"/>
  <c r="A978" i="1"/>
  <c r="AC977" i="1"/>
  <c r="AB977" i="1"/>
  <c r="A977" i="1"/>
  <c r="AC976" i="1"/>
  <c r="AB976" i="1"/>
  <c r="A976" i="1"/>
  <c r="AC975" i="1"/>
  <c r="AB975" i="1"/>
  <c r="A975" i="1"/>
  <c r="W975" i="1" s="1"/>
  <c r="AC974" i="1"/>
  <c r="AB974" i="1"/>
  <c r="A974" i="1"/>
  <c r="AC973" i="1"/>
  <c r="AB973" i="1"/>
  <c r="A973" i="1"/>
  <c r="AC972" i="1"/>
  <c r="AB972" i="1"/>
  <c r="A972" i="1"/>
  <c r="AC971" i="1"/>
  <c r="AB971" i="1"/>
  <c r="A971" i="1"/>
  <c r="AC970" i="1"/>
  <c r="AB970" i="1"/>
  <c r="A970" i="1"/>
  <c r="AC969" i="1"/>
  <c r="AB969" i="1"/>
  <c r="A969" i="1"/>
  <c r="AC968" i="1"/>
  <c r="AB968" i="1"/>
  <c r="A968" i="1"/>
  <c r="W968" i="1" s="1"/>
  <c r="AC967" i="1"/>
  <c r="AB967" i="1"/>
  <c r="A967" i="1"/>
  <c r="W967" i="1" s="1"/>
  <c r="AC966" i="1"/>
  <c r="AB966" i="1"/>
  <c r="A966" i="1"/>
  <c r="AC965" i="1"/>
  <c r="AB965" i="1"/>
  <c r="A965" i="1"/>
  <c r="AC964" i="1"/>
  <c r="AB964" i="1"/>
  <c r="A964" i="1"/>
  <c r="AC963" i="1"/>
  <c r="AB963" i="1"/>
  <c r="A963" i="1"/>
  <c r="AC962" i="1"/>
  <c r="AB962" i="1"/>
  <c r="A962" i="1"/>
  <c r="AC961" i="1"/>
  <c r="AB961" i="1"/>
  <c r="A961" i="1"/>
  <c r="W961" i="1" s="1"/>
  <c r="AC960" i="1"/>
  <c r="AB960" i="1"/>
  <c r="A960" i="1"/>
  <c r="AC959" i="1"/>
  <c r="AB959" i="1"/>
  <c r="A959" i="1"/>
  <c r="W959" i="1" s="1"/>
  <c r="AC958" i="1"/>
  <c r="AB958" i="1"/>
  <c r="A958" i="1"/>
  <c r="AC957" i="1"/>
  <c r="AB957" i="1"/>
  <c r="A957" i="1"/>
  <c r="AC956" i="1"/>
  <c r="AB956" i="1"/>
  <c r="A956" i="1"/>
  <c r="AC955" i="1"/>
  <c r="AB955" i="1"/>
  <c r="A955" i="1"/>
  <c r="AC954" i="1"/>
  <c r="AB954" i="1"/>
  <c r="A954" i="1"/>
  <c r="AC953" i="1"/>
  <c r="AB953" i="1"/>
  <c r="A953" i="1"/>
  <c r="AC952" i="1"/>
  <c r="AB952" i="1"/>
  <c r="A952" i="1"/>
  <c r="AC951" i="1"/>
  <c r="AB951" i="1"/>
  <c r="A951" i="1"/>
  <c r="W951" i="1" s="1"/>
  <c r="AC950" i="1"/>
  <c r="AB950" i="1"/>
  <c r="A950" i="1"/>
  <c r="AC949" i="1"/>
  <c r="AB949" i="1"/>
  <c r="A949" i="1"/>
  <c r="AC948" i="1"/>
  <c r="AB948" i="1"/>
  <c r="A948" i="1"/>
  <c r="AC947" i="1"/>
  <c r="AB947" i="1"/>
  <c r="A947" i="1"/>
  <c r="AC946" i="1"/>
  <c r="AB946" i="1"/>
  <c r="A946" i="1"/>
  <c r="AC945" i="1"/>
  <c r="AB945" i="1"/>
  <c r="A945" i="1"/>
  <c r="AC944" i="1"/>
  <c r="AB944" i="1"/>
  <c r="A944" i="1"/>
  <c r="AC943" i="1"/>
  <c r="AB943" i="1"/>
  <c r="A943" i="1"/>
  <c r="W943" i="1" s="1"/>
  <c r="AC942" i="1"/>
  <c r="AB942" i="1"/>
  <c r="A942" i="1"/>
  <c r="AC941" i="1"/>
  <c r="AB941" i="1"/>
  <c r="A941" i="1"/>
  <c r="AC940" i="1"/>
  <c r="AB940" i="1"/>
  <c r="A940" i="1"/>
  <c r="AC939" i="1"/>
  <c r="AB939" i="1"/>
  <c r="A939" i="1"/>
  <c r="AC938" i="1"/>
  <c r="AB938" i="1"/>
  <c r="A938" i="1"/>
  <c r="AC937" i="1"/>
  <c r="AB937" i="1"/>
  <c r="A937" i="1"/>
  <c r="AC936" i="1"/>
  <c r="AB936" i="1"/>
  <c r="A936" i="1"/>
  <c r="AC935" i="1"/>
  <c r="AB935" i="1"/>
  <c r="A935" i="1"/>
  <c r="W935" i="1" s="1"/>
  <c r="AC934" i="1"/>
  <c r="AB934" i="1"/>
  <c r="A934" i="1"/>
  <c r="AC933" i="1"/>
  <c r="AB933" i="1"/>
  <c r="A933" i="1"/>
  <c r="AC932" i="1"/>
  <c r="AB932" i="1"/>
  <c r="A932" i="1"/>
  <c r="AC931" i="1"/>
  <c r="AB931" i="1"/>
  <c r="A931" i="1"/>
  <c r="AC930" i="1"/>
  <c r="AB930" i="1"/>
  <c r="A930" i="1"/>
  <c r="AC929" i="1"/>
  <c r="AB929" i="1"/>
  <c r="A929" i="1"/>
  <c r="W929" i="1" s="1"/>
  <c r="AC928" i="1"/>
  <c r="AB928" i="1"/>
  <c r="A928" i="1"/>
  <c r="AC927" i="1"/>
  <c r="AB927" i="1"/>
  <c r="A927" i="1"/>
  <c r="W927" i="1" s="1"/>
  <c r="AC926" i="1"/>
  <c r="AB926" i="1"/>
  <c r="A926" i="1"/>
  <c r="AC925" i="1"/>
  <c r="AB925" i="1"/>
  <c r="A925" i="1"/>
  <c r="AC924" i="1"/>
  <c r="AB924" i="1"/>
  <c r="A924" i="1"/>
  <c r="AC923" i="1"/>
  <c r="AB923" i="1"/>
  <c r="A923" i="1"/>
  <c r="AC922" i="1"/>
  <c r="AB922" i="1"/>
  <c r="A922" i="1"/>
  <c r="AC921" i="1"/>
  <c r="AB921" i="1"/>
  <c r="A921" i="1"/>
  <c r="AC920" i="1"/>
  <c r="AB920" i="1"/>
  <c r="A920" i="1"/>
  <c r="AC919" i="1"/>
  <c r="AB919" i="1"/>
  <c r="A919" i="1"/>
  <c r="W919" i="1" s="1"/>
  <c r="AC918" i="1"/>
  <c r="AB918" i="1"/>
  <c r="A918" i="1"/>
  <c r="AC917" i="1"/>
  <c r="AB917" i="1"/>
  <c r="A917" i="1"/>
  <c r="AC916" i="1"/>
  <c r="AB916" i="1"/>
  <c r="A916" i="1"/>
  <c r="AC915" i="1"/>
  <c r="AB915" i="1"/>
  <c r="A915" i="1"/>
  <c r="AC914" i="1"/>
  <c r="AB914" i="1"/>
  <c r="A914" i="1"/>
  <c r="AC913" i="1"/>
  <c r="AB913" i="1"/>
  <c r="A913" i="1"/>
  <c r="W913" i="1" s="1"/>
  <c r="AC912" i="1"/>
  <c r="AB912" i="1"/>
  <c r="A912" i="1"/>
  <c r="AC911" i="1"/>
  <c r="AB911" i="1"/>
  <c r="A911" i="1"/>
  <c r="W911" i="1" s="1"/>
  <c r="AC910" i="1"/>
  <c r="AB910" i="1"/>
  <c r="A910" i="1"/>
  <c r="AC909" i="1"/>
  <c r="AB909" i="1"/>
  <c r="A909" i="1"/>
  <c r="AC908" i="1"/>
  <c r="AB908" i="1"/>
  <c r="A908" i="1"/>
  <c r="AC907" i="1"/>
  <c r="AB907" i="1"/>
  <c r="A907" i="1"/>
  <c r="AC906" i="1"/>
  <c r="AB906" i="1"/>
  <c r="A906" i="1"/>
  <c r="W906" i="1" s="1"/>
  <c r="AC905" i="1"/>
  <c r="AB905" i="1"/>
  <c r="A905" i="1"/>
  <c r="AC904" i="1"/>
  <c r="AB904" i="1"/>
  <c r="A904" i="1"/>
  <c r="W904" i="1" s="1"/>
  <c r="AC903" i="1"/>
  <c r="AB903" i="1"/>
  <c r="A903" i="1"/>
  <c r="W903" i="1" s="1"/>
  <c r="AC902" i="1"/>
  <c r="AB902" i="1"/>
  <c r="A902" i="1"/>
  <c r="AC901" i="1"/>
  <c r="AB901" i="1"/>
  <c r="A901" i="1"/>
  <c r="AC900" i="1"/>
  <c r="AB900" i="1"/>
  <c r="A900" i="1"/>
  <c r="AC899" i="1"/>
  <c r="AB899" i="1"/>
  <c r="A899" i="1"/>
  <c r="AC898" i="1"/>
  <c r="AB898" i="1"/>
  <c r="A898" i="1"/>
  <c r="AC897" i="1"/>
  <c r="AB897" i="1"/>
  <c r="A897" i="1"/>
  <c r="AC896" i="1"/>
  <c r="AB896" i="1"/>
  <c r="A896" i="1"/>
  <c r="AC895" i="1"/>
  <c r="AB895" i="1"/>
  <c r="A895" i="1"/>
  <c r="W895" i="1" s="1"/>
  <c r="AC894" i="1"/>
  <c r="AB894" i="1"/>
  <c r="A894" i="1"/>
  <c r="AC893" i="1"/>
  <c r="AB893" i="1"/>
  <c r="A893" i="1"/>
  <c r="W893" i="1" s="1"/>
  <c r="AC892" i="1"/>
  <c r="AB892" i="1"/>
  <c r="A892" i="1"/>
  <c r="AC891" i="1"/>
  <c r="AB891" i="1"/>
  <c r="A891" i="1"/>
  <c r="AC890" i="1"/>
  <c r="AB890" i="1"/>
  <c r="A890" i="1"/>
  <c r="AC889" i="1"/>
  <c r="AB889" i="1"/>
  <c r="A889" i="1"/>
  <c r="AC888" i="1"/>
  <c r="AB888" i="1"/>
  <c r="A888" i="1"/>
  <c r="AC887" i="1"/>
  <c r="AB887" i="1"/>
  <c r="A887" i="1"/>
  <c r="W887" i="1" s="1"/>
  <c r="AC886" i="1"/>
  <c r="AB886" i="1"/>
  <c r="A886" i="1"/>
  <c r="AC885" i="1"/>
  <c r="AB885" i="1"/>
  <c r="A885" i="1"/>
  <c r="W885" i="1" s="1"/>
  <c r="AC884" i="1"/>
  <c r="AB884" i="1"/>
  <c r="A884" i="1"/>
  <c r="AC883" i="1"/>
  <c r="AB883" i="1"/>
  <c r="A883" i="1"/>
  <c r="AC882" i="1"/>
  <c r="AB882" i="1"/>
  <c r="A882" i="1"/>
  <c r="AC881" i="1"/>
  <c r="AB881" i="1"/>
  <c r="A881" i="1"/>
  <c r="AC880" i="1"/>
  <c r="AB880" i="1"/>
  <c r="A880" i="1"/>
  <c r="W880" i="1" s="1"/>
  <c r="AC879" i="1"/>
  <c r="AB879" i="1"/>
  <c r="A879" i="1"/>
  <c r="W879" i="1" s="1"/>
  <c r="AC878" i="1"/>
  <c r="AB878" i="1"/>
  <c r="A878" i="1"/>
  <c r="AC877" i="1"/>
  <c r="AB877" i="1"/>
  <c r="A877" i="1"/>
  <c r="AC876" i="1"/>
  <c r="AB876" i="1"/>
  <c r="A876" i="1"/>
  <c r="AC875" i="1"/>
  <c r="AB875" i="1"/>
  <c r="A875" i="1"/>
  <c r="AC874" i="1"/>
  <c r="AB874" i="1"/>
  <c r="A874" i="1"/>
  <c r="AC873" i="1"/>
  <c r="AB873" i="1"/>
  <c r="A873" i="1"/>
  <c r="AC872" i="1"/>
  <c r="AB872" i="1"/>
  <c r="A872" i="1"/>
  <c r="AC871" i="1"/>
  <c r="AB871" i="1"/>
  <c r="A871" i="1"/>
  <c r="W871" i="1" s="1"/>
  <c r="AC870" i="1"/>
  <c r="AB870" i="1"/>
  <c r="A870" i="1"/>
  <c r="W870" i="1" s="1"/>
  <c r="AC869" i="1"/>
  <c r="AB869" i="1"/>
  <c r="A869" i="1"/>
  <c r="AC868" i="1"/>
  <c r="AB868" i="1"/>
  <c r="A868" i="1"/>
  <c r="W868" i="1" s="1"/>
  <c r="AC867" i="1"/>
  <c r="AB867" i="1"/>
  <c r="A867" i="1"/>
  <c r="AC866" i="1"/>
  <c r="AB866" i="1"/>
  <c r="A866" i="1"/>
  <c r="AC865" i="1"/>
  <c r="AB865" i="1"/>
  <c r="A865" i="1"/>
  <c r="AC864" i="1"/>
  <c r="AB864" i="1"/>
  <c r="A864" i="1"/>
  <c r="AC863" i="1"/>
  <c r="AB863" i="1"/>
  <c r="A863" i="1"/>
  <c r="W863" i="1" s="1"/>
  <c r="AC862" i="1"/>
  <c r="AB862" i="1"/>
  <c r="A862" i="1"/>
  <c r="AC861" i="1"/>
  <c r="AB861" i="1"/>
  <c r="A861" i="1"/>
  <c r="AC860" i="1"/>
  <c r="AB860" i="1"/>
  <c r="A860" i="1"/>
  <c r="W860" i="1" s="1"/>
  <c r="AC859" i="1"/>
  <c r="AB859" i="1"/>
  <c r="A859" i="1"/>
  <c r="AC858" i="1"/>
  <c r="AB858" i="1"/>
  <c r="A858" i="1"/>
  <c r="AC857" i="1"/>
  <c r="AB857" i="1"/>
  <c r="A857" i="1"/>
  <c r="AC856" i="1"/>
  <c r="AB856" i="1"/>
  <c r="A856" i="1"/>
  <c r="AC855" i="1"/>
  <c r="AB855" i="1"/>
  <c r="A855" i="1"/>
  <c r="W855" i="1" s="1"/>
  <c r="AC854" i="1"/>
  <c r="AB854" i="1"/>
  <c r="A854" i="1"/>
  <c r="AC853" i="1"/>
  <c r="AB853" i="1"/>
  <c r="A853" i="1"/>
  <c r="AC852" i="1"/>
  <c r="AB852" i="1"/>
  <c r="A852" i="1"/>
  <c r="W852" i="1" s="1"/>
  <c r="AC851" i="1"/>
  <c r="AB851" i="1"/>
  <c r="A851" i="1"/>
  <c r="AC850" i="1"/>
  <c r="AB850" i="1"/>
  <c r="A850" i="1"/>
  <c r="AC849" i="1"/>
  <c r="AB849" i="1"/>
  <c r="A849" i="1"/>
  <c r="W849" i="1" s="1"/>
  <c r="AC848" i="1"/>
  <c r="AB848" i="1"/>
  <c r="A848" i="1"/>
  <c r="AC847" i="1"/>
  <c r="AB847" i="1"/>
  <c r="A847" i="1"/>
  <c r="W847" i="1" s="1"/>
  <c r="AC846" i="1"/>
  <c r="AB846" i="1"/>
  <c r="A846" i="1"/>
  <c r="AC845" i="1"/>
  <c r="AB845" i="1"/>
  <c r="A845" i="1"/>
  <c r="AC844" i="1"/>
  <c r="AB844" i="1"/>
  <c r="A844" i="1"/>
  <c r="W844" i="1" s="1"/>
  <c r="AC843" i="1"/>
  <c r="AB843" i="1"/>
  <c r="A843" i="1"/>
  <c r="AC842" i="1"/>
  <c r="AB842" i="1"/>
  <c r="A842" i="1"/>
  <c r="AC841" i="1"/>
  <c r="AB841" i="1"/>
  <c r="A841" i="1"/>
  <c r="W841" i="1" s="1"/>
  <c r="AC840" i="1"/>
  <c r="AB840" i="1"/>
  <c r="A840" i="1"/>
  <c r="AC839" i="1"/>
  <c r="AB839" i="1"/>
  <c r="A839" i="1"/>
  <c r="W839" i="1" s="1"/>
  <c r="AC838" i="1"/>
  <c r="AB838" i="1"/>
  <c r="A838" i="1"/>
  <c r="AC837" i="1"/>
  <c r="AB837" i="1"/>
  <c r="A837" i="1"/>
  <c r="AC836" i="1"/>
  <c r="AB836" i="1"/>
  <c r="A836" i="1"/>
  <c r="W836" i="1" s="1"/>
  <c r="AC835" i="1"/>
  <c r="AB835" i="1"/>
  <c r="A835" i="1"/>
  <c r="AC834" i="1"/>
  <c r="AB834" i="1"/>
  <c r="A834" i="1"/>
  <c r="AC833" i="1"/>
  <c r="AB833" i="1"/>
  <c r="A833" i="1"/>
  <c r="AC832" i="1"/>
  <c r="AB832" i="1"/>
  <c r="A832" i="1"/>
  <c r="AC831" i="1"/>
  <c r="AB831" i="1"/>
  <c r="A831" i="1"/>
  <c r="W831" i="1" s="1"/>
  <c r="AC830" i="1"/>
  <c r="AB830" i="1"/>
  <c r="A830" i="1"/>
  <c r="AC829" i="1"/>
  <c r="AB829" i="1"/>
  <c r="A829" i="1"/>
  <c r="AC828" i="1"/>
  <c r="AB828" i="1"/>
  <c r="A828" i="1"/>
  <c r="W828" i="1" s="1"/>
  <c r="AC827" i="1"/>
  <c r="AB827" i="1"/>
  <c r="A827" i="1"/>
  <c r="AC826" i="1"/>
  <c r="AB826" i="1"/>
  <c r="A826" i="1"/>
  <c r="AC825" i="1"/>
  <c r="AB825" i="1"/>
  <c r="A825" i="1"/>
  <c r="AC824" i="1"/>
  <c r="AB824" i="1"/>
  <c r="A824" i="1"/>
  <c r="AC823" i="1"/>
  <c r="AB823" i="1"/>
  <c r="A823" i="1"/>
  <c r="W823" i="1" s="1"/>
  <c r="AC822" i="1"/>
  <c r="AB822" i="1"/>
  <c r="A822" i="1"/>
  <c r="AC821" i="1"/>
  <c r="AB821" i="1"/>
  <c r="A821" i="1"/>
  <c r="AC820" i="1"/>
  <c r="AB820" i="1"/>
  <c r="A820" i="1"/>
  <c r="AC819" i="1"/>
  <c r="AB819" i="1"/>
  <c r="A819" i="1"/>
  <c r="W819" i="1" s="1"/>
  <c r="AC818" i="1"/>
  <c r="AB818" i="1"/>
  <c r="A818" i="1"/>
  <c r="AC817" i="1"/>
  <c r="AB817" i="1"/>
  <c r="A817" i="1"/>
  <c r="W817" i="1" s="1"/>
  <c r="AC816" i="1"/>
  <c r="AB816" i="1"/>
  <c r="A816" i="1"/>
  <c r="AC815" i="1"/>
  <c r="AB815" i="1"/>
  <c r="A815" i="1"/>
  <c r="W815" i="1" s="1"/>
  <c r="AC814" i="1"/>
  <c r="AB814" i="1"/>
  <c r="A814" i="1"/>
  <c r="AC813" i="1"/>
  <c r="AB813" i="1"/>
  <c r="A813" i="1"/>
  <c r="AC812" i="1"/>
  <c r="AB812" i="1"/>
  <c r="A812" i="1"/>
  <c r="W812" i="1" s="1"/>
  <c r="AC811" i="1"/>
  <c r="AB811" i="1"/>
  <c r="A811" i="1"/>
  <c r="W811" i="1" s="1"/>
  <c r="AC810" i="1"/>
  <c r="AB810" i="1"/>
  <c r="A810" i="1"/>
  <c r="AC809" i="1"/>
  <c r="AB809" i="1"/>
  <c r="A809" i="1"/>
  <c r="W809" i="1" s="1"/>
  <c r="AC808" i="1"/>
  <c r="AB808" i="1"/>
  <c r="A808" i="1"/>
  <c r="AC807" i="1"/>
  <c r="AB807" i="1"/>
  <c r="A807" i="1"/>
  <c r="W807" i="1" s="1"/>
  <c r="AC806" i="1"/>
  <c r="AB806" i="1"/>
  <c r="A806" i="1"/>
  <c r="AC805" i="1"/>
  <c r="AB805" i="1"/>
  <c r="A805" i="1"/>
  <c r="AC804" i="1"/>
  <c r="AB804" i="1"/>
  <c r="A804" i="1"/>
  <c r="AC803" i="1"/>
  <c r="AB803" i="1"/>
  <c r="A803" i="1"/>
  <c r="AC802" i="1"/>
  <c r="AB802" i="1"/>
  <c r="A802" i="1"/>
  <c r="AC801" i="1"/>
  <c r="AB801" i="1"/>
  <c r="A801" i="1"/>
  <c r="W801" i="1" s="1"/>
  <c r="AC800" i="1"/>
  <c r="AB800" i="1"/>
  <c r="A800" i="1"/>
  <c r="AC799" i="1"/>
  <c r="AB799" i="1"/>
  <c r="A799" i="1"/>
  <c r="W799" i="1" s="1"/>
  <c r="AC798" i="1"/>
  <c r="AB798" i="1"/>
  <c r="A798" i="1"/>
  <c r="AC797" i="1"/>
  <c r="AB797" i="1"/>
  <c r="A797" i="1"/>
  <c r="AC796" i="1"/>
  <c r="AB796" i="1"/>
  <c r="A796" i="1"/>
  <c r="AC795" i="1"/>
  <c r="AB795" i="1"/>
  <c r="A795" i="1"/>
  <c r="AC794" i="1"/>
  <c r="AB794" i="1"/>
  <c r="A794" i="1"/>
  <c r="AC793" i="1"/>
  <c r="AB793" i="1"/>
  <c r="A793" i="1"/>
  <c r="AC792" i="1"/>
  <c r="AB792" i="1"/>
  <c r="A792" i="1"/>
  <c r="AC791" i="1"/>
  <c r="AB791" i="1"/>
  <c r="A791" i="1"/>
  <c r="AC790" i="1"/>
  <c r="AB790" i="1"/>
  <c r="A790" i="1"/>
  <c r="AC789" i="1"/>
  <c r="AB789" i="1"/>
  <c r="A789" i="1"/>
  <c r="AC788" i="1"/>
  <c r="AB788" i="1"/>
  <c r="A788" i="1"/>
  <c r="AC787" i="1"/>
  <c r="AB787" i="1"/>
  <c r="A787" i="1"/>
  <c r="W787" i="1" s="1"/>
  <c r="AC786" i="1"/>
  <c r="AB786" i="1"/>
  <c r="A786" i="1"/>
  <c r="AC785" i="1"/>
  <c r="AB785" i="1"/>
  <c r="A785" i="1"/>
  <c r="AC784" i="1"/>
  <c r="AB784" i="1"/>
  <c r="A784" i="1"/>
  <c r="AC783" i="1"/>
  <c r="AB783" i="1"/>
  <c r="A783" i="1"/>
  <c r="AC782" i="1"/>
  <c r="AB782" i="1"/>
  <c r="A782" i="1"/>
  <c r="W782" i="1" s="1"/>
  <c r="AC781" i="1"/>
  <c r="AB781" i="1"/>
  <c r="A781" i="1"/>
  <c r="AC780" i="1"/>
  <c r="AB780" i="1"/>
  <c r="A780" i="1"/>
  <c r="AC779" i="1"/>
  <c r="AB779" i="1"/>
  <c r="A779" i="1"/>
  <c r="AC778" i="1"/>
  <c r="AB778" i="1"/>
  <c r="A778" i="1"/>
  <c r="AC777" i="1"/>
  <c r="AB777" i="1"/>
  <c r="A777" i="1"/>
  <c r="AC776" i="1"/>
  <c r="AB776" i="1"/>
  <c r="A776" i="1"/>
  <c r="AC775" i="1"/>
  <c r="AB775" i="1"/>
  <c r="A775" i="1"/>
  <c r="AC774" i="1"/>
  <c r="AB774" i="1"/>
  <c r="A774" i="1"/>
  <c r="W774" i="1" s="1"/>
  <c r="AC773" i="1"/>
  <c r="AB773" i="1"/>
  <c r="A773" i="1"/>
  <c r="AC772" i="1"/>
  <c r="AB772" i="1"/>
  <c r="A772" i="1"/>
  <c r="AC771" i="1"/>
  <c r="AB771" i="1"/>
  <c r="A771" i="1"/>
  <c r="AC770" i="1"/>
  <c r="AB770" i="1"/>
  <c r="A770" i="1"/>
  <c r="AC769" i="1"/>
  <c r="AB769" i="1"/>
  <c r="A769" i="1"/>
  <c r="AC768" i="1"/>
  <c r="AB768" i="1"/>
  <c r="A768" i="1"/>
  <c r="AC767" i="1"/>
  <c r="AB767" i="1"/>
  <c r="A767" i="1"/>
  <c r="AC766" i="1"/>
  <c r="AB766" i="1"/>
  <c r="A766" i="1"/>
  <c r="W766" i="1" s="1"/>
  <c r="AC765" i="1"/>
  <c r="AB765" i="1"/>
  <c r="A765" i="1"/>
  <c r="AC764" i="1"/>
  <c r="AB764" i="1"/>
  <c r="A764" i="1"/>
  <c r="AC763" i="1"/>
  <c r="AB763" i="1"/>
  <c r="A763" i="1"/>
  <c r="AC762" i="1"/>
  <c r="AB762" i="1"/>
  <c r="A762" i="1"/>
  <c r="AC761" i="1"/>
  <c r="AB761" i="1"/>
  <c r="A761" i="1"/>
  <c r="AC760" i="1"/>
  <c r="AB760" i="1"/>
  <c r="A760" i="1"/>
  <c r="AC759" i="1"/>
  <c r="AB759" i="1"/>
  <c r="A759" i="1"/>
  <c r="AC758" i="1"/>
  <c r="AB758" i="1"/>
  <c r="A758" i="1"/>
  <c r="W758" i="1" s="1"/>
  <c r="AC757" i="1"/>
  <c r="AB757" i="1"/>
  <c r="A757" i="1"/>
  <c r="AC756" i="1"/>
  <c r="AB756" i="1"/>
  <c r="A756" i="1"/>
  <c r="AC755" i="1"/>
  <c r="AB755" i="1"/>
  <c r="A755" i="1"/>
  <c r="AC754" i="1"/>
  <c r="AB754" i="1"/>
  <c r="A754" i="1"/>
  <c r="AC753" i="1"/>
  <c r="AB753" i="1"/>
  <c r="A753" i="1"/>
  <c r="AC752" i="1"/>
  <c r="AB752" i="1"/>
  <c r="A752" i="1"/>
  <c r="AC751" i="1"/>
  <c r="AB751" i="1"/>
  <c r="A751" i="1"/>
  <c r="AC750" i="1"/>
  <c r="AB750" i="1"/>
  <c r="A750" i="1"/>
  <c r="AC749" i="1"/>
  <c r="AB749" i="1"/>
  <c r="A749" i="1"/>
  <c r="W749" i="1" s="1"/>
  <c r="AC748" i="1"/>
  <c r="AB748" i="1"/>
  <c r="A748" i="1"/>
  <c r="AC747" i="1"/>
  <c r="AB747" i="1"/>
  <c r="A747" i="1"/>
  <c r="AC746" i="1"/>
  <c r="AB746" i="1"/>
  <c r="A746" i="1"/>
  <c r="AC745" i="1"/>
  <c r="AB745" i="1"/>
  <c r="A745" i="1"/>
  <c r="AC744" i="1"/>
  <c r="AB744" i="1"/>
  <c r="A744" i="1"/>
  <c r="AC743" i="1"/>
  <c r="AB743" i="1"/>
  <c r="A743" i="1"/>
  <c r="AC742" i="1"/>
  <c r="AB742" i="1"/>
  <c r="A742" i="1"/>
  <c r="AC741" i="1"/>
  <c r="AB741" i="1"/>
  <c r="A741" i="1"/>
  <c r="W741" i="1" s="1"/>
  <c r="AC740" i="1"/>
  <c r="AB740" i="1"/>
  <c r="A740" i="1"/>
  <c r="AC739" i="1"/>
  <c r="AB739" i="1"/>
  <c r="A739" i="1"/>
  <c r="AC738" i="1"/>
  <c r="AB738" i="1"/>
  <c r="A738" i="1"/>
  <c r="AC737" i="1"/>
  <c r="AB737" i="1"/>
  <c r="A737" i="1"/>
  <c r="AC736" i="1"/>
  <c r="AB736" i="1"/>
  <c r="A736" i="1"/>
  <c r="AC735" i="1"/>
  <c r="AB735" i="1"/>
  <c r="A735" i="1"/>
  <c r="AC734" i="1"/>
  <c r="AB734" i="1"/>
  <c r="A734" i="1"/>
  <c r="AC733" i="1"/>
  <c r="AB733" i="1"/>
  <c r="A733" i="1"/>
  <c r="W733" i="1" s="1"/>
  <c r="AC732" i="1"/>
  <c r="AB732" i="1"/>
  <c r="A732" i="1"/>
  <c r="AC731" i="1"/>
  <c r="AB731" i="1"/>
  <c r="A731" i="1"/>
  <c r="AC730" i="1"/>
  <c r="AB730" i="1"/>
  <c r="A730" i="1"/>
  <c r="AC729" i="1"/>
  <c r="AB729" i="1"/>
  <c r="A729" i="1"/>
  <c r="AC728" i="1"/>
  <c r="AB728" i="1"/>
  <c r="A728" i="1"/>
  <c r="AC727" i="1"/>
  <c r="AB727" i="1"/>
  <c r="A727" i="1"/>
  <c r="AC726" i="1"/>
  <c r="AB726" i="1"/>
  <c r="A726" i="1"/>
  <c r="AC725" i="1"/>
  <c r="AB725" i="1"/>
  <c r="A725" i="1"/>
  <c r="W725" i="1" s="1"/>
  <c r="AC724" i="1"/>
  <c r="AB724" i="1"/>
  <c r="A724" i="1"/>
  <c r="AC723" i="1"/>
  <c r="AB723" i="1"/>
  <c r="A723" i="1"/>
  <c r="AC722" i="1"/>
  <c r="AB722" i="1"/>
  <c r="A722" i="1"/>
  <c r="AC721" i="1"/>
  <c r="AB721" i="1"/>
  <c r="A721" i="1"/>
  <c r="AC720" i="1"/>
  <c r="AB720" i="1"/>
  <c r="A720" i="1"/>
  <c r="AC719" i="1"/>
  <c r="AB719" i="1"/>
  <c r="A719" i="1"/>
  <c r="AC718" i="1"/>
  <c r="AB718" i="1"/>
  <c r="A718" i="1"/>
  <c r="AC717" i="1"/>
  <c r="AB717" i="1"/>
  <c r="A717" i="1"/>
  <c r="W717" i="1" s="1"/>
  <c r="AC716" i="1"/>
  <c r="AB716" i="1"/>
  <c r="A716" i="1"/>
  <c r="AC715" i="1"/>
  <c r="AB715" i="1"/>
  <c r="A715" i="1"/>
  <c r="AC714" i="1"/>
  <c r="AB714" i="1"/>
  <c r="A714" i="1"/>
  <c r="AC713" i="1"/>
  <c r="AB713" i="1"/>
  <c r="A713" i="1"/>
  <c r="AC712" i="1"/>
  <c r="AB712" i="1"/>
  <c r="A712" i="1"/>
  <c r="AC711" i="1"/>
  <c r="AB711" i="1"/>
  <c r="A711" i="1"/>
  <c r="AC710" i="1"/>
  <c r="AB710" i="1"/>
  <c r="A710" i="1"/>
  <c r="AC709" i="1"/>
  <c r="AB709" i="1"/>
  <c r="A709" i="1"/>
  <c r="W709" i="1" s="1"/>
  <c r="AC708" i="1"/>
  <c r="AB708" i="1"/>
  <c r="A708" i="1"/>
  <c r="AC707" i="1"/>
  <c r="AB707" i="1"/>
  <c r="A707" i="1"/>
  <c r="AC706" i="1"/>
  <c r="AB706" i="1"/>
  <c r="A706" i="1"/>
  <c r="AC705" i="1"/>
  <c r="AB705" i="1"/>
  <c r="A705" i="1"/>
  <c r="AC704" i="1"/>
  <c r="AB704" i="1"/>
  <c r="A704" i="1"/>
  <c r="AC703" i="1"/>
  <c r="AB703" i="1"/>
  <c r="A703" i="1"/>
  <c r="AC702" i="1"/>
  <c r="AB702" i="1"/>
  <c r="A702" i="1"/>
  <c r="AC701" i="1"/>
  <c r="AB701" i="1"/>
  <c r="A701" i="1"/>
  <c r="W701" i="1" s="1"/>
  <c r="AC700" i="1"/>
  <c r="AB700" i="1"/>
  <c r="A700" i="1"/>
  <c r="AC699" i="1"/>
  <c r="AB699" i="1"/>
  <c r="A699" i="1"/>
  <c r="AC698" i="1"/>
  <c r="AB698" i="1"/>
  <c r="A698" i="1"/>
  <c r="AC697" i="1"/>
  <c r="AB697" i="1"/>
  <c r="A697" i="1"/>
  <c r="AC696" i="1"/>
  <c r="AB696" i="1"/>
  <c r="A696" i="1"/>
  <c r="AC695" i="1"/>
  <c r="AB695" i="1"/>
  <c r="A695" i="1"/>
  <c r="W695" i="1" s="1"/>
  <c r="AC694" i="1"/>
  <c r="AB694" i="1"/>
  <c r="A694" i="1"/>
  <c r="AC693" i="1"/>
  <c r="AB693" i="1"/>
  <c r="A693" i="1"/>
  <c r="W693" i="1" s="1"/>
  <c r="AC692" i="1"/>
  <c r="AB692" i="1"/>
  <c r="A692" i="1"/>
  <c r="AC691" i="1"/>
  <c r="AB691" i="1"/>
  <c r="A691" i="1"/>
  <c r="AC690" i="1"/>
  <c r="AB690" i="1"/>
  <c r="A690" i="1"/>
  <c r="AC689" i="1"/>
  <c r="AB689" i="1"/>
  <c r="A689" i="1"/>
  <c r="AC688" i="1"/>
  <c r="AB688" i="1"/>
  <c r="A688" i="1"/>
  <c r="AC687" i="1"/>
  <c r="AB687" i="1"/>
  <c r="A687" i="1"/>
  <c r="AC686" i="1"/>
  <c r="AB686" i="1"/>
  <c r="A686" i="1"/>
  <c r="AC685" i="1"/>
  <c r="AB685" i="1"/>
  <c r="A685" i="1"/>
  <c r="W685" i="1" s="1"/>
  <c r="AC684" i="1"/>
  <c r="AB684" i="1"/>
  <c r="A684" i="1"/>
  <c r="AC683" i="1"/>
  <c r="AB683" i="1"/>
  <c r="A683" i="1"/>
  <c r="AC682" i="1"/>
  <c r="AB682" i="1"/>
  <c r="A682" i="1"/>
  <c r="AC681" i="1"/>
  <c r="AB681" i="1"/>
  <c r="A681" i="1"/>
  <c r="AC680" i="1"/>
  <c r="AB680" i="1"/>
  <c r="A680" i="1"/>
  <c r="AC679" i="1"/>
  <c r="AB679" i="1"/>
  <c r="A679" i="1"/>
  <c r="W679" i="1" s="1"/>
  <c r="AC678" i="1"/>
  <c r="AB678" i="1"/>
  <c r="A678" i="1"/>
  <c r="AC677" i="1"/>
  <c r="AB677" i="1"/>
  <c r="A677" i="1"/>
  <c r="W677" i="1" s="1"/>
  <c r="AC676" i="1"/>
  <c r="AB676" i="1"/>
  <c r="A676" i="1"/>
  <c r="AC675" i="1"/>
  <c r="AB675" i="1"/>
  <c r="A675" i="1"/>
  <c r="AC674" i="1"/>
  <c r="AB674" i="1"/>
  <c r="A674" i="1"/>
  <c r="W674" i="1" s="1"/>
  <c r="AC673" i="1"/>
  <c r="AB673" i="1"/>
  <c r="A673" i="1"/>
  <c r="AC672" i="1"/>
  <c r="AB672" i="1"/>
  <c r="A672" i="1"/>
  <c r="AC671" i="1"/>
  <c r="AB671" i="1"/>
  <c r="A671" i="1"/>
  <c r="AC670" i="1"/>
  <c r="AB670" i="1"/>
  <c r="A670" i="1"/>
  <c r="AC669" i="1"/>
  <c r="AB669" i="1"/>
  <c r="A669" i="1"/>
  <c r="W669" i="1" s="1"/>
  <c r="AC668" i="1"/>
  <c r="AB668" i="1"/>
  <c r="A668" i="1"/>
  <c r="AC667" i="1"/>
  <c r="AB667" i="1"/>
  <c r="A667" i="1"/>
  <c r="AC666" i="1"/>
  <c r="AB666" i="1"/>
  <c r="A666" i="1"/>
  <c r="AC665" i="1"/>
  <c r="AB665" i="1"/>
  <c r="A665" i="1"/>
  <c r="AC664" i="1"/>
  <c r="AB664" i="1"/>
  <c r="A664" i="1"/>
  <c r="AC663" i="1"/>
  <c r="AB663" i="1"/>
  <c r="A663" i="1"/>
  <c r="AC662" i="1"/>
  <c r="AB662" i="1"/>
  <c r="A662" i="1"/>
  <c r="AC661" i="1"/>
  <c r="AB661" i="1"/>
  <c r="A661" i="1"/>
  <c r="W661" i="1" s="1"/>
  <c r="AC660" i="1"/>
  <c r="AB660" i="1"/>
  <c r="A660" i="1"/>
  <c r="W660" i="1" s="1"/>
  <c r="AC659" i="1"/>
  <c r="AB659" i="1"/>
  <c r="A659" i="1"/>
  <c r="AC658" i="1"/>
  <c r="AB658" i="1"/>
  <c r="A658" i="1"/>
  <c r="AC657" i="1"/>
  <c r="AB657" i="1"/>
  <c r="A657" i="1"/>
  <c r="AC656" i="1"/>
  <c r="AB656" i="1"/>
  <c r="A656" i="1"/>
  <c r="AC655" i="1"/>
  <c r="AB655" i="1"/>
  <c r="A655" i="1"/>
  <c r="AC654" i="1"/>
  <c r="AB654" i="1"/>
  <c r="A654" i="1"/>
  <c r="AC653" i="1"/>
  <c r="AB653" i="1"/>
  <c r="A653" i="1"/>
  <c r="W653" i="1" s="1"/>
  <c r="AC652" i="1"/>
  <c r="AB652" i="1"/>
  <c r="A652" i="1"/>
  <c r="W652" i="1" s="1"/>
  <c r="AC651" i="1"/>
  <c r="AB651" i="1"/>
  <c r="A651" i="1"/>
  <c r="AC650" i="1"/>
  <c r="AB650" i="1"/>
  <c r="A650" i="1"/>
  <c r="AC649" i="1"/>
  <c r="AB649" i="1"/>
  <c r="A649" i="1"/>
  <c r="W649" i="1" s="1"/>
  <c r="AC648" i="1"/>
  <c r="AB648" i="1"/>
  <c r="A648" i="1"/>
  <c r="AC647" i="1"/>
  <c r="AB647" i="1"/>
  <c r="A647" i="1"/>
  <c r="AC646" i="1"/>
  <c r="AB646" i="1"/>
  <c r="A646" i="1"/>
  <c r="AC645" i="1"/>
  <c r="AB645" i="1"/>
  <c r="A645" i="1"/>
  <c r="AC644" i="1"/>
  <c r="AB644" i="1"/>
  <c r="A644" i="1"/>
  <c r="W644" i="1" s="1"/>
  <c r="AC643" i="1"/>
  <c r="AB643" i="1"/>
  <c r="A643" i="1"/>
  <c r="W643" i="1" s="1"/>
  <c r="AC642" i="1"/>
  <c r="AB642" i="1"/>
  <c r="A642" i="1"/>
  <c r="AC641" i="1"/>
  <c r="AB641" i="1"/>
  <c r="A641" i="1"/>
  <c r="AC640" i="1"/>
  <c r="AB640" i="1"/>
  <c r="A640" i="1"/>
  <c r="AC639" i="1"/>
  <c r="AB639" i="1"/>
  <c r="A639" i="1"/>
  <c r="AC638" i="1"/>
  <c r="AB638" i="1"/>
  <c r="A638" i="1"/>
  <c r="AC637" i="1"/>
  <c r="AB637" i="1"/>
  <c r="A637" i="1"/>
  <c r="AC636" i="1"/>
  <c r="AB636" i="1"/>
  <c r="A636" i="1"/>
  <c r="W636" i="1" s="1"/>
  <c r="AC635" i="1"/>
  <c r="AB635" i="1"/>
  <c r="A635" i="1"/>
  <c r="W635" i="1" s="1"/>
  <c r="AC634" i="1"/>
  <c r="AB634" i="1"/>
  <c r="A634" i="1"/>
  <c r="AC633" i="1"/>
  <c r="AB633" i="1"/>
  <c r="A633" i="1"/>
  <c r="AC632" i="1"/>
  <c r="AB632" i="1"/>
  <c r="A632" i="1"/>
  <c r="AC631" i="1"/>
  <c r="AB631" i="1"/>
  <c r="A631" i="1"/>
  <c r="AC630" i="1"/>
  <c r="AB630" i="1"/>
  <c r="A630" i="1"/>
  <c r="AC629" i="1"/>
  <c r="AB629" i="1"/>
  <c r="A629" i="1"/>
  <c r="AC628" i="1"/>
  <c r="AB628" i="1"/>
  <c r="A628" i="1"/>
  <c r="AC627" i="1"/>
  <c r="AB627" i="1"/>
  <c r="A627" i="1"/>
  <c r="W627" i="1" s="1"/>
  <c r="AC626" i="1"/>
  <c r="AB626" i="1"/>
  <c r="A626" i="1"/>
  <c r="AC625" i="1"/>
  <c r="AB625" i="1"/>
  <c r="A625" i="1"/>
  <c r="AC624" i="1"/>
  <c r="AB624" i="1"/>
  <c r="A624" i="1"/>
  <c r="AC623" i="1"/>
  <c r="AB623" i="1"/>
  <c r="A623" i="1"/>
  <c r="AC622" i="1"/>
  <c r="AB622" i="1"/>
  <c r="A622" i="1"/>
  <c r="AC621" i="1"/>
  <c r="AB621" i="1"/>
  <c r="A621" i="1"/>
  <c r="AC620" i="1"/>
  <c r="AB620" i="1"/>
  <c r="A620" i="1"/>
  <c r="AC619" i="1"/>
  <c r="AB619" i="1"/>
  <c r="A619" i="1"/>
  <c r="AC618" i="1"/>
  <c r="AB618" i="1"/>
  <c r="A618" i="1"/>
  <c r="AC617" i="1"/>
  <c r="AB617" i="1"/>
  <c r="A617" i="1"/>
  <c r="W617" i="1" s="1"/>
  <c r="AC616" i="1"/>
  <c r="AB616" i="1"/>
  <c r="A616" i="1"/>
  <c r="W616" i="1" s="1"/>
  <c r="AC615" i="1"/>
  <c r="AB615" i="1"/>
  <c r="A615" i="1"/>
  <c r="AC614" i="1"/>
  <c r="AB614" i="1"/>
  <c r="A614" i="1"/>
  <c r="AC613" i="1"/>
  <c r="AB613" i="1"/>
  <c r="A613" i="1"/>
  <c r="W613" i="1" s="1"/>
  <c r="AC612" i="1"/>
  <c r="AB612" i="1"/>
  <c r="A612" i="1"/>
  <c r="AC611" i="1"/>
  <c r="AB611" i="1"/>
  <c r="A611" i="1"/>
  <c r="AC610" i="1"/>
  <c r="AB610" i="1"/>
  <c r="A610" i="1"/>
  <c r="AC609" i="1"/>
  <c r="AB609" i="1"/>
  <c r="A609" i="1"/>
  <c r="AC608" i="1"/>
  <c r="AB608" i="1"/>
  <c r="A608" i="1"/>
  <c r="AC607" i="1"/>
  <c r="AB607" i="1"/>
  <c r="A607" i="1"/>
  <c r="W607" i="1" s="1"/>
  <c r="AC606" i="1"/>
  <c r="AB606" i="1"/>
  <c r="A606" i="1"/>
  <c r="AC605" i="1"/>
  <c r="AB605" i="1"/>
  <c r="A605" i="1"/>
  <c r="AC604" i="1"/>
  <c r="AB604" i="1"/>
  <c r="A604" i="1"/>
  <c r="AC603" i="1"/>
  <c r="AB603" i="1"/>
  <c r="A603" i="1"/>
  <c r="AC602" i="1"/>
  <c r="AB602" i="1"/>
  <c r="A602" i="1"/>
  <c r="AC601" i="1"/>
  <c r="AB601" i="1"/>
  <c r="A601" i="1"/>
  <c r="AC600" i="1"/>
  <c r="AB600" i="1"/>
  <c r="A600" i="1"/>
  <c r="W600" i="1" s="1"/>
  <c r="AC599" i="1"/>
  <c r="AB599" i="1"/>
  <c r="A599" i="1"/>
  <c r="W599" i="1" s="1"/>
  <c r="AC598" i="1"/>
  <c r="AB598" i="1"/>
  <c r="A598" i="1"/>
  <c r="AC597" i="1"/>
  <c r="AB597" i="1"/>
  <c r="A597" i="1"/>
  <c r="AC596" i="1"/>
  <c r="AB596" i="1"/>
  <c r="A596" i="1"/>
  <c r="AC595" i="1"/>
  <c r="AB595" i="1"/>
  <c r="A595" i="1"/>
  <c r="W595" i="1" s="1"/>
  <c r="AC594" i="1"/>
  <c r="AB594" i="1"/>
  <c r="A594" i="1"/>
  <c r="AC593" i="1"/>
  <c r="AB593" i="1"/>
  <c r="A593" i="1"/>
  <c r="AC592" i="1"/>
  <c r="AB592" i="1"/>
  <c r="A592" i="1"/>
  <c r="W592" i="1" s="1"/>
  <c r="AC591" i="1"/>
  <c r="AB591" i="1"/>
  <c r="A591" i="1"/>
  <c r="AC590" i="1"/>
  <c r="AB590" i="1"/>
  <c r="A590" i="1"/>
  <c r="AC589" i="1"/>
  <c r="AB589" i="1"/>
  <c r="A589" i="1"/>
  <c r="AC588" i="1"/>
  <c r="AB588" i="1"/>
  <c r="A588" i="1"/>
  <c r="AC587" i="1"/>
  <c r="AB587" i="1"/>
  <c r="A587" i="1"/>
  <c r="AC586" i="1"/>
  <c r="AB586" i="1"/>
  <c r="A586" i="1"/>
  <c r="W586" i="1" s="1"/>
  <c r="AC585" i="1"/>
  <c r="AB585" i="1"/>
  <c r="A585" i="1"/>
  <c r="AC584" i="1"/>
  <c r="AB584" i="1"/>
  <c r="A584" i="1"/>
  <c r="W584" i="1" s="1"/>
  <c r="AC583" i="1"/>
  <c r="AB583" i="1"/>
  <c r="A583" i="1"/>
  <c r="AC582" i="1"/>
  <c r="AB582" i="1"/>
  <c r="A582" i="1"/>
  <c r="AC581" i="1"/>
  <c r="AB581" i="1"/>
  <c r="A581" i="1"/>
  <c r="AC580" i="1"/>
  <c r="AB580" i="1"/>
  <c r="A580" i="1"/>
  <c r="AC579" i="1"/>
  <c r="AB579" i="1"/>
  <c r="A579" i="1"/>
  <c r="AC578" i="1"/>
  <c r="AB578" i="1"/>
  <c r="A578" i="1"/>
  <c r="AC577" i="1"/>
  <c r="AB577" i="1"/>
  <c r="A577" i="1"/>
  <c r="W577" i="1" s="1"/>
  <c r="AC576" i="1"/>
  <c r="AB576" i="1"/>
  <c r="A576" i="1"/>
  <c r="W576" i="1" s="1"/>
  <c r="AC575" i="1"/>
  <c r="AB575" i="1"/>
  <c r="A575" i="1"/>
  <c r="AC574" i="1"/>
  <c r="AB574" i="1"/>
  <c r="A574" i="1"/>
  <c r="AC573" i="1"/>
  <c r="AB573" i="1"/>
  <c r="A573" i="1"/>
  <c r="AC572" i="1"/>
  <c r="AB572" i="1"/>
  <c r="A572" i="1"/>
  <c r="W572" i="1" s="1"/>
  <c r="AC571" i="1"/>
  <c r="AB571" i="1"/>
  <c r="A571" i="1"/>
  <c r="AC570" i="1"/>
  <c r="AB570" i="1"/>
  <c r="A570" i="1"/>
  <c r="AC569" i="1"/>
  <c r="AB569" i="1"/>
  <c r="A569" i="1"/>
  <c r="AC568" i="1"/>
  <c r="AB568" i="1"/>
  <c r="A568" i="1"/>
  <c r="W568" i="1" s="1"/>
  <c r="AC567" i="1"/>
  <c r="AB567" i="1"/>
  <c r="A567" i="1"/>
  <c r="AC566" i="1"/>
  <c r="AB566" i="1"/>
  <c r="A566" i="1"/>
  <c r="W566" i="1" s="1"/>
  <c r="AC565" i="1"/>
  <c r="AB565" i="1"/>
  <c r="A565" i="1"/>
  <c r="AC564" i="1"/>
  <c r="AB564" i="1"/>
  <c r="A564" i="1"/>
  <c r="AC563" i="1"/>
  <c r="AB563" i="1"/>
  <c r="A563" i="1"/>
  <c r="W563" i="1" s="1"/>
  <c r="AC562" i="1"/>
  <c r="AB562" i="1"/>
  <c r="A562" i="1"/>
  <c r="AC561" i="1"/>
  <c r="AB561" i="1"/>
  <c r="A561" i="1"/>
  <c r="AC560" i="1"/>
  <c r="AB560" i="1"/>
  <c r="A560" i="1"/>
  <c r="W560" i="1" s="1"/>
  <c r="AC559" i="1"/>
  <c r="AB559" i="1"/>
  <c r="A559" i="1"/>
  <c r="AC558" i="1"/>
  <c r="AB558" i="1"/>
  <c r="A558" i="1"/>
  <c r="AC557" i="1"/>
  <c r="AB557" i="1"/>
  <c r="A557" i="1"/>
  <c r="AC556" i="1"/>
  <c r="AB556" i="1"/>
  <c r="A556" i="1"/>
  <c r="AC555" i="1"/>
  <c r="AB555" i="1"/>
  <c r="A555" i="1"/>
  <c r="AC554" i="1"/>
  <c r="AB554" i="1"/>
  <c r="A554" i="1"/>
  <c r="AC553" i="1"/>
  <c r="AB553" i="1"/>
  <c r="A553" i="1"/>
  <c r="AC552" i="1"/>
  <c r="AB552" i="1"/>
  <c r="A552" i="1"/>
  <c r="W552" i="1" s="1"/>
  <c r="AC551" i="1"/>
  <c r="AB551" i="1"/>
  <c r="A551" i="1"/>
  <c r="AC550" i="1"/>
  <c r="AB550" i="1"/>
  <c r="A550" i="1"/>
  <c r="AC549" i="1"/>
  <c r="AB549" i="1"/>
  <c r="A549" i="1"/>
  <c r="AC548" i="1"/>
  <c r="AB548" i="1"/>
  <c r="A548" i="1"/>
  <c r="AC547" i="1"/>
  <c r="AB547" i="1"/>
  <c r="A547" i="1"/>
  <c r="AC546" i="1"/>
  <c r="AB546" i="1"/>
  <c r="A546" i="1"/>
  <c r="AC545" i="1"/>
  <c r="AB545" i="1"/>
  <c r="A545" i="1"/>
  <c r="AC544" i="1"/>
  <c r="AB544" i="1"/>
  <c r="A544" i="1"/>
  <c r="W544" i="1" s="1"/>
  <c r="AC543" i="1"/>
  <c r="AB543" i="1"/>
  <c r="A543" i="1"/>
  <c r="AC542" i="1"/>
  <c r="AB542" i="1"/>
  <c r="A542" i="1"/>
  <c r="AC541" i="1"/>
  <c r="AB541" i="1"/>
  <c r="A541" i="1"/>
  <c r="AC540" i="1"/>
  <c r="AB540" i="1"/>
  <c r="A540" i="1"/>
  <c r="AC539" i="1"/>
  <c r="AB539" i="1"/>
  <c r="A539" i="1"/>
  <c r="AC538" i="1"/>
  <c r="AB538" i="1"/>
  <c r="A538" i="1"/>
  <c r="AC537" i="1"/>
  <c r="AB537" i="1"/>
  <c r="A537" i="1"/>
  <c r="AC536" i="1"/>
  <c r="AB536" i="1"/>
  <c r="A536" i="1"/>
  <c r="W536" i="1" s="1"/>
  <c r="AC535" i="1"/>
  <c r="AB535" i="1"/>
  <c r="A535" i="1"/>
  <c r="AC534" i="1"/>
  <c r="AB534" i="1"/>
  <c r="A534" i="1"/>
  <c r="AC533" i="1"/>
  <c r="AB533" i="1"/>
  <c r="A533" i="1"/>
  <c r="AC532" i="1"/>
  <c r="AB532" i="1"/>
  <c r="A532" i="1"/>
  <c r="AC531" i="1"/>
  <c r="AB531" i="1"/>
  <c r="A531" i="1"/>
  <c r="AC530" i="1"/>
  <c r="AB530" i="1"/>
  <c r="A530" i="1"/>
  <c r="AC529" i="1"/>
  <c r="AB529" i="1"/>
  <c r="A529" i="1"/>
  <c r="AC528" i="1"/>
  <c r="AB528" i="1"/>
  <c r="A528" i="1"/>
  <c r="W528" i="1" s="1"/>
  <c r="AC527" i="1"/>
  <c r="AB527" i="1"/>
  <c r="A527" i="1"/>
  <c r="AC526" i="1"/>
  <c r="AB526" i="1"/>
  <c r="A526" i="1"/>
  <c r="AC525" i="1"/>
  <c r="AB525" i="1"/>
  <c r="A525" i="1"/>
  <c r="AC524" i="1"/>
  <c r="AB524" i="1"/>
  <c r="A524" i="1"/>
  <c r="AC523" i="1"/>
  <c r="AB523" i="1"/>
  <c r="A523" i="1"/>
  <c r="AC522" i="1"/>
  <c r="AB522" i="1"/>
  <c r="A522" i="1"/>
  <c r="AC521" i="1"/>
  <c r="AB521" i="1"/>
  <c r="A521" i="1"/>
  <c r="AC520" i="1"/>
  <c r="AB520" i="1"/>
  <c r="A520" i="1"/>
  <c r="W520" i="1" s="1"/>
  <c r="AC519" i="1"/>
  <c r="AB519" i="1"/>
  <c r="A519" i="1"/>
  <c r="AC518" i="1"/>
  <c r="AB518" i="1"/>
  <c r="A518" i="1"/>
  <c r="AC517" i="1"/>
  <c r="AB517" i="1"/>
  <c r="A517" i="1"/>
  <c r="AC516" i="1"/>
  <c r="AB516" i="1"/>
  <c r="A516" i="1"/>
  <c r="AC515" i="1"/>
  <c r="AB515" i="1"/>
  <c r="A515" i="1"/>
  <c r="AC514" i="1"/>
  <c r="AB514" i="1"/>
  <c r="A514" i="1"/>
  <c r="AC513" i="1"/>
  <c r="AB513" i="1"/>
  <c r="A513" i="1"/>
  <c r="AC512" i="1"/>
  <c r="AB512" i="1"/>
  <c r="A512" i="1"/>
  <c r="W512" i="1" s="1"/>
  <c r="AC511" i="1"/>
  <c r="AB511" i="1"/>
  <c r="A511" i="1"/>
  <c r="W511" i="1" s="1"/>
  <c r="AC510" i="1"/>
  <c r="AB510" i="1"/>
  <c r="A510" i="1"/>
  <c r="AC509" i="1"/>
  <c r="AB509" i="1"/>
  <c r="A509" i="1"/>
  <c r="AC508" i="1"/>
  <c r="AB508" i="1"/>
  <c r="A508" i="1"/>
  <c r="W508" i="1" s="1"/>
  <c r="AC507" i="1"/>
  <c r="AB507" i="1"/>
  <c r="A507" i="1"/>
  <c r="AC506" i="1"/>
  <c r="AB506" i="1"/>
  <c r="A506" i="1"/>
  <c r="AC505" i="1"/>
  <c r="AB505" i="1"/>
  <c r="A505" i="1"/>
  <c r="W505" i="1" s="1"/>
  <c r="AC504" i="1"/>
  <c r="AB504" i="1"/>
  <c r="A504" i="1"/>
  <c r="W504" i="1" s="1"/>
  <c r="AC503" i="1"/>
  <c r="AB503" i="1"/>
  <c r="A503" i="1"/>
  <c r="AC502" i="1"/>
  <c r="AB502" i="1"/>
  <c r="A502" i="1"/>
  <c r="AC501" i="1"/>
  <c r="AB501" i="1"/>
  <c r="A501" i="1"/>
  <c r="W501" i="1" s="1"/>
  <c r="AC500" i="1"/>
  <c r="AB500" i="1"/>
  <c r="A500" i="1"/>
  <c r="W500" i="1" s="1"/>
  <c r="AC499" i="1"/>
  <c r="AB499" i="1"/>
  <c r="A499" i="1"/>
  <c r="AC498" i="1"/>
  <c r="AB498" i="1"/>
  <c r="A498" i="1"/>
  <c r="W498" i="1" s="1"/>
  <c r="AC497" i="1"/>
  <c r="AB497" i="1"/>
  <c r="A497" i="1"/>
  <c r="W497" i="1" s="1"/>
  <c r="AC496" i="1"/>
  <c r="AB496" i="1"/>
  <c r="A496" i="1"/>
  <c r="W496" i="1" s="1"/>
  <c r="AC495" i="1"/>
  <c r="AB495" i="1"/>
  <c r="A495" i="1"/>
  <c r="AC494" i="1"/>
  <c r="AB494" i="1"/>
  <c r="A494" i="1"/>
  <c r="AC493" i="1"/>
  <c r="AB493" i="1"/>
  <c r="A493" i="1"/>
  <c r="W493" i="1" s="1"/>
  <c r="AC492" i="1"/>
  <c r="AB492" i="1"/>
  <c r="A492" i="1"/>
  <c r="W492" i="1" s="1"/>
  <c r="AC491" i="1"/>
  <c r="AB491" i="1"/>
  <c r="A491" i="1"/>
  <c r="AC490" i="1"/>
  <c r="AB490" i="1"/>
  <c r="A490" i="1"/>
  <c r="AC489" i="1"/>
  <c r="AB489" i="1"/>
  <c r="A489" i="1"/>
  <c r="AC488" i="1"/>
  <c r="AB488" i="1"/>
  <c r="A488" i="1"/>
  <c r="W488" i="1" s="1"/>
  <c r="AC487" i="1"/>
  <c r="AB487" i="1"/>
  <c r="A487" i="1"/>
  <c r="AC486" i="1"/>
  <c r="AB486" i="1"/>
  <c r="A486" i="1"/>
  <c r="W486" i="1" s="1"/>
  <c r="AC485" i="1"/>
  <c r="AB485" i="1"/>
  <c r="A485" i="1"/>
  <c r="W485" i="1" s="1"/>
  <c r="AC484" i="1"/>
  <c r="AB484" i="1"/>
  <c r="A484" i="1"/>
  <c r="AC483" i="1"/>
  <c r="AB483" i="1"/>
  <c r="A483" i="1"/>
  <c r="W483" i="1" s="1"/>
  <c r="AC482" i="1"/>
  <c r="AB482" i="1"/>
  <c r="A482" i="1"/>
  <c r="W482" i="1" s="1"/>
  <c r="AC481" i="1"/>
  <c r="AB481" i="1"/>
  <c r="A481" i="1"/>
  <c r="AC480" i="1"/>
  <c r="AB480" i="1"/>
  <c r="A480" i="1"/>
  <c r="W480" i="1" s="1"/>
  <c r="AC479" i="1"/>
  <c r="AB479" i="1"/>
  <c r="A479" i="1"/>
  <c r="AC478" i="1"/>
  <c r="AB478" i="1"/>
  <c r="A478" i="1"/>
  <c r="AC477" i="1"/>
  <c r="AB477" i="1"/>
  <c r="A477" i="1"/>
  <c r="AC476" i="1"/>
  <c r="AB476" i="1"/>
  <c r="A476" i="1"/>
  <c r="W476" i="1" s="1"/>
  <c r="AC475" i="1"/>
  <c r="AB475" i="1"/>
  <c r="A475" i="1"/>
  <c r="AC474" i="1"/>
  <c r="AB474" i="1"/>
  <c r="A474" i="1"/>
  <c r="AC473" i="1"/>
  <c r="AB473" i="1"/>
  <c r="A473" i="1"/>
  <c r="AC472" i="1"/>
  <c r="AB472" i="1"/>
  <c r="A472" i="1"/>
  <c r="W472" i="1" s="1"/>
  <c r="AC471" i="1"/>
  <c r="AB471" i="1"/>
  <c r="A471" i="1"/>
  <c r="AC470" i="1"/>
  <c r="AB470" i="1"/>
  <c r="A470" i="1"/>
  <c r="AC469" i="1"/>
  <c r="AB469" i="1"/>
  <c r="A469" i="1"/>
  <c r="AC468" i="1"/>
  <c r="AB468" i="1"/>
  <c r="A468" i="1"/>
  <c r="AC467" i="1"/>
  <c r="AB467" i="1"/>
  <c r="A467" i="1"/>
  <c r="AC466" i="1"/>
  <c r="AB466" i="1"/>
  <c r="A466" i="1"/>
  <c r="AC465" i="1"/>
  <c r="AB465" i="1"/>
  <c r="A465" i="1"/>
  <c r="AC464" i="1"/>
  <c r="AB464" i="1"/>
  <c r="A464" i="1"/>
  <c r="W464" i="1" s="1"/>
  <c r="AC463" i="1"/>
  <c r="AB463" i="1"/>
  <c r="A463" i="1"/>
  <c r="W463" i="1" s="1"/>
  <c r="AC462" i="1"/>
  <c r="AB462" i="1"/>
  <c r="A462" i="1"/>
  <c r="AC461" i="1"/>
  <c r="AB461" i="1"/>
  <c r="A461" i="1"/>
  <c r="W461" i="1" s="1"/>
  <c r="AC460" i="1"/>
  <c r="AB460" i="1"/>
  <c r="A460" i="1"/>
  <c r="AC459" i="1"/>
  <c r="AB459" i="1"/>
  <c r="A459" i="1"/>
  <c r="W459" i="1" s="1"/>
  <c r="AC458" i="1"/>
  <c r="AB458" i="1"/>
  <c r="A458" i="1"/>
  <c r="AC457" i="1"/>
  <c r="AB457" i="1"/>
  <c r="A457" i="1"/>
  <c r="W457" i="1" s="1"/>
  <c r="AC456" i="1"/>
  <c r="AB456" i="1"/>
  <c r="A456" i="1"/>
  <c r="W456" i="1" s="1"/>
  <c r="AC455" i="1"/>
  <c r="AB455" i="1"/>
  <c r="A455" i="1"/>
  <c r="AC454" i="1"/>
  <c r="AB454" i="1"/>
  <c r="A454" i="1"/>
  <c r="AC453" i="1"/>
  <c r="AB453" i="1"/>
  <c r="A453" i="1"/>
  <c r="W453" i="1" s="1"/>
  <c r="AC452" i="1"/>
  <c r="AB452" i="1"/>
  <c r="A452" i="1"/>
  <c r="AC451" i="1"/>
  <c r="AB451" i="1"/>
  <c r="A451" i="1"/>
  <c r="W451" i="1" s="1"/>
  <c r="AC450" i="1"/>
  <c r="AB450" i="1"/>
  <c r="A450" i="1"/>
  <c r="W450" i="1" s="1"/>
  <c r="AC449" i="1"/>
  <c r="AB449" i="1"/>
  <c r="A449" i="1"/>
  <c r="AC448" i="1"/>
  <c r="AB448" i="1"/>
  <c r="A448" i="1"/>
  <c r="W448" i="1" s="1"/>
  <c r="AC447" i="1"/>
  <c r="AB447" i="1"/>
  <c r="A447" i="1"/>
  <c r="AC446" i="1"/>
  <c r="AB446" i="1"/>
  <c r="A446" i="1"/>
  <c r="AC445" i="1"/>
  <c r="AB445" i="1"/>
  <c r="A445" i="1"/>
  <c r="W445" i="1" s="1"/>
  <c r="AC444" i="1"/>
  <c r="AB444" i="1"/>
  <c r="A444" i="1"/>
  <c r="W444" i="1" s="1"/>
  <c r="AC443" i="1"/>
  <c r="AB443" i="1"/>
  <c r="A443" i="1"/>
  <c r="AC442" i="1"/>
  <c r="AB442" i="1"/>
  <c r="A442" i="1"/>
  <c r="W442" i="1" s="1"/>
  <c r="AC441" i="1"/>
  <c r="AB441" i="1"/>
  <c r="A441" i="1"/>
  <c r="AC440" i="1"/>
  <c r="AB440" i="1"/>
  <c r="A440" i="1"/>
  <c r="AC439" i="1"/>
  <c r="AB439" i="1"/>
  <c r="A439" i="1"/>
  <c r="AC438" i="1"/>
  <c r="AB438" i="1"/>
  <c r="A438" i="1"/>
  <c r="AC437" i="1"/>
  <c r="AB437" i="1"/>
  <c r="A437" i="1"/>
  <c r="AC436" i="1"/>
  <c r="AB436" i="1"/>
  <c r="A436" i="1"/>
  <c r="W436" i="1" s="1"/>
  <c r="AC435" i="1"/>
  <c r="AB435" i="1"/>
  <c r="A435" i="1"/>
  <c r="AC434" i="1"/>
  <c r="AB434" i="1"/>
  <c r="A434" i="1"/>
  <c r="AC433" i="1"/>
  <c r="AB433" i="1"/>
  <c r="A433" i="1"/>
  <c r="AC432" i="1"/>
  <c r="AB432" i="1"/>
  <c r="A432" i="1"/>
  <c r="AC431" i="1"/>
  <c r="AB431" i="1"/>
  <c r="A431" i="1"/>
  <c r="W431" i="1" s="1"/>
  <c r="AC430" i="1"/>
  <c r="AB430" i="1"/>
  <c r="A430" i="1"/>
  <c r="AC429" i="1"/>
  <c r="AB429" i="1"/>
  <c r="A429" i="1"/>
  <c r="AC428" i="1"/>
  <c r="AB428" i="1"/>
  <c r="A428" i="1"/>
  <c r="W428" i="1" s="1"/>
  <c r="AC427" i="1"/>
  <c r="AB427" i="1"/>
  <c r="A427" i="1"/>
  <c r="AC426" i="1"/>
  <c r="AB426" i="1"/>
  <c r="A426" i="1"/>
  <c r="W426" i="1" s="1"/>
  <c r="AC425" i="1"/>
  <c r="AB425" i="1"/>
  <c r="A425" i="1"/>
  <c r="AC424" i="1"/>
  <c r="AB424" i="1"/>
  <c r="A424" i="1"/>
  <c r="W424" i="1" s="1"/>
  <c r="AC423" i="1"/>
  <c r="AB423" i="1"/>
  <c r="A423" i="1"/>
  <c r="W423" i="1" s="1"/>
  <c r="AC422" i="1"/>
  <c r="AB422" i="1"/>
  <c r="A422" i="1"/>
  <c r="AC421" i="1"/>
  <c r="AB421" i="1"/>
  <c r="A421" i="1"/>
  <c r="AC420" i="1"/>
  <c r="AB420" i="1"/>
  <c r="A420" i="1"/>
  <c r="AC419" i="1"/>
  <c r="AB419" i="1"/>
  <c r="A419" i="1"/>
  <c r="W419" i="1" s="1"/>
  <c r="AC418" i="1"/>
  <c r="AB418" i="1"/>
  <c r="A418" i="1"/>
  <c r="W418" i="1" s="1"/>
  <c r="AC417" i="1"/>
  <c r="AB417" i="1"/>
  <c r="A417" i="1"/>
  <c r="AC416" i="1"/>
  <c r="AB416" i="1"/>
  <c r="A416" i="1"/>
  <c r="AC415" i="1"/>
  <c r="AB415" i="1"/>
  <c r="A415" i="1"/>
  <c r="W415" i="1" s="1"/>
  <c r="AC414" i="1"/>
  <c r="AB414" i="1"/>
  <c r="A414" i="1"/>
  <c r="AC413" i="1"/>
  <c r="AB413" i="1"/>
  <c r="A413" i="1"/>
  <c r="AC412" i="1"/>
  <c r="AB412" i="1"/>
  <c r="A412" i="1"/>
  <c r="W412" i="1" s="1"/>
  <c r="AC411" i="1"/>
  <c r="AB411" i="1"/>
  <c r="A411" i="1"/>
  <c r="AC410" i="1"/>
  <c r="AB410" i="1"/>
  <c r="A410" i="1"/>
  <c r="W410" i="1" s="1"/>
  <c r="AC409" i="1"/>
  <c r="AB409" i="1"/>
  <c r="A409" i="1"/>
  <c r="AC408" i="1"/>
  <c r="AB408" i="1"/>
  <c r="A408" i="1"/>
  <c r="AC407" i="1"/>
  <c r="AB407" i="1"/>
  <c r="A407" i="1"/>
  <c r="W407" i="1" s="1"/>
  <c r="AC406" i="1"/>
  <c r="AB406" i="1"/>
  <c r="A406" i="1"/>
  <c r="AC405" i="1"/>
  <c r="AB405" i="1"/>
  <c r="A405" i="1"/>
  <c r="AC404" i="1"/>
  <c r="AB404" i="1"/>
  <c r="A404" i="1"/>
  <c r="W404" i="1" s="1"/>
  <c r="AC403" i="1"/>
  <c r="AB403" i="1"/>
  <c r="A403" i="1"/>
  <c r="AC402" i="1"/>
  <c r="AB402" i="1"/>
  <c r="A402" i="1"/>
  <c r="AC401" i="1"/>
  <c r="AB401" i="1"/>
  <c r="A401" i="1"/>
  <c r="AC400" i="1"/>
  <c r="AB400" i="1"/>
  <c r="A400" i="1"/>
  <c r="AC399" i="1"/>
  <c r="AB399" i="1"/>
  <c r="A399" i="1"/>
  <c r="W399" i="1" s="1"/>
  <c r="AC398" i="1"/>
  <c r="AB398" i="1"/>
  <c r="A398" i="1"/>
  <c r="AC397" i="1"/>
  <c r="AB397" i="1"/>
  <c r="A397" i="1"/>
  <c r="AC396" i="1"/>
  <c r="AB396" i="1"/>
  <c r="A396" i="1"/>
  <c r="AC395" i="1"/>
  <c r="AB395" i="1"/>
  <c r="A395" i="1"/>
  <c r="AC394" i="1"/>
  <c r="AB394" i="1"/>
  <c r="A394" i="1"/>
  <c r="W394" i="1" s="1"/>
  <c r="AC393" i="1"/>
  <c r="AB393" i="1"/>
  <c r="A393" i="1"/>
  <c r="AC392" i="1"/>
  <c r="AB392" i="1"/>
  <c r="A392" i="1"/>
  <c r="AC391" i="1"/>
  <c r="AB391" i="1"/>
  <c r="A391" i="1"/>
  <c r="W391" i="1" s="1"/>
  <c r="AC390" i="1"/>
  <c r="AB390" i="1"/>
  <c r="A390" i="1"/>
  <c r="AC389" i="1"/>
  <c r="AB389" i="1"/>
  <c r="A389" i="1"/>
  <c r="AC388" i="1"/>
  <c r="AB388" i="1"/>
  <c r="A388" i="1"/>
  <c r="W388" i="1" s="1"/>
  <c r="AC387" i="1"/>
  <c r="AB387" i="1"/>
  <c r="A387" i="1"/>
  <c r="AC386" i="1"/>
  <c r="AB386" i="1"/>
  <c r="A386" i="1"/>
  <c r="W386" i="1" s="1"/>
  <c r="AC385" i="1"/>
  <c r="AB385" i="1"/>
  <c r="A385" i="1"/>
  <c r="AC384" i="1"/>
  <c r="AB384" i="1"/>
  <c r="A384" i="1"/>
  <c r="W384" i="1" s="1"/>
  <c r="AC383" i="1"/>
  <c r="AB383" i="1"/>
  <c r="A383" i="1"/>
  <c r="W383" i="1" s="1"/>
  <c r="AC382" i="1"/>
  <c r="AB382" i="1"/>
  <c r="A382" i="1"/>
  <c r="AC381" i="1"/>
  <c r="AB381" i="1"/>
  <c r="A381" i="1"/>
  <c r="AC380" i="1"/>
  <c r="AB380" i="1"/>
  <c r="A380" i="1"/>
  <c r="W380" i="1" s="1"/>
  <c r="AC379" i="1"/>
  <c r="AB379" i="1"/>
  <c r="A379" i="1"/>
  <c r="AC378" i="1"/>
  <c r="AB378" i="1"/>
  <c r="A378" i="1"/>
  <c r="AC377" i="1"/>
  <c r="AB377" i="1"/>
  <c r="A377" i="1"/>
  <c r="AC376" i="1"/>
  <c r="AB376" i="1"/>
  <c r="A376" i="1"/>
  <c r="AC375" i="1"/>
  <c r="AB375" i="1"/>
  <c r="A375" i="1"/>
  <c r="W375" i="1" s="1"/>
  <c r="AC374" i="1"/>
  <c r="AB374" i="1"/>
  <c r="A374" i="1"/>
  <c r="AC373" i="1"/>
  <c r="AB373" i="1"/>
  <c r="A373" i="1"/>
  <c r="AC372" i="1"/>
  <c r="AB372" i="1"/>
  <c r="A372" i="1"/>
  <c r="AC371" i="1"/>
  <c r="AB371" i="1"/>
  <c r="A371" i="1"/>
  <c r="AC370" i="1"/>
  <c r="AB370" i="1"/>
  <c r="A370" i="1"/>
  <c r="AC369" i="1"/>
  <c r="AB369" i="1"/>
  <c r="A369" i="1"/>
  <c r="AC368" i="1"/>
  <c r="AB368" i="1"/>
  <c r="A368" i="1"/>
  <c r="AC367" i="1"/>
  <c r="AB367" i="1"/>
  <c r="A367" i="1"/>
  <c r="W367" i="1" s="1"/>
  <c r="AC366" i="1"/>
  <c r="AB366" i="1"/>
  <c r="A366" i="1"/>
  <c r="AC365" i="1"/>
  <c r="AB365" i="1"/>
  <c r="A365" i="1"/>
  <c r="AC364" i="1"/>
  <c r="AB364" i="1"/>
  <c r="A364" i="1"/>
  <c r="AC363" i="1"/>
  <c r="AB363" i="1"/>
  <c r="A363" i="1"/>
  <c r="AC362" i="1"/>
  <c r="AB362" i="1"/>
  <c r="A362" i="1"/>
  <c r="W362" i="1" s="1"/>
  <c r="AC361" i="1"/>
  <c r="AB361" i="1"/>
  <c r="A361" i="1"/>
  <c r="AC360" i="1"/>
  <c r="AB360" i="1"/>
  <c r="A360" i="1"/>
  <c r="AC359" i="1"/>
  <c r="AB359" i="1"/>
  <c r="A359" i="1"/>
  <c r="W359" i="1" s="1"/>
  <c r="AC358" i="1"/>
  <c r="AB358" i="1"/>
  <c r="A358" i="1"/>
  <c r="AC357" i="1"/>
  <c r="AB357" i="1"/>
  <c r="A357" i="1"/>
  <c r="AC356" i="1"/>
  <c r="AB356" i="1"/>
  <c r="A356" i="1"/>
  <c r="AC355" i="1"/>
  <c r="AB355" i="1"/>
  <c r="A355" i="1"/>
  <c r="AC354" i="1"/>
  <c r="AB354" i="1"/>
  <c r="A354" i="1"/>
  <c r="AC353" i="1"/>
  <c r="AB353" i="1"/>
  <c r="A353" i="1"/>
  <c r="AC352" i="1"/>
  <c r="AB352" i="1"/>
  <c r="A352" i="1"/>
  <c r="AC351" i="1"/>
  <c r="AB351" i="1"/>
  <c r="A351" i="1"/>
  <c r="W351" i="1" s="1"/>
  <c r="AC350" i="1"/>
  <c r="AB350" i="1"/>
  <c r="A350" i="1"/>
  <c r="AC349" i="1"/>
  <c r="AB349" i="1"/>
  <c r="A349" i="1"/>
  <c r="AC348" i="1"/>
  <c r="AB348" i="1"/>
  <c r="A348" i="1"/>
  <c r="AC347" i="1"/>
  <c r="AB347" i="1"/>
  <c r="A347" i="1"/>
  <c r="AC346" i="1"/>
  <c r="AB346" i="1"/>
  <c r="A346" i="1"/>
  <c r="AC345" i="1"/>
  <c r="AB345" i="1"/>
  <c r="A345" i="1"/>
  <c r="AC344" i="1"/>
  <c r="AB344" i="1"/>
  <c r="A344" i="1"/>
  <c r="W344" i="1" s="1"/>
  <c r="AC343" i="1"/>
  <c r="AB343" i="1"/>
  <c r="A343" i="1"/>
  <c r="W343" i="1" s="1"/>
  <c r="AC342" i="1"/>
  <c r="AB342" i="1"/>
  <c r="A342" i="1"/>
  <c r="AC341" i="1"/>
  <c r="AB341" i="1"/>
  <c r="A341" i="1"/>
  <c r="AC340" i="1"/>
  <c r="AB340" i="1"/>
  <c r="A340" i="1"/>
  <c r="AC339" i="1"/>
  <c r="AB339" i="1"/>
  <c r="A339" i="1"/>
  <c r="AC338" i="1"/>
  <c r="AB338" i="1"/>
  <c r="A338" i="1"/>
  <c r="W338" i="1" s="1"/>
  <c r="AC337" i="1"/>
  <c r="AB337" i="1"/>
  <c r="A337" i="1"/>
  <c r="AC336" i="1"/>
  <c r="AB336" i="1"/>
  <c r="A336" i="1"/>
  <c r="AC335" i="1"/>
  <c r="AB335" i="1"/>
  <c r="A335" i="1"/>
  <c r="W335" i="1" s="1"/>
  <c r="AC334" i="1"/>
  <c r="AB334" i="1"/>
  <c r="A334" i="1"/>
  <c r="AC333" i="1"/>
  <c r="AB333" i="1"/>
  <c r="A333" i="1"/>
  <c r="AC332" i="1"/>
  <c r="AB332" i="1"/>
  <c r="A332" i="1"/>
  <c r="AC331" i="1"/>
  <c r="AB331" i="1"/>
  <c r="A331" i="1"/>
  <c r="AC330" i="1"/>
  <c r="AB330" i="1"/>
  <c r="A330" i="1"/>
  <c r="AC329" i="1"/>
  <c r="AB329" i="1"/>
  <c r="A329" i="1"/>
  <c r="AC328" i="1"/>
  <c r="AB328" i="1"/>
  <c r="A328" i="1"/>
  <c r="AC327" i="1"/>
  <c r="AB327" i="1"/>
  <c r="A327" i="1"/>
  <c r="W327" i="1" s="1"/>
  <c r="AC326" i="1"/>
  <c r="AB326" i="1"/>
  <c r="A326" i="1"/>
  <c r="AC325" i="1"/>
  <c r="AB325" i="1"/>
  <c r="A325" i="1"/>
  <c r="AC324" i="1"/>
  <c r="AB324" i="1"/>
  <c r="A324" i="1"/>
  <c r="AC323" i="1"/>
  <c r="AB323" i="1"/>
  <c r="A323" i="1"/>
  <c r="AC322" i="1"/>
  <c r="AB322" i="1"/>
  <c r="A322" i="1"/>
  <c r="AC321" i="1"/>
  <c r="AB321" i="1"/>
  <c r="A321" i="1"/>
  <c r="AC320" i="1"/>
  <c r="AB320" i="1"/>
  <c r="A320" i="1"/>
  <c r="AC319" i="1"/>
  <c r="AB319" i="1"/>
  <c r="A319" i="1"/>
  <c r="W319" i="1" s="1"/>
  <c r="AC318" i="1"/>
  <c r="AB318" i="1"/>
  <c r="A318" i="1"/>
  <c r="AC317" i="1"/>
  <c r="AB317" i="1"/>
  <c r="A317" i="1"/>
  <c r="AC316" i="1"/>
  <c r="AB316" i="1"/>
  <c r="A316" i="1"/>
  <c r="AC315" i="1"/>
  <c r="AB315" i="1"/>
  <c r="A315" i="1"/>
  <c r="AC314" i="1"/>
  <c r="AB314" i="1"/>
  <c r="A314" i="1"/>
  <c r="AC313" i="1"/>
  <c r="AB313" i="1"/>
  <c r="A313" i="1"/>
  <c r="AC312" i="1"/>
  <c r="AB312" i="1"/>
  <c r="A312" i="1"/>
  <c r="AC311" i="1"/>
  <c r="AB311" i="1"/>
  <c r="A311" i="1"/>
  <c r="W311" i="1" s="1"/>
  <c r="AC310" i="1"/>
  <c r="AB310" i="1"/>
  <c r="A310" i="1"/>
  <c r="AC309" i="1"/>
  <c r="AB309" i="1"/>
  <c r="A309" i="1"/>
  <c r="AC308" i="1"/>
  <c r="AB308" i="1"/>
  <c r="A308" i="1"/>
  <c r="AC307" i="1"/>
  <c r="AB307" i="1"/>
  <c r="A307" i="1"/>
  <c r="AC306" i="1"/>
  <c r="AB306" i="1"/>
  <c r="A306" i="1"/>
  <c r="AC305" i="1"/>
  <c r="AB305" i="1"/>
  <c r="A305" i="1"/>
  <c r="AC304" i="1"/>
  <c r="AB304" i="1"/>
  <c r="A304" i="1"/>
  <c r="AC303" i="1"/>
  <c r="AB303" i="1"/>
  <c r="A303" i="1"/>
  <c r="W303" i="1" s="1"/>
  <c r="AC302" i="1"/>
  <c r="AB302" i="1"/>
  <c r="A302" i="1"/>
  <c r="AC301" i="1"/>
  <c r="AB301" i="1"/>
  <c r="A301" i="1"/>
  <c r="AC300" i="1"/>
  <c r="AB300" i="1"/>
  <c r="A300" i="1"/>
  <c r="AC299" i="1"/>
  <c r="AB299" i="1"/>
  <c r="A299" i="1"/>
  <c r="AC298" i="1"/>
  <c r="AB298" i="1"/>
  <c r="A298" i="1"/>
  <c r="AC297" i="1"/>
  <c r="AB297" i="1"/>
  <c r="A297" i="1"/>
  <c r="AC296" i="1"/>
  <c r="AB296" i="1"/>
  <c r="A296" i="1"/>
  <c r="AC295" i="1"/>
  <c r="AB295" i="1"/>
  <c r="A295" i="1"/>
  <c r="W295" i="1" s="1"/>
  <c r="AC294" i="1"/>
  <c r="AB294" i="1"/>
  <c r="A294" i="1"/>
  <c r="AC293" i="1"/>
  <c r="AB293" i="1"/>
  <c r="A293" i="1"/>
  <c r="AC292" i="1"/>
  <c r="AB292" i="1"/>
  <c r="A292" i="1"/>
  <c r="AC291" i="1"/>
  <c r="AB291" i="1"/>
  <c r="A291" i="1"/>
  <c r="AC290" i="1"/>
  <c r="AB290" i="1"/>
  <c r="A290" i="1"/>
  <c r="AC289" i="1"/>
  <c r="AB289" i="1"/>
  <c r="A289" i="1"/>
  <c r="AC288" i="1"/>
  <c r="AB288" i="1"/>
  <c r="A288" i="1"/>
  <c r="AC287" i="1"/>
  <c r="AB287" i="1"/>
  <c r="A287" i="1"/>
  <c r="W287" i="1" s="1"/>
  <c r="AC286" i="1"/>
  <c r="AB286" i="1"/>
  <c r="A286" i="1"/>
  <c r="AC285" i="1"/>
  <c r="AB285" i="1"/>
  <c r="A285" i="1"/>
  <c r="AC284" i="1"/>
  <c r="AB284" i="1"/>
  <c r="A284" i="1"/>
  <c r="AC283" i="1"/>
  <c r="AB283" i="1"/>
  <c r="A283" i="1"/>
  <c r="AC282" i="1"/>
  <c r="AB282" i="1"/>
  <c r="A282" i="1"/>
  <c r="AC281" i="1"/>
  <c r="AB281" i="1"/>
  <c r="A281" i="1"/>
  <c r="AC280" i="1"/>
  <c r="AB280" i="1"/>
  <c r="A280" i="1"/>
  <c r="AC279" i="1"/>
  <c r="AB279" i="1"/>
  <c r="A279" i="1"/>
  <c r="W279" i="1" s="1"/>
  <c r="AC278" i="1"/>
  <c r="AB278" i="1"/>
  <c r="A278" i="1"/>
  <c r="AC277" i="1"/>
  <c r="AB277" i="1"/>
  <c r="A277" i="1"/>
  <c r="AC276" i="1"/>
  <c r="AB276" i="1"/>
  <c r="A276" i="1"/>
  <c r="AC275" i="1"/>
  <c r="AB275" i="1"/>
  <c r="A275" i="1"/>
  <c r="AC274" i="1"/>
  <c r="AB274" i="1"/>
  <c r="A274" i="1"/>
  <c r="AC273" i="1"/>
  <c r="AB273" i="1"/>
  <c r="A273" i="1"/>
  <c r="AC272" i="1"/>
  <c r="AB272" i="1"/>
  <c r="A272" i="1"/>
  <c r="AC271" i="1"/>
  <c r="AB271" i="1"/>
  <c r="A271" i="1"/>
  <c r="W271" i="1" s="1"/>
  <c r="AC270" i="1"/>
  <c r="AB270" i="1"/>
  <c r="A270" i="1"/>
  <c r="AC269" i="1"/>
  <c r="AB269" i="1"/>
  <c r="A269" i="1"/>
  <c r="AC268" i="1"/>
  <c r="AB268" i="1"/>
  <c r="A268" i="1"/>
  <c r="AC267" i="1"/>
  <c r="AB267" i="1"/>
  <c r="A267" i="1"/>
  <c r="AC266" i="1"/>
  <c r="AB266" i="1"/>
  <c r="A266" i="1"/>
  <c r="AC265" i="1"/>
  <c r="AB265" i="1"/>
  <c r="A265" i="1"/>
  <c r="AC264" i="1"/>
  <c r="AB264" i="1"/>
  <c r="A264" i="1"/>
  <c r="W264" i="1" s="1"/>
  <c r="AC263" i="1"/>
  <c r="AB263" i="1"/>
  <c r="A263" i="1"/>
  <c r="AC262" i="1"/>
  <c r="AB262" i="1"/>
  <c r="A262" i="1"/>
  <c r="AC261" i="1"/>
  <c r="AB261" i="1"/>
  <c r="A261" i="1"/>
  <c r="AC260" i="1"/>
  <c r="AB260" i="1"/>
  <c r="A260" i="1"/>
  <c r="AC259" i="1"/>
  <c r="AB259" i="1"/>
  <c r="A259" i="1"/>
  <c r="AC258" i="1"/>
  <c r="AB258" i="1"/>
  <c r="A258" i="1"/>
  <c r="AC257" i="1"/>
  <c r="AB257" i="1"/>
  <c r="A257" i="1"/>
  <c r="AC256" i="1"/>
  <c r="AB256" i="1"/>
  <c r="A256" i="1"/>
  <c r="AC255" i="1"/>
  <c r="AB255" i="1"/>
  <c r="A255" i="1"/>
  <c r="AC254" i="1"/>
  <c r="AB254" i="1"/>
  <c r="A254" i="1"/>
  <c r="W254" i="1" s="1"/>
  <c r="AC253" i="1"/>
  <c r="AB253" i="1"/>
  <c r="A253" i="1"/>
  <c r="AC252" i="1"/>
  <c r="AB252" i="1"/>
  <c r="A252" i="1"/>
  <c r="AC251" i="1"/>
  <c r="AB251" i="1"/>
  <c r="A251" i="1"/>
  <c r="AC250" i="1"/>
  <c r="AB250" i="1"/>
  <c r="A250" i="1"/>
  <c r="AC249" i="1"/>
  <c r="AB249" i="1"/>
  <c r="A249" i="1"/>
  <c r="AC248" i="1"/>
  <c r="AB248" i="1"/>
  <c r="A248" i="1"/>
  <c r="W248" i="1" s="1"/>
  <c r="AC247" i="1"/>
  <c r="AB247" i="1"/>
  <c r="A247" i="1"/>
  <c r="AC246" i="1"/>
  <c r="AB246" i="1"/>
  <c r="A246" i="1"/>
  <c r="AC245" i="1"/>
  <c r="AB245" i="1"/>
  <c r="A245" i="1"/>
  <c r="AC244" i="1"/>
  <c r="AB244" i="1"/>
  <c r="A244" i="1"/>
  <c r="AC243" i="1"/>
  <c r="AB243" i="1"/>
  <c r="A243" i="1"/>
  <c r="AC242" i="1"/>
  <c r="AB242" i="1"/>
  <c r="A242" i="1"/>
  <c r="AC241" i="1"/>
  <c r="AB241" i="1"/>
  <c r="A241" i="1"/>
  <c r="AC240" i="1"/>
  <c r="AB240" i="1"/>
  <c r="A240" i="1"/>
  <c r="W240" i="1" s="1"/>
  <c r="AC239" i="1"/>
  <c r="AB239" i="1"/>
  <c r="A239" i="1"/>
  <c r="AC238" i="1"/>
  <c r="AB238" i="1"/>
  <c r="A238" i="1"/>
  <c r="AC237" i="1"/>
  <c r="AB237" i="1"/>
  <c r="A237" i="1"/>
  <c r="AC236" i="1"/>
  <c r="AB236" i="1"/>
  <c r="A236" i="1"/>
  <c r="AC235" i="1"/>
  <c r="AB235" i="1"/>
  <c r="A235" i="1"/>
  <c r="AC234" i="1"/>
  <c r="AB234" i="1"/>
  <c r="A234" i="1"/>
  <c r="AC233" i="1"/>
  <c r="AB233" i="1"/>
  <c r="A233" i="1"/>
  <c r="AC232" i="1"/>
  <c r="AB232" i="1"/>
  <c r="A232" i="1"/>
  <c r="W232" i="1" s="1"/>
  <c r="AC231" i="1"/>
  <c r="AB231" i="1"/>
  <c r="A231" i="1"/>
  <c r="AC230" i="1"/>
  <c r="AB230" i="1"/>
  <c r="A230" i="1"/>
  <c r="AC229" i="1"/>
  <c r="AB229" i="1"/>
  <c r="A229" i="1"/>
  <c r="AC228" i="1"/>
  <c r="AB228" i="1"/>
  <c r="A228" i="1"/>
  <c r="AC227" i="1"/>
  <c r="AB227" i="1"/>
  <c r="A227" i="1"/>
  <c r="AC226" i="1"/>
  <c r="AB226" i="1"/>
  <c r="A226" i="1"/>
  <c r="AC225" i="1"/>
  <c r="AB225" i="1"/>
  <c r="A225" i="1"/>
  <c r="AC224" i="1"/>
  <c r="AB224" i="1"/>
  <c r="A224" i="1"/>
  <c r="W224" i="1" s="1"/>
  <c r="AC223" i="1"/>
  <c r="AB223" i="1"/>
  <c r="A223" i="1"/>
  <c r="AC222" i="1"/>
  <c r="AB222" i="1"/>
  <c r="A222" i="1"/>
  <c r="AC221" i="1"/>
  <c r="AB221" i="1"/>
  <c r="A221" i="1"/>
  <c r="AC220" i="1"/>
  <c r="AB220" i="1"/>
  <c r="A220" i="1"/>
  <c r="AC219" i="1"/>
  <c r="AB219" i="1"/>
  <c r="A219" i="1"/>
  <c r="AC218" i="1"/>
  <c r="AB218" i="1"/>
  <c r="A218" i="1"/>
  <c r="AC217" i="1"/>
  <c r="AB217" i="1"/>
  <c r="A217" i="1"/>
  <c r="AC216" i="1"/>
  <c r="AB216" i="1"/>
  <c r="A216" i="1"/>
  <c r="W216" i="1" s="1"/>
  <c r="AC215" i="1"/>
  <c r="AB215" i="1"/>
  <c r="A215" i="1"/>
  <c r="AC214" i="1"/>
  <c r="AB214" i="1"/>
  <c r="A214" i="1"/>
  <c r="AC213" i="1"/>
  <c r="AB213" i="1"/>
  <c r="A213" i="1"/>
  <c r="AC212" i="1"/>
  <c r="AB212" i="1"/>
  <c r="A212" i="1"/>
  <c r="AC211" i="1"/>
  <c r="AB211" i="1"/>
  <c r="A211" i="1"/>
  <c r="AC210" i="1"/>
  <c r="AB210" i="1"/>
  <c r="A210" i="1"/>
  <c r="AC209" i="1"/>
  <c r="AB209" i="1"/>
  <c r="A209" i="1"/>
  <c r="AC208" i="1"/>
  <c r="AB208" i="1"/>
  <c r="A208" i="1"/>
  <c r="W208" i="1" s="1"/>
  <c r="AC207" i="1"/>
  <c r="AB207" i="1"/>
  <c r="A207" i="1"/>
  <c r="AC206" i="1"/>
  <c r="AB206" i="1"/>
  <c r="A206" i="1"/>
  <c r="AC205" i="1"/>
  <c r="AB205" i="1"/>
  <c r="A205" i="1"/>
  <c r="AC204" i="1"/>
  <c r="AB204" i="1"/>
  <c r="A204" i="1"/>
  <c r="AC203" i="1"/>
  <c r="AB203" i="1"/>
  <c r="A203" i="1"/>
  <c r="AC202" i="1"/>
  <c r="AB202" i="1"/>
  <c r="A202" i="1"/>
  <c r="AC201" i="1"/>
  <c r="AB201" i="1"/>
  <c r="A201" i="1"/>
  <c r="AC200" i="1"/>
  <c r="AB200" i="1"/>
  <c r="A200" i="1"/>
  <c r="W200" i="1" s="1"/>
  <c r="AC199" i="1"/>
  <c r="AB199" i="1"/>
  <c r="A199" i="1"/>
  <c r="AC198" i="1"/>
  <c r="AB198" i="1"/>
  <c r="A198" i="1"/>
  <c r="AC197" i="1"/>
  <c r="AB197" i="1"/>
  <c r="A197" i="1"/>
  <c r="AC196" i="1"/>
  <c r="AB196" i="1"/>
  <c r="A196" i="1"/>
  <c r="AC195" i="1"/>
  <c r="AB195" i="1"/>
  <c r="A195" i="1"/>
  <c r="AC194" i="1"/>
  <c r="AB194" i="1"/>
  <c r="A194" i="1"/>
  <c r="AC193" i="1"/>
  <c r="AB193" i="1"/>
  <c r="A193" i="1"/>
  <c r="AC192" i="1"/>
  <c r="AB192" i="1"/>
  <c r="A192" i="1"/>
  <c r="W192" i="1" s="1"/>
  <c r="AC191" i="1"/>
  <c r="AB191" i="1"/>
  <c r="A191" i="1"/>
  <c r="AC190" i="1"/>
  <c r="AB190" i="1"/>
  <c r="A190" i="1"/>
  <c r="AC189" i="1"/>
  <c r="AB189" i="1"/>
  <c r="A189" i="1"/>
  <c r="AC188" i="1"/>
  <c r="AB188" i="1"/>
  <c r="A188" i="1"/>
  <c r="AC187" i="1"/>
  <c r="AB187" i="1"/>
  <c r="A187" i="1"/>
  <c r="AC186" i="1"/>
  <c r="AB186" i="1"/>
  <c r="A186" i="1"/>
  <c r="AC185" i="1"/>
  <c r="AB185" i="1"/>
  <c r="A185" i="1"/>
  <c r="AC184" i="1"/>
  <c r="AB184" i="1"/>
  <c r="A184" i="1"/>
  <c r="W184" i="1" s="1"/>
  <c r="AC183" i="1"/>
  <c r="AB183" i="1"/>
  <c r="A183" i="1"/>
  <c r="AC182" i="1"/>
  <c r="AB182" i="1"/>
  <c r="A182" i="1"/>
  <c r="AC181" i="1"/>
  <c r="AB181" i="1"/>
  <c r="A181" i="1"/>
  <c r="AC180" i="1"/>
  <c r="AB180" i="1"/>
  <c r="A180" i="1"/>
  <c r="AC179" i="1"/>
  <c r="AB179" i="1"/>
  <c r="A179" i="1"/>
  <c r="AC178" i="1"/>
  <c r="AB178" i="1"/>
  <c r="A178" i="1"/>
  <c r="AC177" i="1"/>
  <c r="AB177" i="1"/>
  <c r="A177" i="1"/>
  <c r="AC176" i="1"/>
  <c r="AB176" i="1"/>
  <c r="A176" i="1"/>
  <c r="W176" i="1" s="1"/>
  <c r="AC175" i="1"/>
  <c r="AB175" i="1"/>
  <c r="A175" i="1"/>
  <c r="AC174" i="1"/>
  <c r="AB174" i="1"/>
  <c r="A174" i="1"/>
  <c r="AC173" i="1"/>
  <c r="AB173" i="1"/>
  <c r="A173" i="1"/>
  <c r="AC172" i="1"/>
  <c r="AB172" i="1"/>
  <c r="A172" i="1"/>
  <c r="AC171" i="1"/>
  <c r="AB171" i="1"/>
  <c r="A171" i="1"/>
  <c r="AC170" i="1"/>
  <c r="AB170" i="1"/>
  <c r="A170" i="1"/>
  <c r="AC169" i="1"/>
  <c r="AB169" i="1"/>
  <c r="A169" i="1"/>
  <c r="AC168" i="1"/>
  <c r="AB168" i="1"/>
  <c r="A168" i="1"/>
  <c r="AC167" i="1"/>
  <c r="AB167" i="1"/>
  <c r="A167" i="1"/>
  <c r="AC166" i="1"/>
  <c r="AB166" i="1"/>
  <c r="A166" i="1"/>
  <c r="W166" i="1" s="1"/>
  <c r="AC165" i="1"/>
  <c r="AB165" i="1"/>
  <c r="A165" i="1"/>
  <c r="AC164" i="1"/>
  <c r="AB164" i="1"/>
  <c r="A164" i="1"/>
  <c r="AC163" i="1"/>
  <c r="AB163" i="1"/>
  <c r="A163" i="1"/>
  <c r="AC162" i="1"/>
  <c r="AB162" i="1"/>
  <c r="A162" i="1"/>
  <c r="AC161" i="1"/>
  <c r="AB161" i="1"/>
  <c r="A161" i="1"/>
  <c r="AC160" i="1"/>
  <c r="AB160" i="1"/>
  <c r="A160" i="1"/>
  <c r="AC159" i="1"/>
  <c r="AB159" i="1"/>
  <c r="A159" i="1"/>
  <c r="AC158" i="1"/>
  <c r="AB158" i="1"/>
  <c r="A158" i="1"/>
  <c r="W158" i="1" s="1"/>
  <c r="AC157" i="1"/>
  <c r="AB157" i="1"/>
  <c r="A157" i="1"/>
  <c r="AC156" i="1"/>
  <c r="AB156" i="1"/>
  <c r="A156" i="1"/>
  <c r="AC155" i="1"/>
  <c r="AB155" i="1"/>
  <c r="A155" i="1"/>
  <c r="W155" i="1" s="1"/>
  <c r="AC154" i="1"/>
  <c r="AB154" i="1"/>
  <c r="A154" i="1"/>
  <c r="AC153" i="1"/>
  <c r="AB153" i="1"/>
  <c r="A153" i="1"/>
  <c r="AC152" i="1"/>
  <c r="AB152" i="1"/>
  <c r="A152" i="1"/>
  <c r="AC151" i="1"/>
  <c r="AB151" i="1"/>
  <c r="A151" i="1"/>
  <c r="AC150" i="1"/>
  <c r="AB150" i="1"/>
  <c r="A150" i="1"/>
  <c r="W150" i="1" s="1"/>
  <c r="AC149" i="1"/>
  <c r="AB149" i="1"/>
  <c r="A149" i="1"/>
  <c r="AC148" i="1"/>
  <c r="AB148" i="1"/>
  <c r="A148" i="1"/>
  <c r="AC147" i="1"/>
  <c r="AB147" i="1"/>
  <c r="A147" i="1"/>
  <c r="W147" i="1" s="1"/>
  <c r="AC146" i="1"/>
  <c r="AB146" i="1"/>
  <c r="A146" i="1"/>
  <c r="AC145" i="1"/>
  <c r="AB145" i="1"/>
  <c r="A145" i="1"/>
  <c r="AC144" i="1"/>
  <c r="AB144" i="1"/>
  <c r="A144" i="1"/>
  <c r="AC143" i="1"/>
  <c r="AB143" i="1"/>
  <c r="A143" i="1"/>
  <c r="AC142" i="1"/>
  <c r="AB142" i="1"/>
  <c r="A142" i="1"/>
  <c r="W142" i="1" s="1"/>
  <c r="AC141" i="1"/>
  <c r="AB141" i="1"/>
  <c r="A141" i="1"/>
  <c r="AC140" i="1"/>
  <c r="AB140" i="1"/>
  <c r="A140" i="1"/>
  <c r="AC139" i="1"/>
  <c r="AB139" i="1"/>
  <c r="A139" i="1"/>
  <c r="W139" i="1" s="1"/>
  <c r="AC138" i="1"/>
  <c r="AB138" i="1"/>
  <c r="A138" i="1"/>
  <c r="AC137" i="1"/>
  <c r="AB137" i="1"/>
  <c r="A137" i="1"/>
  <c r="AC136" i="1"/>
  <c r="AB136" i="1"/>
  <c r="A136" i="1"/>
  <c r="AC135" i="1"/>
  <c r="AB135" i="1"/>
  <c r="A135" i="1"/>
  <c r="AC134" i="1"/>
  <c r="AB134" i="1"/>
  <c r="A134" i="1"/>
  <c r="W134" i="1" s="1"/>
  <c r="AC133" i="1"/>
  <c r="AB133" i="1"/>
  <c r="A133" i="1"/>
  <c r="AC132" i="1"/>
  <c r="AB132" i="1"/>
  <c r="A132" i="1"/>
  <c r="AC131" i="1"/>
  <c r="AB131" i="1"/>
  <c r="A131" i="1"/>
  <c r="W131" i="1" s="1"/>
  <c r="AC130" i="1"/>
  <c r="AB130" i="1"/>
  <c r="A130" i="1"/>
  <c r="AC129" i="1"/>
  <c r="AB129" i="1"/>
  <c r="A129" i="1"/>
  <c r="AC128" i="1"/>
  <c r="AB128" i="1"/>
  <c r="A128" i="1"/>
  <c r="AC127" i="1"/>
  <c r="AB127" i="1"/>
  <c r="A127" i="1"/>
  <c r="AC126" i="1"/>
  <c r="AB126" i="1"/>
  <c r="A126" i="1"/>
  <c r="W126" i="1" s="1"/>
  <c r="AC125" i="1"/>
  <c r="AB125" i="1"/>
  <c r="A125" i="1"/>
  <c r="AC124" i="1"/>
  <c r="AB124" i="1"/>
  <c r="A124" i="1"/>
  <c r="AC123" i="1"/>
  <c r="AB123" i="1"/>
  <c r="A123" i="1"/>
  <c r="W123" i="1" s="1"/>
  <c r="AC122" i="1"/>
  <c r="AB122" i="1"/>
  <c r="A122" i="1"/>
  <c r="AC121" i="1"/>
  <c r="AB121" i="1"/>
  <c r="A121" i="1"/>
  <c r="AC120" i="1"/>
  <c r="AB120" i="1"/>
  <c r="A120" i="1"/>
  <c r="AC119" i="1"/>
  <c r="AB119" i="1"/>
  <c r="A119" i="1"/>
  <c r="AC118" i="1"/>
  <c r="AB118" i="1"/>
  <c r="A118" i="1"/>
  <c r="W118" i="1" s="1"/>
  <c r="AC117" i="1"/>
  <c r="AB117" i="1"/>
  <c r="A117" i="1"/>
  <c r="AC116" i="1"/>
  <c r="AB116" i="1"/>
  <c r="A116" i="1"/>
  <c r="AC115" i="1"/>
  <c r="AB115" i="1"/>
  <c r="A115" i="1"/>
  <c r="W115" i="1" s="1"/>
  <c r="AC114" i="1"/>
  <c r="AB114" i="1"/>
  <c r="A114" i="1"/>
  <c r="AC113" i="1"/>
  <c r="AB113" i="1"/>
  <c r="A113" i="1"/>
  <c r="AC112" i="1"/>
  <c r="AB112" i="1"/>
  <c r="A112" i="1"/>
  <c r="AC111" i="1"/>
  <c r="AB111" i="1"/>
  <c r="A111" i="1"/>
  <c r="AC110" i="1"/>
  <c r="AB110" i="1"/>
  <c r="A110" i="1"/>
  <c r="W110" i="1" s="1"/>
  <c r="AC109" i="1"/>
  <c r="AB109" i="1"/>
  <c r="A109" i="1"/>
  <c r="AC108" i="1"/>
  <c r="AB108" i="1"/>
  <c r="A108" i="1"/>
  <c r="AC107" i="1"/>
  <c r="AB107" i="1"/>
  <c r="A107" i="1"/>
  <c r="W107" i="1" s="1"/>
  <c r="AC106" i="1"/>
  <c r="AB106" i="1"/>
  <c r="A106" i="1"/>
  <c r="AC105" i="1"/>
  <c r="AB105" i="1"/>
  <c r="A105" i="1"/>
  <c r="AC104" i="1"/>
  <c r="AB104" i="1"/>
  <c r="A104" i="1"/>
  <c r="AC103" i="1"/>
  <c r="AB103" i="1"/>
  <c r="A103" i="1"/>
  <c r="AC102" i="1"/>
  <c r="AB102" i="1"/>
  <c r="A102" i="1"/>
  <c r="W102" i="1" s="1"/>
  <c r="AC101" i="1"/>
  <c r="AB101" i="1"/>
  <c r="A101" i="1"/>
  <c r="AC100" i="1"/>
  <c r="AB100" i="1"/>
  <c r="A100" i="1"/>
  <c r="AC99" i="1"/>
  <c r="AB99" i="1"/>
  <c r="A99" i="1"/>
  <c r="W99" i="1" s="1"/>
  <c r="AC98" i="1"/>
  <c r="AB98" i="1"/>
  <c r="A98" i="1"/>
  <c r="AC97" i="1"/>
  <c r="AB97" i="1"/>
  <c r="A97" i="1"/>
  <c r="AC96" i="1"/>
  <c r="AB96" i="1"/>
  <c r="A96" i="1"/>
  <c r="AC95" i="1"/>
  <c r="AB95" i="1"/>
  <c r="A95" i="1"/>
  <c r="AC94" i="1"/>
  <c r="AB94" i="1"/>
  <c r="A94" i="1"/>
  <c r="W94" i="1" s="1"/>
  <c r="AC93" i="1"/>
  <c r="AB93" i="1"/>
  <c r="A93" i="1"/>
  <c r="AC92" i="1"/>
  <c r="AB92" i="1"/>
  <c r="A92" i="1"/>
  <c r="AC91" i="1"/>
  <c r="AB91" i="1"/>
  <c r="A91" i="1"/>
  <c r="W91" i="1" s="1"/>
  <c r="AC90" i="1"/>
  <c r="AB90" i="1"/>
  <c r="A90" i="1"/>
  <c r="AC89" i="1"/>
  <c r="AB89" i="1"/>
  <c r="A89" i="1"/>
  <c r="AC88" i="1"/>
  <c r="AB88" i="1"/>
  <c r="A88" i="1"/>
  <c r="AC87" i="1"/>
  <c r="AB87" i="1"/>
  <c r="A87" i="1"/>
  <c r="AC86" i="1"/>
  <c r="AB86" i="1"/>
  <c r="A86" i="1"/>
  <c r="W86" i="1" s="1"/>
  <c r="AC85" i="1"/>
  <c r="AB85" i="1"/>
  <c r="A85" i="1"/>
  <c r="AC84" i="1"/>
  <c r="AB84" i="1"/>
  <c r="A84" i="1"/>
  <c r="AC83" i="1"/>
  <c r="AB83" i="1"/>
  <c r="A83" i="1"/>
  <c r="W83" i="1" s="1"/>
  <c r="AC82" i="1"/>
  <c r="AB82" i="1"/>
  <c r="A82" i="1"/>
  <c r="AC81" i="1"/>
  <c r="AB81" i="1"/>
  <c r="A81" i="1"/>
  <c r="AC80" i="1"/>
  <c r="AB80" i="1"/>
  <c r="A80" i="1"/>
  <c r="AC79" i="1"/>
  <c r="AB79" i="1"/>
  <c r="A79" i="1"/>
  <c r="AC78" i="1"/>
  <c r="AB78" i="1"/>
  <c r="A78" i="1"/>
  <c r="W78" i="1" s="1"/>
  <c r="AC77" i="1"/>
  <c r="AB77" i="1"/>
  <c r="A77" i="1"/>
  <c r="AC76" i="1"/>
  <c r="AB76" i="1"/>
  <c r="A76" i="1"/>
  <c r="AC75" i="1"/>
  <c r="AB75" i="1"/>
  <c r="A75" i="1"/>
  <c r="W75" i="1" s="1"/>
  <c r="AC74" i="1"/>
  <c r="AB74" i="1"/>
  <c r="A74" i="1"/>
  <c r="AC73" i="1"/>
  <c r="AB73" i="1"/>
  <c r="A73" i="1"/>
  <c r="AC72" i="1"/>
  <c r="AB72" i="1"/>
  <c r="A72" i="1"/>
  <c r="AC71" i="1"/>
  <c r="AB71" i="1"/>
  <c r="A71" i="1"/>
  <c r="AC70" i="1"/>
  <c r="AB70" i="1"/>
  <c r="A70" i="1"/>
  <c r="AC69" i="1"/>
  <c r="AB69" i="1"/>
  <c r="A69" i="1"/>
  <c r="AC68" i="1"/>
  <c r="AB68" i="1"/>
  <c r="A68" i="1"/>
  <c r="AC67" i="1"/>
  <c r="AB67" i="1"/>
  <c r="A67" i="1"/>
  <c r="W67" i="1" s="1"/>
  <c r="AC66" i="1"/>
  <c r="AB66" i="1"/>
  <c r="A66" i="1"/>
  <c r="AC65" i="1"/>
  <c r="AB65" i="1"/>
  <c r="A65" i="1"/>
  <c r="AC64" i="1"/>
  <c r="AB64" i="1"/>
  <c r="A64" i="1"/>
  <c r="AC63" i="1"/>
  <c r="AB63" i="1"/>
  <c r="A63" i="1"/>
  <c r="AC62" i="1"/>
  <c r="AB62" i="1"/>
  <c r="A62" i="1"/>
  <c r="AC61" i="1"/>
  <c r="AB61" i="1"/>
  <c r="A61" i="1"/>
  <c r="AC60" i="1"/>
  <c r="AB60" i="1"/>
  <c r="A60" i="1"/>
  <c r="AC59" i="1"/>
  <c r="AB59" i="1"/>
  <c r="A59" i="1"/>
  <c r="AC58" i="1"/>
  <c r="AB58" i="1"/>
  <c r="A58" i="1"/>
  <c r="AC57" i="1"/>
  <c r="AB57" i="1"/>
  <c r="A57" i="1"/>
  <c r="AC56" i="1"/>
  <c r="AB56" i="1"/>
  <c r="A56" i="1"/>
  <c r="AC55" i="1"/>
  <c r="AB55" i="1"/>
  <c r="A55" i="1"/>
  <c r="AC54" i="1"/>
  <c r="AB54" i="1"/>
  <c r="A54" i="1"/>
  <c r="AC53" i="1"/>
  <c r="AB53" i="1"/>
  <c r="A53" i="1"/>
  <c r="AC52" i="1"/>
  <c r="AB52" i="1"/>
  <c r="A52" i="1"/>
  <c r="AC51" i="1"/>
  <c r="AB51" i="1"/>
  <c r="A51" i="1"/>
  <c r="AC50" i="1"/>
  <c r="AB50" i="1"/>
  <c r="A50" i="1"/>
  <c r="AC49" i="1"/>
  <c r="AB49" i="1"/>
  <c r="A49" i="1"/>
  <c r="AC48" i="1"/>
  <c r="AB48" i="1"/>
  <c r="A48" i="1"/>
  <c r="AC47" i="1"/>
  <c r="AB47" i="1"/>
  <c r="A47" i="1"/>
  <c r="AC46" i="1"/>
  <c r="AB46" i="1"/>
  <c r="A46" i="1"/>
  <c r="AC45" i="1"/>
  <c r="AB45" i="1"/>
  <c r="A45" i="1"/>
  <c r="AC44" i="1"/>
  <c r="AB44" i="1"/>
  <c r="A44" i="1"/>
  <c r="AC43" i="1"/>
  <c r="AB43" i="1"/>
  <c r="A43" i="1"/>
  <c r="AC42" i="1"/>
  <c r="AB42" i="1"/>
  <c r="A42" i="1"/>
  <c r="AC41" i="1"/>
  <c r="AB41" i="1"/>
  <c r="A41" i="1"/>
  <c r="AC40" i="1"/>
  <c r="AB40" i="1"/>
  <c r="A40" i="1"/>
  <c r="AC39" i="1"/>
  <c r="AB39" i="1"/>
  <c r="A39" i="1"/>
  <c r="AC38" i="1"/>
  <c r="AB38" i="1"/>
  <c r="A38" i="1"/>
  <c r="AC37" i="1"/>
  <c r="AB37" i="1"/>
  <c r="A37" i="1"/>
  <c r="AC36" i="1"/>
  <c r="AB36" i="1"/>
  <c r="A36" i="1"/>
  <c r="AC35" i="1"/>
  <c r="AB35" i="1"/>
  <c r="A35" i="1"/>
  <c r="AC34" i="1"/>
  <c r="AB34" i="1"/>
  <c r="A34" i="1"/>
  <c r="AC33" i="1"/>
  <c r="AB33" i="1"/>
  <c r="A33" i="1"/>
  <c r="AC32" i="1"/>
  <c r="AB32" i="1"/>
  <c r="A32" i="1"/>
  <c r="AC31" i="1"/>
  <c r="AB31" i="1"/>
  <c r="A31" i="1"/>
  <c r="AC30" i="1"/>
  <c r="AB30" i="1"/>
  <c r="A30" i="1"/>
  <c r="AC29" i="1"/>
  <c r="AB29" i="1"/>
  <c r="A29" i="1"/>
  <c r="AC28" i="1"/>
  <c r="AB28" i="1"/>
  <c r="A28" i="1"/>
  <c r="AC27" i="1"/>
  <c r="AB27" i="1"/>
  <c r="A27" i="1"/>
  <c r="AC26" i="1"/>
  <c r="AB26" i="1"/>
  <c r="A26" i="1"/>
  <c r="AC25" i="1"/>
  <c r="AB25" i="1"/>
  <c r="A25" i="1"/>
  <c r="AC24" i="1"/>
  <c r="AB24" i="1"/>
  <c r="A24" i="1"/>
  <c r="AC23" i="1"/>
  <c r="AB23" i="1"/>
  <c r="A23" i="1"/>
  <c r="AC22" i="1"/>
  <c r="AB22" i="1"/>
  <c r="A22" i="1"/>
  <c r="AC21" i="1"/>
  <c r="AB21" i="1"/>
  <c r="A21" i="1"/>
  <c r="AC20" i="1"/>
  <c r="AB20" i="1"/>
  <c r="A20" i="1"/>
  <c r="AC19" i="1"/>
  <c r="AB19" i="1"/>
  <c r="A19" i="1"/>
  <c r="AC18" i="1"/>
  <c r="AB18" i="1"/>
  <c r="A18" i="1"/>
  <c r="AC17" i="1"/>
  <c r="AB17" i="1"/>
  <c r="A17" i="1"/>
  <c r="AC16" i="1"/>
  <c r="AB16" i="1"/>
  <c r="A16" i="1"/>
  <c r="AC15" i="1"/>
  <c r="AB15" i="1"/>
  <c r="A15" i="1"/>
  <c r="AC14" i="1"/>
  <c r="AB14" i="1"/>
  <c r="A14" i="1"/>
  <c r="AC13" i="1"/>
  <c r="AB13" i="1"/>
  <c r="A13" i="1"/>
  <c r="AC12" i="1"/>
  <c r="AB12" i="1"/>
  <c r="A12" i="1"/>
  <c r="AC11" i="1"/>
  <c r="AB11" i="1"/>
  <c r="A11" i="1"/>
  <c r="AC10" i="1"/>
  <c r="AB10" i="1"/>
  <c r="A10" i="1"/>
  <c r="AC9" i="1"/>
  <c r="AB9" i="1"/>
  <c r="A9" i="1"/>
  <c r="AC8" i="1"/>
  <c r="AB8" i="1"/>
  <c r="A8" i="1"/>
  <c r="AC7" i="1"/>
  <c r="AB7" i="1"/>
  <c r="A7" i="1"/>
  <c r="AC6" i="1"/>
  <c r="AB6" i="1"/>
  <c r="A6" i="1"/>
  <c r="AC5" i="1"/>
  <c r="AB5" i="1"/>
  <c r="A5" i="1"/>
  <c r="AC4" i="1"/>
  <c r="AB4" i="1"/>
  <c r="A4" i="1"/>
  <c r="AC3" i="1"/>
  <c r="AB3" i="1"/>
  <c r="A3" i="1"/>
  <c r="W3" i="1" s="1"/>
  <c r="U3" i="1" s="1"/>
  <c r="B14" i="1" l="1"/>
  <c r="W14" i="1"/>
  <c r="W36" i="1"/>
  <c r="Z36" i="1" s="1"/>
  <c r="B48" i="1"/>
  <c r="W48" i="1"/>
  <c r="Z48" i="1" s="1"/>
  <c r="W60" i="1"/>
  <c r="Z60" i="1" s="1"/>
  <c r="B74" i="1"/>
  <c r="W74" i="1"/>
  <c r="Z74" i="1" s="1"/>
  <c r="B114" i="1"/>
  <c r="W114" i="1"/>
  <c r="Z114" i="1" s="1"/>
  <c r="B154" i="1"/>
  <c r="W154" i="1"/>
  <c r="Z154" i="1" s="1"/>
  <c r="B178" i="1"/>
  <c r="W178" i="1"/>
  <c r="Z178" i="1" s="1"/>
  <c r="W190" i="1"/>
  <c r="Z190" i="1" s="1"/>
  <c r="B202" i="1"/>
  <c r="W202" i="1"/>
  <c r="W214" i="1"/>
  <c r="Z214" i="1" s="1"/>
  <c r="W228" i="1"/>
  <c r="Z228" i="1" s="1"/>
  <c r="W238" i="1"/>
  <c r="Z238" i="1" s="1"/>
  <c r="W266" i="1"/>
  <c r="Z266" i="1" s="1"/>
  <c r="W280" i="1"/>
  <c r="Z280" i="1" s="1"/>
  <c r="B292" i="1"/>
  <c r="W292" i="1"/>
  <c r="Z292" i="1" s="1"/>
  <c r="W304" i="1"/>
  <c r="Z304" i="1" s="1"/>
  <c r="B316" i="1"/>
  <c r="W316" i="1"/>
  <c r="Z316" i="1" s="1"/>
  <c r="B324" i="1"/>
  <c r="W324" i="1"/>
  <c r="Z324" i="1" s="1"/>
  <c r="W336" i="1"/>
  <c r="Z336" i="1" s="1"/>
  <c r="W342" i="1"/>
  <c r="Z342" i="1" s="1"/>
  <c r="B348" i="1"/>
  <c r="W348" i="1"/>
  <c r="Z348" i="1" s="1"/>
  <c r="B354" i="1"/>
  <c r="W354" i="1"/>
  <c r="Z354" i="1" s="1"/>
  <c r="W360" i="1"/>
  <c r="Z360" i="1" s="1"/>
  <c r="W366" i="1"/>
  <c r="Z366" i="1" s="1"/>
  <c r="B372" i="1"/>
  <c r="W372" i="1"/>
  <c r="Z372" i="1" s="1"/>
  <c r="B378" i="1"/>
  <c r="W378" i="1"/>
  <c r="Z378" i="1" s="1"/>
  <c r="W390" i="1"/>
  <c r="Z390" i="1" s="1"/>
  <c r="B396" i="1"/>
  <c r="W396" i="1"/>
  <c r="Z396" i="1" s="1"/>
  <c r="B402" i="1"/>
  <c r="W402" i="1"/>
  <c r="Z402" i="1" s="1"/>
  <c r="W406" i="1"/>
  <c r="Z406" i="1" s="1"/>
  <c r="W414" i="1"/>
  <c r="Z414" i="1" s="1"/>
  <c r="W422" i="1"/>
  <c r="Z422" i="1" s="1"/>
  <c r="W430" i="1"/>
  <c r="Z430" i="1" s="1"/>
  <c r="W434" i="1"/>
  <c r="Z434" i="1" s="1"/>
  <c r="B438" i="1"/>
  <c r="W438" i="1"/>
  <c r="Z438" i="1" s="1"/>
  <c r="W440" i="1"/>
  <c r="Z440" i="1" s="1"/>
  <c r="W452" i="1"/>
  <c r="Z452" i="1" s="1"/>
  <c r="W454" i="1"/>
  <c r="Z454" i="1" s="1"/>
  <c r="W458" i="1"/>
  <c r="Z458" i="1" s="1"/>
  <c r="B468" i="1"/>
  <c r="W468" i="1"/>
  <c r="Z468" i="1" s="1"/>
  <c r="B470" i="1"/>
  <c r="W470" i="1"/>
  <c r="Z470" i="1" s="1"/>
  <c r="W474" i="1"/>
  <c r="Z474" i="1" s="1"/>
  <c r="W478" i="1"/>
  <c r="Z478" i="1" s="1"/>
  <c r="B490" i="1"/>
  <c r="W490" i="1"/>
  <c r="Z490" i="1" s="1"/>
  <c r="W494" i="1"/>
  <c r="Z494" i="1" s="1"/>
  <c r="B506" i="1"/>
  <c r="W506" i="1"/>
  <c r="Z506" i="1" s="1"/>
  <c r="W518" i="1"/>
  <c r="Z518" i="1" s="1"/>
  <c r="B524" i="1"/>
  <c r="W524" i="1"/>
  <c r="Z524" i="1" s="1"/>
  <c r="B530" i="1"/>
  <c r="W530" i="1"/>
  <c r="Z530" i="1" s="1"/>
  <c r="W542" i="1"/>
  <c r="Z542" i="1" s="1"/>
  <c r="B548" i="1"/>
  <c r="W548" i="1"/>
  <c r="Z548" i="1" s="1"/>
  <c r="B554" i="1"/>
  <c r="W554" i="1"/>
  <c r="Z554" i="1" s="1"/>
  <c r="W558" i="1"/>
  <c r="Z558" i="1" s="1"/>
  <c r="B564" i="1"/>
  <c r="W564" i="1"/>
  <c r="Z564" i="1" s="1"/>
  <c r="B570" i="1"/>
  <c r="W570" i="1"/>
  <c r="Z570" i="1" s="1"/>
  <c r="W582" i="1"/>
  <c r="Z582" i="1" s="1"/>
  <c r="B588" i="1"/>
  <c r="W588" i="1"/>
  <c r="Z588" i="1" s="1"/>
  <c r="B594" i="1"/>
  <c r="W594" i="1"/>
  <c r="Z594" i="1" s="1"/>
  <c r="B606" i="1"/>
  <c r="W606" i="1"/>
  <c r="Z606" i="1" s="1"/>
  <c r="W612" i="1"/>
  <c r="Z612" i="1" s="1"/>
  <c r="B618" i="1"/>
  <c r="W618" i="1"/>
  <c r="Z618" i="1" s="1"/>
  <c r="W622" i="1"/>
  <c r="Z622" i="1" s="1"/>
  <c r="W630" i="1"/>
  <c r="Z630" i="1" s="1"/>
  <c r="W634" i="1"/>
  <c r="Z634" i="1" s="1"/>
  <c r="B640" i="1"/>
  <c r="W640" i="1"/>
  <c r="Z640" i="1" s="1"/>
  <c r="W646" i="1"/>
  <c r="Z646" i="1" s="1"/>
  <c r="W658" i="1"/>
  <c r="Z658" i="1" s="1"/>
  <c r="B664" i="1"/>
  <c r="W664" i="1"/>
  <c r="Z664" i="1" s="1"/>
  <c r="W670" i="1"/>
  <c r="Z670" i="1" s="1"/>
  <c r="W676" i="1"/>
  <c r="Z676" i="1" s="1"/>
  <c r="W682" i="1"/>
  <c r="Z682" i="1" s="1"/>
  <c r="B688" i="1"/>
  <c r="W688" i="1"/>
  <c r="Z688" i="1" s="1"/>
  <c r="W694" i="1"/>
  <c r="Z694" i="1" s="1"/>
  <c r="W700" i="1"/>
  <c r="Z700" i="1" s="1"/>
  <c r="W706" i="1"/>
  <c r="Z706" i="1" s="1"/>
  <c r="B712" i="1"/>
  <c r="W712" i="1"/>
  <c r="Z712" i="1" s="1"/>
  <c r="W718" i="1"/>
  <c r="Z718" i="1" s="1"/>
  <c r="W724" i="1"/>
  <c r="Z724" i="1" s="1"/>
  <c r="B730" i="1"/>
  <c r="W730" i="1"/>
  <c r="Z730" i="1" s="1"/>
  <c r="B736" i="1"/>
  <c r="W736" i="1"/>
  <c r="Z736" i="1" s="1"/>
  <c r="W742" i="1"/>
  <c r="Z742" i="1" s="1"/>
  <c r="W748" i="1"/>
  <c r="Z748" i="1" s="1"/>
  <c r="B754" i="1"/>
  <c r="W754" i="1"/>
  <c r="Z754" i="1" s="1"/>
  <c r="B760" i="1"/>
  <c r="W760" i="1"/>
  <c r="Z760" i="1" s="1"/>
  <c r="W786" i="1"/>
  <c r="Z786" i="1" s="1"/>
  <c r="B794" i="1"/>
  <c r="W794" i="1"/>
  <c r="Z794" i="1" s="1"/>
  <c r="B800" i="1"/>
  <c r="W800" i="1"/>
  <c r="Z800" i="1" s="1"/>
  <c r="W804" i="1"/>
  <c r="Z804" i="1" s="1"/>
  <c r="B810" i="1"/>
  <c r="W810" i="1"/>
  <c r="Z810" i="1" s="1"/>
  <c r="W816" i="1"/>
  <c r="Z816" i="1" s="1"/>
  <c r="B822" i="1"/>
  <c r="W822" i="1"/>
  <c r="Z822" i="1" s="1"/>
  <c r="B834" i="1"/>
  <c r="W834" i="1"/>
  <c r="Z834" i="1" s="1"/>
  <c r="W840" i="1"/>
  <c r="Z840" i="1" s="1"/>
  <c r="B846" i="1"/>
  <c r="W846" i="1"/>
  <c r="Z846" i="1" s="1"/>
  <c r="B858" i="1"/>
  <c r="W858" i="1"/>
  <c r="Z858" i="1" s="1"/>
  <c r="W864" i="1"/>
  <c r="Z864" i="1" s="1"/>
  <c r="W876" i="1"/>
  <c r="Z876" i="1" s="1"/>
  <c r="B882" i="1"/>
  <c r="W882" i="1"/>
  <c r="Z882" i="1" s="1"/>
  <c r="W888" i="1"/>
  <c r="Z888" i="1" s="1"/>
  <c r="B894" i="1"/>
  <c r="W894" i="1"/>
  <c r="Z894" i="1" s="1"/>
  <c r="W900" i="1"/>
  <c r="Z900" i="1" s="1"/>
  <c r="B910" i="1"/>
  <c r="W910" i="1"/>
  <c r="Z910" i="1" s="1"/>
  <c r="W916" i="1"/>
  <c r="Z916" i="1" s="1"/>
  <c r="B922" i="1"/>
  <c r="W922" i="1"/>
  <c r="Z922" i="1" s="1"/>
  <c r="W928" i="1"/>
  <c r="Z928" i="1" s="1"/>
  <c r="B934" i="1"/>
  <c r="W934" i="1"/>
  <c r="Z934" i="1" s="1"/>
  <c r="W940" i="1"/>
  <c r="Z940" i="1" s="1"/>
  <c r="B946" i="1"/>
  <c r="W946" i="1"/>
  <c r="Z946" i="1" s="1"/>
  <c r="W952" i="1"/>
  <c r="Z952" i="1" s="1"/>
  <c r="B958" i="1"/>
  <c r="W958" i="1"/>
  <c r="Z958" i="1" s="1"/>
  <c r="W964" i="1"/>
  <c r="Z964" i="1" s="1"/>
  <c r="B970" i="1"/>
  <c r="W970" i="1"/>
  <c r="Z970" i="1" s="1"/>
  <c r="W976" i="1"/>
  <c r="Z976" i="1" s="1"/>
  <c r="W988" i="1"/>
  <c r="Z988" i="1" s="1"/>
  <c r="B994" i="1"/>
  <c r="W994" i="1"/>
  <c r="Z994" i="1" s="1"/>
  <c r="W350" i="1"/>
  <c r="Z350" i="1" s="1"/>
  <c r="B356" i="1"/>
  <c r="W356" i="1"/>
  <c r="Z356" i="1" s="1"/>
  <c r="W368" i="1"/>
  <c r="Z368" i="1" s="1"/>
  <c r="W374" i="1"/>
  <c r="Z374" i="1" s="1"/>
  <c r="W392" i="1"/>
  <c r="Z392" i="1" s="1"/>
  <c r="W400" i="1"/>
  <c r="Z400" i="1" s="1"/>
  <c r="W510" i="1"/>
  <c r="Z510" i="1" s="1"/>
  <c r="B516" i="1"/>
  <c r="W516" i="1"/>
  <c r="Z516" i="1" s="1"/>
  <c r="B522" i="1"/>
  <c r="W522" i="1"/>
  <c r="Z522" i="1" s="1"/>
  <c r="B534" i="1"/>
  <c r="W534" i="1"/>
  <c r="Z534" i="1" s="1"/>
  <c r="B540" i="1"/>
  <c r="W540" i="1"/>
  <c r="Z540" i="1" s="1"/>
  <c r="B546" i="1"/>
  <c r="W546" i="1"/>
  <c r="Z546" i="1" s="1"/>
  <c r="B578" i="1"/>
  <c r="W578" i="1"/>
  <c r="Z578" i="1" s="1"/>
  <c r="W590" i="1"/>
  <c r="Z590" i="1" s="1"/>
  <c r="W596" i="1"/>
  <c r="Z596" i="1" s="1"/>
  <c r="B602" i="1"/>
  <c r="W602" i="1"/>
  <c r="Z602" i="1" s="1"/>
  <c r="W608" i="1"/>
  <c r="Z608" i="1" s="1"/>
  <c r="W614" i="1"/>
  <c r="Z614" i="1" s="1"/>
  <c r="W620" i="1"/>
  <c r="Z620" i="1" s="1"/>
  <c r="B626" i="1"/>
  <c r="W626" i="1"/>
  <c r="Z626" i="1" s="1"/>
  <c r="B632" i="1"/>
  <c r="W632" i="1"/>
  <c r="Z632" i="1" s="1"/>
  <c r="W638" i="1"/>
  <c r="Z638" i="1" s="1"/>
  <c r="B650" i="1"/>
  <c r="W650" i="1"/>
  <c r="Z650" i="1" s="1"/>
  <c r="B656" i="1"/>
  <c r="W656" i="1"/>
  <c r="Z656" i="1" s="1"/>
  <c r="W662" i="1"/>
  <c r="Z662" i="1" s="1"/>
  <c r="W668" i="1"/>
  <c r="Z668" i="1" s="1"/>
  <c r="B672" i="1"/>
  <c r="W672" i="1"/>
  <c r="Z672" i="1" s="1"/>
  <c r="W678" i="1"/>
  <c r="Z678" i="1" s="1"/>
  <c r="W684" i="1"/>
  <c r="Z684" i="1" s="1"/>
  <c r="B690" i="1"/>
  <c r="W690" i="1"/>
  <c r="Z690" i="1" s="1"/>
  <c r="B696" i="1"/>
  <c r="W696" i="1"/>
  <c r="Z696" i="1" s="1"/>
  <c r="W702" i="1"/>
  <c r="Z702" i="1" s="1"/>
  <c r="W708" i="1"/>
  <c r="Z708" i="1" s="1"/>
  <c r="B714" i="1"/>
  <c r="W714" i="1"/>
  <c r="Z714" i="1" s="1"/>
  <c r="B720" i="1"/>
  <c r="W720" i="1"/>
  <c r="Z720" i="1" s="1"/>
  <c r="W726" i="1"/>
  <c r="Z726" i="1" s="1"/>
  <c r="W732" i="1"/>
  <c r="Z732" i="1" s="1"/>
  <c r="B738" i="1"/>
  <c r="W738" i="1"/>
  <c r="Z738" i="1" s="1"/>
  <c r="B744" i="1"/>
  <c r="W744" i="1"/>
  <c r="Z744" i="1" s="1"/>
  <c r="W750" i="1"/>
  <c r="Z750" i="1" s="1"/>
  <c r="W756" i="1"/>
  <c r="Z756" i="1" s="1"/>
  <c r="B762" i="1"/>
  <c r="W762" i="1"/>
  <c r="Z762" i="1" s="1"/>
  <c r="B768" i="1"/>
  <c r="W768" i="1"/>
  <c r="Z768" i="1" s="1"/>
  <c r="W772" i="1"/>
  <c r="Z772" i="1" s="1"/>
  <c r="B778" i="1"/>
  <c r="W778" i="1"/>
  <c r="Z778" i="1" s="1"/>
  <c r="B784" i="1"/>
  <c r="W784" i="1"/>
  <c r="Z784" i="1" s="1"/>
  <c r="B790" i="1"/>
  <c r="W790" i="1"/>
  <c r="Z790" i="1" s="1"/>
  <c r="B796" i="1"/>
  <c r="W796" i="1"/>
  <c r="Z796" i="1" s="1"/>
  <c r="W802" i="1"/>
  <c r="Z802" i="1" s="1"/>
  <c r="W808" i="1"/>
  <c r="Z808" i="1" s="1"/>
  <c r="B814" i="1"/>
  <c r="W814" i="1"/>
  <c r="Z814" i="1" s="1"/>
  <c r="W820" i="1"/>
  <c r="Z820" i="1" s="1"/>
  <c r="B826" i="1"/>
  <c r="W826" i="1"/>
  <c r="Z826" i="1" s="1"/>
  <c r="W832" i="1"/>
  <c r="Z832" i="1" s="1"/>
  <c r="B838" i="1"/>
  <c r="W838" i="1"/>
  <c r="Z838" i="1" s="1"/>
  <c r="B850" i="1"/>
  <c r="W850" i="1"/>
  <c r="Z850" i="1" s="1"/>
  <c r="W856" i="1"/>
  <c r="Z856" i="1" s="1"/>
  <c r="B862" i="1"/>
  <c r="W862" i="1"/>
  <c r="Z862" i="1" s="1"/>
  <c r="B874" i="1"/>
  <c r="W874" i="1"/>
  <c r="Z874" i="1" s="1"/>
  <c r="B886" i="1"/>
  <c r="W886" i="1"/>
  <c r="Z886" i="1" s="1"/>
  <c r="W892" i="1"/>
  <c r="Z892" i="1" s="1"/>
  <c r="B898" i="1"/>
  <c r="W898" i="1"/>
  <c r="Z898" i="1" s="1"/>
  <c r="W912" i="1"/>
  <c r="Z912" i="1" s="1"/>
  <c r="B918" i="1"/>
  <c r="W918" i="1"/>
  <c r="Z918" i="1" s="1"/>
  <c r="W924" i="1"/>
  <c r="Z924" i="1" s="1"/>
  <c r="B930" i="1"/>
  <c r="W930" i="1"/>
  <c r="Z930" i="1" s="1"/>
  <c r="W936" i="1"/>
  <c r="Z936" i="1" s="1"/>
  <c r="B942" i="1"/>
  <c r="W942" i="1"/>
  <c r="Z942" i="1" s="1"/>
  <c r="W948" i="1"/>
  <c r="Z948" i="1" s="1"/>
  <c r="B954" i="1"/>
  <c r="W954" i="1"/>
  <c r="Z954" i="1" s="1"/>
  <c r="W960" i="1"/>
  <c r="Z960" i="1" s="1"/>
  <c r="B974" i="1"/>
  <c r="W974" i="1"/>
  <c r="Z974" i="1" s="1"/>
  <c r="W980" i="1"/>
  <c r="Z980" i="1" s="1"/>
  <c r="B986" i="1"/>
  <c r="W986" i="1"/>
  <c r="Z986" i="1" s="1"/>
  <c r="W992" i="1"/>
  <c r="Z992" i="1" s="1"/>
  <c r="B998" i="1"/>
  <c r="W998" i="1"/>
  <c r="Z998" i="1" s="1"/>
  <c r="W1000" i="1"/>
  <c r="Z1000" i="1" s="1"/>
  <c r="W4" i="1"/>
  <c r="B16" i="1"/>
  <c r="W16" i="1"/>
  <c r="B26" i="1"/>
  <c r="W26" i="1"/>
  <c r="Z26" i="1" s="1"/>
  <c r="B38" i="1"/>
  <c r="W38" i="1"/>
  <c r="Z38" i="1" s="1"/>
  <c r="W52" i="1"/>
  <c r="Z52" i="1" s="1"/>
  <c r="W64" i="1"/>
  <c r="Z64" i="1" s="1"/>
  <c r="W76" i="1"/>
  <c r="Z76" i="1" s="1"/>
  <c r="W88" i="1"/>
  <c r="Z88" i="1" s="1"/>
  <c r="W100" i="1"/>
  <c r="Z100" i="1" s="1"/>
  <c r="B112" i="1"/>
  <c r="W112" i="1"/>
  <c r="Z112" i="1" s="1"/>
  <c r="W124" i="1"/>
  <c r="Z124" i="1" s="1"/>
  <c r="B136" i="1"/>
  <c r="W136" i="1"/>
  <c r="Z136" i="1" s="1"/>
  <c r="B162" i="1"/>
  <c r="W162" i="1"/>
  <c r="Z162" i="1" s="1"/>
  <c r="W174" i="1"/>
  <c r="Z174" i="1" s="1"/>
  <c r="B186" i="1"/>
  <c r="W186" i="1"/>
  <c r="Z186" i="1" s="1"/>
  <c r="W198" i="1"/>
  <c r="Z198" i="1" s="1"/>
  <c r="B210" i="1"/>
  <c r="W210" i="1"/>
  <c r="Z210" i="1" s="1"/>
  <c r="W236" i="1"/>
  <c r="Z236" i="1" s="1"/>
  <c r="W246" i="1"/>
  <c r="Z246" i="1" s="1"/>
  <c r="B262" i="1"/>
  <c r="W262" i="1"/>
  <c r="Z262" i="1" s="1"/>
  <c r="W274" i="1"/>
  <c r="Z274" i="1" s="1"/>
  <c r="W286" i="1"/>
  <c r="Z286" i="1" s="1"/>
  <c r="B300" i="1"/>
  <c r="W300" i="1"/>
  <c r="Z300" i="1" s="1"/>
  <c r="W312" i="1"/>
  <c r="Z312" i="1" s="1"/>
  <c r="B322" i="1"/>
  <c r="W322" i="1"/>
  <c r="Z322" i="1" s="1"/>
  <c r="B332" i="1"/>
  <c r="W332" i="1"/>
  <c r="Z332" i="1" s="1"/>
  <c r="B340" i="1"/>
  <c r="W340" i="1"/>
  <c r="Z340" i="1" s="1"/>
  <c r="B346" i="1"/>
  <c r="W346" i="1"/>
  <c r="Z346" i="1" s="1"/>
  <c r="W352" i="1"/>
  <c r="Z352" i="1" s="1"/>
  <c r="W358" i="1"/>
  <c r="Z358" i="1" s="1"/>
  <c r="B364" i="1"/>
  <c r="W364" i="1"/>
  <c r="Z364" i="1" s="1"/>
  <c r="B370" i="1"/>
  <c r="W370" i="1"/>
  <c r="Z370" i="1" s="1"/>
  <c r="W376" i="1"/>
  <c r="Z376" i="1" s="1"/>
  <c r="W382" i="1"/>
  <c r="Z382" i="1" s="1"/>
  <c r="W398" i="1"/>
  <c r="Z398" i="1" s="1"/>
  <c r="W408" i="1"/>
  <c r="Z408" i="1" s="1"/>
  <c r="W416" i="1"/>
  <c r="Z416" i="1" s="1"/>
  <c r="B420" i="1"/>
  <c r="W420" i="1"/>
  <c r="Z420" i="1" s="1"/>
  <c r="W432" i="1"/>
  <c r="Z432" i="1" s="1"/>
  <c r="W446" i="1"/>
  <c r="Z446" i="1" s="1"/>
  <c r="W460" i="1"/>
  <c r="Z460" i="1" s="1"/>
  <c r="W462" i="1"/>
  <c r="Z462" i="1" s="1"/>
  <c r="W466" i="1"/>
  <c r="Z466" i="1" s="1"/>
  <c r="B484" i="1"/>
  <c r="W484" i="1"/>
  <c r="Z484" i="1" s="1"/>
  <c r="B502" i="1"/>
  <c r="W502" i="1"/>
  <c r="Z502" i="1" s="1"/>
  <c r="B514" i="1"/>
  <c r="W514" i="1"/>
  <c r="Z514" i="1" s="1"/>
  <c r="W526" i="1"/>
  <c r="Z526" i="1" s="1"/>
  <c r="B532" i="1"/>
  <c r="W532" i="1"/>
  <c r="Z532" i="1" s="1"/>
  <c r="B538" i="1"/>
  <c r="W538" i="1"/>
  <c r="Z538" i="1" s="1"/>
  <c r="W550" i="1"/>
  <c r="Z550" i="1" s="1"/>
  <c r="B556" i="1"/>
  <c r="W556" i="1"/>
  <c r="Z556" i="1" s="1"/>
  <c r="B562" i="1"/>
  <c r="W562" i="1"/>
  <c r="Z562" i="1" s="1"/>
  <c r="B574" i="1"/>
  <c r="W574" i="1"/>
  <c r="Z574" i="1" s="1"/>
  <c r="W580" i="1"/>
  <c r="Z580" i="1" s="1"/>
  <c r="B598" i="1"/>
  <c r="W598" i="1"/>
  <c r="Z598" i="1" s="1"/>
  <c r="B604" i="1"/>
  <c r="W604" i="1"/>
  <c r="Z604" i="1" s="1"/>
  <c r="W610" i="1"/>
  <c r="Z610" i="1" s="1"/>
  <c r="W624" i="1"/>
  <c r="Z624" i="1" s="1"/>
  <c r="W628" i="1"/>
  <c r="Z628" i="1" s="1"/>
  <c r="W642" i="1"/>
  <c r="Z642" i="1" s="1"/>
  <c r="B648" i="1"/>
  <c r="W648" i="1"/>
  <c r="Z648" i="1" s="1"/>
  <c r="W654" i="1"/>
  <c r="Z654" i="1" s="1"/>
  <c r="W666" i="1"/>
  <c r="Z666" i="1" s="1"/>
  <c r="B680" i="1"/>
  <c r="W680" i="1"/>
  <c r="Z680" i="1" s="1"/>
  <c r="W686" i="1"/>
  <c r="Z686" i="1" s="1"/>
  <c r="W692" i="1"/>
  <c r="Z692" i="1" s="1"/>
  <c r="W698" i="1"/>
  <c r="Z698" i="1" s="1"/>
  <c r="B704" i="1"/>
  <c r="W704" i="1"/>
  <c r="Z704" i="1" s="1"/>
  <c r="W710" i="1"/>
  <c r="Z710" i="1" s="1"/>
  <c r="W716" i="1"/>
  <c r="Z716" i="1" s="1"/>
  <c r="B722" i="1"/>
  <c r="W722" i="1"/>
  <c r="Z722" i="1" s="1"/>
  <c r="B728" i="1"/>
  <c r="W728" i="1"/>
  <c r="Z728" i="1" s="1"/>
  <c r="W734" i="1"/>
  <c r="Z734" i="1" s="1"/>
  <c r="W740" i="1"/>
  <c r="Z740" i="1" s="1"/>
  <c r="B746" i="1"/>
  <c r="W746" i="1"/>
  <c r="Z746" i="1" s="1"/>
  <c r="B752" i="1"/>
  <c r="W752" i="1"/>
  <c r="Z752" i="1" s="1"/>
  <c r="W764" i="1"/>
  <c r="Z764" i="1" s="1"/>
  <c r="B770" i="1"/>
  <c r="W770" i="1"/>
  <c r="Z770" i="1" s="1"/>
  <c r="B776" i="1"/>
  <c r="W776" i="1"/>
  <c r="Z776" i="1" s="1"/>
  <c r="W780" i="1"/>
  <c r="Z780" i="1" s="1"/>
  <c r="W788" i="1"/>
  <c r="Z788" i="1" s="1"/>
  <c r="W792" i="1"/>
  <c r="Z792" i="1" s="1"/>
  <c r="B798" i="1"/>
  <c r="W798" i="1"/>
  <c r="Z798" i="1" s="1"/>
  <c r="B806" i="1"/>
  <c r="W806" i="1"/>
  <c r="Z806" i="1" s="1"/>
  <c r="B818" i="1"/>
  <c r="W818" i="1"/>
  <c r="Z818" i="1" s="1"/>
  <c r="W824" i="1"/>
  <c r="Z824" i="1" s="1"/>
  <c r="B830" i="1"/>
  <c r="W830" i="1"/>
  <c r="Z830" i="1" s="1"/>
  <c r="B842" i="1"/>
  <c r="W842" i="1"/>
  <c r="Z842" i="1" s="1"/>
  <c r="W848" i="1"/>
  <c r="Z848" i="1" s="1"/>
  <c r="B854" i="1"/>
  <c r="W854" i="1"/>
  <c r="Z854" i="1" s="1"/>
  <c r="B866" i="1"/>
  <c r="W866" i="1"/>
  <c r="Z866" i="1" s="1"/>
  <c r="W872" i="1"/>
  <c r="Z872" i="1" s="1"/>
  <c r="B878" i="1"/>
  <c r="W878" i="1"/>
  <c r="Z878" i="1" s="1"/>
  <c r="W884" i="1"/>
  <c r="Z884" i="1" s="1"/>
  <c r="B890" i="1"/>
  <c r="W890" i="1"/>
  <c r="Z890" i="1" s="1"/>
  <c r="W896" i="1"/>
  <c r="Z896" i="1" s="1"/>
  <c r="B902" i="1"/>
  <c r="W902" i="1"/>
  <c r="Z902" i="1" s="1"/>
  <c r="W908" i="1"/>
  <c r="Z908" i="1" s="1"/>
  <c r="B914" i="1"/>
  <c r="W914" i="1"/>
  <c r="Z914" i="1" s="1"/>
  <c r="W920" i="1"/>
  <c r="Z920" i="1" s="1"/>
  <c r="B926" i="1"/>
  <c r="W926" i="1"/>
  <c r="Z926" i="1" s="1"/>
  <c r="W932" i="1"/>
  <c r="Z932" i="1" s="1"/>
  <c r="B938" i="1"/>
  <c r="W938" i="1"/>
  <c r="Z938" i="1" s="1"/>
  <c r="W944" i="1"/>
  <c r="Z944" i="1" s="1"/>
  <c r="B950" i="1"/>
  <c r="W950" i="1"/>
  <c r="Z950" i="1" s="1"/>
  <c r="W956" i="1"/>
  <c r="Z956" i="1" s="1"/>
  <c r="B962" i="1"/>
  <c r="W962" i="1"/>
  <c r="Z962" i="1" s="1"/>
  <c r="B966" i="1"/>
  <c r="W966" i="1"/>
  <c r="Z966" i="1" s="1"/>
  <c r="W972" i="1"/>
  <c r="Z972" i="1" s="1"/>
  <c r="B978" i="1"/>
  <c r="W978" i="1"/>
  <c r="Z978" i="1" s="1"/>
  <c r="B982" i="1"/>
  <c r="W982" i="1"/>
  <c r="Z982" i="1" s="1"/>
  <c r="B990" i="1"/>
  <c r="W990" i="1"/>
  <c r="Z990" i="1" s="1"/>
  <c r="W996" i="1"/>
  <c r="Z996" i="1" s="1"/>
  <c r="W10" i="1"/>
  <c r="B22" i="1"/>
  <c r="W22" i="1"/>
  <c r="Z22" i="1" s="1"/>
  <c r="W28" i="1"/>
  <c r="Z28" i="1" s="1"/>
  <c r="B40" i="1"/>
  <c r="W40" i="1"/>
  <c r="Z40" i="1" s="1"/>
  <c r="W50" i="1"/>
  <c r="Z50" i="1" s="1"/>
  <c r="W62" i="1"/>
  <c r="Z62" i="1" s="1"/>
  <c r="W70" i="1"/>
  <c r="Z70" i="1" s="1"/>
  <c r="B90" i="1"/>
  <c r="W90" i="1"/>
  <c r="Z90" i="1" s="1"/>
  <c r="B98" i="1"/>
  <c r="W98" i="1"/>
  <c r="Z98" i="1" s="1"/>
  <c r="B130" i="1"/>
  <c r="W130" i="1"/>
  <c r="Z130" i="1" s="1"/>
  <c r="B138" i="1"/>
  <c r="W138" i="1"/>
  <c r="Z138" i="1" s="1"/>
  <c r="B146" i="1"/>
  <c r="W146" i="1"/>
  <c r="Z146" i="1" s="1"/>
  <c r="W156" i="1"/>
  <c r="Z156" i="1" s="1"/>
  <c r="B168" i="1"/>
  <c r="W168" i="1"/>
  <c r="Z168" i="1" s="1"/>
  <c r="W180" i="1"/>
  <c r="Z180" i="1" s="1"/>
  <c r="W204" i="1"/>
  <c r="Z204" i="1" s="1"/>
  <c r="W212" i="1"/>
  <c r="Z212" i="1" s="1"/>
  <c r="W222" i="1"/>
  <c r="Z222" i="1" s="1"/>
  <c r="B242" i="1"/>
  <c r="W242" i="1"/>
  <c r="Z242" i="1" s="1"/>
  <c r="B250" i="1"/>
  <c r="W250" i="1"/>
  <c r="Z250" i="1" s="1"/>
  <c r="B260" i="1"/>
  <c r="W260" i="1"/>
  <c r="Z260" i="1" s="1"/>
  <c r="W270" i="1"/>
  <c r="Z270" i="1" s="1"/>
  <c r="W278" i="1"/>
  <c r="Z278" i="1" s="1"/>
  <c r="W288" i="1"/>
  <c r="Z288" i="1" s="1"/>
  <c r="W296" i="1"/>
  <c r="Z296" i="1" s="1"/>
  <c r="B308" i="1"/>
  <c r="W308" i="1"/>
  <c r="Z308" i="1" s="1"/>
  <c r="W318" i="1"/>
  <c r="Z318" i="1" s="1"/>
  <c r="B330" i="1"/>
  <c r="W330" i="1"/>
  <c r="Z330" i="1" s="1"/>
  <c r="W7" i="1"/>
  <c r="W15" i="1"/>
  <c r="B23" i="1"/>
  <c r="W23" i="1"/>
  <c r="Z23" i="1" s="1"/>
  <c r="W31" i="1"/>
  <c r="Z31" i="1" s="1"/>
  <c r="W39" i="1"/>
  <c r="Z39" i="1" s="1"/>
  <c r="W47" i="1"/>
  <c r="Z47" i="1" s="1"/>
  <c r="W55" i="1"/>
  <c r="Z55" i="1" s="1"/>
  <c r="B63" i="1"/>
  <c r="W63" i="1"/>
  <c r="Z63" i="1" s="1"/>
  <c r="W71" i="1"/>
  <c r="Z71" i="1" s="1"/>
  <c r="W135" i="1"/>
  <c r="Z135" i="1" s="1"/>
  <c r="B141" i="1"/>
  <c r="W141" i="1"/>
  <c r="Z141" i="1" s="1"/>
  <c r="B149" i="1"/>
  <c r="W149" i="1"/>
  <c r="Z149" i="1" s="1"/>
  <c r="B153" i="1"/>
  <c r="W153" i="1"/>
  <c r="Z153" i="1" s="1"/>
  <c r="W161" i="1"/>
  <c r="Z161" i="1" s="1"/>
  <c r="W175" i="1"/>
  <c r="Z175" i="1" s="1"/>
  <c r="W183" i="1"/>
  <c r="Z183" i="1" s="1"/>
  <c r="W191" i="1"/>
  <c r="Z191" i="1" s="1"/>
  <c r="B197" i="1"/>
  <c r="W197" i="1"/>
  <c r="Z197" i="1" s="1"/>
  <c r="W201" i="1"/>
  <c r="Z201" i="1" s="1"/>
  <c r="B209" i="1"/>
  <c r="W209" i="1"/>
  <c r="Z209" i="1" s="1"/>
  <c r="W217" i="1"/>
  <c r="Z217" i="1" s="1"/>
  <c r="B225" i="1"/>
  <c r="W225" i="1"/>
  <c r="Z225" i="1" s="1"/>
  <c r="B229" i="1"/>
  <c r="W229" i="1"/>
  <c r="Z229" i="1" s="1"/>
  <c r="W235" i="1"/>
  <c r="Z235" i="1" s="1"/>
  <c r="B245" i="1"/>
  <c r="W245" i="1"/>
  <c r="Z245" i="1" s="1"/>
  <c r="W251" i="1"/>
  <c r="Z251" i="1" s="1"/>
  <c r="B255" i="1"/>
  <c r="W255" i="1"/>
  <c r="Z255" i="1" s="1"/>
  <c r="W263" i="1"/>
  <c r="Z263" i="1" s="1"/>
  <c r="W315" i="1"/>
  <c r="Z315" i="1" s="1"/>
  <c r="W323" i="1"/>
  <c r="Z323" i="1" s="1"/>
  <c r="W341" i="1"/>
  <c r="Z341" i="1" s="1"/>
  <c r="B347" i="1"/>
  <c r="W347" i="1"/>
  <c r="Z347" i="1" s="1"/>
  <c r="W353" i="1"/>
  <c r="Z353" i="1" s="1"/>
  <c r="W363" i="1"/>
  <c r="Z363" i="1" s="1"/>
  <c r="W381" i="1"/>
  <c r="Z381" i="1" s="1"/>
  <c r="W397" i="1"/>
  <c r="Z397" i="1" s="1"/>
  <c r="B439" i="1"/>
  <c r="W439" i="1"/>
  <c r="Z439" i="1" s="1"/>
  <c r="B447" i="1"/>
  <c r="W447" i="1"/>
  <c r="Z447" i="1" s="1"/>
  <c r="B455" i="1"/>
  <c r="W455" i="1"/>
  <c r="Z455" i="1" s="1"/>
  <c r="B471" i="1"/>
  <c r="W471" i="1"/>
  <c r="Z471" i="1" s="1"/>
  <c r="B479" i="1"/>
  <c r="W479" i="1"/>
  <c r="Z479" i="1" s="1"/>
  <c r="B487" i="1"/>
  <c r="W487" i="1"/>
  <c r="Z487" i="1" s="1"/>
  <c r="W513" i="1"/>
  <c r="Z513" i="1" s="1"/>
  <c r="W521" i="1"/>
  <c r="Z521" i="1" s="1"/>
  <c r="W531" i="1"/>
  <c r="Z531" i="1" s="1"/>
  <c r="B539" i="1"/>
  <c r="W539" i="1"/>
  <c r="Z539" i="1" s="1"/>
  <c r="W547" i="1"/>
  <c r="Z547" i="1" s="1"/>
  <c r="W555" i="1"/>
  <c r="Z555" i="1" s="1"/>
  <c r="B571" i="1"/>
  <c r="W571" i="1"/>
  <c r="Z571" i="1" s="1"/>
  <c r="B579" i="1"/>
  <c r="W579" i="1"/>
  <c r="Z579" i="1" s="1"/>
  <c r="W589" i="1"/>
  <c r="Z589" i="1" s="1"/>
  <c r="W615" i="1"/>
  <c r="Z615" i="1" s="1"/>
  <c r="W623" i="1"/>
  <c r="Z623" i="1" s="1"/>
  <c r="W631" i="1"/>
  <c r="Z631" i="1" s="1"/>
  <c r="W639" i="1"/>
  <c r="Z639" i="1" s="1"/>
  <c r="W647" i="1"/>
  <c r="Z647" i="1" s="1"/>
  <c r="W655" i="1"/>
  <c r="Z655" i="1" s="1"/>
  <c r="W663" i="1"/>
  <c r="Z663" i="1" s="1"/>
  <c r="W671" i="1"/>
  <c r="Z671" i="1" s="1"/>
  <c r="W687" i="1"/>
  <c r="Z687" i="1" s="1"/>
  <c r="B703" i="1"/>
  <c r="W703" i="1"/>
  <c r="Z703" i="1" s="1"/>
  <c r="W711" i="1"/>
  <c r="Z711" i="1" s="1"/>
  <c r="B719" i="1"/>
  <c r="W719" i="1"/>
  <c r="Z719" i="1" s="1"/>
  <c r="W727" i="1"/>
  <c r="Z727" i="1" s="1"/>
  <c r="W735" i="1"/>
  <c r="Z735" i="1" s="1"/>
  <c r="W743" i="1"/>
  <c r="Z743" i="1" s="1"/>
  <c r="W751" i="1"/>
  <c r="Z751" i="1" s="1"/>
  <c r="B759" i="1"/>
  <c r="W759" i="1"/>
  <c r="Z759" i="1" s="1"/>
  <c r="B767" i="1"/>
  <c r="W767" i="1"/>
  <c r="Z767" i="1" s="1"/>
  <c r="W773" i="1"/>
  <c r="Z773" i="1" s="1"/>
  <c r="W783" i="1"/>
  <c r="Z783" i="1" s="1"/>
  <c r="W791" i="1"/>
  <c r="Z791" i="1" s="1"/>
  <c r="W797" i="1"/>
  <c r="Z797" i="1" s="1"/>
  <c r="W805" i="1"/>
  <c r="Z805" i="1" s="1"/>
  <c r="B813" i="1"/>
  <c r="W813" i="1"/>
  <c r="Z813" i="1" s="1"/>
  <c r="B821" i="1"/>
  <c r="W821" i="1"/>
  <c r="Z821" i="1" s="1"/>
  <c r="W827" i="1"/>
  <c r="Z827" i="1" s="1"/>
  <c r="B837" i="1"/>
  <c r="W837" i="1"/>
  <c r="Z837" i="1" s="1"/>
  <c r="W853" i="1"/>
  <c r="Z853" i="1" s="1"/>
  <c r="B869" i="1"/>
  <c r="W869" i="1"/>
  <c r="Z869" i="1" s="1"/>
  <c r="B877" i="1"/>
  <c r="W877" i="1"/>
  <c r="Z877" i="1" s="1"/>
  <c r="W901" i="1"/>
  <c r="Z901" i="1" s="1"/>
  <c r="W907" i="1"/>
  <c r="Z907" i="1" s="1"/>
  <c r="W915" i="1"/>
  <c r="Z915" i="1" s="1"/>
  <c r="B933" i="1"/>
  <c r="W933" i="1"/>
  <c r="Z933" i="1" s="1"/>
  <c r="W949" i="1"/>
  <c r="Z949" i="1" s="1"/>
  <c r="B957" i="1"/>
  <c r="W957" i="1"/>
  <c r="Z957" i="1" s="1"/>
  <c r="W963" i="1"/>
  <c r="Z963" i="1" s="1"/>
  <c r="W971" i="1"/>
  <c r="Z971" i="1" s="1"/>
  <c r="W973" i="1"/>
  <c r="Z973" i="1" s="1"/>
  <c r="W985" i="1"/>
  <c r="Z985" i="1" s="1"/>
  <c r="W987" i="1"/>
  <c r="Z987" i="1" s="1"/>
  <c r="B989" i="1"/>
  <c r="W989" i="1"/>
  <c r="Z989" i="1" s="1"/>
  <c r="B993" i="1"/>
  <c r="W993" i="1"/>
  <c r="Z993" i="1" s="1"/>
  <c r="W995" i="1"/>
  <c r="Z995" i="1" s="1"/>
  <c r="W1001" i="1"/>
  <c r="Z1001" i="1" s="1"/>
  <c r="B6" i="1"/>
  <c r="W6" i="1"/>
  <c r="W18" i="1"/>
  <c r="B30" i="1"/>
  <c r="W30" i="1"/>
  <c r="Z30" i="1" s="1"/>
  <c r="W42" i="1"/>
  <c r="Z42" i="1" s="1"/>
  <c r="W54" i="1"/>
  <c r="Z54" i="1" s="1"/>
  <c r="B66" i="1"/>
  <c r="W66" i="1"/>
  <c r="Z66" i="1" s="1"/>
  <c r="B82" i="1"/>
  <c r="W82" i="1"/>
  <c r="Z82" i="1" s="1"/>
  <c r="B106" i="1"/>
  <c r="W106" i="1"/>
  <c r="Z106" i="1" s="1"/>
  <c r="B122" i="1"/>
  <c r="W122" i="1"/>
  <c r="Z122" i="1" s="1"/>
  <c r="W148" i="1"/>
  <c r="Z148" i="1" s="1"/>
  <c r="B160" i="1"/>
  <c r="W160" i="1"/>
  <c r="Z160" i="1" s="1"/>
  <c r="W172" i="1"/>
  <c r="Z172" i="1" s="1"/>
  <c r="W182" i="1"/>
  <c r="Z182" i="1" s="1"/>
  <c r="B194" i="1"/>
  <c r="W194" i="1"/>
  <c r="Z194" i="1" s="1"/>
  <c r="W220" i="1"/>
  <c r="Z220" i="1" s="1"/>
  <c r="B234" i="1"/>
  <c r="W234" i="1"/>
  <c r="Z234" i="1" s="1"/>
  <c r="B258" i="1"/>
  <c r="W258" i="1"/>
  <c r="Z258" i="1" s="1"/>
  <c r="W272" i="1"/>
  <c r="Z272" i="1" s="1"/>
  <c r="B284" i="1"/>
  <c r="W284" i="1"/>
  <c r="Z284" i="1" s="1"/>
  <c r="B298" i="1"/>
  <c r="W298" i="1"/>
  <c r="Z298" i="1" s="1"/>
  <c r="W310" i="1"/>
  <c r="Z310" i="1" s="1"/>
  <c r="W326" i="1"/>
  <c r="Z326" i="1" s="1"/>
  <c r="W11" i="1"/>
  <c r="W21" i="1"/>
  <c r="Z21" i="1" s="1"/>
  <c r="W29" i="1"/>
  <c r="Z29" i="1" s="1"/>
  <c r="W37" i="1"/>
  <c r="Z37" i="1" s="1"/>
  <c r="W45" i="1"/>
  <c r="Z45" i="1" s="1"/>
  <c r="W53" i="1"/>
  <c r="Z53" i="1" s="1"/>
  <c r="W61" i="1"/>
  <c r="Z61" i="1" s="1"/>
  <c r="W69" i="1"/>
  <c r="Z69" i="1" s="1"/>
  <c r="B77" i="1"/>
  <c r="W77" i="1"/>
  <c r="Z77" i="1" s="1"/>
  <c r="B85" i="1"/>
  <c r="W85" i="1"/>
  <c r="Z85" i="1" s="1"/>
  <c r="B93" i="1"/>
  <c r="W93" i="1"/>
  <c r="Z93" i="1" s="1"/>
  <c r="B101" i="1"/>
  <c r="W101" i="1"/>
  <c r="Z101" i="1" s="1"/>
  <c r="B109" i="1"/>
  <c r="W109" i="1"/>
  <c r="Z109" i="1" s="1"/>
  <c r="B117" i="1"/>
  <c r="W117" i="1"/>
  <c r="Z117" i="1" s="1"/>
  <c r="B125" i="1"/>
  <c r="W125" i="1"/>
  <c r="Z125" i="1" s="1"/>
  <c r="B157" i="1"/>
  <c r="W157" i="1"/>
  <c r="Z157" i="1" s="1"/>
  <c r="B165" i="1"/>
  <c r="W165" i="1"/>
  <c r="Z165" i="1" s="1"/>
  <c r="W171" i="1"/>
  <c r="Z171" i="1" s="1"/>
  <c r="B177" i="1"/>
  <c r="W177" i="1"/>
  <c r="Z177" i="1" s="1"/>
  <c r="W187" i="1"/>
  <c r="Z187" i="1" s="1"/>
  <c r="W195" i="1"/>
  <c r="Z195" i="1" s="1"/>
  <c r="W203" i="1"/>
  <c r="Z203" i="1" s="1"/>
  <c r="B213" i="1"/>
  <c r="W213" i="1"/>
  <c r="Z213" i="1" s="1"/>
  <c r="W223" i="1"/>
  <c r="Z223" i="1" s="1"/>
  <c r="W233" i="1"/>
  <c r="Z233" i="1" s="1"/>
  <c r="B241" i="1"/>
  <c r="W241" i="1"/>
  <c r="Z241" i="1" s="1"/>
  <c r="W249" i="1"/>
  <c r="Z249" i="1" s="1"/>
  <c r="W259" i="1"/>
  <c r="Z259" i="1" s="1"/>
  <c r="W265" i="1"/>
  <c r="Z265" i="1" s="1"/>
  <c r="W275" i="1"/>
  <c r="Z275" i="1" s="1"/>
  <c r="W281" i="1"/>
  <c r="Z281" i="1" s="1"/>
  <c r="B291" i="1"/>
  <c r="W291" i="1"/>
  <c r="Z291" i="1" s="1"/>
  <c r="B299" i="1"/>
  <c r="W299" i="1"/>
  <c r="Z299" i="1" s="1"/>
  <c r="W307" i="1"/>
  <c r="Z307" i="1" s="1"/>
  <c r="B313" i="1"/>
  <c r="W313" i="1"/>
  <c r="Z313" i="1" s="1"/>
  <c r="W321" i="1"/>
  <c r="Z321" i="1" s="1"/>
  <c r="W329" i="1"/>
  <c r="Z329" i="1" s="1"/>
  <c r="W337" i="1"/>
  <c r="Z337" i="1" s="1"/>
  <c r="B345" i="1"/>
  <c r="W345" i="1"/>
  <c r="Z345" i="1" s="1"/>
  <c r="W365" i="1"/>
  <c r="Z365" i="1" s="1"/>
  <c r="B371" i="1"/>
  <c r="W371" i="1"/>
  <c r="Z371" i="1" s="1"/>
  <c r="W379" i="1"/>
  <c r="Z379" i="1" s="1"/>
  <c r="B387" i="1"/>
  <c r="W387" i="1"/>
  <c r="Z387" i="1" s="1"/>
  <c r="W395" i="1"/>
  <c r="Z395" i="1" s="1"/>
  <c r="B403" i="1"/>
  <c r="W403" i="1"/>
  <c r="Z403" i="1" s="1"/>
  <c r="B411" i="1"/>
  <c r="W411" i="1"/>
  <c r="Z411" i="1" s="1"/>
  <c r="W417" i="1"/>
  <c r="Z417" i="1" s="1"/>
  <c r="B427" i="1"/>
  <c r="W427" i="1"/>
  <c r="Z427" i="1" s="1"/>
  <c r="W435" i="1"/>
  <c r="Z435" i="1" s="1"/>
  <c r="W441" i="1"/>
  <c r="Z441" i="1" s="1"/>
  <c r="W449" i="1"/>
  <c r="Z449" i="1" s="1"/>
  <c r="W465" i="1"/>
  <c r="Z465" i="1" s="1"/>
  <c r="W473" i="1"/>
  <c r="Z473" i="1" s="1"/>
  <c r="W481" i="1"/>
  <c r="Z481" i="1" s="1"/>
  <c r="W489" i="1"/>
  <c r="Z489" i="1" s="1"/>
  <c r="B495" i="1"/>
  <c r="W495" i="1"/>
  <c r="Z495" i="1" s="1"/>
  <c r="B503" i="1"/>
  <c r="W503" i="1"/>
  <c r="Z503" i="1" s="1"/>
  <c r="B519" i="1"/>
  <c r="W519" i="1"/>
  <c r="Z519" i="1" s="1"/>
  <c r="B527" i="1"/>
  <c r="W527" i="1"/>
  <c r="Z527" i="1" s="1"/>
  <c r="B535" i="1"/>
  <c r="W535" i="1"/>
  <c r="Z535" i="1" s="1"/>
  <c r="W545" i="1"/>
  <c r="Z545" i="1" s="1"/>
  <c r="W553" i="1"/>
  <c r="Z553" i="1" s="1"/>
  <c r="W561" i="1"/>
  <c r="Z561" i="1" s="1"/>
  <c r="W569" i="1"/>
  <c r="Z569" i="1" s="1"/>
  <c r="W585" i="1"/>
  <c r="Z585" i="1" s="1"/>
  <c r="W593" i="1"/>
  <c r="Z593" i="1" s="1"/>
  <c r="W601" i="1"/>
  <c r="Z601" i="1" s="1"/>
  <c r="B609" i="1"/>
  <c r="W609" i="1"/>
  <c r="Z609" i="1" s="1"/>
  <c r="W625" i="1"/>
  <c r="Z625" i="1" s="1"/>
  <c r="W633" i="1"/>
  <c r="Z633" i="1" s="1"/>
  <c r="W641" i="1"/>
  <c r="Z641" i="1" s="1"/>
  <c r="W659" i="1"/>
  <c r="Z659" i="1" s="1"/>
  <c r="W667" i="1"/>
  <c r="Z667" i="1" s="1"/>
  <c r="W673" i="1"/>
  <c r="Z673" i="1" s="1"/>
  <c r="W691" i="1"/>
  <c r="Z691" i="1" s="1"/>
  <c r="W697" i="1"/>
  <c r="Z697" i="1" s="1"/>
  <c r="W705" i="1"/>
  <c r="Z705" i="1" s="1"/>
  <c r="W723" i="1"/>
  <c r="Z723" i="1" s="1"/>
  <c r="W731" i="1"/>
  <c r="Z731" i="1" s="1"/>
  <c r="W757" i="1"/>
  <c r="Z757" i="1" s="1"/>
  <c r="W765" i="1"/>
  <c r="Z765" i="1" s="1"/>
  <c r="W777" i="1"/>
  <c r="Z777" i="1" s="1"/>
  <c r="W785" i="1"/>
  <c r="Z785" i="1" s="1"/>
  <c r="B793" i="1"/>
  <c r="W793" i="1"/>
  <c r="Z793" i="1" s="1"/>
  <c r="W825" i="1"/>
  <c r="Z825" i="1" s="1"/>
  <c r="W833" i="1"/>
  <c r="Z833" i="1" s="1"/>
  <c r="B857" i="1"/>
  <c r="W857" i="1"/>
  <c r="Z857" i="1" s="1"/>
  <c r="W865" i="1"/>
  <c r="Z865" i="1" s="1"/>
  <c r="B873" i="1"/>
  <c r="W873" i="1"/>
  <c r="Z873" i="1" s="1"/>
  <c r="B881" i="1"/>
  <c r="W881" i="1"/>
  <c r="Z881" i="1" s="1"/>
  <c r="W889" i="1"/>
  <c r="Z889" i="1" s="1"/>
  <c r="B897" i="1"/>
  <c r="W897" i="1"/>
  <c r="Z897" i="1" s="1"/>
  <c r="W905" i="1"/>
  <c r="Z905" i="1" s="1"/>
  <c r="B921" i="1"/>
  <c r="W921" i="1"/>
  <c r="Z921" i="1" s="1"/>
  <c r="W937" i="1"/>
  <c r="Z937" i="1" s="1"/>
  <c r="W945" i="1"/>
  <c r="Z945" i="1" s="1"/>
  <c r="W953" i="1"/>
  <c r="Z953" i="1" s="1"/>
  <c r="W965" i="1"/>
  <c r="Z965" i="1" s="1"/>
  <c r="B977" i="1"/>
  <c r="W977" i="1"/>
  <c r="Z977" i="1" s="1"/>
  <c r="B12" i="1"/>
  <c r="W12" i="1"/>
  <c r="W20" i="1"/>
  <c r="Z20" i="1" s="1"/>
  <c r="B32" i="1"/>
  <c r="W32" i="1"/>
  <c r="Z32" i="1" s="1"/>
  <c r="B44" i="1"/>
  <c r="W44" i="1"/>
  <c r="Z44" i="1" s="1"/>
  <c r="B56" i="1"/>
  <c r="W56" i="1"/>
  <c r="Z56" i="1" s="1"/>
  <c r="W68" i="1"/>
  <c r="Z68" i="1" s="1"/>
  <c r="B80" i="1"/>
  <c r="W80" i="1"/>
  <c r="Z80" i="1" s="1"/>
  <c r="W92" i="1"/>
  <c r="Z92" i="1" s="1"/>
  <c r="B104" i="1"/>
  <c r="W104" i="1"/>
  <c r="Z104" i="1" s="1"/>
  <c r="W116" i="1"/>
  <c r="Z116" i="1" s="1"/>
  <c r="B128" i="1"/>
  <c r="W128" i="1"/>
  <c r="Z128" i="1" s="1"/>
  <c r="W140" i="1"/>
  <c r="Z140" i="1" s="1"/>
  <c r="B152" i="1"/>
  <c r="W152" i="1"/>
  <c r="Z152" i="1" s="1"/>
  <c r="W164" i="1"/>
  <c r="Z164" i="1" s="1"/>
  <c r="W188" i="1"/>
  <c r="Z188" i="1" s="1"/>
  <c r="B226" i="1"/>
  <c r="W226" i="1"/>
  <c r="Z226" i="1" s="1"/>
  <c r="B252" i="1"/>
  <c r="W252" i="1"/>
  <c r="Z252" i="1" s="1"/>
  <c r="B276" i="1"/>
  <c r="W276" i="1"/>
  <c r="Z276" i="1" s="1"/>
  <c r="W290" i="1"/>
  <c r="Z290" i="1" s="1"/>
  <c r="W302" i="1"/>
  <c r="Z302" i="1" s="1"/>
  <c r="B314" i="1"/>
  <c r="W314" i="1"/>
  <c r="Z314" i="1" s="1"/>
  <c r="W328" i="1"/>
  <c r="Z328" i="1" s="1"/>
  <c r="W5" i="1"/>
  <c r="Z5" i="1" s="1"/>
  <c r="W13" i="1"/>
  <c r="W19" i="1"/>
  <c r="W27" i="1"/>
  <c r="Z27" i="1" s="1"/>
  <c r="W35" i="1"/>
  <c r="Z35" i="1" s="1"/>
  <c r="W43" i="1"/>
  <c r="Z43" i="1" s="1"/>
  <c r="W51" i="1"/>
  <c r="Z51" i="1" s="1"/>
  <c r="W59" i="1"/>
  <c r="Z59" i="1" s="1"/>
  <c r="W81" i="1"/>
  <c r="Z81" i="1" s="1"/>
  <c r="W87" i="1"/>
  <c r="Z87" i="1" s="1"/>
  <c r="W95" i="1"/>
  <c r="Z95" i="1" s="1"/>
  <c r="W103" i="1"/>
  <c r="Z103" i="1" s="1"/>
  <c r="W111" i="1"/>
  <c r="Z111" i="1" s="1"/>
  <c r="W119" i="1"/>
  <c r="Z119" i="1" s="1"/>
  <c r="W127" i="1"/>
  <c r="Z127" i="1" s="1"/>
  <c r="B133" i="1"/>
  <c r="W133" i="1"/>
  <c r="Z133" i="1" s="1"/>
  <c r="W143" i="1"/>
  <c r="Z143" i="1" s="1"/>
  <c r="W151" i="1"/>
  <c r="Z151" i="1" s="1"/>
  <c r="W159" i="1"/>
  <c r="Z159" i="1" s="1"/>
  <c r="W167" i="1"/>
  <c r="Z167" i="1" s="1"/>
  <c r="B173" i="1"/>
  <c r="W173" i="1"/>
  <c r="Z173" i="1" s="1"/>
  <c r="B181" i="1"/>
  <c r="W181" i="1"/>
  <c r="Z181" i="1" s="1"/>
  <c r="B189" i="1"/>
  <c r="W189" i="1"/>
  <c r="Z189" i="1" s="1"/>
  <c r="W199" i="1"/>
  <c r="Z199" i="1" s="1"/>
  <c r="W207" i="1"/>
  <c r="Z207" i="1" s="1"/>
  <c r="W211" i="1"/>
  <c r="Z211" i="1" s="1"/>
  <c r="W219" i="1"/>
  <c r="Z219" i="1" s="1"/>
  <c r="W227" i="1"/>
  <c r="Z227" i="1" s="1"/>
  <c r="B237" i="1"/>
  <c r="W237" i="1"/>
  <c r="Z237" i="1" s="1"/>
  <c r="W243" i="1"/>
  <c r="Z243" i="1" s="1"/>
  <c r="W253" i="1"/>
  <c r="Z253" i="1" s="1"/>
  <c r="W261" i="1"/>
  <c r="Z261" i="1" s="1"/>
  <c r="W269" i="1"/>
  <c r="Z269" i="1" s="1"/>
  <c r="W277" i="1"/>
  <c r="Z277" i="1" s="1"/>
  <c r="W285" i="1"/>
  <c r="Z285" i="1" s="1"/>
  <c r="W293" i="1"/>
  <c r="Z293" i="1" s="1"/>
  <c r="W301" i="1"/>
  <c r="Z301" i="1" s="1"/>
  <c r="W309" i="1"/>
  <c r="Z309" i="1" s="1"/>
  <c r="W317" i="1"/>
  <c r="Z317" i="1" s="1"/>
  <c r="W333" i="1"/>
  <c r="Z333" i="1" s="1"/>
  <c r="W349" i="1"/>
  <c r="Z349" i="1" s="1"/>
  <c r="W355" i="1"/>
  <c r="Z355" i="1" s="1"/>
  <c r="W373" i="1"/>
  <c r="Z373" i="1" s="1"/>
  <c r="W389" i="1"/>
  <c r="Z389" i="1" s="1"/>
  <c r="W405" i="1"/>
  <c r="Z405" i="1" s="1"/>
  <c r="W413" i="1"/>
  <c r="Z413" i="1" s="1"/>
  <c r="W421" i="1"/>
  <c r="Z421" i="1" s="1"/>
  <c r="W429" i="1"/>
  <c r="Z429" i="1" s="1"/>
  <c r="W433" i="1"/>
  <c r="Z433" i="1" s="1"/>
  <c r="W469" i="1"/>
  <c r="Z469" i="1" s="1"/>
  <c r="W477" i="1"/>
  <c r="Z477" i="1" s="1"/>
  <c r="B499" i="1"/>
  <c r="W499" i="1"/>
  <c r="Z499" i="1" s="1"/>
  <c r="W507" i="1"/>
  <c r="Z507" i="1" s="1"/>
  <c r="W515" i="1"/>
  <c r="Z515" i="1" s="1"/>
  <c r="W523" i="1"/>
  <c r="Z523" i="1" s="1"/>
  <c r="W529" i="1"/>
  <c r="Z529" i="1" s="1"/>
  <c r="W537" i="1"/>
  <c r="Z537" i="1" s="1"/>
  <c r="B543" i="1"/>
  <c r="W543" i="1"/>
  <c r="Z543" i="1" s="1"/>
  <c r="B551" i="1"/>
  <c r="W551" i="1"/>
  <c r="Z551" i="1" s="1"/>
  <c r="B559" i="1"/>
  <c r="W559" i="1"/>
  <c r="Z559" i="1" s="1"/>
  <c r="B567" i="1"/>
  <c r="W567" i="1"/>
  <c r="Z567" i="1" s="1"/>
  <c r="B575" i="1"/>
  <c r="W575" i="1"/>
  <c r="Z575" i="1" s="1"/>
  <c r="B583" i="1"/>
  <c r="W583" i="1"/>
  <c r="Z583" i="1" s="1"/>
  <c r="B591" i="1"/>
  <c r="W591" i="1"/>
  <c r="Z591" i="1" s="1"/>
  <c r="W597" i="1"/>
  <c r="Z597" i="1" s="1"/>
  <c r="W605" i="1"/>
  <c r="Z605" i="1" s="1"/>
  <c r="B619" i="1"/>
  <c r="W619" i="1"/>
  <c r="Z619" i="1" s="1"/>
  <c r="W683" i="1"/>
  <c r="Z683" i="1" s="1"/>
  <c r="W689" i="1"/>
  <c r="Z689" i="1" s="1"/>
  <c r="W715" i="1"/>
  <c r="Z715" i="1" s="1"/>
  <c r="W737" i="1"/>
  <c r="Z737" i="1" s="1"/>
  <c r="W745" i="1"/>
  <c r="Z745" i="1" s="1"/>
  <c r="W753" i="1"/>
  <c r="Z753" i="1" s="1"/>
  <c r="W761" i="1"/>
  <c r="Z761" i="1" s="1"/>
  <c r="W769" i="1"/>
  <c r="Z769" i="1" s="1"/>
  <c r="B775" i="1"/>
  <c r="W775" i="1"/>
  <c r="Z775" i="1" s="1"/>
  <c r="W781" i="1"/>
  <c r="Z781" i="1" s="1"/>
  <c r="W789" i="1"/>
  <c r="Z789" i="1" s="1"/>
  <c r="B829" i="1"/>
  <c r="W829" i="1"/>
  <c r="Z829" i="1" s="1"/>
  <c r="B845" i="1"/>
  <c r="W845" i="1"/>
  <c r="Z845" i="1" s="1"/>
  <c r="W851" i="1"/>
  <c r="Z851" i="1" s="1"/>
  <c r="W859" i="1"/>
  <c r="Z859" i="1" s="1"/>
  <c r="W867" i="1"/>
  <c r="Z867" i="1" s="1"/>
  <c r="W883" i="1"/>
  <c r="Z883" i="1" s="1"/>
  <c r="W899" i="1"/>
  <c r="Z899" i="1" s="1"/>
  <c r="B917" i="1"/>
  <c r="W917" i="1"/>
  <c r="Z917" i="1" s="1"/>
  <c r="W923" i="1"/>
  <c r="Z923" i="1" s="1"/>
  <c r="W931" i="1"/>
  <c r="Z931" i="1" s="1"/>
  <c r="W939" i="1"/>
  <c r="Z939" i="1" s="1"/>
  <c r="W969" i="1"/>
  <c r="Z969" i="1" s="1"/>
  <c r="W981" i="1"/>
  <c r="Z981" i="1" s="1"/>
  <c r="B8" i="1"/>
  <c r="W8" i="1"/>
  <c r="B24" i="1"/>
  <c r="W24" i="1"/>
  <c r="Z24" i="1" s="1"/>
  <c r="W34" i="1"/>
  <c r="Z34" i="1" s="1"/>
  <c r="B46" i="1"/>
  <c r="W46" i="1"/>
  <c r="Z46" i="1" s="1"/>
  <c r="W58" i="1"/>
  <c r="Z58" i="1" s="1"/>
  <c r="W72" i="1"/>
  <c r="Z72" i="1" s="1"/>
  <c r="W84" i="1"/>
  <c r="Z84" i="1" s="1"/>
  <c r="W96" i="1"/>
  <c r="Z96" i="1" s="1"/>
  <c r="W108" i="1"/>
  <c r="Z108" i="1" s="1"/>
  <c r="B120" i="1"/>
  <c r="W120" i="1"/>
  <c r="Z120" i="1" s="1"/>
  <c r="W132" i="1"/>
  <c r="Z132" i="1" s="1"/>
  <c r="B144" i="1"/>
  <c r="W144" i="1"/>
  <c r="Z144" i="1" s="1"/>
  <c r="B170" i="1"/>
  <c r="W170" i="1"/>
  <c r="Z170" i="1" s="1"/>
  <c r="W196" i="1"/>
  <c r="Z196" i="1" s="1"/>
  <c r="W206" i="1"/>
  <c r="Z206" i="1" s="1"/>
  <c r="B218" i="1"/>
  <c r="W218" i="1"/>
  <c r="Z218" i="1" s="1"/>
  <c r="W230" i="1"/>
  <c r="Z230" i="1" s="1"/>
  <c r="W244" i="1"/>
  <c r="Z244" i="1" s="1"/>
  <c r="W256" i="1"/>
  <c r="Z256" i="1" s="1"/>
  <c r="B268" i="1"/>
  <c r="W268" i="1"/>
  <c r="Z268" i="1" s="1"/>
  <c r="B282" i="1"/>
  <c r="W282" i="1"/>
  <c r="Z282" i="1" s="1"/>
  <c r="W294" i="1"/>
  <c r="Z294" i="1" s="1"/>
  <c r="B306" i="1"/>
  <c r="W306" i="1"/>
  <c r="Z306" i="1" s="1"/>
  <c r="W320" i="1"/>
  <c r="Z320" i="1" s="1"/>
  <c r="W334" i="1"/>
  <c r="Z334" i="1" s="1"/>
  <c r="W9" i="1"/>
  <c r="W17" i="1"/>
  <c r="W25" i="1"/>
  <c r="Z25" i="1" s="1"/>
  <c r="W33" i="1"/>
  <c r="Z33" i="1" s="1"/>
  <c r="W41" i="1"/>
  <c r="Z41" i="1" s="1"/>
  <c r="W49" i="1"/>
  <c r="Z49" i="1" s="1"/>
  <c r="W57" i="1"/>
  <c r="Z57" i="1" s="1"/>
  <c r="W65" i="1"/>
  <c r="Z65" i="1" s="1"/>
  <c r="W73" i="1"/>
  <c r="Z73" i="1" s="1"/>
  <c r="W79" i="1"/>
  <c r="Z79" i="1" s="1"/>
  <c r="W89" i="1"/>
  <c r="Z89" i="1" s="1"/>
  <c r="W97" i="1"/>
  <c r="Z97" i="1" s="1"/>
  <c r="W105" i="1"/>
  <c r="Z105" i="1" s="1"/>
  <c r="W113" i="1"/>
  <c r="Z113" i="1" s="1"/>
  <c r="W121" i="1"/>
  <c r="Z121" i="1" s="1"/>
  <c r="W129" i="1"/>
  <c r="Z129" i="1" s="1"/>
  <c r="W137" i="1"/>
  <c r="Z137" i="1" s="1"/>
  <c r="W145" i="1"/>
  <c r="Z145" i="1" s="1"/>
  <c r="W163" i="1"/>
  <c r="Z163" i="1" s="1"/>
  <c r="W169" i="1"/>
  <c r="Z169" i="1" s="1"/>
  <c r="W179" i="1"/>
  <c r="Z179" i="1" s="1"/>
  <c r="W185" i="1"/>
  <c r="Z185" i="1" s="1"/>
  <c r="B193" i="1"/>
  <c r="W193" i="1"/>
  <c r="Z193" i="1" s="1"/>
  <c r="B205" i="1"/>
  <c r="W205" i="1"/>
  <c r="Z205" i="1" s="1"/>
  <c r="W215" i="1"/>
  <c r="Z215" i="1" s="1"/>
  <c r="B221" i="1"/>
  <c r="W221" i="1"/>
  <c r="Z221" i="1" s="1"/>
  <c r="W231" i="1"/>
  <c r="Z231" i="1" s="1"/>
  <c r="W239" i="1"/>
  <c r="Z239" i="1" s="1"/>
  <c r="W247" i="1"/>
  <c r="Z247" i="1" s="1"/>
  <c r="W257" i="1"/>
  <c r="Z257" i="1" s="1"/>
  <c r="W267" i="1"/>
  <c r="Z267" i="1" s="1"/>
  <c r="W273" i="1"/>
  <c r="Z273" i="1" s="1"/>
  <c r="B283" i="1"/>
  <c r="W283" i="1"/>
  <c r="Z283" i="1" s="1"/>
  <c r="B289" i="1"/>
  <c r="W289" i="1"/>
  <c r="Z289" i="1" s="1"/>
  <c r="W297" i="1"/>
  <c r="Z297" i="1" s="1"/>
  <c r="W305" i="1"/>
  <c r="Z305" i="1" s="1"/>
  <c r="W325" i="1"/>
  <c r="Z325" i="1" s="1"/>
  <c r="W331" i="1"/>
  <c r="Z331" i="1" s="1"/>
  <c r="W339" i="1"/>
  <c r="Z339" i="1" s="1"/>
  <c r="W357" i="1"/>
  <c r="Z357" i="1" s="1"/>
  <c r="W361" i="1"/>
  <c r="Z361" i="1" s="1"/>
  <c r="W369" i="1"/>
  <c r="Z369" i="1" s="1"/>
  <c r="B377" i="1"/>
  <c r="W377" i="1"/>
  <c r="Z377" i="1" s="1"/>
  <c r="W385" i="1"/>
  <c r="Z385" i="1" s="1"/>
  <c r="B393" i="1"/>
  <c r="W393" i="1"/>
  <c r="Z393" i="1" s="1"/>
  <c r="W401" i="1"/>
  <c r="Z401" i="1" s="1"/>
  <c r="W409" i="1"/>
  <c r="Z409" i="1" s="1"/>
  <c r="W425" i="1"/>
  <c r="Z425" i="1" s="1"/>
  <c r="W437" i="1"/>
  <c r="Z437" i="1" s="1"/>
  <c r="W443" i="1"/>
  <c r="Z443" i="1" s="1"/>
  <c r="W467" i="1"/>
  <c r="Z467" i="1" s="1"/>
  <c r="W475" i="1"/>
  <c r="Z475" i="1" s="1"/>
  <c r="W491" i="1"/>
  <c r="Z491" i="1" s="1"/>
  <c r="W509" i="1"/>
  <c r="Z509" i="1" s="1"/>
  <c r="W517" i="1"/>
  <c r="Z517" i="1" s="1"/>
  <c r="W525" i="1"/>
  <c r="Z525" i="1" s="1"/>
  <c r="W533" i="1"/>
  <c r="Z533" i="1" s="1"/>
  <c r="W541" i="1"/>
  <c r="Z541" i="1" s="1"/>
  <c r="W549" i="1"/>
  <c r="Z549" i="1" s="1"/>
  <c r="W557" i="1"/>
  <c r="Z557" i="1" s="1"/>
  <c r="W565" i="1"/>
  <c r="Z565" i="1" s="1"/>
  <c r="W573" i="1"/>
  <c r="Z573" i="1" s="1"/>
  <c r="W581" i="1"/>
  <c r="Z581" i="1" s="1"/>
  <c r="W587" i="1"/>
  <c r="Z587" i="1" s="1"/>
  <c r="W603" i="1"/>
  <c r="Z603" i="1" s="1"/>
  <c r="B611" i="1"/>
  <c r="W611" i="1"/>
  <c r="Z611" i="1" s="1"/>
  <c r="B621" i="1"/>
  <c r="W621" i="1"/>
  <c r="Z621" i="1" s="1"/>
  <c r="B629" i="1"/>
  <c r="W629" i="1"/>
  <c r="Z629" i="1" s="1"/>
  <c r="B637" i="1"/>
  <c r="W637" i="1"/>
  <c r="Z637" i="1" s="1"/>
  <c r="B645" i="1"/>
  <c r="W645" i="1"/>
  <c r="Z645" i="1" s="1"/>
  <c r="W651" i="1"/>
  <c r="Z651" i="1" s="1"/>
  <c r="W657" i="1"/>
  <c r="Z657" i="1" s="1"/>
  <c r="W665" i="1"/>
  <c r="Z665" i="1" s="1"/>
  <c r="W675" i="1"/>
  <c r="Z675" i="1" s="1"/>
  <c r="W681" i="1"/>
  <c r="Z681" i="1" s="1"/>
  <c r="W699" i="1"/>
  <c r="Z699" i="1" s="1"/>
  <c r="W707" i="1"/>
  <c r="Z707" i="1" s="1"/>
  <c r="W713" i="1"/>
  <c r="Z713" i="1" s="1"/>
  <c r="W721" i="1"/>
  <c r="Z721" i="1" s="1"/>
  <c r="W729" i="1"/>
  <c r="Z729" i="1" s="1"/>
  <c r="W739" i="1"/>
  <c r="Z739" i="1" s="1"/>
  <c r="W747" i="1"/>
  <c r="Z747" i="1" s="1"/>
  <c r="W755" i="1"/>
  <c r="Z755" i="1" s="1"/>
  <c r="W763" i="1"/>
  <c r="Z763" i="1" s="1"/>
  <c r="W771" i="1"/>
  <c r="Z771" i="1" s="1"/>
  <c r="W779" i="1"/>
  <c r="Z779" i="1" s="1"/>
  <c r="W795" i="1"/>
  <c r="Z795" i="1" s="1"/>
  <c r="W803" i="1"/>
  <c r="Z803" i="1" s="1"/>
  <c r="W835" i="1"/>
  <c r="Z835" i="1" s="1"/>
  <c r="W843" i="1"/>
  <c r="Z843" i="1" s="1"/>
  <c r="W861" i="1"/>
  <c r="Z861" i="1" s="1"/>
  <c r="W875" i="1"/>
  <c r="Z875" i="1" s="1"/>
  <c r="W891" i="1"/>
  <c r="Z891" i="1" s="1"/>
  <c r="B909" i="1"/>
  <c r="W909" i="1"/>
  <c r="Z909" i="1" s="1"/>
  <c r="B925" i="1"/>
  <c r="W925" i="1"/>
  <c r="Z925" i="1" s="1"/>
  <c r="W941" i="1"/>
  <c r="Z941" i="1" s="1"/>
  <c r="W947" i="1"/>
  <c r="Z947" i="1" s="1"/>
  <c r="W955" i="1"/>
  <c r="Z955" i="1" s="1"/>
  <c r="W979" i="1"/>
  <c r="Z979" i="1" s="1"/>
  <c r="B4" i="10"/>
  <c r="AT9" i="10"/>
  <c r="AT11" i="10" s="1"/>
  <c r="B953" i="1"/>
  <c r="B515" i="1"/>
  <c r="B275" i="1"/>
  <c r="AA6" i="10"/>
  <c r="B734" i="1"/>
  <c r="B159" i="1"/>
  <c r="B409" i="1"/>
  <c r="B108" i="1"/>
  <c r="B647" i="1"/>
  <c r="B116" i="1"/>
  <c r="B477" i="1"/>
  <c r="B789" i="1"/>
  <c r="B376" i="1"/>
  <c r="B140" i="1"/>
  <c r="B529" i="1"/>
  <c r="B665" i="1"/>
  <c r="B34" i="1"/>
  <c r="B642" i="1"/>
  <c r="B687" i="1"/>
  <c r="B18" i="1"/>
  <c r="B113" i="1"/>
  <c r="B357" i="1"/>
  <c r="B315" i="1"/>
  <c r="B590" i="1"/>
  <c r="B100" i="1"/>
  <c r="B329" i="1"/>
  <c r="B596" i="1"/>
  <c r="B633" i="1"/>
  <c r="B658" i="1"/>
  <c r="B145" i="1"/>
  <c r="B290" i="1"/>
  <c r="B550" i="1"/>
  <c r="B132" i="1"/>
  <c r="B462" i="1"/>
  <c r="B79" i="1"/>
  <c r="B137" i="1"/>
  <c r="B148" i="1"/>
  <c r="B233" i="1"/>
  <c r="B307" i="1"/>
  <c r="B363" i="1"/>
  <c r="B454" i="1"/>
  <c r="B473" i="1"/>
  <c r="B673" i="1"/>
  <c r="B708" i="1"/>
  <c r="B772" i="1"/>
  <c r="B124" i="1"/>
  <c r="B321" i="1"/>
  <c r="B352" i="1"/>
  <c r="B569" i="1"/>
  <c r="B580" i="1"/>
  <c r="B716" i="1"/>
  <c r="B901" i="1"/>
  <c r="B960" i="1"/>
  <c r="B466" i="1"/>
  <c r="B547" i="1"/>
  <c r="B558" i="1"/>
  <c r="B614" i="1"/>
  <c r="B666" i="1"/>
  <c r="B705" i="1"/>
  <c r="B31" i="1"/>
  <c r="B151" i="1"/>
  <c r="B236" i="1"/>
  <c r="B341" i="1"/>
  <c r="B432" i="1"/>
  <c r="B507" i="1"/>
  <c r="B756" i="1"/>
  <c r="B896" i="1"/>
  <c r="B676" i="1"/>
  <c r="B489" i="1"/>
  <c r="B625" i="1"/>
  <c r="B634" i="1"/>
  <c r="B671" i="1"/>
  <c r="B682" i="1"/>
  <c r="B729" i="1"/>
  <c r="B748" i="1"/>
  <c r="B50" i="1"/>
  <c r="B121" i="1"/>
  <c r="B143" i="1"/>
  <c r="B247" i="1"/>
  <c r="B285" i="1"/>
  <c r="B368" i="1"/>
  <c r="B458" i="1"/>
  <c r="B553" i="1"/>
  <c r="B657" i="1"/>
  <c r="B718" i="1"/>
  <c r="B937" i="1"/>
  <c r="B39" i="1"/>
  <c r="B58" i="1"/>
  <c r="B129" i="1"/>
  <c r="B156" i="1"/>
  <c r="B257" i="1"/>
  <c r="B297" i="1"/>
  <c r="B312" i="1"/>
  <c r="B317" i="1"/>
  <c r="B663" i="1"/>
  <c r="B72" i="1"/>
  <c r="B105" i="1"/>
  <c r="B135" i="1"/>
  <c r="B269" i="1"/>
  <c r="B628" i="1"/>
  <c r="B654" i="1"/>
  <c r="B732" i="1"/>
  <c r="B42" i="1"/>
  <c r="B84" i="1"/>
  <c r="B97" i="1"/>
  <c r="B28" i="1"/>
  <c r="B65" i="1"/>
  <c r="B9" i="1"/>
  <c r="B54" i="1"/>
  <c r="B62" i="1"/>
  <c r="B49" i="1"/>
  <c r="B293" i="1"/>
  <c r="B361" i="1"/>
  <c r="B373" i="1"/>
  <c r="B449" i="1"/>
  <c r="B481" i="1"/>
  <c r="B521" i="1"/>
  <c r="B555" i="1"/>
  <c r="B593" i="1"/>
  <c r="B713" i="1"/>
  <c r="B753" i="1"/>
  <c r="B769" i="1"/>
  <c r="B785" i="1"/>
  <c r="B803" i="1"/>
  <c r="B825" i="1"/>
  <c r="B952" i="1"/>
  <c r="B15" i="1"/>
  <c r="B20" i="1"/>
  <c r="B41" i="1"/>
  <c r="B61" i="1"/>
  <c r="B167" i="1"/>
  <c r="B172" i="1"/>
  <c r="B188" i="1"/>
  <c r="B204" i="1"/>
  <c r="B220" i="1"/>
  <c r="B249" i="1"/>
  <c r="B265" i="1"/>
  <c r="B272" i="1"/>
  <c r="B288" i="1"/>
  <c r="B304" i="1"/>
  <c r="B309" i="1"/>
  <c r="B333" i="1"/>
  <c r="B395" i="1"/>
  <c r="B417" i="1"/>
  <c r="B446" i="1"/>
  <c r="B494" i="1"/>
  <c r="B513" i="1"/>
  <c r="B542" i="1"/>
  <c r="B587" i="1"/>
  <c r="B608" i="1"/>
  <c r="B622" i="1"/>
  <c r="B639" i="1"/>
  <c r="B668" i="1"/>
  <c r="B698" i="1"/>
  <c r="B710" i="1"/>
  <c r="B724" i="1"/>
  <c r="B745" i="1"/>
  <c r="B764" i="1"/>
  <c r="B780" i="1"/>
  <c r="B833" i="1"/>
  <c r="B905" i="1"/>
  <c r="B945" i="1"/>
  <c r="B985" i="1"/>
  <c r="B965" i="1"/>
  <c r="B17" i="1"/>
  <c r="B60" i="1"/>
  <c r="B164" i="1"/>
  <c r="B169" i="1"/>
  <c r="B185" i="1"/>
  <c r="B201" i="1"/>
  <c r="B217" i="1"/>
  <c r="B244" i="1"/>
  <c r="B267" i="1"/>
  <c r="B337" i="1"/>
  <c r="B353" i="1"/>
  <c r="B369" i="1"/>
  <c r="B379" i="1"/>
  <c r="B401" i="1"/>
  <c r="B425" i="1"/>
  <c r="B443" i="1"/>
  <c r="B475" i="1"/>
  <c r="B491" i="1"/>
  <c r="B510" i="1"/>
  <c r="B561" i="1"/>
  <c r="B610" i="1"/>
  <c r="B631" i="1"/>
  <c r="B641" i="1"/>
  <c r="B655" i="1"/>
  <c r="B740" i="1"/>
  <c r="B761" i="1"/>
  <c r="B777" i="1"/>
  <c r="B865" i="1"/>
  <c r="B969" i="1"/>
  <c r="B721" i="1"/>
  <c r="B737" i="1"/>
  <c r="B795" i="1"/>
  <c r="B944" i="1"/>
  <c r="B33" i="1"/>
  <c r="B57" i="1"/>
  <c r="B95" i="1"/>
  <c r="B180" i="1"/>
  <c r="B196" i="1"/>
  <c r="B212" i="1"/>
  <c r="B228" i="1"/>
  <c r="B280" i="1"/>
  <c r="B320" i="1"/>
  <c r="B385" i="1"/>
  <c r="B25" i="1"/>
  <c r="B36" i="1"/>
  <c r="B47" i="1"/>
  <c r="B73" i="1"/>
  <c r="B76" i="1"/>
  <c r="B81" i="1"/>
  <c r="B89" i="1"/>
  <c r="B92" i="1"/>
  <c r="B103" i="1"/>
  <c r="B111" i="1"/>
  <c r="B119" i="1"/>
  <c r="B127" i="1"/>
  <c r="B161" i="1"/>
  <c r="B175" i="1"/>
  <c r="B183" i="1"/>
  <c r="B191" i="1"/>
  <c r="B199" i="1"/>
  <c r="Z202" i="1"/>
  <c r="B207" i="1"/>
  <c r="B215" i="1"/>
  <c r="B223" i="1"/>
  <c r="B231" i="1"/>
  <c r="B239" i="1"/>
  <c r="B277" i="1"/>
  <c r="Z445" i="1"/>
  <c r="B445" i="1"/>
  <c r="Z450" i="1"/>
  <c r="B450" i="1"/>
  <c r="Z459" i="1"/>
  <c r="B459" i="1"/>
  <c r="B478" i="1"/>
  <c r="B492" i="1"/>
  <c r="Z492" i="1"/>
  <c r="B801" i="1"/>
  <c r="Z801" i="1"/>
  <c r="Z849" i="1"/>
  <c r="B849" i="1"/>
  <c r="B906" i="1"/>
  <c r="Z906" i="1"/>
  <c r="Z997" i="1"/>
  <c r="B997" i="1"/>
  <c r="B386" i="1"/>
  <c r="Z386" i="1"/>
  <c r="Z424" i="1"/>
  <c r="B424" i="1"/>
  <c r="B511" i="1"/>
  <c r="Z511" i="1"/>
  <c r="Z595" i="1"/>
  <c r="B595" i="1"/>
  <c r="B616" i="1"/>
  <c r="Z616" i="1"/>
  <c r="Z649" i="1"/>
  <c r="B649" i="1"/>
  <c r="Z442" i="1"/>
  <c r="B442" i="1"/>
  <c r="B508" i="1"/>
  <c r="Z508" i="1"/>
  <c r="Z961" i="1"/>
  <c r="B961" i="1"/>
  <c r="B7" i="1"/>
  <c r="B10" i="1"/>
  <c r="B52" i="1"/>
  <c r="B55" i="1"/>
  <c r="B88" i="1"/>
  <c r="B96" i="1"/>
  <c r="B259" i="1"/>
  <c r="B273" i="1"/>
  <c r="B281" i="1"/>
  <c r="B301" i="1"/>
  <c r="B323" i="1"/>
  <c r="B331" i="1"/>
  <c r="B339" i="1"/>
  <c r="Z344" i="1"/>
  <c r="B344" i="1"/>
  <c r="B355" i="1"/>
  <c r="B388" i="1"/>
  <c r="Z388" i="1"/>
  <c r="Z419" i="1"/>
  <c r="B419" i="1"/>
  <c r="B426" i="1"/>
  <c r="Z426" i="1"/>
  <c r="B433" i="1"/>
  <c r="B599" i="1"/>
  <c r="Z599" i="1"/>
  <c r="Z644" i="1"/>
  <c r="B644" i="1"/>
  <c r="Z809" i="1"/>
  <c r="B809" i="1"/>
  <c r="B362" i="1"/>
  <c r="Z362" i="1"/>
  <c r="B410" i="1"/>
  <c r="Z410" i="1"/>
  <c r="B428" i="1"/>
  <c r="Z428" i="1"/>
  <c r="B444" i="1"/>
  <c r="Z444" i="1"/>
  <c r="Z453" i="1"/>
  <c r="B453" i="1"/>
  <c r="Z486" i="1"/>
  <c r="B486" i="1"/>
  <c r="Z505" i="1"/>
  <c r="B505" i="1"/>
  <c r="Z577" i="1"/>
  <c r="B577" i="1"/>
  <c r="Z679" i="1"/>
  <c r="B679" i="1"/>
  <c r="Z695" i="1"/>
  <c r="B695" i="1"/>
  <c r="B870" i="1"/>
  <c r="Z870" i="1"/>
  <c r="Z885" i="1"/>
  <c r="B885" i="1"/>
  <c r="Z929" i="1"/>
  <c r="B929" i="1"/>
  <c r="B404" i="1"/>
  <c r="Z404" i="1"/>
  <c r="B482" i="1"/>
  <c r="Z482" i="1"/>
  <c r="Z566" i="1"/>
  <c r="B566" i="1"/>
  <c r="B64" i="1"/>
  <c r="B71" i="1"/>
  <c r="B305" i="1"/>
  <c r="B365" i="1"/>
  <c r="B394" i="1"/>
  <c r="Z394" i="1"/>
  <c r="B412" i="1"/>
  <c r="Z412" i="1"/>
  <c r="B467" i="1"/>
  <c r="B500" i="1"/>
  <c r="Z500" i="1"/>
  <c r="Z563" i="1"/>
  <c r="B563" i="1"/>
  <c r="B572" i="1"/>
  <c r="Z572" i="1"/>
  <c r="Z636" i="1"/>
  <c r="B636" i="1"/>
  <c r="Z660" i="1"/>
  <c r="B660" i="1"/>
  <c r="Z817" i="1"/>
  <c r="B817" i="1"/>
  <c r="B463" i="1"/>
  <c r="Z463" i="1"/>
  <c r="B349" i="1"/>
  <c r="Z483" i="1"/>
  <c r="B483" i="1"/>
  <c r="B586" i="1"/>
  <c r="Z586" i="1"/>
  <c r="Z841" i="1"/>
  <c r="B841" i="1"/>
  <c r="Z893" i="1"/>
  <c r="B893" i="1"/>
  <c r="Z913" i="1"/>
  <c r="B913" i="1"/>
  <c r="Z984" i="1"/>
  <c r="B984" i="1"/>
  <c r="B261" i="1"/>
  <c r="B296" i="1"/>
  <c r="B325" i="1"/>
  <c r="B380" i="1"/>
  <c r="Z380" i="1"/>
  <c r="B418" i="1"/>
  <c r="Z418" i="1"/>
  <c r="Z497" i="1"/>
  <c r="B497" i="1"/>
  <c r="Z652" i="1"/>
  <c r="B652" i="1"/>
  <c r="Z674" i="1"/>
  <c r="B674" i="1"/>
  <c r="Z880" i="1"/>
  <c r="B880" i="1"/>
  <c r="B392" i="1"/>
  <c r="B601" i="1"/>
  <c r="B973" i="1"/>
  <c r="B981" i="1"/>
  <c r="B518" i="1"/>
  <c r="B523" i="1"/>
  <c r="B526" i="1"/>
  <c r="B531" i="1"/>
  <c r="B537" i="1"/>
  <c r="B582" i="1"/>
  <c r="B585" i="1"/>
  <c r="B603" i="1"/>
  <c r="B620" i="1"/>
  <c r="B623" i="1"/>
  <c r="B678" i="1"/>
  <c r="B681" i="1"/>
  <c r="B684" i="1"/>
  <c r="B692" i="1"/>
  <c r="B706" i="1"/>
  <c r="B711" i="1"/>
  <c r="B727" i="1"/>
  <c r="B735" i="1"/>
  <c r="B743" i="1"/>
  <c r="B751" i="1"/>
  <c r="B788" i="1"/>
  <c r="B797" i="1"/>
  <c r="B805" i="1"/>
  <c r="B808" i="1"/>
  <c r="B816" i="1"/>
  <c r="B840" i="1"/>
  <c r="B848" i="1"/>
  <c r="B853" i="1"/>
  <c r="B861" i="1"/>
  <c r="B889" i="1"/>
  <c r="B941" i="1"/>
  <c r="B949" i="1"/>
  <c r="B1001" i="1"/>
  <c r="B545" i="1"/>
  <c r="B612" i="1"/>
  <c r="B686" i="1"/>
  <c r="B689" i="1"/>
  <c r="B697" i="1"/>
  <c r="B700" i="1"/>
  <c r="B920" i="1"/>
  <c r="B3" i="1"/>
  <c r="Z107" i="1"/>
  <c r="B107" i="1"/>
  <c r="Z457" i="1"/>
  <c r="B457" i="1"/>
  <c r="B4" i="1"/>
  <c r="B5" i="1"/>
  <c r="B13" i="1"/>
  <c r="B21" i="1"/>
  <c r="B29" i="1"/>
  <c r="B37" i="1"/>
  <c r="B45" i="1"/>
  <c r="B53" i="1"/>
  <c r="B70" i="1"/>
  <c r="Z78" i="1"/>
  <c r="B78" i="1"/>
  <c r="Z94" i="1"/>
  <c r="B94" i="1"/>
  <c r="Z118" i="1"/>
  <c r="B118" i="1"/>
  <c r="Z150" i="1"/>
  <c r="B150" i="1"/>
  <c r="B338" i="1"/>
  <c r="Z338" i="1"/>
  <c r="Z75" i="1"/>
  <c r="B75" i="1"/>
  <c r="Z91" i="1"/>
  <c r="B91" i="1"/>
  <c r="Z115" i="1"/>
  <c r="B115" i="1"/>
  <c r="Z147" i="1"/>
  <c r="B147" i="1"/>
  <c r="Z451" i="1"/>
  <c r="B451" i="1"/>
  <c r="B11" i="1"/>
  <c r="B19" i="1"/>
  <c r="B27" i="1"/>
  <c r="B35" i="1"/>
  <c r="B43" i="1"/>
  <c r="B51" i="1"/>
  <c r="B59" i="1"/>
  <c r="B69" i="1"/>
  <c r="B87" i="1"/>
  <c r="Z126" i="1"/>
  <c r="B126" i="1"/>
  <c r="Z158" i="1"/>
  <c r="B158" i="1"/>
  <c r="Z311" i="1"/>
  <c r="B311" i="1"/>
  <c r="Z123" i="1"/>
  <c r="B123" i="1"/>
  <c r="Z155" i="1"/>
  <c r="B155" i="1"/>
  <c r="Z279" i="1"/>
  <c r="B279" i="1"/>
  <c r="Z384" i="1"/>
  <c r="B384" i="1"/>
  <c r="Z67" i="1"/>
  <c r="B67" i="1"/>
  <c r="Z86" i="1"/>
  <c r="B86" i="1"/>
  <c r="Z102" i="1"/>
  <c r="B102" i="1"/>
  <c r="Z134" i="1"/>
  <c r="B134" i="1"/>
  <c r="Z166" i="1"/>
  <c r="B166" i="1"/>
  <c r="Z254" i="1"/>
  <c r="B254" i="1"/>
  <c r="Z139" i="1"/>
  <c r="B139" i="1"/>
  <c r="C2" i="21"/>
  <c r="B68" i="1"/>
  <c r="Z83" i="1"/>
  <c r="B83" i="1"/>
  <c r="Z99" i="1"/>
  <c r="B99" i="1"/>
  <c r="Z131" i="1"/>
  <c r="B131" i="1"/>
  <c r="Z110" i="1"/>
  <c r="B110" i="1"/>
  <c r="Z142" i="1"/>
  <c r="B142" i="1"/>
  <c r="Z176" i="1"/>
  <c r="B176" i="1"/>
  <c r="Z184" i="1"/>
  <c r="B184" i="1"/>
  <c r="Z192" i="1"/>
  <c r="B192" i="1"/>
  <c r="Z200" i="1"/>
  <c r="B200" i="1"/>
  <c r="Z208" i="1"/>
  <c r="B208" i="1"/>
  <c r="Z216" i="1"/>
  <c r="B216" i="1"/>
  <c r="Z224" i="1"/>
  <c r="B224" i="1"/>
  <c r="Z232" i="1"/>
  <c r="B232" i="1"/>
  <c r="Z240" i="1"/>
  <c r="B240" i="1"/>
  <c r="Z248" i="1"/>
  <c r="B248" i="1"/>
  <c r="Z264" i="1"/>
  <c r="B264" i="1"/>
  <c r="Z415" i="1"/>
  <c r="B415" i="1"/>
  <c r="Z839" i="1"/>
  <c r="B839" i="1"/>
  <c r="Z935" i="1"/>
  <c r="B935" i="1"/>
  <c r="Z335" i="1"/>
  <c r="B335" i="1"/>
  <c r="Z367" i="1"/>
  <c r="B367" i="1"/>
  <c r="Z423" i="1"/>
  <c r="B423" i="1"/>
  <c r="B465" i="1"/>
  <c r="Z758" i="1"/>
  <c r="B758" i="1"/>
  <c r="Z766" i="1"/>
  <c r="B766" i="1"/>
  <c r="Z774" i="1"/>
  <c r="B774" i="1"/>
  <c r="B782" i="1"/>
  <c r="Z782" i="1"/>
  <c r="Z812" i="1"/>
  <c r="B812" i="1"/>
  <c r="Z295" i="1"/>
  <c r="B295" i="1"/>
  <c r="B431" i="1"/>
  <c r="Z431" i="1"/>
  <c r="Z436" i="1"/>
  <c r="B436" i="1"/>
  <c r="Z448" i="1"/>
  <c r="B448" i="1"/>
  <c r="B476" i="1"/>
  <c r="Z476" i="1"/>
  <c r="Z607" i="1"/>
  <c r="B607" i="1"/>
  <c r="B174" i="1"/>
  <c r="B182" i="1"/>
  <c r="B190" i="1"/>
  <c r="B198" i="1"/>
  <c r="B206" i="1"/>
  <c r="B214" i="1"/>
  <c r="B222" i="1"/>
  <c r="B230" i="1"/>
  <c r="B238" i="1"/>
  <c r="B246" i="1"/>
  <c r="B253" i="1"/>
  <c r="B263" i="1"/>
  <c r="Z271" i="1"/>
  <c r="B271" i="1"/>
  <c r="B274" i="1"/>
  <c r="Z319" i="1"/>
  <c r="B319" i="1"/>
  <c r="B328" i="1"/>
  <c r="Z343" i="1"/>
  <c r="B343" i="1"/>
  <c r="Z375" i="1"/>
  <c r="B375" i="1"/>
  <c r="B400" i="1"/>
  <c r="Z560" i="1"/>
  <c r="B560" i="1"/>
  <c r="Z592" i="1"/>
  <c r="B592" i="1"/>
  <c r="B613" i="1"/>
  <c r="Z613" i="1"/>
  <c r="B360" i="1"/>
  <c r="Z383" i="1"/>
  <c r="B383" i="1"/>
  <c r="B408" i="1"/>
  <c r="Z461" i="1"/>
  <c r="B461" i="1"/>
  <c r="B498" i="1"/>
  <c r="Z498" i="1"/>
  <c r="Z287" i="1"/>
  <c r="B287" i="1"/>
  <c r="Z303" i="1"/>
  <c r="B303" i="1"/>
  <c r="Z351" i="1"/>
  <c r="B351" i="1"/>
  <c r="Z391" i="1"/>
  <c r="B391" i="1"/>
  <c r="B416" i="1"/>
  <c r="B452" i="1"/>
  <c r="B163" i="1"/>
  <c r="B171" i="1"/>
  <c r="B179" i="1"/>
  <c r="B187" i="1"/>
  <c r="B195" i="1"/>
  <c r="B203" i="1"/>
  <c r="B211" i="1"/>
  <c r="B219" i="1"/>
  <c r="B227" i="1"/>
  <c r="B235" i="1"/>
  <c r="B243" i="1"/>
  <c r="B251" i="1"/>
  <c r="B256" i="1"/>
  <c r="B266" i="1"/>
  <c r="Z327" i="1"/>
  <c r="B327" i="1"/>
  <c r="B336" i="1"/>
  <c r="Z399" i="1"/>
  <c r="B399" i="1"/>
  <c r="Z528" i="1"/>
  <c r="B528" i="1"/>
  <c r="Z359" i="1"/>
  <c r="B359" i="1"/>
  <c r="Z407" i="1"/>
  <c r="B407" i="1"/>
  <c r="B437" i="1"/>
  <c r="B469" i="1"/>
  <c r="Z480" i="1"/>
  <c r="B480" i="1"/>
  <c r="Z472" i="1"/>
  <c r="B472" i="1"/>
  <c r="Z501" i="1"/>
  <c r="B501" i="1"/>
  <c r="Z504" i="1"/>
  <c r="B504" i="1"/>
  <c r="Z568" i="1"/>
  <c r="B568" i="1"/>
  <c r="B627" i="1"/>
  <c r="Z627" i="1"/>
  <c r="B270" i="1"/>
  <c r="B278" i="1"/>
  <c r="B286" i="1"/>
  <c r="B294" i="1"/>
  <c r="B302" i="1"/>
  <c r="B310" i="1"/>
  <c r="B318" i="1"/>
  <c r="B326" i="1"/>
  <c r="B334" i="1"/>
  <c r="B342" i="1"/>
  <c r="B350" i="1"/>
  <c r="B358" i="1"/>
  <c r="B366" i="1"/>
  <c r="B374" i="1"/>
  <c r="B382" i="1"/>
  <c r="B390" i="1"/>
  <c r="B398" i="1"/>
  <c r="B406" i="1"/>
  <c r="B414" i="1"/>
  <c r="B422" i="1"/>
  <c r="B430" i="1"/>
  <c r="B435" i="1"/>
  <c r="B441" i="1"/>
  <c r="Z456" i="1"/>
  <c r="B456" i="1"/>
  <c r="B460" i="1"/>
  <c r="Z464" i="1"/>
  <c r="B464" i="1"/>
  <c r="Z536" i="1"/>
  <c r="B536" i="1"/>
  <c r="Z576" i="1"/>
  <c r="B576" i="1"/>
  <c r="B381" i="1"/>
  <c r="B389" i="1"/>
  <c r="B397" i="1"/>
  <c r="B405" i="1"/>
  <c r="B413" i="1"/>
  <c r="B421" i="1"/>
  <c r="B429" i="1"/>
  <c r="B434" i="1"/>
  <c r="Z485" i="1"/>
  <c r="B485" i="1"/>
  <c r="Z488" i="1"/>
  <c r="B488" i="1"/>
  <c r="Z600" i="1"/>
  <c r="B600" i="1"/>
  <c r="Z617" i="1"/>
  <c r="B617" i="1"/>
  <c r="Z741" i="1"/>
  <c r="B741" i="1"/>
  <c r="B440" i="1"/>
  <c r="B474" i="1"/>
  <c r="Z512" i="1"/>
  <c r="B512" i="1"/>
  <c r="Z544" i="1"/>
  <c r="B544" i="1"/>
  <c r="Z584" i="1"/>
  <c r="B584" i="1"/>
  <c r="Z493" i="1"/>
  <c r="B493" i="1"/>
  <c r="Z496" i="1"/>
  <c r="B496" i="1"/>
  <c r="Z520" i="1"/>
  <c r="B520" i="1"/>
  <c r="Z552" i="1"/>
  <c r="B552" i="1"/>
  <c r="Z677" i="1"/>
  <c r="B677" i="1"/>
  <c r="Z709" i="1"/>
  <c r="B709" i="1"/>
  <c r="B630" i="1"/>
  <c r="B662" i="1"/>
  <c r="B694" i="1"/>
  <c r="B726" i="1"/>
  <c r="Z749" i="1"/>
  <c r="B749" i="1"/>
  <c r="Z653" i="1"/>
  <c r="B653" i="1"/>
  <c r="Z685" i="1"/>
  <c r="B685" i="1"/>
  <c r="Z717" i="1"/>
  <c r="B717" i="1"/>
  <c r="Z968" i="1"/>
  <c r="B968" i="1"/>
  <c r="B509" i="1"/>
  <c r="B517" i="1"/>
  <c r="B525" i="1"/>
  <c r="B533" i="1"/>
  <c r="B541" i="1"/>
  <c r="B549" i="1"/>
  <c r="B557" i="1"/>
  <c r="B565" i="1"/>
  <c r="B573" i="1"/>
  <c r="B581" i="1"/>
  <c r="B589" i="1"/>
  <c r="B597" i="1"/>
  <c r="B605" i="1"/>
  <c r="B615" i="1"/>
  <c r="B624" i="1"/>
  <c r="Z643" i="1"/>
  <c r="B643" i="1"/>
  <c r="B646" i="1"/>
  <c r="B670" i="1"/>
  <c r="B702" i="1"/>
  <c r="Z999" i="1"/>
  <c r="B999" i="1"/>
  <c r="Z661" i="1"/>
  <c r="B661" i="1"/>
  <c r="Z693" i="1"/>
  <c r="B693" i="1"/>
  <c r="Z725" i="1"/>
  <c r="B725" i="1"/>
  <c r="B742" i="1"/>
  <c r="Z733" i="1"/>
  <c r="B733" i="1"/>
  <c r="Z871" i="1"/>
  <c r="B871" i="1"/>
  <c r="Z635" i="1"/>
  <c r="B635" i="1"/>
  <c r="B638" i="1"/>
  <c r="Z669" i="1"/>
  <c r="B669" i="1"/>
  <c r="Z701" i="1"/>
  <c r="B701" i="1"/>
  <c r="B750" i="1"/>
  <c r="Z787" i="1"/>
  <c r="B787" i="1"/>
  <c r="Z799" i="1"/>
  <c r="B799" i="1"/>
  <c r="Z904" i="1"/>
  <c r="B904" i="1"/>
  <c r="Z815" i="1"/>
  <c r="B815" i="1"/>
  <c r="Z836" i="1"/>
  <c r="B836" i="1"/>
  <c r="Z868" i="1"/>
  <c r="B868" i="1"/>
  <c r="Z879" i="1"/>
  <c r="B879" i="1"/>
  <c r="Z943" i="1"/>
  <c r="B943" i="1"/>
  <c r="B757" i="1"/>
  <c r="B765" i="1"/>
  <c r="B773" i="1"/>
  <c r="B781" i="1"/>
  <c r="B786" i="1"/>
  <c r="B792" i="1"/>
  <c r="B804" i="1"/>
  <c r="B824" i="1"/>
  <c r="Z847" i="1"/>
  <c r="B847" i="1"/>
  <c r="B856" i="1"/>
  <c r="Z887" i="1"/>
  <c r="B887" i="1"/>
  <c r="B912" i="1"/>
  <c r="Z951" i="1"/>
  <c r="B951" i="1"/>
  <c r="B976" i="1"/>
  <c r="Z811" i="1"/>
  <c r="B811" i="1"/>
  <c r="Z844" i="1"/>
  <c r="B844" i="1"/>
  <c r="Z895" i="1"/>
  <c r="B895" i="1"/>
  <c r="Z959" i="1"/>
  <c r="B959" i="1"/>
  <c r="B651" i="1"/>
  <c r="B659" i="1"/>
  <c r="B667" i="1"/>
  <c r="B675" i="1"/>
  <c r="B683" i="1"/>
  <c r="B691" i="1"/>
  <c r="B699" i="1"/>
  <c r="B707" i="1"/>
  <c r="B715" i="1"/>
  <c r="B723" i="1"/>
  <c r="B731" i="1"/>
  <c r="B739" i="1"/>
  <c r="B747" i="1"/>
  <c r="B755" i="1"/>
  <c r="B763" i="1"/>
  <c r="B771" i="1"/>
  <c r="B779" i="1"/>
  <c r="B791" i="1"/>
  <c r="B802" i="1"/>
  <c r="Z823" i="1"/>
  <c r="B823" i="1"/>
  <c r="B832" i="1"/>
  <c r="Z855" i="1"/>
  <c r="B855" i="1"/>
  <c r="B864" i="1"/>
  <c r="Z903" i="1"/>
  <c r="B903" i="1"/>
  <c r="B928" i="1"/>
  <c r="Z967" i="1"/>
  <c r="B967" i="1"/>
  <c r="B992" i="1"/>
  <c r="Z807" i="1"/>
  <c r="B807" i="1"/>
  <c r="B820" i="1"/>
  <c r="Z852" i="1"/>
  <c r="B852" i="1"/>
  <c r="B872" i="1"/>
  <c r="Z911" i="1"/>
  <c r="B911" i="1"/>
  <c r="B936" i="1"/>
  <c r="Z975" i="1"/>
  <c r="B975" i="1"/>
  <c r="B1000" i="1"/>
  <c r="Z831" i="1"/>
  <c r="B831" i="1"/>
  <c r="Z863" i="1"/>
  <c r="B863" i="1"/>
  <c r="Z919" i="1"/>
  <c r="B919" i="1"/>
  <c r="Z983" i="1"/>
  <c r="B983" i="1"/>
  <c r="B783" i="1"/>
  <c r="Z819" i="1"/>
  <c r="B819" i="1"/>
  <c r="Z828" i="1"/>
  <c r="B828" i="1"/>
  <c r="Z860" i="1"/>
  <c r="B860" i="1"/>
  <c r="B888" i="1"/>
  <c r="Z927" i="1"/>
  <c r="B927" i="1"/>
  <c r="Z991" i="1"/>
  <c r="B991" i="1"/>
  <c r="B876" i="1"/>
  <c r="B884" i="1"/>
  <c r="B892" i="1"/>
  <c r="B900" i="1"/>
  <c r="B908" i="1"/>
  <c r="B916" i="1"/>
  <c r="B924" i="1"/>
  <c r="B932" i="1"/>
  <c r="B940" i="1"/>
  <c r="B948" i="1"/>
  <c r="B956" i="1"/>
  <c r="B964" i="1"/>
  <c r="B972" i="1"/>
  <c r="B980" i="1"/>
  <c r="B988" i="1"/>
  <c r="B996" i="1"/>
  <c r="B827" i="1"/>
  <c r="B835" i="1"/>
  <c r="B843" i="1"/>
  <c r="B851" i="1"/>
  <c r="B859" i="1"/>
  <c r="B867" i="1"/>
  <c r="B875" i="1"/>
  <c r="B883" i="1"/>
  <c r="B891" i="1"/>
  <c r="B899" i="1"/>
  <c r="B907" i="1"/>
  <c r="B915" i="1"/>
  <c r="B923" i="1"/>
  <c r="B931" i="1"/>
  <c r="B939" i="1"/>
  <c r="B947" i="1"/>
  <c r="B955" i="1"/>
  <c r="B963" i="1"/>
  <c r="B971" i="1"/>
  <c r="B979" i="1"/>
  <c r="B987" i="1"/>
  <c r="B995" i="1"/>
  <c r="Z4" i="1" l="1"/>
  <c r="U4" i="1"/>
  <c r="U5" i="1"/>
  <c r="Z19" i="1"/>
  <c r="Z17" i="1"/>
  <c r="Z13" i="1"/>
  <c r="Z9" i="1"/>
  <c r="Z11" i="1"/>
  <c r="Z18" i="1"/>
  <c r="Z8" i="1"/>
  <c r="Z12" i="1"/>
  <c r="Z15" i="1"/>
  <c r="Z16" i="1"/>
  <c r="Z7" i="1"/>
  <c r="Z14" i="1"/>
  <c r="Z10" i="1"/>
  <c r="Z6" i="1"/>
  <c r="Z3" i="1"/>
  <c r="AV10" i="10"/>
  <c r="Y7" i="10" l="1"/>
  <c r="AT14" i="10"/>
  <c r="AT16" i="10" s="1"/>
  <c r="AV1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Chaix, Florian</author>
  </authors>
  <commentList>
    <comment ref="A1" authorId="0" shapeId="0" xr:uid="{00000000-0006-0000-0400-000001000000}">
      <text>
        <r>
          <rPr>
            <b/>
            <sz val="9"/>
            <color indexed="81"/>
            <rFont val="Tahoma"/>
            <family val="2"/>
          </rPr>
          <t>Chaix, Florian:</t>
        </r>
        <r>
          <rPr>
            <sz val="9"/>
            <color indexed="81"/>
            <rFont val="Tahoma"/>
            <family val="2"/>
          </rPr>
          <t xml:space="preserve">
\\stjn.local\trimet\Donnees_Projets\Dms Sap\Maintenance\PlanEntretien\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Chaix, Florian</author>
    <author>Astiasarain, Paul</author>
  </authors>
  <commentList>
    <comment ref="A2" authorId="0" shapeId="0" xr:uid="{00000000-0006-0000-0500-000001000000}">
      <text>
        <r>
          <rPr>
            <b/>
            <sz val="9"/>
            <color indexed="81"/>
            <rFont val="Tahoma"/>
            <family val="2"/>
          </rPr>
          <t>Chaix, Florian:</t>
        </r>
        <r>
          <rPr>
            <sz val="9"/>
            <color indexed="81"/>
            <rFont val="Tahoma"/>
            <family val="2"/>
          </rPr>
          <t xml:space="preserve">
Formule dans cette colonne / NE PAS TOUCHER
=STXT(CELLULE("filename";$A$1);TROUVE("]";CELLULE("filename";$A$1))+1;32)</t>
        </r>
      </text>
    </comment>
    <comment ref="B2" authorId="0" shapeId="0" xr:uid="{00000000-0006-0000-0500-000002000000}">
      <text>
        <r>
          <rPr>
            <b/>
            <sz val="9"/>
            <color indexed="81"/>
            <rFont val="Tahoma"/>
            <family val="2"/>
          </rPr>
          <t>Chaix, Florian:</t>
        </r>
        <r>
          <rPr>
            <sz val="9"/>
            <color indexed="81"/>
            <rFont val="Tahoma"/>
            <family val="2"/>
          </rPr>
          <t xml:space="preserve">
Formule dans cette colonne / NE PAS TOUCHER
=SI(OU([@[Poste Responsable]]="";[@[Localisation / Classement]]="";[@[Poste technique]]="";[@[Niveau SAP]]="";[@[Poste entretien]]="";[@[Plan Entretien]]="";[@[Gamme en DMS]]="";[@[Groupe de Gamme]]="";[@[Compteur de Gamme]]="");"X";"OK")</t>
        </r>
      </text>
    </comment>
    <comment ref="C2" authorId="0" shapeId="0" xr:uid="{00000000-0006-0000-0500-000003000000}">
      <text>
        <r>
          <rPr>
            <b/>
            <sz val="9"/>
            <color indexed="81"/>
            <rFont val="Tahoma"/>
            <family val="2"/>
          </rPr>
          <t>Chaix, Florian:</t>
        </r>
        <r>
          <rPr>
            <sz val="9"/>
            <color indexed="81"/>
            <rFont val="Tahoma"/>
            <family val="2"/>
          </rPr>
          <t xml:space="preserve">
"" = non crée ; C = Gamme crée ; S = Gamme supprimé
Ne pas modifier la colonne, Pas de formule, inscription dans la cellule par la macro</t>
        </r>
      </text>
    </comment>
    <comment ref="D2" authorId="1" shapeId="0" xr:uid="{00000000-0006-0000-0500-000004000000}">
      <text>
        <r>
          <rPr>
            <b/>
            <sz val="9"/>
            <color indexed="81"/>
            <rFont val="Tahoma"/>
            <family val="2"/>
          </rPr>
          <t>Astiasarain, Paul:</t>
        </r>
        <r>
          <rPr>
            <sz val="9"/>
            <color indexed="81"/>
            <rFont val="Tahoma"/>
            <family val="2"/>
          </rPr>
          <t xml:space="preserve">
Nom au choix du secteur pour classer les PE générés (via hall, machine, bâtiment…)
</t>
        </r>
        <r>
          <rPr>
            <b/>
            <sz val="9"/>
            <color indexed="81"/>
            <rFont val="Tahoma"/>
            <family val="2"/>
          </rPr>
          <t>Chaix, Florian:</t>
        </r>
        <r>
          <rPr>
            <sz val="9"/>
            <color indexed="81"/>
            <rFont val="Tahoma"/>
            <family val="2"/>
          </rPr>
          <t xml:space="preserve">
Pour créer et modifier la liste, utiliser l'onglet list  et modifiant les noms de la colonne Localisation</t>
        </r>
      </text>
    </comment>
    <comment ref="E2" authorId="1" shapeId="0" xr:uid="{00000000-0006-0000-0500-000005000000}">
      <text>
        <r>
          <rPr>
            <b/>
            <sz val="9"/>
            <color indexed="81"/>
            <rFont val="Tahoma"/>
            <family val="2"/>
          </rPr>
          <t>Astiasarain, Paul:</t>
        </r>
        <r>
          <rPr>
            <sz val="9"/>
            <color indexed="81"/>
            <rFont val="Tahoma"/>
            <family val="2"/>
          </rPr>
          <t xml:space="preserve">
Si OUI = Besoin d'un fichier lié à imprimer avec l'ordre</t>
        </r>
      </text>
    </comment>
    <comment ref="F2" authorId="1" shapeId="0" xr:uid="{00000000-0006-0000-0500-000006000000}">
      <text>
        <r>
          <rPr>
            <b/>
            <sz val="9"/>
            <color indexed="81"/>
            <rFont val="Tahoma"/>
            <family val="2"/>
          </rPr>
          <t>Astiasarain, Paul:</t>
        </r>
        <r>
          <rPr>
            <sz val="9"/>
            <color indexed="81"/>
            <rFont val="Tahoma"/>
            <family val="2"/>
          </rPr>
          <t xml:space="preserve">
Désignation SAP
à part cas particulier, max. Txxx-Xxxx (Niveau 5)</t>
        </r>
      </text>
    </comment>
    <comment ref="G2" authorId="1" shapeId="0" xr:uid="{00000000-0006-0000-0500-000007000000}">
      <text>
        <r>
          <rPr>
            <b/>
            <sz val="9"/>
            <color indexed="81"/>
            <rFont val="Tahoma"/>
            <family val="2"/>
          </rPr>
          <t>Astiasarain, Paul:</t>
        </r>
        <r>
          <rPr>
            <sz val="9"/>
            <color indexed="81"/>
            <rFont val="Tahoma"/>
            <family val="2"/>
          </rPr>
          <t xml:space="preserve">
Désignation de l'ensemble sur lequel est fait l'intervention
</t>
        </r>
      </text>
    </comment>
    <comment ref="H2" authorId="1" shapeId="0" xr:uid="{00000000-0006-0000-0500-000008000000}">
      <text>
        <r>
          <rPr>
            <b/>
            <sz val="9"/>
            <color indexed="81"/>
            <rFont val="Tahoma"/>
            <family val="2"/>
          </rPr>
          <t>Astiasarain, Paul:</t>
        </r>
        <r>
          <rPr>
            <sz val="9"/>
            <color indexed="81"/>
            <rFont val="Tahoma"/>
            <family val="2"/>
          </rPr>
          <t xml:space="preserve">
Généré en automatique lors de la création du Plan dans SAP</t>
        </r>
      </text>
    </comment>
    <comment ref="I2" authorId="1" shapeId="0" xr:uid="{00000000-0006-0000-0500-000009000000}">
      <text>
        <r>
          <rPr>
            <b/>
            <sz val="9"/>
            <color indexed="81"/>
            <rFont val="Tahoma"/>
            <family val="2"/>
          </rPr>
          <t>Astiasarain, Paul:</t>
        </r>
        <r>
          <rPr>
            <sz val="9"/>
            <color indexed="81"/>
            <rFont val="Tahoma"/>
            <family val="2"/>
          </rPr>
          <t xml:space="preserve">
Généré en automatique lors de la création du Poste dans SAP</t>
        </r>
      </text>
    </comment>
    <comment ref="J2" authorId="1" shapeId="0" xr:uid="{00000000-0006-0000-0500-00000A000000}">
      <text>
        <r>
          <rPr>
            <b/>
            <sz val="9"/>
            <color indexed="81"/>
            <rFont val="Tahoma"/>
            <family val="2"/>
          </rPr>
          <t>Astiasarain, Paul:</t>
        </r>
        <r>
          <rPr>
            <sz val="9"/>
            <color indexed="81"/>
            <rFont val="Tahoma"/>
            <family val="2"/>
          </rPr>
          <t xml:space="preserve">
Généré en automatique lors de la création de la gamme dans SAP</t>
        </r>
      </text>
    </comment>
    <comment ref="K2" authorId="1" shapeId="0" xr:uid="{00000000-0006-0000-0500-00000B000000}">
      <text>
        <r>
          <rPr>
            <b/>
            <sz val="9"/>
            <color indexed="81"/>
            <rFont val="Tahoma"/>
            <family val="2"/>
          </rPr>
          <t>Astiasarain, Paul:</t>
        </r>
        <r>
          <rPr>
            <sz val="9"/>
            <color indexed="81"/>
            <rFont val="Tahoma"/>
            <family val="2"/>
          </rPr>
          <t xml:space="preserve">
Incrémenté par SAP au fur et à mesure de l'ajout de gamme au sein du même groupe de gammes</t>
        </r>
      </text>
    </comment>
    <comment ref="L2" authorId="1" shapeId="0" xr:uid="{00000000-0006-0000-0500-00000C000000}">
      <text>
        <r>
          <rPr>
            <b/>
            <sz val="9"/>
            <color indexed="81"/>
            <rFont val="Tahoma"/>
            <family val="2"/>
          </rPr>
          <t>Astiasarain, Paul:</t>
        </r>
        <r>
          <rPr>
            <sz val="9"/>
            <color indexed="81"/>
            <rFont val="Tahoma"/>
            <family val="2"/>
          </rPr>
          <t xml:space="preserve">
Fréquence de déclenchement de la gamme dans SAP :
Soit en nb de semaine, mois, année
Soit en nb d'heure pour préventif sur compteur </t>
        </r>
      </text>
    </comment>
    <comment ref="M2" authorId="1" shapeId="0" xr:uid="{00000000-0006-0000-0500-00000D000000}">
      <text>
        <r>
          <rPr>
            <b/>
            <sz val="9"/>
            <color indexed="81"/>
            <rFont val="Tahoma"/>
            <family val="2"/>
          </rPr>
          <t>Astiasarain, Paul:</t>
        </r>
        <r>
          <rPr>
            <sz val="9"/>
            <color indexed="81"/>
            <rFont val="Tahoma"/>
            <family val="2"/>
          </rPr>
          <t xml:space="preserve">
Désignation de la gamme en fonction des choix du secteur</t>
        </r>
      </text>
    </comment>
    <comment ref="N2" authorId="1" shapeId="0" xr:uid="{00000000-0006-0000-0500-00000E000000}">
      <text>
        <r>
          <rPr>
            <b/>
            <sz val="9"/>
            <color indexed="81"/>
            <rFont val="Tahoma"/>
            <family val="2"/>
          </rPr>
          <t>Astiasarain, Paul:</t>
        </r>
        <r>
          <rPr>
            <sz val="9"/>
            <color indexed="81"/>
            <rFont val="Tahoma"/>
            <family val="2"/>
          </rPr>
          <t xml:space="preserve">
Type de maintenance
Possibilité de modifier ou ajouter via onglet List</t>
        </r>
      </text>
    </comment>
    <comment ref="Q2" authorId="1" shapeId="0" xr:uid="{00000000-0006-0000-0500-00000F000000}">
      <text>
        <r>
          <rPr>
            <b/>
            <sz val="9"/>
            <color indexed="81"/>
            <rFont val="Tahoma"/>
            <family val="2"/>
          </rPr>
          <t>Astiasarain, Paul:</t>
        </r>
        <r>
          <rPr>
            <sz val="9"/>
            <color indexed="81"/>
            <rFont val="Tahoma"/>
            <family val="2"/>
          </rPr>
          <t xml:space="preserve">
Jour de déclenchement voulu</t>
        </r>
      </text>
    </comment>
    <comment ref="R2" authorId="1" shapeId="0" xr:uid="{00000000-0006-0000-0500-000010000000}">
      <text>
        <r>
          <rPr>
            <b/>
            <sz val="9"/>
            <color indexed="81"/>
            <rFont val="Tahoma"/>
            <family val="2"/>
          </rPr>
          <t>Astiasarain, Paul:</t>
        </r>
        <r>
          <rPr>
            <sz val="9"/>
            <color indexed="81"/>
            <rFont val="Tahoma"/>
            <family val="2"/>
          </rPr>
          <t xml:space="preserve">
NON= OT non relancé si précédent non clôturé
 si supérieur à 2 semaines</t>
        </r>
      </text>
    </comment>
    <comment ref="S2" authorId="0" shapeId="0" xr:uid="{00000000-0006-0000-0500-000011000000}">
      <text>
        <r>
          <rPr>
            <b/>
            <sz val="9"/>
            <color indexed="81"/>
            <rFont val="Tahoma"/>
            <family val="2"/>
          </rPr>
          <t>Chaix, Florian:</t>
        </r>
        <r>
          <rPr>
            <sz val="9"/>
            <color indexed="81"/>
            <rFont val="Tahoma"/>
            <family val="2"/>
          </rPr>
          <t xml:space="preserve">
Date de premier ordonnancement après revu dans fichier</t>
        </r>
      </text>
    </comment>
    <comment ref="T2" authorId="0" shapeId="0" xr:uid="{00000000-0006-0000-0500-000012000000}">
      <text>
        <r>
          <rPr>
            <b/>
            <sz val="9"/>
            <color indexed="81"/>
            <rFont val="Tahoma"/>
            <family val="2"/>
          </rPr>
          <t>Chaix, Florian:</t>
        </r>
        <r>
          <rPr>
            <sz val="9"/>
            <color indexed="81"/>
            <rFont val="Tahoma"/>
            <family val="2"/>
          </rPr>
          <t xml:space="preserve">
Ne pas remplir se fait en automatique avec la mise à jour du fichier de gamme.
=SI([@[DMS_SAP]]="";"";LIEN_HYPERTEXTE([@[Chemin fichier source]];"X"))</t>
        </r>
      </text>
    </comment>
    <comment ref="U2" authorId="0" shapeId="0" xr:uid="{00000000-0006-0000-0500-000013000000}">
      <text>
        <r>
          <rPr>
            <b/>
            <sz val="9"/>
            <color indexed="81"/>
            <rFont val="Tahoma"/>
            <family val="2"/>
          </rPr>
          <t>Chaix, Florian:</t>
        </r>
        <r>
          <rPr>
            <sz val="9"/>
            <color indexed="81"/>
            <rFont val="Tahoma"/>
            <family val="2"/>
          </rPr>
          <t xml:space="preserve">
Ne pas remplir se fait en automatique avec la mise à jour du fichier de gamme.
=SI([@[Date rév.]]="";"";LIEN_HYPERTEXTE([@[Lien document]];"X"))</t>
        </r>
      </text>
    </comment>
    <comment ref="V2" authorId="0" shapeId="0" xr:uid="{00000000-0006-0000-0500-000014000000}">
      <text>
        <r>
          <rPr>
            <b/>
            <sz val="9"/>
            <color indexed="81"/>
            <rFont val="Tahoma"/>
            <family val="2"/>
          </rPr>
          <t xml:space="preserve">Chaix, Florian:
</t>
        </r>
        <r>
          <rPr>
            <sz val="9"/>
            <color indexed="81"/>
            <rFont val="Tahoma"/>
            <family val="2"/>
          </rPr>
          <t>C'est le nom du document à ajouter à la gamme de SAP pour qu'il s'imprime avec l'ordre.</t>
        </r>
        <r>
          <rPr>
            <sz val="9"/>
            <color indexed="81"/>
            <rFont val="Tahoma"/>
            <family val="2"/>
          </rPr>
          <t xml:space="preserve">
</t>
        </r>
        <r>
          <rPr>
            <b/>
            <sz val="9"/>
            <color indexed="81"/>
            <rFont val="Tahoma"/>
            <family val="2"/>
          </rPr>
          <t>Ne pas remplir se fait en automatique avec la mise à jour du fichier de gamme.</t>
        </r>
      </text>
    </comment>
    <comment ref="W2" authorId="0" shapeId="0" xr:uid="{00000000-0006-0000-0500-000015000000}">
      <text>
        <r>
          <rPr>
            <b/>
            <sz val="9"/>
            <color indexed="81"/>
            <rFont val="Tahoma"/>
            <family val="2"/>
          </rPr>
          <t xml:space="preserve">Chaix, Florian:
</t>
        </r>
        <r>
          <rPr>
            <sz val="9"/>
            <color indexed="81"/>
            <rFont val="Tahoma"/>
            <family val="2"/>
          </rPr>
          <t>Formule dans cette colonne / NE PAS TOUCHER
=Chemin_accès!$B$2&amp;[@[Poste Responsable]]&amp;"\"&amp;[@[Localisation / Classement]]&amp;"\"&amp;[@[Poste technique]]&amp;"_"&amp;[@[Poste entretien]]&amp;".pdf"</t>
        </r>
      </text>
    </comment>
    <comment ref="X2" authorId="0" shapeId="0" xr:uid="{00000000-0006-0000-0500-000016000000}">
      <text>
        <r>
          <rPr>
            <b/>
            <sz val="9"/>
            <color indexed="81"/>
            <rFont val="Tahoma"/>
            <family val="2"/>
          </rPr>
          <t>Chaix, Florian:</t>
        </r>
        <r>
          <rPr>
            <sz val="9"/>
            <color indexed="81"/>
            <rFont val="Tahoma"/>
            <family val="2"/>
          </rPr>
          <t xml:space="preserve">
Charge par personne du préventif en heure (sous format 0,5 pour les demi-heure)</t>
        </r>
      </text>
    </comment>
    <comment ref="Y2" authorId="0" shapeId="0" xr:uid="{00000000-0006-0000-0500-000017000000}">
      <text>
        <r>
          <rPr>
            <b/>
            <sz val="9"/>
            <color indexed="81"/>
            <rFont val="Tahoma"/>
            <family val="2"/>
          </rPr>
          <t>Chaix, Florian:</t>
        </r>
        <r>
          <rPr>
            <sz val="9"/>
            <color indexed="81"/>
            <rFont val="Tahoma"/>
            <family val="2"/>
          </rPr>
          <t xml:space="preserve">
Nombre de personnes pour faire le préventif</t>
        </r>
      </text>
    </comment>
    <comment ref="Z2" authorId="0" shapeId="0" xr:uid="{00000000-0006-0000-0500-000018000000}">
      <text>
        <r>
          <rPr>
            <b/>
            <sz val="9"/>
            <color indexed="81"/>
            <rFont val="Tahoma"/>
            <family val="2"/>
          </rPr>
          <t xml:space="preserve">Chaix, Florian:
</t>
        </r>
        <r>
          <rPr>
            <sz val="9"/>
            <color indexed="81"/>
            <rFont val="Tahoma"/>
            <family val="2"/>
          </rPr>
          <t>Formule dans cette colonne / NE PAS TOUCHER
=SI(ET([@Charge]&lt;&gt;0; [@[Nombre intervenants]]&lt;&gt;0;[@[Lien document]]&lt;&gt;0;[@[DMS_SAP]]&lt;&gt;0)=VRAI;"MIS A JOUR";"")</t>
        </r>
      </text>
    </comment>
    <comment ref="AA2" authorId="0" shapeId="0" xr:uid="{00000000-0006-0000-0500-000019000000}">
      <text>
        <r>
          <rPr>
            <b/>
            <sz val="9"/>
            <color indexed="81"/>
            <rFont val="Tahoma"/>
            <family val="2"/>
          </rPr>
          <t>Chaix, Florian:</t>
        </r>
        <r>
          <rPr>
            <sz val="9"/>
            <color indexed="81"/>
            <rFont val="Tahoma"/>
            <family val="2"/>
          </rPr>
          <t xml:space="preserve">
Ne pas remplir se fait en automatique avec la mise à jour du fichier de gamme.</t>
        </r>
      </text>
    </comment>
    <comment ref="AB2" authorId="0" shapeId="0" xr:uid="{00000000-0006-0000-0500-00001A000000}">
      <text>
        <r>
          <rPr>
            <b/>
            <sz val="9"/>
            <color indexed="81"/>
            <rFont val="Tahoma"/>
            <family val="2"/>
          </rPr>
          <t xml:space="preserve">Chaix, Florian:
</t>
        </r>
        <r>
          <rPr>
            <sz val="9"/>
            <color indexed="81"/>
            <rFont val="Tahoma"/>
            <family val="2"/>
          </rPr>
          <t>Formule dans cette colonne / NE PAS TOUCHER
=SI([Date rév.]&lt;&gt;""; JOURS360([Date rév.];AUJOURDHUI());"")</t>
        </r>
      </text>
    </comment>
    <comment ref="AC2" authorId="0" shapeId="0" xr:uid="{00000000-0006-0000-0500-00001B000000}">
      <text>
        <r>
          <rPr>
            <b/>
            <sz val="9"/>
            <color indexed="81"/>
            <rFont val="Tahoma"/>
            <family val="2"/>
          </rPr>
          <t>Chaix, Florian:</t>
        </r>
        <r>
          <rPr>
            <sz val="9"/>
            <color indexed="81"/>
            <rFont val="Tahoma"/>
            <family val="2"/>
          </rPr>
          <t xml:space="preserve">
Formule dans cette colonne / NE PAS TOUCHER
=SIERREUR(INDEX(Chemin_accès!$B$11:$C$22;EQUIV([@Type];Chemin_accès!$C$11:$C$22;0);1);Chemin_accès!$B$11)</t>
        </r>
      </text>
    </comment>
    <comment ref="AD2" authorId="0" shapeId="0" xr:uid="{00000000-0006-0000-0500-00001C000000}">
      <text>
        <r>
          <rPr>
            <b/>
            <sz val="9"/>
            <color indexed="81"/>
            <rFont val="Tahoma"/>
            <family val="2"/>
          </rPr>
          <t>Chaix, Florian:</t>
        </r>
        <r>
          <rPr>
            <sz val="9"/>
            <color indexed="81"/>
            <rFont val="Tahoma"/>
            <family val="2"/>
          </rPr>
          <t xml:space="preserve">
Formule dans cette colonne / NE PAS TOUCHER
=Chemin_accès!$B$8&amp;[@[Localisation / Classement]]&amp;"\"&amp;[@[Poste technique]]&amp;"_"&amp;[@[Poste entretien]]&amp;".xlsm"</t>
        </r>
      </text>
    </comment>
  </commentList>
</comments>
</file>

<file path=xl/sharedStrings.xml><?xml version="1.0" encoding="utf-8"?>
<sst xmlns="http://schemas.openxmlformats.org/spreadsheetml/2006/main" count="1796" uniqueCount="450">
  <si>
    <t>6M</t>
  </si>
  <si>
    <t>O</t>
  </si>
  <si>
    <t>N</t>
  </si>
  <si>
    <t>LUN</t>
  </si>
  <si>
    <t>JEU</t>
  </si>
  <si>
    <t>MER</t>
  </si>
  <si>
    <t>MAR</t>
  </si>
  <si>
    <t>Nombre total PE recensés</t>
  </si>
  <si>
    <t>Parité semaine</t>
  </si>
  <si>
    <t>Jour</t>
  </si>
  <si>
    <t>Décal.</t>
  </si>
  <si>
    <t>CARTOGRAPHIE DES PE</t>
  </si>
  <si>
    <t>Validation</t>
  </si>
  <si>
    <t>Commentaires</t>
  </si>
  <si>
    <t>vert</t>
  </si>
  <si>
    <t>aiguille</t>
  </si>
  <si>
    <t>rien</t>
  </si>
  <si>
    <t>jaune</t>
  </si>
  <si>
    <t>larg</t>
  </si>
  <si>
    <t>val</t>
  </si>
  <si>
    <t>rouge</t>
  </si>
  <si>
    <t>invi</t>
  </si>
  <si>
    <t>Lien document</t>
  </si>
  <si>
    <t>Charge</t>
  </si>
  <si>
    <t>Nombre intervenants</t>
  </si>
  <si>
    <t>3M</t>
  </si>
  <si>
    <t>Niveau SAP</t>
  </si>
  <si>
    <t>Poste technique</t>
  </si>
  <si>
    <t>Poste entretien</t>
  </si>
  <si>
    <t>Frequence</t>
  </si>
  <si>
    <t>Type</t>
  </si>
  <si>
    <t>Désignation</t>
  </si>
  <si>
    <t>Criticité</t>
  </si>
  <si>
    <t>1S</t>
  </si>
  <si>
    <t>1A</t>
  </si>
  <si>
    <t>2S</t>
  </si>
  <si>
    <t>1M</t>
  </si>
  <si>
    <t>type</t>
  </si>
  <si>
    <t>freq</t>
  </si>
  <si>
    <t>2M</t>
  </si>
  <si>
    <t>4M</t>
  </si>
  <si>
    <t>2A</t>
  </si>
  <si>
    <t>criticité</t>
  </si>
  <si>
    <t>validation</t>
  </si>
  <si>
    <t>parité</t>
  </si>
  <si>
    <t>Paire</t>
  </si>
  <si>
    <t>Impaire</t>
  </si>
  <si>
    <t>jour</t>
  </si>
  <si>
    <t>VEN</t>
  </si>
  <si>
    <t>SAM</t>
  </si>
  <si>
    <t>DIM</t>
  </si>
  <si>
    <t>3A</t>
  </si>
  <si>
    <t>10A</t>
  </si>
  <si>
    <t>décal.</t>
  </si>
  <si>
    <t>SUPPRIME</t>
  </si>
  <si>
    <t>MISE A JOUR</t>
  </si>
  <si>
    <t>Nombre PE @ Carto valid</t>
  </si>
  <si>
    <t>Nombre total d'heures</t>
  </si>
  <si>
    <t>REVISION</t>
  </si>
  <si>
    <t>Nb jours depuis la dernière rév.</t>
  </si>
  <si>
    <t>Description</t>
  </si>
  <si>
    <t>Date rév.</t>
  </si>
  <si>
    <t>CTRL ELEC</t>
  </si>
  <si>
    <t>gType</t>
  </si>
  <si>
    <t>procedureMVA</t>
  </si>
  <si>
    <t>Procédure SAP</t>
  </si>
  <si>
    <t>Gamme</t>
  </si>
  <si>
    <t>Lien</t>
  </si>
  <si>
    <t>Date de rév</t>
  </si>
  <si>
    <t>Auteur</t>
  </si>
  <si>
    <t>M. Valzolgher</t>
  </si>
  <si>
    <t>MOZ</t>
  </si>
  <si>
    <t>Création</t>
  </si>
  <si>
    <t>Ajout lien vers dossier de gammes usine</t>
  </si>
  <si>
    <t>Date de validation</t>
  </si>
  <si>
    <t>Nombre "MIS A JOUR"</t>
  </si>
  <si>
    <t>H</t>
  </si>
  <si>
    <t>4S</t>
  </si>
  <si>
    <t>12S</t>
  </si>
  <si>
    <t>20S</t>
  </si>
  <si>
    <t>26S</t>
  </si>
  <si>
    <t>30S</t>
  </si>
  <si>
    <t>52S</t>
  </si>
  <si>
    <t>104S</t>
  </si>
  <si>
    <t>Poste Responsable</t>
  </si>
  <si>
    <t>Plan Entretien</t>
  </si>
  <si>
    <t>FCX</t>
  </si>
  <si>
    <t>Test de données</t>
  </si>
  <si>
    <t>DMS_SAP</t>
  </si>
  <si>
    <t>Statut doc</t>
  </si>
  <si>
    <t>Localisation / Classement</t>
  </si>
  <si>
    <t>Lien Fichier de gamme Source</t>
  </si>
  <si>
    <t>\\stjn.local\trimet\Donnees_Projets\Dms Sap\Maintenance\PlanEntretien\</t>
  </si>
  <si>
    <t>Fichier des gammes modèles pour création du document</t>
  </si>
  <si>
    <t>Modèle gamme</t>
  </si>
  <si>
    <t>Chemin fichier source</t>
  </si>
  <si>
    <t>Gamme en DMS</t>
  </si>
  <si>
    <t>Lien Fichier DMS SAP en PDF</t>
  </si>
  <si>
    <t>Passage en fichier xlsm pour insertion des macro
Modif des tableau de données pour 7.MFIE
Insertion des colonnes supp nécessaires
Modification du modèle de la gamme initial
Extraction des modèles de gammes dans dossier : S:\Commun\planPreventifUsine\Modèle Gamme
Création du bouton avec selection des lignes à créer et modifier
Ajout de l'export en PDF dans le dossier DMS SAP</t>
  </si>
  <si>
    <t>Code traitement (CODET)</t>
  </si>
  <si>
    <t>N° du document (DOKNR)</t>
  </si>
  <si>
    <t>Type du document (DOKAR)</t>
  </si>
  <si>
    <t>Document partiel (DOKTL)</t>
  </si>
  <si>
    <t>Version (DOKVR)</t>
  </si>
  <si>
    <t>Statut Document (STABK)</t>
  </si>
  <si>
    <t>Description (DKTXT)</t>
  </si>
  <si>
    <t>Gestionnaire (DWNAM)</t>
  </si>
  <si>
    <t>Groupe autorisation
(AUTHORITYGROUP)</t>
  </si>
  <si>
    <t>Document DMS supérieur (PRENR)</t>
  </si>
  <si>
    <t>Type document supérieur (PREAR)</t>
  </si>
  <si>
    <t>Document partiel supérieur (PRETL)</t>
  </si>
  <si>
    <t>Version document supérieur (PREVR)</t>
  </si>
  <si>
    <t>Code Application (DAPPL)</t>
  </si>
  <si>
    <t>Original Document (FILEP)</t>
  </si>
  <si>
    <t>Liaison d’objet code article (MATNR)</t>
  </si>
  <si>
    <t>Liaison d’objet Poste techniques (TPLNR)</t>
  </si>
  <si>
    <t>Découpe du fichier par poste responsable</t>
  </si>
  <si>
    <t>Type de préventif</t>
  </si>
  <si>
    <t>Localisation</t>
  </si>
  <si>
    <t>Chemin d'accès des dosssiers DMS SAP Globale</t>
  </si>
  <si>
    <t>Chemin d'accès des fichiers sources (*.xlsm) des gammes d'entretien</t>
  </si>
  <si>
    <t>Chemin d'accès du fichier PeTool (Ce fichier)</t>
  </si>
  <si>
    <t>voir modification pour changement de destination des dossier</t>
  </si>
  <si>
    <t>Modif des chemins d'accès et des liens vers les fichiers de gammes</t>
  </si>
  <si>
    <t>Groupe de Gamme</t>
  </si>
  <si>
    <t>Compteur de Gamme</t>
  </si>
  <si>
    <t>Version</t>
  </si>
  <si>
    <t>100H</t>
  </si>
  <si>
    <t>200H</t>
  </si>
  <si>
    <t>300H</t>
  </si>
  <si>
    <t>500H</t>
  </si>
  <si>
    <t>Colonne1</t>
  </si>
  <si>
    <t>1.5</t>
  </si>
  <si>
    <t>\\stjn.local\trimet\Mair\Commun\Gestion MAIR-SST\Suivi Préventif\PeTools\PeTool - 7.MNRJ.xlsm</t>
  </si>
  <si>
    <t>SOUS-STATION</t>
  </si>
  <si>
    <t>NON</t>
  </si>
  <si>
    <t>T040</t>
  </si>
  <si>
    <t>ENERGIE/SOUS STATION</t>
  </si>
  <si>
    <t>T040-F</t>
  </si>
  <si>
    <t>EXPLOITATION SOUS STATION</t>
  </si>
  <si>
    <t>T040-F040</t>
  </si>
  <si>
    <t>COMPTAGE SOUS STATION</t>
  </si>
  <si>
    <t>T040-G010</t>
  </si>
  <si>
    <t>ARRIVEE VALLEE</t>
  </si>
  <si>
    <t>T040-G010-40</t>
  </si>
  <si>
    <t>DISJONCTEUR DV</t>
  </si>
  <si>
    <t>T040-G020</t>
  </si>
  <si>
    <t>ARRIVEE LONGEFAN</t>
  </si>
  <si>
    <t>T040-J</t>
  </si>
  <si>
    <t>220KV/42KV TRANSFORMATION</t>
  </si>
  <si>
    <t>T040-J010</t>
  </si>
  <si>
    <t>POSTE TRANSFORMATION T1</t>
  </si>
  <si>
    <t>T040-J010-20</t>
  </si>
  <si>
    <t>DISJONCTEUR D1 POSTE TRAN.T1</t>
  </si>
  <si>
    <t>T040-J020</t>
  </si>
  <si>
    <t>POSTE TRANSFORMATION T2</t>
  </si>
  <si>
    <t>T040-J030</t>
  </si>
  <si>
    <t>POSTE TRANSFORMATION T3</t>
  </si>
  <si>
    <t>T040-K</t>
  </si>
  <si>
    <t>42KV FORCE MOTRICE USINE</t>
  </si>
  <si>
    <t>T040-K010</t>
  </si>
  <si>
    <t>BATTERIE CAPA K</t>
  </si>
  <si>
    <t>T040-K020</t>
  </si>
  <si>
    <t>BATTERIE CAPA C</t>
  </si>
  <si>
    <t>T040-K030</t>
  </si>
  <si>
    <t>DEPART FBC 1</t>
  </si>
  <si>
    <t>T040-K040</t>
  </si>
  <si>
    <t>DEPART FBC 2</t>
  </si>
  <si>
    <t>T040-K050</t>
  </si>
  <si>
    <t>POSTE TRA1</t>
  </si>
  <si>
    <t>T040-K060</t>
  </si>
  <si>
    <t>POSTE TRA2</t>
  </si>
  <si>
    <t>T040-K070</t>
  </si>
  <si>
    <t>AUXILLIAIRE SOUS STATION</t>
  </si>
  <si>
    <t>T040-M</t>
  </si>
  <si>
    <t>42KV CONVERSION</t>
  </si>
  <si>
    <t>T040-M005</t>
  </si>
  <si>
    <t>GROUPE G1G</t>
  </si>
  <si>
    <t>T040-M010</t>
  </si>
  <si>
    <t>GROUPE G2G</t>
  </si>
  <si>
    <t>T040-M020</t>
  </si>
  <si>
    <t>GROUPE G3G</t>
  </si>
  <si>
    <t>T040-M030</t>
  </si>
  <si>
    <t>GROUPE G1</t>
  </si>
  <si>
    <t>T040-M030-98</t>
  </si>
  <si>
    <t>SECTIONNEURS HI</t>
  </si>
  <si>
    <t>T040-M040</t>
  </si>
  <si>
    <t>GROUPE G2</t>
  </si>
  <si>
    <t>T040-M050</t>
  </si>
  <si>
    <t>GROUPE G3</t>
  </si>
  <si>
    <t>T040-M060</t>
  </si>
  <si>
    <t>GROUPE G4</t>
  </si>
  <si>
    <t>T040-M070</t>
  </si>
  <si>
    <t>GROUPE G5</t>
  </si>
  <si>
    <t>T040-M080</t>
  </si>
  <si>
    <t>COMPTAGE CONTINU</t>
  </si>
  <si>
    <t>T040-O</t>
  </si>
  <si>
    <t>20KV LIAISON POSTE A POSTE</t>
  </si>
  <si>
    <t>T040-P</t>
  </si>
  <si>
    <t>20KV POSTES ELECTRIQUES</t>
  </si>
  <si>
    <t>T040-P010</t>
  </si>
  <si>
    <t>POSTE P3    FONDERIE</t>
  </si>
  <si>
    <t>T040-P020</t>
  </si>
  <si>
    <t>POSTE P16   FONDERIE</t>
  </si>
  <si>
    <t>T040-P030</t>
  </si>
  <si>
    <t>POSTE P17   BUREAUX ADMINISTRATIFS</t>
  </si>
  <si>
    <t>T040-P040</t>
  </si>
  <si>
    <t>POSTE P18   FOUR A CUIRE</t>
  </si>
  <si>
    <t>T040-P050</t>
  </si>
  <si>
    <t>POSTE P18 BIS  STOCKAGE</t>
  </si>
  <si>
    <t>T040-P060</t>
  </si>
  <si>
    <t>POSTE P20   FONDERIE</t>
  </si>
  <si>
    <t>T040-P070</t>
  </si>
  <si>
    <t>POSTE P29   SGX ATELIER ELECTRIQUE</t>
  </si>
  <si>
    <t>T040-P080</t>
  </si>
  <si>
    <t>POSTE P30   SST</t>
  </si>
  <si>
    <t>T040-P090</t>
  </si>
  <si>
    <t>POSTE P30 BIS  SST</t>
  </si>
  <si>
    <t>T040-P100</t>
  </si>
  <si>
    <t>POSTE P31   SGX COMPRESSEURS</t>
  </si>
  <si>
    <t>T040-P110</t>
  </si>
  <si>
    <t>POSTE P32   SERIE F</t>
  </si>
  <si>
    <t>T040-P120</t>
  </si>
  <si>
    <t>POSTE P33   SCELLEMENT</t>
  </si>
  <si>
    <t>T040-P130</t>
  </si>
  <si>
    <t>POSTE P34   SERIE G MODANE</t>
  </si>
  <si>
    <t>T040-P140</t>
  </si>
  <si>
    <t>POSTE P35   SERIE G ST JEAN</t>
  </si>
  <si>
    <t>T040-P150</t>
  </si>
  <si>
    <t>POSTE P36   DEPOTAGE</t>
  </si>
  <si>
    <t>T040-P160</t>
  </si>
  <si>
    <t>POSTE P37   PRECONCASSAGE</t>
  </si>
  <si>
    <t>T040-P170</t>
  </si>
  <si>
    <t>POSTE P38   TOUR A PATE</t>
  </si>
  <si>
    <t>T040-P180</t>
  </si>
  <si>
    <t>POSTE P39   POCHES ELECTROLYSE</t>
  </si>
  <si>
    <t>T040-P190</t>
  </si>
  <si>
    <t>POSTE P50   SST</t>
  </si>
  <si>
    <t>T040-Q020</t>
  </si>
  <si>
    <t>GROUPE D'APPOINT G ST JEAN</t>
  </si>
  <si>
    <t>T040-Q030</t>
  </si>
  <si>
    <t>GROUPE D'APPOINT G MODANE</t>
  </si>
  <si>
    <t>T040-Q040</t>
  </si>
  <si>
    <t>GROUPE DE COMPENSATION F</t>
  </si>
  <si>
    <t>T040-Q050</t>
  </si>
  <si>
    <t>GROUPE DE COMPENSATION G</t>
  </si>
  <si>
    <t>T040-Q060</t>
  </si>
  <si>
    <t>GROUPE APPOINT BARDON 10KA</t>
  </si>
  <si>
    <t>T060-F240</t>
  </si>
  <si>
    <t>EQUIPEMENT COLLECTIF MOYEN D'ACCES MNRJ</t>
  </si>
  <si>
    <t>T060-F250</t>
  </si>
  <si>
    <t>EQUIPEMENT COLLECTIF MANUTENTION MNRJ</t>
  </si>
  <si>
    <t>T040-204</t>
  </si>
  <si>
    <t>T040-201</t>
  </si>
  <si>
    <t>T040-203</t>
  </si>
  <si>
    <t>*P/CAL ME DESHERBAGE SST</t>
  </si>
  <si>
    <t>*P/CAL ME ANALYSE HUILE SST</t>
  </si>
  <si>
    <t>*P/CAL ME ARRET EAU DVT GR REDRES.</t>
  </si>
  <si>
    <t>*P/CAL ME MISE EN EAU DVT GR REDRES.</t>
  </si>
  <si>
    <t>*P/CONTROLE THERMOGRAPH.HT</t>
  </si>
  <si>
    <t>*P/CAL ME DERATIS. SST + POSTES 20KV</t>
  </si>
  <si>
    <t>*P/CAL ME CT CHAUF ARMOIRES/COFFRETS</t>
  </si>
  <si>
    <t>*P/CAL ME VIDANGE FOSSES SST</t>
  </si>
  <si>
    <t>*P/CAL ME GRAISS. NETT SECTION. 220 KV</t>
  </si>
  <si>
    <t>*P/CAL ME GRAISSAGE SECTION. 42 KV</t>
  </si>
  <si>
    <t>*P/CAL ME TOURNEE INSPECTION ST</t>
  </si>
  <si>
    <t>*P/CAL ME NET POSTE 20KV+ COMPENS FG</t>
  </si>
  <si>
    <t>*P/CAL ME ARRET URGENCE SERIE</t>
  </si>
  <si>
    <t>*P/CAL ME CTRL CELLULES + TRANSFO. P3</t>
  </si>
  <si>
    <t>*P/CAL ME CT DEFAUT ISOLEMENT 20 KV</t>
  </si>
  <si>
    <t>*P/CAL ME ESSAI A.U. USINE</t>
  </si>
  <si>
    <t>*P/CAL ME COMPTAGE FIN DE MOIS</t>
  </si>
  <si>
    <t>*P/CAL ME CT EL+ME ARRIVEE VALLEE</t>
  </si>
  <si>
    <t>*P/CAL ME MISE HS TENS ARRIVEE VALLE</t>
  </si>
  <si>
    <t>*P/CAL ME MISE SS TENS ARRIVEE VALLEE</t>
  </si>
  <si>
    <t>*P/CAL ME REVISION DISJ.1 220KV</t>
  </si>
  <si>
    <t>*P/CAL ME REVISION DISJ.2 220KV</t>
  </si>
  <si>
    <t>*P/CAL ME REVISION DISJ.3 220KV</t>
  </si>
  <si>
    <t>*P/CAL ME REVISION DISJ.4 220KV</t>
  </si>
  <si>
    <t>*P/CAL ME REVISION DISJ.5 220KV</t>
  </si>
  <si>
    <t>*P/CAL ME CT EL ARRIVEE LONGEFAN</t>
  </si>
  <si>
    <t>*P/CAL ME CT REGL. PERIODIQUE ACCUM.</t>
  </si>
  <si>
    <t>*P/CAL ME CT REGL. REQUALIFICATION ACCUM</t>
  </si>
  <si>
    <t>*P/CAL ME CT DENSISTATS GAZ SF6</t>
  </si>
  <si>
    <t>*P/CAL ME CT QUALITE GAZ SF6</t>
  </si>
  <si>
    <t>*P/CAL ME REFROIDISSEMENT T1 A T3 + GRP</t>
  </si>
  <si>
    <t>*P/CAL ME NETTOYAGE AERO TRANSFO</t>
  </si>
  <si>
    <t>*P/CAL ME CT ETAL. CHAINE DE MESURE T1</t>
  </si>
  <si>
    <t>*P/CAL ME CT EL+MECA TRANSFO T1</t>
  </si>
  <si>
    <t>*P/CAL ME REV.COMMUTATEUR EN CHARGE T1</t>
  </si>
  <si>
    <t>*P/CAL ME REVISION DISJ.1 42KV</t>
  </si>
  <si>
    <t>*P/CAL ME REVISION DISJ.2 42KV</t>
  </si>
  <si>
    <t>*P/CAL ME REVISION DISJ.3 42KV</t>
  </si>
  <si>
    <t>*P/CAL ME REVISION DISJ.4 42KV</t>
  </si>
  <si>
    <t>*P/CAL ME REVISION DISJ.5 42KV</t>
  </si>
  <si>
    <t>*P/CAL ME REVISION DISJ.6 42KV</t>
  </si>
  <si>
    <t>*P/CAL ME REVISION DISJ.7 42KV</t>
  </si>
  <si>
    <t>*P/CAL ME REVISION DISJ.8 42KV</t>
  </si>
  <si>
    <t>*P/CAL ME REVISION DISJ.9 42KV</t>
  </si>
  <si>
    <t>*P/CAL ME REVISION DISJ.10 42KV</t>
  </si>
  <si>
    <t>*P/CAL ME REVISION DISJ.11 42KV</t>
  </si>
  <si>
    <t>*P/CAL ME REVISION DISJ.12 42KV</t>
  </si>
  <si>
    <t>*P/CAL ME REVISION DISJ.13 42KV</t>
  </si>
  <si>
    <t>*P/CAL ME REVISION DISJ.14 42KV</t>
  </si>
  <si>
    <t>*P/CAL ME REVISION DISJ.15 42KV</t>
  </si>
  <si>
    <t>*P/CAL ME REVISION DISJ.16 42KV</t>
  </si>
  <si>
    <t>*P/CAL ME REVISION DISJ.17 42KV</t>
  </si>
  <si>
    <t>*P/CAL ME REVISION DISJ.18 42KV</t>
  </si>
  <si>
    <t>*P/CAL ME CT ETAL. CHAINE DE MESURE T2</t>
  </si>
  <si>
    <t>*P/CAL ME CT EL+MECA TRANSFO T2</t>
  </si>
  <si>
    <t>*P/CAL ME REV.COMMUT EN CHARGE T2</t>
  </si>
  <si>
    <t>*P/CAL ME CT ETAL. CHAINE DE MESURE T3</t>
  </si>
  <si>
    <t>*P/CAL ME REV.COMMUT EN CHARGE T3</t>
  </si>
  <si>
    <t>*P/CAL ME CT ELEC. AUX TRANSFO CHASSIS 1</t>
  </si>
  <si>
    <t>*P/CAL ME CT ELEC. AUX TRANSFO CHASSIS 2</t>
  </si>
  <si>
    <t>*P/CAL ME CT ELEC BATTERIE CONDENS K</t>
  </si>
  <si>
    <t>*P/CAL ME CT ELEC BATTERIE CONDENS C</t>
  </si>
  <si>
    <t>*P/CAL ME CT ELEC. DEPART FBC1</t>
  </si>
  <si>
    <t>*P/CAL ME CT ELEC. DEPART FBC2</t>
  </si>
  <si>
    <t>*P/CAL ME CT ELEC. TRANSFO+ D30 TRA1</t>
  </si>
  <si>
    <t>*P/CAL ME CT ELEC. TRANSFO+ D30 TRA2</t>
  </si>
  <si>
    <t>*P/CAL ME CTRL ANNUEL BATTERIES SST</t>
  </si>
  <si>
    <t>*P/CAL ME CT SELFS GROUPES F</t>
  </si>
  <si>
    <t>*P/CAL ME GROUPES HYDRAULIQUES HI</t>
  </si>
  <si>
    <t>*P/CAL ME CT GROUPES HYDRAULIQUES HI</t>
  </si>
  <si>
    <t>*P/CAL ME NETTOYAGE AERO GROUPE</t>
  </si>
  <si>
    <t>*P/CAL ME CT ETAL. CHAINE DE MESURE G1G</t>
  </si>
  <si>
    <t>*P/CAL ME CT ELEC. &amp; MECA GP G1G</t>
  </si>
  <si>
    <t>*P/CAL ME CT ETAL. CHAINE DE MESURE G2G</t>
  </si>
  <si>
    <t>*P/CAL ME CT ELEC. &amp; MECA GP G2G</t>
  </si>
  <si>
    <t>*P/CAL ME CT ETAL. CHAINE DE MESURE G3G</t>
  </si>
  <si>
    <t>*P/CAL ME CT ELEC.&amp; SELFS GP G3G</t>
  </si>
  <si>
    <t>*P/CAL ME CT ETAL. CHAINE DE MESURE G1</t>
  </si>
  <si>
    <t>*P/CAL ME CT ELEC.&amp; MECA GP G1F</t>
  </si>
  <si>
    <t>*P/CAL ME SECTIONNEURS HI GROUPES</t>
  </si>
  <si>
    <t>*P/CAL ME CT ETAL. CHAINE DE MESURE G2</t>
  </si>
  <si>
    <t>*P/CAL ME CT ELEC. &amp; MECA GP G2F</t>
  </si>
  <si>
    <t>*P/CAL ME CT ETAL. CHAINE DE MESURE G3</t>
  </si>
  <si>
    <t>*P/CAL ME CT ELEC. &amp; SELFS GP G3F</t>
  </si>
  <si>
    <t>*P/CAL ME CT ETAL. CHAINE DE MESURE G4</t>
  </si>
  <si>
    <t>*P/CAL ME CT ELEC. &amp; MECA GP G4F</t>
  </si>
  <si>
    <t>*P/CAL ME CT ETAL. CHAINE DE MESURE G5</t>
  </si>
  <si>
    <t>*P/CAL ME CT ELEC.&amp; MECA GP G5F</t>
  </si>
  <si>
    <t>*P/CAL ME ETAL. CHASSIS CONTINU F&amp;G</t>
  </si>
  <si>
    <t>*P/CAL ME DIAG. CABLES 20KV</t>
  </si>
  <si>
    <t>*P/CAL ME CT ELEC HEBDO POSTES 20KV</t>
  </si>
  <si>
    <t>*P/CAL ME CT DISJ. BT ELECTROLYSE P35</t>
  </si>
  <si>
    <t>*P/CAL ME CT VENTILATION POSTES 20KV</t>
  </si>
  <si>
    <t>*P/CAL ME CT CELLULES DM12</t>
  </si>
  <si>
    <t>*P/CAL ME CT ELEC ANNUEL POSTES 20KV</t>
  </si>
  <si>
    <t>*P/CAL ME CT DISJ. BT FONDERIE P3</t>
  </si>
  <si>
    <t>*P/CAL ME ESSAI A.U. FONDERIE</t>
  </si>
  <si>
    <t>*P/CAL ME CTRL INTER BOUCLE P3</t>
  </si>
  <si>
    <t>*P/CAL ME CT ELEC. DEPARTS P16</t>
  </si>
  <si>
    <t>*P/CAL ME ESSAI ARRET URGENCE POSTE P16</t>
  </si>
  <si>
    <t>*P/CAL ME CT DISJ. BT FONDERIE P16</t>
  </si>
  <si>
    <t>*P/CAL ME CTRL CELLULES + TRANSFO. P16</t>
  </si>
  <si>
    <t>*P/CAL ME CTRL INTER BOUCLE P16</t>
  </si>
  <si>
    <t>*P/CAL ME ESSAI ARRET URGENCE POSTE P17</t>
  </si>
  <si>
    <t>*P/CAL ME CT DISJ. BT POSTE P17</t>
  </si>
  <si>
    <t>*P/CAL ME CTRL CELLULE + TRANSFO. P17</t>
  </si>
  <si>
    <t>*P/CAL ME CTRL INTER BOUCLE P17</t>
  </si>
  <si>
    <t>*P/CAL ME CT DISJ. BT CARBONE P18</t>
  </si>
  <si>
    <t>*P/CAL ME CTRL INTER BOUCLE P18</t>
  </si>
  <si>
    <t>*P/CAL ME ESSAI A.U. CARBONE</t>
  </si>
  <si>
    <t>*P/CAL ME CTRL CELLULES + TRANSFO. P18</t>
  </si>
  <si>
    <t>*P/CAL ME CTRL INTER BOUCLE P18 BIS</t>
  </si>
  <si>
    <t>*P/CAL ME ESSAI ARRET URGENCE POSTE P18b</t>
  </si>
  <si>
    <t>*P/CAL ME CT DISJ. BT CARBONE P18b</t>
  </si>
  <si>
    <t>*P/CAL ME CTRL CELLULES + TRANSFO.P18BIS</t>
  </si>
  <si>
    <t>*P/CAL ME CT ELEC. DEPARTS P20</t>
  </si>
  <si>
    <t>*P/CAL ME ESSAI ARRET URGENCE POSTE P20</t>
  </si>
  <si>
    <t>*P/CAL ME CT DISJ. BT FONDERIE P20</t>
  </si>
  <si>
    <t>*P/CAL ME CTRL CELLULES + TRANSFO. P20</t>
  </si>
  <si>
    <t>*P/CAL ME CTRL INTER BOUCLE P20</t>
  </si>
  <si>
    <t>*P/CAL ME ESSAI ARRET URGENCE POSTE P29</t>
  </si>
  <si>
    <t>*P/CAL ME CT DISJ. BT POSTE P29</t>
  </si>
  <si>
    <t>*P/CAL ME CTRL CELLULES + TRANSFO. P29</t>
  </si>
  <si>
    <t>*P/CAL ME CTRL INTER BOUCLE P29</t>
  </si>
  <si>
    <t>*P/CAL ME CT CELLULES POSTE P30</t>
  </si>
  <si>
    <t>*P/CAL ME ESSAI ARRET URGENCE POSTE P30b</t>
  </si>
  <si>
    <t>*P/CAL ME CT DISJ. BT POSTE P30b</t>
  </si>
  <si>
    <t>*P/CAL ME CT ELEC. DEPARTS P30B</t>
  </si>
  <si>
    <t>*P/CAL ME CTRL CELLULE + TRANSFO. P30BIS</t>
  </si>
  <si>
    <t>*P/CAL ME CTRL INTER BOUCLE P30 BIS</t>
  </si>
  <si>
    <t>*P/CAL ME CT ELEC. DEPARTS P31</t>
  </si>
  <si>
    <t>*P/CAL ME ESSAI ARRET URGENCE POSTE P31</t>
  </si>
  <si>
    <t>*P/CAL ME CT DISJ. BT POSTE P31</t>
  </si>
  <si>
    <t>*P/CAL ME CTRL CELLULES + TRANSFO. P31</t>
  </si>
  <si>
    <t>*P/CAL ME CTRL INTER BOUCLE P31</t>
  </si>
  <si>
    <t>*P/CAL ME CT DISJ. BT ELECTROLYSE P32</t>
  </si>
  <si>
    <t>*P/CAL ME ESSAI ARRET URGENCE POSTE P32</t>
  </si>
  <si>
    <t>*P/CAL ME CTRL CELLULES + TRANSFO. P32</t>
  </si>
  <si>
    <t>*P/CAL ME CTRL INTER BOUCLE P32</t>
  </si>
  <si>
    <t>*P/CAL ME CTRL INTER BOUCLE P33</t>
  </si>
  <si>
    <t>*P/CAL ME ESSAI ARRET URGENCE POSTE P33</t>
  </si>
  <si>
    <t>*P/CAL ME CT DISJ. BT CARBONE P33</t>
  </si>
  <si>
    <t>*P/CAL ME CTRL CELLULES + TRANSFO. P33</t>
  </si>
  <si>
    <t>*P/CAL ME CT ELEC. DEPARTS P34</t>
  </si>
  <si>
    <t>*P/CAL ME ESSAI ARRET URGENCE POSTE P34</t>
  </si>
  <si>
    <t>*P/CAL ME CT DISJ. BT ELECTROLYSE P34</t>
  </si>
  <si>
    <t>*P/CAL ME CTRL CELLULES + TRANSFO. P34</t>
  </si>
  <si>
    <t>*P/CAL ME CTRL INTER BOUCLE P34</t>
  </si>
  <si>
    <t>*P/CAL ME CT ELEC. DEPARTS P35</t>
  </si>
  <si>
    <t>*P/CAL ME ESSAI ARRET URGENCE POSTE P35</t>
  </si>
  <si>
    <t>*P/CAL ME CTRL CELLULES + TRANSFO. P35</t>
  </si>
  <si>
    <t>*P/CAL ME CTRL INTER BOUCLE P35</t>
  </si>
  <si>
    <t>*P/CAL ME ESSAI ARRET URGENCE POSTE P36</t>
  </si>
  <si>
    <t>*P/CAL ME CT DISJ. BT ELECTROLYSE P36</t>
  </si>
  <si>
    <t>*P/CAL ME CTRL CELLULES + TRANSFO. P36</t>
  </si>
  <si>
    <t>*P/CAL ME CTRL INTER BOUCLE P36</t>
  </si>
  <si>
    <t>*P/CAL ME CTRL INTER BOUCLE P37</t>
  </si>
  <si>
    <t>*P/CAL ME CT ELEC. DEPARTS P37</t>
  </si>
  <si>
    <t>*P/CAL ME ESSAI ARRET URGENCE POSTE P37</t>
  </si>
  <si>
    <t>*P/CAL ME CT DISJ. BT CARBONE P37</t>
  </si>
  <si>
    <t>*P/CAL ME CTRL CELLULES + TRANSFO. P37</t>
  </si>
  <si>
    <t>*P/CAL ME CTRL INTER BOUCLE P38</t>
  </si>
  <si>
    <t>*P/CAL ME ESSAI ARRET URGENCE POSTE P38</t>
  </si>
  <si>
    <t>*P/CAL ME CT DISJ. BT CARBONE P38</t>
  </si>
  <si>
    <t>*P/CAL ME CTRL CELLULES + TRANSFO. P38</t>
  </si>
  <si>
    <t>*P/CAL ME ESSAI ARRET URGENCE POSTE P39</t>
  </si>
  <si>
    <t>*P/CAL ME CT DISJ. BT ELECTROLYSE P39</t>
  </si>
  <si>
    <t>*P/CAL ME CTRL CELLULES + TRANSFO. P39</t>
  </si>
  <si>
    <t>*P/CAL ME CTRL INTER BOUCLE P39</t>
  </si>
  <si>
    <t>*P/CAL ME CT DISJ. BT POSTE P50</t>
  </si>
  <si>
    <t>*P/CAL ME ESSAI ARRET URGENCE POSTE P50</t>
  </si>
  <si>
    <t>*P/CAL ME CTRL CELLULES + TRANSFO. P50</t>
  </si>
  <si>
    <t>*P/CAL ME CTRL INTER BOUCLE P50</t>
  </si>
  <si>
    <t>*P/CAL ME CT ELEC&amp;MECA  GP AP G ST J</t>
  </si>
  <si>
    <t>*P/CAL ME CT ELEC&amp;MECA GP AP G MOD</t>
  </si>
  <si>
    <t>*P/CAL ME CT ELEC&amp; MECA GP COMPENS F</t>
  </si>
  <si>
    <t>*P/CAL ME CT ELEC&amp; MECA GP COMPENS G</t>
  </si>
  <si>
    <t>*P/CAL ME CT ELEC&amp;MECA  GP AP BARBON</t>
  </si>
  <si>
    <t>*P/CAL ME CT REGL. DIVERS</t>
  </si>
  <si>
    <t>*P/CAL ME CT REGL. LIGNES DE VIE</t>
  </si>
  <si>
    <t>Tuto création de gamme</t>
  </si>
  <si>
    <t>220KV ARRIVEE EDF</t>
  </si>
  <si>
    <t>220KV/42KV TRANSFO</t>
  </si>
  <si>
    <t xml:space="preserve">42KV FORCE MOTRICE USINE </t>
  </si>
  <si>
    <t xml:space="preserve">42KV DISTRIBUTION </t>
  </si>
  <si>
    <t xml:space="preserve">20KV POSTES ELECTRIQUES </t>
  </si>
  <si>
    <t>Tuto stratégie de planification</t>
  </si>
  <si>
    <t>Tuto Création d'une gamme dans SAP avec PE Tool</t>
  </si>
  <si>
    <t>EXPLOIT</t>
  </si>
  <si>
    <t xml:space="preserve">ENTRETIEN </t>
  </si>
  <si>
    <t>CTRL REGL</t>
  </si>
  <si>
    <t>4A</t>
  </si>
  <si>
    <t>8A</t>
  </si>
  <si>
    <t>6A</t>
  </si>
  <si>
    <t>EXPLOITATION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</si>
</sst>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theme="0"/>
      <name val="Calibri"/>
      <family val="2"/>
      <scheme val="minor"/>
    </font>
    <font>
      <b/>
      <sz val="9"/>
      <color indexed="81"/>
      <name val="Tahoma"/>
      <family val="2"/>
    </font>
    <font>
      <sz val="9"/>
      <color indexed="81"/>
      <name val="Tahoma"/>
      <family val="2"/>
    </font>
    <font>
      <b/>
      <sz val="10"/>
      <color theme="1"/>
      <name val="Arial"/>
      <family val="2"/>
    </font>
    <font>
      <b/>
      <sz val="11"/>
      <color rgb="FFFF0000"/>
      <name val="Calibri"/>
      <family val="2"/>
      <scheme val="minor"/>
    </font>
    <font>
      <sz val="11"/>
      <color theme="1"/>
      <name val="Calibri"/>
      <family val="2"/>
      <scheme val="minor"/>
    </font>
    <font>
      <sz val="10"/>
      <name val="Arial"/>
      <family val="2"/>
    </font>
    <font>
      <u/>
      <sz val="11"/>
      <name val="Calibri"/>
      <family val="2"/>
      <scheme val="minor"/>
    </font>
    <font>
      <strike/>
      <sz val="11"/>
      <color rgb="FFFF0000"/>
      <name val="Calibri"/>
      <family val="2"/>
      <scheme val="minor"/>
    </font>
    <font>
      <sz val="11"/>
      <color rgb="FF006100"/>
      <name val="Calibri"/>
      <family val="2"/>
      <scheme val="minor"/>
    </font>
    <font>
      <b/>
      <sz val="11"/>
      <name val="Calibri"/>
      <family val="2"/>
      <scheme val="minor"/>
    </font>
    <font>
      <sz val="11"/>
      <color rgb="FF000000"/>
      <name val="Calibri"/>
      <family val="2"/>
    </font>
    <font>
      <sz val="11"/>
      <color rgb="FFE61EE6"/>
      <name val="Calibri"/>
      <family val="2"/>
      <scheme val="minor"/>
    </font>
    <font>
      <sz val="11"/>
      <color rgb="FFFF00FF"/>
      <name val="Calibri"/>
      <family val="2"/>
      <scheme val="minor"/>
    </font>
    <font>
      <b/>
      <u/>
      <sz val="11"/>
      <color theme="1"/>
      <name val="Calibri"/>
      <family val="2"/>
      <scheme val="minor"/>
    </font>
  </fonts>
  <fills count="8">
    <fill>
      <patternFill patternType="none"/>
    </fill>
    <fill>
      <patternFill patternType="gray125"/>
    </fill>
    <fill>
      <patternFill patternType="solid">
        <fgColor rgb="FF00FF00"/>
        <bgColor indexed="64"/>
      </patternFill>
    </fill>
    <fill>
      <patternFill patternType="solid">
        <fgColor theme="2"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pplyAlignment="0" applyProtection="0"/>
    <xf numFmtId="0" fontId="11" fillId="0" borderId="0"/>
    <xf numFmtId="0" fontId="10" fillId="0" borderId="0"/>
    <xf numFmtId="0" fontId="14" fillId="7" borderId="0" applyNumberFormat="0" applyBorder="0" applyAlignment="0" applyProtection="0"/>
  </cellStyleXfs>
  <cellXfs count="100">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0" fillId="0" borderId="14" xfId="0" applyBorder="1"/>
    <xf numFmtId="14" fontId="0" fillId="0" borderId="2" xfId="0" applyNumberFormat="1" applyBorder="1"/>
    <xf numFmtId="0" fontId="0" fillId="0" borderId="1" xfId="0" applyBorder="1"/>
    <xf numFmtId="0" fontId="1" fillId="0" borderId="1" xfId="1" applyBorder="1"/>
    <xf numFmtId="14" fontId="0" fillId="0" borderId="1" xfId="0" applyNumberFormat="1" applyBorder="1"/>
    <xf numFmtId="0" fontId="0" fillId="0" borderId="1" xfId="0" applyBorder="1" applyAlignment="1">
      <alignment horizontal="center" vertical="center"/>
    </xf>
    <xf numFmtId="0" fontId="0" fillId="0" borderId="6" xfId="0" applyBorder="1" applyAlignment="1">
      <alignment horizontal="left"/>
    </xf>
    <xf numFmtId="0" fontId="0" fillId="0" borderId="1" xfId="0" applyBorder="1" applyAlignment="1">
      <alignment horizontal="left"/>
    </xf>
    <xf numFmtId="0" fontId="0" fillId="0" borderId="15" xfId="0" applyBorder="1" applyAlignment="1">
      <alignment horizontal="center" vertical="center"/>
    </xf>
    <xf numFmtId="0" fontId="0" fillId="0" borderId="0" xfId="0" applyAlignment="1">
      <alignment horizontal="left"/>
    </xf>
    <xf numFmtId="0" fontId="0" fillId="0" borderId="7" xfId="0" applyBorder="1"/>
    <xf numFmtId="0" fontId="0" fillId="0" borderId="8" xfId="0" applyBorder="1"/>
    <xf numFmtId="0" fontId="0" fillId="0" borderId="1" xfId="0" applyBorder="1" applyAlignment="1">
      <alignment vertical="top"/>
    </xf>
    <xf numFmtId="0" fontId="1" fillId="0" borderId="1" xfId="1"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2" fillId="0" borderId="0" xfId="0" applyFont="1"/>
    <xf numFmtId="49" fontId="8" fillId="0" borderId="18" xfId="0" applyNumberFormat="1" applyFont="1" applyBorder="1" applyAlignment="1">
      <alignment horizontal="center" vertical="center" wrapText="1"/>
    </xf>
    <xf numFmtId="49" fontId="8" fillId="0" borderId="8" xfId="0" applyNumberFormat="1" applyFont="1" applyBorder="1" applyAlignment="1">
      <alignment horizontal="center" vertical="center" wrapText="1"/>
    </xf>
    <xf numFmtId="0" fontId="9" fillId="4" borderId="0" xfId="0" applyFont="1" applyFill="1"/>
    <xf numFmtId="0" fontId="2" fillId="6" borderId="1" xfId="0" applyFont="1" applyFill="1" applyBorder="1"/>
    <xf numFmtId="0" fontId="0" fillId="6" borderId="1" xfId="0" applyFill="1" applyBorder="1"/>
    <xf numFmtId="0" fontId="2" fillId="3" borderId="10" xfId="0" applyFont="1" applyFill="1" applyBorder="1" applyAlignment="1" applyProtection="1">
      <alignmen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vertical="center"/>
      <protection locked="0"/>
    </xf>
    <xf numFmtId="0" fontId="0" fillId="0" borderId="0" xfId="0" applyAlignment="1" applyProtection="1">
      <alignment horizontal="left" vertical="center"/>
      <protection locked="0"/>
    </xf>
    <xf numFmtId="0" fontId="3" fillId="5" borderId="15" xfId="0" applyFont="1" applyFill="1" applyBorder="1" applyAlignment="1" applyProtection="1">
      <alignment horizontal="center" vertical="top" wrapText="1"/>
      <protection locked="0"/>
    </xf>
    <xf numFmtId="0" fontId="3" fillId="3" borderId="15" xfId="0" applyFont="1" applyFill="1" applyBorder="1" applyAlignment="1" applyProtection="1">
      <alignment horizontal="center" vertical="top" wrapText="1"/>
      <protection locked="0"/>
    </xf>
    <xf numFmtId="14" fontId="3" fillId="3" borderId="15" xfId="0" applyNumberFormat="1" applyFont="1" applyFill="1" applyBorder="1" applyAlignment="1" applyProtection="1">
      <alignment horizontal="center" vertical="top" wrapText="1"/>
      <protection locked="0"/>
    </xf>
    <xf numFmtId="0" fontId="3" fillId="2" borderId="15" xfId="0" applyFont="1" applyFill="1" applyBorder="1" applyAlignment="1" applyProtection="1">
      <alignment horizontal="center" vertical="top" wrapText="1"/>
      <protection locked="0"/>
    </xf>
    <xf numFmtId="0" fontId="5" fillId="0" borderId="15" xfId="0" applyFont="1" applyBorder="1" applyAlignment="1" applyProtection="1">
      <alignment horizontal="center" vertical="top" wrapText="1"/>
      <protection locked="0"/>
    </xf>
    <xf numFmtId="0" fontId="5" fillId="0" borderId="16" xfId="0" applyFont="1" applyBorder="1" applyAlignment="1" applyProtection="1">
      <alignment horizontal="center" vertical="top" wrapText="1"/>
      <protection locked="0"/>
    </xf>
    <xf numFmtId="0" fontId="3" fillId="5" borderId="17" xfId="0" applyFont="1" applyFill="1"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3" fillId="0" borderId="1" xfId="0" applyFont="1" applyBorder="1" applyAlignment="1">
      <alignment horizontal="left" vertical="center"/>
    </xf>
    <xf numFmtId="0" fontId="3" fillId="0" borderId="1" xfId="0" applyFont="1" applyBorder="1" applyAlignment="1">
      <alignment horizontal="center"/>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center" vertical="center"/>
      <protection locked="0"/>
    </xf>
    <xf numFmtId="0" fontId="12" fillId="0" borderId="1" xfId="1" applyFont="1" applyFill="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1" xfId="0" applyFont="1" applyBorder="1" applyAlignment="1">
      <alignment horizontal="center" vertical="center"/>
    </xf>
    <xf numFmtId="0" fontId="12" fillId="0" borderId="1" xfId="1" applyNumberFormat="1" applyFont="1" applyFill="1" applyBorder="1" applyAlignment="1" applyProtection="1">
      <alignment horizontal="left" vertical="center"/>
      <protection locked="0"/>
    </xf>
    <xf numFmtId="0" fontId="13" fillId="0" borderId="1" xfId="0" applyFont="1" applyBorder="1" applyAlignment="1" applyProtection="1">
      <alignment horizontal="left" vertical="center"/>
      <protection locked="0"/>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1" fontId="3" fillId="0" borderId="1" xfId="0" applyNumberFormat="1" applyFont="1" applyBorder="1" applyAlignment="1">
      <alignment horizontal="center" vertical="center"/>
    </xf>
    <xf numFmtId="0" fontId="3" fillId="0" borderId="0" xfId="4" applyNumberFormat="1" applyFont="1" applyFill="1" applyAlignment="1">
      <alignment horizontal="left" vertical="center"/>
    </xf>
    <xf numFmtId="0" fontId="15" fillId="3" borderId="10" xfId="0" applyFont="1" applyFill="1" applyBorder="1" applyAlignment="1">
      <alignment vertical="center"/>
    </xf>
    <xf numFmtId="0" fontId="1" fillId="0" borderId="1" xfId="1" applyNumberFormat="1" applyFill="1" applyBorder="1" applyAlignment="1" applyProtection="1">
      <alignment horizontal="center" vertical="center"/>
      <protection locked="0"/>
    </xf>
    <xf numFmtId="49" fontId="8" fillId="0" borderId="13" xfId="0" applyNumberFormat="1" applyFont="1" applyBorder="1" applyAlignment="1">
      <alignment horizontal="center" vertical="center" wrapText="1"/>
    </xf>
    <xf numFmtId="0" fontId="3" fillId="0" borderId="1" xfId="1" applyFont="1" applyFill="1" applyBorder="1" applyAlignment="1" applyProtection="1">
      <alignment horizontal="center" vertical="center"/>
      <protection locked="0"/>
    </xf>
    <xf numFmtId="0" fontId="4" fillId="0" borderId="1" xfId="0" applyFont="1" applyBorder="1" applyAlignment="1" applyProtection="1">
      <alignment horizontal="left"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3" fillId="0" borderId="11" xfId="0" applyFont="1" applyBorder="1" applyAlignment="1">
      <alignment horizontal="center" vertical="center"/>
    </xf>
    <xf numFmtId="0" fontId="13" fillId="0" borderId="1" xfId="0" applyFont="1" applyBorder="1" applyAlignment="1">
      <alignment horizontal="center" vertical="center"/>
    </xf>
    <xf numFmtId="0" fontId="0" fillId="0" borderId="0" xfId="0" applyAlignment="1">
      <alignment horizontal="center" vertical="center"/>
    </xf>
    <xf numFmtId="0" fontId="17" fillId="3" borderId="15" xfId="0" applyFont="1" applyFill="1" applyBorder="1" applyAlignment="1">
      <alignment horizontal="center" vertical="top" wrapText="1"/>
    </xf>
    <xf numFmtId="0" fontId="17" fillId="3" borderId="15" xfId="0" applyFont="1" applyFill="1" applyBorder="1" applyAlignment="1" applyProtection="1">
      <alignment horizontal="center" vertical="top" wrapText="1"/>
      <protection locked="0"/>
    </xf>
    <xf numFmtId="14" fontId="17" fillId="3" borderId="15" xfId="0" applyNumberFormat="1" applyFont="1" applyFill="1" applyBorder="1" applyAlignment="1" applyProtection="1">
      <alignment horizontal="center" vertical="top" wrapText="1"/>
      <protection locked="0"/>
    </xf>
    <xf numFmtId="0" fontId="17" fillId="2" borderId="15" xfId="0" applyFont="1" applyFill="1" applyBorder="1" applyAlignment="1" applyProtection="1">
      <alignment horizontal="center" vertical="top" wrapText="1"/>
      <protection locked="0"/>
    </xf>
    <xf numFmtId="0" fontId="0" fillId="3" borderId="0" xfId="0" applyFill="1"/>
    <xf numFmtId="0" fontId="18" fillId="3" borderId="15" xfId="0" applyFont="1" applyFill="1" applyBorder="1" applyAlignment="1" applyProtection="1">
      <alignment horizontal="center" vertical="top" wrapText="1"/>
      <protection locked="0"/>
    </xf>
    <xf numFmtId="0" fontId="1" fillId="0" borderId="0" xfId="1"/>
    <xf numFmtId="0" fontId="0" fillId="5" borderId="0" xfId="0" applyFill="1"/>
    <xf numFmtId="0" fontId="19" fillId="0" borderId="0" xfId="0" applyFont="1"/>
    <xf numFmtId="0" fontId="4" fillId="0" borderId="0" xfId="0" applyFont="1"/>
    <xf numFmtId="17" fontId="4" fillId="0" borderId="0" xfId="0" applyNumberFormat="1" applyFont="1"/>
    <xf numFmtId="14" fontId="4" fillId="0" borderId="0" xfId="0" applyNumberFormat="1" applyFont="1"/>
    <xf numFmtId="0" fontId="0" fillId="0" borderId="1" xfId="0" applyBorder="1" applyAlignment="1">
      <alignment horizontal="left"/>
    </xf>
    <xf numFmtId="14" fontId="0" fillId="0" borderId="6" xfId="0" applyNumberFormat="1" applyBorder="1" applyAlignment="1">
      <alignment horizontal="center"/>
    </xf>
    <xf numFmtId="14" fontId="0" fillId="0" borderId="7" xfId="0" applyNumberFormat="1" applyBorder="1" applyAlignment="1">
      <alignment horizontal="center"/>
    </xf>
    <xf numFmtId="14" fontId="0" fillId="0" borderId="8" xfId="0" applyNumberForma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0" fillId="0" borderId="9" xfId="0"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 fillId="2" borderId="9"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cellXfs>
  <cellStyles count="5">
    <cellStyle name="Lien hypertexte" xfId="1" builtinId="8"/>
    <cellStyle name="Normal" xfId="0" builtinId="0"/>
    <cellStyle name="Normal 2" xfId="3" xr:uid="{00000000-0005-0000-0000-000002000000}"/>
    <cellStyle name="Normal 3" xfId="2" xr:uid="{00000000-0005-0000-0000-000003000000}"/>
    <cellStyle name="Satisfaisant" xfId="4" builtinId="26"/>
  </cellStyles>
  <dxfs count="60">
    <dxf>
      <font>
        <strike val="0"/>
        <outline val="0"/>
        <shadow val="0"/>
        <vertAlign val="baseline"/>
        <sz val="11"/>
        <color auto="1"/>
        <name val="Calibri"/>
        <scheme val="minor"/>
      </font>
      <numFmt numFmtId="0" formatCode="General"/>
      <fill>
        <patternFill patternType="none">
          <fgColor indexed="64"/>
          <bgColor auto="1"/>
        </patternFill>
      </fill>
    </dxf>
    <dxf>
      <font>
        <strike val="0"/>
        <outline val="0"/>
        <shadow val="0"/>
        <vertAlign val="baseline"/>
        <sz val="11"/>
        <color auto="1"/>
        <name val="Calibri"/>
        <scheme val="minor"/>
      </font>
      <numFmt numFmtId="0" formatCode="General"/>
      <fill>
        <patternFill patternType="none">
          <fgColor indexed="64"/>
          <bgColor auto="1"/>
        </patternFill>
      </fill>
      <border outline="0">
        <left style="thin">
          <color indexed="64"/>
        </left>
      </border>
    </dxf>
    <dxf>
      <font>
        <b val="0"/>
        <i val="0"/>
        <strike val="0"/>
        <condense val="0"/>
        <extend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sz val="11"/>
        <color auto="1"/>
        <name val="Calibri"/>
        <scheme val="minor"/>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0000"/>
        </patternFill>
      </fill>
      <alignment horizontal="center" vertical="top" textRotation="0" wrapText="1" indent="0" justifyLastLine="0" shrinkToFit="0" readingOrder="0"/>
      <border diagonalUp="0" diagonalDown="0" outline="0">
        <left style="thin">
          <color indexed="64"/>
        </left>
        <right style="thin">
          <color indexed="64"/>
        </right>
        <top/>
        <bottom/>
      </border>
      <protection locked="0" hidden="0"/>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numFmt numFmtId="0" formatCode="General"/>
    </dxf>
    <dxf>
      <font>
        <strike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medium">
          <color indexed="64"/>
        </bottom>
      </border>
    </dxf>
    <dxf>
      <font>
        <b/>
        <i val="0"/>
        <strike val="0"/>
        <condense val="0"/>
        <extend val="0"/>
        <outline val="0"/>
        <shadow val="0"/>
        <u val="none"/>
        <vertAlign val="baseline"/>
        <sz val="10"/>
        <color theme="1"/>
        <name val="Arial"/>
        <scheme val="none"/>
      </font>
      <numFmt numFmtId="30" formatCode="@"/>
      <alignment horizontal="center" vertical="center" textRotation="0" wrapText="1" indent="0" justifyLastLine="0" shrinkToFit="0" readingOrder="0"/>
    </dxf>
  </dxfs>
  <tableStyles count="0" defaultTableStyle="TableStyleMedium2" defaultPivotStyle="PivotStyleMedium9"/>
  <colors>
    <mruColors>
      <color rgb="FFFF00FF"/>
      <color rgb="FFE61EE6"/>
      <color rgb="FF00FF00"/>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KPI!$AV$9:$AV$11</c:f>
              <c:strCache>
                <c:ptCount val="2"/>
                <c:pt idx="1">
                  <c:v>0%</c:v>
                </c:pt>
              </c:strCache>
            </c:strRef>
          </c:cat>
          <c:val>
            <c:numRef>
              <c:f>KPI!$AT$9:$AT$11</c:f>
              <c:numCache>
                <c:formatCode>General</c:formatCode>
                <c:ptCount val="3"/>
                <c:pt idx="0">
                  <c:v>0</c:v>
                </c:pt>
                <c:pt idx="1">
                  <c:v>1</c:v>
                </c:pt>
                <c:pt idx="2">
                  <c:v>199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KPI!$AR$9:$AR$12</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KPI!$AV$14:$AV$16</c:f>
              <c:strCache>
                <c:ptCount val="2"/>
                <c:pt idx="1">
                  <c:v>0%</c:v>
                </c:pt>
              </c:strCache>
            </c:strRef>
          </c:cat>
          <c:val>
            <c:numRef>
              <c:f>KPI!$AT$14:$AT$16</c:f>
              <c:numCache>
                <c:formatCode>General</c:formatCode>
                <c:ptCount val="3"/>
                <c:pt idx="0">
                  <c:v>0</c:v>
                </c:pt>
                <c:pt idx="1">
                  <c:v>1</c:v>
                </c:pt>
                <c:pt idx="2">
                  <c:v>199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KPI!$AR$14:$AR$17</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MIS A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KPI!$AQ$19:$BQ$19</c:f>
              <c:numCache>
                <c:formatCode>mmm\-yy</c:formatCode>
                <c:ptCount val="27"/>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numCache>
            </c:numRef>
          </c:cat>
          <c:val>
            <c:numRef>
              <c:f>KPI!$AQ$21:$BQ$21</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0-02B1-46D8-AADE-959BBC46B6A1}"/>
            </c:ext>
          </c:extLst>
        </c:ser>
        <c:dLbls>
          <c:showLegendKey val="0"/>
          <c:showVal val="0"/>
          <c:showCatName val="0"/>
          <c:showSerName val="0"/>
          <c:showPercent val="0"/>
          <c:showBubbleSize val="0"/>
        </c:dLbls>
        <c:gapWidth val="219"/>
        <c:overlap val="-27"/>
        <c:axId val="589504448"/>
        <c:axId val="589510432"/>
      </c:barChart>
      <c:dateAx>
        <c:axId val="5895044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9510432"/>
        <c:crosses val="autoZero"/>
        <c:auto val="1"/>
        <c:lblOffset val="100"/>
        <c:baseTimeUnit val="months"/>
        <c:majorUnit val="1"/>
        <c:majorTimeUnit val="months"/>
      </c:dateAx>
      <c:valAx>
        <c:axId val="589510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9504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CARTOGRAPHIE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KPI!$AQ$19:$BQ$19</c:f>
              <c:numCache>
                <c:formatCode>mmm\-yy</c:formatCode>
                <c:ptCount val="27"/>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numCache>
            </c:numRef>
          </c:cat>
          <c:val>
            <c:numRef>
              <c:f>KPI!$AQ$20:$BQ$20</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0-C810-4551-9149-DE847E880B77}"/>
            </c:ext>
          </c:extLst>
        </c:ser>
        <c:dLbls>
          <c:showLegendKey val="0"/>
          <c:showVal val="0"/>
          <c:showCatName val="0"/>
          <c:showSerName val="0"/>
          <c:showPercent val="0"/>
          <c:showBubbleSize val="0"/>
        </c:dLbls>
        <c:gapWidth val="219"/>
        <c:overlap val="-27"/>
        <c:axId val="589506624"/>
        <c:axId val="589489216"/>
      </c:barChart>
      <c:dateAx>
        <c:axId val="5895066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9489216"/>
        <c:crosses val="autoZero"/>
        <c:auto val="1"/>
        <c:lblOffset val="100"/>
        <c:baseTimeUnit val="months"/>
        <c:majorUnit val="1"/>
        <c:majorTimeUnit val="months"/>
      </c:dateAx>
      <c:valAx>
        <c:axId val="589489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9506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0</xdr:col>
          <xdr:colOff>289560</xdr:colOff>
          <xdr:row>1</xdr:row>
          <xdr:rowOff>182880</xdr:rowOff>
        </xdr:to>
        <xdr:sp macro="" textlink="">
          <xdr:nvSpPr>
            <xdr:cNvPr id="23553" name="Bouton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xdr:row>
          <xdr:rowOff>7620</xdr:rowOff>
        </xdr:from>
        <xdr:to>
          <xdr:col>0</xdr:col>
          <xdr:colOff>289560</xdr:colOff>
          <xdr:row>7</xdr:row>
          <xdr:rowOff>182880</xdr:rowOff>
        </xdr:to>
        <xdr:sp macro="" textlink="">
          <xdr:nvSpPr>
            <xdr:cNvPr id="23554" name="Bouton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7620</xdr:rowOff>
        </xdr:from>
        <xdr:to>
          <xdr:col>0</xdr:col>
          <xdr:colOff>289560</xdr:colOff>
          <xdr:row>10</xdr:row>
          <xdr:rowOff>182880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4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7620</xdr:rowOff>
        </xdr:from>
        <xdr:to>
          <xdr:col>0</xdr:col>
          <xdr:colOff>289560</xdr:colOff>
          <xdr:row>11</xdr:row>
          <xdr:rowOff>182880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xdr:row>
          <xdr:rowOff>7620</xdr:rowOff>
        </xdr:from>
        <xdr:to>
          <xdr:col>0</xdr:col>
          <xdr:colOff>289560</xdr:colOff>
          <xdr:row>4</xdr:row>
          <xdr:rowOff>182880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4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7620</xdr:rowOff>
        </xdr:from>
        <xdr:to>
          <xdr:col>0</xdr:col>
          <xdr:colOff>289560</xdr:colOff>
          <xdr:row>12</xdr:row>
          <xdr:rowOff>182880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7620</xdr:rowOff>
        </xdr:from>
        <xdr:to>
          <xdr:col>0</xdr:col>
          <xdr:colOff>289560</xdr:colOff>
          <xdr:row>13</xdr:row>
          <xdr:rowOff>182880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4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0</xdr:row>
          <xdr:rowOff>30480</xdr:rowOff>
        </xdr:from>
        <xdr:to>
          <xdr:col>4</xdr:col>
          <xdr:colOff>152400</xdr:colOff>
          <xdr:row>0</xdr:row>
          <xdr:rowOff>487680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des fichiers de gamme DMS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426720</xdr:colOff>
          <xdr:row>0</xdr:row>
          <xdr:rowOff>30480</xdr:rowOff>
        </xdr:from>
        <xdr:to>
          <xdr:col>6</xdr:col>
          <xdr:colOff>1859280</xdr:colOff>
          <xdr:row>0</xdr:row>
          <xdr:rowOff>487680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 Suppression DMS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2232660</xdr:colOff>
          <xdr:row>0</xdr:row>
          <xdr:rowOff>30480</xdr:rowOff>
        </xdr:from>
        <xdr:to>
          <xdr:col>7</xdr:col>
          <xdr:colOff>236220</xdr:colOff>
          <xdr:row>0</xdr:row>
          <xdr:rowOff>487680</xdr:rowOff>
        </xdr:to>
        <xdr:sp macro="" textlink="">
          <xdr:nvSpPr>
            <xdr:cNvPr id="11338" name="Button 74" hidden="1">
              <a:extLst>
                <a:ext uri="{63B3BB69-23CF-44E3-9099-C40C66FF867C}">
                  <a14:compatExt spid="_x0000_s11338"/>
                </a:ext>
                <a:ext uri="{FF2B5EF4-FFF2-40B4-BE49-F238E27FC236}">
                  <a16:creationId xmlns:a16="http://schemas.microsoft.com/office/drawing/2014/main" id="{00000000-0008-0000-0500-00004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avancé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0</xdr:row>
          <xdr:rowOff>30480</xdr:rowOff>
        </xdr:from>
        <xdr:to>
          <xdr:col>1</xdr:col>
          <xdr:colOff>236220</xdr:colOff>
          <xdr:row>0</xdr:row>
          <xdr:rowOff>487680</xdr:rowOff>
        </xdr:to>
        <xdr:sp macro="" textlink="">
          <xdr:nvSpPr>
            <xdr:cNvPr id="11369" name="Button 105" hidden="1">
              <a:extLst>
                <a:ext uri="{63B3BB69-23CF-44E3-9099-C40C66FF867C}">
                  <a14:compatExt spid="_x0000_s11369"/>
                </a:ext>
                <a:ext uri="{FF2B5EF4-FFF2-40B4-BE49-F238E27FC236}">
                  <a16:creationId xmlns:a16="http://schemas.microsoft.com/office/drawing/2014/main" id="{00000000-0008-0000-0500-000069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0</xdr:row>
          <xdr:rowOff>38100</xdr:rowOff>
        </xdr:from>
        <xdr:to>
          <xdr:col>6</xdr:col>
          <xdr:colOff>365760</xdr:colOff>
          <xdr:row>0</xdr:row>
          <xdr:rowOff>487680</xdr:rowOff>
        </xdr:to>
        <xdr:sp macro="" textlink="">
          <xdr:nvSpPr>
            <xdr:cNvPr id="11377" name="Button 113" hidden="1">
              <a:extLst>
                <a:ext uri="{63B3BB69-23CF-44E3-9099-C40C66FF867C}">
                  <a14:compatExt spid="_x0000_s11377"/>
                </a:ext>
                <a:ext uri="{FF2B5EF4-FFF2-40B4-BE49-F238E27FC236}">
                  <a16:creationId xmlns:a16="http://schemas.microsoft.com/office/drawing/2014/main" id="{00000000-0008-0000-0500-00007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Suppression des fichiers gamme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0</xdr:colOff>
      <xdr:row>1</xdr:row>
      <xdr:rowOff>148940</xdr:rowOff>
    </xdr:to>
    <xdr:pic>
      <xdr:nvPicPr>
        <xdr:cNvPr id="14" name="Picture 17" descr="Trimet Aluminium Logo Vector Logo - Download Free SVG Icon | Worldvectorlog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1143000" cy="331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xdr:row>
      <xdr:rowOff>0</xdr:rowOff>
    </xdr:from>
    <xdr:to>
      <xdr:col>14</xdr:col>
      <xdr:colOff>0</xdr:colOff>
      <xdr:row>17</xdr:row>
      <xdr:rowOff>0</xdr:rowOff>
    </xdr:to>
    <xdr:graphicFrame macro="">
      <xdr:nvGraphicFramePr>
        <xdr:cNvPr id="6" name="Graphique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28</xdr:col>
      <xdr:colOff>0</xdr:colOff>
      <xdr:row>17</xdr:row>
      <xdr:rowOff>0</xdr:rowOff>
    </xdr:to>
    <xdr:graphicFrame macro="">
      <xdr:nvGraphicFramePr>
        <xdr:cNvPr id="7" name="Graphique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27</xdr:row>
      <xdr:rowOff>167640</xdr:rowOff>
    </xdr:from>
    <xdr:to>
      <xdr:col>28</xdr:col>
      <xdr:colOff>0</xdr:colOff>
      <xdr:row>37</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18</xdr:row>
      <xdr:rowOff>0</xdr:rowOff>
    </xdr:from>
    <xdr:to>
      <xdr:col>28</xdr:col>
      <xdr:colOff>0</xdr:colOff>
      <xdr:row>27</xdr:row>
      <xdr:rowOff>15240</xdr:rowOff>
    </xdr:to>
    <xdr:graphicFrame macro="">
      <xdr:nvGraphicFramePr>
        <xdr:cNvPr id="13" name="Graphique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0.21186</cdr:x>
      <cdr:y>0.78305</cdr:y>
    </cdr:from>
    <cdr:to>
      <cdr:x>0.78308</cdr:x>
      <cdr:y>0.88889</cdr:y>
    </cdr:to>
    <cdr:sp macro="" textlink="">
      <cdr:nvSpPr>
        <cdr:cNvPr id="2" name="ZoneTexte 12"/>
        <cdr:cNvSpPr txBox="1"/>
      </cdr:nvSpPr>
      <cdr:spPr>
        <a:xfrm xmlns:a="http://schemas.openxmlformats.org/drawingml/2006/main">
          <a:off x="484312" y="1288838"/>
          <a:ext cx="1305809" cy="17420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CARTO VALIDE</a:t>
          </a:r>
        </a:p>
      </cdr:txBody>
    </cdr:sp>
  </cdr:relSizeAnchor>
</c:userShapes>
</file>

<file path=xl/drawings/drawing5.xml><?xml version="1.0" encoding="utf-8"?>
<c:userShapes xmlns:c="http://schemas.openxmlformats.org/drawingml/2006/chart">
  <cdr:relSizeAnchor xmlns:cdr="http://schemas.openxmlformats.org/drawingml/2006/chartDrawing">
    <cdr:from>
      <cdr:x>0.21186</cdr:x>
      <cdr:y>0.78305</cdr:y>
    </cdr:from>
    <cdr:to>
      <cdr:x>0.81944</cdr:x>
      <cdr:y>0.88426</cdr:y>
    </cdr:to>
    <cdr:sp macro="" textlink="">
      <cdr:nvSpPr>
        <cdr:cNvPr id="2" name="ZoneTexte 12"/>
        <cdr:cNvSpPr txBox="1"/>
      </cdr:nvSpPr>
      <cdr:spPr>
        <a:xfrm xmlns:a="http://schemas.openxmlformats.org/drawingml/2006/main">
          <a:off x="464939" y="1288838"/>
          <a:ext cx="1333381" cy="16658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MIS A JOUR</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ms%20Sap\Maintenance\%23ZAS36\Outils%20de%20gestion%20DMS%20MD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ssier article"/>
      <sheetName val="MDD"/>
      <sheetName val="Listing DMS MDD"/>
      <sheetName val="Outils de gestion DMS MDD"/>
      <sheetName val="list"/>
    </sheetNames>
    <sheetDataSet>
      <sheetData sheetId="0" refreshError="1"/>
      <sheetData sheetId="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MS" displayName="DMS" ref="A1:R2" insertRow="1" totalsRowShown="0" headerRowDxfId="59" headerRowBorderDxfId="58">
  <autoFilter ref="A1:R2" xr:uid="{00000000-0009-0000-0100-000002000000}"/>
  <tableColumns count="18">
    <tableColumn id="1" xr3:uid="{00000000-0010-0000-0000-000001000000}" name="Code traitement (CODET)" dataDxfId="57"/>
    <tableColumn id="2" xr3:uid="{00000000-0010-0000-0000-000002000000}" name="N° du document (DOKNR)"/>
    <tableColumn id="3" xr3:uid="{00000000-0010-0000-0000-000003000000}" name="Type du document (DOKAR)" dataDxfId="56"/>
    <tableColumn id="4" xr3:uid="{00000000-0010-0000-0000-000004000000}" name="Document partiel (DOKTL)" dataDxfId="55"/>
    <tableColumn id="5" xr3:uid="{00000000-0010-0000-0000-000005000000}" name="Version (DOKVR)" dataDxfId="54"/>
    <tableColumn id="6" xr3:uid="{00000000-0010-0000-0000-000006000000}" name="Statut Document (STABK)"/>
    <tableColumn id="7" xr3:uid="{00000000-0010-0000-0000-000007000000}" name="Description (DKTXT)" dataDxfId="53"/>
    <tableColumn id="8" xr3:uid="{00000000-0010-0000-0000-000008000000}" name="Gestionnaire (DWNAM)" dataDxfId="52"/>
    <tableColumn id="9" xr3:uid="{00000000-0010-0000-0000-000009000000}" name="Groupe autorisation_x000a_(AUTHORITYGROUP)" dataDxfId="51"/>
    <tableColumn id="10" xr3:uid="{00000000-0010-0000-0000-00000A000000}" name="Document DMS supérieur (PRENR)"/>
    <tableColumn id="11" xr3:uid="{00000000-0010-0000-0000-00000B000000}" name="Type document supérieur (PREAR)"/>
    <tableColumn id="12" xr3:uid="{00000000-0010-0000-0000-00000C000000}" name="Document partiel supérieur (PRETL)"/>
    <tableColumn id="13" xr3:uid="{00000000-0010-0000-0000-00000D000000}" name="Version document supérieur (PREVR)"/>
    <tableColumn id="14" xr3:uid="{00000000-0010-0000-0000-00000E000000}" name="Code Application (DAPPL)" dataDxfId="50"/>
    <tableColumn id="15" xr3:uid="{00000000-0010-0000-0000-00000F000000}" name="Original Document (FILEP)" dataDxfId="49" dataCellStyle="Satisfaisant"/>
    <tableColumn id="16" xr3:uid="{00000000-0010-0000-0000-000010000000}" name="Liaison d’objet code article (MATNR)" dataDxfId="48"/>
    <tableColumn id="17" xr3:uid="{00000000-0010-0000-0000-000011000000}" name="Liaison d’objet Poste techniques (TPLNR)"/>
    <tableColumn id="19" xr3:uid="{00000000-0010-0000-0000-000013000000}" name="Colonne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2:AD1001" totalsRowShown="0" headerRowDxfId="33" dataDxfId="31" headerRowBorderDxfId="32" tableBorderDxfId="30">
  <autoFilter ref="A2:AD1001" xr:uid="{00000000-0009-0000-0100-000001000000}"/>
  <tableColumns count="30">
    <tableColumn id="1" xr3:uid="{00000000-0010-0000-0100-000001000000}" name="Poste Responsable" dataDxfId="29">
      <calculatedColumnFormula>MID(CELL("filename",$A$1),FIND("]",CELL("filename",$A$1))+1,32)</calculatedColumnFormula>
    </tableColumn>
    <tableColumn id="23" xr3:uid="{00000000-0010-0000-0100-000017000000}" name="Test de données" dataDxfId="28" dataCellStyle="Normal">
      <calculatedColumnFormula>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calculatedColumnFormula>
    </tableColumn>
    <tableColumn id="22" xr3:uid="{00000000-0010-0000-0100-000016000000}" name="Statut doc" dataDxfId="27"/>
    <tableColumn id="2" xr3:uid="{00000000-0010-0000-0100-000002000000}" name="Localisation / Classement" dataDxfId="26"/>
    <tableColumn id="28" xr3:uid="{00000000-0010-0000-0100-00001C000000}" name="Gamme en DMS" dataDxfId="25"/>
    <tableColumn id="3" xr3:uid="{00000000-0010-0000-0100-000003000000}" name="Poste technique" dataDxfId="24"/>
    <tableColumn id="4" xr3:uid="{00000000-0010-0000-0100-000004000000}" name="Niveau SAP" dataDxfId="23"/>
    <tableColumn id="5" xr3:uid="{00000000-0010-0000-0100-000005000000}" name="Plan Entretien" dataDxfId="22" dataCellStyle="Normal"/>
    <tableColumn id="6" xr3:uid="{00000000-0010-0000-0100-000006000000}" name="Poste entretien" dataDxfId="21" dataCellStyle="Normal"/>
    <tableColumn id="30" xr3:uid="{00000000-0010-0000-0100-00001E000000}" name="Groupe de Gamme" dataDxfId="20"/>
    <tableColumn id="29" xr3:uid="{00000000-0010-0000-0100-00001D000000}" name="Compteur de Gamme" dataDxfId="19"/>
    <tableColumn id="7" xr3:uid="{00000000-0010-0000-0100-000007000000}" name="Frequence" dataDxfId="18"/>
    <tableColumn id="8" xr3:uid="{00000000-0010-0000-0100-000008000000}" name="Désignation" dataDxfId="17"/>
    <tableColumn id="9" xr3:uid="{00000000-0010-0000-0100-000009000000}" name="Type" dataDxfId="16"/>
    <tableColumn id="10" xr3:uid="{00000000-0010-0000-0100-00000A000000}" name="Criticité" dataDxfId="15"/>
    <tableColumn id="11" xr3:uid="{00000000-0010-0000-0100-00000B000000}" name="Parité semaine" dataDxfId="14"/>
    <tableColumn id="12" xr3:uid="{00000000-0010-0000-0100-00000C000000}" name="Jour" dataDxfId="13"/>
    <tableColumn id="13" xr3:uid="{00000000-0010-0000-0100-00000D000000}" name="Décal." dataDxfId="12"/>
    <tableColumn id="14" xr3:uid="{00000000-0010-0000-0100-00000E000000}" name="Date de validation" dataDxfId="11"/>
    <tableColumn id="25" xr3:uid="{00000000-0010-0000-0100-000019000000}" name="Lien Fichier de gamme Source" dataDxfId="10" dataCellStyle="Lien hypertexte">
      <calculatedColumnFormula>IF(Tableau1[[#This Row],[DMS_SAP]]="","",HYPERLINK(Tableau1[[#This Row],[Chemin fichier source]],"X"))</calculatedColumnFormula>
    </tableColumn>
    <tableColumn id="26" xr3:uid="{00000000-0010-0000-0100-00001A000000}" name="Lien Fichier DMS SAP en PDF" dataDxfId="9" dataCellStyle="Lien hypertexte">
      <calculatedColumnFormula>IF(Tableau1[[#This Row],[Date rév.]]="","",HYPERLINK(Tableau1[[#This Row],[Lien document]],"X"))</calculatedColumnFormula>
    </tableColumn>
    <tableColumn id="15" xr3:uid="{00000000-0010-0000-0100-00000F000000}" name="DMS_SAP" dataDxfId="8"/>
    <tableColumn id="16" xr3:uid="{00000000-0010-0000-0100-000010000000}" name="Lien document" dataDxfId="7" dataCellStyle="Lien hypertexte">
      <calculatedColumnFormula>Chemin_accès!$B$2&amp;Tableau1[[#This Row],[Poste Responsable]]&amp;"\"&amp;Tableau1[[#This Row],[Localisation / Classement]]&amp;"\"&amp;Tableau1[[#This Row],[Poste technique]]&amp;"_"&amp;Tableau1[[#This Row],[Plan Entretien]]&amp;".pdf"</calculatedColumnFormula>
    </tableColumn>
    <tableColumn id="17" xr3:uid="{00000000-0010-0000-0100-000011000000}" name="Charge" dataDxfId="6"/>
    <tableColumn id="18" xr3:uid="{00000000-0010-0000-0100-000012000000}" name="Nombre intervenants" dataDxfId="5"/>
    <tableColumn id="19" xr3:uid="{00000000-0010-0000-0100-000013000000}" name="Validation" dataDxfId="4">
      <calculatedColumnFormula>IF(AND(Tableau1[[#This Row],[Charge]]&lt;&gt;0, Tableau1[[#This Row],[Nombre intervenants]]&lt;&gt;0,Tableau1[[#This Row],[Lien document]]&lt;&gt;0,Tableau1[[#This Row],[DMS_SAP]]&lt;&gt;0)=TRUE,"MIS A JOUR","")</calculatedColumnFormula>
    </tableColumn>
    <tableColumn id="20" xr3:uid="{00000000-0010-0000-0100-000014000000}" name="Date rév." dataDxfId="3"/>
    <tableColumn id="21" xr3:uid="{00000000-0010-0000-0100-000015000000}" name="Nb jours depuis la dernière rév." dataDxfId="2">
      <calculatedColumnFormula>IF(Tableau1[[#This Row],[Date rév.]]&lt;&gt;"", DAYS360(Tableau1[[#This Row],[Date rév.]],TODAY()),"")</calculatedColumnFormula>
    </tableColumn>
    <tableColumn id="24" xr3:uid="{00000000-0010-0000-0100-000018000000}" name="Modèle gamme" dataDxfId="1">
      <calculatedColumnFormula>IFERROR(INDEX(Chemin_accès!$B$11:$C$22,MATCH(Tableau1[[#This Row],[Type]],Chemin_accès!$C$11:$C$22,0),1),Chemin_accès!$B$11)</calculatedColumnFormula>
    </tableColumn>
    <tableColumn id="27" xr3:uid="{00000000-0010-0000-0100-00001B000000}" name="Chemin fichier source" dataDxfId="0">
      <calculatedColumnFormula>Chemin_accès!$B$8&amp;Tableau1[[#This Row],[Localisation / Classement]]&amp;"\"&amp;Tableau1[[#This Row],[Poste technique]]&amp;"_"&amp;Tableau1[[#This Row],[Plan Entretien]]&amp;".xlsm"</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file:///\\stjn.local\Btechnique\Commun\planPreventifUsine\procedureSap.docx" TargetMode="External"/><Relationship Id="rId2" Type="http://schemas.openxmlformats.org/officeDocument/2006/relationships/hyperlink" Target="file:///\\stjn.local\Btechnique\Commun\planPreventifUsine\procedureSap.docx" TargetMode="External"/><Relationship Id="rId1" Type="http://schemas.openxmlformats.org/officeDocument/2006/relationships/hyperlink" Target="file:///\\stjn.local\Btechnique\Commun\planPreventifUsine\procedureSap.doc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hyperlink" Target="../../../../../Donnees_Projets/Dms%20Sap/Maintenance/PlanEntretien/"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2.xml"/><Relationship Id="rId3" Type="http://schemas.openxmlformats.org/officeDocument/2006/relationships/printerSettings" Target="../printerSettings/printerSettings6.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8.bin"/><Relationship Id="rId10" Type="http://schemas.openxmlformats.org/officeDocument/2006/relationships/ctrlProp" Target="../ctrlProps/ctrlProp10.xml"/><Relationship Id="rId4" Type="http://schemas.openxmlformats.org/officeDocument/2006/relationships/printerSettings" Target="../printerSettings/printerSettings7.bin"/><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drawing" Target="../drawings/drawing3.xml"/><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R2"/>
  <sheetViews>
    <sheetView workbookViewId="0">
      <selection activeCell="A2" sqref="A2"/>
    </sheetView>
  </sheetViews>
  <sheetFormatPr baseColWidth="10" defaultRowHeight="14.4" x14ac:dyDescent="0.3"/>
  <cols>
    <col min="1" max="1" width="6.109375" customWidth="1"/>
    <col min="2" max="2" width="15.44140625" customWidth="1"/>
    <col min="3" max="3" width="6.44140625" customWidth="1"/>
    <col min="4" max="5" width="7.44140625" customWidth="1"/>
    <col min="6" max="6" width="6" customWidth="1"/>
    <col min="7" max="7" width="29.6640625" customWidth="1"/>
    <col min="8" max="8" width="12.44140625" customWidth="1"/>
    <col min="9" max="9" width="7.6640625" customWidth="1"/>
    <col min="10" max="10" width="14" customWidth="1"/>
    <col min="11" max="13" width="5.44140625" customWidth="1"/>
    <col min="15" max="15" width="69.88671875" bestFit="1" customWidth="1"/>
    <col min="16" max="17" width="9.33203125" customWidth="1"/>
  </cols>
  <sheetData>
    <row r="1" spans="1:18" ht="119.4" thickBot="1" x14ac:dyDescent="0.35">
      <c r="A1" s="24" t="s">
        <v>99</v>
      </c>
      <c r="B1" s="25" t="s">
        <v>100</v>
      </c>
      <c r="C1" s="25" t="s">
        <v>101</v>
      </c>
      <c r="D1" s="25" t="s">
        <v>102</v>
      </c>
      <c r="E1" s="25" t="s">
        <v>103</v>
      </c>
      <c r="F1" s="25" t="s">
        <v>104</v>
      </c>
      <c r="G1" s="25" t="s">
        <v>105</v>
      </c>
      <c r="H1" s="25" t="s">
        <v>106</v>
      </c>
      <c r="I1" s="25" t="s">
        <v>107</v>
      </c>
      <c r="J1" s="25" t="s">
        <v>108</v>
      </c>
      <c r="K1" s="25" t="s">
        <v>109</v>
      </c>
      <c r="L1" s="25" t="s">
        <v>110</v>
      </c>
      <c r="M1" s="25" t="s">
        <v>111</v>
      </c>
      <c r="N1" s="25" t="s">
        <v>112</v>
      </c>
      <c r="O1" s="25" t="s">
        <v>113</v>
      </c>
      <c r="P1" s="25" t="s">
        <v>114</v>
      </c>
      <c r="Q1" s="25" t="s">
        <v>115</v>
      </c>
      <c r="R1" s="59" t="s">
        <v>131</v>
      </c>
    </row>
    <row r="2" spans="1:18" x14ac:dyDescent="0.3">
      <c r="O2" s="56"/>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99CC"/>
  </sheetPr>
  <dimension ref="A1:D6"/>
  <sheetViews>
    <sheetView workbookViewId="0">
      <selection activeCell="D11" sqref="D11"/>
    </sheetView>
  </sheetViews>
  <sheetFormatPr baseColWidth="10" defaultRowHeight="14.4" x14ac:dyDescent="0.3"/>
  <sheetData>
    <row r="1" spans="1:4" x14ac:dyDescent="0.3">
      <c r="A1" s="75" t="s">
        <v>435</v>
      </c>
    </row>
    <row r="2" spans="1:4" x14ac:dyDescent="0.3">
      <c r="A2" s="73" t="str">
        <f>HYPERLINK("\\stjn.local\trimet\Donnees_Projets\Maintenance\Formation méthodes de maintenance\SAP Maintenance 2022\procédure création de gammes.docx","procédure création de gammes.docx")</f>
        <v>procédure création de gammes.docx</v>
      </c>
    </row>
    <row r="3" spans="1:4" x14ac:dyDescent="0.3">
      <c r="A3" s="75" t="s">
        <v>441</v>
      </c>
    </row>
    <row r="4" spans="1:4" x14ac:dyDescent="0.3">
      <c r="A4" s="73" t="str">
        <f>HYPERLINK("\\stjn.local\trimet\Donnees_Projets\Maintenance\Formation méthodes de maintenance\SAP Maintenance 2022\procédure gestion des stratégies de planification .docx","procédure gestion des stratégies de planification .docx")</f>
        <v>procédure gestion des stratégies de planification .docx</v>
      </c>
    </row>
    <row r="5" spans="1:4" x14ac:dyDescent="0.3">
      <c r="A5" s="75" t="s">
        <v>442</v>
      </c>
      <c r="B5" s="75"/>
      <c r="C5" s="75"/>
      <c r="D5" s="75"/>
    </row>
    <row r="6" spans="1:4" x14ac:dyDescent="0.3">
      <c r="A6" s="73" t="str">
        <f>HYPERLINK("Q:\Maintenance\Formation méthodes de maintenance\SAP Maintenance 2022\Mode Opératoire\Création d'une gamme outils PETool.pptx","Création d'une gamme outils PETool.pptx")</f>
        <v>Création d'une gamme outils PETool.pptx</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92D050"/>
  </sheetPr>
  <dimension ref="A1:E16"/>
  <sheetViews>
    <sheetView showGridLines="0" workbookViewId="0">
      <selection activeCell="D30" sqref="D30"/>
    </sheetView>
  </sheetViews>
  <sheetFormatPr baseColWidth="10" defaultRowHeight="14.4" x14ac:dyDescent="0.3"/>
  <cols>
    <col min="1" max="1" width="20" customWidth="1"/>
    <col min="2" max="2" width="15.33203125" customWidth="1"/>
    <col min="4" max="4" width="13.109375" bestFit="1" customWidth="1"/>
    <col min="5" max="5" width="91.44140625" customWidth="1"/>
  </cols>
  <sheetData>
    <row r="1" spans="1:5" x14ac:dyDescent="0.3">
      <c r="A1" s="12" t="s">
        <v>65</v>
      </c>
      <c r="B1" s="12" t="s">
        <v>67</v>
      </c>
      <c r="C1" s="12" t="s">
        <v>68</v>
      </c>
      <c r="D1" s="12" t="s">
        <v>69</v>
      </c>
      <c r="E1" s="15" t="s">
        <v>60</v>
      </c>
    </row>
    <row r="2" spans="1:5" x14ac:dyDescent="0.3">
      <c r="A2" s="9" t="s">
        <v>66</v>
      </c>
      <c r="B2" s="10" t="s">
        <v>64</v>
      </c>
      <c r="C2" s="11">
        <v>44474</v>
      </c>
      <c r="D2" s="9" t="s">
        <v>70</v>
      </c>
      <c r="E2" s="14" t="s">
        <v>72</v>
      </c>
    </row>
    <row r="3" spans="1:5" x14ac:dyDescent="0.3">
      <c r="A3" s="9" t="s">
        <v>66</v>
      </c>
      <c r="B3" s="10" t="s">
        <v>64</v>
      </c>
      <c r="C3" s="11">
        <v>44475</v>
      </c>
      <c r="D3" s="9" t="s">
        <v>71</v>
      </c>
      <c r="E3" s="9" t="s">
        <v>73</v>
      </c>
    </row>
    <row r="4" spans="1:5" ht="100.8" x14ac:dyDescent="0.3">
      <c r="A4" s="19" t="s">
        <v>66</v>
      </c>
      <c r="B4" s="20" t="s">
        <v>64</v>
      </c>
      <c r="C4" s="21">
        <v>44489</v>
      </c>
      <c r="D4" s="19" t="s">
        <v>86</v>
      </c>
      <c r="E4" s="22" t="s">
        <v>98</v>
      </c>
    </row>
    <row r="5" spans="1:5" x14ac:dyDescent="0.3">
      <c r="A5" s="9" t="s">
        <v>66</v>
      </c>
      <c r="B5" s="10" t="s">
        <v>64</v>
      </c>
      <c r="C5" s="11">
        <v>44494</v>
      </c>
      <c r="D5" s="9" t="s">
        <v>86</v>
      </c>
      <c r="E5" s="9" t="s">
        <v>116</v>
      </c>
    </row>
    <row r="6" spans="1:5" x14ac:dyDescent="0.3">
      <c r="A6" s="9" t="s">
        <v>66</v>
      </c>
      <c r="B6" s="10" t="s">
        <v>64</v>
      </c>
      <c r="C6" s="11">
        <v>44504</v>
      </c>
      <c r="D6" s="9" t="s">
        <v>86</v>
      </c>
      <c r="E6" s="9" t="s">
        <v>123</v>
      </c>
    </row>
    <row r="7" spans="1:5" x14ac:dyDescent="0.3">
      <c r="A7" s="9"/>
      <c r="B7" s="9"/>
      <c r="C7" s="9"/>
      <c r="D7" s="9"/>
      <c r="E7" s="9"/>
    </row>
    <row r="8" spans="1:5" x14ac:dyDescent="0.3">
      <c r="A8" s="9"/>
      <c r="B8" s="9"/>
      <c r="C8" s="9"/>
      <c r="D8" s="9"/>
      <c r="E8" s="9"/>
    </row>
    <row r="9" spans="1:5" x14ac:dyDescent="0.3">
      <c r="A9" s="9"/>
      <c r="B9" s="9"/>
      <c r="C9" s="9"/>
      <c r="D9" s="9"/>
      <c r="E9" s="9"/>
    </row>
    <row r="10" spans="1:5" x14ac:dyDescent="0.3">
      <c r="A10" s="9"/>
      <c r="B10" s="9"/>
      <c r="C10" s="9"/>
      <c r="D10" s="9"/>
      <c r="E10" s="9"/>
    </row>
    <row r="11" spans="1:5" x14ac:dyDescent="0.3">
      <c r="A11" s="9"/>
      <c r="B11" s="9"/>
      <c r="C11" s="9"/>
      <c r="D11" s="9"/>
      <c r="E11" s="9"/>
    </row>
    <row r="12" spans="1:5" x14ac:dyDescent="0.3">
      <c r="A12" s="9"/>
      <c r="B12" s="9"/>
      <c r="C12" s="9"/>
      <c r="D12" s="9"/>
      <c r="E12" s="9"/>
    </row>
    <row r="13" spans="1:5" x14ac:dyDescent="0.3">
      <c r="A13" s="9"/>
      <c r="B13" s="9"/>
      <c r="C13" s="9"/>
      <c r="D13" s="9"/>
      <c r="E13" s="9"/>
    </row>
    <row r="14" spans="1:5" x14ac:dyDescent="0.3">
      <c r="A14" s="9"/>
      <c r="B14" s="9"/>
      <c r="C14" s="9"/>
      <c r="D14" s="9"/>
      <c r="E14" s="9"/>
    </row>
    <row r="15" spans="1:5" x14ac:dyDescent="0.3">
      <c r="A15" s="9"/>
      <c r="B15" s="9"/>
      <c r="C15" s="9"/>
      <c r="D15" s="9"/>
      <c r="E15" s="9"/>
    </row>
    <row r="16" spans="1:5" x14ac:dyDescent="0.3">
      <c r="A16" s="9"/>
      <c r="B16" s="9"/>
      <c r="C16" s="9"/>
      <c r="D16" s="9"/>
      <c r="E16" s="9"/>
    </row>
  </sheetData>
  <customSheetViews>
    <customSheetView guid="{CF0A3741-DD40-423F-97D7-0C00E4DC3A32}" showGridLines="0">
      <selection activeCell="D16" sqref="D16"/>
      <pageMargins left="0.7" right="0.7" top="0.75" bottom="0.75" header="0.3" footer="0.3"/>
    </customSheetView>
    <customSheetView guid="{850E940B-2428-4553-BF71-40EDCB2E1D07}" showGridLines="0">
      <selection activeCell="B4" sqref="B4"/>
      <pageMargins left="0.7" right="0.7" top="0.75" bottom="0.75" header="0.3" footer="0.3"/>
    </customSheetView>
    <customSheetView guid="{41F7FD2A-BA5B-4731-A557-2BD58F51B02E}" showGridLines="0">
      <selection activeCell="B4" sqref="B4"/>
      <pageMargins left="0.7" right="0.7" top="0.75" bottom="0.75" header="0.3" footer="0.3"/>
    </customSheetView>
    <customSheetView guid="{0EF03FB2-E8B1-47F2-9208-E204933E1F15}" showGridLines="0">
      <selection activeCell="B4" sqref="B4"/>
      <pageMargins left="0.7" right="0.7" top="0.75" bottom="0.75" header="0.3" footer="0.3"/>
    </customSheetView>
  </customSheetViews>
  <hyperlinks>
    <hyperlink ref="B2" r:id="rId1" xr:uid="{00000000-0004-0000-0200-000000000000}"/>
    <hyperlink ref="B3" r:id="rId2" xr:uid="{00000000-0004-0000-0200-000001000000}"/>
    <hyperlink ref="B4" r:id="rId3"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9"/>
  <dimension ref="A1:I29"/>
  <sheetViews>
    <sheetView workbookViewId="0">
      <selection activeCell="K22" sqref="K22"/>
    </sheetView>
  </sheetViews>
  <sheetFormatPr baseColWidth="10" defaultRowHeight="14.4" x14ac:dyDescent="0.3"/>
  <cols>
    <col min="2" max="2" width="17" customWidth="1"/>
    <col min="8" max="8" width="18.88671875" customWidth="1"/>
    <col min="9" max="9" width="26.6640625" customWidth="1"/>
  </cols>
  <sheetData>
    <row r="1" spans="1:9" s="71" customFormat="1" x14ac:dyDescent="0.3"/>
    <row r="2" spans="1:9" x14ac:dyDescent="0.3">
      <c r="A2" t="s">
        <v>38</v>
      </c>
      <c r="B2" t="s">
        <v>37</v>
      </c>
      <c r="C2" t="s">
        <v>42</v>
      </c>
      <c r="D2" t="s">
        <v>44</v>
      </c>
      <c r="E2" t="s">
        <v>47</v>
      </c>
      <c r="F2" t="s">
        <v>53</v>
      </c>
      <c r="G2" t="s">
        <v>43</v>
      </c>
      <c r="H2" t="s">
        <v>63</v>
      </c>
      <c r="I2" t="s">
        <v>118</v>
      </c>
    </row>
    <row r="3" spans="1:9" s="71" customFormat="1" x14ac:dyDescent="0.3"/>
    <row r="4" spans="1:9" x14ac:dyDescent="0.3">
      <c r="A4" t="s">
        <v>33</v>
      </c>
      <c r="B4" t="s">
        <v>62</v>
      </c>
      <c r="C4">
        <v>1</v>
      </c>
      <c r="D4" t="s">
        <v>45</v>
      </c>
      <c r="E4" t="s">
        <v>3</v>
      </c>
      <c r="F4" t="s">
        <v>1</v>
      </c>
      <c r="G4" t="s">
        <v>1</v>
      </c>
      <c r="I4" t="s">
        <v>134</v>
      </c>
    </row>
    <row r="5" spans="1:9" x14ac:dyDescent="0.3">
      <c r="A5" t="s">
        <v>35</v>
      </c>
      <c r="C5">
        <v>2</v>
      </c>
      <c r="D5" t="s">
        <v>46</v>
      </c>
      <c r="E5" t="s">
        <v>6</v>
      </c>
      <c r="F5" t="s">
        <v>2</v>
      </c>
      <c r="G5" t="s">
        <v>2</v>
      </c>
      <c r="I5" t="s">
        <v>436</v>
      </c>
    </row>
    <row r="6" spans="1:9" x14ac:dyDescent="0.3">
      <c r="A6" t="s">
        <v>447</v>
      </c>
      <c r="B6" t="s">
        <v>449</v>
      </c>
      <c r="C6">
        <v>3</v>
      </c>
      <c r="E6" t="s">
        <v>5</v>
      </c>
      <c r="G6" t="s">
        <v>54</v>
      </c>
      <c r="I6" t="s">
        <v>437</v>
      </c>
    </row>
    <row r="7" spans="1:9" x14ac:dyDescent="0.3">
      <c r="A7" t="s">
        <v>77</v>
      </c>
      <c r="B7" t="s">
        <v>444</v>
      </c>
      <c r="E7" t="s">
        <v>4</v>
      </c>
      <c r="I7" t="s">
        <v>438</v>
      </c>
    </row>
    <row r="8" spans="1:9" x14ac:dyDescent="0.3">
      <c r="A8" t="s">
        <v>448</v>
      </c>
      <c r="B8" t="s">
        <v>445</v>
      </c>
      <c r="E8" t="s">
        <v>48</v>
      </c>
      <c r="I8" t="s">
        <v>175</v>
      </c>
    </row>
    <row r="9" spans="1:9" x14ac:dyDescent="0.3">
      <c r="A9" t="s">
        <v>78</v>
      </c>
      <c r="E9" t="s">
        <v>49</v>
      </c>
      <c r="I9" t="s">
        <v>439</v>
      </c>
    </row>
    <row r="10" spans="1:9" x14ac:dyDescent="0.3">
      <c r="A10" t="s">
        <v>79</v>
      </c>
      <c r="E10" t="s">
        <v>50</v>
      </c>
      <c r="I10" t="s">
        <v>440</v>
      </c>
    </row>
    <row r="11" spans="1:9" x14ac:dyDescent="0.3">
      <c r="A11" t="s">
        <v>80</v>
      </c>
    </row>
    <row r="12" spans="1:9" x14ac:dyDescent="0.3">
      <c r="A12" t="s">
        <v>81</v>
      </c>
    </row>
    <row r="13" spans="1:9" x14ac:dyDescent="0.3">
      <c r="A13" t="s">
        <v>82</v>
      </c>
    </row>
    <row r="14" spans="1:9" x14ac:dyDescent="0.3">
      <c r="A14" t="s">
        <v>83</v>
      </c>
    </row>
    <row r="15" spans="1:9" x14ac:dyDescent="0.3">
      <c r="A15" t="s">
        <v>36</v>
      </c>
    </row>
    <row r="16" spans="1:9" x14ac:dyDescent="0.3">
      <c r="A16" t="s">
        <v>39</v>
      </c>
    </row>
    <row r="17" spans="1:1" x14ac:dyDescent="0.3">
      <c r="A17" t="s">
        <v>25</v>
      </c>
    </row>
    <row r="18" spans="1:1" x14ac:dyDescent="0.3">
      <c r="A18" t="s">
        <v>40</v>
      </c>
    </row>
    <row r="19" spans="1:1" x14ac:dyDescent="0.3">
      <c r="A19" t="s">
        <v>0</v>
      </c>
    </row>
    <row r="20" spans="1:1" x14ac:dyDescent="0.3">
      <c r="A20" t="s">
        <v>34</v>
      </c>
    </row>
    <row r="21" spans="1:1" x14ac:dyDescent="0.3">
      <c r="A21" t="s">
        <v>41</v>
      </c>
    </row>
    <row r="22" spans="1:1" x14ac:dyDescent="0.3">
      <c r="A22" t="s">
        <v>51</v>
      </c>
    </row>
    <row r="23" spans="1:1" x14ac:dyDescent="0.3">
      <c r="A23" t="s">
        <v>446</v>
      </c>
    </row>
    <row r="24" spans="1:1" x14ac:dyDescent="0.3">
      <c r="A24" t="s">
        <v>52</v>
      </c>
    </row>
    <row r="25" spans="1:1" x14ac:dyDescent="0.3">
      <c r="A25" t="s">
        <v>127</v>
      </c>
    </row>
    <row r="26" spans="1:1" x14ac:dyDescent="0.3">
      <c r="A26" t="s">
        <v>128</v>
      </c>
    </row>
    <row r="27" spans="1:1" x14ac:dyDescent="0.3">
      <c r="A27" t="s">
        <v>129</v>
      </c>
    </row>
    <row r="28" spans="1:1" x14ac:dyDescent="0.3">
      <c r="A28" t="s">
        <v>130</v>
      </c>
    </row>
    <row r="29" spans="1:1" x14ac:dyDescent="0.3">
      <c r="A29" t="s">
        <v>447</v>
      </c>
    </row>
  </sheetData>
  <sortState xmlns:xlrd2="http://schemas.microsoft.com/office/spreadsheetml/2017/richdata2" ref="I4:I11">
    <sortCondition ref="I4"/>
  </sortState>
  <customSheetViews>
    <customSheetView guid="{CF0A3741-DD40-423F-97D7-0C00E4DC3A32}">
      <selection activeCell="D20" sqref="D20"/>
      <pageMargins left="0.7" right="0.7" top="0.75" bottom="0.75" header="0.3" footer="0.3"/>
    </customSheetView>
    <customSheetView guid="{850E940B-2428-4553-BF71-40EDCB2E1D07}">
      <selection activeCell="D20" sqref="D20"/>
      <pageMargins left="0.7" right="0.7" top="0.75" bottom="0.75" header="0.3" footer="0.3"/>
    </customSheetView>
    <customSheetView guid="{41F7FD2A-BA5B-4731-A557-2BD58F51B02E}">
      <selection activeCell="D20" sqref="D20"/>
      <pageMargins left="0.7" right="0.7" top="0.75" bottom="0.75" header="0.3" footer="0.3"/>
    </customSheetView>
    <customSheetView guid="{0EF03FB2-E8B1-47F2-9208-E204933E1F15}">
      <selection activeCell="D20" sqref="D20"/>
      <pageMargins left="0.7" right="0.7" top="0.75" bottom="0.75" header="0.3" footer="0.3"/>
    </customSheetView>
  </customSheetView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0"/>
  <dimension ref="A1:D22"/>
  <sheetViews>
    <sheetView workbookViewId="0">
      <selection activeCell="B5" sqref="B5"/>
    </sheetView>
  </sheetViews>
  <sheetFormatPr baseColWidth="10" defaultRowHeight="14.4" x14ac:dyDescent="0.3"/>
  <cols>
    <col min="1" max="1" width="4.88671875" customWidth="1"/>
    <col min="2" max="2" width="149" bestFit="1" customWidth="1"/>
    <col min="3" max="3" width="20.6640625" customWidth="1"/>
  </cols>
  <sheetData>
    <row r="1" spans="1:4" x14ac:dyDescent="0.3">
      <c r="A1" s="27" t="s">
        <v>119</v>
      </c>
      <c r="B1" s="28"/>
      <c r="C1" s="27" t="s">
        <v>84</v>
      </c>
      <c r="D1" s="27" t="s">
        <v>126</v>
      </c>
    </row>
    <row r="2" spans="1:4" x14ac:dyDescent="0.3">
      <c r="A2" s="9"/>
      <c r="B2" s="73" t="s">
        <v>92</v>
      </c>
      <c r="C2" s="9" t="str">
        <f ca="1">'7.MNRJ'!A3</f>
        <v>7.MNRJ</v>
      </c>
      <c r="D2" s="9" t="s">
        <v>132</v>
      </c>
    </row>
    <row r="3" spans="1:4" x14ac:dyDescent="0.3">
      <c r="C3" s="23"/>
    </row>
    <row r="4" spans="1:4" x14ac:dyDescent="0.3">
      <c r="A4" s="27" t="s">
        <v>121</v>
      </c>
      <c r="B4" s="28"/>
    </row>
    <row r="5" spans="1:4" x14ac:dyDescent="0.3">
      <c r="A5" s="9"/>
      <c r="B5" t="s">
        <v>133</v>
      </c>
    </row>
    <row r="7" spans="1:4" x14ac:dyDescent="0.3">
      <c r="A7" s="27" t="s">
        <v>120</v>
      </c>
      <c r="B7" s="28"/>
    </row>
    <row r="8" spans="1:4" x14ac:dyDescent="0.3">
      <c r="A8" s="9"/>
      <c r="B8" s="74"/>
      <c r="C8" s="26" t="s">
        <v>122</v>
      </c>
    </row>
    <row r="10" spans="1:4" x14ac:dyDescent="0.3">
      <c r="A10" s="27" t="s">
        <v>93</v>
      </c>
      <c r="B10" s="28"/>
      <c r="C10" s="27" t="s">
        <v>117</v>
      </c>
    </row>
    <row r="11" spans="1:4" x14ac:dyDescent="0.3">
      <c r="A11" s="9"/>
      <c r="C11" s="9"/>
    </row>
    <row r="12" spans="1:4" x14ac:dyDescent="0.3">
      <c r="A12" s="9"/>
      <c r="B12" s="9"/>
      <c r="C12" s="9"/>
    </row>
    <row r="13" spans="1:4" ht="15.75" customHeight="1" x14ac:dyDescent="0.3">
      <c r="A13" s="9"/>
      <c r="B13" s="9"/>
      <c r="C13" s="9"/>
    </row>
    <row r="14" spans="1:4" x14ac:dyDescent="0.3">
      <c r="A14" s="9"/>
      <c r="B14" s="9"/>
      <c r="C14" s="9"/>
    </row>
    <row r="15" spans="1:4" x14ac:dyDescent="0.3">
      <c r="A15" s="9"/>
      <c r="B15" s="9"/>
      <c r="C15" s="9"/>
    </row>
    <row r="16" spans="1:4" x14ac:dyDescent="0.3">
      <c r="A16" s="9"/>
      <c r="B16" s="9"/>
      <c r="C16" s="9"/>
    </row>
    <row r="17" spans="1:3" x14ac:dyDescent="0.3">
      <c r="A17" s="9"/>
      <c r="B17" s="9"/>
      <c r="C17" s="9"/>
    </row>
    <row r="18" spans="1:3" x14ac:dyDescent="0.3">
      <c r="A18" s="9"/>
      <c r="B18" s="9"/>
      <c r="C18" s="9"/>
    </row>
    <row r="19" spans="1:3" x14ac:dyDescent="0.3">
      <c r="A19" s="9"/>
      <c r="B19" s="9"/>
      <c r="C19" s="9"/>
    </row>
    <row r="20" spans="1:3" x14ac:dyDescent="0.3">
      <c r="A20" s="9"/>
      <c r="B20" s="9"/>
      <c r="C20" s="9"/>
    </row>
    <row r="21" spans="1:3" x14ac:dyDescent="0.3">
      <c r="A21" s="9"/>
      <c r="B21" s="9"/>
      <c r="C21" s="9"/>
    </row>
    <row r="22" spans="1:3" x14ac:dyDescent="0.3">
      <c r="A22" s="9"/>
      <c r="B22" s="9"/>
      <c r="C22" s="9"/>
    </row>
  </sheetData>
  <hyperlinks>
    <hyperlink ref="B2" r:id="rId1" xr:uid="{00000000-0004-0000-04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outon1">
              <controlPr defaultSize="0" print="0" autoFill="0" autoPict="0" macro="[0]!Feuil20.CommandButton1">
                <anchor moveWithCells="1" sizeWithCells="1">
                  <from>
                    <xdr:col>0</xdr:col>
                    <xdr:colOff>22860</xdr:colOff>
                    <xdr:row>1</xdr:row>
                    <xdr:rowOff>7620</xdr:rowOff>
                  </from>
                  <to>
                    <xdr:col>0</xdr:col>
                    <xdr:colOff>289560</xdr:colOff>
                    <xdr:row>1</xdr:row>
                    <xdr:rowOff>182880</xdr:rowOff>
                  </to>
                </anchor>
              </controlPr>
            </control>
          </mc:Choice>
        </mc:AlternateContent>
        <mc:AlternateContent xmlns:mc="http://schemas.openxmlformats.org/markup-compatibility/2006">
          <mc:Choice Requires="x14">
            <control shapeId="23554" r:id="rId6" name="Bouton1">
              <controlPr defaultSize="0" print="0" autoFill="0" autoPict="0" macro="[0]!Feuil20.CommandButton3">
                <anchor moveWithCells="1" sizeWithCells="1">
                  <from>
                    <xdr:col>0</xdr:col>
                    <xdr:colOff>22860</xdr:colOff>
                    <xdr:row>7</xdr:row>
                    <xdr:rowOff>7620</xdr:rowOff>
                  </from>
                  <to>
                    <xdr:col>0</xdr:col>
                    <xdr:colOff>289560</xdr:colOff>
                    <xdr:row>7</xdr:row>
                    <xdr:rowOff>182880</xdr:rowOff>
                  </to>
                </anchor>
              </controlPr>
            </control>
          </mc:Choice>
        </mc:AlternateContent>
        <mc:AlternateContent xmlns:mc="http://schemas.openxmlformats.org/markup-compatibility/2006">
          <mc:Choice Requires="x14">
            <control shapeId="23555" r:id="rId7" name="Button 3">
              <controlPr defaultSize="0" print="0" autoFill="0" autoPict="0" macro="[0]!Feuil20.CommandButton4">
                <anchor moveWithCells="1" sizeWithCells="1">
                  <from>
                    <xdr:col>0</xdr:col>
                    <xdr:colOff>22860</xdr:colOff>
                    <xdr:row>10</xdr:row>
                    <xdr:rowOff>7620</xdr:rowOff>
                  </from>
                  <to>
                    <xdr:col>0</xdr:col>
                    <xdr:colOff>289560</xdr:colOff>
                    <xdr:row>10</xdr:row>
                    <xdr:rowOff>182880</xdr:rowOff>
                  </to>
                </anchor>
              </controlPr>
            </control>
          </mc:Choice>
        </mc:AlternateContent>
        <mc:AlternateContent xmlns:mc="http://schemas.openxmlformats.org/markup-compatibility/2006">
          <mc:Choice Requires="x14">
            <control shapeId="23556" r:id="rId8" name="Button 4">
              <controlPr defaultSize="0" print="0" autoFill="0" autoPict="0" macro="[0]!Feuil20.CommandButton5">
                <anchor moveWithCells="1" sizeWithCells="1">
                  <from>
                    <xdr:col>0</xdr:col>
                    <xdr:colOff>22860</xdr:colOff>
                    <xdr:row>11</xdr:row>
                    <xdr:rowOff>7620</xdr:rowOff>
                  </from>
                  <to>
                    <xdr:col>0</xdr:col>
                    <xdr:colOff>289560</xdr:colOff>
                    <xdr:row>11</xdr:row>
                    <xdr:rowOff>182880</xdr:rowOff>
                  </to>
                </anchor>
              </controlPr>
            </control>
          </mc:Choice>
        </mc:AlternateContent>
        <mc:AlternateContent xmlns:mc="http://schemas.openxmlformats.org/markup-compatibility/2006">
          <mc:Choice Requires="x14">
            <control shapeId="23558" r:id="rId9" name="Button 6">
              <controlPr defaultSize="0" print="0" autoFill="0" autoPict="0" macro="[0]!Feuil20.CommandButton2">
                <anchor moveWithCells="1" sizeWithCells="1">
                  <from>
                    <xdr:col>0</xdr:col>
                    <xdr:colOff>22860</xdr:colOff>
                    <xdr:row>4</xdr:row>
                    <xdr:rowOff>7620</xdr:rowOff>
                  </from>
                  <to>
                    <xdr:col>0</xdr:col>
                    <xdr:colOff>289560</xdr:colOff>
                    <xdr:row>4</xdr:row>
                    <xdr:rowOff>182880</xdr:rowOff>
                  </to>
                </anchor>
              </controlPr>
            </control>
          </mc:Choice>
        </mc:AlternateContent>
        <mc:AlternateContent xmlns:mc="http://schemas.openxmlformats.org/markup-compatibility/2006">
          <mc:Choice Requires="x14">
            <control shapeId="23560" r:id="rId10" name="Button 8">
              <controlPr defaultSize="0" print="0" autoFill="0" autoPict="0" macro="[0]!Feuil20.CommandButton6">
                <anchor moveWithCells="1" sizeWithCells="1">
                  <from>
                    <xdr:col>0</xdr:col>
                    <xdr:colOff>22860</xdr:colOff>
                    <xdr:row>12</xdr:row>
                    <xdr:rowOff>7620</xdr:rowOff>
                  </from>
                  <to>
                    <xdr:col>0</xdr:col>
                    <xdr:colOff>289560</xdr:colOff>
                    <xdr:row>12</xdr:row>
                    <xdr:rowOff>182880</xdr:rowOff>
                  </to>
                </anchor>
              </controlPr>
            </control>
          </mc:Choice>
        </mc:AlternateContent>
        <mc:AlternateContent xmlns:mc="http://schemas.openxmlformats.org/markup-compatibility/2006">
          <mc:Choice Requires="x14">
            <control shapeId="23561" r:id="rId11" name="Button 9">
              <controlPr defaultSize="0" print="0" autoFill="0" autoPict="0" macro="[0]!Feuil20.CommandButton7">
                <anchor moveWithCells="1" sizeWithCells="1">
                  <from>
                    <xdr:col>0</xdr:col>
                    <xdr:colOff>22860</xdr:colOff>
                    <xdr:row>13</xdr:row>
                    <xdr:rowOff>7620</xdr:rowOff>
                  </from>
                  <to>
                    <xdr:col>0</xdr:col>
                    <xdr:colOff>289560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list!$B$3:$B$11</xm:f>
          </x14:formula1>
          <xm:sqref>C11:C22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tabColor rgb="FF00B0F0"/>
    <pageSetUpPr autoPageBreaks="0" fitToPage="1"/>
  </sheetPr>
  <dimension ref="A1:AD1001"/>
  <sheetViews>
    <sheetView tabSelected="1" topLeftCell="D1" zoomScaleNormal="100" workbookViewId="0">
      <pane ySplit="2" topLeftCell="A3" activePane="bottomLeft" state="frozenSplit"/>
      <selection pane="bottomLeft" activeCell="P28" sqref="P28"/>
    </sheetView>
  </sheetViews>
  <sheetFormatPr baseColWidth="10" defaultColWidth="9.109375" defaultRowHeight="14.4" x14ac:dyDescent="0.3"/>
  <cols>
    <col min="1" max="1" width="7.5546875" style="52" hidden="1" customWidth="1"/>
    <col min="2" max="2" width="5" style="52" hidden="1" customWidth="1"/>
    <col min="3" max="3" width="4.109375" style="32" hidden="1" customWidth="1"/>
    <col min="4" max="4" width="20.6640625" style="32" bestFit="1" customWidth="1"/>
    <col min="5" max="5" width="6.44140625" style="32" customWidth="1"/>
    <col min="6" max="6" width="13.6640625" style="32" customWidth="1"/>
    <col min="7" max="7" width="40.33203125" style="32" bestFit="1" customWidth="1"/>
    <col min="8" max="9" width="9.6640625" style="32" customWidth="1"/>
    <col min="10" max="10" width="10.109375" style="32" customWidth="1"/>
    <col min="11" max="11" width="8" style="32" customWidth="1"/>
    <col min="12" max="12" width="7.5546875" style="32" customWidth="1"/>
    <col min="13" max="13" width="57.44140625" style="32" bestFit="1" customWidth="1"/>
    <col min="14" max="14" width="11.88671875" style="32" customWidth="1"/>
    <col min="15" max="15" width="7.6640625" style="32" customWidth="1"/>
    <col min="16" max="16" width="9.6640625" style="32" customWidth="1"/>
    <col min="17" max="17" width="7.5546875" style="32" customWidth="1"/>
    <col min="18" max="18" width="7.44140625" style="32" customWidth="1"/>
    <col min="19" max="19" width="13.33203125" style="53" bestFit="1" customWidth="1"/>
    <col min="20" max="20" width="9.44140625" style="53" customWidth="1"/>
    <col min="21" max="21" width="9" style="32" customWidth="1"/>
    <col min="22" max="22" width="15.5546875" style="32" customWidth="1"/>
    <col min="23" max="23" width="8.44140625" style="47" hidden="1" customWidth="1"/>
    <col min="24" max="25" width="6.109375" style="32" customWidth="1"/>
    <col min="26" max="26" width="12.33203125" style="32" hidden="1" customWidth="1"/>
    <col min="27" max="27" width="11.88671875" style="54" bestFit="1" customWidth="1"/>
    <col min="28" max="28" width="12.33203125" style="54" customWidth="1"/>
    <col min="29" max="29" width="9.6640625" style="32" hidden="1" customWidth="1"/>
    <col min="30" max="30" width="40.44140625" style="32" hidden="1" customWidth="1"/>
    <col min="31" max="38" width="9.109375" style="32"/>
    <col min="39" max="39" width="10.6640625" style="32" bestFit="1" customWidth="1"/>
    <col min="40" max="16384" width="9.109375" style="32"/>
  </cols>
  <sheetData>
    <row r="1" spans="1:30" ht="41.25" customHeight="1" x14ac:dyDescent="0.3">
      <c r="A1" s="57"/>
      <c r="B1" s="29"/>
      <c r="C1" s="29"/>
      <c r="D1" s="29"/>
      <c r="E1" s="29"/>
      <c r="F1" s="29"/>
      <c r="G1" s="29"/>
      <c r="H1" s="29"/>
      <c r="I1" s="29"/>
      <c r="J1" s="29"/>
      <c r="K1" s="29"/>
      <c r="L1" s="29"/>
      <c r="M1" s="30" t="s">
        <v>11</v>
      </c>
      <c r="N1" s="29"/>
      <c r="O1" s="29"/>
      <c r="P1" s="29"/>
      <c r="Q1" s="29"/>
      <c r="R1" s="29"/>
      <c r="S1" s="31"/>
      <c r="T1" s="30"/>
      <c r="U1" s="95" t="s">
        <v>55</v>
      </c>
      <c r="V1" s="96"/>
      <c r="W1" s="96"/>
      <c r="X1" s="96"/>
      <c r="Y1" s="96"/>
      <c r="Z1" s="97"/>
      <c r="AA1" s="98" t="s">
        <v>58</v>
      </c>
      <c r="AB1" s="99"/>
    </row>
    <row r="2" spans="1:30" s="40" customFormat="1" ht="72" x14ac:dyDescent="0.3">
      <c r="A2" s="33" t="s">
        <v>84</v>
      </c>
      <c r="B2" s="33" t="s">
        <v>87</v>
      </c>
      <c r="C2" s="33" t="s">
        <v>89</v>
      </c>
      <c r="D2" s="67" t="s">
        <v>90</v>
      </c>
      <c r="E2" s="67" t="s">
        <v>96</v>
      </c>
      <c r="F2" s="68" t="s">
        <v>27</v>
      </c>
      <c r="G2" s="68" t="s">
        <v>26</v>
      </c>
      <c r="H2" s="34" t="s">
        <v>85</v>
      </c>
      <c r="I2" s="34" t="s">
        <v>28</v>
      </c>
      <c r="J2" s="34" t="s">
        <v>124</v>
      </c>
      <c r="K2" s="34" t="s">
        <v>125</v>
      </c>
      <c r="L2" s="68" t="s">
        <v>29</v>
      </c>
      <c r="M2" s="68" t="s">
        <v>31</v>
      </c>
      <c r="N2" s="68" t="s">
        <v>30</v>
      </c>
      <c r="O2" s="34" t="s">
        <v>32</v>
      </c>
      <c r="P2" s="34" t="s">
        <v>8</v>
      </c>
      <c r="Q2" s="34" t="s">
        <v>9</v>
      </c>
      <c r="R2" s="72" t="s">
        <v>10</v>
      </c>
      <c r="S2" s="69" t="s">
        <v>74</v>
      </c>
      <c r="T2" s="35" t="s">
        <v>91</v>
      </c>
      <c r="U2" s="36" t="s">
        <v>97</v>
      </c>
      <c r="V2" s="36" t="s">
        <v>88</v>
      </c>
      <c r="W2" s="33" t="s">
        <v>22</v>
      </c>
      <c r="X2" s="70" t="s">
        <v>23</v>
      </c>
      <c r="Y2" s="70" t="s">
        <v>24</v>
      </c>
      <c r="Z2" s="33" t="s">
        <v>12</v>
      </c>
      <c r="AA2" s="37" t="s">
        <v>61</v>
      </c>
      <c r="AB2" s="38" t="s">
        <v>59</v>
      </c>
      <c r="AC2" s="39" t="s">
        <v>94</v>
      </c>
      <c r="AD2" s="39" t="s">
        <v>95</v>
      </c>
    </row>
    <row r="3" spans="1:30" x14ac:dyDescent="0.3">
      <c r="A3" s="41" t="str">
        <f t="shared" ref="A3:A66" ca="1" si="0">MID(CELL("filename",$A$1),FIND("]",CELL("filename",$A$1))+1,32)</f>
        <v>7.MNRJ</v>
      </c>
      <c r="B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 s="43"/>
      <c r="D3" s="41" t="s">
        <v>134</v>
      </c>
      <c r="E3" s="41" t="s">
        <v>135</v>
      </c>
      <c r="F3" s="41" t="s">
        <v>136</v>
      </c>
      <c r="G3" s="41" t="s">
        <v>137</v>
      </c>
      <c r="H3" s="48">
        <v>33601</v>
      </c>
      <c r="I3" s="48">
        <v>67590</v>
      </c>
      <c r="J3" s="48" t="s">
        <v>252</v>
      </c>
      <c r="K3" s="48">
        <v>1</v>
      </c>
      <c r="L3" s="43" t="s">
        <v>82</v>
      </c>
      <c r="M3" s="41" t="s">
        <v>255</v>
      </c>
      <c r="N3" s="43" t="s">
        <v>444</v>
      </c>
      <c r="O3" s="43"/>
      <c r="P3" s="44"/>
      <c r="Q3" s="43"/>
      <c r="R3" s="43" t="s">
        <v>2</v>
      </c>
      <c r="S3" s="45">
        <v>44228</v>
      </c>
      <c r="T3" s="58"/>
      <c r="U3" s="58" t="str">
        <f ca="1">IF(Tableau1[[#This Row],[Date rév.]]="","",HYPERLINK(Tableau1[[#This Row],[Lien document]],"X"))</f>
        <v>X</v>
      </c>
      <c r="V3" s="44"/>
      <c r="W3"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3" s="44">
        <v>4</v>
      </c>
      <c r="Y3" s="44">
        <v>1</v>
      </c>
      <c r="Z3" s="41" t="str">
        <f ca="1">IF(AND(Tableau1[[#This Row],[Charge]]&lt;&gt;0, Tableau1[[#This Row],[Nombre intervenants]]&lt;&gt;0,Tableau1[[#This Row],[Lien document]]&lt;&gt;0,Tableau1[[#This Row],[DMS_SAP]]&lt;&gt;0)=TRUE,"MIS A JOUR","")</f>
        <v/>
      </c>
      <c r="AA3" s="45">
        <v>44228</v>
      </c>
      <c r="AB3" s="55">
        <f ca="1">IF(Tableau1[[#This Row],[Date rév.]]&lt;&gt;"", DAYS360(Tableau1[[#This Row],[Date rév.]],TODAY()),"")</f>
        <v>2034</v>
      </c>
      <c r="AC3" s="47">
        <f>IFERROR(INDEX(Chemin_accès!$B$11:$C$22,MATCH(Tableau1[[#This Row],[Type]],Chemin_accès!$C$11:$C$22,0),1),Chemin_accès!$B$11)</f>
        <v>0</v>
      </c>
      <c r="AD3" s="47" t="str">
        <f>Chemin_accès!$B$8&amp;Tableau1[[#This Row],[Localisation / Classement]]&amp;"\"&amp;Tableau1[[#This Row],[Poste technique]]&amp;"_"&amp;Tableau1[[#This Row],[Plan Entretien]]&amp;".xlsm"</f>
        <v>SOUS-STATION\T040_33601.xlsm</v>
      </c>
    </row>
    <row r="4" spans="1:30" x14ac:dyDescent="0.3">
      <c r="A4" s="41" t="str">
        <f t="shared" ca="1" si="0"/>
        <v>7.MNRJ</v>
      </c>
      <c r="B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 s="48"/>
      <c r="D4" s="41" t="s">
        <v>134</v>
      </c>
      <c r="E4" s="41" t="s">
        <v>135</v>
      </c>
      <c r="F4" s="44" t="s">
        <v>136</v>
      </c>
      <c r="G4" s="44" t="s">
        <v>137</v>
      </c>
      <c r="H4" s="48">
        <v>33601</v>
      </c>
      <c r="I4" s="48">
        <v>67592</v>
      </c>
      <c r="J4" s="48" t="s">
        <v>252</v>
      </c>
      <c r="K4" s="48">
        <v>3</v>
      </c>
      <c r="L4" s="43" t="s">
        <v>82</v>
      </c>
      <c r="M4" s="41" t="s">
        <v>256</v>
      </c>
      <c r="N4" s="43" t="s">
        <v>62</v>
      </c>
      <c r="O4" s="43"/>
      <c r="P4" s="44"/>
      <c r="Q4" s="43"/>
      <c r="R4" s="43" t="s">
        <v>2</v>
      </c>
      <c r="S4" s="45">
        <v>44228</v>
      </c>
      <c r="T4" s="58"/>
      <c r="U4" s="58" t="str">
        <f ca="1">IF(Tableau1[[#This Row],[Date rév.]]="","",HYPERLINK(Tableau1[[#This Row],[Lien document]],"X"))</f>
        <v>X</v>
      </c>
      <c r="V4" s="44"/>
      <c r="W4"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4" s="44">
        <v>32</v>
      </c>
      <c r="Y4" s="44">
        <v>2</v>
      </c>
      <c r="Z4" s="41" t="str">
        <f ca="1">IF(AND(Tableau1[[#This Row],[Charge]]&lt;&gt;0, Tableau1[[#This Row],[Nombre intervenants]]&lt;&gt;0,Tableau1[[#This Row],[Lien document]]&lt;&gt;0,Tableau1[[#This Row],[DMS_SAP]]&lt;&gt;0)=TRUE,"MIS A JOUR","")</f>
        <v/>
      </c>
      <c r="AA4" s="45">
        <v>44228</v>
      </c>
      <c r="AB4" s="55">
        <f ca="1">IF(Tableau1[[#This Row],[Date rév.]]&lt;&gt;"", DAYS360(Tableau1[[#This Row],[Date rév.]],TODAY()),"")</f>
        <v>2034</v>
      </c>
      <c r="AC4" s="47">
        <f>IFERROR(INDEX(Chemin_accès!$B$11:$C$22,MATCH(Tableau1[[#This Row],[Type]],Chemin_accès!$C$11:$C$22,0),1),Chemin_accès!$B$11)</f>
        <v>0</v>
      </c>
      <c r="AD4" s="47" t="str">
        <f>Chemin_accès!$B$8&amp;Tableau1[[#This Row],[Localisation / Classement]]&amp;"\"&amp;Tableau1[[#This Row],[Poste technique]]&amp;"_"&amp;Tableau1[[#This Row],[Plan Entretien]]&amp;".xlsm"</f>
        <v>SOUS-STATION\T040_33601.xlsm</v>
      </c>
    </row>
    <row r="5" spans="1:30" x14ac:dyDescent="0.3">
      <c r="A5" s="41" t="str">
        <f t="shared" ca="1" si="0"/>
        <v>7.MNRJ</v>
      </c>
      <c r="B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 s="48"/>
      <c r="D5" s="41" t="s">
        <v>134</v>
      </c>
      <c r="E5" s="41" t="s">
        <v>135</v>
      </c>
      <c r="F5" s="41" t="s">
        <v>136</v>
      </c>
      <c r="G5" s="41" t="s">
        <v>137</v>
      </c>
      <c r="H5" s="48">
        <v>33601</v>
      </c>
      <c r="I5" s="48">
        <v>67595</v>
      </c>
      <c r="J5" s="48" t="s">
        <v>252</v>
      </c>
      <c r="K5" s="48">
        <v>6</v>
      </c>
      <c r="L5" s="43" t="s">
        <v>82</v>
      </c>
      <c r="M5" s="41" t="s">
        <v>257</v>
      </c>
      <c r="N5" s="43" t="s">
        <v>443</v>
      </c>
      <c r="O5" s="43"/>
      <c r="P5" s="44"/>
      <c r="Q5" s="43"/>
      <c r="R5" s="43" t="s">
        <v>2</v>
      </c>
      <c r="S5" s="45">
        <v>44228</v>
      </c>
      <c r="T5" s="58"/>
      <c r="U5" s="58" t="str">
        <f ca="1">IF(Tableau1[[#This Row],[Date rév.]]="","",HYPERLINK(Tableau1[[#This Row],[Lien document]],"X"))</f>
        <v>X</v>
      </c>
      <c r="V5" s="44"/>
      <c r="W5"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5" s="44">
        <v>4</v>
      </c>
      <c r="Y5" s="44">
        <v>1</v>
      </c>
      <c r="Z5" s="41" t="str">
        <f ca="1">IF(AND(Tableau1[[#This Row],[Charge]]&lt;&gt;0, Tableau1[[#This Row],[Nombre intervenants]]&lt;&gt;0,Tableau1[[#This Row],[Lien document]]&lt;&gt;0,Tableau1[[#This Row],[DMS_SAP]]&lt;&gt;0)=TRUE,"MIS A JOUR","")</f>
        <v/>
      </c>
      <c r="AA5" s="45">
        <v>44228</v>
      </c>
      <c r="AB5" s="55">
        <f ca="1">IF(Tableau1[[#This Row],[Date rév.]]&lt;&gt;"", DAYS360(Tableau1[[#This Row],[Date rév.]],TODAY()),"")</f>
        <v>2034</v>
      </c>
      <c r="AC5" s="47">
        <f>IFERROR(INDEX(Chemin_accès!$B$11:$C$22,MATCH(Tableau1[[#This Row],[Type]],Chemin_accès!$C$11:$C$22,0),1),Chemin_accès!$B$11)</f>
        <v>0</v>
      </c>
      <c r="AD5" s="47" t="str">
        <f>Chemin_accès!$B$8&amp;Tableau1[[#This Row],[Localisation / Classement]]&amp;"\"&amp;Tableau1[[#This Row],[Poste technique]]&amp;"_"&amp;Tableau1[[#This Row],[Plan Entretien]]&amp;".xlsm"</f>
        <v>SOUS-STATION\T040_33601.xlsm</v>
      </c>
    </row>
    <row r="6" spans="1:30" x14ac:dyDescent="0.3">
      <c r="A6" s="41" t="str">
        <f t="shared" ca="1" si="0"/>
        <v>7.MNRJ</v>
      </c>
      <c r="B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 s="48"/>
      <c r="D6" s="41" t="s">
        <v>134</v>
      </c>
      <c r="E6" s="41" t="s">
        <v>135</v>
      </c>
      <c r="F6" s="41" t="s">
        <v>136</v>
      </c>
      <c r="G6" s="44" t="s">
        <v>137</v>
      </c>
      <c r="H6" s="48">
        <v>33601</v>
      </c>
      <c r="I6" s="48">
        <v>67596</v>
      </c>
      <c r="J6" s="48" t="s">
        <v>252</v>
      </c>
      <c r="K6" s="48">
        <v>7</v>
      </c>
      <c r="L6" s="43" t="s">
        <v>82</v>
      </c>
      <c r="M6" s="41" t="s">
        <v>258</v>
      </c>
      <c r="N6" s="43" t="s">
        <v>443</v>
      </c>
      <c r="O6" s="43"/>
      <c r="P6" s="44"/>
      <c r="Q6" s="43"/>
      <c r="R6" s="43" t="s">
        <v>2</v>
      </c>
      <c r="S6" s="45">
        <v>44228</v>
      </c>
      <c r="T6" s="58"/>
      <c r="U6" s="58" t="str">
        <f>IF(Tableau1[[#This Row],[Date rév.]]="","",HYPERLINK(Tableau1[[#This Row],[Lien document]],"X"))</f>
        <v/>
      </c>
      <c r="V6" s="44"/>
      <c r="W6"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6" s="44">
        <v>4</v>
      </c>
      <c r="Y6" s="44">
        <v>1</v>
      </c>
      <c r="Z6" s="41" t="str">
        <f ca="1">IF(AND(Tableau1[[#This Row],[Charge]]&lt;&gt;0, Tableau1[[#This Row],[Nombre intervenants]]&lt;&gt;0,Tableau1[[#This Row],[Lien document]]&lt;&gt;0,Tableau1[[#This Row],[DMS_SAP]]&lt;&gt;0)=TRUE,"MIS A JOUR","")</f>
        <v/>
      </c>
      <c r="AA6" s="45"/>
      <c r="AB6" s="55" t="str">
        <f ca="1">IF(Tableau1[[#This Row],[Date rév.]]&lt;&gt;"", DAYS360(Tableau1[[#This Row],[Date rév.]],TODAY()),"")</f>
        <v/>
      </c>
      <c r="AC6" s="47">
        <f>IFERROR(INDEX(Chemin_accès!$B$11:$C$22,MATCH(Tableau1[[#This Row],[Type]],Chemin_accès!$C$11:$C$22,0),1),Chemin_accès!$B$11)</f>
        <v>0</v>
      </c>
      <c r="AD6" s="47" t="str">
        <f>Chemin_accès!$B$8&amp;Tableau1[[#This Row],[Localisation / Classement]]&amp;"\"&amp;Tableau1[[#This Row],[Poste technique]]&amp;"_"&amp;Tableau1[[#This Row],[Plan Entretien]]&amp;".xlsm"</f>
        <v>SOUS-STATION\T040_33601.xlsm</v>
      </c>
    </row>
    <row r="7" spans="1:30" x14ac:dyDescent="0.3">
      <c r="A7" s="41" t="str">
        <f t="shared" ca="1" si="0"/>
        <v>7.MNRJ</v>
      </c>
      <c r="B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 s="48"/>
      <c r="D7" s="41" t="s">
        <v>134</v>
      </c>
      <c r="E7" s="41" t="s">
        <v>135</v>
      </c>
      <c r="F7" s="44" t="s">
        <v>136</v>
      </c>
      <c r="G7" s="44" t="s">
        <v>137</v>
      </c>
      <c r="H7" s="48">
        <v>33601</v>
      </c>
      <c r="I7" s="48">
        <v>67597</v>
      </c>
      <c r="J7" s="48" t="s">
        <v>252</v>
      </c>
      <c r="K7" s="48">
        <v>8</v>
      </c>
      <c r="L7" s="43" t="s">
        <v>82</v>
      </c>
      <c r="M7" s="41" t="s">
        <v>259</v>
      </c>
      <c r="N7" s="43" t="s">
        <v>62</v>
      </c>
      <c r="O7" s="43"/>
      <c r="P7" s="44"/>
      <c r="Q7" s="43"/>
      <c r="R7" s="43" t="s">
        <v>2</v>
      </c>
      <c r="S7" s="45">
        <v>44228</v>
      </c>
      <c r="T7" s="58"/>
      <c r="U7" s="58" t="str">
        <f>IF(Tableau1[[#This Row],[Date rév.]]="","",HYPERLINK(Tableau1[[#This Row],[Lien document]],"X"))</f>
        <v/>
      </c>
      <c r="V7" s="44"/>
      <c r="W7"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7" s="44">
        <v>24</v>
      </c>
      <c r="Y7" s="44">
        <v>3</v>
      </c>
      <c r="Z7" s="41" t="str">
        <f ca="1">IF(AND(Tableau1[[#This Row],[Charge]]&lt;&gt;0, Tableau1[[#This Row],[Nombre intervenants]]&lt;&gt;0,Tableau1[[#This Row],[Lien document]]&lt;&gt;0,Tableau1[[#This Row],[DMS_SAP]]&lt;&gt;0)=TRUE,"MIS A JOUR","")</f>
        <v/>
      </c>
      <c r="AA7" s="45"/>
      <c r="AB7" s="55" t="str">
        <f ca="1">IF(Tableau1[[#This Row],[Date rév.]]&lt;&gt;"", DAYS360(Tableau1[[#This Row],[Date rév.]],TODAY()),"")</f>
        <v/>
      </c>
      <c r="AC7" s="47">
        <f>IFERROR(INDEX(Chemin_accès!$B$11:$C$22,MATCH(Tableau1[[#This Row],[Type]],Chemin_accès!$C$11:$C$22,0),1),Chemin_accès!$B$11)</f>
        <v>0</v>
      </c>
      <c r="AD7" s="47" t="str">
        <f>Chemin_accès!$B$8&amp;Tableau1[[#This Row],[Localisation / Classement]]&amp;"\"&amp;Tableau1[[#This Row],[Poste technique]]&amp;"_"&amp;Tableau1[[#This Row],[Plan Entretien]]&amp;".xlsm"</f>
        <v>SOUS-STATION\T040_33601.xlsm</v>
      </c>
    </row>
    <row r="8" spans="1:30" x14ac:dyDescent="0.3">
      <c r="A8" s="41" t="str">
        <f t="shared" ca="1" si="0"/>
        <v>7.MNRJ</v>
      </c>
      <c r="B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 s="48"/>
      <c r="D8" s="41" t="s">
        <v>134</v>
      </c>
      <c r="E8" s="41" t="s">
        <v>135</v>
      </c>
      <c r="F8" s="44" t="s">
        <v>136</v>
      </c>
      <c r="G8" s="44" t="s">
        <v>137</v>
      </c>
      <c r="H8" s="48">
        <v>33601</v>
      </c>
      <c r="I8" s="48">
        <v>67598</v>
      </c>
      <c r="J8" s="48" t="s">
        <v>252</v>
      </c>
      <c r="K8" s="48">
        <v>9</v>
      </c>
      <c r="L8" s="43" t="s">
        <v>80</v>
      </c>
      <c r="M8" s="41" t="s">
        <v>260</v>
      </c>
      <c r="N8" s="43" t="s">
        <v>444</v>
      </c>
      <c r="O8" s="43"/>
      <c r="P8" s="44"/>
      <c r="Q8" s="43"/>
      <c r="R8" s="43" t="s">
        <v>2</v>
      </c>
      <c r="S8" s="45">
        <v>44228</v>
      </c>
      <c r="T8" s="58"/>
      <c r="U8" s="58" t="str">
        <f>IF(Tableau1[[#This Row],[Date rév.]]="","",HYPERLINK(Tableau1[[#This Row],[Lien document]],"X"))</f>
        <v/>
      </c>
      <c r="V8" s="44"/>
      <c r="W8"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8" s="44">
        <v>4</v>
      </c>
      <c r="Y8" s="44">
        <v>1</v>
      </c>
      <c r="Z8" s="41" t="str">
        <f ca="1">IF(AND(Tableau1[[#This Row],[Charge]]&lt;&gt;0, Tableau1[[#This Row],[Nombre intervenants]]&lt;&gt;0,Tableau1[[#This Row],[Lien document]]&lt;&gt;0,Tableau1[[#This Row],[DMS_SAP]]&lt;&gt;0)=TRUE,"MIS A JOUR","")</f>
        <v/>
      </c>
      <c r="AA8" s="45"/>
      <c r="AB8" s="55" t="str">
        <f ca="1">IF(Tableau1[[#This Row],[Date rév.]]&lt;&gt;"", DAYS360(Tableau1[[#This Row],[Date rév.]],TODAY()),"")</f>
        <v/>
      </c>
      <c r="AC8" s="47">
        <f>IFERROR(INDEX(Chemin_accès!$B$11:$C$22,MATCH(Tableau1[[#This Row],[Type]],Chemin_accès!$C$11:$C$22,0),1),Chemin_accès!$B$11)</f>
        <v>0</v>
      </c>
      <c r="AD8" s="47" t="str">
        <f>Chemin_accès!$B$8&amp;Tableau1[[#This Row],[Localisation / Classement]]&amp;"\"&amp;Tableau1[[#This Row],[Poste technique]]&amp;"_"&amp;Tableau1[[#This Row],[Plan Entretien]]&amp;".xlsm"</f>
        <v>SOUS-STATION\T040_33601.xlsm</v>
      </c>
    </row>
    <row r="9" spans="1:30" x14ac:dyDescent="0.3">
      <c r="A9" s="41" t="str">
        <f t="shared" ca="1" si="0"/>
        <v>7.MNRJ</v>
      </c>
      <c r="B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 s="48"/>
      <c r="D9" s="41" t="s">
        <v>134</v>
      </c>
      <c r="E9" s="41" t="s">
        <v>135</v>
      </c>
      <c r="F9" s="41" t="s">
        <v>136</v>
      </c>
      <c r="G9" s="41" t="s">
        <v>137</v>
      </c>
      <c r="H9" s="48">
        <v>33601</v>
      </c>
      <c r="I9" s="48">
        <v>67599</v>
      </c>
      <c r="J9" s="48" t="s">
        <v>252</v>
      </c>
      <c r="K9" s="48">
        <v>10</v>
      </c>
      <c r="L9" s="43" t="s">
        <v>82</v>
      </c>
      <c r="M9" s="41" t="s">
        <v>261</v>
      </c>
      <c r="N9" s="43" t="s">
        <v>62</v>
      </c>
      <c r="O9" s="43"/>
      <c r="P9" s="44"/>
      <c r="Q9" s="43"/>
      <c r="R9" s="43" t="s">
        <v>2</v>
      </c>
      <c r="S9" s="45">
        <v>44228</v>
      </c>
      <c r="T9" s="58" t="str">
        <f>IF(Tableau1[[#This Row],[DMS_SAP]]="","",HYPERLINK(Tableau1[[#This Row],[Chemin fichier source]],"X"))</f>
        <v/>
      </c>
      <c r="U9" s="58" t="str">
        <f>IF(Tableau1[[#This Row],[Date rév.]]="","",HYPERLINK(Tableau1[[#This Row],[Lien document]],"X"))</f>
        <v/>
      </c>
      <c r="V9" s="44"/>
      <c r="W9"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9" s="44">
        <v>8</v>
      </c>
      <c r="Y9" s="44">
        <v>1</v>
      </c>
      <c r="Z9" s="41" t="str">
        <f ca="1">IF(AND(Tableau1[[#This Row],[Charge]]&lt;&gt;0, Tableau1[[#This Row],[Nombre intervenants]]&lt;&gt;0,Tableau1[[#This Row],[Lien document]]&lt;&gt;0,Tableau1[[#This Row],[DMS_SAP]]&lt;&gt;0)=TRUE,"MIS A JOUR","")</f>
        <v/>
      </c>
      <c r="AA9" s="45"/>
      <c r="AB9" s="55" t="str">
        <f ca="1">IF(Tableau1[[#This Row],[Date rév.]]&lt;&gt;"", DAYS360(Tableau1[[#This Row],[Date rév.]],TODAY()),"")</f>
        <v/>
      </c>
      <c r="AC9" s="47">
        <f>IFERROR(INDEX(Chemin_accès!$B$11:$C$22,MATCH(Tableau1[[#This Row],[Type]],Chemin_accès!$C$11:$C$22,0),1),Chemin_accès!$B$11)</f>
        <v>0</v>
      </c>
      <c r="AD9" s="47" t="str">
        <f>Chemin_accès!$B$8&amp;Tableau1[[#This Row],[Localisation / Classement]]&amp;"\"&amp;Tableau1[[#This Row],[Poste technique]]&amp;"_"&amp;Tableau1[[#This Row],[Plan Entretien]]&amp;".xlsm"</f>
        <v>SOUS-STATION\T040_33601.xlsm</v>
      </c>
    </row>
    <row r="10" spans="1:30" x14ac:dyDescent="0.3">
      <c r="A10" s="41" t="str">
        <f t="shared" ca="1" si="0"/>
        <v>7.MNRJ</v>
      </c>
      <c r="B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 s="48"/>
      <c r="D10" s="41" t="s">
        <v>134</v>
      </c>
      <c r="E10" s="41" t="s">
        <v>135</v>
      </c>
      <c r="F10" s="44" t="s">
        <v>136</v>
      </c>
      <c r="G10" s="44" t="s">
        <v>137</v>
      </c>
      <c r="H10" s="48">
        <v>33601</v>
      </c>
      <c r="I10" s="63">
        <v>67600</v>
      </c>
      <c r="J10" s="48" t="s">
        <v>252</v>
      </c>
      <c r="K10" s="48">
        <v>11</v>
      </c>
      <c r="L10" s="43" t="s">
        <v>77</v>
      </c>
      <c r="M10" s="41" t="s">
        <v>262</v>
      </c>
      <c r="N10" s="43" t="s">
        <v>444</v>
      </c>
      <c r="O10" s="43"/>
      <c r="P10" s="44"/>
      <c r="Q10" s="43"/>
      <c r="R10" s="43" t="s">
        <v>2</v>
      </c>
      <c r="S10" s="45">
        <v>44228</v>
      </c>
      <c r="T10" s="58" t="str">
        <f>IF(Tableau1[[#This Row],[DMS_SAP]]="","",HYPERLINK(Tableau1[[#This Row],[Chemin fichier source]],"X"))</f>
        <v/>
      </c>
      <c r="U10" s="58" t="str">
        <f>IF(Tableau1[[#This Row],[Date rév.]]="","",HYPERLINK(Tableau1[[#This Row],[Lien document]],"X"))</f>
        <v/>
      </c>
      <c r="V10" s="44"/>
      <c r="W10"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10" s="44">
        <v>32</v>
      </c>
      <c r="Y10" s="44">
        <v>2</v>
      </c>
      <c r="Z10" s="41" t="str">
        <f ca="1">IF(AND(Tableau1[[#This Row],[Charge]]&lt;&gt;0, Tableau1[[#This Row],[Nombre intervenants]]&lt;&gt;0,Tableau1[[#This Row],[Lien document]]&lt;&gt;0,Tableau1[[#This Row],[DMS_SAP]]&lt;&gt;0)=TRUE,"MIS A JOUR","")</f>
        <v/>
      </c>
      <c r="AA10" s="45"/>
      <c r="AB10" s="55" t="str">
        <f ca="1">IF(Tableau1[[#This Row],[Date rév.]]&lt;&gt;"", DAYS360(Tableau1[[#This Row],[Date rév.]],TODAY()),"")</f>
        <v/>
      </c>
      <c r="AC10" s="47">
        <f>IFERROR(INDEX(Chemin_accès!$B$11:$C$22,MATCH(Tableau1[[#This Row],[Type]],Chemin_accès!$C$11:$C$22,0),1),Chemin_accès!$B$11)</f>
        <v>0</v>
      </c>
      <c r="AD10" s="47" t="str">
        <f>Chemin_accès!$B$8&amp;Tableau1[[#This Row],[Localisation / Classement]]&amp;"\"&amp;Tableau1[[#This Row],[Poste technique]]&amp;"_"&amp;Tableau1[[#This Row],[Plan Entretien]]&amp;".xlsm"</f>
        <v>SOUS-STATION\T040_33601.xlsm</v>
      </c>
    </row>
    <row r="11" spans="1:30" x14ac:dyDescent="0.3">
      <c r="A11" s="41" t="str">
        <f t="shared" ca="1" si="0"/>
        <v>7.MNRJ</v>
      </c>
      <c r="B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 s="48"/>
      <c r="D11" s="41" t="s">
        <v>134</v>
      </c>
      <c r="E11" s="41" t="s">
        <v>135</v>
      </c>
      <c r="F11" s="44" t="s">
        <v>136</v>
      </c>
      <c r="G11" s="44" t="s">
        <v>137</v>
      </c>
      <c r="H11" s="48">
        <v>33601</v>
      </c>
      <c r="I11" s="63">
        <v>67601</v>
      </c>
      <c r="J11" s="48" t="s">
        <v>252</v>
      </c>
      <c r="K11" s="48">
        <v>12</v>
      </c>
      <c r="L11" s="43" t="s">
        <v>41</v>
      </c>
      <c r="M11" s="41" t="s">
        <v>263</v>
      </c>
      <c r="N11" s="43" t="s">
        <v>444</v>
      </c>
      <c r="O11" s="43"/>
      <c r="P11" s="44"/>
      <c r="Q11" s="43"/>
      <c r="R11" s="43" t="s">
        <v>2</v>
      </c>
      <c r="S11" s="45">
        <v>44228</v>
      </c>
      <c r="T11" s="58" t="str">
        <f>IF(Tableau1[[#This Row],[DMS_SAP]]="","",HYPERLINK(Tableau1[[#This Row],[Chemin fichier source]],"X"))</f>
        <v/>
      </c>
      <c r="U11" s="58" t="str">
        <f>IF(Tableau1[[#This Row],[Date rév.]]="","",HYPERLINK(Tableau1[[#This Row],[Lien document]],"X"))</f>
        <v/>
      </c>
      <c r="V11" s="44"/>
      <c r="W11"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11" s="44">
        <v>16</v>
      </c>
      <c r="Y11" s="44">
        <v>2</v>
      </c>
      <c r="Z11" s="41" t="str">
        <f ca="1">IF(AND(Tableau1[[#This Row],[Charge]]&lt;&gt;0, Tableau1[[#This Row],[Nombre intervenants]]&lt;&gt;0,Tableau1[[#This Row],[Lien document]]&lt;&gt;0,Tableau1[[#This Row],[DMS_SAP]]&lt;&gt;0)=TRUE,"MIS A JOUR","")</f>
        <v/>
      </c>
      <c r="AA11" s="45"/>
      <c r="AB11" s="55" t="str">
        <f ca="1">IF(Tableau1[[#This Row],[Date rév.]]&lt;&gt;"", DAYS360(Tableau1[[#This Row],[Date rév.]],TODAY()),"")</f>
        <v/>
      </c>
      <c r="AC11" s="47">
        <f>IFERROR(INDEX(Chemin_accès!$B$11:$C$22,MATCH(Tableau1[[#This Row],[Type]],Chemin_accès!$C$11:$C$22,0),1),Chemin_accès!$B$11)</f>
        <v>0</v>
      </c>
      <c r="AD11" s="47" t="str">
        <f>Chemin_accès!$B$8&amp;Tableau1[[#This Row],[Localisation / Classement]]&amp;"\"&amp;Tableau1[[#This Row],[Poste technique]]&amp;"_"&amp;Tableau1[[#This Row],[Plan Entretien]]&amp;".xlsm"</f>
        <v>SOUS-STATION\T040_33601.xlsm</v>
      </c>
    </row>
    <row r="12" spans="1:30" x14ac:dyDescent="0.3">
      <c r="A12" s="41" t="str">
        <f t="shared" ca="1" si="0"/>
        <v>7.MNRJ</v>
      </c>
      <c r="B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 s="48"/>
      <c r="D12" s="41" t="s">
        <v>134</v>
      </c>
      <c r="E12" s="41" t="s">
        <v>135</v>
      </c>
      <c r="F12" s="44" t="s">
        <v>136</v>
      </c>
      <c r="G12" s="44" t="s">
        <v>137</v>
      </c>
      <c r="H12" s="48">
        <v>33601</v>
      </c>
      <c r="I12" s="63">
        <v>67602</v>
      </c>
      <c r="J12" s="48" t="s">
        <v>252</v>
      </c>
      <c r="K12" s="48">
        <v>13</v>
      </c>
      <c r="L12" s="43" t="s">
        <v>41</v>
      </c>
      <c r="M12" s="41" t="s">
        <v>264</v>
      </c>
      <c r="N12" s="43" t="s">
        <v>444</v>
      </c>
      <c r="O12" s="43"/>
      <c r="P12" s="44"/>
      <c r="Q12" s="43"/>
      <c r="R12" s="43" t="s">
        <v>2</v>
      </c>
      <c r="S12" s="45">
        <v>44228</v>
      </c>
      <c r="T12" s="58" t="str">
        <f>IF(Tableau1[[#This Row],[DMS_SAP]]="","",HYPERLINK(Tableau1[[#This Row],[Chemin fichier source]],"X"))</f>
        <v/>
      </c>
      <c r="U12" s="58" t="str">
        <f>IF(Tableau1[[#This Row],[Date rév.]]="","",HYPERLINK(Tableau1[[#This Row],[Lien document]],"X"))</f>
        <v/>
      </c>
      <c r="V12" s="44"/>
      <c r="W12"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12" s="44">
        <v>16</v>
      </c>
      <c r="Y12" s="44">
        <v>2</v>
      </c>
      <c r="Z12" s="41" t="str">
        <f ca="1">IF(AND(Tableau1[[#This Row],[Charge]]&lt;&gt;0, Tableau1[[#This Row],[Nombre intervenants]]&lt;&gt;0,Tableau1[[#This Row],[Lien document]]&lt;&gt;0,Tableau1[[#This Row],[DMS_SAP]]&lt;&gt;0)=TRUE,"MIS A JOUR","")</f>
        <v/>
      </c>
      <c r="AA12" s="45"/>
      <c r="AB12" s="55" t="str">
        <f ca="1">IF(Tableau1[[#This Row],[Date rév.]]&lt;&gt;"", DAYS360(Tableau1[[#This Row],[Date rév.]],TODAY()),"")</f>
        <v/>
      </c>
      <c r="AC12" s="47">
        <f>IFERROR(INDEX(Chemin_accès!$B$11:$C$22,MATCH(Tableau1[[#This Row],[Type]],Chemin_accès!$C$11:$C$22,0),1),Chemin_accès!$B$11)</f>
        <v>0</v>
      </c>
      <c r="AD12" s="47" t="str">
        <f>Chemin_accès!$B$8&amp;Tableau1[[#This Row],[Localisation / Classement]]&amp;"\"&amp;Tableau1[[#This Row],[Poste technique]]&amp;"_"&amp;Tableau1[[#This Row],[Plan Entretien]]&amp;".xlsm"</f>
        <v>SOUS-STATION\T040_33601.xlsm</v>
      </c>
    </row>
    <row r="13" spans="1:30" x14ac:dyDescent="0.3">
      <c r="A13" s="41" t="str">
        <f t="shared" ca="1" si="0"/>
        <v>7.MNRJ</v>
      </c>
      <c r="B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 s="48"/>
      <c r="D13" s="41" t="s">
        <v>134</v>
      </c>
      <c r="E13" s="41" t="s">
        <v>135</v>
      </c>
      <c r="F13" s="44" t="s">
        <v>136</v>
      </c>
      <c r="G13" s="44" t="s">
        <v>137</v>
      </c>
      <c r="H13" s="48">
        <v>33601</v>
      </c>
      <c r="I13" s="63">
        <v>67603</v>
      </c>
      <c r="J13" s="48" t="s">
        <v>252</v>
      </c>
      <c r="K13" s="48">
        <v>15</v>
      </c>
      <c r="L13" s="43" t="s">
        <v>77</v>
      </c>
      <c r="M13" s="41" t="s">
        <v>265</v>
      </c>
      <c r="N13" s="43" t="s">
        <v>443</v>
      </c>
      <c r="O13" s="43"/>
      <c r="P13" s="44"/>
      <c r="Q13" s="43"/>
      <c r="R13" s="43" t="s">
        <v>2</v>
      </c>
      <c r="S13" s="45">
        <v>44228</v>
      </c>
      <c r="T13" s="58" t="str">
        <f>IF(Tableau1[[#This Row],[DMS_SAP]]="","",HYPERLINK(Tableau1[[#This Row],[Chemin fichier source]],"X"))</f>
        <v/>
      </c>
      <c r="U13" s="58" t="str">
        <f>IF(Tableau1[[#This Row],[Date rév.]]="","",HYPERLINK(Tableau1[[#This Row],[Lien document]],"X"))</f>
        <v/>
      </c>
      <c r="V13" s="44"/>
      <c r="W13" s="46" t="str">
        <f ca="1">Chemin_accès!$B$2&amp;Tableau1[[#This Row],[Poste Responsable]]&amp;"\"&amp;Tableau1[[#This Row],[Localisation / Classement]]&amp;"\"&amp;Tableau1[[#This Row],[Poste technique]]&amp;"_"&amp;Tableau1[[#This Row],[Plan Entretien]]&amp;".pdf"</f>
        <v>\\stjn.local\trimet\Donnees_Projets\Dms Sap\Maintenance\PlanEntretien\7.MNRJ\SOUS-STATION\T040_33601.pdf</v>
      </c>
      <c r="X13" s="44">
        <v>4</v>
      </c>
      <c r="Y13" s="44">
        <v>1</v>
      </c>
      <c r="Z13" s="41" t="str">
        <f ca="1">IF(AND(Tableau1[[#This Row],[Charge]]&lt;&gt;0, Tableau1[[#This Row],[Nombre intervenants]]&lt;&gt;0,Tableau1[[#This Row],[Lien document]]&lt;&gt;0,Tableau1[[#This Row],[DMS_SAP]]&lt;&gt;0)=TRUE,"MIS A JOUR","")</f>
        <v/>
      </c>
      <c r="AA13" s="45"/>
      <c r="AB13" s="55" t="str">
        <f ca="1">IF(Tableau1[[#This Row],[Date rév.]]&lt;&gt;"", DAYS360(Tableau1[[#This Row],[Date rév.]],TODAY()),"")</f>
        <v/>
      </c>
      <c r="AC13" s="47">
        <f>IFERROR(INDEX(Chemin_accès!$B$11:$C$22,MATCH(Tableau1[[#This Row],[Type]],Chemin_accès!$C$11:$C$22,0),1),Chemin_accès!$B$11)</f>
        <v>0</v>
      </c>
      <c r="AD13" s="47" t="str">
        <f>Chemin_accès!$B$8&amp;Tableau1[[#This Row],[Localisation / Classement]]&amp;"\"&amp;Tableau1[[#This Row],[Poste technique]]&amp;"_"&amp;Tableau1[[#This Row],[Plan Entretien]]&amp;".xlsm"</f>
        <v>SOUS-STATION\T040_33601.xlsm</v>
      </c>
    </row>
    <row r="14" spans="1:30" x14ac:dyDescent="0.3">
      <c r="A14" s="41" t="str">
        <f t="shared" ca="1" si="0"/>
        <v>7.MNRJ</v>
      </c>
      <c r="B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 s="48"/>
      <c r="D14" s="41" t="s">
        <v>175</v>
      </c>
      <c r="E14" s="41" t="s">
        <v>135</v>
      </c>
      <c r="F14" s="41" t="s">
        <v>136</v>
      </c>
      <c r="G14" s="41" t="s">
        <v>137</v>
      </c>
      <c r="H14" s="48">
        <v>33601</v>
      </c>
      <c r="I14" s="63">
        <v>67607</v>
      </c>
      <c r="J14" s="48" t="s">
        <v>252</v>
      </c>
      <c r="K14" s="48">
        <v>39</v>
      </c>
      <c r="L14" s="43" t="s">
        <v>82</v>
      </c>
      <c r="M14" s="41" t="s">
        <v>266</v>
      </c>
      <c r="N14" s="43" t="s">
        <v>444</v>
      </c>
      <c r="O14" s="43"/>
      <c r="P14" s="44"/>
      <c r="Q14" s="43"/>
      <c r="R14" s="43" t="s">
        <v>2</v>
      </c>
      <c r="S14" s="45">
        <v>44228</v>
      </c>
      <c r="T14" s="58" t="str">
        <f>IF(Tableau1[[#This Row],[DMS_SAP]]="","",HYPERLINK(Tableau1[[#This Row],[Chemin fichier source]],"X"))</f>
        <v/>
      </c>
      <c r="U14" s="58" t="str">
        <f>IF(Tableau1[[#This Row],[Date rév.]]="","",HYPERLINK(Tableau1[[#This Row],[Lien document]],"X"))</f>
        <v/>
      </c>
      <c r="V14" s="44"/>
      <c r="W14"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CONVERSION\T040_33601.pdf</v>
      </c>
      <c r="X14" s="44">
        <v>4</v>
      </c>
      <c r="Y14" s="44">
        <v>2</v>
      </c>
      <c r="Z14" s="41" t="str">
        <f ca="1">IF(AND(Tableau1[[#This Row],[Charge]]&lt;&gt;0, Tableau1[[#This Row],[Nombre intervenants]]&lt;&gt;0,Tableau1[[#This Row],[Lien document]]&lt;&gt;0,Tableau1[[#This Row],[DMS_SAP]]&lt;&gt;0)=TRUE,"MIS A JOUR","")</f>
        <v/>
      </c>
      <c r="AA14" s="45"/>
      <c r="AB14" s="55" t="str">
        <f ca="1">IF(Tableau1[[#This Row],[Date rév.]]&lt;&gt;"", DAYS360(Tableau1[[#This Row],[Date rév.]],TODAY()),"")</f>
        <v/>
      </c>
      <c r="AC14" s="47">
        <f>IFERROR(INDEX(Chemin_accès!$B$11:$C$22,MATCH(Tableau1[[#This Row],[Type]],Chemin_accès!$C$11:$C$22,0),1),Chemin_accès!$B$11)</f>
        <v>0</v>
      </c>
      <c r="AD14" s="47" t="str">
        <f>Chemin_accès!$B$8&amp;Tableau1[[#This Row],[Localisation / Classement]]&amp;"\"&amp;Tableau1[[#This Row],[Poste technique]]&amp;"_"&amp;Tableau1[[#This Row],[Plan Entretien]]&amp;".xlsm"</f>
        <v>42KV CONVERSION\T040_33601.xlsm</v>
      </c>
    </row>
    <row r="15" spans="1:30" x14ac:dyDescent="0.3">
      <c r="A15" s="41" t="str">
        <f t="shared" ca="1" si="0"/>
        <v>7.MNRJ</v>
      </c>
      <c r="B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 s="48"/>
      <c r="D15" s="41" t="s">
        <v>440</v>
      </c>
      <c r="E15" s="41" t="s">
        <v>135</v>
      </c>
      <c r="F15" s="44" t="s">
        <v>136</v>
      </c>
      <c r="G15" s="44" t="s">
        <v>137</v>
      </c>
      <c r="H15" s="48">
        <v>33601</v>
      </c>
      <c r="I15" s="63">
        <v>67609</v>
      </c>
      <c r="J15" s="48" t="s">
        <v>252</v>
      </c>
      <c r="K15" s="48">
        <v>66</v>
      </c>
      <c r="L15" s="43" t="s">
        <v>82</v>
      </c>
      <c r="M15" s="41" t="s">
        <v>267</v>
      </c>
      <c r="N15" s="43" t="s">
        <v>62</v>
      </c>
      <c r="O15" s="43"/>
      <c r="P15" s="44"/>
      <c r="Q15" s="43"/>
      <c r="R15" s="43" t="s">
        <v>2</v>
      </c>
      <c r="S15" s="45">
        <v>44228</v>
      </c>
      <c r="T15" s="58" t="str">
        <f>IF(Tableau1[[#This Row],[DMS_SAP]]="","",HYPERLINK(Tableau1[[#This Row],[Chemin fichier source]],"X"))</f>
        <v/>
      </c>
      <c r="U15" s="58" t="str">
        <f>IF(Tableau1[[#This Row],[Date rév.]]="","",HYPERLINK(Tableau1[[#This Row],[Lien document]],"X"))</f>
        <v/>
      </c>
      <c r="V15" s="44"/>
      <c r="W1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\T040_33601.pdf</v>
      </c>
      <c r="X15" s="44">
        <v>4</v>
      </c>
      <c r="Y15" s="44">
        <v>2</v>
      </c>
      <c r="Z15" s="41" t="str">
        <f ca="1">IF(AND(Tableau1[[#This Row],[Charge]]&lt;&gt;0, Tableau1[[#This Row],[Nombre intervenants]]&lt;&gt;0,Tableau1[[#This Row],[Lien document]]&lt;&gt;0,Tableau1[[#This Row],[DMS_SAP]]&lt;&gt;0)=TRUE,"MIS A JOUR","")</f>
        <v/>
      </c>
      <c r="AA15" s="45"/>
      <c r="AB15" s="55" t="str">
        <f ca="1">IF(Tableau1[[#This Row],[Date rév.]]&lt;&gt;"", DAYS360(Tableau1[[#This Row],[Date rév.]],TODAY()),"")</f>
        <v/>
      </c>
      <c r="AC15" s="47">
        <f>IFERROR(INDEX(Chemin_accès!$B$11:$C$22,MATCH(Tableau1[[#This Row],[Type]],Chemin_accès!$C$11:$C$22,0),1),Chemin_accès!$B$11)</f>
        <v>0</v>
      </c>
      <c r="AD15" s="47" t="str">
        <f>Chemin_accès!$B$8&amp;Tableau1[[#This Row],[Localisation / Classement]]&amp;"\"&amp;Tableau1[[#This Row],[Poste technique]]&amp;"_"&amp;Tableau1[[#This Row],[Plan Entretien]]&amp;".xlsm"</f>
        <v>20KV POSTES ELECTRIQUES \T040_33601.xlsm</v>
      </c>
    </row>
    <row r="16" spans="1:30" x14ac:dyDescent="0.3">
      <c r="A16" s="41" t="str">
        <f t="shared" ca="1" si="0"/>
        <v>7.MNRJ</v>
      </c>
      <c r="B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 s="48"/>
      <c r="D16" s="41" t="s">
        <v>440</v>
      </c>
      <c r="E16" s="41" t="s">
        <v>135</v>
      </c>
      <c r="F16" s="41" t="s">
        <v>136</v>
      </c>
      <c r="G16" s="41" t="s">
        <v>137</v>
      </c>
      <c r="H16" s="48">
        <v>33601</v>
      </c>
      <c r="I16" s="63">
        <v>67610</v>
      </c>
      <c r="J16" s="48" t="s">
        <v>252</v>
      </c>
      <c r="K16" s="48">
        <v>67</v>
      </c>
      <c r="L16" s="43" t="s">
        <v>446</v>
      </c>
      <c r="M16" s="41" t="s">
        <v>268</v>
      </c>
      <c r="N16" s="43" t="s">
        <v>62</v>
      </c>
      <c r="O16" s="43"/>
      <c r="P16" s="44"/>
      <c r="Q16" s="43"/>
      <c r="R16" s="43" t="s">
        <v>2</v>
      </c>
      <c r="S16" s="45">
        <v>44228</v>
      </c>
      <c r="T16" s="58" t="str">
        <f>IF(Tableau1[[#This Row],[DMS_SAP]]="","",HYPERLINK(Tableau1[[#This Row],[Chemin fichier source]],"X"))</f>
        <v/>
      </c>
      <c r="U16" s="58" t="str">
        <f>IF(Tableau1[[#This Row],[Date rév.]]="","",HYPERLINK(Tableau1[[#This Row],[Lien document]],"X"))</f>
        <v/>
      </c>
      <c r="V16" s="44"/>
      <c r="W1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\T040_33601.pdf</v>
      </c>
      <c r="X16" s="44">
        <v>32</v>
      </c>
      <c r="Y16" s="44">
        <v>2</v>
      </c>
      <c r="Z16" s="41" t="str">
        <f ca="1">IF(AND(Tableau1[[#This Row],[Charge]]&lt;&gt;0, Tableau1[[#This Row],[Nombre intervenants]]&lt;&gt;0,Tableau1[[#This Row],[Lien document]]&lt;&gt;0,Tableau1[[#This Row],[DMS_SAP]]&lt;&gt;0)=TRUE,"MIS A JOUR","")</f>
        <v/>
      </c>
      <c r="AA16" s="45"/>
      <c r="AB16" s="55" t="str">
        <f ca="1">IF(Tableau1[[#This Row],[Date rév.]]&lt;&gt;"", DAYS360(Tableau1[[#This Row],[Date rév.]],TODAY()),"")</f>
        <v/>
      </c>
      <c r="AC16" s="47">
        <f>IFERROR(INDEX(Chemin_accès!$B$11:$C$22,MATCH(Tableau1[[#This Row],[Type]],Chemin_accès!$C$11:$C$22,0),1),Chemin_accès!$B$11)</f>
        <v>0</v>
      </c>
      <c r="AD16" s="47" t="str">
        <f>Chemin_accès!$B$8&amp;Tableau1[[#This Row],[Localisation / Classement]]&amp;"\"&amp;Tableau1[[#This Row],[Poste technique]]&amp;"_"&amp;Tableau1[[#This Row],[Plan Entretien]]&amp;".xlsm"</f>
        <v>20KV POSTES ELECTRIQUES \T040_33601.xlsm</v>
      </c>
    </row>
    <row r="17" spans="1:30" x14ac:dyDescent="0.3">
      <c r="A17" s="41" t="str">
        <f t="shared" ca="1" si="0"/>
        <v>7.MNRJ</v>
      </c>
      <c r="B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 s="48"/>
      <c r="D17" s="41" t="s">
        <v>436</v>
      </c>
      <c r="E17" s="41" t="s">
        <v>135</v>
      </c>
      <c r="F17" s="44" t="s">
        <v>138</v>
      </c>
      <c r="G17" s="44" t="s">
        <v>139</v>
      </c>
      <c r="H17" s="48">
        <v>33601</v>
      </c>
      <c r="I17" s="63">
        <v>68970</v>
      </c>
      <c r="J17" s="48" t="s">
        <v>253</v>
      </c>
      <c r="K17" s="48">
        <v>5</v>
      </c>
      <c r="L17" s="43" t="s">
        <v>33</v>
      </c>
      <c r="M17" s="41" t="s">
        <v>269</v>
      </c>
      <c r="N17" s="43" t="s">
        <v>62</v>
      </c>
      <c r="O17" s="43"/>
      <c r="P17" s="44"/>
      <c r="Q17" s="43"/>
      <c r="R17" s="43" t="s">
        <v>2</v>
      </c>
      <c r="S17" s="45">
        <v>44593</v>
      </c>
      <c r="T17" s="58" t="str">
        <f>IF(Tableau1[[#This Row],[DMS_SAP]]="","",HYPERLINK(Tableau1[[#This Row],[Chemin fichier source]],"X"))</f>
        <v/>
      </c>
      <c r="U17" s="58" t="str">
        <f>IF(Tableau1[[#This Row],[Date rév.]]="","",HYPERLINK(Tableau1[[#This Row],[Lien document]],"X"))</f>
        <v/>
      </c>
      <c r="V17" s="44"/>
      <c r="W17"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EDF\T040-F_33601.pdf</v>
      </c>
      <c r="X17" s="44">
        <v>2</v>
      </c>
      <c r="Y17" s="44">
        <v>1</v>
      </c>
      <c r="Z17" s="41" t="str">
        <f ca="1">IF(AND(Tableau1[[#This Row],[Charge]]&lt;&gt;0, Tableau1[[#This Row],[Nombre intervenants]]&lt;&gt;0,Tableau1[[#This Row],[Lien document]]&lt;&gt;0,Tableau1[[#This Row],[DMS_SAP]]&lt;&gt;0)=TRUE,"MIS A JOUR","")</f>
        <v/>
      </c>
      <c r="AA17" s="45"/>
      <c r="AB17" s="55" t="str">
        <f ca="1">IF(Tableau1[[#This Row],[Date rév.]]&lt;&gt;"", DAYS360(Tableau1[[#This Row],[Date rév.]],TODAY()),"")</f>
        <v/>
      </c>
      <c r="AC17" s="47">
        <f>IFERROR(INDEX(Chemin_accès!$B$11:$C$22,MATCH(Tableau1[[#This Row],[Type]],Chemin_accès!$C$11:$C$22,0),1),Chemin_accès!$B$11)</f>
        <v>0</v>
      </c>
      <c r="AD17" s="47" t="str">
        <f>Chemin_accès!$B$8&amp;Tableau1[[#This Row],[Localisation / Classement]]&amp;"\"&amp;Tableau1[[#This Row],[Poste technique]]&amp;"_"&amp;Tableau1[[#This Row],[Plan Entretien]]&amp;".xlsm"</f>
        <v>220KV ARRIVEE EDF\T040-F_33601.xlsm</v>
      </c>
    </row>
    <row r="18" spans="1:30" x14ac:dyDescent="0.3">
      <c r="A18" s="41" t="str">
        <f t="shared" ca="1" si="0"/>
        <v>7.MNRJ</v>
      </c>
      <c r="B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 s="48"/>
      <c r="D18" s="41" t="s">
        <v>134</v>
      </c>
      <c r="E18" s="41" t="s">
        <v>135</v>
      </c>
      <c r="F18" s="44" t="s">
        <v>138</v>
      </c>
      <c r="G18" s="44" t="s">
        <v>139</v>
      </c>
      <c r="H18" s="48">
        <v>33601</v>
      </c>
      <c r="I18" s="63">
        <v>68993</v>
      </c>
      <c r="J18" s="48" t="s">
        <v>253</v>
      </c>
      <c r="K18" s="48">
        <v>34</v>
      </c>
      <c r="L18" s="43" t="s">
        <v>82</v>
      </c>
      <c r="M18" s="41" t="s">
        <v>270</v>
      </c>
      <c r="N18" s="43" t="s">
        <v>62</v>
      </c>
      <c r="O18" s="43"/>
      <c r="P18" s="44"/>
      <c r="Q18" s="43"/>
      <c r="R18" s="43" t="s">
        <v>2</v>
      </c>
      <c r="S18" s="45">
        <v>44593</v>
      </c>
      <c r="T18" s="58" t="str">
        <f>IF(Tableau1[[#This Row],[DMS_SAP]]="","",HYPERLINK(Tableau1[[#This Row],[Chemin fichier source]],"X"))</f>
        <v/>
      </c>
      <c r="U18" s="58" t="str">
        <f>IF(Tableau1[[#This Row],[Date rév.]]="","",HYPERLINK(Tableau1[[#This Row],[Lien document]],"X"))</f>
        <v/>
      </c>
      <c r="V18" s="44"/>
      <c r="W18" s="46" t="str">
        <f ca="1">Chemin_accès!$B$2&amp;Tableau1[[#This Row],[Poste Responsable]]&amp;"\"&amp;Tableau1[[#This Row],[Localisation / Classement]]&amp;"\"&amp;Tableau1[[#This Row],[Poste technique]]&amp;"_"&amp;Tableau1[[#This Row],[Plan Entretien]]&amp;".pdf"</f>
        <v>\\stjn.local\trimet\Donnees_Projets\Dms Sap\Maintenance\PlanEntretien\7.MNRJ\SOUS-STATION\T040-F_33601.pdf</v>
      </c>
      <c r="X18" s="44">
        <v>8</v>
      </c>
      <c r="Y18" s="44">
        <v>2</v>
      </c>
      <c r="Z18" s="41" t="str">
        <f ca="1">IF(AND(Tableau1[[#This Row],[Charge]]&lt;&gt;0, Tableau1[[#This Row],[Nombre intervenants]]&lt;&gt;0,Tableau1[[#This Row],[Lien document]]&lt;&gt;0,Tableau1[[#This Row],[DMS_SAP]]&lt;&gt;0)=TRUE,"MIS A JOUR","")</f>
        <v/>
      </c>
      <c r="AA18" s="45"/>
      <c r="AB18" s="55" t="str">
        <f ca="1">IF(Tableau1[[#This Row],[Date rév.]]&lt;&gt;"", DAYS360(Tableau1[[#This Row],[Date rév.]],TODAY()),"")</f>
        <v/>
      </c>
      <c r="AC18" s="47">
        <f>IFERROR(INDEX(Chemin_accès!$B$11:$C$22,MATCH(Tableau1[[#This Row],[Type]],Chemin_accès!$C$11:$C$22,0),1),Chemin_accès!$B$11)</f>
        <v>0</v>
      </c>
      <c r="AD18" s="47" t="str">
        <f>Chemin_accès!$B$8&amp;Tableau1[[#This Row],[Localisation / Classement]]&amp;"\"&amp;Tableau1[[#This Row],[Poste technique]]&amp;"_"&amp;Tableau1[[#This Row],[Plan Entretien]]&amp;".xlsm"</f>
        <v>SOUS-STATION\T040-F_33601.xlsm</v>
      </c>
    </row>
    <row r="19" spans="1:30" x14ac:dyDescent="0.3">
      <c r="A19" s="41" t="str">
        <f t="shared" ca="1" si="0"/>
        <v>7.MNRJ</v>
      </c>
      <c r="B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 s="43"/>
      <c r="D19" s="41" t="s">
        <v>436</v>
      </c>
      <c r="E19" s="41" t="s">
        <v>135</v>
      </c>
      <c r="F19" s="44" t="s">
        <v>140</v>
      </c>
      <c r="G19" s="44" t="s">
        <v>141</v>
      </c>
      <c r="H19" s="48">
        <v>33601</v>
      </c>
      <c r="I19" s="63">
        <v>67614</v>
      </c>
      <c r="J19" s="48" t="s">
        <v>252</v>
      </c>
      <c r="K19" s="48">
        <v>17</v>
      </c>
      <c r="L19" s="43" t="s">
        <v>77</v>
      </c>
      <c r="M19" s="41" t="s">
        <v>271</v>
      </c>
      <c r="N19" s="43" t="s">
        <v>443</v>
      </c>
      <c r="O19" s="43"/>
      <c r="P19" s="44"/>
      <c r="Q19" s="43"/>
      <c r="R19" s="43" t="s">
        <v>2</v>
      </c>
      <c r="S19" s="45">
        <v>44593</v>
      </c>
      <c r="T19" s="58" t="str">
        <f>IF(Tableau1[[#This Row],[DMS_SAP]]="","",HYPERLINK(Tableau1[[#This Row],[Chemin fichier source]],"X"))</f>
        <v/>
      </c>
      <c r="U19" s="58" t="str">
        <f>IF(Tableau1[[#This Row],[Date rév.]]="","",HYPERLINK(Tableau1[[#This Row],[Lien document]],"X"))</f>
        <v/>
      </c>
      <c r="V19" s="44"/>
      <c r="W19"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EDF\T040-F040_33601.pdf</v>
      </c>
      <c r="X19" s="44">
        <v>4</v>
      </c>
      <c r="Y19" s="44">
        <v>1</v>
      </c>
      <c r="Z19" s="41" t="str">
        <f ca="1">IF(AND(Tableau1[[#This Row],[Charge]]&lt;&gt;0, Tableau1[[#This Row],[Nombre intervenants]]&lt;&gt;0,Tableau1[[#This Row],[Lien document]]&lt;&gt;0,Tableau1[[#This Row],[DMS_SAP]]&lt;&gt;0)=TRUE,"MIS A JOUR","")</f>
        <v/>
      </c>
      <c r="AA19" s="45"/>
      <c r="AB19" s="55" t="str">
        <f ca="1">IF(Tableau1[[#This Row],[Date rév.]]&lt;&gt;"", DAYS360(Tableau1[[#This Row],[Date rév.]],TODAY()),"")</f>
        <v/>
      </c>
      <c r="AC19" s="47">
        <f>IFERROR(INDEX(Chemin_accès!$B$11:$C$22,MATCH(Tableau1[[#This Row],[Type]],Chemin_accès!$C$11:$C$22,0),1),Chemin_accès!$B$11)</f>
        <v>0</v>
      </c>
      <c r="AD19" s="47" t="str">
        <f>Chemin_accès!$B$8&amp;Tableau1[[#This Row],[Localisation / Classement]]&amp;"\"&amp;Tableau1[[#This Row],[Poste technique]]&amp;"_"&amp;Tableau1[[#This Row],[Plan Entretien]]&amp;".xlsm"</f>
        <v>220KV ARRIVEE EDF\T040-F040_33601.xlsm</v>
      </c>
    </row>
    <row r="20" spans="1:30" x14ac:dyDescent="0.3">
      <c r="A20" s="41" t="str">
        <f t="shared" ca="1" si="0"/>
        <v>7.MNRJ</v>
      </c>
      <c r="B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 s="43"/>
      <c r="D20" s="41" t="s">
        <v>436</v>
      </c>
      <c r="E20" s="41" t="s">
        <v>135</v>
      </c>
      <c r="F20" s="44" t="s">
        <v>142</v>
      </c>
      <c r="G20" s="44" t="s">
        <v>143</v>
      </c>
      <c r="H20" s="48">
        <v>33601</v>
      </c>
      <c r="I20" s="63">
        <v>67615</v>
      </c>
      <c r="J20" s="48" t="s">
        <v>252</v>
      </c>
      <c r="K20" s="48">
        <v>20</v>
      </c>
      <c r="L20" s="43" t="s">
        <v>82</v>
      </c>
      <c r="M20" s="41" t="s">
        <v>272</v>
      </c>
      <c r="N20" s="43" t="s">
        <v>62</v>
      </c>
      <c r="O20" s="43"/>
      <c r="P20" s="44"/>
      <c r="Q20" s="43"/>
      <c r="R20" s="43" t="s">
        <v>2</v>
      </c>
      <c r="S20" s="45">
        <v>44593</v>
      </c>
      <c r="T20" s="58" t="str">
        <f>IF(Tableau1[[#This Row],[DMS_SAP]]="","",HYPERLINK(Tableau1[[#This Row],[Chemin fichier source]],"X"))</f>
        <v/>
      </c>
      <c r="U20" s="58" t="str">
        <f>IF(Tableau1[[#This Row],[Date rév.]]="","",HYPERLINK(Tableau1[[#This Row],[Lien document]],"X"))</f>
        <v/>
      </c>
      <c r="V20" s="44"/>
      <c r="W20"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EDF\T040-G010_33601.pdf</v>
      </c>
      <c r="X20" s="44">
        <v>16</v>
      </c>
      <c r="Y20" s="44">
        <v>2</v>
      </c>
      <c r="Z20" s="41" t="str">
        <f ca="1">IF(AND(Tableau1[[#This Row],[Charge]]&lt;&gt;0, Tableau1[[#This Row],[Nombre intervenants]]&lt;&gt;0,Tableau1[[#This Row],[Lien document]]&lt;&gt;0,Tableau1[[#This Row],[DMS_SAP]]&lt;&gt;0)=TRUE,"MIS A JOUR","")</f>
        <v/>
      </c>
      <c r="AA20" s="45"/>
      <c r="AB20" s="55" t="str">
        <f ca="1">IF(Tableau1[[#This Row],[Date rév.]]&lt;&gt;"", DAYS360(Tableau1[[#This Row],[Date rév.]],TODAY()),"")</f>
        <v/>
      </c>
      <c r="AC20" s="47">
        <f>IFERROR(INDEX(Chemin_accès!$B$11:$C$22,MATCH(Tableau1[[#This Row],[Type]],Chemin_accès!$C$11:$C$22,0),1),Chemin_accès!$B$11)</f>
        <v>0</v>
      </c>
      <c r="AD20" s="47" t="str">
        <f>Chemin_accès!$B$8&amp;Tableau1[[#This Row],[Localisation / Classement]]&amp;"\"&amp;Tableau1[[#This Row],[Poste technique]]&amp;"_"&amp;Tableau1[[#This Row],[Plan Entretien]]&amp;".xlsm"</f>
        <v>220KV ARRIVEE EDF\T040-G010_33601.xlsm</v>
      </c>
    </row>
    <row r="21" spans="1:30" x14ac:dyDescent="0.3">
      <c r="A21" s="41" t="str">
        <f t="shared" ca="1" si="0"/>
        <v>7.MNRJ</v>
      </c>
      <c r="B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 s="43"/>
      <c r="D21" s="41" t="s">
        <v>436</v>
      </c>
      <c r="E21" s="41" t="s">
        <v>135</v>
      </c>
      <c r="F21" s="44" t="s">
        <v>142</v>
      </c>
      <c r="G21" s="44" t="s">
        <v>143</v>
      </c>
      <c r="H21" s="48">
        <v>33601</v>
      </c>
      <c r="I21" s="63">
        <v>67616</v>
      </c>
      <c r="J21" s="48" t="s">
        <v>252</v>
      </c>
      <c r="K21" s="48">
        <v>21</v>
      </c>
      <c r="L21" s="43" t="s">
        <v>82</v>
      </c>
      <c r="M21" s="41" t="s">
        <v>273</v>
      </c>
      <c r="N21" s="43" t="s">
        <v>443</v>
      </c>
      <c r="O21" s="43"/>
      <c r="P21" s="44"/>
      <c r="Q21" s="43"/>
      <c r="R21" s="43" t="s">
        <v>2</v>
      </c>
      <c r="S21" s="45">
        <v>44593</v>
      </c>
      <c r="T21" s="58" t="str">
        <f>IF(Tableau1[[#This Row],[DMS_SAP]]="","",HYPERLINK(Tableau1[[#This Row],[Chemin fichier source]],"X"))</f>
        <v/>
      </c>
      <c r="U21" s="58" t="str">
        <f>IF(Tableau1[[#This Row],[Date rév.]]="","",HYPERLINK(Tableau1[[#This Row],[Lien document]],"X"))</f>
        <v/>
      </c>
      <c r="V21" s="44"/>
      <c r="W21"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EDF\T040-G010_33601.pdf</v>
      </c>
      <c r="X21" s="44">
        <v>1</v>
      </c>
      <c r="Y21" s="44">
        <v>2</v>
      </c>
      <c r="Z21" s="41" t="str">
        <f ca="1">IF(AND(Tableau1[[#This Row],[Charge]]&lt;&gt;0, Tableau1[[#This Row],[Nombre intervenants]]&lt;&gt;0,Tableau1[[#This Row],[Lien document]]&lt;&gt;0,Tableau1[[#This Row],[DMS_SAP]]&lt;&gt;0)=TRUE,"MIS A JOUR","")</f>
        <v/>
      </c>
      <c r="AA21" s="45"/>
      <c r="AB21" s="55" t="str">
        <f ca="1">IF(Tableau1[[#This Row],[Date rév.]]&lt;&gt;"", DAYS360(Tableau1[[#This Row],[Date rév.]],TODAY()),"")</f>
        <v/>
      </c>
      <c r="AC21" s="47">
        <f>IFERROR(INDEX(Chemin_accès!$B$11:$C$22,MATCH(Tableau1[[#This Row],[Type]],Chemin_accès!$C$11:$C$22,0),1),Chemin_accès!$B$11)</f>
        <v>0</v>
      </c>
      <c r="AD21" s="47" t="str">
        <f>Chemin_accès!$B$8&amp;Tableau1[[#This Row],[Localisation / Classement]]&amp;"\"&amp;Tableau1[[#This Row],[Poste technique]]&amp;"_"&amp;Tableau1[[#This Row],[Plan Entretien]]&amp;".xlsm"</f>
        <v>220KV ARRIVEE EDF\T040-G010_33601.xlsm</v>
      </c>
    </row>
    <row r="22" spans="1:30" x14ac:dyDescent="0.3">
      <c r="A22" s="41" t="str">
        <f t="shared" ca="1" si="0"/>
        <v>7.MNRJ</v>
      </c>
      <c r="B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 s="43"/>
      <c r="D22" s="41" t="s">
        <v>436</v>
      </c>
      <c r="E22" s="41" t="s">
        <v>135</v>
      </c>
      <c r="F22" s="44" t="s">
        <v>142</v>
      </c>
      <c r="G22" s="44" t="s">
        <v>143</v>
      </c>
      <c r="H22" s="48">
        <v>33601</v>
      </c>
      <c r="I22" s="63">
        <v>67617</v>
      </c>
      <c r="J22" s="48" t="s">
        <v>252</v>
      </c>
      <c r="K22" s="48">
        <v>22</v>
      </c>
      <c r="L22" s="43" t="s">
        <v>82</v>
      </c>
      <c r="M22" s="41" t="s">
        <v>274</v>
      </c>
      <c r="N22" s="43" t="s">
        <v>443</v>
      </c>
      <c r="O22" s="43"/>
      <c r="P22" s="44"/>
      <c r="Q22" s="43"/>
      <c r="R22" s="43" t="s">
        <v>2</v>
      </c>
      <c r="S22" s="45">
        <v>44593</v>
      </c>
      <c r="T22" s="58" t="str">
        <f>IF(Tableau1[[#This Row],[DMS_SAP]]="","",HYPERLINK(Tableau1[[#This Row],[Chemin fichier source]],"X"))</f>
        <v/>
      </c>
      <c r="U22" s="58" t="str">
        <f>IF(Tableau1[[#This Row],[Date rév.]]="","",HYPERLINK(Tableau1[[#This Row],[Lien document]],"X"))</f>
        <v/>
      </c>
      <c r="V22" s="44"/>
      <c r="W22"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EDF\T040-G010_33601.pdf</v>
      </c>
      <c r="X22" s="44">
        <v>1</v>
      </c>
      <c r="Y22" s="44">
        <v>2</v>
      </c>
      <c r="Z22" s="41" t="str">
        <f ca="1">IF(AND(Tableau1[[#This Row],[Charge]]&lt;&gt;0, Tableau1[[#This Row],[Nombre intervenants]]&lt;&gt;0,Tableau1[[#This Row],[Lien document]]&lt;&gt;0,Tableau1[[#This Row],[DMS_SAP]]&lt;&gt;0)=TRUE,"MIS A JOUR","")</f>
        <v/>
      </c>
      <c r="AA22" s="45"/>
      <c r="AB22" s="55" t="str">
        <f ca="1">IF(Tableau1[[#This Row],[Date rév.]]&lt;&gt;"", DAYS360(Tableau1[[#This Row],[Date rév.]],TODAY()),"")</f>
        <v/>
      </c>
      <c r="AC22" s="47">
        <f>IFERROR(INDEX(Chemin_accès!$B$11:$C$22,MATCH(Tableau1[[#This Row],[Type]],Chemin_accès!$C$11:$C$22,0),1),Chemin_accès!$B$11)</f>
        <v>0</v>
      </c>
      <c r="AD22" s="47" t="str">
        <f>Chemin_accès!$B$8&amp;Tableau1[[#This Row],[Localisation / Classement]]&amp;"\"&amp;Tableau1[[#This Row],[Poste technique]]&amp;"_"&amp;Tableau1[[#This Row],[Plan Entretien]]&amp;".xlsm"</f>
        <v>220KV ARRIVEE EDF\T040-G010_33601.xlsm</v>
      </c>
    </row>
    <row r="23" spans="1:30" x14ac:dyDescent="0.3">
      <c r="A23" s="41" t="str">
        <f t="shared" ca="1" si="0"/>
        <v>7.MNRJ</v>
      </c>
      <c r="B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 s="43"/>
      <c r="D23" s="41" t="s">
        <v>436</v>
      </c>
      <c r="E23" s="41" t="s">
        <v>135</v>
      </c>
      <c r="F23" s="44" t="s">
        <v>144</v>
      </c>
      <c r="G23" s="44" t="s">
        <v>145</v>
      </c>
      <c r="H23" s="48">
        <v>33601</v>
      </c>
      <c r="I23" s="63">
        <v>69005</v>
      </c>
      <c r="J23" s="48" t="s">
        <v>253</v>
      </c>
      <c r="K23" s="48">
        <v>46</v>
      </c>
      <c r="L23" s="43" t="s">
        <v>447</v>
      </c>
      <c r="M23" s="41" t="s">
        <v>275</v>
      </c>
      <c r="N23" s="43" t="s">
        <v>62</v>
      </c>
      <c r="O23" s="43"/>
      <c r="P23" s="44"/>
      <c r="Q23" s="43"/>
      <c r="R23" s="43" t="s">
        <v>2</v>
      </c>
      <c r="S23" s="45">
        <v>44593</v>
      </c>
      <c r="T23" s="58" t="str">
        <f>IF(Tableau1[[#This Row],[DMS_SAP]]="","",HYPERLINK(Tableau1[[#This Row],[Chemin fichier source]],"X"))</f>
        <v/>
      </c>
      <c r="U23" s="58" t="str">
        <f>IF(Tableau1[[#This Row],[Date rév.]]="","",HYPERLINK(Tableau1[[#This Row],[Lien document]],"X"))</f>
        <v/>
      </c>
      <c r="V23" s="44"/>
      <c r="W23"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EDF\T040-G010-40_33601.pdf</v>
      </c>
      <c r="X23" s="44">
        <v>24</v>
      </c>
      <c r="Y23" s="44">
        <v>2</v>
      </c>
      <c r="Z23" s="41" t="str">
        <f ca="1">IF(AND(Tableau1[[#This Row],[Charge]]&lt;&gt;0, Tableau1[[#This Row],[Nombre intervenants]]&lt;&gt;0,Tableau1[[#This Row],[Lien document]]&lt;&gt;0,Tableau1[[#This Row],[DMS_SAP]]&lt;&gt;0)=TRUE,"MIS A JOUR","")</f>
        <v/>
      </c>
      <c r="AA23" s="45"/>
      <c r="AB23" s="55" t="str">
        <f ca="1">IF(Tableau1[[#This Row],[Date rév.]]&lt;&gt;"", DAYS360(Tableau1[[#This Row],[Date rév.]],TODAY()),"")</f>
        <v/>
      </c>
      <c r="AC23" s="47">
        <f>IFERROR(INDEX(Chemin_accès!$B$11:$C$22,MATCH(Tableau1[[#This Row],[Type]],Chemin_accès!$C$11:$C$22,0),1),Chemin_accès!$B$11)</f>
        <v>0</v>
      </c>
      <c r="AD23" s="47" t="str">
        <f>Chemin_accès!$B$8&amp;Tableau1[[#This Row],[Localisation / Classement]]&amp;"\"&amp;Tableau1[[#This Row],[Poste technique]]&amp;"_"&amp;Tableau1[[#This Row],[Plan Entretien]]&amp;".xlsm"</f>
        <v>220KV ARRIVEE EDF\T040-G010-40_33601.xlsm</v>
      </c>
    </row>
    <row r="24" spans="1:30" x14ac:dyDescent="0.3">
      <c r="A24" s="41" t="str">
        <f t="shared" ca="1" si="0"/>
        <v>7.MNRJ</v>
      </c>
      <c r="B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 s="43"/>
      <c r="D24" s="41" t="s">
        <v>436</v>
      </c>
      <c r="E24" s="41" t="s">
        <v>135</v>
      </c>
      <c r="F24" s="41" t="s">
        <v>144</v>
      </c>
      <c r="G24" s="41" t="s">
        <v>145</v>
      </c>
      <c r="H24" s="48">
        <v>33601</v>
      </c>
      <c r="I24" s="63">
        <v>69006</v>
      </c>
      <c r="J24" s="48" t="s">
        <v>253</v>
      </c>
      <c r="K24" s="48">
        <v>47</v>
      </c>
      <c r="L24" s="43" t="s">
        <v>447</v>
      </c>
      <c r="M24" s="41" t="s">
        <v>276</v>
      </c>
      <c r="N24" s="43" t="s">
        <v>62</v>
      </c>
      <c r="O24" s="43"/>
      <c r="P24" s="44"/>
      <c r="Q24" s="43"/>
      <c r="R24" s="43" t="s">
        <v>2</v>
      </c>
      <c r="S24" s="45">
        <v>44593</v>
      </c>
      <c r="T24" s="58" t="str">
        <f>IF(Tableau1[[#This Row],[DMS_SAP]]="","",HYPERLINK(Tableau1[[#This Row],[Chemin fichier source]],"X"))</f>
        <v/>
      </c>
      <c r="U24" s="58" t="str">
        <f>IF(Tableau1[[#This Row],[Date rév.]]="","",HYPERLINK(Tableau1[[#This Row],[Lien document]],"X"))</f>
        <v/>
      </c>
      <c r="V24" s="44"/>
      <c r="W24"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EDF\T040-G010-40_33601.pdf</v>
      </c>
      <c r="X24" s="44">
        <v>24</v>
      </c>
      <c r="Y24" s="44">
        <v>2</v>
      </c>
      <c r="Z24" s="41" t="str">
        <f ca="1">IF(AND(Tableau1[[#This Row],[Charge]]&lt;&gt;0, Tableau1[[#This Row],[Nombre intervenants]]&lt;&gt;0,Tableau1[[#This Row],[Lien document]]&lt;&gt;0,Tableau1[[#This Row],[DMS_SAP]]&lt;&gt;0)=TRUE,"MIS A JOUR","")</f>
        <v/>
      </c>
      <c r="AA24" s="45"/>
      <c r="AB24" s="55" t="str">
        <f ca="1">IF(Tableau1[[#This Row],[Date rév.]]&lt;&gt;"", DAYS360(Tableau1[[#This Row],[Date rév.]],TODAY()),"")</f>
        <v/>
      </c>
      <c r="AC24" s="47">
        <f>IFERROR(INDEX(Chemin_accès!$B$11:$C$22,MATCH(Tableau1[[#This Row],[Type]],Chemin_accès!$C$11:$C$22,0),1),Chemin_accès!$B$11)</f>
        <v>0</v>
      </c>
      <c r="AD24" s="47" t="str">
        <f>Chemin_accès!$B$8&amp;Tableau1[[#This Row],[Localisation / Classement]]&amp;"\"&amp;Tableau1[[#This Row],[Poste technique]]&amp;"_"&amp;Tableau1[[#This Row],[Plan Entretien]]&amp;".xlsm"</f>
        <v>220KV ARRIVEE EDF\T040-G010-40_33601.xlsm</v>
      </c>
    </row>
    <row r="25" spans="1:30" x14ac:dyDescent="0.3">
      <c r="A25" s="41" t="str">
        <f t="shared" ca="1" si="0"/>
        <v>7.MNRJ</v>
      </c>
      <c r="B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 s="43"/>
      <c r="D25" s="41" t="s">
        <v>436</v>
      </c>
      <c r="E25" s="41" t="s">
        <v>135</v>
      </c>
      <c r="F25" s="44" t="s">
        <v>144</v>
      </c>
      <c r="G25" s="44" t="s">
        <v>145</v>
      </c>
      <c r="H25" s="48">
        <v>33601</v>
      </c>
      <c r="I25" s="63">
        <v>69007</v>
      </c>
      <c r="J25" s="48" t="s">
        <v>253</v>
      </c>
      <c r="K25" s="48">
        <v>48</v>
      </c>
      <c r="L25" s="43" t="s">
        <v>447</v>
      </c>
      <c r="M25" s="41" t="s">
        <v>277</v>
      </c>
      <c r="N25" s="43" t="s">
        <v>62</v>
      </c>
      <c r="O25" s="43"/>
      <c r="P25" s="44"/>
      <c r="Q25" s="43"/>
      <c r="R25" s="43" t="s">
        <v>2</v>
      </c>
      <c r="S25" s="45">
        <v>44593</v>
      </c>
      <c r="T25" s="58" t="str">
        <f>IF(Tableau1[[#This Row],[DMS_SAP]]="","",HYPERLINK(Tableau1[[#This Row],[Chemin fichier source]],"X"))</f>
        <v/>
      </c>
      <c r="U25" s="58" t="str">
        <f>IF(Tableau1[[#This Row],[Date rév.]]="","",HYPERLINK(Tableau1[[#This Row],[Lien document]],"X"))</f>
        <v/>
      </c>
      <c r="V25" s="44"/>
      <c r="W25"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EDF\T040-G010-40_33601.pdf</v>
      </c>
      <c r="X25" s="44">
        <v>24</v>
      </c>
      <c r="Y25" s="44">
        <v>2</v>
      </c>
      <c r="Z25" s="41" t="str">
        <f ca="1">IF(AND(Tableau1[[#This Row],[Charge]]&lt;&gt;0, Tableau1[[#This Row],[Nombre intervenants]]&lt;&gt;0,Tableau1[[#This Row],[Lien document]]&lt;&gt;0,Tableau1[[#This Row],[DMS_SAP]]&lt;&gt;0)=TRUE,"MIS A JOUR","")</f>
        <v/>
      </c>
      <c r="AA25" s="45"/>
      <c r="AB25" s="55" t="str">
        <f ca="1">IF(Tableau1[[#This Row],[Date rév.]]&lt;&gt;"", DAYS360(Tableau1[[#This Row],[Date rév.]],TODAY()),"")</f>
        <v/>
      </c>
      <c r="AC25" s="47">
        <f>IFERROR(INDEX(Chemin_accès!$B$11:$C$22,MATCH(Tableau1[[#This Row],[Type]],Chemin_accès!$C$11:$C$22,0),1),Chemin_accès!$B$11)</f>
        <v>0</v>
      </c>
      <c r="AD25" s="47" t="str">
        <f>Chemin_accès!$B$8&amp;Tableau1[[#This Row],[Localisation / Classement]]&amp;"\"&amp;Tableau1[[#This Row],[Poste technique]]&amp;"_"&amp;Tableau1[[#This Row],[Plan Entretien]]&amp;".xlsm"</f>
        <v>220KV ARRIVEE EDF\T040-G010-40_33601.xlsm</v>
      </c>
    </row>
    <row r="26" spans="1:30" x14ac:dyDescent="0.3">
      <c r="A26" s="41" t="str">
        <f t="shared" ca="1" si="0"/>
        <v>7.MNRJ</v>
      </c>
      <c r="B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 s="60"/>
      <c r="D26" s="41" t="s">
        <v>436</v>
      </c>
      <c r="E26" s="41" t="s">
        <v>135</v>
      </c>
      <c r="F26" s="41" t="s">
        <v>144</v>
      </c>
      <c r="G26" s="41" t="s">
        <v>145</v>
      </c>
      <c r="H26" s="48">
        <v>33601</v>
      </c>
      <c r="I26" s="63">
        <v>69008</v>
      </c>
      <c r="J26" s="48" t="s">
        <v>253</v>
      </c>
      <c r="K26" s="48">
        <v>49</v>
      </c>
      <c r="L26" s="43" t="s">
        <v>447</v>
      </c>
      <c r="M26" s="41" t="s">
        <v>278</v>
      </c>
      <c r="N26" s="43" t="s">
        <v>62</v>
      </c>
      <c r="O26" s="43"/>
      <c r="P26" s="44"/>
      <c r="Q26" s="43"/>
      <c r="R26" s="43" t="s">
        <v>2</v>
      </c>
      <c r="S26" s="45">
        <v>44593</v>
      </c>
      <c r="T26" s="58" t="str">
        <f>IF(Tableau1[[#This Row],[DMS_SAP]]="","",HYPERLINK(Tableau1[[#This Row],[Chemin fichier source]],"X"))</f>
        <v/>
      </c>
      <c r="U26" s="58" t="str">
        <f>IF(Tableau1[[#This Row],[Date rév.]]="","",HYPERLINK(Tableau1[[#This Row],[Lien document]],"X"))</f>
        <v/>
      </c>
      <c r="V26" s="44"/>
      <c r="W26"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EDF\T040-G010-40_33601.pdf</v>
      </c>
      <c r="X26" s="44">
        <v>24</v>
      </c>
      <c r="Y26" s="44">
        <v>2</v>
      </c>
      <c r="Z26" s="41" t="str">
        <f ca="1">IF(AND(Tableau1[[#This Row],[Charge]]&lt;&gt;0, Tableau1[[#This Row],[Nombre intervenants]]&lt;&gt;0,Tableau1[[#This Row],[Lien document]]&lt;&gt;0,Tableau1[[#This Row],[DMS_SAP]]&lt;&gt;0)=TRUE,"MIS A JOUR","")</f>
        <v/>
      </c>
      <c r="AA26" s="45"/>
      <c r="AB26" s="55" t="str">
        <f ca="1">IF(Tableau1[[#This Row],[Date rév.]]&lt;&gt;"", DAYS360(Tableau1[[#This Row],[Date rév.]],TODAY()),"")</f>
        <v/>
      </c>
      <c r="AC26" s="47">
        <f>IFERROR(INDEX(Chemin_accès!$B$11:$C$22,MATCH(Tableau1[[#This Row],[Type]],Chemin_accès!$C$11:$C$22,0),1),Chemin_accès!$B$11)</f>
        <v>0</v>
      </c>
      <c r="AD26" s="47" t="str">
        <f>Chemin_accès!$B$8&amp;Tableau1[[#This Row],[Localisation / Classement]]&amp;"\"&amp;Tableau1[[#This Row],[Poste technique]]&amp;"_"&amp;Tableau1[[#This Row],[Plan Entretien]]&amp;".xlsm"</f>
        <v>220KV ARRIVEE EDF\T040-G010-40_33601.xlsm</v>
      </c>
    </row>
    <row r="27" spans="1:30" x14ac:dyDescent="0.3">
      <c r="A27" s="41" t="str">
        <f t="shared" ca="1" si="0"/>
        <v>7.MNRJ</v>
      </c>
      <c r="B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 s="60"/>
      <c r="D27" s="41" t="s">
        <v>436</v>
      </c>
      <c r="E27" s="41" t="s">
        <v>135</v>
      </c>
      <c r="F27" s="44" t="s">
        <v>144</v>
      </c>
      <c r="G27" s="44" t="s">
        <v>145</v>
      </c>
      <c r="H27" s="48">
        <v>33601</v>
      </c>
      <c r="I27" s="63">
        <v>69009</v>
      </c>
      <c r="J27" s="48" t="s">
        <v>253</v>
      </c>
      <c r="K27" s="48">
        <v>50</v>
      </c>
      <c r="L27" s="43" t="s">
        <v>447</v>
      </c>
      <c r="M27" s="41" t="s">
        <v>279</v>
      </c>
      <c r="N27" s="43" t="s">
        <v>62</v>
      </c>
      <c r="O27" s="43"/>
      <c r="P27" s="44"/>
      <c r="Q27" s="43"/>
      <c r="R27" s="43" t="s">
        <v>2</v>
      </c>
      <c r="S27" s="45">
        <v>44593</v>
      </c>
      <c r="T27" s="58" t="str">
        <f>IF(Tableau1[[#This Row],[DMS_SAP]]="","",HYPERLINK(Tableau1[[#This Row],[Chemin fichier source]],"X"))</f>
        <v/>
      </c>
      <c r="U27" s="58" t="str">
        <f>IF(Tableau1[[#This Row],[Date rév.]]="","",HYPERLINK(Tableau1[[#This Row],[Lien document]],"X"))</f>
        <v/>
      </c>
      <c r="V27" s="44"/>
      <c r="W27"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EDF\T040-G010-40_33601.pdf</v>
      </c>
      <c r="X27" s="44">
        <v>24</v>
      </c>
      <c r="Y27" s="44">
        <v>2</v>
      </c>
      <c r="Z27" s="41" t="str">
        <f ca="1">IF(AND(Tableau1[[#This Row],[Charge]]&lt;&gt;0, Tableau1[[#This Row],[Nombre intervenants]]&lt;&gt;0,Tableau1[[#This Row],[Lien document]]&lt;&gt;0,Tableau1[[#This Row],[DMS_SAP]]&lt;&gt;0)=TRUE,"MIS A JOUR","")</f>
        <v/>
      </c>
      <c r="AA27" s="45"/>
      <c r="AB27" s="55" t="str">
        <f ca="1">IF(Tableau1[[#This Row],[Date rév.]]&lt;&gt;"", DAYS360(Tableau1[[#This Row],[Date rév.]],TODAY()),"")</f>
        <v/>
      </c>
      <c r="AC27" s="47">
        <f>IFERROR(INDEX(Chemin_accès!$B$11:$C$22,MATCH(Tableau1[[#This Row],[Type]],Chemin_accès!$C$11:$C$22,0),1),Chemin_accès!$B$11)</f>
        <v>0</v>
      </c>
      <c r="AD27" s="47" t="str">
        <f>Chemin_accès!$B$8&amp;Tableau1[[#This Row],[Localisation / Classement]]&amp;"\"&amp;Tableau1[[#This Row],[Poste technique]]&amp;"_"&amp;Tableau1[[#This Row],[Plan Entretien]]&amp;".xlsm"</f>
        <v>220KV ARRIVEE EDF\T040-G010-40_33601.xlsm</v>
      </c>
    </row>
    <row r="28" spans="1:30" x14ac:dyDescent="0.3">
      <c r="A28" s="41" t="str">
        <f t="shared" ca="1" si="0"/>
        <v>7.MNRJ</v>
      </c>
      <c r="B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 s="60"/>
      <c r="D28" s="41" t="s">
        <v>436</v>
      </c>
      <c r="E28" s="41" t="s">
        <v>135</v>
      </c>
      <c r="F28" s="44" t="s">
        <v>146</v>
      </c>
      <c r="G28" s="44" t="s">
        <v>147</v>
      </c>
      <c r="H28" s="48">
        <v>33601</v>
      </c>
      <c r="I28" s="63">
        <v>67618</v>
      </c>
      <c r="J28" s="48" t="s">
        <v>252</v>
      </c>
      <c r="K28" s="48">
        <v>23</v>
      </c>
      <c r="L28" s="43" t="s">
        <v>447</v>
      </c>
      <c r="M28" s="41" t="s">
        <v>280</v>
      </c>
      <c r="N28" s="43" t="s">
        <v>62</v>
      </c>
      <c r="O28" s="43"/>
      <c r="P28" s="44"/>
      <c r="Q28" s="43"/>
      <c r="R28" s="43" t="s">
        <v>2</v>
      </c>
      <c r="S28" s="45">
        <v>44593</v>
      </c>
      <c r="T28" s="58" t="str">
        <f>IF(Tableau1[[#This Row],[DMS_SAP]]="","",HYPERLINK(Tableau1[[#This Row],[Chemin fichier source]],"X"))</f>
        <v/>
      </c>
      <c r="U28" s="58" t="str">
        <f>IF(Tableau1[[#This Row],[Date rév.]]="","",HYPERLINK(Tableau1[[#This Row],[Lien document]],"X"))</f>
        <v/>
      </c>
      <c r="V28" s="44"/>
      <c r="W28" s="46" t="str">
        <f ca="1">Chemin_accès!$B$2&amp;Tableau1[[#This Row],[Poste Responsable]]&amp;"\"&amp;Tableau1[[#This Row],[Localisation / Classement]]&amp;"\"&amp;Tableau1[[#This Row],[Poste technique]]&amp;"_"&amp;Tableau1[[#This Row],[Plan Entretien]]&amp;".pdf"</f>
        <v>\\stjn.local\trimet\Donnees_Projets\Dms Sap\Maintenance\PlanEntretien\7.MNRJ\220KV ARRIVEE EDF\T040-G020_33601.pdf</v>
      </c>
      <c r="X28" s="44">
        <v>16</v>
      </c>
      <c r="Y28" s="44">
        <v>2</v>
      </c>
      <c r="Z28" s="41" t="str">
        <f ca="1">IF(AND(Tableau1[[#This Row],[Charge]]&lt;&gt;0, Tableau1[[#This Row],[Nombre intervenants]]&lt;&gt;0,Tableau1[[#This Row],[Lien document]]&lt;&gt;0,Tableau1[[#This Row],[DMS_SAP]]&lt;&gt;0)=TRUE,"MIS A JOUR","")</f>
        <v/>
      </c>
      <c r="AA28" s="45"/>
      <c r="AB28" s="55" t="str">
        <f ca="1">IF(Tableau1[[#This Row],[Date rév.]]&lt;&gt;"", DAYS360(Tableau1[[#This Row],[Date rév.]],TODAY()),"")</f>
        <v/>
      </c>
      <c r="AC28" s="47">
        <f>IFERROR(INDEX(Chemin_accès!$B$11:$C$22,MATCH(Tableau1[[#This Row],[Type]],Chemin_accès!$C$11:$C$22,0),1),Chemin_accès!$B$11)</f>
        <v>0</v>
      </c>
      <c r="AD28" s="47" t="str">
        <f>Chemin_accès!$B$8&amp;Tableau1[[#This Row],[Localisation / Classement]]&amp;"\"&amp;Tableau1[[#This Row],[Poste technique]]&amp;"_"&amp;Tableau1[[#This Row],[Plan Entretien]]&amp;".xlsm"</f>
        <v>220KV ARRIVEE EDF\T040-G020_33601.xlsm</v>
      </c>
    </row>
    <row r="29" spans="1:30" x14ac:dyDescent="0.3">
      <c r="A29" s="41" t="str">
        <f t="shared" ca="1" si="0"/>
        <v>7.MNRJ</v>
      </c>
      <c r="B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 s="60"/>
      <c r="D29" s="41" t="s">
        <v>437</v>
      </c>
      <c r="E29" s="41" t="s">
        <v>135</v>
      </c>
      <c r="F29" s="44" t="s">
        <v>148</v>
      </c>
      <c r="G29" s="44" t="s">
        <v>149</v>
      </c>
      <c r="H29" s="48">
        <v>33601</v>
      </c>
      <c r="I29" s="63">
        <v>69035</v>
      </c>
      <c r="J29" s="48" t="s">
        <v>253</v>
      </c>
      <c r="K29" s="48">
        <v>69</v>
      </c>
      <c r="L29" s="43" t="s">
        <v>446</v>
      </c>
      <c r="M29" s="41" t="s">
        <v>281</v>
      </c>
      <c r="N29" s="43" t="s">
        <v>62</v>
      </c>
      <c r="O29" s="43"/>
      <c r="P29" s="44"/>
      <c r="Q29" s="43"/>
      <c r="R29" s="43" t="s">
        <v>2</v>
      </c>
      <c r="S29" s="45">
        <v>44593</v>
      </c>
      <c r="T29" s="58" t="str">
        <f>IF(Tableau1[[#This Row],[DMS_SAP]]="","",HYPERLINK(Tableau1[[#This Row],[Chemin fichier source]],"X"))</f>
        <v/>
      </c>
      <c r="U29" s="58" t="str">
        <f>IF(Tableau1[[#This Row],[Date rév.]]="","",HYPERLINK(Tableau1[[#This Row],[Lien document]],"X"))</f>
        <v/>
      </c>
      <c r="V29" s="44"/>
      <c r="W29"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TRANSFO\T040-J_33601.pdf</v>
      </c>
      <c r="X29" s="44">
        <v>184</v>
      </c>
      <c r="Y29" s="44">
        <v>2</v>
      </c>
      <c r="Z29" s="41" t="str">
        <f ca="1">IF(AND(Tableau1[[#This Row],[Charge]]&lt;&gt;0, Tableau1[[#This Row],[Nombre intervenants]]&lt;&gt;0,Tableau1[[#This Row],[Lien document]]&lt;&gt;0,Tableau1[[#This Row],[DMS_SAP]]&lt;&gt;0)=TRUE,"MIS A JOUR","")</f>
        <v/>
      </c>
      <c r="AA29" s="45"/>
      <c r="AB29" s="55" t="str">
        <f ca="1">IF(Tableau1[[#This Row],[Date rév.]]&lt;&gt;"", DAYS360(Tableau1[[#This Row],[Date rév.]],TODAY()),"")</f>
        <v/>
      </c>
      <c r="AC29" s="47">
        <f>IFERROR(INDEX(Chemin_accès!$B$11:$C$22,MATCH(Tableau1[[#This Row],[Type]],Chemin_accès!$C$11:$C$22,0),1),Chemin_accès!$B$11)</f>
        <v>0</v>
      </c>
      <c r="AD29" s="47" t="str">
        <f>Chemin_accès!$B$8&amp;Tableau1[[#This Row],[Localisation / Classement]]&amp;"\"&amp;Tableau1[[#This Row],[Poste technique]]&amp;"_"&amp;Tableau1[[#This Row],[Plan Entretien]]&amp;".xlsm"</f>
        <v>220KV/42KV TRANSFO\T040-J_33601.xlsm</v>
      </c>
    </row>
    <row r="30" spans="1:30" x14ac:dyDescent="0.3">
      <c r="A30" s="41" t="str">
        <f t="shared" ca="1" si="0"/>
        <v>7.MNRJ</v>
      </c>
      <c r="B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 s="60"/>
      <c r="D30" s="41" t="s">
        <v>437</v>
      </c>
      <c r="E30" s="41" t="s">
        <v>135</v>
      </c>
      <c r="F30" s="41" t="s">
        <v>148</v>
      </c>
      <c r="G30" s="41" t="s">
        <v>149</v>
      </c>
      <c r="H30" s="48">
        <v>33601</v>
      </c>
      <c r="I30" s="63">
        <v>69036</v>
      </c>
      <c r="J30" s="48" t="s">
        <v>253</v>
      </c>
      <c r="K30" s="48">
        <v>70</v>
      </c>
      <c r="L30" s="43" t="s">
        <v>52</v>
      </c>
      <c r="M30" s="41" t="s">
        <v>282</v>
      </c>
      <c r="N30" s="43" t="s">
        <v>62</v>
      </c>
      <c r="O30" s="43"/>
      <c r="P30" s="44"/>
      <c r="Q30" s="43"/>
      <c r="R30" s="43" t="s">
        <v>2</v>
      </c>
      <c r="S30" s="45">
        <v>44593</v>
      </c>
      <c r="T30" s="58" t="str">
        <f>IF(Tableau1[[#This Row],[DMS_SAP]]="","",HYPERLINK(Tableau1[[#This Row],[Chemin fichier source]],"X"))</f>
        <v/>
      </c>
      <c r="U30" s="58" t="str">
        <f>IF(Tableau1[[#This Row],[Date rév.]]="","",HYPERLINK(Tableau1[[#This Row],[Lien document]],"X"))</f>
        <v/>
      </c>
      <c r="V30" s="44"/>
      <c r="W30"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TRANSFO\T040-J_33601.pdf</v>
      </c>
      <c r="X30" s="44">
        <v>184</v>
      </c>
      <c r="Y30" s="44">
        <v>2</v>
      </c>
      <c r="Z30" s="41" t="str">
        <f ca="1">IF(AND(Tableau1[[#This Row],[Charge]]&lt;&gt;0, Tableau1[[#This Row],[Nombre intervenants]]&lt;&gt;0,Tableau1[[#This Row],[Lien document]]&lt;&gt;0,Tableau1[[#This Row],[DMS_SAP]]&lt;&gt;0)=TRUE,"MIS A JOUR","")</f>
        <v/>
      </c>
      <c r="AA30" s="45"/>
      <c r="AB30" s="55" t="str">
        <f ca="1">IF(Tableau1[[#This Row],[Date rév.]]&lt;&gt;"", DAYS360(Tableau1[[#This Row],[Date rév.]],TODAY()),"")</f>
        <v/>
      </c>
      <c r="AC30" s="47">
        <f>IFERROR(INDEX(Chemin_accès!$B$11:$C$22,MATCH(Tableau1[[#This Row],[Type]],Chemin_accès!$C$11:$C$22,0),1),Chemin_accès!$B$11)</f>
        <v>0</v>
      </c>
      <c r="AD30" s="47" t="str">
        <f>Chemin_accès!$B$8&amp;Tableau1[[#This Row],[Localisation / Classement]]&amp;"\"&amp;Tableau1[[#This Row],[Poste technique]]&amp;"_"&amp;Tableau1[[#This Row],[Plan Entretien]]&amp;".xlsm"</f>
        <v>220KV/42KV TRANSFO\T040-J_33601.xlsm</v>
      </c>
    </row>
    <row r="31" spans="1:30" x14ac:dyDescent="0.3">
      <c r="A31" s="41" t="str">
        <f t="shared" ca="1" si="0"/>
        <v>7.MNRJ</v>
      </c>
      <c r="B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 s="60"/>
      <c r="D31" s="41" t="s">
        <v>437</v>
      </c>
      <c r="E31" s="41" t="s">
        <v>135</v>
      </c>
      <c r="F31" s="41" t="s">
        <v>148</v>
      </c>
      <c r="G31" s="41" t="s">
        <v>149</v>
      </c>
      <c r="H31" s="48">
        <v>33601</v>
      </c>
      <c r="I31" s="63">
        <v>69037</v>
      </c>
      <c r="J31" s="48" t="s">
        <v>253</v>
      </c>
      <c r="K31" s="48">
        <v>71</v>
      </c>
      <c r="L31" s="43" t="s">
        <v>446</v>
      </c>
      <c r="M31" s="41" t="s">
        <v>283</v>
      </c>
      <c r="N31" s="43" t="s">
        <v>62</v>
      </c>
      <c r="O31" s="43"/>
      <c r="P31" s="44"/>
      <c r="Q31" s="43"/>
      <c r="R31" s="43" t="s">
        <v>2</v>
      </c>
      <c r="S31" s="45">
        <v>44593</v>
      </c>
      <c r="T31" s="58" t="str">
        <f>IF(Tableau1[[#This Row],[DMS_SAP]]="","",HYPERLINK(Tableau1[[#This Row],[Chemin fichier source]],"X"))</f>
        <v/>
      </c>
      <c r="U31" s="58" t="str">
        <f>IF(Tableau1[[#This Row],[Date rév.]]="","",HYPERLINK(Tableau1[[#This Row],[Lien document]],"X"))</f>
        <v/>
      </c>
      <c r="V31" s="44"/>
      <c r="W31"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TRANSFO\T040-J_33601.pdf</v>
      </c>
      <c r="X31" s="44">
        <v>32</v>
      </c>
      <c r="Y31" s="44">
        <v>2</v>
      </c>
      <c r="Z31" s="41" t="str">
        <f ca="1">IF(AND(Tableau1[[#This Row],[Charge]]&lt;&gt;0, Tableau1[[#This Row],[Nombre intervenants]]&lt;&gt;0,Tableau1[[#This Row],[Lien document]]&lt;&gt;0,Tableau1[[#This Row],[DMS_SAP]]&lt;&gt;0)=TRUE,"MIS A JOUR","")</f>
        <v/>
      </c>
      <c r="AA31" s="45"/>
      <c r="AB31" s="55" t="str">
        <f ca="1">IF(Tableau1[[#This Row],[Date rév.]]&lt;&gt;"", DAYS360(Tableau1[[#This Row],[Date rév.]],TODAY()),"")</f>
        <v/>
      </c>
      <c r="AC31" s="47">
        <f>IFERROR(INDEX(Chemin_accès!$B$11:$C$22,MATCH(Tableau1[[#This Row],[Type]],Chemin_accès!$C$11:$C$22,0),1),Chemin_accès!$B$11)</f>
        <v>0</v>
      </c>
      <c r="AD31" s="47" t="str">
        <f>Chemin_accès!$B$8&amp;Tableau1[[#This Row],[Localisation / Classement]]&amp;"\"&amp;Tableau1[[#This Row],[Poste technique]]&amp;"_"&amp;Tableau1[[#This Row],[Plan Entretien]]&amp;".xlsm"</f>
        <v>220KV/42KV TRANSFO\T040-J_33601.xlsm</v>
      </c>
    </row>
    <row r="32" spans="1:30" x14ac:dyDescent="0.3">
      <c r="A32" s="41" t="str">
        <f t="shared" ca="1" si="0"/>
        <v>7.MNRJ</v>
      </c>
      <c r="B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 s="60"/>
      <c r="D32" s="41" t="s">
        <v>437</v>
      </c>
      <c r="E32" s="41" t="s">
        <v>135</v>
      </c>
      <c r="F32" s="44" t="s">
        <v>148</v>
      </c>
      <c r="G32" s="44" t="s">
        <v>149</v>
      </c>
      <c r="H32" s="48">
        <v>33601</v>
      </c>
      <c r="I32" s="63">
        <v>69038</v>
      </c>
      <c r="J32" s="48" t="s">
        <v>253</v>
      </c>
      <c r="K32" s="48">
        <v>72</v>
      </c>
      <c r="L32" s="43" t="s">
        <v>446</v>
      </c>
      <c r="M32" s="41" t="s">
        <v>284</v>
      </c>
      <c r="N32" s="43" t="s">
        <v>62</v>
      </c>
      <c r="O32" s="43"/>
      <c r="P32" s="44"/>
      <c r="Q32" s="43"/>
      <c r="R32" s="43" t="s">
        <v>2</v>
      </c>
      <c r="S32" s="45">
        <v>44593</v>
      </c>
      <c r="T32" s="58" t="str">
        <f>IF(Tableau1[[#This Row],[DMS_SAP]]="","",HYPERLINK(Tableau1[[#This Row],[Chemin fichier source]],"X"))</f>
        <v/>
      </c>
      <c r="U32" s="58" t="str">
        <f>IF(Tableau1[[#This Row],[Date rév.]]="","",HYPERLINK(Tableau1[[#This Row],[Lien document]],"X"))</f>
        <v/>
      </c>
      <c r="V32" s="44"/>
      <c r="W32"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TRANSFO\T040-J_33601.pdf</v>
      </c>
      <c r="X32" s="44">
        <v>32</v>
      </c>
      <c r="Y32" s="44">
        <v>2</v>
      </c>
      <c r="Z32" s="41" t="str">
        <f ca="1">IF(AND(Tableau1[[#This Row],[Charge]]&lt;&gt;0, Tableau1[[#This Row],[Nombre intervenants]]&lt;&gt;0,Tableau1[[#This Row],[Lien document]]&lt;&gt;0,Tableau1[[#This Row],[DMS_SAP]]&lt;&gt;0)=TRUE,"MIS A JOUR","")</f>
        <v/>
      </c>
      <c r="AA32" s="45"/>
      <c r="AB32" s="55" t="str">
        <f ca="1">IF(Tableau1[[#This Row],[Date rév.]]&lt;&gt;"", DAYS360(Tableau1[[#This Row],[Date rév.]],TODAY()),"")</f>
        <v/>
      </c>
      <c r="AC32" s="47">
        <f>IFERROR(INDEX(Chemin_accès!$B$11:$C$22,MATCH(Tableau1[[#This Row],[Type]],Chemin_accès!$C$11:$C$22,0),1),Chemin_accès!$B$11)</f>
        <v>0</v>
      </c>
      <c r="AD32" s="47" t="str">
        <f>Chemin_accès!$B$8&amp;Tableau1[[#This Row],[Localisation / Classement]]&amp;"\"&amp;Tableau1[[#This Row],[Poste technique]]&amp;"_"&amp;Tableau1[[#This Row],[Plan Entretien]]&amp;".xlsm"</f>
        <v>220KV/42KV TRANSFO\T040-J_33601.xlsm</v>
      </c>
    </row>
    <row r="33" spans="1:30" x14ac:dyDescent="0.3">
      <c r="A33" s="41" t="str">
        <f t="shared" ca="1" si="0"/>
        <v>7.MNRJ</v>
      </c>
      <c r="B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 s="60"/>
      <c r="D33" s="41" t="s">
        <v>437</v>
      </c>
      <c r="E33" s="41" t="s">
        <v>135</v>
      </c>
      <c r="F33" s="44" t="s">
        <v>148</v>
      </c>
      <c r="G33" s="44" t="s">
        <v>149</v>
      </c>
      <c r="H33" s="48">
        <v>33601</v>
      </c>
      <c r="I33" s="63">
        <v>69183</v>
      </c>
      <c r="J33" s="48" t="s">
        <v>253</v>
      </c>
      <c r="K33" s="48">
        <v>99</v>
      </c>
      <c r="L33" s="43" t="s">
        <v>82</v>
      </c>
      <c r="M33" s="41" t="s">
        <v>285</v>
      </c>
      <c r="N33" s="43" t="s">
        <v>62</v>
      </c>
      <c r="O33" s="43"/>
      <c r="P33" s="44"/>
      <c r="Q33" s="43"/>
      <c r="R33" s="43" t="s">
        <v>2</v>
      </c>
      <c r="S33" s="45">
        <v>44593</v>
      </c>
      <c r="T33" s="58" t="str">
        <f>IF(Tableau1[[#This Row],[DMS_SAP]]="","",HYPERLINK(Tableau1[[#This Row],[Chemin fichier source]],"X"))</f>
        <v/>
      </c>
      <c r="U33" s="58" t="str">
        <f>IF(Tableau1[[#This Row],[Date rév.]]="","",HYPERLINK(Tableau1[[#This Row],[Lien document]],"X"))</f>
        <v/>
      </c>
      <c r="V33" s="44"/>
      <c r="W33"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TRANSFO\T040-J_33601.pdf</v>
      </c>
      <c r="X33" s="44">
        <v>4</v>
      </c>
      <c r="Y33" s="44">
        <v>2</v>
      </c>
      <c r="Z33" s="41" t="str">
        <f ca="1">IF(AND(Tableau1[[#This Row],[Charge]]&lt;&gt;0, Tableau1[[#This Row],[Nombre intervenants]]&lt;&gt;0,Tableau1[[#This Row],[Lien document]]&lt;&gt;0,Tableau1[[#This Row],[DMS_SAP]]&lt;&gt;0)=TRUE,"MIS A JOUR","")</f>
        <v/>
      </c>
      <c r="AA33" s="45"/>
      <c r="AB33" s="55" t="str">
        <f ca="1">IF(Tableau1[[#This Row],[Date rév.]]&lt;&gt;"", DAYS360(Tableau1[[#This Row],[Date rév.]],TODAY()),"")</f>
        <v/>
      </c>
      <c r="AC33" s="47">
        <f>IFERROR(INDEX(Chemin_accès!$B$11:$C$22,MATCH(Tableau1[[#This Row],[Type]],Chemin_accès!$C$11:$C$22,0),1),Chemin_accès!$B$11)</f>
        <v>0</v>
      </c>
      <c r="AD33" s="47" t="str">
        <f>Chemin_accès!$B$8&amp;Tableau1[[#This Row],[Localisation / Classement]]&amp;"\"&amp;Tableau1[[#This Row],[Poste technique]]&amp;"_"&amp;Tableau1[[#This Row],[Plan Entretien]]&amp;".xlsm"</f>
        <v>220KV/42KV TRANSFO\T040-J_33601.xlsm</v>
      </c>
    </row>
    <row r="34" spans="1:30" x14ac:dyDescent="0.3">
      <c r="A34" s="41" t="str">
        <f t="shared" ca="1" si="0"/>
        <v>7.MNRJ</v>
      </c>
      <c r="B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 s="60"/>
      <c r="D34" s="41" t="s">
        <v>437</v>
      </c>
      <c r="E34" s="41" t="s">
        <v>135</v>
      </c>
      <c r="F34" s="44" t="s">
        <v>148</v>
      </c>
      <c r="G34" s="44" t="s">
        <v>149</v>
      </c>
      <c r="H34" s="48">
        <v>33601</v>
      </c>
      <c r="I34" s="63">
        <v>67619</v>
      </c>
      <c r="J34" s="48" t="s">
        <v>252</v>
      </c>
      <c r="K34" s="48">
        <v>65</v>
      </c>
      <c r="L34" s="43" t="s">
        <v>82</v>
      </c>
      <c r="M34" s="41" t="s">
        <v>286</v>
      </c>
      <c r="N34" s="43" t="s">
        <v>444</v>
      </c>
      <c r="O34" s="43"/>
      <c r="P34" s="44"/>
      <c r="Q34" s="43"/>
      <c r="R34" s="43" t="s">
        <v>2</v>
      </c>
      <c r="S34" s="45">
        <v>44593</v>
      </c>
      <c r="T34" s="58" t="str">
        <f>IF(Tableau1[[#This Row],[DMS_SAP]]="","",HYPERLINK(Tableau1[[#This Row],[Chemin fichier source]],"X"))</f>
        <v/>
      </c>
      <c r="U34" s="58" t="str">
        <f>IF(Tableau1[[#This Row],[Date rév.]]="","",HYPERLINK(Tableau1[[#This Row],[Lien document]],"X"))</f>
        <v/>
      </c>
      <c r="V34" s="44"/>
      <c r="W34"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TRANSFO\T040-J_33601.pdf</v>
      </c>
      <c r="X34" s="44">
        <v>12</v>
      </c>
      <c r="Y34" s="44">
        <v>2</v>
      </c>
      <c r="Z34" s="41" t="str">
        <f ca="1">IF(AND(Tableau1[[#This Row],[Charge]]&lt;&gt;0, Tableau1[[#This Row],[Nombre intervenants]]&lt;&gt;0,Tableau1[[#This Row],[Lien document]]&lt;&gt;0,Tableau1[[#This Row],[DMS_SAP]]&lt;&gt;0)=TRUE,"MIS A JOUR","")</f>
        <v/>
      </c>
      <c r="AA34" s="45"/>
      <c r="AB34" s="55" t="str">
        <f ca="1">IF(Tableau1[[#This Row],[Date rév.]]&lt;&gt;"", DAYS360(Tableau1[[#This Row],[Date rév.]],TODAY()),"")</f>
        <v/>
      </c>
      <c r="AC34" s="47">
        <f>IFERROR(INDEX(Chemin_accès!$B$11:$C$22,MATCH(Tableau1[[#This Row],[Type]],Chemin_accès!$C$11:$C$22,0),1),Chemin_accès!$B$11)</f>
        <v>0</v>
      </c>
      <c r="AD34" s="47" t="str">
        <f>Chemin_accès!$B$8&amp;Tableau1[[#This Row],[Localisation / Classement]]&amp;"\"&amp;Tableau1[[#This Row],[Poste technique]]&amp;"_"&amp;Tableau1[[#This Row],[Plan Entretien]]&amp;".xlsm"</f>
        <v>220KV/42KV TRANSFO\T040-J_33601.xlsm</v>
      </c>
    </row>
    <row r="35" spans="1:30" x14ac:dyDescent="0.3">
      <c r="A35" s="41" t="str">
        <f t="shared" ca="1" si="0"/>
        <v>7.MNRJ</v>
      </c>
      <c r="B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 s="60"/>
      <c r="D35" s="41" t="s">
        <v>437</v>
      </c>
      <c r="E35" s="41" t="s">
        <v>135</v>
      </c>
      <c r="F35" s="44" t="s">
        <v>150</v>
      </c>
      <c r="G35" s="44" t="s">
        <v>151</v>
      </c>
      <c r="H35" s="48">
        <v>33601</v>
      </c>
      <c r="I35" s="63">
        <v>68994</v>
      </c>
      <c r="J35" s="48" t="s">
        <v>253</v>
      </c>
      <c r="K35" s="48">
        <v>35</v>
      </c>
      <c r="L35" s="43" t="s">
        <v>82</v>
      </c>
      <c r="M35" s="41" t="s">
        <v>287</v>
      </c>
      <c r="N35" s="43" t="s">
        <v>445</v>
      </c>
      <c r="O35" s="43"/>
      <c r="P35" s="44"/>
      <c r="Q35" s="43"/>
      <c r="R35" s="43" t="s">
        <v>2</v>
      </c>
      <c r="S35" s="45">
        <v>44593</v>
      </c>
      <c r="T35" s="58" t="str">
        <f>IF(Tableau1[[#This Row],[DMS_SAP]]="","",HYPERLINK(Tableau1[[#This Row],[Chemin fichier source]],"X"))</f>
        <v/>
      </c>
      <c r="U35" s="58" t="str">
        <f>IF(Tableau1[[#This Row],[Date rév.]]="","",HYPERLINK(Tableau1[[#This Row],[Lien document]],"X"))</f>
        <v/>
      </c>
      <c r="V35" s="44"/>
      <c r="W35"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TRANSFO\T040-J010_33601.pdf</v>
      </c>
      <c r="X35" s="44">
        <v>8</v>
      </c>
      <c r="Y35" s="44">
        <v>2</v>
      </c>
      <c r="Z35" s="41" t="str">
        <f ca="1">IF(AND(Tableau1[[#This Row],[Charge]]&lt;&gt;0, Tableau1[[#This Row],[Nombre intervenants]]&lt;&gt;0,Tableau1[[#This Row],[Lien document]]&lt;&gt;0,Tableau1[[#This Row],[DMS_SAP]]&lt;&gt;0)=TRUE,"MIS A JOUR","")</f>
        <v/>
      </c>
      <c r="AA35" s="45"/>
      <c r="AB35" s="55" t="str">
        <f ca="1">IF(Tableau1[[#This Row],[Date rév.]]&lt;&gt;"", DAYS360(Tableau1[[#This Row],[Date rév.]],TODAY()),"")</f>
        <v/>
      </c>
      <c r="AC35" s="47">
        <f>IFERROR(INDEX(Chemin_accès!$B$11:$C$22,MATCH(Tableau1[[#This Row],[Type]],Chemin_accès!$C$11:$C$22,0),1),Chemin_accès!$B$11)</f>
        <v>0</v>
      </c>
      <c r="AD35" s="47" t="str">
        <f>Chemin_accès!$B$8&amp;Tableau1[[#This Row],[Localisation / Classement]]&amp;"\"&amp;Tableau1[[#This Row],[Poste technique]]&amp;"_"&amp;Tableau1[[#This Row],[Plan Entretien]]&amp;".xlsm"</f>
        <v>220KV/42KV TRANSFO\T040-J010_33601.xlsm</v>
      </c>
    </row>
    <row r="36" spans="1:30" x14ac:dyDescent="0.3">
      <c r="A36" s="41" t="str">
        <f t="shared" ca="1" si="0"/>
        <v>7.MNRJ</v>
      </c>
      <c r="B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 s="60"/>
      <c r="D36" s="41" t="s">
        <v>437</v>
      </c>
      <c r="E36" s="41" t="s">
        <v>135</v>
      </c>
      <c r="F36" s="44" t="s">
        <v>150</v>
      </c>
      <c r="G36" s="44" t="s">
        <v>151</v>
      </c>
      <c r="H36" s="48">
        <v>33601</v>
      </c>
      <c r="I36" s="48">
        <v>67620</v>
      </c>
      <c r="J36" s="48" t="s">
        <v>252</v>
      </c>
      <c r="K36" s="48">
        <v>24</v>
      </c>
      <c r="L36" s="43" t="s">
        <v>82</v>
      </c>
      <c r="M36" s="41" t="s">
        <v>288</v>
      </c>
      <c r="N36" s="43" t="s">
        <v>62</v>
      </c>
      <c r="O36" s="43"/>
      <c r="P36" s="44"/>
      <c r="Q36" s="43"/>
      <c r="R36" s="43" t="s">
        <v>2</v>
      </c>
      <c r="S36" s="45">
        <v>44593</v>
      </c>
      <c r="T36" s="58" t="str">
        <f>IF(Tableau1[[#This Row],[DMS_SAP]]="","",HYPERLINK(Tableau1[[#This Row],[Chemin fichier source]],"X"))</f>
        <v/>
      </c>
      <c r="U36" s="58" t="str">
        <f>IF(Tableau1[[#This Row],[Date rév.]]="","",HYPERLINK(Tableau1[[#This Row],[Lien document]],"X"))</f>
        <v/>
      </c>
      <c r="V36" s="44"/>
      <c r="W36"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TRANSFO\T040-J010_33601.pdf</v>
      </c>
      <c r="X36" s="44">
        <v>16</v>
      </c>
      <c r="Y36" s="44">
        <v>2</v>
      </c>
      <c r="Z36" s="41" t="str">
        <f ca="1">IF(AND(Tableau1[[#This Row],[Charge]]&lt;&gt;0, Tableau1[[#This Row],[Nombre intervenants]]&lt;&gt;0,Tableau1[[#This Row],[Lien document]]&lt;&gt;0,Tableau1[[#This Row],[DMS_SAP]]&lt;&gt;0)=TRUE,"MIS A JOUR","")</f>
        <v/>
      </c>
      <c r="AA36" s="45"/>
      <c r="AB36" s="55" t="str">
        <f ca="1">IF(Tableau1[[#This Row],[Date rév.]]&lt;&gt;"", DAYS360(Tableau1[[#This Row],[Date rév.]],TODAY()),"")</f>
        <v/>
      </c>
      <c r="AC36" s="47">
        <f>IFERROR(INDEX(Chemin_accès!$B$11:$C$22,MATCH(Tableau1[[#This Row],[Type]],Chemin_accès!$C$11:$C$22,0),1),Chemin_accès!$B$11)</f>
        <v>0</v>
      </c>
      <c r="AD36" s="47" t="str">
        <f>Chemin_accès!$B$8&amp;Tableau1[[#This Row],[Localisation / Classement]]&amp;"\"&amp;Tableau1[[#This Row],[Poste technique]]&amp;"_"&amp;Tableau1[[#This Row],[Plan Entretien]]&amp;".xlsm"</f>
        <v>220KV/42KV TRANSFO\T040-J010_33601.xlsm</v>
      </c>
    </row>
    <row r="37" spans="1:30" x14ac:dyDescent="0.3">
      <c r="A37" s="41" t="str">
        <f t="shared" ca="1" si="0"/>
        <v>7.MNRJ</v>
      </c>
      <c r="B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 s="43"/>
      <c r="D37" s="41" t="s">
        <v>437</v>
      </c>
      <c r="E37" s="41" t="s">
        <v>135</v>
      </c>
      <c r="F37" s="44" t="s">
        <v>150</v>
      </c>
      <c r="G37" s="44" t="s">
        <v>151</v>
      </c>
      <c r="H37" s="48">
        <v>33601</v>
      </c>
      <c r="I37" s="48">
        <v>67621</v>
      </c>
      <c r="J37" s="48" t="s">
        <v>252</v>
      </c>
      <c r="K37" s="48">
        <v>25</v>
      </c>
      <c r="L37" s="43" t="s">
        <v>448</v>
      </c>
      <c r="M37" s="41" t="s">
        <v>289</v>
      </c>
      <c r="N37" s="43" t="s">
        <v>62</v>
      </c>
      <c r="O37" s="43"/>
      <c r="P37" s="44"/>
      <c r="Q37" s="43"/>
      <c r="R37" s="43" t="s">
        <v>2</v>
      </c>
      <c r="S37" s="45">
        <v>44593</v>
      </c>
      <c r="T37" s="58" t="str">
        <f>IF(Tableau1[[#This Row],[DMS_SAP]]="","",HYPERLINK(Tableau1[[#This Row],[Chemin fichier source]],"X"))</f>
        <v/>
      </c>
      <c r="U37" s="58" t="str">
        <f>IF(Tableau1[[#This Row],[Date rév.]]="","",HYPERLINK(Tableau1[[#This Row],[Lien document]],"X"))</f>
        <v/>
      </c>
      <c r="V37" s="44"/>
      <c r="W37"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TRANSFO\T040-J010_33601.pdf</v>
      </c>
      <c r="X37" s="44">
        <v>8</v>
      </c>
      <c r="Y37" s="44">
        <v>2</v>
      </c>
      <c r="Z37" s="41" t="str">
        <f ca="1">IF(AND(Tableau1[[#This Row],[Charge]]&lt;&gt;0, Tableau1[[#This Row],[Nombre intervenants]]&lt;&gt;0,Tableau1[[#This Row],[Lien document]]&lt;&gt;0,Tableau1[[#This Row],[DMS_SAP]]&lt;&gt;0)=TRUE,"MIS A JOUR","")</f>
        <v/>
      </c>
      <c r="AA37" s="45"/>
      <c r="AB37" s="55" t="str">
        <f ca="1">IF(Tableau1[[#This Row],[Date rév.]]&lt;&gt;"", DAYS360(Tableau1[[#This Row],[Date rév.]],TODAY()),"")</f>
        <v/>
      </c>
      <c r="AC37" s="47">
        <f>IFERROR(INDEX(Chemin_accès!$B$11:$C$22,MATCH(Tableau1[[#This Row],[Type]],Chemin_accès!$C$11:$C$22,0),1),Chemin_accès!$B$11)</f>
        <v>0</v>
      </c>
      <c r="AD37" s="47" t="str">
        <f>Chemin_accès!$B$8&amp;Tableau1[[#This Row],[Localisation / Classement]]&amp;"\"&amp;Tableau1[[#This Row],[Poste technique]]&amp;"_"&amp;Tableau1[[#This Row],[Plan Entretien]]&amp;".xlsm"</f>
        <v>220KV/42KV TRANSFO\T040-J010_33601.xlsm</v>
      </c>
    </row>
    <row r="38" spans="1:30" x14ac:dyDescent="0.3">
      <c r="A38" s="41" t="str">
        <f t="shared" ca="1" si="0"/>
        <v>7.MNRJ</v>
      </c>
      <c r="B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 s="43"/>
      <c r="D38" s="41" t="s">
        <v>437</v>
      </c>
      <c r="E38" s="41" t="s">
        <v>135</v>
      </c>
      <c r="F38" s="41" t="s">
        <v>152</v>
      </c>
      <c r="G38" s="41" t="s">
        <v>153</v>
      </c>
      <c r="H38" s="48">
        <v>33601</v>
      </c>
      <c r="I38" s="48">
        <v>69010</v>
      </c>
      <c r="J38" s="48" t="s">
        <v>253</v>
      </c>
      <c r="K38" s="48">
        <v>51</v>
      </c>
      <c r="L38" s="43" t="s">
        <v>447</v>
      </c>
      <c r="M38" s="41" t="s">
        <v>290</v>
      </c>
      <c r="N38" s="43" t="s">
        <v>62</v>
      </c>
      <c r="O38" s="43"/>
      <c r="P38" s="44"/>
      <c r="Q38" s="43"/>
      <c r="R38" s="43" t="s">
        <v>2</v>
      </c>
      <c r="S38" s="45">
        <v>44593</v>
      </c>
      <c r="T38" s="58" t="str">
        <f>IF(Tableau1[[#This Row],[DMS_SAP]]="","",HYPERLINK(Tableau1[[#This Row],[Chemin fichier source]],"X"))</f>
        <v/>
      </c>
      <c r="U38" s="58" t="str">
        <f>IF(Tableau1[[#This Row],[Date rév.]]="","",HYPERLINK(Tableau1[[#This Row],[Lien document]],"X"))</f>
        <v/>
      </c>
      <c r="V38" s="44"/>
      <c r="W38"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38" s="44">
        <v>14</v>
      </c>
      <c r="Y38" s="44">
        <v>2</v>
      </c>
      <c r="Z38" s="41" t="str">
        <f ca="1">IF(AND(Tableau1[[#This Row],[Charge]]&lt;&gt;0, Tableau1[[#This Row],[Nombre intervenants]]&lt;&gt;0,Tableau1[[#This Row],[Lien document]]&lt;&gt;0,Tableau1[[#This Row],[DMS_SAP]]&lt;&gt;0)=TRUE,"MIS A JOUR","")</f>
        <v/>
      </c>
      <c r="AA38" s="45"/>
      <c r="AB38" s="55" t="str">
        <f ca="1">IF(Tableau1[[#This Row],[Date rév.]]&lt;&gt;"", DAYS360(Tableau1[[#This Row],[Date rév.]],TODAY()),"")</f>
        <v/>
      </c>
      <c r="AC38" s="47">
        <f>IFERROR(INDEX(Chemin_accès!$B$11:$C$22,MATCH(Tableau1[[#This Row],[Type]],Chemin_accès!$C$11:$C$22,0),1),Chemin_accès!$B$11)</f>
        <v>0</v>
      </c>
      <c r="AD38" s="47" t="str">
        <f>Chemin_accès!$B$8&amp;Tableau1[[#This Row],[Localisation / Classement]]&amp;"\"&amp;Tableau1[[#This Row],[Poste technique]]&amp;"_"&amp;Tableau1[[#This Row],[Plan Entretien]]&amp;".xlsm"</f>
        <v>220KV/42KV TRANSFO\T040-J010-20_33601.xlsm</v>
      </c>
    </row>
    <row r="39" spans="1:30" x14ac:dyDescent="0.3">
      <c r="A39" s="41" t="str">
        <f t="shared" ca="1" si="0"/>
        <v>7.MNRJ</v>
      </c>
      <c r="B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 s="60"/>
      <c r="D39" s="41" t="s">
        <v>437</v>
      </c>
      <c r="E39" s="41" t="s">
        <v>135</v>
      </c>
      <c r="F39" s="44" t="s">
        <v>152</v>
      </c>
      <c r="G39" s="44" t="s">
        <v>153</v>
      </c>
      <c r="H39" s="48">
        <v>33601</v>
      </c>
      <c r="I39" s="48">
        <v>69013</v>
      </c>
      <c r="J39" s="48" t="s">
        <v>253</v>
      </c>
      <c r="K39" s="48">
        <v>52</v>
      </c>
      <c r="L39" s="43" t="s">
        <v>447</v>
      </c>
      <c r="M39" s="41" t="s">
        <v>291</v>
      </c>
      <c r="N39" s="43" t="s">
        <v>62</v>
      </c>
      <c r="O39" s="43"/>
      <c r="P39" s="44"/>
      <c r="Q39" s="43"/>
      <c r="R39" s="43" t="s">
        <v>2</v>
      </c>
      <c r="S39" s="45">
        <v>44593</v>
      </c>
      <c r="T39" s="58" t="str">
        <f>IF(Tableau1[[#This Row],[DMS_SAP]]="","",HYPERLINK(Tableau1[[#This Row],[Chemin fichier source]],"X"))</f>
        <v/>
      </c>
      <c r="U39" s="58" t="str">
        <f>IF(Tableau1[[#This Row],[Date rév.]]="","",HYPERLINK(Tableau1[[#This Row],[Lien document]],"X"))</f>
        <v/>
      </c>
      <c r="V39" s="44"/>
      <c r="W39"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39" s="44">
        <v>14</v>
      </c>
      <c r="Y39" s="44">
        <v>2</v>
      </c>
      <c r="Z39" s="41" t="str">
        <f ca="1">IF(AND(Tableau1[[#This Row],[Charge]]&lt;&gt;0, Tableau1[[#This Row],[Nombre intervenants]]&lt;&gt;0,Tableau1[[#This Row],[Lien document]]&lt;&gt;0,Tableau1[[#This Row],[DMS_SAP]]&lt;&gt;0)=TRUE,"MIS A JOUR","")</f>
        <v/>
      </c>
      <c r="AA39" s="45"/>
      <c r="AB39" s="55" t="str">
        <f ca="1">IF(Tableau1[[#This Row],[Date rév.]]&lt;&gt;"", DAYS360(Tableau1[[#This Row],[Date rév.]],TODAY()),"")</f>
        <v/>
      </c>
      <c r="AC39" s="47">
        <f>IFERROR(INDEX(Chemin_accès!$B$11:$C$22,MATCH(Tableau1[[#This Row],[Type]],Chemin_accès!$C$11:$C$22,0),1),Chemin_accès!$B$11)</f>
        <v>0</v>
      </c>
      <c r="AD39" s="47" t="str">
        <f>Chemin_accès!$B$8&amp;Tableau1[[#This Row],[Localisation / Classement]]&amp;"\"&amp;Tableau1[[#This Row],[Poste technique]]&amp;"_"&amp;Tableau1[[#This Row],[Plan Entretien]]&amp;".xlsm"</f>
        <v>220KV/42KV TRANSFO\T040-J010-20_33601.xlsm</v>
      </c>
    </row>
    <row r="40" spans="1:30" x14ac:dyDescent="0.3">
      <c r="A40" s="41" t="str">
        <f t="shared" ca="1" si="0"/>
        <v>7.MNRJ</v>
      </c>
      <c r="B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 s="60"/>
      <c r="D40" s="41" t="s">
        <v>437</v>
      </c>
      <c r="E40" s="41" t="s">
        <v>135</v>
      </c>
      <c r="F40" s="44" t="s">
        <v>152</v>
      </c>
      <c r="G40" s="44" t="s">
        <v>153</v>
      </c>
      <c r="H40" s="48">
        <v>33601</v>
      </c>
      <c r="I40" s="48">
        <v>69019</v>
      </c>
      <c r="J40" s="48" t="s">
        <v>253</v>
      </c>
      <c r="K40" s="48">
        <v>53</v>
      </c>
      <c r="L40" s="43" t="s">
        <v>447</v>
      </c>
      <c r="M40" s="41" t="s">
        <v>292</v>
      </c>
      <c r="N40" s="43" t="s">
        <v>62</v>
      </c>
      <c r="O40" s="43"/>
      <c r="P40" s="44"/>
      <c r="Q40" s="43"/>
      <c r="R40" s="43" t="s">
        <v>2</v>
      </c>
      <c r="S40" s="45">
        <v>44593</v>
      </c>
      <c r="T40" s="58" t="str">
        <f>IF(Tableau1[[#This Row],[DMS_SAP]]="","",HYPERLINK(Tableau1[[#This Row],[Chemin fichier source]],"X"))</f>
        <v/>
      </c>
      <c r="U40" s="58" t="str">
        <f>IF(Tableau1[[#This Row],[Date rév.]]="","",HYPERLINK(Tableau1[[#This Row],[Lien document]],"X"))</f>
        <v/>
      </c>
      <c r="V40" s="44"/>
      <c r="W40"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0" s="44">
        <v>14</v>
      </c>
      <c r="Y40" s="44">
        <v>2</v>
      </c>
      <c r="Z40" s="41" t="str">
        <f ca="1">IF(AND(Tableau1[[#This Row],[Charge]]&lt;&gt;0, Tableau1[[#This Row],[Nombre intervenants]]&lt;&gt;0,Tableau1[[#This Row],[Lien document]]&lt;&gt;0,Tableau1[[#This Row],[DMS_SAP]]&lt;&gt;0)=TRUE,"MIS A JOUR","")</f>
        <v/>
      </c>
      <c r="AA40" s="45"/>
      <c r="AB40" s="55" t="str">
        <f ca="1">IF(Tableau1[[#This Row],[Date rév.]]&lt;&gt;"", DAYS360(Tableau1[[#This Row],[Date rév.]],TODAY()),"")</f>
        <v/>
      </c>
      <c r="AC40" s="47">
        <f>IFERROR(INDEX(Chemin_accès!$B$11:$C$22,MATCH(Tableau1[[#This Row],[Type]],Chemin_accès!$C$11:$C$22,0),1),Chemin_accès!$B$11)</f>
        <v>0</v>
      </c>
      <c r="AD40" s="47" t="str">
        <f>Chemin_accès!$B$8&amp;Tableau1[[#This Row],[Localisation / Classement]]&amp;"\"&amp;Tableau1[[#This Row],[Poste technique]]&amp;"_"&amp;Tableau1[[#This Row],[Plan Entretien]]&amp;".xlsm"</f>
        <v>220KV/42KV TRANSFO\T040-J010-20_33601.xlsm</v>
      </c>
    </row>
    <row r="41" spans="1:30" x14ac:dyDescent="0.3">
      <c r="A41" s="41" t="str">
        <f t="shared" ca="1" si="0"/>
        <v>7.MNRJ</v>
      </c>
      <c r="B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 s="60"/>
      <c r="D41" s="41" t="s">
        <v>437</v>
      </c>
      <c r="E41" s="41" t="s">
        <v>135</v>
      </c>
      <c r="F41" s="44" t="s">
        <v>152</v>
      </c>
      <c r="G41" s="44" t="s">
        <v>153</v>
      </c>
      <c r="H41" s="48">
        <v>33601</v>
      </c>
      <c r="I41" s="48">
        <v>69020</v>
      </c>
      <c r="J41" s="48" t="s">
        <v>253</v>
      </c>
      <c r="K41" s="48">
        <v>54</v>
      </c>
      <c r="L41" s="43" t="s">
        <v>447</v>
      </c>
      <c r="M41" s="41" t="s">
        <v>293</v>
      </c>
      <c r="N41" s="43" t="s">
        <v>62</v>
      </c>
      <c r="O41" s="43"/>
      <c r="P41" s="44"/>
      <c r="Q41" s="43"/>
      <c r="R41" s="43" t="s">
        <v>2</v>
      </c>
      <c r="S41" s="45">
        <v>44593</v>
      </c>
      <c r="T41" s="58" t="str">
        <f>IF(Tableau1[[#This Row],[DMS_SAP]]="","",HYPERLINK(Tableau1[[#This Row],[Chemin fichier source]],"X"))</f>
        <v/>
      </c>
      <c r="U41" s="58" t="str">
        <f>IF(Tableau1[[#This Row],[Date rév.]]="","",HYPERLINK(Tableau1[[#This Row],[Lien document]],"X"))</f>
        <v/>
      </c>
      <c r="V41" s="44"/>
      <c r="W41"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1" s="44">
        <v>14</v>
      </c>
      <c r="Y41" s="44">
        <v>2</v>
      </c>
      <c r="Z41" s="41" t="str">
        <f ca="1">IF(AND(Tableau1[[#This Row],[Charge]]&lt;&gt;0, Tableau1[[#This Row],[Nombre intervenants]]&lt;&gt;0,Tableau1[[#This Row],[Lien document]]&lt;&gt;0,Tableau1[[#This Row],[DMS_SAP]]&lt;&gt;0)=TRUE,"MIS A JOUR","")</f>
        <v/>
      </c>
      <c r="AA41" s="45"/>
      <c r="AB41" s="55" t="str">
        <f ca="1">IF(Tableau1[[#This Row],[Date rév.]]&lt;&gt;"", DAYS360(Tableau1[[#This Row],[Date rév.]],TODAY()),"")</f>
        <v/>
      </c>
      <c r="AC41" s="47">
        <f>IFERROR(INDEX(Chemin_accès!$B$11:$C$22,MATCH(Tableau1[[#This Row],[Type]],Chemin_accès!$C$11:$C$22,0),1),Chemin_accès!$B$11)</f>
        <v>0</v>
      </c>
      <c r="AD41" s="47" t="str">
        <f>Chemin_accès!$B$8&amp;Tableau1[[#This Row],[Localisation / Classement]]&amp;"\"&amp;Tableau1[[#This Row],[Poste technique]]&amp;"_"&amp;Tableau1[[#This Row],[Plan Entretien]]&amp;".xlsm"</f>
        <v>220KV/42KV TRANSFO\T040-J010-20_33601.xlsm</v>
      </c>
    </row>
    <row r="42" spans="1:30" x14ac:dyDescent="0.3">
      <c r="A42" s="41" t="str">
        <f t="shared" ca="1" si="0"/>
        <v>7.MNRJ</v>
      </c>
      <c r="B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 s="60"/>
      <c r="D42" s="41" t="s">
        <v>437</v>
      </c>
      <c r="E42" s="41" t="s">
        <v>135</v>
      </c>
      <c r="F42" s="44" t="s">
        <v>152</v>
      </c>
      <c r="G42" s="44" t="s">
        <v>153</v>
      </c>
      <c r="H42" s="48">
        <v>33601</v>
      </c>
      <c r="I42" s="48">
        <v>69021</v>
      </c>
      <c r="J42" s="48" t="s">
        <v>253</v>
      </c>
      <c r="K42" s="48">
        <v>55</v>
      </c>
      <c r="L42" s="43" t="s">
        <v>447</v>
      </c>
      <c r="M42" s="41" t="s">
        <v>294</v>
      </c>
      <c r="N42" s="43" t="s">
        <v>62</v>
      </c>
      <c r="O42" s="43"/>
      <c r="P42" s="44"/>
      <c r="Q42" s="43"/>
      <c r="R42" s="43" t="s">
        <v>2</v>
      </c>
      <c r="S42" s="45">
        <v>44593</v>
      </c>
      <c r="T42" s="58" t="str">
        <f>IF(Tableau1[[#This Row],[DMS_SAP]]="","",HYPERLINK(Tableau1[[#This Row],[Chemin fichier source]],"X"))</f>
        <v/>
      </c>
      <c r="U42" s="58" t="str">
        <f>IF(Tableau1[[#This Row],[Date rév.]]="","",HYPERLINK(Tableau1[[#This Row],[Lien document]],"X"))</f>
        <v/>
      </c>
      <c r="V42" s="44"/>
      <c r="W42"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2" s="44">
        <v>14</v>
      </c>
      <c r="Y42" s="44">
        <v>2</v>
      </c>
      <c r="Z42" s="41" t="str">
        <f ca="1">IF(AND(Tableau1[[#This Row],[Charge]]&lt;&gt;0, Tableau1[[#This Row],[Nombre intervenants]]&lt;&gt;0,Tableau1[[#This Row],[Lien document]]&lt;&gt;0,Tableau1[[#This Row],[DMS_SAP]]&lt;&gt;0)=TRUE,"MIS A JOUR","")</f>
        <v/>
      </c>
      <c r="AA42" s="45"/>
      <c r="AB42" s="55" t="str">
        <f ca="1">IF(Tableau1[[#This Row],[Date rév.]]&lt;&gt;"", DAYS360(Tableau1[[#This Row],[Date rév.]],TODAY()),"")</f>
        <v/>
      </c>
      <c r="AC42" s="47">
        <f>IFERROR(INDEX(Chemin_accès!$B$11:$C$22,MATCH(Tableau1[[#This Row],[Type]],Chemin_accès!$C$11:$C$22,0),1),Chemin_accès!$B$11)</f>
        <v>0</v>
      </c>
      <c r="AD42" s="47" t="str">
        <f>Chemin_accès!$B$8&amp;Tableau1[[#This Row],[Localisation / Classement]]&amp;"\"&amp;Tableau1[[#This Row],[Poste technique]]&amp;"_"&amp;Tableau1[[#This Row],[Plan Entretien]]&amp;".xlsm"</f>
        <v>220KV/42KV TRANSFO\T040-J010-20_33601.xlsm</v>
      </c>
    </row>
    <row r="43" spans="1:30" x14ac:dyDescent="0.3">
      <c r="A43" s="41" t="str">
        <f t="shared" ca="1" si="0"/>
        <v>7.MNRJ</v>
      </c>
      <c r="B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 s="60"/>
      <c r="D43" s="41" t="s">
        <v>437</v>
      </c>
      <c r="E43" s="41" t="s">
        <v>135</v>
      </c>
      <c r="F43" s="44" t="s">
        <v>152</v>
      </c>
      <c r="G43" s="44" t="s">
        <v>153</v>
      </c>
      <c r="H43" s="48">
        <v>33601</v>
      </c>
      <c r="I43" s="48">
        <v>69022</v>
      </c>
      <c r="J43" s="48" t="s">
        <v>253</v>
      </c>
      <c r="K43" s="48">
        <v>56</v>
      </c>
      <c r="L43" s="43" t="s">
        <v>447</v>
      </c>
      <c r="M43" s="41" t="s">
        <v>295</v>
      </c>
      <c r="N43" s="43" t="s">
        <v>62</v>
      </c>
      <c r="O43" s="43"/>
      <c r="P43" s="44"/>
      <c r="Q43" s="43"/>
      <c r="R43" s="43" t="s">
        <v>2</v>
      </c>
      <c r="S43" s="45">
        <v>44593</v>
      </c>
      <c r="T43" s="58" t="str">
        <f>IF(Tableau1[[#This Row],[DMS_SAP]]="","",HYPERLINK(Tableau1[[#This Row],[Chemin fichier source]],"X"))</f>
        <v/>
      </c>
      <c r="U43" s="58" t="str">
        <f>IF(Tableau1[[#This Row],[Date rév.]]="","",HYPERLINK(Tableau1[[#This Row],[Lien document]],"X"))</f>
        <v/>
      </c>
      <c r="V43" s="44"/>
      <c r="W43"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3" s="44">
        <v>14</v>
      </c>
      <c r="Y43" s="44">
        <v>2</v>
      </c>
      <c r="Z43" s="41" t="str">
        <f ca="1">IF(AND(Tableau1[[#This Row],[Charge]]&lt;&gt;0, Tableau1[[#This Row],[Nombre intervenants]]&lt;&gt;0,Tableau1[[#This Row],[Lien document]]&lt;&gt;0,Tableau1[[#This Row],[DMS_SAP]]&lt;&gt;0)=TRUE,"MIS A JOUR","")</f>
        <v/>
      </c>
      <c r="AA43" s="45"/>
      <c r="AB43" s="55" t="str">
        <f ca="1">IF(Tableau1[[#This Row],[Date rév.]]&lt;&gt;"", DAYS360(Tableau1[[#This Row],[Date rév.]],TODAY()),"")</f>
        <v/>
      </c>
      <c r="AC43" s="47">
        <f>IFERROR(INDEX(Chemin_accès!$B$11:$C$22,MATCH(Tableau1[[#This Row],[Type]],Chemin_accès!$C$11:$C$22,0),1),Chemin_accès!$B$11)</f>
        <v>0</v>
      </c>
      <c r="AD43" s="47" t="str">
        <f>Chemin_accès!$B$8&amp;Tableau1[[#This Row],[Localisation / Classement]]&amp;"\"&amp;Tableau1[[#This Row],[Poste technique]]&amp;"_"&amp;Tableau1[[#This Row],[Plan Entretien]]&amp;".xlsm"</f>
        <v>220KV/42KV TRANSFO\T040-J010-20_33601.xlsm</v>
      </c>
    </row>
    <row r="44" spans="1:30" x14ac:dyDescent="0.3">
      <c r="A44" s="41" t="str">
        <f t="shared" ca="1" si="0"/>
        <v>7.MNRJ</v>
      </c>
      <c r="B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 s="60"/>
      <c r="D44" s="41" t="s">
        <v>437</v>
      </c>
      <c r="E44" s="41" t="s">
        <v>135</v>
      </c>
      <c r="F44" s="44" t="s">
        <v>152</v>
      </c>
      <c r="G44" s="44" t="s">
        <v>153</v>
      </c>
      <c r="H44" s="48">
        <v>33601</v>
      </c>
      <c r="I44" s="48">
        <v>69023</v>
      </c>
      <c r="J44" s="48" t="s">
        <v>253</v>
      </c>
      <c r="K44" s="48">
        <v>57</v>
      </c>
      <c r="L44" s="43" t="s">
        <v>447</v>
      </c>
      <c r="M44" s="41" t="s">
        <v>296</v>
      </c>
      <c r="N44" s="43" t="s">
        <v>62</v>
      </c>
      <c r="O44" s="43"/>
      <c r="P44" s="44"/>
      <c r="Q44" s="43"/>
      <c r="R44" s="43" t="s">
        <v>2</v>
      </c>
      <c r="S44" s="45">
        <v>44593</v>
      </c>
      <c r="T44" s="58" t="str">
        <f>IF(Tableau1[[#This Row],[DMS_SAP]]="","",HYPERLINK(Tableau1[[#This Row],[Chemin fichier source]],"X"))</f>
        <v/>
      </c>
      <c r="U44" s="58" t="str">
        <f>IF(Tableau1[[#This Row],[Date rév.]]="","",HYPERLINK(Tableau1[[#This Row],[Lien document]],"X"))</f>
        <v/>
      </c>
      <c r="V44" s="44"/>
      <c r="W44"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4" s="44">
        <v>14</v>
      </c>
      <c r="Y44" s="44">
        <v>2</v>
      </c>
      <c r="Z44" s="41" t="str">
        <f ca="1">IF(AND(Tableau1[[#This Row],[Charge]]&lt;&gt;0, Tableau1[[#This Row],[Nombre intervenants]]&lt;&gt;0,Tableau1[[#This Row],[Lien document]]&lt;&gt;0,Tableau1[[#This Row],[DMS_SAP]]&lt;&gt;0)=TRUE,"MIS A JOUR","")</f>
        <v/>
      </c>
      <c r="AA44" s="45"/>
      <c r="AB44" s="55" t="str">
        <f ca="1">IF(Tableau1[[#This Row],[Date rév.]]&lt;&gt;"", DAYS360(Tableau1[[#This Row],[Date rév.]],TODAY()),"")</f>
        <v/>
      </c>
      <c r="AC44" s="47">
        <f>IFERROR(INDEX(Chemin_accès!$B$11:$C$22,MATCH(Tableau1[[#This Row],[Type]],Chemin_accès!$C$11:$C$22,0),1),Chemin_accès!$B$11)</f>
        <v>0</v>
      </c>
      <c r="AD44" s="47" t="str">
        <f>Chemin_accès!$B$8&amp;Tableau1[[#This Row],[Localisation / Classement]]&amp;"\"&amp;Tableau1[[#This Row],[Poste technique]]&amp;"_"&amp;Tableau1[[#This Row],[Plan Entretien]]&amp;".xlsm"</f>
        <v>220KV/42KV TRANSFO\T040-J010-20_33601.xlsm</v>
      </c>
    </row>
    <row r="45" spans="1:30" x14ac:dyDescent="0.3">
      <c r="A45" s="41" t="str">
        <f t="shared" ca="1" si="0"/>
        <v>7.MNRJ</v>
      </c>
      <c r="B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 s="60"/>
      <c r="D45" s="41" t="s">
        <v>437</v>
      </c>
      <c r="E45" s="41" t="s">
        <v>135</v>
      </c>
      <c r="F45" s="44" t="s">
        <v>152</v>
      </c>
      <c r="G45" s="44" t="s">
        <v>153</v>
      </c>
      <c r="H45" s="48">
        <v>33601</v>
      </c>
      <c r="I45" s="48">
        <v>69024</v>
      </c>
      <c r="J45" s="48" t="s">
        <v>253</v>
      </c>
      <c r="K45" s="48">
        <v>58</v>
      </c>
      <c r="L45" s="43" t="s">
        <v>447</v>
      </c>
      <c r="M45" s="41" t="s">
        <v>297</v>
      </c>
      <c r="N45" s="43" t="s">
        <v>62</v>
      </c>
      <c r="O45" s="43"/>
      <c r="P45" s="44"/>
      <c r="Q45" s="43"/>
      <c r="R45" s="43" t="s">
        <v>2</v>
      </c>
      <c r="S45" s="45">
        <v>44593</v>
      </c>
      <c r="T45" s="58" t="str">
        <f>IF(Tableau1[[#This Row],[DMS_SAP]]="","",HYPERLINK(Tableau1[[#This Row],[Chemin fichier source]],"X"))</f>
        <v/>
      </c>
      <c r="U45" s="58" t="str">
        <f>IF(Tableau1[[#This Row],[Date rév.]]="","",HYPERLINK(Tableau1[[#This Row],[Lien document]],"X"))</f>
        <v/>
      </c>
      <c r="V45" s="44"/>
      <c r="W45"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5" s="44">
        <v>14</v>
      </c>
      <c r="Y45" s="44">
        <v>2</v>
      </c>
      <c r="Z45" s="41" t="str">
        <f ca="1">IF(AND(Tableau1[[#This Row],[Charge]]&lt;&gt;0, Tableau1[[#This Row],[Nombre intervenants]]&lt;&gt;0,Tableau1[[#This Row],[Lien document]]&lt;&gt;0,Tableau1[[#This Row],[DMS_SAP]]&lt;&gt;0)=TRUE,"MIS A JOUR","")</f>
        <v/>
      </c>
      <c r="AA45" s="45"/>
      <c r="AB45" s="55" t="str">
        <f ca="1">IF(Tableau1[[#This Row],[Date rév.]]&lt;&gt;"", DAYS360(Tableau1[[#This Row],[Date rév.]],TODAY()),"")</f>
        <v/>
      </c>
      <c r="AC45" s="47">
        <f>IFERROR(INDEX(Chemin_accès!$B$11:$C$22,MATCH(Tableau1[[#This Row],[Type]],Chemin_accès!$C$11:$C$22,0),1),Chemin_accès!$B$11)</f>
        <v>0</v>
      </c>
      <c r="AD45" s="47" t="str">
        <f>Chemin_accès!$B$8&amp;Tableau1[[#This Row],[Localisation / Classement]]&amp;"\"&amp;Tableau1[[#This Row],[Poste technique]]&amp;"_"&amp;Tableau1[[#This Row],[Plan Entretien]]&amp;".xlsm"</f>
        <v>220KV/42KV TRANSFO\T040-J010-20_33601.xlsm</v>
      </c>
    </row>
    <row r="46" spans="1:30" x14ac:dyDescent="0.3">
      <c r="A46" s="41" t="str">
        <f t="shared" ca="1" si="0"/>
        <v>7.MNRJ</v>
      </c>
      <c r="B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 s="43"/>
      <c r="D46" s="41" t="s">
        <v>437</v>
      </c>
      <c r="E46" s="41" t="s">
        <v>135</v>
      </c>
      <c r="F46" s="41" t="s">
        <v>152</v>
      </c>
      <c r="G46" s="41" t="s">
        <v>153</v>
      </c>
      <c r="H46" s="48">
        <v>33601</v>
      </c>
      <c r="I46" s="48">
        <v>69025</v>
      </c>
      <c r="J46" s="48" t="s">
        <v>253</v>
      </c>
      <c r="K46" s="48">
        <v>59</v>
      </c>
      <c r="L46" s="43" t="s">
        <v>447</v>
      </c>
      <c r="M46" s="41" t="s">
        <v>298</v>
      </c>
      <c r="N46" s="43" t="s">
        <v>62</v>
      </c>
      <c r="O46" s="43"/>
      <c r="P46" s="44"/>
      <c r="Q46" s="43"/>
      <c r="R46" s="43" t="s">
        <v>2</v>
      </c>
      <c r="S46" s="45">
        <v>44593</v>
      </c>
      <c r="T46" s="58" t="str">
        <f>IF(Tableau1[[#This Row],[DMS_SAP]]="","",HYPERLINK(Tableau1[[#This Row],[Chemin fichier source]],"X"))</f>
        <v/>
      </c>
      <c r="U46" s="58" t="str">
        <f>IF(Tableau1[[#This Row],[Date rév.]]="","",HYPERLINK(Tableau1[[#This Row],[Lien document]],"X"))</f>
        <v/>
      </c>
      <c r="V46" s="44"/>
      <c r="W46"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6" s="44">
        <v>14</v>
      </c>
      <c r="Y46" s="44">
        <v>2</v>
      </c>
      <c r="Z46" s="41" t="str">
        <f ca="1">IF(AND(Tableau1[[#This Row],[Charge]]&lt;&gt;0, Tableau1[[#This Row],[Nombre intervenants]]&lt;&gt;0,Tableau1[[#This Row],[Lien document]]&lt;&gt;0,Tableau1[[#This Row],[DMS_SAP]]&lt;&gt;0)=TRUE,"MIS A JOUR","")</f>
        <v/>
      </c>
      <c r="AA46" s="45"/>
      <c r="AB46" s="55" t="str">
        <f ca="1">IF(Tableau1[[#This Row],[Date rév.]]&lt;&gt;"", DAYS360(Tableau1[[#This Row],[Date rév.]],TODAY()),"")</f>
        <v/>
      </c>
      <c r="AC46" s="47">
        <f>IFERROR(INDEX(Chemin_accès!$B$11:$C$22,MATCH(Tableau1[[#This Row],[Type]],Chemin_accès!$C$11:$C$22,0),1),Chemin_accès!$B$11)</f>
        <v>0</v>
      </c>
      <c r="AD46" s="47" t="str">
        <f>Chemin_accès!$B$8&amp;Tableau1[[#This Row],[Localisation / Classement]]&amp;"\"&amp;Tableau1[[#This Row],[Poste technique]]&amp;"_"&amp;Tableau1[[#This Row],[Plan Entretien]]&amp;".xlsm"</f>
        <v>220KV/42KV TRANSFO\T040-J010-20_33601.xlsm</v>
      </c>
    </row>
    <row r="47" spans="1:30" x14ac:dyDescent="0.3">
      <c r="A47" s="41" t="str">
        <f t="shared" ca="1" si="0"/>
        <v>7.MNRJ</v>
      </c>
      <c r="B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 s="60"/>
      <c r="D47" s="41" t="s">
        <v>437</v>
      </c>
      <c r="E47" s="41" t="s">
        <v>135</v>
      </c>
      <c r="F47" s="44" t="s">
        <v>152</v>
      </c>
      <c r="G47" s="44" t="s">
        <v>153</v>
      </c>
      <c r="H47" s="48">
        <v>33601</v>
      </c>
      <c r="I47" s="48">
        <v>69026</v>
      </c>
      <c r="J47" s="48" t="s">
        <v>253</v>
      </c>
      <c r="K47" s="48">
        <v>60</v>
      </c>
      <c r="L47" s="43" t="s">
        <v>447</v>
      </c>
      <c r="M47" s="41" t="s">
        <v>299</v>
      </c>
      <c r="N47" s="43" t="s">
        <v>62</v>
      </c>
      <c r="O47" s="43"/>
      <c r="P47" s="44"/>
      <c r="Q47" s="43"/>
      <c r="R47" s="43" t="s">
        <v>2</v>
      </c>
      <c r="S47" s="45">
        <v>44593</v>
      </c>
      <c r="T47" s="58" t="str">
        <f>IF(Tableau1[[#This Row],[DMS_SAP]]="","",HYPERLINK(Tableau1[[#This Row],[Chemin fichier source]],"X"))</f>
        <v/>
      </c>
      <c r="U47" s="58" t="str">
        <f>IF(Tableau1[[#This Row],[Date rév.]]="","",HYPERLINK(Tableau1[[#This Row],[Lien document]],"X"))</f>
        <v/>
      </c>
      <c r="V47" s="44"/>
      <c r="W47"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7" s="44">
        <v>14</v>
      </c>
      <c r="Y47" s="44">
        <v>2</v>
      </c>
      <c r="Z47" s="41" t="str">
        <f ca="1">IF(AND(Tableau1[[#This Row],[Charge]]&lt;&gt;0, Tableau1[[#This Row],[Nombre intervenants]]&lt;&gt;0,Tableau1[[#This Row],[Lien document]]&lt;&gt;0,Tableau1[[#This Row],[DMS_SAP]]&lt;&gt;0)=TRUE,"MIS A JOUR","")</f>
        <v/>
      </c>
      <c r="AA47" s="45"/>
      <c r="AB47" s="55" t="str">
        <f ca="1">IF(Tableau1[[#This Row],[Date rév.]]&lt;&gt;"", DAYS360(Tableau1[[#This Row],[Date rév.]],TODAY()),"")</f>
        <v/>
      </c>
      <c r="AC47" s="47">
        <f>IFERROR(INDEX(Chemin_accès!$B$11:$C$22,MATCH(Tableau1[[#This Row],[Type]],Chemin_accès!$C$11:$C$22,0),1),Chemin_accès!$B$11)</f>
        <v>0</v>
      </c>
      <c r="AD47" s="47" t="str">
        <f>Chemin_accès!$B$8&amp;Tableau1[[#This Row],[Localisation / Classement]]&amp;"\"&amp;Tableau1[[#This Row],[Poste technique]]&amp;"_"&amp;Tableau1[[#This Row],[Plan Entretien]]&amp;".xlsm"</f>
        <v>220KV/42KV TRANSFO\T040-J010-20_33601.xlsm</v>
      </c>
    </row>
    <row r="48" spans="1:30" x14ac:dyDescent="0.3">
      <c r="A48" s="41" t="str">
        <f t="shared" ca="1" si="0"/>
        <v>7.MNRJ</v>
      </c>
      <c r="B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 s="43"/>
      <c r="D48" s="41" t="s">
        <v>437</v>
      </c>
      <c r="E48" s="41" t="s">
        <v>135</v>
      </c>
      <c r="F48" s="44" t="s">
        <v>152</v>
      </c>
      <c r="G48" s="44" t="s">
        <v>153</v>
      </c>
      <c r="H48" s="48">
        <v>33601</v>
      </c>
      <c r="I48" s="48">
        <v>69027</v>
      </c>
      <c r="J48" s="48" t="s">
        <v>253</v>
      </c>
      <c r="K48" s="48">
        <v>61</v>
      </c>
      <c r="L48" s="43" t="s">
        <v>447</v>
      </c>
      <c r="M48" s="41" t="s">
        <v>300</v>
      </c>
      <c r="N48" s="43" t="s">
        <v>62</v>
      </c>
      <c r="O48" s="43"/>
      <c r="P48" s="44"/>
      <c r="Q48" s="43"/>
      <c r="R48" s="43" t="s">
        <v>2</v>
      </c>
      <c r="S48" s="45">
        <v>44593</v>
      </c>
      <c r="T48" s="58" t="str">
        <f>IF(Tableau1[[#This Row],[DMS_SAP]]="","",HYPERLINK(Tableau1[[#This Row],[Chemin fichier source]],"X"))</f>
        <v/>
      </c>
      <c r="U48" s="58" t="str">
        <f>IF(Tableau1[[#This Row],[Date rév.]]="","",HYPERLINK(Tableau1[[#This Row],[Lien document]],"X"))</f>
        <v/>
      </c>
      <c r="V48" s="44"/>
      <c r="W48"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8" s="44">
        <v>14</v>
      </c>
      <c r="Y48" s="44">
        <v>2</v>
      </c>
      <c r="Z48" s="41" t="str">
        <f ca="1">IF(AND(Tableau1[[#This Row],[Charge]]&lt;&gt;0, Tableau1[[#This Row],[Nombre intervenants]]&lt;&gt;0,Tableau1[[#This Row],[Lien document]]&lt;&gt;0,Tableau1[[#This Row],[DMS_SAP]]&lt;&gt;0)=TRUE,"MIS A JOUR","")</f>
        <v/>
      </c>
      <c r="AA48" s="45"/>
      <c r="AB48" s="55" t="str">
        <f ca="1">IF(Tableau1[[#This Row],[Date rév.]]&lt;&gt;"", DAYS360(Tableau1[[#This Row],[Date rév.]],TODAY()),"")</f>
        <v/>
      </c>
      <c r="AC48" s="47">
        <f>IFERROR(INDEX(Chemin_accès!$B$11:$C$22,MATCH(Tableau1[[#This Row],[Type]],Chemin_accès!$C$11:$C$22,0),1),Chemin_accès!$B$11)</f>
        <v>0</v>
      </c>
      <c r="AD48" s="47" t="str">
        <f>Chemin_accès!$B$8&amp;Tableau1[[#This Row],[Localisation / Classement]]&amp;"\"&amp;Tableau1[[#This Row],[Poste technique]]&amp;"_"&amp;Tableau1[[#This Row],[Plan Entretien]]&amp;".xlsm"</f>
        <v>220KV/42KV TRANSFO\T040-J010-20_33601.xlsm</v>
      </c>
    </row>
    <row r="49" spans="1:30" x14ac:dyDescent="0.3">
      <c r="A49" s="41" t="str">
        <f t="shared" ca="1" si="0"/>
        <v>7.MNRJ</v>
      </c>
      <c r="B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 s="43"/>
      <c r="D49" s="41" t="s">
        <v>437</v>
      </c>
      <c r="E49" s="41" t="s">
        <v>135</v>
      </c>
      <c r="F49" s="44" t="s">
        <v>152</v>
      </c>
      <c r="G49" s="44" t="s">
        <v>153</v>
      </c>
      <c r="H49" s="48">
        <v>33601</v>
      </c>
      <c r="I49" s="48">
        <v>69028</v>
      </c>
      <c r="J49" s="48" t="s">
        <v>253</v>
      </c>
      <c r="K49" s="48">
        <v>62</v>
      </c>
      <c r="L49" s="43" t="s">
        <v>447</v>
      </c>
      <c r="M49" s="41" t="s">
        <v>301</v>
      </c>
      <c r="N49" s="43" t="s">
        <v>62</v>
      </c>
      <c r="O49" s="43"/>
      <c r="P49" s="44"/>
      <c r="Q49" s="43"/>
      <c r="R49" s="43" t="s">
        <v>2</v>
      </c>
      <c r="S49" s="45">
        <v>44593</v>
      </c>
      <c r="T49" s="58" t="str">
        <f>IF(Tableau1[[#This Row],[DMS_SAP]]="","",HYPERLINK(Tableau1[[#This Row],[Chemin fichier source]],"X"))</f>
        <v/>
      </c>
      <c r="U49" s="58" t="str">
        <f>IF(Tableau1[[#This Row],[Date rév.]]="","",HYPERLINK(Tableau1[[#This Row],[Lien document]],"X"))</f>
        <v/>
      </c>
      <c r="V49" s="44"/>
      <c r="W49"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49" s="44">
        <v>14</v>
      </c>
      <c r="Y49" s="44">
        <v>2</v>
      </c>
      <c r="Z49" s="41" t="str">
        <f ca="1">IF(AND(Tableau1[[#This Row],[Charge]]&lt;&gt;0, Tableau1[[#This Row],[Nombre intervenants]]&lt;&gt;0,Tableau1[[#This Row],[Lien document]]&lt;&gt;0,Tableau1[[#This Row],[DMS_SAP]]&lt;&gt;0)=TRUE,"MIS A JOUR","")</f>
        <v/>
      </c>
      <c r="AA49" s="45"/>
      <c r="AB49" s="55" t="str">
        <f ca="1">IF(Tableau1[[#This Row],[Date rév.]]&lt;&gt;"", DAYS360(Tableau1[[#This Row],[Date rév.]],TODAY()),"")</f>
        <v/>
      </c>
      <c r="AC49" s="47">
        <f>IFERROR(INDEX(Chemin_accès!$B$11:$C$22,MATCH(Tableau1[[#This Row],[Type]],Chemin_accès!$C$11:$C$22,0),1),Chemin_accès!$B$11)</f>
        <v>0</v>
      </c>
      <c r="AD49" s="47" t="str">
        <f>Chemin_accès!$B$8&amp;Tableau1[[#This Row],[Localisation / Classement]]&amp;"\"&amp;Tableau1[[#This Row],[Poste technique]]&amp;"_"&amp;Tableau1[[#This Row],[Plan Entretien]]&amp;".xlsm"</f>
        <v>220KV/42KV TRANSFO\T040-J010-20_33601.xlsm</v>
      </c>
    </row>
    <row r="50" spans="1:30" x14ac:dyDescent="0.3">
      <c r="A50" s="41" t="str">
        <f t="shared" ca="1" si="0"/>
        <v>7.MNRJ</v>
      </c>
      <c r="B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 s="43"/>
      <c r="D50" s="41" t="s">
        <v>437</v>
      </c>
      <c r="E50" s="41" t="s">
        <v>135</v>
      </c>
      <c r="F50" s="44" t="s">
        <v>152</v>
      </c>
      <c r="G50" s="44" t="s">
        <v>153</v>
      </c>
      <c r="H50" s="48">
        <v>33601</v>
      </c>
      <c r="I50" s="48">
        <v>69029</v>
      </c>
      <c r="J50" s="48" t="s">
        <v>253</v>
      </c>
      <c r="K50" s="48">
        <v>63</v>
      </c>
      <c r="L50" s="43" t="s">
        <v>447</v>
      </c>
      <c r="M50" s="41" t="s">
        <v>302</v>
      </c>
      <c r="N50" s="43" t="s">
        <v>62</v>
      </c>
      <c r="O50" s="43"/>
      <c r="P50" s="44"/>
      <c r="Q50" s="43"/>
      <c r="R50" s="43" t="s">
        <v>2</v>
      </c>
      <c r="S50" s="45">
        <v>44593</v>
      </c>
      <c r="T50" s="58" t="str">
        <f>IF(Tableau1[[#This Row],[DMS_SAP]]="","",HYPERLINK(Tableau1[[#This Row],[Chemin fichier source]],"X"))</f>
        <v/>
      </c>
      <c r="U50" s="58" t="str">
        <f>IF(Tableau1[[#This Row],[Date rév.]]="","",HYPERLINK(Tableau1[[#This Row],[Lien document]],"X"))</f>
        <v/>
      </c>
      <c r="V50" s="44"/>
      <c r="W50"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50" s="44">
        <v>14</v>
      </c>
      <c r="Y50" s="44">
        <v>2</v>
      </c>
      <c r="Z50" s="41" t="str">
        <f ca="1">IF(AND(Tableau1[[#This Row],[Charge]]&lt;&gt;0, Tableau1[[#This Row],[Nombre intervenants]]&lt;&gt;0,Tableau1[[#This Row],[Lien document]]&lt;&gt;0,Tableau1[[#This Row],[DMS_SAP]]&lt;&gt;0)=TRUE,"MIS A JOUR","")</f>
        <v/>
      </c>
      <c r="AA50" s="45"/>
      <c r="AB50" s="55" t="str">
        <f ca="1">IF(Tableau1[[#This Row],[Date rév.]]&lt;&gt;"", DAYS360(Tableau1[[#This Row],[Date rév.]],TODAY()),"")</f>
        <v/>
      </c>
      <c r="AC50" s="47">
        <f>IFERROR(INDEX(Chemin_accès!$B$11:$C$22,MATCH(Tableau1[[#This Row],[Type]],Chemin_accès!$C$11:$C$22,0),1),Chemin_accès!$B$11)</f>
        <v>0</v>
      </c>
      <c r="AD50" s="47" t="str">
        <f>Chemin_accès!$B$8&amp;Tableau1[[#This Row],[Localisation / Classement]]&amp;"\"&amp;Tableau1[[#This Row],[Poste technique]]&amp;"_"&amp;Tableau1[[#This Row],[Plan Entretien]]&amp;".xlsm"</f>
        <v>220KV/42KV TRANSFO\T040-J010-20_33601.xlsm</v>
      </c>
    </row>
    <row r="51" spans="1:30" x14ac:dyDescent="0.3">
      <c r="A51" s="41" t="str">
        <f t="shared" ca="1" si="0"/>
        <v>7.MNRJ</v>
      </c>
      <c r="B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 s="43"/>
      <c r="D51" s="41" t="s">
        <v>437</v>
      </c>
      <c r="E51" s="41" t="s">
        <v>135</v>
      </c>
      <c r="F51" s="44" t="s">
        <v>152</v>
      </c>
      <c r="G51" s="44" t="s">
        <v>153</v>
      </c>
      <c r="H51" s="48">
        <v>33601</v>
      </c>
      <c r="I51" s="48">
        <v>69030</v>
      </c>
      <c r="J51" s="48" t="s">
        <v>253</v>
      </c>
      <c r="K51" s="48">
        <v>64</v>
      </c>
      <c r="L51" s="43" t="s">
        <v>447</v>
      </c>
      <c r="M51" s="41" t="s">
        <v>303</v>
      </c>
      <c r="N51" s="43" t="s">
        <v>62</v>
      </c>
      <c r="O51" s="43"/>
      <c r="P51" s="44"/>
      <c r="Q51" s="43"/>
      <c r="R51" s="43" t="s">
        <v>2</v>
      </c>
      <c r="S51" s="45">
        <v>44593</v>
      </c>
      <c r="T51" s="58" t="str">
        <f>IF(Tableau1[[#This Row],[DMS_SAP]]="","",HYPERLINK(Tableau1[[#This Row],[Chemin fichier source]],"X"))</f>
        <v/>
      </c>
      <c r="U51" s="58" t="str">
        <f>IF(Tableau1[[#This Row],[Date rév.]]="","",HYPERLINK(Tableau1[[#This Row],[Lien document]],"X"))</f>
        <v/>
      </c>
      <c r="V51" s="44"/>
      <c r="W51"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51" s="44">
        <v>14</v>
      </c>
      <c r="Y51" s="44">
        <v>2</v>
      </c>
      <c r="Z51" s="41" t="str">
        <f ca="1">IF(AND(Tableau1[[#This Row],[Charge]]&lt;&gt;0, Tableau1[[#This Row],[Nombre intervenants]]&lt;&gt;0,Tableau1[[#This Row],[Lien document]]&lt;&gt;0,Tableau1[[#This Row],[DMS_SAP]]&lt;&gt;0)=TRUE,"MIS A JOUR","")</f>
        <v/>
      </c>
      <c r="AA51" s="45"/>
      <c r="AB51" s="55" t="str">
        <f ca="1">IF(Tableau1[[#This Row],[Date rév.]]&lt;&gt;"", DAYS360(Tableau1[[#This Row],[Date rév.]],TODAY()),"")</f>
        <v/>
      </c>
      <c r="AC51" s="47">
        <f>IFERROR(INDEX(Chemin_accès!$B$11:$C$22,MATCH(Tableau1[[#This Row],[Type]],Chemin_accès!$C$11:$C$22,0),1),Chemin_accès!$B$11)</f>
        <v>0</v>
      </c>
      <c r="AD51" s="47" t="str">
        <f>Chemin_accès!$B$8&amp;Tableau1[[#This Row],[Localisation / Classement]]&amp;"\"&amp;Tableau1[[#This Row],[Poste technique]]&amp;"_"&amp;Tableau1[[#This Row],[Plan Entretien]]&amp;".xlsm"</f>
        <v>220KV/42KV TRANSFO\T040-J010-20_33601.xlsm</v>
      </c>
    </row>
    <row r="52" spans="1:30" x14ac:dyDescent="0.3">
      <c r="A52" s="41" t="str">
        <f t="shared" ca="1" si="0"/>
        <v>7.MNRJ</v>
      </c>
      <c r="B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 s="43"/>
      <c r="D52" s="41" t="s">
        <v>437</v>
      </c>
      <c r="E52" s="41" t="s">
        <v>135</v>
      </c>
      <c r="F52" s="44" t="s">
        <v>152</v>
      </c>
      <c r="G52" s="44" t="s">
        <v>153</v>
      </c>
      <c r="H52" s="48">
        <v>33601</v>
      </c>
      <c r="I52" s="48">
        <v>69031</v>
      </c>
      <c r="J52" s="48" t="s">
        <v>253</v>
      </c>
      <c r="K52" s="48">
        <v>65</v>
      </c>
      <c r="L52" s="43" t="s">
        <v>447</v>
      </c>
      <c r="M52" s="41" t="s">
        <v>304</v>
      </c>
      <c r="N52" s="43" t="s">
        <v>62</v>
      </c>
      <c r="O52" s="43"/>
      <c r="P52" s="44"/>
      <c r="Q52" s="43"/>
      <c r="R52" s="43" t="s">
        <v>2</v>
      </c>
      <c r="S52" s="45">
        <v>44593</v>
      </c>
      <c r="T52" s="58" t="str">
        <f>IF(Tableau1[[#This Row],[DMS_SAP]]="","",HYPERLINK(Tableau1[[#This Row],[Chemin fichier source]],"X"))</f>
        <v/>
      </c>
      <c r="U52" s="58" t="str">
        <f>IF(Tableau1[[#This Row],[Date rév.]]="","",HYPERLINK(Tableau1[[#This Row],[Lien document]],"X"))</f>
        <v/>
      </c>
      <c r="V52" s="44"/>
      <c r="W52"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52" s="44">
        <v>14</v>
      </c>
      <c r="Y52" s="44">
        <v>2</v>
      </c>
      <c r="Z52" s="41" t="str">
        <f ca="1">IF(AND(Tableau1[[#This Row],[Charge]]&lt;&gt;0, Tableau1[[#This Row],[Nombre intervenants]]&lt;&gt;0,Tableau1[[#This Row],[Lien document]]&lt;&gt;0,Tableau1[[#This Row],[DMS_SAP]]&lt;&gt;0)=TRUE,"MIS A JOUR","")</f>
        <v/>
      </c>
      <c r="AA52" s="45"/>
      <c r="AB52" s="55" t="str">
        <f ca="1">IF(Tableau1[[#This Row],[Date rév.]]&lt;&gt;"", DAYS360(Tableau1[[#This Row],[Date rév.]],TODAY()),"")</f>
        <v/>
      </c>
      <c r="AC52" s="47">
        <f>IFERROR(INDEX(Chemin_accès!$B$11:$C$22,MATCH(Tableau1[[#This Row],[Type]],Chemin_accès!$C$11:$C$22,0),1),Chemin_accès!$B$11)</f>
        <v>0</v>
      </c>
      <c r="AD52" s="47" t="str">
        <f>Chemin_accès!$B$8&amp;Tableau1[[#This Row],[Localisation / Classement]]&amp;"\"&amp;Tableau1[[#This Row],[Poste technique]]&amp;"_"&amp;Tableau1[[#This Row],[Plan Entretien]]&amp;".xlsm"</f>
        <v>220KV/42KV TRANSFO\T040-J010-20_33601.xlsm</v>
      </c>
    </row>
    <row r="53" spans="1:30" x14ac:dyDescent="0.3">
      <c r="A53" s="41" t="str">
        <f t="shared" ca="1" si="0"/>
        <v>7.MNRJ</v>
      </c>
      <c r="B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 s="43"/>
      <c r="D53" s="41" t="s">
        <v>437</v>
      </c>
      <c r="E53" s="41" t="s">
        <v>135</v>
      </c>
      <c r="F53" s="44" t="s">
        <v>152</v>
      </c>
      <c r="G53" s="44" t="s">
        <v>153</v>
      </c>
      <c r="H53" s="48">
        <v>33601</v>
      </c>
      <c r="I53" s="48">
        <v>69032</v>
      </c>
      <c r="J53" s="48" t="s">
        <v>253</v>
      </c>
      <c r="K53" s="48">
        <v>66</v>
      </c>
      <c r="L53" s="43" t="s">
        <v>447</v>
      </c>
      <c r="M53" s="41" t="s">
        <v>305</v>
      </c>
      <c r="N53" s="43" t="s">
        <v>62</v>
      </c>
      <c r="O53" s="43"/>
      <c r="P53" s="44"/>
      <c r="Q53" s="43"/>
      <c r="R53" s="43" t="s">
        <v>2</v>
      </c>
      <c r="S53" s="45">
        <v>44593</v>
      </c>
      <c r="T53" s="58" t="str">
        <f>IF(Tableau1[[#This Row],[DMS_SAP]]="","",HYPERLINK(Tableau1[[#This Row],[Chemin fichier source]],"X"))</f>
        <v/>
      </c>
      <c r="U53" s="58" t="str">
        <f>IF(Tableau1[[#This Row],[Date rév.]]="","",HYPERLINK(Tableau1[[#This Row],[Lien document]],"X"))</f>
        <v/>
      </c>
      <c r="V53" s="44"/>
      <c r="W53"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53" s="44">
        <v>14</v>
      </c>
      <c r="Y53" s="44">
        <v>2</v>
      </c>
      <c r="Z53" s="41" t="str">
        <f ca="1">IF(AND(Tableau1[[#This Row],[Charge]]&lt;&gt;0, Tableau1[[#This Row],[Nombre intervenants]]&lt;&gt;0,Tableau1[[#This Row],[Lien document]]&lt;&gt;0,Tableau1[[#This Row],[DMS_SAP]]&lt;&gt;0)=TRUE,"MIS A JOUR","")</f>
        <v/>
      </c>
      <c r="AA53" s="45"/>
      <c r="AB53" s="55" t="str">
        <f ca="1">IF(Tableau1[[#This Row],[Date rév.]]&lt;&gt;"", DAYS360(Tableau1[[#This Row],[Date rév.]],TODAY()),"")</f>
        <v/>
      </c>
      <c r="AC53" s="47">
        <f>IFERROR(INDEX(Chemin_accès!$B$11:$C$22,MATCH(Tableau1[[#This Row],[Type]],Chemin_accès!$C$11:$C$22,0),1),Chemin_accès!$B$11)</f>
        <v>0</v>
      </c>
      <c r="AD53" s="47" t="str">
        <f>Chemin_accès!$B$8&amp;Tableau1[[#This Row],[Localisation / Classement]]&amp;"\"&amp;Tableau1[[#This Row],[Poste technique]]&amp;"_"&amp;Tableau1[[#This Row],[Plan Entretien]]&amp;".xlsm"</f>
        <v>220KV/42KV TRANSFO\T040-J010-20_33601.xlsm</v>
      </c>
    </row>
    <row r="54" spans="1:30" x14ac:dyDescent="0.3">
      <c r="A54" s="41" t="str">
        <f t="shared" ca="1" si="0"/>
        <v>7.MNRJ</v>
      </c>
      <c r="B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 s="43"/>
      <c r="D54" s="41" t="s">
        <v>437</v>
      </c>
      <c r="E54" s="41" t="s">
        <v>135</v>
      </c>
      <c r="F54" s="44" t="s">
        <v>152</v>
      </c>
      <c r="G54" s="44" t="s">
        <v>153</v>
      </c>
      <c r="H54" s="48">
        <v>33601</v>
      </c>
      <c r="I54" s="48">
        <v>69033</v>
      </c>
      <c r="J54" s="48" t="s">
        <v>253</v>
      </c>
      <c r="K54" s="48">
        <v>67</v>
      </c>
      <c r="L54" s="43" t="s">
        <v>447</v>
      </c>
      <c r="M54" s="41" t="s">
        <v>306</v>
      </c>
      <c r="N54" s="43" t="s">
        <v>62</v>
      </c>
      <c r="O54" s="43"/>
      <c r="P54" s="44"/>
      <c r="Q54" s="43"/>
      <c r="R54" s="43" t="s">
        <v>2</v>
      </c>
      <c r="S54" s="45">
        <v>44593</v>
      </c>
      <c r="T54" s="58" t="str">
        <f>IF(Tableau1[[#This Row],[DMS_SAP]]="","",HYPERLINK(Tableau1[[#This Row],[Chemin fichier source]],"X"))</f>
        <v/>
      </c>
      <c r="U54" s="58" t="str">
        <f>IF(Tableau1[[#This Row],[Date rév.]]="","",HYPERLINK(Tableau1[[#This Row],[Lien document]],"X"))</f>
        <v/>
      </c>
      <c r="V54" s="44"/>
      <c r="W54"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54" s="44">
        <v>14</v>
      </c>
      <c r="Y54" s="44">
        <v>2</v>
      </c>
      <c r="Z54" s="41" t="str">
        <f ca="1">IF(AND(Tableau1[[#This Row],[Charge]]&lt;&gt;0, Tableau1[[#This Row],[Nombre intervenants]]&lt;&gt;0,Tableau1[[#This Row],[Lien document]]&lt;&gt;0,Tableau1[[#This Row],[DMS_SAP]]&lt;&gt;0)=TRUE,"MIS A JOUR","")</f>
        <v/>
      </c>
      <c r="AA54" s="45"/>
      <c r="AB54" s="55" t="str">
        <f ca="1">IF(Tableau1[[#This Row],[Date rév.]]&lt;&gt;"", DAYS360(Tableau1[[#This Row],[Date rév.]],TODAY()),"")</f>
        <v/>
      </c>
      <c r="AC54" s="47">
        <f>IFERROR(INDEX(Chemin_accès!$B$11:$C$22,MATCH(Tableau1[[#This Row],[Type]],Chemin_accès!$C$11:$C$22,0),1),Chemin_accès!$B$11)</f>
        <v>0</v>
      </c>
      <c r="AD54" s="47" t="str">
        <f>Chemin_accès!$B$8&amp;Tableau1[[#This Row],[Localisation / Classement]]&amp;"\"&amp;Tableau1[[#This Row],[Poste technique]]&amp;"_"&amp;Tableau1[[#This Row],[Plan Entretien]]&amp;".xlsm"</f>
        <v>220KV/42KV TRANSFO\T040-J010-20_33601.xlsm</v>
      </c>
    </row>
    <row r="55" spans="1:30" x14ac:dyDescent="0.3">
      <c r="A55" s="41" t="str">
        <f t="shared" ca="1" si="0"/>
        <v>7.MNRJ</v>
      </c>
      <c r="B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 s="43"/>
      <c r="D55" s="41" t="s">
        <v>437</v>
      </c>
      <c r="E55" s="41" t="s">
        <v>135</v>
      </c>
      <c r="F55" s="44" t="s">
        <v>152</v>
      </c>
      <c r="G55" s="44" t="s">
        <v>153</v>
      </c>
      <c r="H55" s="48">
        <v>33601</v>
      </c>
      <c r="I55" s="48">
        <v>69034</v>
      </c>
      <c r="J55" s="48" t="s">
        <v>253</v>
      </c>
      <c r="K55" s="48">
        <v>68</v>
      </c>
      <c r="L55" s="43" t="s">
        <v>447</v>
      </c>
      <c r="M55" s="41" t="s">
        <v>307</v>
      </c>
      <c r="N55" s="43" t="s">
        <v>62</v>
      </c>
      <c r="O55" s="43"/>
      <c r="P55" s="44"/>
      <c r="Q55" s="43"/>
      <c r="R55" s="43" t="s">
        <v>2</v>
      </c>
      <c r="S55" s="45">
        <v>44593</v>
      </c>
      <c r="T55" s="58" t="str">
        <f>IF(Tableau1[[#This Row],[DMS_SAP]]="","",HYPERLINK(Tableau1[[#This Row],[Chemin fichier source]],"X"))</f>
        <v/>
      </c>
      <c r="U55" s="58" t="str">
        <f>IF(Tableau1[[#This Row],[Date rév.]]="","",HYPERLINK(Tableau1[[#This Row],[Lien document]],"X"))</f>
        <v/>
      </c>
      <c r="V55" s="44"/>
      <c r="W55"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TRANSFO\T040-J010-20_33601.pdf</v>
      </c>
      <c r="X55" s="44">
        <v>14</v>
      </c>
      <c r="Y55" s="44">
        <v>2</v>
      </c>
      <c r="Z55" s="41" t="str">
        <f ca="1">IF(AND(Tableau1[[#This Row],[Charge]]&lt;&gt;0, Tableau1[[#This Row],[Nombre intervenants]]&lt;&gt;0,Tableau1[[#This Row],[Lien document]]&lt;&gt;0,Tableau1[[#This Row],[DMS_SAP]]&lt;&gt;0)=TRUE,"MIS A JOUR","")</f>
        <v/>
      </c>
      <c r="AA55" s="45"/>
      <c r="AB55" s="55" t="str">
        <f ca="1">IF(Tableau1[[#This Row],[Date rév.]]&lt;&gt;"", DAYS360(Tableau1[[#This Row],[Date rév.]],TODAY()),"")</f>
        <v/>
      </c>
      <c r="AC55" s="47">
        <f>IFERROR(INDEX(Chemin_accès!$B$11:$C$22,MATCH(Tableau1[[#This Row],[Type]],Chemin_accès!$C$11:$C$22,0),1),Chemin_accès!$B$11)</f>
        <v>0</v>
      </c>
      <c r="AD55" s="47" t="str">
        <f>Chemin_accès!$B$8&amp;Tableau1[[#This Row],[Localisation / Classement]]&amp;"\"&amp;Tableau1[[#This Row],[Poste technique]]&amp;"_"&amp;Tableau1[[#This Row],[Plan Entretien]]&amp;".xlsm"</f>
        <v>220KV/42KV TRANSFO\T040-J010-20_33601.xlsm</v>
      </c>
    </row>
    <row r="56" spans="1:30" x14ac:dyDescent="0.3">
      <c r="A56" s="41" t="str">
        <f t="shared" ca="1" si="0"/>
        <v>7.MNRJ</v>
      </c>
      <c r="B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 s="43"/>
      <c r="D56" s="41" t="s">
        <v>437</v>
      </c>
      <c r="E56" s="41" t="s">
        <v>135</v>
      </c>
      <c r="F56" s="44" t="s">
        <v>154</v>
      </c>
      <c r="G56" s="44" t="s">
        <v>155</v>
      </c>
      <c r="H56" s="48">
        <v>33601</v>
      </c>
      <c r="I56" s="48">
        <v>68995</v>
      </c>
      <c r="J56" s="48" t="s">
        <v>253</v>
      </c>
      <c r="K56" s="48">
        <v>36</v>
      </c>
      <c r="L56" s="43" t="s">
        <v>82</v>
      </c>
      <c r="M56" s="41" t="s">
        <v>308</v>
      </c>
      <c r="N56" s="43" t="s">
        <v>445</v>
      </c>
      <c r="O56" s="43"/>
      <c r="P56" s="44"/>
      <c r="Q56" s="43"/>
      <c r="R56" s="43" t="s">
        <v>2</v>
      </c>
      <c r="S56" s="45">
        <v>44593</v>
      </c>
      <c r="T56" s="58" t="str">
        <f>IF(Tableau1[[#This Row],[DMS_SAP]]="","",HYPERLINK(Tableau1[[#This Row],[Chemin fichier source]],"X"))</f>
        <v/>
      </c>
      <c r="U56" s="58" t="str">
        <f>IF(Tableau1[[#This Row],[Date rév.]]="","",HYPERLINK(Tableau1[[#This Row],[Lien document]],"X"))</f>
        <v/>
      </c>
      <c r="V56" s="44"/>
      <c r="W56"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TRANSFO\T040-J020_33601.pdf</v>
      </c>
      <c r="X56" s="44">
        <v>8</v>
      </c>
      <c r="Y56" s="44">
        <v>2</v>
      </c>
      <c r="Z56" s="41" t="str">
        <f ca="1">IF(AND(Tableau1[[#This Row],[Charge]]&lt;&gt;0, Tableau1[[#This Row],[Nombre intervenants]]&lt;&gt;0,Tableau1[[#This Row],[Lien document]]&lt;&gt;0,Tableau1[[#This Row],[DMS_SAP]]&lt;&gt;0)=TRUE,"MIS A JOUR","")</f>
        <v/>
      </c>
      <c r="AA56" s="45"/>
      <c r="AB56" s="55" t="str">
        <f ca="1">IF(Tableau1[[#This Row],[Date rév.]]&lt;&gt;"", DAYS360(Tableau1[[#This Row],[Date rév.]],TODAY()),"")</f>
        <v/>
      </c>
      <c r="AC56" s="47">
        <f>IFERROR(INDEX(Chemin_accès!$B$11:$C$22,MATCH(Tableau1[[#This Row],[Type]],Chemin_accès!$C$11:$C$22,0),1),Chemin_accès!$B$11)</f>
        <v>0</v>
      </c>
      <c r="AD56" s="47" t="str">
        <f>Chemin_accès!$B$8&amp;Tableau1[[#This Row],[Localisation / Classement]]&amp;"\"&amp;Tableau1[[#This Row],[Poste technique]]&amp;"_"&amp;Tableau1[[#This Row],[Plan Entretien]]&amp;".xlsm"</f>
        <v>220KV/42KV TRANSFO\T040-J020_33601.xlsm</v>
      </c>
    </row>
    <row r="57" spans="1:30" x14ac:dyDescent="0.3">
      <c r="A57" s="41" t="str">
        <f t="shared" ca="1" si="0"/>
        <v>7.MNRJ</v>
      </c>
      <c r="B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7" s="43"/>
      <c r="D57" s="41" t="s">
        <v>437</v>
      </c>
      <c r="E57" s="41" t="s">
        <v>135</v>
      </c>
      <c r="F57" s="44" t="s">
        <v>154</v>
      </c>
      <c r="G57" s="44" t="s">
        <v>155</v>
      </c>
      <c r="H57" s="48">
        <v>33601</v>
      </c>
      <c r="I57" s="48">
        <v>67622</v>
      </c>
      <c r="J57" s="48" t="s">
        <v>252</v>
      </c>
      <c r="K57" s="48">
        <v>26</v>
      </c>
      <c r="L57" s="43" t="s">
        <v>82</v>
      </c>
      <c r="M57" s="41" t="s">
        <v>309</v>
      </c>
      <c r="N57" s="43" t="s">
        <v>62</v>
      </c>
      <c r="O57" s="43"/>
      <c r="P57" s="44"/>
      <c r="Q57" s="43"/>
      <c r="R57" s="43" t="s">
        <v>2</v>
      </c>
      <c r="S57" s="45">
        <v>44593</v>
      </c>
      <c r="T57" s="58" t="str">
        <f>IF(Tableau1[[#This Row],[DMS_SAP]]="","",HYPERLINK(Tableau1[[#This Row],[Chemin fichier source]],"X"))</f>
        <v/>
      </c>
      <c r="U57" s="58" t="str">
        <f>IF(Tableau1[[#This Row],[Date rév.]]="","",HYPERLINK(Tableau1[[#This Row],[Lien document]],"X"))</f>
        <v/>
      </c>
      <c r="V57" s="44"/>
      <c r="W57"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TRANSFO\T040-J020_33601.pdf</v>
      </c>
      <c r="X57" s="44">
        <v>16</v>
      </c>
      <c r="Y57" s="44">
        <v>2</v>
      </c>
      <c r="Z57" s="41" t="str">
        <f ca="1">IF(AND(Tableau1[[#This Row],[Charge]]&lt;&gt;0, Tableau1[[#This Row],[Nombre intervenants]]&lt;&gt;0,Tableau1[[#This Row],[Lien document]]&lt;&gt;0,Tableau1[[#This Row],[DMS_SAP]]&lt;&gt;0)=TRUE,"MIS A JOUR","")</f>
        <v/>
      </c>
      <c r="AA57" s="45"/>
      <c r="AB57" s="55" t="str">
        <f ca="1">IF(Tableau1[[#This Row],[Date rév.]]&lt;&gt;"", DAYS360(Tableau1[[#This Row],[Date rév.]],TODAY()),"")</f>
        <v/>
      </c>
      <c r="AC57" s="47">
        <f>IFERROR(INDEX(Chemin_accès!$B$11:$C$22,MATCH(Tableau1[[#This Row],[Type]],Chemin_accès!$C$11:$C$22,0),1),Chemin_accès!$B$11)</f>
        <v>0</v>
      </c>
      <c r="AD57" s="47" t="str">
        <f>Chemin_accès!$B$8&amp;Tableau1[[#This Row],[Localisation / Classement]]&amp;"\"&amp;Tableau1[[#This Row],[Poste technique]]&amp;"_"&amp;Tableau1[[#This Row],[Plan Entretien]]&amp;".xlsm"</f>
        <v>220KV/42KV TRANSFO\T040-J020_33601.xlsm</v>
      </c>
    </row>
    <row r="58" spans="1:30" x14ac:dyDescent="0.3">
      <c r="A58" s="41" t="str">
        <f t="shared" ca="1" si="0"/>
        <v>7.MNRJ</v>
      </c>
      <c r="B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8" s="43"/>
      <c r="D58" s="41" t="s">
        <v>437</v>
      </c>
      <c r="E58" s="41" t="s">
        <v>135</v>
      </c>
      <c r="F58" s="44" t="s">
        <v>154</v>
      </c>
      <c r="G58" s="44" t="s">
        <v>155</v>
      </c>
      <c r="H58" s="48">
        <v>33601</v>
      </c>
      <c r="I58" s="48">
        <v>67623</v>
      </c>
      <c r="J58" s="48" t="s">
        <v>252</v>
      </c>
      <c r="K58" s="48">
        <v>27</v>
      </c>
      <c r="L58" s="43" t="s">
        <v>448</v>
      </c>
      <c r="M58" s="41" t="s">
        <v>310</v>
      </c>
      <c r="N58" s="43" t="s">
        <v>62</v>
      </c>
      <c r="O58" s="43"/>
      <c r="P58" s="44"/>
      <c r="Q58" s="43"/>
      <c r="R58" s="43" t="s">
        <v>2</v>
      </c>
      <c r="S58" s="45">
        <v>44593</v>
      </c>
      <c r="T58" s="58" t="str">
        <f>IF(Tableau1[[#This Row],[DMS_SAP]]="","",HYPERLINK(Tableau1[[#This Row],[Chemin fichier source]],"X"))</f>
        <v/>
      </c>
      <c r="U58" s="58" t="str">
        <f>IF(Tableau1[[#This Row],[Date rév.]]="","",HYPERLINK(Tableau1[[#This Row],[Lien document]],"X"))</f>
        <v/>
      </c>
      <c r="V58" s="44"/>
      <c r="W58"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TRANSFO\T040-J020_33601.pdf</v>
      </c>
      <c r="X58" s="44">
        <v>8</v>
      </c>
      <c r="Y58" s="44">
        <v>2</v>
      </c>
      <c r="Z58" s="41" t="str">
        <f ca="1">IF(AND(Tableau1[[#This Row],[Charge]]&lt;&gt;0, Tableau1[[#This Row],[Nombre intervenants]]&lt;&gt;0,Tableau1[[#This Row],[Lien document]]&lt;&gt;0,Tableau1[[#This Row],[DMS_SAP]]&lt;&gt;0)=TRUE,"MIS A JOUR","")</f>
        <v/>
      </c>
      <c r="AA58" s="45"/>
      <c r="AB58" s="55" t="str">
        <f ca="1">IF(Tableau1[[#This Row],[Date rév.]]&lt;&gt;"", DAYS360(Tableau1[[#This Row],[Date rév.]],TODAY()),"")</f>
        <v/>
      </c>
      <c r="AC58" s="47">
        <f>IFERROR(INDEX(Chemin_accès!$B$11:$C$22,MATCH(Tableau1[[#This Row],[Type]],Chemin_accès!$C$11:$C$22,0),1),Chemin_accès!$B$11)</f>
        <v>0</v>
      </c>
      <c r="AD58" s="47" t="str">
        <f>Chemin_accès!$B$8&amp;Tableau1[[#This Row],[Localisation / Classement]]&amp;"\"&amp;Tableau1[[#This Row],[Poste technique]]&amp;"_"&amp;Tableau1[[#This Row],[Plan Entretien]]&amp;".xlsm"</f>
        <v>220KV/42KV TRANSFO\T040-J020_33601.xlsm</v>
      </c>
    </row>
    <row r="59" spans="1:30" x14ac:dyDescent="0.3">
      <c r="A59" s="41" t="str">
        <f t="shared" ca="1" si="0"/>
        <v>7.MNRJ</v>
      </c>
      <c r="B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9" s="43"/>
      <c r="D59" s="41" t="s">
        <v>437</v>
      </c>
      <c r="E59" s="41" t="s">
        <v>135</v>
      </c>
      <c r="F59" s="41" t="s">
        <v>156</v>
      </c>
      <c r="G59" s="41" t="s">
        <v>157</v>
      </c>
      <c r="H59" s="48">
        <v>33601</v>
      </c>
      <c r="I59" s="48">
        <v>68996</v>
      </c>
      <c r="J59" s="48" t="s">
        <v>253</v>
      </c>
      <c r="K59" s="48">
        <v>37</v>
      </c>
      <c r="L59" s="43" t="s">
        <v>82</v>
      </c>
      <c r="M59" s="41" t="s">
        <v>311</v>
      </c>
      <c r="N59" s="43" t="s">
        <v>445</v>
      </c>
      <c r="O59" s="43"/>
      <c r="P59" s="44"/>
      <c r="Q59" s="43"/>
      <c r="R59" s="43" t="s">
        <v>2</v>
      </c>
      <c r="S59" s="45">
        <v>44593</v>
      </c>
      <c r="T59" s="58" t="str">
        <f>IF(Tableau1[[#This Row],[DMS_SAP]]="","",HYPERLINK(Tableau1[[#This Row],[Chemin fichier source]],"X"))</f>
        <v/>
      </c>
      <c r="U59" s="58" t="str">
        <f>IF(Tableau1[[#This Row],[Date rév.]]="","",HYPERLINK(Tableau1[[#This Row],[Lien document]],"X"))</f>
        <v/>
      </c>
      <c r="V59" s="44"/>
      <c r="W59"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TRANSFO\T040-J030_33601.pdf</v>
      </c>
      <c r="X59" s="44">
        <v>8</v>
      </c>
      <c r="Y59" s="44">
        <v>2</v>
      </c>
      <c r="Z59" s="41" t="str">
        <f ca="1">IF(AND(Tableau1[[#This Row],[Charge]]&lt;&gt;0, Tableau1[[#This Row],[Nombre intervenants]]&lt;&gt;0,Tableau1[[#This Row],[Lien document]]&lt;&gt;0,Tableau1[[#This Row],[DMS_SAP]]&lt;&gt;0)=TRUE,"MIS A JOUR","")</f>
        <v/>
      </c>
      <c r="AA59" s="45"/>
      <c r="AB59" s="55" t="str">
        <f ca="1">IF(Tableau1[[#This Row],[Date rév.]]&lt;&gt;"", DAYS360(Tableau1[[#This Row],[Date rév.]],TODAY()),"")</f>
        <v/>
      </c>
      <c r="AC59" s="47">
        <f>IFERROR(INDEX(Chemin_accès!$B$11:$C$22,MATCH(Tableau1[[#This Row],[Type]],Chemin_accès!$C$11:$C$22,0),1),Chemin_accès!$B$11)</f>
        <v>0</v>
      </c>
      <c r="AD59" s="47" t="str">
        <f>Chemin_accès!$B$8&amp;Tableau1[[#This Row],[Localisation / Classement]]&amp;"\"&amp;Tableau1[[#This Row],[Poste technique]]&amp;"_"&amp;Tableau1[[#This Row],[Plan Entretien]]&amp;".xlsm"</f>
        <v>220KV/42KV TRANSFO\T040-J030_33601.xlsm</v>
      </c>
    </row>
    <row r="60" spans="1:30" x14ac:dyDescent="0.3">
      <c r="A60" s="41" t="str">
        <f t="shared" ca="1" si="0"/>
        <v>7.MNRJ</v>
      </c>
      <c r="B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0" s="60"/>
      <c r="D60" s="41" t="s">
        <v>437</v>
      </c>
      <c r="E60" s="41" t="s">
        <v>135</v>
      </c>
      <c r="F60" s="44" t="s">
        <v>156</v>
      </c>
      <c r="G60" s="44" t="s">
        <v>157</v>
      </c>
      <c r="H60" s="48">
        <v>33601</v>
      </c>
      <c r="I60" s="48">
        <v>67625</v>
      </c>
      <c r="J60" s="48" t="s">
        <v>252</v>
      </c>
      <c r="K60" s="48">
        <v>29</v>
      </c>
      <c r="L60" s="43" t="s">
        <v>448</v>
      </c>
      <c r="M60" s="41" t="s">
        <v>312</v>
      </c>
      <c r="N60" s="43" t="s">
        <v>62</v>
      </c>
      <c r="O60" s="43"/>
      <c r="P60" s="44"/>
      <c r="Q60" s="43"/>
      <c r="R60" s="43" t="s">
        <v>2</v>
      </c>
      <c r="S60" s="45">
        <v>44593</v>
      </c>
      <c r="T60" s="58" t="str">
        <f>IF(Tableau1[[#This Row],[DMS_SAP]]="","",HYPERLINK(Tableau1[[#This Row],[Chemin fichier source]],"X"))</f>
        <v/>
      </c>
      <c r="U60" s="58" t="str">
        <f>IF(Tableau1[[#This Row],[Date rév.]]="","",HYPERLINK(Tableau1[[#This Row],[Lien document]],"X"))</f>
        <v/>
      </c>
      <c r="V60" s="44"/>
      <c r="W60" s="46" t="str">
        <f ca="1">Chemin_accès!$B$2&amp;Tableau1[[#This Row],[Poste Responsable]]&amp;"\"&amp;Tableau1[[#This Row],[Localisation / Classement]]&amp;"\"&amp;Tableau1[[#This Row],[Poste technique]]&amp;"_"&amp;Tableau1[[#This Row],[Plan Entretien]]&amp;".pdf"</f>
        <v>\\stjn.local\trimet\Donnees_Projets\Dms Sap\Maintenance\PlanEntretien\7.MNRJ\220KV/42KV TRANSFO\T040-J030_33601.pdf</v>
      </c>
      <c r="X60" s="44">
        <v>8</v>
      </c>
      <c r="Y60" s="44">
        <v>2</v>
      </c>
      <c r="Z60" s="41" t="str">
        <f ca="1">IF(AND(Tableau1[[#This Row],[Charge]]&lt;&gt;0, Tableau1[[#This Row],[Nombre intervenants]]&lt;&gt;0,Tableau1[[#This Row],[Lien document]]&lt;&gt;0,Tableau1[[#This Row],[DMS_SAP]]&lt;&gt;0)=TRUE,"MIS A JOUR","")</f>
        <v/>
      </c>
      <c r="AA60" s="45"/>
      <c r="AB60" s="55" t="str">
        <f ca="1">IF(Tableau1[[#This Row],[Date rév.]]&lt;&gt;"", DAYS360(Tableau1[[#This Row],[Date rév.]],TODAY()),"")</f>
        <v/>
      </c>
      <c r="AC60" s="47">
        <f>IFERROR(INDEX(Chemin_accès!$B$11:$C$22,MATCH(Tableau1[[#This Row],[Type]],Chemin_accès!$C$11:$C$22,0),1),Chemin_accès!$B$11)</f>
        <v>0</v>
      </c>
      <c r="AD60" s="47" t="str">
        <f>Chemin_accès!$B$8&amp;Tableau1[[#This Row],[Localisation / Classement]]&amp;"\"&amp;Tableau1[[#This Row],[Poste technique]]&amp;"_"&amp;Tableau1[[#This Row],[Plan Entretien]]&amp;".xlsm"</f>
        <v>220KV/42KV TRANSFO\T040-J030_33601.xlsm</v>
      </c>
    </row>
    <row r="61" spans="1:30" x14ac:dyDescent="0.3">
      <c r="A61" s="41" t="str">
        <f t="shared" ca="1" si="0"/>
        <v>7.MNRJ</v>
      </c>
      <c r="B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1" s="60"/>
      <c r="D61" s="41" t="s">
        <v>438</v>
      </c>
      <c r="E61" s="41" t="s">
        <v>135</v>
      </c>
      <c r="F61" s="44" t="s">
        <v>158</v>
      </c>
      <c r="G61" s="44" t="s">
        <v>159</v>
      </c>
      <c r="H61" s="48">
        <v>33601</v>
      </c>
      <c r="I61" s="48">
        <v>67626</v>
      </c>
      <c r="J61" s="48" t="s">
        <v>252</v>
      </c>
      <c r="K61" s="48">
        <v>41</v>
      </c>
      <c r="L61" s="43" t="s">
        <v>82</v>
      </c>
      <c r="M61" s="41" t="s">
        <v>313</v>
      </c>
      <c r="N61" s="43" t="s">
        <v>62</v>
      </c>
      <c r="O61" s="43"/>
      <c r="P61" s="44"/>
      <c r="Q61" s="43"/>
      <c r="R61" s="43" t="s">
        <v>2</v>
      </c>
      <c r="S61" s="45">
        <v>44593</v>
      </c>
      <c r="T61" s="58" t="str">
        <f>IF(Tableau1[[#This Row],[DMS_SAP]]="","",HYPERLINK(Tableau1[[#This Row],[Chemin fichier source]],"X"))</f>
        <v/>
      </c>
      <c r="U61" s="58" t="str">
        <f>IF(Tableau1[[#This Row],[Date rév.]]="","",HYPERLINK(Tableau1[[#This Row],[Lien document]],"X"))</f>
        <v/>
      </c>
      <c r="V61" s="44"/>
      <c r="W61"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\T040-K_33601.pdf</v>
      </c>
      <c r="X61" s="44">
        <v>12</v>
      </c>
      <c r="Y61" s="44">
        <v>2</v>
      </c>
      <c r="Z61" s="41" t="str">
        <f ca="1">IF(AND(Tableau1[[#This Row],[Charge]]&lt;&gt;0, Tableau1[[#This Row],[Nombre intervenants]]&lt;&gt;0,Tableau1[[#This Row],[Lien document]]&lt;&gt;0,Tableau1[[#This Row],[DMS_SAP]]&lt;&gt;0)=TRUE,"MIS A JOUR","")</f>
        <v/>
      </c>
      <c r="AA61" s="45"/>
      <c r="AB61" s="55" t="str">
        <f ca="1">IF(Tableau1[[#This Row],[Date rév.]]&lt;&gt;"", DAYS360(Tableau1[[#This Row],[Date rév.]],TODAY()),"")</f>
        <v/>
      </c>
      <c r="AC61" s="47">
        <f>IFERROR(INDEX(Chemin_accès!$B$11:$C$22,MATCH(Tableau1[[#This Row],[Type]],Chemin_accès!$C$11:$C$22,0),1),Chemin_accès!$B$11)</f>
        <v>0</v>
      </c>
      <c r="AD61" s="47" t="str">
        <f>Chemin_accès!$B$8&amp;Tableau1[[#This Row],[Localisation / Classement]]&amp;"\"&amp;Tableau1[[#This Row],[Poste technique]]&amp;"_"&amp;Tableau1[[#This Row],[Plan Entretien]]&amp;".xlsm"</f>
        <v>42KV FORCE MOTRICE USINE \T040-K_33601.xlsm</v>
      </c>
    </row>
    <row r="62" spans="1:30" x14ac:dyDescent="0.3">
      <c r="A62" s="41" t="str">
        <f t="shared" ca="1" si="0"/>
        <v>7.MNRJ</v>
      </c>
      <c r="B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2" s="60"/>
      <c r="D62" s="41" t="s">
        <v>438</v>
      </c>
      <c r="E62" s="41" t="s">
        <v>135</v>
      </c>
      <c r="F62" s="44" t="s">
        <v>158</v>
      </c>
      <c r="G62" s="44" t="s">
        <v>159</v>
      </c>
      <c r="H62" s="48">
        <v>33601</v>
      </c>
      <c r="I62" s="48">
        <v>67627</v>
      </c>
      <c r="J62" s="48" t="s">
        <v>252</v>
      </c>
      <c r="K62" s="48">
        <v>42</v>
      </c>
      <c r="L62" s="43" t="s">
        <v>82</v>
      </c>
      <c r="M62" s="41" t="s">
        <v>314</v>
      </c>
      <c r="N62" s="43" t="s">
        <v>62</v>
      </c>
      <c r="O62" s="43"/>
      <c r="P62" s="44"/>
      <c r="Q62" s="43"/>
      <c r="R62" s="43" t="s">
        <v>2</v>
      </c>
      <c r="S62" s="45">
        <v>44593</v>
      </c>
      <c r="T62" s="58" t="str">
        <f>IF(Tableau1[[#This Row],[DMS_SAP]]="","",HYPERLINK(Tableau1[[#This Row],[Chemin fichier source]],"X"))</f>
        <v/>
      </c>
      <c r="U62" s="58" t="str">
        <f>IF(Tableau1[[#This Row],[Date rév.]]="","",HYPERLINK(Tableau1[[#This Row],[Lien document]],"X"))</f>
        <v/>
      </c>
      <c r="V62" s="44"/>
      <c r="W62"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\T040-K_33601.pdf</v>
      </c>
      <c r="X62" s="44">
        <v>12</v>
      </c>
      <c r="Y62" s="44">
        <v>2</v>
      </c>
      <c r="Z62" s="41" t="str">
        <f ca="1">IF(AND(Tableau1[[#This Row],[Charge]]&lt;&gt;0, Tableau1[[#This Row],[Nombre intervenants]]&lt;&gt;0,Tableau1[[#This Row],[Lien document]]&lt;&gt;0,Tableau1[[#This Row],[DMS_SAP]]&lt;&gt;0)=TRUE,"MIS A JOUR","")</f>
        <v/>
      </c>
      <c r="AA62" s="45"/>
      <c r="AB62" s="55" t="str">
        <f ca="1">IF(Tableau1[[#This Row],[Date rév.]]&lt;&gt;"", DAYS360(Tableau1[[#This Row],[Date rév.]],TODAY()),"")</f>
        <v/>
      </c>
      <c r="AC62" s="47">
        <f>IFERROR(INDEX(Chemin_accès!$B$11:$C$22,MATCH(Tableau1[[#This Row],[Type]],Chemin_accès!$C$11:$C$22,0),1),Chemin_accès!$B$11)</f>
        <v>0</v>
      </c>
      <c r="AD62" s="47" t="str">
        <f>Chemin_accès!$B$8&amp;Tableau1[[#This Row],[Localisation / Classement]]&amp;"\"&amp;Tableau1[[#This Row],[Poste technique]]&amp;"_"&amp;Tableau1[[#This Row],[Plan Entretien]]&amp;".xlsm"</f>
        <v>42KV FORCE MOTRICE USINE \T040-K_33601.xlsm</v>
      </c>
    </row>
    <row r="63" spans="1:30" x14ac:dyDescent="0.3">
      <c r="A63" s="41" t="str">
        <f t="shared" ca="1" si="0"/>
        <v>7.MNRJ</v>
      </c>
      <c r="B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3" s="43"/>
      <c r="D63" s="41" t="s">
        <v>438</v>
      </c>
      <c r="E63" s="41" t="s">
        <v>135</v>
      </c>
      <c r="F63" s="44" t="s">
        <v>160</v>
      </c>
      <c r="G63" s="44" t="s">
        <v>161</v>
      </c>
      <c r="H63" s="48">
        <v>33601</v>
      </c>
      <c r="I63" s="48">
        <v>67628</v>
      </c>
      <c r="J63" s="48" t="s">
        <v>252</v>
      </c>
      <c r="K63" s="48">
        <v>33</v>
      </c>
      <c r="L63" s="43" t="s">
        <v>82</v>
      </c>
      <c r="M63" s="41" t="s">
        <v>315</v>
      </c>
      <c r="N63" s="43" t="s">
        <v>62</v>
      </c>
      <c r="O63" s="43"/>
      <c r="P63" s="44"/>
      <c r="Q63" s="43"/>
      <c r="R63" s="43" t="s">
        <v>2</v>
      </c>
      <c r="S63" s="45">
        <v>44593</v>
      </c>
      <c r="T63" s="58" t="str">
        <f>IF(Tableau1[[#This Row],[DMS_SAP]]="","",HYPERLINK(Tableau1[[#This Row],[Chemin fichier source]],"X"))</f>
        <v/>
      </c>
      <c r="U63" s="58" t="str">
        <f>IF(Tableau1[[#This Row],[Date rév.]]="","",HYPERLINK(Tableau1[[#This Row],[Lien document]],"X"))</f>
        <v/>
      </c>
      <c r="V63" s="44"/>
      <c r="W63"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\T040-K010_33601.pdf</v>
      </c>
      <c r="X63" s="44">
        <v>8</v>
      </c>
      <c r="Y63" s="44">
        <v>2</v>
      </c>
      <c r="Z63" s="41" t="str">
        <f ca="1">IF(AND(Tableau1[[#This Row],[Charge]]&lt;&gt;0, Tableau1[[#This Row],[Nombre intervenants]]&lt;&gt;0,Tableau1[[#This Row],[Lien document]]&lt;&gt;0,Tableau1[[#This Row],[DMS_SAP]]&lt;&gt;0)=TRUE,"MIS A JOUR","")</f>
        <v/>
      </c>
      <c r="AA63" s="45"/>
      <c r="AB63" s="55" t="str">
        <f ca="1">IF(Tableau1[[#This Row],[Date rév.]]&lt;&gt;"", DAYS360(Tableau1[[#This Row],[Date rév.]],TODAY()),"")</f>
        <v/>
      </c>
      <c r="AC63" s="47">
        <f>IFERROR(INDEX(Chemin_accès!$B$11:$C$22,MATCH(Tableau1[[#This Row],[Type]],Chemin_accès!$C$11:$C$22,0),1),Chemin_accès!$B$11)</f>
        <v>0</v>
      </c>
      <c r="AD63" s="47" t="str">
        <f>Chemin_accès!$B$8&amp;Tableau1[[#This Row],[Localisation / Classement]]&amp;"\"&amp;Tableau1[[#This Row],[Poste technique]]&amp;"_"&amp;Tableau1[[#This Row],[Plan Entretien]]&amp;".xlsm"</f>
        <v>42KV FORCE MOTRICE USINE \T040-K010_33601.xlsm</v>
      </c>
    </row>
    <row r="64" spans="1:30" x14ac:dyDescent="0.3">
      <c r="A64" s="41" t="str">
        <f t="shared" ca="1" si="0"/>
        <v>7.MNRJ</v>
      </c>
      <c r="B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4" s="43"/>
      <c r="D64" s="41" t="s">
        <v>438</v>
      </c>
      <c r="E64" s="41" t="s">
        <v>135</v>
      </c>
      <c r="F64" s="44" t="s">
        <v>162</v>
      </c>
      <c r="G64" s="44" t="s">
        <v>163</v>
      </c>
      <c r="H64" s="48">
        <v>33601</v>
      </c>
      <c r="I64" s="48">
        <v>67629</v>
      </c>
      <c r="J64" s="48" t="s">
        <v>252</v>
      </c>
      <c r="K64" s="48">
        <v>34</v>
      </c>
      <c r="L64" s="43" t="s">
        <v>82</v>
      </c>
      <c r="M64" s="41" t="s">
        <v>316</v>
      </c>
      <c r="N64" s="43" t="s">
        <v>62</v>
      </c>
      <c r="O64" s="43"/>
      <c r="P64" s="44"/>
      <c r="Q64" s="43"/>
      <c r="R64" s="43" t="s">
        <v>2</v>
      </c>
      <c r="S64" s="45">
        <v>44593</v>
      </c>
      <c r="T64" s="58" t="str">
        <f>IF(Tableau1[[#This Row],[DMS_SAP]]="","",HYPERLINK(Tableau1[[#This Row],[Chemin fichier source]],"X"))</f>
        <v/>
      </c>
      <c r="U64" s="58" t="str">
        <f>IF(Tableau1[[#This Row],[Date rév.]]="","",HYPERLINK(Tableau1[[#This Row],[Lien document]],"X"))</f>
        <v/>
      </c>
      <c r="V64" s="44"/>
      <c r="W64"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\T040-K020_33601.pdf</v>
      </c>
      <c r="X64" s="44">
        <v>8</v>
      </c>
      <c r="Y64" s="44">
        <v>2</v>
      </c>
      <c r="Z64" s="41" t="str">
        <f ca="1">IF(AND(Tableau1[[#This Row],[Charge]]&lt;&gt;0, Tableau1[[#This Row],[Nombre intervenants]]&lt;&gt;0,Tableau1[[#This Row],[Lien document]]&lt;&gt;0,Tableau1[[#This Row],[DMS_SAP]]&lt;&gt;0)=TRUE,"MIS A JOUR","")</f>
        <v/>
      </c>
      <c r="AA64" s="45"/>
      <c r="AB64" s="55" t="str">
        <f ca="1">IF(Tableau1[[#This Row],[Date rév.]]&lt;&gt;"", DAYS360(Tableau1[[#This Row],[Date rév.]],TODAY()),"")</f>
        <v/>
      </c>
      <c r="AC64" s="47">
        <f>IFERROR(INDEX(Chemin_accès!$B$11:$C$22,MATCH(Tableau1[[#This Row],[Type]],Chemin_accès!$C$11:$C$22,0),1),Chemin_accès!$B$11)</f>
        <v>0</v>
      </c>
      <c r="AD64" s="47" t="str">
        <f>Chemin_accès!$B$8&amp;Tableau1[[#This Row],[Localisation / Classement]]&amp;"\"&amp;Tableau1[[#This Row],[Poste technique]]&amp;"_"&amp;Tableau1[[#This Row],[Plan Entretien]]&amp;".xlsm"</f>
        <v>42KV FORCE MOTRICE USINE \T040-K020_33601.xlsm</v>
      </c>
    </row>
    <row r="65" spans="1:30" x14ac:dyDescent="0.3">
      <c r="A65" s="41" t="str">
        <f t="shared" ca="1" si="0"/>
        <v>7.MNRJ</v>
      </c>
      <c r="B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5" s="43"/>
      <c r="D65" s="41" t="s">
        <v>438</v>
      </c>
      <c r="E65" s="41" t="s">
        <v>135</v>
      </c>
      <c r="F65" s="44" t="s">
        <v>164</v>
      </c>
      <c r="G65" s="44" t="s">
        <v>165</v>
      </c>
      <c r="H65" s="48">
        <v>33601</v>
      </c>
      <c r="I65" s="48">
        <v>67630</v>
      </c>
      <c r="J65" s="48" t="s">
        <v>252</v>
      </c>
      <c r="K65" s="48">
        <v>35</v>
      </c>
      <c r="L65" s="43" t="s">
        <v>82</v>
      </c>
      <c r="M65" s="41" t="s">
        <v>317</v>
      </c>
      <c r="N65" s="43" t="s">
        <v>62</v>
      </c>
      <c r="O65" s="43"/>
      <c r="P65" s="44"/>
      <c r="Q65" s="43"/>
      <c r="R65" s="43" t="s">
        <v>2</v>
      </c>
      <c r="S65" s="45">
        <v>44593</v>
      </c>
      <c r="T65" s="58" t="str">
        <f>IF(Tableau1[[#This Row],[DMS_SAP]]="","",HYPERLINK(Tableau1[[#This Row],[Chemin fichier source]],"X"))</f>
        <v/>
      </c>
      <c r="U65" s="58" t="str">
        <f>IF(Tableau1[[#This Row],[Date rév.]]="","",HYPERLINK(Tableau1[[#This Row],[Lien document]],"X"))</f>
        <v/>
      </c>
      <c r="V65" s="44"/>
      <c r="W65"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\T040-K030_33601.pdf</v>
      </c>
      <c r="X65" s="44">
        <v>8</v>
      </c>
      <c r="Y65" s="44">
        <v>2</v>
      </c>
      <c r="Z65" s="41" t="str">
        <f ca="1">IF(AND(Tableau1[[#This Row],[Charge]]&lt;&gt;0, Tableau1[[#This Row],[Nombre intervenants]]&lt;&gt;0,Tableau1[[#This Row],[Lien document]]&lt;&gt;0,Tableau1[[#This Row],[DMS_SAP]]&lt;&gt;0)=TRUE,"MIS A JOUR","")</f>
        <v/>
      </c>
      <c r="AA65" s="45"/>
      <c r="AB65" s="55" t="str">
        <f ca="1">IF(Tableau1[[#This Row],[Date rév.]]&lt;&gt;"", DAYS360(Tableau1[[#This Row],[Date rév.]],TODAY()),"")</f>
        <v/>
      </c>
      <c r="AC65" s="47">
        <f>IFERROR(INDEX(Chemin_accès!$B$11:$C$22,MATCH(Tableau1[[#This Row],[Type]],Chemin_accès!$C$11:$C$22,0),1),Chemin_accès!$B$11)</f>
        <v>0</v>
      </c>
      <c r="AD65" s="47" t="str">
        <f>Chemin_accès!$B$8&amp;Tableau1[[#This Row],[Localisation / Classement]]&amp;"\"&amp;Tableau1[[#This Row],[Poste technique]]&amp;"_"&amp;Tableau1[[#This Row],[Plan Entretien]]&amp;".xlsm"</f>
        <v>42KV FORCE MOTRICE USINE \T040-K030_33601.xlsm</v>
      </c>
    </row>
    <row r="66" spans="1:30" x14ac:dyDescent="0.3">
      <c r="A66" s="41" t="str">
        <f t="shared" ca="1" si="0"/>
        <v>7.MNRJ</v>
      </c>
      <c r="B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6" s="43"/>
      <c r="D66" s="41" t="s">
        <v>438</v>
      </c>
      <c r="E66" s="41" t="s">
        <v>135</v>
      </c>
      <c r="F66" s="44" t="s">
        <v>166</v>
      </c>
      <c r="G66" s="44" t="s">
        <v>167</v>
      </c>
      <c r="H66" s="48">
        <v>33601</v>
      </c>
      <c r="I66" s="48">
        <v>67631</v>
      </c>
      <c r="J66" s="48" t="s">
        <v>252</v>
      </c>
      <c r="K66" s="48">
        <v>36</v>
      </c>
      <c r="L66" s="43" t="s">
        <v>82</v>
      </c>
      <c r="M66" s="41" t="s">
        <v>318</v>
      </c>
      <c r="N66" s="43" t="s">
        <v>62</v>
      </c>
      <c r="O66" s="43"/>
      <c r="P66" s="44"/>
      <c r="Q66" s="43"/>
      <c r="R66" s="43" t="s">
        <v>2</v>
      </c>
      <c r="S66" s="45">
        <v>44593</v>
      </c>
      <c r="T66" s="58" t="str">
        <f>IF(Tableau1[[#This Row],[DMS_SAP]]="","",HYPERLINK(Tableau1[[#This Row],[Chemin fichier source]],"X"))</f>
        <v/>
      </c>
      <c r="U66" s="58" t="str">
        <f>IF(Tableau1[[#This Row],[Date rév.]]="","",HYPERLINK(Tableau1[[#This Row],[Lien document]],"X"))</f>
        <v/>
      </c>
      <c r="V66" s="44"/>
      <c r="W66"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\T040-K040_33601.pdf</v>
      </c>
      <c r="X66" s="44">
        <v>8</v>
      </c>
      <c r="Y66" s="44">
        <v>2</v>
      </c>
      <c r="Z66" s="41" t="str">
        <f ca="1">IF(AND(Tableau1[[#This Row],[Charge]]&lt;&gt;0, Tableau1[[#This Row],[Nombre intervenants]]&lt;&gt;0,Tableau1[[#This Row],[Lien document]]&lt;&gt;0,Tableau1[[#This Row],[DMS_SAP]]&lt;&gt;0)=TRUE,"MIS A JOUR","")</f>
        <v/>
      </c>
      <c r="AA66" s="45"/>
      <c r="AB66" s="55" t="str">
        <f ca="1">IF(Tableau1[[#This Row],[Date rév.]]&lt;&gt;"", DAYS360(Tableau1[[#This Row],[Date rév.]],TODAY()),"")</f>
        <v/>
      </c>
      <c r="AC66" s="47">
        <f>IFERROR(INDEX(Chemin_accès!$B$11:$C$22,MATCH(Tableau1[[#This Row],[Type]],Chemin_accès!$C$11:$C$22,0),1),Chemin_accès!$B$11)</f>
        <v>0</v>
      </c>
      <c r="AD66" s="47" t="str">
        <f>Chemin_accès!$B$8&amp;Tableau1[[#This Row],[Localisation / Classement]]&amp;"\"&amp;Tableau1[[#This Row],[Poste technique]]&amp;"_"&amp;Tableau1[[#This Row],[Plan Entretien]]&amp;".xlsm"</f>
        <v>42KV FORCE MOTRICE USINE \T040-K040_33601.xlsm</v>
      </c>
    </row>
    <row r="67" spans="1:30" x14ac:dyDescent="0.3">
      <c r="A67" s="41" t="str">
        <f t="shared" ref="A67:A130" ca="1" si="1">MID(CELL("filename",$A$1),FIND("]",CELL("filename",$A$1))+1,32)</f>
        <v>7.MNRJ</v>
      </c>
      <c r="B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7" s="43"/>
      <c r="D67" s="41" t="s">
        <v>438</v>
      </c>
      <c r="E67" s="41" t="s">
        <v>135</v>
      </c>
      <c r="F67" s="44" t="s">
        <v>168</v>
      </c>
      <c r="G67" s="44" t="s">
        <v>169</v>
      </c>
      <c r="H67" s="48">
        <v>33601</v>
      </c>
      <c r="I67" s="48">
        <v>67632</v>
      </c>
      <c r="J67" s="48" t="s">
        <v>252</v>
      </c>
      <c r="K67" s="48">
        <v>37</v>
      </c>
      <c r="L67" s="43" t="s">
        <v>82</v>
      </c>
      <c r="M67" s="41" t="s">
        <v>319</v>
      </c>
      <c r="N67" s="43" t="s">
        <v>62</v>
      </c>
      <c r="O67" s="43"/>
      <c r="P67" s="44"/>
      <c r="Q67" s="43"/>
      <c r="R67" s="43" t="s">
        <v>2</v>
      </c>
      <c r="S67" s="45">
        <v>44593</v>
      </c>
      <c r="T67" s="58" t="str">
        <f>IF(Tableau1[[#This Row],[DMS_SAP]]="","",HYPERLINK(Tableau1[[#This Row],[Chemin fichier source]],"X"))</f>
        <v/>
      </c>
      <c r="U67" s="58" t="str">
        <f>IF(Tableau1[[#This Row],[Date rév.]]="","",HYPERLINK(Tableau1[[#This Row],[Lien document]],"X"))</f>
        <v/>
      </c>
      <c r="V67" s="44"/>
      <c r="W67"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\T040-K050_33601.pdf</v>
      </c>
      <c r="X67" s="44">
        <v>16</v>
      </c>
      <c r="Y67" s="44">
        <v>2</v>
      </c>
      <c r="Z67" s="41" t="str">
        <f ca="1">IF(AND(Tableau1[[#This Row],[Charge]]&lt;&gt;0, Tableau1[[#This Row],[Nombre intervenants]]&lt;&gt;0,Tableau1[[#This Row],[Lien document]]&lt;&gt;0,Tableau1[[#This Row],[DMS_SAP]]&lt;&gt;0)=TRUE,"MIS A JOUR","")</f>
        <v/>
      </c>
      <c r="AA67" s="45"/>
      <c r="AB67" s="55" t="str">
        <f ca="1">IF(Tableau1[[#This Row],[Date rév.]]&lt;&gt;"", DAYS360(Tableau1[[#This Row],[Date rév.]],TODAY()),"")</f>
        <v/>
      </c>
      <c r="AC67" s="47">
        <f>IFERROR(INDEX(Chemin_accès!$B$11:$C$22,MATCH(Tableau1[[#This Row],[Type]],Chemin_accès!$C$11:$C$22,0),1),Chemin_accès!$B$11)</f>
        <v>0</v>
      </c>
      <c r="AD67" s="47" t="str">
        <f>Chemin_accès!$B$8&amp;Tableau1[[#This Row],[Localisation / Classement]]&amp;"\"&amp;Tableau1[[#This Row],[Poste technique]]&amp;"_"&amp;Tableau1[[#This Row],[Plan Entretien]]&amp;".xlsm"</f>
        <v>42KV FORCE MOTRICE USINE \T040-K050_33601.xlsm</v>
      </c>
    </row>
    <row r="68" spans="1:30" x14ac:dyDescent="0.3">
      <c r="A68" s="41" t="str">
        <f t="shared" ca="1" si="1"/>
        <v>7.MNRJ</v>
      </c>
      <c r="B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8" s="43"/>
      <c r="D68" s="41" t="s">
        <v>438</v>
      </c>
      <c r="E68" s="41" t="s">
        <v>135</v>
      </c>
      <c r="F68" s="44" t="s">
        <v>170</v>
      </c>
      <c r="G68" s="44" t="s">
        <v>171</v>
      </c>
      <c r="H68" s="48">
        <v>33601</v>
      </c>
      <c r="I68" s="48">
        <v>67633</v>
      </c>
      <c r="J68" s="48" t="s">
        <v>252</v>
      </c>
      <c r="K68" s="48">
        <v>38</v>
      </c>
      <c r="L68" s="43" t="s">
        <v>82</v>
      </c>
      <c r="M68" s="41" t="s">
        <v>320</v>
      </c>
      <c r="N68" s="43" t="s">
        <v>62</v>
      </c>
      <c r="O68" s="43"/>
      <c r="P68" s="44"/>
      <c r="Q68" s="43"/>
      <c r="R68" s="43" t="s">
        <v>2</v>
      </c>
      <c r="S68" s="45">
        <v>44593</v>
      </c>
      <c r="T68" s="58" t="str">
        <f>IF(Tableau1[[#This Row],[DMS_SAP]]="","",HYPERLINK(Tableau1[[#This Row],[Chemin fichier source]],"X"))</f>
        <v/>
      </c>
      <c r="U68" s="58" t="str">
        <f>IF(Tableau1[[#This Row],[Date rév.]]="","",HYPERLINK(Tableau1[[#This Row],[Lien document]],"X"))</f>
        <v/>
      </c>
      <c r="V68" s="44"/>
      <c r="W68"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\T040-K060_33601.pdf</v>
      </c>
      <c r="X68" s="44">
        <v>16</v>
      </c>
      <c r="Y68" s="44">
        <v>2</v>
      </c>
      <c r="Z68" s="41" t="str">
        <f ca="1">IF(AND(Tableau1[[#This Row],[Charge]]&lt;&gt;0, Tableau1[[#This Row],[Nombre intervenants]]&lt;&gt;0,Tableau1[[#This Row],[Lien document]]&lt;&gt;0,Tableau1[[#This Row],[DMS_SAP]]&lt;&gt;0)=TRUE,"MIS A JOUR","")</f>
        <v/>
      </c>
      <c r="AA68" s="45"/>
      <c r="AB68" s="55" t="str">
        <f ca="1">IF(Tableau1[[#This Row],[Date rév.]]&lt;&gt;"", DAYS360(Tableau1[[#This Row],[Date rév.]],TODAY()),"")</f>
        <v/>
      </c>
      <c r="AC68" s="47">
        <f>IFERROR(INDEX(Chemin_accès!$B$11:$C$22,MATCH(Tableau1[[#This Row],[Type]],Chemin_accès!$C$11:$C$22,0),1),Chemin_accès!$B$11)</f>
        <v>0</v>
      </c>
      <c r="AD68" s="47" t="str">
        <f>Chemin_accès!$B$8&amp;Tableau1[[#This Row],[Localisation / Classement]]&amp;"\"&amp;Tableau1[[#This Row],[Poste technique]]&amp;"_"&amp;Tableau1[[#This Row],[Plan Entretien]]&amp;".xlsm"</f>
        <v>42KV FORCE MOTRICE USINE \T040-K060_33601.xlsm</v>
      </c>
    </row>
    <row r="69" spans="1:30" x14ac:dyDescent="0.3">
      <c r="A69" s="41" t="str">
        <f t="shared" ca="1" si="1"/>
        <v>7.MNRJ</v>
      </c>
      <c r="B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9" s="43"/>
      <c r="D69" s="41" t="s">
        <v>438</v>
      </c>
      <c r="E69" s="41" t="s">
        <v>135</v>
      </c>
      <c r="F69" s="44" t="s">
        <v>172</v>
      </c>
      <c r="G69" s="44" t="s">
        <v>173</v>
      </c>
      <c r="H69" s="48">
        <v>33601</v>
      </c>
      <c r="I69" s="48">
        <v>67634</v>
      </c>
      <c r="J69" s="48" t="s">
        <v>252</v>
      </c>
      <c r="K69" s="48">
        <v>40</v>
      </c>
      <c r="L69" s="43" t="s">
        <v>82</v>
      </c>
      <c r="M69" s="41" t="s">
        <v>321</v>
      </c>
      <c r="N69" s="43" t="s">
        <v>62</v>
      </c>
      <c r="O69" s="43"/>
      <c r="P69" s="44"/>
      <c r="Q69" s="43"/>
      <c r="R69" s="43" t="s">
        <v>2</v>
      </c>
      <c r="S69" s="45">
        <v>44593</v>
      </c>
      <c r="T69" s="58" t="str">
        <f>IF(Tableau1[[#This Row],[DMS_SAP]]="","",HYPERLINK(Tableau1[[#This Row],[Chemin fichier source]],"X"))</f>
        <v/>
      </c>
      <c r="U69" s="58" t="str">
        <f>IF(Tableau1[[#This Row],[Date rév.]]="","",HYPERLINK(Tableau1[[#This Row],[Lien document]],"X"))</f>
        <v/>
      </c>
      <c r="V69" s="44"/>
      <c r="W69" s="46" t="str">
        <f ca="1">Chemin_accès!$B$2&amp;Tableau1[[#This Row],[Poste Responsable]]&amp;"\"&amp;Tableau1[[#This Row],[Localisation / Classement]]&amp;"\"&amp;Tableau1[[#This Row],[Poste technique]]&amp;"_"&amp;Tableau1[[#This Row],[Plan Entretien]]&amp;".pdf"</f>
        <v>\\stjn.local\trimet\Donnees_Projets\Dms Sap\Maintenance\PlanEntretien\7.MNRJ\42KV FORCE MOTRICE USINE \T040-K070_33601.pdf</v>
      </c>
      <c r="X69" s="44">
        <v>2</v>
      </c>
      <c r="Y69" s="44">
        <v>2</v>
      </c>
      <c r="Z69" s="41" t="str">
        <f ca="1">IF(AND(Tableau1[[#This Row],[Charge]]&lt;&gt;0, Tableau1[[#This Row],[Nombre intervenants]]&lt;&gt;0,Tableau1[[#This Row],[Lien document]]&lt;&gt;0,Tableau1[[#This Row],[DMS_SAP]]&lt;&gt;0)=TRUE,"MIS A JOUR","")</f>
        <v/>
      </c>
      <c r="AA69" s="45"/>
      <c r="AB69" s="55" t="str">
        <f ca="1">IF(Tableau1[[#This Row],[Date rév.]]&lt;&gt;"", DAYS360(Tableau1[[#This Row],[Date rév.]],TODAY()),"")</f>
        <v/>
      </c>
      <c r="AC69" s="47">
        <f>IFERROR(INDEX(Chemin_accès!$B$11:$C$22,MATCH(Tableau1[[#This Row],[Type]],Chemin_accès!$C$11:$C$22,0),1),Chemin_accès!$B$11)</f>
        <v>0</v>
      </c>
      <c r="AD69" s="47" t="str">
        <f>Chemin_accès!$B$8&amp;Tableau1[[#This Row],[Localisation / Classement]]&amp;"\"&amp;Tableau1[[#This Row],[Poste technique]]&amp;"_"&amp;Tableau1[[#This Row],[Plan Entretien]]&amp;".xlsm"</f>
        <v>42KV FORCE MOTRICE USINE \T040-K070_33601.xlsm</v>
      </c>
    </row>
    <row r="70" spans="1:30" x14ac:dyDescent="0.3">
      <c r="A70" s="41" t="str">
        <f t="shared" ca="1" si="1"/>
        <v>7.MNRJ</v>
      </c>
      <c r="B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0" s="43"/>
      <c r="D70" s="41" t="s">
        <v>175</v>
      </c>
      <c r="E70" s="41" t="s">
        <v>135</v>
      </c>
      <c r="F70" s="44" t="s">
        <v>174</v>
      </c>
      <c r="G70" s="44" t="s">
        <v>175</v>
      </c>
      <c r="H70" s="48">
        <v>33601</v>
      </c>
      <c r="I70" s="48">
        <v>68971</v>
      </c>
      <c r="J70" s="48" t="s">
        <v>253</v>
      </c>
      <c r="K70" s="48">
        <v>12</v>
      </c>
      <c r="L70" s="43" t="s">
        <v>82</v>
      </c>
      <c r="M70" s="41" t="s">
        <v>322</v>
      </c>
      <c r="N70" s="43" t="s">
        <v>62</v>
      </c>
      <c r="O70" s="43"/>
      <c r="P70" s="44"/>
      <c r="Q70" s="43"/>
      <c r="R70" s="43" t="s">
        <v>2</v>
      </c>
      <c r="S70" s="45">
        <v>44593</v>
      </c>
      <c r="T70" s="58" t="str">
        <f>IF(Tableau1[[#This Row],[DMS_SAP]]="","",HYPERLINK(Tableau1[[#This Row],[Chemin fichier source]],"X"))</f>
        <v/>
      </c>
      <c r="U70" s="58" t="str">
        <f>IF(Tableau1[[#This Row],[Date rév.]]="","",HYPERLINK(Tableau1[[#This Row],[Lien document]],"X"))</f>
        <v/>
      </c>
      <c r="V70" s="44"/>
      <c r="W70"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CONVERSION\T040-M_33601.pdf</v>
      </c>
      <c r="X70" s="44">
        <v>16</v>
      </c>
      <c r="Y70" s="44">
        <v>2</v>
      </c>
      <c r="Z70" s="41" t="str">
        <f ca="1">IF(AND(Tableau1[[#This Row],[Charge]]&lt;&gt;0, Tableau1[[#This Row],[Nombre intervenants]]&lt;&gt;0,Tableau1[[#This Row],[Lien document]]&lt;&gt;0,Tableau1[[#This Row],[DMS_SAP]]&lt;&gt;0)=TRUE,"MIS A JOUR","")</f>
        <v/>
      </c>
      <c r="AA70" s="45"/>
      <c r="AB70" s="55" t="str">
        <f ca="1">IF(Tableau1[[#This Row],[Date rév.]]&lt;&gt;"", DAYS360(Tableau1[[#This Row],[Date rév.]],TODAY()),"")</f>
        <v/>
      </c>
      <c r="AC70" s="47">
        <f>IFERROR(INDEX(Chemin_accès!$B$11:$C$22,MATCH(Tableau1[[#This Row],[Type]],Chemin_accès!$C$11:$C$22,0),1),Chemin_accès!$B$11)</f>
        <v>0</v>
      </c>
      <c r="AD70" s="47" t="str">
        <f>Chemin_accès!$B$8&amp;Tableau1[[#This Row],[Localisation / Classement]]&amp;"\"&amp;Tableau1[[#This Row],[Poste technique]]&amp;"_"&amp;Tableau1[[#This Row],[Plan Entretien]]&amp;".xlsm"</f>
        <v>42KV CONVERSION\T040-M_33601.xlsm</v>
      </c>
    </row>
    <row r="71" spans="1:30" x14ac:dyDescent="0.3">
      <c r="A71" s="41" t="str">
        <f t="shared" ca="1" si="1"/>
        <v>7.MNRJ</v>
      </c>
      <c r="B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1" s="43"/>
      <c r="D71" s="41" t="s">
        <v>175</v>
      </c>
      <c r="E71" s="41" t="s">
        <v>135</v>
      </c>
      <c r="F71" s="44" t="s">
        <v>174</v>
      </c>
      <c r="G71" s="44" t="s">
        <v>175</v>
      </c>
      <c r="H71" s="48">
        <v>33601</v>
      </c>
      <c r="I71" s="48">
        <v>69181</v>
      </c>
      <c r="J71" s="48" t="s">
        <v>253</v>
      </c>
      <c r="K71" s="48">
        <v>97</v>
      </c>
      <c r="L71" s="43" t="s">
        <v>82</v>
      </c>
      <c r="M71" s="41" t="s">
        <v>323</v>
      </c>
      <c r="N71" s="43" t="s">
        <v>62</v>
      </c>
      <c r="O71" s="43"/>
      <c r="P71" s="44"/>
      <c r="Q71" s="43"/>
      <c r="R71" s="43" t="s">
        <v>2</v>
      </c>
      <c r="S71" s="45">
        <v>44593</v>
      </c>
      <c r="T71" s="58" t="str">
        <f>IF(Tableau1[[#This Row],[DMS_SAP]]="","",HYPERLINK(Tableau1[[#This Row],[Chemin fichier source]],"X"))</f>
        <v/>
      </c>
      <c r="U71" s="58" t="str">
        <f>IF(Tableau1[[#This Row],[Date rév.]]="","",HYPERLINK(Tableau1[[#This Row],[Lien document]],"X"))</f>
        <v/>
      </c>
      <c r="V71" s="44"/>
      <c r="W71"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CONVERSION\T040-M_33601.pdf</v>
      </c>
      <c r="X71" s="44">
        <v>8</v>
      </c>
      <c r="Y71" s="44">
        <v>2</v>
      </c>
      <c r="Z71" s="41" t="str">
        <f ca="1">IF(AND(Tableau1[[#This Row],[Charge]]&lt;&gt;0, Tableau1[[#This Row],[Nombre intervenants]]&lt;&gt;0,Tableau1[[#This Row],[Lien document]]&lt;&gt;0,Tableau1[[#This Row],[DMS_SAP]]&lt;&gt;0)=TRUE,"MIS A JOUR","")</f>
        <v/>
      </c>
      <c r="AA71" s="45"/>
      <c r="AB71" s="55" t="str">
        <f ca="1">IF(Tableau1[[#This Row],[Date rév.]]&lt;&gt;"", DAYS360(Tableau1[[#This Row],[Date rév.]],TODAY()),"")</f>
        <v/>
      </c>
      <c r="AC71" s="47">
        <f>IFERROR(INDEX(Chemin_accès!$B$11:$C$22,MATCH(Tableau1[[#This Row],[Type]],Chemin_accès!$C$11:$C$22,0),1),Chemin_accès!$B$11)</f>
        <v>0</v>
      </c>
      <c r="AD71" s="47" t="str">
        <f>Chemin_accès!$B$8&amp;Tableau1[[#This Row],[Localisation / Classement]]&amp;"\"&amp;Tableau1[[#This Row],[Poste technique]]&amp;"_"&amp;Tableau1[[#This Row],[Plan Entretien]]&amp;".xlsm"</f>
        <v>42KV CONVERSION\T040-M_33601.xlsm</v>
      </c>
    </row>
    <row r="72" spans="1:30" x14ac:dyDescent="0.3">
      <c r="A72" s="41" t="str">
        <f t="shared" ca="1" si="1"/>
        <v>7.MNRJ</v>
      </c>
      <c r="B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2" s="43"/>
      <c r="D72" s="41" t="s">
        <v>175</v>
      </c>
      <c r="E72" s="41" t="s">
        <v>135</v>
      </c>
      <c r="F72" s="44" t="s">
        <v>174</v>
      </c>
      <c r="G72" s="44" t="s">
        <v>175</v>
      </c>
      <c r="H72" s="48">
        <v>33601</v>
      </c>
      <c r="I72" s="48">
        <v>69182</v>
      </c>
      <c r="J72" s="48" t="s">
        <v>253</v>
      </c>
      <c r="K72" s="48">
        <v>98</v>
      </c>
      <c r="L72" s="43" t="s">
        <v>80</v>
      </c>
      <c r="M72" s="41" t="s">
        <v>324</v>
      </c>
      <c r="N72" s="43" t="s">
        <v>62</v>
      </c>
      <c r="O72" s="43"/>
      <c r="P72" s="44"/>
      <c r="Q72" s="43"/>
      <c r="R72" s="43" t="s">
        <v>2</v>
      </c>
      <c r="S72" s="45">
        <v>44593</v>
      </c>
      <c r="T72" s="58" t="str">
        <f>IF(Tableau1[[#This Row],[DMS_SAP]]="","",HYPERLINK(Tableau1[[#This Row],[Chemin fichier source]],"X"))</f>
        <v/>
      </c>
      <c r="U72" s="58" t="str">
        <f>IF(Tableau1[[#This Row],[Date rév.]]="","",HYPERLINK(Tableau1[[#This Row],[Lien document]],"X"))</f>
        <v/>
      </c>
      <c r="V72" s="44"/>
      <c r="W72"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CONVERSION\T040-M_33601.pdf</v>
      </c>
      <c r="X72" s="44">
        <v>4</v>
      </c>
      <c r="Y72" s="44">
        <v>2</v>
      </c>
      <c r="Z72" s="41" t="str">
        <f ca="1">IF(AND(Tableau1[[#This Row],[Charge]]&lt;&gt;0, Tableau1[[#This Row],[Nombre intervenants]]&lt;&gt;0,Tableau1[[#This Row],[Lien document]]&lt;&gt;0,Tableau1[[#This Row],[DMS_SAP]]&lt;&gt;0)=TRUE,"MIS A JOUR","")</f>
        <v/>
      </c>
      <c r="AA72" s="45"/>
      <c r="AB72" s="55" t="str">
        <f ca="1">IF(Tableau1[[#This Row],[Date rév.]]&lt;&gt;"", DAYS360(Tableau1[[#This Row],[Date rév.]],TODAY()),"")</f>
        <v/>
      </c>
      <c r="AC72" s="47">
        <f>IFERROR(INDEX(Chemin_accès!$B$11:$C$22,MATCH(Tableau1[[#This Row],[Type]],Chemin_accès!$C$11:$C$22,0),1),Chemin_accès!$B$11)</f>
        <v>0</v>
      </c>
      <c r="AD72" s="47" t="str">
        <f>Chemin_accès!$B$8&amp;Tableau1[[#This Row],[Localisation / Classement]]&amp;"\"&amp;Tableau1[[#This Row],[Poste technique]]&amp;"_"&amp;Tableau1[[#This Row],[Plan Entretien]]&amp;".xlsm"</f>
        <v>42KV CONVERSION\T040-M_33601.xlsm</v>
      </c>
    </row>
    <row r="73" spans="1:30" x14ac:dyDescent="0.3">
      <c r="A73" s="41" t="str">
        <f t="shared" ca="1" si="1"/>
        <v>7.MNRJ</v>
      </c>
      <c r="B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3" s="43"/>
      <c r="D73" s="41" t="s">
        <v>175</v>
      </c>
      <c r="E73" s="41" t="s">
        <v>135</v>
      </c>
      <c r="F73" s="44" t="s">
        <v>174</v>
      </c>
      <c r="G73" s="44" t="s">
        <v>175</v>
      </c>
      <c r="H73" s="48">
        <v>33601</v>
      </c>
      <c r="I73" s="48">
        <v>67635</v>
      </c>
      <c r="J73" s="48" t="s">
        <v>252</v>
      </c>
      <c r="K73" s="48">
        <v>64</v>
      </c>
      <c r="L73" s="43" t="s">
        <v>82</v>
      </c>
      <c r="M73" s="41" t="s">
        <v>325</v>
      </c>
      <c r="N73" s="43" t="s">
        <v>444</v>
      </c>
      <c r="O73" s="43"/>
      <c r="P73" s="44"/>
      <c r="Q73" s="43"/>
      <c r="R73" s="43" t="s">
        <v>2</v>
      </c>
      <c r="S73" s="45">
        <v>44593</v>
      </c>
      <c r="T73" s="58" t="str">
        <f>IF(Tableau1[[#This Row],[DMS_SAP]]="","",HYPERLINK(Tableau1[[#This Row],[Chemin fichier source]],"X"))</f>
        <v/>
      </c>
      <c r="U73" s="58" t="str">
        <f>IF(Tableau1[[#This Row],[Date rév.]]="","",HYPERLINK(Tableau1[[#This Row],[Lien document]],"X"))</f>
        <v/>
      </c>
      <c r="V73" s="44"/>
      <c r="W73"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CONVERSION\T040-M_33601.pdf</v>
      </c>
      <c r="X73" s="44">
        <v>32</v>
      </c>
      <c r="Y73" s="44">
        <v>2</v>
      </c>
      <c r="Z73" s="41" t="str">
        <f ca="1">IF(AND(Tableau1[[#This Row],[Charge]]&lt;&gt;0, Tableau1[[#This Row],[Nombre intervenants]]&lt;&gt;0,Tableau1[[#This Row],[Lien document]]&lt;&gt;0,Tableau1[[#This Row],[DMS_SAP]]&lt;&gt;0)=TRUE,"MIS A JOUR","")</f>
        <v/>
      </c>
      <c r="AA73" s="45"/>
      <c r="AB73" s="55" t="str">
        <f ca="1">IF(Tableau1[[#This Row],[Date rév.]]&lt;&gt;"", DAYS360(Tableau1[[#This Row],[Date rév.]],TODAY()),"")</f>
        <v/>
      </c>
      <c r="AC73" s="47">
        <f>IFERROR(INDEX(Chemin_accès!$B$11:$C$22,MATCH(Tableau1[[#This Row],[Type]],Chemin_accès!$C$11:$C$22,0),1),Chemin_accès!$B$11)</f>
        <v>0</v>
      </c>
      <c r="AD73" s="47" t="str">
        <f>Chemin_accès!$B$8&amp;Tableau1[[#This Row],[Localisation / Classement]]&amp;"\"&amp;Tableau1[[#This Row],[Poste technique]]&amp;"_"&amp;Tableau1[[#This Row],[Plan Entretien]]&amp;".xlsm"</f>
        <v>42KV CONVERSION\T040-M_33601.xlsm</v>
      </c>
    </row>
    <row r="74" spans="1:30" x14ac:dyDescent="0.3">
      <c r="A74" s="41" t="str">
        <f t="shared" ca="1" si="1"/>
        <v>7.MNRJ</v>
      </c>
      <c r="B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4" s="43"/>
      <c r="D74" s="41" t="s">
        <v>175</v>
      </c>
      <c r="E74" s="41" t="s">
        <v>135</v>
      </c>
      <c r="F74" s="44" t="s">
        <v>176</v>
      </c>
      <c r="G74" s="44" t="s">
        <v>177</v>
      </c>
      <c r="H74" s="48">
        <v>33601</v>
      </c>
      <c r="I74" s="48">
        <v>69002</v>
      </c>
      <c r="J74" s="48" t="s">
        <v>253</v>
      </c>
      <c r="K74" s="48">
        <v>43</v>
      </c>
      <c r="L74" s="43" t="s">
        <v>82</v>
      </c>
      <c r="M74" s="41" t="s">
        <v>326</v>
      </c>
      <c r="N74" s="43" t="s">
        <v>445</v>
      </c>
      <c r="O74" s="43"/>
      <c r="P74" s="44"/>
      <c r="Q74" s="43"/>
      <c r="R74" s="43" t="s">
        <v>2</v>
      </c>
      <c r="S74" s="45">
        <v>44593</v>
      </c>
      <c r="T74" s="58" t="str">
        <f>IF(Tableau1[[#This Row],[DMS_SAP]]="","",HYPERLINK(Tableau1[[#This Row],[Chemin fichier source]],"X"))</f>
        <v/>
      </c>
      <c r="U74" s="58" t="str">
        <f>IF(Tableau1[[#This Row],[Date rév.]]="","",HYPERLINK(Tableau1[[#This Row],[Lien document]],"X"))</f>
        <v/>
      </c>
      <c r="V74" s="44"/>
      <c r="W74"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CONVERSION\T040-M005_33601.pdf</v>
      </c>
      <c r="X74" s="44">
        <v>8</v>
      </c>
      <c r="Y74" s="44">
        <v>2</v>
      </c>
      <c r="Z74" s="41" t="str">
        <f ca="1">IF(AND(Tableau1[[#This Row],[Charge]]&lt;&gt;0, Tableau1[[#This Row],[Nombre intervenants]]&lt;&gt;0,Tableau1[[#This Row],[Lien document]]&lt;&gt;0,Tableau1[[#This Row],[DMS_SAP]]&lt;&gt;0)=TRUE,"MIS A JOUR","")</f>
        <v/>
      </c>
      <c r="AA74" s="45"/>
      <c r="AB74" s="55" t="str">
        <f ca="1">IF(Tableau1[[#This Row],[Date rév.]]&lt;&gt;"", DAYS360(Tableau1[[#This Row],[Date rév.]],TODAY()),"")</f>
        <v/>
      </c>
      <c r="AC74" s="47">
        <f>IFERROR(INDEX(Chemin_accès!$B$11:$C$22,MATCH(Tableau1[[#This Row],[Type]],Chemin_accès!$C$11:$C$22,0),1),Chemin_accès!$B$11)</f>
        <v>0</v>
      </c>
      <c r="AD74" s="47" t="str">
        <f>Chemin_accès!$B$8&amp;Tableau1[[#This Row],[Localisation / Classement]]&amp;"\"&amp;Tableau1[[#This Row],[Poste technique]]&amp;"_"&amp;Tableau1[[#This Row],[Plan Entretien]]&amp;".xlsm"</f>
        <v>42KV CONVERSION\T040-M005_33601.xlsm</v>
      </c>
    </row>
    <row r="75" spans="1:30" x14ac:dyDescent="0.3">
      <c r="A75" s="41" t="str">
        <f t="shared" ca="1" si="1"/>
        <v>7.MNRJ</v>
      </c>
      <c r="B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5" s="43"/>
      <c r="D75" s="41" t="s">
        <v>175</v>
      </c>
      <c r="E75" s="41" t="s">
        <v>135</v>
      </c>
      <c r="F75" s="41" t="s">
        <v>176</v>
      </c>
      <c r="G75" s="41" t="s">
        <v>177</v>
      </c>
      <c r="H75" s="48">
        <v>33601</v>
      </c>
      <c r="I75" s="48">
        <v>67636</v>
      </c>
      <c r="J75" s="48" t="s">
        <v>252</v>
      </c>
      <c r="K75" s="48">
        <v>44</v>
      </c>
      <c r="L75" s="43" t="s">
        <v>82</v>
      </c>
      <c r="M75" s="41" t="s">
        <v>327</v>
      </c>
      <c r="N75" s="43" t="s">
        <v>62</v>
      </c>
      <c r="O75" s="43"/>
      <c r="P75" s="44"/>
      <c r="Q75" s="43"/>
      <c r="R75" s="43" t="s">
        <v>2</v>
      </c>
      <c r="S75" s="45">
        <v>44593</v>
      </c>
      <c r="T75" s="58" t="str">
        <f>IF(Tableau1[[#This Row],[DMS_SAP]]="","",HYPERLINK(Tableau1[[#This Row],[Chemin fichier source]],"X"))</f>
        <v/>
      </c>
      <c r="U75" s="58" t="str">
        <f>IF(Tableau1[[#This Row],[Date rév.]]="","",HYPERLINK(Tableau1[[#This Row],[Lien document]],"X"))</f>
        <v/>
      </c>
      <c r="V75" s="44"/>
      <c r="W75"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CONVERSION\T040-M005_33601.pdf</v>
      </c>
      <c r="X75" s="44">
        <v>32</v>
      </c>
      <c r="Y75" s="44">
        <v>2</v>
      </c>
      <c r="Z75" s="41" t="str">
        <f ca="1">IF(AND(Tableau1[[#This Row],[Charge]]&lt;&gt;0, Tableau1[[#This Row],[Nombre intervenants]]&lt;&gt;0,Tableau1[[#This Row],[Lien document]]&lt;&gt;0,Tableau1[[#This Row],[DMS_SAP]]&lt;&gt;0)=TRUE,"MIS A JOUR","")</f>
        <v/>
      </c>
      <c r="AA75" s="45"/>
      <c r="AB75" s="55" t="str">
        <f ca="1">IF(Tableau1[[#This Row],[Date rév.]]&lt;&gt;"", DAYS360(Tableau1[[#This Row],[Date rév.]],TODAY()),"")</f>
        <v/>
      </c>
      <c r="AC75" s="47">
        <f>IFERROR(INDEX(Chemin_accès!$B$11:$C$22,MATCH(Tableau1[[#This Row],[Type]],Chemin_accès!$C$11:$C$22,0),1),Chemin_accès!$B$11)</f>
        <v>0</v>
      </c>
      <c r="AD75" s="47" t="str">
        <f>Chemin_accès!$B$8&amp;Tableau1[[#This Row],[Localisation / Classement]]&amp;"\"&amp;Tableau1[[#This Row],[Poste technique]]&amp;"_"&amp;Tableau1[[#This Row],[Plan Entretien]]&amp;".xlsm"</f>
        <v>42KV CONVERSION\T040-M005_33601.xlsm</v>
      </c>
    </row>
    <row r="76" spans="1:30" x14ac:dyDescent="0.3">
      <c r="A76" s="41" t="str">
        <f t="shared" ca="1" si="1"/>
        <v>7.MNRJ</v>
      </c>
      <c r="B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6" s="43"/>
      <c r="D76" s="41" t="s">
        <v>175</v>
      </c>
      <c r="E76" s="41" t="s">
        <v>135</v>
      </c>
      <c r="F76" s="44" t="s">
        <v>178</v>
      </c>
      <c r="G76" s="44" t="s">
        <v>179</v>
      </c>
      <c r="H76" s="48">
        <v>33601</v>
      </c>
      <c r="I76" s="48">
        <v>69003</v>
      </c>
      <c r="J76" s="48" t="s">
        <v>253</v>
      </c>
      <c r="K76" s="48">
        <v>44</v>
      </c>
      <c r="L76" s="43" t="s">
        <v>82</v>
      </c>
      <c r="M76" s="41" t="s">
        <v>328</v>
      </c>
      <c r="N76" s="43" t="s">
        <v>445</v>
      </c>
      <c r="O76" s="43"/>
      <c r="P76" s="44"/>
      <c r="Q76" s="43"/>
      <c r="R76" s="43" t="s">
        <v>2</v>
      </c>
      <c r="S76" s="45">
        <v>44593</v>
      </c>
      <c r="T76" s="58" t="str">
        <f>IF(Tableau1[[#This Row],[DMS_SAP]]="","",HYPERLINK(Tableau1[[#This Row],[Chemin fichier source]],"X"))</f>
        <v/>
      </c>
      <c r="U76" s="58" t="str">
        <f>IF(Tableau1[[#This Row],[Date rév.]]="","",HYPERLINK(Tableau1[[#This Row],[Lien document]],"X"))</f>
        <v/>
      </c>
      <c r="V76" s="44"/>
      <c r="W76"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CONVERSION\T040-M010_33601.pdf</v>
      </c>
      <c r="X76" s="44">
        <v>8</v>
      </c>
      <c r="Y76" s="44">
        <v>2</v>
      </c>
      <c r="Z76" s="41" t="str">
        <f ca="1">IF(AND(Tableau1[[#This Row],[Charge]]&lt;&gt;0, Tableau1[[#This Row],[Nombre intervenants]]&lt;&gt;0,Tableau1[[#This Row],[Lien document]]&lt;&gt;0,Tableau1[[#This Row],[DMS_SAP]]&lt;&gt;0)=TRUE,"MIS A JOUR","")</f>
        <v/>
      </c>
      <c r="AA76" s="45"/>
      <c r="AB76" s="55" t="str">
        <f ca="1">IF(Tableau1[[#This Row],[Date rév.]]&lt;&gt;"", DAYS360(Tableau1[[#This Row],[Date rév.]],TODAY()),"")</f>
        <v/>
      </c>
      <c r="AC76" s="47">
        <f>IFERROR(INDEX(Chemin_accès!$B$11:$C$22,MATCH(Tableau1[[#This Row],[Type]],Chemin_accès!$C$11:$C$22,0),1),Chemin_accès!$B$11)</f>
        <v>0</v>
      </c>
      <c r="AD76" s="47" t="str">
        <f>Chemin_accès!$B$8&amp;Tableau1[[#This Row],[Localisation / Classement]]&amp;"\"&amp;Tableau1[[#This Row],[Poste technique]]&amp;"_"&amp;Tableau1[[#This Row],[Plan Entretien]]&amp;".xlsm"</f>
        <v>42KV CONVERSION\T040-M010_33601.xlsm</v>
      </c>
    </row>
    <row r="77" spans="1:30" x14ac:dyDescent="0.3">
      <c r="A77" s="41" t="str">
        <f t="shared" ca="1" si="1"/>
        <v>7.MNRJ</v>
      </c>
      <c r="B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7" s="43"/>
      <c r="D77" s="41" t="s">
        <v>175</v>
      </c>
      <c r="E77" s="41" t="s">
        <v>135</v>
      </c>
      <c r="F77" s="44" t="s">
        <v>178</v>
      </c>
      <c r="G77" s="44" t="s">
        <v>179</v>
      </c>
      <c r="H77" s="48">
        <v>33601</v>
      </c>
      <c r="I77" s="48">
        <v>67637</v>
      </c>
      <c r="J77" s="48" t="s">
        <v>252</v>
      </c>
      <c r="K77" s="48">
        <v>43</v>
      </c>
      <c r="L77" s="43" t="s">
        <v>82</v>
      </c>
      <c r="M77" s="41" t="s">
        <v>329</v>
      </c>
      <c r="N77" s="43" t="s">
        <v>62</v>
      </c>
      <c r="O77" s="43"/>
      <c r="P77" s="44"/>
      <c r="Q77" s="43"/>
      <c r="R77" s="43" t="s">
        <v>2</v>
      </c>
      <c r="S77" s="45">
        <v>44593</v>
      </c>
      <c r="T77" s="58" t="str">
        <f>IF(Tableau1[[#This Row],[DMS_SAP]]="","",HYPERLINK(Tableau1[[#This Row],[Chemin fichier source]],"X"))</f>
        <v/>
      </c>
      <c r="U77" s="58" t="str">
        <f>IF(Tableau1[[#This Row],[Date rév.]]="","",HYPERLINK(Tableau1[[#This Row],[Lien document]],"X"))</f>
        <v/>
      </c>
      <c r="V77" s="44"/>
      <c r="W77"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CONVERSION\T040-M010_33601.pdf</v>
      </c>
      <c r="X77" s="44">
        <v>32</v>
      </c>
      <c r="Y77" s="44">
        <v>2</v>
      </c>
      <c r="Z77" s="41" t="str">
        <f ca="1">IF(AND(Tableau1[[#This Row],[Charge]]&lt;&gt;0, Tableau1[[#This Row],[Nombre intervenants]]&lt;&gt;0,Tableau1[[#This Row],[Lien document]]&lt;&gt;0,Tableau1[[#This Row],[DMS_SAP]]&lt;&gt;0)=TRUE,"MIS A JOUR","")</f>
        <v/>
      </c>
      <c r="AA77" s="45"/>
      <c r="AB77" s="55" t="str">
        <f ca="1">IF(Tableau1[[#This Row],[Date rév.]]&lt;&gt;"", DAYS360(Tableau1[[#This Row],[Date rév.]],TODAY()),"")</f>
        <v/>
      </c>
      <c r="AC77" s="47">
        <f>IFERROR(INDEX(Chemin_accès!$B$11:$C$22,MATCH(Tableau1[[#This Row],[Type]],Chemin_accès!$C$11:$C$22,0),1),Chemin_accès!$B$11)</f>
        <v>0</v>
      </c>
      <c r="AD77" s="47" t="str">
        <f>Chemin_accès!$B$8&amp;Tableau1[[#This Row],[Localisation / Classement]]&amp;"\"&amp;Tableau1[[#This Row],[Poste technique]]&amp;"_"&amp;Tableau1[[#This Row],[Plan Entretien]]&amp;".xlsm"</f>
        <v>42KV CONVERSION\T040-M010_33601.xlsm</v>
      </c>
    </row>
    <row r="78" spans="1:30" x14ac:dyDescent="0.3">
      <c r="A78" s="41" t="str">
        <f t="shared" ca="1" si="1"/>
        <v>7.MNRJ</v>
      </c>
      <c r="B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8" s="43"/>
      <c r="D78" s="41" t="s">
        <v>175</v>
      </c>
      <c r="E78" s="41" t="s">
        <v>135</v>
      </c>
      <c r="F78" s="44" t="s">
        <v>180</v>
      </c>
      <c r="G78" s="44" t="s">
        <v>181</v>
      </c>
      <c r="H78" s="48">
        <v>33601</v>
      </c>
      <c r="I78" s="48">
        <v>69004</v>
      </c>
      <c r="J78" s="48" t="s">
        <v>253</v>
      </c>
      <c r="K78" s="48">
        <v>45</v>
      </c>
      <c r="L78" s="43" t="s">
        <v>82</v>
      </c>
      <c r="M78" s="41" t="s">
        <v>330</v>
      </c>
      <c r="N78" s="43" t="s">
        <v>445</v>
      </c>
      <c r="O78" s="43"/>
      <c r="P78" s="44"/>
      <c r="Q78" s="43"/>
      <c r="R78" s="43" t="s">
        <v>2</v>
      </c>
      <c r="S78" s="45">
        <v>44593</v>
      </c>
      <c r="T78" s="58" t="str">
        <f>IF(Tableau1[[#This Row],[DMS_SAP]]="","",HYPERLINK(Tableau1[[#This Row],[Chemin fichier source]],"X"))</f>
        <v/>
      </c>
      <c r="U78" s="58" t="str">
        <f>IF(Tableau1[[#This Row],[Date rév.]]="","",HYPERLINK(Tableau1[[#This Row],[Lien document]],"X"))</f>
        <v/>
      </c>
      <c r="V78" s="44"/>
      <c r="W78"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CONVERSION\T040-M020_33601.pdf</v>
      </c>
      <c r="X78" s="44">
        <v>8</v>
      </c>
      <c r="Y78" s="44">
        <v>2</v>
      </c>
      <c r="Z78" s="41" t="str">
        <f ca="1">IF(AND(Tableau1[[#This Row],[Charge]]&lt;&gt;0, Tableau1[[#This Row],[Nombre intervenants]]&lt;&gt;0,Tableau1[[#This Row],[Lien document]]&lt;&gt;0,Tableau1[[#This Row],[DMS_SAP]]&lt;&gt;0)=TRUE,"MIS A JOUR","")</f>
        <v/>
      </c>
      <c r="AA78" s="45"/>
      <c r="AB78" s="55" t="str">
        <f ca="1">IF(Tableau1[[#This Row],[Date rév.]]&lt;&gt;"", DAYS360(Tableau1[[#This Row],[Date rév.]],TODAY()),"")</f>
        <v/>
      </c>
      <c r="AC78" s="47">
        <f>IFERROR(INDEX(Chemin_accès!$B$11:$C$22,MATCH(Tableau1[[#This Row],[Type]],Chemin_accès!$C$11:$C$22,0),1),Chemin_accès!$B$11)</f>
        <v>0</v>
      </c>
      <c r="AD78" s="47" t="str">
        <f>Chemin_accès!$B$8&amp;Tableau1[[#This Row],[Localisation / Classement]]&amp;"\"&amp;Tableau1[[#This Row],[Poste technique]]&amp;"_"&amp;Tableau1[[#This Row],[Plan Entretien]]&amp;".xlsm"</f>
        <v>42KV CONVERSION\T040-M020_33601.xlsm</v>
      </c>
    </row>
    <row r="79" spans="1:30" x14ac:dyDescent="0.3">
      <c r="A79" s="41" t="str">
        <f t="shared" ca="1" si="1"/>
        <v>7.MNRJ</v>
      </c>
      <c r="B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9" s="43"/>
      <c r="D79" s="41" t="s">
        <v>175</v>
      </c>
      <c r="E79" s="41" t="s">
        <v>135</v>
      </c>
      <c r="F79" s="44" t="s">
        <v>180</v>
      </c>
      <c r="G79" s="44" t="s">
        <v>181</v>
      </c>
      <c r="H79" s="48">
        <v>33601</v>
      </c>
      <c r="I79" s="48">
        <v>67638</v>
      </c>
      <c r="J79" s="48" t="s">
        <v>252</v>
      </c>
      <c r="K79" s="48">
        <v>45</v>
      </c>
      <c r="L79" s="43" t="s">
        <v>82</v>
      </c>
      <c r="M79" s="41" t="s">
        <v>331</v>
      </c>
      <c r="N79" s="43" t="s">
        <v>62</v>
      </c>
      <c r="O79" s="43"/>
      <c r="P79" s="44"/>
      <c r="Q79" s="43"/>
      <c r="R79" s="43" t="s">
        <v>2</v>
      </c>
      <c r="S79" s="45">
        <v>44593</v>
      </c>
      <c r="T79" s="58" t="str">
        <f>IF(Tableau1[[#This Row],[DMS_SAP]]="","",HYPERLINK(Tableau1[[#This Row],[Chemin fichier source]],"X"))</f>
        <v/>
      </c>
      <c r="U79" s="58" t="str">
        <f>IF(Tableau1[[#This Row],[Date rév.]]="","",HYPERLINK(Tableau1[[#This Row],[Lien document]],"X"))</f>
        <v/>
      </c>
      <c r="V79" s="44"/>
      <c r="W79"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CONVERSION\T040-M020_33601.pdf</v>
      </c>
      <c r="X79" s="44">
        <v>32</v>
      </c>
      <c r="Y79" s="44">
        <v>2</v>
      </c>
      <c r="Z79" s="41" t="str">
        <f ca="1">IF(AND(Tableau1[[#This Row],[Charge]]&lt;&gt;0, Tableau1[[#This Row],[Nombre intervenants]]&lt;&gt;0,Tableau1[[#This Row],[Lien document]]&lt;&gt;0,Tableau1[[#This Row],[DMS_SAP]]&lt;&gt;0)=TRUE,"MIS A JOUR","")</f>
        <v/>
      </c>
      <c r="AA79" s="45"/>
      <c r="AB79" s="55" t="str">
        <f ca="1">IF(Tableau1[[#This Row],[Date rév.]]&lt;&gt;"", DAYS360(Tableau1[[#This Row],[Date rév.]],TODAY()),"")</f>
        <v/>
      </c>
      <c r="AC79" s="47">
        <f>IFERROR(INDEX(Chemin_accès!$B$11:$C$22,MATCH(Tableau1[[#This Row],[Type]],Chemin_accès!$C$11:$C$22,0),1),Chemin_accès!$B$11)</f>
        <v>0</v>
      </c>
      <c r="AD79" s="47" t="str">
        <f>Chemin_accès!$B$8&amp;Tableau1[[#This Row],[Localisation / Classement]]&amp;"\"&amp;Tableau1[[#This Row],[Poste technique]]&amp;"_"&amp;Tableau1[[#This Row],[Plan Entretien]]&amp;".xlsm"</f>
        <v>42KV CONVERSION\T040-M020_33601.xlsm</v>
      </c>
    </row>
    <row r="80" spans="1:30" x14ac:dyDescent="0.3">
      <c r="A80" s="41" t="str">
        <f t="shared" ca="1" si="1"/>
        <v>7.MNRJ</v>
      </c>
      <c r="B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0" s="43"/>
      <c r="D80" s="41" t="s">
        <v>175</v>
      </c>
      <c r="E80" s="41" t="s">
        <v>135</v>
      </c>
      <c r="F80" s="44" t="s">
        <v>182</v>
      </c>
      <c r="G80" s="44" t="s">
        <v>183</v>
      </c>
      <c r="H80" s="48">
        <v>33601</v>
      </c>
      <c r="I80" s="48">
        <v>68997</v>
      </c>
      <c r="J80" s="48" t="s">
        <v>253</v>
      </c>
      <c r="K80" s="48">
        <v>38</v>
      </c>
      <c r="L80" s="43" t="s">
        <v>82</v>
      </c>
      <c r="M80" s="41" t="s">
        <v>332</v>
      </c>
      <c r="N80" s="43" t="s">
        <v>445</v>
      </c>
      <c r="O80" s="43"/>
      <c r="P80" s="44"/>
      <c r="Q80" s="43"/>
      <c r="R80" s="43" t="s">
        <v>2</v>
      </c>
      <c r="S80" s="45">
        <v>44593</v>
      </c>
      <c r="T80" s="58" t="str">
        <f>IF(Tableau1[[#This Row],[DMS_SAP]]="","",HYPERLINK(Tableau1[[#This Row],[Chemin fichier source]],"X"))</f>
        <v/>
      </c>
      <c r="U80" s="58" t="str">
        <f>IF(Tableau1[[#This Row],[Date rév.]]="","",HYPERLINK(Tableau1[[#This Row],[Lien document]],"X"))</f>
        <v/>
      </c>
      <c r="V80" s="44"/>
      <c r="W80"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CONVERSION\T040-M030_33601.pdf</v>
      </c>
      <c r="X80" s="44">
        <v>8</v>
      </c>
      <c r="Y80" s="44">
        <v>2</v>
      </c>
      <c r="Z80" s="41" t="str">
        <f ca="1">IF(AND(Tableau1[[#This Row],[Charge]]&lt;&gt;0, Tableau1[[#This Row],[Nombre intervenants]]&lt;&gt;0,Tableau1[[#This Row],[Lien document]]&lt;&gt;0,Tableau1[[#This Row],[DMS_SAP]]&lt;&gt;0)=TRUE,"MIS A JOUR","")</f>
        <v/>
      </c>
      <c r="AA80" s="45"/>
      <c r="AB80" s="55" t="str">
        <f ca="1">IF(Tableau1[[#This Row],[Date rév.]]&lt;&gt;"", DAYS360(Tableau1[[#This Row],[Date rév.]],TODAY()),"")</f>
        <v/>
      </c>
      <c r="AC80" s="47">
        <f>IFERROR(INDEX(Chemin_accès!$B$11:$C$22,MATCH(Tableau1[[#This Row],[Type]],Chemin_accès!$C$11:$C$22,0),1),Chemin_accès!$B$11)</f>
        <v>0</v>
      </c>
      <c r="AD80" s="47" t="str">
        <f>Chemin_accès!$B$8&amp;Tableau1[[#This Row],[Localisation / Classement]]&amp;"\"&amp;Tableau1[[#This Row],[Poste technique]]&amp;"_"&amp;Tableau1[[#This Row],[Plan Entretien]]&amp;".xlsm"</f>
        <v>42KV CONVERSION\T040-M030_33601.xlsm</v>
      </c>
    </row>
    <row r="81" spans="1:30" x14ac:dyDescent="0.3">
      <c r="A81" s="41" t="str">
        <f t="shared" ca="1" si="1"/>
        <v>7.MNRJ</v>
      </c>
      <c r="B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1" s="43"/>
      <c r="D81" s="41" t="s">
        <v>175</v>
      </c>
      <c r="E81" s="41" t="s">
        <v>135</v>
      </c>
      <c r="F81" s="44" t="s">
        <v>182</v>
      </c>
      <c r="G81" s="44" t="s">
        <v>183</v>
      </c>
      <c r="H81" s="48">
        <v>33601</v>
      </c>
      <c r="I81" s="48">
        <v>67639</v>
      </c>
      <c r="J81" s="48" t="s">
        <v>252</v>
      </c>
      <c r="K81" s="48">
        <v>46</v>
      </c>
      <c r="L81" s="43" t="s">
        <v>82</v>
      </c>
      <c r="M81" s="41" t="s">
        <v>333</v>
      </c>
      <c r="N81" s="43" t="s">
        <v>62</v>
      </c>
      <c r="O81" s="43"/>
      <c r="P81" s="44"/>
      <c r="Q81" s="43"/>
      <c r="R81" s="43" t="s">
        <v>2</v>
      </c>
      <c r="S81" s="45">
        <v>44593</v>
      </c>
      <c r="T81" s="58" t="str">
        <f>IF(Tableau1[[#This Row],[DMS_SAP]]="","",HYPERLINK(Tableau1[[#This Row],[Chemin fichier source]],"X"))</f>
        <v/>
      </c>
      <c r="U81" s="58" t="str">
        <f>IF(Tableau1[[#This Row],[Date rév.]]="","",HYPERLINK(Tableau1[[#This Row],[Lien document]],"X"))</f>
        <v/>
      </c>
      <c r="V81" s="44"/>
      <c r="W81"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CONVERSION\T040-M030_33601.pdf</v>
      </c>
      <c r="X81" s="44">
        <v>32</v>
      </c>
      <c r="Y81" s="44">
        <v>2</v>
      </c>
      <c r="Z81" s="41" t="str">
        <f ca="1">IF(AND(Tableau1[[#This Row],[Charge]]&lt;&gt;0, Tableau1[[#This Row],[Nombre intervenants]]&lt;&gt;0,Tableau1[[#This Row],[Lien document]]&lt;&gt;0,Tableau1[[#This Row],[DMS_SAP]]&lt;&gt;0)=TRUE,"MIS A JOUR","")</f>
        <v/>
      </c>
      <c r="AA81" s="45"/>
      <c r="AB81" s="55" t="str">
        <f ca="1">IF(Tableau1[[#This Row],[Date rév.]]&lt;&gt;"", DAYS360(Tableau1[[#This Row],[Date rév.]],TODAY()),"")</f>
        <v/>
      </c>
      <c r="AC81" s="47">
        <f>IFERROR(INDEX(Chemin_accès!$B$11:$C$22,MATCH(Tableau1[[#This Row],[Type]],Chemin_accès!$C$11:$C$22,0),1),Chemin_accès!$B$11)</f>
        <v>0</v>
      </c>
      <c r="AD81" s="47" t="str">
        <f>Chemin_accès!$B$8&amp;Tableau1[[#This Row],[Localisation / Classement]]&amp;"\"&amp;Tableau1[[#This Row],[Poste technique]]&amp;"_"&amp;Tableau1[[#This Row],[Plan Entretien]]&amp;".xlsm"</f>
        <v>42KV CONVERSION\T040-M030_33601.xlsm</v>
      </c>
    </row>
    <row r="82" spans="1:30" x14ac:dyDescent="0.3">
      <c r="A82" s="41" t="str">
        <f t="shared" ca="1" si="1"/>
        <v>7.MNRJ</v>
      </c>
      <c r="B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2" s="43"/>
      <c r="D82" s="41" t="s">
        <v>175</v>
      </c>
      <c r="E82" s="41" t="s">
        <v>135</v>
      </c>
      <c r="F82" s="44" t="s">
        <v>184</v>
      </c>
      <c r="G82" s="44" t="s">
        <v>185</v>
      </c>
      <c r="H82" s="48">
        <v>33601</v>
      </c>
      <c r="I82" s="48">
        <v>69185</v>
      </c>
      <c r="J82" s="48" t="s">
        <v>254</v>
      </c>
      <c r="K82" s="48">
        <v>4</v>
      </c>
      <c r="L82" s="43" t="s">
        <v>82</v>
      </c>
      <c r="M82" s="41" t="s">
        <v>334</v>
      </c>
      <c r="N82" s="43" t="s">
        <v>62</v>
      </c>
      <c r="O82" s="43"/>
      <c r="P82" s="44"/>
      <c r="Q82" s="43"/>
      <c r="R82" s="43" t="s">
        <v>2</v>
      </c>
      <c r="S82" s="45">
        <v>44593</v>
      </c>
      <c r="T82" s="58" t="str">
        <f>IF(Tableau1[[#This Row],[DMS_SAP]]="","",HYPERLINK(Tableau1[[#This Row],[Chemin fichier source]],"X"))</f>
        <v/>
      </c>
      <c r="U82" s="58" t="str">
        <f>IF(Tableau1[[#This Row],[Date rév.]]="","",HYPERLINK(Tableau1[[#This Row],[Lien document]],"X"))</f>
        <v/>
      </c>
      <c r="V82" s="44"/>
      <c r="W82"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CONVERSION\T040-M030-98_33601.pdf</v>
      </c>
      <c r="X82" s="44">
        <v>40</v>
      </c>
      <c r="Y82" s="44">
        <v>2</v>
      </c>
      <c r="Z82" s="41" t="str">
        <f ca="1">IF(AND(Tableau1[[#This Row],[Charge]]&lt;&gt;0, Tableau1[[#This Row],[Nombre intervenants]]&lt;&gt;0,Tableau1[[#This Row],[Lien document]]&lt;&gt;0,Tableau1[[#This Row],[DMS_SAP]]&lt;&gt;0)=TRUE,"MIS A JOUR","")</f>
        <v/>
      </c>
      <c r="AA82" s="45"/>
      <c r="AB82" s="55" t="str">
        <f ca="1">IF(Tableau1[[#This Row],[Date rév.]]&lt;&gt;"", DAYS360(Tableau1[[#This Row],[Date rév.]],TODAY()),"")</f>
        <v/>
      </c>
      <c r="AC82" s="47">
        <f>IFERROR(INDEX(Chemin_accès!$B$11:$C$22,MATCH(Tableau1[[#This Row],[Type]],Chemin_accès!$C$11:$C$22,0),1),Chemin_accès!$B$11)</f>
        <v>0</v>
      </c>
      <c r="AD82" s="47" t="str">
        <f>Chemin_accès!$B$8&amp;Tableau1[[#This Row],[Localisation / Classement]]&amp;"\"&amp;Tableau1[[#This Row],[Poste technique]]&amp;"_"&amp;Tableau1[[#This Row],[Plan Entretien]]&amp;".xlsm"</f>
        <v>42KV CONVERSION\T040-M030-98_33601.xlsm</v>
      </c>
    </row>
    <row r="83" spans="1:30" x14ac:dyDescent="0.3">
      <c r="A83" s="41" t="str">
        <f t="shared" ca="1" si="1"/>
        <v>7.MNRJ</v>
      </c>
      <c r="B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3" s="43"/>
      <c r="D83" s="41" t="s">
        <v>175</v>
      </c>
      <c r="E83" s="41" t="s">
        <v>135</v>
      </c>
      <c r="F83" s="44" t="s">
        <v>186</v>
      </c>
      <c r="G83" s="44" t="s">
        <v>187</v>
      </c>
      <c r="H83" s="48">
        <v>33601</v>
      </c>
      <c r="I83" s="48">
        <v>68998</v>
      </c>
      <c r="J83" s="48" t="s">
        <v>253</v>
      </c>
      <c r="K83" s="48">
        <v>39</v>
      </c>
      <c r="L83" s="43" t="s">
        <v>82</v>
      </c>
      <c r="M83" s="41" t="s">
        <v>335</v>
      </c>
      <c r="N83" s="43" t="s">
        <v>445</v>
      </c>
      <c r="O83" s="43"/>
      <c r="P83" s="44"/>
      <c r="Q83" s="43"/>
      <c r="R83" s="43" t="s">
        <v>2</v>
      </c>
      <c r="S83" s="45">
        <v>44593</v>
      </c>
      <c r="T83" s="58" t="str">
        <f>IF(Tableau1[[#This Row],[DMS_SAP]]="","",HYPERLINK(Tableau1[[#This Row],[Chemin fichier source]],"X"))</f>
        <v/>
      </c>
      <c r="U83" s="58" t="str">
        <f>IF(Tableau1[[#This Row],[Date rév.]]="","",HYPERLINK(Tableau1[[#This Row],[Lien document]],"X"))</f>
        <v/>
      </c>
      <c r="V83" s="44"/>
      <c r="W83"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CONVERSION\T040-M040_33601.pdf</v>
      </c>
      <c r="X83" s="44">
        <v>8</v>
      </c>
      <c r="Y83" s="44">
        <v>2</v>
      </c>
      <c r="Z83" s="41" t="str">
        <f ca="1">IF(AND(Tableau1[[#This Row],[Charge]]&lt;&gt;0, Tableau1[[#This Row],[Nombre intervenants]]&lt;&gt;0,Tableau1[[#This Row],[Lien document]]&lt;&gt;0,Tableau1[[#This Row],[DMS_SAP]]&lt;&gt;0)=TRUE,"MIS A JOUR","")</f>
        <v/>
      </c>
      <c r="AA83" s="45"/>
      <c r="AB83" s="55" t="str">
        <f ca="1">IF(Tableau1[[#This Row],[Date rév.]]&lt;&gt;"", DAYS360(Tableau1[[#This Row],[Date rév.]],TODAY()),"")</f>
        <v/>
      </c>
      <c r="AC83" s="47">
        <f>IFERROR(INDEX(Chemin_accès!$B$11:$C$22,MATCH(Tableau1[[#This Row],[Type]],Chemin_accès!$C$11:$C$22,0),1),Chemin_accès!$B$11)</f>
        <v>0</v>
      </c>
      <c r="AD83" s="47" t="str">
        <f>Chemin_accès!$B$8&amp;Tableau1[[#This Row],[Localisation / Classement]]&amp;"\"&amp;Tableau1[[#This Row],[Poste technique]]&amp;"_"&amp;Tableau1[[#This Row],[Plan Entretien]]&amp;".xlsm"</f>
        <v>42KV CONVERSION\T040-M040_33601.xlsm</v>
      </c>
    </row>
    <row r="84" spans="1:30" x14ac:dyDescent="0.3">
      <c r="A84" s="41" t="str">
        <f t="shared" ca="1" si="1"/>
        <v>7.MNRJ</v>
      </c>
      <c r="B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4" s="43"/>
      <c r="D84" s="41" t="s">
        <v>175</v>
      </c>
      <c r="E84" s="41" t="s">
        <v>135</v>
      </c>
      <c r="F84" s="44" t="s">
        <v>186</v>
      </c>
      <c r="G84" s="44" t="s">
        <v>187</v>
      </c>
      <c r="H84" s="48">
        <v>33601</v>
      </c>
      <c r="I84" s="48">
        <v>67640</v>
      </c>
      <c r="J84" s="48" t="s">
        <v>252</v>
      </c>
      <c r="K84" s="48">
        <v>47</v>
      </c>
      <c r="L84" s="43" t="s">
        <v>82</v>
      </c>
      <c r="M84" s="41" t="s">
        <v>336</v>
      </c>
      <c r="N84" s="43" t="s">
        <v>62</v>
      </c>
      <c r="O84" s="43"/>
      <c r="P84" s="44"/>
      <c r="Q84" s="43"/>
      <c r="R84" s="43" t="s">
        <v>2</v>
      </c>
      <c r="S84" s="45">
        <v>44593</v>
      </c>
      <c r="T84" s="58" t="str">
        <f>IF(Tableau1[[#This Row],[DMS_SAP]]="","",HYPERLINK(Tableau1[[#This Row],[Chemin fichier source]],"X"))</f>
        <v/>
      </c>
      <c r="U84" s="58" t="str">
        <f>IF(Tableau1[[#This Row],[Date rév.]]="","",HYPERLINK(Tableau1[[#This Row],[Lien document]],"X"))</f>
        <v/>
      </c>
      <c r="V84" s="44"/>
      <c r="W84"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CONVERSION\T040-M040_33601.pdf</v>
      </c>
      <c r="X84" s="44">
        <v>32</v>
      </c>
      <c r="Y84" s="44">
        <v>2</v>
      </c>
      <c r="Z84" s="41" t="str">
        <f ca="1">IF(AND(Tableau1[[#This Row],[Charge]]&lt;&gt;0, Tableau1[[#This Row],[Nombre intervenants]]&lt;&gt;0,Tableau1[[#This Row],[Lien document]]&lt;&gt;0,Tableau1[[#This Row],[DMS_SAP]]&lt;&gt;0)=TRUE,"MIS A JOUR","")</f>
        <v/>
      </c>
      <c r="AA84" s="45"/>
      <c r="AB84" s="55" t="str">
        <f ca="1">IF(Tableau1[[#This Row],[Date rév.]]&lt;&gt;"", DAYS360(Tableau1[[#This Row],[Date rév.]],TODAY()),"")</f>
        <v/>
      </c>
      <c r="AC84" s="47">
        <f>IFERROR(INDEX(Chemin_accès!$B$11:$C$22,MATCH(Tableau1[[#This Row],[Type]],Chemin_accès!$C$11:$C$22,0),1),Chemin_accès!$B$11)</f>
        <v>0</v>
      </c>
      <c r="AD84" s="47" t="str">
        <f>Chemin_accès!$B$8&amp;Tableau1[[#This Row],[Localisation / Classement]]&amp;"\"&amp;Tableau1[[#This Row],[Poste technique]]&amp;"_"&amp;Tableau1[[#This Row],[Plan Entretien]]&amp;".xlsm"</f>
        <v>42KV CONVERSION\T040-M040_33601.xlsm</v>
      </c>
    </row>
    <row r="85" spans="1:30" x14ac:dyDescent="0.3">
      <c r="A85" s="41" t="str">
        <f t="shared" ca="1" si="1"/>
        <v>7.MNRJ</v>
      </c>
      <c r="B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5" s="43"/>
      <c r="D85" s="41" t="s">
        <v>175</v>
      </c>
      <c r="E85" s="41" t="s">
        <v>135</v>
      </c>
      <c r="F85" s="44" t="s">
        <v>188</v>
      </c>
      <c r="G85" s="44" t="s">
        <v>189</v>
      </c>
      <c r="H85" s="48">
        <v>33601</v>
      </c>
      <c r="I85" s="48">
        <v>68999</v>
      </c>
      <c r="J85" s="48" t="s">
        <v>253</v>
      </c>
      <c r="K85" s="48">
        <v>40</v>
      </c>
      <c r="L85" s="43" t="s">
        <v>82</v>
      </c>
      <c r="M85" s="41" t="s">
        <v>337</v>
      </c>
      <c r="N85" s="43" t="s">
        <v>445</v>
      </c>
      <c r="O85" s="43"/>
      <c r="P85" s="44"/>
      <c r="Q85" s="43"/>
      <c r="R85" s="43" t="s">
        <v>2</v>
      </c>
      <c r="S85" s="45">
        <v>44593</v>
      </c>
      <c r="T85" s="58" t="str">
        <f>IF(Tableau1[[#This Row],[DMS_SAP]]="","",HYPERLINK(Tableau1[[#This Row],[Chemin fichier source]],"X"))</f>
        <v/>
      </c>
      <c r="U85" s="58" t="str">
        <f>IF(Tableau1[[#This Row],[Date rév.]]="","",HYPERLINK(Tableau1[[#This Row],[Lien document]],"X"))</f>
        <v/>
      </c>
      <c r="V85" s="44"/>
      <c r="W85"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CONVERSION\T040-M050_33601.pdf</v>
      </c>
      <c r="X85" s="44">
        <v>8</v>
      </c>
      <c r="Y85" s="44">
        <v>2</v>
      </c>
      <c r="Z85" s="41" t="str">
        <f ca="1">IF(AND(Tableau1[[#This Row],[Charge]]&lt;&gt;0, Tableau1[[#This Row],[Nombre intervenants]]&lt;&gt;0,Tableau1[[#This Row],[Lien document]]&lt;&gt;0,Tableau1[[#This Row],[DMS_SAP]]&lt;&gt;0)=TRUE,"MIS A JOUR","")</f>
        <v/>
      </c>
      <c r="AA85" s="45"/>
      <c r="AB85" s="55" t="str">
        <f ca="1">IF(Tableau1[[#This Row],[Date rév.]]&lt;&gt;"", DAYS360(Tableau1[[#This Row],[Date rév.]],TODAY()),"")</f>
        <v/>
      </c>
      <c r="AC85" s="47">
        <f>IFERROR(INDEX(Chemin_accès!$B$11:$C$22,MATCH(Tableau1[[#This Row],[Type]],Chemin_accès!$C$11:$C$22,0),1),Chemin_accès!$B$11)</f>
        <v>0</v>
      </c>
      <c r="AD85" s="47" t="str">
        <f>Chemin_accès!$B$8&amp;Tableau1[[#This Row],[Localisation / Classement]]&amp;"\"&amp;Tableau1[[#This Row],[Poste technique]]&amp;"_"&amp;Tableau1[[#This Row],[Plan Entretien]]&amp;".xlsm"</f>
        <v>42KV CONVERSION\T040-M050_33601.xlsm</v>
      </c>
    </row>
    <row r="86" spans="1:30" x14ac:dyDescent="0.3">
      <c r="A86" s="41" t="str">
        <f t="shared" ca="1" si="1"/>
        <v>7.MNRJ</v>
      </c>
      <c r="B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6" s="43"/>
      <c r="D86" s="41" t="s">
        <v>175</v>
      </c>
      <c r="E86" s="41" t="s">
        <v>135</v>
      </c>
      <c r="F86" s="44" t="s">
        <v>188</v>
      </c>
      <c r="G86" s="44" t="s">
        <v>189</v>
      </c>
      <c r="H86" s="48">
        <v>33601</v>
      </c>
      <c r="I86" s="48">
        <v>67641</v>
      </c>
      <c r="J86" s="48" t="s">
        <v>252</v>
      </c>
      <c r="K86" s="48">
        <v>48</v>
      </c>
      <c r="L86" s="43" t="s">
        <v>82</v>
      </c>
      <c r="M86" s="41" t="s">
        <v>338</v>
      </c>
      <c r="N86" s="43" t="s">
        <v>62</v>
      </c>
      <c r="O86" s="43"/>
      <c r="P86" s="44"/>
      <c r="Q86" s="43"/>
      <c r="R86" s="43" t="s">
        <v>2</v>
      </c>
      <c r="S86" s="45">
        <v>44593</v>
      </c>
      <c r="T86" s="58" t="str">
        <f>IF(Tableau1[[#This Row],[DMS_SAP]]="","",HYPERLINK(Tableau1[[#This Row],[Chemin fichier source]],"X"))</f>
        <v/>
      </c>
      <c r="U86" s="58" t="str">
        <f>IF(Tableau1[[#This Row],[Date rév.]]="","",HYPERLINK(Tableau1[[#This Row],[Lien document]],"X"))</f>
        <v/>
      </c>
      <c r="V86" s="44"/>
      <c r="W86"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CONVERSION\T040-M050_33601.pdf</v>
      </c>
      <c r="X86" s="44">
        <v>32</v>
      </c>
      <c r="Y86" s="44">
        <v>2</v>
      </c>
      <c r="Z86" s="41" t="str">
        <f ca="1">IF(AND(Tableau1[[#This Row],[Charge]]&lt;&gt;0, Tableau1[[#This Row],[Nombre intervenants]]&lt;&gt;0,Tableau1[[#This Row],[Lien document]]&lt;&gt;0,Tableau1[[#This Row],[DMS_SAP]]&lt;&gt;0)=TRUE,"MIS A JOUR","")</f>
        <v/>
      </c>
      <c r="AA86" s="45"/>
      <c r="AB86" s="55" t="str">
        <f ca="1">IF(Tableau1[[#This Row],[Date rév.]]&lt;&gt;"", DAYS360(Tableau1[[#This Row],[Date rév.]],TODAY()),"")</f>
        <v/>
      </c>
      <c r="AC86" s="47">
        <f>IFERROR(INDEX(Chemin_accès!$B$11:$C$22,MATCH(Tableau1[[#This Row],[Type]],Chemin_accès!$C$11:$C$22,0),1),Chemin_accès!$B$11)</f>
        <v>0</v>
      </c>
      <c r="AD86" s="47" t="str">
        <f>Chemin_accès!$B$8&amp;Tableau1[[#This Row],[Localisation / Classement]]&amp;"\"&amp;Tableau1[[#This Row],[Poste technique]]&amp;"_"&amp;Tableau1[[#This Row],[Plan Entretien]]&amp;".xlsm"</f>
        <v>42KV CONVERSION\T040-M050_33601.xlsm</v>
      </c>
    </row>
    <row r="87" spans="1:30" x14ac:dyDescent="0.3">
      <c r="A87" s="41" t="str">
        <f t="shared" ca="1" si="1"/>
        <v>7.MNRJ</v>
      </c>
      <c r="B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7" s="43"/>
      <c r="D87" s="41" t="s">
        <v>175</v>
      </c>
      <c r="E87" s="41" t="s">
        <v>135</v>
      </c>
      <c r="F87" s="44" t="s">
        <v>190</v>
      </c>
      <c r="G87" s="44" t="s">
        <v>191</v>
      </c>
      <c r="H87" s="48">
        <v>33601</v>
      </c>
      <c r="I87" s="48">
        <v>69000</v>
      </c>
      <c r="J87" s="48" t="s">
        <v>253</v>
      </c>
      <c r="K87" s="48">
        <v>41</v>
      </c>
      <c r="L87" s="43" t="s">
        <v>82</v>
      </c>
      <c r="M87" s="41" t="s">
        <v>339</v>
      </c>
      <c r="N87" s="43" t="s">
        <v>445</v>
      </c>
      <c r="O87" s="43"/>
      <c r="P87" s="44"/>
      <c r="Q87" s="43"/>
      <c r="R87" s="43" t="s">
        <v>2</v>
      </c>
      <c r="S87" s="45">
        <v>44593</v>
      </c>
      <c r="T87" s="58" t="str">
        <f>IF(Tableau1[[#This Row],[DMS_SAP]]="","",HYPERLINK(Tableau1[[#This Row],[Chemin fichier source]],"X"))</f>
        <v/>
      </c>
      <c r="U87" s="58" t="str">
        <f>IF(Tableau1[[#This Row],[Date rév.]]="","",HYPERLINK(Tableau1[[#This Row],[Lien document]],"X"))</f>
        <v/>
      </c>
      <c r="V87" s="44"/>
      <c r="W87"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CONVERSION\T040-M060_33601.pdf</v>
      </c>
      <c r="X87" s="44">
        <v>8</v>
      </c>
      <c r="Y87" s="44">
        <v>2</v>
      </c>
      <c r="Z87" s="41" t="str">
        <f ca="1">IF(AND(Tableau1[[#This Row],[Charge]]&lt;&gt;0, Tableau1[[#This Row],[Nombre intervenants]]&lt;&gt;0,Tableau1[[#This Row],[Lien document]]&lt;&gt;0,Tableau1[[#This Row],[DMS_SAP]]&lt;&gt;0)=TRUE,"MIS A JOUR","")</f>
        <v/>
      </c>
      <c r="AA87" s="45"/>
      <c r="AB87" s="55" t="str">
        <f ca="1">IF(Tableau1[[#This Row],[Date rév.]]&lt;&gt;"", DAYS360(Tableau1[[#This Row],[Date rév.]],TODAY()),"")</f>
        <v/>
      </c>
      <c r="AC87" s="47">
        <f>IFERROR(INDEX(Chemin_accès!$B$11:$C$22,MATCH(Tableau1[[#This Row],[Type]],Chemin_accès!$C$11:$C$22,0),1),Chemin_accès!$B$11)</f>
        <v>0</v>
      </c>
      <c r="AD87" s="47" t="str">
        <f>Chemin_accès!$B$8&amp;Tableau1[[#This Row],[Localisation / Classement]]&amp;"\"&amp;Tableau1[[#This Row],[Poste technique]]&amp;"_"&amp;Tableau1[[#This Row],[Plan Entretien]]&amp;".xlsm"</f>
        <v>42KV CONVERSION\T040-M060_33601.xlsm</v>
      </c>
    </row>
    <row r="88" spans="1:30" x14ac:dyDescent="0.3">
      <c r="A88" s="41" t="str">
        <f t="shared" ca="1" si="1"/>
        <v>7.MNRJ</v>
      </c>
      <c r="B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8" s="43"/>
      <c r="D88" s="41" t="s">
        <v>175</v>
      </c>
      <c r="E88" s="41" t="s">
        <v>135</v>
      </c>
      <c r="F88" s="44" t="s">
        <v>190</v>
      </c>
      <c r="G88" s="44" t="s">
        <v>191</v>
      </c>
      <c r="H88" s="48">
        <v>33601</v>
      </c>
      <c r="I88" s="48">
        <v>67642</v>
      </c>
      <c r="J88" s="48" t="s">
        <v>252</v>
      </c>
      <c r="K88" s="48">
        <v>49</v>
      </c>
      <c r="L88" s="43" t="s">
        <v>82</v>
      </c>
      <c r="M88" s="41" t="s">
        <v>340</v>
      </c>
      <c r="N88" s="43" t="s">
        <v>62</v>
      </c>
      <c r="O88" s="43"/>
      <c r="P88" s="44"/>
      <c r="Q88" s="43"/>
      <c r="R88" s="43" t="s">
        <v>2</v>
      </c>
      <c r="S88" s="45">
        <v>44593</v>
      </c>
      <c r="T88" s="58" t="str">
        <f>IF(Tableau1[[#This Row],[DMS_SAP]]="","",HYPERLINK(Tableau1[[#This Row],[Chemin fichier source]],"X"))</f>
        <v/>
      </c>
      <c r="U88" s="58" t="str">
        <f>IF(Tableau1[[#This Row],[Date rév.]]="","",HYPERLINK(Tableau1[[#This Row],[Lien document]],"X"))</f>
        <v/>
      </c>
      <c r="V88" s="44"/>
      <c r="W88"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CONVERSION\T040-M060_33601.pdf</v>
      </c>
      <c r="X88" s="44">
        <v>32</v>
      </c>
      <c r="Y88" s="44">
        <v>2</v>
      </c>
      <c r="Z88" s="41" t="str">
        <f ca="1">IF(AND(Tableau1[[#This Row],[Charge]]&lt;&gt;0, Tableau1[[#This Row],[Nombre intervenants]]&lt;&gt;0,Tableau1[[#This Row],[Lien document]]&lt;&gt;0,Tableau1[[#This Row],[DMS_SAP]]&lt;&gt;0)=TRUE,"MIS A JOUR","")</f>
        <v/>
      </c>
      <c r="AA88" s="45"/>
      <c r="AB88" s="55" t="str">
        <f ca="1">IF(Tableau1[[#This Row],[Date rév.]]&lt;&gt;"", DAYS360(Tableau1[[#This Row],[Date rév.]],TODAY()),"")</f>
        <v/>
      </c>
      <c r="AC88" s="47">
        <f>IFERROR(INDEX(Chemin_accès!$B$11:$C$22,MATCH(Tableau1[[#This Row],[Type]],Chemin_accès!$C$11:$C$22,0),1),Chemin_accès!$B$11)</f>
        <v>0</v>
      </c>
      <c r="AD88" s="47" t="str">
        <f>Chemin_accès!$B$8&amp;Tableau1[[#This Row],[Localisation / Classement]]&amp;"\"&amp;Tableau1[[#This Row],[Poste technique]]&amp;"_"&amp;Tableau1[[#This Row],[Plan Entretien]]&amp;".xlsm"</f>
        <v>42KV CONVERSION\T040-M060_33601.xlsm</v>
      </c>
    </row>
    <row r="89" spans="1:30" x14ac:dyDescent="0.3">
      <c r="A89" s="41" t="str">
        <f t="shared" ca="1" si="1"/>
        <v>7.MNRJ</v>
      </c>
      <c r="B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9" s="60"/>
      <c r="D89" s="41" t="s">
        <v>175</v>
      </c>
      <c r="E89" s="41" t="s">
        <v>135</v>
      </c>
      <c r="F89" s="41" t="s">
        <v>192</v>
      </c>
      <c r="G89" s="41" t="s">
        <v>193</v>
      </c>
      <c r="H89" s="48">
        <v>33601</v>
      </c>
      <c r="I89" s="48">
        <v>69001</v>
      </c>
      <c r="J89" s="48" t="s">
        <v>253</v>
      </c>
      <c r="K89" s="48">
        <v>42</v>
      </c>
      <c r="L89" s="43" t="s">
        <v>82</v>
      </c>
      <c r="M89" s="41" t="s">
        <v>341</v>
      </c>
      <c r="N89" s="43" t="s">
        <v>445</v>
      </c>
      <c r="O89" s="43"/>
      <c r="P89" s="44"/>
      <c r="Q89" s="43"/>
      <c r="R89" s="43" t="s">
        <v>2</v>
      </c>
      <c r="S89" s="45">
        <v>44593</v>
      </c>
      <c r="T89" s="58" t="str">
        <f>IF(Tableau1[[#This Row],[DMS_SAP]]="","",HYPERLINK(Tableau1[[#This Row],[Chemin fichier source]],"X"))</f>
        <v/>
      </c>
      <c r="U89" s="58" t="str">
        <f>IF(Tableau1[[#This Row],[Date rév.]]="","",HYPERLINK(Tableau1[[#This Row],[Lien document]],"X"))</f>
        <v/>
      </c>
      <c r="V89" s="44"/>
      <c r="W89"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CONVERSION\T040-M070_33601.pdf</v>
      </c>
      <c r="X89" s="44">
        <v>8</v>
      </c>
      <c r="Y89" s="44">
        <v>2</v>
      </c>
      <c r="Z89" s="41" t="str">
        <f ca="1">IF(AND(Tableau1[[#This Row],[Charge]]&lt;&gt;0, Tableau1[[#This Row],[Nombre intervenants]]&lt;&gt;0,Tableau1[[#This Row],[Lien document]]&lt;&gt;0,Tableau1[[#This Row],[DMS_SAP]]&lt;&gt;0)=TRUE,"MIS A JOUR","")</f>
        <v/>
      </c>
      <c r="AA89" s="45"/>
      <c r="AB89" s="55" t="str">
        <f ca="1">IF(Tableau1[[#This Row],[Date rév.]]&lt;&gt;"", DAYS360(Tableau1[[#This Row],[Date rév.]],TODAY()),"")</f>
        <v/>
      </c>
      <c r="AC89" s="47">
        <f>IFERROR(INDEX(Chemin_accès!$B$11:$C$22,MATCH(Tableau1[[#This Row],[Type]],Chemin_accès!$C$11:$C$22,0),1),Chemin_accès!$B$11)</f>
        <v>0</v>
      </c>
      <c r="AD89" s="47" t="str">
        <f>Chemin_accès!$B$8&amp;Tableau1[[#This Row],[Localisation / Classement]]&amp;"\"&amp;Tableau1[[#This Row],[Poste technique]]&amp;"_"&amp;Tableau1[[#This Row],[Plan Entretien]]&amp;".xlsm"</f>
        <v>42KV CONVERSION\T040-M070_33601.xlsm</v>
      </c>
    </row>
    <row r="90" spans="1:30" x14ac:dyDescent="0.3">
      <c r="A90" s="41" t="str">
        <f t="shared" ca="1" si="1"/>
        <v>7.MNRJ</v>
      </c>
      <c r="B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0" s="43"/>
      <c r="D90" s="41" t="s">
        <v>175</v>
      </c>
      <c r="E90" s="41" t="s">
        <v>135</v>
      </c>
      <c r="F90" s="44" t="s">
        <v>192</v>
      </c>
      <c r="G90" s="44" t="s">
        <v>193</v>
      </c>
      <c r="H90" s="48">
        <v>33601</v>
      </c>
      <c r="I90" s="48">
        <v>67643</v>
      </c>
      <c r="J90" s="48" t="s">
        <v>252</v>
      </c>
      <c r="K90" s="48">
        <v>50</v>
      </c>
      <c r="L90" s="43" t="s">
        <v>82</v>
      </c>
      <c r="M90" s="41" t="s">
        <v>342</v>
      </c>
      <c r="N90" s="43" t="s">
        <v>62</v>
      </c>
      <c r="O90" s="43"/>
      <c r="P90" s="44"/>
      <c r="Q90" s="43"/>
      <c r="R90" s="43" t="s">
        <v>2</v>
      </c>
      <c r="S90" s="45">
        <v>44593</v>
      </c>
      <c r="T90" s="58" t="str">
        <f>IF(Tableau1[[#This Row],[DMS_SAP]]="","",HYPERLINK(Tableau1[[#This Row],[Chemin fichier source]],"X"))</f>
        <v/>
      </c>
      <c r="U90" s="58" t="str">
        <f>IF(Tableau1[[#This Row],[Date rév.]]="","",HYPERLINK(Tableau1[[#This Row],[Lien document]],"X"))</f>
        <v/>
      </c>
      <c r="V90" s="44"/>
      <c r="W90"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CONVERSION\T040-M070_33601.pdf</v>
      </c>
      <c r="X90" s="44">
        <v>32</v>
      </c>
      <c r="Y90" s="44">
        <v>2</v>
      </c>
      <c r="Z90" s="41" t="str">
        <f ca="1">IF(AND(Tableau1[[#This Row],[Charge]]&lt;&gt;0, Tableau1[[#This Row],[Nombre intervenants]]&lt;&gt;0,Tableau1[[#This Row],[Lien document]]&lt;&gt;0,Tableau1[[#This Row],[DMS_SAP]]&lt;&gt;0)=TRUE,"MIS A JOUR","")</f>
        <v/>
      </c>
      <c r="AA90" s="45"/>
      <c r="AB90" s="55" t="str">
        <f ca="1">IF(Tableau1[[#This Row],[Date rév.]]&lt;&gt;"", DAYS360(Tableau1[[#This Row],[Date rév.]],TODAY()),"")</f>
        <v/>
      </c>
      <c r="AC90" s="47">
        <f>IFERROR(INDEX(Chemin_accès!$B$11:$C$22,MATCH(Tableau1[[#This Row],[Type]],Chemin_accès!$C$11:$C$22,0),1),Chemin_accès!$B$11)</f>
        <v>0</v>
      </c>
      <c r="AD90" s="47" t="str">
        <f>Chemin_accès!$B$8&amp;Tableau1[[#This Row],[Localisation / Classement]]&amp;"\"&amp;Tableau1[[#This Row],[Poste technique]]&amp;"_"&amp;Tableau1[[#This Row],[Plan Entretien]]&amp;".xlsm"</f>
        <v>42KV CONVERSION\T040-M070_33601.xlsm</v>
      </c>
    </row>
    <row r="91" spans="1:30" x14ac:dyDescent="0.3">
      <c r="A91" s="41" t="str">
        <f t="shared" ca="1" si="1"/>
        <v>7.MNRJ</v>
      </c>
      <c r="B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1" s="43"/>
      <c r="D91" s="41" t="s">
        <v>175</v>
      </c>
      <c r="E91" s="41" t="s">
        <v>135</v>
      </c>
      <c r="F91" s="44" t="s">
        <v>194</v>
      </c>
      <c r="G91" s="44" t="s">
        <v>195</v>
      </c>
      <c r="H91" s="48">
        <v>33601</v>
      </c>
      <c r="I91" s="48">
        <v>67644</v>
      </c>
      <c r="J91" s="48" t="s">
        <v>252</v>
      </c>
      <c r="K91" s="48">
        <v>51</v>
      </c>
      <c r="L91" s="43" t="s">
        <v>82</v>
      </c>
      <c r="M91" s="41" t="s">
        <v>343</v>
      </c>
      <c r="N91" s="43" t="s">
        <v>445</v>
      </c>
      <c r="O91" s="43"/>
      <c r="P91" s="44"/>
      <c r="Q91" s="43"/>
      <c r="R91" s="43" t="s">
        <v>2</v>
      </c>
      <c r="S91" s="45">
        <v>44593</v>
      </c>
      <c r="T91" s="58" t="str">
        <f>IF(Tableau1[[#This Row],[DMS_SAP]]="","",HYPERLINK(Tableau1[[#This Row],[Chemin fichier source]],"X"))</f>
        <v/>
      </c>
      <c r="U91" s="58" t="str">
        <f>IF(Tableau1[[#This Row],[Date rév.]]="","",HYPERLINK(Tableau1[[#This Row],[Lien document]],"X"))</f>
        <v/>
      </c>
      <c r="V91" s="44"/>
      <c r="W91"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CONVERSION\T040-M080_33601.pdf</v>
      </c>
      <c r="X91" s="44">
        <v>8</v>
      </c>
      <c r="Y91" s="44">
        <v>1</v>
      </c>
      <c r="Z91" s="41" t="str">
        <f ca="1">IF(AND(Tableau1[[#This Row],[Charge]]&lt;&gt;0, Tableau1[[#This Row],[Nombre intervenants]]&lt;&gt;0,Tableau1[[#This Row],[Lien document]]&lt;&gt;0,Tableau1[[#This Row],[DMS_SAP]]&lt;&gt;0)=TRUE,"MIS A JOUR","")</f>
        <v/>
      </c>
      <c r="AA91" s="45"/>
      <c r="AB91" s="55" t="str">
        <f ca="1">IF(Tableau1[[#This Row],[Date rév.]]&lt;&gt;"", DAYS360(Tableau1[[#This Row],[Date rév.]],TODAY()),"")</f>
        <v/>
      </c>
      <c r="AC91" s="47">
        <f>IFERROR(INDEX(Chemin_accès!$B$11:$C$22,MATCH(Tableau1[[#This Row],[Type]],Chemin_accès!$C$11:$C$22,0),1),Chemin_accès!$B$11)</f>
        <v>0</v>
      </c>
      <c r="AD91" s="47" t="str">
        <f>Chemin_accès!$B$8&amp;Tableau1[[#This Row],[Localisation / Classement]]&amp;"\"&amp;Tableau1[[#This Row],[Poste technique]]&amp;"_"&amp;Tableau1[[#This Row],[Plan Entretien]]&amp;".xlsm"</f>
        <v>42KV CONVERSION\T040-M080_33601.xlsm</v>
      </c>
    </row>
    <row r="92" spans="1:30" x14ac:dyDescent="0.3">
      <c r="A92" s="41" t="str">
        <f t="shared" ca="1" si="1"/>
        <v>7.MNRJ</v>
      </c>
      <c r="B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2" s="43"/>
      <c r="D92" s="41" t="s">
        <v>440</v>
      </c>
      <c r="E92" s="41" t="s">
        <v>135</v>
      </c>
      <c r="F92" s="44" t="s">
        <v>196</v>
      </c>
      <c r="G92" s="44" t="s">
        <v>197</v>
      </c>
      <c r="H92" s="48">
        <v>33601</v>
      </c>
      <c r="I92" s="48">
        <v>69176</v>
      </c>
      <c r="J92" s="48" t="s">
        <v>253</v>
      </c>
      <c r="K92" s="48">
        <v>92</v>
      </c>
      <c r="L92" s="43" t="s">
        <v>82</v>
      </c>
      <c r="M92" s="41" t="s">
        <v>344</v>
      </c>
      <c r="N92" s="43" t="s">
        <v>62</v>
      </c>
      <c r="O92" s="43"/>
      <c r="P92" s="44"/>
      <c r="Q92" s="43"/>
      <c r="R92" s="43" t="s">
        <v>2</v>
      </c>
      <c r="S92" s="45">
        <v>44593</v>
      </c>
      <c r="T92" s="58" t="str">
        <f>IF(Tableau1[[#This Row],[DMS_SAP]]="","",HYPERLINK(Tableau1[[#This Row],[Chemin fichier source]],"X"))</f>
        <v/>
      </c>
      <c r="U92" s="58" t="str">
        <f>IF(Tableau1[[#This Row],[Date rév.]]="","",HYPERLINK(Tableau1[[#This Row],[Lien document]],"X"))</f>
        <v/>
      </c>
      <c r="V92" s="44"/>
      <c r="W92"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\T040-O_33601.pdf</v>
      </c>
      <c r="X92" s="44">
        <v>32</v>
      </c>
      <c r="Y92" s="44">
        <v>2</v>
      </c>
      <c r="Z92" s="41" t="str">
        <f ca="1">IF(AND(Tableau1[[#This Row],[Charge]]&lt;&gt;0, Tableau1[[#This Row],[Nombre intervenants]]&lt;&gt;0,Tableau1[[#This Row],[Lien document]]&lt;&gt;0,Tableau1[[#This Row],[DMS_SAP]]&lt;&gt;0)=TRUE,"MIS A JOUR","")</f>
        <v/>
      </c>
      <c r="AA92" s="45"/>
      <c r="AB92" s="55" t="str">
        <f ca="1">IF(Tableau1[[#This Row],[Date rév.]]&lt;&gt;"", DAYS360(Tableau1[[#This Row],[Date rév.]],TODAY()),"")</f>
        <v/>
      </c>
      <c r="AC92" s="47">
        <f>IFERROR(INDEX(Chemin_accès!$B$11:$C$22,MATCH(Tableau1[[#This Row],[Type]],Chemin_accès!$C$11:$C$22,0),1),Chemin_accès!$B$11)</f>
        <v>0</v>
      </c>
      <c r="AD92" s="47" t="str">
        <f>Chemin_accès!$B$8&amp;Tableau1[[#This Row],[Localisation / Classement]]&amp;"\"&amp;Tableau1[[#This Row],[Poste technique]]&amp;"_"&amp;Tableau1[[#This Row],[Plan Entretien]]&amp;".xlsm"</f>
        <v>20KV POSTES ELECTRIQUES \T040-O_33601.xlsm</v>
      </c>
    </row>
    <row r="93" spans="1:30" x14ac:dyDescent="0.3">
      <c r="A93" s="41" t="str">
        <f t="shared" ca="1" si="1"/>
        <v>7.MNRJ</v>
      </c>
      <c r="B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3" s="43"/>
      <c r="D93" s="41" t="s">
        <v>440</v>
      </c>
      <c r="E93" s="41" t="s">
        <v>135</v>
      </c>
      <c r="F93" s="44" t="s">
        <v>198</v>
      </c>
      <c r="G93" s="44" t="s">
        <v>199</v>
      </c>
      <c r="H93" s="48">
        <v>33601</v>
      </c>
      <c r="I93" s="48">
        <v>68978</v>
      </c>
      <c r="J93" s="48" t="s">
        <v>253</v>
      </c>
      <c r="K93" s="48">
        <v>19</v>
      </c>
      <c r="L93" s="43" t="s">
        <v>33</v>
      </c>
      <c r="M93" s="41" t="s">
        <v>345</v>
      </c>
      <c r="N93" s="43" t="s">
        <v>62</v>
      </c>
      <c r="O93" s="43"/>
      <c r="P93" s="44"/>
      <c r="Q93" s="43"/>
      <c r="R93" s="43" t="s">
        <v>2</v>
      </c>
      <c r="S93" s="45">
        <v>44593</v>
      </c>
      <c r="T93" s="58" t="str">
        <f>IF(Tableau1[[#This Row],[DMS_SAP]]="","",HYPERLINK(Tableau1[[#This Row],[Chemin fichier source]],"X"))</f>
        <v/>
      </c>
      <c r="U93" s="58" t="str">
        <f>IF(Tableau1[[#This Row],[Date rév.]]="","",HYPERLINK(Tableau1[[#This Row],[Lien document]],"X"))</f>
        <v/>
      </c>
      <c r="V93" s="44"/>
      <c r="W93"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\T040-P_33601.pdf</v>
      </c>
      <c r="X93" s="44">
        <v>4</v>
      </c>
      <c r="Y93" s="44">
        <v>1</v>
      </c>
      <c r="Z93" s="41" t="str">
        <f ca="1">IF(AND(Tableau1[[#This Row],[Charge]]&lt;&gt;0, Tableau1[[#This Row],[Nombre intervenants]]&lt;&gt;0,Tableau1[[#This Row],[Lien document]]&lt;&gt;0,Tableau1[[#This Row],[DMS_SAP]]&lt;&gt;0)=TRUE,"MIS A JOUR","")</f>
        <v/>
      </c>
      <c r="AA93" s="45"/>
      <c r="AB93" s="55" t="str">
        <f ca="1">IF(Tableau1[[#This Row],[Date rév.]]&lt;&gt;"", DAYS360(Tableau1[[#This Row],[Date rév.]],TODAY()),"")</f>
        <v/>
      </c>
      <c r="AC93" s="47">
        <f>IFERROR(INDEX(Chemin_accès!$B$11:$C$22,MATCH(Tableau1[[#This Row],[Type]],Chemin_accès!$C$11:$C$22,0),1),Chemin_accès!$B$11)</f>
        <v>0</v>
      </c>
      <c r="AD93" s="47" t="str">
        <f>Chemin_accès!$B$8&amp;Tableau1[[#This Row],[Localisation / Classement]]&amp;"\"&amp;Tableau1[[#This Row],[Poste technique]]&amp;"_"&amp;Tableau1[[#This Row],[Plan Entretien]]&amp;".xlsm"</f>
        <v>20KV POSTES ELECTRIQUES \T040-P_33601.xlsm</v>
      </c>
    </row>
    <row r="94" spans="1:30" x14ac:dyDescent="0.3">
      <c r="A94" s="41" t="str">
        <f t="shared" ca="1" si="1"/>
        <v>7.MNRJ</v>
      </c>
      <c r="B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4" s="43"/>
      <c r="D94" s="41" t="s">
        <v>440</v>
      </c>
      <c r="E94" s="41" t="s">
        <v>135</v>
      </c>
      <c r="F94" s="44" t="s">
        <v>198</v>
      </c>
      <c r="G94" s="44" t="s">
        <v>199</v>
      </c>
      <c r="H94" s="48">
        <v>33601</v>
      </c>
      <c r="I94" s="48">
        <v>69160</v>
      </c>
      <c r="J94" s="48" t="s">
        <v>253</v>
      </c>
      <c r="K94" s="48">
        <v>78</v>
      </c>
      <c r="L94" s="43" t="s">
        <v>41</v>
      </c>
      <c r="M94" s="41" t="s">
        <v>346</v>
      </c>
      <c r="N94" s="43" t="s">
        <v>62</v>
      </c>
      <c r="O94" s="43"/>
      <c r="P94" s="44"/>
      <c r="Q94" s="43"/>
      <c r="R94" s="43" t="s">
        <v>2</v>
      </c>
      <c r="S94" s="45">
        <v>44593</v>
      </c>
      <c r="T94" s="58" t="str">
        <f>IF(Tableau1[[#This Row],[DMS_SAP]]="","",HYPERLINK(Tableau1[[#This Row],[Chemin fichier source]],"X"))</f>
        <v/>
      </c>
      <c r="U94" s="58" t="str">
        <f>IF(Tableau1[[#This Row],[Date rév.]]="","",HYPERLINK(Tableau1[[#This Row],[Lien document]],"X"))</f>
        <v/>
      </c>
      <c r="V94" s="44"/>
      <c r="W94"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\T040-P_33601.pdf</v>
      </c>
      <c r="X94" s="44">
        <v>18</v>
      </c>
      <c r="Y94" s="44">
        <v>2</v>
      </c>
      <c r="Z94" s="41" t="str">
        <f ca="1">IF(AND(Tableau1[[#This Row],[Charge]]&lt;&gt;0, Tableau1[[#This Row],[Nombre intervenants]]&lt;&gt;0,Tableau1[[#This Row],[Lien document]]&lt;&gt;0,Tableau1[[#This Row],[DMS_SAP]]&lt;&gt;0)=TRUE,"MIS A JOUR","")</f>
        <v/>
      </c>
      <c r="AA94" s="45"/>
      <c r="AB94" s="55" t="str">
        <f ca="1">IF(Tableau1[[#This Row],[Date rév.]]&lt;&gt;"", DAYS360(Tableau1[[#This Row],[Date rév.]],TODAY()),"")</f>
        <v/>
      </c>
      <c r="AC94" s="47">
        <f>IFERROR(INDEX(Chemin_accès!$B$11:$C$22,MATCH(Tableau1[[#This Row],[Type]],Chemin_accès!$C$11:$C$22,0),1),Chemin_accès!$B$11)</f>
        <v>0</v>
      </c>
      <c r="AD94" s="47" t="str">
        <f>Chemin_accès!$B$8&amp;Tableau1[[#This Row],[Localisation / Classement]]&amp;"\"&amp;Tableau1[[#This Row],[Poste technique]]&amp;"_"&amp;Tableau1[[#This Row],[Plan Entretien]]&amp;".xlsm"</f>
        <v>20KV POSTES ELECTRIQUES \T040-P_33601.xlsm</v>
      </c>
    </row>
    <row r="95" spans="1:30" x14ac:dyDescent="0.3">
      <c r="A95" s="41" t="str">
        <f t="shared" ca="1" si="1"/>
        <v>7.MNRJ</v>
      </c>
      <c r="B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5" s="43"/>
      <c r="D95" s="41" t="s">
        <v>440</v>
      </c>
      <c r="E95" s="41" t="s">
        <v>135</v>
      </c>
      <c r="F95" s="44" t="s">
        <v>198</v>
      </c>
      <c r="G95" s="44" t="s">
        <v>199</v>
      </c>
      <c r="H95" s="48">
        <v>33601</v>
      </c>
      <c r="I95" s="48">
        <v>69178</v>
      </c>
      <c r="J95" s="48" t="s">
        <v>253</v>
      </c>
      <c r="K95" s="48">
        <v>94</v>
      </c>
      <c r="L95" s="43" t="s">
        <v>80</v>
      </c>
      <c r="M95" s="41" t="s">
        <v>347</v>
      </c>
      <c r="N95" s="43" t="s">
        <v>62</v>
      </c>
      <c r="O95" s="43"/>
      <c r="P95" s="44"/>
      <c r="Q95" s="43"/>
      <c r="R95" s="43" t="s">
        <v>2</v>
      </c>
      <c r="S95" s="45">
        <v>44593</v>
      </c>
      <c r="T95" s="58" t="str">
        <f>IF(Tableau1[[#This Row],[DMS_SAP]]="","",HYPERLINK(Tableau1[[#This Row],[Chemin fichier source]],"X"))</f>
        <v/>
      </c>
      <c r="U95" s="58" t="str">
        <f>IF(Tableau1[[#This Row],[Date rév.]]="","",HYPERLINK(Tableau1[[#This Row],[Lien document]],"X"))</f>
        <v/>
      </c>
      <c r="V95" s="44"/>
      <c r="W9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\T040-P_33601.pdf</v>
      </c>
      <c r="X95" s="44">
        <v>16</v>
      </c>
      <c r="Y95" s="44">
        <v>2</v>
      </c>
      <c r="Z95" s="41" t="str">
        <f ca="1">IF(AND(Tableau1[[#This Row],[Charge]]&lt;&gt;0, Tableau1[[#This Row],[Nombre intervenants]]&lt;&gt;0,Tableau1[[#This Row],[Lien document]]&lt;&gt;0,Tableau1[[#This Row],[DMS_SAP]]&lt;&gt;0)=TRUE,"MIS A JOUR","")</f>
        <v/>
      </c>
      <c r="AA95" s="45"/>
      <c r="AB95" s="55" t="str">
        <f ca="1">IF(Tableau1[[#This Row],[Date rév.]]&lt;&gt;"", DAYS360(Tableau1[[#This Row],[Date rév.]],TODAY()),"")</f>
        <v/>
      </c>
      <c r="AC95" s="47">
        <f>IFERROR(INDEX(Chemin_accès!$B$11:$C$22,MATCH(Tableau1[[#This Row],[Type]],Chemin_accès!$C$11:$C$22,0),1),Chemin_accès!$B$11)</f>
        <v>0</v>
      </c>
      <c r="AD95" s="47" t="str">
        <f>Chemin_accès!$B$8&amp;Tableau1[[#This Row],[Localisation / Classement]]&amp;"\"&amp;Tableau1[[#This Row],[Poste technique]]&amp;"_"&amp;Tableau1[[#This Row],[Plan Entretien]]&amp;".xlsm"</f>
        <v>20KV POSTES ELECTRIQUES \T040-P_33601.xlsm</v>
      </c>
    </row>
    <row r="96" spans="1:30" x14ac:dyDescent="0.3">
      <c r="A96" s="41" t="str">
        <f t="shared" ca="1" si="1"/>
        <v>7.MNRJ</v>
      </c>
      <c r="B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6" s="43"/>
      <c r="D96" s="41" t="s">
        <v>440</v>
      </c>
      <c r="E96" s="41" t="s">
        <v>135</v>
      </c>
      <c r="F96" s="44" t="s">
        <v>198</v>
      </c>
      <c r="G96" s="44" t="s">
        <v>199</v>
      </c>
      <c r="H96" s="48">
        <v>33601</v>
      </c>
      <c r="I96" s="48">
        <v>69180</v>
      </c>
      <c r="J96" s="48" t="s">
        <v>253</v>
      </c>
      <c r="K96" s="48">
        <v>96</v>
      </c>
      <c r="L96" s="43" t="s">
        <v>446</v>
      </c>
      <c r="M96" s="41" t="s">
        <v>348</v>
      </c>
      <c r="N96" s="43" t="s">
        <v>62</v>
      </c>
      <c r="O96" s="43"/>
      <c r="P96" s="44"/>
      <c r="Q96" s="43"/>
      <c r="R96" s="43" t="s">
        <v>2</v>
      </c>
      <c r="S96" s="45">
        <v>44593</v>
      </c>
      <c r="T96" s="58" t="str">
        <f>IF(Tableau1[[#This Row],[DMS_SAP]]="","",HYPERLINK(Tableau1[[#This Row],[Chemin fichier source]],"X"))</f>
        <v/>
      </c>
      <c r="U96" s="58" t="str">
        <f>IF(Tableau1[[#This Row],[Date rév.]]="","",HYPERLINK(Tableau1[[#This Row],[Lien document]],"X"))</f>
        <v/>
      </c>
      <c r="V96" s="44"/>
      <c r="W9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\T040-P_33601.pdf</v>
      </c>
      <c r="X96" s="44">
        <v>16</v>
      </c>
      <c r="Y96" s="44">
        <v>2</v>
      </c>
      <c r="Z96" s="41" t="str">
        <f ca="1">IF(AND(Tableau1[[#This Row],[Charge]]&lt;&gt;0, Tableau1[[#This Row],[Nombre intervenants]]&lt;&gt;0,Tableau1[[#This Row],[Lien document]]&lt;&gt;0,Tableau1[[#This Row],[DMS_SAP]]&lt;&gt;0)=TRUE,"MIS A JOUR","")</f>
        <v/>
      </c>
      <c r="AA96" s="45"/>
      <c r="AB96" s="55" t="str">
        <f ca="1">IF(Tableau1[[#This Row],[Date rév.]]&lt;&gt;"", DAYS360(Tableau1[[#This Row],[Date rév.]],TODAY()),"")</f>
        <v/>
      </c>
      <c r="AC96" s="47">
        <f>IFERROR(INDEX(Chemin_accès!$B$11:$C$22,MATCH(Tableau1[[#This Row],[Type]],Chemin_accès!$C$11:$C$22,0),1),Chemin_accès!$B$11)</f>
        <v>0</v>
      </c>
      <c r="AD96" s="47" t="str">
        <f>Chemin_accès!$B$8&amp;Tableau1[[#This Row],[Localisation / Classement]]&amp;"\"&amp;Tableau1[[#This Row],[Poste technique]]&amp;"_"&amp;Tableau1[[#This Row],[Plan Entretien]]&amp;".xlsm"</f>
        <v>20KV POSTES ELECTRIQUES \T040-P_33601.xlsm</v>
      </c>
    </row>
    <row r="97" spans="1:30" x14ac:dyDescent="0.3">
      <c r="A97" s="41" t="str">
        <f t="shared" ca="1" si="1"/>
        <v>7.MNRJ</v>
      </c>
      <c r="B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7" s="43"/>
      <c r="D97" s="41" t="s">
        <v>440</v>
      </c>
      <c r="E97" s="41" t="s">
        <v>135</v>
      </c>
      <c r="F97" s="44" t="s">
        <v>198</v>
      </c>
      <c r="G97" s="44" t="s">
        <v>199</v>
      </c>
      <c r="H97" s="48">
        <v>33601</v>
      </c>
      <c r="I97" s="48">
        <v>67646</v>
      </c>
      <c r="J97" s="48" t="s">
        <v>252</v>
      </c>
      <c r="K97" s="48">
        <v>53</v>
      </c>
      <c r="L97" s="43" t="s">
        <v>82</v>
      </c>
      <c r="M97" s="41" t="s">
        <v>349</v>
      </c>
      <c r="N97" s="43" t="s">
        <v>62</v>
      </c>
      <c r="O97" s="43"/>
      <c r="P97" s="44"/>
      <c r="Q97" s="43"/>
      <c r="R97" s="43" t="s">
        <v>2</v>
      </c>
      <c r="S97" s="45">
        <v>44593</v>
      </c>
      <c r="T97" s="58" t="str">
        <f>IF(Tableau1[[#This Row],[DMS_SAP]]="","",HYPERLINK(Tableau1[[#This Row],[Chemin fichier source]],"X"))</f>
        <v/>
      </c>
      <c r="U97" s="58" t="str">
        <f>IF(Tableau1[[#This Row],[Date rév.]]="","",HYPERLINK(Tableau1[[#This Row],[Lien document]],"X"))</f>
        <v/>
      </c>
      <c r="V97" s="44"/>
      <c r="W97"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\T040-P_33601.pdf</v>
      </c>
      <c r="X97" s="44">
        <v>64</v>
      </c>
      <c r="Y97" s="44">
        <v>2</v>
      </c>
      <c r="Z97" s="41" t="str">
        <f ca="1">IF(AND(Tableau1[[#This Row],[Charge]]&lt;&gt;0, Tableau1[[#This Row],[Nombre intervenants]]&lt;&gt;0,Tableau1[[#This Row],[Lien document]]&lt;&gt;0,Tableau1[[#This Row],[DMS_SAP]]&lt;&gt;0)=TRUE,"MIS A JOUR","")</f>
        <v/>
      </c>
      <c r="AA97" s="45"/>
      <c r="AB97" s="55" t="str">
        <f ca="1">IF(Tableau1[[#This Row],[Date rév.]]&lt;&gt;"", DAYS360(Tableau1[[#This Row],[Date rév.]],TODAY()),"")</f>
        <v/>
      </c>
      <c r="AC97" s="47">
        <f>IFERROR(INDEX(Chemin_accès!$B$11:$C$22,MATCH(Tableau1[[#This Row],[Type]],Chemin_accès!$C$11:$C$22,0),1),Chemin_accès!$B$11)</f>
        <v>0</v>
      </c>
      <c r="AD97" s="47" t="str">
        <f>Chemin_accès!$B$8&amp;Tableau1[[#This Row],[Localisation / Classement]]&amp;"\"&amp;Tableau1[[#This Row],[Poste technique]]&amp;"_"&amp;Tableau1[[#This Row],[Plan Entretien]]&amp;".xlsm"</f>
        <v>20KV POSTES ELECTRIQUES \T040-P_33601.xlsm</v>
      </c>
    </row>
    <row r="98" spans="1:30" x14ac:dyDescent="0.3">
      <c r="A98" s="41" t="str">
        <f t="shared" ca="1" si="1"/>
        <v>7.MNRJ</v>
      </c>
      <c r="B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8" s="43"/>
      <c r="D98" s="41" t="s">
        <v>440</v>
      </c>
      <c r="E98" s="41" t="s">
        <v>135</v>
      </c>
      <c r="F98" s="44" t="s">
        <v>200</v>
      </c>
      <c r="G98" s="44" t="s">
        <v>201</v>
      </c>
      <c r="H98" s="48">
        <v>33601</v>
      </c>
      <c r="I98" s="48">
        <v>69039</v>
      </c>
      <c r="J98" s="48" t="s">
        <v>253</v>
      </c>
      <c r="K98" s="48">
        <v>73</v>
      </c>
      <c r="L98" s="43" t="s">
        <v>41</v>
      </c>
      <c r="M98" s="41" t="s">
        <v>350</v>
      </c>
      <c r="N98" s="43" t="s">
        <v>62</v>
      </c>
      <c r="O98" s="43"/>
      <c r="P98" s="44"/>
      <c r="Q98" s="43"/>
      <c r="R98" s="43" t="s">
        <v>2</v>
      </c>
      <c r="S98" s="45">
        <v>44593</v>
      </c>
      <c r="T98" s="58" t="str">
        <f>IF(Tableau1[[#This Row],[DMS_SAP]]="","",HYPERLINK(Tableau1[[#This Row],[Chemin fichier source]],"X"))</f>
        <v/>
      </c>
      <c r="U98" s="58" t="str">
        <f>IF(Tableau1[[#This Row],[Date rév.]]="","",HYPERLINK(Tableau1[[#This Row],[Lien document]],"X"))</f>
        <v/>
      </c>
      <c r="V98" s="44"/>
      <c r="W98"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\T040-P010_33601.pdf</v>
      </c>
      <c r="X98" s="44">
        <v>8</v>
      </c>
      <c r="Y98" s="44">
        <v>2</v>
      </c>
      <c r="Z98" s="41" t="str">
        <f ca="1">IF(AND(Tableau1[[#This Row],[Charge]]&lt;&gt;0, Tableau1[[#This Row],[Nombre intervenants]]&lt;&gt;0,Tableau1[[#This Row],[Lien document]]&lt;&gt;0,Tableau1[[#This Row],[DMS_SAP]]&lt;&gt;0)=TRUE,"MIS A JOUR","")</f>
        <v/>
      </c>
      <c r="AA98" s="45"/>
      <c r="AB98" s="55" t="str">
        <f ca="1">IF(Tableau1[[#This Row],[Date rév.]]&lt;&gt;"", DAYS360(Tableau1[[#This Row],[Date rév.]],TODAY()),"")</f>
        <v/>
      </c>
      <c r="AC98" s="47">
        <f>IFERROR(INDEX(Chemin_accès!$B$11:$C$22,MATCH(Tableau1[[#This Row],[Type]],Chemin_accès!$C$11:$C$22,0),1),Chemin_accès!$B$11)</f>
        <v>0</v>
      </c>
      <c r="AD98" s="47" t="str">
        <f>Chemin_accès!$B$8&amp;Tableau1[[#This Row],[Localisation / Classement]]&amp;"\"&amp;Tableau1[[#This Row],[Poste technique]]&amp;"_"&amp;Tableau1[[#This Row],[Plan Entretien]]&amp;".xlsm"</f>
        <v>20KV POSTES ELECTRIQUES \T040-P010_33601.xlsm</v>
      </c>
    </row>
    <row r="99" spans="1:30" x14ac:dyDescent="0.3">
      <c r="A99" s="41" t="str">
        <f t="shared" ca="1" si="1"/>
        <v>7.MNRJ</v>
      </c>
      <c r="B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9" s="43"/>
      <c r="D99" s="41" t="s">
        <v>440</v>
      </c>
      <c r="E99" s="41" t="s">
        <v>135</v>
      </c>
      <c r="F99" s="44" t="s">
        <v>200</v>
      </c>
      <c r="G99" s="44" t="s">
        <v>201</v>
      </c>
      <c r="H99" s="48">
        <v>33601</v>
      </c>
      <c r="I99" s="48">
        <v>67647</v>
      </c>
      <c r="J99" s="48" t="s">
        <v>252</v>
      </c>
      <c r="K99" s="48">
        <v>59</v>
      </c>
      <c r="L99" s="43" t="s">
        <v>82</v>
      </c>
      <c r="M99" s="41" t="s">
        <v>351</v>
      </c>
      <c r="N99" s="43" t="s">
        <v>62</v>
      </c>
      <c r="O99" s="43"/>
      <c r="P99" s="44"/>
      <c r="Q99" s="43"/>
      <c r="R99" s="43" t="s">
        <v>2</v>
      </c>
      <c r="S99" s="45">
        <v>44593</v>
      </c>
      <c r="T99" s="58" t="str">
        <f>IF(Tableau1[[#This Row],[DMS_SAP]]="","",HYPERLINK(Tableau1[[#This Row],[Chemin fichier source]],"X"))</f>
        <v/>
      </c>
      <c r="U99" s="58" t="str">
        <f>IF(Tableau1[[#This Row],[Date rév.]]="","",HYPERLINK(Tableau1[[#This Row],[Lien document]],"X"))</f>
        <v/>
      </c>
      <c r="V99" s="44"/>
      <c r="W99"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\T040-P010_33601.pdf</v>
      </c>
      <c r="X99" s="44">
        <v>2</v>
      </c>
      <c r="Y99" s="44">
        <v>2</v>
      </c>
      <c r="Z99" s="41" t="str">
        <f ca="1">IF(AND(Tableau1[[#This Row],[Charge]]&lt;&gt;0, Tableau1[[#This Row],[Nombre intervenants]]&lt;&gt;0,Tableau1[[#This Row],[Lien document]]&lt;&gt;0,Tableau1[[#This Row],[DMS_SAP]]&lt;&gt;0)=TRUE,"MIS A JOUR","")</f>
        <v/>
      </c>
      <c r="AA99" s="45"/>
      <c r="AB99" s="55" t="str">
        <f ca="1">IF(Tableau1[[#This Row],[Date rév.]]&lt;&gt;"", DAYS360(Tableau1[[#This Row],[Date rév.]],TODAY()),"")</f>
        <v/>
      </c>
      <c r="AC99" s="47">
        <f>IFERROR(INDEX(Chemin_accès!$B$11:$C$22,MATCH(Tableau1[[#This Row],[Type]],Chemin_accès!$C$11:$C$22,0),1),Chemin_accès!$B$11)</f>
        <v>0</v>
      </c>
      <c r="AD99" s="47" t="str">
        <f>Chemin_accès!$B$8&amp;Tableau1[[#This Row],[Localisation / Classement]]&amp;"\"&amp;Tableau1[[#This Row],[Poste technique]]&amp;"_"&amp;Tableau1[[#This Row],[Plan Entretien]]&amp;".xlsm"</f>
        <v>20KV POSTES ELECTRIQUES \T040-P010_33601.xlsm</v>
      </c>
    </row>
    <row r="100" spans="1:30" x14ac:dyDescent="0.3">
      <c r="A100" s="41" t="str">
        <f t="shared" ca="1" si="1"/>
        <v>7.MNRJ</v>
      </c>
      <c r="B1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0" s="43"/>
      <c r="D100" s="41" t="s">
        <v>440</v>
      </c>
      <c r="E100" s="41" t="s">
        <v>135</v>
      </c>
      <c r="F100" s="44" t="s">
        <v>200</v>
      </c>
      <c r="G100" s="44" t="s">
        <v>201</v>
      </c>
      <c r="H100" s="48">
        <v>33601</v>
      </c>
      <c r="I100" s="48">
        <v>67613</v>
      </c>
      <c r="J100" s="48" t="s">
        <v>252</v>
      </c>
      <c r="K100" s="48">
        <v>70</v>
      </c>
      <c r="L100" s="43" t="s">
        <v>446</v>
      </c>
      <c r="M100" s="41" t="s">
        <v>352</v>
      </c>
      <c r="N100" s="43" t="s">
        <v>62</v>
      </c>
      <c r="O100" s="43"/>
      <c r="P100" s="44"/>
      <c r="Q100" s="43"/>
      <c r="R100" s="43" t="s">
        <v>2</v>
      </c>
      <c r="S100" s="45">
        <v>44593</v>
      </c>
      <c r="T100" s="58" t="str">
        <f>IF(Tableau1[[#This Row],[DMS_SAP]]="","",HYPERLINK(Tableau1[[#This Row],[Chemin fichier source]],"X"))</f>
        <v/>
      </c>
      <c r="U100" s="58" t="str">
        <f>IF(Tableau1[[#This Row],[Date rév.]]="","",HYPERLINK(Tableau1[[#This Row],[Lien document]],"X"))</f>
        <v/>
      </c>
      <c r="V100" s="44"/>
      <c r="W100"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\T040-P010_33601.pdf</v>
      </c>
      <c r="X100" s="44">
        <v>16</v>
      </c>
      <c r="Y100" s="44">
        <v>2</v>
      </c>
      <c r="Z100" s="41" t="str">
        <f ca="1">IF(AND(Tableau1[[#This Row],[Charge]]&lt;&gt;0, Tableau1[[#This Row],[Nombre intervenants]]&lt;&gt;0,Tableau1[[#This Row],[Lien document]]&lt;&gt;0,Tableau1[[#This Row],[DMS_SAP]]&lt;&gt;0)=TRUE,"MIS A JOUR","")</f>
        <v/>
      </c>
      <c r="AA100" s="45"/>
      <c r="AB100" s="55" t="str">
        <f ca="1">IF(Tableau1[[#This Row],[Date rév.]]&lt;&gt;"", DAYS360(Tableau1[[#This Row],[Date rév.]],TODAY()),"")</f>
        <v/>
      </c>
      <c r="AC100" s="47">
        <f>IFERROR(INDEX(Chemin_accès!$B$11:$C$22,MATCH(Tableau1[[#This Row],[Type]],Chemin_accès!$C$11:$C$22,0),1),Chemin_accès!$B$11)</f>
        <v>0</v>
      </c>
      <c r="AD100" s="47" t="str">
        <f>Chemin_accès!$B$8&amp;Tableau1[[#This Row],[Localisation / Classement]]&amp;"\"&amp;Tableau1[[#This Row],[Poste technique]]&amp;"_"&amp;Tableau1[[#This Row],[Plan Entretien]]&amp;".xlsm"</f>
        <v>20KV POSTES ELECTRIQUES \T040-P010_33601.xlsm</v>
      </c>
    </row>
    <row r="101" spans="1:30" x14ac:dyDescent="0.3">
      <c r="A101" s="41" t="str">
        <f t="shared" ca="1" si="1"/>
        <v>7.MNRJ</v>
      </c>
      <c r="B1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1" s="43"/>
      <c r="D101" s="41" t="s">
        <v>440</v>
      </c>
      <c r="E101" s="41" t="s">
        <v>135</v>
      </c>
      <c r="F101" s="44" t="s">
        <v>202</v>
      </c>
      <c r="G101" s="44" t="s">
        <v>203</v>
      </c>
      <c r="H101" s="48">
        <v>33601</v>
      </c>
      <c r="I101" s="48">
        <v>68975</v>
      </c>
      <c r="J101" s="48" t="s">
        <v>253</v>
      </c>
      <c r="K101" s="48">
        <v>16</v>
      </c>
      <c r="L101" s="43" t="s">
        <v>82</v>
      </c>
      <c r="M101" s="41" t="s">
        <v>353</v>
      </c>
      <c r="N101" s="43" t="s">
        <v>62</v>
      </c>
      <c r="O101" s="43"/>
      <c r="P101" s="44"/>
      <c r="Q101" s="43"/>
      <c r="R101" s="43" t="s">
        <v>2</v>
      </c>
      <c r="S101" s="45">
        <v>44593</v>
      </c>
      <c r="T101" s="58" t="str">
        <f>IF(Tableau1[[#This Row],[DMS_SAP]]="","",HYPERLINK(Tableau1[[#This Row],[Chemin fichier source]],"X"))</f>
        <v/>
      </c>
      <c r="U101" s="58" t="str">
        <f>IF(Tableau1[[#This Row],[Date rév.]]="","",HYPERLINK(Tableau1[[#This Row],[Lien document]],"X"))</f>
        <v/>
      </c>
      <c r="V101" s="44"/>
      <c r="W101"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\T040-P020_33601.pdf</v>
      </c>
      <c r="X101" s="44">
        <v>4</v>
      </c>
      <c r="Y101" s="44">
        <v>2</v>
      </c>
      <c r="Z101" s="41" t="str">
        <f ca="1">IF(AND(Tableau1[[#This Row],[Charge]]&lt;&gt;0, Tableau1[[#This Row],[Nombre intervenants]]&lt;&gt;0,Tableau1[[#This Row],[Lien document]]&lt;&gt;0,Tableau1[[#This Row],[DMS_SAP]]&lt;&gt;0)=TRUE,"MIS A JOUR","")</f>
        <v/>
      </c>
      <c r="AA101" s="45"/>
      <c r="AB101" s="55" t="str">
        <f ca="1">IF(Tableau1[[#This Row],[Date rév.]]&lt;&gt;"", DAYS360(Tableau1[[#This Row],[Date rév.]],TODAY()),"")</f>
        <v/>
      </c>
      <c r="AC101" s="47">
        <f>IFERROR(INDEX(Chemin_accès!$B$11:$C$22,MATCH(Tableau1[[#This Row],[Type]],Chemin_accès!$C$11:$C$22,0),1),Chemin_accès!$B$11)</f>
        <v>0</v>
      </c>
      <c r="AD101" s="47" t="str">
        <f>Chemin_accès!$B$8&amp;Tableau1[[#This Row],[Localisation / Classement]]&amp;"\"&amp;Tableau1[[#This Row],[Poste technique]]&amp;"_"&amp;Tableau1[[#This Row],[Plan Entretien]]&amp;".xlsm"</f>
        <v>20KV POSTES ELECTRIQUES \T040-P020_33601.xlsm</v>
      </c>
    </row>
    <row r="102" spans="1:30" x14ac:dyDescent="0.3">
      <c r="A102" s="41" t="str">
        <f t="shared" ca="1" si="1"/>
        <v>7.MNRJ</v>
      </c>
      <c r="B1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2" s="43"/>
      <c r="D102" s="41" t="s">
        <v>440</v>
      </c>
      <c r="E102" s="41" t="s">
        <v>135</v>
      </c>
      <c r="F102" s="44" t="s">
        <v>202</v>
      </c>
      <c r="G102" s="44" t="s">
        <v>203</v>
      </c>
      <c r="H102" s="48">
        <v>33601</v>
      </c>
      <c r="I102" s="48">
        <v>68979</v>
      </c>
      <c r="J102" s="48" t="s">
        <v>253</v>
      </c>
      <c r="K102" s="48">
        <v>20</v>
      </c>
      <c r="L102" s="43" t="s">
        <v>82</v>
      </c>
      <c r="M102" s="41" t="s">
        <v>354</v>
      </c>
      <c r="N102" s="43" t="s">
        <v>62</v>
      </c>
      <c r="O102" s="43"/>
      <c r="P102" s="44"/>
      <c r="Q102" s="43"/>
      <c r="R102" s="43" t="s">
        <v>2</v>
      </c>
      <c r="S102" s="45">
        <v>44593</v>
      </c>
      <c r="T102" s="58" t="str">
        <f>IF(Tableau1[[#This Row],[DMS_SAP]]="","",HYPERLINK(Tableau1[[#This Row],[Chemin fichier source]],"X"))</f>
        <v/>
      </c>
      <c r="U102" s="58" t="str">
        <f>IF(Tableau1[[#This Row],[Date rév.]]="","",HYPERLINK(Tableau1[[#This Row],[Lien document]],"X"))</f>
        <v/>
      </c>
      <c r="V102" s="44"/>
      <c r="W102"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\T040-P020_33601.pdf</v>
      </c>
      <c r="X102" s="44">
        <v>2</v>
      </c>
      <c r="Y102" s="44">
        <v>2</v>
      </c>
      <c r="Z102" s="41" t="str">
        <f ca="1">IF(AND(Tableau1[[#This Row],[Charge]]&lt;&gt;0, Tableau1[[#This Row],[Nombre intervenants]]&lt;&gt;0,Tableau1[[#This Row],[Lien document]]&lt;&gt;0,Tableau1[[#This Row],[DMS_SAP]]&lt;&gt;0)=TRUE,"MIS A JOUR","")</f>
        <v/>
      </c>
      <c r="AA102" s="45"/>
      <c r="AB102" s="55" t="str">
        <f ca="1">IF(Tableau1[[#This Row],[Date rév.]]&lt;&gt;"", DAYS360(Tableau1[[#This Row],[Date rév.]],TODAY()),"")</f>
        <v/>
      </c>
      <c r="AC102" s="47">
        <f>IFERROR(INDEX(Chemin_accès!$B$11:$C$22,MATCH(Tableau1[[#This Row],[Type]],Chemin_accès!$C$11:$C$22,0),1),Chemin_accès!$B$11)</f>
        <v>0</v>
      </c>
      <c r="AD102" s="47" t="str">
        <f>Chemin_accès!$B$8&amp;Tableau1[[#This Row],[Localisation / Classement]]&amp;"\"&amp;Tableau1[[#This Row],[Poste technique]]&amp;"_"&amp;Tableau1[[#This Row],[Plan Entretien]]&amp;".xlsm"</f>
        <v>20KV POSTES ELECTRIQUES \T040-P020_33601.xlsm</v>
      </c>
    </row>
    <row r="103" spans="1:30" x14ac:dyDescent="0.3">
      <c r="A103" s="41" t="str">
        <f t="shared" ca="1" si="1"/>
        <v>7.MNRJ</v>
      </c>
      <c r="B1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3" s="43"/>
      <c r="D103" s="41" t="s">
        <v>440</v>
      </c>
      <c r="E103" s="41" t="s">
        <v>135</v>
      </c>
      <c r="F103" s="41" t="s">
        <v>202</v>
      </c>
      <c r="G103" s="41" t="s">
        <v>203</v>
      </c>
      <c r="H103" s="48">
        <v>33601</v>
      </c>
      <c r="I103" s="48">
        <v>69067</v>
      </c>
      <c r="J103" s="48" t="s">
        <v>253</v>
      </c>
      <c r="K103" s="48">
        <v>74</v>
      </c>
      <c r="L103" s="43" t="s">
        <v>41</v>
      </c>
      <c r="M103" s="41" t="s">
        <v>355</v>
      </c>
      <c r="N103" s="43" t="s">
        <v>62</v>
      </c>
      <c r="O103" s="43"/>
      <c r="P103" s="44"/>
      <c r="Q103" s="43"/>
      <c r="R103" s="43" t="s">
        <v>2</v>
      </c>
      <c r="S103" s="45">
        <v>44593</v>
      </c>
      <c r="T103" s="58" t="str">
        <f>IF(Tableau1[[#This Row],[DMS_SAP]]="","",HYPERLINK(Tableau1[[#This Row],[Chemin fichier source]],"X"))</f>
        <v/>
      </c>
      <c r="U103" s="58" t="str">
        <f>IF(Tableau1[[#This Row],[Date rév.]]="","",HYPERLINK(Tableau1[[#This Row],[Lien document]],"X"))</f>
        <v/>
      </c>
      <c r="V103" s="44"/>
      <c r="W103"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\T040-P020_33601.pdf</v>
      </c>
      <c r="X103" s="44">
        <v>18</v>
      </c>
      <c r="Y103" s="44">
        <v>2</v>
      </c>
      <c r="Z103" s="41" t="str">
        <f ca="1">IF(AND(Tableau1[[#This Row],[Charge]]&lt;&gt;0, Tableau1[[#This Row],[Nombre intervenants]]&lt;&gt;0,Tableau1[[#This Row],[Lien document]]&lt;&gt;0,Tableau1[[#This Row],[DMS_SAP]]&lt;&gt;0)=TRUE,"MIS A JOUR","")</f>
        <v/>
      </c>
      <c r="AA103" s="45"/>
      <c r="AB103" s="55" t="str">
        <f ca="1">IF(Tableau1[[#This Row],[Date rév.]]&lt;&gt;"", DAYS360(Tableau1[[#This Row],[Date rév.]],TODAY()),"")</f>
        <v/>
      </c>
      <c r="AC103" s="47">
        <f>IFERROR(INDEX(Chemin_accès!$B$11:$C$22,MATCH(Tableau1[[#This Row],[Type]],Chemin_accès!$C$11:$C$22,0),1),Chemin_accès!$B$11)</f>
        <v>0</v>
      </c>
      <c r="AD103" s="47" t="str">
        <f>Chemin_accès!$B$8&amp;Tableau1[[#This Row],[Localisation / Classement]]&amp;"\"&amp;Tableau1[[#This Row],[Poste technique]]&amp;"_"&amp;Tableau1[[#This Row],[Plan Entretien]]&amp;".xlsm"</f>
        <v>20KV POSTES ELECTRIQUES \T040-P020_33601.xlsm</v>
      </c>
    </row>
    <row r="104" spans="1:30" x14ac:dyDescent="0.3">
      <c r="A104" s="41" t="str">
        <f t="shared" ca="1" si="1"/>
        <v>7.MNRJ</v>
      </c>
      <c r="B1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4" s="43"/>
      <c r="D104" s="41" t="s">
        <v>440</v>
      </c>
      <c r="E104" s="41" t="s">
        <v>135</v>
      </c>
      <c r="F104" s="44" t="s">
        <v>202</v>
      </c>
      <c r="G104" s="44" t="s">
        <v>203</v>
      </c>
      <c r="H104" s="48">
        <v>33601</v>
      </c>
      <c r="I104" s="48">
        <v>68937</v>
      </c>
      <c r="J104" s="48" t="s">
        <v>252</v>
      </c>
      <c r="K104" s="48">
        <v>74</v>
      </c>
      <c r="L104" s="43" t="s">
        <v>446</v>
      </c>
      <c r="M104" s="41" t="s">
        <v>356</v>
      </c>
      <c r="N104" s="43" t="s">
        <v>62</v>
      </c>
      <c r="O104" s="43"/>
      <c r="P104" s="44"/>
      <c r="Q104" s="43"/>
      <c r="R104" s="43" t="s">
        <v>2</v>
      </c>
      <c r="S104" s="45">
        <v>44593</v>
      </c>
      <c r="T104" s="58" t="str">
        <f>IF(Tableau1[[#This Row],[DMS_SAP]]="","",HYPERLINK(Tableau1[[#This Row],[Chemin fichier source]],"X"))</f>
        <v/>
      </c>
      <c r="U104" s="58" t="str">
        <f>IF(Tableau1[[#This Row],[Date rév.]]="","",HYPERLINK(Tableau1[[#This Row],[Lien document]],"X"))</f>
        <v/>
      </c>
      <c r="V104" s="44"/>
      <c r="W104"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\T040-P020_33601.pdf</v>
      </c>
      <c r="X104" s="44">
        <v>72</v>
      </c>
      <c r="Y104" s="44">
        <v>2</v>
      </c>
      <c r="Z104" s="41" t="str">
        <f ca="1">IF(AND(Tableau1[[#This Row],[Charge]]&lt;&gt;0, Tableau1[[#This Row],[Nombre intervenants]]&lt;&gt;0,Tableau1[[#This Row],[Lien document]]&lt;&gt;0,Tableau1[[#This Row],[DMS_SAP]]&lt;&gt;0)=TRUE,"MIS A JOUR","")</f>
        <v/>
      </c>
      <c r="AA104" s="45"/>
      <c r="AB104" s="55" t="str">
        <f ca="1">IF(Tableau1[[#This Row],[Date rév.]]&lt;&gt;"", DAYS360(Tableau1[[#This Row],[Date rév.]],TODAY()),"")</f>
        <v/>
      </c>
      <c r="AC104" s="47">
        <f>IFERROR(INDEX(Chemin_accès!$B$11:$C$22,MATCH(Tableau1[[#This Row],[Type]],Chemin_accès!$C$11:$C$22,0),1),Chemin_accès!$B$11)</f>
        <v>0</v>
      </c>
      <c r="AD104" s="47" t="str">
        <f>Chemin_accès!$B$8&amp;Tableau1[[#This Row],[Localisation / Classement]]&amp;"\"&amp;Tableau1[[#This Row],[Poste technique]]&amp;"_"&amp;Tableau1[[#This Row],[Plan Entretien]]&amp;".xlsm"</f>
        <v>20KV POSTES ELECTRIQUES \T040-P020_33601.xlsm</v>
      </c>
    </row>
    <row r="105" spans="1:30" x14ac:dyDescent="0.3">
      <c r="A105" s="41" t="str">
        <f t="shared" ca="1" si="1"/>
        <v>7.MNRJ</v>
      </c>
      <c r="B1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5" s="43"/>
      <c r="D105" s="41" t="s">
        <v>440</v>
      </c>
      <c r="E105" s="41" t="s">
        <v>135</v>
      </c>
      <c r="F105" s="44" t="s">
        <v>202</v>
      </c>
      <c r="G105" s="44" t="s">
        <v>203</v>
      </c>
      <c r="H105" s="48">
        <v>33601</v>
      </c>
      <c r="I105" s="48">
        <v>68952</v>
      </c>
      <c r="J105" s="48" t="s">
        <v>252</v>
      </c>
      <c r="K105" s="48">
        <v>89</v>
      </c>
      <c r="L105" s="43" t="s">
        <v>446</v>
      </c>
      <c r="M105" s="41" t="s">
        <v>357</v>
      </c>
      <c r="N105" s="43" t="s">
        <v>62</v>
      </c>
      <c r="O105" s="43"/>
      <c r="P105" s="44"/>
      <c r="Q105" s="43"/>
      <c r="R105" s="43" t="s">
        <v>2</v>
      </c>
      <c r="S105" s="45">
        <v>44593</v>
      </c>
      <c r="T105" s="58" t="str">
        <f>IF(Tableau1[[#This Row],[DMS_SAP]]="","",HYPERLINK(Tableau1[[#This Row],[Chemin fichier source]],"X"))</f>
        <v/>
      </c>
      <c r="U105" s="58" t="str">
        <f>IF(Tableau1[[#This Row],[Date rév.]]="","",HYPERLINK(Tableau1[[#This Row],[Lien document]],"X"))</f>
        <v/>
      </c>
      <c r="V105" s="44"/>
      <c r="W10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\T040-P020_33601.pdf</v>
      </c>
      <c r="X105" s="44">
        <v>12</v>
      </c>
      <c r="Y105" s="44">
        <v>2</v>
      </c>
      <c r="Z105" s="41" t="str">
        <f ca="1">IF(AND(Tableau1[[#This Row],[Charge]]&lt;&gt;0, Tableau1[[#This Row],[Nombre intervenants]]&lt;&gt;0,Tableau1[[#This Row],[Lien document]]&lt;&gt;0,Tableau1[[#This Row],[DMS_SAP]]&lt;&gt;0)=TRUE,"MIS A JOUR","")</f>
        <v/>
      </c>
      <c r="AA105" s="45"/>
      <c r="AB105" s="55" t="str">
        <f ca="1">IF(Tableau1[[#This Row],[Date rév.]]&lt;&gt;"", DAYS360(Tableau1[[#This Row],[Date rév.]],TODAY()),"")</f>
        <v/>
      </c>
      <c r="AC105" s="47">
        <f>IFERROR(INDEX(Chemin_accès!$B$11:$C$22,MATCH(Tableau1[[#This Row],[Type]],Chemin_accès!$C$11:$C$22,0),1),Chemin_accès!$B$11)</f>
        <v>0</v>
      </c>
      <c r="AD105" s="47" t="str">
        <f>Chemin_accès!$B$8&amp;Tableau1[[#This Row],[Localisation / Classement]]&amp;"\"&amp;Tableau1[[#This Row],[Poste technique]]&amp;"_"&amp;Tableau1[[#This Row],[Plan Entretien]]&amp;".xlsm"</f>
        <v>20KV POSTES ELECTRIQUES \T040-P020_33601.xlsm</v>
      </c>
    </row>
    <row r="106" spans="1:30" x14ac:dyDescent="0.3">
      <c r="A106" s="41" t="str">
        <f t="shared" ca="1" si="1"/>
        <v>7.MNRJ</v>
      </c>
      <c r="B1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6" s="43"/>
      <c r="D106" s="41" t="s">
        <v>440</v>
      </c>
      <c r="E106" s="41" t="s">
        <v>135</v>
      </c>
      <c r="F106" s="44" t="s">
        <v>204</v>
      </c>
      <c r="G106" s="44" t="s">
        <v>205</v>
      </c>
      <c r="H106" s="48">
        <v>33601</v>
      </c>
      <c r="I106" s="48">
        <v>68989</v>
      </c>
      <c r="J106" s="48" t="s">
        <v>253</v>
      </c>
      <c r="K106" s="48">
        <v>30</v>
      </c>
      <c r="L106" s="43" t="s">
        <v>82</v>
      </c>
      <c r="M106" s="41" t="s">
        <v>358</v>
      </c>
      <c r="N106" s="43" t="s">
        <v>62</v>
      </c>
      <c r="O106" s="43"/>
      <c r="P106" s="44"/>
      <c r="Q106" s="43"/>
      <c r="R106" s="43" t="s">
        <v>2</v>
      </c>
      <c r="S106" s="45">
        <v>44593</v>
      </c>
      <c r="T106" s="58" t="str">
        <f>IF(Tableau1[[#This Row],[DMS_SAP]]="","",HYPERLINK(Tableau1[[#This Row],[Chemin fichier source]],"X"))</f>
        <v/>
      </c>
      <c r="U106" s="58" t="str">
        <f>IF(Tableau1[[#This Row],[Date rév.]]="","",HYPERLINK(Tableau1[[#This Row],[Lien document]],"X"))</f>
        <v/>
      </c>
      <c r="V106" s="44"/>
      <c r="W10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\T040-P030_33601.pdf</v>
      </c>
      <c r="X106" s="44">
        <v>2</v>
      </c>
      <c r="Y106" s="44">
        <v>2</v>
      </c>
      <c r="Z106" s="41" t="str">
        <f ca="1">IF(AND(Tableau1[[#This Row],[Charge]]&lt;&gt;0, Tableau1[[#This Row],[Nombre intervenants]]&lt;&gt;0,Tableau1[[#This Row],[Lien document]]&lt;&gt;0,Tableau1[[#This Row],[DMS_SAP]]&lt;&gt;0)=TRUE,"MIS A JOUR","")</f>
        <v/>
      </c>
      <c r="AA106" s="45"/>
      <c r="AB106" s="55" t="str">
        <f ca="1">IF(Tableau1[[#This Row],[Date rév.]]&lt;&gt;"", DAYS360(Tableau1[[#This Row],[Date rév.]],TODAY()),"")</f>
        <v/>
      </c>
      <c r="AC106" s="47">
        <f>IFERROR(INDEX(Chemin_accès!$B$11:$C$22,MATCH(Tableau1[[#This Row],[Type]],Chemin_accès!$C$11:$C$22,0),1),Chemin_accès!$B$11)</f>
        <v>0</v>
      </c>
      <c r="AD106" s="47" t="str">
        <f>Chemin_accès!$B$8&amp;Tableau1[[#This Row],[Localisation / Classement]]&amp;"\"&amp;Tableau1[[#This Row],[Poste technique]]&amp;"_"&amp;Tableau1[[#This Row],[Plan Entretien]]&amp;".xlsm"</f>
        <v>20KV POSTES ELECTRIQUES \T040-P030_33601.xlsm</v>
      </c>
    </row>
    <row r="107" spans="1:30" x14ac:dyDescent="0.3">
      <c r="A107" s="41" t="str">
        <f t="shared" ca="1" si="1"/>
        <v>7.MNRJ</v>
      </c>
      <c r="B1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7" s="43"/>
      <c r="D107" s="41" t="s">
        <v>440</v>
      </c>
      <c r="E107" s="41" t="s">
        <v>135</v>
      </c>
      <c r="F107" s="41" t="s">
        <v>204</v>
      </c>
      <c r="G107" s="41" t="s">
        <v>205</v>
      </c>
      <c r="H107" s="48">
        <v>33601</v>
      </c>
      <c r="I107" s="48">
        <v>69169</v>
      </c>
      <c r="J107" s="48" t="s">
        <v>253</v>
      </c>
      <c r="K107" s="48">
        <v>87</v>
      </c>
      <c r="L107" s="43" t="s">
        <v>41</v>
      </c>
      <c r="M107" s="41" t="s">
        <v>359</v>
      </c>
      <c r="N107" s="43" t="s">
        <v>62</v>
      </c>
      <c r="O107" s="43"/>
      <c r="P107" s="44"/>
      <c r="Q107" s="43"/>
      <c r="R107" s="43" t="s">
        <v>2</v>
      </c>
      <c r="S107" s="45">
        <v>44593</v>
      </c>
      <c r="T107" s="58" t="str">
        <f>IF(Tableau1[[#This Row],[DMS_SAP]]="","",HYPERLINK(Tableau1[[#This Row],[Chemin fichier source]],"X"))</f>
        <v/>
      </c>
      <c r="U107" s="58" t="str">
        <f>IF(Tableau1[[#This Row],[Date rév.]]="","",HYPERLINK(Tableau1[[#This Row],[Lien document]],"X"))</f>
        <v/>
      </c>
      <c r="V107" s="44"/>
      <c r="W107"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\T040-P030_33601.pdf</v>
      </c>
      <c r="X107" s="44">
        <v>2</v>
      </c>
      <c r="Y107" s="44">
        <v>2</v>
      </c>
      <c r="Z107" s="41" t="str">
        <f ca="1">IF(AND(Tableau1[[#This Row],[Charge]]&lt;&gt;0, Tableau1[[#This Row],[Nombre intervenants]]&lt;&gt;0,Tableau1[[#This Row],[Lien document]]&lt;&gt;0,Tableau1[[#This Row],[DMS_SAP]]&lt;&gt;0)=TRUE,"MIS A JOUR","")</f>
        <v/>
      </c>
      <c r="AA107" s="45"/>
      <c r="AB107" s="55" t="str">
        <f ca="1">IF(Tableau1[[#This Row],[Date rév.]]&lt;&gt;"", DAYS360(Tableau1[[#This Row],[Date rév.]],TODAY()),"")</f>
        <v/>
      </c>
      <c r="AC107" s="47">
        <f>IFERROR(INDEX(Chemin_accès!$B$11:$C$22,MATCH(Tableau1[[#This Row],[Type]],Chemin_accès!$C$11:$C$22,0),1),Chemin_accès!$B$11)</f>
        <v>0</v>
      </c>
      <c r="AD107" s="47" t="str">
        <f>Chemin_accès!$B$8&amp;Tableau1[[#This Row],[Localisation / Classement]]&amp;"\"&amp;Tableau1[[#This Row],[Poste technique]]&amp;"_"&amp;Tableau1[[#This Row],[Plan Entretien]]&amp;".xlsm"</f>
        <v>20KV POSTES ELECTRIQUES \T040-P030_33601.xlsm</v>
      </c>
    </row>
    <row r="108" spans="1:30" x14ac:dyDescent="0.3">
      <c r="A108" s="41" t="str">
        <f t="shared" ca="1" si="1"/>
        <v>7.MNRJ</v>
      </c>
      <c r="B1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8" s="43"/>
      <c r="D108" s="41" t="s">
        <v>440</v>
      </c>
      <c r="E108" s="41" t="s">
        <v>135</v>
      </c>
      <c r="F108" s="44" t="s">
        <v>204</v>
      </c>
      <c r="G108" s="44" t="s">
        <v>205</v>
      </c>
      <c r="H108" s="48">
        <v>33601</v>
      </c>
      <c r="I108" s="48">
        <v>68939</v>
      </c>
      <c r="J108" s="48" t="s">
        <v>252</v>
      </c>
      <c r="K108" s="48">
        <v>76</v>
      </c>
      <c r="L108" s="43" t="s">
        <v>446</v>
      </c>
      <c r="M108" s="41" t="s">
        <v>360</v>
      </c>
      <c r="N108" s="43" t="s">
        <v>62</v>
      </c>
      <c r="O108" s="43"/>
      <c r="P108" s="44"/>
      <c r="Q108" s="43"/>
      <c r="R108" s="43" t="s">
        <v>2</v>
      </c>
      <c r="S108" s="45">
        <v>44593</v>
      </c>
      <c r="T108" s="58" t="str">
        <f>IF(Tableau1[[#This Row],[DMS_SAP]]="","",HYPERLINK(Tableau1[[#This Row],[Chemin fichier source]],"X"))</f>
        <v/>
      </c>
      <c r="U108" s="58" t="str">
        <f>IF(Tableau1[[#This Row],[Date rév.]]="","",HYPERLINK(Tableau1[[#This Row],[Lien document]],"X"))</f>
        <v/>
      </c>
      <c r="V108" s="44"/>
      <c r="W108"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\T040-P030_33601.pdf</v>
      </c>
      <c r="X108" s="44">
        <v>8</v>
      </c>
      <c r="Y108" s="44">
        <v>2</v>
      </c>
      <c r="Z108" s="41" t="str">
        <f ca="1">IF(AND(Tableau1[[#This Row],[Charge]]&lt;&gt;0, Tableau1[[#This Row],[Nombre intervenants]]&lt;&gt;0,Tableau1[[#This Row],[Lien document]]&lt;&gt;0,Tableau1[[#This Row],[DMS_SAP]]&lt;&gt;0)=TRUE,"MIS A JOUR","")</f>
        <v/>
      </c>
      <c r="AA108" s="45"/>
      <c r="AB108" s="55" t="str">
        <f ca="1">IF(Tableau1[[#This Row],[Date rév.]]&lt;&gt;"", DAYS360(Tableau1[[#This Row],[Date rév.]],TODAY()),"")</f>
        <v/>
      </c>
      <c r="AC108" s="47">
        <f>IFERROR(INDEX(Chemin_accès!$B$11:$C$22,MATCH(Tableau1[[#This Row],[Type]],Chemin_accès!$C$11:$C$22,0),1),Chemin_accès!$B$11)</f>
        <v>0</v>
      </c>
      <c r="AD108" s="47" t="str">
        <f>Chemin_accès!$B$8&amp;Tableau1[[#This Row],[Localisation / Classement]]&amp;"\"&amp;Tableau1[[#This Row],[Poste technique]]&amp;"_"&amp;Tableau1[[#This Row],[Plan Entretien]]&amp;".xlsm"</f>
        <v>20KV POSTES ELECTRIQUES \T040-P030_33601.xlsm</v>
      </c>
    </row>
    <row r="109" spans="1:30" x14ac:dyDescent="0.3">
      <c r="A109" s="41" t="str">
        <f t="shared" ca="1" si="1"/>
        <v>7.MNRJ</v>
      </c>
      <c r="B1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9" s="43"/>
      <c r="D109" s="41" t="s">
        <v>440</v>
      </c>
      <c r="E109" s="41" t="s">
        <v>135</v>
      </c>
      <c r="F109" s="44" t="s">
        <v>204</v>
      </c>
      <c r="G109" s="44" t="s">
        <v>205</v>
      </c>
      <c r="H109" s="48">
        <v>33601</v>
      </c>
      <c r="I109" s="48">
        <v>68954</v>
      </c>
      <c r="J109" s="48" t="s">
        <v>252</v>
      </c>
      <c r="K109" s="48">
        <v>91</v>
      </c>
      <c r="L109" s="43" t="s">
        <v>446</v>
      </c>
      <c r="M109" s="41" t="s">
        <v>361</v>
      </c>
      <c r="N109" s="43" t="s">
        <v>62</v>
      </c>
      <c r="O109" s="43"/>
      <c r="P109" s="44"/>
      <c r="Q109" s="43"/>
      <c r="R109" s="43" t="s">
        <v>2</v>
      </c>
      <c r="S109" s="45">
        <v>44593</v>
      </c>
      <c r="T109" s="58" t="str">
        <f>IF(Tableau1[[#This Row],[DMS_SAP]]="","",HYPERLINK(Tableau1[[#This Row],[Chemin fichier source]],"X"))</f>
        <v/>
      </c>
      <c r="U109" s="58" t="str">
        <f>IF(Tableau1[[#This Row],[Date rév.]]="","",HYPERLINK(Tableau1[[#This Row],[Lien document]],"X"))</f>
        <v/>
      </c>
      <c r="V109" s="44"/>
      <c r="W109"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\T040-P030_33601.pdf</v>
      </c>
      <c r="X109" s="44">
        <v>4</v>
      </c>
      <c r="Y109" s="44">
        <v>2</v>
      </c>
      <c r="Z109" s="41" t="str">
        <f ca="1">IF(AND(Tableau1[[#This Row],[Charge]]&lt;&gt;0, Tableau1[[#This Row],[Nombre intervenants]]&lt;&gt;0,Tableau1[[#This Row],[Lien document]]&lt;&gt;0,Tableau1[[#This Row],[DMS_SAP]]&lt;&gt;0)=TRUE,"MIS A JOUR","")</f>
        <v/>
      </c>
      <c r="AA109" s="45"/>
      <c r="AB109" s="55" t="str">
        <f ca="1">IF(Tableau1[[#This Row],[Date rév.]]&lt;&gt;"", DAYS360(Tableau1[[#This Row],[Date rév.]],TODAY()),"")</f>
        <v/>
      </c>
      <c r="AC109" s="47">
        <f>IFERROR(INDEX(Chemin_accès!$B$11:$C$22,MATCH(Tableau1[[#This Row],[Type]],Chemin_accès!$C$11:$C$22,0),1),Chemin_accès!$B$11)</f>
        <v>0</v>
      </c>
      <c r="AD109" s="47" t="str">
        <f>Chemin_accès!$B$8&amp;Tableau1[[#This Row],[Localisation / Classement]]&amp;"\"&amp;Tableau1[[#This Row],[Poste technique]]&amp;"_"&amp;Tableau1[[#This Row],[Plan Entretien]]&amp;".xlsm"</f>
        <v>20KV POSTES ELECTRIQUES \T040-P030_33601.xlsm</v>
      </c>
    </row>
    <row r="110" spans="1:30" x14ac:dyDescent="0.3">
      <c r="A110" s="41" t="str">
        <f t="shared" ca="1" si="1"/>
        <v>7.MNRJ</v>
      </c>
      <c r="B1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0" s="43"/>
      <c r="D110" s="41" t="s">
        <v>440</v>
      </c>
      <c r="E110" s="41" t="s">
        <v>135</v>
      </c>
      <c r="F110" s="44" t="s">
        <v>206</v>
      </c>
      <c r="G110" s="44" t="s">
        <v>207</v>
      </c>
      <c r="H110" s="48">
        <v>33601</v>
      </c>
      <c r="I110" s="48">
        <v>69163</v>
      </c>
      <c r="J110" s="48" t="s">
        <v>253</v>
      </c>
      <c r="K110" s="48">
        <v>81</v>
      </c>
      <c r="L110" s="43" t="s">
        <v>41</v>
      </c>
      <c r="M110" s="41" t="s">
        <v>362</v>
      </c>
      <c r="N110" s="43" t="s">
        <v>62</v>
      </c>
      <c r="O110" s="43"/>
      <c r="P110" s="44"/>
      <c r="Q110" s="43"/>
      <c r="R110" s="43" t="s">
        <v>2</v>
      </c>
      <c r="S110" s="45">
        <v>44593</v>
      </c>
      <c r="T110" s="58" t="str">
        <f>IF(Tableau1[[#This Row],[DMS_SAP]]="","",HYPERLINK(Tableau1[[#This Row],[Chemin fichier source]],"X"))</f>
        <v/>
      </c>
      <c r="U110" s="58" t="str">
        <f>IF(Tableau1[[#This Row],[Date rév.]]="","",HYPERLINK(Tableau1[[#This Row],[Lien document]],"X"))</f>
        <v/>
      </c>
      <c r="V110" s="44"/>
      <c r="W110"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\T040-P040_33601.pdf</v>
      </c>
      <c r="X110" s="44">
        <v>10</v>
      </c>
      <c r="Y110" s="44">
        <v>2</v>
      </c>
      <c r="Z110" s="41" t="str">
        <f ca="1">IF(AND(Tableau1[[#This Row],[Charge]]&lt;&gt;0, Tableau1[[#This Row],[Nombre intervenants]]&lt;&gt;0,Tableau1[[#This Row],[Lien document]]&lt;&gt;0,Tableau1[[#This Row],[DMS_SAP]]&lt;&gt;0)=TRUE,"MIS A JOUR","")</f>
        <v/>
      </c>
      <c r="AA110" s="45"/>
      <c r="AB110" s="55" t="str">
        <f ca="1">IF(Tableau1[[#This Row],[Date rév.]]&lt;&gt;"", DAYS360(Tableau1[[#This Row],[Date rév.]],TODAY()),"")</f>
        <v/>
      </c>
      <c r="AC110" s="47">
        <f>IFERROR(INDEX(Chemin_accès!$B$11:$C$22,MATCH(Tableau1[[#This Row],[Type]],Chemin_accès!$C$11:$C$22,0),1),Chemin_accès!$B$11)</f>
        <v>0</v>
      </c>
      <c r="AD110" s="47" t="str">
        <f>Chemin_accès!$B$8&amp;Tableau1[[#This Row],[Localisation / Classement]]&amp;"\"&amp;Tableau1[[#This Row],[Poste technique]]&amp;"_"&amp;Tableau1[[#This Row],[Plan Entretien]]&amp;".xlsm"</f>
        <v>20KV POSTES ELECTRIQUES \T040-P040_33601.xlsm</v>
      </c>
    </row>
    <row r="111" spans="1:30" x14ac:dyDescent="0.3">
      <c r="A111" s="41" t="str">
        <f t="shared" ca="1" si="1"/>
        <v>7.MNRJ</v>
      </c>
      <c r="B1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1" s="43"/>
      <c r="D111" s="41" t="s">
        <v>440</v>
      </c>
      <c r="E111" s="41" t="s">
        <v>135</v>
      </c>
      <c r="F111" s="44" t="s">
        <v>206</v>
      </c>
      <c r="G111" s="44" t="s">
        <v>207</v>
      </c>
      <c r="H111" s="48">
        <v>33601</v>
      </c>
      <c r="I111" s="48">
        <v>68963</v>
      </c>
      <c r="J111" s="48" t="s">
        <v>252</v>
      </c>
      <c r="K111" s="48">
        <v>0</v>
      </c>
      <c r="L111" s="43" t="s">
        <v>446</v>
      </c>
      <c r="M111" s="41" t="s">
        <v>363</v>
      </c>
      <c r="N111" s="43" t="s">
        <v>62</v>
      </c>
      <c r="O111" s="43"/>
      <c r="P111" s="44"/>
      <c r="Q111" s="43"/>
      <c r="R111" s="43" t="s">
        <v>2</v>
      </c>
      <c r="S111" s="45">
        <v>44593</v>
      </c>
      <c r="T111" s="58" t="str">
        <f>IF(Tableau1[[#This Row],[DMS_SAP]]="","",HYPERLINK(Tableau1[[#This Row],[Chemin fichier source]],"X"))</f>
        <v/>
      </c>
      <c r="U111" s="58" t="str">
        <f>IF(Tableau1[[#This Row],[Date rév.]]="","",HYPERLINK(Tableau1[[#This Row],[Lien document]],"X"))</f>
        <v/>
      </c>
      <c r="V111" s="44"/>
      <c r="W111"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\T040-P040_33601.pdf</v>
      </c>
      <c r="X111" s="44">
        <v>12</v>
      </c>
      <c r="Y111" s="44">
        <v>2</v>
      </c>
      <c r="Z111" s="41" t="str">
        <f ca="1">IF(AND(Tableau1[[#This Row],[Charge]]&lt;&gt;0, Tableau1[[#This Row],[Nombre intervenants]]&lt;&gt;0,Tableau1[[#This Row],[Lien document]]&lt;&gt;0,Tableau1[[#This Row],[DMS_SAP]]&lt;&gt;0)=TRUE,"MIS A JOUR","")</f>
        <v/>
      </c>
      <c r="AA111" s="45"/>
      <c r="AB111" s="55" t="str">
        <f ca="1">IF(Tableau1[[#This Row],[Date rév.]]&lt;&gt;"", DAYS360(Tableau1[[#This Row],[Date rév.]],TODAY()),"")</f>
        <v/>
      </c>
      <c r="AC111" s="47">
        <f>IFERROR(INDEX(Chemin_accès!$B$11:$C$22,MATCH(Tableau1[[#This Row],[Type]],Chemin_accès!$C$11:$C$22,0),1),Chemin_accès!$B$11)</f>
        <v>0</v>
      </c>
      <c r="AD111" s="47" t="str">
        <f>Chemin_accès!$B$8&amp;Tableau1[[#This Row],[Localisation / Classement]]&amp;"\"&amp;Tableau1[[#This Row],[Poste technique]]&amp;"_"&amp;Tableau1[[#This Row],[Plan Entretien]]&amp;".xlsm"</f>
        <v>20KV POSTES ELECTRIQUES \T040-P040_33601.xlsm</v>
      </c>
    </row>
    <row r="112" spans="1:30" x14ac:dyDescent="0.3">
      <c r="A112" s="41" t="str">
        <f t="shared" ca="1" si="1"/>
        <v>7.MNRJ</v>
      </c>
      <c r="B1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2" s="60"/>
      <c r="D112" s="41" t="s">
        <v>440</v>
      </c>
      <c r="E112" s="41" t="s">
        <v>135</v>
      </c>
      <c r="F112" s="44" t="s">
        <v>206</v>
      </c>
      <c r="G112" s="44" t="s">
        <v>207</v>
      </c>
      <c r="H112" s="48">
        <v>33601</v>
      </c>
      <c r="I112" s="48">
        <v>67649</v>
      </c>
      <c r="J112" s="48" t="s">
        <v>252</v>
      </c>
      <c r="K112" s="48">
        <v>61</v>
      </c>
      <c r="L112" s="43" t="s">
        <v>82</v>
      </c>
      <c r="M112" s="41" t="s">
        <v>364</v>
      </c>
      <c r="N112" s="43" t="s">
        <v>62</v>
      </c>
      <c r="O112" s="43"/>
      <c r="P112" s="44"/>
      <c r="Q112" s="43"/>
      <c r="R112" s="43" t="s">
        <v>2</v>
      </c>
      <c r="S112" s="45">
        <v>44593</v>
      </c>
      <c r="T112" s="58" t="str">
        <f>IF(Tableau1[[#This Row],[DMS_SAP]]="","",HYPERLINK(Tableau1[[#This Row],[Chemin fichier source]],"X"))</f>
        <v/>
      </c>
      <c r="U112" s="58" t="str">
        <f>IF(Tableau1[[#This Row],[Date rév.]]="","",HYPERLINK(Tableau1[[#This Row],[Lien document]],"X"))</f>
        <v/>
      </c>
      <c r="V112" s="44"/>
      <c r="W112"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\T040-P040_33601.pdf</v>
      </c>
      <c r="X112" s="44">
        <v>2</v>
      </c>
      <c r="Y112" s="44">
        <v>2</v>
      </c>
      <c r="Z112" s="41" t="str">
        <f ca="1">IF(AND(Tableau1[[#This Row],[Charge]]&lt;&gt;0, Tableau1[[#This Row],[Nombre intervenants]]&lt;&gt;0,Tableau1[[#This Row],[Lien document]]&lt;&gt;0,Tableau1[[#This Row],[DMS_SAP]]&lt;&gt;0)=TRUE,"MIS A JOUR","")</f>
        <v/>
      </c>
      <c r="AA112" s="45"/>
      <c r="AB112" s="55" t="str">
        <f ca="1">IF(Tableau1[[#This Row],[Date rév.]]&lt;&gt;"", DAYS360(Tableau1[[#This Row],[Date rév.]],TODAY()),"")</f>
        <v/>
      </c>
      <c r="AC112" s="47">
        <f>IFERROR(INDEX(Chemin_accès!$B$11:$C$22,MATCH(Tableau1[[#This Row],[Type]],Chemin_accès!$C$11:$C$22,0),1),Chemin_accès!$B$11)</f>
        <v>0</v>
      </c>
      <c r="AD112" s="47" t="str">
        <f>Chemin_accès!$B$8&amp;Tableau1[[#This Row],[Localisation / Classement]]&amp;"\"&amp;Tableau1[[#This Row],[Poste technique]]&amp;"_"&amp;Tableau1[[#This Row],[Plan Entretien]]&amp;".xlsm"</f>
        <v>20KV POSTES ELECTRIQUES \T040-P040_33601.xlsm</v>
      </c>
    </row>
    <row r="113" spans="1:30" x14ac:dyDescent="0.3">
      <c r="A113" s="41" t="str">
        <f t="shared" ca="1" si="1"/>
        <v>7.MNRJ</v>
      </c>
      <c r="B1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3" s="60"/>
      <c r="D113" s="41" t="s">
        <v>440</v>
      </c>
      <c r="E113" s="41" t="s">
        <v>135</v>
      </c>
      <c r="F113" s="44" t="s">
        <v>206</v>
      </c>
      <c r="G113" s="44" t="s">
        <v>207</v>
      </c>
      <c r="H113" s="48">
        <v>33601</v>
      </c>
      <c r="I113" s="48">
        <v>67612</v>
      </c>
      <c r="J113" s="48" t="s">
        <v>252</v>
      </c>
      <c r="K113" s="48">
        <v>84</v>
      </c>
      <c r="L113" s="43" t="s">
        <v>446</v>
      </c>
      <c r="M113" s="41" t="s">
        <v>365</v>
      </c>
      <c r="N113" s="43" t="s">
        <v>62</v>
      </c>
      <c r="O113" s="43"/>
      <c r="P113" s="44"/>
      <c r="Q113" s="43"/>
      <c r="R113" s="43" t="s">
        <v>2</v>
      </c>
      <c r="S113" s="45">
        <v>44593</v>
      </c>
      <c r="T113" s="58" t="str">
        <f>IF(Tableau1[[#This Row],[DMS_SAP]]="","",HYPERLINK(Tableau1[[#This Row],[Chemin fichier source]],"X"))</f>
        <v/>
      </c>
      <c r="U113" s="58" t="str">
        <f>IF(Tableau1[[#This Row],[Date rév.]]="","",HYPERLINK(Tableau1[[#This Row],[Lien document]],"X"))</f>
        <v/>
      </c>
      <c r="V113" s="44"/>
      <c r="W113"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\T040-P040_33601.pdf</v>
      </c>
      <c r="X113" s="44">
        <v>24</v>
      </c>
      <c r="Y113" s="44">
        <v>2</v>
      </c>
      <c r="Z113" s="41" t="str">
        <f ca="1">IF(AND(Tableau1[[#This Row],[Charge]]&lt;&gt;0, Tableau1[[#This Row],[Nombre intervenants]]&lt;&gt;0,Tableau1[[#This Row],[Lien document]]&lt;&gt;0,Tableau1[[#This Row],[DMS_SAP]]&lt;&gt;0)=TRUE,"MIS A JOUR","")</f>
        <v/>
      </c>
      <c r="AA113" s="45"/>
      <c r="AB113" s="55" t="str">
        <f ca="1">IF(Tableau1[[#This Row],[Date rév.]]&lt;&gt;"", DAYS360(Tableau1[[#This Row],[Date rév.]],TODAY()),"")</f>
        <v/>
      </c>
      <c r="AC113" s="47">
        <f>IFERROR(INDEX(Chemin_accès!$B$11:$C$22,MATCH(Tableau1[[#This Row],[Type]],Chemin_accès!$C$11:$C$22,0),1),Chemin_accès!$B$11)</f>
        <v>0</v>
      </c>
      <c r="AD113" s="47" t="str">
        <f>Chemin_accès!$B$8&amp;Tableau1[[#This Row],[Localisation / Classement]]&amp;"\"&amp;Tableau1[[#This Row],[Poste technique]]&amp;"_"&amp;Tableau1[[#This Row],[Plan Entretien]]&amp;".xlsm"</f>
        <v>20KV POSTES ELECTRIQUES \T040-P040_33601.xlsm</v>
      </c>
    </row>
    <row r="114" spans="1:30" x14ac:dyDescent="0.3">
      <c r="A114" s="41" t="str">
        <f t="shared" ca="1" si="1"/>
        <v>7.MNRJ</v>
      </c>
      <c r="B1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4" s="60"/>
      <c r="D114" s="41" t="s">
        <v>440</v>
      </c>
      <c r="E114" s="41" t="s">
        <v>135</v>
      </c>
      <c r="F114" s="44" t="s">
        <v>208</v>
      </c>
      <c r="G114" s="44" t="s">
        <v>209</v>
      </c>
      <c r="H114" s="48">
        <v>33601</v>
      </c>
      <c r="I114" s="48">
        <v>68964</v>
      </c>
      <c r="J114" s="48" t="s">
        <v>253</v>
      </c>
      <c r="K114" s="48">
        <v>1</v>
      </c>
      <c r="L114" s="43" t="s">
        <v>446</v>
      </c>
      <c r="M114" s="41" t="s">
        <v>366</v>
      </c>
      <c r="N114" s="43" t="s">
        <v>62</v>
      </c>
      <c r="O114" s="43"/>
      <c r="P114" s="44"/>
      <c r="Q114" s="43"/>
      <c r="R114" s="43" t="s">
        <v>2</v>
      </c>
      <c r="S114" s="45">
        <v>44593</v>
      </c>
      <c r="T114" s="58" t="str">
        <f>IF(Tableau1[[#This Row],[DMS_SAP]]="","",HYPERLINK(Tableau1[[#This Row],[Chemin fichier source]],"X"))</f>
        <v/>
      </c>
      <c r="U114" s="58" t="str">
        <f>IF(Tableau1[[#This Row],[Date rév.]]="","",HYPERLINK(Tableau1[[#This Row],[Lien document]],"X"))</f>
        <v/>
      </c>
      <c r="V114" s="44"/>
      <c r="W114"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\T040-P050_33601.pdf</v>
      </c>
      <c r="X114" s="44">
        <v>8</v>
      </c>
      <c r="Y114" s="44">
        <v>2</v>
      </c>
      <c r="Z114" s="41" t="str">
        <f ca="1">IF(AND(Tableau1[[#This Row],[Charge]]&lt;&gt;0, Tableau1[[#This Row],[Nombre intervenants]]&lt;&gt;0,Tableau1[[#This Row],[Lien document]]&lt;&gt;0,Tableau1[[#This Row],[DMS_SAP]]&lt;&gt;0)=TRUE,"MIS A JOUR","")</f>
        <v/>
      </c>
      <c r="AA114" s="45"/>
      <c r="AB114" s="55" t="str">
        <f ca="1">IF(Tableau1[[#This Row],[Date rév.]]&lt;&gt;"", DAYS360(Tableau1[[#This Row],[Date rév.]],TODAY()),"")</f>
        <v/>
      </c>
      <c r="AC114" s="47">
        <f>IFERROR(INDEX(Chemin_accès!$B$11:$C$22,MATCH(Tableau1[[#This Row],[Type]],Chemin_accès!$C$11:$C$22,0),1),Chemin_accès!$B$11)</f>
        <v>0</v>
      </c>
      <c r="AD114" s="47" t="str">
        <f>Chemin_accès!$B$8&amp;Tableau1[[#This Row],[Localisation / Classement]]&amp;"\"&amp;Tableau1[[#This Row],[Poste technique]]&amp;"_"&amp;Tableau1[[#This Row],[Plan Entretien]]&amp;".xlsm"</f>
        <v>20KV POSTES ELECTRIQUES \T040-P050_33601.xlsm</v>
      </c>
    </row>
    <row r="115" spans="1:30" x14ac:dyDescent="0.3">
      <c r="A115" s="41" t="str">
        <f t="shared" ca="1" si="1"/>
        <v>7.MNRJ</v>
      </c>
      <c r="B1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5" s="43"/>
      <c r="D115" s="41" t="s">
        <v>440</v>
      </c>
      <c r="E115" s="41" t="s">
        <v>135</v>
      </c>
      <c r="F115" s="44" t="s">
        <v>208</v>
      </c>
      <c r="G115" s="44" t="s">
        <v>209</v>
      </c>
      <c r="H115" s="48">
        <v>33601</v>
      </c>
      <c r="I115" s="48">
        <v>68985</v>
      </c>
      <c r="J115" s="48" t="s">
        <v>253</v>
      </c>
      <c r="K115" s="48">
        <v>26</v>
      </c>
      <c r="L115" s="43" t="s">
        <v>82</v>
      </c>
      <c r="M115" s="41" t="s">
        <v>367</v>
      </c>
      <c r="N115" s="43" t="s">
        <v>62</v>
      </c>
      <c r="O115" s="43"/>
      <c r="P115" s="44"/>
      <c r="Q115" s="43"/>
      <c r="R115" s="43" t="s">
        <v>2</v>
      </c>
      <c r="S115" s="45">
        <v>44593</v>
      </c>
      <c r="T115" s="58" t="str">
        <f>IF(Tableau1[[#This Row],[DMS_SAP]]="","",HYPERLINK(Tableau1[[#This Row],[Chemin fichier source]],"X"))</f>
        <v/>
      </c>
      <c r="U115" s="58" t="str">
        <f>IF(Tableau1[[#This Row],[Date rév.]]="","",HYPERLINK(Tableau1[[#This Row],[Lien document]],"X"))</f>
        <v/>
      </c>
      <c r="V115" s="44"/>
      <c r="W11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\T040-P050_33601.pdf</v>
      </c>
      <c r="X115" s="44">
        <v>2</v>
      </c>
      <c r="Y115" s="44">
        <v>2</v>
      </c>
      <c r="Z115" s="41" t="str">
        <f ca="1">IF(AND(Tableau1[[#This Row],[Charge]]&lt;&gt;0, Tableau1[[#This Row],[Nombre intervenants]]&lt;&gt;0,Tableau1[[#This Row],[Lien document]]&lt;&gt;0,Tableau1[[#This Row],[DMS_SAP]]&lt;&gt;0)=TRUE,"MIS A JOUR","")</f>
        <v/>
      </c>
      <c r="AA115" s="45"/>
      <c r="AB115" s="55" t="str">
        <f ca="1">IF(Tableau1[[#This Row],[Date rév.]]&lt;&gt;"", DAYS360(Tableau1[[#This Row],[Date rév.]],TODAY()),"")</f>
        <v/>
      </c>
      <c r="AC115" s="47">
        <f>IFERROR(INDEX(Chemin_accès!$B$11:$C$22,MATCH(Tableau1[[#This Row],[Type]],Chemin_accès!$C$11:$C$22,0),1),Chemin_accès!$B$11)</f>
        <v>0</v>
      </c>
      <c r="AD115" s="47" t="str">
        <f>Chemin_accès!$B$8&amp;Tableau1[[#This Row],[Localisation / Classement]]&amp;"\"&amp;Tableau1[[#This Row],[Poste technique]]&amp;"_"&amp;Tableau1[[#This Row],[Plan Entretien]]&amp;".xlsm"</f>
        <v>20KV POSTES ELECTRIQUES \T040-P050_33601.xlsm</v>
      </c>
    </row>
    <row r="116" spans="1:30" x14ac:dyDescent="0.3">
      <c r="A116" s="41" t="str">
        <f t="shared" ca="1" si="1"/>
        <v>7.MNRJ</v>
      </c>
      <c r="B1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6" s="43"/>
      <c r="D116" s="41" t="s">
        <v>440</v>
      </c>
      <c r="E116" s="41" t="s">
        <v>135</v>
      </c>
      <c r="F116" s="44" t="s">
        <v>208</v>
      </c>
      <c r="G116" s="44" t="s">
        <v>209</v>
      </c>
      <c r="H116" s="48">
        <v>33601</v>
      </c>
      <c r="I116" s="48">
        <v>69164</v>
      </c>
      <c r="J116" s="48" t="s">
        <v>253</v>
      </c>
      <c r="K116" s="48">
        <v>82</v>
      </c>
      <c r="L116" s="43" t="s">
        <v>41</v>
      </c>
      <c r="M116" s="41" t="s">
        <v>368</v>
      </c>
      <c r="N116" s="43" t="s">
        <v>62</v>
      </c>
      <c r="O116" s="43"/>
      <c r="P116" s="44"/>
      <c r="Q116" s="43"/>
      <c r="R116" s="43" t="s">
        <v>2</v>
      </c>
      <c r="S116" s="45">
        <v>44593</v>
      </c>
      <c r="T116" s="58" t="str">
        <f>IF(Tableau1[[#This Row],[DMS_SAP]]="","",HYPERLINK(Tableau1[[#This Row],[Chemin fichier source]],"X"))</f>
        <v/>
      </c>
      <c r="U116" s="58" t="str">
        <f>IF(Tableau1[[#This Row],[Date rév.]]="","",HYPERLINK(Tableau1[[#This Row],[Lien document]],"X"))</f>
        <v/>
      </c>
      <c r="V116" s="44"/>
      <c r="W11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\T040-P050_33601.pdf</v>
      </c>
      <c r="X116" s="44">
        <v>16</v>
      </c>
      <c r="Y116" s="44">
        <v>2</v>
      </c>
      <c r="Z116" s="41" t="str">
        <f ca="1">IF(AND(Tableau1[[#This Row],[Charge]]&lt;&gt;0, Tableau1[[#This Row],[Nombre intervenants]]&lt;&gt;0,Tableau1[[#This Row],[Lien document]]&lt;&gt;0,Tableau1[[#This Row],[DMS_SAP]]&lt;&gt;0)=TRUE,"MIS A JOUR","")</f>
        <v/>
      </c>
      <c r="AA116" s="45"/>
      <c r="AB116" s="55" t="str">
        <f ca="1">IF(Tableau1[[#This Row],[Date rév.]]&lt;&gt;"", DAYS360(Tableau1[[#This Row],[Date rév.]],TODAY()),"")</f>
        <v/>
      </c>
      <c r="AC116" s="47">
        <f>IFERROR(INDEX(Chemin_accès!$B$11:$C$22,MATCH(Tableau1[[#This Row],[Type]],Chemin_accès!$C$11:$C$22,0),1),Chemin_accès!$B$11)</f>
        <v>0</v>
      </c>
      <c r="AD116" s="47" t="str">
        <f>Chemin_accès!$B$8&amp;Tableau1[[#This Row],[Localisation / Classement]]&amp;"\"&amp;Tableau1[[#This Row],[Poste technique]]&amp;"_"&amp;Tableau1[[#This Row],[Plan Entretien]]&amp;".xlsm"</f>
        <v>20KV POSTES ELECTRIQUES \T040-P050_33601.xlsm</v>
      </c>
    </row>
    <row r="117" spans="1:30" x14ac:dyDescent="0.3">
      <c r="A117" s="41" t="str">
        <f t="shared" ca="1" si="1"/>
        <v>7.MNRJ</v>
      </c>
      <c r="B1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7" s="43"/>
      <c r="D117" s="41" t="s">
        <v>440</v>
      </c>
      <c r="E117" s="41" t="s">
        <v>135</v>
      </c>
      <c r="F117" s="44" t="s">
        <v>208</v>
      </c>
      <c r="G117" s="44" t="s">
        <v>209</v>
      </c>
      <c r="H117" s="48">
        <v>33601</v>
      </c>
      <c r="I117" s="48">
        <v>68947</v>
      </c>
      <c r="J117" s="48" t="s">
        <v>252</v>
      </c>
      <c r="K117" s="48">
        <v>85</v>
      </c>
      <c r="L117" s="43" t="s">
        <v>446</v>
      </c>
      <c r="M117" s="41" t="s">
        <v>369</v>
      </c>
      <c r="N117" s="43" t="s">
        <v>62</v>
      </c>
      <c r="O117" s="43"/>
      <c r="P117" s="44"/>
      <c r="Q117" s="43"/>
      <c r="R117" s="43" t="s">
        <v>2</v>
      </c>
      <c r="S117" s="45">
        <v>44593</v>
      </c>
      <c r="T117" s="58" t="str">
        <f>IF(Tableau1[[#This Row],[DMS_SAP]]="","",HYPERLINK(Tableau1[[#This Row],[Chemin fichier source]],"X"))</f>
        <v/>
      </c>
      <c r="U117" s="58" t="str">
        <f>IF(Tableau1[[#This Row],[Date rév.]]="","",HYPERLINK(Tableau1[[#This Row],[Lien document]],"X"))</f>
        <v/>
      </c>
      <c r="V117" s="44"/>
      <c r="W117"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\T040-P050_33601.pdf</v>
      </c>
      <c r="X117" s="44">
        <v>64</v>
      </c>
      <c r="Y117" s="44">
        <v>2</v>
      </c>
      <c r="Z117" s="41" t="str">
        <f ca="1">IF(AND(Tableau1[[#This Row],[Charge]]&lt;&gt;0, Tableau1[[#This Row],[Nombre intervenants]]&lt;&gt;0,Tableau1[[#This Row],[Lien document]]&lt;&gt;0,Tableau1[[#This Row],[DMS_SAP]]&lt;&gt;0)=TRUE,"MIS A JOUR","")</f>
        <v/>
      </c>
      <c r="AA117" s="45"/>
      <c r="AB117" s="55" t="str">
        <f ca="1">IF(Tableau1[[#This Row],[Date rév.]]&lt;&gt;"", DAYS360(Tableau1[[#This Row],[Date rév.]],TODAY()),"")</f>
        <v/>
      </c>
      <c r="AC117" s="47">
        <f>IFERROR(INDEX(Chemin_accès!$B$11:$C$22,MATCH(Tableau1[[#This Row],[Type]],Chemin_accès!$C$11:$C$22,0),1),Chemin_accès!$B$11)</f>
        <v>0</v>
      </c>
      <c r="AD117" s="47" t="str">
        <f>Chemin_accès!$B$8&amp;Tableau1[[#This Row],[Localisation / Classement]]&amp;"\"&amp;Tableau1[[#This Row],[Poste technique]]&amp;"_"&amp;Tableau1[[#This Row],[Plan Entretien]]&amp;".xlsm"</f>
        <v>20KV POSTES ELECTRIQUES \T040-P050_33601.xlsm</v>
      </c>
    </row>
    <row r="118" spans="1:30" x14ac:dyDescent="0.3">
      <c r="A118" s="41" t="str">
        <f t="shared" ca="1" si="1"/>
        <v>7.MNRJ</v>
      </c>
      <c r="B1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8" s="43"/>
      <c r="D118" s="41" t="s">
        <v>440</v>
      </c>
      <c r="E118" s="41" t="s">
        <v>135</v>
      </c>
      <c r="F118" s="41" t="s">
        <v>210</v>
      </c>
      <c r="G118" s="41" t="s">
        <v>211</v>
      </c>
      <c r="H118" s="48">
        <v>33601</v>
      </c>
      <c r="I118" s="48">
        <v>68976</v>
      </c>
      <c r="J118" s="48" t="s">
        <v>253</v>
      </c>
      <c r="K118" s="48">
        <v>17</v>
      </c>
      <c r="L118" s="43" t="s">
        <v>82</v>
      </c>
      <c r="M118" s="41" t="s">
        <v>370</v>
      </c>
      <c r="N118" s="43" t="s">
        <v>62</v>
      </c>
      <c r="O118" s="43"/>
      <c r="P118" s="44"/>
      <c r="Q118" s="43"/>
      <c r="R118" s="43" t="s">
        <v>2</v>
      </c>
      <c r="S118" s="45">
        <v>44593</v>
      </c>
      <c r="T118" s="58" t="str">
        <f>IF(Tableau1[[#This Row],[DMS_SAP]]="","",HYPERLINK(Tableau1[[#This Row],[Chemin fichier source]],"X"))</f>
        <v/>
      </c>
      <c r="U118" s="58" t="str">
        <f>IF(Tableau1[[#This Row],[Date rév.]]="","",HYPERLINK(Tableau1[[#This Row],[Lien document]],"X"))</f>
        <v/>
      </c>
      <c r="V118" s="44"/>
      <c r="W118"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\T040-P060_33601.pdf</v>
      </c>
      <c r="X118" s="44">
        <v>4</v>
      </c>
      <c r="Y118" s="44">
        <v>2</v>
      </c>
      <c r="Z118" s="41" t="str">
        <f ca="1">IF(AND(Tableau1[[#This Row],[Charge]]&lt;&gt;0, Tableau1[[#This Row],[Nombre intervenants]]&lt;&gt;0,Tableau1[[#This Row],[Lien document]]&lt;&gt;0,Tableau1[[#This Row],[DMS_SAP]]&lt;&gt;0)=TRUE,"MIS A JOUR","")</f>
        <v/>
      </c>
      <c r="AA118" s="45"/>
      <c r="AB118" s="55" t="str">
        <f ca="1">IF(Tableau1[[#This Row],[Date rév.]]&lt;&gt;"", DAYS360(Tableau1[[#This Row],[Date rév.]],TODAY()),"")</f>
        <v/>
      </c>
      <c r="AC118" s="47">
        <f>IFERROR(INDEX(Chemin_accès!$B$11:$C$22,MATCH(Tableau1[[#This Row],[Type]],Chemin_accès!$C$11:$C$22,0),1),Chemin_accès!$B$11)</f>
        <v>0</v>
      </c>
      <c r="AD118" s="47" t="str">
        <f>Chemin_accès!$B$8&amp;Tableau1[[#This Row],[Localisation / Classement]]&amp;"\"&amp;Tableau1[[#This Row],[Poste technique]]&amp;"_"&amp;Tableau1[[#This Row],[Plan Entretien]]&amp;".xlsm"</f>
        <v>20KV POSTES ELECTRIQUES \T040-P060_33601.xlsm</v>
      </c>
    </row>
    <row r="119" spans="1:30" x14ac:dyDescent="0.3">
      <c r="A119" s="41" t="str">
        <f t="shared" ca="1" si="1"/>
        <v>7.MNRJ</v>
      </c>
      <c r="B1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9" s="43"/>
      <c r="D119" s="41" t="s">
        <v>440</v>
      </c>
      <c r="E119" s="41" t="s">
        <v>135</v>
      </c>
      <c r="F119" s="44" t="s">
        <v>210</v>
      </c>
      <c r="G119" s="44" t="s">
        <v>211</v>
      </c>
      <c r="H119" s="48">
        <v>33601</v>
      </c>
      <c r="I119" s="48">
        <v>68980</v>
      </c>
      <c r="J119" s="48" t="s">
        <v>253</v>
      </c>
      <c r="K119" s="48">
        <v>21</v>
      </c>
      <c r="L119" s="43" t="s">
        <v>82</v>
      </c>
      <c r="M119" s="41" t="s">
        <v>371</v>
      </c>
      <c r="N119" s="43" t="s">
        <v>62</v>
      </c>
      <c r="O119" s="43"/>
      <c r="P119" s="44"/>
      <c r="Q119" s="43"/>
      <c r="R119" s="43" t="s">
        <v>2</v>
      </c>
      <c r="S119" s="45">
        <v>44593</v>
      </c>
      <c r="T119" s="58" t="str">
        <f>IF(Tableau1[[#This Row],[DMS_SAP]]="","",HYPERLINK(Tableau1[[#This Row],[Chemin fichier source]],"X"))</f>
        <v/>
      </c>
      <c r="U119" s="58" t="str">
        <f>IF(Tableau1[[#This Row],[Date rév.]]="","",HYPERLINK(Tableau1[[#This Row],[Lien document]],"X"))</f>
        <v/>
      </c>
      <c r="V119" s="44"/>
      <c r="W119"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\T040-P060_33601.pdf</v>
      </c>
      <c r="X119" s="44">
        <v>2</v>
      </c>
      <c r="Y119" s="44">
        <v>2</v>
      </c>
      <c r="Z119" s="41" t="str">
        <f ca="1">IF(AND(Tableau1[[#This Row],[Charge]]&lt;&gt;0, Tableau1[[#This Row],[Nombre intervenants]]&lt;&gt;0,Tableau1[[#This Row],[Lien document]]&lt;&gt;0,Tableau1[[#This Row],[DMS_SAP]]&lt;&gt;0)=TRUE,"MIS A JOUR","")</f>
        <v/>
      </c>
      <c r="AA119" s="45"/>
      <c r="AB119" s="55" t="str">
        <f ca="1">IF(Tableau1[[#This Row],[Date rév.]]&lt;&gt;"", DAYS360(Tableau1[[#This Row],[Date rév.]],TODAY()),"")</f>
        <v/>
      </c>
      <c r="AC119" s="47">
        <f>IFERROR(INDEX(Chemin_accès!$B$11:$C$22,MATCH(Tableau1[[#This Row],[Type]],Chemin_accès!$C$11:$C$22,0),1),Chemin_accès!$B$11)</f>
        <v>0</v>
      </c>
      <c r="AD119" s="47" t="str">
        <f>Chemin_accès!$B$8&amp;Tableau1[[#This Row],[Localisation / Classement]]&amp;"\"&amp;Tableau1[[#This Row],[Poste technique]]&amp;"_"&amp;Tableau1[[#This Row],[Plan Entretien]]&amp;".xlsm"</f>
        <v>20KV POSTES ELECTRIQUES \T040-P060_33601.xlsm</v>
      </c>
    </row>
    <row r="120" spans="1:30" x14ac:dyDescent="0.3">
      <c r="A120" s="41" t="str">
        <f t="shared" ca="1" si="1"/>
        <v>7.MNRJ</v>
      </c>
      <c r="B1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0" s="43"/>
      <c r="D120" s="41" t="s">
        <v>440</v>
      </c>
      <c r="E120" s="41" t="s">
        <v>135</v>
      </c>
      <c r="F120" s="41" t="s">
        <v>210</v>
      </c>
      <c r="G120" s="41" t="s">
        <v>211</v>
      </c>
      <c r="H120" s="48">
        <v>33601</v>
      </c>
      <c r="I120" s="48">
        <v>69071</v>
      </c>
      <c r="J120" s="48" t="s">
        <v>253</v>
      </c>
      <c r="K120" s="48">
        <v>75</v>
      </c>
      <c r="L120" s="43" t="s">
        <v>41</v>
      </c>
      <c r="M120" s="41" t="s">
        <v>372</v>
      </c>
      <c r="N120" s="43" t="s">
        <v>62</v>
      </c>
      <c r="O120" s="43"/>
      <c r="P120" s="44"/>
      <c r="Q120" s="43"/>
      <c r="R120" s="43" t="s">
        <v>2</v>
      </c>
      <c r="S120" s="45">
        <v>44593</v>
      </c>
      <c r="T120" s="58" t="str">
        <f>IF(Tableau1[[#This Row],[DMS_SAP]]="","",HYPERLINK(Tableau1[[#This Row],[Chemin fichier source]],"X"))</f>
        <v/>
      </c>
      <c r="U120" s="58" t="str">
        <f>IF(Tableau1[[#This Row],[Date rév.]]="","",HYPERLINK(Tableau1[[#This Row],[Lien document]],"X"))</f>
        <v/>
      </c>
      <c r="V120" s="44"/>
      <c r="W120"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\T040-P060_33601.pdf</v>
      </c>
      <c r="X120" s="44">
        <v>12</v>
      </c>
      <c r="Y120" s="44">
        <v>2</v>
      </c>
      <c r="Z120" s="41" t="str">
        <f ca="1">IF(AND(Tableau1[[#This Row],[Charge]]&lt;&gt;0, Tableau1[[#This Row],[Nombre intervenants]]&lt;&gt;0,Tableau1[[#This Row],[Lien document]]&lt;&gt;0,Tableau1[[#This Row],[DMS_SAP]]&lt;&gt;0)=TRUE,"MIS A JOUR","")</f>
        <v/>
      </c>
      <c r="AA120" s="45"/>
      <c r="AB120" s="55" t="str">
        <f ca="1">IF(Tableau1[[#This Row],[Date rév.]]&lt;&gt;"", DAYS360(Tableau1[[#This Row],[Date rév.]],TODAY()),"")</f>
        <v/>
      </c>
      <c r="AC120" s="47">
        <f>IFERROR(INDEX(Chemin_accès!$B$11:$C$22,MATCH(Tableau1[[#This Row],[Type]],Chemin_accès!$C$11:$C$22,0),1),Chemin_accès!$B$11)</f>
        <v>0</v>
      </c>
      <c r="AD120" s="47" t="str">
        <f>Chemin_accès!$B$8&amp;Tableau1[[#This Row],[Localisation / Classement]]&amp;"\"&amp;Tableau1[[#This Row],[Poste technique]]&amp;"_"&amp;Tableau1[[#This Row],[Plan Entretien]]&amp;".xlsm"</f>
        <v>20KV POSTES ELECTRIQUES \T040-P060_33601.xlsm</v>
      </c>
    </row>
    <row r="121" spans="1:30" x14ac:dyDescent="0.3">
      <c r="A121" s="41" t="str">
        <f t="shared" ca="1" si="1"/>
        <v>7.MNRJ</v>
      </c>
      <c r="B1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1" s="43"/>
      <c r="D121" s="41" t="s">
        <v>440</v>
      </c>
      <c r="E121" s="41" t="s">
        <v>135</v>
      </c>
      <c r="F121" s="44" t="s">
        <v>210</v>
      </c>
      <c r="G121" s="44" t="s">
        <v>211</v>
      </c>
      <c r="H121" s="48">
        <v>33601</v>
      </c>
      <c r="I121" s="48">
        <v>68936</v>
      </c>
      <c r="J121" s="48" t="s">
        <v>252</v>
      </c>
      <c r="K121" s="48">
        <v>73</v>
      </c>
      <c r="L121" s="43" t="s">
        <v>446</v>
      </c>
      <c r="M121" s="41" t="s">
        <v>373</v>
      </c>
      <c r="N121" s="43" t="s">
        <v>62</v>
      </c>
      <c r="O121" s="43"/>
      <c r="P121" s="44"/>
      <c r="Q121" s="43"/>
      <c r="R121" s="43" t="s">
        <v>2</v>
      </c>
      <c r="S121" s="45">
        <v>44593</v>
      </c>
      <c r="T121" s="58" t="str">
        <f>IF(Tableau1[[#This Row],[DMS_SAP]]="","",HYPERLINK(Tableau1[[#This Row],[Chemin fichier source]],"X"))</f>
        <v/>
      </c>
      <c r="U121" s="58" t="str">
        <f>IF(Tableau1[[#This Row],[Date rév.]]="","",HYPERLINK(Tableau1[[#This Row],[Lien document]],"X"))</f>
        <v/>
      </c>
      <c r="V121" s="44"/>
      <c r="W121"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\T040-P060_33601.pdf</v>
      </c>
      <c r="X121" s="44">
        <v>48</v>
      </c>
      <c r="Y121" s="44">
        <v>2</v>
      </c>
      <c r="Z121" s="41" t="str">
        <f ca="1">IF(AND(Tableau1[[#This Row],[Charge]]&lt;&gt;0, Tableau1[[#This Row],[Nombre intervenants]]&lt;&gt;0,Tableau1[[#This Row],[Lien document]]&lt;&gt;0,Tableau1[[#This Row],[DMS_SAP]]&lt;&gt;0)=TRUE,"MIS A JOUR","")</f>
        <v/>
      </c>
      <c r="AA121" s="45"/>
      <c r="AB121" s="55" t="str">
        <f ca="1">IF(Tableau1[[#This Row],[Date rév.]]&lt;&gt;"", DAYS360(Tableau1[[#This Row],[Date rév.]],TODAY()),"")</f>
        <v/>
      </c>
      <c r="AC121" s="47">
        <f>IFERROR(INDEX(Chemin_accès!$B$11:$C$22,MATCH(Tableau1[[#This Row],[Type]],Chemin_accès!$C$11:$C$22,0),1),Chemin_accès!$B$11)</f>
        <v>0</v>
      </c>
      <c r="AD121" s="47" t="str">
        <f>Chemin_accès!$B$8&amp;Tableau1[[#This Row],[Localisation / Classement]]&amp;"\"&amp;Tableau1[[#This Row],[Poste technique]]&amp;"_"&amp;Tableau1[[#This Row],[Plan Entretien]]&amp;".xlsm"</f>
        <v>20KV POSTES ELECTRIQUES \T040-P060_33601.xlsm</v>
      </c>
    </row>
    <row r="122" spans="1:30" x14ac:dyDescent="0.3">
      <c r="A122" s="41" t="str">
        <f t="shared" ca="1" si="1"/>
        <v>7.MNRJ</v>
      </c>
      <c r="B1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2" s="43"/>
      <c r="D122" s="41" t="s">
        <v>440</v>
      </c>
      <c r="E122" s="41" t="s">
        <v>135</v>
      </c>
      <c r="F122" s="44" t="s">
        <v>210</v>
      </c>
      <c r="G122" s="44" t="s">
        <v>211</v>
      </c>
      <c r="H122" s="48">
        <v>33601</v>
      </c>
      <c r="I122" s="48">
        <v>68951</v>
      </c>
      <c r="J122" s="48" t="s">
        <v>252</v>
      </c>
      <c r="K122" s="48">
        <v>88</v>
      </c>
      <c r="L122" s="43" t="s">
        <v>446</v>
      </c>
      <c r="M122" s="41" t="s">
        <v>374</v>
      </c>
      <c r="N122" s="43" t="s">
        <v>62</v>
      </c>
      <c r="O122" s="43"/>
      <c r="P122" s="44"/>
      <c r="Q122" s="43"/>
      <c r="R122" s="43" t="s">
        <v>2</v>
      </c>
      <c r="S122" s="45">
        <v>44593</v>
      </c>
      <c r="T122" s="58" t="str">
        <f>IF(Tableau1[[#This Row],[DMS_SAP]]="","",HYPERLINK(Tableau1[[#This Row],[Chemin fichier source]],"X"))</f>
        <v/>
      </c>
      <c r="U122" s="58" t="str">
        <f>IF(Tableau1[[#This Row],[Date rév.]]="","",HYPERLINK(Tableau1[[#This Row],[Lien document]],"X"))</f>
        <v/>
      </c>
      <c r="V122" s="44"/>
      <c r="W122"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\T040-P060_33601.pdf</v>
      </c>
      <c r="X122" s="44">
        <v>12</v>
      </c>
      <c r="Y122" s="44">
        <v>2</v>
      </c>
      <c r="Z122" s="41" t="str">
        <f ca="1">IF(AND(Tableau1[[#This Row],[Charge]]&lt;&gt;0, Tableau1[[#This Row],[Nombre intervenants]]&lt;&gt;0,Tableau1[[#This Row],[Lien document]]&lt;&gt;0,Tableau1[[#This Row],[DMS_SAP]]&lt;&gt;0)=TRUE,"MIS A JOUR","")</f>
        <v/>
      </c>
      <c r="AA122" s="45"/>
      <c r="AB122" s="55" t="str">
        <f ca="1">IF(Tableau1[[#This Row],[Date rév.]]&lt;&gt;"", DAYS360(Tableau1[[#This Row],[Date rév.]],TODAY()),"")</f>
        <v/>
      </c>
      <c r="AC122" s="47">
        <f>IFERROR(INDEX(Chemin_accès!$B$11:$C$22,MATCH(Tableau1[[#This Row],[Type]],Chemin_accès!$C$11:$C$22,0),1),Chemin_accès!$B$11)</f>
        <v>0</v>
      </c>
      <c r="AD122" s="47" t="str">
        <f>Chemin_accès!$B$8&amp;Tableau1[[#This Row],[Localisation / Classement]]&amp;"\"&amp;Tableau1[[#This Row],[Poste technique]]&amp;"_"&amp;Tableau1[[#This Row],[Plan Entretien]]&amp;".xlsm"</f>
        <v>20KV POSTES ELECTRIQUES \T040-P060_33601.xlsm</v>
      </c>
    </row>
    <row r="123" spans="1:30" x14ac:dyDescent="0.3">
      <c r="A123" s="41" t="str">
        <f t="shared" ca="1" si="1"/>
        <v>7.MNRJ</v>
      </c>
      <c r="B1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3" s="43"/>
      <c r="D123" s="41" t="s">
        <v>440</v>
      </c>
      <c r="E123" s="41" t="s">
        <v>135</v>
      </c>
      <c r="F123" s="44" t="s">
        <v>212</v>
      </c>
      <c r="G123" s="44" t="s">
        <v>213</v>
      </c>
      <c r="H123" s="48">
        <v>33601</v>
      </c>
      <c r="I123" s="48">
        <v>68990</v>
      </c>
      <c r="J123" s="48" t="s">
        <v>253</v>
      </c>
      <c r="K123" s="48">
        <v>31</v>
      </c>
      <c r="L123" s="43" t="s">
        <v>82</v>
      </c>
      <c r="M123" s="44" t="s">
        <v>375</v>
      </c>
      <c r="N123" s="43" t="s">
        <v>62</v>
      </c>
      <c r="O123" s="43"/>
      <c r="P123" s="44"/>
      <c r="Q123" s="43"/>
      <c r="R123" s="43" t="s">
        <v>2</v>
      </c>
      <c r="S123" s="45">
        <v>44593</v>
      </c>
      <c r="T123" s="58" t="str">
        <f>IF(Tableau1[[#This Row],[DMS_SAP]]="","",HYPERLINK(Tableau1[[#This Row],[Chemin fichier source]],"X"))</f>
        <v/>
      </c>
      <c r="U123" s="58" t="str">
        <f>IF(Tableau1[[#This Row],[Date rév.]]="","",HYPERLINK(Tableau1[[#This Row],[Lien document]],"X"))</f>
        <v/>
      </c>
      <c r="V123" s="44"/>
      <c r="W123"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\T040-P070_33601.pdf</v>
      </c>
      <c r="X123" s="44">
        <v>2</v>
      </c>
      <c r="Y123" s="44">
        <v>2</v>
      </c>
      <c r="Z123" s="41" t="str">
        <f ca="1">IF(AND(Tableau1[[#This Row],[Charge]]&lt;&gt;0, Tableau1[[#This Row],[Nombre intervenants]]&lt;&gt;0,Tableau1[[#This Row],[Lien document]]&lt;&gt;0,Tableau1[[#This Row],[DMS_SAP]]&lt;&gt;0)=TRUE,"MIS A JOUR","")</f>
        <v/>
      </c>
      <c r="AA123" s="45"/>
      <c r="AB123" s="55" t="str">
        <f ca="1">IF(Tableau1[[#This Row],[Date rév.]]&lt;&gt;"", DAYS360(Tableau1[[#This Row],[Date rév.]],TODAY()),"")</f>
        <v/>
      </c>
      <c r="AC123" s="47">
        <f>IFERROR(INDEX(Chemin_accès!$B$11:$C$22,MATCH(Tableau1[[#This Row],[Type]],Chemin_accès!$C$11:$C$22,0),1),Chemin_accès!$B$11)</f>
        <v>0</v>
      </c>
      <c r="AD123" s="47" t="str">
        <f>Chemin_accès!$B$8&amp;Tableau1[[#This Row],[Localisation / Classement]]&amp;"\"&amp;Tableau1[[#This Row],[Poste technique]]&amp;"_"&amp;Tableau1[[#This Row],[Plan Entretien]]&amp;".xlsm"</f>
        <v>20KV POSTES ELECTRIQUES \T040-P070_33601.xlsm</v>
      </c>
    </row>
    <row r="124" spans="1:30" x14ac:dyDescent="0.3">
      <c r="A124" s="41" t="str">
        <f t="shared" ca="1" si="1"/>
        <v>7.MNRJ</v>
      </c>
      <c r="B1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4" s="43"/>
      <c r="D124" s="41" t="s">
        <v>440</v>
      </c>
      <c r="E124" s="41" t="s">
        <v>135</v>
      </c>
      <c r="F124" s="44" t="s">
        <v>212</v>
      </c>
      <c r="G124" s="44" t="s">
        <v>213</v>
      </c>
      <c r="H124" s="48">
        <v>33601</v>
      </c>
      <c r="I124" s="48">
        <v>69170</v>
      </c>
      <c r="J124" s="48" t="s">
        <v>253</v>
      </c>
      <c r="K124" s="48">
        <v>88</v>
      </c>
      <c r="L124" s="43" t="s">
        <v>41</v>
      </c>
      <c r="M124" s="44" t="s">
        <v>376</v>
      </c>
      <c r="N124" s="43" t="s">
        <v>62</v>
      </c>
      <c r="O124" s="43"/>
      <c r="P124" s="44"/>
      <c r="Q124" s="43"/>
      <c r="R124" s="43" t="s">
        <v>2</v>
      </c>
      <c r="S124" s="45">
        <v>44593</v>
      </c>
      <c r="T124" s="58" t="str">
        <f>IF(Tableau1[[#This Row],[DMS_SAP]]="","",HYPERLINK(Tableau1[[#This Row],[Chemin fichier source]],"X"))</f>
        <v/>
      </c>
      <c r="U124" s="58" t="str">
        <f>IF(Tableau1[[#This Row],[Date rév.]]="","",HYPERLINK(Tableau1[[#This Row],[Lien document]],"X"))</f>
        <v/>
      </c>
      <c r="V124" s="44"/>
      <c r="W124"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\T040-P070_33601.pdf</v>
      </c>
      <c r="X124" s="44">
        <v>4</v>
      </c>
      <c r="Y124" s="44">
        <v>2</v>
      </c>
      <c r="Z124" s="41" t="str">
        <f ca="1">IF(AND(Tableau1[[#This Row],[Charge]]&lt;&gt;0, Tableau1[[#This Row],[Nombre intervenants]]&lt;&gt;0,Tableau1[[#This Row],[Lien document]]&lt;&gt;0,Tableau1[[#This Row],[DMS_SAP]]&lt;&gt;0)=TRUE,"MIS A JOUR","")</f>
        <v/>
      </c>
      <c r="AA124" s="45"/>
      <c r="AB124" s="55" t="str">
        <f ca="1">IF(Tableau1[[#This Row],[Date rév.]]&lt;&gt;"", DAYS360(Tableau1[[#This Row],[Date rév.]],TODAY()),"")</f>
        <v/>
      </c>
      <c r="AC124" s="47">
        <f>IFERROR(INDEX(Chemin_accès!$B$11:$C$22,MATCH(Tableau1[[#This Row],[Type]],Chemin_accès!$C$11:$C$22,0),1),Chemin_accès!$B$11)</f>
        <v>0</v>
      </c>
      <c r="AD124" s="47" t="str">
        <f>Chemin_accès!$B$8&amp;Tableau1[[#This Row],[Localisation / Classement]]&amp;"\"&amp;Tableau1[[#This Row],[Poste technique]]&amp;"_"&amp;Tableau1[[#This Row],[Plan Entretien]]&amp;".xlsm"</f>
        <v>20KV POSTES ELECTRIQUES \T040-P070_33601.xlsm</v>
      </c>
    </row>
    <row r="125" spans="1:30" x14ac:dyDescent="0.3">
      <c r="A125" s="41" t="str">
        <f t="shared" ca="1" si="1"/>
        <v>7.MNRJ</v>
      </c>
      <c r="B1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5" s="43"/>
      <c r="D125" s="41" t="s">
        <v>440</v>
      </c>
      <c r="E125" s="41" t="s">
        <v>135</v>
      </c>
      <c r="F125" s="44" t="s">
        <v>212</v>
      </c>
      <c r="G125" s="44" t="s">
        <v>213</v>
      </c>
      <c r="H125" s="48">
        <v>33601</v>
      </c>
      <c r="I125" s="48">
        <v>68940</v>
      </c>
      <c r="J125" s="48" t="s">
        <v>252</v>
      </c>
      <c r="K125" s="48">
        <v>77</v>
      </c>
      <c r="L125" s="43" t="s">
        <v>446</v>
      </c>
      <c r="M125" s="44" t="s">
        <v>377</v>
      </c>
      <c r="N125" s="43" t="s">
        <v>62</v>
      </c>
      <c r="O125" s="43"/>
      <c r="P125" s="44"/>
      <c r="Q125" s="43"/>
      <c r="R125" s="43" t="s">
        <v>2</v>
      </c>
      <c r="S125" s="45">
        <v>44593</v>
      </c>
      <c r="T125" s="58" t="str">
        <f>IF(Tableau1[[#This Row],[DMS_SAP]]="","",HYPERLINK(Tableau1[[#This Row],[Chemin fichier source]],"X"))</f>
        <v/>
      </c>
      <c r="U125" s="58" t="str">
        <f>IF(Tableau1[[#This Row],[Date rév.]]="","",HYPERLINK(Tableau1[[#This Row],[Lien document]],"X"))</f>
        <v/>
      </c>
      <c r="V125" s="44"/>
      <c r="W12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\T040-P070_33601.pdf</v>
      </c>
      <c r="X125" s="44">
        <v>16</v>
      </c>
      <c r="Y125" s="44">
        <v>2</v>
      </c>
      <c r="Z125" s="41" t="str">
        <f ca="1">IF(AND(Tableau1[[#This Row],[Charge]]&lt;&gt;0, Tableau1[[#This Row],[Nombre intervenants]]&lt;&gt;0,Tableau1[[#This Row],[Lien document]]&lt;&gt;0,Tableau1[[#This Row],[DMS_SAP]]&lt;&gt;0)=TRUE,"MIS A JOUR","")</f>
        <v/>
      </c>
      <c r="AA125" s="45"/>
      <c r="AB125" s="55" t="str">
        <f ca="1">IF(Tableau1[[#This Row],[Date rév.]]&lt;&gt;"", DAYS360(Tableau1[[#This Row],[Date rév.]],TODAY()),"")</f>
        <v/>
      </c>
      <c r="AC125" s="47">
        <f>IFERROR(INDEX(Chemin_accès!$B$11:$C$22,MATCH(Tableau1[[#This Row],[Type]],Chemin_accès!$C$11:$C$22,0),1),Chemin_accès!$B$11)</f>
        <v>0</v>
      </c>
      <c r="AD125" s="47" t="str">
        <f>Chemin_accès!$B$8&amp;Tableau1[[#This Row],[Localisation / Classement]]&amp;"\"&amp;Tableau1[[#This Row],[Poste technique]]&amp;"_"&amp;Tableau1[[#This Row],[Plan Entretien]]&amp;".xlsm"</f>
        <v>20KV POSTES ELECTRIQUES \T040-P070_33601.xlsm</v>
      </c>
    </row>
    <row r="126" spans="1:30" x14ac:dyDescent="0.3">
      <c r="A126" s="41" t="str">
        <f t="shared" ca="1" si="1"/>
        <v>7.MNRJ</v>
      </c>
      <c r="B1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6" s="43"/>
      <c r="D126" s="41" t="s">
        <v>440</v>
      </c>
      <c r="E126" s="41" t="s">
        <v>135</v>
      </c>
      <c r="F126" s="44" t="s">
        <v>212</v>
      </c>
      <c r="G126" s="44" t="s">
        <v>213</v>
      </c>
      <c r="H126" s="48">
        <v>33601</v>
      </c>
      <c r="I126" s="48">
        <v>68955</v>
      </c>
      <c r="J126" s="48" t="s">
        <v>252</v>
      </c>
      <c r="K126" s="48">
        <v>92</v>
      </c>
      <c r="L126" s="43" t="s">
        <v>446</v>
      </c>
      <c r="M126" s="44" t="s">
        <v>378</v>
      </c>
      <c r="N126" s="43" t="s">
        <v>62</v>
      </c>
      <c r="O126" s="43"/>
      <c r="P126" s="44"/>
      <c r="Q126" s="43"/>
      <c r="R126" s="43" t="s">
        <v>2</v>
      </c>
      <c r="S126" s="45">
        <v>44593</v>
      </c>
      <c r="T126" s="58" t="str">
        <f>IF(Tableau1[[#This Row],[DMS_SAP]]="","",HYPERLINK(Tableau1[[#This Row],[Chemin fichier source]],"X"))</f>
        <v/>
      </c>
      <c r="U126" s="58" t="str">
        <f>IF(Tableau1[[#This Row],[Date rév.]]="","",HYPERLINK(Tableau1[[#This Row],[Lien document]],"X"))</f>
        <v/>
      </c>
      <c r="V126" s="44"/>
      <c r="W12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\T040-P070_33601.pdf</v>
      </c>
      <c r="X126" s="44">
        <v>8</v>
      </c>
      <c r="Y126" s="44">
        <v>2</v>
      </c>
      <c r="Z126" s="41" t="str">
        <f ca="1">IF(AND(Tableau1[[#This Row],[Charge]]&lt;&gt;0, Tableau1[[#This Row],[Nombre intervenants]]&lt;&gt;0,Tableau1[[#This Row],[Lien document]]&lt;&gt;0,Tableau1[[#This Row],[DMS_SAP]]&lt;&gt;0)=TRUE,"MIS A JOUR","")</f>
        <v/>
      </c>
      <c r="AA126" s="45"/>
      <c r="AB126" s="55" t="str">
        <f ca="1">IF(Tableau1[[#This Row],[Date rév.]]&lt;&gt;"", DAYS360(Tableau1[[#This Row],[Date rév.]],TODAY()),"")</f>
        <v/>
      </c>
      <c r="AC126" s="47">
        <f>IFERROR(INDEX(Chemin_accès!$B$11:$C$22,MATCH(Tableau1[[#This Row],[Type]],Chemin_accès!$C$11:$C$22,0),1),Chemin_accès!$B$11)</f>
        <v>0</v>
      </c>
      <c r="AD126" s="47" t="str">
        <f>Chemin_accès!$B$8&amp;Tableau1[[#This Row],[Localisation / Classement]]&amp;"\"&amp;Tableau1[[#This Row],[Poste technique]]&amp;"_"&amp;Tableau1[[#This Row],[Plan Entretien]]&amp;".xlsm"</f>
        <v>20KV POSTES ELECTRIQUES \T040-P070_33601.xlsm</v>
      </c>
    </row>
    <row r="127" spans="1:30" x14ac:dyDescent="0.3">
      <c r="A127" s="41" t="str">
        <f t="shared" ca="1" si="1"/>
        <v>7.MNRJ</v>
      </c>
      <c r="B1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7" s="43"/>
      <c r="D127" s="41" t="s">
        <v>440</v>
      </c>
      <c r="E127" s="41" t="s">
        <v>135</v>
      </c>
      <c r="F127" s="44" t="s">
        <v>214</v>
      </c>
      <c r="G127" s="44" t="s">
        <v>215</v>
      </c>
      <c r="H127" s="48">
        <v>33601</v>
      </c>
      <c r="I127" s="48">
        <v>69179</v>
      </c>
      <c r="J127" s="48" t="s">
        <v>253</v>
      </c>
      <c r="K127" s="48">
        <v>95</v>
      </c>
      <c r="L127" s="43" t="s">
        <v>446</v>
      </c>
      <c r="M127" s="44" t="s">
        <v>379</v>
      </c>
      <c r="N127" s="43" t="s">
        <v>62</v>
      </c>
      <c r="O127" s="43"/>
      <c r="P127" s="44"/>
      <c r="Q127" s="43"/>
      <c r="R127" s="43" t="s">
        <v>2</v>
      </c>
      <c r="S127" s="45">
        <v>44593</v>
      </c>
      <c r="T127" s="58" t="str">
        <f>IF(Tableau1[[#This Row],[DMS_SAP]]="","",HYPERLINK(Tableau1[[#This Row],[Chemin fichier source]],"X"))</f>
        <v/>
      </c>
      <c r="U127" s="58" t="str">
        <f>IF(Tableau1[[#This Row],[Date rév.]]="","",HYPERLINK(Tableau1[[#This Row],[Lien document]],"X"))</f>
        <v/>
      </c>
      <c r="V127" s="44"/>
      <c r="W127"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\T040-P080_33601.pdf</v>
      </c>
      <c r="X127" s="44">
        <v>32</v>
      </c>
      <c r="Y127" s="44">
        <v>2</v>
      </c>
      <c r="Z127" s="41" t="str">
        <f ca="1">IF(AND(Tableau1[[#This Row],[Charge]]&lt;&gt;0, Tableau1[[#This Row],[Nombre intervenants]]&lt;&gt;0,Tableau1[[#This Row],[Lien document]]&lt;&gt;0,Tableau1[[#This Row],[DMS_SAP]]&lt;&gt;0)=TRUE,"MIS A JOUR","")</f>
        <v/>
      </c>
      <c r="AA127" s="45"/>
      <c r="AB127" s="55" t="str">
        <f ca="1">IF(Tableau1[[#This Row],[Date rév.]]&lt;&gt;"", DAYS360(Tableau1[[#This Row],[Date rév.]],TODAY()),"")</f>
        <v/>
      </c>
      <c r="AC127" s="47">
        <f>IFERROR(INDEX(Chemin_accès!$B$11:$C$22,MATCH(Tableau1[[#This Row],[Type]],Chemin_accès!$C$11:$C$22,0),1),Chemin_accès!$B$11)</f>
        <v>0</v>
      </c>
      <c r="AD127" s="47" t="str">
        <f>Chemin_accès!$B$8&amp;Tableau1[[#This Row],[Localisation / Classement]]&amp;"\"&amp;Tableau1[[#This Row],[Poste technique]]&amp;"_"&amp;Tableau1[[#This Row],[Plan Entretien]]&amp;".xlsm"</f>
        <v>20KV POSTES ELECTRIQUES \T040-P080_33601.xlsm</v>
      </c>
    </row>
    <row r="128" spans="1:30" x14ac:dyDescent="0.3">
      <c r="A128" s="41" t="str">
        <f t="shared" ca="1" si="1"/>
        <v>7.MNRJ</v>
      </c>
      <c r="B1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8" s="43"/>
      <c r="D128" s="41" t="s">
        <v>440</v>
      </c>
      <c r="E128" s="41" t="s">
        <v>135</v>
      </c>
      <c r="F128" s="44" t="s">
        <v>216</v>
      </c>
      <c r="G128" s="44" t="s">
        <v>217</v>
      </c>
      <c r="H128" s="48">
        <v>33601</v>
      </c>
      <c r="I128" s="48">
        <v>68991</v>
      </c>
      <c r="J128" s="48" t="s">
        <v>253</v>
      </c>
      <c r="K128" s="48">
        <v>32</v>
      </c>
      <c r="L128" s="43" t="s">
        <v>82</v>
      </c>
      <c r="M128" s="44" t="s">
        <v>380</v>
      </c>
      <c r="N128" s="43" t="s">
        <v>62</v>
      </c>
      <c r="O128" s="43"/>
      <c r="P128" s="44"/>
      <c r="Q128" s="43"/>
      <c r="R128" s="43" t="s">
        <v>2</v>
      </c>
      <c r="S128" s="45">
        <v>44593</v>
      </c>
      <c r="T128" s="58" t="str">
        <f>IF(Tableau1[[#This Row],[DMS_SAP]]="","",HYPERLINK(Tableau1[[#This Row],[Chemin fichier source]],"X"))</f>
        <v/>
      </c>
      <c r="U128" s="58" t="str">
        <f>IF(Tableau1[[#This Row],[Date rév.]]="","",HYPERLINK(Tableau1[[#This Row],[Lien document]],"X"))</f>
        <v/>
      </c>
      <c r="V128" s="44"/>
      <c r="W128"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\T040-P090_33601.pdf</v>
      </c>
      <c r="X128" s="44">
        <v>2</v>
      </c>
      <c r="Y128" s="44">
        <v>2</v>
      </c>
      <c r="Z128" s="41" t="str">
        <f ca="1">IF(AND(Tableau1[[#This Row],[Charge]]&lt;&gt;0, Tableau1[[#This Row],[Nombre intervenants]]&lt;&gt;0,Tableau1[[#This Row],[Lien document]]&lt;&gt;0,Tableau1[[#This Row],[DMS_SAP]]&lt;&gt;0)=TRUE,"MIS A JOUR","")</f>
        <v/>
      </c>
      <c r="AA128" s="45"/>
      <c r="AB128" s="55" t="str">
        <f ca="1">IF(Tableau1[[#This Row],[Date rév.]]&lt;&gt;"", DAYS360(Tableau1[[#This Row],[Date rév.]],TODAY()),"")</f>
        <v/>
      </c>
      <c r="AC128" s="47">
        <f>IFERROR(INDEX(Chemin_accès!$B$11:$C$22,MATCH(Tableau1[[#This Row],[Type]],Chemin_accès!$C$11:$C$22,0),1),Chemin_accès!$B$11)</f>
        <v>0</v>
      </c>
      <c r="AD128" s="47" t="str">
        <f>Chemin_accès!$B$8&amp;Tableau1[[#This Row],[Localisation / Classement]]&amp;"\"&amp;Tableau1[[#This Row],[Poste technique]]&amp;"_"&amp;Tableau1[[#This Row],[Plan Entretien]]&amp;".xlsm"</f>
        <v>20KV POSTES ELECTRIQUES \T040-P090_33601.xlsm</v>
      </c>
    </row>
    <row r="129" spans="1:30" x14ac:dyDescent="0.3">
      <c r="A129" s="41" t="str">
        <f t="shared" ca="1" si="1"/>
        <v>7.MNRJ</v>
      </c>
      <c r="B1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9" s="43"/>
      <c r="D129" s="41" t="s">
        <v>440</v>
      </c>
      <c r="E129" s="41" t="s">
        <v>135</v>
      </c>
      <c r="F129" s="44" t="s">
        <v>216</v>
      </c>
      <c r="G129" s="44" t="s">
        <v>217</v>
      </c>
      <c r="H129" s="48">
        <v>33601</v>
      </c>
      <c r="I129" s="48">
        <v>69173</v>
      </c>
      <c r="J129" s="48" t="s">
        <v>253</v>
      </c>
      <c r="K129" s="48">
        <v>89</v>
      </c>
      <c r="L129" s="43" t="s">
        <v>41</v>
      </c>
      <c r="M129" s="44" t="s">
        <v>381</v>
      </c>
      <c r="N129" s="43" t="s">
        <v>62</v>
      </c>
      <c r="O129" s="43"/>
      <c r="P129" s="44"/>
      <c r="Q129" s="43"/>
      <c r="R129" s="43" t="s">
        <v>2</v>
      </c>
      <c r="S129" s="45">
        <v>44593</v>
      </c>
      <c r="T129" s="58" t="str">
        <f>IF(Tableau1[[#This Row],[DMS_SAP]]="","",HYPERLINK(Tableau1[[#This Row],[Chemin fichier source]],"X"))</f>
        <v/>
      </c>
      <c r="U129" s="58" t="str">
        <f>IF(Tableau1[[#This Row],[Date rév.]]="","",HYPERLINK(Tableau1[[#This Row],[Lien document]],"X"))</f>
        <v/>
      </c>
      <c r="V129" s="44"/>
      <c r="W129"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\T040-P090_33601.pdf</v>
      </c>
      <c r="X129" s="44">
        <v>6</v>
      </c>
      <c r="Y129" s="44">
        <v>2</v>
      </c>
      <c r="Z129" s="41" t="str">
        <f ca="1">IF(AND(Tableau1[[#This Row],[Charge]]&lt;&gt;0, Tableau1[[#This Row],[Nombre intervenants]]&lt;&gt;0,Tableau1[[#This Row],[Lien document]]&lt;&gt;0,Tableau1[[#This Row],[DMS_SAP]]&lt;&gt;0)=TRUE,"MIS A JOUR","")</f>
        <v/>
      </c>
      <c r="AA129" s="45"/>
      <c r="AB129" s="55" t="str">
        <f ca="1">IF(Tableau1[[#This Row],[Date rév.]]&lt;&gt;"", DAYS360(Tableau1[[#This Row],[Date rév.]],TODAY()),"")</f>
        <v/>
      </c>
      <c r="AC129" s="47">
        <f>IFERROR(INDEX(Chemin_accès!$B$11:$C$22,MATCH(Tableau1[[#This Row],[Type]],Chemin_accès!$C$11:$C$22,0),1),Chemin_accès!$B$11)</f>
        <v>0</v>
      </c>
      <c r="AD129" s="47" t="str">
        <f>Chemin_accès!$B$8&amp;Tableau1[[#This Row],[Localisation / Classement]]&amp;"\"&amp;Tableau1[[#This Row],[Poste technique]]&amp;"_"&amp;Tableau1[[#This Row],[Plan Entretien]]&amp;".xlsm"</f>
        <v>20KV POSTES ELECTRIQUES \T040-P090_33601.xlsm</v>
      </c>
    </row>
    <row r="130" spans="1:30" x14ac:dyDescent="0.3">
      <c r="A130" s="41" t="str">
        <f t="shared" ca="1" si="1"/>
        <v>7.MNRJ</v>
      </c>
      <c r="B1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0" s="43"/>
      <c r="D130" s="41" t="s">
        <v>440</v>
      </c>
      <c r="E130" s="41" t="s">
        <v>135</v>
      </c>
      <c r="F130" s="44" t="s">
        <v>216</v>
      </c>
      <c r="G130" s="44" t="s">
        <v>217</v>
      </c>
      <c r="H130" s="48">
        <v>33601</v>
      </c>
      <c r="I130" s="48">
        <v>67645</v>
      </c>
      <c r="J130" s="48" t="s">
        <v>252</v>
      </c>
      <c r="K130" s="48">
        <v>52</v>
      </c>
      <c r="L130" s="43" t="s">
        <v>82</v>
      </c>
      <c r="M130" s="44" t="s">
        <v>382</v>
      </c>
      <c r="N130" s="43" t="s">
        <v>62</v>
      </c>
      <c r="O130" s="43"/>
      <c r="P130" s="44"/>
      <c r="Q130" s="43"/>
      <c r="R130" s="43" t="s">
        <v>2</v>
      </c>
      <c r="S130" s="45">
        <v>44593</v>
      </c>
      <c r="T130" s="58" t="str">
        <f>IF(Tableau1[[#This Row],[DMS_SAP]]="","",HYPERLINK(Tableau1[[#This Row],[Chemin fichier source]],"X"))</f>
        <v/>
      </c>
      <c r="U130" s="58" t="str">
        <f>IF(Tableau1[[#This Row],[Date rév.]]="","",HYPERLINK(Tableau1[[#This Row],[Lien document]],"X"))</f>
        <v/>
      </c>
      <c r="V130" s="44"/>
      <c r="W130"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\T040-P090_33601.pdf</v>
      </c>
      <c r="X130" s="44">
        <v>4</v>
      </c>
      <c r="Y130" s="44">
        <v>2</v>
      </c>
      <c r="Z130" s="41" t="str">
        <f ca="1">IF(AND(Tableau1[[#This Row],[Charge]]&lt;&gt;0, Tableau1[[#This Row],[Nombre intervenants]]&lt;&gt;0,Tableau1[[#This Row],[Lien document]]&lt;&gt;0,Tableau1[[#This Row],[DMS_SAP]]&lt;&gt;0)=TRUE,"MIS A JOUR","")</f>
        <v/>
      </c>
      <c r="AA130" s="45"/>
      <c r="AB130" s="55" t="str">
        <f ca="1">IF(Tableau1[[#This Row],[Date rév.]]&lt;&gt;"", DAYS360(Tableau1[[#This Row],[Date rév.]],TODAY()),"")</f>
        <v/>
      </c>
      <c r="AC130" s="47">
        <f>IFERROR(INDEX(Chemin_accès!$B$11:$C$22,MATCH(Tableau1[[#This Row],[Type]],Chemin_accès!$C$11:$C$22,0),1),Chemin_accès!$B$11)</f>
        <v>0</v>
      </c>
      <c r="AD130" s="47" t="str">
        <f>Chemin_accès!$B$8&amp;Tableau1[[#This Row],[Localisation / Classement]]&amp;"\"&amp;Tableau1[[#This Row],[Poste technique]]&amp;"_"&amp;Tableau1[[#This Row],[Plan Entretien]]&amp;".xlsm"</f>
        <v>20KV POSTES ELECTRIQUES \T040-P090_33601.xlsm</v>
      </c>
    </row>
    <row r="131" spans="1:30" x14ac:dyDescent="0.3">
      <c r="A131" s="41" t="str">
        <f t="shared" ref="A131:A194" ca="1" si="2">MID(CELL("filename",$A$1),FIND("]",CELL("filename",$A$1))+1,32)</f>
        <v>7.MNRJ</v>
      </c>
      <c r="B1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1" s="43"/>
      <c r="D131" s="41" t="s">
        <v>440</v>
      </c>
      <c r="E131" s="41" t="s">
        <v>135</v>
      </c>
      <c r="F131" s="44" t="s">
        <v>216</v>
      </c>
      <c r="G131" s="44" t="s">
        <v>217</v>
      </c>
      <c r="H131" s="48">
        <v>33601</v>
      </c>
      <c r="I131" s="48">
        <v>68941</v>
      </c>
      <c r="J131" s="48" t="s">
        <v>252</v>
      </c>
      <c r="K131" s="48">
        <v>78</v>
      </c>
      <c r="L131" s="43" t="s">
        <v>446</v>
      </c>
      <c r="M131" s="44" t="s">
        <v>383</v>
      </c>
      <c r="N131" s="43" t="s">
        <v>62</v>
      </c>
      <c r="O131" s="43"/>
      <c r="P131" s="44"/>
      <c r="Q131" s="43"/>
      <c r="R131" s="43" t="s">
        <v>2</v>
      </c>
      <c r="S131" s="45">
        <v>44593</v>
      </c>
      <c r="T131" s="58" t="str">
        <f>IF(Tableau1[[#This Row],[DMS_SAP]]="","",HYPERLINK(Tableau1[[#This Row],[Chemin fichier source]],"X"))</f>
        <v/>
      </c>
      <c r="U131" s="58" t="str">
        <f>IF(Tableau1[[#This Row],[Date rév.]]="","",HYPERLINK(Tableau1[[#This Row],[Lien document]],"X"))</f>
        <v/>
      </c>
      <c r="V131" s="44"/>
      <c r="W131"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\T040-P090_33601.pdf</v>
      </c>
      <c r="X131" s="44">
        <v>8</v>
      </c>
      <c r="Y131" s="44">
        <v>2</v>
      </c>
      <c r="Z131" s="41" t="str">
        <f ca="1">IF(AND(Tableau1[[#This Row],[Charge]]&lt;&gt;0, Tableau1[[#This Row],[Nombre intervenants]]&lt;&gt;0,Tableau1[[#This Row],[Lien document]]&lt;&gt;0,Tableau1[[#This Row],[DMS_SAP]]&lt;&gt;0)=TRUE,"MIS A JOUR","")</f>
        <v/>
      </c>
      <c r="AA131" s="45"/>
      <c r="AB131" s="55" t="str">
        <f ca="1">IF(Tableau1[[#This Row],[Date rév.]]&lt;&gt;"", DAYS360(Tableau1[[#This Row],[Date rév.]],TODAY()),"")</f>
        <v/>
      </c>
      <c r="AC131" s="47">
        <f>IFERROR(INDEX(Chemin_accès!$B$11:$C$22,MATCH(Tableau1[[#This Row],[Type]],Chemin_accès!$C$11:$C$22,0),1),Chemin_accès!$B$11)</f>
        <v>0</v>
      </c>
      <c r="AD131" s="47" t="str">
        <f>Chemin_accès!$B$8&amp;Tableau1[[#This Row],[Localisation / Classement]]&amp;"\"&amp;Tableau1[[#This Row],[Poste technique]]&amp;"_"&amp;Tableau1[[#This Row],[Plan Entretien]]&amp;".xlsm"</f>
        <v>20KV POSTES ELECTRIQUES \T040-P090_33601.xlsm</v>
      </c>
    </row>
    <row r="132" spans="1:30" x14ac:dyDescent="0.3">
      <c r="A132" s="41" t="str">
        <f t="shared" ca="1" si="2"/>
        <v>7.MNRJ</v>
      </c>
      <c r="B1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2" s="43"/>
      <c r="D132" s="41" t="s">
        <v>440</v>
      </c>
      <c r="E132" s="41" t="s">
        <v>135</v>
      </c>
      <c r="F132" s="44" t="s">
        <v>216</v>
      </c>
      <c r="G132" s="44" t="s">
        <v>217</v>
      </c>
      <c r="H132" s="48">
        <v>33601</v>
      </c>
      <c r="I132" s="48">
        <v>68956</v>
      </c>
      <c r="J132" s="48" t="s">
        <v>252</v>
      </c>
      <c r="K132" s="48">
        <v>93</v>
      </c>
      <c r="L132" s="43" t="s">
        <v>446</v>
      </c>
      <c r="M132" s="44" t="s">
        <v>384</v>
      </c>
      <c r="N132" s="43" t="s">
        <v>62</v>
      </c>
      <c r="O132" s="43"/>
      <c r="P132" s="44"/>
      <c r="Q132" s="43"/>
      <c r="R132" s="43" t="s">
        <v>2</v>
      </c>
      <c r="S132" s="45">
        <v>44593</v>
      </c>
      <c r="T132" s="58" t="str">
        <f>IF(Tableau1[[#This Row],[DMS_SAP]]="","",HYPERLINK(Tableau1[[#This Row],[Chemin fichier source]],"X"))</f>
        <v/>
      </c>
      <c r="U132" s="58" t="str">
        <f>IF(Tableau1[[#This Row],[Date rév.]]="","",HYPERLINK(Tableau1[[#This Row],[Lien document]],"X"))</f>
        <v/>
      </c>
      <c r="V132" s="44"/>
      <c r="W132"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\T040-P090_33601.pdf</v>
      </c>
      <c r="X132" s="44">
        <v>12</v>
      </c>
      <c r="Y132" s="44">
        <v>2</v>
      </c>
      <c r="Z132" s="41" t="str">
        <f ca="1">IF(AND(Tableau1[[#This Row],[Charge]]&lt;&gt;0, Tableau1[[#This Row],[Nombre intervenants]]&lt;&gt;0,Tableau1[[#This Row],[Lien document]]&lt;&gt;0,Tableau1[[#This Row],[DMS_SAP]]&lt;&gt;0)=TRUE,"MIS A JOUR","")</f>
        <v/>
      </c>
      <c r="AA132" s="45"/>
      <c r="AB132" s="55" t="str">
        <f ca="1">IF(Tableau1[[#This Row],[Date rév.]]&lt;&gt;"", DAYS360(Tableau1[[#This Row],[Date rév.]],TODAY()),"")</f>
        <v/>
      </c>
      <c r="AC132" s="47">
        <f>IFERROR(INDEX(Chemin_accès!$B$11:$C$22,MATCH(Tableau1[[#This Row],[Type]],Chemin_accès!$C$11:$C$22,0),1),Chemin_accès!$B$11)</f>
        <v>0</v>
      </c>
      <c r="AD132" s="47" t="str">
        <f>Chemin_accès!$B$8&amp;Tableau1[[#This Row],[Localisation / Classement]]&amp;"\"&amp;Tableau1[[#This Row],[Poste technique]]&amp;"_"&amp;Tableau1[[#This Row],[Plan Entretien]]&amp;".xlsm"</f>
        <v>20KV POSTES ELECTRIQUES \T040-P090_33601.xlsm</v>
      </c>
    </row>
    <row r="133" spans="1:30" x14ac:dyDescent="0.3">
      <c r="A133" s="41" t="str">
        <f t="shared" ca="1" si="2"/>
        <v>7.MNRJ</v>
      </c>
      <c r="B1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3" s="43"/>
      <c r="D133" s="41" t="s">
        <v>440</v>
      </c>
      <c r="E133" s="41" t="s">
        <v>135</v>
      </c>
      <c r="F133" s="44" t="s">
        <v>218</v>
      </c>
      <c r="G133" s="44" t="s">
        <v>219</v>
      </c>
      <c r="H133" s="48">
        <v>33601</v>
      </c>
      <c r="I133" s="48">
        <v>68974</v>
      </c>
      <c r="J133" s="48" t="s">
        <v>253</v>
      </c>
      <c r="K133" s="48">
        <v>15</v>
      </c>
      <c r="L133" s="43" t="s">
        <v>82</v>
      </c>
      <c r="M133" s="44" t="s">
        <v>385</v>
      </c>
      <c r="N133" s="43" t="s">
        <v>62</v>
      </c>
      <c r="O133" s="43"/>
      <c r="P133" s="44"/>
      <c r="Q133" s="43"/>
      <c r="R133" s="43" t="s">
        <v>2</v>
      </c>
      <c r="S133" s="45">
        <v>44593</v>
      </c>
      <c r="T133" s="58" t="str">
        <f>IF(Tableau1[[#This Row],[DMS_SAP]]="","",HYPERLINK(Tableau1[[#This Row],[Chemin fichier source]],"X"))</f>
        <v/>
      </c>
      <c r="U133" s="58" t="str">
        <f>IF(Tableau1[[#This Row],[Date rév.]]="","",HYPERLINK(Tableau1[[#This Row],[Lien document]],"X"))</f>
        <v/>
      </c>
      <c r="V133" s="44"/>
      <c r="W133"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\T040-P100_33601.pdf</v>
      </c>
      <c r="X133" s="44">
        <v>4</v>
      </c>
      <c r="Y133" s="44">
        <v>2</v>
      </c>
      <c r="Z133" s="41" t="str">
        <f ca="1">IF(AND(Tableau1[[#This Row],[Charge]]&lt;&gt;0, Tableau1[[#This Row],[Nombre intervenants]]&lt;&gt;0,Tableau1[[#This Row],[Lien document]]&lt;&gt;0,Tableau1[[#This Row],[DMS_SAP]]&lt;&gt;0)=TRUE,"MIS A JOUR","")</f>
        <v/>
      </c>
      <c r="AA133" s="45"/>
      <c r="AB133" s="55" t="str">
        <f ca="1">IF(Tableau1[[#This Row],[Date rév.]]&lt;&gt;"", DAYS360(Tableau1[[#This Row],[Date rév.]],TODAY()),"")</f>
        <v/>
      </c>
      <c r="AC133" s="47">
        <f>IFERROR(INDEX(Chemin_accès!$B$11:$C$22,MATCH(Tableau1[[#This Row],[Type]],Chemin_accès!$C$11:$C$22,0),1),Chemin_accès!$B$11)</f>
        <v>0</v>
      </c>
      <c r="AD133" s="47" t="str">
        <f>Chemin_accès!$B$8&amp;Tableau1[[#This Row],[Localisation / Classement]]&amp;"\"&amp;Tableau1[[#This Row],[Poste technique]]&amp;"_"&amp;Tableau1[[#This Row],[Plan Entretien]]&amp;".xlsm"</f>
        <v>20KV POSTES ELECTRIQUES \T040-P100_33601.xlsm</v>
      </c>
    </row>
    <row r="134" spans="1:30" x14ac:dyDescent="0.3">
      <c r="A134" s="41" t="str">
        <f t="shared" ca="1" si="2"/>
        <v>7.MNRJ</v>
      </c>
      <c r="B1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4" s="43"/>
      <c r="D134" s="41" t="s">
        <v>440</v>
      </c>
      <c r="E134" s="41" t="s">
        <v>135</v>
      </c>
      <c r="F134" s="44" t="s">
        <v>218</v>
      </c>
      <c r="G134" s="44" t="s">
        <v>219</v>
      </c>
      <c r="H134" s="48">
        <v>33601</v>
      </c>
      <c r="I134" s="48">
        <v>68992</v>
      </c>
      <c r="J134" s="48" t="s">
        <v>253</v>
      </c>
      <c r="K134" s="48">
        <v>33</v>
      </c>
      <c r="L134" s="43" t="s">
        <v>82</v>
      </c>
      <c r="M134" s="44" t="s">
        <v>386</v>
      </c>
      <c r="N134" s="43" t="s">
        <v>62</v>
      </c>
      <c r="O134" s="43"/>
      <c r="P134" s="44"/>
      <c r="Q134" s="43"/>
      <c r="R134" s="43" t="s">
        <v>2</v>
      </c>
      <c r="S134" s="45">
        <v>44593</v>
      </c>
      <c r="T134" s="58" t="str">
        <f>IF(Tableau1[[#This Row],[DMS_SAP]]="","",HYPERLINK(Tableau1[[#This Row],[Chemin fichier source]],"X"))</f>
        <v/>
      </c>
      <c r="U134" s="58" t="str">
        <f>IF(Tableau1[[#This Row],[Date rév.]]="","",HYPERLINK(Tableau1[[#This Row],[Lien document]],"X"))</f>
        <v/>
      </c>
      <c r="V134" s="44"/>
      <c r="W134"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\T040-P100_33601.pdf</v>
      </c>
      <c r="X134" s="44">
        <v>2</v>
      </c>
      <c r="Y134" s="44">
        <v>2</v>
      </c>
      <c r="Z134" s="41" t="str">
        <f ca="1">IF(AND(Tableau1[[#This Row],[Charge]]&lt;&gt;0, Tableau1[[#This Row],[Nombre intervenants]]&lt;&gt;0,Tableau1[[#This Row],[Lien document]]&lt;&gt;0,Tableau1[[#This Row],[DMS_SAP]]&lt;&gt;0)=TRUE,"MIS A JOUR","")</f>
        <v/>
      </c>
      <c r="AA134" s="45"/>
      <c r="AB134" s="55" t="str">
        <f ca="1">IF(Tableau1[[#This Row],[Date rév.]]&lt;&gt;"", DAYS360(Tableau1[[#This Row],[Date rév.]],TODAY()),"")</f>
        <v/>
      </c>
      <c r="AC134" s="47">
        <f>IFERROR(INDEX(Chemin_accès!$B$11:$C$22,MATCH(Tableau1[[#This Row],[Type]],Chemin_accès!$C$11:$C$22,0),1),Chemin_accès!$B$11)</f>
        <v>0</v>
      </c>
      <c r="AD134" s="47" t="str">
        <f>Chemin_accès!$B$8&amp;Tableau1[[#This Row],[Localisation / Classement]]&amp;"\"&amp;Tableau1[[#This Row],[Poste technique]]&amp;"_"&amp;Tableau1[[#This Row],[Plan Entretien]]&amp;".xlsm"</f>
        <v>20KV POSTES ELECTRIQUES \T040-P100_33601.xlsm</v>
      </c>
    </row>
    <row r="135" spans="1:30" x14ac:dyDescent="0.3">
      <c r="A135" s="41" t="str">
        <f t="shared" ca="1" si="2"/>
        <v>7.MNRJ</v>
      </c>
      <c r="B1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5" s="43"/>
      <c r="D135" s="41" t="s">
        <v>440</v>
      </c>
      <c r="E135" s="41" t="s">
        <v>135</v>
      </c>
      <c r="F135" s="44" t="s">
        <v>218</v>
      </c>
      <c r="G135" s="44" t="s">
        <v>219</v>
      </c>
      <c r="H135" s="48">
        <v>33601</v>
      </c>
      <c r="I135" s="48">
        <v>69174</v>
      </c>
      <c r="J135" s="48" t="s">
        <v>253</v>
      </c>
      <c r="K135" s="48">
        <v>90</v>
      </c>
      <c r="L135" s="43" t="s">
        <v>41</v>
      </c>
      <c r="M135" s="44" t="s">
        <v>387</v>
      </c>
      <c r="N135" s="43" t="s">
        <v>62</v>
      </c>
      <c r="O135" s="43"/>
      <c r="P135" s="44"/>
      <c r="Q135" s="43"/>
      <c r="R135" s="43" t="s">
        <v>2</v>
      </c>
      <c r="S135" s="45">
        <v>44593</v>
      </c>
      <c r="T135" s="58" t="str">
        <f>IF(Tableau1[[#This Row],[DMS_SAP]]="","",HYPERLINK(Tableau1[[#This Row],[Chemin fichier source]],"X"))</f>
        <v/>
      </c>
      <c r="U135" s="58" t="str">
        <f>IF(Tableau1[[#This Row],[Date rév.]]="","",HYPERLINK(Tableau1[[#This Row],[Lien document]],"X"))</f>
        <v/>
      </c>
      <c r="V135" s="44"/>
      <c r="W13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\T040-P100_33601.pdf</v>
      </c>
      <c r="X135" s="44">
        <v>12</v>
      </c>
      <c r="Y135" s="44">
        <v>2</v>
      </c>
      <c r="Z135" s="41" t="str">
        <f ca="1">IF(AND(Tableau1[[#This Row],[Charge]]&lt;&gt;0, Tableau1[[#This Row],[Nombre intervenants]]&lt;&gt;0,Tableau1[[#This Row],[Lien document]]&lt;&gt;0,Tableau1[[#This Row],[DMS_SAP]]&lt;&gt;0)=TRUE,"MIS A JOUR","")</f>
        <v/>
      </c>
      <c r="AA135" s="45"/>
      <c r="AB135" s="55" t="str">
        <f ca="1">IF(Tableau1[[#This Row],[Date rév.]]&lt;&gt;"", DAYS360(Tableau1[[#This Row],[Date rév.]],TODAY()),"")</f>
        <v/>
      </c>
      <c r="AC135" s="47">
        <f>IFERROR(INDEX(Chemin_accès!$B$11:$C$22,MATCH(Tableau1[[#This Row],[Type]],Chemin_accès!$C$11:$C$22,0),1),Chemin_accès!$B$11)</f>
        <v>0</v>
      </c>
      <c r="AD135" s="47" t="str">
        <f>Chemin_accès!$B$8&amp;Tableau1[[#This Row],[Localisation / Classement]]&amp;"\"&amp;Tableau1[[#This Row],[Poste technique]]&amp;"_"&amp;Tableau1[[#This Row],[Plan Entretien]]&amp;".xlsm"</f>
        <v>20KV POSTES ELECTRIQUES \T040-P100_33601.xlsm</v>
      </c>
    </row>
    <row r="136" spans="1:30" x14ac:dyDescent="0.3">
      <c r="A136" s="41" t="str">
        <f t="shared" ca="1" si="2"/>
        <v>7.MNRJ</v>
      </c>
      <c r="B1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6" s="43"/>
      <c r="D136" s="41" t="s">
        <v>440</v>
      </c>
      <c r="E136" s="41" t="s">
        <v>135</v>
      </c>
      <c r="F136" s="44" t="s">
        <v>218</v>
      </c>
      <c r="G136" s="44" t="s">
        <v>219</v>
      </c>
      <c r="H136" s="48">
        <v>33601</v>
      </c>
      <c r="I136" s="48">
        <v>68942</v>
      </c>
      <c r="J136" s="48" t="s">
        <v>252</v>
      </c>
      <c r="K136" s="48">
        <v>79</v>
      </c>
      <c r="L136" s="43" t="s">
        <v>446</v>
      </c>
      <c r="M136" s="44" t="s">
        <v>388</v>
      </c>
      <c r="N136" s="43" t="s">
        <v>62</v>
      </c>
      <c r="O136" s="43"/>
      <c r="P136" s="44"/>
      <c r="Q136" s="43"/>
      <c r="R136" s="43" t="s">
        <v>2</v>
      </c>
      <c r="S136" s="45">
        <v>44593</v>
      </c>
      <c r="T136" s="58" t="str">
        <f>IF(Tableau1[[#This Row],[DMS_SAP]]="","",HYPERLINK(Tableau1[[#This Row],[Chemin fichier source]],"X"))</f>
        <v/>
      </c>
      <c r="U136" s="58" t="str">
        <f>IF(Tableau1[[#This Row],[Date rév.]]="","",HYPERLINK(Tableau1[[#This Row],[Lien document]],"X"))</f>
        <v/>
      </c>
      <c r="V136" s="44"/>
      <c r="W13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\T040-P100_33601.pdf</v>
      </c>
      <c r="X136" s="44">
        <v>48</v>
      </c>
      <c r="Y136" s="44">
        <v>2</v>
      </c>
      <c r="Z136" s="41" t="str">
        <f ca="1">IF(AND(Tableau1[[#This Row],[Charge]]&lt;&gt;0, Tableau1[[#This Row],[Nombre intervenants]]&lt;&gt;0,Tableau1[[#This Row],[Lien document]]&lt;&gt;0,Tableau1[[#This Row],[DMS_SAP]]&lt;&gt;0)=TRUE,"MIS A JOUR","")</f>
        <v/>
      </c>
      <c r="AA136" s="45"/>
      <c r="AB136" s="55" t="str">
        <f ca="1">IF(Tableau1[[#This Row],[Date rév.]]&lt;&gt;"", DAYS360(Tableau1[[#This Row],[Date rév.]],TODAY()),"")</f>
        <v/>
      </c>
      <c r="AC136" s="47">
        <f>IFERROR(INDEX(Chemin_accès!$B$11:$C$22,MATCH(Tableau1[[#This Row],[Type]],Chemin_accès!$C$11:$C$22,0),1),Chemin_accès!$B$11)</f>
        <v>0</v>
      </c>
      <c r="AD136" s="47" t="str">
        <f>Chemin_accès!$B$8&amp;Tableau1[[#This Row],[Localisation / Classement]]&amp;"\"&amp;Tableau1[[#This Row],[Poste technique]]&amp;"_"&amp;Tableau1[[#This Row],[Plan Entretien]]&amp;".xlsm"</f>
        <v>20KV POSTES ELECTRIQUES \T040-P100_33601.xlsm</v>
      </c>
    </row>
    <row r="137" spans="1:30" x14ac:dyDescent="0.3">
      <c r="A137" s="41" t="str">
        <f t="shared" ca="1" si="2"/>
        <v>7.MNRJ</v>
      </c>
      <c r="B1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7" s="43"/>
      <c r="D137" s="41" t="s">
        <v>440</v>
      </c>
      <c r="E137" s="41" t="s">
        <v>135</v>
      </c>
      <c r="F137" s="44" t="s">
        <v>218</v>
      </c>
      <c r="G137" s="44" t="s">
        <v>219</v>
      </c>
      <c r="H137" s="48">
        <v>33601</v>
      </c>
      <c r="I137" s="48">
        <v>68957</v>
      </c>
      <c r="J137" s="48" t="s">
        <v>252</v>
      </c>
      <c r="K137" s="48">
        <v>94</v>
      </c>
      <c r="L137" s="43" t="s">
        <v>446</v>
      </c>
      <c r="M137" s="44" t="s">
        <v>389</v>
      </c>
      <c r="N137" s="43" t="s">
        <v>62</v>
      </c>
      <c r="O137" s="43"/>
      <c r="P137" s="44"/>
      <c r="Q137" s="43"/>
      <c r="R137" s="43" t="s">
        <v>2</v>
      </c>
      <c r="S137" s="45">
        <v>44593</v>
      </c>
      <c r="T137" s="58" t="str">
        <f>IF(Tableau1[[#This Row],[DMS_SAP]]="","",HYPERLINK(Tableau1[[#This Row],[Chemin fichier source]],"X"))</f>
        <v/>
      </c>
      <c r="U137" s="58" t="str">
        <f>IF(Tableau1[[#This Row],[Date rév.]]="","",HYPERLINK(Tableau1[[#This Row],[Lien document]],"X"))</f>
        <v/>
      </c>
      <c r="V137" s="44"/>
      <c r="W137"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\T040-P100_33601.pdf</v>
      </c>
      <c r="X137" s="44">
        <v>12</v>
      </c>
      <c r="Y137" s="44">
        <v>2</v>
      </c>
      <c r="Z137" s="41" t="str">
        <f ca="1">IF(AND(Tableau1[[#This Row],[Charge]]&lt;&gt;0, Tableau1[[#This Row],[Nombre intervenants]]&lt;&gt;0,Tableau1[[#This Row],[Lien document]]&lt;&gt;0,Tableau1[[#This Row],[DMS_SAP]]&lt;&gt;0)=TRUE,"MIS A JOUR","")</f>
        <v/>
      </c>
      <c r="AA137" s="45"/>
      <c r="AB137" s="55" t="str">
        <f ca="1">IF(Tableau1[[#This Row],[Date rév.]]&lt;&gt;"", DAYS360(Tableau1[[#This Row],[Date rév.]],TODAY()),"")</f>
        <v/>
      </c>
      <c r="AC137" s="47">
        <f>IFERROR(INDEX(Chemin_accès!$B$11:$C$22,MATCH(Tableau1[[#This Row],[Type]],Chemin_accès!$C$11:$C$22,0),1),Chemin_accès!$B$11)</f>
        <v>0</v>
      </c>
      <c r="AD137" s="47" t="str">
        <f>Chemin_accès!$B$8&amp;Tableau1[[#This Row],[Localisation / Classement]]&amp;"\"&amp;Tableau1[[#This Row],[Poste technique]]&amp;"_"&amp;Tableau1[[#This Row],[Plan Entretien]]&amp;".xlsm"</f>
        <v>20KV POSTES ELECTRIQUES \T040-P100_33601.xlsm</v>
      </c>
    </row>
    <row r="138" spans="1:30" x14ac:dyDescent="0.3">
      <c r="A138" s="41" t="str">
        <f t="shared" ca="1" si="2"/>
        <v>7.MNRJ</v>
      </c>
      <c r="B1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8" s="43"/>
      <c r="D138" s="41" t="s">
        <v>440</v>
      </c>
      <c r="E138" s="41" t="s">
        <v>135</v>
      </c>
      <c r="F138" s="44" t="s">
        <v>220</v>
      </c>
      <c r="G138" s="44" t="s">
        <v>221</v>
      </c>
      <c r="H138" s="48">
        <v>33601</v>
      </c>
      <c r="I138" s="48">
        <v>69074</v>
      </c>
      <c r="J138" s="48" t="s">
        <v>253</v>
      </c>
      <c r="K138" s="48">
        <v>76</v>
      </c>
      <c r="L138" s="43" t="s">
        <v>41</v>
      </c>
      <c r="M138" s="44" t="s">
        <v>390</v>
      </c>
      <c r="N138" s="43" t="s">
        <v>62</v>
      </c>
      <c r="O138" s="43"/>
      <c r="P138" s="44"/>
      <c r="Q138" s="43"/>
      <c r="R138" s="43" t="s">
        <v>2</v>
      </c>
      <c r="S138" s="45">
        <v>44593</v>
      </c>
      <c r="T138" s="58" t="str">
        <f>IF(Tableau1[[#This Row],[DMS_SAP]]="","",HYPERLINK(Tableau1[[#This Row],[Chemin fichier source]],"X"))</f>
        <v/>
      </c>
      <c r="U138" s="58" t="str">
        <f>IF(Tableau1[[#This Row],[Date rév.]]="","",HYPERLINK(Tableau1[[#This Row],[Lien document]],"X"))</f>
        <v/>
      </c>
      <c r="V138" s="44"/>
      <c r="W138"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\T040-P110_33601.pdf</v>
      </c>
      <c r="X138" s="44">
        <v>16</v>
      </c>
      <c r="Y138" s="44">
        <v>2</v>
      </c>
      <c r="Z138" s="41" t="str">
        <f ca="1">IF(AND(Tableau1[[#This Row],[Charge]]&lt;&gt;0, Tableau1[[#This Row],[Nombre intervenants]]&lt;&gt;0,Tableau1[[#This Row],[Lien document]]&lt;&gt;0,Tableau1[[#This Row],[DMS_SAP]]&lt;&gt;0)=TRUE,"MIS A JOUR","")</f>
        <v/>
      </c>
      <c r="AA138" s="45"/>
      <c r="AB138" s="55" t="str">
        <f ca="1">IF(Tableau1[[#This Row],[Date rév.]]&lt;&gt;"", DAYS360(Tableau1[[#This Row],[Date rév.]],TODAY()),"")</f>
        <v/>
      </c>
      <c r="AC138" s="47">
        <f>IFERROR(INDEX(Chemin_accès!$B$11:$C$22,MATCH(Tableau1[[#This Row],[Type]],Chemin_accès!$C$11:$C$22,0),1),Chemin_accès!$B$11)</f>
        <v>0</v>
      </c>
      <c r="AD138" s="47" t="str">
        <f>Chemin_accès!$B$8&amp;Tableau1[[#This Row],[Localisation / Classement]]&amp;"\"&amp;Tableau1[[#This Row],[Poste technique]]&amp;"_"&amp;Tableau1[[#This Row],[Plan Entretien]]&amp;".xlsm"</f>
        <v>20KV POSTES ELECTRIQUES \T040-P110_33601.xlsm</v>
      </c>
    </row>
    <row r="139" spans="1:30" x14ac:dyDescent="0.3">
      <c r="A139" s="41" t="str">
        <f t="shared" ca="1" si="2"/>
        <v>7.MNRJ</v>
      </c>
      <c r="B1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9" s="43"/>
      <c r="D139" s="41" t="s">
        <v>440</v>
      </c>
      <c r="E139" s="41" t="s">
        <v>135</v>
      </c>
      <c r="F139" s="44" t="s">
        <v>220</v>
      </c>
      <c r="G139" s="44" t="s">
        <v>221</v>
      </c>
      <c r="H139" s="48">
        <v>33601</v>
      </c>
      <c r="I139" s="48">
        <v>67648</v>
      </c>
      <c r="J139" s="48" t="s">
        <v>252</v>
      </c>
      <c r="K139" s="48">
        <v>60</v>
      </c>
      <c r="L139" s="43" t="s">
        <v>82</v>
      </c>
      <c r="M139" s="44" t="s">
        <v>391</v>
      </c>
      <c r="N139" s="43" t="s">
        <v>62</v>
      </c>
      <c r="O139" s="43"/>
      <c r="P139" s="44"/>
      <c r="Q139" s="43"/>
      <c r="R139" s="43" t="s">
        <v>2</v>
      </c>
      <c r="S139" s="45">
        <v>44593</v>
      </c>
      <c r="T139" s="58" t="str">
        <f>IF(Tableau1[[#This Row],[DMS_SAP]]="","",HYPERLINK(Tableau1[[#This Row],[Chemin fichier source]],"X"))</f>
        <v/>
      </c>
      <c r="U139" s="58" t="str">
        <f>IF(Tableau1[[#This Row],[Date rév.]]="","",HYPERLINK(Tableau1[[#This Row],[Lien document]],"X"))</f>
        <v/>
      </c>
      <c r="V139" s="44"/>
      <c r="W139"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\T040-P110_33601.pdf</v>
      </c>
      <c r="X139" s="44">
        <v>2</v>
      </c>
      <c r="Y139" s="44">
        <v>2</v>
      </c>
      <c r="Z139" s="41" t="str">
        <f ca="1">IF(AND(Tableau1[[#This Row],[Charge]]&lt;&gt;0, Tableau1[[#This Row],[Nombre intervenants]]&lt;&gt;0,Tableau1[[#This Row],[Lien document]]&lt;&gt;0,Tableau1[[#This Row],[DMS_SAP]]&lt;&gt;0)=TRUE,"MIS A JOUR","")</f>
        <v/>
      </c>
      <c r="AA139" s="45"/>
      <c r="AB139" s="55" t="str">
        <f ca="1">IF(Tableau1[[#This Row],[Date rév.]]&lt;&gt;"", DAYS360(Tableau1[[#This Row],[Date rév.]],TODAY()),"")</f>
        <v/>
      </c>
      <c r="AC139" s="47">
        <f>IFERROR(INDEX(Chemin_accès!$B$11:$C$22,MATCH(Tableau1[[#This Row],[Type]],Chemin_accès!$C$11:$C$22,0),1),Chemin_accès!$B$11)</f>
        <v>0</v>
      </c>
      <c r="AD139" s="47" t="str">
        <f>Chemin_accès!$B$8&amp;Tableau1[[#This Row],[Localisation / Classement]]&amp;"\"&amp;Tableau1[[#This Row],[Poste technique]]&amp;"_"&amp;Tableau1[[#This Row],[Plan Entretien]]&amp;".xlsm"</f>
        <v>20KV POSTES ELECTRIQUES \T040-P110_33601.xlsm</v>
      </c>
    </row>
    <row r="140" spans="1:30" x14ac:dyDescent="0.3">
      <c r="A140" s="41" t="str">
        <f t="shared" ca="1" si="2"/>
        <v>7.MNRJ</v>
      </c>
      <c r="B1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0" s="43"/>
      <c r="D140" s="41" t="s">
        <v>440</v>
      </c>
      <c r="E140" s="41" t="s">
        <v>135</v>
      </c>
      <c r="F140" s="44" t="s">
        <v>220</v>
      </c>
      <c r="G140" s="44" t="s">
        <v>221</v>
      </c>
      <c r="H140" s="48">
        <v>33601</v>
      </c>
      <c r="I140" s="48">
        <v>67611</v>
      </c>
      <c r="J140" s="48" t="s">
        <v>252</v>
      </c>
      <c r="K140" s="48">
        <v>80</v>
      </c>
      <c r="L140" s="43" t="s">
        <v>446</v>
      </c>
      <c r="M140" s="44" t="s">
        <v>392</v>
      </c>
      <c r="N140" s="43" t="s">
        <v>62</v>
      </c>
      <c r="O140" s="43"/>
      <c r="P140" s="44"/>
      <c r="Q140" s="43"/>
      <c r="R140" s="43" t="s">
        <v>2</v>
      </c>
      <c r="S140" s="45">
        <v>44593</v>
      </c>
      <c r="T140" s="58" t="str">
        <f>IF(Tableau1[[#This Row],[DMS_SAP]]="","",HYPERLINK(Tableau1[[#This Row],[Chemin fichier source]],"X"))</f>
        <v/>
      </c>
      <c r="U140" s="58" t="str">
        <f>IF(Tableau1[[#This Row],[Date rév.]]="","",HYPERLINK(Tableau1[[#This Row],[Lien document]],"X"))</f>
        <v/>
      </c>
      <c r="V140" s="44"/>
      <c r="W140"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\T040-P110_33601.pdf</v>
      </c>
      <c r="X140" s="44">
        <v>64</v>
      </c>
      <c r="Y140" s="44">
        <v>2</v>
      </c>
      <c r="Z140" s="41" t="str">
        <f ca="1">IF(AND(Tableau1[[#This Row],[Charge]]&lt;&gt;0, Tableau1[[#This Row],[Nombre intervenants]]&lt;&gt;0,Tableau1[[#This Row],[Lien document]]&lt;&gt;0,Tableau1[[#This Row],[DMS_SAP]]&lt;&gt;0)=TRUE,"MIS A JOUR","")</f>
        <v/>
      </c>
      <c r="AA140" s="45"/>
      <c r="AB140" s="55" t="str">
        <f ca="1">IF(Tableau1[[#This Row],[Date rév.]]&lt;&gt;"", DAYS360(Tableau1[[#This Row],[Date rév.]],TODAY()),"")</f>
        <v/>
      </c>
      <c r="AC140" s="47">
        <f>IFERROR(INDEX(Chemin_accès!$B$11:$C$22,MATCH(Tableau1[[#This Row],[Type]],Chemin_accès!$C$11:$C$22,0),1),Chemin_accès!$B$11)</f>
        <v>0</v>
      </c>
      <c r="AD140" s="47" t="str">
        <f>Chemin_accès!$B$8&amp;Tableau1[[#This Row],[Localisation / Classement]]&amp;"\"&amp;Tableau1[[#This Row],[Poste technique]]&amp;"_"&amp;Tableau1[[#This Row],[Plan Entretien]]&amp;".xlsm"</f>
        <v>20KV POSTES ELECTRIQUES \T040-P110_33601.xlsm</v>
      </c>
    </row>
    <row r="141" spans="1:30" x14ac:dyDescent="0.3">
      <c r="A141" s="41" t="str">
        <f t="shared" ca="1" si="2"/>
        <v>7.MNRJ</v>
      </c>
      <c r="B1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1" s="43"/>
      <c r="D141" s="41" t="s">
        <v>440</v>
      </c>
      <c r="E141" s="41" t="s">
        <v>135</v>
      </c>
      <c r="F141" s="44" t="s">
        <v>220</v>
      </c>
      <c r="G141" s="44" t="s">
        <v>221</v>
      </c>
      <c r="H141" s="48">
        <v>33601</v>
      </c>
      <c r="I141" s="48">
        <v>68958</v>
      </c>
      <c r="J141" s="48" t="s">
        <v>252</v>
      </c>
      <c r="K141" s="48">
        <v>95</v>
      </c>
      <c r="L141" s="43" t="s">
        <v>446</v>
      </c>
      <c r="M141" s="44" t="s">
        <v>393</v>
      </c>
      <c r="N141" s="43" t="s">
        <v>62</v>
      </c>
      <c r="O141" s="43"/>
      <c r="P141" s="44"/>
      <c r="Q141" s="43"/>
      <c r="R141" s="43" t="s">
        <v>2</v>
      </c>
      <c r="S141" s="45">
        <v>44593</v>
      </c>
      <c r="T141" s="58" t="str">
        <f>IF(Tableau1[[#This Row],[DMS_SAP]]="","",HYPERLINK(Tableau1[[#This Row],[Chemin fichier source]],"X"))</f>
        <v/>
      </c>
      <c r="U141" s="58" t="str">
        <f>IF(Tableau1[[#This Row],[Date rév.]]="","",HYPERLINK(Tableau1[[#This Row],[Lien document]],"X"))</f>
        <v/>
      </c>
      <c r="V141" s="44"/>
      <c r="W141"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\T040-P110_33601.pdf</v>
      </c>
      <c r="X141" s="44">
        <v>12</v>
      </c>
      <c r="Y141" s="44">
        <v>2</v>
      </c>
      <c r="Z141" s="41" t="str">
        <f ca="1">IF(AND(Tableau1[[#This Row],[Charge]]&lt;&gt;0, Tableau1[[#This Row],[Nombre intervenants]]&lt;&gt;0,Tableau1[[#This Row],[Lien document]]&lt;&gt;0,Tableau1[[#This Row],[DMS_SAP]]&lt;&gt;0)=TRUE,"MIS A JOUR","")</f>
        <v/>
      </c>
      <c r="AA141" s="45"/>
      <c r="AB141" s="55" t="str">
        <f ca="1">IF(Tableau1[[#This Row],[Date rév.]]&lt;&gt;"", DAYS360(Tableau1[[#This Row],[Date rév.]],TODAY()),"")</f>
        <v/>
      </c>
      <c r="AC141" s="47">
        <f>IFERROR(INDEX(Chemin_accès!$B$11:$C$22,MATCH(Tableau1[[#This Row],[Type]],Chemin_accès!$C$11:$C$22,0),1),Chemin_accès!$B$11)</f>
        <v>0</v>
      </c>
      <c r="AD141" s="47" t="str">
        <f>Chemin_accès!$B$8&amp;Tableau1[[#This Row],[Localisation / Classement]]&amp;"\"&amp;Tableau1[[#This Row],[Poste technique]]&amp;"_"&amp;Tableau1[[#This Row],[Plan Entretien]]&amp;".xlsm"</f>
        <v>20KV POSTES ELECTRIQUES \T040-P110_33601.xlsm</v>
      </c>
    </row>
    <row r="142" spans="1:30" x14ac:dyDescent="0.3">
      <c r="A142" s="41" t="str">
        <f t="shared" ca="1" si="2"/>
        <v>7.MNRJ</v>
      </c>
      <c r="B1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2" s="43"/>
      <c r="D142" s="41" t="s">
        <v>440</v>
      </c>
      <c r="E142" s="41" t="s">
        <v>135</v>
      </c>
      <c r="F142" s="44" t="s">
        <v>222</v>
      </c>
      <c r="G142" s="44" t="s">
        <v>223</v>
      </c>
      <c r="H142" s="48">
        <v>33601</v>
      </c>
      <c r="I142" s="48">
        <v>68967</v>
      </c>
      <c r="J142" s="48" t="s">
        <v>253</v>
      </c>
      <c r="K142" s="48">
        <v>4</v>
      </c>
      <c r="L142" s="43" t="s">
        <v>446</v>
      </c>
      <c r="M142" s="44" t="s">
        <v>394</v>
      </c>
      <c r="N142" s="43" t="s">
        <v>62</v>
      </c>
      <c r="O142" s="43"/>
      <c r="P142" s="44"/>
      <c r="Q142" s="43"/>
      <c r="R142" s="43" t="s">
        <v>2</v>
      </c>
      <c r="S142" s="45">
        <v>44593</v>
      </c>
      <c r="T142" s="58" t="str">
        <f>IF(Tableau1[[#This Row],[DMS_SAP]]="","",HYPERLINK(Tableau1[[#This Row],[Chemin fichier source]],"X"))</f>
        <v/>
      </c>
      <c r="U142" s="58" t="str">
        <f>IF(Tableau1[[#This Row],[Date rév.]]="","",HYPERLINK(Tableau1[[#This Row],[Lien document]],"X"))</f>
        <v/>
      </c>
      <c r="V142" s="44"/>
      <c r="W142"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\T040-P120_33601.pdf</v>
      </c>
      <c r="X142" s="44">
        <v>16</v>
      </c>
      <c r="Y142" s="44">
        <v>2</v>
      </c>
      <c r="Z142" s="41" t="str">
        <f ca="1">IF(AND(Tableau1[[#This Row],[Charge]]&lt;&gt;0, Tableau1[[#This Row],[Nombre intervenants]]&lt;&gt;0,Tableau1[[#This Row],[Lien document]]&lt;&gt;0,Tableau1[[#This Row],[DMS_SAP]]&lt;&gt;0)=TRUE,"MIS A JOUR","")</f>
        <v/>
      </c>
      <c r="AA142" s="45"/>
      <c r="AB142" s="55" t="str">
        <f ca="1">IF(Tableau1[[#This Row],[Date rév.]]&lt;&gt;"", DAYS360(Tableau1[[#This Row],[Date rév.]],TODAY()),"")</f>
        <v/>
      </c>
      <c r="AC142" s="47">
        <f>IFERROR(INDEX(Chemin_accès!$B$11:$C$22,MATCH(Tableau1[[#This Row],[Type]],Chemin_accès!$C$11:$C$22,0),1),Chemin_accès!$B$11)</f>
        <v>0</v>
      </c>
      <c r="AD142" s="47" t="str">
        <f>Chemin_accès!$B$8&amp;Tableau1[[#This Row],[Localisation / Classement]]&amp;"\"&amp;Tableau1[[#This Row],[Poste technique]]&amp;"_"&amp;Tableau1[[#This Row],[Plan Entretien]]&amp;".xlsm"</f>
        <v>20KV POSTES ELECTRIQUES \T040-P120_33601.xlsm</v>
      </c>
    </row>
    <row r="143" spans="1:30" x14ac:dyDescent="0.3">
      <c r="A143" s="41" t="str">
        <f t="shared" ca="1" si="2"/>
        <v>7.MNRJ</v>
      </c>
      <c r="B1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3" s="43"/>
      <c r="D143" s="41" t="s">
        <v>440</v>
      </c>
      <c r="E143" s="41" t="s">
        <v>135</v>
      </c>
      <c r="F143" s="44" t="s">
        <v>222</v>
      </c>
      <c r="G143" s="44" t="s">
        <v>223</v>
      </c>
      <c r="H143" s="48">
        <v>33601</v>
      </c>
      <c r="I143" s="48">
        <v>68988</v>
      </c>
      <c r="J143" s="48" t="s">
        <v>253</v>
      </c>
      <c r="K143" s="48">
        <v>29</v>
      </c>
      <c r="L143" s="43" t="s">
        <v>82</v>
      </c>
      <c r="M143" s="44" t="s">
        <v>395</v>
      </c>
      <c r="N143" s="43" t="s">
        <v>62</v>
      </c>
      <c r="O143" s="43"/>
      <c r="P143" s="44"/>
      <c r="Q143" s="43"/>
      <c r="R143" s="43" t="s">
        <v>2</v>
      </c>
      <c r="S143" s="45">
        <v>44593</v>
      </c>
      <c r="T143" s="58" t="str">
        <f>IF(Tableau1[[#This Row],[DMS_SAP]]="","",HYPERLINK(Tableau1[[#This Row],[Chemin fichier source]],"X"))</f>
        <v/>
      </c>
      <c r="U143" s="58" t="str">
        <f>IF(Tableau1[[#This Row],[Date rév.]]="","",HYPERLINK(Tableau1[[#This Row],[Lien document]],"X"))</f>
        <v/>
      </c>
      <c r="V143" s="44"/>
      <c r="W143"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\T040-P120_33601.pdf</v>
      </c>
      <c r="X143" s="44">
        <v>2</v>
      </c>
      <c r="Y143" s="44">
        <v>2</v>
      </c>
      <c r="Z143" s="41" t="str">
        <f ca="1">IF(AND(Tableau1[[#This Row],[Charge]]&lt;&gt;0, Tableau1[[#This Row],[Nombre intervenants]]&lt;&gt;0,Tableau1[[#This Row],[Lien document]]&lt;&gt;0,Tableau1[[#This Row],[DMS_SAP]]&lt;&gt;0)=TRUE,"MIS A JOUR","")</f>
        <v/>
      </c>
      <c r="AA143" s="45"/>
      <c r="AB143" s="55" t="str">
        <f ca="1">IF(Tableau1[[#This Row],[Date rév.]]&lt;&gt;"", DAYS360(Tableau1[[#This Row],[Date rév.]],TODAY()),"")</f>
        <v/>
      </c>
      <c r="AC143" s="47">
        <f>IFERROR(INDEX(Chemin_accès!$B$11:$C$22,MATCH(Tableau1[[#This Row],[Type]],Chemin_accès!$C$11:$C$22,0),1),Chemin_accès!$B$11)</f>
        <v>0</v>
      </c>
      <c r="AD143" s="47" t="str">
        <f>Chemin_accès!$B$8&amp;Tableau1[[#This Row],[Localisation / Classement]]&amp;"\"&amp;Tableau1[[#This Row],[Poste technique]]&amp;"_"&amp;Tableau1[[#This Row],[Plan Entretien]]&amp;".xlsm"</f>
        <v>20KV POSTES ELECTRIQUES \T040-P120_33601.xlsm</v>
      </c>
    </row>
    <row r="144" spans="1:30" x14ac:dyDescent="0.3">
      <c r="A144" s="41" t="str">
        <f t="shared" ca="1" si="2"/>
        <v>7.MNRJ</v>
      </c>
      <c r="B1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4" s="43"/>
      <c r="D144" s="41" t="s">
        <v>440</v>
      </c>
      <c r="E144" s="41" t="s">
        <v>135</v>
      </c>
      <c r="F144" s="44" t="s">
        <v>222</v>
      </c>
      <c r="G144" s="44" t="s">
        <v>223</v>
      </c>
      <c r="H144" s="12">
        <v>33601</v>
      </c>
      <c r="I144" s="66">
        <v>69167</v>
      </c>
      <c r="J144" s="48" t="s">
        <v>253</v>
      </c>
      <c r="K144" s="48">
        <v>85</v>
      </c>
      <c r="L144" s="43" t="s">
        <v>41</v>
      </c>
      <c r="M144" s="44" t="s">
        <v>396</v>
      </c>
      <c r="N144" s="43" t="s">
        <v>62</v>
      </c>
      <c r="O144" s="43"/>
      <c r="P144" s="44"/>
      <c r="Q144" s="43"/>
      <c r="R144" s="43" t="s">
        <v>2</v>
      </c>
      <c r="S144" s="45">
        <v>44593</v>
      </c>
      <c r="T144" s="58" t="str">
        <f>IF(Tableau1[[#This Row],[DMS_SAP]]="","",HYPERLINK(Tableau1[[#This Row],[Chemin fichier source]],"X"))</f>
        <v/>
      </c>
      <c r="U144" s="58" t="str">
        <f>IF(Tableau1[[#This Row],[Date rév.]]="","",HYPERLINK(Tableau1[[#This Row],[Lien document]],"X"))</f>
        <v/>
      </c>
      <c r="V144" s="44"/>
      <c r="W144"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\T040-P120_33601.pdf</v>
      </c>
      <c r="X144" s="44">
        <v>8</v>
      </c>
      <c r="Y144" s="44">
        <v>2</v>
      </c>
      <c r="Z144" s="41" t="str">
        <f ca="1">IF(AND(Tableau1[[#This Row],[Charge]]&lt;&gt;0, Tableau1[[#This Row],[Nombre intervenants]]&lt;&gt;0,Tableau1[[#This Row],[Lien document]]&lt;&gt;0,Tableau1[[#This Row],[DMS_SAP]]&lt;&gt;0)=TRUE,"MIS A JOUR","")</f>
        <v/>
      </c>
      <c r="AA144" s="45"/>
      <c r="AB144" s="55" t="str">
        <f ca="1">IF(Tableau1[[#This Row],[Date rév.]]&lt;&gt;"", DAYS360(Tableau1[[#This Row],[Date rév.]],TODAY()),"")</f>
        <v/>
      </c>
      <c r="AC144" s="47">
        <f>IFERROR(INDEX(Chemin_accès!$B$11:$C$22,MATCH(Tableau1[[#This Row],[Type]],Chemin_accès!$C$11:$C$22,0),1),Chemin_accès!$B$11)</f>
        <v>0</v>
      </c>
      <c r="AD144" s="47" t="str">
        <f>Chemin_accès!$B$8&amp;Tableau1[[#This Row],[Localisation / Classement]]&amp;"\"&amp;Tableau1[[#This Row],[Poste technique]]&amp;"_"&amp;Tableau1[[#This Row],[Plan Entretien]]&amp;".xlsm"</f>
        <v>20KV POSTES ELECTRIQUES \T040-P120_33601.xlsm</v>
      </c>
    </row>
    <row r="145" spans="1:30" x14ac:dyDescent="0.3">
      <c r="A145" s="41" t="str">
        <f t="shared" ca="1" si="2"/>
        <v>7.MNRJ</v>
      </c>
      <c r="B1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5" s="43"/>
      <c r="D145" s="41" t="s">
        <v>440</v>
      </c>
      <c r="E145" s="41" t="s">
        <v>135</v>
      </c>
      <c r="F145" s="44" t="s">
        <v>222</v>
      </c>
      <c r="G145" s="44" t="s">
        <v>223</v>
      </c>
      <c r="H145" s="12">
        <v>33601</v>
      </c>
      <c r="I145" s="66">
        <v>68950</v>
      </c>
      <c r="J145" s="48" t="s">
        <v>252</v>
      </c>
      <c r="K145" s="48">
        <v>87</v>
      </c>
      <c r="L145" s="43" t="s">
        <v>446</v>
      </c>
      <c r="M145" s="44" t="s">
        <v>397</v>
      </c>
      <c r="N145" s="43" t="s">
        <v>62</v>
      </c>
      <c r="O145" s="43"/>
      <c r="P145" s="44"/>
      <c r="Q145" s="43"/>
      <c r="R145" s="43" t="s">
        <v>2</v>
      </c>
      <c r="S145" s="45">
        <v>44593</v>
      </c>
      <c r="T145" s="58" t="str">
        <f>IF(Tableau1[[#This Row],[DMS_SAP]]="","",HYPERLINK(Tableau1[[#This Row],[Chemin fichier source]],"X"))</f>
        <v/>
      </c>
      <c r="U145" s="58" t="str">
        <f>IF(Tableau1[[#This Row],[Date rév.]]="","",HYPERLINK(Tableau1[[#This Row],[Lien document]],"X"))</f>
        <v/>
      </c>
      <c r="V145" s="44"/>
      <c r="W14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\T040-P120_33601.pdf</v>
      </c>
      <c r="X145" s="44">
        <v>48</v>
      </c>
      <c r="Y145" s="44">
        <v>2</v>
      </c>
      <c r="Z145" s="41" t="str">
        <f ca="1">IF(AND(Tableau1[[#This Row],[Charge]]&lt;&gt;0, Tableau1[[#This Row],[Nombre intervenants]]&lt;&gt;0,Tableau1[[#This Row],[Lien document]]&lt;&gt;0,Tableau1[[#This Row],[DMS_SAP]]&lt;&gt;0)=TRUE,"MIS A JOUR","")</f>
        <v/>
      </c>
      <c r="AA145" s="45"/>
      <c r="AB145" s="55" t="str">
        <f ca="1">IF(Tableau1[[#This Row],[Date rév.]]&lt;&gt;"", DAYS360(Tableau1[[#This Row],[Date rév.]],TODAY()),"")</f>
        <v/>
      </c>
      <c r="AC145" s="47">
        <f>IFERROR(INDEX(Chemin_accès!$B$11:$C$22,MATCH(Tableau1[[#This Row],[Type]],Chemin_accès!$C$11:$C$22,0),1),Chemin_accès!$B$11)</f>
        <v>0</v>
      </c>
      <c r="AD145" s="47" t="str">
        <f>Chemin_accès!$B$8&amp;Tableau1[[#This Row],[Localisation / Classement]]&amp;"\"&amp;Tableau1[[#This Row],[Poste technique]]&amp;"_"&amp;Tableau1[[#This Row],[Plan Entretien]]&amp;".xlsm"</f>
        <v>20KV POSTES ELECTRIQUES \T040-P120_33601.xlsm</v>
      </c>
    </row>
    <row r="146" spans="1:30" x14ac:dyDescent="0.3">
      <c r="A146" s="41" t="str">
        <f t="shared" ca="1" si="2"/>
        <v>7.MNRJ</v>
      </c>
      <c r="B1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6" s="43"/>
      <c r="D146" s="41" t="s">
        <v>440</v>
      </c>
      <c r="E146" s="41" t="s">
        <v>135</v>
      </c>
      <c r="F146" s="44" t="s">
        <v>224</v>
      </c>
      <c r="G146" s="44" t="s">
        <v>225</v>
      </c>
      <c r="H146" s="12">
        <v>33601</v>
      </c>
      <c r="I146" s="66">
        <v>68972</v>
      </c>
      <c r="J146" s="48" t="s">
        <v>253</v>
      </c>
      <c r="K146" s="48">
        <v>13</v>
      </c>
      <c r="L146" s="43" t="s">
        <v>82</v>
      </c>
      <c r="M146" s="44" t="s">
        <v>398</v>
      </c>
      <c r="N146" s="43" t="s">
        <v>62</v>
      </c>
      <c r="O146" s="43"/>
      <c r="P146" s="44"/>
      <c r="Q146" s="43"/>
      <c r="R146" s="43" t="s">
        <v>2</v>
      </c>
      <c r="S146" s="45">
        <v>44593</v>
      </c>
      <c r="T146" s="58" t="str">
        <f>IF(Tableau1[[#This Row],[DMS_SAP]]="","",HYPERLINK(Tableau1[[#This Row],[Chemin fichier source]],"X"))</f>
        <v/>
      </c>
      <c r="U146" s="58" t="str">
        <f>IF(Tableau1[[#This Row],[Date rév.]]="","",HYPERLINK(Tableau1[[#This Row],[Lien document]],"X"))</f>
        <v/>
      </c>
      <c r="V146" s="44"/>
      <c r="W14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\T040-P130_33601.pdf</v>
      </c>
      <c r="X146" s="44">
        <v>4</v>
      </c>
      <c r="Y146" s="44">
        <v>2</v>
      </c>
      <c r="Z146" s="41" t="str">
        <f ca="1">IF(AND(Tableau1[[#This Row],[Charge]]&lt;&gt;0, Tableau1[[#This Row],[Nombre intervenants]]&lt;&gt;0,Tableau1[[#This Row],[Lien document]]&lt;&gt;0,Tableau1[[#This Row],[DMS_SAP]]&lt;&gt;0)=TRUE,"MIS A JOUR","")</f>
        <v/>
      </c>
      <c r="AA146" s="45"/>
      <c r="AB146" s="55" t="str">
        <f ca="1">IF(Tableau1[[#This Row],[Date rév.]]&lt;&gt;"", DAYS360(Tableau1[[#This Row],[Date rév.]],TODAY()),"")</f>
        <v/>
      </c>
      <c r="AC146" s="47">
        <f>IFERROR(INDEX(Chemin_accès!$B$11:$C$22,MATCH(Tableau1[[#This Row],[Type]],Chemin_accès!$C$11:$C$22,0),1),Chemin_accès!$B$11)</f>
        <v>0</v>
      </c>
      <c r="AD146" s="47" t="str">
        <f>Chemin_accès!$B$8&amp;Tableau1[[#This Row],[Localisation / Classement]]&amp;"\"&amp;Tableau1[[#This Row],[Poste technique]]&amp;"_"&amp;Tableau1[[#This Row],[Plan Entretien]]&amp;".xlsm"</f>
        <v>20KV POSTES ELECTRIQUES \T040-P130_33601.xlsm</v>
      </c>
    </row>
    <row r="147" spans="1:30" x14ac:dyDescent="0.3">
      <c r="A147" s="41" t="str">
        <f t="shared" ca="1" si="2"/>
        <v>7.MNRJ</v>
      </c>
      <c r="B1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7" s="43"/>
      <c r="D147" s="41" t="s">
        <v>440</v>
      </c>
      <c r="E147" s="41" t="s">
        <v>135</v>
      </c>
      <c r="F147" s="44" t="s">
        <v>224</v>
      </c>
      <c r="G147" s="44" t="s">
        <v>225</v>
      </c>
      <c r="H147" s="12">
        <v>33601</v>
      </c>
      <c r="I147" s="66">
        <v>68981</v>
      </c>
      <c r="J147" s="48" t="s">
        <v>253</v>
      </c>
      <c r="K147" s="48">
        <v>22</v>
      </c>
      <c r="L147" s="43" t="s">
        <v>82</v>
      </c>
      <c r="M147" s="44" t="s">
        <v>399</v>
      </c>
      <c r="N147" s="43" t="s">
        <v>62</v>
      </c>
      <c r="O147" s="43"/>
      <c r="P147" s="44"/>
      <c r="Q147" s="43"/>
      <c r="R147" s="43" t="s">
        <v>2</v>
      </c>
      <c r="S147" s="45">
        <v>44593</v>
      </c>
      <c r="T147" s="58" t="str">
        <f>IF(Tableau1[[#This Row],[DMS_SAP]]="","",HYPERLINK(Tableau1[[#This Row],[Chemin fichier source]],"X"))</f>
        <v/>
      </c>
      <c r="U147" s="58" t="str">
        <f>IF(Tableau1[[#This Row],[Date rév.]]="","",HYPERLINK(Tableau1[[#This Row],[Lien document]],"X"))</f>
        <v/>
      </c>
      <c r="V147" s="44"/>
      <c r="W147"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\T040-P130_33601.pdf</v>
      </c>
      <c r="X147" s="44">
        <v>2</v>
      </c>
      <c r="Y147" s="44">
        <v>2</v>
      </c>
      <c r="Z147" s="41" t="str">
        <f ca="1">IF(AND(Tableau1[[#This Row],[Charge]]&lt;&gt;0, Tableau1[[#This Row],[Nombre intervenants]]&lt;&gt;0,Tableau1[[#This Row],[Lien document]]&lt;&gt;0,Tableau1[[#This Row],[DMS_SAP]]&lt;&gt;0)=TRUE,"MIS A JOUR","")</f>
        <v/>
      </c>
      <c r="AA147" s="45"/>
      <c r="AB147" s="55" t="str">
        <f ca="1">IF(Tableau1[[#This Row],[Date rév.]]&lt;&gt;"", DAYS360(Tableau1[[#This Row],[Date rév.]],TODAY()),"")</f>
        <v/>
      </c>
      <c r="AC147" s="47">
        <f>IFERROR(INDEX(Chemin_accès!$B$11:$C$22,MATCH(Tableau1[[#This Row],[Type]],Chemin_accès!$C$11:$C$22,0),1),Chemin_accès!$B$11)</f>
        <v>0</v>
      </c>
      <c r="AD147" s="47" t="str">
        <f>Chemin_accès!$B$8&amp;Tableau1[[#This Row],[Localisation / Classement]]&amp;"\"&amp;Tableau1[[#This Row],[Poste technique]]&amp;"_"&amp;Tableau1[[#This Row],[Plan Entretien]]&amp;".xlsm"</f>
        <v>20KV POSTES ELECTRIQUES \T040-P130_33601.xlsm</v>
      </c>
    </row>
    <row r="148" spans="1:30" x14ac:dyDescent="0.3">
      <c r="A148" s="41" t="str">
        <f t="shared" ca="1" si="2"/>
        <v>7.MNRJ</v>
      </c>
      <c r="B1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8" s="43"/>
      <c r="D148" s="41" t="s">
        <v>440</v>
      </c>
      <c r="E148" s="41" t="s">
        <v>135</v>
      </c>
      <c r="F148" s="44" t="s">
        <v>224</v>
      </c>
      <c r="G148" s="44" t="s">
        <v>225</v>
      </c>
      <c r="H148" s="12">
        <v>33601</v>
      </c>
      <c r="I148" s="66">
        <v>69159</v>
      </c>
      <c r="J148" s="48" t="s">
        <v>253</v>
      </c>
      <c r="K148" s="48">
        <v>77</v>
      </c>
      <c r="L148" s="43" t="s">
        <v>41</v>
      </c>
      <c r="M148" s="44" t="s">
        <v>400</v>
      </c>
      <c r="N148" s="43" t="s">
        <v>62</v>
      </c>
      <c r="O148" s="43"/>
      <c r="P148" s="44"/>
      <c r="Q148" s="43"/>
      <c r="R148" s="43" t="s">
        <v>2</v>
      </c>
      <c r="S148" s="45">
        <v>44593</v>
      </c>
      <c r="T148" s="58" t="str">
        <f>IF(Tableau1[[#This Row],[DMS_SAP]]="","",HYPERLINK(Tableau1[[#This Row],[Chemin fichier source]],"X"))</f>
        <v/>
      </c>
      <c r="U148" s="58" t="str">
        <f>IF(Tableau1[[#This Row],[Date rév.]]="","",HYPERLINK(Tableau1[[#This Row],[Lien document]],"X"))</f>
        <v/>
      </c>
      <c r="V148" s="44"/>
      <c r="W148"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\T040-P130_33601.pdf</v>
      </c>
      <c r="X148" s="44">
        <v>14</v>
      </c>
      <c r="Y148" s="44">
        <v>2</v>
      </c>
      <c r="Z148" s="41" t="str">
        <f ca="1">IF(AND(Tableau1[[#This Row],[Charge]]&lt;&gt;0, Tableau1[[#This Row],[Nombre intervenants]]&lt;&gt;0,Tableau1[[#This Row],[Lien document]]&lt;&gt;0,Tableau1[[#This Row],[DMS_SAP]]&lt;&gt;0)=TRUE,"MIS A JOUR","")</f>
        <v/>
      </c>
      <c r="AA148" s="45"/>
      <c r="AB148" s="55" t="str">
        <f ca="1">IF(Tableau1[[#This Row],[Date rév.]]&lt;&gt;"", DAYS360(Tableau1[[#This Row],[Date rév.]],TODAY()),"")</f>
        <v/>
      </c>
      <c r="AC148" s="47">
        <f>IFERROR(INDEX(Chemin_accès!$B$11:$C$22,MATCH(Tableau1[[#This Row],[Type]],Chemin_accès!$C$11:$C$22,0),1),Chemin_accès!$B$11)</f>
        <v>0</v>
      </c>
      <c r="AD148" s="47" t="str">
        <f>Chemin_accès!$B$8&amp;Tableau1[[#This Row],[Localisation / Classement]]&amp;"\"&amp;Tableau1[[#This Row],[Poste technique]]&amp;"_"&amp;Tableau1[[#This Row],[Plan Entretien]]&amp;".xlsm"</f>
        <v>20KV POSTES ELECTRIQUES \T040-P130_33601.xlsm</v>
      </c>
    </row>
    <row r="149" spans="1:30" x14ac:dyDescent="0.3">
      <c r="A149" s="41" t="str">
        <f t="shared" ca="1" si="2"/>
        <v>7.MNRJ</v>
      </c>
      <c r="B1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9" s="43"/>
      <c r="D149" s="41" t="s">
        <v>440</v>
      </c>
      <c r="E149" s="41" t="s">
        <v>135</v>
      </c>
      <c r="F149" s="44" t="s">
        <v>224</v>
      </c>
      <c r="G149" s="44" t="s">
        <v>225</v>
      </c>
      <c r="H149" s="12">
        <v>33601</v>
      </c>
      <c r="I149" s="66">
        <v>68943</v>
      </c>
      <c r="J149" s="48" t="s">
        <v>252</v>
      </c>
      <c r="K149" s="48">
        <v>68</v>
      </c>
      <c r="L149" s="43" t="s">
        <v>446</v>
      </c>
      <c r="M149" s="44" t="s">
        <v>401</v>
      </c>
      <c r="N149" s="43" t="s">
        <v>62</v>
      </c>
      <c r="O149" s="43"/>
      <c r="P149" s="44"/>
      <c r="Q149" s="43"/>
      <c r="R149" s="43" t="s">
        <v>2</v>
      </c>
      <c r="S149" s="45">
        <v>44593</v>
      </c>
      <c r="T149" s="58" t="str">
        <f>IF(Tableau1[[#This Row],[DMS_SAP]]="","",HYPERLINK(Tableau1[[#This Row],[Chemin fichier source]],"X"))</f>
        <v/>
      </c>
      <c r="U149" s="58" t="str">
        <f>IF(Tableau1[[#This Row],[Date rév.]]="","",HYPERLINK(Tableau1[[#This Row],[Lien document]],"X"))</f>
        <v/>
      </c>
      <c r="V149" s="44"/>
      <c r="W149"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\T040-P130_33601.pdf</v>
      </c>
      <c r="X149" s="44">
        <v>72</v>
      </c>
      <c r="Y149" s="44">
        <v>2</v>
      </c>
      <c r="Z149" s="41" t="str">
        <f ca="1">IF(AND(Tableau1[[#This Row],[Charge]]&lt;&gt;0, Tableau1[[#This Row],[Nombre intervenants]]&lt;&gt;0,Tableau1[[#This Row],[Lien document]]&lt;&gt;0,Tableau1[[#This Row],[DMS_SAP]]&lt;&gt;0)=TRUE,"MIS A JOUR","")</f>
        <v/>
      </c>
      <c r="AA149" s="45"/>
      <c r="AB149" s="55" t="str">
        <f ca="1">IF(Tableau1[[#This Row],[Date rév.]]&lt;&gt;"", DAYS360(Tableau1[[#This Row],[Date rév.]],TODAY()),"")</f>
        <v/>
      </c>
      <c r="AC149" s="47">
        <f>IFERROR(INDEX(Chemin_accès!$B$11:$C$22,MATCH(Tableau1[[#This Row],[Type]],Chemin_accès!$C$11:$C$22,0),1),Chemin_accès!$B$11)</f>
        <v>0</v>
      </c>
      <c r="AD149" s="47" t="str">
        <f>Chemin_accès!$B$8&amp;Tableau1[[#This Row],[Localisation / Classement]]&amp;"\"&amp;Tableau1[[#This Row],[Poste technique]]&amp;"_"&amp;Tableau1[[#This Row],[Plan Entretien]]&amp;".xlsm"</f>
        <v>20KV POSTES ELECTRIQUES \T040-P130_33601.xlsm</v>
      </c>
    </row>
    <row r="150" spans="1:30" x14ac:dyDescent="0.3">
      <c r="A150" s="41" t="str">
        <f t="shared" ca="1" si="2"/>
        <v>7.MNRJ</v>
      </c>
      <c r="B1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0" s="43"/>
      <c r="D150" s="41" t="s">
        <v>440</v>
      </c>
      <c r="E150" s="41" t="s">
        <v>135</v>
      </c>
      <c r="F150" s="44" t="s">
        <v>224</v>
      </c>
      <c r="G150" s="44" t="s">
        <v>225</v>
      </c>
      <c r="H150" s="12">
        <v>33601</v>
      </c>
      <c r="I150" s="66">
        <v>68959</v>
      </c>
      <c r="J150" s="48" t="s">
        <v>252</v>
      </c>
      <c r="K150" s="48">
        <v>96</v>
      </c>
      <c r="L150" s="43" t="s">
        <v>446</v>
      </c>
      <c r="M150" s="44" t="s">
        <v>402</v>
      </c>
      <c r="N150" s="43" t="s">
        <v>62</v>
      </c>
      <c r="O150" s="43"/>
      <c r="P150" s="44"/>
      <c r="Q150" s="43"/>
      <c r="R150" s="43" t="s">
        <v>2</v>
      </c>
      <c r="S150" s="45">
        <v>44593</v>
      </c>
      <c r="T150" s="58" t="str">
        <f>IF(Tableau1[[#This Row],[DMS_SAP]]="","",HYPERLINK(Tableau1[[#This Row],[Chemin fichier source]],"X"))</f>
        <v/>
      </c>
      <c r="U150" s="58" t="str">
        <f>IF(Tableau1[[#This Row],[Date rév.]]="","",HYPERLINK(Tableau1[[#This Row],[Lien document]],"X"))</f>
        <v/>
      </c>
      <c r="V150" s="44"/>
      <c r="W150"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\T040-P130_33601.pdf</v>
      </c>
      <c r="X150" s="44">
        <v>12</v>
      </c>
      <c r="Y150" s="44">
        <v>2</v>
      </c>
      <c r="Z150" s="41" t="str">
        <f ca="1">IF(AND(Tableau1[[#This Row],[Charge]]&lt;&gt;0, Tableau1[[#This Row],[Nombre intervenants]]&lt;&gt;0,Tableau1[[#This Row],[Lien document]]&lt;&gt;0,Tableau1[[#This Row],[DMS_SAP]]&lt;&gt;0)=TRUE,"MIS A JOUR","")</f>
        <v/>
      </c>
      <c r="AA150" s="45"/>
      <c r="AB150" s="55" t="str">
        <f ca="1">IF(Tableau1[[#This Row],[Date rév.]]&lt;&gt;"", DAYS360(Tableau1[[#This Row],[Date rév.]],TODAY()),"")</f>
        <v/>
      </c>
      <c r="AC150" s="47">
        <f>IFERROR(INDEX(Chemin_accès!$B$11:$C$22,MATCH(Tableau1[[#This Row],[Type]],Chemin_accès!$C$11:$C$22,0),1),Chemin_accès!$B$11)</f>
        <v>0</v>
      </c>
      <c r="AD150" s="47" t="str">
        <f>Chemin_accès!$B$8&amp;Tableau1[[#This Row],[Localisation / Classement]]&amp;"\"&amp;Tableau1[[#This Row],[Poste technique]]&amp;"_"&amp;Tableau1[[#This Row],[Plan Entretien]]&amp;".xlsm"</f>
        <v>20KV POSTES ELECTRIQUES \T040-P130_33601.xlsm</v>
      </c>
    </row>
    <row r="151" spans="1:30" x14ac:dyDescent="0.3">
      <c r="A151" s="41" t="str">
        <f t="shared" ca="1" si="2"/>
        <v>7.MNRJ</v>
      </c>
      <c r="B1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1" s="43"/>
      <c r="D151" s="41" t="s">
        <v>440</v>
      </c>
      <c r="E151" s="41" t="s">
        <v>135</v>
      </c>
      <c r="F151" s="44" t="s">
        <v>226</v>
      </c>
      <c r="G151" s="44" t="s">
        <v>227</v>
      </c>
      <c r="H151" s="12">
        <v>33601</v>
      </c>
      <c r="I151" s="66">
        <v>68973</v>
      </c>
      <c r="J151" s="48" t="s">
        <v>253</v>
      </c>
      <c r="K151" s="48">
        <v>14</v>
      </c>
      <c r="L151" s="43" t="s">
        <v>82</v>
      </c>
      <c r="M151" s="44" t="s">
        <v>403</v>
      </c>
      <c r="N151" s="43" t="s">
        <v>62</v>
      </c>
      <c r="O151" s="43"/>
      <c r="P151" s="44"/>
      <c r="Q151" s="43"/>
      <c r="R151" s="43" t="s">
        <v>2</v>
      </c>
      <c r="S151" s="45">
        <v>44593</v>
      </c>
      <c r="T151" s="58" t="str">
        <f>IF(Tableau1[[#This Row],[DMS_SAP]]="","",HYPERLINK(Tableau1[[#This Row],[Chemin fichier source]],"X"))</f>
        <v/>
      </c>
      <c r="U151" s="58" t="str">
        <f>IF(Tableau1[[#This Row],[Date rév.]]="","",HYPERLINK(Tableau1[[#This Row],[Lien document]],"X"))</f>
        <v/>
      </c>
      <c r="V151" s="44"/>
      <c r="W151"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\T040-P140_33601.pdf</v>
      </c>
      <c r="X151" s="44">
        <v>4</v>
      </c>
      <c r="Y151" s="44">
        <v>2</v>
      </c>
      <c r="Z151" s="41" t="str">
        <f ca="1">IF(AND(Tableau1[[#This Row],[Charge]]&lt;&gt;0, Tableau1[[#This Row],[Nombre intervenants]]&lt;&gt;0,Tableau1[[#This Row],[Lien document]]&lt;&gt;0,Tableau1[[#This Row],[DMS_SAP]]&lt;&gt;0)=TRUE,"MIS A JOUR","")</f>
        <v/>
      </c>
      <c r="AA151" s="45"/>
      <c r="AB151" s="55" t="str">
        <f ca="1">IF(Tableau1[[#This Row],[Date rév.]]&lt;&gt;"", DAYS360(Tableau1[[#This Row],[Date rév.]],TODAY()),"")</f>
        <v/>
      </c>
      <c r="AC151" s="47">
        <f>IFERROR(INDEX(Chemin_accès!$B$11:$C$22,MATCH(Tableau1[[#This Row],[Type]],Chemin_accès!$C$11:$C$22,0),1),Chemin_accès!$B$11)</f>
        <v>0</v>
      </c>
      <c r="AD151" s="47" t="str">
        <f>Chemin_accès!$B$8&amp;Tableau1[[#This Row],[Localisation / Classement]]&amp;"\"&amp;Tableau1[[#This Row],[Poste technique]]&amp;"_"&amp;Tableau1[[#This Row],[Plan Entretien]]&amp;".xlsm"</f>
        <v>20KV POSTES ELECTRIQUES \T040-P140_33601.xlsm</v>
      </c>
    </row>
    <row r="152" spans="1:30" x14ac:dyDescent="0.3">
      <c r="A152" s="41" t="str">
        <f t="shared" ca="1" si="2"/>
        <v>7.MNRJ</v>
      </c>
      <c r="B1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2" s="43"/>
      <c r="D152" s="41" t="s">
        <v>440</v>
      </c>
      <c r="E152" s="41" t="s">
        <v>135</v>
      </c>
      <c r="F152" s="44" t="s">
        <v>226</v>
      </c>
      <c r="G152" s="44" t="s">
        <v>227</v>
      </c>
      <c r="H152" s="12">
        <v>33601</v>
      </c>
      <c r="I152" s="66">
        <v>68982</v>
      </c>
      <c r="J152" s="48" t="s">
        <v>253</v>
      </c>
      <c r="K152" s="48">
        <v>23</v>
      </c>
      <c r="L152" s="43" t="s">
        <v>82</v>
      </c>
      <c r="M152" s="44" t="s">
        <v>404</v>
      </c>
      <c r="N152" s="43" t="s">
        <v>62</v>
      </c>
      <c r="O152" s="43"/>
      <c r="P152" s="44"/>
      <c r="Q152" s="43"/>
      <c r="R152" s="43" t="s">
        <v>2</v>
      </c>
      <c r="S152" s="45">
        <v>44593</v>
      </c>
      <c r="T152" s="58" t="str">
        <f>IF(Tableau1[[#This Row],[DMS_SAP]]="","",HYPERLINK(Tableau1[[#This Row],[Chemin fichier source]],"X"))</f>
        <v/>
      </c>
      <c r="U152" s="58" t="str">
        <f>IF(Tableau1[[#This Row],[Date rév.]]="","",HYPERLINK(Tableau1[[#This Row],[Lien document]],"X"))</f>
        <v/>
      </c>
      <c r="V152" s="44"/>
      <c r="W152" s="49"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\T040-P140_33601.pdf</v>
      </c>
      <c r="X152" s="44">
        <v>2</v>
      </c>
      <c r="Y152" s="44">
        <v>2</v>
      </c>
      <c r="Z152" s="41" t="str">
        <f ca="1">IF(AND(Tableau1[[#This Row],[Charge]]&lt;&gt;0, Tableau1[[#This Row],[Nombre intervenants]]&lt;&gt;0,Tableau1[[#This Row],[Lien document]]&lt;&gt;0,Tableau1[[#This Row],[DMS_SAP]]&lt;&gt;0)=TRUE,"MIS A JOUR","")</f>
        <v/>
      </c>
      <c r="AA152" s="45"/>
      <c r="AB152" s="55" t="str">
        <f ca="1">IF(Tableau1[[#This Row],[Date rév.]]&lt;&gt;"", DAYS360(Tableau1[[#This Row],[Date rév.]],TODAY()),"")</f>
        <v/>
      </c>
      <c r="AC152" s="47">
        <f>IFERROR(INDEX(Chemin_accès!$B$11:$C$22,MATCH(Tableau1[[#This Row],[Type]],Chemin_accès!$C$11:$C$22,0),1),Chemin_accès!$B$11)</f>
        <v>0</v>
      </c>
      <c r="AD152" s="47" t="str">
        <f>Chemin_accès!$B$8&amp;Tableau1[[#This Row],[Localisation / Classement]]&amp;"\"&amp;Tableau1[[#This Row],[Poste technique]]&amp;"_"&amp;Tableau1[[#This Row],[Plan Entretien]]&amp;".xlsm"</f>
        <v>20KV POSTES ELECTRIQUES \T040-P140_33601.xlsm</v>
      </c>
    </row>
    <row r="153" spans="1:30" x14ac:dyDescent="0.3">
      <c r="A153" s="41" t="str">
        <f t="shared" ca="1" si="2"/>
        <v>7.MNRJ</v>
      </c>
      <c r="B1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3" s="43"/>
      <c r="D153" s="41" t="s">
        <v>440</v>
      </c>
      <c r="E153" s="41" t="s">
        <v>135</v>
      </c>
      <c r="F153" s="44" t="s">
        <v>226</v>
      </c>
      <c r="G153" s="44" t="s">
        <v>227</v>
      </c>
      <c r="H153" s="12">
        <v>33601</v>
      </c>
      <c r="I153" s="66">
        <v>68944</v>
      </c>
      <c r="J153" s="48" t="s">
        <v>252</v>
      </c>
      <c r="K153" s="48">
        <v>81</v>
      </c>
      <c r="L153" s="43" t="s">
        <v>446</v>
      </c>
      <c r="M153" s="44" t="s">
        <v>405</v>
      </c>
      <c r="N153" s="43" t="s">
        <v>62</v>
      </c>
      <c r="O153" s="43"/>
      <c r="P153" s="44"/>
      <c r="Q153" s="43"/>
      <c r="R153" s="43" t="s">
        <v>2</v>
      </c>
      <c r="S153" s="45">
        <v>44593</v>
      </c>
      <c r="T153" s="58" t="str">
        <f>IF(Tableau1[[#This Row],[DMS_SAP]]="","",HYPERLINK(Tableau1[[#This Row],[Chemin fichier source]],"X"))</f>
        <v/>
      </c>
      <c r="U153" s="58" t="str">
        <f>IF(Tableau1[[#This Row],[Date rév.]]="","",HYPERLINK(Tableau1[[#This Row],[Lien document]],"X"))</f>
        <v/>
      </c>
      <c r="V153" s="44"/>
      <c r="W153" s="49"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\T040-P140_33601.pdf</v>
      </c>
      <c r="X153" s="44">
        <v>72</v>
      </c>
      <c r="Y153" s="44">
        <v>2</v>
      </c>
      <c r="Z153" s="41" t="str">
        <f ca="1">IF(AND(Tableau1[[#This Row],[Charge]]&lt;&gt;0, Tableau1[[#This Row],[Nombre intervenants]]&lt;&gt;0,Tableau1[[#This Row],[Lien document]]&lt;&gt;0,Tableau1[[#This Row],[DMS_SAP]]&lt;&gt;0)=TRUE,"MIS A JOUR","")</f>
        <v/>
      </c>
      <c r="AA153" s="45"/>
      <c r="AB153" s="55" t="str">
        <f ca="1">IF(Tableau1[[#This Row],[Date rév.]]&lt;&gt;"", DAYS360(Tableau1[[#This Row],[Date rév.]],TODAY()),"")</f>
        <v/>
      </c>
      <c r="AC153" s="47">
        <f>IFERROR(INDEX(Chemin_accès!$B$11:$C$22,MATCH(Tableau1[[#This Row],[Type]],Chemin_accès!$C$11:$C$22,0),1),Chemin_accès!$B$11)</f>
        <v>0</v>
      </c>
      <c r="AD153" s="47" t="str">
        <f>Chemin_accès!$B$8&amp;Tableau1[[#This Row],[Localisation / Classement]]&amp;"\"&amp;Tableau1[[#This Row],[Poste technique]]&amp;"_"&amp;Tableau1[[#This Row],[Plan Entretien]]&amp;".xlsm"</f>
        <v>20KV POSTES ELECTRIQUES \T040-P140_33601.xlsm</v>
      </c>
    </row>
    <row r="154" spans="1:30" x14ac:dyDescent="0.3">
      <c r="A154" s="41" t="str">
        <f t="shared" ca="1" si="2"/>
        <v>7.MNRJ</v>
      </c>
      <c r="B1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4" s="43"/>
      <c r="D154" s="41" t="s">
        <v>440</v>
      </c>
      <c r="E154" s="41" t="s">
        <v>135</v>
      </c>
      <c r="F154" s="44" t="s">
        <v>226</v>
      </c>
      <c r="G154" s="44" t="s">
        <v>227</v>
      </c>
      <c r="H154" s="12">
        <v>33601</v>
      </c>
      <c r="I154" s="66">
        <v>68960</v>
      </c>
      <c r="J154" s="48" t="s">
        <v>252</v>
      </c>
      <c r="K154" s="48">
        <v>97</v>
      </c>
      <c r="L154" s="43" t="s">
        <v>446</v>
      </c>
      <c r="M154" s="44" t="s">
        <v>406</v>
      </c>
      <c r="N154" s="43" t="s">
        <v>62</v>
      </c>
      <c r="O154" s="43"/>
      <c r="P154" s="44"/>
      <c r="Q154" s="43"/>
      <c r="R154" s="43" t="s">
        <v>2</v>
      </c>
      <c r="S154" s="45">
        <v>44593</v>
      </c>
      <c r="T154" s="58" t="str">
        <f>IF(Tableau1[[#This Row],[DMS_SAP]]="","",HYPERLINK(Tableau1[[#This Row],[Chemin fichier source]],"X"))</f>
        <v/>
      </c>
      <c r="U154" s="58" t="str">
        <f>IF(Tableau1[[#This Row],[Date rév.]]="","",HYPERLINK(Tableau1[[#This Row],[Lien document]],"X"))</f>
        <v/>
      </c>
      <c r="V154" s="44"/>
      <c r="W154" s="49"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\T040-P140_33601.pdf</v>
      </c>
      <c r="X154" s="44">
        <v>12</v>
      </c>
      <c r="Y154" s="44">
        <v>2</v>
      </c>
      <c r="Z154" s="41" t="str">
        <f ca="1">IF(AND(Tableau1[[#This Row],[Charge]]&lt;&gt;0, Tableau1[[#This Row],[Nombre intervenants]]&lt;&gt;0,Tableau1[[#This Row],[Lien document]]&lt;&gt;0,Tableau1[[#This Row],[DMS_SAP]]&lt;&gt;0)=TRUE,"MIS A JOUR","")</f>
        <v/>
      </c>
      <c r="AA154" s="45"/>
      <c r="AB154" s="55" t="str">
        <f ca="1">IF(Tableau1[[#This Row],[Date rév.]]&lt;&gt;"", DAYS360(Tableau1[[#This Row],[Date rév.]],TODAY()),"")</f>
        <v/>
      </c>
      <c r="AC154" s="47">
        <f>IFERROR(INDEX(Chemin_accès!$B$11:$C$22,MATCH(Tableau1[[#This Row],[Type]],Chemin_accès!$C$11:$C$22,0),1),Chemin_accès!$B$11)</f>
        <v>0</v>
      </c>
      <c r="AD154" s="47" t="str">
        <f>Chemin_accès!$B$8&amp;Tableau1[[#This Row],[Localisation / Classement]]&amp;"\"&amp;Tableau1[[#This Row],[Poste technique]]&amp;"_"&amp;Tableau1[[#This Row],[Plan Entretien]]&amp;".xlsm"</f>
        <v>20KV POSTES ELECTRIQUES \T040-P140_33601.xlsm</v>
      </c>
    </row>
    <row r="155" spans="1:30" x14ac:dyDescent="0.3">
      <c r="A155" s="41" t="str">
        <f t="shared" ca="1" si="2"/>
        <v>7.MNRJ</v>
      </c>
      <c r="B1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5" s="43"/>
      <c r="D155" s="41" t="s">
        <v>440</v>
      </c>
      <c r="E155" s="41" t="s">
        <v>135</v>
      </c>
      <c r="F155" s="44" t="s">
        <v>228</v>
      </c>
      <c r="G155" s="44" t="s">
        <v>229</v>
      </c>
      <c r="H155" s="12">
        <v>33601</v>
      </c>
      <c r="I155" s="66">
        <v>68983</v>
      </c>
      <c r="J155" s="48" t="s">
        <v>253</v>
      </c>
      <c r="K155" s="48">
        <v>24</v>
      </c>
      <c r="L155" s="43" t="s">
        <v>82</v>
      </c>
      <c r="M155" s="44" t="s">
        <v>407</v>
      </c>
      <c r="N155" s="43" t="s">
        <v>62</v>
      </c>
      <c r="O155" s="43"/>
      <c r="P155" s="44"/>
      <c r="Q155" s="43"/>
      <c r="R155" s="43" t="s">
        <v>2</v>
      </c>
      <c r="S155" s="45">
        <v>44593</v>
      </c>
      <c r="T155" s="58" t="str">
        <f>IF(Tableau1[[#This Row],[DMS_SAP]]="","",HYPERLINK(Tableau1[[#This Row],[Chemin fichier source]],"X"))</f>
        <v/>
      </c>
      <c r="U155" s="58" t="str">
        <f>IF(Tableau1[[#This Row],[Date rév.]]="","",HYPERLINK(Tableau1[[#This Row],[Lien document]],"X"))</f>
        <v/>
      </c>
      <c r="V155" s="44"/>
      <c r="W15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\T040-P150_33601.pdf</v>
      </c>
      <c r="X155" s="44">
        <v>2</v>
      </c>
      <c r="Y155" s="44">
        <v>2</v>
      </c>
      <c r="Z155" s="41" t="str">
        <f ca="1">IF(AND(Tableau1[[#This Row],[Charge]]&lt;&gt;0, Tableau1[[#This Row],[Nombre intervenants]]&lt;&gt;0,Tableau1[[#This Row],[Lien document]]&lt;&gt;0,Tableau1[[#This Row],[DMS_SAP]]&lt;&gt;0)=TRUE,"MIS A JOUR","")</f>
        <v/>
      </c>
      <c r="AA155" s="45"/>
      <c r="AB155" s="55" t="str">
        <f ca="1">IF(Tableau1[[#This Row],[Date rév.]]&lt;&gt;"", DAYS360(Tableau1[[#This Row],[Date rév.]],TODAY()),"")</f>
        <v/>
      </c>
      <c r="AC155" s="47">
        <f>IFERROR(INDEX(Chemin_accès!$B$11:$C$22,MATCH(Tableau1[[#This Row],[Type]],Chemin_accès!$C$11:$C$22,0),1),Chemin_accès!$B$11)</f>
        <v>0</v>
      </c>
      <c r="AD155" s="47" t="str">
        <f>Chemin_accès!$B$8&amp;Tableau1[[#This Row],[Localisation / Classement]]&amp;"\"&amp;Tableau1[[#This Row],[Poste technique]]&amp;"_"&amp;Tableau1[[#This Row],[Plan Entretien]]&amp;".xlsm"</f>
        <v>20KV POSTES ELECTRIQUES \T040-P150_33601.xlsm</v>
      </c>
    </row>
    <row r="156" spans="1:30" x14ac:dyDescent="0.3">
      <c r="A156" s="41" t="str">
        <f t="shared" ca="1" si="2"/>
        <v>7.MNRJ</v>
      </c>
      <c r="B1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6" s="43"/>
      <c r="D156" s="41" t="s">
        <v>440</v>
      </c>
      <c r="E156" s="41" t="s">
        <v>135</v>
      </c>
      <c r="F156" s="44" t="s">
        <v>228</v>
      </c>
      <c r="G156" s="44" t="s">
        <v>229</v>
      </c>
      <c r="H156" s="12">
        <v>33601</v>
      </c>
      <c r="I156" s="66">
        <v>69161</v>
      </c>
      <c r="J156" s="48" t="s">
        <v>253</v>
      </c>
      <c r="K156" s="48">
        <v>79</v>
      </c>
      <c r="L156" s="43" t="s">
        <v>41</v>
      </c>
      <c r="M156" s="44" t="s">
        <v>408</v>
      </c>
      <c r="N156" s="43" t="s">
        <v>62</v>
      </c>
      <c r="O156" s="43"/>
      <c r="P156" s="44"/>
      <c r="Q156" s="43"/>
      <c r="R156" s="43" t="s">
        <v>2</v>
      </c>
      <c r="S156" s="45">
        <v>44593</v>
      </c>
      <c r="T156" s="58" t="str">
        <f>IF(Tableau1[[#This Row],[DMS_SAP]]="","",HYPERLINK(Tableau1[[#This Row],[Chemin fichier source]],"X"))</f>
        <v/>
      </c>
      <c r="U156" s="58" t="str">
        <f>IF(Tableau1[[#This Row],[Date rév.]]="","",HYPERLINK(Tableau1[[#This Row],[Lien document]],"X"))</f>
        <v/>
      </c>
      <c r="V156" s="44"/>
      <c r="W15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\T040-P150_33601.pdf</v>
      </c>
      <c r="X156" s="44">
        <v>6</v>
      </c>
      <c r="Y156" s="44">
        <v>2</v>
      </c>
      <c r="Z156" s="41" t="str">
        <f ca="1">IF(AND(Tableau1[[#This Row],[Charge]]&lt;&gt;0, Tableau1[[#This Row],[Nombre intervenants]]&lt;&gt;0,Tableau1[[#This Row],[Lien document]]&lt;&gt;0,Tableau1[[#This Row],[DMS_SAP]]&lt;&gt;0)=TRUE,"MIS A JOUR","")</f>
        <v/>
      </c>
      <c r="AA156" s="45"/>
      <c r="AB156" s="55" t="str">
        <f ca="1">IF(Tableau1[[#This Row],[Date rév.]]&lt;&gt;"", DAYS360(Tableau1[[#This Row],[Date rév.]],TODAY()),"")</f>
        <v/>
      </c>
      <c r="AC156" s="47">
        <f>IFERROR(INDEX(Chemin_accès!$B$11:$C$22,MATCH(Tableau1[[#This Row],[Type]],Chemin_accès!$C$11:$C$22,0),1),Chemin_accès!$B$11)</f>
        <v>0</v>
      </c>
      <c r="AD156" s="47" t="str">
        <f>Chemin_accès!$B$8&amp;Tableau1[[#This Row],[Localisation / Classement]]&amp;"\"&amp;Tableau1[[#This Row],[Poste technique]]&amp;"_"&amp;Tableau1[[#This Row],[Plan Entretien]]&amp;".xlsm"</f>
        <v>20KV POSTES ELECTRIQUES \T040-P150_33601.xlsm</v>
      </c>
    </row>
    <row r="157" spans="1:30" x14ac:dyDescent="0.3">
      <c r="A157" s="41" t="str">
        <f t="shared" ca="1" si="2"/>
        <v>7.MNRJ</v>
      </c>
      <c r="B1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7" s="60"/>
      <c r="D157" s="41" t="s">
        <v>440</v>
      </c>
      <c r="E157" s="41" t="s">
        <v>135</v>
      </c>
      <c r="F157" s="44" t="s">
        <v>228</v>
      </c>
      <c r="G157" s="44" t="s">
        <v>229</v>
      </c>
      <c r="H157" s="12">
        <v>33601</v>
      </c>
      <c r="I157" s="66">
        <v>68945</v>
      </c>
      <c r="J157" s="48" t="s">
        <v>252</v>
      </c>
      <c r="K157" s="48">
        <v>82</v>
      </c>
      <c r="L157" s="43" t="s">
        <v>446</v>
      </c>
      <c r="M157" s="44" t="s">
        <v>409</v>
      </c>
      <c r="N157" s="43" t="s">
        <v>62</v>
      </c>
      <c r="O157" s="43"/>
      <c r="P157" s="44"/>
      <c r="Q157" s="43"/>
      <c r="R157" s="43" t="s">
        <v>2</v>
      </c>
      <c r="S157" s="45">
        <v>44593</v>
      </c>
      <c r="T157" s="58" t="str">
        <f>IF(Tableau1[[#This Row],[DMS_SAP]]="","",HYPERLINK(Tableau1[[#This Row],[Chemin fichier source]],"X"))</f>
        <v/>
      </c>
      <c r="U157" s="58" t="str">
        <f>IF(Tableau1[[#This Row],[Date rév.]]="","",HYPERLINK(Tableau1[[#This Row],[Lien document]],"X"))</f>
        <v/>
      </c>
      <c r="V157" s="44"/>
      <c r="W157"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\T040-P150_33601.pdf</v>
      </c>
      <c r="X157" s="44">
        <v>24</v>
      </c>
      <c r="Y157" s="44">
        <v>2</v>
      </c>
      <c r="Z157" s="41" t="str">
        <f ca="1">IF(AND(Tableau1[[#This Row],[Charge]]&lt;&gt;0, Tableau1[[#This Row],[Nombre intervenants]]&lt;&gt;0,Tableau1[[#This Row],[Lien document]]&lt;&gt;0,Tableau1[[#This Row],[DMS_SAP]]&lt;&gt;0)=TRUE,"MIS A JOUR","")</f>
        <v/>
      </c>
      <c r="AA157" s="45"/>
      <c r="AB157" s="55" t="str">
        <f ca="1">IF(Tableau1[[#This Row],[Date rév.]]&lt;&gt;"", DAYS360(Tableau1[[#This Row],[Date rév.]],TODAY()),"")</f>
        <v/>
      </c>
      <c r="AC157" s="47">
        <f>IFERROR(INDEX(Chemin_accès!$B$11:$C$22,MATCH(Tableau1[[#This Row],[Type]],Chemin_accès!$C$11:$C$22,0),1),Chemin_accès!$B$11)</f>
        <v>0</v>
      </c>
      <c r="AD157" s="47" t="str">
        <f>Chemin_accès!$B$8&amp;Tableau1[[#This Row],[Localisation / Classement]]&amp;"\"&amp;Tableau1[[#This Row],[Poste technique]]&amp;"_"&amp;Tableau1[[#This Row],[Plan Entretien]]&amp;".xlsm"</f>
        <v>20KV POSTES ELECTRIQUES \T040-P150_33601.xlsm</v>
      </c>
    </row>
    <row r="158" spans="1:30" x14ac:dyDescent="0.3">
      <c r="A158" s="41" t="str">
        <f t="shared" ca="1" si="2"/>
        <v>7.MNRJ</v>
      </c>
      <c r="B1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8" s="43"/>
      <c r="D158" s="41" t="s">
        <v>440</v>
      </c>
      <c r="E158" s="41" t="s">
        <v>135</v>
      </c>
      <c r="F158" s="44" t="s">
        <v>228</v>
      </c>
      <c r="G158" s="44" t="s">
        <v>229</v>
      </c>
      <c r="H158" s="12">
        <v>33601</v>
      </c>
      <c r="I158" s="66">
        <v>68961</v>
      </c>
      <c r="J158" s="48" t="s">
        <v>252</v>
      </c>
      <c r="K158" s="48">
        <v>98</v>
      </c>
      <c r="L158" s="43" t="s">
        <v>446</v>
      </c>
      <c r="M158" s="44" t="s">
        <v>410</v>
      </c>
      <c r="N158" s="43" t="s">
        <v>62</v>
      </c>
      <c r="O158" s="43"/>
      <c r="P158" s="44"/>
      <c r="Q158" s="43"/>
      <c r="R158" s="43" t="s">
        <v>2</v>
      </c>
      <c r="S158" s="45">
        <v>44593</v>
      </c>
      <c r="T158" s="58" t="str">
        <f>IF(Tableau1[[#This Row],[DMS_SAP]]="","",HYPERLINK(Tableau1[[#This Row],[Chemin fichier source]],"X"))</f>
        <v/>
      </c>
      <c r="U158" s="58" t="str">
        <f>IF(Tableau1[[#This Row],[Date rév.]]="","",HYPERLINK(Tableau1[[#This Row],[Lien document]],"X"))</f>
        <v/>
      </c>
      <c r="V158" s="44"/>
      <c r="W158"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\T040-P150_33601.pdf</v>
      </c>
      <c r="X158" s="44">
        <v>8</v>
      </c>
      <c r="Y158" s="44">
        <v>2</v>
      </c>
      <c r="Z158" s="41" t="str">
        <f ca="1">IF(AND(Tableau1[[#This Row],[Charge]]&lt;&gt;0, Tableau1[[#This Row],[Nombre intervenants]]&lt;&gt;0,Tableau1[[#This Row],[Lien document]]&lt;&gt;0,Tableau1[[#This Row],[DMS_SAP]]&lt;&gt;0)=TRUE,"MIS A JOUR","")</f>
        <v/>
      </c>
      <c r="AA158" s="45"/>
      <c r="AB158" s="55" t="str">
        <f ca="1">IF(Tableau1[[#This Row],[Date rév.]]&lt;&gt;"", DAYS360(Tableau1[[#This Row],[Date rév.]],TODAY()),"")</f>
        <v/>
      </c>
      <c r="AC158" s="47">
        <f>IFERROR(INDEX(Chemin_accès!$B$11:$C$22,MATCH(Tableau1[[#This Row],[Type]],Chemin_accès!$C$11:$C$22,0),1),Chemin_accès!$B$11)</f>
        <v>0</v>
      </c>
      <c r="AD158" s="47" t="str">
        <f>Chemin_accès!$B$8&amp;Tableau1[[#This Row],[Localisation / Classement]]&amp;"\"&amp;Tableau1[[#This Row],[Poste technique]]&amp;"_"&amp;Tableau1[[#This Row],[Plan Entretien]]&amp;".xlsm"</f>
        <v>20KV POSTES ELECTRIQUES \T040-P150_33601.xlsm</v>
      </c>
    </row>
    <row r="159" spans="1:30" x14ac:dyDescent="0.3">
      <c r="A159" s="41" t="str">
        <f t="shared" ca="1" si="2"/>
        <v>7.MNRJ</v>
      </c>
      <c r="B1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9" s="43"/>
      <c r="D159" s="41" t="s">
        <v>440</v>
      </c>
      <c r="E159" s="41" t="s">
        <v>135</v>
      </c>
      <c r="F159" s="44" t="s">
        <v>230</v>
      </c>
      <c r="G159" s="44" t="s">
        <v>231</v>
      </c>
      <c r="H159" s="12">
        <v>33601</v>
      </c>
      <c r="I159" s="66">
        <v>68965</v>
      </c>
      <c r="J159" s="48" t="s">
        <v>253</v>
      </c>
      <c r="K159" s="48">
        <v>2</v>
      </c>
      <c r="L159" s="43" t="s">
        <v>446</v>
      </c>
      <c r="M159" s="44" t="s">
        <v>411</v>
      </c>
      <c r="N159" s="43" t="s">
        <v>62</v>
      </c>
      <c r="O159" s="43"/>
      <c r="P159" s="44"/>
      <c r="Q159" s="43"/>
      <c r="R159" s="43" t="s">
        <v>2</v>
      </c>
      <c r="S159" s="45">
        <v>44593</v>
      </c>
      <c r="T159" s="58" t="str">
        <f>IF(Tableau1[[#This Row],[DMS_SAP]]="","",HYPERLINK(Tableau1[[#This Row],[Chemin fichier source]],"X"))</f>
        <v/>
      </c>
      <c r="U159" s="58" t="str">
        <f>IF(Tableau1[[#This Row],[Date rév.]]="","",HYPERLINK(Tableau1[[#This Row],[Lien document]],"X"))</f>
        <v/>
      </c>
      <c r="V159" s="44"/>
      <c r="W159"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\T040-P160_33601.pdf</v>
      </c>
      <c r="X159" s="44">
        <v>8</v>
      </c>
      <c r="Y159" s="44">
        <v>2</v>
      </c>
      <c r="Z159" s="41" t="str">
        <f ca="1">IF(AND(Tableau1[[#This Row],[Charge]]&lt;&gt;0, Tableau1[[#This Row],[Nombre intervenants]]&lt;&gt;0,Tableau1[[#This Row],[Lien document]]&lt;&gt;0,Tableau1[[#This Row],[DMS_SAP]]&lt;&gt;0)=TRUE,"MIS A JOUR","")</f>
        <v/>
      </c>
      <c r="AA159" s="45"/>
      <c r="AB159" s="55" t="str">
        <f ca="1">IF(Tableau1[[#This Row],[Date rév.]]&lt;&gt;"", DAYS360(Tableau1[[#This Row],[Date rév.]],TODAY()),"")</f>
        <v/>
      </c>
      <c r="AC159" s="47">
        <f>IFERROR(INDEX(Chemin_accès!$B$11:$C$22,MATCH(Tableau1[[#This Row],[Type]],Chemin_accès!$C$11:$C$22,0),1),Chemin_accès!$B$11)</f>
        <v>0</v>
      </c>
      <c r="AD159" s="47" t="str">
        <f>Chemin_accès!$B$8&amp;Tableau1[[#This Row],[Localisation / Classement]]&amp;"\"&amp;Tableau1[[#This Row],[Poste technique]]&amp;"_"&amp;Tableau1[[#This Row],[Plan Entretien]]&amp;".xlsm"</f>
        <v>20KV POSTES ELECTRIQUES \T040-P160_33601.xlsm</v>
      </c>
    </row>
    <row r="160" spans="1:30" x14ac:dyDescent="0.3">
      <c r="A160" s="41" t="str">
        <f t="shared" ca="1" si="2"/>
        <v>7.MNRJ</v>
      </c>
      <c r="B1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0" s="43"/>
      <c r="D160" s="41" t="s">
        <v>440</v>
      </c>
      <c r="E160" s="41" t="s">
        <v>135</v>
      </c>
      <c r="F160" s="44" t="s">
        <v>230</v>
      </c>
      <c r="G160" s="44" t="s">
        <v>231</v>
      </c>
      <c r="H160" s="12">
        <v>33601</v>
      </c>
      <c r="I160" s="66">
        <v>68977</v>
      </c>
      <c r="J160" s="48" t="s">
        <v>253</v>
      </c>
      <c r="K160" s="48">
        <v>18</v>
      </c>
      <c r="L160" s="43" t="s">
        <v>82</v>
      </c>
      <c r="M160" s="44" t="s">
        <v>412</v>
      </c>
      <c r="N160" s="43" t="s">
        <v>62</v>
      </c>
      <c r="O160" s="43"/>
      <c r="P160" s="44"/>
      <c r="Q160" s="43"/>
      <c r="R160" s="43" t="s">
        <v>2</v>
      </c>
      <c r="S160" s="45">
        <v>44593</v>
      </c>
      <c r="T160" s="58" t="str">
        <f>IF(Tableau1[[#This Row],[DMS_SAP]]="","",HYPERLINK(Tableau1[[#This Row],[Chemin fichier source]],"X"))</f>
        <v/>
      </c>
      <c r="U160" s="58" t="str">
        <f>IF(Tableau1[[#This Row],[Date rév.]]="","",HYPERLINK(Tableau1[[#This Row],[Lien document]],"X"))</f>
        <v/>
      </c>
      <c r="V160" s="44"/>
      <c r="W160"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\T040-P160_33601.pdf</v>
      </c>
      <c r="X160" s="44">
        <v>4</v>
      </c>
      <c r="Y160" s="44">
        <v>2</v>
      </c>
      <c r="Z160" s="41" t="str">
        <f ca="1">IF(AND(Tableau1[[#This Row],[Charge]]&lt;&gt;0, Tableau1[[#This Row],[Nombre intervenants]]&lt;&gt;0,Tableau1[[#This Row],[Lien document]]&lt;&gt;0,Tableau1[[#This Row],[DMS_SAP]]&lt;&gt;0)=TRUE,"MIS A JOUR","")</f>
        <v/>
      </c>
      <c r="AA160" s="45"/>
      <c r="AB160" s="55" t="str">
        <f ca="1">IF(Tableau1[[#This Row],[Date rév.]]&lt;&gt;"", DAYS360(Tableau1[[#This Row],[Date rév.]],TODAY()),"")</f>
        <v/>
      </c>
      <c r="AC160" s="47">
        <f>IFERROR(INDEX(Chemin_accès!$B$11:$C$22,MATCH(Tableau1[[#This Row],[Type]],Chemin_accès!$C$11:$C$22,0),1),Chemin_accès!$B$11)</f>
        <v>0</v>
      </c>
      <c r="AD160" s="47" t="str">
        <f>Chemin_accès!$B$8&amp;Tableau1[[#This Row],[Localisation / Classement]]&amp;"\"&amp;Tableau1[[#This Row],[Poste technique]]&amp;"_"&amp;Tableau1[[#This Row],[Plan Entretien]]&amp;".xlsm"</f>
        <v>20KV POSTES ELECTRIQUES \T040-P160_33601.xlsm</v>
      </c>
    </row>
    <row r="161" spans="1:30" x14ac:dyDescent="0.3">
      <c r="A161" s="41" t="str">
        <f t="shared" ca="1" si="2"/>
        <v>7.MNRJ</v>
      </c>
      <c r="B1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1" s="43"/>
      <c r="D161" s="41" t="s">
        <v>440</v>
      </c>
      <c r="E161" s="41" t="s">
        <v>135</v>
      </c>
      <c r="F161" s="44" t="s">
        <v>230</v>
      </c>
      <c r="G161" s="44" t="s">
        <v>231</v>
      </c>
      <c r="H161" s="12">
        <v>33601</v>
      </c>
      <c r="I161" s="66">
        <v>68986</v>
      </c>
      <c r="J161" s="48" t="s">
        <v>253</v>
      </c>
      <c r="K161" s="48">
        <v>27</v>
      </c>
      <c r="L161" s="43" t="s">
        <v>82</v>
      </c>
      <c r="M161" s="44" t="s">
        <v>413</v>
      </c>
      <c r="N161" s="43" t="s">
        <v>62</v>
      </c>
      <c r="O161" s="43"/>
      <c r="P161" s="44"/>
      <c r="Q161" s="43"/>
      <c r="R161" s="43" t="s">
        <v>2</v>
      </c>
      <c r="S161" s="45">
        <v>44593</v>
      </c>
      <c r="T161" s="58" t="str">
        <f>IF(Tableau1[[#This Row],[DMS_SAP]]="","",HYPERLINK(Tableau1[[#This Row],[Chemin fichier source]],"X"))</f>
        <v/>
      </c>
      <c r="U161" s="58" t="str">
        <f>IF(Tableau1[[#This Row],[Date rév.]]="","",HYPERLINK(Tableau1[[#This Row],[Lien document]],"X"))</f>
        <v/>
      </c>
      <c r="V161" s="44"/>
      <c r="W161"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\T040-P160_33601.pdf</v>
      </c>
      <c r="X161" s="44">
        <v>2</v>
      </c>
      <c r="Y161" s="44">
        <v>2</v>
      </c>
      <c r="Z161" s="41" t="str">
        <f ca="1">IF(AND(Tableau1[[#This Row],[Charge]]&lt;&gt;0, Tableau1[[#This Row],[Nombre intervenants]]&lt;&gt;0,Tableau1[[#This Row],[Lien document]]&lt;&gt;0,Tableau1[[#This Row],[DMS_SAP]]&lt;&gt;0)=TRUE,"MIS A JOUR","")</f>
        <v/>
      </c>
      <c r="AA161" s="45"/>
      <c r="AB161" s="55" t="str">
        <f ca="1">IF(Tableau1[[#This Row],[Date rév.]]&lt;&gt;"", DAYS360(Tableau1[[#This Row],[Date rév.]],TODAY()),"")</f>
        <v/>
      </c>
      <c r="AC161" s="47">
        <f>IFERROR(INDEX(Chemin_accès!$B$11:$C$22,MATCH(Tableau1[[#This Row],[Type]],Chemin_accès!$C$11:$C$22,0),1),Chemin_accès!$B$11)</f>
        <v>0</v>
      </c>
      <c r="AD161" s="47" t="str">
        <f>Chemin_accès!$B$8&amp;Tableau1[[#This Row],[Localisation / Classement]]&amp;"\"&amp;Tableau1[[#This Row],[Poste technique]]&amp;"_"&amp;Tableau1[[#This Row],[Plan Entretien]]&amp;".xlsm"</f>
        <v>20KV POSTES ELECTRIQUES \T040-P160_33601.xlsm</v>
      </c>
    </row>
    <row r="162" spans="1:30" x14ac:dyDescent="0.3">
      <c r="A162" s="41" t="str">
        <f t="shared" ca="1" si="2"/>
        <v>7.MNRJ</v>
      </c>
      <c r="B1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2" s="43"/>
      <c r="D162" s="41" t="s">
        <v>440</v>
      </c>
      <c r="E162" s="41" t="s">
        <v>135</v>
      </c>
      <c r="F162" s="44" t="s">
        <v>230</v>
      </c>
      <c r="G162" s="44" t="s">
        <v>231</v>
      </c>
      <c r="H162" s="12">
        <v>33601</v>
      </c>
      <c r="I162" s="66">
        <v>69165</v>
      </c>
      <c r="J162" s="48" t="s">
        <v>253</v>
      </c>
      <c r="K162" s="48">
        <v>83</v>
      </c>
      <c r="L162" s="43" t="s">
        <v>41</v>
      </c>
      <c r="M162" s="44" t="s">
        <v>414</v>
      </c>
      <c r="N162" s="43" t="s">
        <v>62</v>
      </c>
      <c r="O162" s="43"/>
      <c r="P162" s="44"/>
      <c r="Q162" s="43"/>
      <c r="R162" s="43" t="s">
        <v>2</v>
      </c>
      <c r="S162" s="45">
        <v>44593</v>
      </c>
      <c r="T162" s="58" t="str">
        <f>IF(Tableau1[[#This Row],[DMS_SAP]]="","",HYPERLINK(Tableau1[[#This Row],[Chemin fichier source]],"X"))</f>
        <v/>
      </c>
      <c r="U162" s="58" t="str">
        <f>IF(Tableau1[[#This Row],[Date rév.]]="","",HYPERLINK(Tableau1[[#This Row],[Lien document]],"X"))</f>
        <v/>
      </c>
      <c r="V162" s="44"/>
      <c r="W162"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\T040-P160_33601.pdf</v>
      </c>
      <c r="X162" s="44">
        <v>4</v>
      </c>
      <c r="Y162" s="44">
        <v>2</v>
      </c>
      <c r="Z162" s="41" t="str">
        <f ca="1">IF(AND(Tableau1[[#This Row],[Charge]]&lt;&gt;0, Tableau1[[#This Row],[Nombre intervenants]]&lt;&gt;0,Tableau1[[#This Row],[Lien document]]&lt;&gt;0,Tableau1[[#This Row],[DMS_SAP]]&lt;&gt;0)=TRUE,"MIS A JOUR","")</f>
        <v/>
      </c>
      <c r="AA162" s="45"/>
      <c r="AB162" s="55" t="str">
        <f ca="1">IF(Tableau1[[#This Row],[Date rév.]]&lt;&gt;"", DAYS360(Tableau1[[#This Row],[Date rév.]],TODAY()),"")</f>
        <v/>
      </c>
      <c r="AC162" s="47">
        <f>IFERROR(INDEX(Chemin_accès!$B$11:$C$22,MATCH(Tableau1[[#This Row],[Type]],Chemin_accès!$C$11:$C$22,0),1),Chemin_accès!$B$11)</f>
        <v>0</v>
      </c>
      <c r="AD162" s="47" t="str">
        <f>Chemin_accès!$B$8&amp;Tableau1[[#This Row],[Localisation / Classement]]&amp;"\"&amp;Tableau1[[#This Row],[Poste technique]]&amp;"_"&amp;Tableau1[[#This Row],[Plan Entretien]]&amp;".xlsm"</f>
        <v>20KV POSTES ELECTRIQUES \T040-P160_33601.xlsm</v>
      </c>
    </row>
    <row r="163" spans="1:30" x14ac:dyDescent="0.3">
      <c r="A163" s="41" t="str">
        <f t="shared" ca="1" si="2"/>
        <v>7.MNRJ</v>
      </c>
      <c r="B1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3" s="43"/>
      <c r="D163" s="41" t="s">
        <v>440</v>
      </c>
      <c r="E163" s="41" t="s">
        <v>135</v>
      </c>
      <c r="F163" s="44" t="s">
        <v>230</v>
      </c>
      <c r="G163" s="44" t="s">
        <v>231</v>
      </c>
      <c r="H163" s="12">
        <v>33601</v>
      </c>
      <c r="I163" s="66">
        <v>68948</v>
      </c>
      <c r="J163" s="48" t="s">
        <v>252</v>
      </c>
      <c r="K163" s="48">
        <v>69</v>
      </c>
      <c r="L163" s="43" t="s">
        <v>446</v>
      </c>
      <c r="M163" s="44" t="s">
        <v>415</v>
      </c>
      <c r="N163" s="43" t="s">
        <v>62</v>
      </c>
      <c r="O163" s="43"/>
      <c r="P163" s="44"/>
      <c r="Q163" s="43"/>
      <c r="R163" s="43" t="s">
        <v>2</v>
      </c>
      <c r="S163" s="45">
        <v>44593</v>
      </c>
      <c r="T163" s="58" t="str">
        <f>IF(Tableau1[[#This Row],[DMS_SAP]]="","",HYPERLINK(Tableau1[[#This Row],[Chemin fichier source]],"X"))</f>
        <v/>
      </c>
      <c r="U163" s="58" t="str">
        <f>IF(Tableau1[[#This Row],[Date rév.]]="","",HYPERLINK(Tableau1[[#This Row],[Lien document]],"X"))</f>
        <v/>
      </c>
      <c r="V163" s="44"/>
      <c r="W163"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\T040-P160_33601.pdf</v>
      </c>
      <c r="X163" s="44">
        <v>16</v>
      </c>
      <c r="Y163" s="44">
        <v>2</v>
      </c>
      <c r="Z163" s="41" t="str">
        <f ca="1">IF(AND(Tableau1[[#This Row],[Charge]]&lt;&gt;0, Tableau1[[#This Row],[Nombre intervenants]]&lt;&gt;0,Tableau1[[#This Row],[Lien document]]&lt;&gt;0,Tableau1[[#This Row],[DMS_SAP]]&lt;&gt;0)=TRUE,"MIS A JOUR","")</f>
        <v/>
      </c>
      <c r="AA163" s="45"/>
      <c r="AB163" s="55" t="str">
        <f ca="1">IF(Tableau1[[#This Row],[Date rév.]]&lt;&gt;"", DAYS360(Tableau1[[#This Row],[Date rév.]],TODAY()),"")</f>
        <v/>
      </c>
      <c r="AC163" s="47">
        <f>IFERROR(INDEX(Chemin_accès!$B$11:$C$22,MATCH(Tableau1[[#This Row],[Type]],Chemin_accès!$C$11:$C$22,0),1),Chemin_accès!$B$11)</f>
        <v>0</v>
      </c>
      <c r="AD163" s="47" t="str">
        <f>Chemin_accès!$B$8&amp;Tableau1[[#This Row],[Localisation / Classement]]&amp;"\"&amp;Tableau1[[#This Row],[Poste technique]]&amp;"_"&amp;Tableau1[[#This Row],[Plan Entretien]]&amp;".xlsm"</f>
        <v>20KV POSTES ELECTRIQUES \T040-P160_33601.xlsm</v>
      </c>
    </row>
    <row r="164" spans="1:30" x14ac:dyDescent="0.3">
      <c r="A164" s="41" t="str">
        <f t="shared" ca="1" si="2"/>
        <v>7.MNRJ</v>
      </c>
      <c r="B1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4" s="43"/>
      <c r="D164" s="41" t="s">
        <v>440</v>
      </c>
      <c r="E164" s="41" t="s">
        <v>135</v>
      </c>
      <c r="F164" s="44" t="s">
        <v>232</v>
      </c>
      <c r="G164" s="44" t="s">
        <v>233</v>
      </c>
      <c r="H164" s="12">
        <v>33601</v>
      </c>
      <c r="I164" s="66">
        <v>68966</v>
      </c>
      <c r="J164" s="48" t="s">
        <v>253</v>
      </c>
      <c r="K164" s="48">
        <v>3</v>
      </c>
      <c r="L164" s="43" t="s">
        <v>446</v>
      </c>
      <c r="M164" s="44" t="s">
        <v>416</v>
      </c>
      <c r="N164" s="43" t="s">
        <v>62</v>
      </c>
      <c r="O164" s="43"/>
      <c r="P164" s="44"/>
      <c r="Q164" s="43"/>
      <c r="R164" s="43" t="s">
        <v>2</v>
      </c>
      <c r="S164" s="45">
        <v>44593</v>
      </c>
      <c r="T164" s="58" t="str">
        <f>IF(Tableau1[[#This Row],[DMS_SAP]]="","",HYPERLINK(Tableau1[[#This Row],[Chemin fichier source]],"X"))</f>
        <v/>
      </c>
      <c r="U164" s="58" t="str">
        <f>IF(Tableau1[[#This Row],[Date rév.]]="","",HYPERLINK(Tableau1[[#This Row],[Lien document]],"X"))</f>
        <v/>
      </c>
      <c r="V164" s="44"/>
      <c r="W164"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\T040-P170_33601.pdf</v>
      </c>
      <c r="X164" s="44">
        <v>8</v>
      </c>
      <c r="Y164" s="44">
        <v>2</v>
      </c>
      <c r="Z164" s="41" t="str">
        <f ca="1">IF(AND(Tableau1[[#This Row],[Charge]]&lt;&gt;0, Tableau1[[#This Row],[Nombre intervenants]]&lt;&gt;0,Tableau1[[#This Row],[Lien document]]&lt;&gt;0,Tableau1[[#This Row],[DMS_SAP]]&lt;&gt;0)=TRUE,"MIS A JOUR","")</f>
        <v/>
      </c>
      <c r="AA164" s="45"/>
      <c r="AB164" s="55" t="str">
        <f ca="1">IF(Tableau1[[#This Row],[Date rév.]]&lt;&gt;"", DAYS360(Tableau1[[#This Row],[Date rév.]],TODAY()),"")</f>
        <v/>
      </c>
      <c r="AC164" s="47">
        <f>IFERROR(INDEX(Chemin_accès!$B$11:$C$22,MATCH(Tableau1[[#This Row],[Type]],Chemin_accès!$C$11:$C$22,0),1),Chemin_accès!$B$11)</f>
        <v>0</v>
      </c>
      <c r="AD164" s="47" t="str">
        <f>Chemin_accès!$B$8&amp;Tableau1[[#This Row],[Localisation / Classement]]&amp;"\"&amp;Tableau1[[#This Row],[Poste technique]]&amp;"_"&amp;Tableau1[[#This Row],[Plan Entretien]]&amp;".xlsm"</f>
        <v>20KV POSTES ELECTRIQUES \T040-P170_33601.xlsm</v>
      </c>
    </row>
    <row r="165" spans="1:30" x14ac:dyDescent="0.3">
      <c r="A165" s="41" t="str">
        <f t="shared" ca="1" si="2"/>
        <v>7.MNRJ</v>
      </c>
      <c r="B1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5" s="43"/>
      <c r="D165" s="41" t="s">
        <v>440</v>
      </c>
      <c r="E165" s="41" t="s">
        <v>135</v>
      </c>
      <c r="F165" s="44" t="s">
        <v>232</v>
      </c>
      <c r="G165" s="44" t="s">
        <v>233</v>
      </c>
      <c r="H165" s="12">
        <v>33601</v>
      </c>
      <c r="I165" s="66">
        <v>68987</v>
      </c>
      <c r="J165" s="48" t="s">
        <v>253</v>
      </c>
      <c r="K165" s="48">
        <v>28</v>
      </c>
      <c r="L165" s="43" t="s">
        <v>82</v>
      </c>
      <c r="M165" s="44" t="s">
        <v>417</v>
      </c>
      <c r="N165" s="43" t="s">
        <v>62</v>
      </c>
      <c r="O165" s="43"/>
      <c r="P165" s="44"/>
      <c r="Q165" s="43"/>
      <c r="R165" s="43" t="s">
        <v>2</v>
      </c>
      <c r="S165" s="45">
        <v>44593</v>
      </c>
      <c r="T165" s="58" t="str">
        <f>IF(Tableau1[[#This Row],[DMS_SAP]]="","",HYPERLINK(Tableau1[[#This Row],[Chemin fichier source]],"X"))</f>
        <v/>
      </c>
      <c r="U165" s="58" t="str">
        <f>IF(Tableau1[[#This Row],[Date rév.]]="","",HYPERLINK(Tableau1[[#This Row],[Lien document]],"X"))</f>
        <v/>
      </c>
      <c r="V165" s="44"/>
      <c r="W16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\T040-P170_33601.pdf</v>
      </c>
      <c r="X165" s="44">
        <v>2</v>
      </c>
      <c r="Y165" s="44">
        <v>2</v>
      </c>
      <c r="Z165" s="41" t="str">
        <f ca="1">IF(AND(Tableau1[[#This Row],[Charge]]&lt;&gt;0, Tableau1[[#This Row],[Nombre intervenants]]&lt;&gt;0,Tableau1[[#This Row],[Lien document]]&lt;&gt;0,Tableau1[[#This Row],[DMS_SAP]]&lt;&gt;0)=TRUE,"MIS A JOUR","")</f>
        <v/>
      </c>
      <c r="AA165" s="45"/>
      <c r="AB165" s="55" t="str">
        <f ca="1">IF(Tableau1[[#This Row],[Date rév.]]&lt;&gt;"", DAYS360(Tableau1[[#This Row],[Date rév.]],TODAY()),"")</f>
        <v/>
      </c>
      <c r="AC165" s="47">
        <f>IFERROR(INDEX(Chemin_accès!$B$11:$C$22,MATCH(Tableau1[[#This Row],[Type]],Chemin_accès!$C$11:$C$22,0),1),Chemin_accès!$B$11)</f>
        <v>0</v>
      </c>
      <c r="AD165" s="47" t="str">
        <f>Chemin_accès!$B$8&amp;Tableau1[[#This Row],[Localisation / Classement]]&amp;"\"&amp;Tableau1[[#This Row],[Poste technique]]&amp;"_"&amp;Tableau1[[#This Row],[Plan Entretien]]&amp;".xlsm"</f>
        <v>20KV POSTES ELECTRIQUES \T040-P170_33601.xlsm</v>
      </c>
    </row>
    <row r="166" spans="1:30" x14ac:dyDescent="0.3">
      <c r="A166" s="41" t="str">
        <f t="shared" ca="1" si="2"/>
        <v>7.MNRJ</v>
      </c>
      <c r="B1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6" s="43"/>
      <c r="D166" s="41" t="s">
        <v>440</v>
      </c>
      <c r="E166" s="41" t="s">
        <v>135</v>
      </c>
      <c r="F166" s="44" t="s">
        <v>232</v>
      </c>
      <c r="G166" s="44" t="s">
        <v>233</v>
      </c>
      <c r="H166" s="12">
        <v>33601</v>
      </c>
      <c r="I166" s="66">
        <v>69166</v>
      </c>
      <c r="J166" s="48" t="s">
        <v>253</v>
      </c>
      <c r="K166" s="48">
        <v>84</v>
      </c>
      <c r="L166" s="43" t="s">
        <v>41</v>
      </c>
      <c r="M166" s="44" t="s">
        <v>418</v>
      </c>
      <c r="N166" s="43" t="s">
        <v>62</v>
      </c>
      <c r="O166" s="43"/>
      <c r="P166" s="44"/>
      <c r="Q166" s="43"/>
      <c r="R166" s="43" t="s">
        <v>2</v>
      </c>
      <c r="S166" s="45">
        <v>44593</v>
      </c>
      <c r="T166" s="58" t="str">
        <f>IF(Tableau1[[#This Row],[DMS_SAP]]="","",HYPERLINK(Tableau1[[#This Row],[Chemin fichier source]],"X"))</f>
        <v/>
      </c>
      <c r="U166" s="58" t="str">
        <f>IF(Tableau1[[#This Row],[Date rév.]]="","",HYPERLINK(Tableau1[[#This Row],[Lien document]],"X"))</f>
        <v/>
      </c>
      <c r="V166" s="44"/>
      <c r="W166"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\T040-P170_33601.pdf</v>
      </c>
      <c r="X166" s="44">
        <v>12</v>
      </c>
      <c r="Y166" s="44">
        <v>2</v>
      </c>
      <c r="Z166" s="41" t="str">
        <f ca="1">IF(AND(Tableau1[[#This Row],[Charge]]&lt;&gt;0, Tableau1[[#This Row],[Nombre intervenants]]&lt;&gt;0,Tableau1[[#This Row],[Lien document]]&lt;&gt;0,Tableau1[[#This Row],[DMS_SAP]]&lt;&gt;0)=TRUE,"MIS A JOUR","")</f>
        <v/>
      </c>
      <c r="AA166" s="45"/>
      <c r="AB166" s="55" t="str">
        <f ca="1">IF(Tableau1[[#This Row],[Date rév.]]&lt;&gt;"", DAYS360(Tableau1[[#This Row],[Date rév.]],TODAY()),"")</f>
        <v/>
      </c>
      <c r="AC166" s="47">
        <f>IFERROR(INDEX(Chemin_accès!$B$11:$C$22,MATCH(Tableau1[[#This Row],[Type]],Chemin_accès!$C$11:$C$22,0),1),Chemin_accès!$B$11)</f>
        <v>0</v>
      </c>
      <c r="AD166" s="47" t="str">
        <f>Chemin_accès!$B$8&amp;Tableau1[[#This Row],[Localisation / Classement]]&amp;"\"&amp;Tableau1[[#This Row],[Poste technique]]&amp;"_"&amp;Tableau1[[#This Row],[Plan Entretien]]&amp;".xlsm"</f>
        <v>20KV POSTES ELECTRIQUES \T040-P170_33601.xlsm</v>
      </c>
    </row>
    <row r="167" spans="1:30" x14ac:dyDescent="0.3">
      <c r="A167" s="41" t="str">
        <f t="shared" ca="1" si="2"/>
        <v>7.MNRJ</v>
      </c>
      <c r="B1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7" s="43"/>
      <c r="D167" s="41" t="s">
        <v>440</v>
      </c>
      <c r="E167" s="41" t="s">
        <v>135</v>
      </c>
      <c r="F167" s="44" t="s">
        <v>232</v>
      </c>
      <c r="G167" s="44" t="s">
        <v>233</v>
      </c>
      <c r="H167" s="12">
        <v>33601</v>
      </c>
      <c r="I167" s="66">
        <v>68949</v>
      </c>
      <c r="J167" s="48" t="s">
        <v>252</v>
      </c>
      <c r="K167" s="48">
        <v>86</v>
      </c>
      <c r="L167" s="43" t="s">
        <v>446</v>
      </c>
      <c r="M167" s="44" t="s">
        <v>419</v>
      </c>
      <c r="N167" s="43" t="s">
        <v>62</v>
      </c>
      <c r="O167" s="43"/>
      <c r="P167" s="44"/>
      <c r="Q167" s="43"/>
      <c r="R167" s="43" t="s">
        <v>2</v>
      </c>
      <c r="S167" s="45">
        <v>44593</v>
      </c>
      <c r="T167" s="58" t="str">
        <f>IF(Tableau1[[#This Row],[DMS_SAP]]="","",HYPERLINK(Tableau1[[#This Row],[Chemin fichier source]],"X"))</f>
        <v/>
      </c>
      <c r="U167" s="58" t="str">
        <f>IF(Tableau1[[#This Row],[Date rév.]]="","",HYPERLINK(Tableau1[[#This Row],[Lien document]],"X"))</f>
        <v/>
      </c>
      <c r="V167" s="44"/>
      <c r="W167"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\T040-P170_33601.pdf</v>
      </c>
      <c r="X167" s="44">
        <v>48</v>
      </c>
      <c r="Y167" s="44">
        <v>2</v>
      </c>
      <c r="Z167" s="41" t="str">
        <f ca="1">IF(AND(Tableau1[[#This Row],[Charge]]&lt;&gt;0, Tableau1[[#This Row],[Nombre intervenants]]&lt;&gt;0,Tableau1[[#This Row],[Lien document]]&lt;&gt;0,Tableau1[[#This Row],[DMS_SAP]]&lt;&gt;0)=TRUE,"MIS A JOUR","")</f>
        <v/>
      </c>
      <c r="AA167" s="45"/>
      <c r="AB167" s="55" t="str">
        <f ca="1">IF(Tableau1[[#This Row],[Date rév.]]&lt;&gt;"", DAYS360(Tableau1[[#This Row],[Date rév.]],TODAY()),"")</f>
        <v/>
      </c>
      <c r="AC167" s="47">
        <f>IFERROR(INDEX(Chemin_accès!$B$11:$C$22,MATCH(Tableau1[[#This Row],[Type]],Chemin_accès!$C$11:$C$22,0),1),Chemin_accès!$B$11)</f>
        <v>0</v>
      </c>
      <c r="AD167" s="47" t="str">
        <f>Chemin_accès!$B$8&amp;Tableau1[[#This Row],[Localisation / Classement]]&amp;"\"&amp;Tableau1[[#This Row],[Poste technique]]&amp;"_"&amp;Tableau1[[#This Row],[Plan Entretien]]&amp;".xlsm"</f>
        <v>20KV POSTES ELECTRIQUES \T040-P170_33601.xlsm</v>
      </c>
    </row>
    <row r="168" spans="1:30" x14ac:dyDescent="0.3">
      <c r="A168" s="41" t="str">
        <f t="shared" ca="1" si="2"/>
        <v>7.MNRJ</v>
      </c>
      <c r="B1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8" s="43"/>
      <c r="D168" s="41" t="s">
        <v>440</v>
      </c>
      <c r="E168" s="41" t="s">
        <v>135</v>
      </c>
      <c r="F168" s="44" t="s">
        <v>234</v>
      </c>
      <c r="G168" s="44" t="s">
        <v>235</v>
      </c>
      <c r="H168" s="12">
        <v>33601</v>
      </c>
      <c r="I168" s="66">
        <v>68984</v>
      </c>
      <c r="J168" s="48" t="s">
        <v>253</v>
      </c>
      <c r="K168" s="48">
        <v>25</v>
      </c>
      <c r="L168" s="43" t="s">
        <v>82</v>
      </c>
      <c r="M168" s="44" t="s">
        <v>420</v>
      </c>
      <c r="N168" s="43" t="s">
        <v>62</v>
      </c>
      <c r="O168" s="43"/>
      <c r="P168" s="44"/>
      <c r="Q168" s="43"/>
      <c r="R168" s="43" t="s">
        <v>2</v>
      </c>
      <c r="S168" s="45">
        <v>44593</v>
      </c>
      <c r="T168" s="58" t="str">
        <f>IF(Tableau1[[#This Row],[DMS_SAP]]="","",HYPERLINK(Tableau1[[#This Row],[Chemin fichier source]],"X"))</f>
        <v/>
      </c>
      <c r="U168" s="58" t="str">
        <f>IF(Tableau1[[#This Row],[Date rév.]]="","",HYPERLINK(Tableau1[[#This Row],[Lien document]],"X"))</f>
        <v/>
      </c>
      <c r="V168" s="44"/>
      <c r="W168"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\T040-P180_33601.pdf</v>
      </c>
      <c r="X168" s="44">
        <v>2</v>
      </c>
      <c r="Y168" s="44">
        <v>2</v>
      </c>
      <c r="Z168" s="41" t="str">
        <f ca="1">IF(AND(Tableau1[[#This Row],[Charge]]&lt;&gt;0, Tableau1[[#This Row],[Nombre intervenants]]&lt;&gt;0,Tableau1[[#This Row],[Lien document]]&lt;&gt;0,Tableau1[[#This Row],[DMS_SAP]]&lt;&gt;0)=TRUE,"MIS A JOUR","")</f>
        <v/>
      </c>
      <c r="AA168" s="45"/>
      <c r="AB168" s="55" t="str">
        <f ca="1">IF(Tableau1[[#This Row],[Date rév.]]&lt;&gt;"", DAYS360(Tableau1[[#This Row],[Date rév.]],TODAY()),"")</f>
        <v/>
      </c>
      <c r="AC168" s="47">
        <f>IFERROR(INDEX(Chemin_accès!$B$11:$C$22,MATCH(Tableau1[[#This Row],[Type]],Chemin_accès!$C$11:$C$22,0),1),Chemin_accès!$B$11)</f>
        <v>0</v>
      </c>
      <c r="AD168" s="47" t="str">
        <f>Chemin_accès!$B$8&amp;Tableau1[[#This Row],[Localisation / Classement]]&amp;"\"&amp;Tableau1[[#This Row],[Poste technique]]&amp;"_"&amp;Tableau1[[#This Row],[Plan Entretien]]&amp;".xlsm"</f>
        <v>20KV POSTES ELECTRIQUES \T040-P180_33601.xlsm</v>
      </c>
    </row>
    <row r="169" spans="1:30" x14ac:dyDescent="0.3">
      <c r="A169" s="41" t="str">
        <f t="shared" ca="1" si="2"/>
        <v>7.MNRJ</v>
      </c>
      <c r="B1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9" s="43"/>
      <c r="D169" s="41" t="s">
        <v>440</v>
      </c>
      <c r="E169" s="41" t="s">
        <v>135</v>
      </c>
      <c r="F169" s="44" t="s">
        <v>234</v>
      </c>
      <c r="G169" s="44" t="s">
        <v>235</v>
      </c>
      <c r="H169" s="12">
        <v>33601</v>
      </c>
      <c r="I169" s="66">
        <v>69162</v>
      </c>
      <c r="J169" s="48" t="s">
        <v>253</v>
      </c>
      <c r="K169" s="48">
        <v>80</v>
      </c>
      <c r="L169" s="43" t="s">
        <v>41</v>
      </c>
      <c r="M169" s="44" t="s">
        <v>421</v>
      </c>
      <c r="N169" s="43" t="s">
        <v>62</v>
      </c>
      <c r="O169" s="43"/>
      <c r="P169" s="44"/>
      <c r="Q169" s="43"/>
      <c r="R169" s="43" t="s">
        <v>2</v>
      </c>
      <c r="S169" s="45">
        <v>44593</v>
      </c>
      <c r="T169" s="58" t="str">
        <f>IF(Tableau1[[#This Row],[DMS_SAP]]="","",HYPERLINK(Tableau1[[#This Row],[Chemin fichier source]],"X"))</f>
        <v/>
      </c>
      <c r="U169" s="58" t="str">
        <f>IF(Tableau1[[#This Row],[Date rév.]]="","",HYPERLINK(Tableau1[[#This Row],[Lien document]],"X"))</f>
        <v/>
      </c>
      <c r="V169" s="44"/>
      <c r="W169"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\T040-P180_33601.pdf</v>
      </c>
      <c r="X169" s="44">
        <v>8</v>
      </c>
      <c r="Y169" s="44">
        <v>2</v>
      </c>
      <c r="Z169" s="41" t="str">
        <f ca="1">IF(AND(Tableau1[[#This Row],[Charge]]&lt;&gt;0, Tableau1[[#This Row],[Nombre intervenants]]&lt;&gt;0,Tableau1[[#This Row],[Lien document]]&lt;&gt;0,Tableau1[[#This Row],[DMS_SAP]]&lt;&gt;0)=TRUE,"MIS A JOUR","")</f>
        <v/>
      </c>
      <c r="AA169" s="45"/>
      <c r="AB169" s="55" t="str">
        <f ca="1">IF(Tableau1[[#This Row],[Date rév.]]&lt;&gt;"", DAYS360(Tableau1[[#This Row],[Date rév.]],TODAY()),"")</f>
        <v/>
      </c>
      <c r="AC169" s="47">
        <f>IFERROR(INDEX(Chemin_accès!$B$11:$C$22,MATCH(Tableau1[[#This Row],[Type]],Chemin_accès!$C$11:$C$22,0),1),Chemin_accès!$B$11)</f>
        <v>0</v>
      </c>
      <c r="AD169" s="47" t="str">
        <f>Chemin_accès!$B$8&amp;Tableau1[[#This Row],[Localisation / Classement]]&amp;"\"&amp;Tableau1[[#This Row],[Poste technique]]&amp;"_"&amp;Tableau1[[#This Row],[Plan Entretien]]&amp;".xlsm"</f>
        <v>20KV POSTES ELECTRIQUES \T040-P180_33601.xlsm</v>
      </c>
    </row>
    <row r="170" spans="1:30" x14ac:dyDescent="0.3">
      <c r="A170" s="41" t="str">
        <f t="shared" ca="1" si="2"/>
        <v>7.MNRJ</v>
      </c>
      <c r="B1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0" s="60"/>
      <c r="D170" s="41" t="s">
        <v>440</v>
      </c>
      <c r="E170" s="41" t="s">
        <v>135</v>
      </c>
      <c r="F170" s="44" t="s">
        <v>234</v>
      </c>
      <c r="G170" s="44" t="s">
        <v>235</v>
      </c>
      <c r="H170" s="12">
        <v>33601</v>
      </c>
      <c r="I170" s="66">
        <v>68946</v>
      </c>
      <c r="J170" s="48" t="s">
        <v>252</v>
      </c>
      <c r="K170" s="48">
        <v>83</v>
      </c>
      <c r="L170" s="43" t="s">
        <v>446</v>
      </c>
      <c r="M170" s="44" t="s">
        <v>422</v>
      </c>
      <c r="N170" s="43" t="s">
        <v>62</v>
      </c>
      <c r="O170" s="43"/>
      <c r="P170" s="44"/>
      <c r="Q170" s="43"/>
      <c r="R170" s="43" t="s">
        <v>2</v>
      </c>
      <c r="S170" s="45">
        <v>44593</v>
      </c>
      <c r="T170" s="58" t="str">
        <f>IF(Tableau1[[#This Row],[DMS_SAP]]="","",HYPERLINK(Tableau1[[#This Row],[Chemin fichier source]],"X"))</f>
        <v/>
      </c>
      <c r="U170" s="58" t="str">
        <f>IF(Tableau1[[#This Row],[Date rév.]]="","",HYPERLINK(Tableau1[[#This Row],[Lien document]],"X"))</f>
        <v/>
      </c>
      <c r="V170" s="44"/>
      <c r="W170"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\T040-P180_33601.pdf</v>
      </c>
      <c r="X170" s="44">
        <v>32</v>
      </c>
      <c r="Y170" s="44">
        <v>2</v>
      </c>
      <c r="Z170" s="41" t="str">
        <f ca="1">IF(AND(Tableau1[[#This Row],[Charge]]&lt;&gt;0, Tableau1[[#This Row],[Nombre intervenants]]&lt;&gt;0,Tableau1[[#This Row],[Lien document]]&lt;&gt;0,Tableau1[[#This Row],[DMS_SAP]]&lt;&gt;0)=TRUE,"MIS A JOUR","")</f>
        <v/>
      </c>
      <c r="AA170" s="45"/>
      <c r="AB170" s="55" t="str">
        <f ca="1">IF(Tableau1[[#This Row],[Date rév.]]&lt;&gt;"", DAYS360(Tableau1[[#This Row],[Date rév.]],TODAY()),"")</f>
        <v/>
      </c>
      <c r="AC170" s="47">
        <f>IFERROR(INDEX(Chemin_accès!$B$11:$C$22,MATCH(Tableau1[[#This Row],[Type]],Chemin_accès!$C$11:$C$22,0),1),Chemin_accès!$B$11)</f>
        <v>0</v>
      </c>
      <c r="AD170" s="47" t="str">
        <f>Chemin_accès!$B$8&amp;Tableau1[[#This Row],[Localisation / Classement]]&amp;"\"&amp;Tableau1[[#This Row],[Poste technique]]&amp;"_"&amp;Tableau1[[#This Row],[Plan Entretien]]&amp;".xlsm"</f>
        <v>20KV POSTES ELECTRIQUES \T040-P180_33601.xlsm</v>
      </c>
    </row>
    <row r="171" spans="1:30" x14ac:dyDescent="0.3">
      <c r="A171" s="41" t="str">
        <f t="shared" ca="1" si="2"/>
        <v>7.MNRJ</v>
      </c>
      <c r="B1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1" s="60"/>
      <c r="D171" s="41" t="s">
        <v>440</v>
      </c>
      <c r="E171" s="41" t="s">
        <v>135</v>
      </c>
      <c r="F171" s="44" t="s">
        <v>234</v>
      </c>
      <c r="G171" s="44" t="s">
        <v>235</v>
      </c>
      <c r="H171" s="12">
        <v>33601</v>
      </c>
      <c r="I171" s="66">
        <v>68962</v>
      </c>
      <c r="J171" s="48" t="s">
        <v>252</v>
      </c>
      <c r="K171" s="48">
        <v>99</v>
      </c>
      <c r="L171" s="43" t="s">
        <v>446</v>
      </c>
      <c r="M171" s="44" t="s">
        <v>423</v>
      </c>
      <c r="N171" s="43" t="s">
        <v>62</v>
      </c>
      <c r="O171" s="43"/>
      <c r="P171" s="44"/>
      <c r="Q171" s="43"/>
      <c r="R171" s="43" t="s">
        <v>2</v>
      </c>
      <c r="S171" s="45">
        <v>44593</v>
      </c>
      <c r="T171" s="58" t="str">
        <f>IF(Tableau1[[#This Row],[DMS_SAP]]="","",HYPERLINK(Tableau1[[#This Row],[Chemin fichier source]],"X"))</f>
        <v/>
      </c>
      <c r="U171" s="58" t="str">
        <f>IF(Tableau1[[#This Row],[Date rév.]]="","",HYPERLINK(Tableau1[[#This Row],[Lien document]],"X"))</f>
        <v/>
      </c>
      <c r="V171" s="44"/>
      <c r="W171"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\T040-P180_33601.pdf</v>
      </c>
      <c r="X171" s="44">
        <v>8</v>
      </c>
      <c r="Y171" s="44">
        <v>2</v>
      </c>
      <c r="Z171" s="41" t="str">
        <f ca="1">IF(AND(Tableau1[[#This Row],[Charge]]&lt;&gt;0, Tableau1[[#This Row],[Nombre intervenants]]&lt;&gt;0,Tableau1[[#This Row],[Lien document]]&lt;&gt;0,Tableau1[[#This Row],[DMS_SAP]]&lt;&gt;0)=TRUE,"MIS A JOUR","")</f>
        <v/>
      </c>
      <c r="AA171" s="45"/>
      <c r="AB171" s="55" t="str">
        <f ca="1">IF(Tableau1[[#This Row],[Date rév.]]&lt;&gt;"", DAYS360(Tableau1[[#This Row],[Date rév.]],TODAY()),"")</f>
        <v/>
      </c>
      <c r="AC171" s="47">
        <f>IFERROR(INDEX(Chemin_accès!$B$11:$C$22,MATCH(Tableau1[[#This Row],[Type]],Chemin_accès!$C$11:$C$22,0),1),Chemin_accès!$B$11)</f>
        <v>0</v>
      </c>
      <c r="AD171" s="47" t="str">
        <f>Chemin_accès!$B$8&amp;Tableau1[[#This Row],[Localisation / Classement]]&amp;"\"&amp;Tableau1[[#This Row],[Poste technique]]&amp;"_"&amp;Tableau1[[#This Row],[Plan Entretien]]&amp;".xlsm"</f>
        <v>20KV POSTES ELECTRIQUES \T040-P180_33601.xlsm</v>
      </c>
    </row>
    <row r="172" spans="1:30" x14ac:dyDescent="0.3">
      <c r="A172" s="41" t="str">
        <f t="shared" ca="1" si="2"/>
        <v>7.MNRJ</v>
      </c>
      <c r="B1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2" s="60"/>
      <c r="D172" s="41" t="s">
        <v>440</v>
      </c>
      <c r="E172" s="41" t="s">
        <v>135</v>
      </c>
      <c r="F172" s="44" t="s">
        <v>236</v>
      </c>
      <c r="G172" s="44" t="s">
        <v>237</v>
      </c>
      <c r="H172" s="48">
        <v>33601</v>
      </c>
      <c r="I172" s="64">
        <v>69168</v>
      </c>
      <c r="J172" s="48" t="s">
        <v>253</v>
      </c>
      <c r="K172" s="48">
        <v>86</v>
      </c>
      <c r="L172" s="43" t="s">
        <v>41</v>
      </c>
      <c r="M172" s="44" t="s">
        <v>424</v>
      </c>
      <c r="N172" s="43" t="s">
        <v>62</v>
      </c>
      <c r="O172" s="43"/>
      <c r="P172" s="44"/>
      <c r="Q172" s="43"/>
      <c r="R172" s="43" t="s">
        <v>2</v>
      </c>
      <c r="S172" s="45">
        <v>44593</v>
      </c>
      <c r="T172" s="58" t="str">
        <f>IF(Tableau1[[#This Row],[DMS_SAP]]="","",HYPERLINK(Tableau1[[#This Row],[Chemin fichier source]],"X"))</f>
        <v/>
      </c>
      <c r="U172" s="58" t="str">
        <f>IF(Tableau1[[#This Row],[Date rév.]]="","",HYPERLINK(Tableau1[[#This Row],[Lien document]],"X"))</f>
        <v/>
      </c>
      <c r="V172" s="44"/>
      <c r="W172"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\T040-P190_33601.pdf</v>
      </c>
      <c r="X172" s="44">
        <v>4</v>
      </c>
      <c r="Y172" s="44">
        <v>2</v>
      </c>
      <c r="Z172" s="41" t="str">
        <f ca="1">IF(AND(Tableau1[[#This Row],[Charge]]&lt;&gt;0, Tableau1[[#This Row],[Nombre intervenants]]&lt;&gt;0,Tableau1[[#This Row],[Lien document]]&lt;&gt;0,Tableau1[[#This Row],[DMS_SAP]]&lt;&gt;0)=TRUE,"MIS A JOUR","")</f>
        <v/>
      </c>
      <c r="AA172" s="45"/>
      <c r="AB172" s="55" t="str">
        <f ca="1">IF(Tableau1[[#This Row],[Date rév.]]&lt;&gt;"", DAYS360(Tableau1[[#This Row],[Date rév.]],TODAY()),"")</f>
        <v/>
      </c>
      <c r="AC172" s="47">
        <f>IFERROR(INDEX(Chemin_accès!$B$11:$C$22,MATCH(Tableau1[[#This Row],[Type]],Chemin_accès!$C$11:$C$22,0),1),Chemin_accès!$B$11)</f>
        <v>0</v>
      </c>
      <c r="AD172" s="47" t="str">
        <f>Chemin_accès!$B$8&amp;Tableau1[[#This Row],[Localisation / Classement]]&amp;"\"&amp;Tableau1[[#This Row],[Poste technique]]&amp;"_"&amp;Tableau1[[#This Row],[Plan Entretien]]&amp;".xlsm"</f>
        <v>20KV POSTES ELECTRIQUES \T040-P190_33601.xlsm</v>
      </c>
    </row>
    <row r="173" spans="1:30" x14ac:dyDescent="0.3">
      <c r="A173" s="41" t="str">
        <f t="shared" ca="1" si="2"/>
        <v>7.MNRJ</v>
      </c>
      <c r="B1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3" s="43"/>
      <c r="D173" s="41" t="s">
        <v>440</v>
      </c>
      <c r="E173" s="41" t="s">
        <v>135</v>
      </c>
      <c r="F173" s="44" t="s">
        <v>236</v>
      </c>
      <c r="G173" s="44" t="s">
        <v>237</v>
      </c>
      <c r="H173" s="48">
        <v>33601</v>
      </c>
      <c r="I173" s="64">
        <v>67650</v>
      </c>
      <c r="J173" s="48" t="s">
        <v>252</v>
      </c>
      <c r="K173" s="48">
        <v>62</v>
      </c>
      <c r="L173" s="43" t="s">
        <v>82</v>
      </c>
      <c r="M173" s="44" t="s">
        <v>425</v>
      </c>
      <c r="N173" s="43" t="s">
        <v>62</v>
      </c>
      <c r="O173" s="43"/>
      <c r="P173" s="44"/>
      <c r="Q173" s="43"/>
      <c r="R173" s="43" t="s">
        <v>2</v>
      </c>
      <c r="S173" s="45">
        <v>44593</v>
      </c>
      <c r="T173" s="58" t="str">
        <f>IF(Tableau1[[#This Row],[DMS_SAP]]="","",HYPERLINK(Tableau1[[#This Row],[Chemin fichier source]],"X"))</f>
        <v/>
      </c>
      <c r="U173" s="58" t="str">
        <f>IF(Tableau1[[#This Row],[Date rév.]]="","",HYPERLINK(Tableau1[[#This Row],[Lien document]],"X"))</f>
        <v/>
      </c>
      <c r="V173" s="44"/>
      <c r="W173"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\T040-P190_33601.pdf</v>
      </c>
      <c r="X173" s="44">
        <v>2</v>
      </c>
      <c r="Y173" s="44">
        <v>2</v>
      </c>
      <c r="Z173" s="41" t="str">
        <f ca="1">IF(AND(Tableau1[[#This Row],[Charge]]&lt;&gt;0, Tableau1[[#This Row],[Nombre intervenants]]&lt;&gt;0,Tableau1[[#This Row],[Lien document]]&lt;&gt;0,Tableau1[[#This Row],[DMS_SAP]]&lt;&gt;0)=TRUE,"MIS A JOUR","")</f>
        <v/>
      </c>
      <c r="AA173" s="45"/>
      <c r="AB173" s="55" t="str">
        <f ca="1">IF(Tableau1[[#This Row],[Date rév.]]&lt;&gt;"", DAYS360(Tableau1[[#This Row],[Date rév.]],TODAY()),"")</f>
        <v/>
      </c>
      <c r="AC173" s="47">
        <f>IFERROR(INDEX(Chemin_accès!$B$11:$C$22,MATCH(Tableau1[[#This Row],[Type]],Chemin_accès!$C$11:$C$22,0),1),Chemin_accès!$B$11)</f>
        <v>0</v>
      </c>
      <c r="AD173" s="47" t="str">
        <f>Chemin_accès!$B$8&amp;Tableau1[[#This Row],[Localisation / Classement]]&amp;"\"&amp;Tableau1[[#This Row],[Poste technique]]&amp;"_"&amp;Tableau1[[#This Row],[Plan Entretien]]&amp;".xlsm"</f>
        <v>20KV POSTES ELECTRIQUES \T040-P190_33601.xlsm</v>
      </c>
    </row>
    <row r="174" spans="1:30" x14ac:dyDescent="0.3">
      <c r="A174" s="41" t="str">
        <f t="shared" ca="1" si="2"/>
        <v>7.MNRJ</v>
      </c>
      <c r="B1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4" s="43"/>
      <c r="D174" s="41" t="s">
        <v>440</v>
      </c>
      <c r="E174" s="41" t="s">
        <v>135</v>
      </c>
      <c r="F174" s="44" t="s">
        <v>236</v>
      </c>
      <c r="G174" s="44" t="s">
        <v>237</v>
      </c>
      <c r="H174" s="48">
        <v>33601</v>
      </c>
      <c r="I174" s="64">
        <v>68938</v>
      </c>
      <c r="J174" s="48" t="s">
        <v>252</v>
      </c>
      <c r="K174" s="48">
        <v>75</v>
      </c>
      <c r="L174" s="43" t="s">
        <v>446</v>
      </c>
      <c r="M174" s="44" t="s">
        <v>426</v>
      </c>
      <c r="N174" s="43" t="s">
        <v>62</v>
      </c>
      <c r="O174" s="43"/>
      <c r="P174" s="44"/>
      <c r="Q174" s="43"/>
      <c r="R174" s="43" t="s">
        <v>2</v>
      </c>
      <c r="S174" s="45">
        <v>44593</v>
      </c>
      <c r="T174" s="58" t="str">
        <f>IF(Tableau1[[#This Row],[DMS_SAP]]="","",HYPERLINK(Tableau1[[#This Row],[Chemin fichier source]],"X"))</f>
        <v/>
      </c>
      <c r="U174" s="58" t="str">
        <f>IF(Tableau1[[#This Row],[Date rév.]]="","",HYPERLINK(Tableau1[[#This Row],[Lien document]],"X"))</f>
        <v/>
      </c>
      <c r="V174" s="44"/>
      <c r="W174"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\T040-P190_33601.pdf</v>
      </c>
      <c r="X174" s="44">
        <v>16</v>
      </c>
      <c r="Y174" s="44">
        <v>2</v>
      </c>
      <c r="Z174" s="41" t="str">
        <f ca="1">IF(AND(Tableau1[[#This Row],[Charge]]&lt;&gt;0, Tableau1[[#This Row],[Nombre intervenants]]&lt;&gt;0,Tableau1[[#This Row],[Lien document]]&lt;&gt;0,Tableau1[[#This Row],[DMS_SAP]]&lt;&gt;0)=TRUE,"MIS A JOUR","")</f>
        <v/>
      </c>
      <c r="AA174" s="45"/>
      <c r="AB174" s="55" t="str">
        <f ca="1">IF(Tableau1[[#This Row],[Date rév.]]&lt;&gt;"", DAYS360(Tableau1[[#This Row],[Date rév.]],TODAY()),"")</f>
        <v/>
      </c>
      <c r="AC174" s="47">
        <f>IFERROR(INDEX(Chemin_accès!$B$11:$C$22,MATCH(Tableau1[[#This Row],[Type]],Chemin_accès!$C$11:$C$22,0),1),Chemin_accès!$B$11)</f>
        <v>0</v>
      </c>
      <c r="AD174" s="47" t="str">
        <f>Chemin_accès!$B$8&amp;Tableau1[[#This Row],[Localisation / Classement]]&amp;"\"&amp;Tableau1[[#This Row],[Poste technique]]&amp;"_"&amp;Tableau1[[#This Row],[Plan Entretien]]&amp;".xlsm"</f>
        <v>20KV POSTES ELECTRIQUES \T040-P190_33601.xlsm</v>
      </c>
    </row>
    <row r="175" spans="1:30" x14ac:dyDescent="0.3">
      <c r="A175" s="41" t="str">
        <f t="shared" ca="1" si="2"/>
        <v>7.MNRJ</v>
      </c>
      <c r="B1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5" s="43"/>
      <c r="D175" s="41" t="s">
        <v>440</v>
      </c>
      <c r="E175" s="41" t="s">
        <v>135</v>
      </c>
      <c r="F175" s="44" t="s">
        <v>236</v>
      </c>
      <c r="G175" s="44" t="s">
        <v>237</v>
      </c>
      <c r="H175" s="48">
        <v>33601</v>
      </c>
      <c r="I175" s="64">
        <v>68953</v>
      </c>
      <c r="J175" s="48" t="s">
        <v>252</v>
      </c>
      <c r="K175" s="48">
        <v>90</v>
      </c>
      <c r="L175" s="43" t="s">
        <v>446</v>
      </c>
      <c r="M175" s="44" t="s">
        <v>427</v>
      </c>
      <c r="N175" s="43" t="s">
        <v>62</v>
      </c>
      <c r="O175" s="43"/>
      <c r="P175" s="44"/>
      <c r="Q175" s="43"/>
      <c r="R175" s="43" t="s">
        <v>2</v>
      </c>
      <c r="S175" s="45">
        <v>44593</v>
      </c>
      <c r="T175" s="58" t="str">
        <f>IF(Tableau1[[#This Row],[DMS_SAP]]="","",HYPERLINK(Tableau1[[#This Row],[Chemin fichier source]],"X"))</f>
        <v/>
      </c>
      <c r="U175" s="58" t="str">
        <f>IF(Tableau1[[#This Row],[Date rév.]]="","",HYPERLINK(Tableau1[[#This Row],[Lien document]],"X"))</f>
        <v/>
      </c>
      <c r="V175" s="44"/>
      <c r="W175" s="46" t="str">
        <f ca="1">Chemin_accès!$B$2&amp;Tableau1[[#This Row],[Poste Responsable]]&amp;"\"&amp;Tableau1[[#This Row],[Localisation / Classement]]&amp;"\"&amp;Tableau1[[#This Row],[Poste technique]]&amp;"_"&amp;Tableau1[[#This Row],[Plan Entretien]]&amp;".pdf"</f>
        <v>\\stjn.local\trimet\Donnees_Projets\Dms Sap\Maintenance\PlanEntretien\7.MNRJ\20KV POSTES ELECTRIQUES \T040-P190_33601.pdf</v>
      </c>
      <c r="X175" s="44">
        <v>4</v>
      </c>
      <c r="Y175" s="44">
        <v>2</v>
      </c>
      <c r="Z175" s="41" t="str">
        <f ca="1">IF(AND(Tableau1[[#This Row],[Charge]]&lt;&gt;0, Tableau1[[#This Row],[Nombre intervenants]]&lt;&gt;0,Tableau1[[#This Row],[Lien document]]&lt;&gt;0,Tableau1[[#This Row],[DMS_SAP]]&lt;&gt;0)=TRUE,"MIS A JOUR","")</f>
        <v/>
      </c>
      <c r="AA175" s="45"/>
      <c r="AB175" s="55" t="str">
        <f ca="1">IF(Tableau1[[#This Row],[Date rév.]]&lt;&gt;"", DAYS360(Tableau1[[#This Row],[Date rév.]],TODAY()),"")</f>
        <v/>
      </c>
      <c r="AC175" s="47">
        <f>IFERROR(INDEX(Chemin_accès!$B$11:$C$22,MATCH(Tableau1[[#This Row],[Type]],Chemin_accès!$C$11:$C$22,0),1),Chemin_accès!$B$11)</f>
        <v>0</v>
      </c>
      <c r="AD175" s="47" t="str">
        <f>Chemin_accès!$B$8&amp;Tableau1[[#This Row],[Localisation / Classement]]&amp;"\"&amp;Tableau1[[#This Row],[Poste technique]]&amp;"_"&amp;Tableau1[[#This Row],[Plan Entretien]]&amp;".xlsm"</f>
        <v>20KV POSTES ELECTRIQUES \T040-P190_33601.xlsm</v>
      </c>
    </row>
    <row r="176" spans="1:30" x14ac:dyDescent="0.3">
      <c r="A176" s="41" t="str">
        <f t="shared" ca="1" si="2"/>
        <v>7.MNRJ</v>
      </c>
      <c r="B1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6" s="43"/>
      <c r="D176" s="41" t="s">
        <v>175</v>
      </c>
      <c r="E176" s="41" t="s">
        <v>135</v>
      </c>
      <c r="F176" s="44" t="s">
        <v>238</v>
      </c>
      <c r="G176" s="44" t="s">
        <v>239</v>
      </c>
      <c r="H176" s="48">
        <v>33601</v>
      </c>
      <c r="I176" s="64">
        <v>67652</v>
      </c>
      <c r="J176" s="48" t="s">
        <v>252</v>
      </c>
      <c r="K176" s="48">
        <v>57</v>
      </c>
      <c r="L176" s="43" t="s">
        <v>82</v>
      </c>
      <c r="M176" s="44" t="s">
        <v>428</v>
      </c>
      <c r="N176" s="43" t="s">
        <v>62</v>
      </c>
      <c r="O176" s="43"/>
      <c r="P176" s="44"/>
      <c r="Q176" s="43"/>
      <c r="R176" s="43" t="s">
        <v>2</v>
      </c>
      <c r="S176" s="45">
        <v>44593</v>
      </c>
      <c r="T176" s="58" t="str">
        <f>IF(Tableau1[[#This Row],[DMS_SAP]]="","",HYPERLINK(Tableau1[[#This Row],[Chemin fichier source]],"X"))</f>
        <v/>
      </c>
      <c r="U176" s="58" t="str">
        <f>IF(Tableau1[[#This Row],[Date rév.]]="","",HYPERLINK(Tableau1[[#This Row],[Lien document]],"X"))</f>
        <v/>
      </c>
      <c r="V176" s="44"/>
      <c r="W176"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CONVERSION\T040-Q020_33601.pdf</v>
      </c>
      <c r="X176" s="44">
        <v>32</v>
      </c>
      <c r="Y176" s="44">
        <v>2</v>
      </c>
      <c r="Z176" s="41" t="str">
        <f ca="1">IF(AND(Tableau1[[#This Row],[Charge]]&lt;&gt;0, Tableau1[[#This Row],[Nombre intervenants]]&lt;&gt;0,Tableau1[[#This Row],[Lien document]]&lt;&gt;0,Tableau1[[#This Row],[DMS_SAP]]&lt;&gt;0)=TRUE,"MIS A JOUR","")</f>
        <v/>
      </c>
      <c r="AA176" s="45"/>
      <c r="AB176" s="55" t="str">
        <f ca="1">IF(Tableau1[[#This Row],[Date rév.]]&lt;&gt;"", DAYS360(Tableau1[[#This Row],[Date rév.]],TODAY()),"")</f>
        <v/>
      </c>
      <c r="AC176" s="47">
        <f>IFERROR(INDEX(Chemin_accès!$B$11:$C$22,MATCH(Tableau1[[#This Row],[Type]],Chemin_accès!$C$11:$C$22,0),1),Chemin_accès!$B$11)</f>
        <v>0</v>
      </c>
      <c r="AD176" s="47" t="str">
        <f>Chemin_accès!$B$8&amp;Tableau1[[#This Row],[Localisation / Classement]]&amp;"\"&amp;Tableau1[[#This Row],[Poste technique]]&amp;"_"&amp;Tableau1[[#This Row],[Plan Entretien]]&amp;".xlsm"</f>
        <v>42KV CONVERSION\T040-Q020_33601.xlsm</v>
      </c>
    </row>
    <row r="177" spans="1:30" x14ac:dyDescent="0.3">
      <c r="A177" s="41" t="str">
        <f t="shared" ca="1" si="2"/>
        <v>7.MNRJ</v>
      </c>
      <c r="B1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7" s="43"/>
      <c r="D177" s="41" t="s">
        <v>175</v>
      </c>
      <c r="E177" s="41" t="s">
        <v>135</v>
      </c>
      <c r="F177" s="44" t="s">
        <v>240</v>
      </c>
      <c r="G177" s="44" t="s">
        <v>241</v>
      </c>
      <c r="H177" s="48">
        <v>33601</v>
      </c>
      <c r="I177" s="64">
        <v>67651</v>
      </c>
      <c r="J177" s="48" t="s">
        <v>252</v>
      </c>
      <c r="K177" s="48">
        <v>56</v>
      </c>
      <c r="L177" s="43" t="s">
        <v>82</v>
      </c>
      <c r="M177" s="44" t="s">
        <v>429</v>
      </c>
      <c r="N177" s="43" t="s">
        <v>62</v>
      </c>
      <c r="O177" s="43"/>
      <c r="P177" s="44"/>
      <c r="Q177" s="43"/>
      <c r="R177" s="43" t="s">
        <v>2</v>
      </c>
      <c r="S177" s="45">
        <v>44593</v>
      </c>
      <c r="T177" s="58" t="str">
        <f>IF(Tableau1[[#This Row],[DMS_SAP]]="","",HYPERLINK(Tableau1[[#This Row],[Chemin fichier source]],"X"))</f>
        <v/>
      </c>
      <c r="U177" s="58" t="str">
        <f>IF(Tableau1[[#This Row],[Date rév.]]="","",HYPERLINK(Tableau1[[#This Row],[Lien document]],"X"))</f>
        <v/>
      </c>
      <c r="V177" s="44"/>
      <c r="W177"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CONVERSION\T040-Q030_33601.pdf</v>
      </c>
      <c r="X177" s="44">
        <v>32</v>
      </c>
      <c r="Y177" s="44">
        <v>2</v>
      </c>
      <c r="Z177" s="41" t="str">
        <f ca="1">IF(AND(Tableau1[[#This Row],[Charge]]&lt;&gt;0, Tableau1[[#This Row],[Nombre intervenants]]&lt;&gt;0,Tableau1[[#This Row],[Lien document]]&lt;&gt;0,Tableau1[[#This Row],[DMS_SAP]]&lt;&gt;0)=TRUE,"MIS A JOUR","")</f>
        <v/>
      </c>
      <c r="AA177" s="45"/>
      <c r="AB177" s="55" t="str">
        <f ca="1">IF(Tableau1[[#This Row],[Date rév.]]&lt;&gt;"", DAYS360(Tableau1[[#This Row],[Date rév.]],TODAY()),"")</f>
        <v/>
      </c>
      <c r="AC177" s="47">
        <f>IFERROR(INDEX(Chemin_accès!$B$11:$C$22,MATCH(Tableau1[[#This Row],[Type]],Chemin_accès!$C$11:$C$22,0),1),Chemin_accès!$B$11)</f>
        <v>0</v>
      </c>
      <c r="AD177" s="47" t="str">
        <f>Chemin_accès!$B$8&amp;Tableau1[[#This Row],[Localisation / Classement]]&amp;"\"&amp;Tableau1[[#This Row],[Poste technique]]&amp;"_"&amp;Tableau1[[#This Row],[Plan Entretien]]&amp;".xlsm"</f>
        <v>42KV CONVERSION\T040-Q030_33601.xlsm</v>
      </c>
    </row>
    <row r="178" spans="1:30" x14ac:dyDescent="0.3">
      <c r="A178" s="41" t="str">
        <f t="shared" ca="1" si="2"/>
        <v>7.MNRJ</v>
      </c>
      <c r="B1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8" s="43"/>
      <c r="D178" s="41" t="s">
        <v>175</v>
      </c>
      <c r="E178" s="41" t="s">
        <v>135</v>
      </c>
      <c r="F178" s="44" t="s">
        <v>242</v>
      </c>
      <c r="G178" s="44" t="s">
        <v>243</v>
      </c>
      <c r="H178" s="48">
        <v>33601</v>
      </c>
      <c r="I178" s="64">
        <v>67653</v>
      </c>
      <c r="J178" s="48" t="s">
        <v>252</v>
      </c>
      <c r="K178" s="48">
        <v>54</v>
      </c>
      <c r="L178" s="43" t="s">
        <v>82</v>
      </c>
      <c r="M178" s="44" t="s">
        <v>430</v>
      </c>
      <c r="N178" s="43" t="s">
        <v>62</v>
      </c>
      <c r="O178" s="43"/>
      <c r="P178" s="44"/>
      <c r="Q178" s="43"/>
      <c r="R178" s="43" t="s">
        <v>2</v>
      </c>
      <c r="S178" s="45">
        <v>44593</v>
      </c>
      <c r="T178" s="58" t="str">
        <f>IF(Tableau1[[#This Row],[DMS_SAP]]="","",HYPERLINK(Tableau1[[#This Row],[Chemin fichier source]],"X"))</f>
        <v/>
      </c>
      <c r="U178" s="58" t="str">
        <f>IF(Tableau1[[#This Row],[Date rév.]]="","",HYPERLINK(Tableau1[[#This Row],[Lien document]],"X"))</f>
        <v/>
      </c>
      <c r="V178" s="44"/>
      <c r="W178"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CONVERSION\T040-Q040_33601.pdf</v>
      </c>
      <c r="X178" s="44">
        <v>16</v>
      </c>
      <c r="Y178" s="44">
        <v>2</v>
      </c>
      <c r="Z178" s="41" t="str">
        <f ca="1">IF(AND(Tableau1[[#This Row],[Charge]]&lt;&gt;0, Tableau1[[#This Row],[Nombre intervenants]]&lt;&gt;0,Tableau1[[#This Row],[Lien document]]&lt;&gt;0,Tableau1[[#This Row],[DMS_SAP]]&lt;&gt;0)=TRUE,"MIS A JOUR","")</f>
        <v/>
      </c>
      <c r="AA178" s="45"/>
      <c r="AB178" s="55" t="str">
        <f ca="1">IF(Tableau1[[#This Row],[Date rév.]]&lt;&gt;"", DAYS360(Tableau1[[#This Row],[Date rév.]],TODAY()),"")</f>
        <v/>
      </c>
      <c r="AC178" s="47">
        <f>IFERROR(INDEX(Chemin_accès!$B$11:$C$22,MATCH(Tableau1[[#This Row],[Type]],Chemin_accès!$C$11:$C$22,0),1),Chemin_accès!$B$11)</f>
        <v>0</v>
      </c>
      <c r="AD178" s="47" t="str">
        <f>Chemin_accès!$B$8&amp;Tableau1[[#This Row],[Localisation / Classement]]&amp;"\"&amp;Tableau1[[#This Row],[Poste technique]]&amp;"_"&amp;Tableau1[[#This Row],[Plan Entretien]]&amp;".xlsm"</f>
        <v>42KV CONVERSION\T040-Q040_33601.xlsm</v>
      </c>
    </row>
    <row r="179" spans="1:30" x14ac:dyDescent="0.3">
      <c r="A179" s="41" t="str">
        <f t="shared" ca="1" si="2"/>
        <v>7.MNRJ</v>
      </c>
      <c r="B1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9" s="43"/>
      <c r="D179" s="41" t="s">
        <v>175</v>
      </c>
      <c r="E179" s="41" t="s">
        <v>135</v>
      </c>
      <c r="F179" s="44" t="s">
        <v>244</v>
      </c>
      <c r="G179" s="44" t="s">
        <v>245</v>
      </c>
      <c r="H179" s="48">
        <v>33601</v>
      </c>
      <c r="I179" s="64">
        <v>67654</v>
      </c>
      <c r="J179" s="48" t="s">
        <v>252</v>
      </c>
      <c r="K179" s="48">
        <v>55</v>
      </c>
      <c r="L179" s="43" t="s">
        <v>82</v>
      </c>
      <c r="M179" s="44" t="s">
        <v>431</v>
      </c>
      <c r="N179" s="43" t="s">
        <v>62</v>
      </c>
      <c r="O179" s="43"/>
      <c r="P179" s="44"/>
      <c r="Q179" s="43"/>
      <c r="R179" s="43" t="s">
        <v>2</v>
      </c>
      <c r="S179" s="45">
        <v>44593</v>
      </c>
      <c r="T179" s="58" t="str">
        <f>IF(Tableau1[[#This Row],[DMS_SAP]]="","",HYPERLINK(Tableau1[[#This Row],[Chemin fichier source]],"X"))</f>
        <v/>
      </c>
      <c r="U179" s="58" t="str">
        <f>IF(Tableau1[[#This Row],[Date rév.]]="","",HYPERLINK(Tableau1[[#This Row],[Lien document]],"X"))</f>
        <v/>
      </c>
      <c r="V179" s="44"/>
      <c r="W179"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CONVERSION\T040-Q050_33601.pdf</v>
      </c>
      <c r="X179" s="44">
        <v>16</v>
      </c>
      <c r="Y179" s="44">
        <v>2</v>
      </c>
      <c r="Z179" s="41" t="str">
        <f ca="1">IF(AND(Tableau1[[#This Row],[Charge]]&lt;&gt;0, Tableau1[[#This Row],[Nombre intervenants]]&lt;&gt;0,Tableau1[[#This Row],[Lien document]]&lt;&gt;0,Tableau1[[#This Row],[DMS_SAP]]&lt;&gt;0)=TRUE,"MIS A JOUR","")</f>
        <v/>
      </c>
      <c r="AA179" s="45"/>
      <c r="AB179" s="55" t="str">
        <f ca="1">IF(Tableau1[[#This Row],[Date rév.]]&lt;&gt;"", DAYS360(Tableau1[[#This Row],[Date rév.]],TODAY()),"")</f>
        <v/>
      </c>
      <c r="AC179" s="47">
        <f>IFERROR(INDEX(Chemin_accès!$B$11:$C$22,MATCH(Tableau1[[#This Row],[Type]],Chemin_accès!$C$11:$C$22,0),1),Chemin_accès!$B$11)</f>
        <v>0</v>
      </c>
      <c r="AD179" s="47" t="str">
        <f>Chemin_accès!$B$8&amp;Tableau1[[#This Row],[Localisation / Classement]]&amp;"\"&amp;Tableau1[[#This Row],[Poste technique]]&amp;"_"&amp;Tableau1[[#This Row],[Plan Entretien]]&amp;".xlsm"</f>
        <v>42KV CONVERSION\T040-Q050_33601.xlsm</v>
      </c>
    </row>
    <row r="180" spans="1:30" x14ac:dyDescent="0.3">
      <c r="A180" s="41" t="str">
        <f t="shared" ca="1" si="2"/>
        <v>7.MNRJ</v>
      </c>
      <c r="B1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0" s="43"/>
      <c r="D180" s="41" t="s">
        <v>175</v>
      </c>
      <c r="E180" s="41" t="s">
        <v>135</v>
      </c>
      <c r="F180" s="44" t="s">
        <v>246</v>
      </c>
      <c r="G180" s="44" t="s">
        <v>247</v>
      </c>
      <c r="H180" s="48">
        <v>33601</v>
      </c>
      <c r="I180" s="64">
        <v>67655</v>
      </c>
      <c r="J180" s="48" t="s">
        <v>252</v>
      </c>
      <c r="K180" s="48">
        <v>58</v>
      </c>
      <c r="L180" s="43" t="s">
        <v>82</v>
      </c>
      <c r="M180" s="44" t="s">
        <v>432</v>
      </c>
      <c r="N180" s="43" t="s">
        <v>62</v>
      </c>
      <c r="O180" s="43"/>
      <c r="P180" s="44"/>
      <c r="Q180" s="43"/>
      <c r="R180" s="43" t="s">
        <v>2</v>
      </c>
      <c r="S180" s="45">
        <v>44593</v>
      </c>
      <c r="T180" s="58" t="str">
        <f>IF(Tableau1[[#This Row],[DMS_SAP]]="","",HYPERLINK(Tableau1[[#This Row],[Chemin fichier source]],"X"))</f>
        <v/>
      </c>
      <c r="U180" s="58" t="str">
        <f>IF(Tableau1[[#This Row],[Date rév.]]="","",HYPERLINK(Tableau1[[#This Row],[Lien document]],"X"))</f>
        <v/>
      </c>
      <c r="V180" s="44"/>
      <c r="W180" s="46" t="str">
        <f ca="1">Chemin_accès!$B$2&amp;Tableau1[[#This Row],[Poste Responsable]]&amp;"\"&amp;Tableau1[[#This Row],[Localisation / Classement]]&amp;"\"&amp;Tableau1[[#This Row],[Poste technique]]&amp;"_"&amp;Tableau1[[#This Row],[Plan Entretien]]&amp;".pdf"</f>
        <v>\\stjn.local\trimet\Donnees_Projets\Dms Sap\Maintenance\PlanEntretien\7.MNRJ\42KV CONVERSION\T040-Q060_33601.pdf</v>
      </c>
      <c r="X180" s="44">
        <v>16</v>
      </c>
      <c r="Y180" s="44">
        <v>2</v>
      </c>
      <c r="Z180" s="41" t="str">
        <f ca="1">IF(AND(Tableau1[[#This Row],[Charge]]&lt;&gt;0, Tableau1[[#This Row],[Nombre intervenants]]&lt;&gt;0,Tableau1[[#This Row],[Lien document]]&lt;&gt;0,Tableau1[[#This Row],[DMS_SAP]]&lt;&gt;0)=TRUE,"MIS A JOUR","")</f>
        <v/>
      </c>
      <c r="AA180" s="45"/>
      <c r="AB180" s="55" t="str">
        <f ca="1">IF(Tableau1[[#This Row],[Date rév.]]&lt;&gt;"", DAYS360(Tableau1[[#This Row],[Date rév.]],TODAY()),"")</f>
        <v/>
      </c>
      <c r="AC180" s="47">
        <f>IFERROR(INDEX(Chemin_accès!$B$11:$C$22,MATCH(Tableau1[[#This Row],[Type]],Chemin_accès!$C$11:$C$22,0),1),Chemin_accès!$B$11)</f>
        <v>0</v>
      </c>
      <c r="AD180" s="47" t="str">
        <f>Chemin_accès!$B$8&amp;Tableau1[[#This Row],[Localisation / Classement]]&amp;"\"&amp;Tableau1[[#This Row],[Poste technique]]&amp;"_"&amp;Tableau1[[#This Row],[Plan Entretien]]&amp;".xlsm"</f>
        <v>42KV CONVERSION\T040-Q060_33601.xlsm</v>
      </c>
    </row>
    <row r="181" spans="1:30" x14ac:dyDescent="0.3">
      <c r="A181" s="41" t="str">
        <f t="shared" ca="1" si="2"/>
        <v>7.MNRJ</v>
      </c>
      <c r="B1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1" s="43"/>
      <c r="D181" s="41" t="s">
        <v>134</v>
      </c>
      <c r="E181" s="41" t="s">
        <v>135</v>
      </c>
      <c r="F181" s="44" t="s">
        <v>248</v>
      </c>
      <c r="G181" s="44" t="s">
        <v>249</v>
      </c>
      <c r="H181" s="48">
        <v>33601</v>
      </c>
      <c r="I181" s="64">
        <v>69184</v>
      </c>
      <c r="J181" s="48" t="s">
        <v>253</v>
      </c>
      <c r="K181" s="48">
        <v>0</v>
      </c>
      <c r="L181" s="43" t="s">
        <v>82</v>
      </c>
      <c r="M181" s="44" t="s">
        <v>433</v>
      </c>
      <c r="N181" s="43" t="s">
        <v>445</v>
      </c>
      <c r="O181" s="43"/>
      <c r="P181" s="44"/>
      <c r="Q181" s="43"/>
      <c r="R181" s="43" t="s">
        <v>2</v>
      </c>
      <c r="S181" s="45">
        <v>44593</v>
      </c>
      <c r="T181" s="58" t="str">
        <f>IF(Tableau1[[#This Row],[DMS_SAP]]="","",HYPERLINK(Tableau1[[#This Row],[Chemin fichier source]],"X"))</f>
        <v/>
      </c>
      <c r="U181" s="58" t="str">
        <f>IF(Tableau1[[#This Row],[Date rév.]]="","",HYPERLINK(Tableau1[[#This Row],[Lien document]],"X"))</f>
        <v/>
      </c>
      <c r="V181" s="44"/>
      <c r="W181" s="46" t="str">
        <f ca="1">Chemin_accès!$B$2&amp;Tableau1[[#This Row],[Poste Responsable]]&amp;"\"&amp;Tableau1[[#This Row],[Localisation / Classement]]&amp;"\"&amp;Tableau1[[#This Row],[Poste technique]]&amp;"_"&amp;Tableau1[[#This Row],[Plan Entretien]]&amp;".pdf"</f>
        <v>\\stjn.local\trimet\Donnees_Projets\Dms Sap\Maintenance\PlanEntretien\7.MNRJ\SOUS-STATION\T060-F240_33601.pdf</v>
      </c>
      <c r="X181" s="44">
        <v>4</v>
      </c>
      <c r="Y181" s="44">
        <v>2</v>
      </c>
      <c r="Z181" s="41" t="str">
        <f ca="1">IF(AND(Tableau1[[#This Row],[Charge]]&lt;&gt;0, Tableau1[[#This Row],[Nombre intervenants]]&lt;&gt;0,Tableau1[[#This Row],[Lien document]]&lt;&gt;0,Tableau1[[#This Row],[DMS_SAP]]&lt;&gt;0)=TRUE,"MIS A JOUR","")</f>
        <v/>
      </c>
      <c r="AA181" s="45"/>
      <c r="AB181" s="55" t="str">
        <f ca="1">IF(Tableau1[[#This Row],[Date rév.]]&lt;&gt;"", DAYS360(Tableau1[[#This Row],[Date rév.]],TODAY()),"")</f>
        <v/>
      </c>
      <c r="AC181" s="47">
        <f>IFERROR(INDEX(Chemin_accès!$B$11:$C$22,MATCH(Tableau1[[#This Row],[Type]],Chemin_accès!$C$11:$C$22,0),1),Chemin_accès!$B$11)</f>
        <v>0</v>
      </c>
      <c r="AD181" s="47" t="str">
        <f>Chemin_accès!$B$8&amp;Tableau1[[#This Row],[Localisation / Classement]]&amp;"\"&amp;Tableau1[[#This Row],[Poste technique]]&amp;"_"&amp;Tableau1[[#This Row],[Plan Entretien]]&amp;".xlsm"</f>
        <v>SOUS-STATION\T060-F240_33601.xlsm</v>
      </c>
    </row>
    <row r="182" spans="1:30" x14ac:dyDescent="0.3">
      <c r="A182" s="41" t="str">
        <f t="shared" ca="1" si="2"/>
        <v>7.MNRJ</v>
      </c>
      <c r="B1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2" s="43"/>
      <c r="D182" s="41" t="s">
        <v>134</v>
      </c>
      <c r="E182" s="41" t="s">
        <v>135</v>
      </c>
      <c r="F182" s="44" t="s">
        <v>250</v>
      </c>
      <c r="G182" s="44" t="s">
        <v>251</v>
      </c>
      <c r="H182" s="48">
        <v>33601</v>
      </c>
      <c r="I182" s="64">
        <v>69177</v>
      </c>
      <c r="J182" s="48" t="s">
        <v>253</v>
      </c>
      <c r="K182" s="48">
        <v>93</v>
      </c>
      <c r="L182" s="43" t="s">
        <v>82</v>
      </c>
      <c r="M182" s="44" t="s">
        <v>434</v>
      </c>
      <c r="N182" s="43" t="s">
        <v>445</v>
      </c>
      <c r="O182" s="43"/>
      <c r="P182" s="44"/>
      <c r="Q182" s="43"/>
      <c r="R182" s="43" t="s">
        <v>2</v>
      </c>
      <c r="S182" s="45">
        <v>44593</v>
      </c>
      <c r="T182" s="58" t="str">
        <f>IF(Tableau1[[#This Row],[DMS_SAP]]="","",HYPERLINK(Tableau1[[#This Row],[Chemin fichier source]],"X"))</f>
        <v/>
      </c>
      <c r="U182" s="58" t="str">
        <f>IF(Tableau1[[#This Row],[Date rév.]]="","",HYPERLINK(Tableau1[[#This Row],[Lien document]],"X"))</f>
        <v/>
      </c>
      <c r="V182" s="44"/>
      <c r="W182" s="46" t="str">
        <f ca="1">Chemin_accès!$B$2&amp;Tableau1[[#This Row],[Poste Responsable]]&amp;"\"&amp;Tableau1[[#This Row],[Localisation / Classement]]&amp;"\"&amp;Tableau1[[#This Row],[Poste technique]]&amp;"_"&amp;Tableau1[[#This Row],[Plan Entretien]]&amp;".pdf"</f>
        <v>\\stjn.local\trimet\Donnees_Projets\Dms Sap\Maintenance\PlanEntretien\7.MNRJ\SOUS-STATION\T060-F250_33601.pdf</v>
      </c>
      <c r="X182" s="44">
        <v>24</v>
      </c>
      <c r="Y182" s="44">
        <v>2</v>
      </c>
      <c r="Z182" s="41" t="str">
        <f ca="1">IF(AND(Tableau1[[#This Row],[Charge]]&lt;&gt;0, Tableau1[[#This Row],[Nombre intervenants]]&lt;&gt;0,Tableau1[[#This Row],[Lien document]]&lt;&gt;0,Tableau1[[#This Row],[DMS_SAP]]&lt;&gt;0)=TRUE,"MIS A JOUR","")</f>
        <v/>
      </c>
      <c r="AA182" s="45"/>
      <c r="AB182" s="55" t="str">
        <f ca="1">IF(Tableau1[[#This Row],[Date rév.]]&lt;&gt;"", DAYS360(Tableau1[[#This Row],[Date rév.]],TODAY()),"")</f>
        <v/>
      </c>
      <c r="AC182" s="47">
        <f>IFERROR(INDEX(Chemin_accès!$B$11:$C$22,MATCH(Tableau1[[#This Row],[Type]],Chemin_accès!$C$11:$C$22,0),1),Chemin_accès!$B$11)</f>
        <v>0</v>
      </c>
      <c r="AD182" s="47" t="str">
        <f>Chemin_accès!$B$8&amp;Tableau1[[#This Row],[Localisation / Classement]]&amp;"\"&amp;Tableau1[[#This Row],[Poste technique]]&amp;"_"&amp;Tableau1[[#This Row],[Plan Entretien]]&amp;".xlsm"</f>
        <v>SOUS-STATION\T060-F250_33601.xlsm</v>
      </c>
    </row>
    <row r="183" spans="1:30" x14ac:dyDescent="0.3">
      <c r="A183" s="41" t="str">
        <f t="shared" ca="1" si="2"/>
        <v>7.MNRJ</v>
      </c>
      <c r="B1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3" s="43"/>
      <c r="D183" s="41"/>
      <c r="E183" s="41"/>
      <c r="F183" s="44"/>
      <c r="G183" s="44"/>
      <c r="H183" s="48"/>
      <c r="I183" s="64"/>
      <c r="J183" s="48"/>
      <c r="K183" s="48"/>
      <c r="L183" s="43"/>
      <c r="M183" s="44"/>
      <c r="N183" s="43"/>
      <c r="O183" s="43"/>
      <c r="P183" s="44"/>
      <c r="Q183" s="43"/>
      <c r="R183" s="43"/>
      <c r="S183" s="45"/>
      <c r="T183" s="58" t="str">
        <f>IF(Tableau1[[#This Row],[DMS_SAP]]="","",HYPERLINK(Tableau1[[#This Row],[Chemin fichier source]],"X"))</f>
        <v/>
      </c>
      <c r="U183" s="58" t="str">
        <f>IF(Tableau1[[#This Row],[Date rév.]]="","",HYPERLINK(Tableau1[[#This Row],[Lien document]],"X"))</f>
        <v/>
      </c>
      <c r="V183" s="44"/>
      <c r="W183" s="46" t="str">
        <f ca="1">Chemin_accès!$B$2&amp;Tableau1[[#This Row],[Poste Responsable]]&amp;"\"&amp;Tableau1[[#This Row],[Localisation / Classement]]&amp;"\"&amp;Tableau1[[#This Row],[Poste technique]]&amp;"_"&amp;Tableau1[[#This Row],[Plan Entretien]]&amp;".pdf"</f>
        <v>\\stjn.local\trimet\Donnees_Projets\Dms Sap\Maintenance\PlanEntretien\7.MNRJ\\_.pdf</v>
      </c>
      <c r="X183" s="44"/>
      <c r="Y183" s="44"/>
      <c r="Z183" s="41" t="str">
        <f ca="1">IF(AND(Tableau1[[#This Row],[Charge]]&lt;&gt;0, Tableau1[[#This Row],[Nombre intervenants]]&lt;&gt;0,Tableau1[[#This Row],[Lien document]]&lt;&gt;0,Tableau1[[#This Row],[DMS_SAP]]&lt;&gt;0)=TRUE,"MIS A JOUR","")</f>
        <v/>
      </c>
      <c r="AA183" s="45"/>
      <c r="AB183" s="55" t="str">
        <f ca="1">IF(Tableau1[[#This Row],[Date rév.]]&lt;&gt;"", DAYS360(Tableau1[[#This Row],[Date rév.]],TODAY()),"")</f>
        <v/>
      </c>
      <c r="AC183" s="47">
        <f>IFERROR(INDEX(Chemin_accès!$B$11:$C$22,MATCH(Tableau1[[#This Row],[Type]],Chemin_accès!$C$11:$C$22,0),1),Chemin_accès!$B$11)</f>
        <v>0</v>
      </c>
      <c r="AD183" s="47" t="str">
        <f>Chemin_accès!$B$8&amp;Tableau1[[#This Row],[Localisation / Classement]]&amp;"\"&amp;Tableau1[[#This Row],[Poste technique]]&amp;"_"&amp;Tableau1[[#This Row],[Plan Entretien]]&amp;".xlsm"</f>
        <v>\_.xlsm</v>
      </c>
    </row>
    <row r="184" spans="1:30" x14ac:dyDescent="0.3">
      <c r="A184" s="41" t="str">
        <f t="shared" ca="1" si="2"/>
        <v>7.MNRJ</v>
      </c>
      <c r="B1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4" s="43"/>
      <c r="D184" s="41"/>
      <c r="E184" s="41"/>
      <c r="F184" s="44"/>
      <c r="G184" s="44"/>
      <c r="H184" s="48"/>
      <c r="I184" s="64"/>
      <c r="J184" s="48"/>
      <c r="K184" s="48"/>
      <c r="L184" s="43"/>
      <c r="M184" s="44"/>
      <c r="N184" s="43"/>
      <c r="O184" s="43"/>
      <c r="P184" s="44"/>
      <c r="Q184" s="43"/>
      <c r="R184" s="43"/>
      <c r="S184" s="45"/>
      <c r="T184" s="58" t="str">
        <f>IF(Tableau1[[#This Row],[DMS_SAP]]="","",HYPERLINK(Tableau1[[#This Row],[Chemin fichier source]],"X"))</f>
        <v/>
      </c>
      <c r="U184" s="58" t="str">
        <f>IF(Tableau1[[#This Row],[Date rév.]]="","",HYPERLINK(Tableau1[[#This Row],[Lien document]],"X"))</f>
        <v/>
      </c>
      <c r="V184" s="44"/>
      <c r="W184" s="46" t="str">
        <f ca="1">Chemin_accès!$B$2&amp;Tableau1[[#This Row],[Poste Responsable]]&amp;"\"&amp;Tableau1[[#This Row],[Localisation / Classement]]&amp;"\"&amp;Tableau1[[#This Row],[Poste technique]]&amp;"_"&amp;Tableau1[[#This Row],[Plan Entretien]]&amp;".pdf"</f>
        <v>\\stjn.local\trimet\Donnees_Projets\Dms Sap\Maintenance\PlanEntretien\7.MNRJ\\_.pdf</v>
      </c>
      <c r="X184" s="44"/>
      <c r="Y184" s="44"/>
      <c r="Z184" s="41" t="str">
        <f ca="1">IF(AND(Tableau1[[#This Row],[Charge]]&lt;&gt;0, Tableau1[[#This Row],[Nombre intervenants]]&lt;&gt;0,Tableau1[[#This Row],[Lien document]]&lt;&gt;0,Tableau1[[#This Row],[DMS_SAP]]&lt;&gt;0)=TRUE,"MIS A JOUR","")</f>
        <v/>
      </c>
      <c r="AA184" s="45"/>
      <c r="AB184" s="55" t="str">
        <f ca="1">IF(Tableau1[[#This Row],[Date rév.]]&lt;&gt;"", DAYS360(Tableau1[[#This Row],[Date rév.]],TODAY()),"")</f>
        <v/>
      </c>
      <c r="AC184" s="47">
        <f>IFERROR(INDEX(Chemin_accès!$B$11:$C$22,MATCH(Tableau1[[#This Row],[Type]],Chemin_accès!$C$11:$C$22,0),1),Chemin_accès!$B$11)</f>
        <v>0</v>
      </c>
      <c r="AD184" s="47" t="str">
        <f>Chemin_accès!$B$8&amp;Tableau1[[#This Row],[Localisation / Classement]]&amp;"\"&amp;Tableau1[[#This Row],[Poste technique]]&amp;"_"&amp;Tableau1[[#This Row],[Plan Entretien]]&amp;".xlsm"</f>
        <v>\_.xlsm</v>
      </c>
    </row>
    <row r="185" spans="1:30" x14ac:dyDescent="0.3">
      <c r="A185" s="41" t="str">
        <f t="shared" ca="1" si="2"/>
        <v>7.MNRJ</v>
      </c>
      <c r="B1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5" s="43"/>
      <c r="D185" s="41"/>
      <c r="E185" s="41"/>
      <c r="F185" s="44"/>
      <c r="G185" s="44"/>
      <c r="H185" s="48"/>
      <c r="I185" s="64"/>
      <c r="J185" s="48"/>
      <c r="K185" s="48"/>
      <c r="L185" s="43"/>
      <c r="M185" s="44"/>
      <c r="N185" s="43"/>
      <c r="O185" s="43"/>
      <c r="P185" s="44"/>
      <c r="Q185" s="43"/>
      <c r="R185" s="43"/>
      <c r="S185" s="45"/>
      <c r="T185" s="58" t="str">
        <f>IF(Tableau1[[#This Row],[DMS_SAP]]="","",HYPERLINK(Tableau1[[#This Row],[Chemin fichier source]],"X"))</f>
        <v/>
      </c>
      <c r="U185" s="58" t="str">
        <f>IF(Tableau1[[#This Row],[Date rév.]]="","",HYPERLINK(Tableau1[[#This Row],[Lien document]],"X"))</f>
        <v/>
      </c>
      <c r="V185" s="44"/>
      <c r="W185" s="46" t="str">
        <f ca="1">Chemin_accès!$B$2&amp;Tableau1[[#This Row],[Poste Responsable]]&amp;"\"&amp;Tableau1[[#This Row],[Localisation / Classement]]&amp;"\"&amp;Tableau1[[#This Row],[Poste technique]]&amp;"_"&amp;Tableau1[[#This Row],[Plan Entretien]]&amp;".pdf"</f>
        <v>\\stjn.local\trimet\Donnees_Projets\Dms Sap\Maintenance\PlanEntretien\7.MNRJ\\_.pdf</v>
      </c>
      <c r="X185" s="44"/>
      <c r="Y185" s="44"/>
      <c r="Z185" s="41" t="str">
        <f ca="1">IF(AND(Tableau1[[#This Row],[Charge]]&lt;&gt;0, Tableau1[[#This Row],[Nombre intervenants]]&lt;&gt;0,Tableau1[[#This Row],[Lien document]]&lt;&gt;0,Tableau1[[#This Row],[DMS_SAP]]&lt;&gt;0)=TRUE,"MIS A JOUR","")</f>
        <v/>
      </c>
      <c r="AA185" s="45"/>
      <c r="AB185" s="55" t="str">
        <f ca="1">IF(Tableau1[[#This Row],[Date rév.]]&lt;&gt;"", DAYS360(Tableau1[[#This Row],[Date rév.]],TODAY()),"")</f>
        <v/>
      </c>
      <c r="AC185" s="47">
        <f>IFERROR(INDEX(Chemin_accès!$B$11:$C$22,MATCH(Tableau1[[#This Row],[Type]],Chemin_accès!$C$11:$C$22,0),1),Chemin_accès!$B$11)</f>
        <v>0</v>
      </c>
      <c r="AD185" s="47" t="str">
        <f>Chemin_accès!$B$8&amp;Tableau1[[#This Row],[Localisation / Classement]]&amp;"\"&amp;Tableau1[[#This Row],[Poste technique]]&amp;"_"&amp;Tableau1[[#This Row],[Plan Entretien]]&amp;".xlsm"</f>
        <v>\_.xlsm</v>
      </c>
    </row>
    <row r="186" spans="1:30" x14ac:dyDescent="0.3">
      <c r="A186" s="41" t="str">
        <f t="shared" ca="1" si="2"/>
        <v>7.MNRJ</v>
      </c>
      <c r="B1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6" s="43"/>
      <c r="D186" s="41"/>
      <c r="E186" s="41"/>
      <c r="F186" s="44"/>
      <c r="G186" s="44"/>
      <c r="H186" s="48"/>
      <c r="I186" s="64"/>
      <c r="J186" s="48"/>
      <c r="K186" s="48"/>
      <c r="L186" s="43"/>
      <c r="M186" s="44"/>
      <c r="N186" s="43"/>
      <c r="O186" s="43"/>
      <c r="P186" s="44"/>
      <c r="Q186" s="43"/>
      <c r="R186" s="43"/>
      <c r="S186" s="45"/>
      <c r="T186" s="58" t="str">
        <f>IF(Tableau1[[#This Row],[DMS_SAP]]="","",HYPERLINK(Tableau1[[#This Row],[Chemin fichier source]],"X"))</f>
        <v/>
      </c>
      <c r="U186" s="58" t="str">
        <f>IF(Tableau1[[#This Row],[Date rév.]]="","",HYPERLINK(Tableau1[[#This Row],[Lien document]],"X"))</f>
        <v/>
      </c>
      <c r="V186" s="44"/>
      <c r="W186" s="46" t="str">
        <f ca="1">Chemin_accès!$B$2&amp;Tableau1[[#This Row],[Poste Responsable]]&amp;"\"&amp;Tableau1[[#This Row],[Localisation / Classement]]&amp;"\"&amp;Tableau1[[#This Row],[Poste technique]]&amp;"_"&amp;Tableau1[[#This Row],[Plan Entretien]]&amp;".pdf"</f>
        <v>\\stjn.local\trimet\Donnees_Projets\Dms Sap\Maintenance\PlanEntretien\7.MNRJ\\_.pdf</v>
      </c>
      <c r="X186" s="44"/>
      <c r="Y186" s="44"/>
      <c r="Z186" s="41" t="str">
        <f ca="1">IF(AND(Tableau1[[#This Row],[Charge]]&lt;&gt;0, Tableau1[[#This Row],[Nombre intervenants]]&lt;&gt;0,Tableau1[[#This Row],[Lien document]]&lt;&gt;0,Tableau1[[#This Row],[DMS_SAP]]&lt;&gt;0)=TRUE,"MIS A JOUR","")</f>
        <v/>
      </c>
      <c r="AA186" s="45"/>
      <c r="AB186" s="55" t="str">
        <f ca="1">IF(Tableau1[[#This Row],[Date rév.]]&lt;&gt;"", DAYS360(Tableau1[[#This Row],[Date rév.]],TODAY()),"")</f>
        <v/>
      </c>
      <c r="AC186" s="47">
        <f>IFERROR(INDEX(Chemin_accès!$B$11:$C$22,MATCH(Tableau1[[#This Row],[Type]],Chemin_accès!$C$11:$C$22,0),1),Chemin_accès!$B$11)</f>
        <v>0</v>
      </c>
      <c r="AD186" s="47" t="str">
        <f>Chemin_accès!$B$8&amp;Tableau1[[#This Row],[Localisation / Classement]]&amp;"\"&amp;Tableau1[[#This Row],[Poste technique]]&amp;"_"&amp;Tableau1[[#This Row],[Plan Entretien]]&amp;".xlsm"</f>
        <v>\_.xlsm</v>
      </c>
    </row>
    <row r="187" spans="1:30" x14ac:dyDescent="0.3">
      <c r="A187" s="41" t="str">
        <f t="shared" ca="1" si="2"/>
        <v>7.MNRJ</v>
      </c>
      <c r="B1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7" s="43"/>
      <c r="D187" s="41"/>
      <c r="E187" s="41"/>
      <c r="F187" s="44"/>
      <c r="G187" s="44"/>
      <c r="H187" s="48"/>
      <c r="I187" s="64"/>
      <c r="J187" s="48"/>
      <c r="K187" s="48"/>
      <c r="L187" s="43"/>
      <c r="M187" s="44"/>
      <c r="N187" s="43"/>
      <c r="O187" s="43"/>
      <c r="P187" s="44"/>
      <c r="Q187" s="43"/>
      <c r="R187" s="43"/>
      <c r="S187" s="45"/>
      <c r="T187" s="58" t="str">
        <f>IF(Tableau1[[#This Row],[DMS_SAP]]="","",HYPERLINK(Tableau1[[#This Row],[Chemin fichier source]],"X"))</f>
        <v/>
      </c>
      <c r="U187" s="58" t="str">
        <f>IF(Tableau1[[#This Row],[Date rév.]]="","",HYPERLINK(Tableau1[[#This Row],[Lien document]],"X"))</f>
        <v/>
      </c>
      <c r="V187" s="44"/>
      <c r="W187" s="46" t="str">
        <f ca="1">Chemin_accès!$B$2&amp;Tableau1[[#This Row],[Poste Responsable]]&amp;"\"&amp;Tableau1[[#This Row],[Localisation / Classement]]&amp;"\"&amp;Tableau1[[#This Row],[Poste technique]]&amp;"_"&amp;Tableau1[[#This Row],[Plan Entretien]]&amp;".pdf"</f>
        <v>\\stjn.local\trimet\Donnees_Projets\Dms Sap\Maintenance\PlanEntretien\7.MNRJ\\_.pdf</v>
      </c>
      <c r="X187" s="44"/>
      <c r="Y187" s="44"/>
      <c r="Z187" s="41" t="str">
        <f ca="1">IF(AND(Tableau1[[#This Row],[Charge]]&lt;&gt;0, Tableau1[[#This Row],[Nombre intervenants]]&lt;&gt;0,Tableau1[[#This Row],[Lien document]]&lt;&gt;0,Tableau1[[#This Row],[DMS_SAP]]&lt;&gt;0)=TRUE,"MIS A JOUR","")</f>
        <v/>
      </c>
      <c r="AA187" s="45"/>
      <c r="AB187" s="55" t="str">
        <f ca="1">IF(Tableau1[[#This Row],[Date rév.]]&lt;&gt;"", DAYS360(Tableau1[[#This Row],[Date rév.]],TODAY()),"")</f>
        <v/>
      </c>
      <c r="AC187" s="47">
        <f>IFERROR(INDEX(Chemin_accès!$B$11:$C$22,MATCH(Tableau1[[#This Row],[Type]],Chemin_accès!$C$11:$C$22,0),1),Chemin_accès!$B$11)</f>
        <v>0</v>
      </c>
      <c r="AD187" s="47" t="str">
        <f>Chemin_accès!$B$8&amp;Tableau1[[#This Row],[Localisation / Classement]]&amp;"\"&amp;Tableau1[[#This Row],[Poste technique]]&amp;"_"&amp;Tableau1[[#This Row],[Plan Entretien]]&amp;".xlsm"</f>
        <v>\_.xlsm</v>
      </c>
    </row>
    <row r="188" spans="1:30" x14ac:dyDescent="0.3">
      <c r="A188" s="41" t="str">
        <f t="shared" ca="1" si="2"/>
        <v>7.MNRJ</v>
      </c>
      <c r="B1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8" s="43"/>
      <c r="D188" s="41"/>
      <c r="E188" s="41"/>
      <c r="F188" s="44"/>
      <c r="G188" s="44"/>
      <c r="H188" s="48"/>
      <c r="I188" s="64"/>
      <c r="J188" s="48"/>
      <c r="K188" s="48"/>
      <c r="L188" s="43"/>
      <c r="M188" s="44"/>
      <c r="N188" s="43"/>
      <c r="O188" s="43"/>
      <c r="P188" s="44"/>
      <c r="Q188" s="43"/>
      <c r="R188" s="43"/>
      <c r="S188" s="45"/>
      <c r="T188" s="58" t="str">
        <f>IF(Tableau1[[#This Row],[DMS_SAP]]="","",HYPERLINK(Tableau1[[#This Row],[Chemin fichier source]],"X"))</f>
        <v/>
      </c>
      <c r="U188" s="58" t="str">
        <f>IF(Tableau1[[#This Row],[Date rév.]]="","",HYPERLINK(Tableau1[[#This Row],[Lien document]],"X"))</f>
        <v/>
      </c>
      <c r="V188" s="44"/>
      <c r="W188" s="46" t="str">
        <f ca="1">Chemin_accès!$B$2&amp;Tableau1[[#This Row],[Poste Responsable]]&amp;"\"&amp;Tableau1[[#This Row],[Localisation / Classement]]&amp;"\"&amp;Tableau1[[#This Row],[Poste technique]]&amp;"_"&amp;Tableau1[[#This Row],[Plan Entretien]]&amp;".pdf"</f>
        <v>\\stjn.local\trimet\Donnees_Projets\Dms Sap\Maintenance\PlanEntretien\7.MNRJ\\_.pdf</v>
      </c>
      <c r="X188" s="44"/>
      <c r="Y188" s="44"/>
      <c r="Z188" s="41" t="str">
        <f ca="1">IF(AND(Tableau1[[#This Row],[Charge]]&lt;&gt;0, Tableau1[[#This Row],[Nombre intervenants]]&lt;&gt;0,Tableau1[[#This Row],[Lien document]]&lt;&gt;0,Tableau1[[#This Row],[DMS_SAP]]&lt;&gt;0)=TRUE,"MIS A JOUR","")</f>
        <v/>
      </c>
      <c r="AA188" s="45"/>
      <c r="AB188" s="55" t="str">
        <f ca="1">IF(Tableau1[[#This Row],[Date rév.]]&lt;&gt;"", DAYS360(Tableau1[[#This Row],[Date rév.]],TODAY()),"")</f>
        <v/>
      </c>
      <c r="AC188" s="47">
        <f>IFERROR(INDEX(Chemin_accès!$B$11:$C$22,MATCH(Tableau1[[#This Row],[Type]],Chemin_accès!$C$11:$C$22,0),1),Chemin_accès!$B$11)</f>
        <v>0</v>
      </c>
      <c r="AD188" s="47" t="str">
        <f>Chemin_accès!$B$8&amp;Tableau1[[#This Row],[Localisation / Classement]]&amp;"\"&amp;Tableau1[[#This Row],[Poste technique]]&amp;"_"&amp;Tableau1[[#This Row],[Plan Entretien]]&amp;".xlsm"</f>
        <v>\_.xlsm</v>
      </c>
    </row>
    <row r="189" spans="1:30" x14ac:dyDescent="0.3">
      <c r="A189" s="41" t="str">
        <f t="shared" ca="1" si="2"/>
        <v>7.MNRJ</v>
      </c>
      <c r="B1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9" s="43"/>
      <c r="D189" s="41"/>
      <c r="E189" s="41"/>
      <c r="F189" s="44"/>
      <c r="G189" s="44"/>
      <c r="H189" s="48"/>
      <c r="I189" s="64"/>
      <c r="J189" s="48"/>
      <c r="K189" s="48"/>
      <c r="L189" s="43"/>
      <c r="M189" s="44"/>
      <c r="N189" s="43"/>
      <c r="O189" s="43"/>
      <c r="P189" s="44"/>
      <c r="Q189" s="43"/>
      <c r="R189" s="43"/>
      <c r="S189" s="45"/>
      <c r="T189" s="58" t="str">
        <f>IF(Tableau1[[#This Row],[DMS_SAP]]="","",HYPERLINK(Tableau1[[#This Row],[Chemin fichier source]],"X"))</f>
        <v/>
      </c>
      <c r="U189" s="58" t="str">
        <f>IF(Tableau1[[#This Row],[Date rév.]]="","",HYPERLINK(Tableau1[[#This Row],[Lien document]],"X"))</f>
        <v/>
      </c>
      <c r="V189" s="44"/>
      <c r="W189" s="46" t="str">
        <f ca="1">Chemin_accès!$B$2&amp;Tableau1[[#This Row],[Poste Responsable]]&amp;"\"&amp;Tableau1[[#This Row],[Localisation / Classement]]&amp;"\"&amp;Tableau1[[#This Row],[Poste technique]]&amp;"_"&amp;Tableau1[[#This Row],[Plan Entretien]]&amp;".pdf"</f>
        <v>\\stjn.local\trimet\Donnees_Projets\Dms Sap\Maintenance\PlanEntretien\7.MNRJ\\_.pdf</v>
      </c>
      <c r="X189" s="44"/>
      <c r="Y189" s="44"/>
      <c r="Z189" s="41" t="str">
        <f ca="1">IF(AND(Tableau1[[#This Row],[Charge]]&lt;&gt;0, Tableau1[[#This Row],[Nombre intervenants]]&lt;&gt;0,Tableau1[[#This Row],[Lien document]]&lt;&gt;0,Tableau1[[#This Row],[DMS_SAP]]&lt;&gt;0)=TRUE,"MIS A JOUR","")</f>
        <v/>
      </c>
      <c r="AA189" s="45"/>
      <c r="AB189" s="55" t="str">
        <f ca="1">IF(Tableau1[[#This Row],[Date rév.]]&lt;&gt;"", DAYS360(Tableau1[[#This Row],[Date rév.]],TODAY()),"")</f>
        <v/>
      </c>
      <c r="AC189" s="47">
        <f>IFERROR(INDEX(Chemin_accès!$B$11:$C$22,MATCH(Tableau1[[#This Row],[Type]],Chemin_accès!$C$11:$C$22,0),1),Chemin_accès!$B$11)</f>
        <v>0</v>
      </c>
      <c r="AD189" s="47" t="str">
        <f>Chemin_accès!$B$8&amp;Tableau1[[#This Row],[Localisation / Classement]]&amp;"\"&amp;Tableau1[[#This Row],[Poste technique]]&amp;"_"&amp;Tableau1[[#This Row],[Plan Entretien]]&amp;".xlsm"</f>
        <v>\_.xlsm</v>
      </c>
    </row>
    <row r="190" spans="1:30" x14ac:dyDescent="0.3">
      <c r="A190" s="41" t="str">
        <f t="shared" ca="1" si="2"/>
        <v>7.MNRJ</v>
      </c>
      <c r="B1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0" s="43"/>
      <c r="D190" s="41"/>
      <c r="E190" s="41"/>
      <c r="F190" s="44"/>
      <c r="G190" s="44"/>
      <c r="H190" s="48"/>
      <c r="I190" s="64"/>
      <c r="J190" s="48"/>
      <c r="K190" s="48"/>
      <c r="L190" s="43"/>
      <c r="M190" s="44"/>
      <c r="N190" s="43"/>
      <c r="O190" s="43"/>
      <c r="P190" s="44"/>
      <c r="Q190" s="43"/>
      <c r="R190" s="43"/>
      <c r="S190" s="45"/>
      <c r="T190" s="58" t="str">
        <f>IF(Tableau1[[#This Row],[DMS_SAP]]="","",HYPERLINK(Tableau1[[#This Row],[Chemin fichier source]],"X"))</f>
        <v/>
      </c>
      <c r="U190" s="58" t="str">
        <f>IF(Tableau1[[#This Row],[Date rév.]]="","",HYPERLINK(Tableau1[[#This Row],[Lien document]],"X"))</f>
        <v/>
      </c>
      <c r="V190" s="44"/>
      <c r="W190" s="46" t="str">
        <f ca="1">Chemin_accès!$B$2&amp;Tableau1[[#This Row],[Poste Responsable]]&amp;"\"&amp;Tableau1[[#This Row],[Localisation / Classement]]&amp;"\"&amp;Tableau1[[#This Row],[Poste technique]]&amp;"_"&amp;Tableau1[[#This Row],[Plan Entretien]]&amp;".pdf"</f>
        <v>\\stjn.local\trimet\Donnees_Projets\Dms Sap\Maintenance\PlanEntretien\7.MNRJ\\_.pdf</v>
      </c>
      <c r="X190" s="44"/>
      <c r="Y190" s="44"/>
      <c r="Z190" s="41" t="str">
        <f ca="1">IF(AND(Tableau1[[#This Row],[Charge]]&lt;&gt;0, Tableau1[[#This Row],[Nombre intervenants]]&lt;&gt;0,Tableau1[[#This Row],[Lien document]]&lt;&gt;0,Tableau1[[#This Row],[DMS_SAP]]&lt;&gt;0)=TRUE,"MIS A JOUR","")</f>
        <v/>
      </c>
      <c r="AA190" s="45"/>
      <c r="AB190" s="55" t="str">
        <f ca="1">IF(Tableau1[[#This Row],[Date rév.]]&lt;&gt;"", DAYS360(Tableau1[[#This Row],[Date rév.]],TODAY()),"")</f>
        <v/>
      </c>
      <c r="AC190" s="47">
        <f>IFERROR(INDEX(Chemin_accès!$B$11:$C$22,MATCH(Tableau1[[#This Row],[Type]],Chemin_accès!$C$11:$C$22,0),1),Chemin_accès!$B$11)</f>
        <v>0</v>
      </c>
      <c r="AD190" s="47" t="str">
        <f>Chemin_accès!$B$8&amp;Tableau1[[#This Row],[Localisation / Classement]]&amp;"\"&amp;Tableau1[[#This Row],[Poste technique]]&amp;"_"&amp;Tableau1[[#This Row],[Plan Entretien]]&amp;".xlsm"</f>
        <v>\_.xlsm</v>
      </c>
    </row>
    <row r="191" spans="1:30" x14ac:dyDescent="0.3">
      <c r="A191" s="41" t="str">
        <f t="shared" ca="1" si="2"/>
        <v>7.MNRJ</v>
      </c>
      <c r="B1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1" s="43"/>
      <c r="D191" s="41"/>
      <c r="E191" s="41"/>
      <c r="F191" s="44"/>
      <c r="G191" s="44"/>
      <c r="H191" s="48"/>
      <c r="I191" s="64"/>
      <c r="J191" s="48"/>
      <c r="K191" s="48"/>
      <c r="L191" s="43"/>
      <c r="M191" s="44"/>
      <c r="N191" s="43"/>
      <c r="O191" s="43"/>
      <c r="P191" s="44"/>
      <c r="Q191" s="43"/>
      <c r="R191" s="43"/>
      <c r="S191" s="45"/>
      <c r="T191" s="58" t="str">
        <f>IF(Tableau1[[#This Row],[DMS_SAP]]="","",HYPERLINK(Tableau1[[#This Row],[Chemin fichier source]],"X"))</f>
        <v/>
      </c>
      <c r="U191" s="58" t="str">
        <f>IF(Tableau1[[#This Row],[Date rév.]]="","",HYPERLINK(Tableau1[[#This Row],[Lien document]],"X"))</f>
        <v/>
      </c>
      <c r="V191" s="44"/>
      <c r="W191" s="46" t="str">
        <f ca="1">Chemin_accès!$B$2&amp;Tableau1[[#This Row],[Poste Responsable]]&amp;"\"&amp;Tableau1[[#This Row],[Localisation / Classement]]&amp;"\"&amp;Tableau1[[#This Row],[Poste technique]]&amp;"_"&amp;Tableau1[[#This Row],[Plan Entretien]]&amp;".pdf"</f>
        <v>\\stjn.local\trimet\Donnees_Projets\Dms Sap\Maintenance\PlanEntretien\7.MNRJ\\_.pdf</v>
      </c>
      <c r="X191" s="44"/>
      <c r="Y191" s="44"/>
      <c r="Z191" s="41" t="str">
        <f ca="1">IF(AND(Tableau1[[#This Row],[Charge]]&lt;&gt;0, Tableau1[[#This Row],[Nombre intervenants]]&lt;&gt;0,Tableau1[[#This Row],[Lien document]]&lt;&gt;0,Tableau1[[#This Row],[DMS_SAP]]&lt;&gt;0)=TRUE,"MIS A JOUR","")</f>
        <v/>
      </c>
      <c r="AA191" s="45"/>
      <c r="AB191" s="55" t="str">
        <f ca="1">IF(Tableau1[[#This Row],[Date rév.]]&lt;&gt;"", DAYS360(Tableau1[[#This Row],[Date rév.]],TODAY()),"")</f>
        <v/>
      </c>
      <c r="AC191" s="47">
        <f>IFERROR(INDEX(Chemin_accès!$B$11:$C$22,MATCH(Tableau1[[#This Row],[Type]],Chemin_accès!$C$11:$C$22,0),1),Chemin_accès!$B$11)</f>
        <v>0</v>
      </c>
      <c r="AD191" s="47" t="str">
        <f>Chemin_accès!$B$8&amp;Tableau1[[#This Row],[Localisation / Classement]]&amp;"\"&amp;Tableau1[[#This Row],[Poste technique]]&amp;"_"&amp;Tableau1[[#This Row],[Plan Entretien]]&amp;".xlsm"</f>
        <v>\_.xlsm</v>
      </c>
    </row>
    <row r="192" spans="1:30" x14ac:dyDescent="0.3">
      <c r="A192" s="41" t="str">
        <f t="shared" ca="1" si="2"/>
        <v>7.MNRJ</v>
      </c>
      <c r="B1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2" s="43"/>
      <c r="D192" s="41"/>
      <c r="E192" s="41"/>
      <c r="F192" s="44"/>
      <c r="G192" s="44"/>
      <c r="H192" s="48"/>
      <c r="I192" s="64"/>
      <c r="J192" s="48"/>
      <c r="K192" s="48"/>
      <c r="L192" s="43"/>
      <c r="M192" s="44"/>
      <c r="N192" s="43"/>
      <c r="O192" s="43"/>
      <c r="P192" s="44"/>
      <c r="Q192" s="43"/>
      <c r="R192" s="43"/>
      <c r="S192" s="45"/>
      <c r="T192" s="58" t="str">
        <f>IF(Tableau1[[#This Row],[DMS_SAP]]="","",HYPERLINK(Tableau1[[#This Row],[Chemin fichier source]],"X"))</f>
        <v/>
      </c>
      <c r="U192" s="58" t="str">
        <f>IF(Tableau1[[#This Row],[Date rév.]]="","",HYPERLINK(Tableau1[[#This Row],[Lien document]],"X"))</f>
        <v/>
      </c>
      <c r="V192" s="44"/>
      <c r="W192" s="46" t="str">
        <f ca="1">Chemin_accès!$B$2&amp;Tableau1[[#This Row],[Poste Responsable]]&amp;"\"&amp;Tableau1[[#This Row],[Localisation / Classement]]&amp;"\"&amp;Tableau1[[#This Row],[Poste technique]]&amp;"_"&amp;Tableau1[[#This Row],[Plan Entretien]]&amp;".pdf"</f>
        <v>\\stjn.local\trimet\Donnees_Projets\Dms Sap\Maintenance\PlanEntretien\7.MNRJ\\_.pdf</v>
      </c>
      <c r="X192" s="44"/>
      <c r="Y192" s="44"/>
      <c r="Z192" s="41" t="str">
        <f ca="1">IF(AND(Tableau1[[#This Row],[Charge]]&lt;&gt;0, Tableau1[[#This Row],[Nombre intervenants]]&lt;&gt;0,Tableau1[[#This Row],[Lien document]]&lt;&gt;0,Tableau1[[#This Row],[DMS_SAP]]&lt;&gt;0)=TRUE,"MIS A JOUR","")</f>
        <v/>
      </c>
      <c r="AA192" s="45"/>
      <c r="AB192" s="55" t="str">
        <f ca="1">IF(Tableau1[[#This Row],[Date rév.]]&lt;&gt;"", DAYS360(Tableau1[[#This Row],[Date rév.]],TODAY()),"")</f>
        <v/>
      </c>
      <c r="AC192" s="47">
        <f>IFERROR(INDEX(Chemin_accès!$B$11:$C$22,MATCH(Tableau1[[#This Row],[Type]],Chemin_accès!$C$11:$C$22,0),1),Chemin_accès!$B$11)</f>
        <v>0</v>
      </c>
      <c r="AD192" s="47" t="str">
        <f>Chemin_accès!$B$8&amp;Tableau1[[#This Row],[Localisation / Classement]]&amp;"\"&amp;Tableau1[[#This Row],[Poste technique]]&amp;"_"&amp;Tableau1[[#This Row],[Plan Entretien]]&amp;".xlsm"</f>
        <v>\_.xlsm</v>
      </c>
    </row>
    <row r="193" spans="1:30" x14ac:dyDescent="0.3">
      <c r="A193" s="41" t="str">
        <f t="shared" ca="1" si="2"/>
        <v>7.MNRJ</v>
      </c>
      <c r="B1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3" s="43"/>
      <c r="D193" s="41"/>
      <c r="E193" s="41"/>
      <c r="F193" s="44"/>
      <c r="G193" s="44"/>
      <c r="H193" s="48"/>
      <c r="I193" s="64"/>
      <c r="J193" s="48"/>
      <c r="K193" s="48"/>
      <c r="L193" s="43"/>
      <c r="M193" s="44"/>
      <c r="N193" s="43"/>
      <c r="O193" s="43"/>
      <c r="P193" s="44"/>
      <c r="Q193" s="43"/>
      <c r="R193" s="43"/>
      <c r="S193" s="45"/>
      <c r="T193" s="58" t="str">
        <f>IF(Tableau1[[#This Row],[DMS_SAP]]="","",HYPERLINK(Tableau1[[#This Row],[Chemin fichier source]],"X"))</f>
        <v/>
      </c>
      <c r="U193" s="58" t="str">
        <f>IF(Tableau1[[#This Row],[Date rév.]]="","",HYPERLINK(Tableau1[[#This Row],[Lien document]],"X"))</f>
        <v/>
      </c>
      <c r="V193" s="44"/>
      <c r="W193" s="46" t="str">
        <f ca="1">Chemin_accès!$B$2&amp;Tableau1[[#This Row],[Poste Responsable]]&amp;"\"&amp;Tableau1[[#This Row],[Localisation / Classement]]&amp;"\"&amp;Tableau1[[#This Row],[Poste technique]]&amp;"_"&amp;Tableau1[[#This Row],[Plan Entretien]]&amp;".pdf"</f>
        <v>\\stjn.local\trimet\Donnees_Projets\Dms Sap\Maintenance\PlanEntretien\7.MNRJ\\_.pdf</v>
      </c>
      <c r="X193" s="44"/>
      <c r="Y193" s="44"/>
      <c r="Z193" s="41" t="str">
        <f ca="1">IF(AND(Tableau1[[#This Row],[Charge]]&lt;&gt;0, Tableau1[[#This Row],[Nombre intervenants]]&lt;&gt;0,Tableau1[[#This Row],[Lien document]]&lt;&gt;0,Tableau1[[#This Row],[DMS_SAP]]&lt;&gt;0)=TRUE,"MIS A JOUR","")</f>
        <v/>
      </c>
      <c r="AA193" s="45"/>
      <c r="AB193" s="55" t="str">
        <f ca="1">IF(Tableau1[[#This Row],[Date rév.]]&lt;&gt;"", DAYS360(Tableau1[[#This Row],[Date rév.]],TODAY()),"")</f>
        <v/>
      </c>
      <c r="AC193" s="47">
        <f>IFERROR(INDEX(Chemin_accès!$B$11:$C$22,MATCH(Tableau1[[#This Row],[Type]],Chemin_accès!$C$11:$C$22,0),1),Chemin_accès!$B$11)</f>
        <v>0</v>
      </c>
      <c r="AD193" s="47" t="str">
        <f>Chemin_accès!$B$8&amp;Tableau1[[#This Row],[Localisation / Classement]]&amp;"\"&amp;Tableau1[[#This Row],[Poste technique]]&amp;"_"&amp;Tableau1[[#This Row],[Plan Entretien]]&amp;".xlsm"</f>
        <v>\_.xlsm</v>
      </c>
    </row>
    <row r="194" spans="1:30" x14ac:dyDescent="0.3">
      <c r="A194" s="41" t="str">
        <f t="shared" ca="1" si="2"/>
        <v>7.MNRJ</v>
      </c>
      <c r="B1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4" s="43"/>
      <c r="D194" s="41"/>
      <c r="E194" s="41"/>
      <c r="F194" s="44"/>
      <c r="G194" s="44"/>
      <c r="H194" s="48"/>
      <c r="I194" s="64"/>
      <c r="J194" s="48"/>
      <c r="K194" s="48"/>
      <c r="L194" s="43"/>
      <c r="M194" s="44"/>
      <c r="N194" s="43"/>
      <c r="O194" s="43"/>
      <c r="P194" s="44"/>
      <c r="Q194" s="43"/>
      <c r="R194" s="43"/>
      <c r="S194" s="45"/>
      <c r="T194" s="58" t="str">
        <f>IF(Tableau1[[#This Row],[DMS_SAP]]="","",HYPERLINK(Tableau1[[#This Row],[Chemin fichier source]],"X"))</f>
        <v/>
      </c>
      <c r="U194" s="58" t="str">
        <f>IF(Tableau1[[#This Row],[Date rév.]]="","",HYPERLINK(Tableau1[[#This Row],[Lien document]],"X"))</f>
        <v/>
      </c>
      <c r="V194" s="44"/>
      <c r="W194" s="46" t="str">
        <f ca="1">Chemin_accès!$B$2&amp;Tableau1[[#This Row],[Poste Responsable]]&amp;"\"&amp;Tableau1[[#This Row],[Localisation / Classement]]&amp;"\"&amp;Tableau1[[#This Row],[Poste technique]]&amp;"_"&amp;Tableau1[[#This Row],[Plan Entretien]]&amp;".pdf"</f>
        <v>\\stjn.local\trimet\Donnees_Projets\Dms Sap\Maintenance\PlanEntretien\7.MNRJ\\_.pdf</v>
      </c>
      <c r="X194" s="44"/>
      <c r="Y194" s="44"/>
      <c r="Z194" s="41" t="str">
        <f ca="1">IF(AND(Tableau1[[#This Row],[Charge]]&lt;&gt;0, Tableau1[[#This Row],[Nombre intervenants]]&lt;&gt;0,Tableau1[[#This Row],[Lien document]]&lt;&gt;0,Tableau1[[#This Row],[DMS_SAP]]&lt;&gt;0)=TRUE,"MIS A JOUR","")</f>
        <v/>
      </c>
      <c r="AA194" s="45"/>
      <c r="AB194" s="55" t="str">
        <f ca="1">IF(Tableau1[[#This Row],[Date rév.]]&lt;&gt;"", DAYS360(Tableau1[[#This Row],[Date rév.]],TODAY()),"")</f>
        <v/>
      </c>
      <c r="AC194" s="47">
        <f>IFERROR(INDEX(Chemin_accès!$B$11:$C$22,MATCH(Tableau1[[#This Row],[Type]],Chemin_accès!$C$11:$C$22,0),1),Chemin_accès!$B$11)</f>
        <v>0</v>
      </c>
      <c r="AD194" s="47" t="str">
        <f>Chemin_accès!$B$8&amp;Tableau1[[#This Row],[Localisation / Classement]]&amp;"\"&amp;Tableau1[[#This Row],[Poste technique]]&amp;"_"&amp;Tableau1[[#This Row],[Plan Entretien]]&amp;".xlsm"</f>
        <v>\_.xlsm</v>
      </c>
    </row>
    <row r="195" spans="1:30" x14ac:dyDescent="0.3">
      <c r="A195" s="41" t="str">
        <f t="shared" ref="A195:A258" ca="1" si="3">MID(CELL("filename",$A$1),FIND("]",CELL("filename",$A$1))+1,32)</f>
        <v>7.MNRJ</v>
      </c>
      <c r="B1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5" s="43"/>
      <c r="D195" s="41"/>
      <c r="E195" s="41"/>
      <c r="F195" s="44"/>
      <c r="G195" s="44"/>
      <c r="H195" s="48"/>
      <c r="I195" s="64"/>
      <c r="J195" s="48"/>
      <c r="K195" s="48"/>
      <c r="L195" s="43"/>
      <c r="M195" s="44"/>
      <c r="N195" s="43"/>
      <c r="O195" s="43"/>
      <c r="P195" s="44"/>
      <c r="Q195" s="43"/>
      <c r="R195" s="43"/>
      <c r="S195" s="45"/>
      <c r="T195" s="58" t="str">
        <f>IF(Tableau1[[#This Row],[DMS_SAP]]="","",HYPERLINK(Tableau1[[#This Row],[Chemin fichier source]],"X"))</f>
        <v/>
      </c>
      <c r="U195" s="58" t="str">
        <f>IF(Tableau1[[#This Row],[Date rév.]]="","",HYPERLINK(Tableau1[[#This Row],[Lien document]],"X"))</f>
        <v/>
      </c>
      <c r="V195" s="44"/>
      <c r="W195" s="46" t="str">
        <f ca="1">Chemin_accès!$B$2&amp;Tableau1[[#This Row],[Poste Responsable]]&amp;"\"&amp;Tableau1[[#This Row],[Localisation / Classement]]&amp;"\"&amp;Tableau1[[#This Row],[Poste technique]]&amp;"_"&amp;Tableau1[[#This Row],[Plan Entretien]]&amp;".pdf"</f>
        <v>\\stjn.local\trimet\Donnees_Projets\Dms Sap\Maintenance\PlanEntretien\7.MNRJ\\_.pdf</v>
      </c>
      <c r="X195" s="44"/>
      <c r="Y195" s="44"/>
      <c r="Z195" s="41" t="str">
        <f ca="1">IF(AND(Tableau1[[#This Row],[Charge]]&lt;&gt;0, Tableau1[[#This Row],[Nombre intervenants]]&lt;&gt;0,Tableau1[[#This Row],[Lien document]]&lt;&gt;0,Tableau1[[#This Row],[DMS_SAP]]&lt;&gt;0)=TRUE,"MIS A JOUR","")</f>
        <v/>
      </c>
      <c r="AA195" s="45"/>
      <c r="AB195" s="55" t="str">
        <f ca="1">IF(Tableau1[[#This Row],[Date rév.]]&lt;&gt;"", DAYS360(Tableau1[[#This Row],[Date rév.]],TODAY()),"")</f>
        <v/>
      </c>
      <c r="AC195" s="47">
        <f>IFERROR(INDEX(Chemin_accès!$B$11:$C$22,MATCH(Tableau1[[#This Row],[Type]],Chemin_accès!$C$11:$C$22,0),1),Chemin_accès!$B$11)</f>
        <v>0</v>
      </c>
      <c r="AD195" s="47" t="str">
        <f>Chemin_accès!$B$8&amp;Tableau1[[#This Row],[Localisation / Classement]]&amp;"\"&amp;Tableau1[[#This Row],[Poste technique]]&amp;"_"&amp;Tableau1[[#This Row],[Plan Entretien]]&amp;".xlsm"</f>
        <v>\_.xlsm</v>
      </c>
    </row>
    <row r="196" spans="1:30" x14ac:dyDescent="0.3">
      <c r="A196" s="41" t="str">
        <f t="shared" ca="1" si="3"/>
        <v>7.MNRJ</v>
      </c>
      <c r="B1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6" s="43"/>
      <c r="D196" s="41"/>
      <c r="E196" s="41"/>
      <c r="F196" s="44"/>
      <c r="G196" s="44"/>
      <c r="H196" s="48"/>
      <c r="I196" s="64"/>
      <c r="J196" s="48"/>
      <c r="K196" s="48"/>
      <c r="L196" s="43"/>
      <c r="M196" s="44"/>
      <c r="N196" s="43"/>
      <c r="O196" s="43"/>
      <c r="P196" s="44"/>
      <c r="Q196" s="43"/>
      <c r="R196" s="43"/>
      <c r="S196" s="45"/>
      <c r="T196" s="58" t="str">
        <f>IF(Tableau1[[#This Row],[DMS_SAP]]="","",HYPERLINK(Tableau1[[#This Row],[Chemin fichier source]],"X"))</f>
        <v/>
      </c>
      <c r="U196" s="58" t="str">
        <f>IF(Tableau1[[#This Row],[Date rév.]]="","",HYPERLINK(Tableau1[[#This Row],[Lien document]],"X"))</f>
        <v/>
      </c>
      <c r="V196" s="44"/>
      <c r="W196" s="46" t="str">
        <f ca="1">Chemin_accès!$B$2&amp;Tableau1[[#This Row],[Poste Responsable]]&amp;"\"&amp;Tableau1[[#This Row],[Localisation / Classement]]&amp;"\"&amp;Tableau1[[#This Row],[Poste technique]]&amp;"_"&amp;Tableau1[[#This Row],[Plan Entretien]]&amp;".pdf"</f>
        <v>\\stjn.local\trimet\Donnees_Projets\Dms Sap\Maintenance\PlanEntretien\7.MNRJ\\_.pdf</v>
      </c>
      <c r="X196" s="44"/>
      <c r="Y196" s="44"/>
      <c r="Z196" s="41" t="str">
        <f ca="1">IF(AND(Tableau1[[#This Row],[Charge]]&lt;&gt;0, Tableau1[[#This Row],[Nombre intervenants]]&lt;&gt;0,Tableau1[[#This Row],[Lien document]]&lt;&gt;0,Tableau1[[#This Row],[DMS_SAP]]&lt;&gt;0)=TRUE,"MIS A JOUR","")</f>
        <v/>
      </c>
      <c r="AA196" s="45"/>
      <c r="AB196" s="55" t="str">
        <f ca="1">IF(Tableau1[[#This Row],[Date rév.]]&lt;&gt;"", DAYS360(Tableau1[[#This Row],[Date rév.]],TODAY()),"")</f>
        <v/>
      </c>
      <c r="AC196" s="47">
        <f>IFERROR(INDEX(Chemin_accès!$B$11:$C$22,MATCH(Tableau1[[#This Row],[Type]],Chemin_accès!$C$11:$C$22,0),1),Chemin_accès!$B$11)</f>
        <v>0</v>
      </c>
      <c r="AD196" s="47" t="str">
        <f>Chemin_accès!$B$8&amp;Tableau1[[#This Row],[Localisation / Classement]]&amp;"\"&amp;Tableau1[[#This Row],[Poste technique]]&amp;"_"&amp;Tableau1[[#This Row],[Plan Entretien]]&amp;".xlsm"</f>
        <v>\_.xlsm</v>
      </c>
    </row>
    <row r="197" spans="1:30" x14ac:dyDescent="0.3">
      <c r="A197" s="41" t="str">
        <f t="shared" ca="1" si="3"/>
        <v>7.MNRJ</v>
      </c>
      <c r="B1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7" s="43"/>
      <c r="D197" s="41"/>
      <c r="E197" s="41"/>
      <c r="F197" s="44"/>
      <c r="G197" s="44"/>
      <c r="H197" s="48"/>
      <c r="I197" s="64"/>
      <c r="J197" s="48"/>
      <c r="K197" s="48"/>
      <c r="L197" s="43"/>
      <c r="M197" s="44"/>
      <c r="N197" s="43"/>
      <c r="O197" s="43"/>
      <c r="P197" s="44"/>
      <c r="Q197" s="43"/>
      <c r="R197" s="43"/>
      <c r="S197" s="45"/>
      <c r="T197" s="58" t="str">
        <f>IF(Tableau1[[#This Row],[DMS_SAP]]="","",HYPERLINK(Tableau1[[#This Row],[Chemin fichier source]],"X"))</f>
        <v/>
      </c>
      <c r="U197" s="58" t="str">
        <f>IF(Tableau1[[#This Row],[Date rév.]]="","",HYPERLINK(Tableau1[[#This Row],[Lien document]],"X"))</f>
        <v/>
      </c>
      <c r="V197" s="44"/>
      <c r="W197" s="46" t="str">
        <f ca="1">Chemin_accès!$B$2&amp;Tableau1[[#This Row],[Poste Responsable]]&amp;"\"&amp;Tableau1[[#This Row],[Localisation / Classement]]&amp;"\"&amp;Tableau1[[#This Row],[Poste technique]]&amp;"_"&amp;Tableau1[[#This Row],[Plan Entretien]]&amp;".pdf"</f>
        <v>\\stjn.local\trimet\Donnees_Projets\Dms Sap\Maintenance\PlanEntretien\7.MNRJ\\_.pdf</v>
      </c>
      <c r="X197" s="44"/>
      <c r="Y197" s="44"/>
      <c r="Z197" s="41" t="str">
        <f ca="1">IF(AND(Tableau1[[#This Row],[Charge]]&lt;&gt;0, Tableau1[[#This Row],[Nombre intervenants]]&lt;&gt;0,Tableau1[[#This Row],[Lien document]]&lt;&gt;0,Tableau1[[#This Row],[DMS_SAP]]&lt;&gt;0)=TRUE,"MIS A JOUR","")</f>
        <v/>
      </c>
      <c r="AA197" s="45"/>
      <c r="AB197" s="55" t="str">
        <f ca="1">IF(Tableau1[[#This Row],[Date rév.]]&lt;&gt;"", DAYS360(Tableau1[[#This Row],[Date rév.]],TODAY()),"")</f>
        <v/>
      </c>
      <c r="AC197" s="47">
        <f>IFERROR(INDEX(Chemin_accès!$B$11:$C$22,MATCH(Tableau1[[#This Row],[Type]],Chemin_accès!$C$11:$C$22,0),1),Chemin_accès!$B$11)</f>
        <v>0</v>
      </c>
      <c r="AD197" s="47" t="str">
        <f>Chemin_accès!$B$8&amp;Tableau1[[#This Row],[Localisation / Classement]]&amp;"\"&amp;Tableau1[[#This Row],[Poste technique]]&amp;"_"&amp;Tableau1[[#This Row],[Plan Entretien]]&amp;".xlsm"</f>
        <v>\_.xlsm</v>
      </c>
    </row>
    <row r="198" spans="1:30" x14ac:dyDescent="0.3">
      <c r="A198" s="41" t="str">
        <f t="shared" ca="1" si="3"/>
        <v>7.MNRJ</v>
      </c>
      <c r="B1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8" s="43"/>
      <c r="D198" s="41"/>
      <c r="E198" s="41"/>
      <c r="F198" s="44"/>
      <c r="G198" s="44"/>
      <c r="H198" s="48"/>
      <c r="I198" s="64"/>
      <c r="J198" s="48"/>
      <c r="K198" s="48"/>
      <c r="L198" s="43"/>
      <c r="M198" s="44"/>
      <c r="N198" s="43"/>
      <c r="O198" s="43"/>
      <c r="P198" s="44"/>
      <c r="Q198" s="43"/>
      <c r="R198" s="43"/>
      <c r="S198" s="45"/>
      <c r="T198" s="58" t="str">
        <f>IF(Tableau1[[#This Row],[DMS_SAP]]="","",HYPERLINK(Tableau1[[#This Row],[Chemin fichier source]],"X"))</f>
        <v/>
      </c>
      <c r="U198" s="58" t="str">
        <f>IF(Tableau1[[#This Row],[Date rév.]]="","",HYPERLINK(Tableau1[[#This Row],[Lien document]],"X"))</f>
        <v/>
      </c>
      <c r="V198" s="44"/>
      <c r="W198" s="49" t="str">
        <f ca="1">Chemin_accès!$B$2&amp;Tableau1[[#This Row],[Poste Responsable]]&amp;"\"&amp;Tableau1[[#This Row],[Localisation / Classement]]&amp;"\"&amp;Tableau1[[#This Row],[Poste technique]]&amp;"_"&amp;Tableau1[[#This Row],[Plan Entretien]]&amp;".pdf"</f>
        <v>\\stjn.local\trimet\Donnees_Projets\Dms Sap\Maintenance\PlanEntretien\7.MNRJ\\_.pdf</v>
      </c>
      <c r="X198" s="44"/>
      <c r="Y198" s="44"/>
      <c r="Z198" s="41" t="str">
        <f ca="1">IF(AND(Tableau1[[#This Row],[Charge]]&lt;&gt;0, Tableau1[[#This Row],[Nombre intervenants]]&lt;&gt;0,Tableau1[[#This Row],[Lien document]]&lt;&gt;0,Tableau1[[#This Row],[DMS_SAP]]&lt;&gt;0)=TRUE,"MIS A JOUR","")</f>
        <v/>
      </c>
      <c r="AA198" s="45"/>
      <c r="AB198" s="55" t="str">
        <f ca="1">IF(Tableau1[[#This Row],[Date rév.]]&lt;&gt;"", DAYS360(Tableau1[[#This Row],[Date rév.]],TODAY()),"")</f>
        <v/>
      </c>
      <c r="AC198" s="47">
        <f>IFERROR(INDEX(Chemin_accès!$B$11:$C$22,MATCH(Tableau1[[#This Row],[Type]],Chemin_accès!$C$11:$C$22,0),1),Chemin_accès!$B$11)</f>
        <v>0</v>
      </c>
      <c r="AD198" s="47" t="str">
        <f>Chemin_accès!$B$8&amp;Tableau1[[#This Row],[Localisation / Classement]]&amp;"\"&amp;Tableau1[[#This Row],[Poste technique]]&amp;"_"&amp;Tableau1[[#This Row],[Plan Entretien]]&amp;".xlsm"</f>
        <v>\_.xlsm</v>
      </c>
    </row>
    <row r="199" spans="1:30" x14ac:dyDescent="0.3">
      <c r="A199" s="41" t="str">
        <f t="shared" ca="1" si="3"/>
        <v>7.MNRJ</v>
      </c>
      <c r="B1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9" s="43"/>
      <c r="D199" s="41"/>
      <c r="E199" s="41"/>
      <c r="F199" s="44"/>
      <c r="G199" s="44"/>
      <c r="H199" s="48"/>
      <c r="I199" s="64"/>
      <c r="J199" s="48"/>
      <c r="K199" s="48"/>
      <c r="L199" s="43"/>
      <c r="M199" s="44"/>
      <c r="N199" s="43"/>
      <c r="O199" s="43"/>
      <c r="P199" s="44"/>
      <c r="Q199" s="43"/>
      <c r="R199" s="43"/>
      <c r="S199" s="45"/>
      <c r="T199" s="58" t="str">
        <f>IF(Tableau1[[#This Row],[DMS_SAP]]="","",HYPERLINK(Tableau1[[#This Row],[Chemin fichier source]],"X"))</f>
        <v/>
      </c>
      <c r="U199" s="58" t="str">
        <f>IF(Tableau1[[#This Row],[Date rév.]]="","",HYPERLINK(Tableau1[[#This Row],[Lien document]],"X"))</f>
        <v/>
      </c>
      <c r="V199" s="44"/>
      <c r="W199" s="46" t="str">
        <f ca="1">Chemin_accès!$B$2&amp;Tableau1[[#This Row],[Poste Responsable]]&amp;"\"&amp;Tableau1[[#This Row],[Localisation / Classement]]&amp;"\"&amp;Tableau1[[#This Row],[Poste technique]]&amp;"_"&amp;Tableau1[[#This Row],[Plan Entretien]]&amp;".pdf"</f>
        <v>\\stjn.local\trimet\Donnees_Projets\Dms Sap\Maintenance\PlanEntretien\7.MNRJ\\_.pdf</v>
      </c>
      <c r="X199" s="44"/>
      <c r="Y199" s="44"/>
      <c r="Z199" s="41" t="str">
        <f ca="1">IF(AND(Tableau1[[#This Row],[Charge]]&lt;&gt;0, Tableau1[[#This Row],[Nombre intervenants]]&lt;&gt;0,Tableau1[[#This Row],[Lien document]]&lt;&gt;0,Tableau1[[#This Row],[DMS_SAP]]&lt;&gt;0)=TRUE,"MIS A JOUR","")</f>
        <v/>
      </c>
      <c r="AA199" s="45"/>
      <c r="AB199" s="55" t="str">
        <f ca="1">IF(Tableau1[[#This Row],[Date rév.]]&lt;&gt;"", DAYS360(Tableau1[[#This Row],[Date rév.]],TODAY()),"")</f>
        <v/>
      </c>
      <c r="AC199" s="47">
        <f>IFERROR(INDEX(Chemin_accès!$B$11:$C$22,MATCH(Tableau1[[#This Row],[Type]],Chemin_accès!$C$11:$C$22,0),1),Chemin_accès!$B$11)</f>
        <v>0</v>
      </c>
      <c r="AD199" s="47" t="str">
        <f>Chemin_accès!$B$8&amp;Tableau1[[#This Row],[Localisation / Classement]]&amp;"\"&amp;Tableau1[[#This Row],[Poste technique]]&amp;"_"&amp;Tableau1[[#This Row],[Plan Entretien]]&amp;".xlsm"</f>
        <v>\_.xlsm</v>
      </c>
    </row>
    <row r="200" spans="1:30" x14ac:dyDescent="0.3">
      <c r="A200" s="41" t="str">
        <f t="shared" ca="1" si="3"/>
        <v>7.MNRJ</v>
      </c>
      <c r="B2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0" s="43"/>
      <c r="D200" s="41"/>
      <c r="E200" s="41"/>
      <c r="F200" s="44"/>
      <c r="G200" s="44"/>
      <c r="H200" s="48"/>
      <c r="I200" s="64"/>
      <c r="J200" s="48"/>
      <c r="K200" s="48"/>
      <c r="L200" s="43"/>
      <c r="M200" s="44"/>
      <c r="N200" s="43"/>
      <c r="O200" s="43"/>
      <c r="P200" s="44"/>
      <c r="Q200" s="43"/>
      <c r="R200" s="43"/>
      <c r="S200" s="45"/>
      <c r="T200" s="58" t="str">
        <f>IF(Tableau1[[#This Row],[DMS_SAP]]="","",HYPERLINK(Tableau1[[#This Row],[Chemin fichier source]],"X"))</f>
        <v/>
      </c>
      <c r="U200" s="58" t="str">
        <f>IF(Tableau1[[#This Row],[Date rév.]]="","",HYPERLINK(Tableau1[[#This Row],[Lien document]],"X"))</f>
        <v/>
      </c>
      <c r="V200" s="44"/>
      <c r="W200" s="46" t="str">
        <f ca="1">Chemin_accès!$B$2&amp;Tableau1[[#This Row],[Poste Responsable]]&amp;"\"&amp;Tableau1[[#This Row],[Localisation / Classement]]&amp;"\"&amp;Tableau1[[#This Row],[Poste technique]]&amp;"_"&amp;Tableau1[[#This Row],[Plan Entretien]]&amp;".pdf"</f>
        <v>\\stjn.local\trimet\Donnees_Projets\Dms Sap\Maintenance\PlanEntretien\7.MNRJ\\_.pdf</v>
      </c>
      <c r="X200" s="44"/>
      <c r="Y200" s="44"/>
      <c r="Z200" s="41" t="str">
        <f ca="1">IF(AND(Tableau1[[#This Row],[Charge]]&lt;&gt;0, Tableau1[[#This Row],[Nombre intervenants]]&lt;&gt;0,Tableau1[[#This Row],[Lien document]]&lt;&gt;0,Tableau1[[#This Row],[DMS_SAP]]&lt;&gt;0)=TRUE,"MIS A JOUR","")</f>
        <v/>
      </c>
      <c r="AA200" s="45"/>
      <c r="AB200" s="55" t="str">
        <f ca="1">IF(Tableau1[[#This Row],[Date rév.]]&lt;&gt;"", DAYS360(Tableau1[[#This Row],[Date rév.]],TODAY()),"")</f>
        <v/>
      </c>
      <c r="AC200" s="47">
        <f>IFERROR(INDEX(Chemin_accès!$B$11:$C$22,MATCH(Tableau1[[#This Row],[Type]],Chemin_accès!$C$11:$C$22,0),1),Chemin_accès!$B$11)</f>
        <v>0</v>
      </c>
      <c r="AD200" s="47" t="str">
        <f>Chemin_accès!$B$8&amp;Tableau1[[#This Row],[Localisation / Classement]]&amp;"\"&amp;Tableau1[[#This Row],[Poste technique]]&amp;"_"&amp;Tableau1[[#This Row],[Plan Entretien]]&amp;".xlsm"</f>
        <v>\_.xlsm</v>
      </c>
    </row>
    <row r="201" spans="1:30" x14ac:dyDescent="0.3">
      <c r="A201" s="41" t="str">
        <f t="shared" ca="1" si="3"/>
        <v>7.MNRJ</v>
      </c>
      <c r="B2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1" s="43"/>
      <c r="D201" s="41"/>
      <c r="E201" s="41"/>
      <c r="F201" s="44"/>
      <c r="G201" s="44"/>
      <c r="H201" s="48"/>
      <c r="I201" s="64"/>
      <c r="J201" s="48"/>
      <c r="K201" s="48"/>
      <c r="L201" s="43"/>
      <c r="M201" s="44"/>
      <c r="N201" s="43"/>
      <c r="O201" s="43"/>
      <c r="P201" s="44"/>
      <c r="Q201" s="43"/>
      <c r="R201" s="43"/>
      <c r="S201" s="45"/>
      <c r="T201" s="58" t="str">
        <f>IF(Tableau1[[#This Row],[DMS_SAP]]="","",HYPERLINK(Tableau1[[#This Row],[Chemin fichier source]],"X"))</f>
        <v/>
      </c>
      <c r="U201" s="58" t="str">
        <f>IF(Tableau1[[#This Row],[Date rév.]]="","",HYPERLINK(Tableau1[[#This Row],[Lien document]],"X"))</f>
        <v/>
      </c>
      <c r="V201" s="44"/>
      <c r="W201" s="46" t="str">
        <f ca="1">Chemin_accès!$B$2&amp;Tableau1[[#This Row],[Poste Responsable]]&amp;"\"&amp;Tableau1[[#This Row],[Localisation / Classement]]&amp;"\"&amp;Tableau1[[#This Row],[Poste technique]]&amp;"_"&amp;Tableau1[[#This Row],[Plan Entretien]]&amp;".pdf"</f>
        <v>\\stjn.local\trimet\Donnees_Projets\Dms Sap\Maintenance\PlanEntretien\7.MNRJ\\_.pdf</v>
      </c>
      <c r="X201" s="44"/>
      <c r="Y201" s="44"/>
      <c r="Z201" s="41" t="str">
        <f ca="1">IF(AND(Tableau1[[#This Row],[Charge]]&lt;&gt;0, Tableau1[[#This Row],[Nombre intervenants]]&lt;&gt;0,Tableau1[[#This Row],[Lien document]]&lt;&gt;0,Tableau1[[#This Row],[DMS_SAP]]&lt;&gt;0)=TRUE,"MIS A JOUR","")</f>
        <v/>
      </c>
      <c r="AA201" s="45"/>
      <c r="AB201" s="55" t="str">
        <f ca="1">IF(Tableau1[[#This Row],[Date rév.]]&lt;&gt;"", DAYS360(Tableau1[[#This Row],[Date rév.]],TODAY()),"")</f>
        <v/>
      </c>
      <c r="AC201" s="47">
        <f>IFERROR(INDEX(Chemin_accès!$B$11:$C$22,MATCH(Tableau1[[#This Row],[Type]],Chemin_accès!$C$11:$C$22,0),1),Chemin_accès!$B$11)</f>
        <v>0</v>
      </c>
      <c r="AD201" s="47" t="str">
        <f>Chemin_accès!$B$8&amp;Tableau1[[#This Row],[Localisation / Classement]]&amp;"\"&amp;Tableau1[[#This Row],[Poste technique]]&amp;"_"&amp;Tableau1[[#This Row],[Plan Entretien]]&amp;".xlsm"</f>
        <v>\_.xlsm</v>
      </c>
    </row>
    <row r="202" spans="1:30" x14ac:dyDescent="0.3">
      <c r="A202" s="41" t="str">
        <f t="shared" ca="1" si="3"/>
        <v>7.MNRJ</v>
      </c>
      <c r="B2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2" s="43"/>
      <c r="D202" s="41"/>
      <c r="E202" s="41"/>
      <c r="F202" s="44"/>
      <c r="G202" s="44"/>
      <c r="H202" s="48"/>
      <c r="I202" s="64"/>
      <c r="J202" s="48"/>
      <c r="K202" s="48"/>
      <c r="L202" s="43"/>
      <c r="M202" s="44"/>
      <c r="N202" s="43"/>
      <c r="O202" s="43"/>
      <c r="P202" s="44"/>
      <c r="Q202" s="43"/>
      <c r="R202" s="43"/>
      <c r="S202" s="45"/>
      <c r="T202" s="58" t="str">
        <f>IF(Tableau1[[#This Row],[DMS_SAP]]="","",HYPERLINK(Tableau1[[#This Row],[Chemin fichier source]],"X"))</f>
        <v/>
      </c>
      <c r="U202" s="58" t="str">
        <f>IF(Tableau1[[#This Row],[Date rév.]]="","",HYPERLINK(Tableau1[[#This Row],[Lien document]],"X"))</f>
        <v/>
      </c>
      <c r="V202" s="44"/>
      <c r="W202" s="46" t="str">
        <f ca="1">Chemin_accès!$B$2&amp;Tableau1[[#This Row],[Poste Responsable]]&amp;"\"&amp;Tableau1[[#This Row],[Localisation / Classement]]&amp;"\"&amp;Tableau1[[#This Row],[Poste technique]]&amp;"_"&amp;Tableau1[[#This Row],[Plan Entretien]]&amp;".pdf"</f>
        <v>\\stjn.local\trimet\Donnees_Projets\Dms Sap\Maintenance\PlanEntretien\7.MNRJ\\_.pdf</v>
      </c>
      <c r="X202" s="44"/>
      <c r="Y202" s="44"/>
      <c r="Z202" s="41" t="str">
        <f ca="1">IF(AND(Tableau1[[#This Row],[Charge]]&lt;&gt;0, Tableau1[[#This Row],[Nombre intervenants]]&lt;&gt;0,Tableau1[[#This Row],[Lien document]]&lt;&gt;0,Tableau1[[#This Row],[DMS_SAP]]&lt;&gt;0)=TRUE,"MIS A JOUR","")</f>
        <v/>
      </c>
      <c r="AA202" s="45"/>
      <c r="AB202" s="55" t="str">
        <f ca="1">IF(Tableau1[[#This Row],[Date rév.]]&lt;&gt;"", DAYS360(Tableau1[[#This Row],[Date rév.]],TODAY()),"")</f>
        <v/>
      </c>
      <c r="AC202" s="47">
        <f>IFERROR(INDEX(Chemin_accès!$B$11:$C$22,MATCH(Tableau1[[#This Row],[Type]],Chemin_accès!$C$11:$C$22,0),1),Chemin_accès!$B$11)</f>
        <v>0</v>
      </c>
      <c r="AD202" s="47" t="str">
        <f>Chemin_accès!$B$8&amp;Tableau1[[#This Row],[Localisation / Classement]]&amp;"\"&amp;Tableau1[[#This Row],[Poste technique]]&amp;"_"&amp;Tableau1[[#This Row],[Plan Entretien]]&amp;".xlsm"</f>
        <v>\_.xlsm</v>
      </c>
    </row>
    <row r="203" spans="1:30" x14ac:dyDescent="0.3">
      <c r="A203" s="41" t="str">
        <f t="shared" ca="1" si="3"/>
        <v>7.MNRJ</v>
      </c>
      <c r="B2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3" s="43"/>
      <c r="D203" s="41"/>
      <c r="E203" s="41"/>
      <c r="F203" s="44"/>
      <c r="G203" s="44"/>
      <c r="H203" s="48"/>
      <c r="I203" s="64"/>
      <c r="J203" s="48"/>
      <c r="K203" s="48"/>
      <c r="L203" s="43"/>
      <c r="M203" s="44"/>
      <c r="N203" s="43"/>
      <c r="O203" s="43"/>
      <c r="P203" s="44"/>
      <c r="Q203" s="43"/>
      <c r="R203" s="43"/>
      <c r="S203" s="45"/>
      <c r="T203" s="58" t="str">
        <f>IF(Tableau1[[#This Row],[DMS_SAP]]="","",HYPERLINK(Tableau1[[#This Row],[Chemin fichier source]],"X"))</f>
        <v/>
      </c>
      <c r="U203" s="58" t="str">
        <f>IF(Tableau1[[#This Row],[Date rév.]]="","",HYPERLINK(Tableau1[[#This Row],[Lien document]],"X"))</f>
        <v/>
      </c>
      <c r="V203" s="44"/>
      <c r="W203" s="46" t="str">
        <f ca="1">Chemin_accès!$B$2&amp;Tableau1[[#This Row],[Poste Responsable]]&amp;"\"&amp;Tableau1[[#This Row],[Localisation / Classement]]&amp;"\"&amp;Tableau1[[#This Row],[Poste technique]]&amp;"_"&amp;Tableau1[[#This Row],[Plan Entretien]]&amp;".pdf"</f>
        <v>\\stjn.local\trimet\Donnees_Projets\Dms Sap\Maintenance\PlanEntretien\7.MNRJ\\_.pdf</v>
      </c>
      <c r="X203" s="44"/>
      <c r="Y203" s="44"/>
      <c r="Z203" s="41" t="str">
        <f ca="1">IF(AND(Tableau1[[#This Row],[Charge]]&lt;&gt;0, Tableau1[[#This Row],[Nombre intervenants]]&lt;&gt;0,Tableau1[[#This Row],[Lien document]]&lt;&gt;0,Tableau1[[#This Row],[DMS_SAP]]&lt;&gt;0)=TRUE,"MIS A JOUR","")</f>
        <v/>
      </c>
      <c r="AA203" s="45"/>
      <c r="AB203" s="55" t="str">
        <f ca="1">IF(Tableau1[[#This Row],[Date rév.]]&lt;&gt;"", DAYS360(Tableau1[[#This Row],[Date rév.]],TODAY()),"")</f>
        <v/>
      </c>
      <c r="AC203" s="47">
        <f>IFERROR(INDEX(Chemin_accès!$B$11:$C$22,MATCH(Tableau1[[#This Row],[Type]],Chemin_accès!$C$11:$C$22,0),1),Chemin_accès!$B$11)</f>
        <v>0</v>
      </c>
      <c r="AD203" s="47" t="str">
        <f>Chemin_accès!$B$8&amp;Tableau1[[#This Row],[Localisation / Classement]]&amp;"\"&amp;Tableau1[[#This Row],[Poste technique]]&amp;"_"&amp;Tableau1[[#This Row],[Plan Entretien]]&amp;".xlsm"</f>
        <v>\_.xlsm</v>
      </c>
    </row>
    <row r="204" spans="1:30" x14ac:dyDescent="0.3">
      <c r="A204" s="41" t="str">
        <f t="shared" ca="1" si="3"/>
        <v>7.MNRJ</v>
      </c>
      <c r="B2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4" s="60"/>
      <c r="D204" s="41"/>
      <c r="E204" s="41"/>
      <c r="F204" s="44"/>
      <c r="G204" s="44"/>
      <c r="H204" s="48"/>
      <c r="I204" s="64"/>
      <c r="J204" s="48"/>
      <c r="K204" s="48"/>
      <c r="L204" s="43"/>
      <c r="M204" s="44"/>
      <c r="N204" s="43"/>
      <c r="O204" s="43"/>
      <c r="P204" s="44"/>
      <c r="Q204" s="43"/>
      <c r="R204" s="43"/>
      <c r="S204" s="45"/>
      <c r="T204" s="58" t="str">
        <f>IF(Tableau1[[#This Row],[DMS_SAP]]="","",HYPERLINK(Tableau1[[#This Row],[Chemin fichier source]],"X"))</f>
        <v/>
      </c>
      <c r="U204" s="58" t="str">
        <f>IF(Tableau1[[#This Row],[Date rév.]]="","",HYPERLINK(Tableau1[[#This Row],[Lien document]],"X"))</f>
        <v/>
      </c>
      <c r="V204" s="44"/>
      <c r="W204" s="46" t="str">
        <f ca="1">Chemin_accès!$B$2&amp;Tableau1[[#This Row],[Poste Responsable]]&amp;"\"&amp;Tableau1[[#This Row],[Localisation / Classement]]&amp;"\"&amp;Tableau1[[#This Row],[Poste technique]]&amp;"_"&amp;Tableau1[[#This Row],[Plan Entretien]]&amp;".pdf"</f>
        <v>\\stjn.local\trimet\Donnees_Projets\Dms Sap\Maintenance\PlanEntretien\7.MNRJ\\_.pdf</v>
      </c>
      <c r="X204" s="44"/>
      <c r="Y204" s="44"/>
      <c r="Z204" s="41" t="str">
        <f ca="1">IF(AND(Tableau1[[#This Row],[Charge]]&lt;&gt;0, Tableau1[[#This Row],[Nombre intervenants]]&lt;&gt;0,Tableau1[[#This Row],[Lien document]]&lt;&gt;0,Tableau1[[#This Row],[DMS_SAP]]&lt;&gt;0)=TRUE,"MIS A JOUR","")</f>
        <v/>
      </c>
      <c r="AA204" s="45"/>
      <c r="AB204" s="55" t="str">
        <f ca="1">IF(Tableau1[[#This Row],[Date rév.]]&lt;&gt;"", DAYS360(Tableau1[[#This Row],[Date rév.]],TODAY()),"")</f>
        <v/>
      </c>
      <c r="AC204" s="47">
        <f>IFERROR(INDEX(Chemin_accès!$B$11:$C$22,MATCH(Tableau1[[#This Row],[Type]],Chemin_accès!$C$11:$C$22,0),1),Chemin_accès!$B$11)</f>
        <v>0</v>
      </c>
      <c r="AD204" s="47" t="str">
        <f>Chemin_accès!$B$8&amp;Tableau1[[#This Row],[Localisation / Classement]]&amp;"\"&amp;Tableau1[[#This Row],[Poste technique]]&amp;"_"&amp;Tableau1[[#This Row],[Plan Entretien]]&amp;".xlsm"</f>
        <v>\_.xlsm</v>
      </c>
    </row>
    <row r="205" spans="1:30" x14ac:dyDescent="0.3">
      <c r="A205" s="41" t="str">
        <f t="shared" ca="1" si="3"/>
        <v>7.MNRJ</v>
      </c>
      <c r="B2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5" s="43"/>
      <c r="D205" s="41"/>
      <c r="E205" s="41"/>
      <c r="F205" s="44"/>
      <c r="G205" s="44"/>
      <c r="H205" s="48"/>
      <c r="I205" s="64"/>
      <c r="J205" s="48"/>
      <c r="K205" s="48"/>
      <c r="L205" s="43"/>
      <c r="M205" s="44"/>
      <c r="N205" s="43"/>
      <c r="O205" s="43"/>
      <c r="P205" s="44"/>
      <c r="Q205" s="43"/>
      <c r="R205" s="43"/>
      <c r="S205" s="45"/>
      <c r="T205" s="58" t="str">
        <f>IF(Tableau1[[#This Row],[DMS_SAP]]="","",HYPERLINK(Tableau1[[#This Row],[Chemin fichier source]],"X"))</f>
        <v/>
      </c>
      <c r="U205" s="58" t="str">
        <f>IF(Tableau1[[#This Row],[Date rév.]]="","",HYPERLINK(Tableau1[[#This Row],[Lien document]],"X"))</f>
        <v/>
      </c>
      <c r="V205" s="44"/>
      <c r="W205" s="46" t="str">
        <f ca="1">Chemin_accès!$B$2&amp;Tableau1[[#This Row],[Poste Responsable]]&amp;"\"&amp;Tableau1[[#This Row],[Localisation / Classement]]&amp;"\"&amp;Tableau1[[#This Row],[Poste technique]]&amp;"_"&amp;Tableau1[[#This Row],[Plan Entretien]]&amp;".pdf"</f>
        <v>\\stjn.local\trimet\Donnees_Projets\Dms Sap\Maintenance\PlanEntretien\7.MNRJ\\_.pdf</v>
      </c>
      <c r="X205" s="44"/>
      <c r="Y205" s="44"/>
      <c r="Z205" s="41" t="str">
        <f ca="1">IF(AND(Tableau1[[#This Row],[Charge]]&lt;&gt;0, Tableau1[[#This Row],[Nombre intervenants]]&lt;&gt;0,Tableau1[[#This Row],[Lien document]]&lt;&gt;0,Tableau1[[#This Row],[DMS_SAP]]&lt;&gt;0)=TRUE,"MIS A JOUR","")</f>
        <v/>
      </c>
      <c r="AA205" s="45"/>
      <c r="AB205" s="55" t="str">
        <f ca="1">IF(Tableau1[[#This Row],[Date rév.]]&lt;&gt;"", DAYS360(Tableau1[[#This Row],[Date rév.]],TODAY()),"")</f>
        <v/>
      </c>
      <c r="AC205" s="47">
        <f>IFERROR(INDEX(Chemin_accès!$B$11:$C$22,MATCH(Tableau1[[#This Row],[Type]],Chemin_accès!$C$11:$C$22,0),1),Chemin_accès!$B$11)</f>
        <v>0</v>
      </c>
      <c r="AD205" s="47" t="str">
        <f>Chemin_accès!$B$8&amp;Tableau1[[#This Row],[Localisation / Classement]]&amp;"\"&amp;Tableau1[[#This Row],[Poste technique]]&amp;"_"&amp;Tableau1[[#This Row],[Plan Entretien]]&amp;".xlsm"</f>
        <v>\_.xlsm</v>
      </c>
    </row>
    <row r="206" spans="1:30" x14ac:dyDescent="0.3">
      <c r="A206" s="41" t="str">
        <f t="shared" ca="1" si="3"/>
        <v>7.MNRJ</v>
      </c>
      <c r="B2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6" s="43"/>
      <c r="D206" s="41"/>
      <c r="E206" s="41"/>
      <c r="F206" s="44"/>
      <c r="G206" s="44"/>
      <c r="H206" s="48"/>
      <c r="I206" s="64"/>
      <c r="J206" s="48"/>
      <c r="K206" s="48"/>
      <c r="L206" s="43"/>
      <c r="M206" s="44"/>
      <c r="N206" s="43"/>
      <c r="O206" s="43"/>
      <c r="P206" s="44"/>
      <c r="Q206" s="43"/>
      <c r="R206" s="43"/>
      <c r="S206" s="45"/>
      <c r="T206" s="58" t="str">
        <f>IF(Tableau1[[#This Row],[DMS_SAP]]="","",HYPERLINK(Tableau1[[#This Row],[Chemin fichier source]],"X"))</f>
        <v/>
      </c>
      <c r="U206" s="58" t="str">
        <f>IF(Tableau1[[#This Row],[Date rév.]]="","",HYPERLINK(Tableau1[[#This Row],[Lien document]],"X"))</f>
        <v/>
      </c>
      <c r="V206" s="44"/>
      <c r="W206" s="46" t="str">
        <f ca="1">Chemin_accès!$B$2&amp;Tableau1[[#This Row],[Poste Responsable]]&amp;"\"&amp;Tableau1[[#This Row],[Localisation / Classement]]&amp;"\"&amp;Tableau1[[#This Row],[Poste technique]]&amp;"_"&amp;Tableau1[[#This Row],[Plan Entretien]]&amp;".pdf"</f>
        <v>\\stjn.local\trimet\Donnees_Projets\Dms Sap\Maintenance\PlanEntretien\7.MNRJ\\_.pdf</v>
      </c>
      <c r="X206" s="44"/>
      <c r="Y206" s="44"/>
      <c r="Z206" s="41" t="str">
        <f ca="1">IF(AND(Tableau1[[#This Row],[Charge]]&lt;&gt;0, Tableau1[[#This Row],[Nombre intervenants]]&lt;&gt;0,Tableau1[[#This Row],[Lien document]]&lt;&gt;0,Tableau1[[#This Row],[DMS_SAP]]&lt;&gt;0)=TRUE,"MIS A JOUR","")</f>
        <v/>
      </c>
      <c r="AA206" s="45"/>
      <c r="AB206" s="55" t="str">
        <f ca="1">IF(Tableau1[[#This Row],[Date rév.]]&lt;&gt;"", DAYS360(Tableau1[[#This Row],[Date rév.]],TODAY()),"")</f>
        <v/>
      </c>
      <c r="AC206" s="47">
        <f>IFERROR(INDEX(Chemin_accès!$B$11:$C$22,MATCH(Tableau1[[#This Row],[Type]],Chemin_accès!$C$11:$C$22,0),1),Chemin_accès!$B$11)</f>
        <v>0</v>
      </c>
      <c r="AD206" s="47" t="str">
        <f>Chemin_accès!$B$8&amp;Tableau1[[#This Row],[Localisation / Classement]]&amp;"\"&amp;Tableau1[[#This Row],[Poste technique]]&amp;"_"&amp;Tableau1[[#This Row],[Plan Entretien]]&amp;".xlsm"</f>
        <v>\_.xlsm</v>
      </c>
    </row>
    <row r="207" spans="1:30" x14ac:dyDescent="0.3">
      <c r="A207" s="41" t="str">
        <f t="shared" ca="1" si="3"/>
        <v>7.MNRJ</v>
      </c>
      <c r="B2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7" s="43"/>
      <c r="D207" s="41"/>
      <c r="E207" s="41"/>
      <c r="F207" s="44"/>
      <c r="G207" s="44"/>
      <c r="H207" s="48"/>
      <c r="I207" s="64"/>
      <c r="J207" s="48"/>
      <c r="K207" s="48"/>
      <c r="L207" s="43"/>
      <c r="M207" s="44"/>
      <c r="N207" s="43"/>
      <c r="O207" s="43"/>
      <c r="P207" s="44"/>
      <c r="Q207" s="43"/>
      <c r="R207" s="43"/>
      <c r="S207" s="45"/>
      <c r="T207" s="58" t="str">
        <f>IF(Tableau1[[#This Row],[DMS_SAP]]="","",HYPERLINK(Tableau1[[#This Row],[Chemin fichier source]],"X"))</f>
        <v/>
      </c>
      <c r="U207" s="58" t="str">
        <f>IF(Tableau1[[#This Row],[Date rév.]]="","",HYPERLINK(Tableau1[[#This Row],[Lien document]],"X"))</f>
        <v/>
      </c>
      <c r="V207" s="44"/>
      <c r="W207" s="46" t="str">
        <f ca="1">Chemin_accès!$B$2&amp;Tableau1[[#This Row],[Poste Responsable]]&amp;"\"&amp;Tableau1[[#This Row],[Localisation / Classement]]&amp;"\"&amp;Tableau1[[#This Row],[Poste technique]]&amp;"_"&amp;Tableau1[[#This Row],[Plan Entretien]]&amp;".pdf"</f>
        <v>\\stjn.local\trimet\Donnees_Projets\Dms Sap\Maintenance\PlanEntretien\7.MNRJ\\_.pdf</v>
      </c>
      <c r="X207" s="44"/>
      <c r="Y207" s="44"/>
      <c r="Z207" s="41" t="str">
        <f ca="1">IF(AND(Tableau1[[#This Row],[Charge]]&lt;&gt;0, Tableau1[[#This Row],[Nombre intervenants]]&lt;&gt;0,Tableau1[[#This Row],[Lien document]]&lt;&gt;0,Tableau1[[#This Row],[DMS_SAP]]&lt;&gt;0)=TRUE,"MIS A JOUR","")</f>
        <v/>
      </c>
      <c r="AA207" s="45"/>
      <c r="AB207" s="55" t="str">
        <f ca="1">IF(Tableau1[[#This Row],[Date rév.]]&lt;&gt;"", DAYS360(Tableau1[[#This Row],[Date rév.]],TODAY()),"")</f>
        <v/>
      </c>
      <c r="AC207" s="47">
        <f>IFERROR(INDEX(Chemin_accès!$B$11:$C$22,MATCH(Tableau1[[#This Row],[Type]],Chemin_accès!$C$11:$C$22,0),1),Chemin_accès!$B$11)</f>
        <v>0</v>
      </c>
      <c r="AD207" s="47" t="str">
        <f>Chemin_accès!$B$8&amp;Tableau1[[#This Row],[Localisation / Classement]]&amp;"\"&amp;Tableau1[[#This Row],[Poste technique]]&amp;"_"&amp;Tableau1[[#This Row],[Plan Entretien]]&amp;".xlsm"</f>
        <v>\_.xlsm</v>
      </c>
    </row>
    <row r="208" spans="1:30" x14ac:dyDescent="0.3">
      <c r="A208" s="41" t="str">
        <f t="shared" ca="1" si="3"/>
        <v>7.MNRJ</v>
      </c>
      <c r="B2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8" s="43"/>
      <c r="D208" s="41"/>
      <c r="E208" s="41"/>
      <c r="F208" s="44"/>
      <c r="G208" s="44"/>
      <c r="H208" s="48"/>
      <c r="I208" s="64"/>
      <c r="J208" s="48"/>
      <c r="K208" s="48"/>
      <c r="L208" s="43"/>
      <c r="M208" s="44"/>
      <c r="N208" s="43"/>
      <c r="O208" s="43"/>
      <c r="P208" s="44"/>
      <c r="Q208" s="43"/>
      <c r="R208" s="43"/>
      <c r="S208" s="45"/>
      <c r="T208" s="58" t="str">
        <f>IF(Tableau1[[#This Row],[DMS_SAP]]="","",HYPERLINK(Tableau1[[#This Row],[Chemin fichier source]],"X"))</f>
        <v/>
      </c>
      <c r="U208" s="58" t="str">
        <f>IF(Tableau1[[#This Row],[Date rév.]]="","",HYPERLINK(Tableau1[[#This Row],[Lien document]],"X"))</f>
        <v/>
      </c>
      <c r="V208" s="44"/>
      <c r="W208" s="46" t="str">
        <f ca="1">Chemin_accès!$B$2&amp;Tableau1[[#This Row],[Poste Responsable]]&amp;"\"&amp;Tableau1[[#This Row],[Localisation / Classement]]&amp;"\"&amp;Tableau1[[#This Row],[Poste technique]]&amp;"_"&amp;Tableau1[[#This Row],[Plan Entretien]]&amp;".pdf"</f>
        <v>\\stjn.local\trimet\Donnees_Projets\Dms Sap\Maintenance\PlanEntretien\7.MNRJ\\_.pdf</v>
      </c>
      <c r="X208" s="44"/>
      <c r="Y208" s="44"/>
      <c r="Z208" s="41" t="str">
        <f ca="1">IF(AND(Tableau1[[#This Row],[Charge]]&lt;&gt;0, Tableau1[[#This Row],[Nombre intervenants]]&lt;&gt;0,Tableau1[[#This Row],[Lien document]]&lt;&gt;0,Tableau1[[#This Row],[DMS_SAP]]&lt;&gt;0)=TRUE,"MIS A JOUR","")</f>
        <v/>
      </c>
      <c r="AA208" s="45"/>
      <c r="AB208" s="55" t="str">
        <f ca="1">IF(Tableau1[[#This Row],[Date rév.]]&lt;&gt;"", DAYS360(Tableau1[[#This Row],[Date rév.]],TODAY()),"")</f>
        <v/>
      </c>
      <c r="AC208" s="47">
        <f>IFERROR(INDEX(Chemin_accès!$B$11:$C$22,MATCH(Tableau1[[#This Row],[Type]],Chemin_accès!$C$11:$C$22,0),1),Chemin_accès!$B$11)</f>
        <v>0</v>
      </c>
      <c r="AD208" s="47" t="str">
        <f>Chemin_accès!$B$8&amp;Tableau1[[#This Row],[Localisation / Classement]]&amp;"\"&amp;Tableau1[[#This Row],[Poste technique]]&amp;"_"&amp;Tableau1[[#This Row],[Plan Entretien]]&amp;".xlsm"</f>
        <v>\_.xlsm</v>
      </c>
    </row>
    <row r="209" spans="1:30" x14ac:dyDescent="0.3">
      <c r="A209" s="41" t="str">
        <f t="shared" ca="1" si="3"/>
        <v>7.MNRJ</v>
      </c>
      <c r="B2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9" s="43"/>
      <c r="D209" s="41"/>
      <c r="E209" s="41"/>
      <c r="F209" s="44"/>
      <c r="G209" s="44"/>
      <c r="H209" s="48"/>
      <c r="I209" s="64"/>
      <c r="J209" s="48"/>
      <c r="K209" s="48"/>
      <c r="L209" s="43"/>
      <c r="M209" s="44"/>
      <c r="N209" s="43"/>
      <c r="O209" s="43"/>
      <c r="P209" s="44"/>
      <c r="Q209" s="43"/>
      <c r="R209" s="43"/>
      <c r="S209" s="45"/>
      <c r="T209" s="58" t="str">
        <f>IF(Tableau1[[#This Row],[DMS_SAP]]="","",HYPERLINK(Tableau1[[#This Row],[Chemin fichier source]],"X"))</f>
        <v/>
      </c>
      <c r="U209" s="58" t="str">
        <f>IF(Tableau1[[#This Row],[Date rév.]]="","",HYPERLINK(Tableau1[[#This Row],[Lien document]],"X"))</f>
        <v/>
      </c>
      <c r="V209" s="44"/>
      <c r="W209" s="46" t="str">
        <f ca="1">Chemin_accès!$B$2&amp;Tableau1[[#This Row],[Poste Responsable]]&amp;"\"&amp;Tableau1[[#This Row],[Localisation / Classement]]&amp;"\"&amp;Tableau1[[#This Row],[Poste technique]]&amp;"_"&amp;Tableau1[[#This Row],[Plan Entretien]]&amp;".pdf"</f>
        <v>\\stjn.local\trimet\Donnees_Projets\Dms Sap\Maintenance\PlanEntretien\7.MNRJ\\_.pdf</v>
      </c>
      <c r="X209" s="44"/>
      <c r="Y209" s="44"/>
      <c r="Z209" s="41" t="str">
        <f ca="1">IF(AND(Tableau1[[#This Row],[Charge]]&lt;&gt;0, Tableau1[[#This Row],[Nombre intervenants]]&lt;&gt;0,Tableau1[[#This Row],[Lien document]]&lt;&gt;0,Tableau1[[#This Row],[DMS_SAP]]&lt;&gt;0)=TRUE,"MIS A JOUR","")</f>
        <v/>
      </c>
      <c r="AA209" s="45"/>
      <c r="AB209" s="55" t="str">
        <f ca="1">IF(Tableau1[[#This Row],[Date rév.]]&lt;&gt;"", DAYS360(Tableau1[[#This Row],[Date rév.]],TODAY()),"")</f>
        <v/>
      </c>
      <c r="AC209" s="47">
        <f>IFERROR(INDEX(Chemin_accès!$B$11:$C$22,MATCH(Tableau1[[#This Row],[Type]],Chemin_accès!$C$11:$C$22,0),1),Chemin_accès!$B$11)</f>
        <v>0</v>
      </c>
      <c r="AD209" s="47" t="str">
        <f>Chemin_accès!$B$8&amp;Tableau1[[#This Row],[Localisation / Classement]]&amp;"\"&amp;Tableau1[[#This Row],[Poste technique]]&amp;"_"&amp;Tableau1[[#This Row],[Plan Entretien]]&amp;".xlsm"</f>
        <v>\_.xlsm</v>
      </c>
    </row>
    <row r="210" spans="1:30" x14ac:dyDescent="0.3">
      <c r="A210" s="41" t="str">
        <f t="shared" ca="1" si="3"/>
        <v>7.MNRJ</v>
      </c>
      <c r="B2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0" s="43"/>
      <c r="D210" s="41"/>
      <c r="E210" s="41"/>
      <c r="F210" s="44"/>
      <c r="G210" s="44"/>
      <c r="H210" s="48"/>
      <c r="I210" s="64"/>
      <c r="J210" s="48"/>
      <c r="K210" s="48"/>
      <c r="L210" s="43"/>
      <c r="M210" s="44"/>
      <c r="N210" s="43"/>
      <c r="O210" s="43"/>
      <c r="P210" s="44"/>
      <c r="Q210" s="43"/>
      <c r="R210" s="43"/>
      <c r="S210" s="45"/>
      <c r="T210" s="58" t="str">
        <f>IF(Tableau1[[#This Row],[DMS_SAP]]="","",HYPERLINK(Tableau1[[#This Row],[Chemin fichier source]],"X"))</f>
        <v/>
      </c>
      <c r="U210" s="58" t="str">
        <f>IF(Tableau1[[#This Row],[Date rév.]]="","",HYPERLINK(Tableau1[[#This Row],[Lien document]],"X"))</f>
        <v/>
      </c>
      <c r="V210" s="44"/>
      <c r="W210" s="46" t="str">
        <f ca="1">Chemin_accès!$B$2&amp;Tableau1[[#This Row],[Poste Responsable]]&amp;"\"&amp;Tableau1[[#This Row],[Localisation / Classement]]&amp;"\"&amp;Tableau1[[#This Row],[Poste technique]]&amp;"_"&amp;Tableau1[[#This Row],[Plan Entretien]]&amp;".pdf"</f>
        <v>\\stjn.local\trimet\Donnees_Projets\Dms Sap\Maintenance\PlanEntretien\7.MNRJ\\_.pdf</v>
      </c>
      <c r="X210" s="44"/>
      <c r="Y210" s="44"/>
      <c r="Z210" s="41" t="str">
        <f ca="1">IF(AND(Tableau1[[#This Row],[Charge]]&lt;&gt;0, Tableau1[[#This Row],[Nombre intervenants]]&lt;&gt;0,Tableau1[[#This Row],[Lien document]]&lt;&gt;0,Tableau1[[#This Row],[DMS_SAP]]&lt;&gt;0)=TRUE,"MIS A JOUR","")</f>
        <v/>
      </c>
      <c r="AA210" s="45"/>
      <c r="AB210" s="55" t="str">
        <f ca="1">IF(Tableau1[[#This Row],[Date rév.]]&lt;&gt;"", DAYS360(Tableau1[[#This Row],[Date rév.]],TODAY()),"")</f>
        <v/>
      </c>
      <c r="AC210" s="47">
        <f>IFERROR(INDEX(Chemin_accès!$B$11:$C$22,MATCH(Tableau1[[#This Row],[Type]],Chemin_accès!$C$11:$C$22,0),1),Chemin_accès!$B$11)</f>
        <v>0</v>
      </c>
      <c r="AD210" s="47" t="str">
        <f>Chemin_accès!$B$8&amp;Tableau1[[#This Row],[Localisation / Classement]]&amp;"\"&amp;Tableau1[[#This Row],[Poste technique]]&amp;"_"&amp;Tableau1[[#This Row],[Plan Entretien]]&amp;".xlsm"</f>
        <v>\_.xlsm</v>
      </c>
    </row>
    <row r="211" spans="1:30" x14ac:dyDescent="0.3">
      <c r="A211" s="41" t="str">
        <f t="shared" ca="1" si="3"/>
        <v>7.MNRJ</v>
      </c>
      <c r="B2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1" s="43"/>
      <c r="D211" s="41"/>
      <c r="E211" s="41"/>
      <c r="F211" s="44"/>
      <c r="G211" s="44"/>
      <c r="H211" s="48"/>
      <c r="I211" s="64"/>
      <c r="J211" s="48"/>
      <c r="K211" s="48"/>
      <c r="L211" s="43"/>
      <c r="M211" s="44"/>
      <c r="N211" s="43"/>
      <c r="O211" s="43"/>
      <c r="P211" s="44"/>
      <c r="Q211" s="43"/>
      <c r="R211" s="43"/>
      <c r="S211" s="45"/>
      <c r="T211" s="58" t="str">
        <f>IF(Tableau1[[#This Row],[DMS_SAP]]="","",HYPERLINK(Tableau1[[#This Row],[Chemin fichier source]],"X"))</f>
        <v/>
      </c>
      <c r="U211" s="58" t="str">
        <f>IF(Tableau1[[#This Row],[Date rév.]]="","",HYPERLINK(Tableau1[[#This Row],[Lien document]],"X"))</f>
        <v/>
      </c>
      <c r="V211" s="44"/>
      <c r="W211" s="46" t="str">
        <f ca="1">Chemin_accès!$B$2&amp;Tableau1[[#This Row],[Poste Responsable]]&amp;"\"&amp;Tableau1[[#This Row],[Localisation / Classement]]&amp;"\"&amp;Tableau1[[#This Row],[Poste technique]]&amp;"_"&amp;Tableau1[[#This Row],[Plan Entretien]]&amp;".pdf"</f>
        <v>\\stjn.local\trimet\Donnees_Projets\Dms Sap\Maintenance\PlanEntretien\7.MNRJ\\_.pdf</v>
      </c>
      <c r="X211" s="44"/>
      <c r="Y211" s="44"/>
      <c r="Z211" s="41" t="str">
        <f ca="1">IF(AND(Tableau1[[#This Row],[Charge]]&lt;&gt;0, Tableau1[[#This Row],[Nombre intervenants]]&lt;&gt;0,Tableau1[[#This Row],[Lien document]]&lt;&gt;0,Tableau1[[#This Row],[DMS_SAP]]&lt;&gt;0)=TRUE,"MIS A JOUR","")</f>
        <v/>
      </c>
      <c r="AA211" s="45"/>
      <c r="AB211" s="55" t="str">
        <f ca="1">IF(Tableau1[[#This Row],[Date rév.]]&lt;&gt;"", DAYS360(Tableau1[[#This Row],[Date rév.]],TODAY()),"")</f>
        <v/>
      </c>
      <c r="AC211" s="47">
        <f>IFERROR(INDEX(Chemin_accès!$B$11:$C$22,MATCH(Tableau1[[#This Row],[Type]],Chemin_accès!$C$11:$C$22,0),1),Chemin_accès!$B$11)</f>
        <v>0</v>
      </c>
      <c r="AD211" s="47" t="str">
        <f>Chemin_accès!$B$8&amp;Tableau1[[#This Row],[Localisation / Classement]]&amp;"\"&amp;Tableau1[[#This Row],[Poste technique]]&amp;"_"&amp;Tableau1[[#This Row],[Plan Entretien]]&amp;".xlsm"</f>
        <v>\_.xlsm</v>
      </c>
    </row>
    <row r="212" spans="1:30" x14ac:dyDescent="0.3">
      <c r="A212" s="41" t="str">
        <f t="shared" ca="1" si="3"/>
        <v>7.MNRJ</v>
      </c>
      <c r="B2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2" s="43"/>
      <c r="D212" s="41"/>
      <c r="E212" s="41"/>
      <c r="F212" s="44"/>
      <c r="G212" s="44"/>
      <c r="H212" s="48"/>
      <c r="I212" s="64"/>
      <c r="J212" s="48"/>
      <c r="K212" s="48"/>
      <c r="L212" s="43"/>
      <c r="M212" s="44"/>
      <c r="N212" s="43"/>
      <c r="O212" s="43"/>
      <c r="P212" s="44"/>
      <c r="Q212" s="43"/>
      <c r="R212" s="43"/>
      <c r="S212" s="45"/>
      <c r="T212" s="58" t="str">
        <f>IF(Tableau1[[#This Row],[DMS_SAP]]="","",HYPERLINK(Tableau1[[#This Row],[Chemin fichier source]],"X"))</f>
        <v/>
      </c>
      <c r="U212" s="58" t="str">
        <f>IF(Tableau1[[#This Row],[Date rév.]]="","",HYPERLINK(Tableau1[[#This Row],[Lien document]],"X"))</f>
        <v/>
      </c>
      <c r="V212" s="44"/>
      <c r="W212" s="46" t="str">
        <f ca="1">Chemin_accès!$B$2&amp;Tableau1[[#This Row],[Poste Responsable]]&amp;"\"&amp;Tableau1[[#This Row],[Localisation / Classement]]&amp;"\"&amp;Tableau1[[#This Row],[Poste technique]]&amp;"_"&amp;Tableau1[[#This Row],[Plan Entretien]]&amp;".pdf"</f>
        <v>\\stjn.local\trimet\Donnees_Projets\Dms Sap\Maintenance\PlanEntretien\7.MNRJ\\_.pdf</v>
      </c>
      <c r="X212" s="44"/>
      <c r="Y212" s="44"/>
      <c r="Z212" s="41" t="str">
        <f ca="1">IF(AND(Tableau1[[#This Row],[Charge]]&lt;&gt;0, Tableau1[[#This Row],[Nombre intervenants]]&lt;&gt;0,Tableau1[[#This Row],[Lien document]]&lt;&gt;0,Tableau1[[#This Row],[DMS_SAP]]&lt;&gt;0)=TRUE,"MIS A JOUR","")</f>
        <v/>
      </c>
      <c r="AA212" s="45"/>
      <c r="AB212" s="55" t="str">
        <f ca="1">IF(Tableau1[[#This Row],[Date rév.]]&lt;&gt;"", DAYS360(Tableau1[[#This Row],[Date rév.]],TODAY()),"")</f>
        <v/>
      </c>
      <c r="AC212" s="47">
        <f>IFERROR(INDEX(Chemin_accès!$B$11:$C$22,MATCH(Tableau1[[#This Row],[Type]],Chemin_accès!$C$11:$C$22,0),1),Chemin_accès!$B$11)</f>
        <v>0</v>
      </c>
      <c r="AD212" s="47" t="str">
        <f>Chemin_accès!$B$8&amp;Tableau1[[#This Row],[Localisation / Classement]]&amp;"\"&amp;Tableau1[[#This Row],[Poste technique]]&amp;"_"&amp;Tableau1[[#This Row],[Plan Entretien]]&amp;".xlsm"</f>
        <v>\_.xlsm</v>
      </c>
    </row>
    <row r="213" spans="1:30" x14ac:dyDescent="0.3">
      <c r="A213" s="41" t="str">
        <f t="shared" ca="1" si="3"/>
        <v>7.MNRJ</v>
      </c>
      <c r="B2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3" s="43"/>
      <c r="D213" s="41"/>
      <c r="E213" s="41"/>
      <c r="F213" s="44"/>
      <c r="G213" s="44"/>
      <c r="H213" s="48"/>
      <c r="I213" s="64"/>
      <c r="J213" s="48"/>
      <c r="K213" s="48"/>
      <c r="L213" s="43"/>
      <c r="M213" s="44"/>
      <c r="N213" s="43"/>
      <c r="O213" s="43"/>
      <c r="P213" s="44"/>
      <c r="Q213" s="43"/>
      <c r="R213" s="43"/>
      <c r="S213" s="45"/>
      <c r="T213" s="58" t="str">
        <f>IF(Tableau1[[#This Row],[DMS_SAP]]="","",HYPERLINK(Tableau1[[#This Row],[Chemin fichier source]],"X"))</f>
        <v/>
      </c>
      <c r="U213" s="58" t="str">
        <f>IF(Tableau1[[#This Row],[Date rév.]]="","",HYPERLINK(Tableau1[[#This Row],[Lien document]],"X"))</f>
        <v/>
      </c>
      <c r="V213" s="44"/>
      <c r="W213" s="46" t="str">
        <f ca="1">Chemin_accès!$B$2&amp;Tableau1[[#This Row],[Poste Responsable]]&amp;"\"&amp;Tableau1[[#This Row],[Localisation / Classement]]&amp;"\"&amp;Tableau1[[#This Row],[Poste technique]]&amp;"_"&amp;Tableau1[[#This Row],[Plan Entretien]]&amp;".pdf"</f>
        <v>\\stjn.local\trimet\Donnees_Projets\Dms Sap\Maintenance\PlanEntretien\7.MNRJ\\_.pdf</v>
      </c>
      <c r="X213" s="44"/>
      <c r="Y213" s="44"/>
      <c r="Z213" s="41" t="str">
        <f ca="1">IF(AND(Tableau1[[#This Row],[Charge]]&lt;&gt;0, Tableau1[[#This Row],[Nombre intervenants]]&lt;&gt;0,Tableau1[[#This Row],[Lien document]]&lt;&gt;0,Tableau1[[#This Row],[DMS_SAP]]&lt;&gt;0)=TRUE,"MIS A JOUR","")</f>
        <v/>
      </c>
      <c r="AA213" s="45"/>
      <c r="AB213" s="55" t="str">
        <f ca="1">IF(Tableau1[[#This Row],[Date rév.]]&lt;&gt;"", DAYS360(Tableau1[[#This Row],[Date rév.]],TODAY()),"")</f>
        <v/>
      </c>
      <c r="AC213" s="47">
        <f>IFERROR(INDEX(Chemin_accès!$B$11:$C$22,MATCH(Tableau1[[#This Row],[Type]],Chemin_accès!$C$11:$C$22,0),1),Chemin_accès!$B$11)</f>
        <v>0</v>
      </c>
      <c r="AD213" s="47" t="str">
        <f>Chemin_accès!$B$8&amp;Tableau1[[#This Row],[Localisation / Classement]]&amp;"\"&amp;Tableau1[[#This Row],[Poste technique]]&amp;"_"&amp;Tableau1[[#This Row],[Plan Entretien]]&amp;".xlsm"</f>
        <v>\_.xlsm</v>
      </c>
    </row>
    <row r="214" spans="1:30" x14ac:dyDescent="0.3">
      <c r="A214" s="41" t="str">
        <f t="shared" ca="1" si="3"/>
        <v>7.MNRJ</v>
      </c>
      <c r="B2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4" s="43"/>
      <c r="D214" s="41"/>
      <c r="E214" s="41"/>
      <c r="F214" s="44"/>
      <c r="G214" s="44"/>
      <c r="H214" s="48"/>
      <c r="I214" s="64"/>
      <c r="J214" s="48"/>
      <c r="K214" s="48"/>
      <c r="L214" s="43"/>
      <c r="M214" s="44"/>
      <c r="N214" s="43"/>
      <c r="O214" s="43"/>
      <c r="P214" s="44"/>
      <c r="Q214" s="43"/>
      <c r="R214" s="43"/>
      <c r="S214" s="45"/>
      <c r="T214" s="58" t="str">
        <f>IF(Tableau1[[#This Row],[DMS_SAP]]="","",HYPERLINK(Tableau1[[#This Row],[Chemin fichier source]],"X"))</f>
        <v/>
      </c>
      <c r="U214" s="58" t="str">
        <f>IF(Tableau1[[#This Row],[Date rév.]]="","",HYPERLINK(Tableau1[[#This Row],[Lien document]],"X"))</f>
        <v/>
      </c>
      <c r="V214" s="44"/>
      <c r="W214" s="46" t="str">
        <f ca="1">Chemin_accès!$B$2&amp;Tableau1[[#This Row],[Poste Responsable]]&amp;"\"&amp;Tableau1[[#This Row],[Localisation / Classement]]&amp;"\"&amp;Tableau1[[#This Row],[Poste technique]]&amp;"_"&amp;Tableau1[[#This Row],[Plan Entretien]]&amp;".pdf"</f>
        <v>\\stjn.local\trimet\Donnees_Projets\Dms Sap\Maintenance\PlanEntretien\7.MNRJ\\_.pdf</v>
      </c>
      <c r="X214" s="44"/>
      <c r="Y214" s="44"/>
      <c r="Z214" s="41" t="str">
        <f ca="1">IF(AND(Tableau1[[#This Row],[Charge]]&lt;&gt;0, Tableau1[[#This Row],[Nombre intervenants]]&lt;&gt;0,Tableau1[[#This Row],[Lien document]]&lt;&gt;0,Tableau1[[#This Row],[DMS_SAP]]&lt;&gt;0)=TRUE,"MIS A JOUR","")</f>
        <v/>
      </c>
      <c r="AA214" s="45"/>
      <c r="AB214" s="55" t="str">
        <f ca="1">IF(Tableau1[[#This Row],[Date rév.]]&lt;&gt;"", DAYS360(Tableau1[[#This Row],[Date rév.]],TODAY()),"")</f>
        <v/>
      </c>
      <c r="AC214" s="47">
        <f>IFERROR(INDEX(Chemin_accès!$B$11:$C$22,MATCH(Tableau1[[#This Row],[Type]],Chemin_accès!$C$11:$C$22,0),1),Chemin_accès!$B$11)</f>
        <v>0</v>
      </c>
      <c r="AD214" s="47" t="str">
        <f>Chemin_accès!$B$8&amp;Tableau1[[#This Row],[Localisation / Classement]]&amp;"\"&amp;Tableau1[[#This Row],[Poste technique]]&amp;"_"&amp;Tableau1[[#This Row],[Plan Entretien]]&amp;".xlsm"</f>
        <v>\_.xlsm</v>
      </c>
    </row>
    <row r="215" spans="1:30" x14ac:dyDescent="0.3">
      <c r="A215" s="41" t="str">
        <f t="shared" ca="1" si="3"/>
        <v>7.MNRJ</v>
      </c>
      <c r="B2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5" s="43"/>
      <c r="D215" s="41"/>
      <c r="E215" s="41"/>
      <c r="F215" s="44"/>
      <c r="G215" s="44"/>
      <c r="H215" s="48"/>
      <c r="I215" s="64"/>
      <c r="J215" s="48"/>
      <c r="K215" s="48"/>
      <c r="L215" s="43"/>
      <c r="M215" s="44"/>
      <c r="N215" s="43"/>
      <c r="O215" s="43"/>
      <c r="P215" s="44"/>
      <c r="Q215" s="43"/>
      <c r="R215" s="43"/>
      <c r="S215" s="45"/>
      <c r="T215" s="58" t="str">
        <f>IF(Tableau1[[#This Row],[DMS_SAP]]="","",HYPERLINK(Tableau1[[#This Row],[Chemin fichier source]],"X"))</f>
        <v/>
      </c>
      <c r="U215" s="58" t="str">
        <f>IF(Tableau1[[#This Row],[Date rév.]]="","",HYPERLINK(Tableau1[[#This Row],[Lien document]],"X"))</f>
        <v/>
      </c>
      <c r="V215" s="44"/>
      <c r="W215" s="46" t="str">
        <f ca="1">Chemin_accès!$B$2&amp;Tableau1[[#This Row],[Poste Responsable]]&amp;"\"&amp;Tableau1[[#This Row],[Localisation / Classement]]&amp;"\"&amp;Tableau1[[#This Row],[Poste technique]]&amp;"_"&amp;Tableau1[[#This Row],[Plan Entretien]]&amp;".pdf"</f>
        <v>\\stjn.local\trimet\Donnees_Projets\Dms Sap\Maintenance\PlanEntretien\7.MNRJ\\_.pdf</v>
      </c>
      <c r="X215" s="44"/>
      <c r="Y215" s="44"/>
      <c r="Z215" s="41" t="str">
        <f ca="1">IF(AND(Tableau1[[#This Row],[Charge]]&lt;&gt;0, Tableau1[[#This Row],[Nombre intervenants]]&lt;&gt;0,Tableau1[[#This Row],[Lien document]]&lt;&gt;0,Tableau1[[#This Row],[DMS_SAP]]&lt;&gt;0)=TRUE,"MIS A JOUR","")</f>
        <v/>
      </c>
      <c r="AA215" s="45"/>
      <c r="AB215" s="55" t="str">
        <f ca="1">IF(Tableau1[[#This Row],[Date rév.]]&lt;&gt;"", DAYS360(Tableau1[[#This Row],[Date rév.]],TODAY()),"")</f>
        <v/>
      </c>
      <c r="AC215" s="47">
        <f>IFERROR(INDEX(Chemin_accès!$B$11:$C$22,MATCH(Tableau1[[#This Row],[Type]],Chemin_accès!$C$11:$C$22,0),1),Chemin_accès!$B$11)</f>
        <v>0</v>
      </c>
      <c r="AD215" s="47" t="str">
        <f>Chemin_accès!$B$8&amp;Tableau1[[#This Row],[Localisation / Classement]]&amp;"\"&amp;Tableau1[[#This Row],[Poste technique]]&amp;"_"&amp;Tableau1[[#This Row],[Plan Entretien]]&amp;".xlsm"</f>
        <v>\_.xlsm</v>
      </c>
    </row>
    <row r="216" spans="1:30" x14ac:dyDescent="0.3">
      <c r="A216" s="41" t="str">
        <f t="shared" ca="1" si="3"/>
        <v>7.MNRJ</v>
      </c>
      <c r="B2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6" s="60"/>
      <c r="D216" s="41"/>
      <c r="E216" s="41"/>
      <c r="F216" s="44"/>
      <c r="G216" s="44"/>
      <c r="H216" s="48"/>
      <c r="I216" s="64"/>
      <c r="J216" s="48"/>
      <c r="K216" s="48"/>
      <c r="L216" s="43"/>
      <c r="M216" s="44"/>
      <c r="N216" s="43"/>
      <c r="O216" s="43"/>
      <c r="P216" s="44"/>
      <c r="Q216" s="43"/>
      <c r="R216" s="43"/>
      <c r="S216" s="45"/>
      <c r="T216" s="58" t="str">
        <f>IF(Tableau1[[#This Row],[DMS_SAP]]="","",HYPERLINK(Tableau1[[#This Row],[Chemin fichier source]],"X"))</f>
        <v/>
      </c>
      <c r="U216" s="58" t="str">
        <f>IF(Tableau1[[#This Row],[Date rév.]]="","",HYPERLINK(Tableau1[[#This Row],[Lien document]],"X"))</f>
        <v/>
      </c>
      <c r="V216" s="44"/>
      <c r="W216" s="46" t="str">
        <f ca="1">Chemin_accès!$B$2&amp;Tableau1[[#This Row],[Poste Responsable]]&amp;"\"&amp;Tableau1[[#This Row],[Localisation / Classement]]&amp;"\"&amp;Tableau1[[#This Row],[Poste technique]]&amp;"_"&amp;Tableau1[[#This Row],[Plan Entretien]]&amp;".pdf"</f>
        <v>\\stjn.local\trimet\Donnees_Projets\Dms Sap\Maintenance\PlanEntretien\7.MNRJ\\_.pdf</v>
      </c>
      <c r="X216" s="44"/>
      <c r="Y216" s="44"/>
      <c r="Z216" s="41" t="str">
        <f ca="1">IF(AND(Tableau1[[#This Row],[Charge]]&lt;&gt;0, Tableau1[[#This Row],[Nombre intervenants]]&lt;&gt;0,Tableau1[[#This Row],[Lien document]]&lt;&gt;0,Tableau1[[#This Row],[DMS_SAP]]&lt;&gt;0)=TRUE,"MIS A JOUR","")</f>
        <v/>
      </c>
      <c r="AA216" s="45"/>
      <c r="AB216" s="55" t="str">
        <f ca="1">IF(Tableau1[[#This Row],[Date rév.]]&lt;&gt;"", DAYS360(Tableau1[[#This Row],[Date rév.]],TODAY()),"")</f>
        <v/>
      </c>
      <c r="AC216" s="47">
        <f>IFERROR(INDEX(Chemin_accès!$B$11:$C$22,MATCH(Tableau1[[#This Row],[Type]],Chemin_accès!$C$11:$C$22,0),1),Chemin_accès!$B$11)</f>
        <v>0</v>
      </c>
      <c r="AD216" s="47" t="str">
        <f>Chemin_accès!$B$8&amp;Tableau1[[#This Row],[Localisation / Classement]]&amp;"\"&amp;Tableau1[[#This Row],[Poste technique]]&amp;"_"&amp;Tableau1[[#This Row],[Plan Entretien]]&amp;".xlsm"</f>
        <v>\_.xlsm</v>
      </c>
    </row>
    <row r="217" spans="1:30" x14ac:dyDescent="0.3">
      <c r="A217" s="41" t="str">
        <f t="shared" ca="1" si="3"/>
        <v>7.MNRJ</v>
      </c>
      <c r="B2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7" s="60"/>
      <c r="D217" s="41"/>
      <c r="E217" s="41"/>
      <c r="F217" s="44"/>
      <c r="G217" s="44"/>
      <c r="H217" s="48"/>
      <c r="I217" s="64"/>
      <c r="J217" s="48"/>
      <c r="K217" s="48"/>
      <c r="L217" s="43"/>
      <c r="M217" s="44"/>
      <c r="N217" s="43"/>
      <c r="O217" s="43"/>
      <c r="P217" s="44"/>
      <c r="Q217" s="43"/>
      <c r="R217" s="43"/>
      <c r="S217" s="45"/>
      <c r="T217" s="58" t="str">
        <f>IF(Tableau1[[#This Row],[DMS_SAP]]="","",HYPERLINK(Tableau1[[#This Row],[Chemin fichier source]],"X"))</f>
        <v/>
      </c>
      <c r="U217" s="58" t="str">
        <f>IF(Tableau1[[#This Row],[Date rév.]]="","",HYPERLINK(Tableau1[[#This Row],[Lien document]],"X"))</f>
        <v/>
      </c>
      <c r="V217" s="44"/>
      <c r="W217" s="46" t="str">
        <f ca="1">Chemin_accès!$B$2&amp;Tableau1[[#This Row],[Poste Responsable]]&amp;"\"&amp;Tableau1[[#This Row],[Localisation / Classement]]&amp;"\"&amp;Tableau1[[#This Row],[Poste technique]]&amp;"_"&amp;Tableau1[[#This Row],[Plan Entretien]]&amp;".pdf"</f>
        <v>\\stjn.local\trimet\Donnees_Projets\Dms Sap\Maintenance\PlanEntretien\7.MNRJ\\_.pdf</v>
      </c>
      <c r="X217" s="44"/>
      <c r="Y217" s="44"/>
      <c r="Z217" s="41" t="str">
        <f ca="1">IF(AND(Tableau1[[#This Row],[Charge]]&lt;&gt;0, Tableau1[[#This Row],[Nombre intervenants]]&lt;&gt;0,Tableau1[[#This Row],[Lien document]]&lt;&gt;0,Tableau1[[#This Row],[DMS_SAP]]&lt;&gt;0)=TRUE,"MIS A JOUR","")</f>
        <v/>
      </c>
      <c r="AA217" s="45"/>
      <c r="AB217" s="55" t="str">
        <f ca="1">IF(Tableau1[[#This Row],[Date rév.]]&lt;&gt;"", DAYS360(Tableau1[[#This Row],[Date rév.]],TODAY()),"")</f>
        <v/>
      </c>
      <c r="AC217" s="47">
        <f>IFERROR(INDEX(Chemin_accès!$B$11:$C$22,MATCH(Tableau1[[#This Row],[Type]],Chemin_accès!$C$11:$C$22,0),1),Chemin_accès!$B$11)</f>
        <v>0</v>
      </c>
      <c r="AD217" s="47" t="str">
        <f>Chemin_accès!$B$8&amp;Tableau1[[#This Row],[Localisation / Classement]]&amp;"\"&amp;Tableau1[[#This Row],[Poste technique]]&amp;"_"&amp;Tableau1[[#This Row],[Plan Entretien]]&amp;".xlsm"</f>
        <v>\_.xlsm</v>
      </c>
    </row>
    <row r="218" spans="1:30" x14ac:dyDescent="0.3">
      <c r="A218" s="41" t="str">
        <f t="shared" ca="1" si="3"/>
        <v>7.MNRJ</v>
      </c>
      <c r="B2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8" s="60"/>
      <c r="D218" s="41"/>
      <c r="E218" s="41"/>
      <c r="F218" s="44"/>
      <c r="G218" s="44"/>
      <c r="H218" s="48"/>
      <c r="I218" s="64"/>
      <c r="J218" s="48"/>
      <c r="K218" s="48"/>
      <c r="L218" s="43"/>
      <c r="M218" s="44"/>
      <c r="N218" s="43"/>
      <c r="O218" s="43"/>
      <c r="P218" s="44"/>
      <c r="Q218" s="43"/>
      <c r="R218" s="43"/>
      <c r="S218" s="45"/>
      <c r="T218" s="58" t="str">
        <f>IF(Tableau1[[#This Row],[DMS_SAP]]="","",HYPERLINK(Tableau1[[#This Row],[Chemin fichier source]],"X"))</f>
        <v/>
      </c>
      <c r="U218" s="58" t="str">
        <f>IF(Tableau1[[#This Row],[Date rév.]]="","",HYPERLINK(Tableau1[[#This Row],[Lien document]],"X"))</f>
        <v/>
      </c>
      <c r="V218" s="44"/>
      <c r="W218" s="46" t="str">
        <f ca="1">Chemin_accès!$B$2&amp;Tableau1[[#This Row],[Poste Responsable]]&amp;"\"&amp;Tableau1[[#This Row],[Localisation / Classement]]&amp;"\"&amp;Tableau1[[#This Row],[Poste technique]]&amp;"_"&amp;Tableau1[[#This Row],[Plan Entretien]]&amp;".pdf"</f>
        <v>\\stjn.local\trimet\Donnees_Projets\Dms Sap\Maintenance\PlanEntretien\7.MNRJ\\_.pdf</v>
      </c>
      <c r="X218" s="44"/>
      <c r="Y218" s="44"/>
      <c r="Z218" s="41" t="str">
        <f ca="1">IF(AND(Tableau1[[#This Row],[Charge]]&lt;&gt;0, Tableau1[[#This Row],[Nombre intervenants]]&lt;&gt;0,Tableau1[[#This Row],[Lien document]]&lt;&gt;0,Tableau1[[#This Row],[DMS_SAP]]&lt;&gt;0)=TRUE,"MIS A JOUR","")</f>
        <v/>
      </c>
      <c r="AA218" s="45"/>
      <c r="AB218" s="55" t="str">
        <f ca="1">IF(Tableau1[[#This Row],[Date rév.]]&lt;&gt;"", DAYS360(Tableau1[[#This Row],[Date rév.]],TODAY()),"")</f>
        <v/>
      </c>
      <c r="AC218" s="47">
        <f>IFERROR(INDEX(Chemin_accès!$B$11:$C$22,MATCH(Tableau1[[#This Row],[Type]],Chemin_accès!$C$11:$C$22,0),1),Chemin_accès!$B$11)</f>
        <v>0</v>
      </c>
      <c r="AD218" s="47" t="str">
        <f>Chemin_accès!$B$8&amp;Tableau1[[#This Row],[Localisation / Classement]]&amp;"\"&amp;Tableau1[[#This Row],[Poste technique]]&amp;"_"&amp;Tableau1[[#This Row],[Plan Entretien]]&amp;".xlsm"</f>
        <v>\_.xlsm</v>
      </c>
    </row>
    <row r="219" spans="1:30" x14ac:dyDescent="0.3">
      <c r="A219" s="41" t="str">
        <f t="shared" ca="1" si="3"/>
        <v>7.MNRJ</v>
      </c>
      <c r="B2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9" s="60"/>
      <c r="D219" s="41"/>
      <c r="E219" s="41"/>
      <c r="F219" s="44"/>
      <c r="G219" s="44"/>
      <c r="H219" s="48"/>
      <c r="I219" s="64"/>
      <c r="J219" s="48"/>
      <c r="K219" s="48"/>
      <c r="L219" s="43"/>
      <c r="M219" s="44"/>
      <c r="N219" s="43"/>
      <c r="O219" s="43"/>
      <c r="P219" s="44"/>
      <c r="Q219" s="43"/>
      <c r="R219" s="43"/>
      <c r="S219" s="45"/>
      <c r="T219" s="58" t="str">
        <f>IF(Tableau1[[#This Row],[DMS_SAP]]="","",HYPERLINK(Tableau1[[#This Row],[Chemin fichier source]],"X"))</f>
        <v/>
      </c>
      <c r="U219" s="58" t="str">
        <f>IF(Tableau1[[#This Row],[Date rév.]]="","",HYPERLINK(Tableau1[[#This Row],[Lien document]],"X"))</f>
        <v/>
      </c>
      <c r="V219" s="44"/>
      <c r="W219" s="46" t="str">
        <f ca="1">Chemin_accès!$B$2&amp;Tableau1[[#This Row],[Poste Responsable]]&amp;"\"&amp;Tableau1[[#This Row],[Localisation / Classement]]&amp;"\"&amp;Tableau1[[#This Row],[Poste technique]]&amp;"_"&amp;Tableau1[[#This Row],[Plan Entretien]]&amp;".pdf"</f>
        <v>\\stjn.local\trimet\Donnees_Projets\Dms Sap\Maintenance\PlanEntretien\7.MNRJ\\_.pdf</v>
      </c>
      <c r="X219" s="44"/>
      <c r="Y219" s="44"/>
      <c r="Z219" s="41" t="str">
        <f ca="1">IF(AND(Tableau1[[#This Row],[Charge]]&lt;&gt;0, Tableau1[[#This Row],[Nombre intervenants]]&lt;&gt;0,Tableau1[[#This Row],[Lien document]]&lt;&gt;0,Tableau1[[#This Row],[DMS_SAP]]&lt;&gt;0)=TRUE,"MIS A JOUR","")</f>
        <v/>
      </c>
      <c r="AA219" s="45"/>
      <c r="AB219" s="55" t="str">
        <f ca="1">IF(Tableau1[[#This Row],[Date rév.]]&lt;&gt;"", DAYS360(Tableau1[[#This Row],[Date rév.]],TODAY()),"")</f>
        <v/>
      </c>
      <c r="AC219" s="47">
        <f>IFERROR(INDEX(Chemin_accès!$B$11:$C$22,MATCH(Tableau1[[#This Row],[Type]],Chemin_accès!$C$11:$C$22,0),1),Chemin_accès!$B$11)</f>
        <v>0</v>
      </c>
      <c r="AD219" s="47" t="str">
        <f>Chemin_accès!$B$8&amp;Tableau1[[#This Row],[Localisation / Classement]]&amp;"\"&amp;Tableau1[[#This Row],[Poste technique]]&amp;"_"&amp;Tableau1[[#This Row],[Plan Entretien]]&amp;".xlsm"</f>
        <v>\_.xlsm</v>
      </c>
    </row>
    <row r="220" spans="1:30" x14ac:dyDescent="0.3">
      <c r="A220" s="41" t="str">
        <f t="shared" ca="1" si="3"/>
        <v>7.MNRJ</v>
      </c>
      <c r="B2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0" s="43"/>
      <c r="D220" s="41"/>
      <c r="E220" s="41"/>
      <c r="F220" s="44"/>
      <c r="G220" s="44"/>
      <c r="H220" s="48"/>
      <c r="I220" s="64"/>
      <c r="J220" s="48"/>
      <c r="K220" s="48"/>
      <c r="L220" s="43"/>
      <c r="M220" s="44"/>
      <c r="N220" s="43"/>
      <c r="O220" s="43"/>
      <c r="P220" s="44"/>
      <c r="Q220" s="43"/>
      <c r="R220" s="43"/>
      <c r="S220" s="45"/>
      <c r="T220" s="58" t="str">
        <f>IF(Tableau1[[#This Row],[DMS_SAP]]="","",HYPERLINK(Tableau1[[#This Row],[Chemin fichier source]],"X"))</f>
        <v/>
      </c>
      <c r="U220" s="58" t="str">
        <f>IF(Tableau1[[#This Row],[Date rév.]]="","",HYPERLINK(Tableau1[[#This Row],[Lien document]],"X"))</f>
        <v/>
      </c>
      <c r="V220" s="44"/>
      <c r="W220" s="46" t="str">
        <f ca="1">Chemin_accès!$B$2&amp;Tableau1[[#This Row],[Poste Responsable]]&amp;"\"&amp;Tableau1[[#This Row],[Localisation / Classement]]&amp;"\"&amp;Tableau1[[#This Row],[Poste technique]]&amp;"_"&amp;Tableau1[[#This Row],[Plan Entretien]]&amp;".pdf"</f>
        <v>\\stjn.local\trimet\Donnees_Projets\Dms Sap\Maintenance\PlanEntretien\7.MNRJ\\_.pdf</v>
      </c>
      <c r="X220" s="44"/>
      <c r="Y220" s="44"/>
      <c r="Z220" s="41" t="str">
        <f ca="1">IF(AND(Tableau1[[#This Row],[Charge]]&lt;&gt;0, Tableau1[[#This Row],[Nombre intervenants]]&lt;&gt;0,Tableau1[[#This Row],[Lien document]]&lt;&gt;0,Tableau1[[#This Row],[DMS_SAP]]&lt;&gt;0)=TRUE,"MIS A JOUR","")</f>
        <v/>
      </c>
      <c r="AA220" s="45"/>
      <c r="AB220" s="55" t="str">
        <f ca="1">IF(Tableau1[[#This Row],[Date rév.]]&lt;&gt;"", DAYS360(Tableau1[[#This Row],[Date rév.]],TODAY()),"")</f>
        <v/>
      </c>
      <c r="AC220" s="47">
        <f>IFERROR(INDEX(Chemin_accès!$B$11:$C$22,MATCH(Tableau1[[#This Row],[Type]],Chemin_accès!$C$11:$C$22,0),1),Chemin_accès!$B$11)</f>
        <v>0</v>
      </c>
      <c r="AD220" s="47" t="str">
        <f>Chemin_accès!$B$8&amp;Tableau1[[#This Row],[Localisation / Classement]]&amp;"\"&amp;Tableau1[[#This Row],[Poste technique]]&amp;"_"&amp;Tableau1[[#This Row],[Plan Entretien]]&amp;".xlsm"</f>
        <v>\_.xlsm</v>
      </c>
    </row>
    <row r="221" spans="1:30" x14ac:dyDescent="0.3">
      <c r="A221" s="41" t="str">
        <f t="shared" ca="1" si="3"/>
        <v>7.MNRJ</v>
      </c>
      <c r="B2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1" s="43"/>
      <c r="D221" s="41"/>
      <c r="E221" s="41"/>
      <c r="F221" s="44"/>
      <c r="G221" s="44"/>
      <c r="H221" s="48"/>
      <c r="I221" s="64"/>
      <c r="J221" s="48"/>
      <c r="K221" s="48"/>
      <c r="L221" s="43"/>
      <c r="M221" s="44"/>
      <c r="N221" s="43"/>
      <c r="O221" s="43"/>
      <c r="P221" s="44"/>
      <c r="Q221" s="43"/>
      <c r="R221" s="43"/>
      <c r="S221" s="45"/>
      <c r="T221" s="58" t="str">
        <f>IF(Tableau1[[#This Row],[DMS_SAP]]="","",HYPERLINK(Tableau1[[#This Row],[Chemin fichier source]],"X"))</f>
        <v/>
      </c>
      <c r="U221" s="58" t="str">
        <f>IF(Tableau1[[#This Row],[Date rév.]]="","",HYPERLINK(Tableau1[[#This Row],[Lien document]],"X"))</f>
        <v/>
      </c>
      <c r="V221" s="44"/>
      <c r="W221" s="46" t="str">
        <f ca="1">Chemin_accès!$B$2&amp;Tableau1[[#This Row],[Poste Responsable]]&amp;"\"&amp;Tableau1[[#This Row],[Localisation / Classement]]&amp;"\"&amp;Tableau1[[#This Row],[Poste technique]]&amp;"_"&amp;Tableau1[[#This Row],[Plan Entretien]]&amp;".pdf"</f>
        <v>\\stjn.local\trimet\Donnees_Projets\Dms Sap\Maintenance\PlanEntretien\7.MNRJ\\_.pdf</v>
      </c>
      <c r="X221" s="44"/>
      <c r="Y221" s="44"/>
      <c r="Z221" s="41" t="str">
        <f ca="1">IF(AND(Tableau1[[#This Row],[Charge]]&lt;&gt;0, Tableau1[[#This Row],[Nombre intervenants]]&lt;&gt;0,Tableau1[[#This Row],[Lien document]]&lt;&gt;0,Tableau1[[#This Row],[DMS_SAP]]&lt;&gt;0)=TRUE,"MIS A JOUR","")</f>
        <v/>
      </c>
      <c r="AA221" s="45"/>
      <c r="AB221" s="55" t="str">
        <f ca="1">IF(Tableau1[[#This Row],[Date rév.]]&lt;&gt;"", DAYS360(Tableau1[[#This Row],[Date rév.]],TODAY()),"")</f>
        <v/>
      </c>
      <c r="AC221" s="47">
        <f>IFERROR(INDEX(Chemin_accès!$B$11:$C$22,MATCH(Tableau1[[#This Row],[Type]],Chemin_accès!$C$11:$C$22,0),1),Chemin_accès!$B$11)</f>
        <v>0</v>
      </c>
      <c r="AD221" s="47" t="str">
        <f>Chemin_accès!$B$8&amp;Tableau1[[#This Row],[Localisation / Classement]]&amp;"\"&amp;Tableau1[[#This Row],[Poste technique]]&amp;"_"&amp;Tableau1[[#This Row],[Plan Entretien]]&amp;".xlsm"</f>
        <v>\_.xlsm</v>
      </c>
    </row>
    <row r="222" spans="1:30" x14ac:dyDescent="0.3">
      <c r="A222" s="41" t="str">
        <f t="shared" ca="1" si="3"/>
        <v>7.MNRJ</v>
      </c>
      <c r="B2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2" s="43"/>
      <c r="D222" s="41"/>
      <c r="E222" s="41"/>
      <c r="F222" s="44"/>
      <c r="G222" s="44"/>
      <c r="H222" s="48"/>
      <c r="I222" s="64"/>
      <c r="J222" s="48"/>
      <c r="K222" s="48"/>
      <c r="L222" s="43"/>
      <c r="M222" s="44"/>
      <c r="N222" s="43"/>
      <c r="O222" s="43"/>
      <c r="P222" s="44"/>
      <c r="Q222" s="43"/>
      <c r="R222" s="43"/>
      <c r="S222" s="45"/>
      <c r="T222" s="58" t="str">
        <f>IF(Tableau1[[#This Row],[DMS_SAP]]="","",HYPERLINK(Tableau1[[#This Row],[Chemin fichier source]],"X"))</f>
        <v/>
      </c>
      <c r="U222" s="58" t="str">
        <f>IF(Tableau1[[#This Row],[Date rév.]]="","",HYPERLINK(Tableau1[[#This Row],[Lien document]],"X"))</f>
        <v/>
      </c>
      <c r="V222" s="44"/>
      <c r="W222" s="46" t="str">
        <f ca="1">Chemin_accès!$B$2&amp;Tableau1[[#This Row],[Poste Responsable]]&amp;"\"&amp;Tableau1[[#This Row],[Localisation / Classement]]&amp;"\"&amp;Tableau1[[#This Row],[Poste technique]]&amp;"_"&amp;Tableau1[[#This Row],[Plan Entretien]]&amp;".pdf"</f>
        <v>\\stjn.local\trimet\Donnees_Projets\Dms Sap\Maintenance\PlanEntretien\7.MNRJ\\_.pdf</v>
      </c>
      <c r="X222" s="44"/>
      <c r="Y222" s="44"/>
      <c r="Z222" s="41" t="str">
        <f ca="1">IF(AND(Tableau1[[#This Row],[Charge]]&lt;&gt;0, Tableau1[[#This Row],[Nombre intervenants]]&lt;&gt;0,Tableau1[[#This Row],[Lien document]]&lt;&gt;0,Tableau1[[#This Row],[DMS_SAP]]&lt;&gt;0)=TRUE,"MIS A JOUR","")</f>
        <v/>
      </c>
      <c r="AA222" s="45"/>
      <c r="AB222" s="55" t="str">
        <f ca="1">IF(Tableau1[[#This Row],[Date rév.]]&lt;&gt;"", DAYS360(Tableau1[[#This Row],[Date rév.]],TODAY()),"")</f>
        <v/>
      </c>
      <c r="AC222" s="47">
        <f>IFERROR(INDEX(Chemin_accès!$B$11:$C$22,MATCH(Tableau1[[#This Row],[Type]],Chemin_accès!$C$11:$C$22,0),1),Chemin_accès!$B$11)</f>
        <v>0</v>
      </c>
      <c r="AD222" s="47" t="str">
        <f>Chemin_accès!$B$8&amp;Tableau1[[#This Row],[Localisation / Classement]]&amp;"\"&amp;Tableau1[[#This Row],[Poste technique]]&amp;"_"&amp;Tableau1[[#This Row],[Plan Entretien]]&amp;".xlsm"</f>
        <v>\_.xlsm</v>
      </c>
    </row>
    <row r="223" spans="1:30" x14ac:dyDescent="0.3">
      <c r="A223" s="41" t="str">
        <f t="shared" ca="1" si="3"/>
        <v>7.MNRJ</v>
      </c>
      <c r="B2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3" s="43"/>
      <c r="D223" s="41"/>
      <c r="E223" s="41"/>
      <c r="F223" s="44"/>
      <c r="G223" s="44"/>
      <c r="H223" s="48"/>
      <c r="I223" s="64"/>
      <c r="J223" s="48"/>
      <c r="K223" s="48"/>
      <c r="L223" s="43"/>
      <c r="M223" s="44"/>
      <c r="N223" s="43"/>
      <c r="O223" s="43"/>
      <c r="P223" s="44"/>
      <c r="Q223" s="43"/>
      <c r="R223" s="43"/>
      <c r="S223" s="45"/>
      <c r="T223" s="58" t="str">
        <f>IF(Tableau1[[#This Row],[DMS_SAP]]="","",HYPERLINK(Tableau1[[#This Row],[Chemin fichier source]],"X"))</f>
        <v/>
      </c>
      <c r="U223" s="58" t="str">
        <f>IF(Tableau1[[#This Row],[Date rév.]]="","",HYPERLINK(Tableau1[[#This Row],[Lien document]],"X"))</f>
        <v/>
      </c>
      <c r="V223" s="44"/>
      <c r="W223" s="46" t="str">
        <f ca="1">Chemin_accès!$B$2&amp;Tableau1[[#This Row],[Poste Responsable]]&amp;"\"&amp;Tableau1[[#This Row],[Localisation / Classement]]&amp;"\"&amp;Tableau1[[#This Row],[Poste technique]]&amp;"_"&amp;Tableau1[[#This Row],[Plan Entretien]]&amp;".pdf"</f>
        <v>\\stjn.local\trimet\Donnees_Projets\Dms Sap\Maintenance\PlanEntretien\7.MNRJ\\_.pdf</v>
      </c>
      <c r="X223" s="44"/>
      <c r="Y223" s="44"/>
      <c r="Z223" s="41" t="str">
        <f ca="1">IF(AND(Tableau1[[#This Row],[Charge]]&lt;&gt;0, Tableau1[[#This Row],[Nombre intervenants]]&lt;&gt;0,Tableau1[[#This Row],[Lien document]]&lt;&gt;0,Tableau1[[#This Row],[DMS_SAP]]&lt;&gt;0)=TRUE,"MIS A JOUR","")</f>
        <v/>
      </c>
      <c r="AA223" s="45"/>
      <c r="AB223" s="55" t="str">
        <f ca="1">IF(Tableau1[[#This Row],[Date rév.]]&lt;&gt;"", DAYS360(Tableau1[[#This Row],[Date rév.]],TODAY()),"")</f>
        <v/>
      </c>
      <c r="AC223" s="47">
        <f>IFERROR(INDEX(Chemin_accès!$B$11:$C$22,MATCH(Tableau1[[#This Row],[Type]],Chemin_accès!$C$11:$C$22,0),1),Chemin_accès!$B$11)</f>
        <v>0</v>
      </c>
      <c r="AD223" s="47" t="str">
        <f>Chemin_accès!$B$8&amp;Tableau1[[#This Row],[Localisation / Classement]]&amp;"\"&amp;Tableau1[[#This Row],[Poste technique]]&amp;"_"&amp;Tableau1[[#This Row],[Plan Entretien]]&amp;".xlsm"</f>
        <v>\_.xlsm</v>
      </c>
    </row>
    <row r="224" spans="1:30" x14ac:dyDescent="0.3">
      <c r="A224" s="41" t="str">
        <f t="shared" ca="1" si="3"/>
        <v>7.MNRJ</v>
      </c>
      <c r="B2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4" s="43"/>
      <c r="D224" s="41"/>
      <c r="E224" s="41"/>
      <c r="F224" s="44"/>
      <c r="G224" s="44"/>
      <c r="H224" s="48"/>
      <c r="I224" s="64"/>
      <c r="J224" s="48"/>
      <c r="K224" s="48"/>
      <c r="L224" s="43"/>
      <c r="M224" s="44"/>
      <c r="N224" s="43"/>
      <c r="O224" s="43"/>
      <c r="P224" s="44"/>
      <c r="Q224" s="43"/>
      <c r="R224" s="43"/>
      <c r="S224" s="45"/>
      <c r="T224" s="58" t="str">
        <f>IF(Tableau1[[#This Row],[DMS_SAP]]="","",HYPERLINK(Tableau1[[#This Row],[Chemin fichier source]],"X"))</f>
        <v/>
      </c>
      <c r="U224" s="58" t="str">
        <f>IF(Tableau1[[#This Row],[Date rév.]]="","",HYPERLINK(Tableau1[[#This Row],[Lien document]],"X"))</f>
        <v/>
      </c>
      <c r="V224" s="44"/>
      <c r="W224" s="46" t="str">
        <f ca="1">Chemin_accès!$B$2&amp;Tableau1[[#This Row],[Poste Responsable]]&amp;"\"&amp;Tableau1[[#This Row],[Localisation / Classement]]&amp;"\"&amp;Tableau1[[#This Row],[Poste technique]]&amp;"_"&amp;Tableau1[[#This Row],[Plan Entretien]]&amp;".pdf"</f>
        <v>\\stjn.local\trimet\Donnees_Projets\Dms Sap\Maintenance\PlanEntretien\7.MNRJ\\_.pdf</v>
      </c>
      <c r="X224" s="44"/>
      <c r="Y224" s="44"/>
      <c r="Z224" s="41" t="str">
        <f ca="1">IF(AND(Tableau1[[#This Row],[Charge]]&lt;&gt;0, Tableau1[[#This Row],[Nombre intervenants]]&lt;&gt;0,Tableau1[[#This Row],[Lien document]]&lt;&gt;0,Tableau1[[#This Row],[DMS_SAP]]&lt;&gt;0)=TRUE,"MIS A JOUR","")</f>
        <v/>
      </c>
      <c r="AA224" s="45"/>
      <c r="AB224" s="55" t="str">
        <f ca="1">IF(Tableau1[[#This Row],[Date rév.]]&lt;&gt;"", DAYS360(Tableau1[[#This Row],[Date rév.]],TODAY()),"")</f>
        <v/>
      </c>
      <c r="AC224" s="47">
        <f>IFERROR(INDEX(Chemin_accès!$B$11:$C$22,MATCH(Tableau1[[#This Row],[Type]],Chemin_accès!$C$11:$C$22,0),1),Chemin_accès!$B$11)</f>
        <v>0</v>
      </c>
      <c r="AD224" s="47" t="str">
        <f>Chemin_accès!$B$8&amp;Tableau1[[#This Row],[Localisation / Classement]]&amp;"\"&amp;Tableau1[[#This Row],[Poste technique]]&amp;"_"&amp;Tableau1[[#This Row],[Plan Entretien]]&amp;".xlsm"</f>
        <v>\_.xlsm</v>
      </c>
    </row>
    <row r="225" spans="1:30" x14ac:dyDescent="0.3">
      <c r="A225" s="41" t="str">
        <f t="shared" ca="1" si="3"/>
        <v>7.MNRJ</v>
      </c>
      <c r="B2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5" s="43"/>
      <c r="D225" s="41"/>
      <c r="E225" s="41"/>
      <c r="F225" s="44"/>
      <c r="G225" s="44"/>
      <c r="H225" s="48"/>
      <c r="I225" s="64"/>
      <c r="J225" s="48"/>
      <c r="K225" s="48"/>
      <c r="L225" s="43"/>
      <c r="M225" s="44"/>
      <c r="N225" s="43"/>
      <c r="O225" s="43"/>
      <c r="P225" s="44"/>
      <c r="Q225" s="43"/>
      <c r="R225" s="43"/>
      <c r="S225" s="45"/>
      <c r="T225" s="58" t="str">
        <f>IF(Tableau1[[#This Row],[DMS_SAP]]="","",HYPERLINK(Tableau1[[#This Row],[Chemin fichier source]],"X"))</f>
        <v/>
      </c>
      <c r="U225" s="58" t="str">
        <f>IF(Tableau1[[#This Row],[Date rév.]]="","",HYPERLINK(Tableau1[[#This Row],[Lien document]],"X"))</f>
        <v/>
      </c>
      <c r="V225" s="44"/>
      <c r="W225" s="46" t="str">
        <f ca="1">Chemin_accès!$B$2&amp;Tableau1[[#This Row],[Poste Responsable]]&amp;"\"&amp;Tableau1[[#This Row],[Localisation / Classement]]&amp;"\"&amp;Tableau1[[#This Row],[Poste technique]]&amp;"_"&amp;Tableau1[[#This Row],[Plan Entretien]]&amp;".pdf"</f>
        <v>\\stjn.local\trimet\Donnees_Projets\Dms Sap\Maintenance\PlanEntretien\7.MNRJ\\_.pdf</v>
      </c>
      <c r="X225" s="44"/>
      <c r="Y225" s="44"/>
      <c r="Z225" s="41" t="str">
        <f ca="1">IF(AND(Tableau1[[#This Row],[Charge]]&lt;&gt;0, Tableau1[[#This Row],[Nombre intervenants]]&lt;&gt;0,Tableau1[[#This Row],[Lien document]]&lt;&gt;0,Tableau1[[#This Row],[DMS_SAP]]&lt;&gt;0)=TRUE,"MIS A JOUR","")</f>
        <v/>
      </c>
      <c r="AA225" s="45"/>
      <c r="AB225" s="55" t="str">
        <f ca="1">IF(Tableau1[[#This Row],[Date rév.]]&lt;&gt;"", DAYS360(Tableau1[[#This Row],[Date rév.]],TODAY()),"")</f>
        <v/>
      </c>
      <c r="AC225" s="47">
        <f>IFERROR(INDEX(Chemin_accès!$B$11:$C$22,MATCH(Tableau1[[#This Row],[Type]],Chemin_accès!$C$11:$C$22,0),1),Chemin_accès!$B$11)</f>
        <v>0</v>
      </c>
      <c r="AD225" s="47" t="str">
        <f>Chemin_accès!$B$8&amp;Tableau1[[#This Row],[Localisation / Classement]]&amp;"\"&amp;Tableau1[[#This Row],[Poste technique]]&amp;"_"&amp;Tableau1[[#This Row],[Plan Entretien]]&amp;".xlsm"</f>
        <v>\_.xlsm</v>
      </c>
    </row>
    <row r="226" spans="1:30" x14ac:dyDescent="0.3">
      <c r="A226" s="41" t="str">
        <f t="shared" ca="1" si="3"/>
        <v>7.MNRJ</v>
      </c>
      <c r="B2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6" s="43"/>
      <c r="D226" s="41"/>
      <c r="E226" s="41"/>
      <c r="F226" s="44"/>
      <c r="G226" s="44"/>
      <c r="H226" s="48"/>
      <c r="I226" s="64"/>
      <c r="J226" s="48"/>
      <c r="K226" s="48"/>
      <c r="L226" s="43"/>
      <c r="M226" s="44"/>
      <c r="N226" s="43"/>
      <c r="O226" s="43"/>
      <c r="P226" s="44"/>
      <c r="Q226" s="43"/>
      <c r="R226" s="43"/>
      <c r="S226" s="45"/>
      <c r="T226" s="58" t="str">
        <f>IF(Tableau1[[#This Row],[DMS_SAP]]="","",HYPERLINK(Tableau1[[#This Row],[Chemin fichier source]],"X"))</f>
        <v/>
      </c>
      <c r="U226" s="58" t="str">
        <f>IF(Tableau1[[#This Row],[Date rév.]]="","",HYPERLINK(Tableau1[[#This Row],[Lien document]],"X"))</f>
        <v/>
      </c>
      <c r="V226" s="44"/>
      <c r="W226" s="46" t="str">
        <f ca="1">Chemin_accès!$B$2&amp;Tableau1[[#This Row],[Poste Responsable]]&amp;"\"&amp;Tableau1[[#This Row],[Localisation / Classement]]&amp;"\"&amp;Tableau1[[#This Row],[Poste technique]]&amp;"_"&amp;Tableau1[[#This Row],[Plan Entretien]]&amp;".pdf"</f>
        <v>\\stjn.local\trimet\Donnees_Projets\Dms Sap\Maintenance\PlanEntretien\7.MNRJ\\_.pdf</v>
      </c>
      <c r="X226" s="44"/>
      <c r="Y226" s="44"/>
      <c r="Z226" s="41" t="str">
        <f ca="1">IF(AND(Tableau1[[#This Row],[Charge]]&lt;&gt;0, Tableau1[[#This Row],[Nombre intervenants]]&lt;&gt;0,Tableau1[[#This Row],[Lien document]]&lt;&gt;0,Tableau1[[#This Row],[DMS_SAP]]&lt;&gt;0)=TRUE,"MIS A JOUR","")</f>
        <v/>
      </c>
      <c r="AA226" s="45"/>
      <c r="AB226" s="55" t="str">
        <f ca="1">IF(Tableau1[[#This Row],[Date rév.]]&lt;&gt;"", DAYS360(Tableau1[[#This Row],[Date rév.]],TODAY()),"")</f>
        <v/>
      </c>
      <c r="AC226" s="47">
        <f>IFERROR(INDEX(Chemin_accès!$B$11:$C$22,MATCH(Tableau1[[#This Row],[Type]],Chemin_accès!$C$11:$C$22,0),1),Chemin_accès!$B$11)</f>
        <v>0</v>
      </c>
      <c r="AD226" s="47" t="str">
        <f>Chemin_accès!$B$8&amp;Tableau1[[#This Row],[Localisation / Classement]]&amp;"\"&amp;Tableau1[[#This Row],[Poste technique]]&amp;"_"&amp;Tableau1[[#This Row],[Plan Entretien]]&amp;".xlsm"</f>
        <v>\_.xlsm</v>
      </c>
    </row>
    <row r="227" spans="1:30" x14ac:dyDescent="0.3">
      <c r="A227" s="41" t="str">
        <f t="shared" ca="1" si="3"/>
        <v>7.MNRJ</v>
      </c>
      <c r="B2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7" s="43"/>
      <c r="D227" s="41"/>
      <c r="E227" s="41"/>
      <c r="F227" s="44"/>
      <c r="G227" s="44"/>
      <c r="H227" s="48"/>
      <c r="I227" s="64"/>
      <c r="J227" s="48"/>
      <c r="K227" s="48"/>
      <c r="L227" s="43"/>
      <c r="M227" s="44"/>
      <c r="N227" s="43"/>
      <c r="O227" s="43"/>
      <c r="P227" s="44"/>
      <c r="Q227" s="43"/>
      <c r="R227" s="43"/>
      <c r="S227" s="45"/>
      <c r="T227" s="58" t="str">
        <f>IF(Tableau1[[#This Row],[DMS_SAP]]="","",HYPERLINK(Tableau1[[#This Row],[Chemin fichier source]],"X"))</f>
        <v/>
      </c>
      <c r="U227" s="58" t="str">
        <f>IF(Tableau1[[#This Row],[Date rév.]]="","",HYPERLINK(Tableau1[[#This Row],[Lien document]],"X"))</f>
        <v/>
      </c>
      <c r="V227" s="44"/>
      <c r="W227" s="46" t="str">
        <f ca="1">Chemin_accès!$B$2&amp;Tableau1[[#This Row],[Poste Responsable]]&amp;"\"&amp;Tableau1[[#This Row],[Localisation / Classement]]&amp;"\"&amp;Tableau1[[#This Row],[Poste technique]]&amp;"_"&amp;Tableau1[[#This Row],[Plan Entretien]]&amp;".pdf"</f>
        <v>\\stjn.local\trimet\Donnees_Projets\Dms Sap\Maintenance\PlanEntretien\7.MNRJ\\_.pdf</v>
      </c>
      <c r="X227" s="44"/>
      <c r="Y227" s="44"/>
      <c r="Z227" s="41" t="str">
        <f ca="1">IF(AND(Tableau1[[#This Row],[Charge]]&lt;&gt;0, Tableau1[[#This Row],[Nombre intervenants]]&lt;&gt;0,Tableau1[[#This Row],[Lien document]]&lt;&gt;0,Tableau1[[#This Row],[DMS_SAP]]&lt;&gt;0)=TRUE,"MIS A JOUR","")</f>
        <v/>
      </c>
      <c r="AA227" s="45"/>
      <c r="AB227" s="55" t="str">
        <f ca="1">IF(Tableau1[[#This Row],[Date rév.]]&lt;&gt;"", DAYS360(Tableau1[[#This Row],[Date rév.]],TODAY()),"")</f>
        <v/>
      </c>
      <c r="AC227" s="47">
        <f>IFERROR(INDEX(Chemin_accès!$B$11:$C$22,MATCH(Tableau1[[#This Row],[Type]],Chemin_accès!$C$11:$C$22,0),1),Chemin_accès!$B$11)</f>
        <v>0</v>
      </c>
      <c r="AD227" s="47" t="str">
        <f>Chemin_accès!$B$8&amp;Tableau1[[#This Row],[Localisation / Classement]]&amp;"\"&amp;Tableau1[[#This Row],[Poste technique]]&amp;"_"&amp;Tableau1[[#This Row],[Plan Entretien]]&amp;".xlsm"</f>
        <v>\_.xlsm</v>
      </c>
    </row>
    <row r="228" spans="1:30" x14ac:dyDescent="0.3">
      <c r="A228" s="41" t="str">
        <f t="shared" ca="1" si="3"/>
        <v>7.MNRJ</v>
      </c>
      <c r="B2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8" s="43"/>
      <c r="D228" s="41"/>
      <c r="E228" s="41"/>
      <c r="F228" s="44"/>
      <c r="G228" s="44"/>
      <c r="H228" s="48"/>
      <c r="I228" s="64"/>
      <c r="J228" s="48"/>
      <c r="K228" s="48"/>
      <c r="L228" s="43"/>
      <c r="M228" s="44"/>
      <c r="N228" s="43"/>
      <c r="O228" s="43"/>
      <c r="P228" s="44"/>
      <c r="Q228" s="43"/>
      <c r="R228" s="43"/>
      <c r="S228" s="45"/>
      <c r="T228" s="58" t="str">
        <f>IF(Tableau1[[#This Row],[DMS_SAP]]="","",HYPERLINK(Tableau1[[#This Row],[Chemin fichier source]],"X"))</f>
        <v/>
      </c>
      <c r="U228" s="58" t="str">
        <f>IF(Tableau1[[#This Row],[Date rév.]]="","",HYPERLINK(Tableau1[[#This Row],[Lien document]],"X"))</f>
        <v/>
      </c>
      <c r="V228" s="44"/>
      <c r="W228" s="46" t="str">
        <f ca="1">Chemin_accès!$B$2&amp;Tableau1[[#This Row],[Poste Responsable]]&amp;"\"&amp;Tableau1[[#This Row],[Localisation / Classement]]&amp;"\"&amp;Tableau1[[#This Row],[Poste technique]]&amp;"_"&amp;Tableau1[[#This Row],[Plan Entretien]]&amp;".pdf"</f>
        <v>\\stjn.local\trimet\Donnees_Projets\Dms Sap\Maintenance\PlanEntretien\7.MNRJ\\_.pdf</v>
      </c>
      <c r="X228" s="44"/>
      <c r="Y228" s="44"/>
      <c r="Z228" s="41" t="str">
        <f ca="1">IF(AND(Tableau1[[#This Row],[Charge]]&lt;&gt;0, Tableau1[[#This Row],[Nombre intervenants]]&lt;&gt;0,Tableau1[[#This Row],[Lien document]]&lt;&gt;0,Tableau1[[#This Row],[DMS_SAP]]&lt;&gt;0)=TRUE,"MIS A JOUR","")</f>
        <v/>
      </c>
      <c r="AA228" s="45"/>
      <c r="AB228" s="55" t="str">
        <f ca="1">IF(Tableau1[[#This Row],[Date rév.]]&lt;&gt;"", DAYS360(Tableau1[[#This Row],[Date rév.]],TODAY()),"")</f>
        <v/>
      </c>
      <c r="AC228" s="47">
        <f>IFERROR(INDEX(Chemin_accès!$B$11:$C$22,MATCH(Tableau1[[#This Row],[Type]],Chemin_accès!$C$11:$C$22,0),1),Chemin_accès!$B$11)</f>
        <v>0</v>
      </c>
      <c r="AD228" s="47" t="str">
        <f>Chemin_accès!$B$8&amp;Tableau1[[#This Row],[Localisation / Classement]]&amp;"\"&amp;Tableau1[[#This Row],[Poste technique]]&amp;"_"&amp;Tableau1[[#This Row],[Plan Entretien]]&amp;".xlsm"</f>
        <v>\_.xlsm</v>
      </c>
    </row>
    <row r="229" spans="1:30" x14ac:dyDescent="0.3">
      <c r="A229" s="41" t="str">
        <f t="shared" ca="1" si="3"/>
        <v>7.MNRJ</v>
      </c>
      <c r="B2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9" s="43"/>
      <c r="D229" s="41"/>
      <c r="E229" s="41"/>
      <c r="F229" s="44"/>
      <c r="G229" s="44"/>
      <c r="H229" s="48"/>
      <c r="I229" s="64"/>
      <c r="J229" s="48"/>
      <c r="K229" s="48"/>
      <c r="L229" s="43"/>
      <c r="M229" s="44"/>
      <c r="N229" s="43"/>
      <c r="O229" s="43"/>
      <c r="P229" s="44"/>
      <c r="Q229" s="43"/>
      <c r="R229" s="43"/>
      <c r="S229" s="45"/>
      <c r="T229" s="58" t="str">
        <f>IF(Tableau1[[#This Row],[DMS_SAP]]="","",HYPERLINK(Tableau1[[#This Row],[Chemin fichier source]],"X"))</f>
        <v/>
      </c>
      <c r="U229" s="58" t="str">
        <f>IF(Tableau1[[#This Row],[Date rév.]]="","",HYPERLINK(Tableau1[[#This Row],[Lien document]],"X"))</f>
        <v/>
      </c>
      <c r="V229" s="44"/>
      <c r="W229" s="46" t="str">
        <f ca="1">Chemin_accès!$B$2&amp;Tableau1[[#This Row],[Poste Responsable]]&amp;"\"&amp;Tableau1[[#This Row],[Localisation / Classement]]&amp;"\"&amp;Tableau1[[#This Row],[Poste technique]]&amp;"_"&amp;Tableau1[[#This Row],[Plan Entretien]]&amp;".pdf"</f>
        <v>\\stjn.local\trimet\Donnees_Projets\Dms Sap\Maintenance\PlanEntretien\7.MNRJ\\_.pdf</v>
      </c>
      <c r="X229" s="44"/>
      <c r="Y229" s="44"/>
      <c r="Z229" s="41" t="str">
        <f ca="1">IF(AND(Tableau1[[#This Row],[Charge]]&lt;&gt;0, Tableau1[[#This Row],[Nombre intervenants]]&lt;&gt;0,Tableau1[[#This Row],[Lien document]]&lt;&gt;0,Tableau1[[#This Row],[DMS_SAP]]&lt;&gt;0)=TRUE,"MIS A JOUR","")</f>
        <v/>
      </c>
      <c r="AA229" s="45"/>
      <c r="AB229" s="55" t="str">
        <f ca="1">IF(Tableau1[[#This Row],[Date rév.]]&lt;&gt;"", DAYS360(Tableau1[[#This Row],[Date rév.]],TODAY()),"")</f>
        <v/>
      </c>
      <c r="AC229" s="47">
        <f>IFERROR(INDEX(Chemin_accès!$B$11:$C$22,MATCH(Tableau1[[#This Row],[Type]],Chemin_accès!$C$11:$C$22,0),1),Chemin_accès!$B$11)</f>
        <v>0</v>
      </c>
      <c r="AD229" s="47" t="str">
        <f>Chemin_accès!$B$8&amp;Tableau1[[#This Row],[Localisation / Classement]]&amp;"\"&amp;Tableau1[[#This Row],[Poste technique]]&amp;"_"&amp;Tableau1[[#This Row],[Plan Entretien]]&amp;".xlsm"</f>
        <v>\_.xlsm</v>
      </c>
    </row>
    <row r="230" spans="1:30" x14ac:dyDescent="0.3">
      <c r="A230" s="41" t="str">
        <f t="shared" ca="1" si="3"/>
        <v>7.MNRJ</v>
      </c>
      <c r="B2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0" s="43"/>
      <c r="D230" s="41"/>
      <c r="E230" s="41"/>
      <c r="F230" s="44"/>
      <c r="G230" s="44"/>
      <c r="H230" s="48"/>
      <c r="I230" s="64"/>
      <c r="J230" s="48"/>
      <c r="K230" s="48"/>
      <c r="L230" s="43"/>
      <c r="M230" s="44"/>
      <c r="N230" s="43"/>
      <c r="O230" s="43"/>
      <c r="P230" s="44"/>
      <c r="Q230" s="43"/>
      <c r="R230" s="43"/>
      <c r="S230" s="45"/>
      <c r="T230" s="58" t="str">
        <f>IF(Tableau1[[#This Row],[DMS_SAP]]="","",HYPERLINK(Tableau1[[#This Row],[Chemin fichier source]],"X"))</f>
        <v/>
      </c>
      <c r="U230" s="58" t="str">
        <f>IF(Tableau1[[#This Row],[Date rév.]]="","",HYPERLINK(Tableau1[[#This Row],[Lien document]],"X"))</f>
        <v/>
      </c>
      <c r="V230" s="44"/>
      <c r="W230" s="46" t="str">
        <f ca="1">Chemin_accès!$B$2&amp;Tableau1[[#This Row],[Poste Responsable]]&amp;"\"&amp;Tableau1[[#This Row],[Localisation / Classement]]&amp;"\"&amp;Tableau1[[#This Row],[Poste technique]]&amp;"_"&amp;Tableau1[[#This Row],[Plan Entretien]]&amp;".pdf"</f>
        <v>\\stjn.local\trimet\Donnees_Projets\Dms Sap\Maintenance\PlanEntretien\7.MNRJ\\_.pdf</v>
      </c>
      <c r="X230" s="44"/>
      <c r="Y230" s="44"/>
      <c r="Z230" s="41" t="str">
        <f ca="1">IF(AND(Tableau1[[#This Row],[Charge]]&lt;&gt;0, Tableau1[[#This Row],[Nombre intervenants]]&lt;&gt;0,Tableau1[[#This Row],[Lien document]]&lt;&gt;0,Tableau1[[#This Row],[DMS_SAP]]&lt;&gt;0)=TRUE,"MIS A JOUR","")</f>
        <v/>
      </c>
      <c r="AA230" s="45"/>
      <c r="AB230" s="55" t="str">
        <f ca="1">IF(Tableau1[[#This Row],[Date rév.]]&lt;&gt;"", DAYS360(Tableau1[[#This Row],[Date rév.]],TODAY()),"")</f>
        <v/>
      </c>
      <c r="AC230" s="47">
        <f>IFERROR(INDEX(Chemin_accès!$B$11:$C$22,MATCH(Tableau1[[#This Row],[Type]],Chemin_accès!$C$11:$C$22,0),1),Chemin_accès!$B$11)</f>
        <v>0</v>
      </c>
      <c r="AD230" s="47" t="str">
        <f>Chemin_accès!$B$8&amp;Tableau1[[#This Row],[Localisation / Classement]]&amp;"\"&amp;Tableau1[[#This Row],[Poste technique]]&amp;"_"&amp;Tableau1[[#This Row],[Plan Entretien]]&amp;".xlsm"</f>
        <v>\_.xlsm</v>
      </c>
    </row>
    <row r="231" spans="1:30" x14ac:dyDescent="0.3">
      <c r="A231" s="41" t="str">
        <f t="shared" ca="1" si="3"/>
        <v>7.MNRJ</v>
      </c>
      <c r="B2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1" s="43"/>
      <c r="D231" s="41"/>
      <c r="E231" s="41"/>
      <c r="F231" s="44"/>
      <c r="G231" s="44"/>
      <c r="H231" s="48"/>
      <c r="I231" s="64"/>
      <c r="J231" s="48"/>
      <c r="K231" s="48"/>
      <c r="L231" s="43"/>
      <c r="M231" s="44"/>
      <c r="N231" s="43"/>
      <c r="O231" s="43"/>
      <c r="P231" s="44"/>
      <c r="Q231" s="43"/>
      <c r="R231" s="43"/>
      <c r="S231" s="45"/>
      <c r="T231" s="58" t="str">
        <f>IF(Tableau1[[#This Row],[DMS_SAP]]="","",HYPERLINK(Tableau1[[#This Row],[Chemin fichier source]],"X"))</f>
        <v/>
      </c>
      <c r="U231" s="58" t="str">
        <f>IF(Tableau1[[#This Row],[Date rév.]]="","",HYPERLINK(Tableau1[[#This Row],[Lien document]],"X"))</f>
        <v/>
      </c>
      <c r="V231" s="44"/>
      <c r="W231" s="46" t="str">
        <f ca="1">Chemin_accès!$B$2&amp;Tableau1[[#This Row],[Poste Responsable]]&amp;"\"&amp;Tableau1[[#This Row],[Localisation / Classement]]&amp;"\"&amp;Tableau1[[#This Row],[Poste technique]]&amp;"_"&amp;Tableau1[[#This Row],[Plan Entretien]]&amp;".pdf"</f>
        <v>\\stjn.local\trimet\Donnees_Projets\Dms Sap\Maintenance\PlanEntretien\7.MNRJ\\_.pdf</v>
      </c>
      <c r="X231" s="44"/>
      <c r="Y231" s="44"/>
      <c r="Z231" s="41" t="str">
        <f ca="1">IF(AND(Tableau1[[#This Row],[Charge]]&lt;&gt;0, Tableau1[[#This Row],[Nombre intervenants]]&lt;&gt;0,Tableau1[[#This Row],[Lien document]]&lt;&gt;0,Tableau1[[#This Row],[DMS_SAP]]&lt;&gt;0)=TRUE,"MIS A JOUR","")</f>
        <v/>
      </c>
      <c r="AA231" s="45"/>
      <c r="AB231" s="55" t="str">
        <f ca="1">IF(Tableau1[[#This Row],[Date rév.]]&lt;&gt;"", DAYS360(Tableau1[[#This Row],[Date rév.]],TODAY()),"")</f>
        <v/>
      </c>
      <c r="AC231" s="47">
        <f>IFERROR(INDEX(Chemin_accès!$B$11:$C$22,MATCH(Tableau1[[#This Row],[Type]],Chemin_accès!$C$11:$C$22,0),1),Chemin_accès!$B$11)</f>
        <v>0</v>
      </c>
      <c r="AD231" s="47" t="str">
        <f>Chemin_accès!$B$8&amp;Tableau1[[#This Row],[Localisation / Classement]]&amp;"\"&amp;Tableau1[[#This Row],[Poste technique]]&amp;"_"&amp;Tableau1[[#This Row],[Plan Entretien]]&amp;".xlsm"</f>
        <v>\_.xlsm</v>
      </c>
    </row>
    <row r="232" spans="1:30" x14ac:dyDescent="0.3">
      <c r="A232" s="41" t="str">
        <f t="shared" ca="1" si="3"/>
        <v>7.MNRJ</v>
      </c>
      <c r="B2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2" s="43"/>
      <c r="D232" s="41"/>
      <c r="E232" s="41"/>
      <c r="F232" s="44"/>
      <c r="G232" s="44"/>
      <c r="H232" s="48"/>
      <c r="I232" s="64"/>
      <c r="J232" s="48"/>
      <c r="K232" s="48"/>
      <c r="L232" s="43"/>
      <c r="M232" s="44"/>
      <c r="N232" s="43"/>
      <c r="O232" s="43"/>
      <c r="P232" s="44"/>
      <c r="Q232" s="43"/>
      <c r="R232" s="43"/>
      <c r="S232" s="45"/>
      <c r="T232" s="58" t="str">
        <f>IF(Tableau1[[#This Row],[DMS_SAP]]="","",HYPERLINK(Tableau1[[#This Row],[Chemin fichier source]],"X"))</f>
        <v/>
      </c>
      <c r="U232" s="58" t="str">
        <f>IF(Tableau1[[#This Row],[Date rév.]]="","",HYPERLINK(Tableau1[[#This Row],[Lien document]],"X"))</f>
        <v/>
      </c>
      <c r="V232" s="44"/>
      <c r="W232" s="46" t="str">
        <f ca="1">Chemin_accès!$B$2&amp;Tableau1[[#This Row],[Poste Responsable]]&amp;"\"&amp;Tableau1[[#This Row],[Localisation / Classement]]&amp;"\"&amp;Tableau1[[#This Row],[Poste technique]]&amp;"_"&amp;Tableau1[[#This Row],[Plan Entretien]]&amp;".pdf"</f>
        <v>\\stjn.local\trimet\Donnees_Projets\Dms Sap\Maintenance\PlanEntretien\7.MNRJ\\_.pdf</v>
      </c>
      <c r="X232" s="44"/>
      <c r="Y232" s="44"/>
      <c r="Z232" s="41" t="str">
        <f ca="1">IF(AND(Tableau1[[#This Row],[Charge]]&lt;&gt;0, Tableau1[[#This Row],[Nombre intervenants]]&lt;&gt;0,Tableau1[[#This Row],[Lien document]]&lt;&gt;0,Tableau1[[#This Row],[DMS_SAP]]&lt;&gt;0)=TRUE,"MIS A JOUR","")</f>
        <v/>
      </c>
      <c r="AA232" s="45"/>
      <c r="AB232" s="55" t="str">
        <f ca="1">IF(Tableau1[[#This Row],[Date rév.]]&lt;&gt;"", DAYS360(Tableau1[[#This Row],[Date rév.]],TODAY()),"")</f>
        <v/>
      </c>
      <c r="AC232" s="47">
        <f>IFERROR(INDEX(Chemin_accès!$B$11:$C$22,MATCH(Tableau1[[#This Row],[Type]],Chemin_accès!$C$11:$C$22,0),1),Chemin_accès!$B$11)</f>
        <v>0</v>
      </c>
      <c r="AD232" s="47" t="str">
        <f>Chemin_accès!$B$8&amp;Tableau1[[#This Row],[Localisation / Classement]]&amp;"\"&amp;Tableau1[[#This Row],[Poste technique]]&amp;"_"&amp;Tableau1[[#This Row],[Plan Entretien]]&amp;".xlsm"</f>
        <v>\_.xlsm</v>
      </c>
    </row>
    <row r="233" spans="1:30" x14ac:dyDescent="0.3">
      <c r="A233" s="41" t="str">
        <f t="shared" ca="1" si="3"/>
        <v>7.MNRJ</v>
      </c>
      <c r="B2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3" s="43"/>
      <c r="D233" s="41"/>
      <c r="E233" s="41"/>
      <c r="F233" s="44"/>
      <c r="G233" s="44"/>
      <c r="H233" s="48"/>
      <c r="I233" s="64"/>
      <c r="J233" s="48"/>
      <c r="K233" s="48"/>
      <c r="L233" s="43"/>
      <c r="M233" s="44"/>
      <c r="N233" s="43"/>
      <c r="O233" s="43"/>
      <c r="P233" s="44"/>
      <c r="Q233" s="43"/>
      <c r="R233" s="43"/>
      <c r="S233" s="45"/>
      <c r="T233" s="58" t="str">
        <f>IF(Tableau1[[#This Row],[DMS_SAP]]="","",HYPERLINK(Tableau1[[#This Row],[Chemin fichier source]],"X"))</f>
        <v/>
      </c>
      <c r="U233" s="58" t="str">
        <f>IF(Tableau1[[#This Row],[Date rév.]]="","",HYPERLINK(Tableau1[[#This Row],[Lien document]],"X"))</f>
        <v/>
      </c>
      <c r="V233" s="44"/>
      <c r="W233" s="46" t="str">
        <f ca="1">Chemin_accès!$B$2&amp;Tableau1[[#This Row],[Poste Responsable]]&amp;"\"&amp;Tableau1[[#This Row],[Localisation / Classement]]&amp;"\"&amp;Tableau1[[#This Row],[Poste technique]]&amp;"_"&amp;Tableau1[[#This Row],[Plan Entretien]]&amp;".pdf"</f>
        <v>\\stjn.local\trimet\Donnees_Projets\Dms Sap\Maintenance\PlanEntretien\7.MNRJ\\_.pdf</v>
      </c>
      <c r="X233" s="44"/>
      <c r="Y233" s="44"/>
      <c r="Z233" s="41" t="str">
        <f ca="1">IF(AND(Tableau1[[#This Row],[Charge]]&lt;&gt;0, Tableau1[[#This Row],[Nombre intervenants]]&lt;&gt;0,Tableau1[[#This Row],[Lien document]]&lt;&gt;0,Tableau1[[#This Row],[DMS_SAP]]&lt;&gt;0)=TRUE,"MIS A JOUR","")</f>
        <v/>
      </c>
      <c r="AA233" s="45"/>
      <c r="AB233" s="55" t="str">
        <f ca="1">IF(Tableau1[[#This Row],[Date rév.]]&lt;&gt;"", DAYS360(Tableau1[[#This Row],[Date rév.]],TODAY()),"")</f>
        <v/>
      </c>
      <c r="AC233" s="47">
        <f>IFERROR(INDEX(Chemin_accès!$B$11:$C$22,MATCH(Tableau1[[#This Row],[Type]],Chemin_accès!$C$11:$C$22,0),1),Chemin_accès!$B$11)</f>
        <v>0</v>
      </c>
      <c r="AD233" s="47" t="str">
        <f>Chemin_accès!$B$8&amp;Tableau1[[#This Row],[Localisation / Classement]]&amp;"\"&amp;Tableau1[[#This Row],[Poste technique]]&amp;"_"&amp;Tableau1[[#This Row],[Plan Entretien]]&amp;".xlsm"</f>
        <v>\_.xlsm</v>
      </c>
    </row>
    <row r="234" spans="1:30" x14ac:dyDescent="0.3">
      <c r="A234" s="41" t="str">
        <f t="shared" ca="1" si="3"/>
        <v>7.MNRJ</v>
      </c>
      <c r="B2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4" s="43"/>
      <c r="D234" s="41"/>
      <c r="E234" s="41"/>
      <c r="F234" s="44"/>
      <c r="G234" s="44"/>
      <c r="H234" s="48"/>
      <c r="I234" s="64"/>
      <c r="J234" s="48"/>
      <c r="K234" s="48"/>
      <c r="L234" s="43"/>
      <c r="M234" s="44"/>
      <c r="N234" s="43"/>
      <c r="O234" s="43"/>
      <c r="P234" s="44"/>
      <c r="Q234" s="43"/>
      <c r="R234" s="43"/>
      <c r="S234" s="45"/>
      <c r="T234" s="58" t="str">
        <f>IF(Tableau1[[#This Row],[DMS_SAP]]="","",HYPERLINK(Tableau1[[#This Row],[Chemin fichier source]],"X"))</f>
        <v/>
      </c>
      <c r="U234" s="58" t="str">
        <f>IF(Tableau1[[#This Row],[Date rév.]]="","",HYPERLINK(Tableau1[[#This Row],[Lien document]],"X"))</f>
        <v/>
      </c>
      <c r="V234" s="44"/>
      <c r="W234" s="46" t="str">
        <f ca="1">Chemin_accès!$B$2&amp;Tableau1[[#This Row],[Poste Responsable]]&amp;"\"&amp;Tableau1[[#This Row],[Localisation / Classement]]&amp;"\"&amp;Tableau1[[#This Row],[Poste technique]]&amp;"_"&amp;Tableau1[[#This Row],[Plan Entretien]]&amp;".pdf"</f>
        <v>\\stjn.local\trimet\Donnees_Projets\Dms Sap\Maintenance\PlanEntretien\7.MNRJ\\_.pdf</v>
      </c>
      <c r="X234" s="44"/>
      <c r="Y234" s="44"/>
      <c r="Z234" s="41" t="str">
        <f ca="1">IF(AND(Tableau1[[#This Row],[Charge]]&lt;&gt;0, Tableau1[[#This Row],[Nombre intervenants]]&lt;&gt;0,Tableau1[[#This Row],[Lien document]]&lt;&gt;0,Tableau1[[#This Row],[DMS_SAP]]&lt;&gt;0)=TRUE,"MIS A JOUR","")</f>
        <v/>
      </c>
      <c r="AA234" s="45"/>
      <c r="AB234" s="55" t="str">
        <f ca="1">IF(Tableau1[[#This Row],[Date rév.]]&lt;&gt;"", DAYS360(Tableau1[[#This Row],[Date rév.]],TODAY()),"")</f>
        <v/>
      </c>
      <c r="AC234" s="47">
        <f>IFERROR(INDEX(Chemin_accès!$B$11:$C$22,MATCH(Tableau1[[#This Row],[Type]],Chemin_accès!$C$11:$C$22,0),1),Chemin_accès!$B$11)</f>
        <v>0</v>
      </c>
      <c r="AD234" s="47" t="str">
        <f>Chemin_accès!$B$8&amp;Tableau1[[#This Row],[Localisation / Classement]]&amp;"\"&amp;Tableau1[[#This Row],[Poste technique]]&amp;"_"&amp;Tableau1[[#This Row],[Plan Entretien]]&amp;".xlsm"</f>
        <v>\_.xlsm</v>
      </c>
    </row>
    <row r="235" spans="1:30" x14ac:dyDescent="0.3">
      <c r="A235" s="41" t="str">
        <f t="shared" ca="1" si="3"/>
        <v>7.MNRJ</v>
      </c>
      <c r="B2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5" s="43"/>
      <c r="D235" s="41"/>
      <c r="E235" s="41"/>
      <c r="F235" s="44"/>
      <c r="G235" s="44"/>
      <c r="H235" s="48"/>
      <c r="I235" s="64"/>
      <c r="J235" s="48"/>
      <c r="K235" s="48"/>
      <c r="L235" s="43"/>
      <c r="M235" s="44"/>
      <c r="N235" s="43"/>
      <c r="O235" s="43"/>
      <c r="P235" s="44"/>
      <c r="Q235" s="43"/>
      <c r="R235" s="43"/>
      <c r="S235" s="45"/>
      <c r="T235" s="58" t="str">
        <f>IF(Tableau1[[#This Row],[DMS_SAP]]="","",HYPERLINK(Tableau1[[#This Row],[Chemin fichier source]],"X"))</f>
        <v/>
      </c>
      <c r="U235" s="58" t="str">
        <f>IF(Tableau1[[#This Row],[Date rév.]]="","",HYPERLINK(Tableau1[[#This Row],[Lien document]],"X"))</f>
        <v/>
      </c>
      <c r="V235" s="44"/>
      <c r="W235" s="46" t="str">
        <f ca="1">Chemin_accès!$B$2&amp;Tableau1[[#This Row],[Poste Responsable]]&amp;"\"&amp;Tableau1[[#This Row],[Localisation / Classement]]&amp;"\"&amp;Tableau1[[#This Row],[Poste technique]]&amp;"_"&amp;Tableau1[[#This Row],[Plan Entretien]]&amp;".pdf"</f>
        <v>\\stjn.local\trimet\Donnees_Projets\Dms Sap\Maintenance\PlanEntretien\7.MNRJ\\_.pdf</v>
      </c>
      <c r="X235" s="44"/>
      <c r="Y235" s="44"/>
      <c r="Z235" s="41" t="str">
        <f ca="1">IF(AND(Tableau1[[#This Row],[Charge]]&lt;&gt;0, Tableau1[[#This Row],[Nombre intervenants]]&lt;&gt;0,Tableau1[[#This Row],[Lien document]]&lt;&gt;0,Tableau1[[#This Row],[DMS_SAP]]&lt;&gt;0)=TRUE,"MIS A JOUR","")</f>
        <v/>
      </c>
      <c r="AA235" s="45"/>
      <c r="AB235" s="55" t="str">
        <f ca="1">IF(Tableau1[[#This Row],[Date rév.]]&lt;&gt;"", DAYS360(Tableau1[[#This Row],[Date rév.]],TODAY()),"")</f>
        <v/>
      </c>
      <c r="AC235" s="47">
        <f>IFERROR(INDEX(Chemin_accès!$B$11:$C$22,MATCH(Tableau1[[#This Row],[Type]],Chemin_accès!$C$11:$C$22,0),1),Chemin_accès!$B$11)</f>
        <v>0</v>
      </c>
      <c r="AD235" s="47" t="str">
        <f>Chemin_accès!$B$8&amp;Tableau1[[#This Row],[Localisation / Classement]]&amp;"\"&amp;Tableau1[[#This Row],[Poste technique]]&amp;"_"&amp;Tableau1[[#This Row],[Plan Entretien]]&amp;".xlsm"</f>
        <v>\_.xlsm</v>
      </c>
    </row>
    <row r="236" spans="1:30" x14ac:dyDescent="0.3">
      <c r="A236" s="41" t="str">
        <f t="shared" ca="1" si="3"/>
        <v>7.MNRJ</v>
      </c>
      <c r="B2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6" s="43"/>
      <c r="D236" s="41"/>
      <c r="E236" s="41"/>
      <c r="F236" s="44"/>
      <c r="G236" s="44"/>
      <c r="H236" s="48"/>
      <c r="I236" s="64"/>
      <c r="J236" s="48"/>
      <c r="K236" s="48"/>
      <c r="L236" s="43"/>
      <c r="M236" s="44"/>
      <c r="N236" s="43"/>
      <c r="O236" s="43"/>
      <c r="P236" s="44"/>
      <c r="Q236" s="43"/>
      <c r="R236" s="43"/>
      <c r="S236" s="45"/>
      <c r="T236" s="58" t="str">
        <f>IF(Tableau1[[#This Row],[DMS_SAP]]="","",HYPERLINK(Tableau1[[#This Row],[Chemin fichier source]],"X"))</f>
        <v/>
      </c>
      <c r="U236" s="58" t="str">
        <f>IF(Tableau1[[#This Row],[Date rév.]]="","",HYPERLINK(Tableau1[[#This Row],[Lien document]],"X"))</f>
        <v/>
      </c>
      <c r="V236" s="44"/>
      <c r="W236" s="46" t="str">
        <f ca="1">Chemin_accès!$B$2&amp;Tableau1[[#This Row],[Poste Responsable]]&amp;"\"&amp;Tableau1[[#This Row],[Localisation / Classement]]&amp;"\"&amp;Tableau1[[#This Row],[Poste technique]]&amp;"_"&amp;Tableau1[[#This Row],[Plan Entretien]]&amp;".pdf"</f>
        <v>\\stjn.local\trimet\Donnees_Projets\Dms Sap\Maintenance\PlanEntretien\7.MNRJ\\_.pdf</v>
      </c>
      <c r="X236" s="44"/>
      <c r="Y236" s="44"/>
      <c r="Z236" s="41" t="str">
        <f ca="1">IF(AND(Tableau1[[#This Row],[Charge]]&lt;&gt;0, Tableau1[[#This Row],[Nombre intervenants]]&lt;&gt;0,Tableau1[[#This Row],[Lien document]]&lt;&gt;0,Tableau1[[#This Row],[DMS_SAP]]&lt;&gt;0)=TRUE,"MIS A JOUR","")</f>
        <v/>
      </c>
      <c r="AA236" s="45"/>
      <c r="AB236" s="55" t="str">
        <f ca="1">IF(Tableau1[[#This Row],[Date rév.]]&lt;&gt;"", DAYS360(Tableau1[[#This Row],[Date rév.]],TODAY()),"")</f>
        <v/>
      </c>
      <c r="AC236" s="47">
        <f>IFERROR(INDEX(Chemin_accès!$B$11:$C$22,MATCH(Tableau1[[#This Row],[Type]],Chemin_accès!$C$11:$C$22,0),1),Chemin_accès!$B$11)</f>
        <v>0</v>
      </c>
      <c r="AD236" s="47" t="str">
        <f>Chemin_accès!$B$8&amp;Tableau1[[#This Row],[Localisation / Classement]]&amp;"\"&amp;Tableau1[[#This Row],[Poste technique]]&amp;"_"&amp;Tableau1[[#This Row],[Plan Entretien]]&amp;".xlsm"</f>
        <v>\_.xlsm</v>
      </c>
    </row>
    <row r="237" spans="1:30" x14ac:dyDescent="0.3">
      <c r="A237" s="41" t="str">
        <f t="shared" ca="1" si="3"/>
        <v>7.MNRJ</v>
      </c>
      <c r="B2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7" s="43"/>
      <c r="D237" s="41"/>
      <c r="E237" s="41"/>
      <c r="F237" s="44"/>
      <c r="G237" s="44"/>
      <c r="H237" s="48"/>
      <c r="I237" s="64"/>
      <c r="J237" s="48"/>
      <c r="K237" s="48"/>
      <c r="L237" s="43"/>
      <c r="M237" s="44"/>
      <c r="N237" s="43"/>
      <c r="O237" s="43"/>
      <c r="P237" s="44"/>
      <c r="Q237" s="43"/>
      <c r="R237" s="43"/>
      <c r="S237" s="45"/>
      <c r="T237" s="58" t="str">
        <f>IF(Tableau1[[#This Row],[DMS_SAP]]="","",HYPERLINK(Tableau1[[#This Row],[Chemin fichier source]],"X"))</f>
        <v/>
      </c>
      <c r="U237" s="58" t="str">
        <f>IF(Tableau1[[#This Row],[Date rév.]]="","",HYPERLINK(Tableau1[[#This Row],[Lien document]],"X"))</f>
        <v/>
      </c>
      <c r="V237" s="44"/>
      <c r="W237" s="46" t="str">
        <f ca="1">Chemin_accès!$B$2&amp;Tableau1[[#This Row],[Poste Responsable]]&amp;"\"&amp;Tableau1[[#This Row],[Localisation / Classement]]&amp;"\"&amp;Tableau1[[#This Row],[Poste technique]]&amp;"_"&amp;Tableau1[[#This Row],[Plan Entretien]]&amp;".pdf"</f>
        <v>\\stjn.local\trimet\Donnees_Projets\Dms Sap\Maintenance\PlanEntretien\7.MNRJ\\_.pdf</v>
      </c>
      <c r="X237" s="44"/>
      <c r="Y237" s="44"/>
      <c r="Z237" s="41" t="str">
        <f ca="1">IF(AND(Tableau1[[#This Row],[Charge]]&lt;&gt;0, Tableau1[[#This Row],[Nombre intervenants]]&lt;&gt;0,Tableau1[[#This Row],[Lien document]]&lt;&gt;0,Tableau1[[#This Row],[DMS_SAP]]&lt;&gt;0)=TRUE,"MIS A JOUR","")</f>
        <v/>
      </c>
      <c r="AA237" s="45"/>
      <c r="AB237" s="55" t="str">
        <f ca="1">IF(Tableau1[[#This Row],[Date rév.]]&lt;&gt;"", DAYS360(Tableau1[[#This Row],[Date rév.]],TODAY()),"")</f>
        <v/>
      </c>
      <c r="AC237" s="47">
        <f>IFERROR(INDEX(Chemin_accès!$B$11:$C$22,MATCH(Tableau1[[#This Row],[Type]],Chemin_accès!$C$11:$C$22,0),1),Chemin_accès!$B$11)</f>
        <v>0</v>
      </c>
      <c r="AD237" s="47" t="str">
        <f>Chemin_accès!$B$8&amp;Tableau1[[#This Row],[Localisation / Classement]]&amp;"\"&amp;Tableau1[[#This Row],[Poste technique]]&amp;"_"&amp;Tableau1[[#This Row],[Plan Entretien]]&amp;".xlsm"</f>
        <v>\_.xlsm</v>
      </c>
    </row>
    <row r="238" spans="1:30" x14ac:dyDescent="0.3">
      <c r="A238" s="41" t="str">
        <f t="shared" ca="1" si="3"/>
        <v>7.MNRJ</v>
      </c>
      <c r="B2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8" s="43"/>
      <c r="D238" s="41"/>
      <c r="E238" s="41"/>
      <c r="F238" s="44"/>
      <c r="G238" s="44"/>
      <c r="H238" s="48"/>
      <c r="I238" s="64"/>
      <c r="J238" s="48"/>
      <c r="K238" s="48"/>
      <c r="L238" s="43"/>
      <c r="M238" s="44"/>
      <c r="N238" s="43"/>
      <c r="O238" s="43"/>
      <c r="P238" s="44"/>
      <c r="Q238" s="43"/>
      <c r="R238" s="43"/>
      <c r="S238" s="45"/>
      <c r="T238" s="58" t="str">
        <f>IF(Tableau1[[#This Row],[DMS_SAP]]="","",HYPERLINK(Tableau1[[#This Row],[Chemin fichier source]],"X"))</f>
        <v/>
      </c>
      <c r="U238" s="58" t="str">
        <f>IF(Tableau1[[#This Row],[Date rév.]]="","",HYPERLINK(Tableau1[[#This Row],[Lien document]],"X"))</f>
        <v/>
      </c>
      <c r="V238" s="44"/>
      <c r="W238" s="46" t="str">
        <f ca="1">Chemin_accès!$B$2&amp;Tableau1[[#This Row],[Poste Responsable]]&amp;"\"&amp;Tableau1[[#This Row],[Localisation / Classement]]&amp;"\"&amp;Tableau1[[#This Row],[Poste technique]]&amp;"_"&amp;Tableau1[[#This Row],[Plan Entretien]]&amp;".pdf"</f>
        <v>\\stjn.local\trimet\Donnees_Projets\Dms Sap\Maintenance\PlanEntretien\7.MNRJ\\_.pdf</v>
      </c>
      <c r="X238" s="44"/>
      <c r="Y238" s="44"/>
      <c r="Z238" s="41" t="str">
        <f ca="1">IF(AND(Tableau1[[#This Row],[Charge]]&lt;&gt;0, Tableau1[[#This Row],[Nombre intervenants]]&lt;&gt;0,Tableau1[[#This Row],[Lien document]]&lt;&gt;0,Tableau1[[#This Row],[DMS_SAP]]&lt;&gt;0)=TRUE,"MIS A JOUR","")</f>
        <v/>
      </c>
      <c r="AA238" s="45"/>
      <c r="AB238" s="55" t="str">
        <f ca="1">IF(Tableau1[[#This Row],[Date rév.]]&lt;&gt;"", DAYS360(Tableau1[[#This Row],[Date rév.]],TODAY()),"")</f>
        <v/>
      </c>
      <c r="AC238" s="47">
        <f>IFERROR(INDEX(Chemin_accès!$B$11:$C$22,MATCH(Tableau1[[#This Row],[Type]],Chemin_accès!$C$11:$C$22,0),1),Chemin_accès!$B$11)</f>
        <v>0</v>
      </c>
      <c r="AD238" s="47" t="str">
        <f>Chemin_accès!$B$8&amp;Tableau1[[#This Row],[Localisation / Classement]]&amp;"\"&amp;Tableau1[[#This Row],[Poste technique]]&amp;"_"&amp;Tableau1[[#This Row],[Plan Entretien]]&amp;".xlsm"</f>
        <v>\_.xlsm</v>
      </c>
    </row>
    <row r="239" spans="1:30" x14ac:dyDescent="0.3">
      <c r="A239" s="41" t="str">
        <f t="shared" ca="1" si="3"/>
        <v>7.MNRJ</v>
      </c>
      <c r="B2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9" s="43"/>
      <c r="D239" s="41"/>
      <c r="E239" s="41"/>
      <c r="F239" s="44"/>
      <c r="G239" s="44"/>
      <c r="H239" s="48"/>
      <c r="I239" s="64"/>
      <c r="J239" s="48"/>
      <c r="K239" s="48"/>
      <c r="L239" s="43"/>
      <c r="M239" s="44"/>
      <c r="N239" s="43"/>
      <c r="O239" s="43"/>
      <c r="P239" s="44"/>
      <c r="Q239" s="43"/>
      <c r="R239" s="43"/>
      <c r="S239" s="45"/>
      <c r="T239" s="58" t="str">
        <f>IF(Tableau1[[#This Row],[DMS_SAP]]="","",HYPERLINK(Tableau1[[#This Row],[Chemin fichier source]],"X"))</f>
        <v/>
      </c>
      <c r="U239" s="58" t="str">
        <f>IF(Tableau1[[#This Row],[Date rév.]]="","",HYPERLINK(Tableau1[[#This Row],[Lien document]],"X"))</f>
        <v/>
      </c>
      <c r="V239" s="44"/>
      <c r="W239" s="46" t="str">
        <f ca="1">Chemin_accès!$B$2&amp;Tableau1[[#This Row],[Poste Responsable]]&amp;"\"&amp;Tableau1[[#This Row],[Localisation / Classement]]&amp;"\"&amp;Tableau1[[#This Row],[Poste technique]]&amp;"_"&amp;Tableau1[[#This Row],[Plan Entretien]]&amp;".pdf"</f>
        <v>\\stjn.local\trimet\Donnees_Projets\Dms Sap\Maintenance\PlanEntretien\7.MNRJ\\_.pdf</v>
      </c>
      <c r="X239" s="44"/>
      <c r="Y239" s="44"/>
      <c r="Z239" s="41" t="str">
        <f ca="1">IF(AND(Tableau1[[#This Row],[Charge]]&lt;&gt;0, Tableau1[[#This Row],[Nombre intervenants]]&lt;&gt;0,Tableau1[[#This Row],[Lien document]]&lt;&gt;0,Tableau1[[#This Row],[DMS_SAP]]&lt;&gt;0)=TRUE,"MIS A JOUR","")</f>
        <v/>
      </c>
      <c r="AA239" s="45"/>
      <c r="AB239" s="55" t="str">
        <f ca="1">IF(Tableau1[[#This Row],[Date rév.]]&lt;&gt;"", DAYS360(Tableau1[[#This Row],[Date rév.]],TODAY()),"")</f>
        <v/>
      </c>
      <c r="AC239" s="47">
        <f>IFERROR(INDEX(Chemin_accès!$B$11:$C$22,MATCH(Tableau1[[#This Row],[Type]],Chemin_accès!$C$11:$C$22,0),1),Chemin_accès!$B$11)</f>
        <v>0</v>
      </c>
      <c r="AD239" s="47" t="str">
        <f>Chemin_accès!$B$8&amp;Tableau1[[#This Row],[Localisation / Classement]]&amp;"\"&amp;Tableau1[[#This Row],[Poste technique]]&amp;"_"&amp;Tableau1[[#This Row],[Plan Entretien]]&amp;".xlsm"</f>
        <v>\_.xlsm</v>
      </c>
    </row>
    <row r="240" spans="1:30" x14ac:dyDescent="0.3">
      <c r="A240" s="41" t="str">
        <f t="shared" ca="1" si="3"/>
        <v>7.MNRJ</v>
      </c>
      <c r="B2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0" s="43"/>
      <c r="D240" s="41"/>
      <c r="E240" s="41"/>
      <c r="F240" s="44"/>
      <c r="G240" s="44"/>
      <c r="H240" s="48"/>
      <c r="I240" s="64"/>
      <c r="J240" s="48"/>
      <c r="K240" s="48"/>
      <c r="L240" s="43"/>
      <c r="M240" s="44"/>
      <c r="N240" s="43"/>
      <c r="O240" s="43"/>
      <c r="P240" s="44"/>
      <c r="Q240" s="43"/>
      <c r="R240" s="43"/>
      <c r="S240" s="45"/>
      <c r="T240" s="58" t="str">
        <f>IF(Tableau1[[#This Row],[DMS_SAP]]="","",HYPERLINK(Tableau1[[#This Row],[Chemin fichier source]],"X"))</f>
        <v/>
      </c>
      <c r="U240" s="58" t="str">
        <f>IF(Tableau1[[#This Row],[Date rév.]]="","",HYPERLINK(Tableau1[[#This Row],[Lien document]],"X"))</f>
        <v/>
      </c>
      <c r="V240" s="44"/>
      <c r="W240" s="46" t="str">
        <f ca="1">Chemin_accès!$B$2&amp;Tableau1[[#This Row],[Poste Responsable]]&amp;"\"&amp;Tableau1[[#This Row],[Localisation / Classement]]&amp;"\"&amp;Tableau1[[#This Row],[Poste technique]]&amp;"_"&amp;Tableau1[[#This Row],[Plan Entretien]]&amp;".pdf"</f>
        <v>\\stjn.local\trimet\Donnees_Projets\Dms Sap\Maintenance\PlanEntretien\7.MNRJ\\_.pdf</v>
      </c>
      <c r="X240" s="44"/>
      <c r="Y240" s="44"/>
      <c r="Z240" s="41" t="str">
        <f ca="1">IF(AND(Tableau1[[#This Row],[Charge]]&lt;&gt;0, Tableau1[[#This Row],[Nombre intervenants]]&lt;&gt;0,Tableau1[[#This Row],[Lien document]]&lt;&gt;0,Tableau1[[#This Row],[DMS_SAP]]&lt;&gt;0)=TRUE,"MIS A JOUR","")</f>
        <v/>
      </c>
      <c r="AA240" s="45"/>
      <c r="AB240" s="55" t="str">
        <f ca="1">IF(Tableau1[[#This Row],[Date rév.]]&lt;&gt;"", DAYS360(Tableau1[[#This Row],[Date rév.]],TODAY()),"")</f>
        <v/>
      </c>
      <c r="AC240" s="47">
        <f>IFERROR(INDEX(Chemin_accès!$B$11:$C$22,MATCH(Tableau1[[#This Row],[Type]],Chemin_accès!$C$11:$C$22,0),1),Chemin_accès!$B$11)</f>
        <v>0</v>
      </c>
      <c r="AD240" s="47" t="str">
        <f>Chemin_accès!$B$8&amp;Tableau1[[#This Row],[Localisation / Classement]]&amp;"\"&amp;Tableau1[[#This Row],[Poste technique]]&amp;"_"&amp;Tableau1[[#This Row],[Plan Entretien]]&amp;".xlsm"</f>
        <v>\_.xlsm</v>
      </c>
    </row>
    <row r="241" spans="1:30" x14ac:dyDescent="0.3">
      <c r="A241" s="41" t="str">
        <f t="shared" ca="1" si="3"/>
        <v>7.MNRJ</v>
      </c>
      <c r="B2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1" s="43"/>
      <c r="D241" s="41"/>
      <c r="E241" s="41"/>
      <c r="F241" s="44"/>
      <c r="G241" s="44"/>
      <c r="H241" s="48"/>
      <c r="I241" s="64"/>
      <c r="J241" s="48"/>
      <c r="K241" s="48"/>
      <c r="L241" s="43"/>
      <c r="M241" s="44"/>
      <c r="N241" s="43"/>
      <c r="O241" s="43"/>
      <c r="P241" s="44"/>
      <c r="Q241" s="43"/>
      <c r="R241" s="43"/>
      <c r="S241" s="45"/>
      <c r="T241" s="58" t="str">
        <f>IF(Tableau1[[#This Row],[DMS_SAP]]="","",HYPERLINK(Tableau1[[#This Row],[Chemin fichier source]],"X"))</f>
        <v/>
      </c>
      <c r="U241" s="58" t="str">
        <f>IF(Tableau1[[#This Row],[Date rév.]]="","",HYPERLINK(Tableau1[[#This Row],[Lien document]],"X"))</f>
        <v/>
      </c>
      <c r="V241" s="44"/>
      <c r="W241" s="46" t="str">
        <f ca="1">Chemin_accès!$B$2&amp;Tableau1[[#This Row],[Poste Responsable]]&amp;"\"&amp;Tableau1[[#This Row],[Localisation / Classement]]&amp;"\"&amp;Tableau1[[#This Row],[Poste technique]]&amp;"_"&amp;Tableau1[[#This Row],[Plan Entretien]]&amp;".pdf"</f>
        <v>\\stjn.local\trimet\Donnees_Projets\Dms Sap\Maintenance\PlanEntretien\7.MNRJ\\_.pdf</v>
      </c>
      <c r="X241" s="44"/>
      <c r="Y241" s="44"/>
      <c r="Z241" s="41" t="str">
        <f ca="1">IF(AND(Tableau1[[#This Row],[Charge]]&lt;&gt;0, Tableau1[[#This Row],[Nombre intervenants]]&lt;&gt;0,Tableau1[[#This Row],[Lien document]]&lt;&gt;0,Tableau1[[#This Row],[DMS_SAP]]&lt;&gt;0)=TRUE,"MIS A JOUR","")</f>
        <v/>
      </c>
      <c r="AA241" s="45"/>
      <c r="AB241" s="55" t="str">
        <f ca="1">IF(Tableau1[[#This Row],[Date rév.]]&lt;&gt;"", DAYS360(Tableau1[[#This Row],[Date rév.]],TODAY()),"")</f>
        <v/>
      </c>
      <c r="AC241" s="47">
        <f>IFERROR(INDEX(Chemin_accès!$B$11:$C$22,MATCH(Tableau1[[#This Row],[Type]],Chemin_accès!$C$11:$C$22,0),1),Chemin_accès!$B$11)</f>
        <v>0</v>
      </c>
      <c r="AD241" s="47" t="str">
        <f>Chemin_accès!$B$8&amp;Tableau1[[#This Row],[Localisation / Classement]]&amp;"\"&amp;Tableau1[[#This Row],[Poste technique]]&amp;"_"&amp;Tableau1[[#This Row],[Plan Entretien]]&amp;".xlsm"</f>
        <v>\_.xlsm</v>
      </c>
    </row>
    <row r="242" spans="1:30" x14ac:dyDescent="0.3">
      <c r="A242" s="41" t="str">
        <f t="shared" ca="1" si="3"/>
        <v>7.MNRJ</v>
      </c>
      <c r="B2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2" s="43"/>
      <c r="D242" s="41"/>
      <c r="E242" s="41"/>
      <c r="F242" s="44"/>
      <c r="G242" s="44"/>
      <c r="H242" s="48"/>
      <c r="I242" s="64"/>
      <c r="J242" s="48"/>
      <c r="K242" s="48"/>
      <c r="L242" s="43"/>
      <c r="M242" s="44"/>
      <c r="N242" s="43"/>
      <c r="O242" s="43"/>
      <c r="P242" s="44"/>
      <c r="Q242" s="43"/>
      <c r="R242" s="43"/>
      <c r="S242" s="45"/>
      <c r="T242" s="58" t="str">
        <f>IF(Tableau1[[#This Row],[DMS_SAP]]="","",HYPERLINK(Tableau1[[#This Row],[Chemin fichier source]],"X"))</f>
        <v/>
      </c>
      <c r="U242" s="58" t="str">
        <f>IF(Tableau1[[#This Row],[Date rév.]]="","",HYPERLINK(Tableau1[[#This Row],[Lien document]],"X"))</f>
        <v/>
      </c>
      <c r="V242" s="44"/>
      <c r="W242" s="46" t="str">
        <f ca="1">Chemin_accès!$B$2&amp;Tableau1[[#This Row],[Poste Responsable]]&amp;"\"&amp;Tableau1[[#This Row],[Localisation / Classement]]&amp;"\"&amp;Tableau1[[#This Row],[Poste technique]]&amp;"_"&amp;Tableau1[[#This Row],[Plan Entretien]]&amp;".pdf"</f>
        <v>\\stjn.local\trimet\Donnees_Projets\Dms Sap\Maintenance\PlanEntretien\7.MNRJ\\_.pdf</v>
      </c>
      <c r="X242" s="44"/>
      <c r="Y242" s="44"/>
      <c r="Z242" s="41" t="str">
        <f ca="1">IF(AND(Tableau1[[#This Row],[Charge]]&lt;&gt;0, Tableau1[[#This Row],[Nombre intervenants]]&lt;&gt;0,Tableau1[[#This Row],[Lien document]]&lt;&gt;0,Tableau1[[#This Row],[DMS_SAP]]&lt;&gt;0)=TRUE,"MIS A JOUR","")</f>
        <v/>
      </c>
      <c r="AA242" s="45"/>
      <c r="AB242" s="55" t="str">
        <f ca="1">IF(Tableau1[[#This Row],[Date rév.]]&lt;&gt;"", DAYS360(Tableau1[[#This Row],[Date rév.]],TODAY()),"")</f>
        <v/>
      </c>
      <c r="AC242" s="47">
        <f>IFERROR(INDEX(Chemin_accès!$B$11:$C$22,MATCH(Tableau1[[#This Row],[Type]],Chemin_accès!$C$11:$C$22,0),1),Chemin_accès!$B$11)</f>
        <v>0</v>
      </c>
      <c r="AD242" s="47" t="str">
        <f>Chemin_accès!$B$8&amp;Tableau1[[#This Row],[Localisation / Classement]]&amp;"\"&amp;Tableau1[[#This Row],[Poste technique]]&amp;"_"&amp;Tableau1[[#This Row],[Plan Entretien]]&amp;".xlsm"</f>
        <v>\_.xlsm</v>
      </c>
    </row>
    <row r="243" spans="1:30" x14ac:dyDescent="0.3">
      <c r="A243" s="41" t="str">
        <f t="shared" ca="1" si="3"/>
        <v>7.MNRJ</v>
      </c>
      <c r="B2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3" s="43"/>
      <c r="D243" s="41"/>
      <c r="E243" s="41"/>
      <c r="F243" s="44"/>
      <c r="G243" s="44"/>
      <c r="H243" s="48"/>
      <c r="I243" s="64"/>
      <c r="J243" s="48"/>
      <c r="K243" s="48"/>
      <c r="L243" s="43"/>
      <c r="M243" s="44"/>
      <c r="N243" s="43"/>
      <c r="O243" s="43"/>
      <c r="P243" s="44"/>
      <c r="Q243" s="43"/>
      <c r="R243" s="43"/>
      <c r="S243" s="45"/>
      <c r="T243" s="58" t="str">
        <f>IF(Tableau1[[#This Row],[DMS_SAP]]="","",HYPERLINK(Tableau1[[#This Row],[Chemin fichier source]],"X"))</f>
        <v/>
      </c>
      <c r="U243" s="58" t="str">
        <f>IF(Tableau1[[#This Row],[Date rév.]]="","",HYPERLINK(Tableau1[[#This Row],[Lien document]],"X"))</f>
        <v/>
      </c>
      <c r="V243" s="44"/>
      <c r="W243" s="46" t="str">
        <f ca="1">Chemin_accès!$B$2&amp;Tableau1[[#This Row],[Poste Responsable]]&amp;"\"&amp;Tableau1[[#This Row],[Localisation / Classement]]&amp;"\"&amp;Tableau1[[#This Row],[Poste technique]]&amp;"_"&amp;Tableau1[[#This Row],[Plan Entretien]]&amp;".pdf"</f>
        <v>\\stjn.local\trimet\Donnees_Projets\Dms Sap\Maintenance\PlanEntretien\7.MNRJ\\_.pdf</v>
      </c>
      <c r="X243" s="44"/>
      <c r="Y243" s="44"/>
      <c r="Z243" s="41" t="str">
        <f ca="1">IF(AND(Tableau1[[#This Row],[Charge]]&lt;&gt;0, Tableau1[[#This Row],[Nombre intervenants]]&lt;&gt;0,Tableau1[[#This Row],[Lien document]]&lt;&gt;0,Tableau1[[#This Row],[DMS_SAP]]&lt;&gt;0)=TRUE,"MIS A JOUR","")</f>
        <v/>
      </c>
      <c r="AA243" s="45"/>
      <c r="AB243" s="55" t="str">
        <f ca="1">IF(Tableau1[[#This Row],[Date rév.]]&lt;&gt;"", DAYS360(Tableau1[[#This Row],[Date rév.]],TODAY()),"")</f>
        <v/>
      </c>
      <c r="AC243" s="47">
        <f>IFERROR(INDEX(Chemin_accès!$B$11:$C$22,MATCH(Tableau1[[#This Row],[Type]],Chemin_accès!$C$11:$C$22,0),1),Chemin_accès!$B$11)</f>
        <v>0</v>
      </c>
      <c r="AD243" s="47" t="str">
        <f>Chemin_accès!$B$8&amp;Tableau1[[#This Row],[Localisation / Classement]]&amp;"\"&amp;Tableau1[[#This Row],[Poste technique]]&amp;"_"&amp;Tableau1[[#This Row],[Plan Entretien]]&amp;".xlsm"</f>
        <v>\_.xlsm</v>
      </c>
    </row>
    <row r="244" spans="1:30" x14ac:dyDescent="0.3">
      <c r="A244" s="41" t="str">
        <f t="shared" ca="1" si="3"/>
        <v>7.MNRJ</v>
      </c>
      <c r="B2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4" s="43"/>
      <c r="D244" s="41"/>
      <c r="E244" s="41"/>
      <c r="F244" s="44"/>
      <c r="G244" s="44"/>
      <c r="H244" s="48"/>
      <c r="I244" s="64"/>
      <c r="J244" s="48"/>
      <c r="K244" s="48"/>
      <c r="L244" s="43"/>
      <c r="M244" s="44"/>
      <c r="N244" s="43"/>
      <c r="O244" s="43"/>
      <c r="P244" s="44"/>
      <c r="Q244" s="43"/>
      <c r="R244" s="43"/>
      <c r="S244" s="45"/>
      <c r="T244" s="58" t="str">
        <f>IF(Tableau1[[#This Row],[DMS_SAP]]="","",HYPERLINK(Tableau1[[#This Row],[Chemin fichier source]],"X"))</f>
        <v/>
      </c>
      <c r="U244" s="58" t="str">
        <f>IF(Tableau1[[#This Row],[Date rév.]]="","",HYPERLINK(Tableau1[[#This Row],[Lien document]],"X"))</f>
        <v/>
      </c>
      <c r="V244" s="44"/>
      <c r="W244" s="46" t="str">
        <f ca="1">Chemin_accès!$B$2&amp;Tableau1[[#This Row],[Poste Responsable]]&amp;"\"&amp;Tableau1[[#This Row],[Localisation / Classement]]&amp;"\"&amp;Tableau1[[#This Row],[Poste technique]]&amp;"_"&amp;Tableau1[[#This Row],[Plan Entretien]]&amp;".pdf"</f>
        <v>\\stjn.local\trimet\Donnees_Projets\Dms Sap\Maintenance\PlanEntretien\7.MNRJ\\_.pdf</v>
      </c>
      <c r="X244" s="44"/>
      <c r="Y244" s="44"/>
      <c r="Z244" s="41" t="str">
        <f ca="1">IF(AND(Tableau1[[#This Row],[Charge]]&lt;&gt;0, Tableau1[[#This Row],[Nombre intervenants]]&lt;&gt;0,Tableau1[[#This Row],[Lien document]]&lt;&gt;0,Tableau1[[#This Row],[DMS_SAP]]&lt;&gt;0)=TRUE,"MIS A JOUR","")</f>
        <v/>
      </c>
      <c r="AA244" s="45"/>
      <c r="AB244" s="55" t="str">
        <f ca="1">IF(Tableau1[[#This Row],[Date rév.]]&lt;&gt;"", DAYS360(Tableau1[[#This Row],[Date rév.]],TODAY()),"")</f>
        <v/>
      </c>
      <c r="AC244" s="47">
        <f>IFERROR(INDEX(Chemin_accès!$B$11:$C$22,MATCH(Tableau1[[#This Row],[Type]],Chemin_accès!$C$11:$C$22,0),1),Chemin_accès!$B$11)</f>
        <v>0</v>
      </c>
      <c r="AD244" s="47" t="str">
        <f>Chemin_accès!$B$8&amp;Tableau1[[#This Row],[Localisation / Classement]]&amp;"\"&amp;Tableau1[[#This Row],[Poste technique]]&amp;"_"&amp;Tableau1[[#This Row],[Plan Entretien]]&amp;".xlsm"</f>
        <v>\_.xlsm</v>
      </c>
    </row>
    <row r="245" spans="1:30" x14ac:dyDescent="0.3">
      <c r="A245" s="41" t="str">
        <f t="shared" ca="1" si="3"/>
        <v>7.MNRJ</v>
      </c>
      <c r="B2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5" s="43"/>
      <c r="D245" s="41"/>
      <c r="E245" s="41"/>
      <c r="F245" s="44"/>
      <c r="G245" s="44"/>
      <c r="H245" s="48"/>
      <c r="I245" s="64"/>
      <c r="J245" s="48"/>
      <c r="K245" s="48"/>
      <c r="L245" s="43"/>
      <c r="M245" s="44"/>
      <c r="N245" s="43"/>
      <c r="O245" s="43"/>
      <c r="P245" s="44"/>
      <c r="Q245" s="43"/>
      <c r="R245" s="43"/>
      <c r="S245" s="45"/>
      <c r="T245" s="58" t="str">
        <f>IF(Tableau1[[#This Row],[DMS_SAP]]="","",HYPERLINK(Tableau1[[#This Row],[Chemin fichier source]],"X"))</f>
        <v/>
      </c>
      <c r="U245" s="58" t="str">
        <f>IF(Tableau1[[#This Row],[Date rév.]]="","",HYPERLINK(Tableau1[[#This Row],[Lien document]],"X"))</f>
        <v/>
      </c>
      <c r="V245" s="44"/>
      <c r="W245" s="46" t="str">
        <f ca="1">Chemin_accès!$B$2&amp;Tableau1[[#This Row],[Poste Responsable]]&amp;"\"&amp;Tableau1[[#This Row],[Localisation / Classement]]&amp;"\"&amp;Tableau1[[#This Row],[Poste technique]]&amp;"_"&amp;Tableau1[[#This Row],[Plan Entretien]]&amp;".pdf"</f>
        <v>\\stjn.local\trimet\Donnees_Projets\Dms Sap\Maintenance\PlanEntretien\7.MNRJ\\_.pdf</v>
      </c>
      <c r="X245" s="44"/>
      <c r="Y245" s="44"/>
      <c r="Z245" s="41" t="str">
        <f ca="1">IF(AND(Tableau1[[#This Row],[Charge]]&lt;&gt;0, Tableau1[[#This Row],[Nombre intervenants]]&lt;&gt;0,Tableau1[[#This Row],[Lien document]]&lt;&gt;0,Tableau1[[#This Row],[DMS_SAP]]&lt;&gt;0)=TRUE,"MIS A JOUR","")</f>
        <v/>
      </c>
      <c r="AA245" s="45"/>
      <c r="AB245" s="55" t="str">
        <f ca="1">IF(Tableau1[[#This Row],[Date rév.]]&lt;&gt;"", DAYS360(Tableau1[[#This Row],[Date rév.]],TODAY()),"")</f>
        <v/>
      </c>
      <c r="AC245" s="47">
        <f>IFERROR(INDEX(Chemin_accès!$B$11:$C$22,MATCH(Tableau1[[#This Row],[Type]],Chemin_accès!$C$11:$C$22,0),1),Chemin_accès!$B$11)</f>
        <v>0</v>
      </c>
      <c r="AD245" s="47" t="str">
        <f>Chemin_accès!$B$8&amp;Tableau1[[#This Row],[Localisation / Classement]]&amp;"\"&amp;Tableau1[[#This Row],[Poste technique]]&amp;"_"&amp;Tableau1[[#This Row],[Plan Entretien]]&amp;".xlsm"</f>
        <v>\_.xlsm</v>
      </c>
    </row>
    <row r="246" spans="1:30" x14ac:dyDescent="0.3">
      <c r="A246" s="41" t="str">
        <f t="shared" ca="1" si="3"/>
        <v>7.MNRJ</v>
      </c>
      <c r="B2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6" s="43"/>
      <c r="D246" s="41"/>
      <c r="E246" s="41"/>
      <c r="F246" s="44"/>
      <c r="G246" s="44"/>
      <c r="H246" s="48"/>
      <c r="I246" s="64"/>
      <c r="J246" s="48"/>
      <c r="K246" s="48"/>
      <c r="L246" s="43"/>
      <c r="M246" s="44"/>
      <c r="N246" s="43"/>
      <c r="O246" s="43"/>
      <c r="P246" s="44"/>
      <c r="Q246" s="43"/>
      <c r="R246" s="43"/>
      <c r="S246" s="45"/>
      <c r="T246" s="58" t="str">
        <f>IF(Tableau1[[#This Row],[DMS_SAP]]="","",HYPERLINK(Tableau1[[#This Row],[Chemin fichier source]],"X"))</f>
        <v/>
      </c>
      <c r="U246" s="58" t="str">
        <f>IF(Tableau1[[#This Row],[Date rév.]]="","",HYPERLINK(Tableau1[[#This Row],[Lien document]],"X"))</f>
        <v/>
      </c>
      <c r="V246" s="44"/>
      <c r="W246" s="46" t="str">
        <f ca="1">Chemin_accès!$B$2&amp;Tableau1[[#This Row],[Poste Responsable]]&amp;"\"&amp;Tableau1[[#This Row],[Localisation / Classement]]&amp;"\"&amp;Tableau1[[#This Row],[Poste technique]]&amp;"_"&amp;Tableau1[[#This Row],[Plan Entretien]]&amp;".pdf"</f>
        <v>\\stjn.local\trimet\Donnees_Projets\Dms Sap\Maintenance\PlanEntretien\7.MNRJ\\_.pdf</v>
      </c>
      <c r="X246" s="44"/>
      <c r="Y246" s="44"/>
      <c r="Z246" s="41" t="str">
        <f ca="1">IF(AND(Tableau1[[#This Row],[Charge]]&lt;&gt;0, Tableau1[[#This Row],[Nombre intervenants]]&lt;&gt;0,Tableau1[[#This Row],[Lien document]]&lt;&gt;0,Tableau1[[#This Row],[DMS_SAP]]&lt;&gt;0)=TRUE,"MIS A JOUR","")</f>
        <v/>
      </c>
      <c r="AA246" s="45"/>
      <c r="AB246" s="55" t="str">
        <f ca="1">IF(Tableau1[[#This Row],[Date rév.]]&lt;&gt;"", DAYS360(Tableau1[[#This Row],[Date rév.]],TODAY()),"")</f>
        <v/>
      </c>
      <c r="AC246" s="47">
        <f>IFERROR(INDEX(Chemin_accès!$B$11:$C$22,MATCH(Tableau1[[#This Row],[Type]],Chemin_accès!$C$11:$C$22,0),1),Chemin_accès!$B$11)</f>
        <v>0</v>
      </c>
      <c r="AD246" s="47" t="str">
        <f>Chemin_accès!$B$8&amp;Tableau1[[#This Row],[Localisation / Classement]]&amp;"\"&amp;Tableau1[[#This Row],[Poste technique]]&amp;"_"&amp;Tableau1[[#This Row],[Plan Entretien]]&amp;".xlsm"</f>
        <v>\_.xlsm</v>
      </c>
    </row>
    <row r="247" spans="1:30" x14ac:dyDescent="0.3">
      <c r="A247" s="41" t="str">
        <f t="shared" ca="1" si="3"/>
        <v>7.MNRJ</v>
      </c>
      <c r="B2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7" s="43"/>
      <c r="D247" s="41"/>
      <c r="E247" s="41"/>
      <c r="F247" s="44"/>
      <c r="G247" s="44"/>
      <c r="H247" s="48"/>
      <c r="I247" s="64"/>
      <c r="J247" s="48"/>
      <c r="K247" s="48"/>
      <c r="L247" s="43"/>
      <c r="M247" s="44"/>
      <c r="N247" s="43"/>
      <c r="O247" s="43"/>
      <c r="P247" s="44"/>
      <c r="Q247" s="43"/>
      <c r="R247" s="43"/>
      <c r="S247" s="45"/>
      <c r="T247" s="58" t="str">
        <f>IF(Tableau1[[#This Row],[DMS_SAP]]="","",HYPERLINK(Tableau1[[#This Row],[Chemin fichier source]],"X"))</f>
        <v/>
      </c>
      <c r="U247" s="58" t="str">
        <f>IF(Tableau1[[#This Row],[Date rév.]]="","",HYPERLINK(Tableau1[[#This Row],[Lien document]],"X"))</f>
        <v/>
      </c>
      <c r="V247" s="44"/>
      <c r="W247" s="46" t="str">
        <f ca="1">Chemin_accès!$B$2&amp;Tableau1[[#This Row],[Poste Responsable]]&amp;"\"&amp;Tableau1[[#This Row],[Localisation / Classement]]&amp;"\"&amp;Tableau1[[#This Row],[Poste technique]]&amp;"_"&amp;Tableau1[[#This Row],[Plan Entretien]]&amp;".pdf"</f>
        <v>\\stjn.local\trimet\Donnees_Projets\Dms Sap\Maintenance\PlanEntretien\7.MNRJ\\_.pdf</v>
      </c>
      <c r="X247" s="44"/>
      <c r="Y247" s="44"/>
      <c r="Z247" s="41" t="str">
        <f ca="1">IF(AND(Tableau1[[#This Row],[Charge]]&lt;&gt;0, Tableau1[[#This Row],[Nombre intervenants]]&lt;&gt;0,Tableau1[[#This Row],[Lien document]]&lt;&gt;0,Tableau1[[#This Row],[DMS_SAP]]&lt;&gt;0)=TRUE,"MIS A JOUR","")</f>
        <v/>
      </c>
      <c r="AA247" s="45"/>
      <c r="AB247" s="55" t="str">
        <f ca="1">IF(Tableau1[[#This Row],[Date rév.]]&lt;&gt;"", DAYS360(Tableau1[[#This Row],[Date rév.]],TODAY()),"")</f>
        <v/>
      </c>
      <c r="AC247" s="47">
        <f>IFERROR(INDEX(Chemin_accès!$B$11:$C$22,MATCH(Tableau1[[#This Row],[Type]],Chemin_accès!$C$11:$C$22,0),1),Chemin_accès!$B$11)</f>
        <v>0</v>
      </c>
      <c r="AD247" s="47" t="str">
        <f>Chemin_accès!$B$8&amp;Tableau1[[#This Row],[Localisation / Classement]]&amp;"\"&amp;Tableau1[[#This Row],[Poste technique]]&amp;"_"&amp;Tableau1[[#This Row],[Plan Entretien]]&amp;".xlsm"</f>
        <v>\_.xlsm</v>
      </c>
    </row>
    <row r="248" spans="1:30" x14ac:dyDescent="0.3">
      <c r="A248" s="41" t="str">
        <f t="shared" ca="1" si="3"/>
        <v>7.MNRJ</v>
      </c>
      <c r="B2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8" s="43"/>
      <c r="D248" s="41"/>
      <c r="E248" s="41"/>
      <c r="F248" s="44"/>
      <c r="G248" s="44"/>
      <c r="H248" s="48"/>
      <c r="I248" s="64"/>
      <c r="J248" s="48"/>
      <c r="K248" s="48"/>
      <c r="L248" s="43"/>
      <c r="M248" s="44"/>
      <c r="N248" s="43"/>
      <c r="O248" s="43"/>
      <c r="P248" s="44"/>
      <c r="Q248" s="43"/>
      <c r="R248" s="43"/>
      <c r="S248" s="45"/>
      <c r="T248" s="58" t="str">
        <f>IF(Tableau1[[#This Row],[DMS_SAP]]="","",HYPERLINK(Tableau1[[#This Row],[Chemin fichier source]],"X"))</f>
        <v/>
      </c>
      <c r="U248" s="58" t="str">
        <f>IF(Tableau1[[#This Row],[Date rév.]]="","",HYPERLINK(Tableau1[[#This Row],[Lien document]],"X"))</f>
        <v/>
      </c>
      <c r="V248" s="44"/>
      <c r="W248" s="46" t="str">
        <f ca="1">Chemin_accès!$B$2&amp;Tableau1[[#This Row],[Poste Responsable]]&amp;"\"&amp;Tableau1[[#This Row],[Localisation / Classement]]&amp;"\"&amp;Tableau1[[#This Row],[Poste technique]]&amp;"_"&amp;Tableau1[[#This Row],[Plan Entretien]]&amp;".pdf"</f>
        <v>\\stjn.local\trimet\Donnees_Projets\Dms Sap\Maintenance\PlanEntretien\7.MNRJ\\_.pdf</v>
      </c>
      <c r="X248" s="44"/>
      <c r="Y248" s="44"/>
      <c r="Z248" s="41" t="str">
        <f ca="1">IF(AND(Tableau1[[#This Row],[Charge]]&lt;&gt;0, Tableau1[[#This Row],[Nombre intervenants]]&lt;&gt;0,Tableau1[[#This Row],[Lien document]]&lt;&gt;0,Tableau1[[#This Row],[DMS_SAP]]&lt;&gt;0)=TRUE,"MIS A JOUR","")</f>
        <v/>
      </c>
      <c r="AA248" s="45"/>
      <c r="AB248" s="55" t="str">
        <f ca="1">IF(Tableau1[[#This Row],[Date rév.]]&lt;&gt;"", DAYS360(Tableau1[[#This Row],[Date rév.]],TODAY()),"")</f>
        <v/>
      </c>
      <c r="AC248" s="47">
        <f>IFERROR(INDEX(Chemin_accès!$B$11:$C$22,MATCH(Tableau1[[#This Row],[Type]],Chemin_accès!$C$11:$C$22,0),1),Chemin_accès!$B$11)</f>
        <v>0</v>
      </c>
      <c r="AD248" s="47" t="str">
        <f>Chemin_accès!$B$8&amp;Tableau1[[#This Row],[Localisation / Classement]]&amp;"\"&amp;Tableau1[[#This Row],[Poste technique]]&amp;"_"&amp;Tableau1[[#This Row],[Plan Entretien]]&amp;".xlsm"</f>
        <v>\_.xlsm</v>
      </c>
    </row>
    <row r="249" spans="1:30" x14ac:dyDescent="0.3">
      <c r="A249" s="41" t="str">
        <f t="shared" ca="1" si="3"/>
        <v>7.MNRJ</v>
      </c>
      <c r="B2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9" s="43"/>
      <c r="D249" s="41"/>
      <c r="E249" s="41"/>
      <c r="F249" s="44"/>
      <c r="G249" s="44"/>
      <c r="H249" s="48"/>
      <c r="I249" s="64"/>
      <c r="J249" s="48"/>
      <c r="K249" s="48"/>
      <c r="L249" s="43"/>
      <c r="M249" s="44"/>
      <c r="N249" s="43"/>
      <c r="O249" s="43"/>
      <c r="P249" s="44"/>
      <c r="Q249" s="43"/>
      <c r="R249" s="43"/>
      <c r="S249" s="45"/>
      <c r="T249" s="58" t="str">
        <f>IF(Tableau1[[#This Row],[DMS_SAP]]="","",HYPERLINK(Tableau1[[#This Row],[Chemin fichier source]],"X"))</f>
        <v/>
      </c>
      <c r="U249" s="58" t="str">
        <f>IF(Tableau1[[#This Row],[Date rév.]]="","",HYPERLINK(Tableau1[[#This Row],[Lien document]],"X"))</f>
        <v/>
      </c>
      <c r="V249" s="44"/>
      <c r="W249" s="46" t="str">
        <f ca="1">Chemin_accès!$B$2&amp;Tableau1[[#This Row],[Poste Responsable]]&amp;"\"&amp;Tableau1[[#This Row],[Localisation / Classement]]&amp;"\"&amp;Tableau1[[#This Row],[Poste technique]]&amp;"_"&amp;Tableau1[[#This Row],[Plan Entretien]]&amp;".pdf"</f>
        <v>\\stjn.local\trimet\Donnees_Projets\Dms Sap\Maintenance\PlanEntretien\7.MNRJ\\_.pdf</v>
      </c>
      <c r="X249" s="44"/>
      <c r="Y249" s="44"/>
      <c r="Z249" s="41" t="str">
        <f ca="1">IF(AND(Tableau1[[#This Row],[Charge]]&lt;&gt;0, Tableau1[[#This Row],[Nombre intervenants]]&lt;&gt;0,Tableau1[[#This Row],[Lien document]]&lt;&gt;0,Tableau1[[#This Row],[DMS_SAP]]&lt;&gt;0)=TRUE,"MIS A JOUR","")</f>
        <v/>
      </c>
      <c r="AA249" s="45"/>
      <c r="AB249" s="55" t="str">
        <f ca="1">IF(Tableau1[[#This Row],[Date rév.]]&lt;&gt;"", DAYS360(Tableau1[[#This Row],[Date rév.]],TODAY()),"")</f>
        <v/>
      </c>
      <c r="AC249" s="47">
        <f>IFERROR(INDEX(Chemin_accès!$B$11:$C$22,MATCH(Tableau1[[#This Row],[Type]],Chemin_accès!$C$11:$C$22,0),1),Chemin_accès!$B$11)</f>
        <v>0</v>
      </c>
      <c r="AD249" s="47" t="str">
        <f>Chemin_accès!$B$8&amp;Tableau1[[#This Row],[Localisation / Classement]]&amp;"\"&amp;Tableau1[[#This Row],[Poste technique]]&amp;"_"&amp;Tableau1[[#This Row],[Plan Entretien]]&amp;".xlsm"</f>
        <v>\_.xlsm</v>
      </c>
    </row>
    <row r="250" spans="1:30" x14ac:dyDescent="0.3">
      <c r="A250" s="41" t="str">
        <f t="shared" ca="1" si="3"/>
        <v>7.MNRJ</v>
      </c>
      <c r="B2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0" s="43"/>
      <c r="D250" s="41"/>
      <c r="E250" s="41"/>
      <c r="F250" s="44"/>
      <c r="G250" s="44"/>
      <c r="H250" s="48"/>
      <c r="I250" s="48"/>
      <c r="J250" s="48"/>
      <c r="K250" s="48"/>
      <c r="L250" s="43"/>
      <c r="M250" s="44"/>
      <c r="N250" s="43"/>
      <c r="O250" s="43"/>
      <c r="P250" s="44"/>
      <c r="Q250" s="43"/>
      <c r="R250" s="43"/>
      <c r="S250" s="45"/>
      <c r="T250" s="58" t="str">
        <f>IF(Tableau1[[#This Row],[DMS_SAP]]="","",HYPERLINK(Tableau1[[#This Row],[Chemin fichier source]],"X"))</f>
        <v/>
      </c>
      <c r="U250" s="58" t="str">
        <f>IF(Tableau1[[#This Row],[Date rév.]]="","",HYPERLINK(Tableau1[[#This Row],[Lien document]],"X"))</f>
        <v/>
      </c>
      <c r="V250" s="44"/>
      <c r="W250" s="46" t="str">
        <f ca="1">Chemin_accès!$B$2&amp;Tableau1[[#This Row],[Poste Responsable]]&amp;"\"&amp;Tableau1[[#This Row],[Localisation / Classement]]&amp;"\"&amp;Tableau1[[#This Row],[Poste technique]]&amp;"_"&amp;Tableau1[[#This Row],[Plan Entretien]]&amp;".pdf"</f>
        <v>\\stjn.local\trimet\Donnees_Projets\Dms Sap\Maintenance\PlanEntretien\7.MNRJ\\_.pdf</v>
      </c>
      <c r="X250" s="44"/>
      <c r="Y250" s="44"/>
      <c r="Z250" s="41" t="str">
        <f ca="1">IF(AND(Tableau1[[#This Row],[Charge]]&lt;&gt;0, Tableau1[[#This Row],[Nombre intervenants]]&lt;&gt;0,Tableau1[[#This Row],[Lien document]]&lt;&gt;0,Tableau1[[#This Row],[DMS_SAP]]&lt;&gt;0)=TRUE,"MIS A JOUR","")</f>
        <v/>
      </c>
      <c r="AA250" s="45"/>
      <c r="AB250" s="55" t="str">
        <f ca="1">IF(Tableau1[[#This Row],[Date rév.]]&lt;&gt;"", DAYS360(Tableau1[[#This Row],[Date rév.]],TODAY()),"")</f>
        <v/>
      </c>
      <c r="AC250" s="47">
        <f>IFERROR(INDEX(Chemin_accès!$B$11:$C$22,MATCH(Tableau1[[#This Row],[Type]],Chemin_accès!$C$11:$C$22,0),1),Chemin_accès!$B$11)</f>
        <v>0</v>
      </c>
      <c r="AD250" s="47" t="str">
        <f>Chemin_accès!$B$8&amp;Tableau1[[#This Row],[Localisation / Classement]]&amp;"\"&amp;Tableau1[[#This Row],[Poste technique]]&amp;"_"&amp;Tableau1[[#This Row],[Plan Entretien]]&amp;".xlsm"</f>
        <v>\_.xlsm</v>
      </c>
    </row>
    <row r="251" spans="1:30" x14ac:dyDescent="0.3">
      <c r="A251" s="41" t="str">
        <f t="shared" ca="1" si="3"/>
        <v>7.MNRJ</v>
      </c>
      <c r="B2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1" s="43"/>
      <c r="D251" s="41"/>
      <c r="E251" s="41"/>
      <c r="F251" s="44"/>
      <c r="G251" s="44"/>
      <c r="H251" s="48"/>
      <c r="I251" s="48"/>
      <c r="J251" s="48"/>
      <c r="K251" s="48"/>
      <c r="L251" s="43"/>
      <c r="M251" s="44"/>
      <c r="N251" s="43"/>
      <c r="O251" s="43"/>
      <c r="P251" s="44"/>
      <c r="Q251" s="43"/>
      <c r="R251" s="43"/>
      <c r="S251" s="45"/>
      <c r="T251" s="58" t="str">
        <f>IF(Tableau1[[#This Row],[DMS_SAP]]="","",HYPERLINK(Tableau1[[#This Row],[Chemin fichier source]],"X"))</f>
        <v/>
      </c>
      <c r="U251" s="58" t="str">
        <f>IF(Tableau1[[#This Row],[Date rév.]]="","",HYPERLINK(Tableau1[[#This Row],[Lien document]],"X"))</f>
        <v/>
      </c>
      <c r="V251" s="44"/>
      <c r="W251" s="46" t="str">
        <f ca="1">Chemin_accès!$B$2&amp;Tableau1[[#This Row],[Poste Responsable]]&amp;"\"&amp;Tableau1[[#This Row],[Localisation / Classement]]&amp;"\"&amp;Tableau1[[#This Row],[Poste technique]]&amp;"_"&amp;Tableau1[[#This Row],[Plan Entretien]]&amp;".pdf"</f>
        <v>\\stjn.local\trimet\Donnees_Projets\Dms Sap\Maintenance\PlanEntretien\7.MNRJ\\_.pdf</v>
      </c>
      <c r="X251" s="44"/>
      <c r="Y251" s="44"/>
      <c r="Z251" s="41" t="str">
        <f ca="1">IF(AND(Tableau1[[#This Row],[Charge]]&lt;&gt;0, Tableau1[[#This Row],[Nombre intervenants]]&lt;&gt;0,Tableau1[[#This Row],[Lien document]]&lt;&gt;0,Tableau1[[#This Row],[DMS_SAP]]&lt;&gt;0)=TRUE,"MIS A JOUR","")</f>
        <v/>
      </c>
      <c r="AA251" s="45"/>
      <c r="AB251" s="55" t="str">
        <f ca="1">IF(Tableau1[[#This Row],[Date rév.]]&lt;&gt;"", DAYS360(Tableau1[[#This Row],[Date rév.]],TODAY()),"")</f>
        <v/>
      </c>
      <c r="AC251" s="47">
        <f>IFERROR(INDEX(Chemin_accès!$B$11:$C$22,MATCH(Tableau1[[#This Row],[Type]],Chemin_accès!$C$11:$C$22,0),1),Chemin_accès!$B$11)</f>
        <v>0</v>
      </c>
      <c r="AD251" s="47" t="str">
        <f>Chemin_accès!$B$8&amp;Tableau1[[#This Row],[Localisation / Classement]]&amp;"\"&amp;Tableau1[[#This Row],[Poste technique]]&amp;"_"&amp;Tableau1[[#This Row],[Plan Entretien]]&amp;".xlsm"</f>
        <v>\_.xlsm</v>
      </c>
    </row>
    <row r="252" spans="1:30" x14ac:dyDescent="0.3">
      <c r="A252" s="41" t="str">
        <f t="shared" ca="1" si="3"/>
        <v>7.MNRJ</v>
      </c>
      <c r="B2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2" s="43"/>
      <c r="D252" s="41"/>
      <c r="E252" s="41"/>
      <c r="F252" s="44"/>
      <c r="G252" s="44"/>
      <c r="H252" s="48"/>
      <c r="I252" s="48"/>
      <c r="J252" s="48"/>
      <c r="K252" s="48"/>
      <c r="L252" s="43"/>
      <c r="M252" s="44"/>
      <c r="N252" s="43"/>
      <c r="O252" s="43"/>
      <c r="P252" s="44"/>
      <c r="Q252" s="43"/>
      <c r="R252" s="43"/>
      <c r="S252" s="45"/>
      <c r="T252" s="58" t="str">
        <f>IF(Tableau1[[#This Row],[DMS_SAP]]="","",HYPERLINK(Tableau1[[#This Row],[Chemin fichier source]],"X"))</f>
        <v/>
      </c>
      <c r="U252" s="58" t="str">
        <f>IF(Tableau1[[#This Row],[Date rév.]]="","",HYPERLINK(Tableau1[[#This Row],[Lien document]],"X"))</f>
        <v/>
      </c>
      <c r="V252" s="44"/>
      <c r="W252" s="46" t="str">
        <f ca="1">Chemin_accès!$B$2&amp;Tableau1[[#This Row],[Poste Responsable]]&amp;"\"&amp;Tableau1[[#This Row],[Localisation / Classement]]&amp;"\"&amp;Tableau1[[#This Row],[Poste technique]]&amp;"_"&amp;Tableau1[[#This Row],[Plan Entretien]]&amp;".pdf"</f>
        <v>\\stjn.local\trimet\Donnees_Projets\Dms Sap\Maintenance\PlanEntretien\7.MNRJ\\_.pdf</v>
      </c>
      <c r="X252" s="44"/>
      <c r="Y252" s="44"/>
      <c r="Z252" s="41" t="str">
        <f ca="1">IF(AND(Tableau1[[#This Row],[Charge]]&lt;&gt;0, Tableau1[[#This Row],[Nombre intervenants]]&lt;&gt;0,Tableau1[[#This Row],[Lien document]]&lt;&gt;0,Tableau1[[#This Row],[DMS_SAP]]&lt;&gt;0)=TRUE,"MIS A JOUR","")</f>
        <v/>
      </c>
      <c r="AA252" s="45"/>
      <c r="AB252" s="55" t="str">
        <f ca="1">IF(Tableau1[[#This Row],[Date rév.]]&lt;&gt;"", DAYS360(Tableau1[[#This Row],[Date rév.]],TODAY()),"")</f>
        <v/>
      </c>
      <c r="AC252" s="47">
        <f>IFERROR(INDEX(Chemin_accès!$B$11:$C$22,MATCH(Tableau1[[#This Row],[Type]],Chemin_accès!$C$11:$C$22,0),1),Chemin_accès!$B$11)</f>
        <v>0</v>
      </c>
      <c r="AD252" s="47" t="str">
        <f>Chemin_accès!$B$8&amp;Tableau1[[#This Row],[Localisation / Classement]]&amp;"\"&amp;Tableau1[[#This Row],[Poste technique]]&amp;"_"&amp;Tableau1[[#This Row],[Plan Entretien]]&amp;".xlsm"</f>
        <v>\_.xlsm</v>
      </c>
    </row>
    <row r="253" spans="1:30" x14ac:dyDescent="0.3">
      <c r="A253" s="41" t="str">
        <f t="shared" ca="1" si="3"/>
        <v>7.MNRJ</v>
      </c>
      <c r="B2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3" s="43"/>
      <c r="D253" s="41"/>
      <c r="E253" s="41"/>
      <c r="F253" s="44"/>
      <c r="G253" s="44"/>
      <c r="H253" s="48"/>
      <c r="I253" s="48"/>
      <c r="J253" s="48"/>
      <c r="K253" s="48"/>
      <c r="L253" s="43"/>
      <c r="M253" s="44"/>
      <c r="N253" s="43"/>
      <c r="O253" s="43"/>
      <c r="P253" s="44"/>
      <c r="Q253" s="43"/>
      <c r="R253" s="43"/>
      <c r="S253" s="45"/>
      <c r="T253" s="58" t="str">
        <f>IF(Tableau1[[#This Row],[DMS_SAP]]="","",HYPERLINK(Tableau1[[#This Row],[Chemin fichier source]],"X"))</f>
        <v/>
      </c>
      <c r="U253" s="58" t="str">
        <f>IF(Tableau1[[#This Row],[Date rév.]]="","",HYPERLINK(Tableau1[[#This Row],[Lien document]],"X"))</f>
        <v/>
      </c>
      <c r="V253" s="44"/>
      <c r="W253" s="46" t="str">
        <f ca="1">Chemin_accès!$B$2&amp;Tableau1[[#This Row],[Poste Responsable]]&amp;"\"&amp;Tableau1[[#This Row],[Localisation / Classement]]&amp;"\"&amp;Tableau1[[#This Row],[Poste technique]]&amp;"_"&amp;Tableau1[[#This Row],[Plan Entretien]]&amp;".pdf"</f>
        <v>\\stjn.local\trimet\Donnees_Projets\Dms Sap\Maintenance\PlanEntretien\7.MNRJ\\_.pdf</v>
      </c>
      <c r="X253" s="44"/>
      <c r="Y253" s="44"/>
      <c r="Z253" s="41" t="str">
        <f ca="1">IF(AND(Tableau1[[#This Row],[Charge]]&lt;&gt;0, Tableau1[[#This Row],[Nombre intervenants]]&lt;&gt;0,Tableau1[[#This Row],[Lien document]]&lt;&gt;0,Tableau1[[#This Row],[DMS_SAP]]&lt;&gt;0)=TRUE,"MIS A JOUR","")</f>
        <v/>
      </c>
      <c r="AA253" s="45"/>
      <c r="AB253" s="55" t="str">
        <f ca="1">IF(Tableau1[[#This Row],[Date rév.]]&lt;&gt;"", DAYS360(Tableau1[[#This Row],[Date rév.]],TODAY()),"")</f>
        <v/>
      </c>
      <c r="AC253" s="47">
        <f>IFERROR(INDEX(Chemin_accès!$B$11:$C$22,MATCH(Tableau1[[#This Row],[Type]],Chemin_accès!$C$11:$C$22,0),1),Chemin_accès!$B$11)</f>
        <v>0</v>
      </c>
      <c r="AD253" s="47" t="str">
        <f>Chemin_accès!$B$8&amp;Tableau1[[#This Row],[Localisation / Classement]]&amp;"\"&amp;Tableau1[[#This Row],[Poste technique]]&amp;"_"&amp;Tableau1[[#This Row],[Plan Entretien]]&amp;".xlsm"</f>
        <v>\_.xlsm</v>
      </c>
    </row>
    <row r="254" spans="1:30" x14ac:dyDescent="0.3">
      <c r="A254" s="41" t="str">
        <f t="shared" ca="1" si="3"/>
        <v>7.MNRJ</v>
      </c>
      <c r="B2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4" s="43"/>
      <c r="D254" s="41"/>
      <c r="E254" s="41"/>
      <c r="F254" s="44"/>
      <c r="G254" s="44"/>
      <c r="H254" s="48"/>
      <c r="I254" s="48"/>
      <c r="J254" s="48"/>
      <c r="K254" s="48"/>
      <c r="L254" s="43"/>
      <c r="M254" s="44"/>
      <c r="N254" s="43"/>
      <c r="O254" s="43"/>
      <c r="P254" s="44"/>
      <c r="Q254" s="43"/>
      <c r="R254" s="43"/>
      <c r="S254" s="45"/>
      <c r="T254" s="58" t="str">
        <f>IF(Tableau1[[#This Row],[DMS_SAP]]="","",HYPERLINK(Tableau1[[#This Row],[Chemin fichier source]],"X"))</f>
        <v/>
      </c>
      <c r="U254" s="58" t="str">
        <f>IF(Tableau1[[#This Row],[Date rév.]]="","",HYPERLINK(Tableau1[[#This Row],[Lien document]],"X"))</f>
        <v/>
      </c>
      <c r="V254" s="44"/>
      <c r="W254" s="46" t="str">
        <f ca="1">Chemin_accès!$B$2&amp;Tableau1[[#This Row],[Poste Responsable]]&amp;"\"&amp;Tableau1[[#This Row],[Localisation / Classement]]&amp;"\"&amp;Tableau1[[#This Row],[Poste technique]]&amp;"_"&amp;Tableau1[[#This Row],[Plan Entretien]]&amp;".pdf"</f>
        <v>\\stjn.local\trimet\Donnees_Projets\Dms Sap\Maintenance\PlanEntretien\7.MNRJ\\_.pdf</v>
      </c>
      <c r="X254" s="44"/>
      <c r="Y254" s="44"/>
      <c r="Z254" s="41" t="str">
        <f ca="1">IF(AND(Tableau1[[#This Row],[Charge]]&lt;&gt;0, Tableau1[[#This Row],[Nombre intervenants]]&lt;&gt;0,Tableau1[[#This Row],[Lien document]]&lt;&gt;0,Tableau1[[#This Row],[DMS_SAP]]&lt;&gt;0)=TRUE,"MIS A JOUR","")</f>
        <v/>
      </c>
      <c r="AA254" s="45"/>
      <c r="AB254" s="55" t="str">
        <f ca="1">IF(Tableau1[[#This Row],[Date rév.]]&lt;&gt;"", DAYS360(Tableau1[[#This Row],[Date rév.]],TODAY()),"")</f>
        <v/>
      </c>
      <c r="AC254" s="47">
        <f>IFERROR(INDEX(Chemin_accès!$B$11:$C$22,MATCH(Tableau1[[#This Row],[Type]],Chemin_accès!$C$11:$C$22,0),1),Chemin_accès!$B$11)</f>
        <v>0</v>
      </c>
      <c r="AD254" s="47" t="str">
        <f>Chemin_accès!$B$8&amp;Tableau1[[#This Row],[Localisation / Classement]]&amp;"\"&amp;Tableau1[[#This Row],[Poste technique]]&amp;"_"&amp;Tableau1[[#This Row],[Plan Entretien]]&amp;".xlsm"</f>
        <v>\_.xlsm</v>
      </c>
    </row>
    <row r="255" spans="1:30" x14ac:dyDescent="0.3">
      <c r="A255" s="41" t="str">
        <f t="shared" ca="1" si="3"/>
        <v>7.MNRJ</v>
      </c>
      <c r="B2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5" s="43"/>
      <c r="D255" s="41"/>
      <c r="E255" s="41"/>
      <c r="F255" s="44"/>
      <c r="G255" s="44"/>
      <c r="H255" s="48"/>
      <c r="I255" s="48"/>
      <c r="J255" s="48"/>
      <c r="K255" s="48"/>
      <c r="L255" s="43"/>
      <c r="M255" s="44"/>
      <c r="N255" s="43"/>
      <c r="O255" s="43"/>
      <c r="P255" s="44"/>
      <c r="Q255" s="43"/>
      <c r="R255" s="43"/>
      <c r="S255" s="45"/>
      <c r="T255" s="58" t="str">
        <f>IF(Tableau1[[#This Row],[DMS_SAP]]="","",HYPERLINK(Tableau1[[#This Row],[Chemin fichier source]],"X"))</f>
        <v/>
      </c>
      <c r="U255" s="58" t="str">
        <f>IF(Tableau1[[#This Row],[Date rév.]]="","",HYPERLINK(Tableau1[[#This Row],[Lien document]],"X"))</f>
        <v/>
      </c>
      <c r="V255" s="44"/>
      <c r="W255" s="46" t="str">
        <f ca="1">Chemin_accès!$B$2&amp;Tableau1[[#This Row],[Poste Responsable]]&amp;"\"&amp;Tableau1[[#This Row],[Localisation / Classement]]&amp;"\"&amp;Tableau1[[#This Row],[Poste technique]]&amp;"_"&amp;Tableau1[[#This Row],[Plan Entretien]]&amp;".pdf"</f>
        <v>\\stjn.local\trimet\Donnees_Projets\Dms Sap\Maintenance\PlanEntretien\7.MNRJ\\_.pdf</v>
      </c>
      <c r="X255" s="44"/>
      <c r="Y255" s="44"/>
      <c r="Z255" s="41" t="str">
        <f ca="1">IF(AND(Tableau1[[#This Row],[Charge]]&lt;&gt;0, Tableau1[[#This Row],[Nombre intervenants]]&lt;&gt;0,Tableau1[[#This Row],[Lien document]]&lt;&gt;0,Tableau1[[#This Row],[DMS_SAP]]&lt;&gt;0)=TRUE,"MIS A JOUR","")</f>
        <v/>
      </c>
      <c r="AA255" s="45"/>
      <c r="AB255" s="55" t="str">
        <f ca="1">IF(Tableau1[[#This Row],[Date rév.]]&lt;&gt;"", DAYS360(Tableau1[[#This Row],[Date rév.]],TODAY()),"")</f>
        <v/>
      </c>
      <c r="AC255" s="47">
        <f>IFERROR(INDEX(Chemin_accès!$B$11:$C$22,MATCH(Tableau1[[#This Row],[Type]],Chemin_accès!$C$11:$C$22,0),1),Chemin_accès!$B$11)</f>
        <v>0</v>
      </c>
      <c r="AD255" s="47" t="str">
        <f>Chemin_accès!$B$8&amp;Tableau1[[#This Row],[Localisation / Classement]]&amp;"\"&amp;Tableau1[[#This Row],[Poste technique]]&amp;"_"&amp;Tableau1[[#This Row],[Plan Entretien]]&amp;".xlsm"</f>
        <v>\_.xlsm</v>
      </c>
    </row>
    <row r="256" spans="1:30" x14ac:dyDescent="0.3">
      <c r="A256" s="41" t="str">
        <f t="shared" ca="1" si="3"/>
        <v>7.MNRJ</v>
      </c>
      <c r="B2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6" s="43"/>
      <c r="D256" s="41"/>
      <c r="E256" s="41"/>
      <c r="F256" s="44"/>
      <c r="G256" s="44"/>
      <c r="H256" s="48"/>
      <c r="I256" s="48"/>
      <c r="J256" s="48"/>
      <c r="K256" s="48"/>
      <c r="L256" s="43"/>
      <c r="M256" s="44"/>
      <c r="N256" s="43"/>
      <c r="O256" s="43"/>
      <c r="P256" s="44"/>
      <c r="Q256" s="43"/>
      <c r="R256" s="43"/>
      <c r="S256" s="45"/>
      <c r="T256" s="58" t="str">
        <f>IF(Tableau1[[#This Row],[DMS_SAP]]="","",HYPERLINK(Tableau1[[#This Row],[Chemin fichier source]],"X"))</f>
        <v/>
      </c>
      <c r="U256" s="58" t="str">
        <f>IF(Tableau1[[#This Row],[Date rév.]]="","",HYPERLINK(Tableau1[[#This Row],[Lien document]],"X"))</f>
        <v/>
      </c>
      <c r="V256" s="44"/>
      <c r="W256" s="46" t="str">
        <f ca="1">Chemin_accès!$B$2&amp;Tableau1[[#This Row],[Poste Responsable]]&amp;"\"&amp;Tableau1[[#This Row],[Localisation / Classement]]&amp;"\"&amp;Tableau1[[#This Row],[Poste technique]]&amp;"_"&amp;Tableau1[[#This Row],[Plan Entretien]]&amp;".pdf"</f>
        <v>\\stjn.local\trimet\Donnees_Projets\Dms Sap\Maintenance\PlanEntretien\7.MNRJ\\_.pdf</v>
      </c>
      <c r="X256" s="44"/>
      <c r="Y256" s="44"/>
      <c r="Z256" s="41" t="str">
        <f ca="1">IF(AND(Tableau1[[#This Row],[Charge]]&lt;&gt;0, Tableau1[[#This Row],[Nombre intervenants]]&lt;&gt;0,Tableau1[[#This Row],[Lien document]]&lt;&gt;0,Tableau1[[#This Row],[DMS_SAP]]&lt;&gt;0)=TRUE,"MIS A JOUR","")</f>
        <v/>
      </c>
      <c r="AA256" s="45"/>
      <c r="AB256" s="55" t="str">
        <f ca="1">IF(Tableau1[[#This Row],[Date rév.]]&lt;&gt;"", DAYS360(Tableau1[[#This Row],[Date rév.]],TODAY()),"")</f>
        <v/>
      </c>
      <c r="AC256" s="47">
        <f>IFERROR(INDEX(Chemin_accès!$B$11:$C$22,MATCH(Tableau1[[#This Row],[Type]],Chemin_accès!$C$11:$C$22,0),1),Chemin_accès!$B$11)</f>
        <v>0</v>
      </c>
      <c r="AD256" s="47" t="str">
        <f>Chemin_accès!$B$8&amp;Tableau1[[#This Row],[Localisation / Classement]]&amp;"\"&amp;Tableau1[[#This Row],[Poste technique]]&amp;"_"&amp;Tableau1[[#This Row],[Plan Entretien]]&amp;".xlsm"</f>
        <v>\_.xlsm</v>
      </c>
    </row>
    <row r="257" spans="1:30" x14ac:dyDescent="0.3">
      <c r="A257" s="41" t="str">
        <f t="shared" ca="1" si="3"/>
        <v>7.MNRJ</v>
      </c>
      <c r="B2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7" s="43"/>
      <c r="D257" s="41"/>
      <c r="E257" s="41"/>
      <c r="F257" s="44"/>
      <c r="G257" s="44"/>
      <c r="H257" s="48"/>
      <c r="I257" s="48"/>
      <c r="J257" s="48"/>
      <c r="K257" s="48"/>
      <c r="L257" s="43"/>
      <c r="M257" s="44"/>
      <c r="N257" s="43"/>
      <c r="O257" s="43"/>
      <c r="P257" s="44"/>
      <c r="Q257" s="43"/>
      <c r="R257" s="43"/>
      <c r="S257" s="45"/>
      <c r="T257" s="58" t="str">
        <f>IF(Tableau1[[#This Row],[DMS_SAP]]="","",HYPERLINK(Tableau1[[#This Row],[Chemin fichier source]],"X"))</f>
        <v/>
      </c>
      <c r="U257" s="58" t="str">
        <f>IF(Tableau1[[#This Row],[Date rév.]]="","",HYPERLINK(Tableau1[[#This Row],[Lien document]],"X"))</f>
        <v/>
      </c>
      <c r="V257" s="44"/>
      <c r="W257" s="46" t="str">
        <f ca="1">Chemin_accès!$B$2&amp;Tableau1[[#This Row],[Poste Responsable]]&amp;"\"&amp;Tableau1[[#This Row],[Localisation / Classement]]&amp;"\"&amp;Tableau1[[#This Row],[Poste technique]]&amp;"_"&amp;Tableau1[[#This Row],[Plan Entretien]]&amp;".pdf"</f>
        <v>\\stjn.local\trimet\Donnees_Projets\Dms Sap\Maintenance\PlanEntretien\7.MNRJ\\_.pdf</v>
      </c>
      <c r="X257" s="44"/>
      <c r="Y257" s="44"/>
      <c r="Z257" s="41" t="str">
        <f ca="1">IF(AND(Tableau1[[#This Row],[Charge]]&lt;&gt;0, Tableau1[[#This Row],[Nombre intervenants]]&lt;&gt;0,Tableau1[[#This Row],[Lien document]]&lt;&gt;0,Tableau1[[#This Row],[DMS_SAP]]&lt;&gt;0)=TRUE,"MIS A JOUR","")</f>
        <v/>
      </c>
      <c r="AA257" s="45"/>
      <c r="AB257" s="55" t="str">
        <f ca="1">IF(Tableau1[[#This Row],[Date rév.]]&lt;&gt;"", DAYS360(Tableau1[[#This Row],[Date rév.]],TODAY()),"")</f>
        <v/>
      </c>
      <c r="AC257" s="47">
        <f>IFERROR(INDEX(Chemin_accès!$B$11:$C$22,MATCH(Tableau1[[#This Row],[Type]],Chemin_accès!$C$11:$C$22,0),1),Chemin_accès!$B$11)</f>
        <v>0</v>
      </c>
      <c r="AD257" s="47" t="str">
        <f>Chemin_accès!$B$8&amp;Tableau1[[#This Row],[Localisation / Classement]]&amp;"\"&amp;Tableau1[[#This Row],[Poste technique]]&amp;"_"&amp;Tableau1[[#This Row],[Plan Entretien]]&amp;".xlsm"</f>
        <v>\_.xlsm</v>
      </c>
    </row>
    <row r="258" spans="1:30" x14ac:dyDescent="0.3">
      <c r="A258" s="41" t="str">
        <f t="shared" ca="1" si="3"/>
        <v>7.MNRJ</v>
      </c>
      <c r="B2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8" s="43"/>
      <c r="D258" s="41"/>
      <c r="E258" s="41"/>
      <c r="F258" s="44"/>
      <c r="G258" s="44"/>
      <c r="H258" s="48"/>
      <c r="I258" s="48"/>
      <c r="J258" s="48"/>
      <c r="K258" s="48"/>
      <c r="L258" s="43"/>
      <c r="M258" s="44"/>
      <c r="N258" s="43"/>
      <c r="O258" s="43"/>
      <c r="P258" s="44"/>
      <c r="Q258" s="43"/>
      <c r="R258" s="43"/>
      <c r="S258" s="45"/>
      <c r="T258" s="58" t="str">
        <f>IF(Tableau1[[#This Row],[DMS_SAP]]="","",HYPERLINK(Tableau1[[#This Row],[Chemin fichier source]],"X"))</f>
        <v/>
      </c>
      <c r="U258" s="58" t="str">
        <f>IF(Tableau1[[#This Row],[Date rév.]]="","",HYPERLINK(Tableau1[[#This Row],[Lien document]],"X"))</f>
        <v/>
      </c>
      <c r="V258" s="44"/>
      <c r="W258" s="49" t="str">
        <f ca="1">Chemin_accès!$B$2&amp;Tableau1[[#This Row],[Poste Responsable]]&amp;"\"&amp;Tableau1[[#This Row],[Localisation / Classement]]&amp;"\"&amp;Tableau1[[#This Row],[Poste technique]]&amp;"_"&amp;Tableau1[[#This Row],[Plan Entretien]]&amp;".pdf"</f>
        <v>\\stjn.local\trimet\Donnees_Projets\Dms Sap\Maintenance\PlanEntretien\7.MNRJ\\_.pdf</v>
      </c>
      <c r="X258" s="44"/>
      <c r="Y258" s="44"/>
      <c r="Z258" s="41" t="str">
        <f ca="1">IF(AND(Tableau1[[#This Row],[Charge]]&lt;&gt;0, Tableau1[[#This Row],[Nombre intervenants]]&lt;&gt;0,Tableau1[[#This Row],[Lien document]]&lt;&gt;0,Tableau1[[#This Row],[DMS_SAP]]&lt;&gt;0)=TRUE,"MIS A JOUR","")</f>
        <v/>
      </c>
      <c r="AA258" s="45"/>
      <c r="AB258" s="55" t="str">
        <f ca="1">IF(Tableau1[[#This Row],[Date rév.]]&lt;&gt;"", DAYS360(Tableau1[[#This Row],[Date rév.]],TODAY()),"")</f>
        <v/>
      </c>
      <c r="AC258" s="47">
        <f>IFERROR(INDEX(Chemin_accès!$B$11:$C$22,MATCH(Tableau1[[#This Row],[Type]],Chemin_accès!$C$11:$C$22,0),1),Chemin_accès!$B$11)</f>
        <v>0</v>
      </c>
      <c r="AD258" s="47" t="str">
        <f>Chemin_accès!$B$8&amp;Tableau1[[#This Row],[Localisation / Classement]]&amp;"\"&amp;Tableau1[[#This Row],[Poste technique]]&amp;"_"&amp;Tableau1[[#This Row],[Plan Entretien]]&amp;".xlsm"</f>
        <v>\_.xlsm</v>
      </c>
    </row>
    <row r="259" spans="1:30" x14ac:dyDescent="0.3">
      <c r="A259" s="41" t="str">
        <f t="shared" ref="A259:A322" ca="1" si="4">MID(CELL("filename",$A$1),FIND("]",CELL("filename",$A$1))+1,32)</f>
        <v>7.MNRJ</v>
      </c>
      <c r="B2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9" s="43"/>
      <c r="D259" s="41"/>
      <c r="E259" s="41"/>
      <c r="F259" s="44"/>
      <c r="G259" s="44"/>
      <c r="H259" s="48"/>
      <c r="I259" s="48"/>
      <c r="J259" s="48"/>
      <c r="K259" s="48"/>
      <c r="L259" s="43"/>
      <c r="M259" s="44"/>
      <c r="N259" s="43"/>
      <c r="O259" s="43"/>
      <c r="P259" s="44"/>
      <c r="Q259" s="43"/>
      <c r="R259" s="43"/>
      <c r="S259" s="45"/>
      <c r="T259" s="58" t="str">
        <f>IF(Tableau1[[#This Row],[DMS_SAP]]="","",HYPERLINK(Tableau1[[#This Row],[Chemin fichier source]],"X"))</f>
        <v/>
      </c>
      <c r="U259" s="58" t="str">
        <f>IF(Tableau1[[#This Row],[Date rév.]]="","",HYPERLINK(Tableau1[[#This Row],[Lien document]],"X"))</f>
        <v/>
      </c>
      <c r="V259" s="44"/>
      <c r="W259" s="49" t="str">
        <f ca="1">Chemin_accès!$B$2&amp;Tableau1[[#This Row],[Poste Responsable]]&amp;"\"&amp;Tableau1[[#This Row],[Localisation / Classement]]&amp;"\"&amp;Tableau1[[#This Row],[Poste technique]]&amp;"_"&amp;Tableau1[[#This Row],[Plan Entretien]]&amp;".pdf"</f>
        <v>\\stjn.local\trimet\Donnees_Projets\Dms Sap\Maintenance\PlanEntretien\7.MNRJ\\_.pdf</v>
      </c>
      <c r="X259" s="44"/>
      <c r="Y259" s="44"/>
      <c r="Z259" s="41" t="str">
        <f ca="1">IF(AND(Tableau1[[#This Row],[Charge]]&lt;&gt;0, Tableau1[[#This Row],[Nombre intervenants]]&lt;&gt;0,Tableau1[[#This Row],[Lien document]]&lt;&gt;0,Tableau1[[#This Row],[DMS_SAP]]&lt;&gt;0)=TRUE,"MIS A JOUR","")</f>
        <v/>
      </c>
      <c r="AA259" s="45"/>
      <c r="AB259" s="55" t="str">
        <f ca="1">IF(Tableau1[[#This Row],[Date rév.]]&lt;&gt;"", DAYS360(Tableau1[[#This Row],[Date rév.]],TODAY()),"")</f>
        <v/>
      </c>
      <c r="AC259" s="47">
        <f>IFERROR(INDEX(Chemin_accès!$B$11:$C$22,MATCH(Tableau1[[#This Row],[Type]],Chemin_accès!$C$11:$C$22,0),1),Chemin_accès!$B$11)</f>
        <v>0</v>
      </c>
      <c r="AD259" s="47" t="str">
        <f>Chemin_accès!$B$8&amp;Tableau1[[#This Row],[Localisation / Classement]]&amp;"\"&amp;Tableau1[[#This Row],[Poste technique]]&amp;"_"&amp;Tableau1[[#This Row],[Plan Entretien]]&amp;".xlsm"</f>
        <v>\_.xlsm</v>
      </c>
    </row>
    <row r="260" spans="1:30" x14ac:dyDescent="0.3">
      <c r="A260" s="41" t="str">
        <f t="shared" ca="1" si="4"/>
        <v>7.MNRJ</v>
      </c>
      <c r="B2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0" s="43"/>
      <c r="D260" s="41"/>
      <c r="E260" s="41"/>
      <c r="F260" s="44"/>
      <c r="G260" s="44"/>
      <c r="H260" s="48"/>
      <c r="I260" s="48"/>
      <c r="J260" s="48"/>
      <c r="K260" s="48"/>
      <c r="L260" s="43"/>
      <c r="M260" s="44"/>
      <c r="N260" s="43"/>
      <c r="O260" s="43"/>
      <c r="P260" s="44"/>
      <c r="Q260" s="43"/>
      <c r="R260" s="43"/>
      <c r="S260" s="45"/>
      <c r="T260" s="58" t="str">
        <f>IF(Tableau1[[#This Row],[DMS_SAP]]="","",HYPERLINK(Tableau1[[#This Row],[Chemin fichier source]],"X"))</f>
        <v/>
      </c>
      <c r="U260" s="58" t="str">
        <f>IF(Tableau1[[#This Row],[Date rév.]]="","",HYPERLINK(Tableau1[[#This Row],[Lien document]],"X"))</f>
        <v/>
      </c>
      <c r="V260" s="44"/>
      <c r="W260" s="49" t="str">
        <f ca="1">Chemin_accès!$B$2&amp;Tableau1[[#This Row],[Poste Responsable]]&amp;"\"&amp;Tableau1[[#This Row],[Localisation / Classement]]&amp;"\"&amp;Tableau1[[#This Row],[Poste technique]]&amp;"_"&amp;Tableau1[[#This Row],[Plan Entretien]]&amp;".pdf"</f>
        <v>\\stjn.local\trimet\Donnees_Projets\Dms Sap\Maintenance\PlanEntretien\7.MNRJ\\_.pdf</v>
      </c>
      <c r="X260" s="44"/>
      <c r="Y260" s="44"/>
      <c r="Z260" s="41" t="str">
        <f ca="1">IF(AND(Tableau1[[#This Row],[Charge]]&lt;&gt;0, Tableau1[[#This Row],[Nombre intervenants]]&lt;&gt;0,Tableau1[[#This Row],[Lien document]]&lt;&gt;0,Tableau1[[#This Row],[DMS_SAP]]&lt;&gt;0)=TRUE,"MIS A JOUR","")</f>
        <v/>
      </c>
      <c r="AA260" s="45"/>
      <c r="AB260" s="55" t="str">
        <f ca="1">IF(Tableau1[[#This Row],[Date rév.]]&lt;&gt;"", DAYS360(Tableau1[[#This Row],[Date rév.]],TODAY()),"")</f>
        <v/>
      </c>
      <c r="AC260" s="47">
        <f>IFERROR(INDEX(Chemin_accès!$B$11:$C$22,MATCH(Tableau1[[#This Row],[Type]],Chemin_accès!$C$11:$C$22,0),1),Chemin_accès!$B$11)</f>
        <v>0</v>
      </c>
      <c r="AD260" s="47" t="str">
        <f>Chemin_accès!$B$8&amp;Tableau1[[#This Row],[Localisation / Classement]]&amp;"\"&amp;Tableau1[[#This Row],[Poste technique]]&amp;"_"&amp;Tableau1[[#This Row],[Plan Entretien]]&amp;".xlsm"</f>
        <v>\_.xlsm</v>
      </c>
    </row>
    <row r="261" spans="1:30" x14ac:dyDescent="0.3">
      <c r="A261" s="41" t="str">
        <f t="shared" ca="1" si="4"/>
        <v>7.MNRJ</v>
      </c>
      <c r="B2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1" s="43"/>
      <c r="D261" s="41"/>
      <c r="E261" s="41"/>
      <c r="F261" s="44"/>
      <c r="G261" s="44"/>
      <c r="H261" s="48"/>
      <c r="I261" s="48"/>
      <c r="J261" s="48"/>
      <c r="K261" s="48"/>
      <c r="L261" s="43"/>
      <c r="M261" s="44"/>
      <c r="N261" s="43"/>
      <c r="O261" s="43"/>
      <c r="P261" s="44"/>
      <c r="Q261" s="43"/>
      <c r="R261" s="43"/>
      <c r="S261" s="45"/>
      <c r="T261" s="58" t="str">
        <f>IF(Tableau1[[#This Row],[DMS_SAP]]="","",HYPERLINK(Tableau1[[#This Row],[Chemin fichier source]],"X"))</f>
        <v/>
      </c>
      <c r="U261" s="58" t="str">
        <f>IF(Tableau1[[#This Row],[Date rév.]]="","",HYPERLINK(Tableau1[[#This Row],[Lien document]],"X"))</f>
        <v/>
      </c>
      <c r="V261" s="44"/>
      <c r="W261" s="46" t="str">
        <f ca="1">Chemin_accès!$B$2&amp;Tableau1[[#This Row],[Poste Responsable]]&amp;"\"&amp;Tableau1[[#This Row],[Localisation / Classement]]&amp;"\"&amp;Tableau1[[#This Row],[Poste technique]]&amp;"_"&amp;Tableau1[[#This Row],[Plan Entretien]]&amp;".pdf"</f>
        <v>\\stjn.local\trimet\Donnees_Projets\Dms Sap\Maintenance\PlanEntretien\7.MNRJ\\_.pdf</v>
      </c>
      <c r="X261" s="44"/>
      <c r="Y261" s="44"/>
      <c r="Z261" s="41" t="str">
        <f ca="1">IF(AND(Tableau1[[#This Row],[Charge]]&lt;&gt;0, Tableau1[[#This Row],[Nombre intervenants]]&lt;&gt;0,Tableau1[[#This Row],[Lien document]]&lt;&gt;0,Tableau1[[#This Row],[DMS_SAP]]&lt;&gt;0)=TRUE,"MIS A JOUR","")</f>
        <v/>
      </c>
      <c r="AA261" s="45"/>
      <c r="AB261" s="55" t="str">
        <f ca="1">IF(Tableau1[[#This Row],[Date rév.]]&lt;&gt;"", DAYS360(Tableau1[[#This Row],[Date rév.]],TODAY()),"")</f>
        <v/>
      </c>
      <c r="AC261" s="47">
        <f>IFERROR(INDEX(Chemin_accès!$B$11:$C$22,MATCH(Tableau1[[#This Row],[Type]],Chemin_accès!$C$11:$C$22,0),1),Chemin_accès!$B$11)</f>
        <v>0</v>
      </c>
      <c r="AD261" s="47" t="str">
        <f>Chemin_accès!$B$8&amp;Tableau1[[#This Row],[Localisation / Classement]]&amp;"\"&amp;Tableau1[[#This Row],[Poste technique]]&amp;"_"&amp;Tableau1[[#This Row],[Plan Entretien]]&amp;".xlsm"</f>
        <v>\_.xlsm</v>
      </c>
    </row>
    <row r="262" spans="1:30" x14ac:dyDescent="0.3">
      <c r="A262" s="41" t="str">
        <f t="shared" ca="1" si="4"/>
        <v>7.MNRJ</v>
      </c>
      <c r="B2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2" s="43"/>
      <c r="D262" s="41"/>
      <c r="E262" s="41"/>
      <c r="F262" s="44"/>
      <c r="G262" s="44"/>
      <c r="H262" s="48"/>
      <c r="I262" s="48"/>
      <c r="J262" s="48"/>
      <c r="K262" s="48"/>
      <c r="L262" s="43"/>
      <c r="M262" s="44"/>
      <c r="N262" s="43"/>
      <c r="O262" s="43"/>
      <c r="P262" s="44"/>
      <c r="Q262" s="43"/>
      <c r="R262" s="43"/>
      <c r="S262" s="45"/>
      <c r="T262" s="58" t="str">
        <f>IF(Tableau1[[#This Row],[DMS_SAP]]="","",HYPERLINK(Tableau1[[#This Row],[Chemin fichier source]],"X"))</f>
        <v/>
      </c>
      <c r="U262" s="58" t="str">
        <f>IF(Tableau1[[#This Row],[Date rév.]]="","",HYPERLINK(Tableau1[[#This Row],[Lien document]],"X"))</f>
        <v/>
      </c>
      <c r="V262" s="44"/>
      <c r="W262" s="49" t="str">
        <f ca="1">Chemin_accès!$B$2&amp;Tableau1[[#This Row],[Poste Responsable]]&amp;"\"&amp;Tableau1[[#This Row],[Localisation / Classement]]&amp;"\"&amp;Tableau1[[#This Row],[Poste technique]]&amp;"_"&amp;Tableau1[[#This Row],[Plan Entretien]]&amp;".pdf"</f>
        <v>\\stjn.local\trimet\Donnees_Projets\Dms Sap\Maintenance\PlanEntretien\7.MNRJ\\_.pdf</v>
      </c>
      <c r="X262" s="44"/>
      <c r="Y262" s="44"/>
      <c r="Z262" s="41" t="str">
        <f ca="1">IF(AND(Tableau1[[#This Row],[Charge]]&lt;&gt;0, Tableau1[[#This Row],[Nombre intervenants]]&lt;&gt;0,Tableau1[[#This Row],[Lien document]]&lt;&gt;0,Tableau1[[#This Row],[DMS_SAP]]&lt;&gt;0)=TRUE,"MIS A JOUR","")</f>
        <v/>
      </c>
      <c r="AA262" s="45"/>
      <c r="AB262" s="55" t="str">
        <f ca="1">IF(Tableau1[[#This Row],[Date rév.]]&lt;&gt;"", DAYS360(Tableau1[[#This Row],[Date rév.]],TODAY()),"")</f>
        <v/>
      </c>
      <c r="AC262" s="47">
        <f>IFERROR(INDEX(Chemin_accès!$B$11:$C$22,MATCH(Tableau1[[#This Row],[Type]],Chemin_accès!$C$11:$C$22,0),1),Chemin_accès!$B$11)</f>
        <v>0</v>
      </c>
      <c r="AD262" s="47" t="str">
        <f>Chemin_accès!$B$8&amp;Tableau1[[#This Row],[Localisation / Classement]]&amp;"\"&amp;Tableau1[[#This Row],[Poste technique]]&amp;"_"&amp;Tableau1[[#This Row],[Plan Entretien]]&amp;".xlsm"</f>
        <v>\_.xlsm</v>
      </c>
    </row>
    <row r="263" spans="1:30" x14ac:dyDescent="0.3">
      <c r="A263" s="41" t="str">
        <f t="shared" ca="1" si="4"/>
        <v>7.MNRJ</v>
      </c>
      <c r="B2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3" s="60"/>
      <c r="D263" s="41"/>
      <c r="E263" s="41"/>
      <c r="F263" s="44"/>
      <c r="G263" s="44"/>
      <c r="H263" s="48"/>
      <c r="I263" s="48"/>
      <c r="J263" s="48"/>
      <c r="K263" s="48"/>
      <c r="L263" s="43"/>
      <c r="M263" s="44"/>
      <c r="N263" s="43"/>
      <c r="O263" s="43"/>
      <c r="P263" s="44"/>
      <c r="Q263" s="43"/>
      <c r="R263" s="43"/>
      <c r="S263" s="45"/>
      <c r="T263" s="58" t="str">
        <f>IF(Tableau1[[#This Row],[DMS_SAP]]="","",HYPERLINK(Tableau1[[#This Row],[Chemin fichier source]],"X"))</f>
        <v/>
      </c>
      <c r="U263" s="58" t="str">
        <f>IF(Tableau1[[#This Row],[Date rév.]]="","",HYPERLINK(Tableau1[[#This Row],[Lien document]],"X"))</f>
        <v/>
      </c>
      <c r="V263" s="44"/>
      <c r="W263" s="46" t="str">
        <f ca="1">Chemin_accès!$B$2&amp;Tableau1[[#This Row],[Poste Responsable]]&amp;"\"&amp;Tableau1[[#This Row],[Localisation / Classement]]&amp;"\"&amp;Tableau1[[#This Row],[Poste technique]]&amp;"_"&amp;Tableau1[[#This Row],[Plan Entretien]]&amp;".pdf"</f>
        <v>\\stjn.local\trimet\Donnees_Projets\Dms Sap\Maintenance\PlanEntretien\7.MNRJ\\_.pdf</v>
      </c>
      <c r="X263" s="44"/>
      <c r="Y263" s="44"/>
      <c r="Z263" s="41" t="str">
        <f ca="1">IF(AND(Tableau1[[#This Row],[Charge]]&lt;&gt;0, Tableau1[[#This Row],[Nombre intervenants]]&lt;&gt;0,Tableau1[[#This Row],[Lien document]]&lt;&gt;0,Tableau1[[#This Row],[DMS_SAP]]&lt;&gt;0)=TRUE,"MIS A JOUR","")</f>
        <v/>
      </c>
      <c r="AA263" s="45"/>
      <c r="AB263" s="55" t="str">
        <f ca="1">IF(Tableau1[[#This Row],[Date rév.]]&lt;&gt;"", DAYS360(Tableau1[[#This Row],[Date rév.]],TODAY()),"")</f>
        <v/>
      </c>
      <c r="AC263" s="47">
        <f>IFERROR(INDEX(Chemin_accès!$B$11:$C$22,MATCH(Tableau1[[#This Row],[Type]],Chemin_accès!$C$11:$C$22,0),1),Chemin_accès!$B$11)</f>
        <v>0</v>
      </c>
      <c r="AD263" s="47" t="str">
        <f>Chemin_accès!$B$8&amp;Tableau1[[#This Row],[Localisation / Classement]]&amp;"\"&amp;Tableau1[[#This Row],[Poste technique]]&amp;"_"&amp;Tableau1[[#This Row],[Plan Entretien]]&amp;".xlsm"</f>
        <v>\_.xlsm</v>
      </c>
    </row>
    <row r="264" spans="1:30" x14ac:dyDescent="0.3">
      <c r="A264" s="41" t="str">
        <f t="shared" ca="1" si="4"/>
        <v>7.MNRJ</v>
      </c>
      <c r="B2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4" s="43"/>
      <c r="D264" s="41"/>
      <c r="E264" s="41"/>
      <c r="F264" s="44"/>
      <c r="G264" s="44"/>
      <c r="H264" s="48"/>
      <c r="I264" s="48"/>
      <c r="J264" s="48"/>
      <c r="K264" s="48"/>
      <c r="L264" s="43"/>
      <c r="M264" s="44"/>
      <c r="N264" s="43"/>
      <c r="O264" s="43"/>
      <c r="P264" s="44"/>
      <c r="Q264" s="43"/>
      <c r="R264" s="43"/>
      <c r="S264" s="45"/>
      <c r="T264" s="58" t="str">
        <f>IF(Tableau1[[#This Row],[DMS_SAP]]="","",HYPERLINK(Tableau1[[#This Row],[Chemin fichier source]],"X"))</f>
        <v/>
      </c>
      <c r="U264" s="58" t="str">
        <f>IF(Tableau1[[#This Row],[Date rév.]]="","",HYPERLINK(Tableau1[[#This Row],[Lien document]],"X"))</f>
        <v/>
      </c>
      <c r="V264" s="44"/>
      <c r="W264" s="46" t="str">
        <f ca="1">Chemin_accès!$B$2&amp;Tableau1[[#This Row],[Poste Responsable]]&amp;"\"&amp;Tableau1[[#This Row],[Localisation / Classement]]&amp;"\"&amp;Tableau1[[#This Row],[Poste technique]]&amp;"_"&amp;Tableau1[[#This Row],[Plan Entretien]]&amp;".pdf"</f>
        <v>\\stjn.local\trimet\Donnees_Projets\Dms Sap\Maintenance\PlanEntretien\7.MNRJ\\_.pdf</v>
      </c>
      <c r="X264" s="44"/>
      <c r="Y264" s="44"/>
      <c r="Z264" s="41" t="str">
        <f ca="1">IF(AND(Tableau1[[#This Row],[Charge]]&lt;&gt;0, Tableau1[[#This Row],[Nombre intervenants]]&lt;&gt;0,Tableau1[[#This Row],[Lien document]]&lt;&gt;0,Tableau1[[#This Row],[DMS_SAP]]&lt;&gt;0)=TRUE,"MIS A JOUR","")</f>
        <v/>
      </c>
      <c r="AA264" s="45"/>
      <c r="AB264" s="55" t="str">
        <f ca="1">IF(Tableau1[[#This Row],[Date rév.]]&lt;&gt;"", DAYS360(Tableau1[[#This Row],[Date rév.]],TODAY()),"")</f>
        <v/>
      </c>
      <c r="AC264" s="47">
        <f>IFERROR(INDEX(Chemin_accès!$B$11:$C$22,MATCH(Tableau1[[#This Row],[Type]],Chemin_accès!$C$11:$C$22,0),1),Chemin_accès!$B$11)</f>
        <v>0</v>
      </c>
      <c r="AD264" s="47" t="str">
        <f>Chemin_accès!$B$8&amp;Tableau1[[#This Row],[Localisation / Classement]]&amp;"\"&amp;Tableau1[[#This Row],[Poste technique]]&amp;"_"&amp;Tableau1[[#This Row],[Plan Entretien]]&amp;".xlsm"</f>
        <v>\_.xlsm</v>
      </c>
    </row>
    <row r="265" spans="1:30" x14ac:dyDescent="0.3">
      <c r="A265" s="41" t="str">
        <f t="shared" ca="1" si="4"/>
        <v>7.MNRJ</v>
      </c>
      <c r="B2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5" s="43"/>
      <c r="D265" s="41"/>
      <c r="E265" s="41"/>
      <c r="F265" s="44"/>
      <c r="G265" s="44"/>
      <c r="H265" s="48"/>
      <c r="I265" s="48"/>
      <c r="J265" s="48"/>
      <c r="K265" s="48"/>
      <c r="L265" s="43"/>
      <c r="M265" s="44"/>
      <c r="N265" s="43"/>
      <c r="O265" s="43"/>
      <c r="P265" s="44"/>
      <c r="Q265" s="43"/>
      <c r="R265" s="43"/>
      <c r="S265" s="45"/>
      <c r="T265" s="58" t="str">
        <f>IF(Tableau1[[#This Row],[DMS_SAP]]="","",HYPERLINK(Tableau1[[#This Row],[Chemin fichier source]],"X"))</f>
        <v/>
      </c>
      <c r="U265" s="58" t="str">
        <f>IF(Tableau1[[#This Row],[Date rév.]]="","",HYPERLINK(Tableau1[[#This Row],[Lien document]],"X"))</f>
        <v/>
      </c>
      <c r="V265" s="44"/>
      <c r="W265" s="46" t="str">
        <f ca="1">Chemin_accès!$B$2&amp;Tableau1[[#This Row],[Poste Responsable]]&amp;"\"&amp;Tableau1[[#This Row],[Localisation / Classement]]&amp;"\"&amp;Tableau1[[#This Row],[Poste technique]]&amp;"_"&amp;Tableau1[[#This Row],[Plan Entretien]]&amp;".pdf"</f>
        <v>\\stjn.local\trimet\Donnees_Projets\Dms Sap\Maintenance\PlanEntretien\7.MNRJ\\_.pdf</v>
      </c>
      <c r="X265" s="44"/>
      <c r="Y265" s="44"/>
      <c r="Z265" s="41" t="str">
        <f ca="1">IF(AND(Tableau1[[#This Row],[Charge]]&lt;&gt;0, Tableau1[[#This Row],[Nombre intervenants]]&lt;&gt;0,Tableau1[[#This Row],[Lien document]]&lt;&gt;0,Tableau1[[#This Row],[DMS_SAP]]&lt;&gt;0)=TRUE,"MIS A JOUR","")</f>
        <v/>
      </c>
      <c r="AA265" s="45"/>
      <c r="AB265" s="55" t="str">
        <f ca="1">IF(Tableau1[[#This Row],[Date rév.]]&lt;&gt;"", DAYS360(Tableau1[[#This Row],[Date rév.]],TODAY()),"")</f>
        <v/>
      </c>
      <c r="AC265" s="47">
        <f>IFERROR(INDEX(Chemin_accès!$B$11:$C$22,MATCH(Tableau1[[#This Row],[Type]],Chemin_accès!$C$11:$C$22,0),1),Chemin_accès!$B$11)</f>
        <v>0</v>
      </c>
      <c r="AD265" s="47" t="str">
        <f>Chemin_accès!$B$8&amp;Tableau1[[#This Row],[Localisation / Classement]]&amp;"\"&amp;Tableau1[[#This Row],[Poste technique]]&amp;"_"&amp;Tableau1[[#This Row],[Plan Entretien]]&amp;".xlsm"</f>
        <v>\_.xlsm</v>
      </c>
    </row>
    <row r="266" spans="1:30" x14ac:dyDescent="0.3">
      <c r="A266" s="41" t="str">
        <f t="shared" ca="1" si="4"/>
        <v>7.MNRJ</v>
      </c>
      <c r="B2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6" s="43"/>
      <c r="D266" s="41"/>
      <c r="E266" s="41"/>
      <c r="F266" s="44"/>
      <c r="G266" s="44"/>
      <c r="H266" s="48"/>
      <c r="I266" s="48"/>
      <c r="J266" s="48"/>
      <c r="K266" s="48"/>
      <c r="L266" s="43"/>
      <c r="M266" s="44"/>
      <c r="N266" s="43"/>
      <c r="O266" s="43"/>
      <c r="P266" s="44"/>
      <c r="Q266" s="43"/>
      <c r="R266" s="43"/>
      <c r="S266" s="45"/>
      <c r="T266" s="58" t="str">
        <f>IF(Tableau1[[#This Row],[DMS_SAP]]="","",HYPERLINK(Tableau1[[#This Row],[Chemin fichier source]],"X"))</f>
        <v/>
      </c>
      <c r="U266" s="58" t="str">
        <f>IF(Tableau1[[#This Row],[Date rév.]]="","",HYPERLINK(Tableau1[[#This Row],[Lien document]],"X"))</f>
        <v/>
      </c>
      <c r="V266" s="44"/>
      <c r="W266" s="46" t="str">
        <f ca="1">Chemin_accès!$B$2&amp;Tableau1[[#This Row],[Poste Responsable]]&amp;"\"&amp;Tableau1[[#This Row],[Localisation / Classement]]&amp;"\"&amp;Tableau1[[#This Row],[Poste technique]]&amp;"_"&amp;Tableau1[[#This Row],[Plan Entretien]]&amp;".pdf"</f>
        <v>\\stjn.local\trimet\Donnees_Projets\Dms Sap\Maintenance\PlanEntretien\7.MNRJ\\_.pdf</v>
      </c>
      <c r="X266" s="44"/>
      <c r="Y266" s="44"/>
      <c r="Z266" s="41" t="str">
        <f ca="1">IF(AND(Tableau1[[#This Row],[Charge]]&lt;&gt;0, Tableau1[[#This Row],[Nombre intervenants]]&lt;&gt;0,Tableau1[[#This Row],[Lien document]]&lt;&gt;0,Tableau1[[#This Row],[DMS_SAP]]&lt;&gt;0)=TRUE,"MIS A JOUR","")</f>
        <v/>
      </c>
      <c r="AA266" s="45"/>
      <c r="AB266" s="55" t="str">
        <f ca="1">IF(Tableau1[[#This Row],[Date rév.]]&lt;&gt;"", DAYS360(Tableau1[[#This Row],[Date rév.]],TODAY()),"")</f>
        <v/>
      </c>
      <c r="AC266" s="47">
        <f>IFERROR(INDEX(Chemin_accès!$B$11:$C$22,MATCH(Tableau1[[#This Row],[Type]],Chemin_accès!$C$11:$C$22,0),1),Chemin_accès!$B$11)</f>
        <v>0</v>
      </c>
      <c r="AD266" s="47" t="str">
        <f>Chemin_accès!$B$8&amp;Tableau1[[#This Row],[Localisation / Classement]]&amp;"\"&amp;Tableau1[[#This Row],[Poste technique]]&amp;"_"&amp;Tableau1[[#This Row],[Plan Entretien]]&amp;".xlsm"</f>
        <v>\_.xlsm</v>
      </c>
    </row>
    <row r="267" spans="1:30" x14ac:dyDescent="0.3">
      <c r="A267" s="41" t="str">
        <f t="shared" ca="1" si="4"/>
        <v>7.MNRJ</v>
      </c>
      <c r="B2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7" s="43"/>
      <c r="D267" s="41"/>
      <c r="E267" s="41"/>
      <c r="F267" s="44"/>
      <c r="G267" s="44"/>
      <c r="H267" s="48"/>
      <c r="I267" s="48"/>
      <c r="J267" s="48"/>
      <c r="K267" s="48"/>
      <c r="L267" s="43"/>
      <c r="M267" s="44"/>
      <c r="N267" s="43"/>
      <c r="O267" s="43"/>
      <c r="P267" s="44"/>
      <c r="Q267" s="43"/>
      <c r="R267" s="43"/>
      <c r="S267" s="45"/>
      <c r="T267" s="58" t="str">
        <f>IF(Tableau1[[#This Row],[DMS_SAP]]="","",HYPERLINK(Tableau1[[#This Row],[Chemin fichier source]],"X"))</f>
        <v/>
      </c>
      <c r="U267" s="58" t="str">
        <f>IF(Tableau1[[#This Row],[Date rév.]]="","",HYPERLINK(Tableau1[[#This Row],[Lien document]],"X"))</f>
        <v/>
      </c>
      <c r="V267" s="44"/>
      <c r="W267" s="46" t="str">
        <f ca="1">Chemin_accès!$B$2&amp;Tableau1[[#This Row],[Poste Responsable]]&amp;"\"&amp;Tableau1[[#This Row],[Localisation / Classement]]&amp;"\"&amp;Tableau1[[#This Row],[Poste technique]]&amp;"_"&amp;Tableau1[[#This Row],[Plan Entretien]]&amp;".pdf"</f>
        <v>\\stjn.local\trimet\Donnees_Projets\Dms Sap\Maintenance\PlanEntretien\7.MNRJ\\_.pdf</v>
      </c>
      <c r="X267" s="44"/>
      <c r="Y267" s="44"/>
      <c r="Z267" s="41" t="str">
        <f ca="1">IF(AND(Tableau1[[#This Row],[Charge]]&lt;&gt;0, Tableau1[[#This Row],[Nombre intervenants]]&lt;&gt;0,Tableau1[[#This Row],[Lien document]]&lt;&gt;0,Tableau1[[#This Row],[DMS_SAP]]&lt;&gt;0)=TRUE,"MIS A JOUR","")</f>
        <v/>
      </c>
      <c r="AA267" s="45"/>
      <c r="AB267" s="55" t="str">
        <f ca="1">IF(Tableau1[[#This Row],[Date rév.]]&lt;&gt;"", DAYS360(Tableau1[[#This Row],[Date rév.]],TODAY()),"")</f>
        <v/>
      </c>
      <c r="AC267" s="47">
        <f>IFERROR(INDEX(Chemin_accès!$B$11:$C$22,MATCH(Tableau1[[#This Row],[Type]],Chemin_accès!$C$11:$C$22,0),1),Chemin_accès!$B$11)</f>
        <v>0</v>
      </c>
      <c r="AD267" s="47" t="str">
        <f>Chemin_accès!$B$8&amp;Tableau1[[#This Row],[Localisation / Classement]]&amp;"\"&amp;Tableau1[[#This Row],[Poste technique]]&amp;"_"&amp;Tableau1[[#This Row],[Plan Entretien]]&amp;".xlsm"</f>
        <v>\_.xlsm</v>
      </c>
    </row>
    <row r="268" spans="1:30" x14ac:dyDescent="0.3">
      <c r="A268" s="41" t="str">
        <f t="shared" ca="1" si="4"/>
        <v>7.MNRJ</v>
      </c>
      <c r="B2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8" s="43"/>
      <c r="D268" s="41"/>
      <c r="E268" s="41"/>
      <c r="F268" s="44"/>
      <c r="G268" s="44"/>
      <c r="H268" s="48"/>
      <c r="I268" s="48"/>
      <c r="J268" s="48"/>
      <c r="K268" s="48"/>
      <c r="L268" s="43"/>
      <c r="M268" s="44"/>
      <c r="N268" s="43"/>
      <c r="O268" s="43"/>
      <c r="P268" s="44"/>
      <c r="Q268" s="43"/>
      <c r="R268" s="43"/>
      <c r="S268" s="45"/>
      <c r="T268" s="58" t="str">
        <f>IF(Tableau1[[#This Row],[DMS_SAP]]="","",HYPERLINK(Tableau1[[#This Row],[Chemin fichier source]],"X"))</f>
        <v/>
      </c>
      <c r="U268" s="58" t="str">
        <f>IF(Tableau1[[#This Row],[Date rév.]]="","",HYPERLINK(Tableau1[[#This Row],[Lien document]],"X"))</f>
        <v/>
      </c>
      <c r="V268" s="44"/>
      <c r="W268" s="46" t="str">
        <f ca="1">Chemin_accès!$B$2&amp;Tableau1[[#This Row],[Poste Responsable]]&amp;"\"&amp;Tableau1[[#This Row],[Localisation / Classement]]&amp;"\"&amp;Tableau1[[#This Row],[Poste technique]]&amp;"_"&amp;Tableau1[[#This Row],[Plan Entretien]]&amp;".pdf"</f>
        <v>\\stjn.local\trimet\Donnees_Projets\Dms Sap\Maintenance\PlanEntretien\7.MNRJ\\_.pdf</v>
      </c>
      <c r="X268" s="44"/>
      <c r="Y268" s="44"/>
      <c r="Z268" s="41" t="str">
        <f ca="1">IF(AND(Tableau1[[#This Row],[Charge]]&lt;&gt;0, Tableau1[[#This Row],[Nombre intervenants]]&lt;&gt;0,Tableau1[[#This Row],[Lien document]]&lt;&gt;0,Tableau1[[#This Row],[DMS_SAP]]&lt;&gt;0)=TRUE,"MIS A JOUR","")</f>
        <v/>
      </c>
      <c r="AA268" s="45"/>
      <c r="AB268" s="55" t="str">
        <f ca="1">IF(Tableau1[[#This Row],[Date rév.]]&lt;&gt;"", DAYS360(Tableau1[[#This Row],[Date rév.]],TODAY()),"")</f>
        <v/>
      </c>
      <c r="AC268" s="47">
        <f>IFERROR(INDEX(Chemin_accès!$B$11:$C$22,MATCH(Tableau1[[#This Row],[Type]],Chemin_accès!$C$11:$C$22,0),1),Chemin_accès!$B$11)</f>
        <v>0</v>
      </c>
      <c r="AD268" s="47" t="str">
        <f>Chemin_accès!$B$8&amp;Tableau1[[#This Row],[Localisation / Classement]]&amp;"\"&amp;Tableau1[[#This Row],[Poste technique]]&amp;"_"&amp;Tableau1[[#This Row],[Plan Entretien]]&amp;".xlsm"</f>
        <v>\_.xlsm</v>
      </c>
    </row>
    <row r="269" spans="1:30" x14ac:dyDescent="0.3">
      <c r="A269" s="41" t="str">
        <f t="shared" ca="1" si="4"/>
        <v>7.MNRJ</v>
      </c>
      <c r="B2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9" s="43"/>
      <c r="D269" s="41"/>
      <c r="E269" s="41"/>
      <c r="F269" s="44"/>
      <c r="G269" s="44"/>
      <c r="H269" s="48"/>
      <c r="I269" s="48"/>
      <c r="J269" s="48"/>
      <c r="K269" s="48"/>
      <c r="L269" s="43"/>
      <c r="M269" s="44"/>
      <c r="N269" s="43"/>
      <c r="O269" s="43"/>
      <c r="P269" s="44"/>
      <c r="Q269" s="43"/>
      <c r="R269" s="43"/>
      <c r="S269" s="45"/>
      <c r="T269" s="58" t="str">
        <f>IF(Tableau1[[#This Row],[DMS_SAP]]="","",HYPERLINK(Tableau1[[#This Row],[Chemin fichier source]],"X"))</f>
        <v/>
      </c>
      <c r="U269" s="58" t="str">
        <f>IF(Tableau1[[#This Row],[Date rév.]]="","",HYPERLINK(Tableau1[[#This Row],[Lien document]],"X"))</f>
        <v/>
      </c>
      <c r="V269" s="44"/>
      <c r="W269" s="46" t="str">
        <f ca="1">Chemin_accès!$B$2&amp;Tableau1[[#This Row],[Poste Responsable]]&amp;"\"&amp;Tableau1[[#This Row],[Localisation / Classement]]&amp;"\"&amp;Tableau1[[#This Row],[Poste technique]]&amp;"_"&amp;Tableau1[[#This Row],[Plan Entretien]]&amp;".pdf"</f>
        <v>\\stjn.local\trimet\Donnees_Projets\Dms Sap\Maintenance\PlanEntretien\7.MNRJ\\_.pdf</v>
      </c>
      <c r="X269" s="44"/>
      <c r="Y269" s="44"/>
      <c r="Z269" s="41" t="str">
        <f ca="1">IF(AND(Tableau1[[#This Row],[Charge]]&lt;&gt;0, Tableau1[[#This Row],[Nombre intervenants]]&lt;&gt;0,Tableau1[[#This Row],[Lien document]]&lt;&gt;0,Tableau1[[#This Row],[DMS_SAP]]&lt;&gt;0)=TRUE,"MIS A JOUR","")</f>
        <v/>
      </c>
      <c r="AA269" s="45"/>
      <c r="AB269" s="55" t="str">
        <f ca="1">IF(Tableau1[[#This Row],[Date rév.]]&lt;&gt;"", DAYS360(Tableau1[[#This Row],[Date rév.]],TODAY()),"")</f>
        <v/>
      </c>
      <c r="AC269" s="47">
        <f>IFERROR(INDEX(Chemin_accès!$B$11:$C$22,MATCH(Tableau1[[#This Row],[Type]],Chemin_accès!$C$11:$C$22,0),1),Chemin_accès!$B$11)</f>
        <v>0</v>
      </c>
      <c r="AD269" s="47" t="str">
        <f>Chemin_accès!$B$8&amp;Tableau1[[#This Row],[Localisation / Classement]]&amp;"\"&amp;Tableau1[[#This Row],[Poste technique]]&amp;"_"&amp;Tableau1[[#This Row],[Plan Entretien]]&amp;".xlsm"</f>
        <v>\_.xlsm</v>
      </c>
    </row>
    <row r="270" spans="1:30" x14ac:dyDescent="0.3">
      <c r="A270" s="41" t="str">
        <f t="shared" ca="1" si="4"/>
        <v>7.MNRJ</v>
      </c>
      <c r="B2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0" s="43"/>
      <c r="D270" s="41"/>
      <c r="E270" s="41"/>
      <c r="F270" s="44"/>
      <c r="G270" s="44"/>
      <c r="H270" s="48"/>
      <c r="I270" s="48"/>
      <c r="J270" s="48"/>
      <c r="K270" s="48"/>
      <c r="L270" s="43"/>
      <c r="M270" s="44"/>
      <c r="N270" s="43"/>
      <c r="O270" s="43"/>
      <c r="P270" s="44"/>
      <c r="Q270" s="43"/>
      <c r="R270" s="43"/>
      <c r="S270" s="45"/>
      <c r="T270" s="58" t="str">
        <f>IF(Tableau1[[#This Row],[DMS_SAP]]="","",HYPERLINK(Tableau1[[#This Row],[Chemin fichier source]],"X"))</f>
        <v/>
      </c>
      <c r="U270" s="58" t="str">
        <f>IF(Tableau1[[#This Row],[Date rév.]]="","",HYPERLINK(Tableau1[[#This Row],[Lien document]],"X"))</f>
        <v/>
      </c>
      <c r="V270" s="44"/>
      <c r="W270" s="46" t="str">
        <f ca="1">Chemin_accès!$B$2&amp;Tableau1[[#This Row],[Poste Responsable]]&amp;"\"&amp;Tableau1[[#This Row],[Localisation / Classement]]&amp;"\"&amp;Tableau1[[#This Row],[Poste technique]]&amp;"_"&amp;Tableau1[[#This Row],[Plan Entretien]]&amp;".pdf"</f>
        <v>\\stjn.local\trimet\Donnees_Projets\Dms Sap\Maintenance\PlanEntretien\7.MNRJ\\_.pdf</v>
      </c>
      <c r="X270" s="44"/>
      <c r="Y270" s="44"/>
      <c r="Z270" s="41" t="str">
        <f ca="1">IF(AND(Tableau1[[#This Row],[Charge]]&lt;&gt;0, Tableau1[[#This Row],[Nombre intervenants]]&lt;&gt;0,Tableau1[[#This Row],[Lien document]]&lt;&gt;0,Tableau1[[#This Row],[DMS_SAP]]&lt;&gt;0)=TRUE,"MIS A JOUR","")</f>
        <v/>
      </c>
      <c r="AA270" s="45"/>
      <c r="AB270" s="55" t="str">
        <f ca="1">IF(Tableau1[[#This Row],[Date rév.]]&lt;&gt;"", DAYS360(Tableau1[[#This Row],[Date rév.]],TODAY()),"")</f>
        <v/>
      </c>
      <c r="AC270" s="47">
        <f>IFERROR(INDEX(Chemin_accès!$B$11:$C$22,MATCH(Tableau1[[#This Row],[Type]],Chemin_accès!$C$11:$C$22,0),1),Chemin_accès!$B$11)</f>
        <v>0</v>
      </c>
      <c r="AD270" s="47" t="str">
        <f>Chemin_accès!$B$8&amp;Tableau1[[#This Row],[Localisation / Classement]]&amp;"\"&amp;Tableau1[[#This Row],[Poste technique]]&amp;"_"&amp;Tableau1[[#This Row],[Plan Entretien]]&amp;".xlsm"</f>
        <v>\_.xlsm</v>
      </c>
    </row>
    <row r="271" spans="1:30" x14ac:dyDescent="0.3">
      <c r="A271" s="41" t="str">
        <f t="shared" ca="1" si="4"/>
        <v>7.MNRJ</v>
      </c>
      <c r="B2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1" s="43"/>
      <c r="D271" s="41"/>
      <c r="E271" s="41"/>
      <c r="F271" s="44"/>
      <c r="G271" s="44"/>
      <c r="H271" s="48"/>
      <c r="I271" s="48"/>
      <c r="J271" s="48"/>
      <c r="K271" s="48"/>
      <c r="L271" s="43"/>
      <c r="M271" s="44"/>
      <c r="N271" s="43"/>
      <c r="O271" s="43"/>
      <c r="P271" s="44"/>
      <c r="Q271" s="43"/>
      <c r="R271" s="43"/>
      <c r="S271" s="45"/>
      <c r="T271" s="58" t="str">
        <f>IF(Tableau1[[#This Row],[DMS_SAP]]="","",HYPERLINK(Tableau1[[#This Row],[Chemin fichier source]],"X"))</f>
        <v/>
      </c>
      <c r="U271" s="58" t="str">
        <f>IF(Tableau1[[#This Row],[Date rév.]]="","",HYPERLINK(Tableau1[[#This Row],[Lien document]],"X"))</f>
        <v/>
      </c>
      <c r="V271" s="44"/>
      <c r="W271" s="46" t="str">
        <f ca="1">Chemin_accès!$B$2&amp;Tableau1[[#This Row],[Poste Responsable]]&amp;"\"&amp;Tableau1[[#This Row],[Localisation / Classement]]&amp;"\"&amp;Tableau1[[#This Row],[Poste technique]]&amp;"_"&amp;Tableau1[[#This Row],[Plan Entretien]]&amp;".pdf"</f>
        <v>\\stjn.local\trimet\Donnees_Projets\Dms Sap\Maintenance\PlanEntretien\7.MNRJ\\_.pdf</v>
      </c>
      <c r="X271" s="44"/>
      <c r="Y271" s="44"/>
      <c r="Z271" s="41" t="str">
        <f ca="1">IF(AND(Tableau1[[#This Row],[Charge]]&lt;&gt;0, Tableau1[[#This Row],[Nombre intervenants]]&lt;&gt;0,Tableau1[[#This Row],[Lien document]]&lt;&gt;0,Tableau1[[#This Row],[DMS_SAP]]&lt;&gt;0)=TRUE,"MIS A JOUR","")</f>
        <v/>
      </c>
      <c r="AA271" s="45"/>
      <c r="AB271" s="55" t="str">
        <f ca="1">IF(Tableau1[[#This Row],[Date rév.]]&lt;&gt;"", DAYS360(Tableau1[[#This Row],[Date rév.]],TODAY()),"")</f>
        <v/>
      </c>
      <c r="AC271" s="47">
        <f>IFERROR(INDEX(Chemin_accès!$B$11:$C$22,MATCH(Tableau1[[#This Row],[Type]],Chemin_accès!$C$11:$C$22,0),1),Chemin_accès!$B$11)</f>
        <v>0</v>
      </c>
      <c r="AD271" s="47" t="str">
        <f>Chemin_accès!$B$8&amp;Tableau1[[#This Row],[Localisation / Classement]]&amp;"\"&amp;Tableau1[[#This Row],[Poste technique]]&amp;"_"&amp;Tableau1[[#This Row],[Plan Entretien]]&amp;".xlsm"</f>
        <v>\_.xlsm</v>
      </c>
    </row>
    <row r="272" spans="1:30" x14ac:dyDescent="0.3">
      <c r="A272" s="41" t="str">
        <f t="shared" ca="1" si="4"/>
        <v>7.MNRJ</v>
      </c>
      <c r="B2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2" s="43"/>
      <c r="D272" s="41"/>
      <c r="E272" s="41"/>
      <c r="F272" s="44"/>
      <c r="G272" s="44"/>
      <c r="H272" s="48"/>
      <c r="I272" s="48"/>
      <c r="J272" s="48"/>
      <c r="K272" s="48"/>
      <c r="L272" s="43"/>
      <c r="M272" s="44"/>
      <c r="N272" s="43"/>
      <c r="O272" s="43"/>
      <c r="P272" s="44"/>
      <c r="Q272" s="43"/>
      <c r="R272" s="43"/>
      <c r="S272" s="45"/>
      <c r="T272" s="58" t="str">
        <f>IF(Tableau1[[#This Row],[DMS_SAP]]="","",HYPERLINK(Tableau1[[#This Row],[Chemin fichier source]],"X"))</f>
        <v/>
      </c>
      <c r="U272" s="58" t="str">
        <f>IF(Tableau1[[#This Row],[Date rév.]]="","",HYPERLINK(Tableau1[[#This Row],[Lien document]],"X"))</f>
        <v/>
      </c>
      <c r="V272" s="44"/>
      <c r="W272" s="46" t="str">
        <f ca="1">Chemin_accès!$B$2&amp;Tableau1[[#This Row],[Poste Responsable]]&amp;"\"&amp;Tableau1[[#This Row],[Localisation / Classement]]&amp;"\"&amp;Tableau1[[#This Row],[Poste technique]]&amp;"_"&amp;Tableau1[[#This Row],[Plan Entretien]]&amp;".pdf"</f>
        <v>\\stjn.local\trimet\Donnees_Projets\Dms Sap\Maintenance\PlanEntretien\7.MNRJ\\_.pdf</v>
      </c>
      <c r="X272" s="44"/>
      <c r="Y272" s="44"/>
      <c r="Z272" s="41" t="str">
        <f ca="1">IF(AND(Tableau1[[#This Row],[Charge]]&lt;&gt;0, Tableau1[[#This Row],[Nombre intervenants]]&lt;&gt;0,Tableau1[[#This Row],[Lien document]]&lt;&gt;0,Tableau1[[#This Row],[DMS_SAP]]&lt;&gt;0)=TRUE,"MIS A JOUR","")</f>
        <v/>
      </c>
      <c r="AA272" s="45"/>
      <c r="AB272" s="55" t="str">
        <f ca="1">IF(Tableau1[[#This Row],[Date rév.]]&lt;&gt;"", DAYS360(Tableau1[[#This Row],[Date rév.]],TODAY()),"")</f>
        <v/>
      </c>
      <c r="AC272" s="47">
        <f>IFERROR(INDEX(Chemin_accès!$B$11:$C$22,MATCH(Tableau1[[#This Row],[Type]],Chemin_accès!$C$11:$C$22,0),1),Chemin_accès!$B$11)</f>
        <v>0</v>
      </c>
      <c r="AD272" s="47" t="str">
        <f>Chemin_accès!$B$8&amp;Tableau1[[#This Row],[Localisation / Classement]]&amp;"\"&amp;Tableau1[[#This Row],[Poste technique]]&amp;"_"&amp;Tableau1[[#This Row],[Plan Entretien]]&amp;".xlsm"</f>
        <v>\_.xlsm</v>
      </c>
    </row>
    <row r="273" spans="1:30" x14ac:dyDescent="0.3">
      <c r="A273" s="41" t="str">
        <f t="shared" ca="1" si="4"/>
        <v>7.MNRJ</v>
      </c>
      <c r="B2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3" s="43"/>
      <c r="D273" s="41"/>
      <c r="E273" s="41"/>
      <c r="F273" s="44"/>
      <c r="G273" s="44"/>
      <c r="H273" s="48"/>
      <c r="I273" s="48"/>
      <c r="J273" s="48"/>
      <c r="K273" s="48"/>
      <c r="L273" s="43"/>
      <c r="M273" s="44"/>
      <c r="N273" s="43"/>
      <c r="O273" s="43"/>
      <c r="P273" s="44"/>
      <c r="Q273" s="43"/>
      <c r="R273" s="43"/>
      <c r="S273" s="45"/>
      <c r="T273" s="58" t="str">
        <f>IF(Tableau1[[#This Row],[DMS_SAP]]="","",HYPERLINK(Tableau1[[#This Row],[Chemin fichier source]],"X"))</f>
        <v/>
      </c>
      <c r="U273" s="58" t="str">
        <f>IF(Tableau1[[#This Row],[Date rév.]]="","",HYPERLINK(Tableau1[[#This Row],[Lien document]],"X"))</f>
        <v/>
      </c>
      <c r="V273" s="44"/>
      <c r="W273" s="46" t="str">
        <f ca="1">Chemin_accès!$B$2&amp;Tableau1[[#This Row],[Poste Responsable]]&amp;"\"&amp;Tableau1[[#This Row],[Localisation / Classement]]&amp;"\"&amp;Tableau1[[#This Row],[Poste technique]]&amp;"_"&amp;Tableau1[[#This Row],[Plan Entretien]]&amp;".pdf"</f>
        <v>\\stjn.local\trimet\Donnees_Projets\Dms Sap\Maintenance\PlanEntretien\7.MNRJ\\_.pdf</v>
      </c>
      <c r="X273" s="44"/>
      <c r="Y273" s="44"/>
      <c r="Z273" s="41" t="str">
        <f ca="1">IF(AND(Tableau1[[#This Row],[Charge]]&lt;&gt;0, Tableau1[[#This Row],[Nombre intervenants]]&lt;&gt;0,Tableau1[[#This Row],[Lien document]]&lt;&gt;0,Tableau1[[#This Row],[DMS_SAP]]&lt;&gt;0)=TRUE,"MIS A JOUR","")</f>
        <v/>
      </c>
      <c r="AA273" s="45"/>
      <c r="AB273" s="55" t="str">
        <f ca="1">IF(Tableau1[[#This Row],[Date rév.]]&lt;&gt;"", DAYS360(Tableau1[[#This Row],[Date rév.]],TODAY()),"")</f>
        <v/>
      </c>
      <c r="AC273" s="47">
        <f>IFERROR(INDEX(Chemin_accès!$B$11:$C$22,MATCH(Tableau1[[#This Row],[Type]],Chemin_accès!$C$11:$C$22,0),1),Chemin_accès!$B$11)</f>
        <v>0</v>
      </c>
      <c r="AD273" s="47" t="str">
        <f>Chemin_accès!$B$8&amp;Tableau1[[#This Row],[Localisation / Classement]]&amp;"\"&amp;Tableau1[[#This Row],[Poste technique]]&amp;"_"&amp;Tableau1[[#This Row],[Plan Entretien]]&amp;".xlsm"</f>
        <v>\_.xlsm</v>
      </c>
    </row>
    <row r="274" spans="1:30" x14ac:dyDescent="0.3">
      <c r="A274" s="41" t="str">
        <f t="shared" ca="1" si="4"/>
        <v>7.MNRJ</v>
      </c>
      <c r="B2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4" s="43"/>
      <c r="D274" s="41"/>
      <c r="E274" s="41"/>
      <c r="F274" s="44"/>
      <c r="G274" s="44"/>
      <c r="H274" s="48"/>
      <c r="I274" s="48"/>
      <c r="J274" s="48"/>
      <c r="K274" s="48"/>
      <c r="L274" s="43"/>
      <c r="M274" s="44"/>
      <c r="N274" s="43"/>
      <c r="O274" s="43"/>
      <c r="P274" s="44"/>
      <c r="Q274" s="43"/>
      <c r="R274" s="43"/>
      <c r="S274" s="45"/>
      <c r="T274" s="58" t="str">
        <f>IF(Tableau1[[#This Row],[DMS_SAP]]="","",HYPERLINK(Tableau1[[#This Row],[Chemin fichier source]],"X"))</f>
        <v/>
      </c>
      <c r="U274" s="58" t="str">
        <f>IF(Tableau1[[#This Row],[Date rév.]]="","",HYPERLINK(Tableau1[[#This Row],[Lien document]],"X"))</f>
        <v/>
      </c>
      <c r="V274" s="44"/>
      <c r="W274" s="46" t="str">
        <f ca="1">Chemin_accès!$B$2&amp;Tableau1[[#This Row],[Poste Responsable]]&amp;"\"&amp;Tableau1[[#This Row],[Localisation / Classement]]&amp;"\"&amp;Tableau1[[#This Row],[Poste technique]]&amp;"_"&amp;Tableau1[[#This Row],[Plan Entretien]]&amp;".pdf"</f>
        <v>\\stjn.local\trimet\Donnees_Projets\Dms Sap\Maintenance\PlanEntretien\7.MNRJ\\_.pdf</v>
      </c>
      <c r="X274" s="44"/>
      <c r="Y274" s="44"/>
      <c r="Z274" s="41" t="str">
        <f ca="1">IF(AND(Tableau1[[#This Row],[Charge]]&lt;&gt;0, Tableau1[[#This Row],[Nombre intervenants]]&lt;&gt;0,Tableau1[[#This Row],[Lien document]]&lt;&gt;0,Tableau1[[#This Row],[DMS_SAP]]&lt;&gt;0)=TRUE,"MIS A JOUR","")</f>
        <v/>
      </c>
      <c r="AA274" s="45"/>
      <c r="AB274" s="55" t="str">
        <f ca="1">IF(Tableau1[[#This Row],[Date rév.]]&lt;&gt;"", DAYS360(Tableau1[[#This Row],[Date rév.]],TODAY()),"")</f>
        <v/>
      </c>
      <c r="AC274" s="47">
        <f>IFERROR(INDEX(Chemin_accès!$B$11:$C$22,MATCH(Tableau1[[#This Row],[Type]],Chemin_accès!$C$11:$C$22,0),1),Chemin_accès!$B$11)</f>
        <v>0</v>
      </c>
      <c r="AD274" s="47" t="str">
        <f>Chemin_accès!$B$8&amp;Tableau1[[#This Row],[Localisation / Classement]]&amp;"\"&amp;Tableau1[[#This Row],[Poste technique]]&amp;"_"&amp;Tableau1[[#This Row],[Plan Entretien]]&amp;".xlsm"</f>
        <v>\_.xlsm</v>
      </c>
    </row>
    <row r="275" spans="1:30" x14ac:dyDescent="0.3">
      <c r="A275" s="41" t="str">
        <f t="shared" ca="1" si="4"/>
        <v>7.MNRJ</v>
      </c>
      <c r="B2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5" s="43"/>
      <c r="D275" s="41"/>
      <c r="E275" s="41"/>
      <c r="F275" s="44"/>
      <c r="G275" s="44"/>
      <c r="H275" s="48"/>
      <c r="I275" s="48"/>
      <c r="J275" s="48"/>
      <c r="K275" s="48"/>
      <c r="L275" s="43"/>
      <c r="M275" s="44"/>
      <c r="N275" s="43"/>
      <c r="O275" s="43"/>
      <c r="P275" s="44"/>
      <c r="Q275" s="43"/>
      <c r="R275" s="43"/>
      <c r="S275" s="45"/>
      <c r="T275" s="58" t="str">
        <f>IF(Tableau1[[#This Row],[DMS_SAP]]="","",HYPERLINK(Tableau1[[#This Row],[Chemin fichier source]],"X"))</f>
        <v/>
      </c>
      <c r="U275" s="58" t="str">
        <f>IF(Tableau1[[#This Row],[Date rév.]]="","",HYPERLINK(Tableau1[[#This Row],[Lien document]],"X"))</f>
        <v/>
      </c>
      <c r="V275" s="44"/>
      <c r="W275" s="46" t="str">
        <f ca="1">Chemin_accès!$B$2&amp;Tableau1[[#This Row],[Poste Responsable]]&amp;"\"&amp;Tableau1[[#This Row],[Localisation / Classement]]&amp;"\"&amp;Tableau1[[#This Row],[Poste technique]]&amp;"_"&amp;Tableau1[[#This Row],[Plan Entretien]]&amp;".pdf"</f>
        <v>\\stjn.local\trimet\Donnees_Projets\Dms Sap\Maintenance\PlanEntretien\7.MNRJ\\_.pdf</v>
      </c>
      <c r="X275" s="44"/>
      <c r="Y275" s="44"/>
      <c r="Z275" s="41" t="str">
        <f ca="1">IF(AND(Tableau1[[#This Row],[Charge]]&lt;&gt;0, Tableau1[[#This Row],[Nombre intervenants]]&lt;&gt;0,Tableau1[[#This Row],[Lien document]]&lt;&gt;0,Tableau1[[#This Row],[DMS_SAP]]&lt;&gt;0)=TRUE,"MIS A JOUR","")</f>
        <v/>
      </c>
      <c r="AA275" s="45"/>
      <c r="AB275" s="55" t="str">
        <f ca="1">IF(Tableau1[[#This Row],[Date rév.]]&lt;&gt;"", DAYS360(Tableau1[[#This Row],[Date rév.]],TODAY()),"")</f>
        <v/>
      </c>
      <c r="AC275" s="47">
        <f>IFERROR(INDEX(Chemin_accès!$B$11:$C$22,MATCH(Tableau1[[#This Row],[Type]],Chemin_accès!$C$11:$C$22,0),1),Chemin_accès!$B$11)</f>
        <v>0</v>
      </c>
      <c r="AD275" s="47" t="str">
        <f>Chemin_accès!$B$8&amp;Tableau1[[#This Row],[Localisation / Classement]]&amp;"\"&amp;Tableau1[[#This Row],[Poste technique]]&amp;"_"&amp;Tableau1[[#This Row],[Plan Entretien]]&amp;".xlsm"</f>
        <v>\_.xlsm</v>
      </c>
    </row>
    <row r="276" spans="1:30" x14ac:dyDescent="0.3">
      <c r="A276" s="41" t="str">
        <f t="shared" ca="1" si="4"/>
        <v>7.MNRJ</v>
      </c>
      <c r="B2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6" s="43"/>
      <c r="D276" s="41"/>
      <c r="E276" s="41"/>
      <c r="F276" s="44"/>
      <c r="G276" s="44"/>
      <c r="H276" s="48"/>
      <c r="I276" s="48"/>
      <c r="J276" s="48"/>
      <c r="K276" s="48"/>
      <c r="L276" s="43"/>
      <c r="M276" s="44"/>
      <c r="N276" s="43"/>
      <c r="O276" s="43"/>
      <c r="P276" s="44"/>
      <c r="Q276" s="43"/>
      <c r="R276" s="43"/>
      <c r="S276" s="45"/>
      <c r="T276" s="58" t="str">
        <f>IF(Tableau1[[#This Row],[DMS_SAP]]="","",HYPERLINK(Tableau1[[#This Row],[Chemin fichier source]],"X"))</f>
        <v/>
      </c>
      <c r="U276" s="58" t="str">
        <f>IF(Tableau1[[#This Row],[Date rév.]]="","",HYPERLINK(Tableau1[[#This Row],[Lien document]],"X"))</f>
        <v/>
      </c>
      <c r="V276" s="44"/>
      <c r="W276" s="46" t="str">
        <f ca="1">Chemin_accès!$B$2&amp;Tableau1[[#This Row],[Poste Responsable]]&amp;"\"&amp;Tableau1[[#This Row],[Localisation / Classement]]&amp;"\"&amp;Tableau1[[#This Row],[Poste technique]]&amp;"_"&amp;Tableau1[[#This Row],[Plan Entretien]]&amp;".pdf"</f>
        <v>\\stjn.local\trimet\Donnees_Projets\Dms Sap\Maintenance\PlanEntretien\7.MNRJ\\_.pdf</v>
      </c>
      <c r="X276" s="44"/>
      <c r="Y276" s="44"/>
      <c r="Z276" s="41" t="str">
        <f ca="1">IF(AND(Tableau1[[#This Row],[Charge]]&lt;&gt;0, Tableau1[[#This Row],[Nombre intervenants]]&lt;&gt;0,Tableau1[[#This Row],[Lien document]]&lt;&gt;0,Tableau1[[#This Row],[DMS_SAP]]&lt;&gt;0)=TRUE,"MIS A JOUR","")</f>
        <v/>
      </c>
      <c r="AA276" s="45"/>
      <c r="AB276" s="55" t="str">
        <f ca="1">IF(Tableau1[[#This Row],[Date rév.]]&lt;&gt;"", DAYS360(Tableau1[[#This Row],[Date rév.]],TODAY()),"")</f>
        <v/>
      </c>
      <c r="AC276" s="47">
        <f>IFERROR(INDEX(Chemin_accès!$B$11:$C$22,MATCH(Tableau1[[#This Row],[Type]],Chemin_accès!$C$11:$C$22,0),1),Chemin_accès!$B$11)</f>
        <v>0</v>
      </c>
      <c r="AD276" s="47" t="str">
        <f>Chemin_accès!$B$8&amp;Tableau1[[#This Row],[Localisation / Classement]]&amp;"\"&amp;Tableau1[[#This Row],[Poste technique]]&amp;"_"&amp;Tableau1[[#This Row],[Plan Entretien]]&amp;".xlsm"</f>
        <v>\_.xlsm</v>
      </c>
    </row>
    <row r="277" spans="1:30" x14ac:dyDescent="0.3">
      <c r="A277" s="41" t="str">
        <f t="shared" ca="1" si="4"/>
        <v>7.MNRJ</v>
      </c>
      <c r="B2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7" s="43"/>
      <c r="D277" s="41"/>
      <c r="E277" s="41"/>
      <c r="F277" s="44"/>
      <c r="G277" s="44"/>
      <c r="H277" s="48"/>
      <c r="I277" s="48"/>
      <c r="J277" s="48"/>
      <c r="K277" s="48"/>
      <c r="L277" s="43"/>
      <c r="M277" s="44"/>
      <c r="N277" s="43"/>
      <c r="O277" s="43"/>
      <c r="P277" s="44"/>
      <c r="Q277" s="43"/>
      <c r="R277" s="43"/>
      <c r="S277" s="45"/>
      <c r="T277" s="58" t="str">
        <f>IF(Tableau1[[#This Row],[DMS_SAP]]="","",HYPERLINK(Tableau1[[#This Row],[Chemin fichier source]],"X"))</f>
        <v/>
      </c>
      <c r="U277" s="58" t="str">
        <f>IF(Tableau1[[#This Row],[Date rév.]]="","",HYPERLINK(Tableau1[[#This Row],[Lien document]],"X"))</f>
        <v/>
      </c>
      <c r="V277" s="44"/>
      <c r="W277" s="46" t="str">
        <f ca="1">Chemin_accès!$B$2&amp;Tableau1[[#This Row],[Poste Responsable]]&amp;"\"&amp;Tableau1[[#This Row],[Localisation / Classement]]&amp;"\"&amp;Tableau1[[#This Row],[Poste technique]]&amp;"_"&amp;Tableau1[[#This Row],[Plan Entretien]]&amp;".pdf"</f>
        <v>\\stjn.local\trimet\Donnees_Projets\Dms Sap\Maintenance\PlanEntretien\7.MNRJ\\_.pdf</v>
      </c>
      <c r="X277" s="44"/>
      <c r="Y277" s="44"/>
      <c r="Z277" s="41" t="str">
        <f ca="1">IF(AND(Tableau1[[#This Row],[Charge]]&lt;&gt;0, Tableau1[[#This Row],[Nombre intervenants]]&lt;&gt;0,Tableau1[[#This Row],[Lien document]]&lt;&gt;0,Tableau1[[#This Row],[DMS_SAP]]&lt;&gt;0)=TRUE,"MIS A JOUR","")</f>
        <v/>
      </c>
      <c r="AA277" s="45"/>
      <c r="AB277" s="55" t="str">
        <f ca="1">IF(Tableau1[[#This Row],[Date rév.]]&lt;&gt;"", DAYS360(Tableau1[[#This Row],[Date rév.]],TODAY()),"")</f>
        <v/>
      </c>
      <c r="AC277" s="47">
        <f>IFERROR(INDEX(Chemin_accès!$B$11:$C$22,MATCH(Tableau1[[#This Row],[Type]],Chemin_accès!$C$11:$C$22,0),1),Chemin_accès!$B$11)</f>
        <v>0</v>
      </c>
      <c r="AD277" s="47" t="str">
        <f>Chemin_accès!$B$8&amp;Tableau1[[#This Row],[Localisation / Classement]]&amp;"\"&amp;Tableau1[[#This Row],[Poste technique]]&amp;"_"&amp;Tableau1[[#This Row],[Plan Entretien]]&amp;".xlsm"</f>
        <v>\_.xlsm</v>
      </c>
    </row>
    <row r="278" spans="1:30" x14ac:dyDescent="0.3">
      <c r="A278" s="41" t="str">
        <f t="shared" ca="1" si="4"/>
        <v>7.MNRJ</v>
      </c>
      <c r="B2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8" s="43"/>
      <c r="D278" s="41"/>
      <c r="E278" s="41"/>
      <c r="F278" s="44"/>
      <c r="G278" s="44"/>
      <c r="H278" s="48"/>
      <c r="I278" s="48"/>
      <c r="J278" s="48"/>
      <c r="K278" s="48"/>
      <c r="L278" s="43"/>
      <c r="M278" s="44"/>
      <c r="N278" s="43"/>
      <c r="O278" s="43"/>
      <c r="P278" s="44"/>
      <c r="Q278" s="43"/>
      <c r="R278" s="43"/>
      <c r="S278" s="45"/>
      <c r="T278" s="58" t="str">
        <f>IF(Tableau1[[#This Row],[DMS_SAP]]="","",HYPERLINK(Tableau1[[#This Row],[Chemin fichier source]],"X"))</f>
        <v/>
      </c>
      <c r="U278" s="58" t="str">
        <f>IF(Tableau1[[#This Row],[Date rév.]]="","",HYPERLINK(Tableau1[[#This Row],[Lien document]],"X"))</f>
        <v/>
      </c>
      <c r="V278" s="44"/>
      <c r="W278" s="46" t="str">
        <f ca="1">Chemin_accès!$B$2&amp;Tableau1[[#This Row],[Poste Responsable]]&amp;"\"&amp;Tableau1[[#This Row],[Localisation / Classement]]&amp;"\"&amp;Tableau1[[#This Row],[Poste technique]]&amp;"_"&amp;Tableau1[[#This Row],[Plan Entretien]]&amp;".pdf"</f>
        <v>\\stjn.local\trimet\Donnees_Projets\Dms Sap\Maintenance\PlanEntretien\7.MNRJ\\_.pdf</v>
      </c>
      <c r="X278" s="44"/>
      <c r="Y278" s="44"/>
      <c r="Z278" s="41" t="str">
        <f ca="1">IF(AND(Tableau1[[#This Row],[Charge]]&lt;&gt;0, Tableau1[[#This Row],[Nombre intervenants]]&lt;&gt;0,Tableau1[[#This Row],[Lien document]]&lt;&gt;0,Tableau1[[#This Row],[DMS_SAP]]&lt;&gt;0)=TRUE,"MIS A JOUR","")</f>
        <v/>
      </c>
      <c r="AA278" s="45"/>
      <c r="AB278" s="55" t="str">
        <f ca="1">IF(Tableau1[[#This Row],[Date rév.]]&lt;&gt;"", DAYS360(Tableau1[[#This Row],[Date rév.]],TODAY()),"")</f>
        <v/>
      </c>
      <c r="AC278" s="47">
        <f>IFERROR(INDEX(Chemin_accès!$B$11:$C$22,MATCH(Tableau1[[#This Row],[Type]],Chemin_accès!$C$11:$C$22,0),1),Chemin_accès!$B$11)</f>
        <v>0</v>
      </c>
      <c r="AD278" s="47" t="str">
        <f>Chemin_accès!$B$8&amp;Tableau1[[#This Row],[Localisation / Classement]]&amp;"\"&amp;Tableau1[[#This Row],[Poste technique]]&amp;"_"&amp;Tableau1[[#This Row],[Plan Entretien]]&amp;".xlsm"</f>
        <v>\_.xlsm</v>
      </c>
    </row>
    <row r="279" spans="1:30" x14ac:dyDescent="0.3">
      <c r="A279" s="41" t="str">
        <f t="shared" ca="1" si="4"/>
        <v>7.MNRJ</v>
      </c>
      <c r="B2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9" s="43"/>
      <c r="D279" s="41"/>
      <c r="E279" s="41"/>
      <c r="F279" s="44"/>
      <c r="G279" s="44"/>
      <c r="H279" s="48"/>
      <c r="I279" s="48"/>
      <c r="J279" s="48"/>
      <c r="K279" s="48"/>
      <c r="L279" s="43"/>
      <c r="M279" s="44"/>
      <c r="N279" s="43"/>
      <c r="O279" s="43"/>
      <c r="P279" s="44"/>
      <c r="Q279" s="43"/>
      <c r="R279" s="43"/>
      <c r="S279" s="45"/>
      <c r="T279" s="58" t="str">
        <f>IF(Tableau1[[#This Row],[DMS_SAP]]="","",HYPERLINK(Tableau1[[#This Row],[Chemin fichier source]],"X"))</f>
        <v/>
      </c>
      <c r="U279" s="58" t="str">
        <f>IF(Tableau1[[#This Row],[Date rév.]]="","",HYPERLINK(Tableau1[[#This Row],[Lien document]],"X"))</f>
        <v/>
      </c>
      <c r="V279" s="44"/>
      <c r="W279" s="46" t="str">
        <f ca="1">Chemin_accès!$B$2&amp;Tableau1[[#This Row],[Poste Responsable]]&amp;"\"&amp;Tableau1[[#This Row],[Localisation / Classement]]&amp;"\"&amp;Tableau1[[#This Row],[Poste technique]]&amp;"_"&amp;Tableau1[[#This Row],[Plan Entretien]]&amp;".pdf"</f>
        <v>\\stjn.local\trimet\Donnees_Projets\Dms Sap\Maintenance\PlanEntretien\7.MNRJ\\_.pdf</v>
      </c>
      <c r="X279" s="44"/>
      <c r="Y279" s="44"/>
      <c r="Z279" s="41" t="str">
        <f ca="1">IF(AND(Tableau1[[#This Row],[Charge]]&lt;&gt;0, Tableau1[[#This Row],[Nombre intervenants]]&lt;&gt;0,Tableau1[[#This Row],[Lien document]]&lt;&gt;0,Tableau1[[#This Row],[DMS_SAP]]&lt;&gt;0)=TRUE,"MIS A JOUR","")</f>
        <v/>
      </c>
      <c r="AA279" s="45"/>
      <c r="AB279" s="55" t="str">
        <f ca="1">IF(Tableau1[[#This Row],[Date rév.]]&lt;&gt;"", DAYS360(Tableau1[[#This Row],[Date rév.]],TODAY()),"")</f>
        <v/>
      </c>
      <c r="AC279" s="47">
        <f>IFERROR(INDEX(Chemin_accès!$B$11:$C$22,MATCH(Tableau1[[#This Row],[Type]],Chemin_accès!$C$11:$C$22,0),1),Chemin_accès!$B$11)</f>
        <v>0</v>
      </c>
      <c r="AD279" s="47" t="str">
        <f>Chemin_accès!$B$8&amp;Tableau1[[#This Row],[Localisation / Classement]]&amp;"\"&amp;Tableau1[[#This Row],[Poste technique]]&amp;"_"&amp;Tableau1[[#This Row],[Plan Entretien]]&amp;".xlsm"</f>
        <v>\_.xlsm</v>
      </c>
    </row>
    <row r="280" spans="1:30" x14ac:dyDescent="0.3">
      <c r="A280" s="41" t="str">
        <f t="shared" ca="1" si="4"/>
        <v>7.MNRJ</v>
      </c>
      <c r="B2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0" s="43"/>
      <c r="D280" s="41"/>
      <c r="E280" s="41"/>
      <c r="F280" s="44"/>
      <c r="G280" s="44"/>
      <c r="H280" s="48"/>
      <c r="I280" s="48"/>
      <c r="J280" s="48"/>
      <c r="K280" s="48"/>
      <c r="L280" s="43"/>
      <c r="M280" s="44"/>
      <c r="N280" s="43"/>
      <c r="O280" s="43"/>
      <c r="P280" s="44"/>
      <c r="Q280" s="43"/>
      <c r="R280" s="43"/>
      <c r="S280" s="45"/>
      <c r="T280" s="58" t="str">
        <f>IF(Tableau1[[#This Row],[DMS_SAP]]="","",HYPERLINK(Tableau1[[#This Row],[Chemin fichier source]],"X"))</f>
        <v/>
      </c>
      <c r="U280" s="58" t="str">
        <f>IF(Tableau1[[#This Row],[Date rév.]]="","",HYPERLINK(Tableau1[[#This Row],[Lien document]],"X"))</f>
        <v/>
      </c>
      <c r="V280" s="44"/>
      <c r="W280" s="46" t="str">
        <f ca="1">Chemin_accès!$B$2&amp;Tableau1[[#This Row],[Poste Responsable]]&amp;"\"&amp;Tableau1[[#This Row],[Localisation / Classement]]&amp;"\"&amp;Tableau1[[#This Row],[Poste technique]]&amp;"_"&amp;Tableau1[[#This Row],[Plan Entretien]]&amp;".pdf"</f>
        <v>\\stjn.local\trimet\Donnees_Projets\Dms Sap\Maintenance\PlanEntretien\7.MNRJ\\_.pdf</v>
      </c>
      <c r="X280" s="44"/>
      <c r="Y280" s="44"/>
      <c r="Z280" s="41" t="str">
        <f ca="1">IF(AND(Tableau1[[#This Row],[Charge]]&lt;&gt;0, Tableau1[[#This Row],[Nombre intervenants]]&lt;&gt;0,Tableau1[[#This Row],[Lien document]]&lt;&gt;0,Tableau1[[#This Row],[DMS_SAP]]&lt;&gt;0)=TRUE,"MIS A JOUR","")</f>
        <v/>
      </c>
      <c r="AA280" s="45"/>
      <c r="AB280" s="55" t="str">
        <f ca="1">IF(Tableau1[[#This Row],[Date rév.]]&lt;&gt;"", DAYS360(Tableau1[[#This Row],[Date rév.]],TODAY()),"")</f>
        <v/>
      </c>
      <c r="AC280" s="47">
        <f>IFERROR(INDEX(Chemin_accès!$B$11:$C$22,MATCH(Tableau1[[#This Row],[Type]],Chemin_accès!$C$11:$C$22,0),1),Chemin_accès!$B$11)</f>
        <v>0</v>
      </c>
      <c r="AD280" s="47" t="str">
        <f>Chemin_accès!$B$8&amp;Tableau1[[#This Row],[Localisation / Classement]]&amp;"\"&amp;Tableau1[[#This Row],[Poste technique]]&amp;"_"&amp;Tableau1[[#This Row],[Plan Entretien]]&amp;".xlsm"</f>
        <v>\_.xlsm</v>
      </c>
    </row>
    <row r="281" spans="1:30" x14ac:dyDescent="0.3">
      <c r="A281" s="41" t="str">
        <f t="shared" ca="1" si="4"/>
        <v>7.MNRJ</v>
      </c>
      <c r="B2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1" s="43"/>
      <c r="D281" s="41"/>
      <c r="E281" s="41"/>
      <c r="F281" s="44"/>
      <c r="G281" s="44"/>
      <c r="H281" s="48"/>
      <c r="I281" s="48"/>
      <c r="J281" s="48"/>
      <c r="K281" s="48"/>
      <c r="L281" s="43"/>
      <c r="M281" s="44"/>
      <c r="N281" s="43"/>
      <c r="O281" s="43"/>
      <c r="P281" s="44"/>
      <c r="Q281" s="43"/>
      <c r="R281" s="43"/>
      <c r="S281" s="45"/>
      <c r="T281" s="58" t="str">
        <f>IF(Tableau1[[#This Row],[DMS_SAP]]="","",HYPERLINK(Tableau1[[#This Row],[Chemin fichier source]],"X"))</f>
        <v/>
      </c>
      <c r="U281" s="58" t="str">
        <f>IF(Tableau1[[#This Row],[Date rév.]]="","",HYPERLINK(Tableau1[[#This Row],[Lien document]],"X"))</f>
        <v/>
      </c>
      <c r="V281" s="44"/>
      <c r="W281" s="46" t="str">
        <f ca="1">Chemin_accès!$B$2&amp;Tableau1[[#This Row],[Poste Responsable]]&amp;"\"&amp;Tableau1[[#This Row],[Localisation / Classement]]&amp;"\"&amp;Tableau1[[#This Row],[Poste technique]]&amp;"_"&amp;Tableau1[[#This Row],[Plan Entretien]]&amp;".pdf"</f>
        <v>\\stjn.local\trimet\Donnees_Projets\Dms Sap\Maintenance\PlanEntretien\7.MNRJ\\_.pdf</v>
      </c>
      <c r="X281" s="44"/>
      <c r="Y281" s="44"/>
      <c r="Z281" s="41" t="str">
        <f ca="1">IF(AND(Tableau1[[#This Row],[Charge]]&lt;&gt;0, Tableau1[[#This Row],[Nombre intervenants]]&lt;&gt;0,Tableau1[[#This Row],[Lien document]]&lt;&gt;0,Tableau1[[#This Row],[DMS_SAP]]&lt;&gt;0)=TRUE,"MIS A JOUR","")</f>
        <v/>
      </c>
      <c r="AA281" s="45"/>
      <c r="AB281" s="55" t="str">
        <f ca="1">IF(Tableau1[[#This Row],[Date rév.]]&lt;&gt;"", DAYS360(Tableau1[[#This Row],[Date rév.]],TODAY()),"")</f>
        <v/>
      </c>
      <c r="AC281" s="47">
        <f>IFERROR(INDEX(Chemin_accès!$B$11:$C$22,MATCH(Tableau1[[#This Row],[Type]],Chemin_accès!$C$11:$C$22,0),1),Chemin_accès!$B$11)</f>
        <v>0</v>
      </c>
      <c r="AD281" s="47" t="str">
        <f>Chemin_accès!$B$8&amp;Tableau1[[#This Row],[Localisation / Classement]]&amp;"\"&amp;Tableau1[[#This Row],[Poste technique]]&amp;"_"&amp;Tableau1[[#This Row],[Plan Entretien]]&amp;".xlsm"</f>
        <v>\_.xlsm</v>
      </c>
    </row>
    <row r="282" spans="1:30" x14ac:dyDescent="0.3">
      <c r="A282" s="41" t="str">
        <f t="shared" ca="1" si="4"/>
        <v>7.MNRJ</v>
      </c>
      <c r="B2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2" s="43"/>
      <c r="D282" s="41"/>
      <c r="E282" s="41"/>
      <c r="F282" s="44"/>
      <c r="G282" s="44"/>
      <c r="H282" s="48"/>
      <c r="I282" s="48"/>
      <c r="J282" s="48"/>
      <c r="K282" s="48"/>
      <c r="L282" s="43"/>
      <c r="M282" s="44"/>
      <c r="N282" s="43"/>
      <c r="O282" s="43"/>
      <c r="P282" s="44"/>
      <c r="Q282" s="43"/>
      <c r="R282" s="43"/>
      <c r="S282" s="45"/>
      <c r="T282" s="58" t="str">
        <f>IF(Tableau1[[#This Row],[DMS_SAP]]="","",HYPERLINK(Tableau1[[#This Row],[Chemin fichier source]],"X"))</f>
        <v/>
      </c>
      <c r="U282" s="58" t="str">
        <f>IF(Tableau1[[#This Row],[Date rév.]]="","",HYPERLINK(Tableau1[[#This Row],[Lien document]],"X"))</f>
        <v/>
      </c>
      <c r="V282" s="44"/>
      <c r="W282" s="46" t="str">
        <f ca="1">Chemin_accès!$B$2&amp;Tableau1[[#This Row],[Poste Responsable]]&amp;"\"&amp;Tableau1[[#This Row],[Localisation / Classement]]&amp;"\"&amp;Tableau1[[#This Row],[Poste technique]]&amp;"_"&amp;Tableau1[[#This Row],[Plan Entretien]]&amp;".pdf"</f>
        <v>\\stjn.local\trimet\Donnees_Projets\Dms Sap\Maintenance\PlanEntretien\7.MNRJ\\_.pdf</v>
      </c>
      <c r="X282" s="44"/>
      <c r="Y282" s="44"/>
      <c r="Z282" s="41" t="str">
        <f ca="1">IF(AND(Tableau1[[#This Row],[Charge]]&lt;&gt;0, Tableau1[[#This Row],[Nombre intervenants]]&lt;&gt;0,Tableau1[[#This Row],[Lien document]]&lt;&gt;0,Tableau1[[#This Row],[DMS_SAP]]&lt;&gt;0)=TRUE,"MIS A JOUR","")</f>
        <v/>
      </c>
      <c r="AA282" s="45"/>
      <c r="AB282" s="55" t="str">
        <f ca="1">IF(Tableau1[[#This Row],[Date rév.]]&lt;&gt;"", DAYS360(Tableau1[[#This Row],[Date rév.]],TODAY()),"")</f>
        <v/>
      </c>
      <c r="AC282" s="47">
        <f>IFERROR(INDEX(Chemin_accès!$B$11:$C$22,MATCH(Tableau1[[#This Row],[Type]],Chemin_accès!$C$11:$C$22,0),1),Chemin_accès!$B$11)</f>
        <v>0</v>
      </c>
      <c r="AD282" s="47" t="str">
        <f>Chemin_accès!$B$8&amp;Tableau1[[#This Row],[Localisation / Classement]]&amp;"\"&amp;Tableau1[[#This Row],[Poste technique]]&amp;"_"&amp;Tableau1[[#This Row],[Plan Entretien]]&amp;".xlsm"</f>
        <v>\_.xlsm</v>
      </c>
    </row>
    <row r="283" spans="1:30" x14ac:dyDescent="0.3">
      <c r="A283" s="41" t="str">
        <f t="shared" ca="1" si="4"/>
        <v>7.MNRJ</v>
      </c>
      <c r="B2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3" s="43"/>
      <c r="D283" s="41"/>
      <c r="E283" s="41"/>
      <c r="F283" s="44"/>
      <c r="G283" s="44"/>
      <c r="H283" s="48"/>
      <c r="I283" s="48"/>
      <c r="J283" s="48"/>
      <c r="K283" s="48"/>
      <c r="L283" s="43"/>
      <c r="M283" s="44"/>
      <c r="N283" s="43"/>
      <c r="O283" s="43"/>
      <c r="P283" s="44"/>
      <c r="Q283" s="43"/>
      <c r="R283" s="43"/>
      <c r="S283" s="45"/>
      <c r="T283" s="58" t="str">
        <f>IF(Tableau1[[#This Row],[DMS_SAP]]="","",HYPERLINK(Tableau1[[#This Row],[Chemin fichier source]],"X"))</f>
        <v/>
      </c>
      <c r="U283" s="58" t="str">
        <f>IF(Tableau1[[#This Row],[Date rév.]]="","",HYPERLINK(Tableau1[[#This Row],[Lien document]],"X"))</f>
        <v/>
      </c>
      <c r="V283" s="44"/>
      <c r="W283" s="46" t="str">
        <f ca="1">Chemin_accès!$B$2&amp;Tableau1[[#This Row],[Poste Responsable]]&amp;"\"&amp;Tableau1[[#This Row],[Localisation / Classement]]&amp;"\"&amp;Tableau1[[#This Row],[Poste technique]]&amp;"_"&amp;Tableau1[[#This Row],[Plan Entretien]]&amp;".pdf"</f>
        <v>\\stjn.local\trimet\Donnees_Projets\Dms Sap\Maintenance\PlanEntretien\7.MNRJ\\_.pdf</v>
      </c>
      <c r="X283" s="44"/>
      <c r="Y283" s="44"/>
      <c r="Z283" s="41" t="str">
        <f ca="1">IF(AND(Tableau1[[#This Row],[Charge]]&lt;&gt;0, Tableau1[[#This Row],[Nombre intervenants]]&lt;&gt;0,Tableau1[[#This Row],[Lien document]]&lt;&gt;0,Tableau1[[#This Row],[DMS_SAP]]&lt;&gt;0)=TRUE,"MIS A JOUR","")</f>
        <v/>
      </c>
      <c r="AA283" s="45"/>
      <c r="AB283" s="55" t="str">
        <f ca="1">IF(Tableau1[[#This Row],[Date rév.]]&lt;&gt;"", DAYS360(Tableau1[[#This Row],[Date rév.]],TODAY()),"")</f>
        <v/>
      </c>
      <c r="AC283" s="47">
        <f>IFERROR(INDEX(Chemin_accès!$B$11:$C$22,MATCH(Tableau1[[#This Row],[Type]],Chemin_accès!$C$11:$C$22,0),1),Chemin_accès!$B$11)</f>
        <v>0</v>
      </c>
      <c r="AD283" s="47" t="str">
        <f>Chemin_accès!$B$8&amp;Tableau1[[#This Row],[Localisation / Classement]]&amp;"\"&amp;Tableau1[[#This Row],[Poste technique]]&amp;"_"&amp;Tableau1[[#This Row],[Plan Entretien]]&amp;".xlsm"</f>
        <v>\_.xlsm</v>
      </c>
    </row>
    <row r="284" spans="1:30" x14ac:dyDescent="0.3">
      <c r="A284" s="41" t="str">
        <f t="shared" ca="1" si="4"/>
        <v>7.MNRJ</v>
      </c>
      <c r="B2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4" s="43"/>
      <c r="D284" s="41"/>
      <c r="E284" s="41"/>
      <c r="F284" s="44"/>
      <c r="G284" s="44"/>
      <c r="H284" s="48"/>
      <c r="I284" s="48"/>
      <c r="J284" s="48"/>
      <c r="K284" s="48"/>
      <c r="L284" s="43"/>
      <c r="M284" s="44"/>
      <c r="N284" s="43"/>
      <c r="O284" s="43"/>
      <c r="P284" s="44"/>
      <c r="Q284" s="43"/>
      <c r="R284" s="43"/>
      <c r="S284" s="45"/>
      <c r="T284" s="58" t="str">
        <f>IF(Tableau1[[#This Row],[DMS_SAP]]="","",HYPERLINK(Tableau1[[#This Row],[Chemin fichier source]],"X"))</f>
        <v/>
      </c>
      <c r="U284" s="58" t="str">
        <f>IF(Tableau1[[#This Row],[Date rév.]]="","",HYPERLINK(Tableau1[[#This Row],[Lien document]],"X"))</f>
        <v/>
      </c>
      <c r="V284" s="44"/>
      <c r="W284" s="46" t="str">
        <f ca="1">Chemin_accès!$B$2&amp;Tableau1[[#This Row],[Poste Responsable]]&amp;"\"&amp;Tableau1[[#This Row],[Localisation / Classement]]&amp;"\"&amp;Tableau1[[#This Row],[Poste technique]]&amp;"_"&amp;Tableau1[[#This Row],[Plan Entretien]]&amp;".pdf"</f>
        <v>\\stjn.local\trimet\Donnees_Projets\Dms Sap\Maintenance\PlanEntretien\7.MNRJ\\_.pdf</v>
      </c>
      <c r="X284" s="44"/>
      <c r="Y284" s="44"/>
      <c r="Z284" s="41" t="str">
        <f ca="1">IF(AND(Tableau1[[#This Row],[Charge]]&lt;&gt;0, Tableau1[[#This Row],[Nombre intervenants]]&lt;&gt;0,Tableau1[[#This Row],[Lien document]]&lt;&gt;0,Tableau1[[#This Row],[DMS_SAP]]&lt;&gt;0)=TRUE,"MIS A JOUR","")</f>
        <v/>
      </c>
      <c r="AA284" s="45"/>
      <c r="AB284" s="55" t="str">
        <f ca="1">IF(Tableau1[[#This Row],[Date rév.]]&lt;&gt;"", DAYS360(Tableau1[[#This Row],[Date rév.]],TODAY()),"")</f>
        <v/>
      </c>
      <c r="AC284" s="47">
        <f>IFERROR(INDEX(Chemin_accès!$B$11:$C$22,MATCH(Tableau1[[#This Row],[Type]],Chemin_accès!$C$11:$C$22,0),1),Chemin_accès!$B$11)</f>
        <v>0</v>
      </c>
      <c r="AD284" s="47" t="str">
        <f>Chemin_accès!$B$8&amp;Tableau1[[#This Row],[Localisation / Classement]]&amp;"\"&amp;Tableau1[[#This Row],[Poste technique]]&amp;"_"&amp;Tableau1[[#This Row],[Plan Entretien]]&amp;".xlsm"</f>
        <v>\_.xlsm</v>
      </c>
    </row>
    <row r="285" spans="1:30" x14ac:dyDescent="0.3">
      <c r="A285" s="41" t="str">
        <f t="shared" ca="1" si="4"/>
        <v>7.MNRJ</v>
      </c>
      <c r="B2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5" s="43"/>
      <c r="D285" s="41"/>
      <c r="E285" s="41"/>
      <c r="F285" s="44"/>
      <c r="G285" s="44"/>
      <c r="H285" s="48"/>
      <c r="I285" s="48"/>
      <c r="J285" s="48"/>
      <c r="K285" s="48"/>
      <c r="L285" s="43"/>
      <c r="M285" s="44"/>
      <c r="N285" s="43"/>
      <c r="O285" s="43"/>
      <c r="P285" s="44"/>
      <c r="Q285" s="43"/>
      <c r="R285" s="43"/>
      <c r="S285" s="45"/>
      <c r="T285" s="58" t="str">
        <f>IF(Tableau1[[#This Row],[DMS_SAP]]="","",HYPERLINK(Tableau1[[#This Row],[Chemin fichier source]],"X"))</f>
        <v/>
      </c>
      <c r="U285" s="58" t="str">
        <f>IF(Tableau1[[#This Row],[Date rév.]]="","",HYPERLINK(Tableau1[[#This Row],[Lien document]],"X"))</f>
        <v/>
      </c>
      <c r="V285" s="44"/>
      <c r="W285" s="46" t="str">
        <f ca="1">Chemin_accès!$B$2&amp;Tableau1[[#This Row],[Poste Responsable]]&amp;"\"&amp;Tableau1[[#This Row],[Localisation / Classement]]&amp;"\"&amp;Tableau1[[#This Row],[Poste technique]]&amp;"_"&amp;Tableau1[[#This Row],[Plan Entretien]]&amp;".pdf"</f>
        <v>\\stjn.local\trimet\Donnees_Projets\Dms Sap\Maintenance\PlanEntretien\7.MNRJ\\_.pdf</v>
      </c>
      <c r="X285" s="44"/>
      <c r="Y285" s="44"/>
      <c r="Z285" s="41" t="str">
        <f ca="1">IF(AND(Tableau1[[#This Row],[Charge]]&lt;&gt;0, Tableau1[[#This Row],[Nombre intervenants]]&lt;&gt;0,Tableau1[[#This Row],[Lien document]]&lt;&gt;0,Tableau1[[#This Row],[DMS_SAP]]&lt;&gt;0)=TRUE,"MIS A JOUR","")</f>
        <v/>
      </c>
      <c r="AA285" s="45"/>
      <c r="AB285" s="55" t="str">
        <f ca="1">IF(Tableau1[[#This Row],[Date rév.]]&lt;&gt;"", DAYS360(Tableau1[[#This Row],[Date rév.]],TODAY()),"")</f>
        <v/>
      </c>
      <c r="AC285" s="47">
        <f>IFERROR(INDEX(Chemin_accès!$B$11:$C$22,MATCH(Tableau1[[#This Row],[Type]],Chemin_accès!$C$11:$C$22,0),1),Chemin_accès!$B$11)</f>
        <v>0</v>
      </c>
      <c r="AD285" s="47" t="str">
        <f>Chemin_accès!$B$8&amp;Tableau1[[#This Row],[Localisation / Classement]]&amp;"\"&amp;Tableau1[[#This Row],[Poste technique]]&amp;"_"&amp;Tableau1[[#This Row],[Plan Entretien]]&amp;".xlsm"</f>
        <v>\_.xlsm</v>
      </c>
    </row>
    <row r="286" spans="1:30" x14ac:dyDescent="0.3">
      <c r="A286" s="41" t="str">
        <f t="shared" ca="1" si="4"/>
        <v>7.MNRJ</v>
      </c>
      <c r="B2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6" s="43"/>
      <c r="D286" s="41"/>
      <c r="E286" s="41"/>
      <c r="F286" s="44"/>
      <c r="G286" s="44"/>
      <c r="H286" s="48"/>
      <c r="I286" s="48"/>
      <c r="J286" s="48"/>
      <c r="K286" s="48"/>
      <c r="L286" s="43"/>
      <c r="M286" s="44"/>
      <c r="N286" s="43"/>
      <c r="O286" s="43"/>
      <c r="P286" s="44"/>
      <c r="Q286" s="43"/>
      <c r="R286" s="43"/>
      <c r="S286" s="45"/>
      <c r="T286" s="58" t="str">
        <f>IF(Tableau1[[#This Row],[DMS_SAP]]="","",HYPERLINK(Tableau1[[#This Row],[Chemin fichier source]],"X"))</f>
        <v/>
      </c>
      <c r="U286" s="58" t="str">
        <f>IF(Tableau1[[#This Row],[Date rév.]]="","",HYPERLINK(Tableau1[[#This Row],[Lien document]],"X"))</f>
        <v/>
      </c>
      <c r="V286" s="44"/>
      <c r="W286" s="46" t="str">
        <f ca="1">Chemin_accès!$B$2&amp;Tableau1[[#This Row],[Poste Responsable]]&amp;"\"&amp;Tableau1[[#This Row],[Localisation / Classement]]&amp;"\"&amp;Tableau1[[#This Row],[Poste technique]]&amp;"_"&amp;Tableau1[[#This Row],[Plan Entretien]]&amp;".pdf"</f>
        <v>\\stjn.local\trimet\Donnees_Projets\Dms Sap\Maintenance\PlanEntretien\7.MNRJ\\_.pdf</v>
      </c>
      <c r="X286" s="44"/>
      <c r="Y286" s="44"/>
      <c r="Z286" s="41" t="str">
        <f ca="1">IF(AND(Tableau1[[#This Row],[Charge]]&lt;&gt;0, Tableau1[[#This Row],[Nombre intervenants]]&lt;&gt;0,Tableau1[[#This Row],[Lien document]]&lt;&gt;0,Tableau1[[#This Row],[DMS_SAP]]&lt;&gt;0)=TRUE,"MIS A JOUR","")</f>
        <v/>
      </c>
      <c r="AA286" s="45"/>
      <c r="AB286" s="55" t="str">
        <f ca="1">IF(Tableau1[[#This Row],[Date rév.]]&lt;&gt;"", DAYS360(Tableau1[[#This Row],[Date rév.]],TODAY()),"")</f>
        <v/>
      </c>
      <c r="AC286" s="47">
        <f>IFERROR(INDEX(Chemin_accès!$B$11:$C$22,MATCH(Tableau1[[#This Row],[Type]],Chemin_accès!$C$11:$C$22,0),1),Chemin_accès!$B$11)</f>
        <v>0</v>
      </c>
      <c r="AD286" s="47" t="str">
        <f>Chemin_accès!$B$8&amp;Tableau1[[#This Row],[Localisation / Classement]]&amp;"\"&amp;Tableau1[[#This Row],[Poste technique]]&amp;"_"&amp;Tableau1[[#This Row],[Plan Entretien]]&amp;".xlsm"</f>
        <v>\_.xlsm</v>
      </c>
    </row>
    <row r="287" spans="1:30" x14ac:dyDescent="0.3">
      <c r="A287" s="41" t="str">
        <f t="shared" ca="1" si="4"/>
        <v>7.MNRJ</v>
      </c>
      <c r="B2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7" s="43"/>
      <c r="D287" s="41"/>
      <c r="E287" s="41"/>
      <c r="F287" s="44"/>
      <c r="G287" s="44"/>
      <c r="H287" s="48"/>
      <c r="I287" s="48"/>
      <c r="J287" s="48"/>
      <c r="K287" s="48"/>
      <c r="L287" s="43"/>
      <c r="M287" s="44"/>
      <c r="N287" s="43"/>
      <c r="O287" s="43"/>
      <c r="P287" s="44"/>
      <c r="Q287" s="43"/>
      <c r="R287" s="43"/>
      <c r="S287" s="45"/>
      <c r="T287" s="58" t="str">
        <f>IF(Tableau1[[#This Row],[DMS_SAP]]="","",HYPERLINK(Tableau1[[#This Row],[Chemin fichier source]],"X"))</f>
        <v/>
      </c>
      <c r="U287" s="58" t="str">
        <f>IF(Tableau1[[#This Row],[Date rév.]]="","",HYPERLINK(Tableau1[[#This Row],[Lien document]],"X"))</f>
        <v/>
      </c>
      <c r="V287" s="44"/>
      <c r="W287" s="46" t="str">
        <f ca="1">Chemin_accès!$B$2&amp;Tableau1[[#This Row],[Poste Responsable]]&amp;"\"&amp;Tableau1[[#This Row],[Localisation / Classement]]&amp;"\"&amp;Tableau1[[#This Row],[Poste technique]]&amp;"_"&amp;Tableau1[[#This Row],[Plan Entretien]]&amp;".pdf"</f>
        <v>\\stjn.local\trimet\Donnees_Projets\Dms Sap\Maintenance\PlanEntretien\7.MNRJ\\_.pdf</v>
      </c>
      <c r="X287" s="44"/>
      <c r="Y287" s="44"/>
      <c r="Z287" s="41" t="str">
        <f ca="1">IF(AND(Tableau1[[#This Row],[Charge]]&lt;&gt;0, Tableau1[[#This Row],[Nombre intervenants]]&lt;&gt;0,Tableau1[[#This Row],[Lien document]]&lt;&gt;0,Tableau1[[#This Row],[DMS_SAP]]&lt;&gt;0)=TRUE,"MIS A JOUR","")</f>
        <v/>
      </c>
      <c r="AA287" s="45"/>
      <c r="AB287" s="55" t="str">
        <f ca="1">IF(Tableau1[[#This Row],[Date rév.]]&lt;&gt;"", DAYS360(Tableau1[[#This Row],[Date rév.]],TODAY()),"")</f>
        <v/>
      </c>
      <c r="AC287" s="47">
        <f>IFERROR(INDEX(Chemin_accès!$B$11:$C$22,MATCH(Tableau1[[#This Row],[Type]],Chemin_accès!$C$11:$C$22,0),1),Chemin_accès!$B$11)</f>
        <v>0</v>
      </c>
      <c r="AD287" s="47" t="str">
        <f>Chemin_accès!$B$8&amp;Tableau1[[#This Row],[Localisation / Classement]]&amp;"\"&amp;Tableau1[[#This Row],[Poste technique]]&amp;"_"&amp;Tableau1[[#This Row],[Plan Entretien]]&amp;".xlsm"</f>
        <v>\_.xlsm</v>
      </c>
    </row>
    <row r="288" spans="1:30" x14ac:dyDescent="0.3">
      <c r="A288" s="41" t="str">
        <f t="shared" ca="1" si="4"/>
        <v>7.MNRJ</v>
      </c>
      <c r="B2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8" s="43"/>
      <c r="D288" s="41"/>
      <c r="E288" s="41"/>
      <c r="F288" s="44"/>
      <c r="G288" s="44"/>
      <c r="H288" s="48"/>
      <c r="I288" s="48"/>
      <c r="J288" s="48"/>
      <c r="K288" s="48"/>
      <c r="L288" s="43"/>
      <c r="M288" s="44"/>
      <c r="N288" s="43"/>
      <c r="O288" s="43"/>
      <c r="P288" s="44"/>
      <c r="Q288" s="43"/>
      <c r="R288" s="43"/>
      <c r="S288" s="45"/>
      <c r="T288" s="58" t="str">
        <f>IF(Tableau1[[#This Row],[DMS_SAP]]="","",HYPERLINK(Tableau1[[#This Row],[Chemin fichier source]],"X"))</f>
        <v/>
      </c>
      <c r="U288" s="58" t="str">
        <f>IF(Tableau1[[#This Row],[Date rév.]]="","",HYPERLINK(Tableau1[[#This Row],[Lien document]],"X"))</f>
        <v/>
      </c>
      <c r="V288" s="44"/>
      <c r="W288" s="46" t="str">
        <f ca="1">Chemin_accès!$B$2&amp;Tableau1[[#This Row],[Poste Responsable]]&amp;"\"&amp;Tableau1[[#This Row],[Localisation / Classement]]&amp;"\"&amp;Tableau1[[#This Row],[Poste technique]]&amp;"_"&amp;Tableau1[[#This Row],[Plan Entretien]]&amp;".pdf"</f>
        <v>\\stjn.local\trimet\Donnees_Projets\Dms Sap\Maintenance\PlanEntretien\7.MNRJ\\_.pdf</v>
      </c>
      <c r="X288" s="44"/>
      <c r="Y288" s="44"/>
      <c r="Z288" s="41" t="str">
        <f ca="1">IF(AND(Tableau1[[#This Row],[Charge]]&lt;&gt;0, Tableau1[[#This Row],[Nombre intervenants]]&lt;&gt;0,Tableau1[[#This Row],[Lien document]]&lt;&gt;0,Tableau1[[#This Row],[DMS_SAP]]&lt;&gt;0)=TRUE,"MIS A JOUR","")</f>
        <v/>
      </c>
      <c r="AA288" s="45"/>
      <c r="AB288" s="55" t="str">
        <f ca="1">IF(Tableau1[[#This Row],[Date rév.]]&lt;&gt;"", DAYS360(Tableau1[[#This Row],[Date rév.]],TODAY()),"")</f>
        <v/>
      </c>
      <c r="AC288" s="47">
        <f>IFERROR(INDEX(Chemin_accès!$B$11:$C$22,MATCH(Tableau1[[#This Row],[Type]],Chemin_accès!$C$11:$C$22,0),1),Chemin_accès!$B$11)</f>
        <v>0</v>
      </c>
      <c r="AD288" s="47" t="str">
        <f>Chemin_accès!$B$8&amp;Tableau1[[#This Row],[Localisation / Classement]]&amp;"\"&amp;Tableau1[[#This Row],[Poste technique]]&amp;"_"&amp;Tableau1[[#This Row],[Plan Entretien]]&amp;".xlsm"</f>
        <v>\_.xlsm</v>
      </c>
    </row>
    <row r="289" spans="1:30" x14ac:dyDescent="0.3">
      <c r="A289" s="41" t="str">
        <f t="shared" ca="1" si="4"/>
        <v>7.MNRJ</v>
      </c>
      <c r="B2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9" s="43"/>
      <c r="D289" s="41"/>
      <c r="E289" s="41"/>
      <c r="F289" s="44"/>
      <c r="G289" s="44"/>
      <c r="H289" s="48"/>
      <c r="I289" s="48"/>
      <c r="J289" s="48"/>
      <c r="K289" s="48"/>
      <c r="L289" s="43"/>
      <c r="M289" s="44"/>
      <c r="N289" s="43"/>
      <c r="O289" s="43"/>
      <c r="P289" s="44"/>
      <c r="Q289" s="43"/>
      <c r="R289" s="43"/>
      <c r="S289" s="45"/>
      <c r="T289" s="58" t="str">
        <f>IF(Tableau1[[#This Row],[DMS_SAP]]="","",HYPERLINK(Tableau1[[#This Row],[Chemin fichier source]],"X"))</f>
        <v/>
      </c>
      <c r="U289" s="58" t="str">
        <f>IF(Tableau1[[#This Row],[Date rév.]]="","",HYPERLINK(Tableau1[[#This Row],[Lien document]],"X"))</f>
        <v/>
      </c>
      <c r="V289" s="44"/>
      <c r="W289" s="46" t="str">
        <f ca="1">Chemin_accès!$B$2&amp;Tableau1[[#This Row],[Poste Responsable]]&amp;"\"&amp;Tableau1[[#This Row],[Localisation / Classement]]&amp;"\"&amp;Tableau1[[#This Row],[Poste technique]]&amp;"_"&amp;Tableau1[[#This Row],[Plan Entretien]]&amp;".pdf"</f>
        <v>\\stjn.local\trimet\Donnees_Projets\Dms Sap\Maintenance\PlanEntretien\7.MNRJ\\_.pdf</v>
      </c>
      <c r="X289" s="44"/>
      <c r="Y289" s="44"/>
      <c r="Z289" s="41" t="str">
        <f ca="1">IF(AND(Tableau1[[#This Row],[Charge]]&lt;&gt;0, Tableau1[[#This Row],[Nombre intervenants]]&lt;&gt;0,Tableau1[[#This Row],[Lien document]]&lt;&gt;0,Tableau1[[#This Row],[DMS_SAP]]&lt;&gt;0)=TRUE,"MIS A JOUR","")</f>
        <v/>
      </c>
      <c r="AA289" s="45"/>
      <c r="AB289" s="55" t="str">
        <f ca="1">IF(Tableau1[[#This Row],[Date rév.]]&lt;&gt;"", DAYS360(Tableau1[[#This Row],[Date rév.]],TODAY()),"")</f>
        <v/>
      </c>
      <c r="AC289" s="47">
        <f>IFERROR(INDEX(Chemin_accès!$B$11:$C$22,MATCH(Tableau1[[#This Row],[Type]],Chemin_accès!$C$11:$C$22,0),1),Chemin_accès!$B$11)</f>
        <v>0</v>
      </c>
      <c r="AD289" s="47" t="str">
        <f>Chemin_accès!$B$8&amp;Tableau1[[#This Row],[Localisation / Classement]]&amp;"\"&amp;Tableau1[[#This Row],[Poste technique]]&amp;"_"&amp;Tableau1[[#This Row],[Plan Entretien]]&amp;".xlsm"</f>
        <v>\_.xlsm</v>
      </c>
    </row>
    <row r="290" spans="1:30" x14ac:dyDescent="0.3">
      <c r="A290" s="41" t="str">
        <f t="shared" ca="1" si="4"/>
        <v>7.MNRJ</v>
      </c>
      <c r="B2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0" s="43"/>
      <c r="D290" s="41"/>
      <c r="E290" s="41"/>
      <c r="F290" s="44"/>
      <c r="G290" s="44"/>
      <c r="H290" s="48"/>
      <c r="I290" s="48"/>
      <c r="J290" s="48"/>
      <c r="K290" s="48"/>
      <c r="L290" s="43"/>
      <c r="M290" s="44"/>
      <c r="N290" s="43"/>
      <c r="O290" s="43"/>
      <c r="P290" s="44"/>
      <c r="Q290" s="43"/>
      <c r="R290" s="43"/>
      <c r="S290" s="45"/>
      <c r="T290" s="58" t="str">
        <f>IF(Tableau1[[#This Row],[DMS_SAP]]="","",HYPERLINK(Tableau1[[#This Row],[Chemin fichier source]],"X"))</f>
        <v/>
      </c>
      <c r="U290" s="58" t="str">
        <f>IF(Tableau1[[#This Row],[Date rév.]]="","",HYPERLINK(Tableau1[[#This Row],[Lien document]],"X"))</f>
        <v/>
      </c>
      <c r="V290" s="44"/>
      <c r="W290" s="46" t="str">
        <f ca="1">Chemin_accès!$B$2&amp;Tableau1[[#This Row],[Poste Responsable]]&amp;"\"&amp;Tableau1[[#This Row],[Localisation / Classement]]&amp;"\"&amp;Tableau1[[#This Row],[Poste technique]]&amp;"_"&amp;Tableau1[[#This Row],[Plan Entretien]]&amp;".pdf"</f>
        <v>\\stjn.local\trimet\Donnees_Projets\Dms Sap\Maintenance\PlanEntretien\7.MNRJ\\_.pdf</v>
      </c>
      <c r="X290" s="44"/>
      <c r="Y290" s="44"/>
      <c r="Z290" s="41" t="str">
        <f ca="1">IF(AND(Tableau1[[#This Row],[Charge]]&lt;&gt;0, Tableau1[[#This Row],[Nombre intervenants]]&lt;&gt;0,Tableau1[[#This Row],[Lien document]]&lt;&gt;0,Tableau1[[#This Row],[DMS_SAP]]&lt;&gt;0)=TRUE,"MIS A JOUR","")</f>
        <v/>
      </c>
      <c r="AA290" s="45"/>
      <c r="AB290" s="55" t="str">
        <f ca="1">IF(Tableau1[[#This Row],[Date rév.]]&lt;&gt;"", DAYS360(Tableau1[[#This Row],[Date rév.]],TODAY()),"")</f>
        <v/>
      </c>
      <c r="AC290" s="47">
        <f>IFERROR(INDEX(Chemin_accès!$B$11:$C$22,MATCH(Tableau1[[#This Row],[Type]],Chemin_accès!$C$11:$C$22,0),1),Chemin_accès!$B$11)</f>
        <v>0</v>
      </c>
      <c r="AD290" s="47" t="str">
        <f>Chemin_accès!$B$8&amp;Tableau1[[#This Row],[Localisation / Classement]]&amp;"\"&amp;Tableau1[[#This Row],[Poste technique]]&amp;"_"&amp;Tableau1[[#This Row],[Plan Entretien]]&amp;".xlsm"</f>
        <v>\_.xlsm</v>
      </c>
    </row>
    <row r="291" spans="1:30" x14ac:dyDescent="0.3">
      <c r="A291" s="41" t="str">
        <f t="shared" ca="1" si="4"/>
        <v>7.MNRJ</v>
      </c>
      <c r="B2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1" s="43"/>
      <c r="D291" s="41"/>
      <c r="E291" s="41"/>
      <c r="F291" s="44"/>
      <c r="G291" s="44"/>
      <c r="H291" s="48"/>
      <c r="I291" s="48"/>
      <c r="J291" s="48"/>
      <c r="K291" s="48"/>
      <c r="L291" s="43"/>
      <c r="M291" s="44"/>
      <c r="N291" s="43"/>
      <c r="O291" s="43"/>
      <c r="P291" s="44"/>
      <c r="Q291" s="43"/>
      <c r="R291" s="43"/>
      <c r="S291" s="45"/>
      <c r="T291" s="58" t="str">
        <f>IF(Tableau1[[#This Row],[DMS_SAP]]="","",HYPERLINK(Tableau1[[#This Row],[Chemin fichier source]],"X"))</f>
        <v/>
      </c>
      <c r="U291" s="58" t="str">
        <f>IF(Tableau1[[#This Row],[Date rév.]]="","",HYPERLINK(Tableau1[[#This Row],[Lien document]],"X"))</f>
        <v/>
      </c>
      <c r="V291" s="44"/>
      <c r="W291" s="46" t="str">
        <f ca="1">Chemin_accès!$B$2&amp;Tableau1[[#This Row],[Poste Responsable]]&amp;"\"&amp;Tableau1[[#This Row],[Localisation / Classement]]&amp;"\"&amp;Tableau1[[#This Row],[Poste technique]]&amp;"_"&amp;Tableau1[[#This Row],[Plan Entretien]]&amp;".pdf"</f>
        <v>\\stjn.local\trimet\Donnees_Projets\Dms Sap\Maintenance\PlanEntretien\7.MNRJ\\_.pdf</v>
      </c>
      <c r="X291" s="44"/>
      <c r="Y291" s="44"/>
      <c r="Z291" s="41" t="str">
        <f ca="1">IF(AND(Tableau1[[#This Row],[Charge]]&lt;&gt;0, Tableau1[[#This Row],[Nombre intervenants]]&lt;&gt;0,Tableau1[[#This Row],[Lien document]]&lt;&gt;0,Tableau1[[#This Row],[DMS_SAP]]&lt;&gt;0)=TRUE,"MIS A JOUR","")</f>
        <v/>
      </c>
      <c r="AA291" s="45"/>
      <c r="AB291" s="55" t="str">
        <f ca="1">IF(Tableau1[[#This Row],[Date rév.]]&lt;&gt;"", DAYS360(Tableau1[[#This Row],[Date rév.]],TODAY()),"")</f>
        <v/>
      </c>
      <c r="AC291" s="47">
        <f>IFERROR(INDEX(Chemin_accès!$B$11:$C$22,MATCH(Tableau1[[#This Row],[Type]],Chemin_accès!$C$11:$C$22,0),1),Chemin_accès!$B$11)</f>
        <v>0</v>
      </c>
      <c r="AD291" s="47" t="str">
        <f>Chemin_accès!$B$8&amp;Tableau1[[#This Row],[Localisation / Classement]]&amp;"\"&amp;Tableau1[[#This Row],[Poste technique]]&amp;"_"&amp;Tableau1[[#This Row],[Plan Entretien]]&amp;".xlsm"</f>
        <v>\_.xlsm</v>
      </c>
    </row>
    <row r="292" spans="1:30" x14ac:dyDescent="0.3">
      <c r="A292" s="41" t="str">
        <f t="shared" ca="1" si="4"/>
        <v>7.MNRJ</v>
      </c>
      <c r="B2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2" s="43"/>
      <c r="D292" s="41"/>
      <c r="E292" s="41"/>
      <c r="F292" s="44"/>
      <c r="G292" s="44"/>
      <c r="H292" s="48"/>
      <c r="I292" s="48"/>
      <c r="J292" s="48"/>
      <c r="K292" s="48"/>
      <c r="L292" s="43"/>
      <c r="M292" s="44"/>
      <c r="N292" s="43"/>
      <c r="O292" s="43"/>
      <c r="P292" s="44"/>
      <c r="Q292" s="43"/>
      <c r="R292" s="43"/>
      <c r="S292" s="45"/>
      <c r="T292" s="58" t="str">
        <f>IF(Tableau1[[#This Row],[DMS_SAP]]="","",HYPERLINK(Tableau1[[#This Row],[Chemin fichier source]],"X"))</f>
        <v/>
      </c>
      <c r="U292" s="58" t="str">
        <f>IF(Tableau1[[#This Row],[Date rév.]]="","",HYPERLINK(Tableau1[[#This Row],[Lien document]],"X"))</f>
        <v/>
      </c>
      <c r="V292" s="44"/>
      <c r="W292" s="46" t="str">
        <f ca="1">Chemin_accès!$B$2&amp;Tableau1[[#This Row],[Poste Responsable]]&amp;"\"&amp;Tableau1[[#This Row],[Localisation / Classement]]&amp;"\"&amp;Tableau1[[#This Row],[Poste technique]]&amp;"_"&amp;Tableau1[[#This Row],[Plan Entretien]]&amp;".pdf"</f>
        <v>\\stjn.local\trimet\Donnees_Projets\Dms Sap\Maintenance\PlanEntretien\7.MNRJ\\_.pdf</v>
      </c>
      <c r="X292" s="44"/>
      <c r="Y292" s="44"/>
      <c r="Z292" s="41" t="str">
        <f ca="1">IF(AND(Tableau1[[#This Row],[Charge]]&lt;&gt;0, Tableau1[[#This Row],[Nombre intervenants]]&lt;&gt;0,Tableau1[[#This Row],[Lien document]]&lt;&gt;0,Tableau1[[#This Row],[DMS_SAP]]&lt;&gt;0)=TRUE,"MIS A JOUR","")</f>
        <v/>
      </c>
      <c r="AA292" s="45"/>
      <c r="AB292" s="55" t="str">
        <f ca="1">IF(Tableau1[[#This Row],[Date rév.]]&lt;&gt;"", DAYS360(Tableau1[[#This Row],[Date rév.]],TODAY()),"")</f>
        <v/>
      </c>
      <c r="AC292" s="47">
        <f>IFERROR(INDEX(Chemin_accès!$B$11:$C$22,MATCH(Tableau1[[#This Row],[Type]],Chemin_accès!$C$11:$C$22,0),1),Chemin_accès!$B$11)</f>
        <v>0</v>
      </c>
      <c r="AD292" s="47" t="str">
        <f>Chemin_accès!$B$8&amp;Tableau1[[#This Row],[Localisation / Classement]]&amp;"\"&amp;Tableau1[[#This Row],[Poste technique]]&amp;"_"&amp;Tableau1[[#This Row],[Plan Entretien]]&amp;".xlsm"</f>
        <v>\_.xlsm</v>
      </c>
    </row>
    <row r="293" spans="1:30" x14ac:dyDescent="0.3">
      <c r="A293" s="41" t="str">
        <f t="shared" ca="1" si="4"/>
        <v>7.MNRJ</v>
      </c>
      <c r="B2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3" s="43"/>
      <c r="D293" s="41"/>
      <c r="E293" s="41"/>
      <c r="F293" s="44"/>
      <c r="G293" s="44"/>
      <c r="H293" s="48"/>
      <c r="I293" s="48"/>
      <c r="J293" s="48"/>
      <c r="K293" s="48"/>
      <c r="L293" s="43"/>
      <c r="M293" s="44"/>
      <c r="N293" s="43"/>
      <c r="O293" s="43"/>
      <c r="P293" s="44"/>
      <c r="Q293" s="43"/>
      <c r="R293" s="43"/>
      <c r="S293" s="45"/>
      <c r="T293" s="58" t="str">
        <f>IF(Tableau1[[#This Row],[DMS_SAP]]="","",HYPERLINK(Tableau1[[#This Row],[Chemin fichier source]],"X"))</f>
        <v/>
      </c>
      <c r="U293" s="58" t="str">
        <f>IF(Tableau1[[#This Row],[Date rév.]]="","",HYPERLINK(Tableau1[[#This Row],[Lien document]],"X"))</f>
        <v/>
      </c>
      <c r="V293" s="44"/>
      <c r="W293" s="46" t="str">
        <f ca="1">Chemin_accès!$B$2&amp;Tableau1[[#This Row],[Poste Responsable]]&amp;"\"&amp;Tableau1[[#This Row],[Localisation / Classement]]&amp;"\"&amp;Tableau1[[#This Row],[Poste technique]]&amp;"_"&amp;Tableau1[[#This Row],[Plan Entretien]]&amp;".pdf"</f>
        <v>\\stjn.local\trimet\Donnees_Projets\Dms Sap\Maintenance\PlanEntretien\7.MNRJ\\_.pdf</v>
      </c>
      <c r="X293" s="44"/>
      <c r="Y293" s="44"/>
      <c r="Z293" s="41" t="str">
        <f ca="1">IF(AND(Tableau1[[#This Row],[Charge]]&lt;&gt;0, Tableau1[[#This Row],[Nombre intervenants]]&lt;&gt;0,Tableau1[[#This Row],[Lien document]]&lt;&gt;0,Tableau1[[#This Row],[DMS_SAP]]&lt;&gt;0)=TRUE,"MIS A JOUR","")</f>
        <v/>
      </c>
      <c r="AA293" s="45"/>
      <c r="AB293" s="55" t="str">
        <f ca="1">IF(Tableau1[[#This Row],[Date rév.]]&lt;&gt;"", DAYS360(Tableau1[[#This Row],[Date rév.]],TODAY()),"")</f>
        <v/>
      </c>
      <c r="AC293" s="47">
        <f>IFERROR(INDEX(Chemin_accès!$B$11:$C$22,MATCH(Tableau1[[#This Row],[Type]],Chemin_accès!$C$11:$C$22,0),1),Chemin_accès!$B$11)</f>
        <v>0</v>
      </c>
      <c r="AD293" s="47" t="str">
        <f>Chemin_accès!$B$8&amp;Tableau1[[#This Row],[Localisation / Classement]]&amp;"\"&amp;Tableau1[[#This Row],[Poste technique]]&amp;"_"&amp;Tableau1[[#This Row],[Plan Entretien]]&amp;".xlsm"</f>
        <v>\_.xlsm</v>
      </c>
    </row>
    <row r="294" spans="1:30" x14ac:dyDescent="0.3">
      <c r="A294" s="41" t="str">
        <f t="shared" ca="1" si="4"/>
        <v>7.MNRJ</v>
      </c>
      <c r="B2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4" s="43"/>
      <c r="D294" s="41"/>
      <c r="E294" s="41"/>
      <c r="F294" s="44"/>
      <c r="G294" s="44"/>
      <c r="H294" s="48"/>
      <c r="I294" s="48"/>
      <c r="J294" s="48"/>
      <c r="K294" s="48"/>
      <c r="L294" s="43"/>
      <c r="M294" s="44"/>
      <c r="N294" s="43"/>
      <c r="O294" s="43"/>
      <c r="P294" s="44"/>
      <c r="Q294" s="43"/>
      <c r="R294" s="43"/>
      <c r="S294" s="45"/>
      <c r="T294" s="58" t="str">
        <f>IF(Tableau1[[#This Row],[DMS_SAP]]="","",HYPERLINK(Tableau1[[#This Row],[Chemin fichier source]],"X"))</f>
        <v/>
      </c>
      <c r="U294" s="58" t="str">
        <f>IF(Tableau1[[#This Row],[Date rév.]]="","",HYPERLINK(Tableau1[[#This Row],[Lien document]],"X"))</f>
        <v/>
      </c>
      <c r="V294" s="44"/>
      <c r="W294" s="46" t="str">
        <f ca="1">Chemin_accès!$B$2&amp;Tableau1[[#This Row],[Poste Responsable]]&amp;"\"&amp;Tableau1[[#This Row],[Localisation / Classement]]&amp;"\"&amp;Tableau1[[#This Row],[Poste technique]]&amp;"_"&amp;Tableau1[[#This Row],[Plan Entretien]]&amp;".pdf"</f>
        <v>\\stjn.local\trimet\Donnees_Projets\Dms Sap\Maintenance\PlanEntretien\7.MNRJ\\_.pdf</v>
      </c>
      <c r="X294" s="44"/>
      <c r="Y294" s="44"/>
      <c r="Z294" s="41" t="str">
        <f ca="1">IF(AND(Tableau1[[#This Row],[Charge]]&lt;&gt;0, Tableau1[[#This Row],[Nombre intervenants]]&lt;&gt;0,Tableau1[[#This Row],[Lien document]]&lt;&gt;0,Tableau1[[#This Row],[DMS_SAP]]&lt;&gt;0)=TRUE,"MIS A JOUR","")</f>
        <v/>
      </c>
      <c r="AA294" s="45"/>
      <c r="AB294" s="55" t="str">
        <f ca="1">IF(Tableau1[[#This Row],[Date rév.]]&lt;&gt;"", DAYS360(Tableau1[[#This Row],[Date rév.]],TODAY()),"")</f>
        <v/>
      </c>
      <c r="AC294" s="47">
        <f>IFERROR(INDEX(Chemin_accès!$B$11:$C$22,MATCH(Tableau1[[#This Row],[Type]],Chemin_accès!$C$11:$C$22,0),1),Chemin_accès!$B$11)</f>
        <v>0</v>
      </c>
      <c r="AD294" s="47" t="str">
        <f>Chemin_accès!$B$8&amp;Tableau1[[#This Row],[Localisation / Classement]]&amp;"\"&amp;Tableau1[[#This Row],[Poste technique]]&amp;"_"&amp;Tableau1[[#This Row],[Plan Entretien]]&amp;".xlsm"</f>
        <v>\_.xlsm</v>
      </c>
    </row>
    <row r="295" spans="1:30" x14ac:dyDescent="0.3">
      <c r="A295" s="41" t="str">
        <f t="shared" ca="1" si="4"/>
        <v>7.MNRJ</v>
      </c>
      <c r="B2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5" s="43"/>
      <c r="D295" s="41"/>
      <c r="E295" s="41"/>
      <c r="F295" s="44"/>
      <c r="G295" s="44"/>
      <c r="H295" s="48"/>
      <c r="I295" s="48"/>
      <c r="J295" s="48"/>
      <c r="K295" s="48"/>
      <c r="L295" s="43"/>
      <c r="M295" s="44"/>
      <c r="N295" s="43"/>
      <c r="O295" s="43"/>
      <c r="P295" s="44"/>
      <c r="Q295" s="43"/>
      <c r="R295" s="43"/>
      <c r="S295" s="45"/>
      <c r="T295" s="58" t="str">
        <f>IF(Tableau1[[#This Row],[DMS_SAP]]="","",HYPERLINK(Tableau1[[#This Row],[Chemin fichier source]],"X"))</f>
        <v/>
      </c>
      <c r="U295" s="58" t="str">
        <f>IF(Tableau1[[#This Row],[Date rév.]]="","",HYPERLINK(Tableau1[[#This Row],[Lien document]],"X"))</f>
        <v/>
      </c>
      <c r="V295" s="44"/>
      <c r="W295" s="46" t="str">
        <f ca="1">Chemin_accès!$B$2&amp;Tableau1[[#This Row],[Poste Responsable]]&amp;"\"&amp;Tableau1[[#This Row],[Localisation / Classement]]&amp;"\"&amp;Tableau1[[#This Row],[Poste technique]]&amp;"_"&amp;Tableau1[[#This Row],[Plan Entretien]]&amp;".pdf"</f>
        <v>\\stjn.local\trimet\Donnees_Projets\Dms Sap\Maintenance\PlanEntretien\7.MNRJ\\_.pdf</v>
      </c>
      <c r="X295" s="44"/>
      <c r="Y295" s="44"/>
      <c r="Z295" s="41" t="str">
        <f ca="1">IF(AND(Tableau1[[#This Row],[Charge]]&lt;&gt;0, Tableau1[[#This Row],[Nombre intervenants]]&lt;&gt;0,Tableau1[[#This Row],[Lien document]]&lt;&gt;0,Tableau1[[#This Row],[DMS_SAP]]&lt;&gt;0)=TRUE,"MIS A JOUR","")</f>
        <v/>
      </c>
      <c r="AA295" s="45"/>
      <c r="AB295" s="55" t="str">
        <f ca="1">IF(Tableau1[[#This Row],[Date rév.]]&lt;&gt;"", DAYS360(Tableau1[[#This Row],[Date rév.]],TODAY()),"")</f>
        <v/>
      </c>
      <c r="AC295" s="47">
        <f>IFERROR(INDEX(Chemin_accès!$B$11:$C$22,MATCH(Tableau1[[#This Row],[Type]],Chemin_accès!$C$11:$C$22,0),1),Chemin_accès!$B$11)</f>
        <v>0</v>
      </c>
      <c r="AD295" s="47" t="str">
        <f>Chemin_accès!$B$8&amp;Tableau1[[#This Row],[Localisation / Classement]]&amp;"\"&amp;Tableau1[[#This Row],[Poste technique]]&amp;"_"&amp;Tableau1[[#This Row],[Plan Entretien]]&amp;".xlsm"</f>
        <v>\_.xlsm</v>
      </c>
    </row>
    <row r="296" spans="1:30" x14ac:dyDescent="0.3">
      <c r="A296" s="41" t="str">
        <f t="shared" ca="1" si="4"/>
        <v>7.MNRJ</v>
      </c>
      <c r="B2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6" s="43"/>
      <c r="D296" s="41"/>
      <c r="E296" s="41"/>
      <c r="F296" s="44"/>
      <c r="G296" s="44"/>
      <c r="H296" s="48"/>
      <c r="I296" s="48"/>
      <c r="J296" s="48"/>
      <c r="K296" s="48"/>
      <c r="L296" s="43"/>
      <c r="M296" s="44"/>
      <c r="N296" s="43"/>
      <c r="O296" s="43"/>
      <c r="P296" s="44"/>
      <c r="Q296" s="43"/>
      <c r="R296" s="43"/>
      <c r="S296" s="45"/>
      <c r="T296" s="58" t="str">
        <f>IF(Tableau1[[#This Row],[DMS_SAP]]="","",HYPERLINK(Tableau1[[#This Row],[Chemin fichier source]],"X"))</f>
        <v/>
      </c>
      <c r="U296" s="58" t="str">
        <f>IF(Tableau1[[#This Row],[Date rév.]]="","",HYPERLINK(Tableau1[[#This Row],[Lien document]],"X"))</f>
        <v/>
      </c>
      <c r="V296" s="44"/>
      <c r="W296" s="46" t="str">
        <f ca="1">Chemin_accès!$B$2&amp;Tableau1[[#This Row],[Poste Responsable]]&amp;"\"&amp;Tableau1[[#This Row],[Localisation / Classement]]&amp;"\"&amp;Tableau1[[#This Row],[Poste technique]]&amp;"_"&amp;Tableau1[[#This Row],[Plan Entretien]]&amp;".pdf"</f>
        <v>\\stjn.local\trimet\Donnees_Projets\Dms Sap\Maintenance\PlanEntretien\7.MNRJ\\_.pdf</v>
      </c>
      <c r="X296" s="44"/>
      <c r="Y296" s="44"/>
      <c r="Z296" s="41" t="str">
        <f ca="1">IF(AND(Tableau1[[#This Row],[Charge]]&lt;&gt;0, Tableau1[[#This Row],[Nombre intervenants]]&lt;&gt;0,Tableau1[[#This Row],[Lien document]]&lt;&gt;0,Tableau1[[#This Row],[DMS_SAP]]&lt;&gt;0)=TRUE,"MIS A JOUR","")</f>
        <v/>
      </c>
      <c r="AA296" s="45"/>
      <c r="AB296" s="55" t="str">
        <f ca="1">IF(Tableau1[[#This Row],[Date rév.]]&lt;&gt;"", DAYS360(Tableau1[[#This Row],[Date rév.]],TODAY()),"")</f>
        <v/>
      </c>
      <c r="AC296" s="47">
        <f>IFERROR(INDEX(Chemin_accès!$B$11:$C$22,MATCH(Tableau1[[#This Row],[Type]],Chemin_accès!$C$11:$C$22,0),1),Chemin_accès!$B$11)</f>
        <v>0</v>
      </c>
      <c r="AD296" s="47" t="str">
        <f>Chemin_accès!$B$8&amp;Tableau1[[#This Row],[Localisation / Classement]]&amp;"\"&amp;Tableau1[[#This Row],[Poste technique]]&amp;"_"&amp;Tableau1[[#This Row],[Plan Entretien]]&amp;".xlsm"</f>
        <v>\_.xlsm</v>
      </c>
    </row>
    <row r="297" spans="1:30" x14ac:dyDescent="0.3">
      <c r="A297" s="41" t="str">
        <f t="shared" ca="1" si="4"/>
        <v>7.MNRJ</v>
      </c>
      <c r="B2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7" s="43"/>
      <c r="D297" s="41"/>
      <c r="E297" s="41"/>
      <c r="F297" s="44"/>
      <c r="G297" s="44"/>
      <c r="H297" s="48"/>
      <c r="I297" s="48"/>
      <c r="J297" s="48"/>
      <c r="K297" s="48"/>
      <c r="L297" s="43"/>
      <c r="M297" s="44"/>
      <c r="N297" s="43"/>
      <c r="O297" s="43"/>
      <c r="P297" s="44"/>
      <c r="Q297" s="43"/>
      <c r="R297" s="43"/>
      <c r="S297" s="45"/>
      <c r="T297" s="58" t="str">
        <f>IF(Tableau1[[#This Row],[DMS_SAP]]="","",HYPERLINK(Tableau1[[#This Row],[Chemin fichier source]],"X"))</f>
        <v/>
      </c>
      <c r="U297" s="58" t="str">
        <f>IF(Tableau1[[#This Row],[Date rév.]]="","",HYPERLINK(Tableau1[[#This Row],[Lien document]],"X"))</f>
        <v/>
      </c>
      <c r="V297" s="44"/>
      <c r="W297" s="46" t="str">
        <f ca="1">Chemin_accès!$B$2&amp;Tableau1[[#This Row],[Poste Responsable]]&amp;"\"&amp;Tableau1[[#This Row],[Localisation / Classement]]&amp;"\"&amp;Tableau1[[#This Row],[Poste technique]]&amp;"_"&amp;Tableau1[[#This Row],[Plan Entretien]]&amp;".pdf"</f>
        <v>\\stjn.local\trimet\Donnees_Projets\Dms Sap\Maintenance\PlanEntretien\7.MNRJ\\_.pdf</v>
      </c>
      <c r="X297" s="44"/>
      <c r="Y297" s="44"/>
      <c r="Z297" s="41" t="str">
        <f ca="1">IF(AND(Tableau1[[#This Row],[Charge]]&lt;&gt;0, Tableau1[[#This Row],[Nombre intervenants]]&lt;&gt;0,Tableau1[[#This Row],[Lien document]]&lt;&gt;0,Tableau1[[#This Row],[DMS_SAP]]&lt;&gt;0)=TRUE,"MIS A JOUR","")</f>
        <v/>
      </c>
      <c r="AA297" s="45"/>
      <c r="AB297" s="55" t="str">
        <f ca="1">IF(Tableau1[[#This Row],[Date rév.]]&lt;&gt;"", DAYS360(Tableau1[[#This Row],[Date rév.]],TODAY()),"")</f>
        <v/>
      </c>
      <c r="AC297" s="47">
        <f>IFERROR(INDEX(Chemin_accès!$B$11:$C$22,MATCH(Tableau1[[#This Row],[Type]],Chemin_accès!$C$11:$C$22,0),1),Chemin_accès!$B$11)</f>
        <v>0</v>
      </c>
      <c r="AD297" s="47" t="str">
        <f>Chemin_accès!$B$8&amp;Tableau1[[#This Row],[Localisation / Classement]]&amp;"\"&amp;Tableau1[[#This Row],[Poste technique]]&amp;"_"&amp;Tableau1[[#This Row],[Plan Entretien]]&amp;".xlsm"</f>
        <v>\_.xlsm</v>
      </c>
    </row>
    <row r="298" spans="1:30" x14ac:dyDescent="0.3">
      <c r="A298" s="41" t="str">
        <f t="shared" ca="1" si="4"/>
        <v>7.MNRJ</v>
      </c>
      <c r="B2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8" s="60"/>
      <c r="D298" s="41"/>
      <c r="E298" s="41"/>
      <c r="F298" s="44"/>
      <c r="G298" s="44"/>
      <c r="H298" s="48"/>
      <c r="I298" s="48"/>
      <c r="J298" s="48"/>
      <c r="K298" s="48"/>
      <c r="L298" s="43"/>
      <c r="M298" s="44"/>
      <c r="N298" s="43"/>
      <c r="O298" s="43"/>
      <c r="P298" s="44"/>
      <c r="Q298" s="43"/>
      <c r="R298" s="43"/>
      <c r="S298" s="45"/>
      <c r="T298" s="58" t="str">
        <f>IF(Tableau1[[#This Row],[DMS_SAP]]="","",HYPERLINK(Tableau1[[#This Row],[Chemin fichier source]],"X"))</f>
        <v/>
      </c>
      <c r="U298" s="58" t="str">
        <f>IF(Tableau1[[#This Row],[Date rév.]]="","",HYPERLINK(Tableau1[[#This Row],[Lien document]],"X"))</f>
        <v/>
      </c>
      <c r="V298" s="44"/>
      <c r="W298" s="46" t="str">
        <f ca="1">Chemin_accès!$B$2&amp;Tableau1[[#This Row],[Poste Responsable]]&amp;"\"&amp;Tableau1[[#This Row],[Localisation / Classement]]&amp;"\"&amp;Tableau1[[#This Row],[Poste technique]]&amp;"_"&amp;Tableau1[[#This Row],[Plan Entretien]]&amp;".pdf"</f>
        <v>\\stjn.local\trimet\Donnees_Projets\Dms Sap\Maintenance\PlanEntretien\7.MNRJ\\_.pdf</v>
      </c>
      <c r="X298" s="44"/>
      <c r="Y298" s="44"/>
      <c r="Z298" s="41" t="str">
        <f ca="1">IF(AND(Tableau1[[#This Row],[Charge]]&lt;&gt;0, Tableau1[[#This Row],[Nombre intervenants]]&lt;&gt;0,Tableau1[[#This Row],[Lien document]]&lt;&gt;0,Tableau1[[#This Row],[DMS_SAP]]&lt;&gt;0)=TRUE,"MIS A JOUR","")</f>
        <v/>
      </c>
      <c r="AA298" s="45"/>
      <c r="AB298" s="55" t="str">
        <f ca="1">IF(Tableau1[[#This Row],[Date rév.]]&lt;&gt;"", DAYS360(Tableau1[[#This Row],[Date rév.]],TODAY()),"")</f>
        <v/>
      </c>
      <c r="AC298" s="47">
        <f>IFERROR(INDEX(Chemin_accès!$B$11:$C$22,MATCH(Tableau1[[#This Row],[Type]],Chemin_accès!$C$11:$C$22,0),1),Chemin_accès!$B$11)</f>
        <v>0</v>
      </c>
      <c r="AD298" s="47" t="str">
        <f>Chemin_accès!$B$8&amp;Tableau1[[#This Row],[Localisation / Classement]]&amp;"\"&amp;Tableau1[[#This Row],[Poste technique]]&amp;"_"&amp;Tableau1[[#This Row],[Plan Entretien]]&amp;".xlsm"</f>
        <v>\_.xlsm</v>
      </c>
    </row>
    <row r="299" spans="1:30" x14ac:dyDescent="0.3">
      <c r="A299" s="41" t="str">
        <f t="shared" ca="1" si="4"/>
        <v>7.MNRJ</v>
      </c>
      <c r="B2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9" s="43"/>
      <c r="D299" s="41"/>
      <c r="E299" s="41"/>
      <c r="F299" s="44"/>
      <c r="G299" s="44"/>
      <c r="H299" s="48"/>
      <c r="I299" s="48"/>
      <c r="J299" s="48"/>
      <c r="K299" s="48"/>
      <c r="L299" s="43"/>
      <c r="M299" s="44"/>
      <c r="N299" s="43"/>
      <c r="O299" s="43"/>
      <c r="P299" s="44"/>
      <c r="Q299" s="43"/>
      <c r="R299" s="43"/>
      <c r="S299" s="45"/>
      <c r="T299" s="58" t="str">
        <f>IF(Tableau1[[#This Row],[DMS_SAP]]="","",HYPERLINK(Tableau1[[#This Row],[Chemin fichier source]],"X"))</f>
        <v/>
      </c>
      <c r="U299" s="58" t="str">
        <f>IF(Tableau1[[#This Row],[Date rév.]]="","",HYPERLINK(Tableau1[[#This Row],[Lien document]],"X"))</f>
        <v/>
      </c>
      <c r="V299" s="44"/>
      <c r="W299" s="46" t="str">
        <f ca="1">Chemin_accès!$B$2&amp;Tableau1[[#This Row],[Poste Responsable]]&amp;"\"&amp;Tableau1[[#This Row],[Localisation / Classement]]&amp;"\"&amp;Tableau1[[#This Row],[Poste technique]]&amp;"_"&amp;Tableau1[[#This Row],[Plan Entretien]]&amp;".pdf"</f>
        <v>\\stjn.local\trimet\Donnees_Projets\Dms Sap\Maintenance\PlanEntretien\7.MNRJ\\_.pdf</v>
      </c>
      <c r="X299" s="44"/>
      <c r="Y299" s="44"/>
      <c r="Z299" s="41" t="str">
        <f ca="1">IF(AND(Tableau1[[#This Row],[Charge]]&lt;&gt;0, Tableau1[[#This Row],[Nombre intervenants]]&lt;&gt;0,Tableau1[[#This Row],[Lien document]]&lt;&gt;0,Tableau1[[#This Row],[DMS_SAP]]&lt;&gt;0)=TRUE,"MIS A JOUR","")</f>
        <v/>
      </c>
      <c r="AA299" s="45"/>
      <c r="AB299" s="55" t="str">
        <f ca="1">IF(Tableau1[[#This Row],[Date rév.]]&lt;&gt;"", DAYS360(Tableau1[[#This Row],[Date rév.]],TODAY()),"")</f>
        <v/>
      </c>
      <c r="AC299" s="47">
        <f>IFERROR(INDEX(Chemin_accès!$B$11:$C$22,MATCH(Tableau1[[#This Row],[Type]],Chemin_accès!$C$11:$C$22,0),1),Chemin_accès!$B$11)</f>
        <v>0</v>
      </c>
      <c r="AD299" s="47" t="str">
        <f>Chemin_accès!$B$8&amp;Tableau1[[#This Row],[Localisation / Classement]]&amp;"\"&amp;Tableau1[[#This Row],[Poste technique]]&amp;"_"&amp;Tableau1[[#This Row],[Plan Entretien]]&amp;".xlsm"</f>
        <v>\_.xlsm</v>
      </c>
    </row>
    <row r="300" spans="1:30" x14ac:dyDescent="0.3">
      <c r="A300" s="41" t="str">
        <f t="shared" ca="1" si="4"/>
        <v>7.MNRJ</v>
      </c>
      <c r="B3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0" s="43"/>
      <c r="D300" s="41"/>
      <c r="E300" s="41"/>
      <c r="F300" s="44"/>
      <c r="G300" s="44"/>
      <c r="H300" s="48"/>
      <c r="I300" s="48"/>
      <c r="J300" s="48"/>
      <c r="K300" s="48"/>
      <c r="L300" s="43"/>
      <c r="M300" s="44"/>
      <c r="N300" s="43"/>
      <c r="O300" s="43"/>
      <c r="P300" s="44"/>
      <c r="Q300" s="43"/>
      <c r="R300" s="43"/>
      <c r="S300" s="45"/>
      <c r="T300" s="58" t="str">
        <f>IF(Tableau1[[#This Row],[DMS_SAP]]="","",HYPERLINK(Tableau1[[#This Row],[Chemin fichier source]],"X"))</f>
        <v/>
      </c>
      <c r="U300" s="58" t="str">
        <f>IF(Tableau1[[#This Row],[Date rév.]]="","",HYPERLINK(Tableau1[[#This Row],[Lien document]],"X"))</f>
        <v/>
      </c>
      <c r="V300" s="44"/>
      <c r="W300" s="46" t="str">
        <f ca="1">Chemin_accès!$B$2&amp;Tableau1[[#This Row],[Poste Responsable]]&amp;"\"&amp;Tableau1[[#This Row],[Localisation / Classement]]&amp;"\"&amp;Tableau1[[#This Row],[Poste technique]]&amp;"_"&amp;Tableau1[[#This Row],[Plan Entretien]]&amp;".pdf"</f>
        <v>\\stjn.local\trimet\Donnees_Projets\Dms Sap\Maintenance\PlanEntretien\7.MNRJ\\_.pdf</v>
      </c>
      <c r="X300" s="44"/>
      <c r="Y300" s="44"/>
      <c r="Z300" s="41" t="str">
        <f ca="1">IF(AND(Tableau1[[#This Row],[Charge]]&lt;&gt;0, Tableau1[[#This Row],[Nombre intervenants]]&lt;&gt;0,Tableau1[[#This Row],[Lien document]]&lt;&gt;0,Tableau1[[#This Row],[DMS_SAP]]&lt;&gt;0)=TRUE,"MIS A JOUR","")</f>
        <v/>
      </c>
      <c r="AA300" s="45"/>
      <c r="AB300" s="55" t="str">
        <f ca="1">IF(Tableau1[[#This Row],[Date rév.]]&lt;&gt;"", DAYS360(Tableau1[[#This Row],[Date rév.]],TODAY()),"")</f>
        <v/>
      </c>
      <c r="AC300" s="47">
        <f>IFERROR(INDEX(Chemin_accès!$B$11:$C$22,MATCH(Tableau1[[#This Row],[Type]],Chemin_accès!$C$11:$C$22,0),1),Chemin_accès!$B$11)</f>
        <v>0</v>
      </c>
      <c r="AD300" s="47" t="str">
        <f>Chemin_accès!$B$8&amp;Tableau1[[#This Row],[Localisation / Classement]]&amp;"\"&amp;Tableau1[[#This Row],[Poste technique]]&amp;"_"&amp;Tableau1[[#This Row],[Plan Entretien]]&amp;".xlsm"</f>
        <v>\_.xlsm</v>
      </c>
    </row>
    <row r="301" spans="1:30" x14ac:dyDescent="0.3">
      <c r="A301" s="41" t="str">
        <f t="shared" ca="1" si="4"/>
        <v>7.MNRJ</v>
      </c>
      <c r="B3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1" s="43"/>
      <c r="D301" s="41"/>
      <c r="E301" s="41"/>
      <c r="F301" s="44"/>
      <c r="G301" s="44"/>
      <c r="H301" s="48"/>
      <c r="I301" s="48"/>
      <c r="J301" s="48"/>
      <c r="K301" s="48"/>
      <c r="L301" s="43"/>
      <c r="M301" s="44"/>
      <c r="N301" s="43"/>
      <c r="O301" s="43"/>
      <c r="P301" s="44"/>
      <c r="Q301" s="43"/>
      <c r="R301" s="43"/>
      <c r="S301" s="45"/>
      <c r="T301" s="58" t="str">
        <f>IF(Tableau1[[#This Row],[DMS_SAP]]="","",HYPERLINK(Tableau1[[#This Row],[Chemin fichier source]],"X"))</f>
        <v/>
      </c>
      <c r="U301" s="58" t="str">
        <f>IF(Tableau1[[#This Row],[Date rév.]]="","",HYPERLINK(Tableau1[[#This Row],[Lien document]],"X"))</f>
        <v/>
      </c>
      <c r="V301" s="44"/>
      <c r="W301" s="46" t="str">
        <f ca="1">Chemin_accès!$B$2&amp;Tableau1[[#This Row],[Poste Responsable]]&amp;"\"&amp;Tableau1[[#This Row],[Localisation / Classement]]&amp;"\"&amp;Tableau1[[#This Row],[Poste technique]]&amp;"_"&amp;Tableau1[[#This Row],[Plan Entretien]]&amp;".pdf"</f>
        <v>\\stjn.local\trimet\Donnees_Projets\Dms Sap\Maintenance\PlanEntretien\7.MNRJ\\_.pdf</v>
      </c>
      <c r="X301" s="44"/>
      <c r="Y301" s="44"/>
      <c r="Z301" s="41" t="str">
        <f ca="1">IF(AND(Tableau1[[#This Row],[Charge]]&lt;&gt;0, Tableau1[[#This Row],[Nombre intervenants]]&lt;&gt;0,Tableau1[[#This Row],[Lien document]]&lt;&gt;0,Tableau1[[#This Row],[DMS_SAP]]&lt;&gt;0)=TRUE,"MIS A JOUR","")</f>
        <v/>
      </c>
      <c r="AA301" s="45"/>
      <c r="AB301" s="55" t="str">
        <f ca="1">IF(Tableau1[[#This Row],[Date rév.]]&lt;&gt;"", DAYS360(Tableau1[[#This Row],[Date rév.]],TODAY()),"")</f>
        <v/>
      </c>
      <c r="AC301" s="47">
        <f>IFERROR(INDEX(Chemin_accès!$B$11:$C$22,MATCH(Tableau1[[#This Row],[Type]],Chemin_accès!$C$11:$C$22,0),1),Chemin_accès!$B$11)</f>
        <v>0</v>
      </c>
      <c r="AD301" s="47" t="str">
        <f>Chemin_accès!$B$8&amp;Tableau1[[#This Row],[Localisation / Classement]]&amp;"\"&amp;Tableau1[[#This Row],[Poste technique]]&amp;"_"&amp;Tableau1[[#This Row],[Plan Entretien]]&amp;".xlsm"</f>
        <v>\_.xlsm</v>
      </c>
    </row>
    <row r="302" spans="1:30" x14ac:dyDescent="0.3">
      <c r="A302" s="41" t="str">
        <f t="shared" ca="1" si="4"/>
        <v>7.MNRJ</v>
      </c>
      <c r="B3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2" s="43"/>
      <c r="D302" s="41"/>
      <c r="E302" s="41"/>
      <c r="F302" s="44"/>
      <c r="G302" s="44"/>
      <c r="H302" s="48"/>
      <c r="I302" s="48"/>
      <c r="J302" s="48"/>
      <c r="K302" s="48"/>
      <c r="L302" s="43"/>
      <c r="M302" s="44"/>
      <c r="N302" s="43"/>
      <c r="O302" s="43"/>
      <c r="P302" s="44"/>
      <c r="Q302" s="43"/>
      <c r="R302" s="43"/>
      <c r="S302" s="45"/>
      <c r="T302" s="58" t="str">
        <f>IF(Tableau1[[#This Row],[DMS_SAP]]="","",HYPERLINK(Tableau1[[#This Row],[Chemin fichier source]],"X"))</f>
        <v/>
      </c>
      <c r="U302" s="58" t="str">
        <f>IF(Tableau1[[#This Row],[Date rév.]]="","",HYPERLINK(Tableau1[[#This Row],[Lien document]],"X"))</f>
        <v/>
      </c>
      <c r="V302" s="44"/>
      <c r="W302" s="46" t="str">
        <f ca="1">Chemin_accès!$B$2&amp;Tableau1[[#This Row],[Poste Responsable]]&amp;"\"&amp;Tableau1[[#This Row],[Localisation / Classement]]&amp;"\"&amp;Tableau1[[#This Row],[Poste technique]]&amp;"_"&amp;Tableau1[[#This Row],[Plan Entretien]]&amp;".pdf"</f>
        <v>\\stjn.local\trimet\Donnees_Projets\Dms Sap\Maintenance\PlanEntretien\7.MNRJ\\_.pdf</v>
      </c>
      <c r="X302" s="44"/>
      <c r="Y302" s="44"/>
      <c r="Z302" s="41" t="str">
        <f ca="1">IF(AND(Tableau1[[#This Row],[Charge]]&lt;&gt;0, Tableau1[[#This Row],[Nombre intervenants]]&lt;&gt;0,Tableau1[[#This Row],[Lien document]]&lt;&gt;0,Tableau1[[#This Row],[DMS_SAP]]&lt;&gt;0)=TRUE,"MIS A JOUR","")</f>
        <v/>
      </c>
      <c r="AA302" s="45"/>
      <c r="AB302" s="55" t="str">
        <f ca="1">IF(Tableau1[[#This Row],[Date rév.]]&lt;&gt;"", DAYS360(Tableau1[[#This Row],[Date rév.]],TODAY()),"")</f>
        <v/>
      </c>
      <c r="AC302" s="47">
        <f>IFERROR(INDEX(Chemin_accès!$B$11:$C$22,MATCH(Tableau1[[#This Row],[Type]],Chemin_accès!$C$11:$C$22,0),1),Chemin_accès!$B$11)</f>
        <v>0</v>
      </c>
      <c r="AD302" s="47" t="str">
        <f>Chemin_accès!$B$8&amp;Tableau1[[#This Row],[Localisation / Classement]]&amp;"\"&amp;Tableau1[[#This Row],[Poste technique]]&amp;"_"&amp;Tableau1[[#This Row],[Plan Entretien]]&amp;".xlsm"</f>
        <v>\_.xlsm</v>
      </c>
    </row>
    <row r="303" spans="1:30" x14ac:dyDescent="0.3">
      <c r="A303" s="41" t="str">
        <f t="shared" ca="1" si="4"/>
        <v>7.MNRJ</v>
      </c>
      <c r="B3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3" s="43"/>
      <c r="D303" s="41"/>
      <c r="E303" s="41"/>
      <c r="F303" s="44"/>
      <c r="G303" s="44"/>
      <c r="H303" s="48"/>
      <c r="I303" s="48"/>
      <c r="J303" s="48"/>
      <c r="K303" s="48"/>
      <c r="L303" s="43"/>
      <c r="M303" s="44"/>
      <c r="N303" s="43"/>
      <c r="O303" s="43"/>
      <c r="P303" s="44"/>
      <c r="Q303" s="43"/>
      <c r="R303" s="43"/>
      <c r="S303" s="45"/>
      <c r="T303" s="58" t="str">
        <f>IF(Tableau1[[#This Row],[DMS_SAP]]="","",HYPERLINK(Tableau1[[#This Row],[Chemin fichier source]],"X"))</f>
        <v/>
      </c>
      <c r="U303" s="58" t="str">
        <f>IF(Tableau1[[#This Row],[Date rév.]]="","",HYPERLINK(Tableau1[[#This Row],[Lien document]],"X"))</f>
        <v/>
      </c>
      <c r="V303" s="44"/>
      <c r="W303" s="46" t="str">
        <f ca="1">Chemin_accès!$B$2&amp;Tableau1[[#This Row],[Poste Responsable]]&amp;"\"&amp;Tableau1[[#This Row],[Localisation / Classement]]&amp;"\"&amp;Tableau1[[#This Row],[Poste technique]]&amp;"_"&amp;Tableau1[[#This Row],[Plan Entretien]]&amp;".pdf"</f>
        <v>\\stjn.local\trimet\Donnees_Projets\Dms Sap\Maintenance\PlanEntretien\7.MNRJ\\_.pdf</v>
      </c>
      <c r="X303" s="44"/>
      <c r="Y303" s="44"/>
      <c r="Z303" s="41" t="str">
        <f ca="1">IF(AND(Tableau1[[#This Row],[Charge]]&lt;&gt;0, Tableau1[[#This Row],[Nombre intervenants]]&lt;&gt;0,Tableau1[[#This Row],[Lien document]]&lt;&gt;0,Tableau1[[#This Row],[DMS_SAP]]&lt;&gt;0)=TRUE,"MIS A JOUR","")</f>
        <v/>
      </c>
      <c r="AA303" s="45"/>
      <c r="AB303" s="55" t="str">
        <f ca="1">IF(Tableau1[[#This Row],[Date rév.]]&lt;&gt;"", DAYS360(Tableau1[[#This Row],[Date rév.]],TODAY()),"")</f>
        <v/>
      </c>
      <c r="AC303" s="47">
        <f>IFERROR(INDEX(Chemin_accès!$B$11:$C$22,MATCH(Tableau1[[#This Row],[Type]],Chemin_accès!$C$11:$C$22,0),1),Chemin_accès!$B$11)</f>
        <v>0</v>
      </c>
      <c r="AD303" s="47" t="str">
        <f>Chemin_accès!$B$8&amp;Tableau1[[#This Row],[Localisation / Classement]]&amp;"\"&amp;Tableau1[[#This Row],[Poste technique]]&amp;"_"&amp;Tableau1[[#This Row],[Plan Entretien]]&amp;".xlsm"</f>
        <v>\_.xlsm</v>
      </c>
    </row>
    <row r="304" spans="1:30" x14ac:dyDescent="0.3">
      <c r="A304" s="41" t="str">
        <f t="shared" ca="1" si="4"/>
        <v>7.MNRJ</v>
      </c>
      <c r="B3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4" s="43"/>
      <c r="D304" s="41"/>
      <c r="E304" s="41"/>
      <c r="F304" s="44"/>
      <c r="G304" s="44"/>
      <c r="H304" s="48"/>
      <c r="I304" s="48"/>
      <c r="J304" s="48"/>
      <c r="K304" s="48"/>
      <c r="L304" s="43"/>
      <c r="M304" s="44"/>
      <c r="N304" s="43"/>
      <c r="O304" s="43"/>
      <c r="P304" s="44"/>
      <c r="Q304" s="43"/>
      <c r="R304" s="43"/>
      <c r="S304" s="45"/>
      <c r="T304" s="58" t="str">
        <f>IF(Tableau1[[#This Row],[DMS_SAP]]="","",HYPERLINK(Tableau1[[#This Row],[Chemin fichier source]],"X"))</f>
        <v/>
      </c>
      <c r="U304" s="58" t="str">
        <f>IF(Tableau1[[#This Row],[Date rév.]]="","",HYPERLINK(Tableau1[[#This Row],[Lien document]],"X"))</f>
        <v/>
      </c>
      <c r="V304" s="44"/>
      <c r="W304" s="46" t="str">
        <f ca="1">Chemin_accès!$B$2&amp;Tableau1[[#This Row],[Poste Responsable]]&amp;"\"&amp;Tableau1[[#This Row],[Localisation / Classement]]&amp;"\"&amp;Tableau1[[#This Row],[Poste technique]]&amp;"_"&amp;Tableau1[[#This Row],[Plan Entretien]]&amp;".pdf"</f>
        <v>\\stjn.local\trimet\Donnees_Projets\Dms Sap\Maintenance\PlanEntretien\7.MNRJ\\_.pdf</v>
      </c>
      <c r="X304" s="44"/>
      <c r="Y304" s="44"/>
      <c r="Z304" s="41" t="str">
        <f ca="1">IF(AND(Tableau1[[#This Row],[Charge]]&lt;&gt;0, Tableau1[[#This Row],[Nombre intervenants]]&lt;&gt;0,Tableau1[[#This Row],[Lien document]]&lt;&gt;0,Tableau1[[#This Row],[DMS_SAP]]&lt;&gt;0)=TRUE,"MIS A JOUR","")</f>
        <v/>
      </c>
      <c r="AA304" s="45"/>
      <c r="AB304" s="55" t="str">
        <f ca="1">IF(Tableau1[[#This Row],[Date rév.]]&lt;&gt;"", DAYS360(Tableau1[[#This Row],[Date rév.]],TODAY()),"")</f>
        <v/>
      </c>
      <c r="AC304" s="47">
        <f>IFERROR(INDEX(Chemin_accès!$B$11:$C$22,MATCH(Tableau1[[#This Row],[Type]],Chemin_accès!$C$11:$C$22,0),1),Chemin_accès!$B$11)</f>
        <v>0</v>
      </c>
      <c r="AD304" s="47" t="str">
        <f>Chemin_accès!$B$8&amp;Tableau1[[#This Row],[Localisation / Classement]]&amp;"\"&amp;Tableau1[[#This Row],[Poste technique]]&amp;"_"&amp;Tableau1[[#This Row],[Plan Entretien]]&amp;".xlsm"</f>
        <v>\_.xlsm</v>
      </c>
    </row>
    <row r="305" spans="1:30" x14ac:dyDescent="0.3">
      <c r="A305" s="41" t="str">
        <f t="shared" ca="1" si="4"/>
        <v>7.MNRJ</v>
      </c>
      <c r="B3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5" s="43"/>
      <c r="D305" s="41"/>
      <c r="E305" s="41"/>
      <c r="F305" s="44"/>
      <c r="G305" s="44"/>
      <c r="H305" s="48"/>
      <c r="I305" s="48"/>
      <c r="J305" s="48"/>
      <c r="K305" s="48"/>
      <c r="L305" s="43"/>
      <c r="M305" s="44"/>
      <c r="N305" s="43"/>
      <c r="O305" s="43"/>
      <c r="P305" s="44"/>
      <c r="Q305" s="43"/>
      <c r="R305" s="43"/>
      <c r="S305" s="45"/>
      <c r="T305" s="58" t="str">
        <f>IF(Tableau1[[#This Row],[DMS_SAP]]="","",HYPERLINK(Tableau1[[#This Row],[Chemin fichier source]],"X"))</f>
        <v/>
      </c>
      <c r="U305" s="58" t="str">
        <f>IF(Tableau1[[#This Row],[Date rév.]]="","",HYPERLINK(Tableau1[[#This Row],[Lien document]],"X"))</f>
        <v/>
      </c>
      <c r="V305" s="44"/>
      <c r="W305" s="46" t="str">
        <f ca="1">Chemin_accès!$B$2&amp;Tableau1[[#This Row],[Poste Responsable]]&amp;"\"&amp;Tableau1[[#This Row],[Localisation / Classement]]&amp;"\"&amp;Tableau1[[#This Row],[Poste technique]]&amp;"_"&amp;Tableau1[[#This Row],[Plan Entretien]]&amp;".pdf"</f>
        <v>\\stjn.local\trimet\Donnees_Projets\Dms Sap\Maintenance\PlanEntretien\7.MNRJ\\_.pdf</v>
      </c>
      <c r="X305" s="44"/>
      <c r="Y305" s="44"/>
      <c r="Z305" s="41" t="str">
        <f ca="1">IF(AND(Tableau1[[#This Row],[Charge]]&lt;&gt;0, Tableau1[[#This Row],[Nombre intervenants]]&lt;&gt;0,Tableau1[[#This Row],[Lien document]]&lt;&gt;0,Tableau1[[#This Row],[DMS_SAP]]&lt;&gt;0)=TRUE,"MIS A JOUR","")</f>
        <v/>
      </c>
      <c r="AA305" s="45"/>
      <c r="AB305" s="55" t="str">
        <f ca="1">IF(Tableau1[[#This Row],[Date rév.]]&lt;&gt;"", DAYS360(Tableau1[[#This Row],[Date rév.]],TODAY()),"")</f>
        <v/>
      </c>
      <c r="AC305" s="47">
        <f>IFERROR(INDEX(Chemin_accès!$B$11:$C$22,MATCH(Tableau1[[#This Row],[Type]],Chemin_accès!$C$11:$C$22,0),1),Chemin_accès!$B$11)</f>
        <v>0</v>
      </c>
      <c r="AD305" s="47" t="str">
        <f>Chemin_accès!$B$8&amp;Tableau1[[#This Row],[Localisation / Classement]]&amp;"\"&amp;Tableau1[[#This Row],[Poste technique]]&amp;"_"&amp;Tableau1[[#This Row],[Plan Entretien]]&amp;".xlsm"</f>
        <v>\_.xlsm</v>
      </c>
    </row>
    <row r="306" spans="1:30" x14ac:dyDescent="0.3">
      <c r="A306" s="41" t="str">
        <f t="shared" ca="1" si="4"/>
        <v>7.MNRJ</v>
      </c>
      <c r="B3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6" s="43"/>
      <c r="D306" s="41"/>
      <c r="E306" s="41"/>
      <c r="F306" s="44"/>
      <c r="G306" s="44"/>
      <c r="H306" s="48"/>
      <c r="I306" s="48"/>
      <c r="J306" s="48"/>
      <c r="K306" s="48"/>
      <c r="L306" s="43"/>
      <c r="M306" s="44"/>
      <c r="N306" s="43"/>
      <c r="O306" s="43"/>
      <c r="P306" s="44"/>
      <c r="Q306" s="43"/>
      <c r="R306" s="43"/>
      <c r="S306" s="45"/>
      <c r="T306" s="58" t="str">
        <f>IF(Tableau1[[#This Row],[DMS_SAP]]="","",HYPERLINK(Tableau1[[#This Row],[Chemin fichier source]],"X"))</f>
        <v/>
      </c>
      <c r="U306" s="58" t="str">
        <f>IF(Tableau1[[#This Row],[Date rév.]]="","",HYPERLINK(Tableau1[[#This Row],[Lien document]],"X"))</f>
        <v/>
      </c>
      <c r="V306" s="44"/>
      <c r="W306" s="46" t="str">
        <f ca="1">Chemin_accès!$B$2&amp;Tableau1[[#This Row],[Poste Responsable]]&amp;"\"&amp;Tableau1[[#This Row],[Localisation / Classement]]&amp;"\"&amp;Tableau1[[#This Row],[Poste technique]]&amp;"_"&amp;Tableau1[[#This Row],[Plan Entretien]]&amp;".pdf"</f>
        <v>\\stjn.local\trimet\Donnees_Projets\Dms Sap\Maintenance\PlanEntretien\7.MNRJ\\_.pdf</v>
      </c>
      <c r="X306" s="44"/>
      <c r="Y306" s="44"/>
      <c r="Z306" s="41" t="str">
        <f ca="1">IF(AND(Tableau1[[#This Row],[Charge]]&lt;&gt;0, Tableau1[[#This Row],[Nombre intervenants]]&lt;&gt;0,Tableau1[[#This Row],[Lien document]]&lt;&gt;0,Tableau1[[#This Row],[DMS_SAP]]&lt;&gt;0)=TRUE,"MIS A JOUR","")</f>
        <v/>
      </c>
      <c r="AA306" s="45"/>
      <c r="AB306" s="55" t="str">
        <f ca="1">IF(Tableau1[[#This Row],[Date rév.]]&lt;&gt;"", DAYS360(Tableau1[[#This Row],[Date rév.]],TODAY()),"")</f>
        <v/>
      </c>
      <c r="AC306" s="47">
        <f>IFERROR(INDEX(Chemin_accès!$B$11:$C$22,MATCH(Tableau1[[#This Row],[Type]],Chemin_accès!$C$11:$C$22,0),1),Chemin_accès!$B$11)</f>
        <v>0</v>
      </c>
      <c r="AD306" s="47" t="str">
        <f>Chemin_accès!$B$8&amp;Tableau1[[#This Row],[Localisation / Classement]]&amp;"\"&amp;Tableau1[[#This Row],[Poste technique]]&amp;"_"&amp;Tableau1[[#This Row],[Plan Entretien]]&amp;".xlsm"</f>
        <v>\_.xlsm</v>
      </c>
    </row>
    <row r="307" spans="1:30" x14ac:dyDescent="0.3">
      <c r="A307" s="41" t="str">
        <f t="shared" ca="1" si="4"/>
        <v>7.MNRJ</v>
      </c>
      <c r="B3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7" s="43"/>
      <c r="D307" s="41"/>
      <c r="E307" s="41"/>
      <c r="F307" s="44"/>
      <c r="G307" s="44"/>
      <c r="H307" s="48"/>
      <c r="I307" s="48"/>
      <c r="J307" s="48"/>
      <c r="K307" s="48"/>
      <c r="L307" s="43"/>
      <c r="M307" s="44"/>
      <c r="N307" s="43"/>
      <c r="O307" s="43"/>
      <c r="P307" s="44"/>
      <c r="Q307" s="43"/>
      <c r="R307" s="43"/>
      <c r="S307" s="45"/>
      <c r="T307" s="58" t="str">
        <f>IF(Tableau1[[#This Row],[DMS_SAP]]="","",HYPERLINK(Tableau1[[#This Row],[Chemin fichier source]],"X"))</f>
        <v/>
      </c>
      <c r="U307" s="58" t="str">
        <f>IF(Tableau1[[#This Row],[Date rév.]]="","",HYPERLINK(Tableau1[[#This Row],[Lien document]],"X"))</f>
        <v/>
      </c>
      <c r="V307" s="44"/>
      <c r="W307" s="46" t="str">
        <f ca="1">Chemin_accès!$B$2&amp;Tableau1[[#This Row],[Poste Responsable]]&amp;"\"&amp;Tableau1[[#This Row],[Localisation / Classement]]&amp;"\"&amp;Tableau1[[#This Row],[Poste technique]]&amp;"_"&amp;Tableau1[[#This Row],[Plan Entretien]]&amp;".pdf"</f>
        <v>\\stjn.local\trimet\Donnees_Projets\Dms Sap\Maintenance\PlanEntretien\7.MNRJ\\_.pdf</v>
      </c>
      <c r="X307" s="44"/>
      <c r="Y307" s="44"/>
      <c r="Z307" s="41" t="str">
        <f ca="1">IF(AND(Tableau1[[#This Row],[Charge]]&lt;&gt;0, Tableau1[[#This Row],[Nombre intervenants]]&lt;&gt;0,Tableau1[[#This Row],[Lien document]]&lt;&gt;0,Tableau1[[#This Row],[DMS_SAP]]&lt;&gt;0)=TRUE,"MIS A JOUR","")</f>
        <v/>
      </c>
      <c r="AA307" s="45"/>
      <c r="AB307" s="55" t="str">
        <f ca="1">IF(Tableau1[[#This Row],[Date rév.]]&lt;&gt;"", DAYS360(Tableau1[[#This Row],[Date rév.]],TODAY()),"")</f>
        <v/>
      </c>
      <c r="AC307" s="47">
        <f>IFERROR(INDEX(Chemin_accès!$B$11:$C$22,MATCH(Tableau1[[#This Row],[Type]],Chemin_accès!$C$11:$C$22,0),1),Chemin_accès!$B$11)</f>
        <v>0</v>
      </c>
      <c r="AD307" s="47" t="str">
        <f>Chemin_accès!$B$8&amp;Tableau1[[#This Row],[Localisation / Classement]]&amp;"\"&amp;Tableau1[[#This Row],[Poste technique]]&amp;"_"&amp;Tableau1[[#This Row],[Plan Entretien]]&amp;".xlsm"</f>
        <v>\_.xlsm</v>
      </c>
    </row>
    <row r="308" spans="1:30" x14ac:dyDescent="0.3">
      <c r="A308" s="41" t="str">
        <f t="shared" ca="1" si="4"/>
        <v>7.MNRJ</v>
      </c>
      <c r="B3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8" s="43"/>
      <c r="D308" s="41"/>
      <c r="E308" s="41"/>
      <c r="F308" s="44"/>
      <c r="G308" s="44"/>
      <c r="H308" s="48"/>
      <c r="I308" s="48"/>
      <c r="J308" s="48"/>
      <c r="K308" s="48"/>
      <c r="L308" s="43"/>
      <c r="M308" s="44"/>
      <c r="N308" s="43"/>
      <c r="O308" s="43"/>
      <c r="P308" s="44"/>
      <c r="Q308" s="43"/>
      <c r="R308" s="43"/>
      <c r="S308" s="45"/>
      <c r="T308" s="58" t="str">
        <f>IF(Tableau1[[#This Row],[DMS_SAP]]="","",HYPERLINK(Tableau1[[#This Row],[Chemin fichier source]],"X"))</f>
        <v/>
      </c>
      <c r="U308" s="58" t="str">
        <f>IF(Tableau1[[#This Row],[Date rév.]]="","",HYPERLINK(Tableau1[[#This Row],[Lien document]],"X"))</f>
        <v/>
      </c>
      <c r="V308" s="44"/>
      <c r="W308" s="46" t="str">
        <f ca="1">Chemin_accès!$B$2&amp;Tableau1[[#This Row],[Poste Responsable]]&amp;"\"&amp;Tableau1[[#This Row],[Localisation / Classement]]&amp;"\"&amp;Tableau1[[#This Row],[Poste technique]]&amp;"_"&amp;Tableau1[[#This Row],[Plan Entretien]]&amp;".pdf"</f>
        <v>\\stjn.local\trimet\Donnees_Projets\Dms Sap\Maintenance\PlanEntretien\7.MNRJ\\_.pdf</v>
      </c>
      <c r="X308" s="44"/>
      <c r="Y308" s="44"/>
      <c r="Z308" s="41" t="str">
        <f ca="1">IF(AND(Tableau1[[#This Row],[Charge]]&lt;&gt;0, Tableau1[[#This Row],[Nombre intervenants]]&lt;&gt;0,Tableau1[[#This Row],[Lien document]]&lt;&gt;0,Tableau1[[#This Row],[DMS_SAP]]&lt;&gt;0)=TRUE,"MIS A JOUR","")</f>
        <v/>
      </c>
      <c r="AA308" s="45"/>
      <c r="AB308" s="55" t="str">
        <f ca="1">IF(Tableau1[[#This Row],[Date rév.]]&lt;&gt;"", DAYS360(Tableau1[[#This Row],[Date rév.]],TODAY()),"")</f>
        <v/>
      </c>
      <c r="AC308" s="47">
        <f>IFERROR(INDEX(Chemin_accès!$B$11:$C$22,MATCH(Tableau1[[#This Row],[Type]],Chemin_accès!$C$11:$C$22,0),1),Chemin_accès!$B$11)</f>
        <v>0</v>
      </c>
      <c r="AD308" s="47" t="str">
        <f>Chemin_accès!$B$8&amp;Tableau1[[#This Row],[Localisation / Classement]]&amp;"\"&amp;Tableau1[[#This Row],[Poste technique]]&amp;"_"&amp;Tableau1[[#This Row],[Plan Entretien]]&amp;".xlsm"</f>
        <v>\_.xlsm</v>
      </c>
    </row>
    <row r="309" spans="1:30" x14ac:dyDescent="0.3">
      <c r="A309" s="41" t="str">
        <f t="shared" ca="1" si="4"/>
        <v>7.MNRJ</v>
      </c>
      <c r="B3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9" s="43"/>
      <c r="D309" s="41"/>
      <c r="E309" s="41"/>
      <c r="F309" s="44"/>
      <c r="G309" s="44"/>
      <c r="H309" s="48"/>
      <c r="I309" s="48"/>
      <c r="J309" s="48"/>
      <c r="K309" s="48"/>
      <c r="L309" s="43"/>
      <c r="M309" s="44"/>
      <c r="N309" s="43"/>
      <c r="O309" s="43"/>
      <c r="P309" s="44"/>
      <c r="Q309" s="43"/>
      <c r="R309" s="43"/>
      <c r="S309" s="45"/>
      <c r="T309" s="58" t="str">
        <f>IF(Tableau1[[#This Row],[DMS_SAP]]="","",HYPERLINK(Tableau1[[#This Row],[Chemin fichier source]],"X"))</f>
        <v/>
      </c>
      <c r="U309" s="58" t="str">
        <f>IF(Tableau1[[#This Row],[Date rév.]]="","",HYPERLINK(Tableau1[[#This Row],[Lien document]],"X"))</f>
        <v/>
      </c>
      <c r="V309" s="44"/>
      <c r="W309" s="46" t="str">
        <f ca="1">Chemin_accès!$B$2&amp;Tableau1[[#This Row],[Poste Responsable]]&amp;"\"&amp;Tableau1[[#This Row],[Localisation / Classement]]&amp;"\"&amp;Tableau1[[#This Row],[Poste technique]]&amp;"_"&amp;Tableau1[[#This Row],[Plan Entretien]]&amp;".pdf"</f>
        <v>\\stjn.local\trimet\Donnees_Projets\Dms Sap\Maintenance\PlanEntretien\7.MNRJ\\_.pdf</v>
      </c>
      <c r="X309" s="44"/>
      <c r="Y309" s="44"/>
      <c r="Z309" s="41" t="str">
        <f ca="1">IF(AND(Tableau1[[#This Row],[Charge]]&lt;&gt;0, Tableau1[[#This Row],[Nombre intervenants]]&lt;&gt;0,Tableau1[[#This Row],[Lien document]]&lt;&gt;0,Tableau1[[#This Row],[DMS_SAP]]&lt;&gt;0)=TRUE,"MIS A JOUR","")</f>
        <v/>
      </c>
      <c r="AA309" s="45"/>
      <c r="AB309" s="55" t="str">
        <f ca="1">IF(Tableau1[[#This Row],[Date rév.]]&lt;&gt;"", DAYS360(Tableau1[[#This Row],[Date rév.]],TODAY()),"")</f>
        <v/>
      </c>
      <c r="AC309" s="47">
        <f>IFERROR(INDEX(Chemin_accès!$B$11:$C$22,MATCH(Tableau1[[#This Row],[Type]],Chemin_accès!$C$11:$C$22,0),1),Chemin_accès!$B$11)</f>
        <v>0</v>
      </c>
      <c r="AD309" s="47" t="str">
        <f>Chemin_accès!$B$8&amp;Tableau1[[#This Row],[Localisation / Classement]]&amp;"\"&amp;Tableau1[[#This Row],[Poste technique]]&amp;"_"&amp;Tableau1[[#This Row],[Plan Entretien]]&amp;".xlsm"</f>
        <v>\_.xlsm</v>
      </c>
    </row>
    <row r="310" spans="1:30" x14ac:dyDescent="0.3">
      <c r="A310" s="41" t="str">
        <f t="shared" ca="1" si="4"/>
        <v>7.MNRJ</v>
      </c>
      <c r="B3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0" s="43"/>
      <c r="D310" s="41"/>
      <c r="E310" s="41"/>
      <c r="F310" s="44"/>
      <c r="G310" s="44"/>
      <c r="H310" s="48"/>
      <c r="I310" s="48"/>
      <c r="J310" s="48"/>
      <c r="K310" s="48"/>
      <c r="L310" s="43"/>
      <c r="M310" s="44"/>
      <c r="N310" s="43"/>
      <c r="O310" s="43"/>
      <c r="P310" s="44"/>
      <c r="Q310" s="43"/>
      <c r="R310" s="43"/>
      <c r="S310" s="45"/>
      <c r="T310" s="58" t="str">
        <f>IF(Tableau1[[#This Row],[DMS_SAP]]="","",HYPERLINK(Tableau1[[#This Row],[Chemin fichier source]],"X"))</f>
        <v/>
      </c>
      <c r="U310" s="58" t="str">
        <f>IF(Tableau1[[#This Row],[Date rév.]]="","",HYPERLINK(Tableau1[[#This Row],[Lien document]],"X"))</f>
        <v/>
      </c>
      <c r="V310" s="44"/>
      <c r="W310" s="46" t="str">
        <f ca="1">Chemin_accès!$B$2&amp;Tableau1[[#This Row],[Poste Responsable]]&amp;"\"&amp;Tableau1[[#This Row],[Localisation / Classement]]&amp;"\"&amp;Tableau1[[#This Row],[Poste technique]]&amp;"_"&amp;Tableau1[[#This Row],[Plan Entretien]]&amp;".pdf"</f>
        <v>\\stjn.local\trimet\Donnees_Projets\Dms Sap\Maintenance\PlanEntretien\7.MNRJ\\_.pdf</v>
      </c>
      <c r="X310" s="44"/>
      <c r="Y310" s="44"/>
      <c r="Z310" s="41" t="str">
        <f ca="1">IF(AND(Tableau1[[#This Row],[Charge]]&lt;&gt;0, Tableau1[[#This Row],[Nombre intervenants]]&lt;&gt;0,Tableau1[[#This Row],[Lien document]]&lt;&gt;0,Tableau1[[#This Row],[DMS_SAP]]&lt;&gt;0)=TRUE,"MIS A JOUR","")</f>
        <v/>
      </c>
      <c r="AA310" s="45"/>
      <c r="AB310" s="55" t="str">
        <f ca="1">IF(Tableau1[[#This Row],[Date rév.]]&lt;&gt;"", DAYS360(Tableau1[[#This Row],[Date rév.]],TODAY()),"")</f>
        <v/>
      </c>
      <c r="AC310" s="47">
        <f>IFERROR(INDEX(Chemin_accès!$B$11:$C$22,MATCH(Tableau1[[#This Row],[Type]],Chemin_accès!$C$11:$C$22,0),1),Chemin_accès!$B$11)</f>
        <v>0</v>
      </c>
      <c r="AD310" s="47" t="str">
        <f>Chemin_accès!$B$8&amp;Tableau1[[#This Row],[Localisation / Classement]]&amp;"\"&amp;Tableau1[[#This Row],[Poste technique]]&amp;"_"&amp;Tableau1[[#This Row],[Plan Entretien]]&amp;".xlsm"</f>
        <v>\_.xlsm</v>
      </c>
    </row>
    <row r="311" spans="1:30" x14ac:dyDescent="0.3">
      <c r="A311" s="41" t="str">
        <f t="shared" ca="1" si="4"/>
        <v>7.MNRJ</v>
      </c>
      <c r="B3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1" s="43"/>
      <c r="D311" s="41"/>
      <c r="E311" s="41"/>
      <c r="F311" s="44"/>
      <c r="G311" s="44"/>
      <c r="H311" s="48"/>
      <c r="I311" s="48"/>
      <c r="J311" s="48"/>
      <c r="K311" s="48"/>
      <c r="L311" s="43"/>
      <c r="M311" s="44"/>
      <c r="N311" s="43"/>
      <c r="O311" s="43"/>
      <c r="P311" s="44"/>
      <c r="Q311" s="43"/>
      <c r="R311" s="43"/>
      <c r="S311" s="45"/>
      <c r="T311" s="58" t="str">
        <f>IF(Tableau1[[#This Row],[DMS_SAP]]="","",HYPERLINK(Tableau1[[#This Row],[Chemin fichier source]],"X"))</f>
        <v/>
      </c>
      <c r="U311" s="58" t="str">
        <f>IF(Tableau1[[#This Row],[Date rév.]]="","",HYPERLINK(Tableau1[[#This Row],[Lien document]],"X"))</f>
        <v/>
      </c>
      <c r="V311" s="44"/>
      <c r="W311" s="46" t="str">
        <f ca="1">Chemin_accès!$B$2&amp;Tableau1[[#This Row],[Poste Responsable]]&amp;"\"&amp;Tableau1[[#This Row],[Localisation / Classement]]&amp;"\"&amp;Tableau1[[#This Row],[Poste technique]]&amp;"_"&amp;Tableau1[[#This Row],[Plan Entretien]]&amp;".pdf"</f>
        <v>\\stjn.local\trimet\Donnees_Projets\Dms Sap\Maintenance\PlanEntretien\7.MNRJ\\_.pdf</v>
      </c>
      <c r="X311" s="44"/>
      <c r="Y311" s="44"/>
      <c r="Z311" s="41" t="str">
        <f ca="1">IF(AND(Tableau1[[#This Row],[Charge]]&lt;&gt;0, Tableau1[[#This Row],[Nombre intervenants]]&lt;&gt;0,Tableau1[[#This Row],[Lien document]]&lt;&gt;0,Tableau1[[#This Row],[DMS_SAP]]&lt;&gt;0)=TRUE,"MIS A JOUR","")</f>
        <v/>
      </c>
      <c r="AA311" s="45"/>
      <c r="AB311" s="55" t="str">
        <f ca="1">IF(Tableau1[[#This Row],[Date rév.]]&lt;&gt;"", DAYS360(Tableau1[[#This Row],[Date rév.]],TODAY()),"")</f>
        <v/>
      </c>
      <c r="AC311" s="47">
        <f>IFERROR(INDEX(Chemin_accès!$B$11:$C$22,MATCH(Tableau1[[#This Row],[Type]],Chemin_accès!$C$11:$C$22,0),1),Chemin_accès!$B$11)</f>
        <v>0</v>
      </c>
      <c r="AD311" s="47" t="str">
        <f>Chemin_accès!$B$8&amp;Tableau1[[#This Row],[Localisation / Classement]]&amp;"\"&amp;Tableau1[[#This Row],[Poste technique]]&amp;"_"&amp;Tableau1[[#This Row],[Plan Entretien]]&amp;".xlsm"</f>
        <v>\_.xlsm</v>
      </c>
    </row>
    <row r="312" spans="1:30" x14ac:dyDescent="0.3">
      <c r="A312" s="41" t="str">
        <f t="shared" ca="1" si="4"/>
        <v>7.MNRJ</v>
      </c>
      <c r="B3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2" s="43"/>
      <c r="D312" s="41"/>
      <c r="E312" s="41"/>
      <c r="F312" s="44"/>
      <c r="G312" s="44"/>
      <c r="H312" s="48"/>
      <c r="I312" s="48"/>
      <c r="J312" s="48"/>
      <c r="K312" s="48"/>
      <c r="L312" s="43"/>
      <c r="M312" s="44"/>
      <c r="N312" s="43"/>
      <c r="O312" s="43"/>
      <c r="P312" s="44"/>
      <c r="Q312" s="43"/>
      <c r="R312" s="43"/>
      <c r="S312" s="45"/>
      <c r="T312" s="58" t="str">
        <f>IF(Tableau1[[#This Row],[DMS_SAP]]="","",HYPERLINK(Tableau1[[#This Row],[Chemin fichier source]],"X"))</f>
        <v/>
      </c>
      <c r="U312" s="58" t="str">
        <f>IF(Tableau1[[#This Row],[Date rév.]]="","",HYPERLINK(Tableau1[[#This Row],[Lien document]],"X"))</f>
        <v/>
      </c>
      <c r="V312" s="44"/>
      <c r="W312" s="46" t="str">
        <f ca="1">Chemin_accès!$B$2&amp;Tableau1[[#This Row],[Poste Responsable]]&amp;"\"&amp;Tableau1[[#This Row],[Localisation / Classement]]&amp;"\"&amp;Tableau1[[#This Row],[Poste technique]]&amp;"_"&amp;Tableau1[[#This Row],[Plan Entretien]]&amp;".pdf"</f>
        <v>\\stjn.local\trimet\Donnees_Projets\Dms Sap\Maintenance\PlanEntretien\7.MNRJ\\_.pdf</v>
      </c>
      <c r="X312" s="44"/>
      <c r="Y312" s="44"/>
      <c r="Z312" s="41" t="str">
        <f ca="1">IF(AND(Tableau1[[#This Row],[Charge]]&lt;&gt;0, Tableau1[[#This Row],[Nombre intervenants]]&lt;&gt;0,Tableau1[[#This Row],[Lien document]]&lt;&gt;0,Tableau1[[#This Row],[DMS_SAP]]&lt;&gt;0)=TRUE,"MIS A JOUR","")</f>
        <v/>
      </c>
      <c r="AA312" s="45"/>
      <c r="AB312" s="55" t="str">
        <f ca="1">IF(Tableau1[[#This Row],[Date rév.]]&lt;&gt;"", DAYS360(Tableau1[[#This Row],[Date rév.]],TODAY()),"")</f>
        <v/>
      </c>
      <c r="AC312" s="47">
        <f>IFERROR(INDEX(Chemin_accès!$B$11:$C$22,MATCH(Tableau1[[#This Row],[Type]],Chemin_accès!$C$11:$C$22,0),1),Chemin_accès!$B$11)</f>
        <v>0</v>
      </c>
      <c r="AD312" s="47" t="str">
        <f>Chemin_accès!$B$8&amp;Tableau1[[#This Row],[Localisation / Classement]]&amp;"\"&amp;Tableau1[[#This Row],[Poste technique]]&amp;"_"&amp;Tableau1[[#This Row],[Plan Entretien]]&amp;".xlsm"</f>
        <v>\_.xlsm</v>
      </c>
    </row>
    <row r="313" spans="1:30" x14ac:dyDescent="0.3">
      <c r="A313" s="41" t="str">
        <f t="shared" ca="1" si="4"/>
        <v>7.MNRJ</v>
      </c>
      <c r="B3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3" s="43"/>
      <c r="D313" s="41"/>
      <c r="E313" s="41"/>
      <c r="F313" s="44"/>
      <c r="G313" s="44"/>
      <c r="H313" s="48"/>
      <c r="I313" s="48"/>
      <c r="J313" s="48"/>
      <c r="K313" s="48"/>
      <c r="L313" s="43"/>
      <c r="M313" s="44"/>
      <c r="N313" s="43"/>
      <c r="O313" s="43"/>
      <c r="P313" s="44"/>
      <c r="Q313" s="43"/>
      <c r="R313" s="43"/>
      <c r="S313" s="45"/>
      <c r="T313" s="58" t="str">
        <f>IF(Tableau1[[#This Row],[DMS_SAP]]="","",HYPERLINK(Tableau1[[#This Row],[Chemin fichier source]],"X"))</f>
        <v/>
      </c>
      <c r="U313" s="58" t="str">
        <f>IF(Tableau1[[#This Row],[Date rév.]]="","",HYPERLINK(Tableau1[[#This Row],[Lien document]],"X"))</f>
        <v/>
      </c>
      <c r="V313" s="44"/>
      <c r="W313" s="46" t="str">
        <f ca="1">Chemin_accès!$B$2&amp;Tableau1[[#This Row],[Poste Responsable]]&amp;"\"&amp;Tableau1[[#This Row],[Localisation / Classement]]&amp;"\"&amp;Tableau1[[#This Row],[Poste technique]]&amp;"_"&amp;Tableau1[[#This Row],[Plan Entretien]]&amp;".pdf"</f>
        <v>\\stjn.local\trimet\Donnees_Projets\Dms Sap\Maintenance\PlanEntretien\7.MNRJ\\_.pdf</v>
      </c>
      <c r="X313" s="44"/>
      <c r="Y313" s="44"/>
      <c r="Z313" s="41" t="str">
        <f ca="1">IF(AND(Tableau1[[#This Row],[Charge]]&lt;&gt;0, Tableau1[[#This Row],[Nombre intervenants]]&lt;&gt;0,Tableau1[[#This Row],[Lien document]]&lt;&gt;0,Tableau1[[#This Row],[DMS_SAP]]&lt;&gt;0)=TRUE,"MIS A JOUR","")</f>
        <v/>
      </c>
      <c r="AA313" s="45"/>
      <c r="AB313" s="55" t="str">
        <f ca="1">IF(Tableau1[[#This Row],[Date rév.]]&lt;&gt;"", DAYS360(Tableau1[[#This Row],[Date rév.]],TODAY()),"")</f>
        <v/>
      </c>
      <c r="AC313" s="47">
        <f>IFERROR(INDEX(Chemin_accès!$B$11:$C$22,MATCH(Tableau1[[#This Row],[Type]],Chemin_accès!$C$11:$C$22,0),1),Chemin_accès!$B$11)</f>
        <v>0</v>
      </c>
      <c r="AD313" s="47" t="str">
        <f>Chemin_accès!$B$8&amp;Tableau1[[#This Row],[Localisation / Classement]]&amp;"\"&amp;Tableau1[[#This Row],[Poste technique]]&amp;"_"&amp;Tableau1[[#This Row],[Plan Entretien]]&amp;".xlsm"</f>
        <v>\_.xlsm</v>
      </c>
    </row>
    <row r="314" spans="1:30" x14ac:dyDescent="0.3">
      <c r="A314" s="41" t="str">
        <f t="shared" ca="1" si="4"/>
        <v>7.MNRJ</v>
      </c>
      <c r="B3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4" s="43"/>
      <c r="D314" s="41"/>
      <c r="E314" s="41"/>
      <c r="F314" s="44"/>
      <c r="G314" s="44"/>
      <c r="H314" s="48"/>
      <c r="I314" s="48"/>
      <c r="J314" s="48"/>
      <c r="K314" s="48"/>
      <c r="L314" s="43"/>
      <c r="M314" s="44"/>
      <c r="N314" s="43"/>
      <c r="O314" s="43"/>
      <c r="P314" s="44"/>
      <c r="Q314" s="43"/>
      <c r="R314" s="43"/>
      <c r="S314" s="45"/>
      <c r="T314" s="58" t="str">
        <f>IF(Tableau1[[#This Row],[DMS_SAP]]="","",HYPERLINK(Tableau1[[#This Row],[Chemin fichier source]],"X"))</f>
        <v/>
      </c>
      <c r="U314" s="58" t="str">
        <f>IF(Tableau1[[#This Row],[Date rév.]]="","",HYPERLINK(Tableau1[[#This Row],[Lien document]],"X"))</f>
        <v/>
      </c>
      <c r="V314" s="44"/>
      <c r="W314" s="46" t="str">
        <f ca="1">Chemin_accès!$B$2&amp;Tableau1[[#This Row],[Poste Responsable]]&amp;"\"&amp;Tableau1[[#This Row],[Localisation / Classement]]&amp;"\"&amp;Tableau1[[#This Row],[Poste technique]]&amp;"_"&amp;Tableau1[[#This Row],[Plan Entretien]]&amp;".pdf"</f>
        <v>\\stjn.local\trimet\Donnees_Projets\Dms Sap\Maintenance\PlanEntretien\7.MNRJ\\_.pdf</v>
      </c>
      <c r="X314" s="44"/>
      <c r="Y314" s="44"/>
      <c r="Z314" s="41" t="str">
        <f ca="1">IF(AND(Tableau1[[#This Row],[Charge]]&lt;&gt;0, Tableau1[[#This Row],[Nombre intervenants]]&lt;&gt;0,Tableau1[[#This Row],[Lien document]]&lt;&gt;0,Tableau1[[#This Row],[DMS_SAP]]&lt;&gt;0)=TRUE,"MIS A JOUR","")</f>
        <v/>
      </c>
      <c r="AA314" s="45"/>
      <c r="AB314" s="55" t="str">
        <f ca="1">IF(Tableau1[[#This Row],[Date rév.]]&lt;&gt;"", DAYS360(Tableau1[[#This Row],[Date rév.]],TODAY()),"")</f>
        <v/>
      </c>
      <c r="AC314" s="47">
        <f>IFERROR(INDEX(Chemin_accès!$B$11:$C$22,MATCH(Tableau1[[#This Row],[Type]],Chemin_accès!$C$11:$C$22,0),1),Chemin_accès!$B$11)</f>
        <v>0</v>
      </c>
      <c r="AD314" s="47" t="str">
        <f>Chemin_accès!$B$8&amp;Tableau1[[#This Row],[Localisation / Classement]]&amp;"\"&amp;Tableau1[[#This Row],[Poste technique]]&amp;"_"&amp;Tableau1[[#This Row],[Plan Entretien]]&amp;".xlsm"</f>
        <v>\_.xlsm</v>
      </c>
    </row>
    <row r="315" spans="1:30" x14ac:dyDescent="0.3">
      <c r="A315" s="41" t="str">
        <f t="shared" ca="1" si="4"/>
        <v>7.MNRJ</v>
      </c>
      <c r="B3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5" s="43"/>
      <c r="D315" s="41"/>
      <c r="E315" s="41"/>
      <c r="F315" s="44"/>
      <c r="G315" s="44"/>
      <c r="H315" s="48"/>
      <c r="I315" s="48"/>
      <c r="J315" s="48"/>
      <c r="K315" s="48"/>
      <c r="L315" s="43"/>
      <c r="M315" s="44"/>
      <c r="N315" s="43"/>
      <c r="O315" s="43"/>
      <c r="P315" s="44"/>
      <c r="Q315" s="43"/>
      <c r="R315" s="43"/>
      <c r="S315" s="45"/>
      <c r="T315" s="58" t="str">
        <f>IF(Tableau1[[#This Row],[DMS_SAP]]="","",HYPERLINK(Tableau1[[#This Row],[Chemin fichier source]],"X"))</f>
        <v/>
      </c>
      <c r="U315" s="58" t="str">
        <f>IF(Tableau1[[#This Row],[Date rév.]]="","",HYPERLINK(Tableau1[[#This Row],[Lien document]],"X"))</f>
        <v/>
      </c>
      <c r="V315" s="44"/>
      <c r="W315" s="46" t="str">
        <f ca="1">Chemin_accès!$B$2&amp;Tableau1[[#This Row],[Poste Responsable]]&amp;"\"&amp;Tableau1[[#This Row],[Localisation / Classement]]&amp;"\"&amp;Tableau1[[#This Row],[Poste technique]]&amp;"_"&amp;Tableau1[[#This Row],[Plan Entretien]]&amp;".pdf"</f>
        <v>\\stjn.local\trimet\Donnees_Projets\Dms Sap\Maintenance\PlanEntretien\7.MNRJ\\_.pdf</v>
      </c>
      <c r="X315" s="44"/>
      <c r="Y315" s="44"/>
      <c r="Z315" s="41" t="str">
        <f ca="1">IF(AND(Tableau1[[#This Row],[Charge]]&lt;&gt;0, Tableau1[[#This Row],[Nombre intervenants]]&lt;&gt;0,Tableau1[[#This Row],[Lien document]]&lt;&gt;0,Tableau1[[#This Row],[DMS_SAP]]&lt;&gt;0)=TRUE,"MIS A JOUR","")</f>
        <v/>
      </c>
      <c r="AA315" s="45"/>
      <c r="AB315" s="55" t="str">
        <f ca="1">IF(Tableau1[[#This Row],[Date rév.]]&lt;&gt;"", DAYS360(Tableau1[[#This Row],[Date rév.]],TODAY()),"")</f>
        <v/>
      </c>
      <c r="AC315" s="47">
        <f>IFERROR(INDEX(Chemin_accès!$B$11:$C$22,MATCH(Tableau1[[#This Row],[Type]],Chemin_accès!$C$11:$C$22,0),1),Chemin_accès!$B$11)</f>
        <v>0</v>
      </c>
      <c r="AD315" s="47" t="str">
        <f>Chemin_accès!$B$8&amp;Tableau1[[#This Row],[Localisation / Classement]]&amp;"\"&amp;Tableau1[[#This Row],[Poste technique]]&amp;"_"&amp;Tableau1[[#This Row],[Plan Entretien]]&amp;".xlsm"</f>
        <v>\_.xlsm</v>
      </c>
    </row>
    <row r="316" spans="1:30" x14ac:dyDescent="0.3">
      <c r="A316" s="41" t="str">
        <f t="shared" ca="1" si="4"/>
        <v>7.MNRJ</v>
      </c>
      <c r="B3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6" s="43"/>
      <c r="D316" s="41"/>
      <c r="E316" s="41"/>
      <c r="F316" s="44"/>
      <c r="G316" s="44"/>
      <c r="H316" s="48"/>
      <c r="I316" s="48"/>
      <c r="J316" s="48"/>
      <c r="K316" s="48"/>
      <c r="L316" s="43"/>
      <c r="M316" s="44"/>
      <c r="N316" s="43"/>
      <c r="O316" s="43"/>
      <c r="P316" s="44"/>
      <c r="Q316" s="43"/>
      <c r="R316" s="43"/>
      <c r="S316" s="45"/>
      <c r="T316" s="58" t="str">
        <f>IF(Tableau1[[#This Row],[DMS_SAP]]="","",HYPERLINK(Tableau1[[#This Row],[Chemin fichier source]],"X"))</f>
        <v/>
      </c>
      <c r="U316" s="58" t="str">
        <f>IF(Tableau1[[#This Row],[Date rév.]]="","",HYPERLINK(Tableau1[[#This Row],[Lien document]],"X"))</f>
        <v/>
      </c>
      <c r="V316" s="44"/>
      <c r="W316" s="46" t="str">
        <f ca="1">Chemin_accès!$B$2&amp;Tableau1[[#This Row],[Poste Responsable]]&amp;"\"&amp;Tableau1[[#This Row],[Localisation / Classement]]&amp;"\"&amp;Tableau1[[#This Row],[Poste technique]]&amp;"_"&amp;Tableau1[[#This Row],[Plan Entretien]]&amp;".pdf"</f>
        <v>\\stjn.local\trimet\Donnees_Projets\Dms Sap\Maintenance\PlanEntretien\7.MNRJ\\_.pdf</v>
      </c>
      <c r="X316" s="44"/>
      <c r="Y316" s="44"/>
      <c r="Z316" s="41" t="str">
        <f ca="1">IF(AND(Tableau1[[#This Row],[Charge]]&lt;&gt;0, Tableau1[[#This Row],[Nombre intervenants]]&lt;&gt;0,Tableau1[[#This Row],[Lien document]]&lt;&gt;0,Tableau1[[#This Row],[DMS_SAP]]&lt;&gt;0)=TRUE,"MIS A JOUR","")</f>
        <v/>
      </c>
      <c r="AA316" s="45"/>
      <c r="AB316" s="55" t="str">
        <f ca="1">IF(Tableau1[[#This Row],[Date rév.]]&lt;&gt;"", DAYS360(Tableau1[[#This Row],[Date rév.]],TODAY()),"")</f>
        <v/>
      </c>
      <c r="AC316" s="47">
        <f>IFERROR(INDEX(Chemin_accès!$B$11:$C$22,MATCH(Tableau1[[#This Row],[Type]],Chemin_accès!$C$11:$C$22,0),1),Chemin_accès!$B$11)</f>
        <v>0</v>
      </c>
      <c r="AD316" s="47" t="str">
        <f>Chemin_accès!$B$8&amp;Tableau1[[#This Row],[Localisation / Classement]]&amp;"\"&amp;Tableau1[[#This Row],[Poste technique]]&amp;"_"&amp;Tableau1[[#This Row],[Plan Entretien]]&amp;".xlsm"</f>
        <v>\_.xlsm</v>
      </c>
    </row>
    <row r="317" spans="1:30" x14ac:dyDescent="0.3">
      <c r="A317" s="41" t="str">
        <f t="shared" ca="1" si="4"/>
        <v>7.MNRJ</v>
      </c>
      <c r="B3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7" s="43"/>
      <c r="D317" s="41"/>
      <c r="E317" s="41"/>
      <c r="F317" s="44"/>
      <c r="G317" s="44"/>
      <c r="H317" s="48"/>
      <c r="I317" s="48"/>
      <c r="J317" s="48"/>
      <c r="K317" s="48"/>
      <c r="L317" s="43"/>
      <c r="M317" s="44"/>
      <c r="N317" s="43"/>
      <c r="O317" s="43"/>
      <c r="P317" s="44"/>
      <c r="Q317" s="43"/>
      <c r="R317" s="43"/>
      <c r="S317" s="45"/>
      <c r="T317" s="58" t="str">
        <f>IF(Tableau1[[#This Row],[DMS_SAP]]="","",HYPERLINK(Tableau1[[#This Row],[Chemin fichier source]],"X"))</f>
        <v/>
      </c>
      <c r="U317" s="58" t="str">
        <f>IF(Tableau1[[#This Row],[Date rév.]]="","",HYPERLINK(Tableau1[[#This Row],[Lien document]],"X"))</f>
        <v/>
      </c>
      <c r="V317" s="44"/>
      <c r="W317" s="46" t="str">
        <f ca="1">Chemin_accès!$B$2&amp;Tableau1[[#This Row],[Poste Responsable]]&amp;"\"&amp;Tableau1[[#This Row],[Localisation / Classement]]&amp;"\"&amp;Tableau1[[#This Row],[Poste technique]]&amp;"_"&amp;Tableau1[[#This Row],[Plan Entretien]]&amp;".pdf"</f>
        <v>\\stjn.local\trimet\Donnees_Projets\Dms Sap\Maintenance\PlanEntretien\7.MNRJ\\_.pdf</v>
      </c>
      <c r="X317" s="44"/>
      <c r="Y317" s="44"/>
      <c r="Z317" s="41" t="str">
        <f ca="1">IF(AND(Tableau1[[#This Row],[Charge]]&lt;&gt;0, Tableau1[[#This Row],[Nombre intervenants]]&lt;&gt;0,Tableau1[[#This Row],[Lien document]]&lt;&gt;0,Tableau1[[#This Row],[DMS_SAP]]&lt;&gt;0)=TRUE,"MIS A JOUR","")</f>
        <v/>
      </c>
      <c r="AA317" s="45"/>
      <c r="AB317" s="55" t="str">
        <f ca="1">IF(Tableau1[[#This Row],[Date rév.]]&lt;&gt;"", DAYS360(Tableau1[[#This Row],[Date rév.]],TODAY()),"")</f>
        <v/>
      </c>
      <c r="AC317" s="47">
        <f>IFERROR(INDEX(Chemin_accès!$B$11:$C$22,MATCH(Tableau1[[#This Row],[Type]],Chemin_accès!$C$11:$C$22,0),1),Chemin_accès!$B$11)</f>
        <v>0</v>
      </c>
      <c r="AD317" s="47" t="str">
        <f>Chemin_accès!$B$8&amp;Tableau1[[#This Row],[Localisation / Classement]]&amp;"\"&amp;Tableau1[[#This Row],[Poste technique]]&amp;"_"&amp;Tableau1[[#This Row],[Plan Entretien]]&amp;".xlsm"</f>
        <v>\_.xlsm</v>
      </c>
    </row>
    <row r="318" spans="1:30" x14ac:dyDescent="0.3">
      <c r="A318" s="41" t="str">
        <f t="shared" ca="1" si="4"/>
        <v>7.MNRJ</v>
      </c>
      <c r="B3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8" s="43"/>
      <c r="D318" s="41"/>
      <c r="E318" s="41"/>
      <c r="F318" s="44"/>
      <c r="G318" s="44"/>
      <c r="H318" s="48"/>
      <c r="I318" s="48"/>
      <c r="J318" s="48"/>
      <c r="K318" s="48"/>
      <c r="L318" s="43"/>
      <c r="M318" s="44"/>
      <c r="N318" s="43"/>
      <c r="O318" s="43"/>
      <c r="P318" s="44"/>
      <c r="Q318" s="43"/>
      <c r="R318" s="43"/>
      <c r="S318" s="45"/>
      <c r="T318" s="58" t="str">
        <f>IF(Tableau1[[#This Row],[DMS_SAP]]="","",HYPERLINK(Tableau1[[#This Row],[Chemin fichier source]],"X"))</f>
        <v/>
      </c>
      <c r="U318" s="58" t="str">
        <f>IF(Tableau1[[#This Row],[Date rév.]]="","",HYPERLINK(Tableau1[[#This Row],[Lien document]],"X"))</f>
        <v/>
      </c>
      <c r="V318" s="44"/>
      <c r="W318" s="46" t="str">
        <f ca="1">Chemin_accès!$B$2&amp;Tableau1[[#This Row],[Poste Responsable]]&amp;"\"&amp;Tableau1[[#This Row],[Localisation / Classement]]&amp;"\"&amp;Tableau1[[#This Row],[Poste technique]]&amp;"_"&amp;Tableau1[[#This Row],[Plan Entretien]]&amp;".pdf"</f>
        <v>\\stjn.local\trimet\Donnees_Projets\Dms Sap\Maintenance\PlanEntretien\7.MNRJ\\_.pdf</v>
      </c>
      <c r="X318" s="44"/>
      <c r="Y318" s="44"/>
      <c r="Z318" s="41" t="str">
        <f ca="1">IF(AND(Tableau1[[#This Row],[Charge]]&lt;&gt;0, Tableau1[[#This Row],[Nombre intervenants]]&lt;&gt;0,Tableau1[[#This Row],[Lien document]]&lt;&gt;0,Tableau1[[#This Row],[DMS_SAP]]&lt;&gt;0)=TRUE,"MIS A JOUR","")</f>
        <v/>
      </c>
      <c r="AA318" s="45"/>
      <c r="AB318" s="55" t="str">
        <f ca="1">IF(Tableau1[[#This Row],[Date rév.]]&lt;&gt;"", DAYS360(Tableau1[[#This Row],[Date rév.]],TODAY()),"")</f>
        <v/>
      </c>
      <c r="AC318" s="47">
        <f>IFERROR(INDEX(Chemin_accès!$B$11:$C$22,MATCH(Tableau1[[#This Row],[Type]],Chemin_accès!$C$11:$C$22,0),1),Chemin_accès!$B$11)</f>
        <v>0</v>
      </c>
      <c r="AD318" s="47" t="str">
        <f>Chemin_accès!$B$8&amp;Tableau1[[#This Row],[Localisation / Classement]]&amp;"\"&amp;Tableau1[[#This Row],[Poste technique]]&amp;"_"&amp;Tableau1[[#This Row],[Plan Entretien]]&amp;".xlsm"</f>
        <v>\_.xlsm</v>
      </c>
    </row>
    <row r="319" spans="1:30" x14ac:dyDescent="0.3">
      <c r="A319" s="41" t="str">
        <f t="shared" ca="1" si="4"/>
        <v>7.MNRJ</v>
      </c>
      <c r="B3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9" s="43"/>
      <c r="D319" s="41"/>
      <c r="E319" s="41"/>
      <c r="F319" s="44"/>
      <c r="G319" s="44"/>
      <c r="H319" s="48"/>
      <c r="I319" s="48"/>
      <c r="J319" s="48"/>
      <c r="K319" s="48"/>
      <c r="L319" s="43"/>
      <c r="M319" s="44"/>
      <c r="N319" s="43"/>
      <c r="O319" s="43"/>
      <c r="P319" s="44"/>
      <c r="Q319" s="43"/>
      <c r="R319" s="43"/>
      <c r="S319" s="45"/>
      <c r="T319" s="58" t="str">
        <f>IF(Tableau1[[#This Row],[DMS_SAP]]="","",HYPERLINK(Tableau1[[#This Row],[Chemin fichier source]],"X"))</f>
        <v/>
      </c>
      <c r="U319" s="58" t="str">
        <f>IF(Tableau1[[#This Row],[Date rév.]]="","",HYPERLINK(Tableau1[[#This Row],[Lien document]],"X"))</f>
        <v/>
      </c>
      <c r="V319" s="44"/>
      <c r="W319" s="46" t="str">
        <f ca="1">Chemin_accès!$B$2&amp;Tableau1[[#This Row],[Poste Responsable]]&amp;"\"&amp;Tableau1[[#This Row],[Localisation / Classement]]&amp;"\"&amp;Tableau1[[#This Row],[Poste technique]]&amp;"_"&amp;Tableau1[[#This Row],[Plan Entretien]]&amp;".pdf"</f>
        <v>\\stjn.local\trimet\Donnees_Projets\Dms Sap\Maintenance\PlanEntretien\7.MNRJ\\_.pdf</v>
      </c>
      <c r="X319" s="44"/>
      <c r="Y319" s="44"/>
      <c r="Z319" s="41" t="str">
        <f ca="1">IF(AND(Tableau1[[#This Row],[Charge]]&lt;&gt;0, Tableau1[[#This Row],[Nombre intervenants]]&lt;&gt;0,Tableau1[[#This Row],[Lien document]]&lt;&gt;0,Tableau1[[#This Row],[DMS_SAP]]&lt;&gt;0)=TRUE,"MIS A JOUR","")</f>
        <v/>
      </c>
      <c r="AA319" s="45"/>
      <c r="AB319" s="55" t="str">
        <f ca="1">IF(Tableau1[[#This Row],[Date rév.]]&lt;&gt;"", DAYS360(Tableau1[[#This Row],[Date rév.]],TODAY()),"")</f>
        <v/>
      </c>
      <c r="AC319" s="47">
        <f>IFERROR(INDEX(Chemin_accès!$B$11:$C$22,MATCH(Tableau1[[#This Row],[Type]],Chemin_accès!$C$11:$C$22,0),1),Chemin_accès!$B$11)</f>
        <v>0</v>
      </c>
      <c r="AD319" s="47" t="str">
        <f>Chemin_accès!$B$8&amp;Tableau1[[#This Row],[Localisation / Classement]]&amp;"\"&amp;Tableau1[[#This Row],[Poste technique]]&amp;"_"&amp;Tableau1[[#This Row],[Plan Entretien]]&amp;".xlsm"</f>
        <v>\_.xlsm</v>
      </c>
    </row>
    <row r="320" spans="1:30" x14ac:dyDescent="0.3">
      <c r="A320" s="41" t="str">
        <f t="shared" ca="1" si="4"/>
        <v>7.MNRJ</v>
      </c>
      <c r="B3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0" s="43"/>
      <c r="D320" s="41"/>
      <c r="E320" s="41"/>
      <c r="F320" s="44"/>
      <c r="G320" s="44"/>
      <c r="H320" s="48"/>
      <c r="I320" s="48"/>
      <c r="J320" s="48"/>
      <c r="K320" s="48"/>
      <c r="L320" s="43"/>
      <c r="M320" s="44"/>
      <c r="N320" s="43"/>
      <c r="O320" s="43"/>
      <c r="P320" s="44"/>
      <c r="Q320" s="43"/>
      <c r="R320" s="43"/>
      <c r="S320" s="45"/>
      <c r="T320" s="58" t="str">
        <f>IF(Tableau1[[#This Row],[DMS_SAP]]="","",HYPERLINK(Tableau1[[#This Row],[Chemin fichier source]],"X"))</f>
        <v/>
      </c>
      <c r="U320" s="58" t="str">
        <f>IF(Tableau1[[#This Row],[Date rév.]]="","",HYPERLINK(Tableau1[[#This Row],[Lien document]],"X"))</f>
        <v/>
      </c>
      <c r="V320" s="44"/>
      <c r="W320" s="46" t="str">
        <f ca="1">Chemin_accès!$B$2&amp;Tableau1[[#This Row],[Poste Responsable]]&amp;"\"&amp;Tableau1[[#This Row],[Localisation / Classement]]&amp;"\"&amp;Tableau1[[#This Row],[Poste technique]]&amp;"_"&amp;Tableau1[[#This Row],[Plan Entretien]]&amp;".pdf"</f>
        <v>\\stjn.local\trimet\Donnees_Projets\Dms Sap\Maintenance\PlanEntretien\7.MNRJ\\_.pdf</v>
      </c>
      <c r="X320" s="44"/>
      <c r="Y320" s="44"/>
      <c r="Z320" s="41" t="str">
        <f ca="1">IF(AND(Tableau1[[#This Row],[Charge]]&lt;&gt;0, Tableau1[[#This Row],[Nombre intervenants]]&lt;&gt;0,Tableau1[[#This Row],[Lien document]]&lt;&gt;0,Tableau1[[#This Row],[DMS_SAP]]&lt;&gt;0)=TRUE,"MIS A JOUR","")</f>
        <v/>
      </c>
      <c r="AA320" s="45"/>
      <c r="AB320" s="55" t="str">
        <f ca="1">IF(Tableau1[[#This Row],[Date rév.]]&lt;&gt;"", DAYS360(Tableau1[[#This Row],[Date rév.]],TODAY()),"")</f>
        <v/>
      </c>
      <c r="AC320" s="47">
        <f>IFERROR(INDEX(Chemin_accès!$B$11:$C$22,MATCH(Tableau1[[#This Row],[Type]],Chemin_accès!$C$11:$C$22,0),1),Chemin_accès!$B$11)</f>
        <v>0</v>
      </c>
      <c r="AD320" s="47" t="str">
        <f>Chemin_accès!$B$8&amp;Tableau1[[#This Row],[Localisation / Classement]]&amp;"\"&amp;Tableau1[[#This Row],[Poste technique]]&amp;"_"&amp;Tableau1[[#This Row],[Plan Entretien]]&amp;".xlsm"</f>
        <v>\_.xlsm</v>
      </c>
    </row>
    <row r="321" spans="1:30" x14ac:dyDescent="0.3">
      <c r="A321" s="41" t="str">
        <f t="shared" ca="1" si="4"/>
        <v>7.MNRJ</v>
      </c>
      <c r="B3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1" s="43"/>
      <c r="D321" s="41"/>
      <c r="E321" s="41"/>
      <c r="F321" s="44"/>
      <c r="G321" s="44"/>
      <c r="H321" s="48"/>
      <c r="I321" s="48"/>
      <c r="J321" s="48"/>
      <c r="K321" s="48"/>
      <c r="L321" s="43"/>
      <c r="M321" s="44"/>
      <c r="N321" s="43"/>
      <c r="O321" s="43"/>
      <c r="P321" s="44"/>
      <c r="Q321" s="43"/>
      <c r="R321" s="43"/>
      <c r="S321" s="45"/>
      <c r="T321" s="58" t="str">
        <f>IF(Tableau1[[#This Row],[DMS_SAP]]="","",HYPERLINK(Tableau1[[#This Row],[Chemin fichier source]],"X"))</f>
        <v/>
      </c>
      <c r="U321" s="58" t="str">
        <f>IF(Tableau1[[#This Row],[Date rév.]]="","",HYPERLINK(Tableau1[[#This Row],[Lien document]],"X"))</f>
        <v/>
      </c>
      <c r="V321" s="44"/>
      <c r="W321" s="46" t="str">
        <f ca="1">Chemin_accès!$B$2&amp;Tableau1[[#This Row],[Poste Responsable]]&amp;"\"&amp;Tableau1[[#This Row],[Localisation / Classement]]&amp;"\"&amp;Tableau1[[#This Row],[Poste technique]]&amp;"_"&amp;Tableau1[[#This Row],[Plan Entretien]]&amp;".pdf"</f>
        <v>\\stjn.local\trimet\Donnees_Projets\Dms Sap\Maintenance\PlanEntretien\7.MNRJ\\_.pdf</v>
      </c>
      <c r="X321" s="44"/>
      <c r="Y321" s="44"/>
      <c r="Z321" s="41" t="str">
        <f ca="1">IF(AND(Tableau1[[#This Row],[Charge]]&lt;&gt;0, Tableau1[[#This Row],[Nombre intervenants]]&lt;&gt;0,Tableau1[[#This Row],[Lien document]]&lt;&gt;0,Tableau1[[#This Row],[DMS_SAP]]&lt;&gt;0)=TRUE,"MIS A JOUR","")</f>
        <v/>
      </c>
      <c r="AA321" s="45"/>
      <c r="AB321" s="55" t="str">
        <f ca="1">IF(Tableau1[[#This Row],[Date rév.]]&lt;&gt;"", DAYS360(Tableau1[[#This Row],[Date rév.]],TODAY()),"")</f>
        <v/>
      </c>
      <c r="AC321" s="47">
        <f>IFERROR(INDEX(Chemin_accès!$B$11:$C$22,MATCH(Tableau1[[#This Row],[Type]],Chemin_accès!$C$11:$C$22,0),1),Chemin_accès!$B$11)</f>
        <v>0</v>
      </c>
      <c r="AD321" s="47" t="str">
        <f>Chemin_accès!$B$8&amp;Tableau1[[#This Row],[Localisation / Classement]]&amp;"\"&amp;Tableau1[[#This Row],[Poste technique]]&amp;"_"&amp;Tableau1[[#This Row],[Plan Entretien]]&amp;".xlsm"</f>
        <v>\_.xlsm</v>
      </c>
    </row>
    <row r="322" spans="1:30" x14ac:dyDescent="0.3">
      <c r="A322" s="41" t="str">
        <f t="shared" ca="1" si="4"/>
        <v>7.MNRJ</v>
      </c>
      <c r="B3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2" s="43"/>
      <c r="D322" s="41"/>
      <c r="E322" s="41"/>
      <c r="F322" s="44"/>
      <c r="G322" s="44"/>
      <c r="H322" s="48"/>
      <c r="I322" s="48"/>
      <c r="J322" s="48"/>
      <c r="K322" s="48"/>
      <c r="L322" s="43"/>
      <c r="M322" s="44"/>
      <c r="N322" s="43"/>
      <c r="O322" s="43"/>
      <c r="P322" s="44"/>
      <c r="Q322" s="43"/>
      <c r="R322" s="43"/>
      <c r="S322" s="45"/>
      <c r="T322" s="58" t="str">
        <f>IF(Tableau1[[#This Row],[DMS_SAP]]="","",HYPERLINK(Tableau1[[#This Row],[Chemin fichier source]],"X"))</f>
        <v/>
      </c>
      <c r="U322" s="58" t="str">
        <f>IF(Tableau1[[#This Row],[Date rév.]]="","",HYPERLINK(Tableau1[[#This Row],[Lien document]],"X"))</f>
        <v/>
      </c>
      <c r="V322" s="44"/>
      <c r="W322" s="46" t="str">
        <f ca="1">Chemin_accès!$B$2&amp;Tableau1[[#This Row],[Poste Responsable]]&amp;"\"&amp;Tableau1[[#This Row],[Localisation / Classement]]&amp;"\"&amp;Tableau1[[#This Row],[Poste technique]]&amp;"_"&amp;Tableau1[[#This Row],[Plan Entretien]]&amp;".pdf"</f>
        <v>\\stjn.local\trimet\Donnees_Projets\Dms Sap\Maintenance\PlanEntretien\7.MNRJ\\_.pdf</v>
      </c>
      <c r="X322" s="44"/>
      <c r="Y322" s="44"/>
      <c r="Z322" s="41" t="str">
        <f ca="1">IF(AND(Tableau1[[#This Row],[Charge]]&lt;&gt;0, Tableau1[[#This Row],[Nombre intervenants]]&lt;&gt;0,Tableau1[[#This Row],[Lien document]]&lt;&gt;0,Tableau1[[#This Row],[DMS_SAP]]&lt;&gt;0)=TRUE,"MIS A JOUR","")</f>
        <v/>
      </c>
      <c r="AA322" s="45"/>
      <c r="AB322" s="55" t="str">
        <f ca="1">IF(Tableau1[[#This Row],[Date rév.]]&lt;&gt;"", DAYS360(Tableau1[[#This Row],[Date rév.]],TODAY()),"")</f>
        <v/>
      </c>
      <c r="AC322" s="47">
        <f>IFERROR(INDEX(Chemin_accès!$B$11:$C$22,MATCH(Tableau1[[#This Row],[Type]],Chemin_accès!$C$11:$C$22,0),1),Chemin_accès!$B$11)</f>
        <v>0</v>
      </c>
      <c r="AD322" s="47" t="str">
        <f>Chemin_accès!$B$8&amp;Tableau1[[#This Row],[Localisation / Classement]]&amp;"\"&amp;Tableau1[[#This Row],[Poste technique]]&amp;"_"&amp;Tableau1[[#This Row],[Plan Entretien]]&amp;".xlsm"</f>
        <v>\_.xlsm</v>
      </c>
    </row>
    <row r="323" spans="1:30" x14ac:dyDescent="0.3">
      <c r="A323" s="41" t="str">
        <f t="shared" ref="A323:A386" ca="1" si="5">MID(CELL("filename",$A$1),FIND("]",CELL("filename",$A$1))+1,32)</f>
        <v>7.MNRJ</v>
      </c>
      <c r="B3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3" s="43"/>
      <c r="D323" s="41"/>
      <c r="E323" s="41"/>
      <c r="F323" s="44"/>
      <c r="G323" s="44"/>
      <c r="H323" s="48"/>
      <c r="I323" s="48"/>
      <c r="J323" s="48"/>
      <c r="K323" s="48"/>
      <c r="L323" s="43"/>
      <c r="M323" s="44"/>
      <c r="N323" s="43"/>
      <c r="O323" s="43"/>
      <c r="P323" s="44"/>
      <c r="Q323" s="43"/>
      <c r="R323" s="43"/>
      <c r="S323" s="45"/>
      <c r="T323" s="58" t="str">
        <f>IF(Tableau1[[#This Row],[DMS_SAP]]="","",HYPERLINK(Tableau1[[#This Row],[Chemin fichier source]],"X"))</f>
        <v/>
      </c>
      <c r="U323" s="58" t="str">
        <f>IF(Tableau1[[#This Row],[Date rév.]]="","",HYPERLINK(Tableau1[[#This Row],[Lien document]],"X"))</f>
        <v/>
      </c>
      <c r="V323" s="44"/>
      <c r="W323" s="46" t="str">
        <f ca="1">Chemin_accès!$B$2&amp;Tableau1[[#This Row],[Poste Responsable]]&amp;"\"&amp;Tableau1[[#This Row],[Localisation / Classement]]&amp;"\"&amp;Tableau1[[#This Row],[Poste technique]]&amp;"_"&amp;Tableau1[[#This Row],[Plan Entretien]]&amp;".pdf"</f>
        <v>\\stjn.local\trimet\Donnees_Projets\Dms Sap\Maintenance\PlanEntretien\7.MNRJ\\_.pdf</v>
      </c>
      <c r="X323" s="44"/>
      <c r="Y323" s="44"/>
      <c r="Z323" s="41" t="str">
        <f ca="1">IF(AND(Tableau1[[#This Row],[Charge]]&lt;&gt;0, Tableau1[[#This Row],[Nombre intervenants]]&lt;&gt;0,Tableau1[[#This Row],[Lien document]]&lt;&gt;0,Tableau1[[#This Row],[DMS_SAP]]&lt;&gt;0)=TRUE,"MIS A JOUR","")</f>
        <v/>
      </c>
      <c r="AA323" s="45"/>
      <c r="AB323" s="55" t="str">
        <f ca="1">IF(Tableau1[[#This Row],[Date rév.]]&lt;&gt;"", DAYS360(Tableau1[[#This Row],[Date rév.]],TODAY()),"")</f>
        <v/>
      </c>
      <c r="AC323" s="47">
        <f>IFERROR(INDEX(Chemin_accès!$B$11:$C$22,MATCH(Tableau1[[#This Row],[Type]],Chemin_accès!$C$11:$C$22,0),1),Chemin_accès!$B$11)</f>
        <v>0</v>
      </c>
      <c r="AD323" s="47" t="str">
        <f>Chemin_accès!$B$8&amp;Tableau1[[#This Row],[Localisation / Classement]]&amp;"\"&amp;Tableau1[[#This Row],[Poste technique]]&amp;"_"&amp;Tableau1[[#This Row],[Plan Entretien]]&amp;".xlsm"</f>
        <v>\_.xlsm</v>
      </c>
    </row>
    <row r="324" spans="1:30" x14ac:dyDescent="0.3">
      <c r="A324" s="41" t="str">
        <f t="shared" ca="1" si="5"/>
        <v>7.MNRJ</v>
      </c>
      <c r="B3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4" s="43"/>
      <c r="D324" s="41"/>
      <c r="E324" s="41"/>
      <c r="F324" s="44"/>
      <c r="G324" s="44"/>
      <c r="H324" s="48"/>
      <c r="I324" s="48"/>
      <c r="J324" s="48"/>
      <c r="K324" s="48"/>
      <c r="L324" s="43"/>
      <c r="M324" s="44"/>
      <c r="N324" s="43"/>
      <c r="O324" s="43"/>
      <c r="P324" s="44"/>
      <c r="Q324" s="43"/>
      <c r="R324" s="43"/>
      <c r="S324" s="45"/>
      <c r="T324" s="58" t="str">
        <f>IF(Tableau1[[#This Row],[DMS_SAP]]="","",HYPERLINK(Tableau1[[#This Row],[Chemin fichier source]],"X"))</f>
        <v/>
      </c>
      <c r="U324" s="58" t="str">
        <f>IF(Tableau1[[#This Row],[Date rév.]]="","",HYPERLINK(Tableau1[[#This Row],[Lien document]],"X"))</f>
        <v/>
      </c>
      <c r="V324" s="44"/>
      <c r="W324" s="46" t="str">
        <f ca="1">Chemin_accès!$B$2&amp;Tableau1[[#This Row],[Poste Responsable]]&amp;"\"&amp;Tableau1[[#This Row],[Localisation / Classement]]&amp;"\"&amp;Tableau1[[#This Row],[Poste technique]]&amp;"_"&amp;Tableau1[[#This Row],[Plan Entretien]]&amp;".pdf"</f>
        <v>\\stjn.local\trimet\Donnees_Projets\Dms Sap\Maintenance\PlanEntretien\7.MNRJ\\_.pdf</v>
      </c>
      <c r="X324" s="44"/>
      <c r="Y324" s="44"/>
      <c r="Z324" s="41" t="str">
        <f ca="1">IF(AND(Tableau1[[#This Row],[Charge]]&lt;&gt;0, Tableau1[[#This Row],[Nombre intervenants]]&lt;&gt;0,Tableau1[[#This Row],[Lien document]]&lt;&gt;0,Tableau1[[#This Row],[DMS_SAP]]&lt;&gt;0)=TRUE,"MIS A JOUR","")</f>
        <v/>
      </c>
      <c r="AA324" s="45"/>
      <c r="AB324" s="55" t="str">
        <f ca="1">IF(Tableau1[[#This Row],[Date rév.]]&lt;&gt;"", DAYS360(Tableau1[[#This Row],[Date rév.]],TODAY()),"")</f>
        <v/>
      </c>
      <c r="AC324" s="47">
        <f>IFERROR(INDEX(Chemin_accès!$B$11:$C$22,MATCH(Tableau1[[#This Row],[Type]],Chemin_accès!$C$11:$C$22,0),1),Chemin_accès!$B$11)</f>
        <v>0</v>
      </c>
      <c r="AD324" s="47" t="str">
        <f>Chemin_accès!$B$8&amp;Tableau1[[#This Row],[Localisation / Classement]]&amp;"\"&amp;Tableau1[[#This Row],[Poste technique]]&amp;"_"&amp;Tableau1[[#This Row],[Plan Entretien]]&amp;".xlsm"</f>
        <v>\_.xlsm</v>
      </c>
    </row>
    <row r="325" spans="1:30" x14ac:dyDescent="0.3">
      <c r="A325" s="41" t="str">
        <f t="shared" ca="1" si="5"/>
        <v>7.MNRJ</v>
      </c>
      <c r="B3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5" s="43"/>
      <c r="D325" s="41"/>
      <c r="E325" s="41"/>
      <c r="F325" s="44"/>
      <c r="G325" s="44"/>
      <c r="H325" s="48"/>
      <c r="I325" s="48"/>
      <c r="J325" s="48"/>
      <c r="K325" s="48"/>
      <c r="L325" s="43"/>
      <c r="M325" s="44"/>
      <c r="N325" s="43"/>
      <c r="O325" s="43"/>
      <c r="P325" s="44"/>
      <c r="Q325" s="43"/>
      <c r="R325" s="43"/>
      <c r="S325" s="45"/>
      <c r="T325" s="58" t="str">
        <f>IF(Tableau1[[#This Row],[DMS_SAP]]="","",HYPERLINK(Tableau1[[#This Row],[Chemin fichier source]],"X"))</f>
        <v/>
      </c>
      <c r="U325" s="58" t="str">
        <f>IF(Tableau1[[#This Row],[Date rév.]]="","",HYPERLINK(Tableau1[[#This Row],[Lien document]],"X"))</f>
        <v/>
      </c>
      <c r="V325" s="44"/>
      <c r="W325" s="46" t="str">
        <f ca="1">Chemin_accès!$B$2&amp;Tableau1[[#This Row],[Poste Responsable]]&amp;"\"&amp;Tableau1[[#This Row],[Localisation / Classement]]&amp;"\"&amp;Tableau1[[#This Row],[Poste technique]]&amp;"_"&amp;Tableau1[[#This Row],[Plan Entretien]]&amp;".pdf"</f>
        <v>\\stjn.local\trimet\Donnees_Projets\Dms Sap\Maintenance\PlanEntretien\7.MNRJ\\_.pdf</v>
      </c>
      <c r="X325" s="44"/>
      <c r="Y325" s="44"/>
      <c r="Z325" s="41" t="str">
        <f ca="1">IF(AND(Tableau1[[#This Row],[Charge]]&lt;&gt;0, Tableau1[[#This Row],[Nombre intervenants]]&lt;&gt;0,Tableau1[[#This Row],[Lien document]]&lt;&gt;0,Tableau1[[#This Row],[DMS_SAP]]&lt;&gt;0)=TRUE,"MIS A JOUR","")</f>
        <v/>
      </c>
      <c r="AA325" s="45"/>
      <c r="AB325" s="55" t="str">
        <f ca="1">IF(Tableau1[[#This Row],[Date rév.]]&lt;&gt;"", DAYS360(Tableau1[[#This Row],[Date rév.]],TODAY()),"")</f>
        <v/>
      </c>
      <c r="AC325" s="47">
        <f>IFERROR(INDEX(Chemin_accès!$B$11:$C$22,MATCH(Tableau1[[#This Row],[Type]],Chemin_accès!$C$11:$C$22,0),1),Chemin_accès!$B$11)</f>
        <v>0</v>
      </c>
      <c r="AD325" s="47" t="str">
        <f>Chemin_accès!$B$8&amp;Tableau1[[#This Row],[Localisation / Classement]]&amp;"\"&amp;Tableau1[[#This Row],[Poste technique]]&amp;"_"&amp;Tableau1[[#This Row],[Plan Entretien]]&amp;".xlsm"</f>
        <v>\_.xlsm</v>
      </c>
    </row>
    <row r="326" spans="1:30" x14ac:dyDescent="0.3">
      <c r="A326" s="41" t="str">
        <f t="shared" ca="1" si="5"/>
        <v>7.MNRJ</v>
      </c>
      <c r="B3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6" s="43"/>
      <c r="D326" s="41"/>
      <c r="E326" s="41"/>
      <c r="F326" s="44"/>
      <c r="G326" s="44"/>
      <c r="H326" s="48"/>
      <c r="I326" s="48"/>
      <c r="J326" s="48"/>
      <c r="K326" s="48"/>
      <c r="L326" s="43"/>
      <c r="M326" s="44"/>
      <c r="N326" s="43"/>
      <c r="O326" s="43"/>
      <c r="P326" s="44"/>
      <c r="Q326" s="43"/>
      <c r="R326" s="43"/>
      <c r="S326" s="45"/>
      <c r="T326" s="58" t="str">
        <f>IF(Tableau1[[#This Row],[DMS_SAP]]="","",HYPERLINK(Tableau1[[#This Row],[Chemin fichier source]],"X"))</f>
        <v/>
      </c>
      <c r="U326" s="58" t="str">
        <f>IF(Tableau1[[#This Row],[Date rév.]]="","",HYPERLINK(Tableau1[[#This Row],[Lien document]],"X"))</f>
        <v/>
      </c>
      <c r="V326" s="44"/>
      <c r="W326" s="46" t="str">
        <f ca="1">Chemin_accès!$B$2&amp;Tableau1[[#This Row],[Poste Responsable]]&amp;"\"&amp;Tableau1[[#This Row],[Localisation / Classement]]&amp;"\"&amp;Tableau1[[#This Row],[Poste technique]]&amp;"_"&amp;Tableau1[[#This Row],[Plan Entretien]]&amp;".pdf"</f>
        <v>\\stjn.local\trimet\Donnees_Projets\Dms Sap\Maintenance\PlanEntretien\7.MNRJ\\_.pdf</v>
      </c>
      <c r="X326" s="44"/>
      <c r="Y326" s="44"/>
      <c r="Z326" s="41" t="str">
        <f ca="1">IF(AND(Tableau1[[#This Row],[Charge]]&lt;&gt;0, Tableau1[[#This Row],[Nombre intervenants]]&lt;&gt;0,Tableau1[[#This Row],[Lien document]]&lt;&gt;0,Tableau1[[#This Row],[DMS_SAP]]&lt;&gt;0)=TRUE,"MIS A JOUR","")</f>
        <v/>
      </c>
      <c r="AA326" s="45"/>
      <c r="AB326" s="55" t="str">
        <f ca="1">IF(Tableau1[[#This Row],[Date rév.]]&lt;&gt;"", DAYS360(Tableau1[[#This Row],[Date rév.]],TODAY()),"")</f>
        <v/>
      </c>
      <c r="AC326" s="47">
        <f>IFERROR(INDEX(Chemin_accès!$B$11:$C$22,MATCH(Tableau1[[#This Row],[Type]],Chemin_accès!$C$11:$C$22,0),1),Chemin_accès!$B$11)</f>
        <v>0</v>
      </c>
      <c r="AD326" s="47" t="str">
        <f>Chemin_accès!$B$8&amp;Tableau1[[#This Row],[Localisation / Classement]]&amp;"\"&amp;Tableau1[[#This Row],[Poste technique]]&amp;"_"&amp;Tableau1[[#This Row],[Plan Entretien]]&amp;".xlsm"</f>
        <v>\_.xlsm</v>
      </c>
    </row>
    <row r="327" spans="1:30" x14ac:dyDescent="0.3">
      <c r="A327" s="41" t="str">
        <f t="shared" ca="1" si="5"/>
        <v>7.MNRJ</v>
      </c>
      <c r="B3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7" s="43"/>
      <c r="D327" s="41"/>
      <c r="E327" s="41"/>
      <c r="F327" s="44"/>
      <c r="G327" s="44"/>
      <c r="H327" s="48"/>
      <c r="I327" s="48"/>
      <c r="J327" s="48"/>
      <c r="K327" s="48"/>
      <c r="L327" s="43"/>
      <c r="M327" s="44"/>
      <c r="N327" s="43"/>
      <c r="O327" s="43"/>
      <c r="P327" s="44"/>
      <c r="Q327" s="43"/>
      <c r="R327" s="43"/>
      <c r="S327" s="45"/>
      <c r="T327" s="58" t="str">
        <f>IF(Tableau1[[#This Row],[DMS_SAP]]="","",HYPERLINK(Tableau1[[#This Row],[Chemin fichier source]],"X"))</f>
        <v/>
      </c>
      <c r="U327" s="58" t="str">
        <f>IF(Tableau1[[#This Row],[Date rév.]]="","",HYPERLINK(Tableau1[[#This Row],[Lien document]],"X"))</f>
        <v/>
      </c>
      <c r="V327" s="44"/>
      <c r="W327" s="46" t="str">
        <f ca="1">Chemin_accès!$B$2&amp;Tableau1[[#This Row],[Poste Responsable]]&amp;"\"&amp;Tableau1[[#This Row],[Localisation / Classement]]&amp;"\"&amp;Tableau1[[#This Row],[Poste technique]]&amp;"_"&amp;Tableau1[[#This Row],[Plan Entretien]]&amp;".pdf"</f>
        <v>\\stjn.local\trimet\Donnees_Projets\Dms Sap\Maintenance\PlanEntretien\7.MNRJ\\_.pdf</v>
      </c>
      <c r="X327" s="44"/>
      <c r="Y327" s="44"/>
      <c r="Z327" s="41" t="str">
        <f ca="1">IF(AND(Tableau1[[#This Row],[Charge]]&lt;&gt;0, Tableau1[[#This Row],[Nombre intervenants]]&lt;&gt;0,Tableau1[[#This Row],[Lien document]]&lt;&gt;0,Tableau1[[#This Row],[DMS_SAP]]&lt;&gt;0)=TRUE,"MIS A JOUR","")</f>
        <v/>
      </c>
      <c r="AA327" s="45"/>
      <c r="AB327" s="55" t="str">
        <f ca="1">IF(Tableau1[[#This Row],[Date rév.]]&lt;&gt;"", DAYS360(Tableau1[[#This Row],[Date rév.]],TODAY()),"")</f>
        <v/>
      </c>
      <c r="AC327" s="47">
        <f>IFERROR(INDEX(Chemin_accès!$B$11:$C$22,MATCH(Tableau1[[#This Row],[Type]],Chemin_accès!$C$11:$C$22,0),1),Chemin_accès!$B$11)</f>
        <v>0</v>
      </c>
      <c r="AD327" s="47" t="str">
        <f>Chemin_accès!$B$8&amp;Tableau1[[#This Row],[Localisation / Classement]]&amp;"\"&amp;Tableau1[[#This Row],[Poste technique]]&amp;"_"&amp;Tableau1[[#This Row],[Plan Entretien]]&amp;".xlsm"</f>
        <v>\_.xlsm</v>
      </c>
    </row>
    <row r="328" spans="1:30" x14ac:dyDescent="0.3">
      <c r="A328" s="41" t="str">
        <f t="shared" ca="1" si="5"/>
        <v>7.MNRJ</v>
      </c>
      <c r="B3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8" s="43"/>
      <c r="D328" s="41"/>
      <c r="E328" s="41"/>
      <c r="F328" s="44"/>
      <c r="G328" s="44"/>
      <c r="H328" s="48"/>
      <c r="I328" s="48"/>
      <c r="J328" s="48"/>
      <c r="K328" s="48"/>
      <c r="L328" s="43"/>
      <c r="M328" s="44"/>
      <c r="N328" s="43"/>
      <c r="O328" s="43"/>
      <c r="P328" s="44"/>
      <c r="Q328" s="43"/>
      <c r="R328" s="43"/>
      <c r="S328" s="45"/>
      <c r="T328" s="58" t="str">
        <f>IF(Tableau1[[#This Row],[DMS_SAP]]="","",HYPERLINK(Tableau1[[#This Row],[Chemin fichier source]],"X"))</f>
        <v/>
      </c>
      <c r="U328" s="58" t="str">
        <f>IF(Tableau1[[#This Row],[Date rév.]]="","",HYPERLINK(Tableau1[[#This Row],[Lien document]],"X"))</f>
        <v/>
      </c>
      <c r="V328" s="44"/>
      <c r="W328" s="46" t="str">
        <f ca="1">Chemin_accès!$B$2&amp;Tableau1[[#This Row],[Poste Responsable]]&amp;"\"&amp;Tableau1[[#This Row],[Localisation / Classement]]&amp;"\"&amp;Tableau1[[#This Row],[Poste technique]]&amp;"_"&amp;Tableau1[[#This Row],[Plan Entretien]]&amp;".pdf"</f>
        <v>\\stjn.local\trimet\Donnees_Projets\Dms Sap\Maintenance\PlanEntretien\7.MNRJ\\_.pdf</v>
      </c>
      <c r="X328" s="44"/>
      <c r="Y328" s="44"/>
      <c r="Z328" s="41" t="str">
        <f ca="1">IF(AND(Tableau1[[#This Row],[Charge]]&lt;&gt;0, Tableau1[[#This Row],[Nombre intervenants]]&lt;&gt;0,Tableau1[[#This Row],[Lien document]]&lt;&gt;0,Tableau1[[#This Row],[DMS_SAP]]&lt;&gt;0)=TRUE,"MIS A JOUR","")</f>
        <v/>
      </c>
      <c r="AA328" s="45"/>
      <c r="AB328" s="55" t="str">
        <f ca="1">IF(Tableau1[[#This Row],[Date rév.]]&lt;&gt;"", DAYS360(Tableau1[[#This Row],[Date rév.]],TODAY()),"")</f>
        <v/>
      </c>
      <c r="AC328" s="47">
        <f>IFERROR(INDEX(Chemin_accès!$B$11:$C$22,MATCH(Tableau1[[#This Row],[Type]],Chemin_accès!$C$11:$C$22,0),1),Chemin_accès!$B$11)</f>
        <v>0</v>
      </c>
      <c r="AD328" s="47" t="str">
        <f>Chemin_accès!$B$8&amp;Tableau1[[#This Row],[Localisation / Classement]]&amp;"\"&amp;Tableau1[[#This Row],[Poste technique]]&amp;"_"&amp;Tableau1[[#This Row],[Plan Entretien]]&amp;".xlsm"</f>
        <v>\_.xlsm</v>
      </c>
    </row>
    <row r="329" spans="1:30" x14ac:dyDescent="0.3">
      <c r="A329" s="41" t="str">
        <f t="shared" ca="1" si="5"/>
        <v>7.MNRJ</v>
      </c>
      <c r="B3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9" s="43"/>
      <c r="D329" s="41"/>
      <c r="E329" s="41"/>
      <c r="F329" s="44"/>
      <c r="G329" s="44"/>
      <c r="H329" s="48"/>
      <c r="I329" s="48"/>
      <c r="J329" s="48"/>
      <c r="K329" s="48"/>
      <c r="L329" s="43"/>
      <c r="M329" s="44"/>
      <c r="N329" s="43"/>
      <c r="O329" s="43"/>
      <c r="P329" s="44"/>
      <c r="Q329" s="43"/>
      <c r="R329" s="43"/>
      <c r="S329" s="45"/>
      <c r="T329" s="58" t="str">
        <f>IF(Tableau1[[#This Row],[DMS_SAP]]="","",HYPERLINK(Tableau1[[#This Row],[Chemin fichier source]],"X"))</f>
        <v/>
      </c>
      <c r="U329" s="58" t="str">
        <f>IF(Tableau1[[#This Row],[Date rév.]]="","",HYPERLINK(Tableau1[[#This Row],[Lien document]],"X"))</f>
        <v/>
      </c>
      <c r="V329" s="44"/>
      <c r="W329" s="46" t="str">
        <f ca="1">Chemin_accès!$B$2&amp;Tableau1[[#This Row],[Poste Responsable]]&amp;"\"&amp;Tableau1[[#This Row],[Localisation / Classement]]&amp;"\"&amp;Tableau1[[#This Row],[Poste technique]]&amp;"_"&amp;Tableau1[[#This Row],[Plan Entretien]]&amp;".pdf"</f>
        <v>\\stjn.local\trimet\Donnees_Projets\Dms Sap\Maintenance\PlanEntretien\7.MNRJ\\_.pdf</v>
      </c>
      <c r="X329" s="44"/>
      <c r="Y329" s="44"/>
      <c r="Z329" s="41" t="str">
        <f ca="1">IF(AND(Tableau1[[#This Row],[Charge]]&lt;&gt;0, Tableau1[[#This Row],[Nombre intervenants]]&lt;&gt;0,Tableau1[[#This Row],[Lien document]]&lt;&gt;0,Tableau1[[#This Row],[DMS_SAP]]&lt;&gt;0)=TRUE,"MIS A JOUR","")</f>
        <v/>
      </c>
      <c r="AA329" s="45"/>
      <c r="AB329" s="55" t="str">
        <f ca="1">IF(Tableau1[[#This Row],[Date rév.]]&lt;&gt;"", DAYS360(Tableau1[[#This Row],[Date rév.]],TODAY()),"")</f>
        <v/>
      </c>
      <c r="AC329" s="47">
        <f>IFERROR(INDEX(Chemin_accès!$B$11:$C$22,MATCH(Tableau1[[#This Row],[Type]],Chemin_accès!$C$11:$C$22,0),1),Chemin_accès!$B$11)</f>
        <v>0</v>
      </c>
      <c r="AD329" s="47" t="str">
        <f>Chemin_accès!$B$8&amp;Tableau1[[#This Row],[Localisation / Classement]]&amp;"\"&amp;Tableau1[[#This Row],[Poste technique]]&amp;"_"&amp;Tableau1[[#This Row],[Plan Entretien]]&amp;".xlsm"</f>
        <v>\_.xlsm</v>
      </c>
    </row>
    <row r="330" spans="1:30" x14ac:dyDescent="0.3">
      <c r="A330" s="41" t="str">
        <f t="shared" ca="1" si="5"/>
        <v>7.MNRJ</v>
      </c>
      <c r="B3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0" s="43"/>
      <c r="D330" s="41"/>
      <c r="E330" s="41"/>
      <c r="F330" s="44"/>
      <c r="G330" s="44"/>
      <c r="H330" s="48"/>
      <c r="I330" s="48"/>
      <c r="J330" s="48"/>
      <c r="K330" s="48"/>
      <c r="L330" s="43"/>
      <c r="M330" s="44"/>
      <c r="N330" s="43"/>
      <c r="O330" s="43"/>
      <c r="P330" s="44"/>
      <c r="Q330" s="43"/>
      <c r="R330" s="43"/>
      <c r="S330" s="45"/>
      <c r="T330" s="58" t="str">
        <f>IF(Tableau1[[#This Row],[DMS_SAP]]="","",HYPERLINK(Tableau1[[#This Row],[Chemin fichier source]],"X"))</f>
        <v/>
      </c>
      <c r="U330" s="58" t="str">
        <f>IF(Tableau1[[#This Row],[Date rév.]]="","",HYPERLINK(Tableau1[[#This Row],[Lien document]],"X"))</f>
        <v/>
      </c>
      <c r="V330" s="44"/>
      <c r="W330" s="46" t="str">
        <f ca="1">Chemin_accès!$B$2&amp;Tableau1[[#This Row],[Poste Responsable]]&amp;"\"&amp;Tableau1[[#This Row],[Localisation / Classement]]&amp;"\"&amp;Tableau1[[#This Row],[Poste technique]]&amp;"_"&amp;Tableau1[[#This Row],[Plan Entretien]]&amp;".pdf"</f>
        <v>\\stjn.local\trimet\Donnees_Projets\Dms Sap\Maintenance\PlanEntretien\7.MNRJ\\_.pdf</v>
      </c>
      <c r="X330" s="44"/>
      <c r="Y330" s="44"/>
      <c r="Z330" s="41" t="str">
        <f ca="1">IF(AND(Tableau1[[#This Row],[Charge]]&lt;&gt;0, Tableau1[[#This Row],[Nombre intervenants]]&lt;&gt;0,Tableau1[[#This Row],[Lien document]]&lt;&gt;0,Tableau1[[#This Row],[DMS_SAP]]&lt;&gt;0)=TRUE,"MIS A JOUR","")</f>
        <v/>
      </c>
      <c r="AA330" s="45"/>
      <c r="AB330" s="55" t="str">
        <f ca="1">IF(Tableau1[[#This Row],[Date rév.]]&lt;&gt;"", DAYS360(Tableau1[[#This Row],[Date rév.]],TODAY()),"")</f>
        <v/>
      </c>
      <c r="AC330" s="47">
        <f>IFERROR(INDEX(Chemin_accès!$B$11:$C$22,MATCH(Tableau1[[#This Row],[Type]],Chemin_accès!$C$11:$C$22,0),1),Chemin_accès!$B$11)</f>
        <v>0</v>
      </c>
      <c r="AD330" s="47" t="str">
        <f>Chemin_accès!$B$8&amp;Tableau1[[#This Row],[Localisation / Classement]]&amp;"\"&amp;Tableau1[[#This Row],[Poste technique]]&amp;"_"&amp;Tableau1[[#This Row],[Plan Entretien]]&amp;".xlsm"</f>
        <v>\_.xlsm</v>
      </c>
    </row>
    <row r="331" spans="1:30" x14ac:dyDescent="0.3">
      <c r="A331" s="41" t="str">
        <f t="shared" ca="1" si="5"/>
        <v>7.MNRJ</v>
      </c>
      <c r="B3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1" s="43"/>
      <c r="D331" s="41"/>
      <c r="E331" s="41"/>
      <c r="F331" s="44"/>
      <c r="G331" s="44"/>
      <c r="H331" s="48"/>
      <c r="I331" s="48"/>
      <c r="J331" s="48"/>
      <c r="K331" s="48"/>
      <c r="L331" s="43"/>
      <c r="M331" s="44"/>
      <c r="N331" s="43"/>
      <c r="O331" s="43"/>
      <c r="P331" s="44"/>
      <c r="Q331" s="43"/>
      <c r="R331" s="43"/>
      <c r="S331" s="45"/>
      <c r="T331" s="58" t="str">
        <f>IF(Tableau1[[#This Row],[DMS_SAP]]="","",HYPERLINK(Tableau1[[#This Row],[Chemin fichier source]],"X"))</f>
        <v/>
      </c>
      <c r="U331" s="58" t="str">
        <f>IF(Tableau1[[#This Row],[Date rév.]]="","",HYPERLINK(Tableau1[[#This Row],[Lien document]],"X"))</f>
        <v/>
      </c>
      <c r="V331" s="44"/>
      <c r="W331" s="46" t="str">
        <f ca="1">Chemin_accès!$B$2&amp;Tableau1[[#This Row],[Poste Responsable]]&amp;"\"&amp;Tableau1[[#This Row],[Localisation / Classement]]&amp;"\"&amp;Tableau1[[#This Row],[Poste technique]]&amp;"_"&amp;Tableau1[[#This Row],[Plan Entretien]]&amp;".pdf"</f>
        <v>\\stjn.local\trimet\Donnees_Projets\Dms Sap\Maintenance\PlanEntretien\7.MNRJ\\_.pdf</v>
      </c>
      <c r="X331" s="44"/>
      <c r="Y331" s="44"/>
      <c r="Z331" s="41" t="str">
        <f ca="1">IF(AND(Tableau1[[#This Row],[Charge]]&lt;&gt;0, Tableau1[[#This Row],[Nombre intervenants]]&lt;&gt;0,Tableau1[[#This Row],[Lien document]]&lt;&gt;0,Tableau1[[#This Row],[DMS_SAP]]&lt;&gt;0)=TRUE,"MIS A JOUR","")</f>
        <v/>
      </c>
      <c r="AA331" s="45"/>
      <c r="AB331" s="55" t="str">
        <f ca="1">IF(Tableau1[[#This Row],[Date rév.]]&lt;&gt;"", DAYS360(Tableau1[[#This Row],[Date rév.]],TODAY()),"")</f>
        <v/>
      </c>
      <c r="AC331" s="47">
        <f>IFERROR(INDEX(Chemin_accès!$B$11:$C$22,MATCH(Tableau1[[#This Row],[Type]],Chemin_accès!$C$11:$C$22,0),1),Chemin_accès!$B$11)</f>
        <v>0</v>
      </c>
      <c r="AD331" s="47" t="str">
        <f>Chemin_accès!$B$8&amp;Tableau1[[#This Row],[Localisation / Classement]]&amp;"\"&amp;Tableau1[[#This Row],[Poste technique]]&amp;"_"&amp;Tableau1[[#This Row],[Plan Entretien]]&amp;".xlsm"</f>
        <v>\_.xlsm</v>
      </c>
    </row>
    <row r="332" spans="1:30" x14ac:dyDescent="0.3">
      <c r="A332" s="41" t="str">
        <f t="shared" ca="1" si="5"/>
        <v>7.MNRJ</v>
      </c>
      <c r="B3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2" s="43"/>
      <c r="D332" s="41"/>
      <c r="E332" s="41"/>
      <c r="F332" s="44"/>
      <c r="G332" s="44"/>
      <c r="H332" s="48"/>
      <c r="I332" s="48"/>
      <c r="J332" s="48"/>
      <c r="K332" s="48"/>
      <c r="L332" s="43"/>
      <c r="M332" s="44"/>
      <c r="N332" s="43"/>
      <c r="O332" s="43"/>
      <c r="P332" s="44"/>
      <c r="Q332" s="43"/>
      <c r="R332" s="43"/>
      <c r="S332" s="45"/>
      <c r="T332" s="58" t="str">
        <f>IF(Tableau1[[#This Row],[DMS_SAP]]="","",HYPERLINK(Tableau1[[#This Row],[Chemin fichier source]],"X"))</f>
        <v/>
      </c>
      <c r="U332" s="58" t="str">
        <f>IF(Tableau1[[#This Row],[Date rév.]]="","",HYPERLINK(Tableau1[[#This Row],[Lien document]],"X"))</f>
        <v/>
      </c>
      <c r="V332" s="44"/>
      <c r="W332" s="46" t="str">
        <f ca="1">Chemin_accès!$B$2&amp;Tableau1[[#This Row],[Poste Responsable]]&amp;"\"&amp;Tableau1[[#This Row],[Localisation / Classement]]&amp;"\"&amp;Tableau1[[#This Row],[Poste technique]]&amp;"_"&amp;Tableau1[[#This Row],[Plan Entretien]]&amp;".pdf"</f>
        <v>\\stjn.local\trimet\Donnees_Projets\Dms Sap\Maintenance\PlanEntretien\7.MNRJ\\_.pdf</v>
      </c>
      <c r="X332" s="44"/>
      <c r="Y332" s="44"/>
      <c r="Z332" s="41" t="str">
        <f ca="1">IF(AND(Tableau1[[#This Row],[Charge]]&lt;&gt;0, Tableau1[[#This Row],[Nombre intervenants]]&lt;&gt;0,Tableau1[[#This Row],[Lien document]]&lt;&gt;0,Tableau1[[#This Row],[DMS_SAP]]&lt;&gt;0)=TRUE,"MIS A JOUR","")</f>
        <v/>
      </c>
      <c r="AA332" s="45"/>
      <c r="AB332" s="55" t="str">
        <f ca="1">IF(Tableau1[[#This Row],[Date rév.]]&lt;&gt;"", DAYS360(Tableau1[[#This Row],[Date rév.]],TODAY()),"")</f>
        <v/>
      </c>
      <c r="AC332" s="47">
        <f>IFERROR(INDEX(Chemin_accès!$B$11:$C$22,MATCH(Tableau1[[#This Row],[Type]],Chemin_accès!$C$11:$C$22,0),1),Chemin_accès!$B$11)</f>
        <v>0</v>
      </c>
      <c r="AD332" s="47" t="str">
        <f>Chemin_accès!$B$8&amp;Tableau1[[#This Row],[Localisation / Classement]]&amp;"\"&amp;Tableau1[[#This Row],[Poste technique]]&amp;"_"&amp;Tableau1[[#This Row],[Plan Entretien]]&amp;".xlsm"</f>
        <v>\_.xlsm</v>
      </c>
    </row>
    <row r="333" spans="1:30" x14ac:dyDescent="0.3">
      <c r="A333" s="41" t="str">
        <f t="shared" ca="1" si="5"/>
        <v>7.MNRJ</v>
      </c>
      <c r="B3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3" s="43"/>
      <c r="D333" s="41"/>
      <c r="E333" s="41"/>
      <c r="F333" s="44"/>
      <c r="G333" s="44"/>
      <c r="H333" s="48"/>
      <c r="I333" s="48"/>
      <c r="J333" s="48"/>
      <c r="K333" s="48"/>
      <c r="L333" s="43"/>
      <c r="M333" s="44"/>
      <c r="N333" s="43"/>
      <c r="O333" s="43"/>
      <c r="P333" s="44"/>
      <c r="Q333" s="43"/>
      <c r="R333" s="43"/>
      <c r="S333" s="45"/>
      <c r="T333" s="58" t="str">
        <f>IF(Tableau1[[#This Row],[DMS_SAP]]="","",HYPERLINK(Tableau1[[#This Row],[Chemin fichier source]],"X"))</f>
        <v/>
      </c>
      <c r="U333" s="58" t="str">
        <f>IF(Tableau1[[#This Row],[Date rév.]]="","",HYPERLINK(Tableau1[[#This Row],[Lien document]],"X"))</f>
        <v/>
      </c>
      <c r="V333" s="44"/>
      <c r="W333" s="46" t="str">
        <f ca="1">Chemin_accès!$B$2&amp;Tableau1[[#This Row],[Poste Responsable]]&amp;"\"&amp;Tableau1[[#This Row],[Localisation / Classement]]&amp;"\"&amp;Tableau1[[#This Row],[Poste technique]]&amp;"_"&amp;Tableau1[[#This Row],[Plan Entretien]]&amp;".pdf"</f>
        <v>\\stjn.local\trimet\Donnees_Projets\Dms Sap\Maintenance\PlanEntretien\7.MNRJ\\_.pdf</v>
      </c>
      <c r="X333" s="44"/>
      <c r="Y333" s="44"/>
      <c r="Z333" s="41" t="str">
        <f ca="1">IF(AND(Tableau1[[#This Row],[Charge]]&lt;&gt;0, Tableau1[[#This Row],[Nombre intervenants]]&lt;&gt;0,Tableau1[[#This Row],[Lien document]]&lt;&gt;0,Tableau1[[#This Row],[DMS_SAP]]&lt;&gt;0)=TRUE,"MIS A JOUR","")</f>
        <v/>
      </c>
      <c r="AA333" s="45"/>
      <c r="AB333" s="55" t="str">
        <f ca="1">IF(Tableau1[[#This Row],[Date rév.]]&lt;&gt;"", DAYS360(Tableau1[[#This Row],[Date rév.]],TODAY()),"")</f>
        <v/>
      </c>
      <c r="AC333" s="47">
        <f>IFERROR(INDEX(Chemin_accès!$B$11:$C$22,MATCH(Tableau1[[#This Row],[Type]],Chemin_accès!$C$11:$C$22,0),1),Chemin_accès!$B$11)</f>
        <v>0</v>
      </c>
      <c r="AD333" s="47" t="str">
        <f>Chemin_accès!$B$8&amp;Tableau1[[#This Row],[Localisation / Classement]]&amp;"\"&amp;Tableau1[[#This Row],[Poste technique]]&amp;"_"&amp;Tableau1[[#This Row],[Plan Entretien]]&amp;".xlsm"</f>
        <v>\_.xlsm</v>
      </c>
    </row>
    <row r="334" spans="1:30" x14ac:dyDescent="0.3">
      <c r="A334" s="41" t="str">
        <f t="shared" ca="1" si="5"/>
        <v>7.MNRJ</v>
      </c>
      <c r="B3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4" s="43"/>
      <c r="D334" s="41"/>
      <c r="E334" s="41"/>
      <c r="F334" s="44"/>
      <c r="G334" s="44"/>
      <c r="H334" s="48"/>
      <c r="I334" s="48"/>
      <c r="J334" s="48"/>
      <c r="K334" s="48"/>
      <c r="L334" s="43"/>
      <c r="M334" s="44"/>
      <c r="N334" s="43"/>
      <c r="O334" s="43"/>
      <c r="P334" s="44"/>
      <c r="Q334" s="43"/>
      <c r="R334" s="43"/>
      <c r="S334" s="45"/>
      <c r="T334" s="58" t="str">
        <f>IF(Tableau1[[#This Row],[DMS_SAP]]="","",HYPERLINK(Tableau1[[#This Row],[Chemin fichier source]],"X"))</f>
        <v/>
      </c>
      <c r="U334" s="58" t="str">
        <f>IF(Tableau1[[#This Row],[Date rév.]]="","",HYPERLINK(Tableau1[[#This Row],[Lien document]],"X"))</f>
        <v/>
      </c>
      <c r="V334" s="44"/>
      <c r="W334" s="46" t="str">
        <f ca="1">Chemin_accès!$B$2&amp;Tableau1[[#This Row],[Poste Responsable]]&amp;"\"&amp;Tableau1[[#This Row],[Localisation / Classement]]&amp;"\"&amp;Tableau1[[#This Row],[Poste technique]]&amp;"_"&amp;Tableau1[[#This Row],[Plan Entretien]]&amp;".pdf"</f>
        <v>\\stjn.local\trimet\Donnees_Projets\Dms Sap\Maintenance\PlanEntretien\7.MNRJ\\_.pdf</v>
      </c>
      <c r="X334" s="44"/>
      <c r="Y334" s="44"/>
      <c r="Z334" s="41" t="str">
        <f ca="1">IF(AND(Tableau1[[#This Row],[Charge]]&lt;&gt;0, Tableau1[[#This Row],[Nombre intervenants]]&lt;&gt;0,Tableau1[[#This Row],[Lien document]]&lt;&gt;0,Tableau1[[#This Row],[DMS_SAP]]&lt;&gt;0)=TRUE,"MIS A JOUR","")</f>
        <v/>
      </c>
      <c r="AA334" s="45"/>
      <c r="AB334" s="55" t="str">
        <f ca="1">IF(Tableau1[[#This Row],[Date rév.]]&lt;&gt;"", DAYS360(Tableau1[[#This Row],[Date rév.]],TODAY()),"")</f>
        <v/>
      </c>
      <c r="AC334" s="47">
        <f>IFERROR(INDEX(Chemin_accès!$B$11:$C$22,MATCH(Tableau1[[#This Row],[Type]],Chemin_accès!$C$11:$C$22,0),1),Chemin_accès!$B$11)</f>
        <v>0</v>
      </c>
      <c r="AD334" s="47" t="str">
        <f>Chemin_accès!$B$8&amp;Tableau1[[#This Row],[Localisation / Classement]]&amp;"\"&amp;Tableau1[[#This Row],[Poste technique]]&amp;"_"&amp;Tableau1[[#This Row],[Plan Entretien]]&amp;".xlsm"</f>
        <v>\_.xlsm</v>
      </c>
    </row>
    <row r="335" spans="1:30" x14ac:dyDescent="0.3">
      <c r="A335" s="41" t="str">
        <f t="shared" ca="1" si="5"/>
        <v>7.MNRJ</v>
      </c>
      <c r="B3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5" s="43"/>
      <c r="D335" s="41"/>
      <c r="E335" s="41"/>
      <c r="F335" s="44"/>
      <c r="G335" s="44"/>
      <c r="H335" s="48"/>
      <c r="I335" s="48"/>
      <c r="J335" s="48"/>
      <c r="K335" s="48"/>
      <c r="L335" s="43"/>
      <c r="M335" s="44"/>
      <c r="N335" s="43"/>
      <c r="O335" s="43"/>
      <c r="P335" s="44"/>
      <c r="Q335" s="43"/>
      <c r="R335" s="43"/>
      <c r="S335" s="45"/>
      <c r="T335" s="58" t="str">
        <f>IF(Tableau1[[#This Row],[DMS_SAP]]="","",HYPERLINK(Tableau1[[#This Row],[Chemin fichier source]],"X"))</f>
        <v/>
      </c>
      <c r="U335" s="58" t="str">
        <f>IF(Tableau1[[#This Row],[Date rév.]]="","",HYPERLINK(Tableau1[[#This Row],[Lien document]],"X"))</f>
        <v/>
      </c>
      <c r="V335" s="44"/>
      <c r="W335" s="46" t="str">
        <f ca="1">Chemin_accès!$B$2&amp;Tableau1[[#This Row],[Poste Responsable]]&amp;"\"&amp;Tableau1[[#This Row],[Localisation / Classement]]&amp;"\"&amp;Tableau1[[#This Row],[Poste technique]]&amp;"_"&amp;Tableau1[[#This Row],[Plan Entretien]]&amp;".pdf"</f>
        <v>\\stjn.local\trimet\Donnees_Projets\Dms Sap\Maintenance\PlanEntretien\7.MNRJ\\_.pdf</v>
      </c>
      <c r="X335" s="44"/>
      <c r="Y335" s="44"/>
      <c r="Z335" s="41" t="str">
        <f ca="1">IF(AND(Tableau1[[#This Row],[Charge]]&lt;&gt;0, Tableau1[[#This Row],[Nombre intervenants]]&lt;&gt;0,Tableau1[[#This Row],[Lien document]]&lt;&gt;0,Tableau1[[#This Row],[DMS_SAP]]&lt;&gt;0)=TRUE,"MIS A JOUR","")</f>
        <v/>
      </c>
      <c r="AA335" s="45"/>
      <c r="AB335" s="55" t="str">
        <f ca="1">IF(Tableau1[[#This Row],[Date rév.]]&lt;&gt;"", DAYS360(Tableau1[[#This Row],[Date rév.]],TODAY()),"")</f>
        <v/>
      </c>
      <c r="AC335" s="47">
        <f>IFERROR(INDEX(Chemin_accès!$B$11:$C$22,MATCH(Tableau1[[#This Row],[Type]],Chemin_accès!$C$11:$C$22,0),1),Chemin_accès!$B$11)</f>
        <v>0</v>
      </c>
      <c r="AD335" s="47" t="str">
        <f>Chemin_accès!$B$8&amp;Tableau1[[#This Row],[Localisation / Classement]]&amp;"\"&amp;Tableau1[[#This Row],[Poste technique]]&amp;"_"&amp;Tableau1[[#This Row],[Plan Entretien]]&amp;".xlsm"</f>
        <v>\_.xlsm</v>
      </c>
    </row>
    <row r="336" spans="1:30" x14ac:dyDescent="0.3">
      <c r="A336" s="41" t="str">
        <f t="shared" ca="1" si="5"/>
        <v>7.MNRJ</v>
      </c>
      <c r="B3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6" s="43"/>
      <c r="D336" s="41"/>
      <c r="E336" s="41"/>
      <c r="F336" s="44"/>
      <c r="G336" s="44"/>
      <c r="H336" s="48"/>
      <c r="I336" s="48"/>
      <c r="J336" s="48"/>
      <c r="K336" s="48"/>
      <c r="L336" s="43"/>
      <c r="M336" s="44"/>
      <c r="N336" s="43"/>
      <c r="O336" s="43"/>
      <c r="P336" s="44"/>
      <c r="Q336" s="43"/>
      <c r="R336" s="43"/>
      <c r="S336" s="45"/>
      <c r="T336" s="58" t="str">
        <f>IF(Tableau1[[#This Row],[DMS_SAP]]="","",HYPERLINK(Tableau1[[#This Row],[Chemin fichier source]],"X"))</f>
        <v/>
      </c>
      <c r="U336" s="58" t="str">
        <f>IF(Tableau1[[#This Row],[Date rév.]]="","",HYPERLINK(Tableau1[[#This Row],[Lien document]],"X"))</f>
        <v/>
      </c>
      <c r="V336" s="44"/>
      <c r="W336" s="46" t="str">
        <f ca="1">Chemin_accès!$B$2&amp;Tableau1[[#This Row],[Poste Responsable]]&amp;"\"&amp;Tableau1[[#This Row],[Localisation / Classement]]&amp;"\"&amp;Tableau1[[#This Row],[Poste technique]]&amp;"_"&amp;Tableau1[[#This Row],[Plan Entretien]]&amp;".pdf"</f>
        <v>\\stjn.local\trimet\Donnees_Projets\Dms Sap\Maintenance\PlanEntretien\7.MNRJ\\_.pdf</v>
      </c>
      <c r="X336" s="44"/>
      <c r="Y336" s="44"/>
      <c r="Z336" s="41" t="str">
        <f ca="1">IF(AND(Tableau1[[#This Row],[Charge]]&lt;&gt;0, Tableau1[[#This Row],[Nombre intervenants]]&lt;&gt;0,Tableau1[[#This Row],[Lien document]]&lt;&gt;0,Tableau1[[#This Row],[DMS_SAP]]&lt;&gt;0)=TRUE,"MIS A JOUR","")</f>
        <v/>
      </c>
      <c r="AA336" s="45"/>
      <c r="AB336" s="55" t="str">
        <f ca="1">IF(Tableau1[[#This Row],[Date rév.]]&lt;&gt;"", DAYS360(Tableau1[[#This Row],[Date rév.]],TODAY()),"")</f>
        <v/>
      </c>
      <c r="AC336" s="47">
        <f>IFERROR(INDEX(Chemin_accès!$B$11:$C$22,MATCH(Tableau1[[#This Row],[Type]],Chemin_accès!$C$11:$C$22,0),1),Chemin_accès!$B$11)</f>
        <v>0</v>
      </c>
      <c r="AD336" s="47" t="str">
        <f>Chemin_accès!$B$8&amp;Tableau1[[#This Row],[Localisation / Classement]]&amp;"\"&amp;Tableau1[[#This Row],[Poste technique]]&amp;"_"&amp;Tableau1[[#This Row],[Plan Entretien]]&amp;".xlsm"</f>
        <v>\_.xlsm</v>
      </c>
    </row>
    <row r="337" spans="1:30" x14ac:dyDescent="0.3">
      <c r="A337" s="41" t="str">
        <f t="shared" ca="1" si="5"/>
        <v>7.MNRJ</v>
      </c>
      <c r="B3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7" s="43"/>
      <c r="D337" s="41"/>
      <c r="E337" s="41"/>
      <c r="F337" s="44"/>
      <c r="G337" s="44"/>
      <c r="H337" s="48"/>
      <c r="I337" s="48"/>
      <c r="J337" s="48"/>
      <c r="K337" s="48"/>
      <c r="L337" s="43"/>
      <c r="M337" s="44"/>
      <c r="N337" s="43"/>
      <c r="O337" s="43"/>
      <c r="P337" s="44"/>
      <c r="Q337" s="43"/>
      <c r="R337" s="43"/>
      <c r="S337" s="45"/>
      <c r="T337" s="58" t="str">
        <f>IF(Tableau1[[#This Row],[DMS_SAP]]="","",HYPERLINK(Tableau1[[#This Row],[Chemin fichier source]],"X"))</f>
        <v/>
      </c>
      <c r="U337" s="58" t="str">
        <f>IF(Tableau1[[#This Row],[Date rév.]]="","",HYPERLINK(Tableau1[[#This Row],[Lien document]],"X"))</f>
        <v/>
      </c>
      <c r="V337" s="44"/>
      <c r="W337" s="46" t="str">
        <f ca="1">Chemin_accès!$B$2&amp;Tableau1[[#This Row],[Poste Responsable]]&amp;"\"&amp;Tableau1[[#This Row],[Localisation / Classement]]&amp;"\"&amp;Tableau1[[#This Row],[Poste technique]]&amp;"_"&amp;Tableau1[[#This Row],[Plan Entretien]]&amp;".pdf"</f>
        <v>\\stjn.local\trimet\Donnees_Projets\Dms Sap\Maintenance\PlanEntretien\7.MNRJ\\_.pdf</v>
      </c>
      <c r="X337" s="44"/>
      <c r="Y337" s="44"/>
      <c r="Z337" s="41" t="str">
        <f ca="1">IF(AND(Tableau1[[#This Row],[Charge]]&lt;&gt;0, Tableau1[[#This Row],[Nombre intervenants]]&lt;&gt;0,Tableau1[[#This Row],[Lien document]]&lt;&gt;0,Tableau1[[#This Row],[DMS_SAP]]&lt;&gt;0)=TRUE,"MIS A JOUR","")</f>
        <v/>
      </c>
      <c r="AA337" s="45"/>
      <c r="AB337" s="55" t="str">
        <f ca="1">IF(Tableau1[[#This Row],[Date rév.]]&lt;&gt;"", DAYS360(Tableau1[[#This Row],[Date rév.]],TODAY()),"")</f>
        <v/>
      </c>
      <c r="AC337" s="47">
        <f>IFERROR(INDEX(Chemin_accès!$B$11:$C$22,MATCH(Tableau1[[#This Row],[Type]],Chemin_accès!$C$11:$C$22,0),1),Chemin_accès!$B$11)</f>
        <v>0</v>
      </c>
      <c r="AD337" s="47" t="str">
        <f>Chemin_accès!$B$8&amp;Tableau1[[#This Row],[Localisation / Classement]]&amp;"\"&amp;Tableau1[[#This Row],[Poste technique]]&amp;"_"&amp;Tableau1[[#This Row],[Plan Entretien]]&amp;".xlsm"</f>
        <v>\_.xlsm</v>
      </c>
    </row>
    <row r="338" spans="1:30" x14ac:dyDescent="0.3">
      <c r="A338" s="41" t="str">
        <f t="shared" ca="1" si="5"/>
        <v>7.MNRJ</v>
      </c>
      <c r="B3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8" s="43"/>
      <c r="D338" s="41"/>
      <c r="E338" s="41"/>
      <c r="F338" s="44"/>
      <c r="G338" s="44"/>
      <c r="H338" s="48"/>
      <c r="I338" s="48"/>
      <c r="J338" s="48"/>
      <c r="K338" s="48"/>
      <c r="L338" s="43"/>
      <c r="M338" s="44"/>
      <c r="N338" s="43"/>
      <c r="O338" s="43"/>
      <c r="P338" s="44"/>
      <c r="Q338" s="43"/>
      <c r="R338" s="43"/>
      <c r="S338" s="45"/>
      <c r="T338" s="58" t="str">
        <f>IF(Tableau1[[#This Row],[DMS_SAP]]="","",HYPERLINK(Tableau1[[#This Row],[Chemin fichier source]],"X"))</f>
        <v/>
      </c>
      <c r="U338" s="58" t="str">
        <f>IF(Tableau1[[#This Row],[Date rév.]]="","",HYPERLINK(Tableau1[[#This Row],[Lien document]],"X"))</f>
        <v/>
      </c>
      <c r="V338" s="44"/>
      <c r="W338" s="46" t="str">
        <f ca="1">Chemin_accès!$B$2&amp;Tableau1[[#This Row],[Poste Responsable]]&amp;"\"&amp;Tableau1[[#This Row],[Localisation / Classement]]&amp;"\"&amp;Tableau1[[#This Row],[Poste technique]]&amp;"_"&amp;Tableau1[[#This Row],[Plan Entretien]]&amp;".pdf"</f>
        <v>\\stjn.local\trimet\Donnees_Projets\Dms Sap\Maintenance\PlanEntretien\7.MNRJ\\_.pdf</v>
      </c>
      <c r="X338" s="44"/>
      <c r="Y338" s="44"/>
      <c r="Z338" s="41" t="str">
        <f ca="1">IF(AND(Tableau1[[#This Row],[Charge]]&lt;&gt;0, Tableau1[[#This Row],[Nombre intervenants]]&lt;&gt;0,Tableau1[[#This Row],[Lien document]]&lt;&gt;0,Tableau1[[#This Row],[DMS_SAP]]&lt;&gt;0)=TRUE,"MIS A JOUR","")</f>
        <v/>
      </c>
      <c r="AA338" s="45"/>
      <c r="AB338" s="55" t="str">
        <f ca="1">IF(Tableau1[[#This Row],[Date rév.]]&lt;&gt;"", DAYS360(Tableau1[[#This Row],[Date rév.]],TODAY()),"")</f>
        <v/>
      </c>
      <c r="AC338" s="47">
        <f>IFERROR(INDEX(Chemin_accès!$B$11:$C$22,MATCH(Tableau1[[#This Row],[Type]],Chemin_accès!$C$11:$C$22,0),1),Chemin_accès!$B$11)</f>
        <v>0</v>
      </c>
      <c r="AD338" s="47" t="str">
        <f>Chemin_accès!$B$8&amp;Tableau1[[#This Row],[Localisation / Classement]]&amp;"\"&amp;Tableau1[[#This Row],[Poste technique]]&amp;"_"&amp;Tableau1[[#This Row],[Plan Entretien]]&amp;".xlsm"</f>
        <v>\_.xlsm</v>
      </c>
    </row>
    <row r="339" spans="1:30" x14ac:dyDescent="0.3">
      <c r="A339" s="41" t="str">
        <f t="shared" ca="1" si="5"/>
        <v>7.MNRJ</v>
      </c>
      <c r="B3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9" s="43"/>
      <c r="D339" s="41"/>
      <c r="E339" s="41"/>
      <c r="F339" s="44"/>
      <c r="G339" s="44"/>
      <c r="H339" s="48"/>
      <c r="I339" s="48"/>
      <c r="J339" s="48"/>
      <c r="K339" s="48"/>
      <c r="L339" s="43"/>
      <c r="M339" s="44"/>
      <c r="N339" s="43"/>
      <c r="O339" s="43"/>
      <c r="P339" s="44"/>
      <c r="Q339" s="43"/>
      <c r="R339" s="43"/>
      <c r="S339" s="45"/>
      <c r="T339" s="58" t="str">
        <f>IF(Tableau1[[#This Row],[DMS_SAP]]="","",HYPERLINK(Tableau1[[#This Row],[Chemin fichier source]],"X"))</f>
        <v/>
      </c>
      <c r="U339" s="58" t="str">
        <f>IF(Tableau1[[#This Row],[Date rév.]]="","",HYPERLINK(Tableau1[[#This Row],[Lien document]],"X"))</f>
        <v/>
      </c>
      <c r="V339" s="44"/>
      <c r="W339" s="46" t="str">
        <f ca="1">Chemin_accès!$B$2&amp;Tableau1[[#This Row],[Poste Responsable]]&amp;"\"&amp;Tableau1[[#This Row],[Localisation / Classement]]&amp;"\"&amp;Tableau1[[#This Row],[Poste technique]]&amp;"_"&amp;Tableau1[[#This Row],[Plan Entretien]]&amp;".pdf"</f>
        <v>\\stjn.local\trimet\Donnees_Projets\Dms Sap\Maintenance\PlanEntretien\7.MNRJ\\_.pdf</v>
      </c>
      <c r="X339" s="44"/>
      <c r="Y339" s="44"/>
      <c r="Z339" s="41" t="str">
        <f ca="1">IF(AND(Tableau1[[#This Row],[Charge]]&lt;&gt;0, Tableau1[[#This Row],[Nombre intervenants]]&lt;&gt;0,Tableau1[[#This Row],[Lien document]]&lt;&gt;0,Tableau1[[#This Row],[DMS_SAP]]&lt;&gt;0)=TRUE,"MIS A JOUR","")</f>
        <v/>
      </c>
      <c r="AA339" s="45"/>
      <c r="AB339" s="55" t="str">
        <f ca="1">IF(Tableau1[[#This Row],[Date rév.]]&lt;&gt;"", DAYS360(Tableau1[[#This Row],[Date rév.]],TODAY()),"")</f>
        <v/>
      </c>
      <c r="AC339" s="47">
        <f>IFERROR(INDEX(Chemin_accès!$B$11:$C$22,MATCH(Tableau1[[#This Row],[Type]],Chemin_accès!$C$11:$C$22,0),1),Chemin_accès!$B$11)</f>
        <v>0</v>
      </c>
      <c r="AD339" s="47" t="str">
        <f>Chemin_accès!$B$8&amp;Tableau1[[#This Row],[Localisation / Classement]]&amp;"\"&amp;Tableau1[[#This Row],[Poste technique]]&amp;"_"&amp;Tableau1[[#This Row],[Plan Entretien]]&amp;".xlsm"</f>
        <v>\_.xlsm</v>
      </c>
    </row>
    <row r="340" spans="1:30" x14ac:dyDescent="0.3">
      <c r="A340" s="41" t="str">
        <f t="shared" ca="1" si="5"/>
        <v>7.MNRJ</v>
      </c>
      <c r="B3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0" s="43"/>
      <c r="D340" s="41"/>
      <c r="E340" s="41"/>
      <c r="F340" s="44"/>
      <c r="G340" s="44"/>
      <c r="H340" s="48"/>
      <c r="I340" s="48"/>
      <c r="J340" s="48"/>
      <c r="K340" s="48"/>
      <c r="L340" s="43"/>
      <c r="M340" s="44"/>
      <c r="N340" s="43"/>
      <c r="O340" s="43"/>
      <c r="P340" s="44"/>
      <c r="Q340" s="43"/>
      <c r="R340" s="43"/>
      <c r="S340" s="45"/>
      <c r="T340" s="58" t="str">
        <f>IF(Tableau1[[#This Row],[DMS_SAP]]="","",HYPERLINK(Tableau1[[#This Row],[Chemin fichier source]],"X"))</f>
        <v/>
      </c>
      <c r="U340" s="58" t="str">
        <f>IF(Tableau1[[#This Row],[Date rév.]]="","",HYPERLINK(Tableau1[[#This Row],[Lien document]],"X"))</f>
        <v/>
      </c>
      <c r="V340" s="44"/>
      <c r="W340" s="46" t="str">
        <f ca="1">Chemin_accès!$B$2&amp;Tableau1[[#This Row],[Poste Responsable]]&amp;"\"&amp;Tableau1[[#This Row],[Localisation / Classement]]&amp;"\"&amp;Tableau1[[#This Row],[Poste technique]]&amp;"_"&amp;Tableau1[[#This Row],[Plan Entretien]]&amp;".pdf"</f>
        <v>\\stjn.local\trimet\Donnees_Projets\Dms Sap\Maintenance\PlanEntretien\7.MNRJ\\_.pdf</v>
      </c>
      <c r="X340" s="44"/>
      <c r="Y340" s="44"/>
      <c r="Z340" s="41" t="str">
        <f ca="1">IF(AND(Tableau1[[#This Row],[Charge]]&lt;&gt;0, Tableau1[[#This Row],[Nombre intervenants]]&lt;&gt;0,Tableau1[[#This Row],[Lien document]]&lt;&gt;0,Tableau1[[#This Row],[DMS_SAP]]&lt;&gt;0)=TRUE,"MIS A JOUR","")</f>
        <v/>
      </c>
      <c r="AA340" s="45"/>
      <c r="AB340" s="55" t="str">
        <f ca="1">IF(Tableau1[[#This Row],[Date rév.]]&lt;&gt;"", DAYS360(Tableau1[[#This Row],[Date rév.]],TODAY()),"")</f>
        <v/>
      </c>
      <c r="AC340" s="47">
        <f>IFERROR(INDEX(Chemin_accès!$B$11:$C$22,MATCH(Tableau1[[#This Row],[Type]],Chemin_accès!$C$11:$C$22,0),1),Chemin_accès!$B$11)</f>
        <v>0</v>
      </c>
      <c r="AD340" s="47" t="str">
        <f>Chemin_accès!$B$8&amp;Tableau1[[#This Row],[Localisation / Classement]]&amp;"\"&amp;Tableau1[[#This Row],[Poste technique]]&amp;"_"&amp;Tableau1[[#This Row],[Plan Entretien]]&amp;".xlsm"</f>
        <v>\_.xlsm</v>
      </c>
    </row>
    <row r="341" spans="1:30" x14ac:dyDescent="0.3">
      <c r="A341" s="41" t="str">
        <f t="shared" ca="1" si="5"/>
        <v>7.MNRJ</v>
      </c>
      <c r="B3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1" s="43"/>
      <c r="D341" s="41"/>
      <c r="E341" s="41"/>
      <c r="F341" s="44"/>
      <c r="G341" s="44"/>
      <c r="H341" s="48"/>
      <c r="I341" s="48"/>
      <c r="J341" s="48"/>
      <c r="K341" s="48"/>
      <c r="L341" s="43"/>
      <c r="M341" s="44"/>
      <c r="N341" s="43"/>
      <c r="O341" s="43"/>
      <c r="P341" s="44"/>
      <c r="Q341" s="43"/>
      <c r="R341" s="43"/>
      <c r="S341" s="45"/>
      <c r="T341" s="58" t="str">
        <f>IF(Tableau1[[#This Row],[DMS_SAP]]="","",HYPERLINK(Tableau1[[#This Row],[Chemin fichier source]],"X"))</f>
        <v/>
      </c>
      <c r="U341" s="58" t="str">
        <f>IF(Tableau1[[#This Row],[Date rév.]]="","",HYPERLINK(Tableau1[[#This Row],[Lien document]],"X"))</f>
        <v/>
      </c>
      <c r="V341" s="44"/>
      <c r="W341" s="46" t="str">
        <f ca="1">Chemin_accès!$B$2&amp;Tableau1[[#This Row],[Poste Responsable]]&amp;"\"&amp;Tableau1[[#This Row],[Localisation / Classement]]&amp;"\"&amp;Tableau1[[#This Row],[Poste technique]]&amp;"_"&amp;Tableau1[[#This Row],[Plan Entretien]]&amp;".pdf"</f>
        <v>\\stjn.local\trimet\Donnees_Projets\Dms Sap\Maintenance\PlanEntretien\7.MNRJ\\_.pdf</v>
      </c>
      <c r="X341" s="44"/>
      <c r="Y341" s="44"/>
      <c r="Z341" s="41" t="str">
        <f ca="1">IF(AND(Tableau1[[#This Row],[Charge]]&lt;&gt;0, Tableau1[[#This Row],[Nombre intervenants]]&lt;&gt;0,Tableau1[[#This Row],[Lien document]]&lt;&gt;0,Tableau1[[#This Row],[DMS_SAP]]&lt;&gt;0)=TRUE,"MIS A JOUR","")</f>
        <v/>
      </c>
      <c r="AA341" s="45"/>
      <c r="AB341" s="55" t="str">
        <f ca="1">IF(Tableau1[[#This Row],[Date rév.]]&lt;&gt;"", DAYS360(Tableau1[[#This Row],[Date rév.]],TODAY()),"")</f>
        <v/>
      </c>
      <c r="AC341" s="47">
        <f>IFERROR(INDEX(Chemin_accès!$B$11:$C$22,MATCH(Tableau1[[#This Row],[Type]],Chemin_accès!$C$11:$C$22,0),1),Chemin_accès!$B$11)</f>
        <v>0</v>
      </c>
      <c r="AD341" s="47" t="str">
        <f>Chemin_accès!$B$8&amp;Tableau1[[#This Row],[Localisation / Classement]]&amp;"\"&amp;Tableau1[[#This Row],[Poste technique]]&amp;"_"&amp;Tableau1[[#This Row],[Plan Entretien]]&amp;".xlsm"</f>
        <v>\_.xlsm</v>
      </c>
    </row>
    <row r="342" spans="1:30" x14ac:dyDescent="0.3">
      <c r="A342" s="41" t="str">
        <f t="shared" ca="1" si="5"/>
        <v>7.MNRJ</v>
      </c>
      <c r="B3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2" s="43"/>
      <c r="D342" s="41"/>
      <c r="E342" s="41"/>
      <c r="F342" s="44"/>
      <c r="G342" s="44"/>
      <c r="H342" s="48"/>
      <c r="I342" s="48"/>
      <c r="J342" s="48"/>
      <c r="K342" s="48"/>
      <c r="L342" s="43"/>
      <c r="M342" s="44"/>
      <c r="N342" s="43"/>
      <c r="O342" s="43"/>
      <c r="P342" s="44"/>
      <c r="Q342" s="43"/>
      <c r="R342" s="43"/>
      <c r="S342" s="45"/>
      <c r="T342" s="58" t="str">
        <f>IF(Tableau1[[#This Row],[DMS_SAP]]="","",HYPERLINK(Tableau1[[#This Row],[Chemin fichier source]],"X"))</f>
        <v/>
      </c>
      <c r="U342" s="58" t="str">
        <f>IF(Tableau1[[#This Row],[Date rév.]]="","",HYPERLINK(Tableau1[[#This Row],[Lien document]],"X"))</f>
        <v/>
      </c>
      <c r="V342" s="44"/>
      <c r="W342" s="46" t="str">
        <f ca="1">Chemin_accès!$B$2&amp;Tableau1[[#This Row],[Poste Responsable]]&amp;"\"&amp;Tableau1[[#This Row],[Localisation / Classement]]&amp;"\"&amp;Tableau1[[#This Row],[Poste technique]]&amp;"_"&amp;Tableau1[[#This Row],[Plan Entretien]]&amp;".pdf"</f>
        <v>\\stjn.local\trimet\Donnees_Projets\Dms Sap\Maintenance\PlanEntretien\7.MNRJ\\_.pdf</v>
      </c>
      <c r="X342" s="44"/>
      <c r="Y342" s="44"/>
      <c r="Z342" s="41" t="str">
        <f ca="1">IF(AND(Tableau1[[#This Row],[Charge]]&lt;&gt;0, Tableau1[[#This Row],[Nombre intervenants]]&lt;&gt;0,Tableau1[[#This Row],[Lien document]]&lt;&gt;0,Tableau1[[#This Row],[DMS_SAP]]&lt;&gt;0)=TRUE,"MIS A JOUR","")</f>
        <v/>
      </c>
      <c r="AA342" s="45"/>
      <c r="AB342" s="55" t="str">
        <f ca="1">IF(Tableau1[[#This Row],[Date rév.]]&lt;&gt;"", DAYS360(Tableau1[[#This Row],[Date rév.]],TODAY()),"")</f>
        <v/>
      </c>
      <c r="AC342" s="47">
        <f>IFERROR(INDEX(Chemin_accès!$B$11:$C$22,MATCH(Tableau1[[#This Row],[Type]],Chemin_accès!$C$11:$C$22,0),1),Chemin_accès!$B$11)</f>
        <v>0</v>
      </c>
      <c r="AD342" s="47" t="str">
        <f>Chemin_accès!$B$8&amp;Tableau1[[#This Row],[Localisation / Classement]]&amp;"\"&amp;Tableau1[[#This Row],[Poste technique]]&amp;"_"&amp;Tableau1[[#This Row],[Plan Entretien]]&amp;".xlsm"</f>
        <v>\_.xlsm</v>
      </c>
    </row>
    <row r="343" spans="1:30" x14ac:dyDescent="0.3">
      <c r="A343" s="41" t="str">
        <f t="shared" ca="1" si="5"/>
        <v>7.MNRJ</v>
      </c>
      <c r="B3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3" s="43"/>
      <c r="D343" s="41"/>
      <c r="E343" s="41"/>
      <c r="F343" s="44"/>
      <c r="G343" s="44"/>
      <c r="H343" s="48"/>
      <c r="I343" s="48"/>
      <c r="J343" s="48"/>
      <c r="K343" s="48"/>
      <c r="L343" s="43"/>
      <c r="M343" s="44"/>
      <c r="N343" s="43"/>
      <c r="O343" s="43"/>
      <c r="P343" s="44"/>
      <c r="Q343" s="43"/>
      <c r="R343" s="43"/>
      <c r="S343" s="45"/>
      <c r="T343" s="58" t="str">
        <f>IF(Tableau1[[#This Row],[DMS_SAP]]="","",HYPERLINK(Tableau1[[#This Row],[Chemin fichier source]],"X"))</f>
        <v/>
      </c>
      <c r="U343" s="58" t="str">
        <f>IF(Tableau1[[#This Row],[Date rév.]]="","",HYPERLINK(Tableau1[[#This Row],[Lien document]],"X"))</f>
        <v/>
      </c>
      <c r="V343" s="44"/>
      <c r="W343" s="46" t="str">
        <f ca="1">Chemin_accès!$B$2&amp;Tableau1[[#This Row],[Poste Responsable]]&amp;"\"&amp;Tableau1[[#This Row],[Localisation / Classement]]&amp;"\"&amp;Tableau1[[#This Row],[Poste technique]]&amp;"_"&amp;Tableau1[[#This Row],[Plan Entretien]]&amp;".pdf"</f>
        <v>\\stjn.local\trimet\Donnees_Projets\Dms Sap\Maintenance\PlanEntretien\7.MNRJ\\_.pdf</v>
      </c>
      <c r="X343" s="44"/>
      <c r="Y343" s="44"/>
      <c r="Z343" s="41" t="str">
        <f ca="1">IF(AND(Tableau1[[#This Row],[Charge]]&lt;&gt;0, Tableau1[[#This Row],[Nombre intervenants]]&lt;&gt;0,Tableau1[[#This Row],[Lien document]]&lt;&gt;0,Tableau1[[#This Row],[DMS_SAP]]&lt;&gt;0)=TRUE,"MIS A JOUR","")</f>
        <v/>
      </c>
      <c r="AA343" s="45"/>
      <c r="AB343" s="55" t="str">
        <f ca="1">IF(Tableau1[[#This Row],[Date rév.]]&lt;&gt;"", DAYS360(Tableau1[[#This Row],[Date rév.]],TODAY()),"")</f>
        <v/>
      </c>
      <c r="AC343" s="47">
        <f>IFERROR(INDEX(Chemin_accès!$B$11:$C$22,MATCH(Tableau1[[#This Row],[Type]],Chemin_accès!$C$11:$C$22,0),1),Chemin_accès!$B$11)</f>
        <v>0</v>
      </c>
      <c r="AD343" s="47" t="str">
        <f>Chemin_accès!$B$8&amp;Tableau1[[#This Row],[Localisation / Classement]]&amp;"\"&amp;Tableau1[[#This Row],[Poste technique]]&amp;"_"&amp;Tableau1[[#This Row],[Plan Entretien]]&amp;".xlsm"</f>
        <v>\_.xlsm</v>
      </c>
    </row>
    <row r="344" spans="1:30" x14ac:dyDescent="0.3">
      <c r="A344" s="41" t="str">
        <f t="shared" ca="1" si="5"/>
        <v>7.MNRJ</v>
      </c>
      <c r="B3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4" s="43"/>
      <c r="D344" s="41"/>
      <c r="E344" s="41"/>
      <c r="F344" s="44"/>
      <c r="G344" s="44"/>
      <c r="H344" s="48"/>
      <c r="I344" s="48"/>
      <c r="J344" s="48"/>
      <c r="K344" s="48"/>
      <c r="L344" s="43"/>
      <c r="M344" s="44"/>
      <c r="N344" s="43"/>
      <c r="O344" s="43"/>
      <c r="P344" s="44"/>
      <c r="Q344" s="43"/>
      <c r="R344" s="43"/>
      <c r="S344" s="45"/>
      <c r="T344" s="58" t="str">
        <f>IF(Tableau1[[#This Row],[DMS_SAP]]="","",HYPERLINK(Tableau1[[#This Row],[Chemin fichier source]],"X"))</f>
        <v/>
      </c>
      <c r="U344" s="58" t="str">
        <f>IF(Tableau1[[#This Row],[Date rév.]]="","",HYPERLINK(Tableau1[[#This Row],[Lien document]],"X"))</f>
        <v/>
      </c>
      <c r="V344" s="44"/>
      <c r="W344" s="46" t="str">
        <f ca="1">Chemin_accès!$B$2&amp;Tableau1[[#This Row],[Poste Responsable]]&amp;"\"&amp;Tableau1[[#This Row],[Localisation / Classement]]&amp;"\"&amp;Tableau1[[#This Row],[Poste technique]]&amp;"_"&amp;Tableau1[[#This Row],[Plan Entretien]]&amp;".pdf"</f>
        <v>\\stjn.local\trimet\Donnees_Projets\Dms Sap\Maintenance\PlanEntretien\7.MNRJ\\_.pdf</v>
      </c>
      <c r="X344" s="44"/>
      <c r="Y344" s="44"/>
      <c r="Z344" s="41" t="str">
        <f ca="1">IF(AND(Tableau1[[#This Row],[Charge]]&lt;&gt;0, Tableau1[[#This Row],[Nombre intervenants]]&lt;&gt;0,Tableau1[[#This Row],[Lien document]]&lt;&gt;0,Tableau1[[#This Row],[DMS_SAP]]&lt;&gt;0)=TRUE,"MIS A JOUR","")</f>
        <v/>
      </c>
      <c r="AA344" s="45"/>
      <c r="AB344" s="55" t="str">
        <f ca="1">IF(Tableau1[[#This Row],[Date rév.]]&lt;&gt;"", DAYS360(Tableau1[[#This Row],[Date rév.]],TODAY()),"")</f>
        <v/>
      </c>
      <c r="AC344" s="47">
        <f>IFERROR(INDEX(Chemin_accès!$B$11:$C$22,MATCH(Tableau1[[#This Row],[Type]],Chemin_accès!$C$11:$C$22,0),1),Chemin_accès!$B$11)</f>
        <v>0</v>
      </c>
      <c r="AD344" s="47" t="str">
        <f>Chemin_accès!$B$8&amp;Tableau1[[#This Row],[Localisation / Classement]]&amp;"\"&amp;Tableau1[[#This Row],[Poste technique]]&amp;"_"&amp;Tableau1[[#This Row],[Plan Entretien]]&amp;".xlsm"</f>
        <v>\_.xlsm</v>
      </c>
    </row>
    <row r="345" spans="1:30" x14ac:dyDescent="0.3">
      <c r="A345" s="41" t="str">
        <f t="shared" ca="1" si="5"/>
        <v>7.MNRJ</v>
      </c>
      <c r="B3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5" s="43"/>
      <c r="D345" s="41"/>
      <c r="E345" s="41"/>
      <c r="F345" s="44"/>
      <c r="G345" s="44"/>
      <c r="H345" s="48"/>
      <c r="I345" s="48"/>
      <c r="J345" s="48"/>
      <c r="K345" s="48"/>
      <c r="L345" s="43"/>
      <c r="M345" s="44"/>
      <c r="N345" s="43"/>
      <c r="O345" s="43"/>
      <c r="P345" s="44"/>
      <c r="Q345" s="43"/>
      <c r="R345" s="43"/>
      <c r="S345" s="45"/>
      <c r="T345" s="58" t="str">
        <f>IF(Tableau1[[#This Row],[DMS_SAP]]="","",HYPERLINK(Tableau1[[#This Row],[Chemin fichier source]],"X"))</f>
        <v/>
      </c>
      <c r="U345" s="58" t="str">
        <f>IF(Tableau1[[#This Row],[Date rév.]]="","",HYPERLINK(Tableau1[[#This Row],[Lien document]],"X"))</f>
        <v/>
      </c>
      <c r="V345" s="44"/>
      <c r="W345" s="46" t="str">
        <f ca="1">Chemin_accès!$B$2&amp;Tableau1[[#This Row],[Poste Responsable]]&amp;"\"&amp;Tableau1[[#This Row],[Localisation / Classement]]&amp;"\"&amp;Tableau1[[#This Row],[Poste technique]]&amp;"_"&amp;Tableau1[[#This Row],[Plan Entretien]]&amp;".pdf"</f>
        <v>\\stjn.local\trimet\Donnees_Projets\Dms Sap\Maintenance\PlanEntretien\7.MNRJ\\_.pdf</v>
      </c>
      <c r="X345" s="44"/>
      <c r="Y345" s="44"/>
      <c r="Z345" s="41" t="str">
        <f ca="1">IF(AND(Tableau1[[#This Row],[Charge]]&lt;&gt;0, Tableau1[[#This Row],[Nombre intervenants]]&lt;&gt;0,Tableau1[[#This Row],[Lien document]]&lt;&gt;0,Tableau1[[#This Row],[DMS_SAP]]&lt;&gt;0)=TRUE,"MIS A JOUR","")</f>
        <v/>
      </c>
      <c r="AA345" s="45"/>
      <c r="AB345" s="55" t="str">
        <f ca="1">IF(Tableau1[[#This Row],[Date rév.]]&lt;&gt;"", DAYS360(Tableau1[[#This Row],[Date rév.]],TODAY()),"")</f>
        <v/>
      </c>
      <c r="AC345" s="47">
        <f>IFERROR(INDEX(Chemin_accès!$B$11:$C$22,MATCH(Tableau1[[#This Row],[Type]],Chemin_accès!$C$11:$C$22,0),1),Chemin_accès!$B$11)</f>
        <v>0</v>
      </c>
      <c r="AD345" s="47" t="str">
        <f>Chemin_accès!$B$8&amp;Tableau1[[#This Row],[Localisation / Classement]]&amp;"\"&amp;Tableau1[[#This Row],[Poste technique]]&amp;"_"&amp;Tableau1[[#This Row],[Plan Entretien]]&amp;".xlsm"</f>
        <v>\_.xlsm</v>
      </c>
    </row>
    <row r="346" spans="1:30" x14ac:dyDescent="0.3">
      <c r="A346" s="41" t="str">
        <f t="shared" ca="1" si="5"/>
        <v>7.MNRJ</v>
      </c>
      <c r="B3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6" s="43"/>
      <c r="D346" s="41"/>
      <c r="E346" s="41"/>
      <c r="F346" s="44"/>
      <c r="G346" s="44"/>
      <c r="H346" s="48"/>
      <c r="I346" s="48"/>
      <c r="J346" s="48"/>
      <c r="K346" s="48"/>
      <c r="L346" s="43"/>
      <c r="M346" s="44"/>
      <c r="N346" s="43"/>
      <c r="O346" s="43"/>
      <c r="P346" s="44"/>
      <c r="Q346" s="43"/>
      <c r="R346" s="43"/>
      <c r="S346" s="45"/>
      <c r="T346" s="58" t="str">
        <f>IF(Tableau1[[#This Row],[DMS_SAP]]="","",HYPERLINK(Tableau1[[#This Row],[Chemin fichier source]],"X"))</f>
        <v/>
      </c>
      <c r="U346" s="58" t="str">
        <f>IF(Tableau1[[#This Row],[Date rév.]]="","",HYPERLINK(Tableau1[[#This Row],[Lien document]],"X"))</f>
        <v/>
      </c>
      <c r="V346" s="44"/>
      <c r="W346" s="46" t="str">
        <f ca="1">Chemin_accès!$B$2&amp;Tableau1[[#This Row],[Poste Responsable]]&amp;"\"&amp;Tableau1[[#This Row],[Localisation / Classement]]&amp;"\"&amp;Tableau1[[#This Row],[Poste technique]]&amp;"_"&amp;Tableau1[[#This Row],[Plan Entretien]]&amp;".pdf"</f>
        <v>\\stjn.local\trimet\Donnees_Projets\Dms Sap\Maintenance\PlanEntretien\7.MNRJ\\_.pdf</v>
      </c>
      <c r="X346" s="44"/>
      <c r="Y346" s="44"/>
      <c r="Z346" s="41" t="str">
        <f ca="1">IF(AND(Tableau1[[#This Row],[Charge]]&lt;&gt;0, Tableau1[[#This Row],[Nombre intervenants]]&lt;&gt;0,Tableau1[[#This Row],[Lien document]]&lt;&gt;0,Tableau1[[#This Row],[DMS_SAP]]&lt;&gt;0)=TRUE,"MIS A JOUR","")</f>
        <v/>
      </c>
      <c r="AA346" s="45"/>
      <c r="AB346" s="55" t="str">
        <f ca="1">IF(Tableau1[[#This Row],[Date rév.]]&lt;&gt;"", DAYS360(Tableau1[[#This Row],[Date rév.]],TODAY()),"")</f>
        <v/>
      </c>
      <c r="AC346" s="47">
        <f>IFERROR(INDEX(Chemin_accès!$B$11:$C$22,MATCH(Tableau1[[#This Row],[Type]],Chemin_accès!$C$11:$C$22,0),1),Chemin_accès!$B$11)</f>
        <v>0</v>
      </c>
      <c r="AD346" s="47" t="str">
        <f>Chemin_accès!$B$8&amp;Tableau1[[#This Row],[Localisation / Classement]]&amp;"\"&amp;Tableau1[[#This Row],[Poste technique]]&amp;"_"&amp;Tableau1[[#This Row],[Plan Entretien]]&amp;".xlsm"</f>
        <v>\_.xlsm</v>
      </c>
    </row>
    <row r="347" spans="1:30" x14ac:dyDescent="0.3">
      <c r="A347" s="41" t="str">
        <f t="shared" ca="1" si="5"/>
        <v>7.MNRJ</v>
      </c>
      <c r="B3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7" s="43"/>
      <c r="D347" s="41"/>
      <c r="E347" s="41"/>
      <c r="F347" s="44"/>
      <c r="G347" s="44"/>
      <c r="H347" s="48"/>
      <c r="I347" s="48"/>
      <c r="J347" s="48"/>
      <c r="K347" s="48"/>
      <c r="L347" s="43"/>
      <c r="M347" s="44"/>
      <c r="N347" s="43"/>
      <c r="O347" s="43"/>
      <c r="P347" s="44"/>
      <c r="Q347" s="43"/>
      <c r="R347" s="43"/>
      <c r="S347" s="45"/>
      <c r="T347" s="58" t="str">
        <f>IF(Tableau1[[#This Row],[DMS_SAP]]="","",HYPERLINK(Tableau1[[#This Row],[Chemin fichier source]],"X"))</f>
        <v/>
      </c>
      <c r="U347" s="58" t="str">
        <f>IF(Tableau1[[#This Row],[Date rév.]]="","",HYPERLINK(Tableau1[[#This Row],[Lien document]],"X"))</f>
        <v/>
      </c>
      <c r="V347" s="44"/>
      <c r="W347" s="46" t="str">
        <f ca="1">Chemin_accès!$B$2&amp;Tableau1[[#This Row],[Poste Responsable]]&amp;"\"&amp;Tableau1[[#This Row],[Localisation / Classement]]&amp;"\"&amp;Tableau1[[#This Row],[Poste technique]]&amp;"_"&amp;Tableau1[[#This Row],[Plan Entretien]]&amp;".pdf"</f>
        <v>\\stjn.local\trimet\Donnees_Projets\Dms Sap\Maintenance\PlanEntretien\7.MNRJ\\_.pdf</v>
      </c>
      <c r="X347" s="44"/>
      <c r="Y347" s="44"/>
      <c r="Z347" s="41" t="str">
        <f ca="1">IF(AND(Tableau1[[#This Row],[Charge]]&lt;&gt;0, Tableau1[[#This Row],[Nombre intervenants]]&lt;&gt;0,Tableau1[[#This Row],[Lien document]]&lt;&gt;0,Tableau1[[#This Row],[DMS_SAP]]&lt;&gt;0)=TRUE,"MIS A JOUR","")</f>
        <v/>
      </c>
      <c r="AA347" s="45"/>
      <c r="AB347" s="55" t="str">
        <f ca="1">IF(Tableau1[[#This Row],[Date rév.]]&lt;&gt;"", DAYS360(Tableau1[[#This Row],[Date rév.]],TODAY()),"")</f>
        <v/>
      </c>
      <c r="AC347" s="47">
        <f>IFERROR(INDEX(Chemin_accès!$B$11:$C$22,MATCH(Tableau1[[#This Row],[Type]],Chemin_accès!$C$11:$C$22,0),1),Chemin_accès!$B$11)</f>
        <v>0</v>
      </c>
      <c r="AD347" s="47" t="str">
        <f>Chemin_accès!$B$8&amp;Tableau1[[#This Row],[Localisation / Classement]]&amp;"\"&amp;Tableau1[[#This Row],[Poste technique]]&amp;"_"&amp;Tableau1[[#This Row],[Plan Entretien]]&amp;".xlsm"</f>
        <v>\_.xlsm</v>
      </c>
    </row>
    <row r="348" spans="1:30" x14ac:dyDescent="0.3">
      <c r="A348" s="41" t="str">
        <f t="shared" ca="1" si="5"/>
        <v>7.MNRJ</v>
      </c>
      <c r="B3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8" s="43"/>
      <c r="D348" s="41"/>
      <c r="E348" s="41"/>
      <c r="F348" s="44"/>
      <c r="G348" s="44"/>
      <c r="H348" s="48"/>
      <c r="I348" s="48"/>
      <c r="J348" s="48"/>
      <c r="K348" s="48"/>
      <c r="L348" s="43"/>
      <c r="M348" s="44"/>
      <c r="N348" s="43"/>
      <c r="O348" s="43"/>
      <c r="P348" s="44"/>
      <c r="Q348" s="43"/>
      <c r="R348" s="43"/>
      <c r="S348" s="45"/>
      <c r="T348" s="58" t="str">
        <f>IF(Tableau1[[#This Row],[DMS_SAP]]="","",HYPERLINK(Tableau1[[#This Row],[Chemin fichier source]],"X"))</f>
        <v/>
      </c>
      <c r="U348" s="58" t="str">
        <f>IF(Tableau1[[#This Row],[Date rév.]]="","",HYPERLINK(Tableau1[[#This Row],[Lien document]],"X"))</f>
        <v/>
      </c>
      <c r="V348" s="44"/>
      <c r="W348" s="46" t="str">
        <f ca="1">Chemin_accès!$B$2&amp;Tableau1[[#This Row],[Poste Responsable]]&amp;"\"&amp;Tableau1[[#This Row],[Localisation / Classement]]&amp;"\"&amp;Tableau1[[#This Row],[Poste technique]]&amp;"_"&amp;Tableau1[[#This Row],[Plan Entretien]]&amp;".pdf"</f>
        <v>\\stjn.local\trimet\Donnees_Projets\Dms Sap\Maintenance\PlanEntretien\7.MNRJ\\_.pdf</v>
      </c>
      <c r="X348" s="44"/>
      <c r="Y348" s="44"/>
      <c r="Z348" s="41" t="str">
        <f ca="1">IF(AND(Tableau1[[#This Row],[Charge]]&lt;&gt;0, Tableau1[[#This Row],[Nombre intervenants]]&lt;&gt;0,Tableau1[[#This Row],[Lien document]]&lt;&gt;0,Tableau1[[#This Row],[DMS_SAP]]&lt;&gt;0)=TRUE,"MIS A JOUR","")</f>
        <v/>
      </c>
      <c r="AA348" s="45"/>
      <c r="AB348" s="55" t="str">
        <f ca="1">IF(Tableau1[[#This Row],[Date rév.]]&lt;&gt;"", DAYS360(Tableau1[[#This Row],[Date rév.]],TODAY()),"")</f>
        <v/>
      </c>
      <c r="AC348" s="47">
        <f>IFERROR(INDEX(Chemin_accès!$B$11:$C$22,MATCH(Tableau1[[#This Row],[Type]],Chemin_accès!$C$11:$C$22,0),1),Chemin_accès!$B$11)</f>
        <v>0</v>
      </c>
      <c r="AD348" s="47" t="str">
        <f>Chemin_accès!$B$8&amp;Tableau1[[#This Row],[Localisation / Classement]]&amp;"\"&amp;Tableau1[[#This Row],[Poste technique]]&amp;"_"&amp;Tableau1[[#This Row],[Plan Entretien]]&amp;".xlsm"</f>
        <v>\_.xlsm</v>
      </c>
    </row>
    <row r="349" spans="1:30" x14ac:dyDescent="0.3">
      <c r="A349" s="41" t="str">
        <f t="shared" ca="1" si="5"/>
        <v>7.MNRJ</v>
      </c>
      <c r="B3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9" s="43"/>
      <c r="D349" s="41"/>
      <c r="E349" s="41"/>
      <c r="F349" s="44"/>
      <c r="G349" s="44"/>
      <c r="H349" s="48"/>
      <c r="I349" s="48"/>
      <c r="J349" s="48"/>
      <c r="K349" s="48"/>
      <c r="L349" s="43"/>
      <c r="M349" s="44"/>
      <c r="N349" s="43"/>
      <c r="O349" s="43"/>
      <c r="P349" s="44"/>
      <c r="Q349" s="43"/>
      <c r="R349" s="43"/>
      <c r="S349" s="45"/>
      <c r="T349" s="58" t="str">
        <f>IF(Tableau1[[#This Row],[DMS_SAP]]="","",HYPERLINK(Tableau1[[#This Row],[Chemin fichier source]],"X"))</f>
        <v/>
      </c>
      <c r="U349" s="58" t="str">
        <f>IF(Tableau1[[#This Row],[Date rév.]]="","",HYPERLINK(Tableau1[[#This Row],[Lien document]],"X"))</f>
        <v/>
      </c>
      <c r="V349" s="44"/>
      <c r="W349" s="46" t="str">
        <f ca="1">Chemin_accès!$B$2&amp;Tableau1[[#This Row],[Poste Responsable]]&amp;"\"&amp;Tableau1[[#This Row],[Localisation / Classement]]&amp;"\"&amp;Tableau1[[#This Row],[Poste technique]]&amp;"_"&amp;Tableau1[[#This Row],[Plan Entretien]]&amp;".pdf"</f>
        <v>\\stjn.local\trimet\Donnees_Projets\Dms Sap\Maintenance\PlanEntretien\7.MNRJ\\_.pdf</v>
      </c>
      <c r="X349" s="44"/>
      <c r="Y349" s="44"/>
      <c r="Z349" s="41" t="str">
        <f ca="1">IF(AND(Tableau1[[#This Row],[Charge]]&lt;&gt;0, Tableau1[[#This Row],[Nombre intervenants]]&lt;&gt;0,Tableau1[[#This Row],[Lien document]]&lt;&gt;0,Tableau1[[#This Row],[DMS_SAP]]&lt;&gt;0)=TRUE,"MIS A JOUR","")</f>
        <v/>
      </c>
      <c r="AA349" s="45"/>
      <c r="AB349" s="55" t="str">
        <f ca="1">IF(Tableau1[[#This Row],[Date rév.]]&lt;&gt;"", DAYS360(Tableau1[[#This Row],[Date rév.]],TODAY()),"")</f>
        <v/>
      </c>
      <c r="AC349" s="47">
        <f>IFERROR(INDEX(Chemin_accès!$B$11:$C$22,MATCH(Tableau1[[#This Row],[Type]],Chemin_accès!$C$11:$C$22,0),1),Chemin_accès!$B$11)</f>
        <v>0</v>
      </c>
      <c r="AD349" s="47" t="str">
        <f>Chemin_accès!$B$8&amp;Tableau1[[#This Row],[Localisation / Classement]]&amp;"\"&amp;Tableau1[[#This Row],[Poste technique]]&amp;"_"&amp;Tableau1[[#This Row],[Plan Entretien]]&amp;".xlsm"</f>
        <v>\_.xlsm</v>
      </c>
    </row>
    <row r="350" spans="1:30" x14ac:dyDescent="0.3">
      <c r="A350" s="41" t="str">
        <f t="shared" ca="1" si="5"/>
        <v>7.MNRJ</v>
      </c>
      <c r="B3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0" s="43"/>
      <c r="D350" s="41"/>
      <c r="E350" s="41"/>
      <c r="F350" s="44"/>
      <c r="G350" s="44"/>
      <c r="H350" s="48"/>
      <c r="I350" s="48"/>
      <c r="J350" s="48"/>
      <c r="K350" s="48"/>
      <c r="L350" s="43"/>
      <c r="M350" s="44"/>
      <c r="N350" s="43"/>
      <c r="O350" s="43"/>
      <c r="P350" s="44"/>
      <c r="Q350" s="43"/>
      <c r="R350" s="43"/>
      <c r="S350" s="45"/>
      <c r="T350" s="58" t="str">
        <f>IF(Tableau1[[#This Row],[DMS_SAP]]="","",HYPERLINK(Tableau1[[#This Row],[Chemin fichier source]],"X"))</f>
        <v/>
      </c>
      <c r="U350" s="58" t="str">
        <f>IF(Tableau1[[#This Row],[Date rév.]]="","",HYPERLINK(Tableau1[[#This Row],[Lien document]],"X"))</f>
        <v/>
      </c>
      <c r="V350" s="44"/>
      <c r="W350" s="46" t="str">
        <f ca="1">Chemin_accès!$B$2&amp;Tableau1[[#This Row],[Poste Responsable]]&amp;"\"&amp;Tableau1[[#This Row],[Localisation / Classement]]&amp;"\"&amp;Tableau1[[#This Row],[Poste technique]]&amp;"_"&amp;Tableau1[[#This Row],[Plan Entretien]]&amp;".pdf"</f>
        <v>\\stjn.local\trimet\Donnees_Projets\Dms Sap\Maintenance\PlanEntretien\7.MNRJ\\_.pdf</v>
      </c>
      <c r="X350" s="44"/>
      <c r="Y350" s="44"/>
      <c r="Z350" s="41" t="str">
        <f ca="1">IF(AND(Tableau1[[#This Row],[Charge]]&lt;&gt;0, Tableau1[[#This Row],[Nombre intervenants]]&lt;&gt;0,Tableau1[[#This Row],[Lien document]]&lt;&gt;0,Tableau1[[#This Row],[DMS_SAP]]&lt;&gt;0)=TRUE,"MIS A JOUR","")</f>
        <v/>
      </c>
      <c r="AA350" s="45"/>
      <c r="AB350" s="55" t="str">
        <f ca="1">IF(Tableau1[[#This Row],[Date rév.]]&lt;&gt;"", DAYS360(Tableau1[[#This Row],[Date rév.]],TODAY()),"")</f>
        <v/>
      </c>
      <c r="AC350" s="47">
        <f>IFERROR(INDEX(Chemin_accès!$B$11:$C$22,MATCH(Tableau1[[#This Row],[Type]],Chemin_accès!$C$11:$C$22,0),1),Chemin_accès!$B$11)</f>
        <v>0</v>
      </c>
      <c r="AD350" s="47" t="str">
        <f>Chemin_accès!$B$8&amp;Tableau1[[#This Row],[Localisation / Classement]]&amp;"\"&amp;Tableau1[[#This Row],[Poste technique]]&amp;"_"&amp;Tableau1[[#This Row],[Plan Entretien]]&amp;".xlsm"</f>
        <v>\_.xlsm</v>
      </c>
    </row>
    <row r="351" spans="1:30" x14ac:dyDescent="0.3">
      <c r="A351" s="41" t="str">
        <f t="shared" ca="1" si="5"/>
        <v>7.MNRJ</v>
      </c>
      <c r="B3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1" s="43"/>
      <c r="D351" s="41"/>
      <c r="E351" s="41"/>
      <c r="F351" s="44"/>
      <c r="G351" s="44"/>
      <c r="H351" s="48"/>
      <c r="I351" s="48"/>
      <c r="J351" s="48"/>
      <c r="K351" s="48"/>
      <c r="L351" s="43"/>
      <c r="M351" s="44"/>
      <c r="N351" s="43"/>
      <c r="O351" s="43"/>
      <c r="P351" s="44"/>
      <c r="Q351" s="43"/>
      <c r="R351" s="43"/>
      <c r="S351" s="45"/>
      <c r="T351" s="58" t="str">
        <f>IF(Tableau1[[#This Row],[DMS_SAP]]="","",HYPERLINK(Tableau1[[#This Row],[Chemin fichier source]],"X"))</f>
        <v/>
      </c>
      <c r="U351" s="58" t="str">
        <f>IF(Tableau1[[#This Row],[Date rév.]]="","",HYPERLINK(Tableau1[[#This Row],[Lien document]],"X"))</f>
        <v/>
      </c>
      <c r="V351" s="44"/>
      <c r="W351" s="46" t="str">
        <f ca="1">Chemin_accès!$B$2&amp;Tableau1[[#This Row],[Poste Responsable]]&amp;"\"&amp;Tableau1[[#This Row],[Localisation / Classement]]&amp;"\"&amp;Tableau1[[#This Row],[Poste technique]]&amp;"_"&amp;Tableau1[[#This Row],[Plan Entretien]]&amp;".pdf"</f>
        <v>\\stjn.local\trimet\Donnees_Projets\Dms Sap\Maintenance\PlanEntretien\7.MNRJ\\_.pdf</v>
      </c>
      <c r="X351" s="44"/>
      <c r="Y351" s="44"/>
      <c r="Z351" s="41" t="str">
        <f ca="1">IF(AND(Tableau1[[#This Row],[Charge]]&lt;&gt;0, Tableau1[[#This Row],[Nombre intervenants]]&lt;&gt;0,Tableau1[[#This Row],[Lien document]]&lt;&gt;0,Tableau1[[#This Row],[DMS_SAP]]&lt;&gt;0)=TRUE,"MIS A JOUR","")</f>
        <v/>
      </c>
      <c r="AA351" s="45"/>
      <c r="AB351" s="55" t="str">
        <f ca="1">IF(Tableau1[[#This Row],[Date rév.]]&lt;&gt;"", DAYS360(Tableau1[[#This Row],[Date rév.]],TODAY()),"")</f>
        <v/>
      </c>
      <c r="AC351" s="47">
        <f>IFERROR(INDEX(Chemin_accès!$B$11:$C$22,MATCH(Tableau1[[#This Row],[Type]],Chemin_accès!$C$11:$C$22,0),1),Chemin_accès!$B$11)</f>
        <v>0</v>
      </c>
      <c r="AD351" s="47" t="str">
        <f>Chemin_accès!$B$8&amp;Tableau1[[#This Row],[Localisation / Classement]]&amp;"\"&amp;Tableau1[[#This Row],[Poste technique]]&amp;"_"&amp;Tableau1[[#This Row],[Plan Entretien]]&amp;".xlsm"</f>
        <v>\_.xlsm</v>
      </c>
    </row>
    <row r="352" spans="1:30" x14ac:dyDescent="0.3">
      <c r="A352" s="41" t="str">
        <f t="shared" ca="1" si="5"/>
        <v>7.MNRJ</v>
      </c>
      <c r="B3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2" s="43"/>
      <c r="D352" s="41"/>
      <c r="E352" s="41"/>
      <c r="F352" s="44"/>
      <c r="G352" s="44"/>
      <c r="H352" s="48"/>
      <c r="I352" s="48"/>
      <c r="J352" s="48"/>
      <c r="K352" s="48"/>
      <c r="L352" s="43"/>
      <c r="M352" s="44"/>
      <c r="N352" s="43"/>
      <c r="O352" s="43"/>
      <c r="P352" s="44"/>
      <c r="Q352" s="43"/>
      <c r="R352" s="43"/>
      <c r="S352" s="45"/>
      <c r="T352" s="58" t="str">
        <f>IF(Tableau1[[#This Row],[DMS_SAP]]="","",HYPERLINK(Tableau1[[#This Row],[Chemin fichier source]],"X"))</f>
        <v/>
      </c>
      <c r="U352" s="58" t="str">
        <f>IF(Tableau1[[#This Row],[Date rév.]]="","",HYPERLINK(Tableau1[[#This Row],[Lien document]],"X"))</f>
        <v/>
      </c>
      <c r="V352" s="44"/>
      <c r="W352" s="46" t="str">
        <f ca="1">Chemin_accès!$B$2&amp;Tableau1[[#This Row],[Poste Responsable]]&amp;"\"&amp;Tableau1[[#This Row],[Localisation / Classement]]&amp;"\"&amp;Tableau1[[#This Row],[Poste technique]]&amp;"_"&amp;Tableau1[[#This Row],[Plan Entretien]]&amp;".pdf"</f>
        <v>\\stjn.local\trimet\Donnees_Projets\Dms Sap\Maintenance\PlanEntretien\7.MNRJ\\_.pdf</v>
      </c>
      <c r="X352" s="44"/>
      <c r="Y352" s="44"/>
      <c r="Z352" s="41" t="str">
        <f ca="1">IF(AND(Tableau1[[#This Row],[Charge]]&lt;&gt;0, Tableau1[[#This Row],[Nombre intervenants]]&lt;&gt;0,Tableau1[[#This Row],[Lien document]]&lt;&gt;0,Tableau1[[#This Row],[DMS_SAP]]&lt;&gt;0)=TRUE,"MIS A JOUR","")</f>
        <v/>
      </c>
      <c r="AA352" s="45"/>
      <c r="AB352" s="55" t="str">
        <f ca="1">IF(Tableau1[[#This Row],[Date rév.]]&lt;&gt;"", DAYS360(Tableau1[[#This Row],[Date rév.]],TODAY()),"")</f>
        <v/>
      </c>
      <c r="AC352" s="47">
        <f>IFERROR(INDEX(Chemin_accès!$B$11:$C$22,MATCH(Tableau1[[#This Row],[Type]],Chemin_accès!$C$11:$C$22,0),1),Chemin_accès!$B$11)</f>
        <v>0</v>
      </c>
      <c r="AD352" s="47" t="str">
        <f>Chemin_accès!$B$8&amp;Tableau1[[#This Row],[Localisation / Classement]]&amp;"\"&amp;Tableau1[[#This Row],[Poste technique]]&amp;"_"&amp;Tableau1[[#This Row],[Plan Entretien]]&amp;".xlsm"</f>
        <v>\_.xlsm</v>
      </c>
    </row>
    <row r="353" spans="1:30" x14ac:dyDescent="0.3">
      <c r="A353" s="41" t="str">
        <f t="shared" ca="1" si="5"/>
        <v>7.MNRJ</v>
      </c>
      <c r="B3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3" s="43"/>
      <c r="D353" s="41"/>
      <c r="E353" s="41"/>
      <c r="F353" s="44"/>
      <c r="G353" s="44"/>
      <c r="H353" s="48"/>
      <c r="I353" s="48"/>
      <c r="J353" s="48"/>
      <c r="K353" s="48"/>
      <c r="L353" s="43"/>
      <c r="M353" s="44"/>
      <c r="N353" s="43"/>
      <c r="O353" s="43"/>
      <c r="P353" s="44"/>
      <c r="Q353" s="43"/>
      <c r="R353" s="43"/>
      <c r="S353" s="45"/>
      <c r="T353" s="58" t="str">
        <f>IF(Tableau1[[#This Row],[DMS_SAP]]="","",HYPERLINK(Tableau1[[#This Row],[Chemin fichier source]],"X"))</f>
        <v/>
      </c>
      <c r="U353" s="58" t="str">
        <f>IF(Tableau1[[#This Row],[Date rév.]]="","",HYPERLINK(Tableau1[[#This Row],[Lien document]],"X"))</f>
        <v/>
      </c>
      <c r="V353" s="44"/>
      <c r="W353" s="46" t="str">
        <f ca="1">Chemin_accès!$B$2&amp;Tableau1[[#This Row],[Poste Responsable]]&amp;"\"&amp;Tableau1[[#This Row],[Localisation / Classement]]&amp;"\"&amp;Tableau1[[#This Row],[Poste technique]]&amp;"_"&amp;Tableau1[[#This Row],[Plan Entretien]]&amp;".pdf"</f>
        <v>\\stjn.local\trimet\Donnees_Projets\Dms Sap\Maintenance\PlanEntretien\7.MNRJ\\_.pdf</v>
      </c>
      <c r="X353" s="44"/>
      <c r="Y353" s="44"/>
      <c r="Z353" s="41" t="str">
        <f ca="1">IF(AND(Tableau1[[#This Row],[Charge]]&lt;&gt;0, Tableau1[[#This Row],[Nombre intervenants]]&lt;&gt;0,Tableau1[[#This Row],[Lien document]]&lt;&gt;0,Tableau1[[#This Row],[DMS_SAP]]&lt;&gt;0)=TRUE,"MIS A JOUR","")</f>
        <v/>
      </c>
      <c r="AA353" s="45"/>
      <c r="AB353" s="55" t="str">
        <f ca="1">IF(Tableau1[[#This Row],[Date rév.]]&lt;&gt;"", DAYS360(Tableau1[[#This Row],[Date rév.]],TODAY()),"")</f>
        <v/>
      </c>
      <c r="AC353" s="47">
        <f>IFERROR(INDEX(Chemin_accès!$B$11:$C$22,MATCH(Tableau1[[#This Row],[Type]],Chemin_accès!$C$11:$C$22,0),1),Chemin_accès!$B$11)</f>
        <v>0</v>
      </c>
      <c r="AD353" s="47" t="str">
        <f>Chemin_accès!$B$8&amp;Tableau1[[#This Row],[Localisation / Classement]]&amp;"\"&amp;Tableau1[[#This Row],[Poste technique]]&amp;"_"&amp;Tableau1[[#This Row],[Plan Entretien]]&amp;".xlsm"</f>
        <v>\_.xlsm</v>
      </c>
    </row>
    <row r="354" spans="1:30" x14ac:dyDescent="0.3">
      <c r="A354" s="41" t="str">
        <f t="shared" ca="1" si="5"/>
        <v>7.MNRJ</v>
      </c>
      <c r="B3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4" s="43"/>
      <c r="D354" s="41"/>
      <c r="E354" s="41"/>
      <c r="F354" s="44"/>
      <c r="G354" s="44"/>
      <c r="H354" s="48"/>
      <c r="I354" s="48"/>
      <c r="J354" s="48"/>
      <c r="K354" s="48"/>
      <c r="L354" s="43"/>
      <c r="M354" s="44"/>
      <c r="N354" s="43"/>
      <c r="O354" s="43"/>
      <c r="P354" s="44"/>
      <c r="Q354" s="43"/>
      <c r="R354" s="43"/>
      <c r="S354" s="45"/>
      <c r="T354" s="58" t="str">
        <f>IF(Tableau1[[#This Row],[DMS_SAP]]="","",HYPERLINK(Tableau1[[#This Row],[Chemin fichier source]],"X"))</f>
        <v/>
      </c>
      <c r="U354" s="58" t="str">
        <f>IF(Tableau1[[#This Row],[Date rév.]]="","",HYPERLINK(Tableau1[[#This Row],[Lien document]],"X"))</f>
        <v/>
      </c>
      <c r="V354" s="44"/>
      <c r="W354" s="46" t="str">
        <f ca="1">Chemin_accès!$B$2&amp;Tableau1[[#This Row],[Poste Responsable]]&amp;"\"&amp;Tableau1[[#This Row],[Localisation / Classement]]&amp;"\"&amp;Tableau1[[#This Row],[Poste technique]]&amp;"_"&amp;Tableau1[[#This Row],[Plan Entretien]]&amp;".pdf"</f>
        <v>\\stjn.local\trimet\Donnees_Projets\Dms Sap\Maintenance\PlanEntretien\7.MNRJ\\_.pdf</v>
      </c>
      <c r="X354" s="44"/>
      <c r="Y354" s="44"/>
      <c r="Z354" s="41" t="str">
        <f ca="1">IF(AND(Tableau1[[#This Row],[Charge]]&lt;&gt;0, Tableau1[[#This Row],[Nombre intervenants]]&lt;&gt;0,Tableau1[[#This Row],[Lien document]]&lt;&gt;0,Tableau1[[#This Row],[DMS_SAP]]&lt;&gt;0)=TRUE,"MIS A JOUR","")</f>
        <v/>
      </c>
      <c r="AA354" s="45"/>
      <c r="AB354" s="55" t="str">
        <f ca="1">IF(Tableau1[[#This Row],[Date rév.]]&lt;&gt;"", DAYS360(Tableau1[[#This Row],[Date rév.]],TODAY()),"")</f>
        <v/>
      </c>
      <c r="AC354" s="47">
        <f>IFERROR(INDEX(Chemin_accès!$B$11:$C$22,MATCH(Tableau1[[#This Row],[Type]],Chemin_accès!$C$11:$C$22,0),1),Chemin_accès!$B$11)</f>
        <v>0</v>
      </c>
      <c r="AD354" s="47" t="str">
        <f>Chemin_accès!$B$8&amp;Tableau1[[#This Row],[Localisation / Classement]]&amp;"\"&amp;Tableau1[[#This Row],[Poste technique]]&amp;"_"&amp;Tableau1[[#This Row],[Plan Entretien]]&amp;".xlsm"</f>
        <v>\_.xlsm</v>
      </c>
    </row>
    <row r="355" spans="1:30" x14ac:dyDescent="0.3">
      <c r="A355" s="41" t="str">
        <f t="shared" ca="1" si="5"/>
        <v>7.MNRJ</v>
      </c>
      <c r="B3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5" s="43"/>
      <c r="D355" s="41"/>
      <c r="E355" s="41"/>
      <c r="F355" s="44"/>
      <c r="G355" s="44"/>
      <c r="H355" s="48"/>
      <c r="I355" s="48"/>
      <c r="J355" s="48"/>
      <c r="K355" s="48"/>
      <c r="L355" s="43"/>
      <c r="M355" s="44"/>
      <c r="N355" s="43"/>
      <c r="O355" s="43"/>
      <c r="P355" s="44"/>
      <c r="Q355" s="43"/>
      <c r="R355" s="43"/>
      <c r="S355" s="45"/>
      <c r="T355" s="58" t="str">
        <f>IF(Tableau1[[#This Row],[DMS_SAP]]="","",HYPERLINK(Tableau1[[#This Row],[Chemin fichier source]],"X"))</f>
        <v/>
      </c>
      <c r="U355" s="58" t="str">
        <f>IF(Tableau1[[#This Row],[Date rév.]]="","",HYPERLINK(Tableau1[[#This Row],[Lien document]],"X"))</f>
        <v/>
      </c>
      <c r="V355" s="44"/>
      <c r="W355" s="46" t="str">
        <f ca="1">Chemin_accès!$B$2&amp;Tableau1[[#This Row],[Poste Responsable]]&amp;"\"&amp;Tableau1[[#This Row],[Localisation / Classement]]&amp;"\"&amp;Tableau1[[#This Row],[Poste technique]]&amp;"_"&amp;Tableau1[[#This Row],[Plan Entretien]]&amp;".pdf"</f>
        <v>\\stjn.local\trimet\Donnees_Projets\Dms Sap\Maintenance\PlanEntretien\7.MNRJ\\_.pdf</v>
      </c>
      <c r="X355" s="44"/>
      <c r="Y355" s="44"/>
      <c r="Z355" s="41" t="str">
        <f ca="1">IF(AND(Tableau1[[#This Row],[Charge]]&lt;&gt;0, Tableau1[[#This Row],[Nombre intervenants]]&lt;&gt;0,Tableau1[[#This Row],[Lien document]]&lt;&gt;0,Tableau1[[#This Row],[DMS_SAP]]&lt;&gt;0)=TRUE,"MIS A JOUR","")</f>
        <v/>
      </c>
      <c r="AA355" s="45"/>
      <c r="AB355" s="55" t="str">
        <f ca="1">IF(Tableau1[[#This Row],[Date rév.]]&lt;&gt;"", DAYS360(Tableau1[[#This Row],[Date rév.]],TODAY()),"")</f>
        <v/>
      </c>
      <c r="AC355" s="47">
        <f>IFERROR(INDEX(Chemin_accès!$B$11:$C$22,MATCH(Tableau1[[#This Row],[Type]],Chemin_accès!$C$11:$C$22,0),1),Chemin_accès!$B$11)</f>
        <v>0</v>
      </c>
      <c r="AD355" s="47" t="str">
        <f>Chemin_accès!$B$8&amp;Tableau1[[#This Row],[Localisation / Classement]]&amp;"\"&amp;Tableau1[[#This Row],[Poste technique]]&amp;"_"&amp;Tableau1[[#This Row],[Plan Entretien]]&amp;".xlsm"</f>
        <v>\_.xlsm</v>
      </c>
    </row>
    <row r="356" spans="1:30" x14ac:dyDescent="0.3">
      <c r="A356" s="41" t="str">
        <f t="shared" ca="1" si="5"/>
        <v>7.MNRJ</v>
      </c>
      <c r="B3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6" s="43"/>
      <c r="D356" s="41"/>
      <c r="E356" s="41"/>
      <c r="F356" s="44"/>
      <c r="G356" s="44"/>
      <c r="H356" s="48"/>
      <c r="I356" s="48"/>
      <c r="J356" s="48"/>
      <c r="K356" s="48"/>
      <c r="L356" s="43"/>
      <c r="M356" s="44"/>
      <c r="N356" s="43"/>
      <c r="O356" s="43"/>
      <c r="P356" s="44"/>
      <c r="Q356" s="43"/>
      <c r="R356" s="43"/>
      <c r="S356" s="45"/>
      <c r="T356" s="58" t="str">
        <f>IF(Tableau1[[#This Row],[DMS_SAP]]="","",HYPERLINK(Tableau1[[#This Row],[Chemin fichier source]],"X"))</f>
        <v/>
      </c>
      <c r="U356" s="58" t="str">
        <f>IF(Tableau1[[#This Row],[Date rév.]]="","",HYPERLINK(Tableau1[[#This Row],[Lien document]],"X"))</f>
        <v/>
      </c>
      <c r="V356" s="44"/>
      <c r="W356" s="46" t="str">
        <f ca="1">Chemin_accès!$B$2&amp;Tableau1[[#This Row],[Poste Responsable]]&amp;"\"&amp;Tableau1[[#This Row],[Localisation / Classement]]&amp;"\"&amp;Tableau1[[#This Row],[Poste technique]]&amp;"_"&amp;Tableau1[[#This Row],[Plan Entretien]]&amp;".pdf"</f>
        <v>\\stjn.local\trimet\Donnees_Projets\Dms Sap\Maintenance\PlanEntretien\7.MNRJ\\_.pdf</v>
      </c>
      <c r="X356" s="44"/>
      <c r="Y356" s="44"/>
      <c r="Z356" s="41" t="str">
        <f ca="1">IF(AND(Tableau1[[#This Row],[Charge]]&lt;&gt;0, Tableau1[[#This Row],[Nombre intervenants]]&lt;&gt;0,Tableau1[[#This Row],[Lien document]]&lt;&gt;0,Tableau1[[#This Row],[DMS_SAP]]&lt;&gt;0)=TRUE,"MIS A JOUR","")</f>
        <v/>
      </c>
      <c r="AA356" s="45"/>
      <c r="AB356" s="55" t="str">
        <f ca="1">IF(Tableau1[[#This Row],[Date rév.]]&lt;&gt;"", DAYS360(Tableau1[[#This Row],[Date rév.]],TODAY()),"")</f>
        <v/>
      </c>
      <c r="AC356" s="47">
        <f>IFERROR(INDEX(Chemin_accès!$B$11:$C$22,MATCH(Tableau1[[#This Row],[Type]],Chemin_accès!$C$11:$C$22,0),1),Chemin_accès!$B$11)</f>
        <v>0</v>
      </c>
      <c r="AD356" s="47" t="str">
        <f>Chemin_accès!$B$8&amp;Tableau1[[#This Row],[Localisation / Classement]]&amp;"\"&amp;Tableau1[[#This Row],[Poste technique]]&amp;"_"&amp;Tableau1[[#This Row],[Plan Entretien]]&amp;".xlsm"</f>
        <v>\_.xlsm</v>
      </c>
    </row>
    <row r="357" spans="1:30" x14ac:dyDescent="0.3">
      <c r="A357" s="41" t="str">
        <f t="shared" ca="1" si="5"/>
        <v>7.MNRJ</v>
      </c>
      <c r="B3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7" s="43"/>
      <c r="D357" s="41"/>
      <c r="E357" s="41"/>
      <c r="F357" s="44"/>
      <c r="G357" s="44"/>
      <c r="H357" s="48"/>
      <c r="I357" s="48"/>
      <c r="J357" s="48"/>
      <c r="K357" s="48"/>
      <c r="L357" s="43"/>
      <c r="M357" s="44"/>
      <c r="N357" s="43"/>
      <c r="O357" s="43"/>
      <c r="P357" s="44"/>
      <c r="Q357" s="43"/>
      <c r="R357" s="43"/>
      <c r="S357" s="45"/>
      <c r="T357" s="58" t="str">
        <f>IF(Tableau1[[#This Row],[DMS_SAP]]="","",HYPERLINK(Tableau1[[#This Row],[Chemin fichier source]],"X"))</f>
        <v/>
      </c>
      <c r="U357" s="58" t="str">
        <f>IF(Tableau1[[#This Row],[Date rév.]]="","",HYPERLINK(Tableau1[[#This Row],[Lien document]],"X"))</f>
        <v/>
      </c>
      <c r="V357" s="44"/>
      <c r="W357" s="46" t="str">
        <f ca="1">Chemin_accès!$B$2&amp;Tableau1[[#This Row],[Poste Responsable]]&amp;"\"&amp;Tableau1[[#This Row],[Localisation / Classement]]&amp;"\"&amp;Tableau1[[#This Row],[Poste technique]]&amp;"_"&amp;Tableau1[[#This Row],[Plan Entretien]]&amp;".pdf"</f>
        <v>\\stjn.local\trimet\Donnees_Projets\Dms Sap\Maintenance\PlanEntretien\7.MNRJ\\_.pdf</v>
      </c>
      <c r="X357" s="44"/>
      <c r="Y357" s="44"/>
      <c r="Z357" s="41" t="str">
        <f ca="1">IF(AND(Tableau1[[#This Row],[Charge]]&lt;&gt;0, Tableau1[[#This Row],[Nombre intervenants]]&lt;&gt;0,Tableau1[[#This Row],[Lien document]]&lt;&gt;0,Tableau1[[#This Row],[DMS_SAP]]&lt;&gt;0)=TRUE,"MIS A JOUR","")</f>
        <v/>
      </c>
      <c r="AA357" s="45"/>
      <c r="AB357" s="55" t="str">
        <f ca="1">IF(Tableau1[[#This Row],[Date rév.]]&lt;&gt;"", DAYS360(Tableau1[[#This Row],[Date rév.]],TODAY()),"")</f>
        <v/>
      </c>
      <c r="AC357" s="47">
        <f>IFERROR(INDEX(Chemin_accès!$B$11:$C$22,MATCH(Tableau1[[#This Row],[Type]],Chemin_accès!$C$11:$C$22,0),1),Chemin_accès!$B$11)</f>
        <v>0</v>
      </c>
      <c r="AD357" s="47" t="str">
        <f>Chemin_accès!$B$8&amp;Tableau1[[#This Row],[Localisation / Classement]]&amp;"\"&amp;Tableau1[[#This Row],[Poste technique]]&amp;"_"&amp;Tableau1[[#This Row],[Plan Entretien]]&amp;".xlsm"</f>
        <v>\_.xlsm</v>
      </c>
    </row>
    <row r="358" spans="1:30" x14ac:dyDescent="0.3">
      <c r="A358" s="41" t="str">
        <f t="shared" ca="1" si="5"/>
        <v>7.MNRJ</v>
      </c>
      <c r="B3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8" s="43"/>
      <c r="D358" s="41"/>
      <c r="E358" s="41"/>
      <c r="F358" s="44"/>
      <c r="G358" s="44"/>
      <c r="H358" s="48"/>
      <c r="I358" s="48"/>
      <c r="J358" s="48"/>
      <c r="K358" s="48"/>
      <c r="L358" s="43"/>
      <c r="M358" s="44"/>
      <c r="N358" s="43"/>
      <c r="O358" s="43"/>
      <c r="P358" s="44"/>
      <c r="Q358" s="43"/>
      <c r="R358" s="43"/>
      <c r="S358" s="45"/>
      <c r="T358" s="58" t="str">
        <f>IF(Tableau1[[#This Row],[DMS_SAP]]="","",HYPERLINK(Tableau1[[#This Row],[Chemin fichier source]],"X"))</f>
        <v/>
      </c>
      <c r="U358" s="58" t="str">
        <f>IF(Tableau1[[#This Row],[Date rév.]]="","",HYPERLINK(Tableau1[[#This Row],[Lien document]],"X"))</f>
        <v/>
      </c>
      <c r="V358" s="44"/>
      <c r="W358" s="46" t="str">
        <f ca="1">Chemin_accès!$B$2&amp;Tableau1[[#This Row],[Poste Responsable]]&amp;"\"&amp;Tableau1[[#This Row],[Localisation / Classement]]&amp;"\"&amp;Tableau1[[#This Row],[Poste technique]]&amp;"_"&amp;Tableau1[[#This Row],[Plan Entretien]]&amp;".pdf"</f>
        <v>\\stjn.local\trimet\Donnees_Projets\Dms Sap\Maintenance\PlanEntretien\7.MNRJ\\_.pdf</v>
      </c>
      <c r="X358" s="44"/>
      <c r="Y358" s="44"/>
      <c r="Z358" s="41" t="str">
        <f ca="1">IF(AND(Tableau1[[#This Row],[Charge]]&lt;&gt;0, Tableau1[[#This Row],[Nombre intervenants]]&lt;&gt;0,Tableau1[[#This Row],[Lien document]]&lt;&gt;0,Tableau1[[#This Row],[DMS_SAP]]&lt;&gt;0)=TRUE,"MIS A JOUR","")</f>
        <v/>
      </c>
      <c r="AA358" s="45"/>
      <c r="AB358" s="55" t="str">
        <f ca="1">IF(Tableau1[[#This Row],[Date rév.]]&lt;&gt;"", DAYS360(Tableau1[[#This Row],[Date rév.]],TODAY()),"")</f>
        <v/>
      </c>
      <c r="AC358" s="47">
        <f>IFERROR(INDEX(Chemin_accès!$B$11:$C$22,MATCH(Tableau1[[#This Row],[Type]],Chemin_accès!$C$11:$C$22,0),1),Chemin_accès!$B$11)</f>
        <v>0</v>
      </c>
      <c r="AD358" s="47" t="str">
        <f>Chemin_accès!$B$8&amp;Tableau1[[#This Row],[Localisation / Classement]]&amp;"\"&amp;Tableau1[[#This Row],[Poste technique]]&amp;"_"&amp;Tableau1[[#This Row],[Plan Entretien]]&amp;".xlsm"</f>
        <v>\_.xlsm</v>
      </c>
    </row>
    <row r="359" spans="1:30" x14ac:dyDescent="0.3">
      <c r="A359" s="41" t="str">
        <f t="shared" ca="1" si="5"/>
        <v>7.MNRJ</v>
      </c>
      <c r="B3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9" s="43"/>
      <c r="D359" s="41"/>
      <c r="E359" s="41"/>
      <c r="F359" s="44"/>
      <c r="G359" s="44"/>
      <c r="H359" s="48"/>
      <c r="I359" s="48"/>
      <c r="J359" s="48"/>
      <c r="K359" s="48"/>
      <c r="L359" s="43"/>
      <c r="M359" s="44"/>
      <c r="N359" s="43"/>
      <c r="O359" s="43"/>
      <c r="P359" s="44"/>
      <c r="Q359" s="43"/>
      <c r="R359" s="43"/>
      <c r="S359" s="45"/>
      <c r="T359" s="58" t="str">
        <f>IF(Tableau1[[#This Row],[DMS_SAP]]="","",HYPERLINK(Tableau1[[#This Row],[Chemin fichier source]],"X"))</f>
        <v/>
      </c>
      <c r="U359" s="58" t="str">
        <f>IF(Tableau1[[#This Row],[Date rév.]]="","",HYPERLINK(Tableau1[[#This Row],[Lien document]],"X"))</f>
        <v/>
      </c>
      <c r="V359" s="44"/>
      <c r="W359" s="46" t="str">
        <f ca="1">Chemin_accès!$B$2&amp;Tableau1[[#This Row],[Poste Responsable]]&amp;"\"&amp;Tableau1[[#This Row],[Localisation / Classement]]&amp;"\"&amp;Tableau1[[#This Row],[Poste technique]]&amp;"_"&amp;Tableau1[[#This Row],[Plan Entretien]]&amp;".pdf"</f>
        <v>\\stjn.local\trimet\Donnees_Projets\Dms Sap\Maintenance\PlanEntretien\7.MNRJ\\_.pdf</v>
      </c>
      <c r="X359" s="44"/>
      <c r="Y359" s="44"/>
      <c r="Z359" s="41" t="str">
        <f ca="1">IF(AND(Tableau1[[#This Row],[Charge]]&lt;&gt;0, Tableau1[[#This Row],[Nombre intervenants]]&lt;&gt;0,Tableau1[[#This Row],[Lien document]]&lt;&gt;0,Tableau1[[#This Row],[DMS_SAP]]&lt;&gt;0)=TRUE,"MIS A JOUR","")</f>
        <v/>
      </c>
      <c r="AA359" s="45"/>
      <c r="AB359" s="55" t="str">
        <f ca="1">IF(Tableau1[[#This Row],[Date rév.]]&lt;&gt;"", DAYS360(Tableau1[[#This Row],[Date rév.]],TODAY()),"")</f>
        <v/>
      </c>
      <c r="AC359" s="47">
        <f>IFERROR(INDEX(Chemin_accès!$B$11:$C$22,MATCH(Tableau1[[#This Row],[Type]],Chemin_accès!$C$11:$C$22,0),1),Chemin_accès!$B$11)</f>
        <v>0</v>
      </c>
      <c r="AD359" s="47" t="str">
        <f>Chemin_accès!$B$8&amp;Tableau1[[#This Row],[Localisation / Classement]]&amp;"\"&amp;Tableau1[[#This Row],[Poste technique]]&amp;"_"&amp;Tableau1[[#This Row],[Plan Entretien]]&amp;".xlsm"</f>
        <v>\_.xlsm</v>
      </c>
    </row>
    <row r="360" spans="1:30" x14ac:dyDescent="0.3">
      <c r="A360" s="41" t="str">
        <f t="shared" ca="1" si="5"/>
        <v>7.MNRJ</v>
      </c>
      <c r="B3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0" s="43"/>
      <c r="D360" s="41"/>
      <c r="E360" s="41"/>
      <c r="F360" s="44"/>
      <c r="G360" s="44"/>
      <c r="H360" s="48"/>
      <c r="I360" s="48"/>
      <c r="J360" s="48"/>
      <c r="K360" s="48"/>
      <c r="L360" s="43"/>
      <c r="M360" s="44"/>
      <c r="N360" s="43"/>
      <c r="O360" s="43"/>
      <c r="P360" s="44"/>
      <c r="Q360" s="43"/>
      <c r="R360" s="43"/>
      <c r="S360" s="45"/>
      <c r="T360" s="58" t="str">
        <f>IF(Tableau1[[#This Row],[DMS_SAP]]="","",HYPERLINK(Tableau1[[#This Row],[Chemin fichier source]],"X"))</f>
        <v/>
      </c>
      <c r="U360" s="58" t="str">
        <f>IF(Tableau1[[#This Row],[Date rév.]]="","",HYPERLINK(Tableau1[[#This Row],[Lien document]],"X"))</f>
        <v/>
      </c>
      <c r="V360" s="44"/>
      <c r="W360" s="46" t="str">
        <f ca="1">Chemin_accès!$B$2&amp;Tableau1[[#This Row],[Poste Responsable]]&amp;"\"&amp;Tableau1[[#This Row],[Localisation / Classement]]&amp;"\"&amp;Tableau1[[#This Row],[Poste technique]]&amp;"_"&amp;Tableau1[[#This Row],[Plan Entretien]]&amp;".pdf"</f>
        <v>\\stjn.local\trimet\Donnees_Projets\Dms Sap\Maintenance\PlanEntretien\7.MNRJ\\_.pdf</v>
      </c>
      <c r="X360" s="44"/>
      <c r="Y360" s="44"/>
      <c r="Z360" s="41" t="str">
        <f ca="1">IF(AND(Tableau1[[#This Row],[Charge]]&lt;&gt;0, Tableau1[[#This Row],[Nombre intervenants]]&lt;&gt;0,Tableau1[[#This Row],[Lien document]]&lt;&gt;0,Tableau1[[#This Row],[DMS_SAP]]&lt;&gt;0)=TRUE,"MIS A JOUR","")</f>
        <v/>
      </c>
      <c r="AA360" s="45"/>
      <c r="AB360" s="55" t="str">
        <f ca="1">IF(Tableau1[[#This Row],[Date rév.]]&lt;&gt;"", DAYS360(Tableau1[[#This Row],[Date rév.]],TODAY()),"")</f>
        <v/>
      </c>
      <c r="AC360" s="47">
        <f>IFERROR(INDEX(Chemin_accès!$B$11:$C$22,MATCH(Tableau1[[#This Row],[Type]],Chemin_accès!$C$11:$C$22,0),1),Chemin_accès!$B$11)</f>
        <v>0</v>
      </c>
      <c r="AD360" s="47" t="str">
        <f>Chemin_accès!$B$8&amp;Tableau1[[#This Row],[Localisation / Classement]]&amp;"\"&amp;Tableau1[[#This Row],[Poste technique]]&amp;"_"&amp;Tableau1[[#This Row],[Plan Entretien]]&amp;".xlsm"</f>
        <v>\_.xlsm</v>
      </c>
    </row>
    <row r="361" spans="1:30" x14ac:dyDescent="0.3">
      <c r="A361" s="41" t="str">
        <f t="shared" ca="1" si="5"/>
        <v>7.MNRJ</v>
      </c>
      <c r="B3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1" s="43"/>
      <c r="D361" s="41"/>
      <c r="E361" s="41"/>
      <c r="F361" s="44"/>
      <c r="G361" s="44"/>
      <c r="H361" s="48"/>
      <c r="I361" s="48"/>
      <c r="J361" s="48"/>
      <c r="K361" s="48"/>
      <c r="L361" s="43"/>
      <c r="M361" s="44"/>
      <c r="N361" s="43"/>
      <c r="O361" s="43"/>
      <c r="P361" s="44"/>
      <c r="Q361" s="43"/>
      <c r="R361" s="43"/>
      <c r="S361" s="45"/>
      <c r="T361" s="58" t="str">
        <f>IF(Tableau1[[#This Row],[DMS_SAP]]="","",HYPERLINK(Tableau1[[#This Row],[Chemin fichier source]],"X"))</f>
        <v/>
      </c>
      <c r="U361" s="58" t="str">
        <f>IF(Tableau1[[#This Row],[Date rév.]]="","",HYPERLINK(Tableau1[[#This Row],[Lien document]],"X"))</f>
        <v/>
      </c>
      <c r="V361" s="44"/>
      <c r="W361" s="46" t="str">
        <f ca="1">Chemin_accès!$B$2&amp;Tableau1[[#This Row],[Poste Responsable]]&amp;"\"&amp;Tableau1[[#This Row],[Localisation / Classement]]&amp;"\"&amp;Tableau1[[#This Row],[Poste technique]]&amp;"_"&amp;Tableau1[[#This Row],[Plan Entretien]]&amp;".pdf"</f>
        <v>\\stjn.local\trimet\Donnees_Projets\Dms Sap\Maintenance\PlanEntretien\7.MNRJ\\_.pdf</v>
      </c>
      <c r="X361" s="44"/>
      <c r="Y361" s="44"/>
      <c r="Z361" s="41" t="str">
        <f ca="1">IF(AND(Tableau1[[#This Row],[Charge]]&lt;&gt;0, Tableau1[[#This Row],[Nombre intervenants]]&lt;&gt;0,Tableau1[[#This Row],[Lien document]]&lt;&gt;0,Tableau1[[#This Row],[DMS_SAP]]&lt;&gt;0)=TRUE,"MIS A JOUR","")</f>
        <v/>
      </c>
      <c r="AA361" s="45"/>
      <c r="AB361" s="55" t="str">
        <f ca="1">IF(Tableau1[[#This Row],[Date rév.]]&lt;&gt;"", DAYS360(Tableau1[[#This Row],[Date rév.]],TODAY()),"")</f>
        <v/>
      </c>
      <c r="AC361" s="47">
        <f>IFERROR(INDEX(Chemin_accès!$B$11:$C$22,MATCH(Tableau1[[#This Row],[Type]],Chemin_accès!$C$11:$C$22,0),1),Chemin_accès!$B$11)</f>
        <v>0</v>
      </c>
      <c r="AD361" s="47" t="str">
        <f>Chemin_accès!$B$8&amp;Tableau1[[#This Row],[Localisation / Classement]]&amp;"\"&amp;Tableau1[[#This Row],[Poste technique]]&amp;"_"&amp;Tableau1[[#This Row],[Plan Entretien]]&amp;".xlsm"</f>
        <v>\_.xlsm</v>
      </c>
    </row>
    <row r="362" spans="1:30" x14ac:dyDescent="0.3">
      <c r="A362" s="41" t="str">
        <f t="shared" ca="1" si="5"/>
        <v>7.MNRJ</v>
      </c>
      <c r="B3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2" s="43"/>
      <c r="D362" s="41"/>
      <c r="E362" s="41"/>
      <c r="F362" s="44"/>
      <c r="G362" s="44"/>
      <c r="H362" s="48"/>
      <c r="I362" s="48"/>
      <c r="J362" s="48"/>
      <c r="K362" s="48"/>
      <c r="L362" s="43"/>
      <c r="M362" s="44"/>
      <c r="N362" s="43"/>
      <c r="O362" s="43"/>
      <c r="P362" s="44"/>
      <c r="Q362" s="43"/>
      <c r="R362" s="43"/>
      <c r="S362" s="45"/>
      <c r="T362" s="58" t="str">
        <f>IF(Tableau1[[#This Row],[DMS_SAP]]="","",HYPERLINK(Tableau1[[#This Row],[Chemin fichier source]],"X"))</f>
        <v/>
      </c>
      <c r="U362" s="58" t="str">
        <f>IF(Tableau1[[#This Row],[Date rév.]]="","",HYPERLINK(Tableau1[[#This Row],[Lien document]],"X"))</f>
        <v/>
      </c>
      <c r="V362" s="44"/>
      <c r="W362" s="46" t="str">
        <f ca="1">Chemin_accès!$B$2&amp;Tableau1[[#This Row],[Poste Responsable]]&amp;"\"&amp;Tableau1[[#This Row],[Localisation / Classement]]&amp;"\"&amp;Tableau1[[#This Row],[Poste technique]]&amp;"_"&amp;Tableau1[[#This Row],[Plan Entretien]]&amp;".pdf"</f>
        <v>\\stjn.local\trimet\Donnees_Projets\Dms Sap\Maintenance\PlanEntretien\7.MNRJ\\_.pdf</v>
      </c>
      <c r="X362" s="44"/>
      <c r="Y362" s="44"/>
      <c r="Z362" s="41" t="str">
        <f ca="1">IF(AND(Tableau1[[#This Row],[Charge]]&lt;&gt;0, Tableau1[[#This Row],[Nombre intervenants]]&lt;&gt;0,Tableau1[[#This Row],[Lien document]]&lt;&gt;0,Tableau1[[#This Row],[DMS_SAP]]&lt;&gt;0)=TRUE,"MIS A JOUR","")</f>
        <v/>
      </c>
      <c r="AA362" s="45"/>
      <c r="AB362" s="55" t="str">
        <f ca="1">IF(Tableau1[[#This Row],[Date rév.]]&lt;&gt;"", DAYS360(Tableau1[[#This Row],[Date rév.]],TODAY()),"")</f>
        <v/>
      </c>
      <c r="AC362" s="47">
        <f>IFERROR(INDEX(Chemin_accès!$B$11:$C$22,MATCH(Tableau1[[#This Row],[Type]],Chemin_accès!$C$11:$C$22,0),1),Chemin_accès!$B$11)</f>
        <v>0</v>
      </c>
      <c r="AD362" s="47" t="str">
        <f>Chemin_accès!$B$8&amp;Tableau1[[#This Row],[Localisation / Classement]]&amp;"\"&amp;Tableau1[[#This Row],[Poste technique]]&amp;"_"&amp;Tableau1[[#This Row],[Plan Entretien]]&amp;".xlsm"</f>
        <v>\_.xlsm</v>
      </c>
    </row>
    <row r="363" spans="1:30" x14ac:dyDescent="0.3">
      <c r="A363" s="41" t="str">
        <f t="shared" ca="1" si="5"/>
        <v>7.MNRJ</v>
      </c>
      <c r="B3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3" s="43"/>
      <c r="D363" s="41"/>
      <c r="E363" s="41"/>
      <c r="F363" s="44"/>
      <c r="G363" s="44"/>
      <c r="H363" s="48"/>
      <c r="I363" s="48"/>
      <c r="J363" s="48"/>
      <c r="K363" s="48"/>
      <c r="L363" s="43"/>
      <c r="M363" s="44"/>
      <c r="N363" s="43"/>
      <c r="O363" s="43"/>
      <c r="P363" s="44"/>
      <c r="Q363" s="43"/>
      <c r="R363" s="43"/>
      <c r="S363" s="45"/>
      <c r="T363" s="58" t="str">
        <f>IF(Tableau1[[#This Row],[DMS_SAP]]="","",HYPERLINK(Tableau1[[#This Row],[Chemin fichier source]],"X"))</f>
        <v/>
      </c>
      <c r="U363" s="58" t="str">
        <f>IF(Tableau1[[#This Row],[Date rév.]]="","",HYPERLINK(Tableau1[[#This Row],[Lien document]],"X"))</f>
        <v/>
      </c>
      <c r="V363" s="44"/>
      <c r="W363" s="46" t="str">
        <f ca="1">Chemin_accès!$B$2&amp;Tableau1[[#This Row],[Poste Responsable]]&amp;"\"&amp;Tableau1[[#This Row],[Localisation / Classement]]&amp;"\"&amp;Tableau1[[#This Row],[Poste technique]]&amp;"_"&amp;Tableau1[[#This Row],[Plan Entretien]]&amp;".pdf"</f>
        <v>\\stjn.local\trimet\Donnees_Projets\Dms Sap\Maintenance\PlanEntretien\7.MNRJ\\_.pdf</v>
      </c>
      <c r="X363" s="44"/>
      <c r="Y363" s="44"/>
      <c r="Z363" s="41" t="str">
        <f ca="1">IF(AND(Tableau1[[#This Row],[Charge]]&lt;&gt;0, Tableau1[[#This Row],[Nombre intervenants]]&lt;&gt;0,Tableau1[[#This Row],[Lien document]]&lt;&gt;0,Tableau1[[#This Row],[DMS_SAP]]&lt;&gt;0)=TRUE,"MIS A JOUR","")</f>
        <v/>
      </c>
      <c r="AA363" s="45"/>
      <c r="AB363" s="55" t="str">
        <f ca="1">IF(Tableau1[[#This Row],[Date rév.]]&lt;&gt;"", DAYS360(Tableau1[[#This Row],[Date rév.]],TODAY()),"")</f>
        <v/>
      </c>
      <c r="AC363" s="47">
        <f>IFERROR(INDEX(Chemin_accès!$B$11:$C$22,MATCH(Tableau1[[#This Row],[Type]],Chemin_accès!$C$11:$C$22,0),1),Chemin_accès!$B$11)</f>
        <v>0</v>
      </c>
      <c r="AD363" s="47" t="str">
        <f>Chemin_accès!$B$8&amp;Tableau1[[#This Row],[Localisation / Classement]]&amp;"\"&amp;Tableau1[[#This Row],[Poste technique]]&amp;"_"&amp;Tableau1[[#This Row],[Plan Entretien]]&amp;".xlsm"</f>
        <v>\_.xlsm</v>
      </c>
    </row>
    <row r="364" spans="1:30" x14ac:dyDescent="0.3">
      <c r="A364" s="41" t="str">
        <f t="shared" ca="1" si="5"/>
        <v>7.MNRJ</v>
      </c>
      <c r="B3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4" s="43"/>
      <c r="D364" s="41"/>
      <c r="E364" s="41"/>
      <c r="F364" s="44"/>
      <c r="G364" s="44"/>
      <c r="H364" s="48"/>
      <c r="I364" s="48"/>
      <c r="J364" s="48"/>
      <c r="K364" s="48"/>
      <c r="L364" s="43"/>
      <c r="M364" s="44"/>
      <c r="N364" s="43"/>
      <c r="O364" s="43"/>
      <c r="P364" s="44"/>
      <c r="Q364" s="43"/>
      <c r="R364" s="43"/>
      <c r="S364" s="45"/>
      <c r="T364" s="58" t="str">
        <f>IF(Tableau1[[#This Row],[DMS_SAP]]="","",HYPERLINK(Tableau1[[#This Row],[Chemin fichier source]],"X"))</f>
        <v/>
      </c>
      <c r="U364" s="58" t="str">
        <f>IF(Tableau1[[#This Row],[Date rév.]]="","",HYPERLINK(Tableau1[[#This Row],[Lien document]],"X"))</f>
        <v/>
      </c>
      <c r="V364" s="44"/>
      <c r="W364" s="46" t="str">
        <f ca="1">Chemin_accès!$B$2&amp;Tableau1[[#This Row],[Poste Responsable]]&amp;"\"&amp;Tableau1[[#This Row],[Localisation / Classement]]&amp;"\"&amp;Tableau1[[#This Row],[Poste technique]]&amp;"_"&amp;Tableau1[[#This Row],[Plan Entretien]]&amp;".pdf"</f>
        <v>\\stjn.local\trimet\Donnees_Projets\Dms Sap\Maintenance\PlanEntretien\7.MNRJ\\_.pdf</v>
      </c>
      <c r="X364" s="44"/>
      <c r="Y364" s="44"/>
      <c r="Z364" s="41" t="str">
        <f ca="1">IF(AND(Tableau1[[#This Row],[Charge]]&lt;&gt;0, Tableau1[[#This Row],[Nombre intervenants]]&lt;&gt;0,Tableau1[[#This Row],[Lien document]]&lt;&gt;0,Tableau1[[#This Row],[DMS_SAP]]&lt;&gt;0)=TRUE,"MIS A JOUR","")</f>
        <v/>
      </c>
      <c r="AA364" s="45"/>
      <c r="AB364" s="55" t="str">
        <f ca="1">IF(Tableau1[[#This Row],[Date rév.]]&lt;&gt;"", DAYS360(Tableau1[[#This Row],[Date rév.]],TODAY()),"")</f>
        <v/>
      </c>
      <c r="AC364" s="47">
        <f>IFERROR(INDEX(Chemin_accès!$B$11:$C$22,MATCH(Tableau1[[#This Row],[Type]],Chemin_accès!$C$11:$C$22,0),1),Chemin_accès!$B$11)</f>
        <v>0</v>
      </c>
      <c r="AD364" s="47" t="str">
        <f>Chemin_accès!$B$8&amp;Tableau1[[#This Row],[Localisation / Classement]]&amp;"\"&amp;Tableau1[[#This Row],[Poste technique]]&amp;"_"&amp;Tableau1[[#This Row],[Plan Entretien]]&amp;".xlsm"</f>
        <v>\_.xlsm</v>
      </c>
    </row>
    <row r="365" spans="1:30" x14ac:dyDescent="0.3">
      <c r="A365" s="41" t="str">
        <f t="shared" ca="1" si="5"/>
        <v>7.MNRJ</v>
      </c>
      <c r="B3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5" s="43"/>
      <c r="D365" s="41"/>
      <c r="E365" s="41"/>
      <c r="F365" s="44"/>
      <c r="G365" s="44"/>
      <c r="H365" s="48"/>
      <c r="I365" s="48"/>
      <c r="J365" s="48"/>
      <c r="K365" s="48"/>
      <c r="L365" s="43"/>
      <c r="M365" s="44"/>
      <c r="N365" s="43"/>
      <c r="O365" s="43"/>
      <c r="P365" s="44"/>
      <c r="Q365" s="43"/>
      <c r="R365" s="43"/>
      <c r="S365" s="45"/>
      <c r="T365" s="58" t="str">
        <f>IF(Tableau1[[#This Row],[DMS_SAP]]="","",HYPERLINK(Tableau1[[#This Row],[Chemin fichier source]],"X"))</f>
        <v/>
      </c>
      <c r="U365" s="58" t="str">
        <f>IF(Tableau1[[#This Row],[Date rév.]]="","",HYPERLINK(Tableau1[[#This Row],[Lien document]],"X"))</f>
        <v/>
      </c>
      <c r="V365" s="44"/>
      <c r="W365" s="46" t="str">
        <f ca="1">Chemin_accès!$B$2&amp;Tableau1[[#This Row],[Poste Responsable]]&amp;"\"&amp;Tableau1[[#This Row],[Localisation / Classement]]&amp;"\"&amp;Tableau1[[#This Row],[Poste technique]]&amp;"_"&amp;Tableau1[[#This Row],[Plan Entretien]]&amp;".pdf"</f>
        <v>\\stjn.local\trimet\Donnees_Projets\Dms Sap\Maintenance\PlanEntretien\7.MNRJ\\_.pdf</v>
      </c>
      <c r="X365" s="44"/>
      <c r="Y365" s="44"/>
      <c r="Z365" s="41" t="str">
        <f ca="1">IF(AND(Tableau1[[#This Row],[Charge]]&lt;&gt;0, Tableau1[[#This Row],[Nombre intervenants]]&lt;&gt;0,Tableau1[[#This Row],[Lien document]]&lt;&gt;0,Tableau1[[#This Row],[DMS_SAP]]&lt;&gt;0)=TRUE,"MIS A JOUR","")</f>
        <v/>
      </c>
      <c r="AA365" s="45"/>
      <c r="AB365" s="55" t="str">
        <f ca="1">IF(Tableau1[[#This Row],[Date rév.]]&lt;&gt;"", DAYS360(Tableau1[[#This Row],[Date rév.]],TODAY()),"")</f>
        <v/>
      </c>
      <c r="AC365" s="47">
        <f>IFERROR(INDEX(Chemin_accès!$B$11:$C$22,MATCH(Tableau1[[#This Row],[Type]],Chemin_accès!$C$11:$C$22,0),1),Chemin_accès!$B$11)</f>
        <v>0</v>
      </c>
      <c r="AD365" s="47" t="str">
        <f>Chemin_accès!$B$8&amp;Tableau1[[#This Row],[Localisation / Classement]]&amp;"\"&amp;Tableau1[[#This Row],[Poste technique]]&amp;"_"&amp;Tableau1[[#This Row],[Plan Entretien]]&amp;".xlsm"</f>
        <v>\_.xlsm</v>
      </c>
    </row>
    <row r="366" spans="1:30" x14ac:dyDescent="0.3">
      <c r="A366" s="41" t="str">
        <f t="shared" ca="1" si="5"/>
        <v>7.MNRJ</v>
      </c>
      <c r="B3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6" s="43"/>
      <c r="D366" s="41"/>
      <c r="E366" s="41"/>
      <c r="F366" s="44"/>
      <c r="G366" s="44"/>
      <c r="H366" s="48"/>
      <c r="I366" s="48"/>
      <c r="J366" s="48"/>
      <c r="K366" s="48"/>
      <c r="L366" s="43"/>
      <c r="M366" s="44"/>
      <c r="N366" s="43"/>
      <c r="O366" s="43"/>
      <c r="P366" s="44"/>
      <c r="Q366" s="43"/>
      <c r="R366" s="43"/>
      <c r="S366" s="45"/>
      <c r="T366" s="58" t="str">
        <f>IF(Tableau1[[#This Row],[DMS_SAP]]="","",HYPERLINK(Tableau1[[#This Row],[Chemin fichier source]],"X"))</f>
        <v/>
      </c>
      <c r="U366" s="58" t="str">
        <f>IF(Tableau1[[#This Row],[Date rév.]]="","",HYPERLINK(Tableau1[[#This Row],[Lien document]],"X"))</f>
        <v/>
      </c>
      <c r="V366" s="44"/>
      <c r="W366" s="46" t="str">
        <f ca="1">Chemin_accès!$B$2&amp;Tableau1[[#This Row],[Poste Responsable]]&amp;"\"&amp;Tableau1[[#This Row],[Localisation / Classement]]&amp;"\"&amp;Tableau1[[#This Row],[Poste technique]]&amp;"_"&amp;Tableau1[[#This Row],[Plan Entretien]]&amp;".pdf"</f>
        <v>\\stjn.local\trimet\Donnees_Projets\Dms Sap\Maintenance\PlanEntretien\7.MNRJ\\_.pdf</v>
      </c>
      <c r="X366" s="44"/>
      <c r="Y366" s="44"/>
      <c r="Z366" s="41" t="str">
        <f ca="1">IF(AND(Tableau1[[#This Row],[Charge]]&lt;&gt;0, Tableau1[[#This Row],[Nombre intervenants]]&lt;&gt;0,Tableau1[[#This Row],[Lien document]]&lt;&gt;0,Tableau1[[#This Row],[DMS_SAP]]&lt;&gt;0)=TRUE,"MIS A JOUR","")</f>
        <v/>
      </c>
      <c r="AA366" s="45"/>
      <c r="AB366" s="55" t="str">
        <f ca="1">IF(Tableau1[[#This Row],[Date rév.]]&lt;&gt;"", DAYS360(Tableau1[[#This Row],[Date rév.]],TODAY()),"")</f>
        <v/>
      </c>
      <c r="AC366" s="47">
        <f>IFERROR(INDEX(Chemin_accès!$B$11:$C$22,MATCH(Tableau1[[#This Row],[Type]],Chemin_accès!$C$11:$C$22,0),1),Chemin_accès!$B$11)</f>
        <v>0</v>
      </c>
      <c r="AD366" s="47" t="str">
        <f>Chemin_accès!$B$8&amp;Tableau1[[#This Row],[Localisation / Classement]]&amp;"\"&amp;Tableau1[[#This Row],[Poste technique]]&amp;"_"&amp;Tableau1[[#This Row],[Plan Entretien]]&amp;".xlsm"</f>
        <v>\_.xlsm</v>
      </c>
    </row>
    <row r="367" spans="1:30" x14ac:dyDescent="0.3">
      <c r="A367" s="41" t="str">
        <f t="shared" ca="1" si="5"/>
        <v>7.MNRJ</v>
      </c>
      <c r="B3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7" s="43"/>
      <c r="D367" s="41"/>
      <c r="E367" s="41"/>
      <c r="F367" s="44"/>
      <c r="G367" s="44"/>
      <c r="H367" s="48"/>
      <c r="I367" s="48"/>
      <c r="J367" s="48"/>
      <c r="K367" s="48"/>
      <c r="L367" s="43"/>
      <c r="M367" s="44"/>
      <c r="N367" s="43"/>
      <c r="O367" s="43"/>
      <c r="P367" s="44"/>
      <c r="Q367" s="43"/>
      <c r="R367" s="43"/>
      <c r="S367" s="45"/>
      <c r="T367" s="58" t="str">
        <f>IF(Tableau1[[#This Row],[DMS_SAP]]="","",HYPERLINK(Tableau1[[#This Row],[Chemin fichier source]],"X"))</f>
        <v/>
      </c>
      <c r="U367" s="58" t="str">
        <f>IF(Tableau1[[#This Row],[Date rév.]]="","",HYPERLINK(Tableau1[[#This Row],[Lien document]],"X"))</f>
        <v/>
      </c>
      <c r="V367" s="44"/>
      <c r="W367" s="46" t="str">
        <f ca="1">Chemin_accès!$B$2&amp;Tableau1[[#This Row],[Poste Responsable]]&amp;"\"&amp;Tableau1[[#This Row],[Localisation / Classement]]&amp;"\"&amp;Tableau1[[#This Row],[Poste technique]]&amp;"_"&amp;Tableau1[[#This Row],[Plan Entretien]]&amp;".pdf"</f>
        <v>\\stjn.local\trimet\Donnees_Projets\Dms Sap\Maintenance\PlanEntretien\7.MNRJ\\_.pdf</v>
      </c>
      <c r="X367" s="44"/>
      <c r="Y367" s="44"/>
      <c r="Z367" s="41" t="str">
        <f ca="1">IF(AND(Tableau1[[#This Row],[Charge]]&lt;&gt;0, Tableau1[[#This Row],[Nombre intervenants]]&lt;&gt;0,Tableau1[[#This Row],[Lien document]]&lt;&gt;0,Tableau1[[#This Row],[DMS_SAP]]&lt;&gt;0)=TRUE,"MIS A JOUR","")</f>
        <v/>
      </c>
      <c r="AA367" s="45"/>
      <c r="AB367" s="55" t="str">
        <f ca="1">IF(Tableau1[[#This Row],[Date rév.]]&lt;&gt;"", DAYS360(Tableau1[[#This Row],[Date rév.]],TODAY()),"")</f>
        <v/>
      </c>
      <c r="AC367" s="47">
        <f>IFERROR(INDEX(Chemin_accès!$B$11:$C$22,MATCH(Tableau1[[#This Row],[Type]],Chemin_accès!$C$11:$C$22,0),1),Chemin_accès!$B$11)</f>
        <v>0</v>
      </c>
      <c r="AD367" s="47" t="str">
        <f>Chemin_accès!$B$8&amp;Tableau1[[#This Row],[Localisation / Classement]]&amp;"\"&amp;Tableau1[[#This Row],[Poste technique]]&amp;"_"&amp;Tableau1[[#This Row],[Plan Entretien]]&amp;".xlsm"</f>
        <v>\_.xlsm</v>
      </c>
    </row>
    <row r="368" spans="1:30" x14ac:dyDescent="0.3">
      <c r="A368" s="41" t="str">
        <f t="shared" ca="1" si="5"/>
        <v>7.MNRJ</v>
      </c>
      <c r="B3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8" s="43"/>
      <c r="D368" s="41"/>
      <c r="E368" s="41"/>
      <c r="F368" s="44"/>
      <c r="G368" s="44"/>
      <c r="H368" s="48"/>
      <c r="I368" s="48"/>
      <c r="J368" s="48"/>
      <c r="K368" s="48"/>
      <c r="L368" s="43"/>
      <c r="M368" s="44"/>
      <c r="N368" s="43"/>
      <c r="O368" s="43"/>
      <c r="P368" s="44"/>
      <c r="Q368" s="43"/>
      <c r="R368" s="43"/>
      <c r="S368" s="45"/>
      <c r="T368" s="58" t="str">
        <f>IF(Tableau1[[#This Row],[DMS_SAP]]="","",HYPERLINK(Tableau1[[#This Row],[Chemin fichier source]],"X"))</f>
        <v/>
      </c>
      <c r="U368" s="58" t="str">
        <f>IF(Tableau1[[#This Row],[Date rév.]]="","",HYPERLINK(Tableau1[[#This Row],[Lien document]],"X"))</f>
        <v/>
      </c>
      <c r="V368" s="44"/>
      <c r="W368" s="46" t="str">
        <f ca="1">Chemin_accès!$B$2&amp;Tableau1[[#This Row],[Poste Responsable]]&amp;"\"&amp;Tableau1[[#This Row],[Localisation / Classement]]&amp;"\"&amp;Tableau1[[#This Row],[Poste technique]]&amp;"_"&amp;Tableau1[[#This Row],[Plan Entretien]]&amp;".pdf"</f>
        <v>\\stjn.local\trimet\Donnees_Projets\Dms Sap\Maintenance\PlanEntretien\7.MNRJ\\_.pdf</v>
      </c>
      <c r="X368" s="44"/>
      <c r="Y368" s="44"/>
      <c r="Z368" s="41" t="str">
        <f ca="1">IF(AND(Tableau1[[#This Row],[Charge]]&lt;&gt;0, Tableau1[[#This Row],[Nombre intervenants]]&lt;&gt;0,Tableau1[[#This Row],[Lien document]]&lt;&gt;0,Tableau1[[#This Row],[DMS_SAP]]&lt;&gt;0)=TRUE,"MIS A JOUR","")</f>
        <v/>
      </c>
      <c r="AA368" s="45"/>
      <c r="AB368" s="55" t="str">
        <f ca="1">IF(Tableau1[[#This Row],[Date rév.]]&lt;&gt;"", DAYS360(Tableau1[[#This Row],[Date rév.]],TODAY()),"")</f>
        <v/>
      </c>
      <c r="AC368" s="47">
        <f>IFERROR(INDEX(Chemin_accès!$B$11:$C$22,MATCH(Tableau1[[#This Row],[Type]],Chemin_accès!$C$11:$C$22,0),1),Chemin_accès!$B$11)</f>
        <v>0</v>
      </c>
      <c r="AD368" s="47" t="str">
        <f>Chemin_accès!$B$8&amp;Tableau1[[#This Row],[Localisation / Classement]]&amp;"\"&amp;Tableau1[[#This Row],[Poste technique]]&amp;"_"&amp;Tableau1[[#This Row],[Plan Entretien]]&amp;".xlsm"</f>
        <v>\_.xlsm</v>
      </c>
    </row>
    <row r="369" spans="1:30" x14ac:dyDescent="0.3">
      <c r="A369" s="41" t="str">
        <f t="shared" ca="1" si="5"/>
        <v>7.MNRJ</v>
      </c>
      <c r="B3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9" s="43"/>
      <c r="D369" s="41"/>
      <c r="E369" s="41"/>
      <c r="F369" s="44"/>
      <c r="G369" s="44"/>
      <c r="H369" s="48"/>
      <c r="I369" s="48"/>
      <c r="J369" s="48"/>
      <c r="K369" s="48"/>
      <c r="L369" s="43"/>
      <c r="M369" s="44"/>
      <c r="N369" s="43"/>
      <c r="O369" s="43"/>
      <c r="P369" s="44"/>
      <c r="Q369" s="43"/>
      <c r="R369" s="43"/>
      <c r="S369" s="45"/>
      <c r="T369" s="58" t="str">
        <f>IF(Tableau1[[#This Row],[DMS_SAP]]="","",HYPERLINK(Tableau1[[#This Row],[Chemin fichier source]],"X"))</f>
        <v/>
      </c>
      <c r="U369" s="58" t="str">
        <f>IF(Tableau1[[#This Row],[Date rév.]]="","",HYPERLINK(Tableau1[[#This Row],[Lien document]],"X"))</f>
        <v/>
      </c>
      <c r="V369" s="44"/>
      <c r="W369" s="46" t="str">
        <f ca="1">Chemin_accès!$B$2&amp;Tableau1[[#This Row],[Poste Responsable]]&amp;"\"&amp;Tableau1[[#This Row],[Localisation / Classement]]&amp;"\"&amp;Tableau1[[#This Row],[Poste technique]]&amp;"_"&amp;Tableau1[[#This Row],[Plan Entretien]]&amp;".pdf"</f>
        <v>\\stjn.local\trimet\Donnees_Projets\Dms Sap\Maintenance\PlanEntretien\7.MNRJ\\_.pdf</v>
      </c>
      <c r="X369" s="44"/>
      <c r="Y369" s="44"/>
      <c r="Z369" s="41" t="str">
        <f ca="1">IF(AND(Tableau1[[#This Row],[Charge]]&lt;&gt;0, Tableau1[[#This Row],[Nombre intervenants]]&lt;&gt;0,Tableau1[[#This Row],[Lien document]]&lt;&gt;0,Tableau1[[#This Row],[DMS_SAP]]&lt;&gt;0)=TRUE,"MIS A JOUR","")</f>
        <v/>
      </c>
      <c r="AA369" s="45"/>
      <c r="AB369" s="55" t="str">
        <f ca="1">IF(Tableau1[[#This Row],[Date rév.]]&lt;&gt;"", DAYS360(Tableau1[[#This Row],[Date rév.]],TODAY()),"")</f>
        <v/>
      </c>
      <c r="AC369" s="47">
        <f>IFERROR(INDEX(Chemin_accès!$B$11:$C$22,MATCH(Tableau1[[#This Row],[Type]],Chemin_accès!$C$11:$C$22,0),1),Chemin_accès!$B$11)</f>
        <v>0</v>
      </c>
      <c r="AD369" s="47" t="str">
        <f>Chemin_accès!$B$8&amp;Tableau1[[#This Row],[Localisation / Classement]]&amp;"\"&amp;Tableau1[[#This Row],[Poste technique]]&amp;"_"&amp;Tableau1[[#This Row],[Plan Entretien]]&amp;".xlsm"</f>
        <v>\_.xlsm</v>
      </c>
    </row>
    <row r="370" spans="1:30" x14ac:dyDescent="0.3">
      <c r="A370" s="41" t="str">
        <f t="shared" ca="1" si="5"/>
        <v>7.MNRJ</v>
      </c>
      <c r="B3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0" s="43"/>
      <c r="D370" s="41"/>
      <c r="E370" s="41"/>
      <c r="F370" s="44"/>
      <c r="G370" s="44"/>
      <c r="H370" s="48"/>
      <c r="I370" s="48"/>
      <c r="J370" s="48"/>
      <c r="K370" s="48"/>
      <c r="L370" s="43"/>
      <c r="M370" s="44"/>
      <c r="N370" s="43"/>
      <c r="O370" s="43"/>
      <c r="P370" s="44"/>
      <c r="Q370" s="43"/>
      <c r="R370" s="43"/>
      <c r="S370" s="45"/>
      <c r="T370" s="58" t="str">
        <f>IF(Tableau1[[#This Row],[DMS_SAP]]="","",HYPERLINK(Tableau1[[#This Row],[Chemin fichier source]],"X"))</f>
        <v/>
      </c>
      <c r="U370" s="58" t="str">
        <f>IF(Tableau1[[#This Row],[Date rév.]]="","",HYPERLINK(Tableau1[[#This Row],[Lien document]],"X"))</f>
        <v/>
      </c>
      <c r="V370" s="44"/>
      <c r="W370" s="46" t="str">
        <f ca="1">Chemin_accès!$B$2&amp;Tableau1[[#This Row],[Poste Responsable]]&amp;"\"&amp;Tableau1[[#This Row],[Localisation / Classement]]&amp;"\"&amp;Tableau1[[#This Row],[Poste technique]]&amp;"_"&amp;Tableau1[[#This Row],[Plan Entretien]]&amp;".pdf"</f>
        <v>\\stjn.local\trimet\Donnees_Projets\Dms Sap\Maintenance\PlanEntretien\7.MNRJ\\_.pdf</v>
      </c>
      <c r="X370" s="44"/>
      <c r="Y370" s="44"/>
      <c r="Z370" s="41" t="str">
        <f ca="1">IF(AND(Tableau1[[#This Row],[Charge]]&lt;&gt;0, Tableau1[[#This Row],[Nombre intervenants]]&lt;&gt;0,Tableau1[[#This Row],[Lien document]]&lt;&gt;0,Tableau1[[#This Row],[DMS_SAP]]&lt;&gt;0)=TRUE,"MIS A JOUR","")</f>
        <v/>
      </c>
      <c r="AA370" s="45"/>
      <c r="AB370" s="55" t="str">
        <f ca="1">IF(Tableau1[[#This Row],[Date rév.]]&lt;&gt;"", DAYS360(Tableau1[[#This Row],[Date rév.]],TODAY()),"")</f>
        <v/>
      </c>
      <c r="AC370" s="47">
        <f>IFERROR(INDEX(Chemin_accès!$B$11:$C$22,MATCH(Tableau1[[#This Row],[Type]],Chemin_accès!$C$11:$C$22,0),1),Chemin_accès!$B$11)</f>
        <v>0</v>
      </c>
      <c r="AD370" s="47" t="str">
        <f>Chemin_accès!$B$8&amp;Tableau1[[#This Row],[Localisation / Classement]]&amp;"\"&amp;Tableau1[[#This Row],[Poste technique]]&amp;"_"&amp;Tableau1[[#This Row],[Plan Entretien]]&amp;".xlsm"</f>
        <v>\_.xlsm</v>
      </c>
    </row>
    <row r="371" spans="1:30" x14ac:dyDescent="0.3">
      <c r="A371" s="41" t="str">
        <f t="shared" ca="1" si="5"/>
        <v>7.MNRJ</v>
      </c>
      <c r="B3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1" s="43"/>
      <c r="D371" s="41"/>
      <c r="E371" s="41"/>
      <c r="F371" s="44"/>
      <c r="G371" s="44"/>
      <c r="H371" s="48"/>
      <c r="I371" s="48"/>
      <c r="J371" s="48"/>
      <c r="K371" s="48"/>
      <c r="L371" s="43"/>
      <c r="M371" s="44"/>
      <c r="N371" s="43"/>
      <c r="O371" s="43"/>
      <c r="P371" s="44"/>
      <c r="Q371" s="43"/>
      <c r="R371" s="43"/>
      <c r="S371" s="45"/>
      <c r="T371" s="58" t="str">
        <f>IF(Tableau1[[#This Row],[DMS_SAP]]="","",HYPERLINK(Tableau1[[#This Row],[Chemin fichier source]],"X"))</f>
        <v/>
      </c>
      <c r="U371" s="58" t="str">
        <f>IF(Tableau1[[#This Row],[Date rév.]]="","",HYPERLINK(Tableau1[[#This Row],[Lien document]],"X"))</f>
        <v/>
      </c>
      <c r="V371" s="44"/>
      <c r="W371" s="46" t="str">
        <f ca="1">Chemin_accès!$B$2&amp;Tableau1[[#This Row],[Poste Responsable]]&amp;"\"&amp;Tableau1[[#This Row],[Localisation / Classement]]&amp;"\"&amp;Tableau1[[#This Row],[Poste technique]]&amp;"_"&amp;Tableau1[[#This Row],[Plan Entretien]]&amp;".pdf"</f>
        <v>\\stjn.local\trimet\Donnees_Projets\Dms Sap\Maintenance\PlanEntretien\7.MNRJ\\_.pdf</v>
      </c>
      <c r="X371" s="44"/>
      <c r="Y371" s="44"/>
      <c r="Z371" s="41" t="str">
        <f ca="1">IF(AND(Tableau1[[#This Row],[Charge]]&lt;&gt;0, Tableau1[[#This Row],[Nombre intervenants]]&lt;&gt;0,Tableau1[[#This Row],[Lien document]]&lt;&gt;0,Tableau1[[#This Row],[DMS_SAP]]&lt;&gt;0)=TRUE,"MIS A JOUR","")</f>
        <v/>
      </c>
      <c r="AA371" s="45"/>
      <c r="AB371" s="55" t="str">
        <f ca="1">IF(Tableau1[[#This Row],[Date rév.]]&lt;&gt;"", DAYS360(Tableau1[[#This Row],[Date rév.]],TODAY()),"")</f>
        <v/>
      </c>
      <c r="AC371" s="47">
        <f>IFERROR(INDEX(Chemin_accès!$B$11:$C$22,MATCH(Tableau1[[#This Row],[Type]],Chemin_accès!$C$11:$C$22,0),1),Chemin_accès!$B$11)</f>
        <v>0</v>
      </c>
      <c r="AD371" s="47" t="str">
        <f>Chemin_accès!$B$8&amp;Tableau1[[#This Row],[Localisation / Classement]]&amp;"\"&amp;Tableau1[[#This Row],[Poste technique]]&amp;"_"&amp;Tableau1[[#This Row],[Plan Entretien]]&amp;".xlsm"</f>
        <v>\_.xlsm</v>
      </c>
    </row>
    <row r="372" spans="1:30" x14ac:dyDescent="0.3">
      <c r="A372" s="41" t="str">
        <f t="shared" ca="1" si="5"/>
        <v>7.MNRJ</v>
      </c>
      <c r="B3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2" s="43"/>
      <c r="D372" s="41"/>
      <c r="E372" s="41"/>
      <c r="F372" s="44"/>
      <c r="G372" s="44"/>
      <c r="H372" s="48"/>
      <c r="I372" s="48"/>
      <c r="J372" s="48"/>
      <c r="K372" s="48"/>
      <c r="L372" s="43"/>
      <c r="M372" s="44"/>
      <c r="N372" s="43"/>
      <c r="O372" s="43"/>
      <c r="P372" s="44"/>
      <c r="Q372" s="43"/>
      <c r="R372" s="43"/>
      <c r="S372" s="45"/>
      <c r="T372" s="58" t="str">
        <f>IF(Tableau1[[#This Row],[DMS_SAP]]="","",HYPERLINK(Tableau1[[#This Row],[Chemin fichier source]],"X"))</f>
        <v/>
      </c>
      <c r="U372" s="58" t="str">
        <f>IF(Tableau1[[#This Row],[Date rév.]]="","",HYPERLINK(Tableau1[[#This Row],[Lien document]],"X"))</f>
        <v/>
      </c>
      <c r="V372" s="44"/>
      <c r="W372" s="46" t="str">
        <f ca="1">Chemin_accès!$B$2&amp;Tableau1[[#This Row],[Poste Responsable]]&amp;"\"&amp;Tableau1[[#This Row],[Localisation / Classement]]&amp;"\"&amp;Tableau1[[#This Row],[Poste technique]]&amp;"_"&amp;Tableau1[[#This Row],[Plan Entretien]]&amp;".pdf"</f>
        <v>\\stjn.local\trimet\Donnees_Projets\Dms Sap\Maintenance\PlanEntretien\7.MNRJ\\_.pdf</v>
      </c>
      <c r="X372" s="44"/>
      <c r="Y372" s="44"/>
      <c r="Z372" s="41" t="str">
        <f ca="1">IF(AND(Tableau1[[#This Row],[Charge]]&lt;&gt;0, Tableau1[[#This Row],[Nombre intervenants]]&lt;&gt;0,Tableau1[[#This Row],[Lien document]]&lt;&gt;0,Tableau1[[#This Row],[DMS_SAP]]&lt;&gt;0)=TRUE,"MIS A JOUR","")</f>
        <v/>
      </c>
      <c r="AA372" s="45"/>
      <c r="AB372" s="55" t="str">
        <f ca="1">IF(Tableau1[[#This Row],[Date rév.]]&lt;&gt;"", DAYS360(Tableau1[[#This Row],[Date rév.]],TODAY()),"")</f>
        <v/>
      </c>
      <c r="AC372" s="47">
        <f>IFERROR(INDEX(Chemin_accès!$B$11:$C$22,MATCH(Tableau1[[#This Row],[Type]],Chemin_accès!$C$11:$C$22,0),1),Chemin_accès!$B$11)</f>
        <v>0</v>
      </c>
      <c r="AD372" s="47" t="str">
        <f>Chemin_accès!$B$8&amp;Tableau1[[#This Row],[Localisation / Classement]]&amp;"\"&amp;Tableau1[[#This Row],[Poste technique]]&amp;"_"&amp;Tableau1[[#This Row],[Plan Entretien]]&amp;".xlsm"</f>
        <v>\_.xlsm</v>
      </c>
    </row>
    <row r="373" spans="1:30" x14ac:dyDescent="0.3">
      <c r="A373" s="41" t="str">
        <f t="shared" ca="1" si="5"/>
        <v>7.MNRJ</v>
      </c>
      <c r="B3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3" s="43"/>
      <c r="D373" s="41"/>
      <c r="E373" s="41"/>
      <c r="F373" s="44"/>
      <c r="G373" s="44"/>
      <c r="H373" s="48"/>
      <c r="I373" s="48"/>
      <c r="J373" s="48"/>
      <c r="K373" s="48"/>
      <c r="L373" s="43"/>
      <c r="M373" s="44"/>
      <c r="N373" s="43"/>
      <c r="O373" s="43"/>
      <c r="P373" s="44"/>
      <c r="Q373" s="43"/>
      <c r="R373" s="43"/>
      <c r="S373" s="45"/>
      <c r="T373" s="58" t="str">
        <f>IF(Tableau1[[#This Row],[DMS_SAP]]="","",HYPERLINK(Tableau1[[#This Row],[Chemin fichier source]],"X"))</f>
        <v/>
      </c>
      <c r="U373" s="58" t="str">
        <f>IF(Tableau1[[#This Row],[Date rév.]]="","",HYPERLINK(Tableau1[[#This Row],[Lien document]],"X"))</f>
        <v/>
      </c>
      <c r="V373" s="44"/>
      <c r="W373" s="46" t="str">
        <f ca="1">Chemin_accès!$B$2&amp;Tableau1[[#This Row],[Poste Responsable]]&amp;"\"&amp;Tableau1[[#This Row],[Localisation / Classement]]&amp;"\"&amp;Tableau1[[#This Row],[Poste technique]]&amp;"_"&amp;Tableau1[[#This Row],[Plan Entretien]]&amp;".pdf"</f>
        <v>\\stjn.local\trimet\Donnees_Projets\Dms Sap\Maintenance\PlanEntretien\7.MNRJ\\_.pdf</v>
      </c>
      <c r="X373" s="44"/>
      <c r="Y373" s="44"/>
      <c r="Z373" s="41" t="str">
        <f ca="1">IF(AND(Tableau1[[#This Row],[Charge]]&lt;&gt;0, Tableau1[[#This Row],[Nombre intervenants]]&lt;&gt;0,Tableau1[[#This Row],[Lien document]]&lt;&gt;0,Tableau1[[#This Row],[DMS_SAP]]&lt;&gt;0)=TRUE,"MIS A JOUR","")</f>
        <v/>
      </c>
      <c r="AA373" s="45"/>
      <c r="AB373" s="55" t="str">
        <f ca="1">IF(Tableau1[[#This Row],[Date rév.]]&lt;&gt;"", DAYS360(Tableau1[[#This Row],[Date rév.]],TODAY()),"")</f>
        <v/>
      </c>
      <c r="AC373" s="47">
        <f>IFERROR(INDEX(Chemin_accès!$B$11:$C$22,MATCH(Tableau1[[#This Row],[Type]],Chemin_accès!$C$11:$C$22,0),1),Chemin_accès!$B$11)</f>
        <v>0</v>
      </c>
      <c r="AD373" s="47" t="str">
        <f>Chemin_accès!$B$8&amp;Tableau1[[#This Row],[Localisation / Classement]]&amp;"\"&amp;Tableau1[[#This Row],[Poste technique]]&amp;"_"&amp;Tableau1[[#This Row],[Plan Entretien]]&amp;".xlsm"</f>
        <v>\_.xlsm</v>
      </c>
    </row>
    <row r="374" spans="1:30" x14ac:dyDescent="0.3">
      <c r="A374" s="41" t="str">
        <f t="shared" ca="1" si="5"/>
        <v>7.MNRJ</v>
      </c>
      <c r="B3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4" s="43"/>
      <c r="D374" s="41"/>
      <c r="E374" s="41"/>
      <c r="F374" s="44"/>
      <c r="G374" s="44"/>
      <c r="H374" s="48"/>
      <c r="I374" s="48"/>
      <c r="J374" s="48"/>
      <c r="K374" s="48"/>
      <c r="L374" s="43"/>
      <c r="M374" s="44"/>
      <c r="N374" s="43"/>
      <c r="O374" s="43"/>
      <c r="P374" s="44"/>
      <c r="Q374" s="43"/>
      <c r="R374" s="43"/>
      <c r="S374" s="45"/>
      <c r="T374" s="58" t="str">
        <f>IF(Tableau1[[#This Row],[DMS_SAP]]="","",HYPERLINK(Tableau1[[#This Row],[Chemin fichier source]],"X"))</f>
        <v/>
      </c>
      <c r="U374" s="58" t="str">
        <f>IF(Tableau1[[#This Row],[Date rév.]]="","",HYPERLINK(Tableau1[[#This Row],[Lien document]],"X"))</f>
        <v/>
      </c>
      <c r="V374" s="44"/>
      <c r="W374" s="46" t="str">
        <f ca="1">Chemin_accès!$B$2&amp;Tableau1[[#This Row],[Poste Responsable]]&amp;"\"&amp;Tableau1[[#This Row],[Localisation / Classement]]&amp;"\"&amp;Tableau1[[#This Row],[Poste technique]]&amp;"_"&amp;Tableau1[[#This Row],[Plan Entretien]]&amp;".pdf"</f>
        <v>\\stjn.local\trimet\Donnees_Projets\Dms Sap\Maintenance\PlanEntretien\7.MNRJ\\_.pdf</v>
      </c>
      <c r="X374" s="44"/>
      <c r="Y374" s="44"/>
      <c r="Z374" s="41" t="str">
        <f ca="1">IF(AND(Tableau1[[#This Row],[Charge]]&lt;&gt;0, Tableau1[[#This Row],[Nombre intervenants]]&lt;&gt;0,Tableau1[[#This Row],[Lien document]]&lt;&gt;0,Tableau1[[#This Row],[DMS_SAP]]&lt;&gt;0)=TRUE,"MIS A JOUR","")</f>
        <v/>
      </c>
      <c r="AA374" s="45"/>
      <c r="AB374" s="55" t="str">
        <f ca="1">IF(Tableau1[[#This Row],[Date rév.]]&lt;&gt;"", DAYS360(Tableau1[[#This Row],[Date rév.]],TODAY()),"")</f>
        <v/>
      </c>
      <c r="AC374" s="47">
        <f>IFERROR(INDEX(Chemin_accès!$B$11:$C$22,MATCH(Tableau1[[#This Row],[Type]],Chemin_accès!$C$11:$C$22,0),1),Chemin_accès!$B$11)</f>
        <v>0</v>
      </c>
      <c r="AD374" s="47" t="str">
        <f>Chemin_accès!$B$8&amp;Tableau1[[#This Row],[Localisation / Classement]]&amp;"\"&amp;Tableau1[[#This Row],[Poste technique]]&amp;"_"&amp;Tableau1[[#This Row],[Plan Entretien]]&amp;".xlsm"</f>
        <v>\_.xlsm</v>
      </c>
    </row>
    <row r="375" spans="1:30" x14ac:dyDescent="0.3">
      <c r="A375" s="41" t="str">
        <f t="shared" ca="1" si="5"/>
        <v>7.MNRJ</v>
      </c>
      <c r="B3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5" s="43"/>
      <c r="D375" s="41"/>
      <c r="E375" s="41"/>
      <c r="F375" s="44"/>
      <c r="G375" s="44"/>
      <c r="H375" s="48"/>
      <c r="I375" s="48"/>
      <c r="J375" s="48"/>
      <c r="K375" s="48"/>
      <c r="L375" s="43"/>
      <c r="M375" s="44"/>
      <c r="N375" s="43"/>
      <c r="O375" s="43"/>
      <c r="P375" s="44"/>
      <c r="Q375" s="43"/>
      <c r="R375" s="43"/>
      <c r="S375" s="45"/>
      <c r="T375" s="58" t="str">
        <f>IF(Tableau1[[#This Row],[DMS_SAP]]="","",HYPERLINK(Tableau1[[#This Row],[Chemin fichier source]],"X"))</f>
        <v/>
      </c>
      <c r="U375" s="58" t="str">
        <f>IF(Tableau1[[#This Row],[Date rév.]]="","",HYPERLINK(Tableau1[[#This Row],[Lien document]],"X"))</f>
        <v/>
      </c>
      <c r="V375" s="44"/>
      <c r="W375" s="46" t="str">
        <f ca="1">Chemin_accès!$B$2&amp;Tableau1[[#This Row],[Poste Responsable]]&amp;"\"&amp;Tableau1[[#This Row],[Localisation / Classement]]&amp;"\"&amp;Tableau1[[#This Row],[Poste technique]]&amp;"_"&amp;Tableau1[[#This Row],[Plan Entretien]]&amp;".pdf"</f>
        <v>\\stjn.local\trimet\Donnees_Projets\Dms Sap\Maintenance\PlanEntretien\7.MNRJ\\_.pdf</v>
      </c>
      <c r="X375" s="44"/>
      <c r="Y375" s="44"/>
      <c r="Z375" s="41" t="str">
        <f ca="1">IF(AND(Tableau1[[#This Row],[Charge]]&lt;&gt;0, Tableau1[[#This Row],[Nombre intervenants]]&lt;&gt;0,Tableau1[[#This Row],[Lien document]]&lt;&gt;0,Tableau1[[#This Row],[DMS_SAP]]&lt;&gt;0)=TRUE,"MIS A JOUR","")</f>
        <v/>
      </c>
      <c r="AA375" s="45"/>
      <c r="AB375" s="55" t="str">
        <f ca="1">IF(Tableau1[[#This Row],[Date rév.]]&lt;&gt;"", DAYS360(Tableau1[[#This Row],[Date rév.]],TODAY()),"")</f>
        <v/>
      </c>
      <c r="AC375" s="47">
        <f>IFERROR(INDEX(Chemin_accès!$B$11:$C$22,MATCH(Tableau1[[#This Row],[Type]],Chemin_accès!$C$11:$C$22,0),1),Chemin_accès!$B$11)</f>
        <v>0</v>
      </c>
      <c r="AD375" s="47" t="str">
        <f>Chemin_accès!$B$8&amp;Tableau1[[#This Row],[Localisation / Classement]]&amp;"\"&amp;Tableau1[[#This Row],[Poste technique]]&amp;"_"&amp;Tableau1[[#This Row],[Plan Entretien]]&amp;".xlsm"</f>
        <v>\_.xlsm</v>
      </c>
    </row>
    <row r="376" spans="1:30" x14ac:dyDescent="0.3">
      <c r="A376" s="41" t="str">
        <f t="shared" ca="1" si="5"/>
        <v>7.MNRJ</v>
      </c>
      <c r="B3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6" s="43"/>
      <c r="D376" s="41"/>
      <c r="E376" s="41"/>
      <c r="F376" s="44"/>
      <c r="G376" s="44"/>
      <c r="H376" s="48"/>
      <c r="I376" s="48"/>
      <c r="J376" s="48"/>
      <c r="K376" s="48"/>
      <c r="L376" s="43"/>
      <c r="M376" s="44"/>
      <c r="N376" s="43"/>
      <c r="O376" s="43"/>
      <c r="P376" s="44"/>
      <c r="Q376" s="43"/>
      <c r="R376" s="43"/>
      <c r="S376" s="45"/>
      <c r="T376" s="58" t="str">
        <f>IF(Tableau1[[#This Row],[DMS_SAP]]="","",HYPERLINK(Tableau1[[#This Row],[Chemin fichier source]],"X"))</f>
        <v/>
      </c>
      <c r="U376" s="58" t="str">
        <f>IF(Tableau1[[#This Row],[Date rév.]]="","",HYPERLINK(Tableau1[[#This Row],[Lien document]],"X"))</f>
        <v/>
      </c>
      <c r="V376" s="44"/>
      <c r="W376" s="46" t="str">
        <f ca="1">Chemin_accès!$B$2&amp;Tableau1[[#This Row],[Poste Responsable]]&amp;"\"&amp;Tableau1[[#This Row],[Localisation / Classement]]&amp;"\"&amp;Tableau1[[#This Row],[Poste technique]]&amp;"_"&amp;Tableau1[[#This Row],[Plan Entretien]]&amp;".pdf"</f>
        <v>\\stjn.local\trimet\Donnees_Projets\Dms Sap\Maintenance\PlanEntretien\7.MNRJ\\_.pdf</v>
      </c>
      <c r="X376" s="44"/>
      <c r="Y376" s="44"/>
      <c r="Z376" s="41" t="str">
        <f ca="1">IF(AND(Tableau1[[#This Row],[Charge]]&lt;&gt;0, Tableau1[[#This Row],[Nombre intervenants]]&lt;&gt;0,Tableau1[[#This Row],[Lien document]]&lt;&gt;0,Tableau1[[#This Row],[DMS_SAP]]&lt;&gt;0)=TRUE,"MIS A JOUR","")</f>
        <v/>
      </c>
      <c r="AA376" s="45"/>
      <c r="AB376" s="55" t="str">
        <f ca="1">IF(Tableau1[[#This Row],[Date rév.]]&lt;&gt;"", DAYS360(Tableau1[[#This Row],[Date rév.]],TODAY()),"")</f>
        <v/>
      </c>
      <c r="AC376" s="47">
        <f>IFERROR(INDEX(Chemin_accès!$B$11:$C$22,MATCH(Tableau1[[#This Row],[Type]],Chemin_accès!$C$11:$C$22,0),1),Chemin_accès!$B$11)</f>
        <v>0</v>
      </c>
      <c r="AD376" s="47" t="str">
        <f>Chemin_accès!$B$8&amp;Tableau1[[#This Row],[Localisation / Classement]]&amp;"\"&amp;Tableau1[[#This Row],[Poste technique]]&amp;"_"&amp;Tableau1[[#This Row],[Plan Entretien]]&amp;".xlsm"</f>
        <v>\_.xlsm</v>
      </c>
    </row>
    <row r="377" spans="1:30" x14ac:dyDescent="0.3">
      <c r="A377" s="41" t="str">
        <f t="shared" ca="1" si="5"/>
        <v>7.MNRJ</v>
      </c>
      <c r="B3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7" s="43"/>
      <c r="D377" s="41"/>
      <c r="E377" s="41"/>
      <c r="F377" s="44"/>
      <c r="G377" s="44"/>
      <c r="H377" s="48"/>
      <c r="I377" s="48"/>
      <c r="J377" s="48"/>
      <c r="K377" s="48"/>
      <c r="L377" s="43"/>
      <c r="M377" s="44"/>
      <c r="N377" s="43"/>
      <c r="O377" s="43"/>
      <c r="P377" s="44"/>
      <c r="Q377" s="43"/>
      <c r="R377" s="43"/>
      <c r="S377" s="45"/>
      <c r="T377" s="58" t="str">
        <f>IF(Tableau1[[#This Row],[DMS_SAP]]="","",HYPERLINK(Tableau1[[#This Row],[Chemin fichier source]],"X"))</f>
        <v/>
      </c>
      <c r="U377" s="58" t="str">
        <f>IF(Tableau1[[#This Row],[Date rév.]]="","",HYPERLINK(Tableau1[[#This Row],[Lien document]],"X"))</f>
        <v/>
      </c>
      <c r="V377" s="44"/>
      <c r="W377" s="46" t="str">
        <f ca="1">Chemin_accès!$B$2&amp;Tableau1[[#This Row],[Poste Responsable]]&amp;"\"&amp;Tableau1[[#This Row],[Localisation / Classement]]&amp;"\"&amp;Tableau1[[#This Row],[Poste technique]]&amp;"_"&amp;Tableau1[[#This Row],[Plan Entretien]]&amp;".pdf"</f>
        <v>\\stjn.local\trimet\Donnees_Projets\Dms Sap\Maintenance\PlanEntretien\7.MNRJ\\_.pdf</v>
      </c>
      <c r="X377" s="44"/>
      <c r="Y377" s="44"/>
      <c r="Z377" s="41" t="str">
        <f ca="1">IF(AND(Tableau1[[#This Row],[Charge]]&lt;&gt;0, Tableau1[[#This Row],[Nombre intervenants]]&lt;&gt;0,Tableau1[[#This Row],[Lien document]]&lt;&gt;0,Tableau1[[#This Row],[DMS_SAP]]&lt;&gt;0)=TRUE,"MIS A JOUR","")</f>
        <v/>
      </c>
      <c r="AA377" s="45"/>
      <c r="AB377" s="55" t="str">
        <f ca="1">IF(Tableau1[[#This Row],[Date rév.]]&lt;&gt;"", DAYS360(Tableau1[[#This Row],[Date rév.]],TODAY()),"")</f>
        <v/>
      </c>
      <c r="AC377" s="47">
        <f>IFERROR(INDEX(Chemin_accès!$B$11:$C$22,MATCH(Tableau1[[#This Row],[Type]],Chemin_accès!$C$11:$C$22,0),1),Chemin_accès!$B$11)</f>
        <v>0</v>
      </c>
      <c r="AD377" s="47" t="str">
        <f>Chemin_accès!$B$8&amp;Tableau1[[#This Row],[Localisation / Classement]]&amp;"\"&amp;Tableau1[[#This Row],[Poste technique]]&amp;"_"&amp;Tableau1[[#This Row],[Plan Entretien]]&amp;".xlsm"</f>
        <v>\_.xlsm</v>
      </c>
    </row>
    <row r="378" spans="1:30" x14ac:dyDescent="0.3">
      <c r="A378" s="41" t="str">
        <f t="shared" ca="1" si="5"/>
        <v>7.MNRJ</v>
      </c>
      <c r="B3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8" s="43"/>
      <c r="D378" s="41"/>
      <c r="E378" s="41"/>
      <c r="F378" s="44"/>
      <c r="G378" s="44"/>
      <c r="H378" s="48"/>
      <c r="I378" s="48"/>
      <c r="J378" s="48"/>
      <c r="K378" s="48"/>
      <c r="L378" s="43"/>
      <c r="M378" s="44"/>
      <c r="N378" s="43"/>
      <c r="O378" s="43"/>
      <c r="P378" s="44"/>
      <c r="Q378" s="43"/>
      <c r="R378" s="43"/>
      <c r="S378" s="45"/>
      <c r="T378" s="58" t="str">
        <f>IF(Tableau1[[#This Row],[DMS_SAP]]="","",HYPERLINK(Tableau1[[#This Row],[Chemin fichier source]],"X"))</f>
        <v/>
      </c>
      <c r="U378" s="58" t="str">
        <f>IF(Tableau1[[#This Row],[Date rév.]]="","",HYPERLINK(Tableau1[[#This Row],[Lien document]],"X"))</f>
        <v/>
      </c>
      <c r="V378" s="44"/>
      <c r="W378" s="46" t="str">
        <f ca="1">Chemin_accès!$B$2&amp;Tableau1[[#This Row],[Poste Responsable]]&amp;"\"&amp;Tableau1[[#This Row],[Localisation / Classement]]&amp;"\"&amp;Tableau1[[#This Row],[Poste technique]]&amp;"_"&amp;Tableau1[[#This Row],[Plan Entretien]]&amp;".pdf"</f>
        <v>\\stjn.local\trimet\Donnees_Projets\Dms Sap\Maintenance\PlanEntretien\7.MNRJ\\_.pdf</v>
      </c>
      <c r="X378" s="44"/>
      <c r="Y378" s="44"/>
      <c r="Z378" s="41" t="str">
        <f ca="1">IF(AND(Tableau1[[#This Row],[Charge]]&lt;&gt;0, Tableau1[[#This Row],[Nombre intervenants]]&lt;&gt;0,Tableau1[[#This Row],[Lien document]]&lt;&gt;0,Tableau1[[#This Row],[DMS_SAP]]&lt;&gt;0)=TRUE,"MIS A JOUR","")</f>
        <v/>
      </c>
      <c r="AA378" s="45"/>
      <c r="AB378" s="55" t="str">
        <f ca="1">IF(Tableau1[[#This Row],[Date rév.]]&lt;&gt;"", DAYS360(Tableau1[[#This Row],[Date rév.]],TODAY()),"")</f>
        <v/>
      </c>
      <c r="AC378" s="47">
        <f>IFERROR(INDEX(Chemin_accès!$B$11:$C$22,MATCH(Tableau1[[#This Row],[Type]],Chemin_accès!$C$11:$C$22,0),1),Chemin_accès!$B$11)</f>
        <v>0</v>
      </c>
      <c r="AD378" s="47" t="str">
        <f>Chemin_accès!$B$8&amp;Tableau1[[#This Row],[Localisation / Classement]]&amp;"\"&amp;Tableau1[[#This Row],[Poste technique]]&amp;"_"&amp;Tableau1[[#This Row],[Plan Entretien]]&amp;".xlsm"</f>
        <v>\_.xlsm</v>
      </c>
    </row>
    <row r="379" spans="1:30" x14ac:dyDescent="0.3">
      <c r="A379" s="41" t="str">
        <f t="shared" ca="1" si="5"/>
        <v>7.MNRJ</v>
      </c>
      <c r="B3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9" s="43"/>
      <c r="D379" s="41"/>
      <c r="E379" s="41"/>
      <c r="F379" s="44"/>
      <c r="G379" s="44"/>
      <c r="H379" s="48"/>
      <c r="I379" s="48"/>
      <c r="J379" s="48"/>
      <c r="K379" s="48"/>
      <c r="L379" s="43"/>
      <c r="M379" s="44"/>
      <c r="N379" s="43"/>
      <c r="O379" s="43"/>
      <c r="P379" s="44"/>
      <c r="Q379" s="43"/>
      <c r="R379" s="43"/>
      <c r="S379" s="45"/>
      <c r="T379" s="58" t="str">
        <f>IF(Tableau1[[#This Row],[DMS_SAP]]="","",HYPERLINK(Tableau1[[#This Row],[Chemin fichier source]],"X"))</f>
        <v/>
      </c>
      <c r="U379" s="58" t="str">
        <f>IF(Tableau1[[#This Row],[Date rév.]]="","",HYPERLINK(Tableau1[[#This Row],[Lien document]],"X"))</f>
        <v/>
      </c>
      <c r="V379" s="44"/>
      <c r="W379" s="46" t="str">
        <f ca="1">Chemin_accès!$B$2&amp;Tableau1[[#This Row],[Poste Responsable]]&amp;"\"&amp;Tableau1[[#This Row],[Localisation / Classement]]&amp;"\"&amp;Tableau1[[#This Row],[Poste technique]]&amp;"_"&amp;Tableau1[[#This Row],[Plan Entretien]]&amp;".pdf"</f>
        <v>\\stjn.local\trimet\Donnees_Projets\Dms Sap\Maintenance\PlanEntretien\7.MNRJ\\_.pdf</v>
      </c>
      <c r="X379" s="44"/>
      <c r="Y379" s="44"/>
      <c r="Z379" s="41" t="str">
        <f ca="1">IF(AND(Tableau1[[#This Row],[Charge]]&lt;&gt;0, Tableau1[[#This Row],[Nombre intervenants]]&lt;&gt;0,Tableau1[[#This Row],[Lien document]]&lt;&gt;0,Tableau1[[#This Row],[DMS_SAP]]&lt;&gt;0)=TRUE,"MIS A JOUR","")</f>
        <v/>
      </c>
      <c r="AA379" s="45"/>
      <c r="AB379" s="55" t="str">
        <f ca="1">IF(Tableau1[[#This Row],[Date rév.]]&lt;&gt;"", DAYS360(Tableau1[[#This Row],[Date rév.]],TODAY()),"")</f>
        <v/>
      </c>
      <c r="AC379" s="47">
        <f>IFERROR(INDEX(Chemin_accès!$B$11:$C$22,MATCH(Tableau1[[#This Row],[Type]],Chemin_accès!$C$11:$C$22,0),1),Chemin_accès!$B$11)</f>
        <v>0</v>
      </c>
      <c r="AD379" s="47" t="str">
        <f>Chemin_accès!$B$8&amp;Tableau1[[#This Row],[Localisation / Classement]]&amp;"\"&amp;Tableau1[[#This Row],[Poste technique]]&amp;"_"&amp;Tableau1[[#This Row],[Plan Entretien]]&amp;".xlsm"</f>
        <v>\_.xlsm</v>
      </c>
    </row>
    <row r="380" spans="1:30" x14ac:dyDescent="0.3">
      <c r="A380" s="41" t="str">
        <f t="shared" ca="1" si="5"/>
        <v>7.MNRJ</v>
      </c>
      <c r="B3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0" s="43"/>
      <c r="D380" s="41"/>
      <c r="E380" s="41"/>
      <c r="F380" s="44"/>
      <c r="G380" s="44"/>
      <c r="H380" s="48"/>
      <c r="I380" s="48"/>
      <c r="J380" s="48"/>
      <c r="K380" s="48"/>
      <c r="L380" s="43"/>
      <c r="M380" s="44"/>
      <c r="N380" s="43"/>
      <c r="O380" s="43"/>
      <c r="P380" s="44"/>
      <c r="Q380" s="43"/>
      <c r="R380" s="43"/>
      <c r="S380" s="45"/>
      <c r="T380" s="58" t="str">
        <f>IF(Tableau1[[#This Row],[DMS_SAP]]="","",HYPERLINK(Tableau1[[#This Row],[Chemin fichier source]],"X"))</f>
        <v/>
      </c>
      <c r="U380" s="58" t="str">
        <f>IF(Tableau1[[#This Row],[Date rév.]]="","",HYPERLINK(Tableau1[[#This Row],[Lien document]],"X"))</f>
        <v/>
      </c>
      <c r="V380" s="44"/>
      <c r="W380" s="46" t="str">
        <f ca="1">Chemin_accès!$B$2&amp;Tableau1[[#This Row],[Poste Responsable]]&amp;"\"&amp;Tableau1[[#This Row],[Localisation / Classement]]&amp;"\"&amp;Tableau1[[#This Row],[Poste technique]]&amp;"_"&amp;Tableau1[[#This Row],[Plan Entretien]]&amp;".pdf"</f>
        <v>\\stjn.local\trimet\Donnees_Projets\Dms Sap\Maintenance\PlanEntretien\7.MNRJ\\_.pdf</v>
      </c>
      <c r="X380" s="44"/>
      <c r="Y380" s="44"/>
      <c r="Z380" s="41" t="str">
        <f ca="1">IF(AND(Tableau1[[#This Row],[Charge]]&lt;&gt;0, Tableau1[[#This Row],[Nombre intervenants]]&lt;&gt;0,Tableau1[[#This Row],[Lien document]]&lt;&gt;0,Tableau1[[#This Row],[DMS_SAP]]&lt;&gt;0)=TRUE,"MIS A JOUR","")</f>
        <v/>
      </c>
      <c r="AA380" s="45"/>
      <c r="AB380" s="55" t="str">
        <f ca="1">IF(Tableau1[[#This Row],[Date rév.]]&lt;&gt;"", DAYS360(Tableau1[[#This Row],[Date rév.]],TODAY()),"")</f>
        <v/>
      </c>
      <c r="AC380" s="47">
        <f>IFERROR(INDEX(Chemin_accès!$B$11:$C$22,MATCH(Tableau1[[#This Row],[Type]],Chemin_accès!$C$11:$C$22,0),1),Chemin_accès!$B$11)</f>
        <v>0</v>
      </c>
      <c r="AD380" s="47" t="str">
        <f>Chemin_accès!$B$8&amp;Tableau1[[#This Row],[Localisation / Classement]]&amp;"\"&amp;Tableau1[[#This Row],[Poste technique]]&amp;"_"&amp;Tableau1[[#This Row],[Plan Entretien]]&amp;".xlsm"</f>
        <v>\_.xlsm</v>
      </c>
    </row>
    <row r="381" spans="1:30" x14ac:dyDescent="0.3">
      <c r="A381" s="41" t="str">
        <f t="shared" ca="1" si="5"/>
        <v>7.MNRJ</v>
      </c>
      <c r="B3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1" s="43"/>
      <c r="D381" s="41"/>
      <c r="E381" s="41"/>
      <c r="F381" s="44"/>
      <c r="G381" s="44"/>
      <c r="H381" s="48"/>
      <c r="I381" s="48"/>
      <c r="J381" s="48"/>
      <c r="K381" s="48"/>
      <c r="L381" s="43"/>
      <c r="M381" s="44"/>
      <c r="N381" s="43"/>
      <c r="O381" s="43"/>
      <c r="P381" s="44"/>
      <c r="Q381" s="43"/>
      <c r="R381" s="43"/>
      <c r="S381" s="45"/>
      <c r="T381" s="58" t="str">
        <f>IF(Tableau1[[#This Row],[DMS_SAP]]="","",HYPERLINK(Tableau1[[#This Row],[Chemin fichier source]],"X"))</f>
        <v/>
      </c>
      <c r="U381" s="58" t="str">
        <f>IF(Tableau1[[#This Row],[Date rév.]]="","",HYPERLINK(Tableau1[[#This Row],[Lien document]],"X"))</f>
        <v/>
      </c>
      <c r="V381" s="44"/>
      <c r="W381" s="46" t="str">
        <f ca="1">Chemin_accès!$B$2&amp;Tableau1[[#This Row],[Poste Responsable]]&amp;"\"&amp;Tableau1[[#This Row],[Localisation / Classement]]&amp;"\"&amp;Tableau1[[#This Row],[Poste technique]]&amp;"_"&amp;Tableau1[[#This Row],[Plan Entretien]]&amp;".pdf"</f>
        <v>\\stjn.local\trimet\Donnees_Projets\Dms Sap\Maintenance\PlanEntretien\7.MNRJ\\_.pdf</v>
      </c>
      <c r="X381" s="44"/>
      <c r="Y381" s="44"/>
      <c r="Z381" s="41" t="str">
        <f ca="1">IF(AND(Tableau1[[#This Row],[Charge]]&lt;&gt;0, Tableau1[[#This Row],[Nombre intervenants]]&lt;&gt;0,Tableau1[[#This Row],[Lien document]]&lt;&gt;0,Tableau1[[#This Row],[DMS_SAP]]&lt;&gt;0)=TRUE,"MIS A JOUR","")</f>
        <v/>
      </c>
      <c r="AA381" s="45"/>
      <c r="AB381" s="55" t="str">
        <f ca="1">IF(Tableau1[[#This Row],[Date rév.]]&lt;&gt;"", DAYS360(Tableau1[[#This Row],[Date rév.]],TODAY()),"")</f>
        <v/>
      </c>
      <c r="AC381" s="47">
        <f>IFERROR(INDEX(Chemin_accès!$B$11:$C$22,MATCH(Tableau1[[#This Row],[Type]],Chemin_accès!$C$11:$C$22,0),1),Chemin_accès!$B$11)</f>
        <v>0</v>
      </c>
      <c r="AD381" s="47" t="str">
        <f>Chemin_accès!$B$8&amp;Tableau1[[#This Row],[Localisation / Classement]]&amp;"\"&amp;Tableau1[[#This Row],[Poste technique]]&amp;"_"&amp;Tableau1[[#This Row],[Plan Entretien]]&amp;".xlsm"</f>
        <v>\_.xlsm</v>
      </c>
    </row>
    <row r="382" spans="1:30" x14ac:dyDescent="0.3">
      <c r="A382" s="41" t="str">
        <f t="shared" ca="1" si="5"/>
        <v>7.MNRJ</v>
      </c>
      <c r="B3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2" s="43"/>
      <c r="D382" s="41"/>
      <c r="E382" s="41"/>
      <c r="F382" s="44"/>
      <c r="G382" s="44"/>
      <c r="H382" s="48"/>
      <c r="I382" s="48"/>
      <c r="J382" s="48"/>
      <c r="K382" s="48"/>
      <c r="L382" s="43"/>
      <c r="M382" s="44"/>
      <c r="N382" s="43"/>
      <c r="O382" s="43"/>
      <c r="P382" s="44"/>
      <c r="Q382" s="43"/>
      <c r="R382" s="43"/>
      <c r="S382" s="45"/>
      <c r="T382" s="58" t="str">
        <f>IF(Tableau1[[#This Row],[DMS_SAP]]="","",HYPERLINK(Tableau1[[#This Row],[Chemin fichier source]],"X"))</f>
        <v/>
      </c>
      <c r="U382" s="58" t="str">
        <f>IF(Tableau1[[#This Row],[Date rév.]]="","",HYPERLINK(Tableau1[[#This Row],[Lien document]],"X"))</f>
        <v/>
      </c>
      <c r="V382" s="44"/>
      <c r="W382" s="46" t="str">
        <f ca="1">Chemin_accès!$B$2&amp;Tableau1[[#This Row],[Poste Responsable]]&amp;"\"&amp;Tableau1[[#This Row],[Localisation / Classement]]&amp;"\"&amp;Tableau1[[#This Row],[Poste technique]]&amp;"_"&amp;Tableau1[[#This Row],[Plan Entretien]]&amp;".pdf"</f>
        <v>\\stjn.local\trimet\Donnees_Projets\Dms Sap\Maintenance\PlanEntretien\7.MNRJ\\_.pdf</v>
      </c>
      <c r="X382" s="44"/>
      <c r="Y382" s="44"/>
      <c r="Z382" s="41" t="str">
        <f ca="1">IF(AND(Tableau1[[#This Row],[Charge]]&lt;&gt;0, Tableau1[[#This Row],[Nombre intervenants]]&lt;&gt;0,Tableau1[[#This Row],[Lien document]]&lt;&gt;0,Tableau1[[#This Row],[DMS_SAP]]&lt;&gt;0)=TRUE,"MIS A JOUR","")</f>
        <v/>
      </c>
      <c r="AA382" s="45"/>
      <c r="AB382" s="55" t="str">
        <f ca="1">IF(Tableau1[[#This Row],[Date rév.]]&lt;&gt;"", DAYS360(Tableau1[[#This Row],[Date rév.]],TODAY()),"")</f>
        <v/>
      </c>
      <c r="AC382" s="47">
        <f>IFERROR(INDEX(Chemin_accès!$B$11:$C$22,MATCH(Tableau1[[#This Row],[Type]],Chemin_accès!$C$11:$C$22,0),1),Chemin_accès!$B$11)</f>
        <v>0</v>
      </c>
      <c r="AD382" s="47" t="str">
        <f>Chemin_accès!$B$8&amp;Tableau1[[#This Row],[Localisation / Classement]]&amp;"\"&amp;Tableau1[[#This Row],[Poste technique]]&amp;"_"&amp;Tableau1[[#This Row],[Plan Entretien]]&amp;".xlsm"</f>
        <v>\_.xlsm</v>
      </c>
    </row>
    <row r="383" spans="1:30" x14ac:dyDescent="0.3">
      <c r="A383" s="41" t="str">
        <f t="shared" ca="1" si="5"/>
        <v>7.MNRJ</v>
      </c>
      <c r="B3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3" s="43"/>
      <c r="D383" s="41"/>
      <c r="E383" s="41"/>
      <c r="F383" s="44"/>
      <c r="G383" s="44"/>
      <c r="H383" s="48"/>
      <c r="I383" s="48"/>
      <c r="J383" s="48"/>
      <c r="K383" s="48"/>
      <c r="L383" s="43"/>
      <c r="M383" s="44"/>
      <c r="N383" s="43"/>
      <c r="O383" s="43"/>
      <c r="P383" s="44"/>
      <c r="Q383" s="43"/>
      <c r="R383" s="43"/>
      <c r="S383" s="45"/>
      <c r="T383" s="58" t="str">
        <f>IF(Tableau1[[#This Row],[DMS_SAP]]="","",HYPERLINK(Tableau1[[#This Row],[Chemin fichier source]],"X"))</f>
        <v/>
      </c>
      <c r="U383" s="58" t="str">
        <f>IF(Tableau1[[#This Row],[Date rév.]]="","",HYPERLINK(Tableau1[[#This Row],[Lien document]],"X"))</f>
        <v/>
      </c>
      <c r="V383" s="44"/>
      <c r="W383" s="46" t="str">
        <f ca="1">Chemin_accès!$B$2&amp;Tableau1[[#This Row],[Poste Responsable]]&amp;"\"&amp;Tableau1[[#This Row],[Localisation / Classement]]&amp;"\"&amp;Tableau1[[#This Row],[Poste technique]]&amp;"_"&amp;Tableau1[[#This Row],[Plan Entretien]]&amp;".pdf"</f>
        <v>\\stjn.local\trimet\Donnees_Projets\Dms Sap\Maintenance\PlanEntretien\7.MNRJ\\_.pdf</v>
      </c>
      <c r="X383" s="44"/>
      <c r="Y383" s="44"/>
      <c r="Z383" s="41" t="str">
        <f ca="1">IF(AND(Tableau1[[#This Row],[Charge]]&lt;&gt;0, Tableau1[[#This Row],[Nombre intervenants]]&lt;&gt;0,Tableau1[[#This Row],[Lien document]]&lt;&gt;0,Tableau1[[#This Row],[DMS_SAP]]&lt;&gt;0)=TRUE,"MIS A JOUR","")</f>
        <v/>
      </c>
      <c r="AA383" s="45"/>
      <c r="AB383" s="55" t="str">
        <f ca="1">IF(Tableau1[[#This Row],[Date rév.]]&lt;&gt;"", DAYS360(Tableau1[[#This Row],[Date rév.]],TODAY()),"")</f>
        <v/>
      </c>
      <c r="AC383" s="47">
        <f>IFERROR(INDEX(Chemin_accès!$B$11:$C$22,MATCH(Tableau1[[#This Row],[Type]],Chemin_accès!$C$11:$C$22,0),1),Chemin_accès!$B$11)</f>
        <v>0</v>
      </c>
      <c r="AD383" s="47" t="str">
        <f>Chemin_accès!$B$8&amp;Tableau1[[#This Row],[Localisation / Classement]]&amp;"\"&amp;Tableau1[[#This Row],[Poste technique]]&amp;"_"&amp;Tableau1[[#This Row],[Plan Entretien]]&amp;".xlsm"</f>
        <v>\_.xlsm</v>
      </c>
    </row>
    <row r="384" spans="1:30" x14ac:dyDescent="0.3">
      <c r="A384" s="41" t="str">
        <f t="shared" ca="1" si="5"/>
        <v>7.MNRJ</v>
      </c>
      <c r="B3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4" s="43"/>
      <c r="D384" s="41"/>
      <c r="E384" s="41"/>
      <c r="F384" s="44"/>
      <c r="G384" s="44"/>
      <c r="H384" s="48"/>
      <c r="I384" s="48"/>
      <c r="J384" s="48"/>
      <c r="K384" s="48"/>
      <c r="L384" s="43"/>
      <c r="M384" s="44"/>
      <c r="N384" s="43"/>
      <c r="O384" s="43"/>
      <c r="P384" s="44"/>
      <c r="Q384" s="43"/>
      <c r="R384" s="43"/>
      <c r="S384" s="45"/>
      <c r="T384" s="58" t="str">
        <f>IF(Tableau1[[#This Row],[DMS_SAP]]="","",HYPERLINK(Tableau1[[#This Row],[Chemin fichier source]],"X"))</f>
        <v/>
      </c>
      <c r="U384" s="58" t="str">
        <f>IF(Tableau1[[#This Row],[Date rév.]]="","",HYPERLINK(Tableau1[[#This Row],[Lien document]],"X"))</f>
        <v/>
      </c>
      <c r="V384" s="44"/>
      <c r="W384" s="46" t="str">
        <f ca="1">Chemin_accès!$B$2&amp;Tableau1[[#This Row],[Poste Responsable]]&amp;"\"&amp;Tableau1[[#This Row],[Localisation / Classement]]&amp;"\"&amp;Tableau1[[#This Row],[Poste technique]]&amp;"_"&amp;Tableau1[[#This Row],[Plan Entretien]]&amp;".pdf"</f>
        <v>\\stjn.local\trimet\Donnees_Projets\Dms Sap\Maintenance\PlanEntretien\7.MNRJ\\_.pdf</v>
      </c>
      <c r="X384" s="44"/>
      <c r="Y384" s="44"/>
      <c r="Z384" s="41" t="str">
        <f ca="1">IF(AND(Tableau1[[#This Row],[Charge]]&lt;&gt;0, Tableau1[[#This Row],[Nombre intervenants]]&lt;&gt;0,Tableau1[[#This Row],[Lien document]]&lt;&gt;0,Tableau1[[#This Row],[DMS_SAP]]&lt;&gt;0)=TRUE,"MIS A JOUR","")</f>
        <v/>
      </c>
      <c r="AA384" s="45"/>
      <c r="AB384" s="55" t="str">
        <f ca="1">IF(Tableau1[[#This Row],[Date rév.]]&lt;&gt;"", DAYS360(Tableau1[[#This Row],[Date rév.]],TODAY()),"")</f>
        <v/>
      </c>
      <c r="AC384" s="47">
        <f>IFERROR(INDEX(Chemin_accès!$B$11:$C$22,MATCH(Tableau1[[#This Row],[Type]],Chemin_accès!$C$11:$C$22,0),1),Chemin_accès!$B$11)</f>
        <v>0</v>
      </c>
      <c r="AD384" s="47" t="str">
        <f>Chemin_accès!$B$8&amp;Tableau1[[#This Row],[Localisation / Classement]]&amp;"\"&amp;Tableau1[[#This Row],[Poste technique]]&amp;"_"&amp;Tableau1[[#This Row],[Plan Entretien]]&amp;".xlsm"</f>
        <v>\_.xlsm</v>
      </c>
    </row>
    <row r="385" spans="1:30" x14ac:dyDescent="0.3">
      <c r="A385" s="41" t="str">
        <f t="shared" ca="1" si="5"/>
        <v>7.MNRJ</v>
      </c>
      <c r="B3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5" s="43"/>
      <c r="D385" s="41"/>
      <c r="E385" s="41"/>
      <c r="F385" s="44"/>
      <c r="G385" s="44"/>
      <c r="H385" s="48"/>
      <c r="I385" s="48"/>
      <c r="J385" s="48"/>
      <c r="K385" s="48"/>
      <c r="L385" s="43"/>
      <c r="M385" s="44"/>
      <c r="N385" s="43"/>
      <c r="O385" s="43"/>
      <c r="P385" s="44"/>
      <c r="Q385" s="43"/>
      <c r="R385" s="43"/>
      <c r="S385" s="45"/>
      <c r="T385" s="58" t="str">
        <f>IF(Tableau1[[#This Row],[DMS_SAP]]="","",HYPERLINK(Tableau1[[#This Row],[Chemin fichier source]],"X"))</f>
        <v/>
      </c>
      <c r="U385" s="58" t="str">
        <f>IF(Tableau1[[#This Row],[Date rév.]]="","",HYPERLINK(Tableau1[[#This Row],[Lien document]],"X"))</f>
        <v/>
      </c>
      <c r="V385" s="44"/>
      <c r="W385" s="46" t="str">
        <f ca="1">Chemin_accès!$B$2&amp;Tableau1[[#This Row],[Poste Responsable]]&amp;"\"&amp;Tableau1[[#This Row],[Localisation / Classement]]&amp;"\"&amp;Tableau1[[#This Row],[Poste technique]]&amp;"_"&amp;Tableau1[[#This Row],[Plan Entretien]]&amp;".pdf"</f>
        <v>\\stjn.local\trimet\Donnees_Projets\Dms Sap\Maintenance\PlanEntretien\7.MNRJ\\_.pdf</v>
      </c>
      <c r="X385" s="44"/>
      <c r="Y385" s="44"/>
      <c r="Z385" s="41" t="str">
        <f ca="1">IF(AND(Tableau1[[#This Row],[Charge]]&lt;&gt;0, Tableau1[[#This Row],[Nombre intervenants]]&lt;&gt;0,Tableau1[[#This Row],[Lien document]]&lt;&gt;0,Tableau1[[#This Row],[DMS_SAP]]&lt;&gt;0)=TRUE,"MIS A JOUR","")</f>
        <v/>
      </c>
      <c r="AA385" s="45"/>
      <c r="AB385" s="55" t="str">
        <f ca="1">IF(Tableau1[[#This Row],[Date rév.]]&lt;&gt;"", DAYS360(Tableau1[[#This Row],[Date rév.]],TODAY()),"")</f>
        <v/>
      </c>
      <c r="AC385" s="47">
        <f>IFERROR(INDEX(Chemin_accès!$B$11:$C$22,MATCH(Tableau1[[#This Row],[Type]],Chemin_accès!$C$11:$C$22,0),1),Chemin_accès!$B$11)</f>
        <v>0</v>
      </c>
      <c r="AD385" s="47" t="str">
        <f>Chemin_accès!$B$8&amp;Tableau1[[#This Row],[Localisation / Classement]]&amp;"\"&amp;Tableau1[[#This Row],[Poste technique]]&amp;"_"&amp;Tableau1[[#This Row],[Plan Entretien]]&amp;".xlsm"</f>
        <v>\_.xlsm</v>
      </c>
    </row>
    <row r="386" spans="1:30" x14ac:dyDescent="0.3">
      <c r="A386" s="41" t="str">
        <f t="shared" ca="1" si="5"/>
        <v>7.MNRJ</v>
      </c>
      <c r="B3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6" s="43"/>
      <c r="D386" s="41"/>
      <c r="E386" s="41"/>
      <c r="F386" s="44"/>
      <c r="G386" s="44"/>
      <c r="H386" s="48"/>
      <c r="I386" s="48"/>
      <c r="J386" s="48"/>
      <c r="K386" s="48"/>
      <c r="L386" s="43"/>
      <c r="M386" s="44"/>
      <c r="N386" s="43"/>
      <c r="O386" s="43"/>
      <c r="P386" s="44"/>
      <c r="Q386" s="43"/>
      <c r="R386" s="43"/>
      <c r="S386" s="45"/>
      <c r="T386" s="58" t="str">
        <f>IF(Tableau1[[#This Row],[DMS_SAP]]="","",HYPERLINK(Tableau1[[#This Row],[Chemin fichier source]],"X"))</f>
        <v/>
      </c>
      <c r="U386" s="58" t="str">
        <f>IF(Tableau1[[#This Row],[Date rév.]]="","",HYPERLINK(Tableau1[[#This Row],[Lien document]],"X"))</f>
        <v/>
      </c>
      <c r="V386" s="44"/>
      <c r="W386" s="46" t="str">
        <f ca="1">Chemin_accès!$B$2&amp;Tableau1[[#This Row],[Poste Responsable]]&amp;"\"&amp;Tableau1[[#This Row],[Localisation / Classement]]&amp;"\"&amp;Tableau1[[#This Row],[Poste technique]]&amp;"_"&amp;Tableau1[[#This Row],[Plan Entretien]]&amp;".pdf"</f>
        <v>\\stjn.local\trimet\Donnees_Projets\Dms Sap\Maintenance\PlanEntretien\7.MNRJ\\_.pdf</v>
      </c>
      <c r="X386" s="44"/>
      <c r="Y386" s="44"/>
      <c r="Z386" s="41" t="str">
        <f ca="1">IF(AND(Tableau1[[#This Row],[Charge]]&lt;&gt;0, Tableau1[[#This Row],[Nombre intervenants]]&lt;&gt;0,Tableau1[[#This Row],[Lien document]]&lt;&gt;0,Tableau1[[#This Row],[DMS_SAP]]&lt;&gt;0)=TRUE,"MIS A JOUR","")</f>
        <v/>
      </c>
      <c r="AA386" s="45"/>
      <c r="AB386" s="55" t="str">
        <f ca="1">IF(Tableau1[[#This Row],[Date rév.]]&lt;&gt;"", DAYS360(Tableau1[[#This Row],[Date rév.]],TODAY()),"")</f>
        <v/>
      </c>
      <c r="AC386" s="47">
        <f>IFERROR(INDEX(Chemin_accès!$B$11:$C$22,MATCH(Tableau1[[#This Row],[Type]],Chemin_accès!$C$11:$C$22,0),1),Chemin_accès!$B$11)</f>
        <v>0</v>
      </c>
      <c r="AD386" s="47" t="str">
        <f>Chemin_accès!$B$8&amp;Tableau1[[#This Row],[Localisation / Classement]]&amp;"\"&amp;Tableau1[[#This Row],[Poste technique]]&amp;"_"&amp;Tableau1[[#This Row],[Plan Entretien]]&amp;".xlsm"</f>
        <v>\_.xlsm</v>
      </c>
    </row>
    <row r="387" spans="1:30" x14ac:dyDescent="0.3">
      <c r="A387" s="41" t="str">
        <f t="shared" ref="A387:A450" ca="1" si="6">MID(CELL("filename",$A$1),FIND("]",CELL("filename",$A$1))+1,32)</f>
        <v>7.MNRJ</v>
      </c>
      <c r="B3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7" s="43"/>
      <c r="D387" s="41"/>
      <c r="E387" s="41"/>
      <c r="F387" s="44"/>
      <c r="G387" s="44"/>
      <c r="H387" s="48"/>
      <c r="I387" s="48"/>
      <c r="J387" s="48"/>
      <c r="K387" s="48"/>
      <c r="L387" s="43"/>
      <c r="M387" s="44"/>
      <c r="N387" s="43"/>
      <c r="O387" s="43"/>
      <c r="P387" s="44"/>
      <c r="Q387" s="43"/>
      <c r="R387" s="43"/>
      <c r="S387" s="45"/>
      <c r="T387" s="58" t="str">
        <f>IF(Tableau1[[#This Row],[DMS_SAP]]="","",HYPERLINK(Tableau1[[#This Row],[Chemin fichier source]],"X"))</f>
        <v/>
      </c>
      <c r="U387" s="58" t="str">
        <f>IF(Tableau1[[#This Row],[Date rév.]]="","",HYPERLINK(Tableau1[[#This Row],[Lien document]],"X"))</f>
        <v/>
      </c>
      <c r="V387" s="44"/>
      <c r="W387" s="46" t="str">
        <f ca="1">Chemin_accès!$B$2&amp;Tableau1[[#This Row],[Poste Responsable]]&amp;"\"&amp;Tableau1[[#This Row],[Localisation / Classement]]&amp;"\"&amp;Tableau1[[#This Row],[Poste technique]]&amp;"_"&amp;Tableau1[[#This Row],[Plan Entretien]]&amp;".pdf"</f>
        <v>\\stjn.local\trimet\Donnees_Projets\Dms Sap\Maintenance\PlanEntretien\7.MNRJ\\_.pdf</v>
      </c>
      <c r="X387" s="44"/>
      <c r="Y387" s="44"/>
      <c r="Z387" s="41" t="str">
        <f ca="1">IF(AND(Tableau1[[#This Row],[Charge]]&lt;&gt;0, Tableau1[[#This Row],[Nombre intervenants]]&lt;&gt;0,Tableau1[[#This Row],[Lien document]]&lt;&gt;0,Tableau1[[#This Row],[DMS_SAP]]&lt;&gt;0)=TRUE,"MIS A JOUR","")</f>
        <v/>
      </c>
      <c r="AA387" s="45"/>
      <c r="AB387" s="55" t="str">
        <f ca="1">IF(Tableau1[[#This Row],[Date rév.]]&lt;&gt;"", DAYS360(Tableau1[[#This Row],[Date rév.]],TODAY()),"")</f>
        <v/>
      </c>
      <c r="AC387" s="47">
        <f>IFERROR(INDEX(Chemin_accès!$B$11:$C$22,MATCH(Tableau1[[#This Row],[Type]],Chemin_accès!$C$11:$C$22,0),1),Chemin_accès!$B$11)</f>
        <v>0</v>
      </c>
      <c r="AD387" s="47" t="str">
        <f>Chemin_accès!$B$8&amp;Tableau1[[#This Row],[Localisation / Classement]]&amp;"\"&amp;Tableau1[[#This Row],[Poste technique]]&amp;"_"&amp;Tableau1[[#This Row],[Plan Entretien]]&amp;".xlsm"</f>
        <v>\_.xlsm</v>
      </c>
    </row>
    <row r="388" spans="1:30" x14ac:dyDescent="0.3">
      <c r="A388" s="41" t="str">
        <f t="shared" ca="1" si="6"/>
        <v>7.MNRJ</v>
      </c>
      <c r="B3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8" s="43"/>
      <c r="D388" s="41"/>
      <c r="E388" s="41"/>
      <c r="F388" s="44"/>
      <c r="G388" s="44"/>
      <c r="H388" s="48"/>
      <c r="I388" s="48"/>
      <c r="J388" s="48"/>
      <c r="K388" s="48"/>
      <c r="L388" s="43"/>
      <c r="M388" s="44"/>
      <c r="N388" s="43"/>
      <c r="O388" s="43"/>
      <c r="P388" s="44"/>
      <c r="Q388" s="43"/>
      <c r="R388" s="43"/>
      <c r="S388" s="45"/>
      <c r="T388" s="58" t="str">
        <f>IF(Tableau1[[#This Row],[DMS_SAP]]="","",HYPERLINK(Tableau1[[#This Row],[Chemin fichier source]],"X"))</f>
        <v/>
      </c>
      <c r="U388" s="58" t="str">
        <f>IF(Tableau1[[#This Row],[Date rév.]]="","",HYPERLINK(Tableau1[[#This Row],[Lien document]],"X"))</f>
        <v/>
      </c>
      <c r="V388" s="44"/>
      <c r="W388" s="46" t="str">
        <f ca="1">Chemin_accès!$B$2&amp;Tableau1[[#This Row],[Poste Responsable]]&amp;"\"&amp;Tableau1[[#This Row],[Localisation / Classement]]&amp;"\"&amp;Tableau1[[#This Row],[Poste technique]]&amp;"_"&amp;Tableau1[[#This Row],[Plan Entretien]]&amp;".pdf"</f>
        <v>\\stjn.local\trimet\Donnees_Projets\Dms Sap\Maintenance\PlanEntretien\7.MNRJ\\_.pdf</v>
      </c>
      <c r="X388" s="44"/>
      <c r="Y388" s="44"/>
      <c r="Z388" s="41" t="str">
        <f ca="1">IF(AND(Tableau1[[#This Row],[Charge]]&lt;&gt;0, Tableau1[[#This Row],[Nombre intervenants]]&lt;&gt;0,Tableau1[[#This Row],[Lien document]]&lt;&gt;0,Tableau1[[#This Row],[DMS_SAP]]&lt;&gt;0)=TRUE,"MIS A JOUR","")</f>
        <v/>
      </c>
      <c r="AA388" s="45"/>
      <c r="AB388" s="55" t="str">
        <f ca="1">IF(Tableau1[[#This Row],[Date rév.]]&lt;&gt;"", DAYS360(Tableau1[[#This Row],[Date rév.]],TODAY()),"")</f>
        <v/>
      </c>
      <c r="AC388" s="47">
        <f>IFERROR(INDEX(Chemin_accès!$B$11:$C$22,MATCH(Tableau1[[#This Row],[Type]],Chemin_accès!$C$11:$C$22,0),1),Chemin_accès!$B$11)</f>
        <v>0</v>
      </c>
      <c r="AD388" s="47" t="str">
        <f>Chemin_accès!$B$8&amp;Tableau1[[#This Row],[Localisation / Classement]]&amp;"\"&amp;Tableau1[[#This Row],[Poste technique]]&amp;"_"&amp;Tableau1[[#This Row],[Plan Entretien]]&amp;".xlsm"</f>
        <v>\_.xlsm</v>
      </c>
    </row>
    <row r="389" spans="1:30" x14ac:dyDescent="0.3">
      <c r="A389" s="41" t="str">
        <f t="shared" ca="1" si="6"/>
        <v>7.MNRJ</v>
      </c>
      <c r="B3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9" s="43"/>
      <c r="D389" s="41"/>
      <c r="E389" s="41"/>
      <c r="F389" s="44"/>
      <c r="G389" s="44"/>
      <c r="H389" s="48"/>
      <c r="I389" s="48"/>
      <c r="J389" s="48"/>
      <c r="K389" s="48"/>
      <c r="L389" s="43"/>
      <c r="M389" s="44"/>
      <c r="N389" s="43"/>
      <c r="O389" s="43"/>
      <c r="P389" s="44"/>
      <c r="Q389" s="43"/>
      <c r="R389" s="43"/>
      <c r="S389" s="45"/>
      <c r="T389" s="58" t="str">
        <f>IF(Tableau1[[#This Row],[DMS_SAP]]="","",HYPERLINK(Tableau1[[#This Row],[Chemin fichier source]],"X"))</f>
        <v/>
      </c>
      <c r="U389" s="58" t="str">
        <f>IF(Tableau1[[#This Row],[Date rév.]]="","",HYPERLINK(Tableau1[[#This Row],[Lien document]],"X"))</f>
        <v/>
      </c>
      <c r="V389" s="44"/>
      <c r="W389" s="46" t="str">
        <f ca="1">Chemin_accès!$B$2&amp;Tableau1[[#This Row],[Poste Responsable]]&amp;"\"&amp;Tableau1[[#This Row],[Localisation / Classement]]&amp;"\"&amp;Tableau1[[#This Row],[Poste technique]]&amp;"_"&amp;Tableau1[[#This Row],[Plan Entretien]]&amp;".pdf"</f>
        <v>\\stjn.local\trimet\Donnees_Projets\Dms Sap\Maintenance\PlanEntretien\7.MNRJ\\_.pdf</v>
      </c>
      <c r="X389" s="44"/>
      <c r="Y389" s="44"/>
      <c r="Z389" s="41" t="str">
        <f ca="1">IF(AND(Tableau1[[#This Row],[Charge]]&lt;&gt;0, Tableau1[[#This Row],[Nombre intervenants]]&lt;&gt;0,Tableau1[[#This Row],[Lien document]]&lt;&gt;0,Tableau1[[#This Row],[DMS_SAP]]&lt;&gt;0)=TRUE,"MIS A JOUR","")</f>
        <v/>
      </c>
      <c r="AA389" s="45"/>
      <c r="AB389" s="55" t="str">
        <f ca="1">IF(Tableau1[[#This Row],[Date rév.]]&lt;&gt;"", DAYS360(Tableau1[[#This Row],[Date rév.]],TODAY()),"")</f>
        <v/>
      </c>
      <c r="AC389" s="47">
        <f>IFERROR(INDEX(Chemin_accès!$B$11:$C$22,MATCH(Tableau1[[#This Row],[Type]],Chemin_accès!$C$11:$C$22,0),1),Chemin_accès!$B$11)</f>
        <v>0</v>
      </c>
      <c r="AD389" s="47" t="str">
        <f>Chemin_accès!$B$8&amp;Tableau1[[#This Row],[Localisation / Classement]]&amp;"\"&amp;Tableau1[[#This Row],[Poste technique]]&amp;"_"&amp;Tableau1[[#This Row],[Plan Entretien]]&amp;".xlsm"</f>
        <v>\_.xlsm</v>
      </c>
    </row>
    <row r="390" spans="1:30" x14ac:dyDescent="0.3">
      <c r="A390" s="41" t="str">
        <f t="shared" ca="1" si="6"/>
        <v>7.MNRJ</v>
      </c>
      <c r="B3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0" s="43"/>
      <c r="D390" s="41"/>
      <c r="E390" s="41"/>
      <c r="F390" s="44"/>
      <c r="G390" s="44"/>
      <c r="H390" s="48"/>
      <c r="I390" s="48"/>
      <c r="J390" s="48"/>
      <c r="K390" s="48"/>
      <c r="L390" s="43"/>
      <c r="M390" s="44"/>
      <c r="N390" s="43"/>
      <c r="O390" s="43"/>
      <c r="P390" s="44"/>
      <c r="Q390" s="43"/>
      <c r="R390" s="43"/>
      <c r="S390" s="45"/>
      <c r="T390" s="58" t="str">
        <f>IF(Tableau1[[#This Row],[DMS_SAP]]="","",HYPERLINK(Tableau1[[#This Row],[Chemin fichier source]],"X"))</f>
        <v/>
      </c>
      <c r="U390" s="58" t="str">
        <f>IF(Tableau1[[#This Row],[Date rév.]]="","",HYPERLINK(Tableau1[[#This Row],[Lien document]],"X"))</f>
        <v/>
      </c>
      <c r="V390" s="44"/>
      <c r="W390" s="46" t="str">
        <f ca="1">Chemin_accès!$B$2&amp;Tableau1[[#This Row],[Poste Responsable]]&amp;"\"&amp;Tableau1[[#This Row],[Localisation / Classement]]&amp;"\"&amp;Tableau1[[#This Row],[Poste technique]]&amp;"_"&amp;Tableau1[[#This Row],[Plan Entretien]]&amp;".pdf"</f>
        <v>\\stjn.local\trimet\Donnees_Projets\Dms Sap\Maintenance\PlanEntretien\7.MNRJ\\_.pdf</v>
      </c>
      <c r="X390" s="44"/>
      <c r="Y390" s="44"/>
      <c r="Z390" s="41" t="str">
        <f ca="1">IF(AND(Tableau1[[#This Row],[Charge]]&lt;&gt;0, Tableau1[[#This Row],[Nombre intervenants]]&lt;&gt;0,Tableau1[[#This Row],[Lien document]]&lt;&gt;0,Tableau1[[#This Row],[DMS_SAP]]&lt;&gt;0)=TRUE,"MIS A JOUR","")</f>
        <v/>
      </c>
      <c r="AA390" s="45"/>
      <c r="AB390" s="55" t="str">
        <f ca="1">IF(Tableau1[[#This Row],[Date rév.]]&lt;&gt;"", DAYS360(Tableau1[[#This Row],[Date rév.]],TODAY()),"")</f>
        <v/>
      </c>
      <c r="AC390" s="47">
        <f>IFERROR(INDEX(Chemin_accès!$B$11:$C$22,MATCH(Tableau1[[#This Row],[Type]],Chemin_accès!$C$11:$C$22,0),1),Chemin_accès!$B$11)</f>
        <v>0</v>
      </c>
      <c r="AD390" s="47" t="str">
        <f>Chemin_accès!$B$8&amp;Tableau1[[#This Row],[Localisation / Classement]]&amp;"\"&amp;Tableau1[[#This Row],[Poste technique]]&amp;"_"&amp;Tableau1[[#This Row],[Plan Entretien]]&amp;".xlsm"</f>
        <v>\_.xlsm</v>
      </c>
    </row>
    <row r="391" spans="1:30" x14ac:dyDescent="0.3">
      <c r="A391" s="41" t="str">
        <f t="shared" ca="1" si="6"/>
        <v>7.MNRJ</v>
      </c>
      <c r="B3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1" s="43"/>
      <c r="D391" s="41"/>
      <c r="E391" s="41"/>
      <c r="F391" s="44"/>
      <c r="G391" s="44"/>
      <c r="H391" s="48"/>
      <c r="I391" s="48"/>
      <c r="J391" s="48"/>
      <c r="K391" s="48"/>
      <c r="L391" s="43"/>
      <c r="M391" s="44"/>
      <c r="N391" s="43"/>
      <c r="O391" s="43"/>
      <c r="P391" s="44"/>
      <c r="Q391" s="43"/>
      <c r="R391" s="43"/>
      <c r="S391" s="45"/>
      <c r="T391" s="58" t="str">
        <f>IF(Tableau1[[#This Row],[DMS_SAP]]="","",HYPERLINK(Tableau1[[#This Row],[Chemin fichier source]],"X"))</f>
        <v/>
      </c>
      <c r="U391" s="58" t="str">
        <f>IF(Tableau1[[#This Row],[Date rév.]]="","",HYPERLINK(Tableau1[[#This Row],[Lien document]],"X"))</f>
        <v/>
      </c>
      <c r="V391" s="44"/>
      <c r="W391" s="46" t="str">
        <f ca="1">Chemin_accès!$B$2&amp;Tableau1[[#This Row],[Poste Responsable]]&amp;"\"&amp;Tableau1[[#This Row],[Localisation / Classement]]&amp;"\"&amp;Tableau1[[#This Row],[Poste technique]]&amp;"_"&amp;Tableau1[[#This Row],[Plan Entretien]]&amp;".pdf"</f>
        <v>\\stjn.local\trimet\Donnees_Projets\Dms Sap\Maintenance\PlanEntretien\7.MNRJ\\_.pdf</v>
      </c>
      <c r="X391" s="44"/>
      <c r="Y391" s="44"/>
      <c r="Z391" s="41" t="str">
        <f ca="1">IF(AND(Tableau1[[#This Row],[Charge]]&lt;&gt;0, Tableau1[[#This Row],[Nombre intervenants]]&lt;&gt;0,Tableau1[[#This Row],[Lien document]]&lt;&gt;0,Tableau1[[#This Row],[DMS_SAP]]&lt;&gt;0)=TRUE,"MIS A JOUR","")</f>
        <v/>
      </c>
      <c r="AA391" s="45"/>
      <c r="AB391" s="55" t="str">
        <f ca="1">IF(Tableau1[[#This Row],[Date rév.]]&lt;&gt;"", DAYS360(Tableau1[[#This Row],[Date rév.]],TODAY()),"")</f>
        <v/>
      </c>
      <c r="AC391" s="47">
        <f>IFERROR(INDEX(Chemin_accès!$B$11:$C$22,MATCH(Tableau1[[#This Row],[Type]],Chemin_accès!$C$11:$C$22,0),1),Chemin_accès!$B$11)</f>
        <v>0</v>
      </c>
      <c r="AD391" s="47" t="str">
        <f>Chemin_accès!$B$8&amp;Tableau1[[#This Row],[Localisation / Classement]]&amp;"\"&amp;Tableau1[[#This Row],[Poste technique]]&amp;"_"&amp;Tableau1[[#This Row],[Plan Entretien]]&amp;".xlsm"</f>
        <v>\_.xlsm</v>
      </c>
    </row>
    <row r="392" spans="1:30" x14ac:dyDescent="0.3">
      <c r="A392" s="41" t="str">
        <f t="shared" ca="1" si="6"/>
        <v>7.MNRJ</v>
      </c>
      <c r="B3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2" s="43"/>
      <c r="D392" s="41"/>
      <c r="E392" s="41"/>
      <c r="F392" s="44"/>
      <c r="G392" s="44"/>
      <c r="H392" s="48"/>
      <c r="I392" s="48"/>
      <c r="J392" s="48"/>
      <c r="K392" s="48"/>
      <c r="L392" s="43"/>
      <c r="M392" s="44"/>
      <c r="N392" s="43"/>
      <c r="O392" s="43"/>
      <c r="P392" s="44"/>
      <c r="Q392" s="43"/>
      <c r="R392" s="43"/>
      <c r="S392" s="45"/>
      <c r="T392" s="58" t="str">
        <f>IF(Tableau1[[#This Row],[DMS_SAP]]="","",HYPERLINK(Tableau1[[#This Row],[Chemin fichier source]],"X"))</f>
        <v/>
      </c>
      <c r="U392" s="58" t="str">
        <f>IF(Tableau1[[#This Row],[Date rév.]]="","",HYPERLINK(Tableau1[[#This Row],[Lien document]],"X"))</f>
        <v/>
      </c>
      <c r="V392" s="44"/>
      <c r="W392" s="46" t="str">
        <f ca="1">Chemin_accès!$B$2&amp;Tableau1[[#This Row],[Poste Responsable]]&amp;"\"&amp;Tableau1[[#This Row],[Localisation / Classement]]&amp;"\"&amp;Tableau1[[#This Row],[Poste technique]]&amp;"_"&amp;Tableau1[[#This Row],[Plan Entretien]]&amp;".pdf"</f>
        <v>\\stjn.local\trimet\Donnees_Projets\Dms Sap\Maintenance\PlanEntretien\7.MNRJ\\_.pdf</v>
      </c>
      <c r="X392" s="44"/>
      <c r="Y392" s="44"/>
      <c r="Z392" s="41" t="str">
        <f ca="1">IF(AND(Tableau1[[#This Row],[Charge]]&lt;&gt;0, Tableau1[[#This Row],[Nombre intervenants]]&lt;&gt;0,Tableau1[[#This Row],[Lien document]]&lt;&gt;0,Tableau1[[#This Row],[DMS_SAP]]&lt;&gt;0)=TRUE,"MIS A JOUR","")</f>
        <v/>
      </c>
      <c r="AA392" s="45"/>
      <c r="AB392" s="55" t="str">
        <f ca="1">IF(Tableau1[[#This Row],[Date rév.]]&lt;&gt;"", DAYS360(Tableau1[[#This Row],[Date rév.]],TODAY()),"")</f>
        <v/>
      </c>
      <c r="AC392" s="47">
        <f>IFERROR(INDEX(Chemin_accès!$B$11:$C$22,MATCH(Tableau1[[#This Row],[Type]],Chemin_accès!$C$11:$C$22,0),1),Chemin_accès!$B$11)</f>
        <v>0</v>
      </c>
      <c r="AD392" s="47" t="str">
        <f>Chemin_accès!$B$8&amp;Tableau1[[#This Row],[Localisation / Classement]]&amp;"\"&amp;Tableau1[[#This Row],[Poste technique]]&amp;"_"&amp;Tableau1[[#This Row],[Plan Entretien]]&amp;".xlsm"</f>
        <v>\_.xlsm</v>
      </c>
    </row>
    <row r="393" spans="1:30" x14ac:dyDescent="0.3">
      <c r="A393" s="41" t="str">
        <f t="shared" ca="1" si="6"/>
        <v>7.MNRJ</v>
      </c>
      <c r="B3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3" s="43"/>
      <c r="D393" s="41"/>
      <c r="E393" s="41"/>
      <c r="F393" s="44"/>
      <c r="G393" s="44"/>
      <c r="H393" s="48"/>
      <c r="I393" s="48"/>
      <c r="J393" s="48"/>
      <c r="K393" s="48"/>
      <c r="L393" s="43"/>
      <c r="M393" s="44"/>
      <c r="N393" s="43"/>
      <c r="O393" s="43"/>
      <c r="P393" s="44"/>
      <c r="Q393" s="43"/>
      <c r="R393" s="43"/>
      <c r="S393" s="45"/>
      <c r="T393" s="58" t="str">
        <f>IF(Tableau1[[#This Row],[DMS_SAP]]="","",HYPERLINK(Tableau1[[#This Row],[Chemin fichier source]],"X"))</f>
        <v/>
      </c>
      <c r="U393" s="58" t="str">
        <f>IF(Tableau1[[#This Row],[Date rév.]]="","",HYPERLINK(Tableau1[[#This Row],[Lien document]],"X"))</f>
        <v/>
      </c>
      <c r="V393" s="44"/>
      <c r="W393" s="46" t="str">
        <f ca="1">Chemin_accès!$B$2&amp;Tableau1[[#This Row],[Poste Responsable]]&amp;"\"&amp;Tableau1[[#This Row],[Localisation / Classement]]&amp;"\"&amp;Tableau1[[#This Row],[Poste technique]]&amp;"_"&amp;Tableau1[[#This Row],[Plan Entretien]]&amp;".pdf"</f>
        <v>\\stjn.local\trimet\Donnees_Projets\Dms Sap\Maintenance\PlanEntretien\7.MNRJ\\_.pdf</v>
      </c>
      <c r="X393" s="44"/>
      <c r="Y393" s="44"/>
      <c r="Z393" s="41" t="str">
        <f ca="1">IF(AND(Tableau1[[#This Row],[Charge]]&lt;&gt;0, Tableau1[[#This Row],[Nombre intervenants]]&lt;&gt;0,Tableau1[[#This Row],[Lien document]]&lt;&gt;0,Tableau1[[#This Row],[DMS_SAP]]&lt;&gt;0)=TRUE,"MIS A JOUR","")</f>
        <v/>
      </c>
      <c r="AA393" s="45"/>
      <c r="AB393" s="55" t="str">
        <f ca="1">IF(Tableau1[[#This Row],[Date rév.]]&lt;&gt;"", DAYS360(Tableau1[[#This Row],[Date rév.]],TODAY()),"")</f>
        <v/>
      </c>
      <c r="AC393" s="47">
        <f>IFERROR(INDEX(Chemin_accès!$B$11:$C$22,MATCH(Tableau1[[#This Row],[Type]],Chemin_accès!$C$11:$C$22,0),1),Chemin_accès!$B$11)</f>
        <v>0</v>
      </c>
      <c r="AD393" s="47" t="str">
        <f>Chemin_accès!$B$8&amp;Tableau1[[#This Row],[Localisation / Classement]]&amp;"\"&amp;Tableau1[[#This Row],[Poste technique]]&amp;"_"&amp;Tableau1[[#This Row],[Plan Entretien]]&amp;".xlsm"</f>
        <v>\_.xlsm</v>
      </c>
    </row>
    <row r="394" spans="1:30" x14ac:dyDescent="0.3">
      <c r="A394" s="41" t="str">
        <f t="shared" ca="1" si="6"/>
        <v>7.MNRJ</v>
      </c>
      <c r="B3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4" s="43"/>
      <c r="D394" s="41"/>
      <c r="E394" s="41"/>
      <c r="F394" s="44"/>
      <c r="G394" s="44"/>
      <c r="H394" s="48"/>
      <c r="I394" s="48"/>
      <c r="J394" s="48"/>
      <c r="K394" s="48"/>
      <c r="L394" s="43"/>
      <c r="M394" s="44"/>
      <c r="N394" s="43"/>
      <c r="O394" s="43"/>
      <c r="P394" s="44"/>
      <c r="Q394" s="43"/>
      <c r="R394" s="43"/>
      <c r="S394" s="45"/>
      <c r="T394" s="58" t="str">
        <f>IF(Tableau1[[#This Row],[DMS_SAP]]="","",HYPERLINK(Tableau1[[#This Row],[Chemin fichier source]],"X"))</f>
        <v/>
      </c>
      <c r="U394" s="58" t="str">
        <f>IF(Tableau1[[#This Row],[Date rév.]]="","",HYPERLINK(Tableau1[[#This Row],[Lien document]],"X"))</f>
        <v/>
      </c>
      <c r="V394" s="44"/>
      <c r="W394" s="46" t="str">
        <f ca="1">Chemin_accès!$B$2&amp;Tableau1[[#This Row],[Poste Responsable]]&amp;"\"&amp;Tableau1[[#This Row],[Localisation / Classement]]&amp;"\"&amp;Tableau1[[#This Row],[Poste technique]]&amp;"_"&amp;Tableau1[[#This Row],[Plan Entretien]]&amp;".pdf"</f>
        <v>\\stjn.local\trimet\Donnees_Projets\Dms Sap\Maintenance\PlanEntretien\7.MNRJ\\_.pdf</v>
      </c>
      <c r="X394" s="44"/>
      <c r="Y394" s="44"/>
      <c r="Z394" s="41" t="str">
        <f ca="1">IF(AND(Tableau1[[#This Row],[Charge]]&lt;&gt;0, Tableau1[[#This Row],[Nombre intervenants]]&lt;&gt;0,Tableau1[[#This Row],[Lien document]]&lt;&gt;0,Tableau1[[#This Row],[DMS_SAP]]&lt;&gt;0)=TRUE,"MIS A JOUR","")</f>
        <v/>
      </c>
      <c r="AA394" s="45"/>
      <c r="AB394" s="55" t="str">
        <f ca="1">IF(Tableau1[[#This Row],[Date rév.]]&lt;&gt;"", DAYS360(Tableau1[[#This Row],[Date rév.]],TODAY()),"")</f>
        <v/>
      </c>
      <c r="AC394" s="47">
        <f>IFERROR(INDEX(Chemin_accès!$B$11:$C$22,MATCH(Tableau1[[#This Row],[Type]],Chemin_accès!$C$11:$C$22,0),1),Chemin_accès!$B$11)</f>
        <v>0</v>
      </c>
      <c r="AD394" s="47" t="str">
        <f>Chemin_accès!$B$8&amp;Tableau1[[#This Row],[Localisation / Classement]]&amp;"\"&amp;Tableau1[[#This Row],[Poste technique]]&amp;"_"&amp;Tableau1[[#This Row],[Plan Entretien]]&amp;".xlsm"</f>
        <v>\_.xlsm</v>
      </c>
    </row>
    <row r="395" spans="1:30" x14ac:dyDescent="0.3">
      <c r="A395" s="41" t="str">
        <f t="shared" ca="1" si="6"/>
        <v>7.MNRJ</v>
      </c>
      <c r="B3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5" s="43"/>
      <c r="D395" s="41"/>
      <c r="E395" s="41"/>
      <c r="F395" s="44"/>
      <c r="G395" s="44"/>
      <c r="H395" s="48"/>
      <c r="I395" s="48"/>
      <c r="J395" s="48"/>
      <c r="K395" s="48"/>
      <c r="L395" s="43"/>
      <c r="M395" s="44"/>
      <c r="N395" s="43"/>
      <c r="O395" s="43"/>
      <c r="P395" s="44"/>
      <c r="Q395" s="43"/>
      <c r="R395" s="43"/>
      <c r="S395" s="45"/>
      <c r="T395" s="58" t="str">
        <f>IF(Tableau1[[#This Row],[DMS_SAP]]="","",HYPERLINK(Tableau1[[#This Row],[Chemin fichier source]],"X"))</f>
        <v/>
      </c>
      <c r="U395" s="58" t="str">
        <f>IF(Tableau1[[#This Row],[Date rév.]]="","",HYPERLINK(Tableau1[[#This Row],[Lien document]],"X"))</f>
        <v/>
      </c>
      <c r="V395" s="44"/>
      <c r="W395" s="46" t="str">
        <f ca="1">Chemin_accès!$B$2&amp;Tableau1[[#This Row],[Poste Responsable]]&amp;"\"&amp;Tableau1[[#This Row],[Localisation / Classement]]&amp;"\"&amp;Tableau1[[#This Row],[Poste technique]]&amp;"_"&amp;Tableau1[[#This Row],[Plan Entretien]]&amp;".pdf"</f>
        <v>\\stjn.local\trimet\Donnees_Projets\Dms Sap\Maintenance\PlanEntretien\7.MNRJ\\_.pdf</v>
      </c>
      <c r="X395" s="44"/>
      <c r="Y395" s="44"/>
      <c r="Z395" s="41" t="str">
        <f ca="1">IF(AND(Tableau1[[#This Row],[Charge]]&lt;&gt;0, Tableau1[[#This Row],[Nombre intervenants]]&lt;&gt;0,Tableau1[[#This Row],[Lien document]]&lt;&gt;0,Tableau1[[#This Row],[DMS_SAP]]&lt;&gt;0)=TRUE,"MIS A JOUR","")</f>
        <v/>
      </c>
      <c r="AA395" s="45"/>
      <c r="AB395" s="55" t="str">
        <f ca="1">IF(Tableau1[[#This Row],[Date rév.]]&lt;&gt;"", DAYS360(Tableau1[[#This Row],[Date rév.]],TODAY()),"")</f>
        <v/>
      </c>
      <c r="AC395" s="47">
        <f>IFERROR(INDEX(Chemin_accès!$B$11:$C$22,MATCH(Tableau1[[#This Row],[Type]],Chemin_accès!$C$11:$C$22,0),1),Chemin_accès!$B$11)</f>
        <v>0</v>
      </c>
      <c r="AD395" s="47" t="str">
        <f>Chemin_accès!$B$8&amp;Tableau1[[#This Row],[Localisation / Classement]]&amp;"\"&amp;Tableau1[[#This Row],[Poste technique]]&amp;"_"&amp;Tableau1[[#This Row],[Plan Entretien]]&amp;".xlsm"</f>
        <v>\_.xlsm</v>
      </c>
    </row>
    <row r="396" spans="1:30" x14ac:dyDescent="0.3">
      <c r="A396" s="41" t="str">
        <f t="shared" ca="1" si="6"/>
        <v>7.MNRJ</v>
      </c>
      <c r="B3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6" s="43"/>
      <c r="D396" s="41"/>
      <c r="E396" s="41"/>
      <c r="F396" s="44"/>
      <c r="G396" s="44"/>
      <c r="H396" s="48"/>
      <c r="I396" s="48"/>
      <c r="J396" s="48"/>
      <c r="K396" s="48"/>
      <c r="L396" s="43"/>
      <c r="M396" s="44"/>
      <c r="N396" s="43"/>
      <c r="O396" s="43"/>
      <c r="P396" s="44"/>
      <c r="Q396" s="43"/>
      <c r="R396" s="43"/>
      <c r="S396" s="45"/>
      <c r="T396" s="58" t="str">
        <f>IF(Tableau1[[#This Row],[DMS_SAP]]="","",HYPERLINK(Tableau1[[#This Row],[Chemin fichier source]],"X"))</f>
        <v/>
      </c>
      <c r="U396" s="58" t="str">
        <f>IF(Tableau1[[#This Row],[Date rév.]]="","",HYPERLINK(Tableau1[[#This Row],[Lien document]],"X"))</f>
        <v/>
      </c>
      <c r="V396" s="44"/>
      <c r="W396" s="46" t="str">
        <f ca="1">Chemin_accès!$B$2&amp;Tableau1[[#This Row],[Poste Responsable]]&amp;"\"&amp;Tableau1[[#This Row],[Localisation / Classement]]&amp;"\"&amp;Tableau1[[#This Row],[Poste technique]]&amp;"_"&amp;Tableau1[[#This Row],[Plan Entretien]]&amp;".pdf"</f>
        <v>\\stjn.local\trimet\Donnees_Projets\Dms Sap\Maintenance\PlanEntretien\7.MNRJ\\_.pdf</v>
      </c>
      <c r="X396" s="44"/>
      <c r="Y396" s="44"/>
      <c r="Z396" s="41" t="str">
        <f ca="1">IF(AND(Tableau1[[#This Row],[Charge]]&lt;&gt;0, Tableau1[[#This Row],[Nombre intervenants]]&lt;&gt;0,Tableau1[[#This Row],[Lien document]]&lt;&gt;0,Tableau1[[#This Row],[DMS_SAP]]&lt;&gt;0)=TRUE,"MIS A JOUR","")</f>
        <v/>
      </c>
      <c r="AA396" s="45"/>
      <c r="AB396" s="55" t="str">
        <f ca="1">IF(Tableau1[[#This Row],[Date rév.]]&lt;&gt;"", DAYS360(Tableau1[[#This Row],[Date rév.]],TODAY()),"")</f>
        <v/>
      </c>
      <c r="AC396" s="47">
        <f>IFERROR(INDEX(Chemin_accès!$B$11:$C$22,MATCH(Tableau1[[#This Row],[Type]],Chemin_accès!$C$11:$C$22,0),1),Chemin_accès!$B$11)</f>
        <v>0</v>
      </c>
      <c r="AD396" s="47" t="str">
        <f>Chemin_accès!$B$8&amp;Tableau1[[#This Row],[Localisation / Classement]]&amp;"\"&amp;Tableau1[[#This Row],[Poste technique]]&amp;"_"&amp;Tableau1[[#This Row],[Plan Entretien]]&amp;".xlsm"</f>
        <v>\_.xlsm</v>
      </c>
    </row>
    <row r="397" spans="1:30" x14ac:dyDescent="0.3">
      <c r="A397" s="41" t="str">
        <f t="shared" ca="1" si="6"/>
        <v>7.MNRJ</v>
      </c>
      <c r="B3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7" s="43"/>
      <c r="D397" s="41"/>
      <c r="E397" s="41"/>
      <c r="F397" s="44"/>
      <c r="G397" s="44"/>
      <c r="H397" s="48"/>
      <c r="I397" s="48"/>
      <c r="J397" s="48"/>
      <c r="K397" s="48"/>
      <c r="L397" s="43"/>
      <c r="M397" s="44"/>
      <c r="N397" s="43"/>
      <c r="O397" s="43"/>
      <c r="P397" s="44"/>
      <c r="Q397" s="43"/>
      <c r="R397" s="43"/>
      <c r="S397" s="45"/>
      <c r="T397" s="58" t="str">
        <f>IF(Tableau1[[#This Row],[DMS_SAP]]="","",HYPERLINK(Tableau1[[#This Row],[Chemin fichier source]],"X"))</f>
        <v/>
      </c>
      <c r="U397" s="58" t="str">
        <f>IF(Tableau1[[#This Row],[Date rév.]]="","",HYPERLINK(Tableau1[[#This Row],[Lien document]],"X"))</f>
        <v/>
      </c>
      <c r="V397" s="44"/>
      <c r="W397" s="46" t="str">
        <f ca="1">Chemin_accès!$B$2&amp;Tableau1[[#This Row],[Poste Responsable]]&amp;"\"&amp;Tableau1[[#This Row],[Localisation / Classement]]&amp;"\"&amp;Tableau1[[#This Row],[Poste technique]]&amp;"_"&amp;Tableau1[[#This Row],[Plan Entretien]]&amp;".pdf"</f>
        <v>\\stjn.local\trimet\Donnees_Projets\Dms Sap\Maintenance\PlanEntretien\7.MNRJ\\_.pdf</v>
      </c>
      <c r="X397" s="44"/>
      <c r="Y397" s="44"/>
      <c r="Z397" s="41" t="str">
        <f ca="1">IF(AND(Tableau1[[#This Row],[Charge]]&lt;&gt;0, Tableau1[[#This Row],[Nombre intervenants]]&lt;&gt;0,Tableau1[[#This Row],[Lien document]]&lt;&gt;0,Tableau1[[#This Row],[DMS_SAP]]&lt;&gt;0)=TRUE,"MIS A JOUR","")</f>
        <v/>
      </c>
      <c r="AA397" s="45"/>
      <c r="AB397" s="55" t="str">
        <f ca="1">IF(Tableau1[[#This Row],[Date rév.]]&lt;&gt;"", DAYS360(Tableau1[[#This Row],[Date rév.]],TODAY()),"")</f>
        <v/>
      </c>
      <c r="AC397" s="47">
        <f>IFERROR(INDEX(Chemin_accès!$B$11:$C$22,MATCH(Tableau1[[#This Row],[Type]],Chemin_accès!$C$11:$C$22,0),1),Chemin_accès!$B$11)</f>
        <v>0</v>
      </c>
      <c r="AD397" s="47" t="str">
        <f>Chemin_accès!$B$8&amp;Tableau1[[#This Row],[Localisation / Classement]]&amp;"\"&amp;Tableau1[[#This Row],[Poste technique]]&amp;"_"&amp;Tableau1[[#This Row],[Plan Entretien]]&amp;".xlsm"</f>
        <v>\_.xlsm</v>
      </c>
    </row>
    <row r="398" spans="1:30" x14ac:dyDescent="0.3">
      <c r="A398" s="41" t="str">
        <f t="shared" ca="1" si="6"/>
        <v>7.MNRJ</v>
      </c>
      <c r="B3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8" s="43"/>
      <c r="D398" s="41"/>
      <c r="E398" s="41"/>
      <c r="F398" s="44"/>
      <c r="G398" s="44"/>
      <c r="H398" s="48"/>
      <c r="I398" s="48"/>
      <c r="J398" s="48"/>
      <c r="K398" s="48"/>
      <c r="L398" s="43"/>
      <c r="M398" s="44"/>
      <c r="N398" s="43"/>
      <c r="O398" s="43"/>
      <c r="P398" s="44"/>
      <c r="Q398" s="43"/>
      <c r="R398" s="43"/>
      <c r="S398" s="45"/>
      <c r="T398" s="58" t="str">
        <f>IF(Tableau1[[#This Row],[DMS_SAP]]="","",HYPERLINK(Tableau1[[#This Row],[Chemin fichier source]],"X"))</f>
        <v/>
      </c>
      <c r="U398" s="58" t="str">
        <f>IF(Tableau1[[#This Row],[Date rév.]]="","",HYPERLINK(Tableau1[[#This Row],[Lien document]],"X"))</f>
        <v/>
      </c>
      <c r="V398" s="44"/>
      <c r="W398" s="46" t="str">
        <f ca="1">Chemin_accès!$B$2&amp;Tableau1[[#This Row],[Poste Responsable]]&amp;"\"&amp;Tableau1[[#This Row],[Localisation / Classement]]&amp;"\"&amp;Tableau1[[#This Row],[Poste technique]]&amp;"_"&amp;Tableau1[[#This Row],[Plan Entretien]]&amp;".pdf"</f>
        <v>\\stjn.local\trimet\Donnees_Projets\Dms Sap\Maintenance\PlanEntretien\7.MNRJ\\_.pdf</v>
      </c>
      <c r="X398" s="44"/>
      <c r="Y398" s="44"/>
      <c r="Z398" s="41" t="str">
        <f ca="1">IF(AND(Tableau1[[#This Row],[Charge]]&lt;&gt;0, Tableau1[[#This Row],[Nombre intervenants]]&lt;&gt;0,Tableau1[[#This Row],[Lien document]]&lt;&gt;0,Tableau1[[#This Row],[DMS_SAP]]&lt;&gt;0)=TRUE,"MIS A JOUR","")</f>
        <v/>
      </c>
      <c r="AA398" s="45"/>
      <c r="AB398" s="55" t="str">
        <f ca="1">IF(Tableau1[[#This Row],[Date rév.]]&lt;&gt;"", DAYS360(Tableau1[[#This Row],[Date rév.]],TODAY()),"")</f>
        <v/>
      </c>
      <c r="AC398" s="47">
        <f>IFERROR(INDEX(Chemin_accès!$B$11:$C$22,MATCH(Tableau1[[#This Row],[Type]],Chemin_accès!$C$11:$C$22,0),1),Chemin_accès!$B$11)</f>
        <v>0</v>
      </c>
      <c r="AD398" s="47" t="str">
        <f>Chemin_accès!$B$8&amp;Tableau1[[#This Row],[Localisation / Classement]]&amp;"\"&amp;Tableau1[[#This Row],[Poste technique]]&amp;"_"&amp;Tableau1[[#This Row],[Plan Entretien]]&amp;".xlsm"</f>
        <v>\_.xlsm</v>
      </c>
    </row>
    <row r="399" spans="1:30" x14ac:dyDescent="0.3">
      <c r="A399" s="41" t="str">
        <f t="shared" ca="1" si="6"/>
        <v>7.MNRJ</v>
      </c>
      <c r="B3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9" s="43"/>
      <c r="D399" s="41"/>
      <c r="E399" s="41"/>
      <c r="F399" s="44"/>
      <c r="G399" s="44"/>
      <c r="H399" s="48"/>
      <c r="I399" s="48"/>
      <c r="J399" s="48"/>
      <c r="K399" s="48"/>
      <c r="L399" s="43"/>
      <c r="M399" s="44"/>
      <c r="N399" s="43"/>
      <c r="O399" s="43"/>
      <c r="P399" s="44"/>
      <c r="Q399" s="43"/>
      <c r="R399" s="43"/>
      <c r="S399" s="45"/>
      <c r="T399" s="58" t="str">
        <f>IF(Tableau1[[#This Row],[DMS_SAP]]="","",HYPERLINK(Tableau1[[#This Row],[Chemin fichier source]],"X"))</f>
        <v/>
      </c>
      <c r="U399" s="58" t="str">
        <f>IF(Tableau1[[#This Row],[Date rév.]]="","",HYPERLINK(Tableau1[[#This Row],[Lien document]],"X"))</f>
        <v/>
      </c>
      <c r="V399" s="44"/>
      <c r="W399" s="46" t="str">
        <f ca="1">Chemin_accès!$B$2&amp;Tableau1[[#This Row],[Poste Responsable]]&amp;"\"&amp;Tableau1[[#This Row],[Localisation / Classement]]&amp;"\"&amp;Tableau1[[#This Row],[Poste technique]]&amp;"_"&amp;Tableau1[[#This Row],[Plan Entretien]]&amp;".pdf"</f>
        <v>\\stjn.local\trimet\Donnees_Projets\Dms Sap\Maintenance\PlanEntretien\7.MNRJ\\_.pdf</v>
      </c>
      <c r="X399" s="44"/>
      <c r="Y399" s="44"/>
      <c r="Z399" s="41" t="str">
        <f ca="1">IF(AND(Tableau1[[#This Row],[Charge]]&lt;&gt;0, Tableau1[[#This Row],[Nombre intervenants]]&lt;&gt;0,Tableau1[[#This Row],[Lien document]]&lt;&gt;0,Tableau1[[#This Row],[DMS_SAP]]&lt;&gt;0)=TRUE,"MIS A JOUR","")</f>
        <v/>
      </c>
      <c r="AA399" s="45"/>
      <c r="AB399" s="55" t="str">
        <f ca="1">IF(Tableau1[[#This Row],[Date rév.]]&lt;&gt;"", DAYS360(Tableau1[[#This Row],[Date rév.]],TODAY()),"")</f>
        <v/>
      </c>
      <c r="AC399" s="47">
        <f>IFERROR(INDEX(Chemin_accès!$B$11:$C$22,MATCH(Tableau1[[#This Row],[Type]],Chemin_accès!$C$11:$C$22,0),1),Chemin_accès!$B$11)</f>
        <v>0</v>
      </c>
      <c r="AD399" s="47" t="str">
        <f>Chemin_accès!$B$8&amp;Tableau1[[#This Row],[Localisation / Classement]]&amp;"\"&amp;Tableau1[[#This Row],[Poste technique]]&amp;"_"&amp;Tableau1[[#This Row],[Plan Entretien]]&amp;".xlsm"</f>
        <v>\_.xlsm</v>
      </c>
    </row>
    <row r="400" spans="1:30" x14ac:dyDescent="0.3">
      <c r="A400" s="41" t="str">
        <f t="shared" ca="1" si="6"/>
        <v>7.MNRJ</v>
      </c>
      <c r="B4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0" s="43"/>
      <c r="D400" s="41"/>
      <c r="E400" s="41"/>
      <c r="F400" s="44"/>
      <c r="G400" s="44"/>
      <c r="H400" s="48"/>
      <c r="I400" s="48"/>
      <c r="J400" s="48"/>
      <c r="K400" s="48"/>
      <c r="L400" s="43"/>
      <c r="M400" s="44"/>
      <c r="N400" s="43"/>
      <c r="O400" s="43"/>
      <c r="P400" s="44"/>
      <c r="Q400" s="43"/>
      <c r="R400" s="43"/>
      <c r="S400" s="45"/>
      <c r="T400" s="58" t="str">
        <f>IF(Tableau1[[#This Row],[DMS_SAP]]="","",HYPERLINK(Tableau1[[#This Row],[Chemin fichier source]],"X"))</f>
        <v/>
      </c>
      <c r="U400" s="58" t="str">
        <f>IF(Tableau1[[#This Row],[Date rév.]]="","",HYPERLINK(Tableau1[[#This Row],[Lien document]],"X"))</f>
        <v/>
      </c>
      <c r="V400" s="44"/>
      <c r="W400" s="46" t="str">
        <f ca="1">Chemin_accès!$B$2&amp;Tableau1[[#This Row],[Poste Responsable]]&amp;"\"&amp;Tableau1[[#This Row],[Localisation / Classement]]&amp;"\"&amp;Tableau1[[#This Row],[Poste technique]]&amp;"_"&amp;Tableau1[[#This Row],[Plan Entretien]]&amp;".pdf"</f>
        <v>\\stjn.local\trimet\Donnees_Projets\Dms Sap\Maintenance\PlanEntretien\7.MNRJ\\_.pdf</v>
      </c>
      <c r="X400" s="44"/>
      <c r="Y400" s="44"/>
      <c r="Z400" s="41" t="str">
        <f ca="1">IF(AND(Tableau1[[#This Row],[Charge]]&lt;&gt;0, Tableau1[[#This Row],[Nombre intervenants]]&lt;&gt;0,Tableau1[[#This Row],[Lien document]]&lt;&gt;0,Tableau1[[#This Row],[DMS_SAP]]&lt;&gt;0)=TRUE,"MIS A JOUR","")</f>
        <v/>
      </c>
      <c r="AA400" s="45"/>
      <c r="AB400" s="55" t="str">
        <f ca="1">IF(Tableau1[[#This Row],[Date rév.]]&lt;&gt;"", DAYS360(Tableau1[[#This Row],[Date rév.]],TODAY()),"")</f>
        <v/>
      </c>
      <c r="AC400" s="47">
        <f>IFERROR(INDEX(Chemin_accès!$B$11:$C$22,MATCH(Tableau1[[#This Row],[Type]],Chemin_accès!$C$11:$C$22,0),1),Chemin_accès!$B$11)</f>
        <v>0</v>
      </c>
      <c r="AD400" s="47" t="str">
        <f>Chemin_accès!$B$8&amp;Tableau1[[#This Row],[Localisation / Classement]]&amp;"\"&amp;Tableau1[[#This Row],[Poste technique]]&amp;"_"&amp;Tableau1[[#This Row],[Plan Entretien]]&amp;".xlsm"</f>
        <v>\_.xlsm</v>
      </c>
    </row>
    <row r="401" spans="1:30" x14ac:dyDescent="0.3">
      <c r="A401" s="41" t="str">
        <f t="shared" ca="1" si="6"/>
        <v>7.MNRJ</v>
      </c>
      <c r="B4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1" s="43"/>
      <c r="D401" s="41"/>
      <c r="E401" s="41"/>
      <c r="F401" s="44"/>
      <c r="G401" s="44"/>
      <c r="H401" s="48"/>
      <c r="I401" s="48"/>
      <c r="J401" s="48"/>
      <c r="K401" s="48"/>
      <c r="L401" s="43"/>
      <c r="M401" s="44"/>
      <c r="N401" s="43"/>
      <c r="O401" s="43"/>
      <c r="P401" s="44"/>
      <c r="Q401" s="43"/>
      <c r="R401" s="43"/>
      <c r="S401" s="45"/>
      <c r="T401" s="58" t="str">
        <f>IF(Tableau1[[#This Row],[DMS_SAP]]="","",HYPERLINK(Tableau1[[#This Row],[Chemin fichier source]],"X"))</f>
        <v/>
      </c>
      <c r="U401" s="58" t="str">
        <f>IF(Tableau1[[#This Row],[Date rév.]]="","",HYPERLINK(Tableau1[[#This Row],[Lien document]],"X"))</f>
        <v/>
      </c>
      <c r="V401" s="44"/>
      <c r="W401" s="46" t="str">
        <f ca="1">Chemin_accès!$B$2&amp;Tableau1[[#This Row],[Poste Responsable]]&amp;"\"&amp;Tableau1[[#This Row],[Localisation / Classement]]&amp;"\"&amp;Tableau1[[#This Row],[Poste technique]]&amp;"_"&amp;Tableau1[[#This Row],[Plan Entretien]]&amp;".pdf"</f>
        <v>\\stjn.local\trimet\Donnees_Projets\Dms Sap\Maintenance\PlanEntretien\7.MNRJ\\_.pdf</v>
      </c>
      <c r="X401" s="44"/>
      <c r="Y401" s="44"/>
      <c r="Z401" s="41" t="str">
        <f ca="1">IF(AND(Tableau1[[#This Row],[Charge]]&lt;&gt;0, Tableau1[[#This Row],[Nombre intervenants]]&lt;&gt;0,Tableau1[[#This Row],[Lien document]]&lt;&gt;0,Tableau1[[#This Row],[DMS_SAP]]&lt;&gt;0)=TRUE,"MIS A JOUR","")</f>
        <v/>
      </c>
      <c r="AA401" s="45"/>
      <c r="AB401" s="55" t="str">
        <f ca="1">IF(Tableau1[[#This Row],[Date rév.]]&lt;&gt;"", DAYS360(Tableau1[[#This Row],[Date rév.]],TODAY()),"")</f>
        <v/>
      </c>
      <c r="AC401" s="47">
        <f>IFERROR(INDEX(Chemin_accès!$B$11:$C$22,MATCH(Tableau1[[#This Row],[Type]],Chemin_accès!$C$11:$C$22,0),1),Chemin_accès!$B$11)</f>
        <v>0</v>
      </c>
      <c r="AD401" s="47" t="str">
        <f>Chemin_accès!$B$8&amp;Tableau1[[#This Row],[Localisation / Classement]]&amp;"\"&amp;Tableau1[[#This Row],[Poste technique]]&amp;"_"&amp;Tableau1[[#This Row],[Plan Entretien]]&amp;".xlsm"</f>
        <v>\_.xlsm</v>
      </c>
    </row>
    <row r="402" spans="1:30" x14ac:dyDescent="0.3">
      <c r="A402" s="41" t="str">
        <f t="shared" ca="1" si="6"/>
        <v>7.MNRJ</v>
      </c>
      <c r="B4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2" s="43"/>
      <c r="D402" s="41"/>
      <c r="E402" s="41"/>
      <c r="F402" s="44"/>
      <c r="G402" s="44"/>
      <c r="H402" s="48"/>
      <c r="I402" s="48"/>
      <c r="J402" s="48"/>
      <c r="K402" s="48"/>
      <c r="L402" s="43"/>
      <c r="M402" s="44"/>
      <c r="N402" s="43"/>
      <c r="O402" s="43"/>
      <c r="P402" s="44"/>
      <c r="Q402" s="43"/>
      <c r="R402" s="43"/>
      <c r="S402" s="45"/>
      <c r="T402" s="58" t="str">
        <f>IF(Tableau1[[#This Row],[DMS_SAP]]="","",HYPERLINK(Tableau1[[#This Row],[Chemin fichier source]],"X"))</f>
        <v/>
      </c>
      <c r="U402" s="58" t="str">
        <f>IF(Tableau1[[#This Row],[Date rév.]]="","",HYPERLINK(Tableau1[[#This Row],[Lien document]],"X"))</f>
        <v/>
      </c>
      <c r="V402" s="44"/>
      <c r="W402" s="46" t="str">
        <f ca="1">Chemin_accès!$B$2&amp;Tableau1[[#This Row],[Poste Responsable]]&amp;"\"&amp;Tableau1[[#This Row],[Localisation / Classement]]&amp;"\"&amp;Tableau1[[#This Row],[Poste technique]]&amp;"_"&amp;Tableau1[[#This Row],[Plan Entretien]]&amp;".pdf"</f>
        <v>\\stjn.local\trimet\Donnees_Projets\Dms Sap\Maintenance\PlanEntretien\7.MNRJ\\_.pdf</v>
      </c>
      <c r="X402" s="44"/>
      <c r="Y402" s="44"/>
      <c r="Z402" s="41" t="str">
        <f ca="1">IF(AND(Tableau1[[#This Row],[Charge]]&lt;&gt;0, Tableau1[[#This Row],[Nombre intervenants]]&lt;&gt;0,Tableau1[[#This Row],[Lien document]]&lt;&gt;0,Tableau1[[#This Row],[DMS_SAP]]&lt;&gt;0)=TRUE,"MIS A JOUR","")</f>
        <v/>
      </c>
      <c r="AA402" s="45"/>
      <c r="AB402" s="55" t="str">
        <f ca="1">IF(Tableau1[[#This Row],[Date rév.]]&lt;&gt;"", DAYS360(Tableau1[[#This Row],[Date rév.]],TODAY()),"")</f>
        <v/>
      </c>
      <c r="AC402" s="47">
        <f>IFERROR(INDEX(Chemin_accès!$B$11:$C$22,MATCH(Tableau1[[#This Row],[Type]],Chemin_accès!$C$11:$C$22,0),1),Chemin_accès!$B$11)</f>
        <v>0</v>
      </c>
      <c r="AD402" s="47" t="str">
        <f>Chemin_accès!$B$8&amp;Tableau1[[#This Row],[Localisation / Classement]]&amp;"\"&amp;Tableau1[[#This Row],[Poste technique]]&amp;"_"&amp;Tableau1[[#This Row],[Plan Entretien]]&amp;".xlsm"</f>
        <v>\_.xlsm</v>
      </c>
    </row>
    <row r="403" spans="1:30" x14ac:dyDescent="0.3">
      <c r="A403" s="41" t="str">
        <f t="shared" ca="1" si="6"/>
        <v>7.MNRJ</v>
      </c>
      <c r="B4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3" s="43"/>
      <c r="D403" s="41"/>
      <c r="E403" s="41"/>
      <c r="F403" s="44"/>
      <c r="G403" s="44"/>
      <c r="H403" s="48"/>
      <c r="I403" s="48"/>
      <c r="J403" s="48"/>
      <c r="K403" s="48"/>
      <c r="L403" s="43"/>
      <c r="M403" s="44"/>
      <c r="N403" s="43"/>
      <c r="O403" s="43"/>
      <c r="P403" s="44"/>
      <c r="Q403" s="43"/>
      <c r="R403" s="43"/>
      <c r="S403" s="45"/>
      <c r="T403" s="58" t="str">
        <f>IF(Tableau1[[#This Row],[DMS_SAP]]="","",HYPERLINK(Tableau1[[#This Row],[Chemin fichier source]],"X"))</f>
        <v/>
      </c>
      <c r="U403" s="58" t="str">
        <f>IF(Tableau1[[#This Row],[Date rév.]]="","",HYPERLINK(Tableau1[[#This Row],[Lien document]],"X"))</f>
        <v/>
      </c>
      <c r="V403" s="44"/>
      <c r="W403" s="46" t="str">
        <f ca="1">Chemin_accès!$B$2&amp;Tableau1[[#This Row],[Poste Responsable]]&amp;"\"&amp;Tableau1[[#This Row],[Localisation / Classement]]&amp;"\"&amp;Tableau1[[#This Row],[Poste technique]]&amp;"_"&amp;Tableau1[[#This Row],[Plan Entretien]]&amp;".pdf"</f>
        <v>\\stjn.local\trimet\Donnees_Projets\Dms Sap\Maintenance\PlanEntretien\7.MNRJ\\_.pdf</v>
      </c>
      <c r="X403" s="44"/>
      <c r="Y403" s="44"/>
      <c r="Z403" s="41" t="str">
        <f ca="1">IF(AND(Tableau1[[#This Row],[Charge]]&lt;&gt;0, Tableau1[[#This Row],[Nombre intervenants]]&lt;&gt;0,Tableau1[[#This Row],[Lien document]]&lt;&gt;0,Tableau1[[#This Row],[DMS_SAP]]&lt;&gt;0)=TRUE,"MIS A JOUR","")</f>
        <v/>
      </c>
      <c r="AA403" s="45"/>
      <c r="AB403" s="55" t="str">
        <f ca="1">IF(Tableau1[[#This Row],[Date rév.]]&lt;&gt;"", DAYS360(Tableau1[[#This Row],[Date rév.]],TODAY()),"")</f>
        <v/>
      </c>
      <c r="AC403" s="47">
        <f>IFERROR(INDEX(Chemin_accès!$B$11:$C$22,MATCH(Tableau1[[#This Row],[Type]],Chemin_accès!$C$11:$C$22,0),1),Chemin_accès!$B$11)</f>
        <v>0</v>
      </c>
      <c r="AD403" s="47" t="str">
        <f>Chemin_accès!$B$8&amp;Tableau1[[#This Row],[Localisation / Classement]]&amp;"\"&amp;Tableau1[[#This Row],[Poste technique]]&amp;"_"&amp;Tableau1[[#This Row],[Plan Entretien]]&amp;".xlsm"</f>
        <v>\_.xlsm</v>
      </c>
    </row>
    <row r="404" spans="1:30" x14ac:dyDescent="0.3">
      <c r="A404" s="41" t="str">
        <f t="shared" ca="1" si="6"/>
        <v>7.MNRJ</v>
      </c>
      <c r="B4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4" s="43"/>
      <c r="D404" s="41"/>
      <c r="E404" s="41"/>
      <c r="F404" s="44"/>
      <c r="G404" s="44"/>
      <c r="H404" s="48"/>
      <c r="I404" s="48"/>
      <c r="J404" s="48"/>
      <c r="K404" s="48"/>
      <c r="L404" s="43"/>
      <c r="M404" s="44"/>
      <c r="N404" s="43"/>
      <c r="O404" s="43"/>
      <c r="P404" s="44"/>
      <c r="Q404" s="43"/>
      <c r="R404" s="43"/>
      <c r="S404" s="45"/>
      <c r="T404" s="58" t="str">
        <f>IF(Tableau1[[#This Row],[DMS_SAP]]="","",HYPERLINK(Tableau1[[#This Row],[Chemin fichier source]],"X"))</f>
        <v/>
      </c>
      <c r="U404" s="58" t="str">
        <f>IF(Tableau1[[#This Row],[Date rév.]]="","",HYPERLINK(Tableau1[[#This Row],[Lien document]],"X"))</f>
        <v/>
      </c>
      <c r="V404" s="44"/>
      <c r="W404" s="46" t="str">
        <f ca="1">Chemin_accès!$B$2&amp;Tableau1[[#This Row],[Poste Responsable]]&amp;"\"&amp;Tableau1[[#This Row],[Localisation / Classement]]&amp;"\"&amp;Tableau1[[#This Row],[Poste technique]]&amp;"_"&amp;Tableau1[[#This Row],[Plan Entretien]]&amp;".pdf"</f>
        <v>\\stjn.local\trimet\Donnees_Projets\Dms Sap\Maintenance\PlanEntretien\7.MNRJ\\_.pdf</v>
      </c>
      <c r="X404" s="44"/>
      <c r="Y404" s="44"/>
      <c r="Z404" s="41" t="str">
        <f ca="1">IF(AND(Tableau1[[#This Row],[Charge]]&lt;&gt;0, Tableau1[[#This Row],[Nombre intervenants]]&lt;&gt;0,Tableau1[[#This Row],[Lien document]]&lt;&gt;0,Tableau1[[#This Row],[DMS_SAP]]&lt;&gt;0)=TRUE,"MIS A JOUR","")</f>
        <v/>
      </c>
      <c r="AA404" s="45"/>
      <c r="AB404" s="55" t="str">
        <f ca="1">IF(Tableau1[[#This Row],[Date rév.]]&lt;&gt;"", DAYS360(Tableau1[[#This Row],[Date rév.]],TODAY()),"")</f>
        <v/>
      </c>
      <c r="AC404" s="47">
        <f>IFERROR(INDEX(Chemin_accès!$B$11:$C$22,MATCH(Tableau1[[#This Row],[Type]],Chemin_accès!$C$11:$C$22,0),1),Chemin_accès!$B$11)</f>
        <v>0</v>
      </c>
      <c r="AD404" s="47" t="str">
        <f>Chemin_accès!$B$8&amp;Tableau1[[#This Row],[Localisation / Classement]]&amp;"\"&amp;Tableau1[[#This Row],[Poste technique]]&amp;"_"&amp;Tableau1[[#This Row],[Plan Entretien]]&amp;".xlsm"</f>
        <v>\_.xlsm</v>
      </c>
    </row>
    <row r="405" spans="1:30" x14ac:dyDescent="0.3">
      <c r="A405" s="41" t="str">
        <f t="shared" ca="1" si="6"/>
        <v>7.MNRJ</v>
      </c>
      <c r="B4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5" s="43"/>
      <c r="D405" s="41"/>
      <c r="E405" s="41"/>
      <c r="F405" s="44"/>
      <c r="G405" s="44"/>
      <c r="H405" s="48"/>
      <c r="I405" s="48"/>
      <c r="J405" s="48"/>
      <c r="K405" s="48"/>
      <c r="L405" s="43"/>
      <c r="M405" s="44"/>
      <c r="N405" s="43"/>
      <c r="O405" s="43"/>
      <c r="P405" s="44"/>
      <c r="Q405" s="43"/>
      <c r="R405" s="43"/>
      <c r="S405" s="45"/>
      <c r="T405" s="58" t="str">
        <f>IF(Tableau1[[#This Row],[DMS_SAP]]="","",HYPERLINK(Tableau1[[#This Row],[Chemin fichier source]],"X"))</f>
        <v/>
      </c>
      <c r="U405" s="58" t="str">
        <f>IF(Tableau1[[#This Row],[Date rév.]]="","",HYPERLINK(Tableau1[[#This Row],[Lien document]],"X"))</f>
        <v/>
      </c>
      <c r="V405" s="44"/>
      <c r="W405" s="46" t="str">
        <f ca="1">Chemin_accès!$B$2&amp;Tableau1[[#This Row],[Poste Responsable]]&amp;"\"&amp;Tableau1[[#This Row],[Localisation / Classement]]&amp;"\"&amp;Tableau1[[#This Row],[Poste technique]]&amp;"_"&amp;Tableau1[[#This Row],[Plan Entretien]]&amp;".pdf"</f>
        <v>\\stjn.local\trimet\Donnees_Projets\Dms Sap\Maintenance\PlanEntretien\7.MNRJ\\_.pdf</v>
      </c>
      <c r="X405" s="44"/>
      <c r="Y405" s="44"/>
      <c r="Z405" s="41" t="str">
        <f ca="1">IF(AND(Tableau1[[#This Row],[Charge]]&lt;&gt;0, Tableau1[[#This Row],[Nombre intervenants]]&lt;&gt;0,Tableau1[[#This Row],[Lien document]]&lt;&gt;0,Tableau1[[#This Row],[DMS_SAP]]&lt;&gt;0)=TRUE,"MIS A JOUR","")</f>
        <v/>
      </c>
      <c r="AA405" s="45"/>
      <c r="AB405" s="55" t="str">
        <f ca="1">IF(Tableau1[[#This Row],[Date rév.]]&lt;&gt;"", DAYS360(Tableau1[[#This Row],[Date rév.]],TODAY()),"")</f>
        <v/>
      </c>
      <c r="AC405" s="47">
        <f>IFERROR(INDEX(Chemin_accès!$B$11:$C$22,MATCH(Tableau1[[#This Row],[Type]],Chemin_accès!$C$11:$C$22,0),1),Chemin_accès!$B$11)</f>
        <v>0</v>
      </c>
      <c r="AD405" s="47" t="str">
        <f>Chemin_accès!$B$8&amp;Tableau1[[#This Row],[Localisation / Classement]]&amp;"\"&amp;Tableau1[[#This Row],[Poste technique]]&amp;"_"&amp;Tableau1[[#This Row],[Plan Entretien]]&amp;".xlsm"</f>
        <v>\_.xlsm</v>
      </c>
    </row>
    <row r="406" spans="1:30" x14ac:dyDescent="0.3">
      <c r="A406" s="41" t="str">
        <f t="shared" ca="1" si="6"/>
        <v>7.MNRJ</v>
      </c>
      <c r="B4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6" s="43"/>
      <c r="D406" s="41"/>
      <c r="E406" s="41"/>
      <c r="F406" s="44"/>
      <c r="G406" s="44"/>
      <c r="H406" s="48"/>
      <c r="I406" s="48"/>
      <c r="J406" s="48"/>
      <c r="K406" s="48"/>
      <c r="L406" s="43"/>
      <c r="M406" s="44"/>
      <c r="N406" s="43"/>
      <c r="O406" s="43"/>
      <c r="P406" s="44"/>
      <c r="Q406" s="43"/>
      <c r="R406" s="43"/>
      <c r="S406" s="45"/>
      <c r="T406" s="58" t="str">
        <f>IF(Tableau1[[#This Row],[DMS_SAP]]="","",HYPERLINK(Tableau1[[#This Row],[Chemin fichier source]],"X"))</f>
        <v/>
      </c>
      <c r="U406" s="58" t="str">
        <f>IF(Tableau1[[#This Row],[Date rév.]]="","",HYPERLINK(Tableau1[[#This Row],[Lien document]],"X"))</f>
        <v/>
      </c>
      <c r="V406" s="44"/>
      <c r="W406" s="46" t="str">
        <f ca="1">Chemin_accès!$B$2&amp;Tableau1[[#This Row],[Poste Responsable]]&amp;"\"&amp;Tableau1[[#This Row],[Localisation / Classement]]&amp;"\"&amp;Tableau1[[#This Row],[Poste technique]]&amp;"_"&amp;Tableau1[[#This Row],[Plan Entretien]]&amp;".pdf"</f>
        <v>\\stjn.local\trimet\Donnees_Projets\Dms Sap\Maintenance\PlanEntretien\7.MNRJ\\_.pdf</v>
      </c>
      <c r="X406" s="44"/>
      <c r="Y406" s="44"/>
      <c r="Z406" s="41" t="str">
        <f ca="1">IF(AND(Tableau1[[#This Row],[Charge]]&lt;&gt;0, Tableau1[[#This Row],[Nombre intervenants]]&lt;&gt;0,Tableau1[[#This Row],[Lien document]]&lt;&gt;0,Tableau1[[#This Row],[DMS_SAP]]&lt;&gt;0)=TRUE,"MIS A JOUR","")</f>
        <v/>
      </c>
      <c r="AA406" s="45"/>
      <c r="AB406" s="55" t="str">
        <f ca="1">IF(Tableau1[[#This Row],[Date rév.]]&lt;&gt;"", DAYS360(Tableau1[[#This Row],[Date rév.]],TODAY()),"")</f>
        <v/>
      </c>
      <c r="AC406" s="47">
        <f>IFERROR(INDEX(Chemin_accès!$B$11:$C$22,MATCH(Tableau1[[#This Row],[Type]],Chemin_accès!$C$11:$C$22,0),1),Chemin_accès!$B$11)</f>
        <v>0</v>
      </c>
      <c r="AD406" s="47" t="str">
        <f>Chemin_accès!$B$8&amp;Tableau1[[#This Row],[Localisation / Classement]]&amp;"\"&amp;Tableau1[[#This Row],[Poste technique]]&amp;"_"&amp;Tableau1[[#This Row],[Plan Entretien]]&amp;".xlsm"</f>
        <v>\_.xlsm</v>
      </c>
    </row>
    <row r="407" spans="1:30" x14ac:dyDescent="0.3">
      <c r="A407" s="41" t="str">
        <f t="shared" ca="1" si="6"/>
        <v>7.MNRJ</v>
      </c>
      <c r="B4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7" s="43"/>
      <c r="D407" s="41"/>
      <c r="E407" s="41"/>
      <c r="F407" s="44"/>
      <c r="G407" s="44"/>
      <c r="H407" s="48"/>
      <c r="I407" s="48"/>
      <c r="J407" s="48"/>
      <c r="K407" s="48"/>
      <c r="L407" s="43"/>
      <c r="M407" s="44"/>
      <c r="N407" s="43"/>
      <c r="O407" s="43"/>
      <c r="P407" s="44"/>
      <c r="Q407" s="43"/>
      <c r="R407" s="43"/>
      <c r="S407" s="45"/>
      <c r="T407" s="58" t="str">
        <f>IF(Tableau1[[#This Row],[DMS_SAP]]="","",HYPERLINK(Tableau1[[#This Row],[Chemin fichier source]],"X"))</f>
        <v/>
      </c>
      <c r="U407" s="58" t="str">
        <f>IF(Tableau1[[#This Row],[Date rév.]]="","",HYPERLINK(Tableau1[[#This Row],[Lien document]],"X"))</f>
        <v/>
      </c>
      <c r="V407" s="44"/>
      <c r="W407" s="46" t="str">
        <f ca="1">Chemin_accès!$B$2&amp;Tableau1[[#This Row],[Poste Responsable]]&amp;"\"&amp;Tableau1[[#This Row],[Localisation / Classement]]&amp;"\"&amp;Tableau1[[#This Row],[Poste technique]]&amp;"_"&amp;Tableau1[[#This Row],[Plan Entretien]]&amp;".pdf"</f>
        <v>\\stjn.local\trimet\Donnees_Projets\Dms Sap\Maintenance\PlanEntretien\7.MNRJ\\_.pdf</v>
      </c>
      <c r="X407" s="44"/>
      <c r="Y407" s="44"/>
      <c r="Z407" s="41" t="str">
        <f ca="1">IF(AND(Tableau1[[#This Row],[Charge]]&lt;&gt;0, Tableau1[[#This Row],[Nombre intervenants]]&lt;&gt;0,Tableau1[[#This Row],[Lien document]]&lt;&gt;0,Tableau1[[#This Row],[DMS_SAP]]&lt;&gt;0)=TRUE,"MIS A JOUR","")</f>
        <v/>
      </c>
      <c r="AA407" s="45"/>
      <c r="AB407" s="55" t="str">
        <f ca="1">IF(Tableau1[[#This Row],[Date rév.]]&lt;&gt;"", DAYS360(Tableau1[[#This Row],[Date rév.]],TODAY()),"")</f>
        <v/>
      </c>
      <c r="AC407" s="47">
        <f>IFERROR(INDEX(Chemin_accès!$B$11:$C$22,MATCH(Tableau1[[#This Row],[Type]],Chemin_accès!$C$11:$C$22,0),1),Chemin_accès!$B$11)</f>
        <v>0</v>
      </c>
      <c r="AD407" s="47" t="str">
        <f>Chemin_accès!$B$8&amp;Tableau1[[#This Row],[Localisation / Classement]]&amp;"\"&amp;Tableau1[[#This Row],[Poste technique]]&amp;"_"&amp;Tableau1[[#This Row],[Plan Entretien]]&amp;".xlsm"</f>
        <v>\_.xlsm</v>
      </c>
    </row>
    <row r="408" spans="1:30" x14ac:dyDescent="0.3">
      <c r="A408" s="41" t="str">
        <f t="shared" ca="1" si="6"/>
        <v>7.MNRJ</v>
      </c>
      <c r="B4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8" s="43"/>
      <c r="D408" s="41"/>
      <c r="E408" s="41"/>
      <c r="F408" s="44"/>
      <c r="G408" s="44"/>
      <c r="H408" s="48"/>
      <c r="I408" s="48"/>
      <c r="J408" s="48"/>
      <c r="K408" s="48"/>
      <c r="L408" s="43"/>
      <c r="M408" s="44"/>
      <c r="N408" s="43"/>
      <c r="O408" s="43"/>
      <c r="P408" s="44"/>
      <c r="Q408" s="43"/>
      <c r="R408" s="43"/>
      <c r="S408" s="45"/>
      <c r="T408" s="58" t="str">
        <f>IF(Tableau1[[#This Row],[DMS_SAP]]="","",HYPERLINK(Tableau1[[#This Row],[Chemin fichier source]],"X"))</f>
        <v/>
      </c>
      <c r="U408" s="58" t="str">
        <f>IF(Tableau1[[#This Row],[Date rév.]]="","",HYPERLINK(Tableau1[[#This Row],[Lien document]],"X"))</f>
        <v/>
      </c>
      <c r="V408" s="44"/>
      <c r="W408" s="46" t="str">
        <f ca="1">Chemin_accès!$B$2&amp;Tableau1[[#This Row],[Poste Responsable]]&amp;"\"&amp;Tableau1[[#This Row],[Localisation / Classement]]&amp;"\"&amp;Tableau1[[#This Row],[Poste technique]]&amp;"_"&amp;Tableau1[[#This Row],[Plan Entretien]]&amp;".pdf"</f>
        <v>\\stjn.local\trimet\Donnees_Projets\Dms Sap\Maintenance\PlanEntretien\7.MNRJ\\_.pdf</v>
      </c>
      <c r="X408" s="44"/>
      <c r="Y408" s="44"/>
      <c r="Z408" s="41" t="str">
        <f ca="1">IF(AND(Tableau1[[#This Row],[Charge]]&lt;&gt;0, Tableau1[[#This Row],[Nombre intervenants]]&lt;&gt;0,Tableau1[[#This Row],[Lien document]]&lt;&gt;0,Tableau1[[#This Row],[DMS_SAP]]&lt;&gt;0)=TRUE,"MIS A JOUR","")</f>
        <v/>
      </c>
      <c r="AA408" s="45"/>
      <c r="AB408" s="55" t="str">
        <f ca="1">IF(Tableau1[[#This Row],[Date rév.]]&lt;&gt;"", DAYS360(Tableau1[[#This Row],[Date rév.]],TODAY()),"")</f>
        <v/>
      </c>
      <c r="AC408" s="47">
        <f>IFERROR(INDEX(Chemin_accès!$B$11:$C$22,MATCH(Tableau1[[#This Row],[Type]],Chemin_accès!$C$11:$C$22,0),1),Chemin_accès!$B$11)</f>
        <v>0</v>
      </c>
      <c r="AD408" s="47" t="str">
        <f>Chemin_accès!$B$8&amp;Tableau1[[#This Row],[Localisation / Classement]]&amp;"\"&amp;Tableau1[[#This Row],[Poste technique]]&amp;"_"&amp;Tableau1[[#This Row],[Plan Entretien]]&amp;".xlsm"</f>
        <v>\_.xlsm</v>
      </c>
    </row>
    <row r="409" spans="1:30" x14ac:dyDescent="0.3">
      <c r="A409" s="41" t="str">
        <f t="shared" ca="1" si="6"/>
        <v>7.MNRJ</v>
      </c>
      <c r="B4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9" s="43"/>
      <c r="D409" s="41"/>
      <c r="E409" s="41"/>
      <c r="F409" s="44"/>
      <c r="G409" s="44"/>
      <c r="H409" s="48"/>
      <c r="I409" s="48"/>
      <c r="J409" s="48"/>
      <c r="K409" s="48"/>
      <c r="L409" s="43"/>
      <c r="M409" s="44"/>
      <c r="N409" s="43"/>
      <c r="O409" s="43"/>
      <c r="P409" s="44"/>
      <c r="Q409" s="43"/>
      <c r="R409" s="43"/>
      <c r="S409" s="45"/>
      <c r="T409" s="58" t="str">
        <f>IF(Tableau1[[#This Row],[DMS_SAP]]="","",HYPERLINK(Tableau1[[#This Row],[Chemin fichier source]],"X"))</f>
        <v/>
      </c>
      <c r="U409" s="58" t="str">
        <f>IF(Tableau1[[#This Row],[Date rév.]]="","",HYPERLINK(Tableau1[[#This Row],[Lien document]],"X"))</f>
        <v/>
      </c>
      <c r="V409" s="44"/>
      <c r="W409" s="46" t="str">
        <f ca="1">Chemin_accès!$B$2&amp;Tableau1[[#This Row],[Poste Responsable]]&amp;"\"&amp;Tableau1[[#This Row],[Localisation / Classement]]&amp;"\"&amp;Tableau1[[#This Row],[Poste technique]]&amp;"_"&amp;Tableau1[[#This Row],[Plan Entretien]]&amp;".pdf"</f>
        <v>\\stjn.local\trimet\Donnees_Projets\Dms Sap\Maintenance\PlanEntretien\7.MNRJ\\_.pdf</v>
      </c>
      <c r="X409" s="44"/>
      <c r="Y409" s="44"/>
      <c r="Z409" s="41" t="str">
        <f ca="1">IF(AND(Tableau1[[#This Row],[Charge]]&lt;&gt;0, Tableau1[[#This Row],[Nombre intervenants]]&lt;&gt;0,Tableau1[[#This Row],[Lien document]]&lt;&gt;0,Tableau1[[#This Row],[DMS_SAP]]&lt;&gt;0)=TRUE,"MIS A JOUR","")</f>
        <v/>
      </c>
      <c r="AA409" s="45"/>
      <c r="AB409" s="55" t="str">
        <f ca="1">IF(Tableau1[[#This Row],[Date rév.]]&lt;&gt;"", DAYS360(Tableau1[[#This Row],[Date rév.]],TODAY()),"")</f>
        <v/>
      </c>
      <c r="AC409" s="47">
        <f>IFERROR(INDEX(Chemin_accès!$B$11:$C$22,MATCH(Tableau1[[#This Row],[Type]],Chemin_accès!$C$11:$C$22,0),1),Chemin_accès!$B$11)</f>
        <v>0</v>
      </c>
      <c r="AD409" s="47" t="str">
        <f>Chemin_accès!$B$8&amp;Tableau1[[#This Row],[Localisation / Classement]]&amp;"\"&amp;Tableau1[[#This Row],[Poste technique]]&amp;"_"&amp;Tableau1[[#This Row],[Plan Entretien]]&amp;".xlsm"</f>
        <v>\_.xlsm</v>
      </c>
    </row>
    <row r="410" spans="1:30" x14ac:dyDescent="0.3">
      <c r="A410" s="41" t="str">
        <f t="shared" ca="1" si="6"/>
        <v>7.MNRJ</v>
      </c>
      <c r="B4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0" s="43"/>
      <c r="D410" s="41"/>
      <c r="E410" s="41"/>
      <c r="F410" s="44"/>
      <c r="G410" s="44"/>
      <c r="H410" s="48"/>
      <c r="I410" s="48"/>
      <c r="J410" s="48"/>
      <c r="K410" s="48"/>
      <c r="L410" s="43"/>
      <c r="M410" s="44"/>
      <c r="N410" s="43"/>
      <c r="O410" s="43"/>
      <c r="P410" s="44"/>
      <c r="Q410" s="43"/>
      <c r="R410" s="43"/>
      <c r="S410" s="45"/>
      <c r="T410" s="58" t="str">
        <f>IF(Tableau1[[#This Row],[DMS_SAP]]="","",HYPERLINK(Tableau1[[#This Row],[Chemin fichier source]],"X"))</f>
        <v/>
      </c>
      <c r="U410" s="58" t="str">
        <f>IF(Tableau1[[#This Row],[Date rév.]]="","",HYPERLINK(Tableau1[[#This Row],[Lien document]],"X"))</f>
        <v/>
      </c>
      <c r="V410" s="44"/>
      <c r="W410" s="46" t="str">
        <f ca="1">Chemin_accès!$B$2&amp;Tableau1[[#This Row],[Poste Responsable]]&amp;"\"&amp;Tableau1[[#This Row],[Localisation / Classement]]&amp;"\"&amp;Tableau1[[#This Row],[Poste technique]]&amp;"_"&amp;Tableau1[[#This Row],[Plan Entretien]]&amp;".pdf"</f>
        <v>\\stjn.local\trimet\Donnees_Projets\Dms Sap\Maintenance\PlanEntretien\7.MNRJ\\_.pdf</v>
      </c>
      <c r="X410" s="44"/>
      <c r="Y410" s="44"/>
      <c r="Z410" s="41" t="str">
        <f ca="1">IF(AND(Tableau1[[#This Row],[Charge]]&lt;&gt;0, Tableau1[[#This Row],[Nombre intervenants]]&lt;&gt;0,Tableau1[[#This Row],[Lien document]]&lt;&gt;0,Tableau1[[#This Row],[DMS_SAP]]&lt;&gt;0)=TRUE,"MIS A JOUR","")</f>
        <v/>
      </c>
      <c r="AA410" s="45"/>
      <c r="AB410" s="55" t="str">
        <f ca="1">IF(Tableau1[[#This Row],[Date rév.]]&lt;&gt;"", DAYS360(Tableau1[[#This Row],[Date rév.]],TODAY()),"")</f>
        <v/>
      </c>
      <c r="AC410" s="47">
        <f>IFERROR(INDEX(Chemin_accès!$B$11:$C$22,MATCH(Tableau1[[#This Row],[Type]],Chemin_accès!$C$11:$C$22,0),1),Chemin_accès!$B$11)</f>
        <v>0</v>
      </c>
      <c r="AD410" s="47" t="str">
        <f>Chemin_accès!$B$8&amp;Tableau1[[#This Row],[Localisation / Classement]]&amp;"\"&amp;Tableau1[[#This Row],[Poste technique]]&amp;"_"&amp;Tableau1[[#This Row],[Plan Entretien]]&amp;".xlsm"</f>
        <v>\_.xlsm</v>
      </c>
    </row>
    <row r="411" spans="1:30" x14ac:dyDescent="0.3">
      <c r="A411" s="41" t="str">
        <f t="shared" ca="1" si="6"/>
        <v>7.MNRJ</v>
      </c>
      <c r="B4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1" s="43"/>
      <c r="D411" s="41"/>
      <c r="E411" s="41"/>
      <c r="F411" s="44"/>
      <c r="G411" s="44"/>
      <c r="H411" s="48"/>
      <c r="I411" s="48"/>
      <c r="J411" s="48"/>
      <c r="K411" s="48"/>
      <c r="L411" s="43"/>
      <c r="M411" s="44"/>
      <c r="N411" s="43"/>
      <c r="O411" s="43"/>
      <c r="P411" s="44"/>
      <c r="Q411" s="43"/>
      <c r="R411" s="43"/>
      <c r="S411" s="45"/>
      <c r="T411" s="58" t="str">
        <f>IF(Tableau1[[#This Row],[DMS_SAP]]="","",HYPERLINK(Tableau1[[#This Row],[Chemin fichier source]],"X"))</f>
        <v/>
      </c>
      <c r="U411" s="58" t="str">
        <f>IF(Tableau1[[#This Row],[Date rév.]]="","",HYPERLINK(Tableau1[[#This Row],[Lien document]],"X"))</f>
        <v/>
      </c>
      <c r="V411" s="44"/>
      <c r="W411" s="46" t="str">
        <f ca="1">Chemin_accès!$B$2&amp;Tableau1[[#This Row],[Poste Responsable]]&amp;"\"&amp;Tableau1[[#This Row],[Localisation / Classement]]&amp;"\"&amp;Tableau1[[#This Row],[Poste technique]]&amp;"_"&amp;Tableau1[[#This Row],[Plan Entretien]]&amp;".pdf"</f>
        <v>\\stjn.local\trimet\Donnees_Projets\Dms Sap\Maintenance\PlanEntretien\7.MNRJ\\_.pdf</v>
      </c>
      <c r="X411" s="44"/>
      <c r="Y411" s="44"/>
      <c r="Z411" s="41" t="str">
        <f ca="1">IF(AND(Tableau1[[#This Row],[Charge]]&lt;&gt;0, Tableau1[[#This Row],[Nombre intervenants]]&lt;&gt;0,Tableau1[[#This Row],[Lien document]]&lt;&gt;0,Tableau1[[#This Row],[DMS_SAP]]&lt;&gt;0)=TRUE,"MIS A JOUR","")</f>
        <v/>
      </c>
      <c r="AA411" s="45"/>
      <c r="AB411" s="55" t="str">
        <f ca="1">IF(Tableau1[[#This Row],[Date rév.]]&lt;&gt;"", DAYS360(Tableau1[[#This Row],[Date rév.]],TODAY()),"")</f>
        <v/>
      </c>
      <c r="AC411" s="47">
        <f>IFERROR(INDEX(Chemin_accès!$B$11:$C$22,MATCH(Tableau1[[#This Row],[Type]],Chemin_accès!$C$11:$C$22,0),1),Chemin_accès!$B$11)</f>
        <v>0</v>
      </c>
      <c r="AD411" s="47" t="str">
        <f>Chemin_accès!$B$8&amp;Tableau1[[#This Row],[Localisation / Classement]]&amp;"\"&amp;Tableau1[[#This Row],[Poste technique]]&amp;"_"&amp;Tableau1[[#This Row],[Plan Entretien]]&amp;".xlsm"</f>
        <v>\_.xlsm</v>
      </c>
    </row>
    <row r="412" spans="1:30" x14ac:dyDescent="0.3">
      <c r="A412" s="41" t="str">
        <f t="shared" ca="1" si="6"/>
        <v>7.MNRJ</v>
      </c>
      <c r="B4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2" s="43"/>
      <c r="D412" s="41"/>
      <c r="E412" s="41"/>
      <c r="F412" s="44"/>
      <c r="G412" s="44"/>
      <c r="H412" s="48"/>
      <c r="I412" s="48"/>
      <c r="J412" s="48"/>
      <c r="K412" s="48"/>
      <c r="L412" s="43"/>
      <c r="M412" s="44"/>
      <c r="N412" s="43"/>
      <c r="O412" s="43"/>
      <c r="P412" s="44"/>
      <c r="Q412" s="43"/>
      <c r="R412" s="43"/>
      <c r="S412" s="45"/>
      <c r="T412" s="58" t="str">
        <f>IF(Tableau1[[#This Row],[DMS_SAP]]="","",HYPERLINK(Tableau1[[#This Row],[Chemin fichier source]],"X"))</f>
        <v/>
      </c>
      <c r="U412" s="58" t="str">
        <f>IF(Tableau1[[#This Row],[Date rév.]]="","",HYPERLINK(Tableau1[[#This Row],[Lien document]],"X"))</f>
        <v/>
      </c>
      <c r="V412" s="44"/>
      <c r="W412" s="46" t="str">
        <f ca="1">Chemin_accès!$B$2&amp;Tableau1[[#This Row],[Poste Responsable]]&amp;"\"&amp;Tableau1[[#This Row],[Localisation / Classement]]&amp;"\"&amp;Tableau1[[#This Row],[Poste technique]]&amp;"_"&amp;Tableau1[[#This Row],[Plan Entretien]]&amp;".pdf"</f>
        <v>\\stjn.local\trimet\Donnees_Projets\Dms Sap\Maintenance\PlanEntretien\7.MNRJ\\_.pdf</v>
      </c>
      <c r="X412" s="44"/>
      <c r="Y412" s="44"/>
      <c r="Z412" s="41" t="str">
        <f ca="1">IF(AND(Tableau1[[#This Row],[Charge]]&lt;&gt;0, Tableau1[[#This Row],[Nombre intervenants]]&lt;&gt;0,Tableau1[[#This Row],[Lien document]]&lt;&gt;0,Tableau1[[#This Row],[DMS_SAP]]&lt;&gt;0)=TRUE,"MIS A JOUR","")</f>
        <v/>
      </c>
      <c r="AA412" s="45"/>
      <c r="AB412" s="55" t="str">
        <f ca="1">IF(Tableau1[[#This Row],[Date rév.]]&lt;&gt;"", DAYS360(Tableau1[[#This Row],[Date rév.]],TODAY()),"")</f>
        <v/>
      </c>
      <c r="AC412" s="47">
        <f>IFERROR(INDEX(Chemin_accès!$B$11:$C$22,MATCH(Tableau1[[#This Row],[Type]],Chemin_accès!$C$11:$C$22,0),1),Chemin_accès!$B$11)</f>
        <v>0</v>
      </c>
      <c r="AD412" s="47" t="str">
        <f>Chemin_accès!$B$8&amp;Tableau1[[#This Row],[Localisation / Classement]]&amp;"\"&amp;Tableau1[[#This Row],[Poste technique]]&amp;"_"&amp;Tableau1[[#This Row],[Plan Entretien]]&amp;".xlsm"</f>
        <v>\_.xlsm</v>
      </c>
    </row>
    <row r="413" spans="1:30" x14ac:dyDescent="0.3">
      <c r="A413" s="41" t="str">
        <f t="shared" ca="1" si="6"/>
        <v>7.MNRJ</v>
      </c>
      <c r="B4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3" s="43"/>
      <c r="D413" s="41"/>
      <c r="E413" s="41"/>
      <c r="F413" s="44"/>
      <c r="G413" s="44"/>
      <c r="H413" s="48"/>
      <c r="I413" s="48"/>
      <c r="J413" s="48"/>
      <c r="K413" s="48"/>
      <c r="L413" s="43"/>
      <c r="M413" s="44"/>
      <c r="N413" s="43"/>
      <c r="O413" s="43"/>
      <c r="P413" s="44"/>
      <c r="Q413" s="43"/>
      <c r="R413" s="43"/>
      <c r="S413" s="45"/>
      <c r="T413" s="58" t="str">
        <f>IF(Tableau1[[#This Row],[DMS_SAP]]="","",HYPERLINK(Tableau1[[#This Row],[Chemin fichier source]],"X"))</f>
        <v/>
      </c>
      <c r="U413" s="58" t="str">
        <f>IF(Tableau1[[#This Row],[Date rév.]]="","",HYPERLINK(Tableau1[[#This Row],[Lien document]],"X"))</f>
        <v/>
      </c>
      <c r="V413" s="44"/>
      <c r="W413" s="46" t="str">
        <f ca="1">Chemin_accès!$B$2&amp;Tableau1[[#This Row],[Poste Responsable]]&amp;"\"&amp;Tableau1[[#This Row],[Localisation / Classement]]&amp;"\"&amp;Tableau1[[#This Row],[Poste technique]]&amp;"_"&amp;Tableau1[[#This Row],[Plan Entretien]]&amp;".pdf"</f>
        <v>\\stjn.local\trimet\Donnees_Projets\Dms Sap\Maintenance\PlanEntretien\7.MNRJ\\_.pdf</v>
      </c>
      <c r="X413" s="44"/>
      <c r="Y413" s="44"/>
      <c r="Z413" s="41" t="str">
        <f ca="1">IF(AND(Tableau1[[#This Row],[Charge]]&lt;&gt;0, Tableau1[[#This Row],[Nombre intervenants]]&lt;&gt;0,Tableau1[[#This Row],[Lien document]]&lt;&gt;0,Tableau1[[#This Row],[DMS_SAP]]&lt;&gt;0)=TRUE,"MIS A JOUR","")</f>
        <v/>
      </c>
      <c r="AA413" s="45"/>
      <c r="AB413" s="55" t="str">
        <f ca="1">IF(Tableau1[[#This Row],[Date rév.]]&lt;&gt;"", DAYS360(Tableau1[[#This Row],[Date rév.]],TODAY()),"")</f>
        <v/>
      </c>
      <c r="AC413" s="47">
        <f>IFERROR(INDEX(Chemin_accès!$B$11:$C$22,MATCH(Tableau1[[#This Row],[Type]],Chemin_accès!$C$11:$C$22,0),1),Chemin_accès!$B$11)</f>
        <v>0</v>
      </c>
      <c r="AD413" s="47" t="str">
        <f>Chemin_accès!$B$8&amp;Tableau1[[#This Row],[Localisation / Classement]]&amp;"\"&amp;Tableau1[[#This Row],[Poste technique]]&amp;"_"&amp;Tableau1[[#This Row],[Plan Entretien]]&amp;".xlsm"</f>
        <v>\_.xlsm</v>
      </c>
    </row>
    <row r="414" spans="1:30" x14ac:dyDescent="0.3">
      <c r="A414" s="41" t="str">
        <f t="shared" ca="1" si="6"/>
        <v>7.MNRJ</v>
      </c>
      <c r="B4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4" s="43"/>
      <c r="D414" s="41"/>
      <c r="E414" s="41"/>
      <c r="F414" s="44"/>
      <c r="G414" s="44"/>
      <c r="H414" s="48"/>
      <c r="I414" s="48"/>
      <c r="J414" s="48"/>
      <c r="K414" s="48"/>
      <c r="L414" s="43"/>
      <c r="M414" s="44"/>
      <c r="N414" s="43"/>
      <c r="O414" s="43"/>
      <c r="P414" s="44"/>
      <c r="Q414" s="43"/>
      <c r="R414" s="43"/>
      <c r="S414" s="45"/>
      <c r="T414" s="58" t="str">
        <f>IF(Tableau1[[#This Row],[DMS_SAP]]="","",HYPERLINK(Tableau1[[#This Row],[Chemin fichier source]],"X"))</f>
        <v/>
      </c>
      <c r="U414" s="58" t="str">
        <f>IF(Tableau1[[#This Row],[Date rév.]]="","",HYPERLINK(Tableau1[[#This Row],[Lien document]],"X"))</f>
        <v/>
      </c>
      <c r="V414" s="44"/>
      <c r="W414" s="46" t="str">
        <f ca="1">Chemin_accès!$B$2&amp;Tableau1[[#This Row],[Poste Responsable]]&amp;"\"&amp;Tableau1[[#This Row],[Localisation / Classement]]&amp;"\"&amp;Tableau1[[#This Row],[Poste technique]]&amp;"_"&amp;Tableau1[[#This Row],[Plan Entretien]]&amp;".pdf"</f>
        <v>\\stjn.local\trimet\Donnees_Projets\Dms Sap\Maintenance\PlanEntretien\7.MNRJ\\_.pdf</v>
      </c>
      <c r="X414" s="44"/>
      <c r="Y414" s="44"/>
      <c r="Z414" s="41" t="str">
        <f ca="1">IF(AND(Tableau1[[#This Row],[Charge]]&lt;&gt;0, Tableau1[[#This Row],[Nombre intervenants]]&lt;&gt;0,Tableau1[[#This Row],[Lien document]]&lt;&gt;0,Tableau1[[#This Row],[DMS_SAP]]&lt;&gt;0)=TRUE,"MIS A JOUR","")</f>
        <v/>
      </c>
      <c r="AA414" s="45"/>
      <c r="AB414" s="55" t="str">
        <f ca="1">IF(Tableau1[[#This Row],[Date rév.]]&lt;&gt;"", DAYS360(Tableau1[[#This Row],[Date rév.]],TODAY()),"")</f>
        <v/>
      </c>
      <c r="AC414" s="47">
        <f>IFERROR(INDEX(Chemin_accès!$B$11:$C$22,MATCH(Tableau1[[#This Row],[Type]],Chemin_accès!$C$11:$C$22,0),1),Chemin_accès!$B$11)</f>
        <v>0</v>
      </c>
      <c r="AD414" s="47" t="str">
        <f>Chemin_accès!$B$8&amp;Tableau1[[#This Row],[Localisation / Classement]]&amp;"\"&amp;Tableau1[[#This Row],[Poste technique]]&amp;"_"&amp;Tableau1[[#This Row],[Plan Entretien]]&amp;".xlsm"</f>
        <v>\_.xlsm</v>
      </c>
    </row>
    <row r="415" spans="1:30" x14ac:dyDescent="0.3">
      <c r="A415" s="41" t="str">
        <f t="shared" ca="1" si="6"/>
        <v>7.MNRJ</v>
      </c>
      <c r="B4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5" s="43"/>
      <c r="D415" s="41"/>
      <c r="E415" s="41"/>
      <c r="F415" s="44"/>
      <c r="G415" s="44"/>
      <c r="H415" s="48"/>
      <c r="I415" s="48"/>
      <c r="J415" s="48"/>
      <c r="K415" s="48"/>
      <c r="L415" s="43"/>
      <c r="M415" s="44"/>
      <c r="N415" s="43"/>
      <c r="O415" s="43"/>
      <c r="P415" s="44"/>
      <c r="Q415" s="43"/>
      <c r="R415" s="43"/>
      <c r="S415" s="45"/>
      <c r="T415" s="58" t="str">
        <f>IF(Tableau1[[#This Row],[DMS_SAP]]="","",HYPERLINK(Tableau1[[#This Row],[Chemin fichier source]],"X"))</f>
        <v/>
      </c>
      <c r="U415" s="58" t="str">
        <f>IF(Tableau1[[#This Row],[Date rév.]]="","",HYPERLINK(Tableau1[[#This Row],[Lien document]],"X"))</f>
        <v/>
      </c>
      <c r="V415" s="44"/>
      <c r="W415" s="46" t="str">
        <f ca="1">Chemin_accès!$B$2&amp;Tableau1[[#This Row],[Poste Responsable]]&amp;"\"&amp;Tableau1[[#This Row],[Localisation / Classement]]&amp;"\"&amp;Tableau1[[#This Row],[Poste technique]]&amp;"_"&amp;Tableau1[[#This Row],[Plan Entretien]]&amp;".pdf"</f>
        <v>\\stjn.local\trimet\Donnees_Projets\Dms Sap\Maintenance\PlanEntretien\7.MNRJ\\_.pdf</v>
      </c>
      <c r="X415" s="44"/>
      <c r="Y415" s="44"/>
      <c r="Z415" s="41" t="str">
        <f ca="1">IF(AND(Tableau1[[#This Row],[Charge]]&lt;&gt;0, Tableau1[[#This Row],[Nombre intervenants]]&lt;&gt;0,Tableau1[[#This Row],[Lien document]]&lt;&gt;0,Tableau1[[#This Row],[DMS_SAP]]&lt;&gt;0)=TRUE,"MIS A JOUR","")</f>
        <v/>
      </c>
      <c r="AA415" s="45"/>
      <c r="AB415" s="55" t="str">
        <f ca="1">IF(Tableau1[[#This Row],[Date rév.]]&lt;&gt;"", DAYS360(Tableau1[[#This Row],[Date rév.]],TODAY()),"")</f>
        <v/>
      </c>
      <c r="AC415" s="47">
        <f>IFERROR(INDEX(Chemin_accès!$B$11:$C$22,MATCH(Tableau1[[#This Row],[Type]],Chemin_accès!$C$11:$C$22,0),1),Chemin_accès!$B$11)</f>
        <v>0</v>
      </c>
      <c r="AD415" s="47" t="str">
        <f>Chemin_accès!$B$8&amp;Tableau1[[#This Row],[Localisation / Classement]]&amp;"\"&amp;Tableau1[[#This Row],[Poste technique]]&amp;"_"&amp;Tableau1[[#This Row],[Plan Entretien]]&amp;".xlsm"</f>
        <v>\_.xlsm</v>
      </c>
    </row>
    <row r="416" spans="1:30" x14ac:dyDescent="0.3">
      <c r="A416" s="41" t="str">
        <f t="shared" ca="1" si="6"/>
        <v>7.MNRJ</v>
      </c>
      <c r="B4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6" s="43"/>
      <c r="D416" s="41"/>
      <c r="E416" s="41"/>
      <c r="F416" s="44"/>
      <c r="G416" s="44"/>
      <c r="H416" s="48"/>
      <c r="I416" s="48"/>
      <c r="J416" s="48"/>
      <c r="K416" s="48"/>
      <c r="L416" s="43"/>
      <c r="M416" s="44"/>
      <c r="N416" s="43"/>
      <c r="O416" s="43"/>
      <c r="P416" s="44"/>
      <c r="Q416" s="43"/>
      <c r="R416" s="43"/>
      <c r="S416" s="45"/>
      <c r="T416" s="58" t="str">
        <f>IF(Tableau1[[#This Row],[DMS_SAP]]="","",HYPERLINK(Tableau1[[#This Row],[Chemin fichier source]],"X"))</f>
        <v/>
      </c>
      <c r="U416" s="58" t="str">
        <f>IF(Tableau1[[#This Row],[Date rév.]]="","",HYPERLINK(Tableau1[[#This Row],[Lien document]],"X"))</f>
        <v/>
      </c>
      <c r="V416" s="44"/>
      <c r="W416" s="46" t="str">
        <f ca="1">Chemin_accès!$B$2&amp;Tableau1[[#This Row],[Poste Responsable]]&amp;"\"&amp;Tableau1[[#This Row],[Localisation / Classement]]&amp;"\"&amp;Tableau1[[#This Row],[Poste technique]]&amp;"_"&amp;Tableau1[[#This Row],[Plan Entretien]]&amp;".pdf"</f>
        <v>\\stjn.local\trimet\Donnees_Projets\Dms Sap\Maintenance\PlanEntretien\7.MNRJ\\_.pdf</v>
      </c>
      <c r="X416" s="44"/>
      <c r="Y416" s="44"/>
      <c r="Z416" s="41" t="str">
        <f ca="1">IF(AND(Tableau1[[#This Row],[Charge]]&lt;&gt;0, Tableau1[[#This Row],[Nombre intervenants]]&lt;&gt;0,Tableau1[[#This Row],[Lien document]]&lt;&gt;0,Tableau1[[#This Row],[DMS_SAP]]&lt;&gt;0)=TRUE,"MIS A JOUR","")</f>
        <v/>
      </c>
      <c r="AA416" s="45"/>
      <c r="AB416" s="55" t="str">
        <f ca="1">IF(Tableau1[[#This Row],[Date rév.]]&lt;&gt;"", DAYS360(Tableau1[[#This Row],[Date rév.]],TODAY()),"")</f>
        <v/>
      </c>
      <c r="AC416" s="47">
        <f>IFERROR(INDEX(Chemin_accès!$B$11:$C$22,MATCH(Tableau1[[#This Row],[Type]],Chemin_accès!$C$11:$C$22,0),1),Chemin_accès!$B$11)</f>
        <v>0</v>
      </c>
      <c r="AD416" s="47" t="str">
        <f>Chemin_accès!$B$8&amp;Tableau1[[#This Row],[Localisation / Classement]]&amp;"\"&amp;Tableau1[[#This Row],[Poste technique]]&amp;"_"&amp;Tableau1[[#This Row],[Plan Entretien]]&amp;".xlsm"</f>
        <v>\_.xlsm</v>
      </c>
    </row>
    <row r="417" spans="1:30" x14ac:dyDescent="0.3">
      <c r="A417" s="41" t="str">
        <f t="shared" ca="1" si="6"/>
        <v>7.MNRJ</v>
      </c>
      <c r="B4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7" s="43"/>
      <c r="D417" s="41"/>
      <c r="E417" s="41"/>
      <c r="F417" s="44"/>
      <c r="G417" s="44"/>
      <c r="H417" s="48"/>
      <c r="I417" s="48"/>
      <c r="J417" s="48"/>
      <c r="K417" s="48"/>
      <c r="L417" s="43"/>
      <c r="M417" s="44"/>
      <c r="N417" s="43"/>
      <c r="O417" s="43"/>
      <c r="P417" s="44"/>
      <c r="Q417" s="43"/>
      <c r="R417" s="43"/>
      <c r="S417" s="45"/>
      <c r="T417" s="58" t="str">
        <f>IF(Tableau1[[#This Row],[DMS_SAP]]="","",HYPERLINK(Tableau1[[#This Row],[Chemin fichier source]],"X"))</f>
        <v/>
      </c>
      <c r="U417" s="58" t="str">
        <f>IF(Tableau1[[#This Row],[Date rév.]]="","",HYPERLINK(Tableau1[[#This Row],[Lien document]],"X"))</f>
        <v/>
      </c>
      <c r="V417" s="44"/>
      <c r="W417" s="46" t="str">
        <f ca="1">Chemin_accès!$B$2&amp;Tableau1[[#This Row],[Poste Responsable]]&amp;"\"&amp;Tableau1[[#This Row],[Localisation / Classement]]&amp;"\"&amp;Tableau1[[#This Row],[Poste technique]]&amp;"_"&amp;Tableau1[[#This Row],[Plan Entretien]]&amp;".pdf"</f>
        <v>\\stjn.local\trimet\Donnees_Projets\Dms Sap\Maintenance\PlanEntretien\7.MNRJ\\_.pdf</v>
      </c>
      <c r="X417" s="44"/>
      <c r="Y417" s="44"/>
      <c r="Z417" s="41" t="str">
        <f ca="1">IF(AND(Tableau1[[#This Row],[Charge]]&lt;&gt;0, Tableau1[[#This Row],[Nombre intervenants]]&lt;&gt;0,Tableau1[[#This Row],[Lien document]]&lt;&gt;0,Tableau1[[#This Row],[DMS_SAP]]&lt;&gt;0)=TRUE,"MIS A JOUR","")</f>
        <v/>
      </c>
      <c r="AA417" s="45"/>
      <c r="AB417" s="55" t="str">
        <f ca="1">IF(Tableau1[[#This Row],[Date rév.]]&lt;&gt;"", DAYS360(Tableau1[[#This Row],[Date rév.]],TODAY()),"")</f>
        <v/>
      </c>
      <c r="AC417" s="47">
        <f>IFERROR(INDEX(Chemin_accès!$B$11:$C$22,MATCH(Tableau1[[#This Row],[Type]],Chemin_accès!$C$11:$C$22,0),1),Chemin_accès!$B$11)</f>
        <v>0</v>
      </c>
      <c r="AD417" s="47" t="str">
        <f>Chemin_accès!$B$8&amp;Tableau1[[#This Row],[Localisation / Classement]]&amp;"\"&amp;Tableau1[[#This Row],[Poste technique]]&amp;"_"&amp;Tableau1[[#This Row],[Plan Entretien]]&amp;".xlsm"</f>
        <v>\_.xlsm</v>
      </c>
    </row>
    <row r="418" spans="1:30" x14ac:dyDescent="0.3">
      <c r="A418" s="41" t="str">
        <f t="shared" ca="1" si="6"/>
        <v>7.MNRJ</v>
      </c>
      <c r="B4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8" s="43"/>
      <c r="D418" s="41"/>
      <c r="E418" s="41"/>
      <c r="F418" s="44"/>
      <c r="G418" s="44"/>
      <c r="H418" s="48"/>
      <c r="I418" s="48"/>
      <c r="J418" s="48"/>
      <c r="K418" s="48"/>
      <c r="L418" s="43"/>
      <c r="M418" s="44"/>
      <c r="N418" s="43"/>
      <c r="O418" s="43"/>
      <c r="P418" s="44"/>
      <c r="Q418" s="43"/>
      <c r="R418" s="43"/>
      <c r="S418" s="45"/>
      <c r="T418" s="58" t="str">
        <f>IF(Tableau1[[#This Row],[DMS_SAP]]="","",HYPERLINK(Tableau1[[#This Row],[Chemin fichier source]],"X"))</f>
        <v/>
      </c>
      <c r="U418" s="58" t="str">
        <f>IF(Tableau1[[#This Row],[Date rév.]]="","",HYPERLINK(Tableau1[[#This Row],[Lien document]],"X"))</f>
        <v/>
      </c>
      <c r="V418" s="44"/>
      <c r="W418" s="46" t="str">
        <f ca="1">Chemin_accès!$B$2&amp;Tableau1[[#This Row],[Poste Responsable]]&amp;"\"&amp;Tableau1[[#This Row],[Localisation / Classement]]&amp;"\"&amp;Tableau1[[#This Row],[Poste technique]]&amp;"_"&amp;Tableau1[[#This Row],[Plan Entretien]]&amp;".pdf"</f>
        <v>\\stjn.local\trimet\Donnees_Projets\Dms Sap\Maintenance\PlanEntretien\7.MNRJ\\_.pdf</v>
      </c>
      <c r="X418" s="44"/>
      <c r="Y418" s="44"/>
      <c r="Z418" s="41" t="str">
        <f ca="1">IF(AND(Tableau1[[#This Row],[Charge]]&lt;&gt;0, Tableau1[[#This Row],[Nombre intervenants]]&lt;&gt;0,Tableau1[[#This Row],[Lien document]]&lt;&gt;0,Tableau1[[#This Row],[DMS_SAP]]&lt;&gt;0)=TRUE,"MIS A JOUR","")</f>
        <v/>
      </c>
      <c r="AA418" s="45"/>
      <c r="AB418" s="55" t="str">
        <f ca="1">IF(Tableau1[[#This Row],[Date rév.]]&lt;&gt;"", DAYS360(Tableau1[[#This Row],[Date rév.]],TODAY()),"")</f>
        <v/>
      </c>
      <c r="AC418" s="47">
        <f>IFERROR(INDEX(Chemin_accès!$B$11:$C$22,MATCH(Tableau1[[#This Row],[Type]],Chemin_accès!$C$11:$C$22,0),1),Chemin_accès!$B$11)</f>
        <v>0</v>
      </c>
      <c r="AD418" s="47" t="str">
        <f>Chemin_accès!$B$8&amp;Tableau1[[#This Row],[Localisation / Classement]]&amp;"\"&amp;Tableau1[[#This Row],[Poste technique]]&amp;"_"&amp;Tableau1[[#This Row],[Plan Entretien]]&amp;".xlsm"</f>
        <v>\_.xlsm</v>
      </c>
    </row>
    <row r="419" spans="1:30" x14ac:dyDescent="0.3">
      <c r="A419" s="41" t="str">
        <f t="shared" ca="1" si="6"/>
        <v>7.MNRJ</v>
      </c>
      <c r="B4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9" s="43"/>
      <c r="D419" s="41"/>
      <c r="E419" s="41"/>
      <c r="F419" s="44"/>
      <c r="G419" s="44"/>
      <c r="H419" s="48"/>
      <c r="I419" s="48"/>
      <c r="J419" s="48"/>
      <c r="K419" s="48"/>
      <c r="L419" s="43"/>
      <c r="M419" s="44"/>
      <c r="N419" s="43"/>
      <c r="O419" s="43"/>
      <c r="P419" s="44"/>
      <c r="Q419" s="43"/>
      <c r="R419" s="43"/>
      <c r="S419" s="45"/>
      <c r="T419" s="58" t="str">
        <f>IF(Tableau1[[#This Row],[DMS_SAP]]="","",HYPERLINK(Tableau1[[#This Row],[Chemin fichier source]],"X"))</f>
        <v/>
      </c>
      <c r="U419" s="58" t="str">
        <f>IF(Tableau1[[#This Row],[Date rév.]]="","",HYPERLINK(Tableau1[[#This Row],[Lien document]],"X"))</f>
        <v/>
      </c>
      <c r="V419" s="44"/>
      <c r="W419" s="46" t="str">
        <f ca="1">Chemin_accès!$B$2&amp;Tableau1[[#This Row],[Poste Responsable]]&amp;"\"&amp;Tableau1[[#This Row],[Localisation / Classement]]&amp;"\"&amp;Tableau1[[#This Row],[Poste technique]]&amp;"_"&amp;Tableau1[[#This Row],[Plan Entretien]]&amp;".pdf"</f>
        <v>\\stjn.local\trimet\Donnees_Projets\Dms Sap\Maintenance\PlanEntretien\7.MNRJ\\_.pdf</v>
      </c>
      <c r="X419" s="44"/>
      <c r="Y419" s="44"/>
      <c r="Z419" s="41" t="str">
        <f ca="1">IF(AND(Tableau1[[#This Row],[Charge]]&lt;&gt;0, Tableau1[[#This Row],[Nombre intervenants]]&lt;&gt;0,Tableau1[[#This Row],[Lien document]]&lt;&gt;0,Tableau1[[#This Row],[DMS_SAP]]&lt;&gt;0)=TRUE,"MIS A JOUR","")</f>
        <v/>
      </c>
      <c r="AA419" s="45"/>
      <c r="AB419" s="55" t="str">
        <f ca="1">IF(Tableau1[[#This Row],[Date rév.]]&lt;&gt;"", DAYS360(Tableau1[[#This Row],[Date rév.]],TODAY()),"")</f>
        <v/>
      </c>
      <c r="AC419" s="47">
        <f>IFERROR(INDEX(Chemin_accès!$B$11:$C$22,MATCH(Tableau1[[#This Row],[Type]],Chemin_accès!$C$11:$C$22,0),1),Chemin_accès!$B$11)</f>
        <v>0</v>
      </c>
      <c r="AD419" s="47" t="str">
        <f>Chemin_accès!$B$8&amp;Tableau1[[#This Row],[Localisation / Classement]]&amp;"\"&amp;Tableau1[[#This Row],[Poste technique]]&amp;"_"&amp;Tableau1[[#This Row],[Plan Entretien]]&amp;".xlsm"</f>
        <v>\_.xlsm</v>
      </c>
    </row>
    <row r="420" spans="1:30" x14ac:dyDescent="0.3">
      <c r="A420" s="41" t="str">
        <f t="shared" ca="1" si="6"/>
        <v>7.MNRJ</v>
      </c>
      <c r="B4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0" s="43"/>
      <c r="D420" s="41"/>
      <c r="E420" s="41"/>
      <c r="F420" s="44"/>
      <c r="G420" s="44"/>
      <c r="H420" s="48"/>
      <c r="I420" s="48"/>
      <c r="J420" s="48"/>
      <c r="K420" s="48"/>
      <c r="L420" s="43"/>
      <c r="M420" s="44"/>
      <c r="N420" s="43"/>
      <c r="O420" s="43"/>
      <c r="P420" s="44"/>
      <c r="Q420" s="43"/>
      <c r="R420" s="43"/>
      <c r="S420" s="45"/>
      <c r="T420" s="58" t="str">
        <f>IF(Tableau1[[#This Row],[DMS_SAP]]="","",HYPERLINK(Tableau1[[#This Row],[Chemin fichier source]],"X"))</f>
        <v/>
      </c>
      <c r="U420" s="58" t="str">
        <f>IF(Tableau1[[#This Row],[Date rév.]]="","",HYPERLINK(Tableau1[[#This Row],[Lien document]],"X"))</f>
        <v/>
      </c>
      <c r="V420" s="44"/>
      <c r="W420" s="46" t="str">
        <f ca="1">Chemin_accès!$B$2&amp;Tableau1[[#This Row],[Poste Responsable]]&amp;"\"&amp;Tableau1[[#This Row],[Localisation / Classement]]&amp;"\"&amp;Tableau1[[#This Row],[Poste technique]]&amp;"_"&amp;Tableau1[[#This Row],[Plan Entretien]]&amp;".pdf"</f>
        <v>\\stjn.local\trimet\Donnees_Projets\Dms Sap\Maintenance\PlanEntretien\7.MNRJ\\_.pdf</v>
      </c>
      <c r="X420" s="44"/>
      <c r="Y420" s="44"/>
      <c r="Z420" s="41" t="str">
        <f ca="1">IF(AND(Tableau1[[#This Row],[Charge]]&lt;&gt;0, Tableau1[[#This Row],[Nombre intervenants]]&lt;&gt;0,Tableau1[[#This Row],[Lien document]]&lt;&gt;0,Tableau1[[#This Row],[DMS_SAP]]&lt;&gt;0)=TRUE,"MIS A JOUR","")</f>
        <v/>
      </c>
      <c r="AA420" s="45"/>
      <c r="AB420" s="55" t="str">
        <f ca="1">IF(Tableau1[[#This Row],[Date rév.]]&lt;&gt;"", DAYS360(Tableau1[[#This Row],[Date rév.]],TODAY()),"")</f>
        <v/>
      </c>
      <c r="AC420" s="47">
        <f>IFERROR(INDEX(Chemin_accès!$B$11:$C$22,MATCH(Tableau1[[#This Row],[Type]],Chemin_accès!$C$11:$C$22,0),1),Chemin_accès!$B$11)</f>
        <v>0</v>
      </c>
      <c r="AD420" s="47" t="str">
        <f>Chemin_accès!$B$8&amp;Tableau1[[#This Row],[Localisation / Classement]]&amp;"\"&amp;Tableau1[[#This Row],[Poste technique]]&amp;"_"&amp;Tableau1[[#This Row],[Plan Entretien]]&amp;".xlsm"</f>
        <v>\_.xlsm</v>
      </c>
    </row>
    <row r="421" spans="1:30" x14ac:dyDescent="0.3">
      <c r="A421" s="41" t="str">
        <f t="shared" ca="1" si="6"/>
        <v>7.MNRJ</v>
      </c>
      <c r="B4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1" s="43"/>
      <c r="D421" s="41"/>
      <c r="E421" s="41"/>
      <c r="F421" s="44"/>
      <c r="G421" s="44"/>
      <c r="H421" s="48"/>
      <c r="I421" s="48"/>
      <c r="J421" s="48"/>
      <c r="K421" s="48"/>
      <c r="L421" s="43"/>
      <c r="M421" s="44"/>
      <c r="N421" s="43"/>
      <c r="O421" s="43"/>
      <c r="P421" s="44"/>
      <c r="Q421" s="43"/>
      <c r="R421" s="43"/>
      <c r="S421" s="45"/>
      <c r="T421" s="58" t="str">
        <f>IF(Tableau1[[#This Row],[DMS_SAP]]="","",HYPERLINK(Tableau1[[#This Row],[Chemin fichier source]],"X"))</f>
        <v/>
      </c>
      <c r="U421" s="58" t="str">
        <f>IF(Tableau1[[#This Row],[Date rév.]]="","",HYPERLINK(Tableau1[[#This Row],[Lien document]],"X"))</f>
        <v/>
      </c>
      <c r="V421" s="44"/>
      <c r="W421" s="46" t="str">
        <f ca="1">Chemin_accès!$B$2&amp;Tableau1[[#This Row],[Poste Responsable]]&amp;"\"&amp;Tableau1[[#This Row],[Localisation / Classement]]&amp;"\"&amp;Tableau1[[#This Row],[Poste technique]]&amp;"_"&amp;Tableau1[[#This Row],[Plan Entretien]]&amp;".pdf"</f>
        <v>\\stjn.local\trimet\Donnees_Projets\Dms Sap\Maintenance\PlanEntretien\7.MNRJ\\_.pdf</v>
      </c>
      <c r="X421" s="44"/>
      <c r="Y421" s="44"/>
      <c r="Z421" s="41" t="str">
        <f ca="1">IF(AND(Tableau1[[#This Row],[Charge]]&lt;&gt;0, Tableau1[[#This Row],[Nombre intervenants]]&lt;&gt;0,Tableau1[[#This Row],[Lien document]]&lt;&gt;0,Tableau1[[#This Row],[DMS_SAP]]&lt;&gt;0)=TRUE,"MIS A JOUR","")</f>
        <v/>
      </c>
      <c r="AA421" s="45"/>
      <c r="AB421" s="55" t="str">
        <f ca="1">IF(Tableau1[[#This Row],[Date rév.]]&lt;&gt;"", DAYS360(Tableau1[[#This Row],[Date rév.]],TODAY()),"")</f>
        <v/>
      </c>
      <c r="AC421" s="47">
        <f>IFERROR(INDEX(Chemin_accès!$B$11:$C$22,MATCH(Tableau1[[#This Row],[Type]],Chemin_accès!$C$11:$C$22,0),1),Chemin_accès!$B$11)</f>
        <v>0</v>
      </c>
      <c r="AD421" s="47" t="str">
        <f>Chemin_accès!$B$8&amp;Tableau1[[#This Row],[Localisation / Classement]]&amp;"\"&amp;Tableau1[[#This Row],[Poste technique]]&amp;"_"&amp;Tableau1[[#This Row],[Plan Entretien]]&amp;".xlsm"</f>
        <v>\_.xlsm</v>
      </c>
    </row>
    <row r="422" spans="1:30" x14ac:dyDescent="0.3">
      <c r="A422" s="41" t="str">
        <f t="shared" ca="1" si="6"/>
        <v>7.MNRJ</v>
      </c>
      <c r="B4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2" s="43"/>
      <c r="D422" s="41"/>
      <c r="E422" s="41"/>
      <c r="F422" s="44"/>
      <c r="G422" s="44"/>
      <c r="H422" s="48"/>
      <c r="I422" s="48"/>
      <c r="J422" s="48"/>
      <c r="K422" s="48"/>
      <c r="L422" s="43"/>
      <c r="M422" s="44"/>
      <c r="N422" s="43"/>
      <c r="O422" s="43"/>
      <c r="P422" s="44"/>
      <c r="Q422" s="43"/>
      <c r="R422" s="43"/>
      <c r="S422" s="45"/>
      <c r="T422" s="58" t="str">
        <f>IF(Tableau1[[#This Row],[DMS_SAP]]="","",HYPERLINK(Tableau1[[#This Row],[Chemin fichier source]],"X"))</f>
        <v/>
      </c>
      <c r="U422" s="58" t="str">
        <f>IF(Tableau1[[#This Row],[Date rév.]]="","",HYPERLINK(Tableau1[[#This Row],[Lien document]],"X"))</f>
        <v/>
      </c>
      <c r="V422" s="44"/>
      <c r="W422" s="46" t="str">
        <f ca="1">Chemin_accès!$B$2&amp;Tableau1[[#This Row],[Poste Responsable]]&amp;"\"&amp;Tableau1[[#This Row],[Localisation / Classement]]&amp;"\"&amp;Tableau1[[#This Row],[Poste technique]]&amp;"_"&amp;Tableau1[[#This Row],[Plan Entretien]]&amp;".pdf"</f>
        <v>\\stjn.local\trimet\Donnees_Projets\Dms Sap\Maintenance\PlanEntretien\7.MNRJ\\_.pdf</v>
      </c>
      <c r="X422" s="44"/>
      <c r="Y422" s="44"/>
      <c r="Z422" s="41" t="str">
        <f ca="1">IF(AND(Tableau1[[#This Row],[Charge]]&lt;&gt;0, Tableau1[[#This Row],[Nombre intervenants]]&lt;&gt;0,Tableau1[[#This Row],[Lien document]]&lt;&gt;0,Tableau1[[#This Row],[DMS_SAP]]&lt;&gt;0)=TRUE,"MIS A JOUR","")</f>
        <v/>
      </c>
      <c r="AA422" s="45"/>
      <c r="AB422" s="55" t="str">
        <f ca="1">IF(Tableau1[[#This Row],[Date rév.]]&lt;&gt;"", DAYS360(Tableau1[[#This Row],[Date rév.]],TODAY()),"")</f>
        <v/>
      </c>
      <c r="AC422" s="47">
        <f>IFERROR(INDEX(Chemin_accès!$B$11:$C$22,MATCH(Tableau1[[#This Row],[Type]],Chemin_accès!$C$11:$C$22,0),1),Chemin_accès!$B$11)</f>
        <v>0</v>
      </c>
      <c r="AD422" s="47" t="str">
        <f>Chemin_accès!$B$8&amp;Tableau1[[#This Row],[Localisation / Classement]]&amp;"\"&amp;Tableau1[[#This Row],[Poste technique]]&amp;"_"&amp;Tableau1[[#This Row],[Plan Entretien]]&amp;".xlsm"</f>
        <v>\_.xlsm</v>
      </c>
    </row>
    <row r="423" spans="1:30" x14ac:dyDescent="0.3">
      <c r="A423" s="41" t="str">
        <f t="shared" ca="1" si="6"/>
        <v>7.MNRJ</v>
      </c>
      <c r="B4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3" s="43"/>
      <c r="D423" s="41"/>
      <c r="E423" s="41"/>
      <c r="F423" s="44"/>
      <c r="G423" s="44"/>
      <c r="H423" s="48"/>
      <c r="I423" s="48"/>
      <c r="J423" s="48"/>
      <c r="K423" s="48"/>
      <c r="L423" s="43"/>
      <c r="M423" s="44"/>
      <c r="N423" s="43"/>
      <c r="O423" s="43"/>
      <c r="P423" s="44"/>
      <c r="Q423" s="43"/>
      <c r="R423" s="43"/>
      <c r="S423" s="45"/>
      <c r="T423" s="58" t="str">
        <f>IF(Tableau1[[#This Row],[DMS_SAP]]="","",HYPERLINK(Tableau1[[#This Row],[Chemin fichier source]],"X"))</f>
        <v/>
      </c>
      <c r="U423" s="58" t="str">
        <f>IF(Tableau1[[#This Row],[Date rév.]]="","",HYPERLINK(Tableau1[[#This Row],[Lien document]],"X"))</f>
        <v/>
      </c>
      <c r="V423" s="44"/>
      <c r="W423" s="46" t="str">
        <f ca="1">Chemin_accès!$B$2&amp;Tableau1[[#This Row],[Poste Responsable]]&amp;"\"&amp;Tableau1[[#This Row],[Localisation / Classement]]&amp;"\"&amp;Tableau1[[#This Row],[Poste technique]]&amp;"_"&amp;Tableau1[[#This Row],[Plan Entretien]]&amp;".pdf"</f>
        <v>\\stjn.local\trimet\Donnees_Projets\Dms Sap\Maintenance\PlanEntretien\7.MNRJ\\_.pdf</v>
      </c>
      <c r="X423" s="44"/>
      <c r="Y423" s="44"/>
      <c r="Z423" s="41" t="str">
        <f ca="1">IF(AND(Tableau1[[#This Row],[Charge]]&lt;&gt;0, Tableau1[[#This Row],[Nombre intervenants]]&lt;&gt;0,Tableau1[[#This Row],[Lien document]]&lt;&gt;0,Tableau1[[#This Row],[DMS_SAP]]&lt;&gt;0)=TRUE,"MIS A JOUR","")</f>
        <v/>
      </c>
      <c r="AA423" s="45"/>
      <c r="AB423" s="55" t="str">
        <f ca="1">IF(Tableau1[[#This Row],[Date rév.]]&lt;&gt;"", DAYS360(Tableau1[[#This Row],[Date rév.]],TODAY()),"")</f>
        <v/>
      </c>
      <c r="AC423" s="47">
        <f>IFERROR(INDEX(Chemin_accès!$B$11:$C$22,MATCH(Tableau1[[#This Row],[Type]],Chemin_accès!$C$11:$C$22,0),1),Chemin_accès!$B$11)</f>
        <v>0</v>
      </c>
      <c r="AD423" s="47" t="str">
        <f>Chemin_accès!$B$8&amp;Tableau1[[#This Row],[Localisation / Classement]]&amp;"\"&amp;Tableau1[[#This Row],[Poste technique]]&amp;"_"&amp;Tableau1[[#This Row],[Plan Entretien]]&amp;".xlsm"</f>
        <v>\_.xlsm</v>
      </c>
    </row>
    <row r="424" spans="1:30" x14ac:dyDescent="0.3">
      <c r="A424" s="41" t="str">
        <f t="shared" ca="1" si="6"/>
        <v>7.MNRJ</v>
      </c>
      <c r="B4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4" s="43"/>
      <c r="D424" s="41"/>
      <c r="E424" s="41"/>
      <c r="F424" s="44"/>
      <c r="G424" s="44"/>
      <c r="H424" s="48"/>
      <c r="I424" s="48"/>
      <c r="J424" s="48"/>
      <c r="K424" s="48"/>
      <c r="L424" s="43"/>
      <c r="M424" s="44"/>
      <c r="N424" s="43"/>
      <c r="O424" s="43"/>
      <c r="P424" s="44"/>
      <c r="Q424" s="43"/>
      <c r="R424" s="43"/>
      <c r="S424" s="45"/>
      <c r="T424" s="58" t="str">
        <f>IF(Tableau1[[#This Row],[DMS_SAP]]="","",HYPERLINK(Tableau1[[#This Row],[Chemin fichier source]],"X"))</f>
        <v/>
      </c>
      <c r="U424" s="58" t="str">
        <f>IF(Tableau1[[#This Row],[Date rév.]]="","",HYPERLINK(Tableau1[[#This Row],[Lien document]],"X"))</f>
        <v/>
      </c>
      <c r="V424" s="44"/>
      <c r="W424" s="46" t="str">
        <f ca="1">Chemin_accès!$B$2&amp;Tableau1[[#This Row],[Poste Responsable]]&amp;"\"&amp;Tableau1[[#This Row],[Localisation / Classement]]&amp;"\"&amp;Tableau1[[#This Row],[Poste technique]]&amp;"_"&amp;Tableau1[[#This Row],[Plan Entretien]]&amp;".pdf"</f>
        <v>\\stjn.local\trimet\Donnees_Projets\Dms Sap\Maintenance\PlanEntretien\7.MNRJ\\_.pdf</v>
      </c>
      <c r="X424" s="44"/>
      <c r="Y424" s="44"/>
      <c r="Z424" s="41" t="str">
        <f ca="1">IF(AND(Tableau1[[#This Row],[Charge]]&lt;&gt;0, Tableau1[[#This Row],[Nombre intervenants]]&lt;&gt;0,Tableau1[[#This Row],[Lien document]]&lt;&gt;0,Tableau1[[#This Row],[DMS_SAP]]&lt;&gt;0)=TRUE,"MIS A JOUR","")</f>
        <v/>
      </c>
      <c r="AA424" s="45"/>
      <c r="AB424" s="55" t="str">
        <f ca="1">IF(Tableau1[[#This Row],[Date rév.]]&lt;&gt;"", DAYS360(Tableau1[[#This Row],[Date rév.]],TODAY()),"")</f>
        <v/>
      </c>
      <c r="AC424" s="47">
        <f>IFERROR(INDEX(Chemin_accès!$B$11:$C$22,MATCH(Tableau1[[#This Row],[Type]],Chemin_accès!$C$11:$C$22,0),1),Chemin_accès!$B$11)</f>
        <v>0</v>
      </c>
      <c r="AD424" s="47" t="str">
        <f>Chemin_accès!$B$8&amp;Tableau1[[#This Row],[Localisation / Classement]]&amp;"\"&amp;Tableau1[[#This Row],[Poste technique]]&amp;"_"&amp;Tableau1[[#This Row],[Plan Entretien]]&amp;".xlsm"</f>
        <v>\_.xlsm</v>
      </c>
    </row>
    <row r="425" spans="1:30" x14ac:dyDescent="0.3">
      <c r="A425" s="41" t="str">
        <f t="shared" ca="1" si="6"/>
        <v>7.MNRJ</v>
      </c>
      <c r="B4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5" s="43"/>
      <c r="D425" s="41"/>
      <c r="E425" s="41"/>
      <c r="F425" s="44"/>
      <c r="G425" s="44"/>
      <c r="H425" s="48"/>
      <c r="I425" s="48"/>
      <c r="J425" s="48"/>
      <c r="K425" s="48"/>
      <c r="L425" s="43"/>
      <c r="M425" s="44"/>
      <c r="N425" s="43"/>
      <c r="O425" s="43"/>
      <c r="P425" s="44"/>
      <c r="Q425" s="43"/>
      <c r="R425" s="43"/>
      <c r="S425" s="45"/>
      <c r="T425" s="58" t="str">
        <f>IF(Tableau1[[#This Row],[DMS_SAP]]="","",HYPERLINK(Tableau1[[#This Row],[Chemin fichier source]],"X"))</f>
        <v/>
      </c>
      <c r="U425" s="58" t="str">
        <f>IF(Tableau1[[#This Row],[Date rév.]]="","",HYPERLINK(Tableau1[[#This Row],[Lien document]],"X"))</f>
        <v/>
      </c>
      <c r="V425" s="44"/>
      <c r="W425" s="46" t="str">
        <f ca="1">Chemin_accès!$B$2&amp;Tableau1[[#This Row],[Poste Responsable]]&amp;"\"&amp;Tableau1[[#This Row],[Localisation / Classement]]&amp;"\"&amp;Tableau1[[#This Row],[Poste technique]]&amp;"_"&amp;Tableau1[[#This Row],[Plan Entretien]]&amp;".pdf"</f>
        <v>\\stjn.local\trimet\Donnees_Projets\Dms Sap\Maintenance\PlanEntretien\7.MNRJ\\_.pdf</v>
      </c>
      <c r="X425" s="44"/>
      <c r="Y425" s="44"/>
      <c r="Z425" s="41" t="str">
        <f ca="1">IF(AND(Tableau1[[#This Row],[Charge]]&lt;&gt;0, Tableau1[[#This Row],[Nombre intervenants]]&lt;&gt;0,Tableau1[[#This Row],[Lien document]]&lt;&gt;0,Tableau1[[#This Row],[DMS_SAP]]&lt;&gt;0)=TRUE,"MIS A JOUR","")</f>
        <v/>
      </c>
      <c r="AA425" s="45"/>
      <c r="AB425" s="55" t="str">
        <f ca="1">IF(Tableau1[[#This Row],[Date rév.]]&lt;&gt;"", DAYS360(Tableau1[[#This Row],[Date rév.]],TODAY()),"")</f>
        <v/>
      </c>
      <c r="AC425" s="47">
        <f>IFERROR(INDEX(Chemin_accès!$B$11:$C$22,MATCH(Tableau1[[#This Row],[Type]],Chemin_accès!$C$11:$C$22,0),1),Chemin_accès!$B$11)</f>
        <v>0</v>
      </c>
      <c r="AD425" s="47" t="str">
        <f>Chemin_accès!$B$8&amp;Tableau1[[#This Row],[Localisation / Classement]]&amp;"\"&amp;Tableau1[[#This Row],[Poste technique]]&amp;"_"&amp;Tableau1[[#This Row],[Plan Entretien]]&amp;".xlsm"</f>
        <v>\_.xlsm</v>
      </c>
    </row>
    <row r="426" spans="1:30" x14ac:dyDescent="0.3">
      <c r="A426" s="41" t="str">
        <f t="shared" ca="1" si="6"/>
        <v>7.MNRJ</v>
      </c>
      <c r="B4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6" s="43"/>
      <c r="D426" s="41"/>
      <c r="E426" s="41"/>
      <c r="F426" s="44"/>
      <c r="G426" s="44"/>
      <c r="H426" s="48"/>
      <c r="I426" s="48"/>
      <c r="J426" s="48"/>
      <c r="K426" s="48"/>
      <c r="L426" s="43"/>
      <c r="M426" s="44"/>
      <c r="N426" s="43"/>
      <c r="O426" s="43"/>
      <c r="P426" s="44"/>
      <c r="Q426" s="43"/>
      <c r="R426" s="43"/>
      <c r="S426" s="45"/>
      <c r="T426" s="58" t="str">
        <f>IF(Tableau1[[#This Row],[DMS_SAP]]="","",HYPERLINK(Tableau1[[#This Row],[Chemin fichier source]],"X"))</f>
        <v/>
      </c>
      <c r="U426" s="58" t="str">
        <f>IF(Tableau1[[#This Row],[Date rév.]]="","",HYPERLINK(Tableau1[[#This Row],[Lien document]],"X"))</f>
        <v/>
      </c>
      <c r="V426" s="44"/>
      <c r="W426" s="46" t="str">
        <f ca="1">Chemin_accès!$B$2&amp;Tableau1[[#This Row],[Poste Responsable]]&amp;"\"&amp;Tableau1[[#This Row],[Localisation / Classement]]&amp;"\"&amp;Tableau1[[#This Row],[Poste technique]]&amp;"_"&amp;Tableau1[[#This Row],[Plan Entretien]]&amp;".pdf"</f>
        <v>\\stjn.local\trimet\Donnees_Projets\Dms Sap\Maintenance\PlanEntretien\7.MNRJ\\_.pdf</v>
      </c>
      <c r="X426" s="44"/>
      <c r="Y426" s="44"/>
      <c r="Z426" s="41" t="str">
        <f ca="1">IF(AND(Tableau1[[#This Row],[Charge]]&lt;&gt;0, Tableau1[[#This Row],[Nombre intervenants]]&lt;&gt;0,Tableau1[[#This Row],[Lien document]]&lt;&gt;0,Tableau1[[#This Row],[DMS_SAP]]&lt;&gt;0)=TRUE,"MIS A JOUR","")</f>
        <v/>
      </c>
      <c r="AA426" s="45"/>
      <c r="AB426" s="55" t="str">
        <f ca="1">IF(Tableau1[[#This Row],[Date rév.]]&lt;&gt;"", DAYS360(Tableau1[[#This Row],[Date rév.]],TODAY()),"")</f>
        <v/>
      </c>
      <c r="AC426" s="47">
        <f>IFERROR(INDEX(Chemin_accès!$B$11:$C$22,MATCH(Tableau1[[#This Row],[Type]],Chemin_accès!$C$11:$C$22,0),1),Chemin_accès!$B$11)</f>
        <v>0</v>
      </c>
      <c r="AD426" s="47" t="str">
        <f>Chemin_accès!$B$8&amp;Tableau1[[#This Row],[Localisation / Classement]]&amp;"\"&amp;Tableau1[[#This Row],[Poste technique]]&amp;"_"&amp;Tableau1[[#This Row],[Plan Entretien]]&amp;".xlsm"</f>
        <v>\_.xlsm</v>
      </c>
    </row>
    <row r="427" spans="1:30" x14ac:dyDescent="0.3">
      <c r="A427" s="41" t="str">
        <f t="shared" ca="1" si="6"/>
        <v>7.MNRJ</v>
      </c>
      <c r="B4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7" s="43"/>
      <c r="D427" s="41"/>
      <c r="E427" s="41"/>
      <c r="F427" s="44"/>
      <c r="G427" s="44"/>
      <c r="H427" s="48"/>
      <c r="I427" s="48"/>
      <c r="J427" s="48"/>
      <c r="K427" s="48"/>
      <c r="L427" s="43"/>
      <c r="M427" s="44"/>
      <c r="N427" s="43"/>
      <c r="O427" s="43"/>
      <c r="P427" s="44"/>
      <c r="Q427" s="43"/>
      <c r="R427" s="43"/>
      <c r="S427" s="45"/>
      <c r="T427" s="58" t="str">
        <f>IF(Tableau1[[#This Row],[DMS_SAP]]="","",HYPERLINK(Tableau1[[#This Row],[Chemin fichier source]],"X"))</f>
        <v/>
      </c>
      <c r="U427" s="58" t="str">
        <f>IF(Tableau1[[#This Row],[Date rév.]]="","",HYPERLINK(Tableau1[[#This Row],[Lien document]],"X"))</f>
        <v/>
      </c>
      <c r="V427" s="44"/>
      <c r="W427" s="46" t="str">
        <f ca="1">Chemin_accès!$B$2&amp;Tableau1[[#This Row],[Poste Responsable]]&amp;"\"&amp;Tableau1[[#This Row],[Localisation / Classement]]&amp;"\"&amp;Tableau1[[#This Row],[Poste technique]]&amp;"_"&amp;Tableau1[[#This Row],[Plan Entretien]]&amp;".pdf"</f>
        <v>\\stjn.local\trimet\Donnees_Projets\Dms Sap\Maintenance\PlanEntretien\7.MNRJ\\_.pdf</v>
      </c>
      <c r="X427" s="44"/>
      <c r="Y427" s="44"/>
      <c r="Z427" s="41" t="str">
        <f ca="1">IF(AND(Tableau1[[#This Row],[Charge]]&lt;&gt;0, Tableau1[[#This Row],[Nombre intervenants]]&lt;&gt;0,Tableau1[[#This Row],[Lien document]]&lt;&gt;0,Tableau1[[#This Row],[DMS_SAP]]&lt;&gt;0)=TRUE,"MIS A JOUR","")</f>
        <v/>
      </c>
      <c r="AA427" s="45"/>
      <c r="AB427" s="55" t="str">
        <f ca="1">IF(Tableau1[[#This Row],[Date rév.]]&lt;&gt;"", DAYS360(Tableau1[[#This Row],[Date rév.]],TODAY()),"")</f>
        <v/>
      </c>
      <c r="AC427" s="47">
        <f>IFERROR(INDEX(Chemin_accès!$B$11:$C$22,MATCH(Tableau1[[#This Row],[Type]],Chemin_accès!$C$11:$C$22,0),1),Chemin_accès!$B$11)</f>
        <v>0</v>
      </c>
      <c r="AD427" s="47" t="str">
        <f>Chemin_accès!$B$8&amp;Tableau1[[#This Row],[Localisation / Classement]]&amp;"\"&amp;Tableau1[[#This Row],[Poste technique]]&amp;"_"&amp;Tableau1[[#This Row],[Plan Entretien]]&amp;".xlsm"</f>
        <v>\_.xlsm</v>
      </c>
    </row>
    <row r="428" spans="1:30" x14ac:dyDescent="0.3">
      <c r="A428" s="41" t="str">
        <f t="shared" ca="1" si="6"/>
        <v>7.MNRJ</v>
      </c>
      <c r="B4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8" s="43"/>
      <c r="D428" s="41"/>
      <c r="E428" s="41"/>
      <c r="F428" s="44"/>
      <c r="G428" s="44"/>
      <c r="H428" s="48"/>
      <c r="I428" s="48"/>
      <c r="J428" s="48"/>
      <c r="K428" s="48"/>
      <c r="L428" s="43"/>
      <c r="M428" s="44"/>
      <c r="N428" s="43"/>
      <c r="O428" s="43"/>
      <c r="P428" s="44"/>
      <c r="Q428" s="43"/>
      <c r="R428" s="43"/>
      <c r="S428" s="45"/>
      <c r="T428" s="58" t="str">
        <f>IF(Tableau1[[#This Row],[DMS_SAP]]="","",HYPERLINK(Tableau1[[#This Row],[Chemin fichier source]],"X"))</f>
        <v/>
      </c>
      <c r="U428" s="58" t="str">
        <f>IF(Tableau1[[#This Row],[Date rév.]]="","",HYPERLINK(Tableau1[[#This Row],[Lien document]],"X"))</f>
        <v/>
      </c>
      <c r="V428" s="44"/>
      <c r="W428" s="46" t="str">
        <f ca="1">Chemin_accès!$B$2&amp;Tableau1[[#This Row],[Poste Responsable]]&amp;"\"&amp;Tableau1[[#This Row],[Localisation / Classement]]&amp;"\"&amp;Tableau1[[#This Row],[Poste technique]]&amp;"_"&amp;Tableau1[[#This Row],[Plan Entretien]]&amp;".pdf"</f>
        <v>\\stjn.local\trimet\Donnees_Projets\Dms Sap\Maintenance\PlanEntretien\7.MNRJ\\_.pdf</v>
      </c>
      <c r="X428" s="44"/>
      <c r="Y428" s="44"/>
      <c r="Z428" s="41" t="str">
        <f ca="1">IF(AND(Tableau1[[#This Row],[Charge]]&lt;&gt;0, Tableau1[[#This Row],[Nombre intervenants]]&lt;&gt;0,Tableau1[[#This Row],[Lien document]]&lt;&gt;0,Tableau1[[#This Row],[DMS_SAP]]&lt;&gt;0)=TRUE,"MIS A JOUR","")</f>
        <v/>
      </c>
      <c r="AA428" s="45"/>
      <c r="AB428" s="55" t="str">
        <f ca="1">IF(Tableau1[[#This Row],[Date rév.]]&lt;&gt;"", DAYS360(Tableau1[[#This Row],[Date rév.]],TODAY()),"")</f>
        <v/>
      </c>
      <c r="AC428" s="47">
        <f>IFERROR(INDEX(Chemin_accès!$B$11:$C$22,MATCH(Tableau1[[#This Row],[Type]],Chemin_accès!$C$11:$C$22,0),1),Chemin_accès!$B$11)</f>
        <v>0</v>
      </c>
      <c r="AD428" s="47" t="str">
        <f>Chemin_accès!$B$8&amp;Tableau1[[#This Row],[Localisation / Classement]]&amp;"\"&amp;Tableau1[[#This Row],[Poste technique]]&amp;"_"&amp;Tableau1[[#This Row],[Plan Entretien]]&amp;".xlsm"</f>
        <v>\_.xlsm</v>
      </c>
    </row>
    <row r="429" spans="1:30" x14ac:dyDescent="0.3">
      <c r="A429" s="41" t="str">
        <f t="shared" ca="1" si="6"/>
        <v>7.MNRJ</v>
      </c>
      <c r="B4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9" s="43"/>
      <c r="D429" s="41"/>
      <c r="E429" s="41"/>
      <c r="F429" s="44"/>
      <c r="G429" s="44"/>
      <c r="H429" s="48"/>
      <c r="I429" s="48"/>
      <c r="J429" s="48"/>
      <c r="K429" s="48"/>
      <c r="L429" s="43"/>
      <c r="M429" s="44"/>
      <c r="N429" s="43"/>
      <c r="O429" s="43"/>
      <c r="P429" s="44"/>
      <c r="Q429" s="43"/>
      <c r="R429" s="43"/>
      <c r="S429" s="45"/>
      <c r="T429" s="58" t="str">
        <f>IF(Tableau1[[#This Row],[DMS_SAP]]="","",HYPERLINK(Tableau1[[#This Row],[Chemin fichier source]],"X"))</f>
        <v/>
      </c>
      <c r="U429" s="58" t="str">
        <f>IF(Tableau1[[#This Row],[Date rév.]]="","",HYPERLINK(Tableau1[[#This Row],[Lien document]],"X"))</f>
        <v/>
      </c>
      <c r="V429" s="44"/>
      <c r="W429" s="46" t="str">
        <f ca="1">Chemin_accès!$B$2&amp;Tableau1[[#This Row],[Poste Responsable]]&amp;"\"&amp;Tableau1[[#This Row],[Localisation / Classement]]&amp;"\"&amp;Tableau1[[#This Row],[Poste technique]]&amp;"_"&amp;Tableau1[[#This Row],[Plan Entretien]]&amp;".pdf"</f>
        <v>\\stjn.local\trimet\Donnees_Projets\Dms Sap\Maintenance\PlanEntretien\7.MNRJ\\_.pdf</v>
      </c>
      <c r="X429" s="44"/>
      <c r="Y429" s="44"/>
      <c r="Z429" s="41" t="str">
        <f ca="1">IF(AND(Tableau1[[#This Row],[Charge]]&lt;&gt;0, Tableau1[[#This Row],[Nombre intervenants]]&lt;&gt;0,Tableau1[[#This Row],[Lien document]]&lt;&gt;0,Tableau1[[#This Row],[DMS_SAP]]&lt;&gt;0)=TRUE,"MIS A JOUR","")</f>
        <v/>
      </c>
      <c r="AA429" s="45"/>
      <c r="AB429" s="55" t="str">
        <f ca="1">IF(Tableau1[[#This Row],[Date rév.]]&lt;&gt;"", DAYS360(Tableau1[[#This Row],[Date rév.]],TODAY()),"")</f>
        <v/>
      </c>
      <c r="AC429" s="47">
        <f>IFERROR(INDEX(Chemin_accès!$B$11:$C$22,MATCH(Tableau1[[#This Row],[Type]],Chemin_accès!$C$11:$C$22,0),1),Chemin_accès!$B$11)</f>
        <v>0</v>
      </c>
      <c r="AD429" s="47" t="str">
        <f>Chemin_accès!$B$8&amp;Tableau1[[#This Row],[Localisation / Classement]]&amp;"\"&amp;Tableau1[[#This Row],[Poste technique]]&amp;"_"&amp;Tableau1[[#This Row],[Plan Entretien]]&amp;".xlsm"</f>
        <v>\_.xlsm</v>
      </c>
    </row>
    <row r="430" spans="1:30" x14ac:dyDescent="0.3">
      <c r="A430" s="41" t="str">
        <f t="shared" ca="1" si="6"/>
        <v>7.MNRJ</v>
      </c>
      <c r="B4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0" s="43"/>
      <c r="D430" s="41"/>
      <c r="E430" s="41"/>
      <c r="F430" s="44"/>
      <c r="G430" s="44"/>
      <c r="H430" s="48"/>
      <c r="I430" s="48"/>
      <c r="J430" s="48"/>
      <c r="K430" s="48"/>
      <c r="L430" s="43"/>
      <c r="M430" s="44"/>
      <c r="N430" s="43"/>
      <c r="O430" s="43"/>
      <c r="P430" s="44"/>
      <c r="Q430" s="43"/>
      <c r="R430" s="43"/>
      <c r="S430" s="45"/>
      <c r="T430" s="58" t="str">
        <f>IF(Tableau1[[#This Row],[DMS_SAP]]="","",HYPERLINK(Tableau1[[#This Row],[Chemin fichier source]],"X"))</f>
        <v/>
      </c>
      <c r="U430" s="58" t="str">
        <f>IF(Tableau1[[#This Row],[Date rév.]]="","",HYPERLINK(Tableau1[[#This Row],[Lien document]],"X"))</f>
        <v/>
      </c>
      <c r="V430" s="44"/>
      <c r="W430" s="46" t="str">
        <f ca="1">Chemin_accès!$B$2&amp;Tableau1[[#This Row],[Poste Responsable]]&amp;"\"&amp;Tableau1[[#This Row],[Localisation / Classement]]&amp;"\"&amp;Tableau1[[#This Row],[Poste technique]]&amp;"_"&amp;Tableau1[[#This Row],[Plan Entretien]]&amp;".pdf"</f>
        <v>\\stjn.local\trimet\Donnees_Projets\Dms Sap\Maintenance\PlanEntretien\7.MNRJ\\_.pdf</v>
      </c>
      <c r="X430" s="44"/>
      <c r="Y430" s="44"/>
      <c r="Z430" s="41" t="str">
        <f ca="1">IF(AND(Tableau1[[#This Row],[Charge]]&lt;&gt;0, Tableau1[[#This Row],[Nombre intervenants]]&lt;&gt;0,Tableau1[[#This Row],[Lien document]]&lt;&gt;0,Tableau1[[#This Row],[DMS_SAP]]&lt;&gt;0)=TRUE,"MIS A JOUR","")</f>
        <v/>
      </c>
      <c r="AA430" s="45"/>
      <c r="AB430" s="55" t="str">
        <f ca="1">IF(Tableau1[[#This Row],[Date rév.]]&lt;&gt;"", DAYS360(Tableau1[[#This Row],[Date rév.]],TODAY()),"")</f>
        <v/>
      </c>
      <c r="AC430" s="47">
        <f>IFERROR(INDEX(Chemin_accès!$B$11:$C$22,MATCH(Tableau1[[#This Row],[Type]],Chemin_accès!$C$11:$C$22,0),1),Chemin_accès!$B$11)</f>
        <v>0</v>
      </c>
      <c r="AD430" s="47" t="str">
        <f>Chemin_accès!$B$8&amp;Tableau1[[#This Row],[Localisation / Classement]]&amp;"\"&amp;Tableau1[[#This Row],[Poste technique]]&amp;"_"&amp;Tableau1[[#This Row],[Plan Entretien]]&amp;".xlsm"</f>
        <v>\_.xlsm</v>
      </c>
    </row>
    <row r="431" spans="1:30" x14ac:dyDescent="0.3">
      <c r="A431" s="41" t="str">
        <f t="shared" ca="1" si="6"/>
        <v>7.MNRJ</v>
      </c>
      <c r="B4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1" s="43"/>
      <c r="D431" s="41"/>
      <c r="E431" s="41"/>
      <c r="F431" s="44"/>
      <c r="G431" s="44"/>
      <c r="H431" s="48"/>
      <c r="I431" s="48"/>
      <c r="J431" s="48"/>
      <c r="K431" s="48"/>
      <c r="L431" s="43"/>
      <c r="M431" s="44"/>
      <c r="N431" s="43"/>
      <c r="O431" s="43"/>
      <c r="P431" s="44"/>
      <c r="Q431" s="43"/>
      <c r="R431" s="43"/>
      <c r="S431" s="45"/>
      <c r="T431" s="58" t="str">
        <f>IF(Tableau1[[#This Row],[DMS_SAP]]="","",HYPERLINK(Tableau1[[#This Row],[Chemin fichier source]],"X"))</f>
        <v/>
      </c>
      <c r="U431" s="58" t="str">
        <f>IF(Tableau1[[#This Row],[Date rév.]]="","",HYPERLINK(Tableau1[[#This Row],[Lien document]],"X"))</f>
        <v/>
      </c>
      <c r="V431" s="44"/>
      <c r="W431" s="46" t="str">
        <f ca="1">Chemin_accès!$B$2&amp;Tableau1[[#This Row],[Poste Responsable]]&amp;"\"&amp;Tableau1[[#This Row],[Localisation / Classement]]&amp;"\"&amp;Tableau1[[#This Row],[Poste technique]]&amp;"_"&amp;Tableau1[[#This Row],[Plan Entretien]]&amp;".pdf"</f>
        <v>\\stjn.local\trimet\Donnees_Projets\Dms Sap\Maintenance\PlanEntretien\7.MNRJ\\_.pdf</v>
      </c>
      <c r="X431" s="44"/>
      <c r="Y431" s="44"/>
      <c r="Z431" s="41" t="str">
        <f ca="1">IF(AND(Tableau1[[#This Row],[Charge]]&lt;&gt;0, Tableau1[[#This Row],[Nombre intervenants]]&lt;&gt;0,Tableau1[[#This Row],[Lien document]]&lt;&gt;0,Tableau1[[#This Row],[DMS_SAP]]&lt;&gt;0)=TRUE,"MIS A JOUR","")</f>
        <v/>
      </c>
      <c r="AA431" s="45"/>
      <c r="AB431" s="55" t="str">
        <f ca="1">IF(Tableau1[[#This Row],[Date rév.]]&lt;&gt;"", DAYS360(Tableau1[[#This Row],[Date rév.]],TODAY()),"")</f>
        <v/>
      </c>
      <c r="AC431" s="47">
        <f>IFERROR(INDEX(Chemin_accès!$B$11:$C$22,MATCH(Tableau1[[#This Row],[Type]],Chemin_accès!$C$11:$C$22,0),1),Chemin_accès!$B$11)</f>
        <v>0</v>
      </c>
      <c r="AD431" s="47" t="str">
        <f>Chemin_accès!$B$8&amp;Tableau1[[#This Row],[Localisation / Classement]]&amp;"\"&amp;Tableau1[[#This Row],[Poste technique]]&amp;"_"&amp;Tableau1[[#This Row],[Plan Entretien]]&amp;".xlsm"</f>
        <v>\_.xlsm</v>
      </c>
    </row>
    <row r="432" spans="1:30" x14ac:dyDescent="0.3">
      <c r="A432" s="41" t="str">
        <f t="shared" ca="1" si="6"/>
        <v>7.MNRJ</v>
      </c>
      <c r="B4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2" s="43"/>
      <c r="D432" s="41"/>
      <c r="E432" s="41"/>
      <c r="F432" s="44"/>
      <c r="G432" s="44"/>
      <c r="H432" s="48"/>
      <c r="I432" s="48"/>
      <c r="J432" s="48"/>
      <c r="K432" s="48"/>
      <c r="L432" s="43"/>
      <c r="M432" s="44"/>
      <c r="N432" s="43"/>
      <c r="O432" s="43"/>
      <c r="P432" s="44"/>
      <c r="Q432" s="43"/>
      <c r="R432" s="43"/>
      <c r="S432" s="45"/>
      <c r="T432" s="58" t="str">
        <f>IF(Tableau1[[#This Row],[DMS_SAP]]="","",HYPERLINK(Tableau1[[#This Row],[Chemin fichier source]],"X"))</f>
        <v/>
      </c>
      <c r="U432" s="58" t="str">
        <f>IF(Tableau1[[#This Row],[Date rév.]]="","",HYPERLINK(Tableau1[[#This Row],[Lien document]],"X"))</f>
        <v/>
      </c>
      <c r="V432" s="44"/>
      <c r="W432" s="46" t="str">
        <f ca="1">Chemin_accès!$B$2&amp;Tableau1[[#This Row],[Poste Responsable]]&amp;"\"&amp;Tableau1[[#This Row],[Localisation / Classement]]&amp;"\"&amp;Tableau1[[#This Row],[Poste technique]]&amp;"_"&amp;Tableau1[[#This Row],[Plan Entretien]]&amp;".pdf"</f>
        <v>\\stjn.local\trimet\Donnees_Projets\Dms Sap\Maintenance\PlanEntretien\7.MNRJ\\_.pdf</v>
      </c>
      <c r="X432" s="44"/>
      <c r="Y432" s="44"/>
      <c r="Z432" s="41" t="str">
        <f ca="1">IF(AND(Tableau1[[#This Row],[Charge]]&lt;&gt;0, Tableau1[[#This Row],[Nombre intervenants]]&lt;&gt;0,Tableau1[[#This Row],[Lien document]]&lt;&gt;0,Tableau1[[#This Row],[DMS_SAP]]&lt;&gt;0)=TRUE,"MIS A JOUR","")</f>
        <v/>
      </c>
      <c r="AA432" s="45"/>
      <c r="AB432" s="55" t="str">
        <f ca="1">IF(Tableau1[[#This Row],[Date rév.]]&lt;&gt;"", DAYS360(Tableau1[[#This Row],[Date rév.]],TODAY()),"")</f>
        <v/>
      </c>
      <c r="AC432" s="47">
        <f>IFERROR(INDEX(Chemin_accès!$B$11:$C$22,MATCH(Tableau1[[#This Row],[Type]],Chemin_accès!$C$11:$C$22,0),1),Chemin_accès!$B$11)</f>
        <v>0</v>
      </c>
      <c r="AD432" s="47" t="str">
        <f>Chemin_accès!$B$8&amp;Tableau1[[#This Row],[Localisation / Classement]]&amp;"\"&amp;Tableau1[[#This Row],[Poste technique]]&amp;"_"&amp;Tableau1[[#This Row],[Plan Entretien]]&amp;".xlsm"</f>
        <v>\_.xlsm</v>
      </c>
    </row>
    <row r="433" spans="1:30" x14ac:dyDescent="0.3">
      <c r="A433" s="41" t="str">
        <f t="shared" ca="1" si="6"/>
        <v>7.MNRJ</v>
      </c>
      <c r="B4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3" s="43"/>
      <c r="D433" s="41"/>
      <c r="E433" s="41"/>
      <c r="F433" s="44"/>
      <c r="G433" s="44"/>
      <c r="H433" s="48"/>
      <c r="I433" s="48"/>
      <c r="J433" s="48"/>
      <c r="K433" s="48"/>
      <c r="L433" s="43"/>
      <c r="M433" s="44"/>
      <c r="N433" s="43"/>
      <c r="O433" s="43"/>
      <c r="P433" s="44"/>
      <c r="Q433" s="43"/>
      <c r="R433" s="43"/>
      <c r="S433" s="45"/>
      <c r="T433" s="58" t="str">
        <f>IF(Tableau1[[#This Row],[DMS_SAP]]="","",HYPERLINK(Tableau1[[#This Row],[Chemin fichier source]],"X"))</f>
        <v/>
      </c>
      <c r="U433" s="58" t="str">
        <f>IF(Tableau1[[#This Row],[Date rév.]]="","",HYPERLINK(Tableau1[[#This Row],[Lien document]],"X"))</f>
        <v/>
      </c>
      <c r="V433" s="44"/>
      <c r="W433" s="46" t="str">
        <f ca="1">Chemin_accès!$B$2&amp;Tableau1[[#This Row],[Poste Responsable]]&amp;"\"&amp;Tableau1[[#This Row],[Localisation / Classement]]&amp;"\"&amp;Tableau1[[#This Row],[Poste technique]]&amp;"_"&amp;Tableau1[[#This Row],[Plan Entretien]]&amp;".pdf"</f>
        <v>\\stjn.local\trimet\Donnees_Projets\Dms Sap\Maintenance\PlanEntretien\7.MNRJ\\_.pdf</v>
      </c>
      <c r="X433" s="44"/>
      <c r="Y433" s="44"/>
      <c r="Z433" s="41" t="str">
        <f ca="1">IF(AND(Tableau1[[#This Row],[Charge]]&lt;&gt;0, Tableau1[[#This Row],[Nombre intervenants]]&lt;&gt;0,Tableau1[[#This Row],[Lien document]]&lt;&gt;0,Tableau1[[#This Row],[DMS_SAP]]&lt;&gt;0)=TRUE,"MIS A JOUR","")</f>
        <v/>
      </c>
      <c r="AA433" s="45"/>
      <c r="AB433" s="55" t="str">
        <f ca="1">IF(Tableau1[[#This Row],[Date rév.]]&lt;&gt;"", DAYS360(Tableau1[[#This Row],[Date rév.]],TODAY()),"")</f>
        <v/>
      </c>
      <c r="AC433" s="47">
        <f>IFERROR(INDEX(Chemin_accès!$B$11:$C$22,MATCH(Tableau1[[#This Row],[Type]],Chemin_accès!$C$11:$C$22,0),1),Chemin_accès!$B$11)</f>
        <v>0</v>
      </c>
      <c r="AD433" s="47" t="str">
        <f>Chemin_accès!$B$8&amp;Tableau1[[#This Row],[Localisation / Classement]]&amp;"\"&amp;Tableau1[[#This Row],[Poste technique]]&amp;"_"&amp;Tableau1[[#This Row],[Plan Entretien]]&amp;".xlsm"</f>
        <v>\_.xlsm</v>
      </c>
    </row>
    <row r="434" spans="1:30" x14ac:dyDescent="0.3">
      <c r="A434" s="41" t="str">
        <f t="shared" ca="1" si="6"/>
        <v>7.MNRJ</v>
      </c>
      <c r="B4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4" s="43"/>
      <c r="D434" s="41"/>
      <c r="E434" s="41"/>
      <c r="F434" s="44"/>
      <c r="G434" s="44"/>
      <c r="H434" s="48"/>
      <c r="I434" s="48"/>
      <c r="J434" s="48"/>
      <c r="K434" s="48"/>
      <c r="L434" s="43"/>
      <c r="M434" s="44"/>
      <c r="N434" s="43"/>
      <c r="O434" s="43"/>
      <c r="P434" s="44"/>
      <c r="Q434" s="43"/>
      <c r="R434" s="43"/>
      <c r="S434" s="45"/>
      <c r="T434" s="58" t="str">
        <f>IF(Tableau1[[#This Row],[DMS_SAP]]="","",HYPERLINK(Tableau1[[#This Row],[Chemin fichier source]],"X"))</f>
        <v/>
      </c>
      <c r="U434" s="58" t="str">
        <f>IF(Tableau1[[#This Row],[Date rév.]]="","",HYPERLINK(Tableau1[[#This Row],[Lien document]],"X"))</f>
        <v/>
      </c>
      <c r="V434" s="44"/>
      <c r="W434" s="46" t="str">
        <f ca="1">Chemin_accès!$B$2&amp;Tableau1[[#This Row],[Poste Responsable]]&amp;"\"&amp;Tableau1[[#This Row],[Localisation / Classement]]&amp;"\"&amp;Tableau1[[#This Row],[Poste technique]]&amp;"_"&amp;Tableau1[[#This Row],[Plan Entretien]]&amp;".pdf"</f>
        <v>\\stjn.local\trimet\Donnees_Projets\Dms Sap\Maintenance\PlanEntretien\7.MNRJ\\_.pdf</v>
      </c>
      <c r="X434" s="44"/>
      <c r="Y434" s="44"/>
      <c r="Z434" s="41" t="str">
        <f ca="1">IF(AND(Tableau1[[#This Row],[Charge]]&lt;&gt;0, Tableau1[[#This Row],[Nombre intervenants]]&lt;&gt;0,Tableau1[[#This Row],[Lien document]]&lt;&gt;0,Tableau1[[#This Row],[DMS_SAP]]&lt;&gt;0)=TRUE,"MIS A JOUR","")</f>
        <v/>
      </c>
      <c r="AA434" s="45"/>
      <c r="AB434" s="55" t="str">
        <f ca="1">IF(Tableau1[[#This Row],[Date rév.]]&lt;&gt;"", DAYS360(Tableau1[[#This Row],[Date rév.]],TODAY()),"")</f>
        <v/>
      </c>
      <c r="AC434" s="47">
        <f>IFERROR(INDEX(Chemin_accès!$B$11:$C$22,MATCH(Tableau1[[#This Row],[Type]],Chemin_accès!$C$11:$C$22,0),1),Chemin_accès!$B$11)</f>
        <v>0</v>
      </c>
      <c r="AD434" s="47" t="str">
        <f>Chemin_accès!$B$8&amp;Tableau1[[#This Row],[Localisation / Classement]]&amp;"\"&amp;Tableau1[[#This Row],[Poste technique]]&amp;"_"&amp;Tableau1[[#This Row],[Plan Entretien]]&amp;".xlsm"</f>
        <v>\_.xlsm</v>
      </c>
    </row>
    <row r="435" spans="1:30" x14ac:dyDescent="0.3">
      <c r="A435" s="41" t="str">
        <f t="shared" ca="1" si="6"/>
        <v>7.MNRJ</v>
      </c>
      <c r="B4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5" s="43"/>
      <c r="D435" s="41"/>
      <c r="E435" s="41"/>
      <c r="F435" s="44"/>
      <c r="G435" s="44"/>
      <c r="H435" s="48"/>
      <c r="I435" s="48"/>
      <c r="J435" s="48"/>
      <c r="K435" s="48"/>
      <c r="L435" s="43"/>
      <c r="M435" s="44"/>
      <c r="N435" s="43"/>
      <c r="O435" s="43"/>
      <c r="P435" s="44"/>
      <c r="Q435" s="43"/>
      <c r="R435" s="43"/>
      <c r="S435" s="45"/>
      <c r="T435" s="58" t="str">
        <f>IF(Tableau1[[#This Row],[DMS_SAP]]="","",HYPERLINK(Tableau1[[#This Row],[Chemin fichier source]],"X"))</f>
        <v/>
      </c>
      <c r="U435" s="58" t="str">
        <f>IF(Tableau1[[#This Row],[Date rév.]]="","",HYPERLINK(Tableau1[[#This Row],[Lien document]],"X"))</f>
        <v/>
      </c>
      <c r="V435" s="44"/>
      <c r="W435" s="46" t="str">
        <f ca="1">Chemin_accès!$B$2&amp;Tableau1[[#This Row],[Poste Responsable]]&amp;"\"&amp;Tableau1[[#This Row],[Localisation / Classement]]&amp;"\"&amp;Tableau1[[#This Row],[Poste technique]]&amp;"_"&amp;Tableau1[[#This Row],[Plan Entretien]]&amp;".pdf"</f>
        <v>\\stjn.local\trimet\Donnees_Projets\Dms Sap\Maintenance\PlanEntretien\7.MNRJ\\_.pdf</v>
      </c>
      <c r="X435" s="44"/>
      <c r="Y435" s="44"/>
      <c r="Z435" s="41" t="str">
        <f ca="1">IF(AND(Tableau1[[#This Row],[Charge]]&lt;&gt;0, Tableau1[[#This Row],[Nombre intervenants]]&lt;&gt;0,Tableau1[[#This Row],[Lien document]]&lt;&gt;0,Tableau1[[#This Row],[DMS_SAP]]&lt;&gt;0)=TRUE,"MIS A JOUR","")</f>
        <v/>
      </c>
      <c r="AA435" s="45"/>
      <c r="AB435" s="55" t="str">
        <f ca="1">IF(Tableau1[[#This Row],[Date rév.]]&lt;&gt;"", DAYS360(Tableau1[[#This Row],[Date rév.]],TODAY()),"")</f>
        <v/>
      </c>
      <c r="AC435" s="47">
        <f>IFERROR(INDEX(Chemin_accès!$B$11:$C$22,MATCH(Tableau1[[#This Row],[Type]],Chemin_accès!$C$11:$C$22,0),1),Chemin_accès!$B$11)</f>
        <v>0</v>
      </c>
      <c r="AD435" s="47" t="str">
        <f>Chemin_accès!$B$8&amp;Tableau1[[#This Row],[Localisation / Classement]]&amp;"\"&amp;Tableau1[[#This Row],[Poste technique]]&amp;"_"&amp;Tableau1[[#This Row],[Plan Entretien]]&amp;".xlsm"</f>
        <v>\_.xlsm</v>
      </c>
    </row>
    <row r="436" spans="1:30" x14ac:dyDescent="0.3">
      <c r="A436" s="41" t="str">
        <f t="shared" ca="1" si="6"/>
        <v>7.MNRJ</v>
      </c>
      <c r="B4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6" s="43"/>
      <c r="D436" s="41"/>
      <c r="E436" s="41"/>
      <c r="F436" s="44"/>
      <c r="G436" s="44"/>
      <c r="H436" s="48"/>
      <c r="I436" s="48"/>
      <c r="J436" s="48"/>
      <c r="K436" s="48"/>
      <c r="L436" s="43"/>
      <c r="M436" s="44"/>
      <c r="N436" s="43"/>
      <c r="O436" s="43"/>
      <c r="P436" s="44"/>
      <c r="Q436" s="43"/>
      <c r="R436" s="43"/>
      <c r="S436" s="45"/>
      <c r="T436" s="58" t="str">
        <f>IF(Tableau1[[#This Row],[DMS_SAP]]="","",HYPERLINK(Tableau1[[#This Row],[Chemin fichier source]],"X"))</f>
        <v/>
      </c>
      <c r="U436" s="58" t="str">
        <f>IF(Tableau1[[#This Row],[Date rév.]]="","",HYPERLINK(Tableau1[[#This Row],[Lien document]],"X"))</f>
        <v/>
      </c>
      <c r="V436" s="44"/>
      <c r="W436" s="46" t="str">
        <f ca="1">Chemin_accès!$B$2&amp;Tableau1[[#This Row],[Poste Responsable]]&amp;"\"&amp;Tableau1[[#This Row],[Localisation / Classement]]&amp;"\"&amp;Tableau1[[#This Row],[Poste technique]]&amp;"_"&amp;Tableau1[[#This Row],[Plan Entretien]]&amp;".pdf"</f>
        <v>\\stjn.local\trimet\Donnees_Projets\Dms Sap\Maintenance\PlanEntretien\7.MNRJ\\_.pdf</v>
      </c>
      <c r="X436" s="44"/>
      <c r="Y436" s="44"/>
      <c r="Z436" s="41" t="str">
        <f ca="1">IF(AND(Tableau1[[#This Row],[Charge]]&lt;&gt;0, Tableau1[[#This Row],[Nombre intervenants]]&lt;&gt;0,Tableau1[[#This Row],[Lien document]]&lt;&gt;0,Tableau1[[#This Row],[DMS_SAP]]&lt;&gt;0)=TRUE,"MIS A JOUR","")</f>
        <v/>
      </c>
      <c r="AA436" s="45"/>
      <c r="AB436" s="55" t="str">
        <f ca="1">IF(Tableau1[[#This Row],[Date rév.]]&lt;&gt;"", DAYS360(Tableau1[[#This Row],[Date rév.]],TODAY()),"")</f>
        <v/>
      </c>
      <c r="AC436" s="47">
        <f>IFERROR(INDEX(Chemin_accès!$B$11:$C$22,MATCH(Tableau1[[#This Row],[Type]],Chemin_accès!$C$11:$C$22,0),1),Chemin_accès!$B$11)</f>
        <v>0</v>
      </c>
      <c r="AD436" s="47" t="str">
        <f>Chemin_accès!$B$8&amp;Tableau1[[#This Row],[Localisation / Classement]]&amp;"\"&amp;Tableau1[[#This Row],[Poste technique]]&amp;"_"&amp;Tableau1[[#This Row],[Plan Entretien]]&amp;".xlsm"</f>
        <v>\_.xlsm</v>
      </c>
    </row>
    <row r="437" spans="1:30" x14ac:dyDescent="0.3">
      <c r="A437" s="41" t="str">
        <f t="shared" ca="1" si="6"/>
        <v>7.MNRJ</v>
      </c>
      <c r="B4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7" s="43"/>
      <c r="D437" s="41"/>
      <c r="E437" s="41"/>
      <c r="F437" s="44"/>
      <c r="G437" s="44"/>
      <c r="H437" s="48"/>
      <c r="I437" s="48"/>
      <c r="J437" s="48"/>
      <c r="K437" s="48"/>
      <c r="L437" s="43"/>
      <c r="M437" s="44"/>
      <c r="N437" s="43"/>
      <c r="O437" s="43"/>
      <c r="P437" s="44"/>
      <c r="Q437" s="43"/>
      <c r="R437" s="43"/>
      <c r="S437" s="45"/>
      <c r="T437" s="58" t="str">
        <f>IF(Tableau1[[#This Row],[DMS_SAP]]="","",HYPERLINK(Tableau1[[#This Row],[Chemin fichier source]],"X"))</f>
        <v/>
      </c>
      <c r="U437" s="58" t="str">
        <f>IF(Tableau1[[#This Row],[Date rév.]]="","",HYPERLINK(Tableau1[[#This Row],[Lien document]],"X"))</f>
        <v/>
      </c>
      <c r="V437" s="44"/>
      <c r="W437" s="46" t="str">
        <f ca="1">Chemin_accès!$B$2&amp;Tableau1[[#This Row],[Poste Responsable]]&amp;"\"&amp;Tableau1[[#This Row],[Localisation / Classement]]&amp;"\"&amp;Tableau1[[#This Row],[Poste technique]]&amp;"_"&amp;Tableau1[[#This Row],[Plan Entretien]]&amp;".pdf"</f>
        <v>\\stjn.local\trimet\Donnees_Projets\Dms Sap\Maintenance\PlanEntretien\7.MNRJ\\_.pdf</v>
      </c>
      <c r="X437" s="44"/>
      <c r="Y437" s="44"/>
      <c r="Z437" s="41" t="str">
        <f ca="1">IF(AND(Tableau1[[#This Row],[Charge]]&lt;&gt;0, Tableau1[[#This Row],[Nombre intervenants]]&lt;&gt;0,Tableau1[[#This Row],[Lien document]]&lt;&gt;0,Tableau1[[#This Row],[DMS_SAP]]&lt;&gt;0)=TRUE,"MIS A JOUR","")</f>
        <v/>
      </c>
      <c r="AA437" s="45"/>
      <c r="AB437" s="55" t="str">
        <f ca="1">IF(Tableau1[[#This Row],[Date rév.]]&lt;&gt;"", DAYS360(Tableau1[[#This Row],[Date rév.]],TODAY()),"")</f>
        <v/>
      </c>
      <c r="AC437" s="47">
        <f>IFERROR(INDEX(Chemin_accès!$B$11:$C$22,MATCH(Tableau1[[#This Row],[Type]],Chemin_accès!$C$11:$C$22,0),1),Chemin_accès!$B$11)</f>
        <v>0</v>
      </c>
      <c r="AD437" s="47" t="str">
        <f>Chemin_accès!$B$8&amp;Tableau1[[#This Row],[Localisation / Classement]]&amp;"\"&amp;Tableau1[[#This Row],[Poste technique]]&amp;"_"&amp;Tableau1[[#This Row],[Plan Entretien]]&amp;".xlsm"</f>
        <v>\_.xlsm</v>
      </c>
    </row>
    <row r="438" spans="1:30" x14ac:dyDescent="0.3">
      <c r="A438" s="41" t="str">
        <f t="shared" ca="1" si="6"/>
        <v>7.MNRJ</v>
      </c>
      <c r="B4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8" s="43"/>
      <c r="D438" s="41"/>
      <c r="E438" s="41"/>
      <c r="F438" s="44"/>
      <c r="G438" s="44"/>
      <c r="H438" s="48"/>
      <c r="I438" s="48"/>
      <c r="J438" s="48"/>
      <c r="K438" s="48"/>
      <c r="L438" s="43"/>
      <c r="M438" s="44"/>
      <c r="N438" s="43"/>
      <c r="O438" s="43"/>
      <c r="P438" s="44"/>
      <c r="Q438" s="43"/>
      <c r="R438" s="43"/>
      <c r="S438" s="45"/>
      <c r="T438" s="58" t="str">
        <f>IF(Tableau1[[#This Row],[DMS_SAP]]="","",HYPERLINK(Tableau1[[#This Row],[Chemin fichier source]],"X"))</f>
        <v/>
      </c>
      <c r="U438" s="58" t="str">
        <f>IF(Tableau1[[#This Row],[Date rév.]]="","",HYPERLINK(Tableau1[[#This Row],[Lien document]],"X"))</f>
        <v/>
      </c>
      <c r="V438" s="44"/>
      <c r="W438" s="46" t="str">
        <f ca="1">Chemin_accès!$B$2&amp;Tableau1[[#This Row],[Poste Responsable]]&amp;"\"&amp;Tableau1[[#This Row],[Localisation / Classement]]&amp;"\"&amp;Tableau1[[#This Row],[Poste technique]]&amp;"_"&amp;Tableau1[[#This Row],[Plan Entretien]]&amp;".pdf"</f>
        <v>\\stjn.local\trimet\Donnees_Projets\Dms Sap\Maintenance\PlanEntretien\7.MNRJ\\_.pdf</v>
      </c>
      <c r="X438" s="44"/>
      <c r="Y438" s="44"/>
      <c r="Z438" s="41" t="str">
        <f ca="1">IF(AND(Tableau1[[#This Row],[Charge]]&lt;&gt;0, Tableau1[[#This Row],[Nombre intervenants]]&lt;&gt;0,Tableau1[[#This Row],[Lien document]]&lt;&gt;0,Tableau1[[#This Row],[DMS_SAP]]&lt;&gt;0)=TRUE,"MIS A JOUR","")</f>
        <v/>
      </c>
      <c r="AA438" s="45"/>
      <c r="AB438" s="55" t="str">
        <f ca="1">IF(Tableau1[[#This Row],[Date rév.]]&lt;&gt;"", DAYS360(Tableau1[[#This Row],[Date rév.]],TODAY()),"")</f>
        <v/>
      </c>
      <c r="AC438" s="47">
        <f>IFERROR(INDEX(Chemin_accès!$B$11:$C$22,MATCH(Tableau1[[#This Row],[Type]],Chemin_accès!$C$11:$C$22,0),1),Chemin_accès!$B$11)</f>
        <v>0</v>
      </c>
      <c r="AD438" s="47" t="str">
        <f>Chemin_accès!$B$8&amp;Tableau1[[#This Row],[Localisation / Classement]]&amp;"\"&amp;Tableau1[[#This Row],[Poste technique]]&amp;"_"&amp;Tableau1[[#This Row],[Plan Entretien]]&amp;".xlsm"</f>
        <v>\_.xlsm</v>
      </c>
    </row>
    <row r="439" spans="1:30" x14ac:dyDescent="0.3">
      <c r="A439" s="41" t="str">
        <f t="shared" ca="1" si="6"/>
        <v>7.MNRJ</v>
      </c>
      <c r="B4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9" s="43"/>
      <c r="D439" s="41"/>
      <c r="E439" s="41"/>
      <c r="F439" s="44"/>
      <c r="G439" s="44"/>
      <c r="H439" s="48"/>
      <c r="I439" s="48"/>
      <c r="J439" s="48"/>
      <c r="K439" s="48"/>
      <c r="L439" s="43"/>
      <c r="M439" s="44"/>
      <c r="N439" s="43"/>
      <c r="O439" s="43"/>
      <c r="P439" s="44"/>
      <c r="Q439" s="43"/>
      <c r="R439" s="43"/>
      <c r="S439" s="45"/>
      <c r="T439" s="58" t="str">
        <f>IF(Tableau1[[#This Row],[DMS_SAP]]="","",HYPERLINK(Tableau1[[#This Row],[Chemin fichier source]],"X"))</f>
        <v/>
      </c>
      <c r="U439" s="58" t="str">
        <f>IF(Tableau1[[#This Row],[Date rév.]]="","",HYPERLINK(Tableau1[[#This Row],[Lien document]],"X"))</f>
        <v/>
      </c>
      <c r="V439" s="44"/>
      <c r="W439" s="46" t="str">
        <f ca="1">Chemin_accès!$B$2&amp;Tableau1[[#This Row],[Poste Responsable]]&amp;"\"&amp;Tableau1[[#This Row],[Localisation / Classement]]&amp;"\"&amp;Tableau1[[#This Row],[Poste technique]]&amp;"_"&amp;Tableau1[[#This Row],[Plan Entretien]]&amp;".pdf"</f>
        <v>\\stjn.local\trimet\Donnees_Projets\Dms Sap\Maintenance\PlanEntretien\7.MNRJ\\_.pdf</v>
      </c>
      <c r="X439" s="44"/>
      <c r="Y439" s="44"/>
      <c r="Z439" s="41" t="str">
        <f ca="1">IF(AND(Tableau1[[#This Row],[Charge]]&lt;&gt;0, Tableau1[[#This Row],[Nombre intervenants]]&lt;&gt;0,Tableau1[[#This Row],[Lien document]]&lt;&gt;0,Tableau1[[#This Row],[DMS_SAP]]&lt;&gt;0)=TRUE,"MIS A JOUR","")</f>
        <v/>
      </c>
      <c r="AA439" s="45"/>
      <c r="AB439" s="55" t="str">
        <f ca="1">IF(Tableau1[[#This Row],[Date rév.]]&lt;&gt;"", DAYS360(Tableau1[[#This Row],[Date rév.]],TODAY()),"")</f>
        <v/>
      </c>
      <c r="AC439" s="47">
        <f>IFERROR(INDEX(Chemin_accès!$B$11:$C$22,MATCH(Tableau1[[#This Row],[Type]],Chemin_accès!$C$11:$C$22,0),1),Chemin_accès!$B$11)</f>
        <v>0</v>
      </c>
      <c r="AD439" s="47" t="str">
        <f>Chemin_accès!$B$8&amp;Tableau1[[#This Row],[Localisation / Classement]]&amp;"\"&amp;Tableau1[[#This Row],[Poste technique]]&amp;"_"&amp;Tableau1[[#This Row],[Plan Entretien]]&amp;".xlsm"</f>
        <v>\_.xlsm</v>
      </c>
    </row>
    <row r="440" spans="1:30" x14ac:dyDescent="0.3">
      <c r="A440" s="41" t="str">
        <f t="shared" ca="1" si="6"/>
        <v>7.MNRJ</v>
      </c>
      <c r="B4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0" s="43"/>
      <c r="D440" s="41"/>
      <c r="E440" s="41"/>
      <c r="F440" s="44"/>
      <c r="G440" s="44"/>
      <c r="H440" s="48"/>
      <c r="I440" s="48"/>
      <c r="J440" s="48"/>
      <c r="K440" s="48"/>
      <c r="L440" s="43"/>
      <c r="M440" s="44"/>
      <c r="N440" s="43"/>
      <c r="O440" s="43"/>
      <c r="P440" s="44"/>
      <c r="Q440" s="43"/>
      <c r="R440" s="43"/>
      <c r="S440" s="45"/>
      <c r="T440" s="58" t="str">
        <f>IF(Tableau1[[#This Row],[DMS_SAP]]="","",HYPERLINK(Tableau1[[#This Row],[Chemin fichier source]],"X"))</f>
        <v/>
      </c>
      <c r="U440" s="58" t="str">
        <f>IF(Tableau1[[#This Row],[Date rév.]]="","",HYPERLINK(Tableau1[[#This Row],[Lien document]],"X"))</f>
        <v/>
      </c>
      <c r="V440" s="44"/>
      <c r="W440" s="46" t="str">
        <f ca="1">Chemin_accès!$B$2&amp;Tableau1[[#This Row],[Poste Responsable]]&amp;"\"&amp;Tableau1[[#This Row],[Localisation / Classement]]&amp;"\"&amp;Tableau1[[#This Row],[Poste technique]]&amp;"_"&amp;Tableau1[[#This Row],[Plan Entretien]]&amp;".pdf"</f>
        <v>\\stjn.local\trimet\Donnees_Projets\Dms Sap\Maintenance\PlanEntretien\7.MNRJ\\_.pdf</v>
      </c>
      <c r="X440" s="44"/>
      <c r="Y440" s="44"/>
      <c r="Z440" s="41" t="str">
        <f ca="1">IF(AND(Tableau1[[#This Row],[Charge]]&lt;&gt;0, Tableau1[[#This Row],[Nombre intervenants]]&lt;&gt;0,Tableau1[[#This Row],[Lien document]]&lt;&gt;0,Tableau1[[#This Row],[DMS_SAP]]&lt;&gt;0)=TRUE,"MIS A JOUR","")</f>
        <v/>
      </c>
      <c r="AA440" s="45"/>
      <c r="AB440" s="55" t="str">
        <f ca="1">IF(Tableau1[[#This Row],[Date rév.]]&lt;&gt;"", DAYS360(Tableau1[[#This Row],[Date rév.]],TODAY()),"")</f>
        <v/>
      </c>
      <c r="AC440" s="47">
        <f>IFERROR(INDEX(Chemin_accès!$B$11:$C$22,MATCH(Tableau1[[#This Row],[Type]],Chemin_accès!$C$11:$C$22,0),1),Chemin_accès!$B$11)</f>
        <v>0</v>
      </c>
      <c r="AD440" s="47" t="str">
        <f>Chemin_accès!$B$8&amp;Tableau1[[#This Row],[Localisation / Classement]]&amp;"\"&amp;Tableau1[[#This Row],[Poste technique]]&amp;"_"&amp;Tableau1[[#This Row],[Plan Entretien]]&amp;".xlsm"</f>
        <v>\_.xlsm</v>
      </c>
    </row>
    <row r="441" spans="1:30" x14ac:dyDescent="0.3">
      <c r="A441" s="41" t="str">
        <f t="shared" ca="1" si="6"/>
        <v>7.MNRJ</v>
      </c>
      <c r="B4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1" s="43"/>
      <c r="D441" s="41"/>
      <c r="E441" s="41"/>
      <c r="F441" s="44"/>
      <c r="G441" s="44"/>
      <c r="H441" s="48"/>
      <c r="I441" s="48"/>
      <c r="J441" s="48"/>
      <c r="K441" s="48"/>
      <c r="L441" s="43"/>
      <c r="M441" s="44"/>
      <c r="N441" s="43"/>
      <c r="O441" s="43"/>
      <c r="P441" s="44"/>
      <c r="Q441" s="43"/>
      <c r="R441" s="43"/>
      <c r="S441" s="45"/>
      <c r="T441" s="58" t="str">
        <f>IF(Tableau1[[#This Row],[DMS_SAP]]="","",HYPERLINK(Tableau1[[#This Row],[Chemin fichier source]],"X"))</f>
        <v/>
      </c>
      <c r="U441" s="58" t="str">
        <f>IF(Tableau1[[#This Row],[Date rév.]]="","",HYPERLINK(Tableau1[[#This Row],[Lien document]],"X"))</f>
        <v/>
      </c>
      <c r="V441" s="44"/>
      <c r="W441" s="46" t="str">
        <f ca="1">Chemin_accès!$B$2&amp;Tableau1[[#This Row],[Poste Responsable]]&amp;"\"&amp;Tableau1[[#This Row],[Localisation / Classement]]&amp;"\"&amp;Tableau1[[#This Row],[Poste technique]]&amp;"_"&amp;Tableau1[[#This Row],[Plan Entretien]]&amp;".pdf"</f>
        <v>\\stjn.local\trimet\Donnees_Projets\Dms Sap\Maintenance\PlanEntretien\7.MNRJ\\_.pdf</v>
      </c>
      <c r="X441" s="44"/>
      <c r="Y441" s="44"/>
      <c r="Z441" s="41" t="str">
        <f ca="1">IF(AND(Tableau1[[#This Row],[Charge]]&lt;&gt;0, Tableau1[[#This Row],[Nombre intervenants]]&lt;&gt;0,Tableau1[[#This Row],[Lien document]]&lt;&gt;0,Tableau1[[#This Row],[DMS_SAP]]&lt;&gt;0)=TRUE,"MIS A JOUR","")</f>
        <v/>
      </c>
      <c r="AA441" s="45"/>
      <c r="AB441" s="55" t="str">
        <f ca="1">IF(Tableau1[[#This Row],[Date rév.]]&lt;&gt;"", DAYS360(Tableau1[[#This Row],[Date rév.]],TODAY()),"")</f>
        <v/>
      </c>
      <c r="AC441" s="47">
        <f>IFERROR(INDEX(Chemin_accès!$B$11:$C$22,MATCH(Tableau1[[#This Row],[Type]],Chemin_accès!$C$11:$C$22,0),1),Chemin_accès!$B$11)</f>
        <v>0</v>
      </c>
      <c r="AD441" s="47" t="str">
        <f>Chemin_accès!$B$8&amp;Tableau1[[#This Row],[Localisation / Classement]]&amp;"\"&amp;Tableau1[[#This Row],[Poste technique]]&amp;"_"&amp;Tableau1[[#This Row],[Plan Entretien]]&amp;".xlsm"</f>
        <v>\_.xlsm</v>
      </c>
    </row>
    <row r="442" spans="1:30" x14ac:dyDescent="0.3">
      <c r="A442" s="41" t="str">
        <f t="shared" ca="1" si="6"/>
        <v>7.MNRJ</v>
      </c>
      <c r="B4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2" s="43"/>
      <c r="D442" s="41"/>
      <c r="E442" s="41"/>
      <c r="F442" s="44"/>
      <c r="G442" s="44"/>
      <c r="H442" s="48"/>
      <c r="I442" s="48"/>
      <c r="J442" s="48"/>
      <c r="K442" s="48"/>
      <c r="L442" s="43"/>
      <c r="M442" s="44"/>
      <c r="N442" s="43"/>
      <c r="O442" s="43"/>
      <c r="P442" s="44"/>
      <c r="Q442" s="43"/>
      <c r="R442" s="43"/>
      <c r="S442" s="45"/>
      <c r="T442" s="58" t="str">
        <f>IF(Tableau1[[#This Row],[DMS_SAP]]="","",HYPERLINK(Tableau1[[#This Row],[Chemin fichier source]],"X"))</f>
        <v/>
      </c>
      <c r="U442" s="58" t="str">
        <f>IF(Tableau1[[#This Row],[Date rév.]]="","",HYPERLINK(Tableau1[[#This Row],[Lien document]],"X"))</f>
        <v/>
      </c>
      <c r="V442" s="44"/>
      <c r="W442" s="46" t="str">
        <f ca="1">Chemin_accès!$B$2&amp;Tableau1[[#This Row],[Poste Responsable]]&amp;"\"&amp;Tableau1[[#This Row],[Localisation / Classement]]&amp;"\"&amp;Tableau1[[#This Row],[Poste technique]]&amp;"_"&amp;Tableau1[[#This Row],[Plan Entretien]]&amp;".pdf"</f>
        <v>\\stjn.local\trimet\Donnees_Projets\Dms Sap\Maintenance\PlanEntretien\7.MNRJ\\_.pdf</v>
      </c>
      <c r="X442" s="44"/>
      <c r="Y442" s="44"/>
      <c r="Z442" s="41" t="str">
        <f ca="1">IF(AND(Tableau1[[#This Row],[Charge]]&lt;&gt;0, Tableau1[[#This Row],[Nombre intervenants]]&lt;&gt;0,Tableau1[[#This Row],[Lien document]]&lt;&gt;0,Tableau1[[#This Row],[DMS_SAP]]&lt;&gt;0)=TRUE,"MIS A JOUR","")</f>
        <v/>
      </c>
      <c r="AA442" s="45"/>
      <c r="AB442" s="55" t="str">
        <f ca="1">IF(Tableau1[[#This Row],[Date rév.]]&lt;&gt;"", DAYS360(Tableau1[[#This Row],[Date rév.]],TODAY()),"")</f>
        <v/>
      </c>
      <c r="AC442" s="47">
        <f>IFERROR(INDEX(Chemin_accès!$B$11:$C$22,MATCH(Tableau1[[#This Row],[Type]],Chemin_accès!$C$11:$C$22,0),1),Chemin_accès!$B$11)</f>
        <v>0</v>
      </c>
      <c r="AD442" s="47" t="str">
        <f>Chemin_accès!$B$8&amp;Tableau1[[#This Row],[Localisation / Classement]]&amp;"\"&amp;Tableau1[[#This Row],[Poste technique]]&amp;"_"&amp;Tableau1[[#This Row],[Plan Entretien]]&amp;".xlsm"</f>
        <v>\_.xlsm</v>
      </c>
    </row>
    <row r="443" spans="1:30" x14ac:dyDescent="0.3">
      <c r="A443" s="41" t="str">
        <f t="shared" ca="1" si="6"/>
        <v>7.MNRJ</v>
      </c>
      <c r="B4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3" s="43"/>
      <c r="D443" s="41"/>
      <c r="E443" s="41"/>
      <c r="F443" s="44"/>
      <c r="G443" s="44"/>
      <c r="H443" s="48"/>
      <c r="I443" s="48"/>
      <c r="J443" s="48"/>
      <c r="K443" s="48"/>
      <c r="L443" s="43"/>
      <c r="M443" s="44"/>
      <c r="N443" s="43"/>
      <c r="O443" s="43"/>
      <c r="P443" s="44"/>
      <c r="Q443" s="43"/>
      <c r="R443" s="43"/>
      <c r="S443" s="45"/>
      <c r="T443" s="58" t="str">
        <f>IF(Tableau1[[#This Row],[DMS_SAP]]="","",HYPERLINK(Tableau1[[#This Row],[Chemin fichier source]],"X"))</f>
        <v/>
      </c>
      <c r="U443" s="58" t="str">
        <f>IF(Tableau1[[#This Row],[Date rév.]]="","",HYPERLINK(Tableau1[[#This Row],[Lien document]],"X"))</f>
        <v/>
      </c>
      <c r="V443" s="44"/>
      <c r="W443" s="46" t="str">
        <f ca="1">Chemin_accès!$B$2&amp;Tableau1[[#This Row],[Poste Responsable]]&amp;"\"&amp;Tableau1[[#This Row],[Localisation / Classement]]&amp;"\"&amp;Tableau1[[#This Row],[Poste technique]]&amp;"_"&amp;Tableau1[[#This Row],[Plan Entretien]]&amp;".pdf"</f>
        <v>\\stjn.local\trimet\Donnees_Projets\Dms Sap\Maintenance\PlanEntretien\7.MNRJ\\_.pdf</v>
      </c>
      <c r="X443" s="44"/>
      <c r="Y443" s="44"/>
      <c r="Z443" s="41" t="str">
        <f ca="1">IF(AND(Tableau1[[#This Row],[Charge]]&lt;&gt;0, Tableau1[[#This Row],[Nombre intervenants]]&lt;&gt;0,Tableau1[[#This Row],[Lien document]]&lt;&gt;0,Tableau1[[#This Row],[DMS_SAP]]&lt;&gt;0)=TRUE,"MIS A JOUR","")</f>
        <v/>
      </c>
      <c r="AA443" s="45"/>
      <c r="AB443" s="55" t="str">
        <f ca="1">IF(Tableau1[[#This Row],[Date rév.]]&lt;&gt;"", DAYS360(Tableau1[[#This Row],[Date rév.]],TODAY()),"")</f>
        <v/>
      </c>
      <c r="AC443" s="47">
        <f>IFERROR(INDEX(Chemin_accès!$B$11:$C$22,MATCH(Tableau1[[#This Row],[Type]],Chemin_accès!$C$11:$C$22,0),1),Chemin_accès!$B$11)</f>
        <v>0</v>
      </c>
      <c r="AD443" s="47" t="str">
        <f>Chemin_accès!$B$8&amp;Tableau1[[#This Row],[Localisation / Classement]]&amp;"\"&amp;Tableau1[[#This Row],[Poste technique]]&amp;"_"&amp;Tableau1[[#This Row],[Plan Entretien]]&amp;".xlsm"</f>
        <v>\_.xlsm</v>
      </c>
    </row>
    <row r="444" spans="1:30" x14ac:dyDescent="0.3">
      <c r="A444" s="41" t="str">
        <f t="shared" ca="1" si="6"/>
        <v>7.MNRJ</v>
      </c>
      <c r="B4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4" s="43"/>
      <c r="D444" s="41"/>
      <c r="E444" s="41"/>
      <c r="F444" s="44"/>
      <c r="G444" s="44"/>
      <c r="H444" s="48"/>
      <c r="I444" s="48"/>
      <c r="J444" s="48"/>
      <c r="K444" s="48"/>
      <c r="L444" s="43"/>
      <c r="M444" s="44"/>
      <c r="N444" s="43"/>
      <c r="O444" s="43"/>
      <c r="P444" s="44"/>
      <c r="Q444" s="43"/>
      <c r="R444" s="43"/>
      <c r="S444" s="45"/>
      <c r="T444" s="58" t="str">
        <f>IF(Tableau1[[#This Row],[DMS_SAP]]="","",HYPERLINK(Tableau1[[#This Row],[Chemin fichier source]],"X"))</f>
        <v/>
      </c>
      <c r="U444" s="58" t="str">
        <f>IF(Tableau1[[#This Row],[Date rév.]]="","",HYPERLINK(Tableau1[[#This Row],[Lien document]],"X"))</f>
        <v/>
      </c>
      <c r="V444" s="44"/>
      <c r="W444" s="46" t="str">
        <f ca="1">Chemin_accès!$B$2&amp;Tableau1[[#This Row],[Poste Responsable]]&amp;"\"&amp;Tableau1[[#This Row],[Localisation / Classement]]&amp;"\"&amp;Tableau1[[#This Row],[Poste technique]]&amp;"_"&amp;Tableau1[[#This Row],[Plan Entretien]]&amp;".pdf"</f>
        <v>\\stjn.local\trimet\Donnees_Projets\Dms Sap\Maintenance\PlanEntretien\7.MNRJ\\_.pdf</v>
      </c>
      <c r="X444" s="44"/>
      <c r="Y444" s="44"/>
      <c r="Z444" s="41" t="str">
        <f ca="1">IF(AND(Tableau1[[#This Row],[Charge]]&lt;&gt;0, Tableau1[[#This Row],[Nombre intervenants]]&lt;&gt;0,Tableau1[[#This Row],[Lien document]]&lt;&gt;0,Tableau1[[#This Row],[DMS_SAP]]&lt;&gt;0)=TRUE,"MIS A JOUR","")</f>
        <v/>
      </c>
      <c r="AA444" s="45"/>
      <c r="AB444" s="55" t="str">
        <f ca="1">IF(Tableau1[[#This Row],[Date rév.]]&lt;&gt;"", DAYS360(Tableau1[[#This Row],[Date rév.]],TODAY()),"")</f>
        <v/>
      </c>
      <c r="AC444" s="47">
        <f>IFERROR(INDEX(Chemin_accès!$B$11:$C$22,MATCH(Tableau1[[#This Row],[Type]],Chemin_accès!$C$11:$C$22,0),1),Chemin_accès!$B$11)</f>
        <v>0</v>
      </c>
      <c r="AD444" s="47" t="str">
        <f>Chemin_accès!$B$8&amp;Tableau1[[#This Row],[Localisation / Classement]]&amp;"\"&amp;Tableau1[[#This Row],[Poste technique]]&amp;"_"&amp;Tableau1[[#This Row],[Plan Entretien]]&amp;".xlsm"</f>
        <v>\_.xlsm</v>
      </c>
    </row>
    <row r="445" spans="1:30" x14ac:dyDescent="0.3">
      <c r="A445" s="41" t="str">
        <f t="shared" ca="1" si="6"/>
        <v>7.MNRJ</v>
      </c>
      <c r="B4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5" s="43"/>
      <c r="D445" s="41"/>
      <c r="E445" s="41"/>
      <c r="F445" s="44"/>
      <c r="G445" s="44"/>
      <c r="H445" s="48"/>
      <c r="I445" s="48"/>
      <c r="J445" s="48"/>
      <c r="K445" s="48"/>
      <c r="L445" s="43"/>
      <c r="M445" s="44"/>
      <c r="N445" s="43"/>
      <c r="O445" s="43"/>
      <c r="P445" s="44"/>
      <c r="Q445" s="43"/>
      <c r="R445" s="43"/>
      <c r="S445" s="45"/>
      <c r="T445" s="58" t="str">
        <f>IF(Tableau1[[#This Row],[DMS_SAP]]="","",HYPERLINK(Tableau1[[#This Row],[Chemin fichier source]],"X"))</f>
        <v/>
      </c>
      <c r="U445" s="58" t="str">
        <f>IF(Tableau1[[#This Row],[Date rév.]]="","",HYPERLINK(Tableau1[[#This Row],[Lien document]],"X"))</f>
        <v/>
      </c>
      <c r="V445" s="44"/>
      <c r="W445" s="46" t="str">
        <f ca="1">Chemin_accès!$B$2&amp;Tableau1[[#This Row],[Poste Responsable]]&amp;"\"&amp;Tableau1[[#This Row],[Localisation / Classement]]&amp;"\"&amp;Tableau1[[#This Row],[Poste technique]]&amp;"_"&amp;Tableau1[[#This Row],[Plan Entretien]]&amp;".pdf"</f>
        <v>\\stjn.local\trimet\Donnees_Projets\Dms Sap\Maintenance\PlanEntretien\7.MNRJ\\_.pdf</v>
      </c>
      <c r="X445" s="44"/>
      <c r="Y445" s="44"/>
      <c r="Z445" s="41" t="str">
        <f ca="1">IF(AND(Tableau1[[#This Row],[Charge]]&lt;&gt;0, Tableau1[[#This Row],[Nombre intervenants]]&lt;&gt;0,Tableau1[[#This Row],[Lien document]]&lt;&gt;0,Tableau1[[#This Row],[DMS_SAP]]&lt;&gt;0)=TRUE,"MIS A JOUR","")</f>
        <v/>
      </c>
      <c r="AA445" s="45"/>
      <c r="AB445" s="55" t="str">
        <f ca="1">IF(Tableau1[[#This Row],[Date rév.]]&lt;&gt;"", DAYS360(Tableau1[[#This Row],[Date rév.]],TODAY()),"")</f>
        <v/>
      </c>
      <c r="AC445" s="47">
        <f>IFERROR(INDEX(Chemin_accès!$B$11:$C$22,MATCH(Tableau1[[#This Row],[Type]],Chemin_accès!$C$11:$C$22,0),1),Chemin_accès!$B$11)</f>
        <v>0</v>
      </c>
      <c r="AD445" s="47" t="str">
        <f>Chemin_accès!$B$8&amp;Tableau1[[#This Row],[Localisation / Classement]]&amp;"\"&amp;Tableau1[[#This Row],[Poste technique]]&amp;"_"&amp;Tableau1[[#This Row],[Plan Entretien]]&amp;".xlsm"</f>
        <v>\_.xlsm</v>
      </c>
    </row>
    <row r="446" spans="1:30" x14ac:dyDescent="0.3">
      <c r="A446" s="41" t="str">
        <f t="shared" ca="1" si="6"/>
        <v>7.MNRJ</v>
      </c>
      <c r="B4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6" s="43"/>
      <c r="D446" s="41"/>
      <c r="E446" s="41"/>
      <c r="F446" s="44"/>
      <c r="G446" s="44"/>
      <c r="H446" s="48"/>
      <c r="I446" s="48"/>
      <c r="J446" s="48"/>
      <c r="K446" s="48"/>
      <c r="L446" s="43"/>
      <c r="M446" s="44"/>
      <c r="N446" s="43"/>
      <c r="O446" s="43"/>
      <c r="P446" s="44"/>
      <c r="Q446" s="43"/>
      <c r="R446" s="43"/>
      <c r="S446" s="45"/>
      <c r="T446" s="58" t="str">
        <f>IF(Tableau1[[#This Row],[DMS_SAP]]="","",HYPERLINK(Tableau1[[#This Row],[Chemin fichier source]],"X"))</f>
        <v/>
      </c>
      <c r="U446" s="58" t="str">
        <f>IF(Tableau1[[#This Row],[Date rév.]]="","",HYPERLINK(Tableau1[[#This Row],[Lien document]],"X"))</f>
        <v/>
      </c>
      <c r="V446" s="44"/>
      <c r="W446" s="46" t="str">
        <f ca="1">Chemin_accès!$B$2&amp;Tableau1[[#This Row],[Poste Responsable]]&amp;"\"&amp;Tableau1[[#This Row],[Localisation / Classement]]&amp;"\"&amp;Tableau1[[#This Row],[Poste technique]]&amp;"_"&amp;Tableau1[[#This Row],[Plan Entretien]]&amp;".pdf"</f>
        <v>\\stjn.local\trimet\Donnees_Projets\Dms Sap\Maintenance\PlanEntretien\7.MNRJ\\_.pdf</v>
      </c>
      <c r="X446" s="44"/>
      <c r="Y446" s="44"/>
      <c r="Z446" s="41" t="str">
        <f ca="1">IF(AND(Tableau1[[#This Row],[Charge]]&lt;&gt;0, Tableau1[[#This Row],[Nombre intervenants]]&lt;&gt;0,Tableau1[[#This Row],[Lien document]]&lt;&gt;0,Tableau1[[#This Row],[DMS_SAP]]&lt;&gt;0)=TRUE,"MIS A JOUR","")</f>
        <v/>
      </c>
      <c r="AA446" s="45"/>
      <c r="AB446" s="55" t="str">
        <f ca="1">IF(Tableau1[[#This Row],[Date rév.]]&lt;&gt;"", DAYS360(Tableau1[[#This Row],[Date rév.]],TODAY()),"")</f>
        <v/>
      </c>
      <c r="AC446" s="47">
        <f>IFERROR(INDEX(Chemin_accès!$B$11:$C$22,MATCH(Tableau1[[#This Row],[Type]],Chemin_accès!$C$11:$C$22,0),1),Chemin_accès!$B$11)</f>
        <v>0</v>
      </c>
      <c r="AD446" s="47" t="str">
        <f>Chemin_accès!$B$8&amp;Tableau1[[#This Row],[Localisation / Classement]]&amp;"\"&amp;Tableau1[[#This Row],[Poste technique]]&amp;"_"&amp;Tableau1[[#This Row],[Plan Entretien]]&amp;".xlsm"</f>
        <v>\_.xlsm</v>
      </c>
    </row>
    <row r="447" spans="1:30" x14ac:dyDescent="0.3">
      <c r="A447" s="41" t="str">
        <f t="shared" ca="1" si="6"/>
        <v>7.MNRJ</v>
      </c>
      <c r="B4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7" s="43"/>
      <c r="D447" s="41"/>
      <c r="E447" s="41"/>
      <c r="F447" s="44"/>
      <c r="G447" s="44"/>
      <c r="H447" s="48"/>
      <c r="I447" s="48"/>
      <c r="J447" s="48"/>
      <c r="K447" s="48"/>
      <c r="L447" s="43"/>
      <c r="M447" s="44"/>
      <c r="N447" s="43"/>
      <c r="O447" s="43"/>
      <c r="P447" s="44"/>
      <c r="Q447" s="43"/>
      <c r="R447" s="43"/>
      <c r="S447" s="45"/>
      <c r="T447" s="58" t="str">
        <f>IF(Tableau1[[#This Row],[DMS_SAP]]="","",HYPERLINK(Tableau1[[#This Row],[Chemin fichier source]],"X"))</f>
        <v/>
      </c>
      <c r="U447" s="58" t="str">
        <f>IF(Tableau1[[#This Row],[Date rév.]]="","",HYPERLINK(Tableau1[[#This Row],[Lien document]],"X"))</f>
        <v/>
      </c>
      <c r="V447" s="44"/>
      <c r="W447" s="46" t="str">
        <f ca="1">Chemin_accès!$B$2&amp;Tableau1[[#This Row],[Poste Responsable]]&amp;"\"&amp;Tableau1[[#This Row],[Localisation / Classement]]&amp;"\"&amp;Tableau1[[#This Row],[Poste technique]]&amp;"_"&amp;Tableau1[[#This Row],[Plan Entretien]]&amp;".pdf"</f>
        <v>\\stjn.local\trimet\Donnees_Projets\Dms Sap\Maintenance\PlanEntretien\7.MNRJ\\_.pdf</v>
      </c>
      <c r="X447" s="44"/>
      <c r="Y447" s="44"/>
      <c r="Z447" s="41" t="str">
        <f ca="1">IF(AND(Tableau1[[#This Row],[Charge]]&lt;&gt;0, Tableau1[[#This Row],[Nombre intervenants]]&lt;&gt;0,Tableau1[[#This Row],[Lien document]]&lt;&gt;0,Tableau1[[#This Row],[DMS_SAP]]&lt;&gt;0)=TRUE,"MIS A JOUR","")</f>
        <v/>
      </c>
      <c r="AA447" s="45"/>
      <c r="AB447" s="55" t="str">
        <f ca="1">IF(Tableau1[[#This Row],[Date rév.]]&lt;&gt;"", DAYS360(Tableau1[[#This Row],[Date rév.]],TODAY()),"")</f>
        <v/>
      </c>
      <c r="AC447" s="47">
        <f>IFERROR(INDEX(Chemin_accès!$B$11:$C$22,MATCH(Tableau1[[#This Row],[Type]],Chemin_accès!$C$11:$C$22,0),1),Chemin_accès!$B$11)</f>
        <v>0</v>
      </c>
      <c r="AD447" s="47" t="str">
        <f>Chemin_accès!$B$8&amp;Tableau1[[#This Row],[Localisation / Classement]]&amp;"\"&amp;Tableau1[[#This Row],[Poste technique]]&amp;"_"&amp;Tableau1[[#This Row],[Plan Entretien]]&amp;".xlsm"</f>
        <v>\_.xlsm</v>
      </c>
    </row>
    <row r="448" spans="1:30" x14ac:dyDescent="0.3">
      <c r="A448" s="41" t="str">
        <f t="shared" ca="1" si="6"/>
        <v>7.MNRJ</v>
      </c>
      <c r="B4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8" s="43"/>
      <c r="D448" s="41"/>
      <c r="E448" s="41"/>
      <c r="F448" s="44"/>
      <c r="G448" s="44"/>
      <c r="H448" s="48"/>
      <c r="I448" s="48"/>
      <c r="J448" s="48"/>
      <c r="K448" s="48"/>
      <c r="L448" s="43"/>
      <c r="M448" s="44"/>
      <c r="N448" s="43"/>
      <c r="O448" s="43"/>
      <c r="P448" s="44"/>
      <c r="Q448" s="43"/>
      <c r="R448" s="43"/>
      <c r="S448" s="45"/>
      <c r="T448" s="58" t="str">
        <f>IF(Tableau1[[#This Row],[DMS_SAP]]="","",HYPERLINK(Tableau1[[#This Row],[Chemin fichier source]],"X"))</f>
        <v/>
      </c>
      <c r="U448" s="58" t="str">
        <f>IF(Tableau1[[#This Row],[Date rév.]]="","",HYPERLINK(Tableau1[[#This Row],[Lien document]],"X"))</f>
        <v/>
      </c>
      <c r="V448" s="44"/>
      <c r="W448" s="46" t="str">
        <f ca="1">Chemin_accès!$B$2&amp;Tableau1[[#This Row],[Poste Responsable]]&amp;"\"&amp;Tableau1[[#This Row],[Localisation / Classement]]&amp;"\"&amp;Tableau1[[#This Row],[Poste technique]]&amp;"_"&amp;Tableau1[[#This Row],[Plan Entretien]]&amp;".pdf"</f>
        <v>\\stjn.local\trimet\Donnees_Projets\Dms Sap\Maintenance\PlanEntretien\7.MNRJ\\_.pdf</v>
      </c>
      <c r="X448" s="44"/>
      <c r="Y448" s="44"/>
      <c r="Z448" s="41" t="str">
        <f ca="1">IF(AND(Tableau1[[#This Row],[Charge]]&lt;&gt;0, Tableau1[[#This Row],[Nombre intervenants]]&lt;&gt;0,Tableau1[[#This Row],[Lien document]]&lt;&gt;0,Tableau1[[#This Row],[DMS_SAP]]&lt;&gt;0)=TRUE,"MIS A JOUR","")</f>
        <v/>
      </c>
      <c r="AA448" s="45"/>
      <c r="AB448" s="55" t="str">
        <f ca="1">IF(Tableau1[[#This Row],[Date rév.]]&lt;&gt;"", DAYS360(Tableau1[[#This Row],[Date rév.]],TODAY()),"")</f>
        <v/>
      </c>
      <c r="AC448" s="47">
        <f>IFERROR(INDEX(Chemin_accès!$B$11:$C$22,MATCH(Tableau1[[#This Row],[Type]],Chemin_accès!$C$11:$C$22,0),1),Chemin_accès!$B$11)</f>
        <v>0</v>
      </c>
      <c r="AD448" s="47" t="str">
        <f>Chemin_accès!$B$8&amp;Tableau1[[#This Row],[Localisation / Classement]]&amp;"\"&amp;Tableau1[[#This Row],[Poste technique]]&amp;"_"&amp;Tableau1[[#This Row],[Plan Entretien]]&amp;".xlsm"</f>
        <v>\_.xlsm</v>
      </c>
    </row>
    <row r="449" spans="1:30" x14ac:dyDescent="0.3">
      <c r="A449" s="41" t="str">
        <f t="shared" ca="1" si="6"/>
        <v>7.MNRJ</v>
      </c>
      <c r="B4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9" s="43"/>
      <c r="D449" s="41"/>
      <c r="E449" s="41"/>
      <c r="F449" s="44"/>
      <c r="G449" s="44"/>
      <c r="H449" s="48"/>
      <c r="I449" s="48"/>
      <c r="J449" s="48"/>
      <c r="K449" s="48"/>
      <c r="L449" s="43"/>
      <c r="M449" s="44"/>
      <c r="N449" s="43"/>
      <c r="O449" s="43"/>
      <c r="P449" s="44"/>
      <c r="Q449" s="43"/>
      <c r="R449" s="43"/>
      <c r="S449" s="45"/>
      <c r="T449" s="58" t="str">
        <f>IF(Tableau1[[#This Row],[DMS_SAP]]="","",HYPERLINK(Tableau1[[#This Row],[Chemin fichier source]],"X"))</f>
        <v/>
      </c>
      <c r="U449" s="58" t="str">
        <f>IF(Tableau1[[#This Row],[Date rév.]]="","",HYPERLINK(Tableau1[[#This Row],[Lien document]],"X"))</f>
        <v/>
      </c>
      <c r="V449" s="44"/>
      <c r="W449" s="46" t="str">
        <f ca="1">Chemin_accès!$B$2&amp;Tableau1[[#This Row],[Poste Responsable]]&amp;"\"&amp;Tableau1[[#This Row],[Localisation / Classement]]&amp;"\"&amp;Tableau1[[#This Row],[Poste technique]]&amp;"_"&amp;Tableau1[[#This Row],[Plan Entretien]]&amp;".pdf"</f>
        <v>\\stjn.local\trimet\Donnees_Projets\Dms Sap\Maintenance\PlanEntretien\7.MNRJ\\_.pdf</v>
      </c>
      <c r="X449" s="44"/>
      <c r="Y449" s="44"/>
      <c r="Z449" s="41" t="str">
        <f ca="1">IF(AND(Tableau1[[#This Row],[Charge]]&lt;&gt;0, Tableau1[[#This Row],[Nombre intervenants]]&lt;&gt;0,Tableau1[[#This Row],[Lien document]]&lt;&gt;0,Tableau1[[#This Row],[DMS_SAP]]&lt;&gt;0)=TRUE,"MIS A JOUR","")</f>
        <v/>
      </c>
      <c r="AA449" s="45"/>
      <c r="AB449" s="55" t="str">
        <f ca="1">IF(Tableau1[[#This Row],[Date rév.]]&lt;&gt;"", DAYS360(Tableau1[[#This Row],[Date rév.]],TODAY()),"")</f>
        <v/>
      </c>
      <c r="AC449" s="47">
        <f>IFERROR(INDEX(Chemin_accès!$B$11:$C$22,MATCH(Tableau1[[#This Row],[Type]],Chemin_accès!$C$11:$C$22,0),1),Chemin_accès!$B$11)</f>
        <v>0</v>
      </c>
      <c r="AD449" s="47" t="str">
        <f>Chemin_accès!$B$8&amp;Tableau1[[#This Row],[Localisation / Classement]]&amp;"\"&amp;Tableau1[[#This Row],[Poste technique]]&amp;"_"&amp;Tableau1[[#This Row],[Plan Entretien]]&amp;".xlsm"</f>
        <v>\_.xlsm</v>
      </c>
    </row>
    <row r="450" spans="1:30" x14ac:dyDescent="0.3">
      <c r="A450" s="41" t="str">
        <f t="shared" ca="1" si="6"/>
        <v>7.MNRJ</v>
      </c>
      <c r="B4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0" s="43"/>
      <c r="D450" s="41"/>
      <c r="E450" s="41"/>
      <c r="F450" s="44"/>
      <c r="G450" s="44"/>
      <c r="H450" s="48"/>
      <c r="I450" s="48"/>
      <c r="J450" s="48"/>
      <c r="K450" s="48"/>
      <c r="L450" s="43"/>
      <c r="M450" s="44"/>
      <c r="N450" s="43"/>
      <c r="O450" s="43"/>
      <c r="P450" s="44"/>
      <c r="Q450" s="43"/>
      <c r="R450" s="43"/>
      <c r="S450" s="45"/>
      <c r="T450" s="58" t="str">
        <f>IF(Tableau1[[#This Row],[DMS_SAP]]="","",HYPERLINK(Tableau1[[#This Row],[Chemin fichier source]],"X"))</f>
        <v/>
      </c>
      <c r="U450" s="58" t="str">
        <f>IF(Tableau1[[#This Row],[Date rév.]]="","",HYPERLINK(Tableau1[[#This Row],[Lien document]],"X"))</f>
        <v/>
      </c>
      <c r="V450" s="44"/>
      <c r="W450" s="46" t="str">
        <f ca="1">Chemin_accès!$B$2&amp;Tableau1[[#This Row],[Poste Responsable]]&amp;"\"&amp;Tableau1[[#This Row],[Localisation / Classement]]&amp;"\"&amp;Tableau1[[#This Row],[Poste technique]]&amp;"_"&amp;Tableau1[[#This Row],[Plan Entretien]]&amp;".pdf"</f>
        <v>\\stjn.local\trimet\Donnees_Projets\Dms Sap\Maintenance\PlanEntretien\7.MNRJ\\_.pdf</v>
      </c>
      <c r="X450" s="44"/>
      <c r="Y450" s="44"/>
      <c r="Z450" s="41" t="str">
        <f ca="1">IF(AND(Tableau1[[#This Row],[Charge]]&lt;&gt;0, Tableau1[[#This Row],[Nombre intervenants]]&lt;&gt;0,Tableau1[[#This Row],[Lien document]]&lt;&gt;0,Tableau1[[#This Row],[DMS_SAP]]&lt;&gt;0)=TRUE,"MIS A JOUR","")</f>
        <v/>
      </c>
      <c r="AA450" s="45"/>
      <c r="AB450" s="55" t="str">
        <f ca="1">IF(Tableau1[[#This Row],[Date rév.]]&lt;&gt;"", DAYS360(Tableau1[[#This Row],[Date rév.]],TODAY()),"")</f>
        <v/>
      </c>
      <c r="AC450" s="47">
        <f>IFERROR(INDEX(Chemin_accès!$B$11:$C$22,MATCH(Tableau1[[#This Row],[Type]],Chemin_accès!$C$11:$C$22,0),1),Chemin_accès!$B$11)</f>
        <v>0</v>
      </c>
      <c r="AD450" s="47" t="str">
        <f>Chemin_accès!$B$8&amp;Tableau1[[#This Row],[Localisation / Classement]]&amp;"\"&amp;Tableau1[[#This Row],[Poste technique]]&amp;"_"&amp;Tableau1[[#This Row],[Plan Entretien]]&amp;".xlsm"</f>
        <v>\_.xlsm</v>
      </c>
    </row>
    <row r="451" spans="1:30" x14ac:dyDescent="0.3">
      <c r="A451" s="41" t="str">
        <f t="shared" ref="A451:A514" ca="1" si="7">MID(CELL("filename",$A$1),FIND("]",CELL("filename",$A$1))+1,32)</f>
        <v>7.MNRJ</v>
      </c>
      <c r="B4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1" s="43"/>
      <c r="D451" s="41"/>
      <c r="E451" s="41"/>
      <c r="F451" s="44"/>
      <c r="G451" s="44"/>
      <c r="H451" s="48"/>
      <c r="I451" s="48"/>
      <c r="J451" s="48"/>
      <c r="K451" s="48"/>
      <c r="L451" s="43"/>
      <c r="M451" s="44"/>
      <c r="N451" s="43"/>
      <c r="O451" s="43"/>
      <c r="P451" s="44"/>
      <c r="Q451" s="43"/>
      <c r="R451" s="43"/>
      <c r="S451" s="45"/>
      <c r="T451" s="58" t="str">
        <f>IF(Tableau1[[#This Row],[DMS_SAP]]="","",HYPERLINK(Tableau1[[#This Row],[Chemin fichier source]],"X"))</f>
        <v/>
      </c>
      <c r="U451" s="58" t="str">
        <f>IF(Tableau1[[#This Row],[Date rév.]]="","",HYPERLINK(Tableau1[[#This Row],[Lien document]],"X"))</f>
        <v/>
      </c>
      <c r="V451" s="44"/>
      <c r="W451" s="46" t="str">
        <f ca="1">Chemin_accès!$B$2&amp;Tableau1[[#This Row],[Poste Responsable]]&amp;"\"&amp;Tableau1[[#This Row],[Localisation / Classement]]&amp;"\"&amp;Tableau1[[#This Row],[Poste technique]]&amp;"_"&amp;Tableau1[[#This Row],[Plan Entretien]]&amp;".pdf"</f>
        <v>\\stjn.local\trimet\Donnees_Projets\Dms Sap\Maintenance\PlanEntretien\7.MNRJ\\_.pdf</v>
      </c>
      <c r="X451" s="44"/>
      <c r="Y451" s="44"/>
      <c r="Z451" s="41" t="str">
        <f ca="1">IF(AND(Tableau1[[#This Row],[Charge]]&lt;&gt;0, Tableau1[[#This Row],[Nombre intervenants]]&lt;&gt;0,Tableau1[[#This Row],[Lien document]]&lt;&gt;0,Tableau1[[#This Row],[DMS_SAP]]&lt;&gt;0)=TRUE,"MIS A JOUR","")</f>
        <v/>
      </c>
      <c r="AA451" s="45"/>
      <c r="AB451" s="55" t="str">
        <f ca="1">IF(Tableau1[[#This Row],[Date rév.]]&lt;&gt;"", DAYS360(Tableau1[[#This Row],[Date rév.]],TODAY()),"")</f>
        <v/>
      </c>
      <c r="AC451" s="47">
        <f>IFERROR(INDEX(Chemin_accès!$B$11:$C$22,MATCH(Tableau1[[#This Row],[Type]],Chemin_accès!$C$11:$C$22,0),1),Chemin_accès!$B$11)</f>
        <v>0</v>
      </c>
      <c r="AD451" s="47" t="str">
        <f>Chemin_accès!$B$8&amp;Tableau1[[#This Row],[Localisation / Classement]]&amp;"\"&amp;Tableau1[[#This Row],[Poste technique]]&amp;"_"&amp;Tableau1[[#This Row],[Plan Entretien]]&amp;".xlsm"</f>
        <v>\_.xlsm</v>
      </c>
    </row>
    <row r="452" spans="1:30" x14ac:dyDescent="0.3">
      <c r="A452" s="41" t="str">
        <f t="shared" ca="1" si="7"/>
        <v>7.MNRJ</v>
      </c>
      <c r="B4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2" s="43"/>
      <c r="D452" s="41"/>
      <c r="E452" s="41"/>
      <c r="F452" s="44"/>
      <c r="G452" s="44"/>
      <c r="H452" s="48"/>
      <c r="I452" s="48"/>
      <c r="J452" s="48"/>
      <c r="K452" s="48"/>
      <c r="L452" s="43"/>
      <c r="M452" s="44"/>
      <c r="N452" s="43"/>
      <c r="O452" s="43"/>
      <c r="P452" s="44"/>
      <c r="Q452" s="43"/>
      <c r="R452" s="43"/>
      <c r="S452" s="45"/>
      <c r="T452" s="58" t="str">
        <f>IF(Tableau1[[#This Row],[DMS_SAP]]="","",HYPERLINK(Tableau1[[#This Row],[Chemin fichier source]],"X"))</f>
        <v/>
      </c>
      <c r="U452" s="58" t="str">
        <f>IF(Tableau1[[#This Row],[Date rév.]]="","",HYPERLINK(Tableau1[[#This Row],[Lien document]],"X"))</f>
        <v/>
      </c>
      <c r="V452" s="44"/>
      <c r="W452" s="46" t="str">
        <f ca="1">Chemin_accès!$B$2&amp;Tableau1[[#This Row],[Poste Responsable]]&amp;"\"&amp;Tableau1[[#This Row],[Localisation / Classement]]&amp;"\"&amp;Tableau1[[#This Row],[Poste technique]]&amp;"_"&amp;Tableau1[[#This Row],[Plan Entretien]]&amp;".pdf"</f>
        <v>\\stjn.local\trimet\Donnees_Projets\Dms Sap\Maintenance\PlanEntretien\7.MNRJ\\_.pdf</v>
      </c>
      <c r="X452" s="44"/>
      <c r="Y452" s="44"/>
      <c r="Z452" s="41" t="str">
        <f ca="1">IF(AND(Tableau1[[#This Row],[Charge]]&lt;&gt;0, Tableau1[[#This Row],[Nombre intervenants]]&lt;&gt;0,Tableau1[[#This Row],[Lien document]]&lt;&gt;0,Tableau1[[#This Row],[DMS_SAP]]&lt;&gt;0)=TRUE,"MIS A JOUR","")</f>
        <v/>
      </c>
      <c r="AA452" s="45"/>
      <c r="AB452" s="55" t="str">
        <f ca="1">IF(Tableau1[[#This Row],[Date rév.]]&lt;&gt;"", DAYS360(Tableau1[[#This Row],[Date rév.]],TODAY()),"")</f>
        <v/>
      </c>
      <c r="AC452" s="47">
        <f>IFERROR(INDEX(Chemin_accès!$B$11:$C$22,MATCH(Tableau1[[#This Row],[Type]],Chemin_accès!$C$11:$C$22,0),1),Chemin_accès!$B$11)</f>
        <v>0</v>
      </c>
      <c r="AD452" s="47" t="str">
        <f>Chemin_accès!$B$8&amp;Tableau1[[#This Row],[Localisation / Classement]]&amp;"\"&amp;Tableau1[[#This Row],[Poste technique]]&amp;"_"&amp;Tableau1[[#This Row],[Plan Entretien]]&amp;".xlsm"</f>
        <v>\_.xlsm</v>
      </c>
    </row>
    <row r="453" spans="1:30" x14ac:dyDescent="0.3">
      <c r="A453" s="41" t="str">
        <f t="shared" ca="1" si="7"/>
        <v>7.MNRJ</v>
      </c>
      <c r="B4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3" s="43"/>
      <c r="D453" s="41"/>
      <c r="E453" s="41"/>
      <c r="F453" s="44"/>
      <c r="G453" s="44"/>
      <c r="H453" s="48"/>
      <c r="I453" s="48"/>
      <c r="J453" s="48"/>
      <c r="K453" s="48"/>
      <c r="L453" s="43"/>
      <c r="M453" s="44"/>
      <c r="N453" s="43"/>
      <c r="O453" s="43"/>
      <c r="P453" s="44"/>
      <c r="Q453" s="43"/>
      <c r="R453" s="43"/>
      <c r="S453" s="45"/>
      <c r="T453" s="58" t="str">
        <f>IF(Tableau1[[#This Row],[DMS_SAP]]="","",HYPERLINK(Tableau1[[#This Row],[Chemin fichier source]],"X"))</f>
        <v/>
      </c>
      <c r="U453" s="58" t="str">
        <f>IF(Tableau1[[#This Row],[Date rév.]]="","",HYPERLINK(Tableau1[[#This Row],[Lien document]],"X"))</f>
        <v/>
      </c>
      <c r="V453" s="44"/>
      <c r="W453" s="46" t="str">
        <f ca="1">Chemin_accès!$B$2&amp;Tableau1[[#This Row],[Poste Responsable]]&amp;"\"&amp;Tableau1[[#This Row],[Localisation / Classement]]&amp;"\"&amp;Tableau1[[#This Row],[Poste technique]]&amp;"_"&amp;Tableau1[[#This Row],[Plan Entretien]]&amp;".pdf"</f>
        <v>\\stjn.local\trimet\Donnees_Projets\Dms Sap\Maintenance\PlanEntretien\7.MNRJ\\_.pdf</v>
      </c>
      <c r="X453" s="44"/>
      <c r="Y453" s="44"/>
      <c r="Z453" s="41" t="str">
        <f ca="1">IF(AND(Tableau1[[#This Row],[Charge]]&lt;&gt;0, Tableau1[[#This Row],[Nombre intervenants]]&lt;&gt;0,Tableau1[[#This Row],[Lien document]]&lt;&gt;0,Tableau1[[#This Row],[DMS_SAP]]&lt;&gt;0)=TRUE,"MIS A JOUR","")</f>
        <v/>
      </c>
      <c r="AA453" s="45"/>
      <c r="AB453" s="55" t="str">
        <f ca="1">IF(Tableau1[[#This Row],[Date rév.]]&lt;&gt;"", DAYS360(Tableau1[[#This Row],[Date rév.]],TODAY()),"")</f>
        <v/>
      </c>
      <c r="AC453" s="47">
        <f>IFERROR(INDEX(Chemin_accès!$B$11:$C$22,MATCH(Tableau1[[#This Row],[Type]],Chemin_accès!$C$11:$C$22,0),1),Chemin_accès!$B$11)</f>
        <v>0</v>
      </c>
      <c r="AD453" s="47" t="str">
        <f>Chemin_accès!$B$8&amp;Tableau1[[#This Row],[Localisation / Classement]]&amp;"\"&amp;Tableau1[[#This Row],[Poste technique]]&amp;"_"&amp;Tableau1[[#This Row],[Plan Entretien]]&amp;".xlsm"</f>
        <v>\_.xlsm</v>
      </c>
    </row>
    <row r="454" spans="1:30" x14ac:dyDescent="0.3">
      <c r="A454" s="41" t="str">
        <f t="shared" ca="1" si="7"/>
        <v>7.MNRJ</v>
      </c>
      <c r="B4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4" s="43"/>
      <c r="D454" s="41"/>
      <c r="E454" s="41"/>
      <c r="F454" s="61"/>
      <c r="G454" s="61"/>
      <c r="H454" s="63"/>
      <c r="I454" s="63"/>
      <c r="J454" s="63"/>
      <c r="K454" s="63"/>
      <c r="L454" s="62"/>
      <c r="M454" s="61"/>
      <c r="N454" s="62"/>
      <c r="O454" s="62"/>
      <c r="P454" s="61"/>
      <c r="Q454" s="62"/>
      <c r="R454" s="43"/>
      <c r="S454" s="45"/>
      <c r="T454" s="58" t="str">
        <f>IF(Tableau1[[#This Row],[DMS_SAP]]="","",HYPERLINK(Tableau1[[#This Row],[Chemin fichier source]],"X"))</f>
        <v/>
      </c>
      <c r="U454" s="58" t="str">
        <f>IF(Tableau1[[#This Row],[Date rév.]]="","",HYPERLINK(Tableau1[[#This Row],[Lien document]],"X"))</f>
        <v/>
      </c>
      <c r="V454" s="44"/>
      <c r="W454" s="46" t="str">
        <f ca="1">Chemin_accès!$B$2&amp;Tableau1[[#This Row],[Poste Responsable]]&amp;"\"&amp;Tableau1[[#This Row],[Localisation / Classement]]&amp;"\"&amp;Tableau1[[#This Row],[Poste technique]]&amp;"_"&amp;Tableau1[[#This Row],[Plan Entretien]]&amp;".pdf"</f>
        <v>\\stjn.local\trimet\Donnees_Projets\Dms Sap\Maintenance\PlanEntretien\7.MNRJ\\_.pdf</v>
      </c>
      <c r="X454" s="44"/>
      <c r="Y454" s="44"/>
      <c r="Z454" s="41" t="str">
        <f ca="1">IF(AND(Tableau1[[#This Row],[Charge]]&lt;&gt;0, Tableau1[[#This Row],[Nombre intervenants]]&lt;&gt;0,Tableau1[[#This Row],[Lien document]]&lt;&gt;0,Tableau1[[#This Row],[DMS_SAP]]&lt;&gt;0)=TRUE,"MIS A JOUR","")</f>
        <v/>
      </c>
      <c r="AA454" s="45"/>
      <c r="AB454" s="55" t="str">
        <f ca="1">IF(Tableau1[[#This Row],[Date rév.]]&lt;&gt;"", DAYS360(Tableau1[[#This Row],[Date rév.]],TODAY()),"")</f>
        <v/>
      </c>
      <c r="AC454" s="47">
        <f>IFERROR(INDEX(Chemin_accès!$B$11:$C$22,MATCH(Tableau1[[#This Row],[Type]],Chemin_accès!$C$11:$C$22,0),1),Chemin_accès!$B$11)</f>
        <v>0</v>
      </c>
      <c r="AD454" s="47" t="str">
        <f>Chemin_accès!$B$8&amp;Tableau1[[#This Row],[Localisation / Classement]]&amp;"\"&amp;Tableau1[[#This Row],[Poste technique]]&amp;"_"&amp;Tableau1[[#This Row],[Plan Entretien]]&amp;".xlsm"</f>
        <v>\_.xlsm</v>
      </c>
    </row>
    <row r="455" spans="1:30" x14ac:dyDescent="0.3">
      <c r="A455" s="41" t="str">
        <f t="shared" ca="1" si="7"/>
        <v>7.MNRJ</v>
      </c>
      <c r="B4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5" s="43"/>
      <c r="D455" s="41"/>
      <c r="E455" s="41"/>
      <c r="F455" s="61"/>
      <c r="G455" s="61"/>
      <c r="H455" s="63"/>
      <c r="I455" s="63"/>
      <c r="J455" s="63"/>
      <c r="K455" s="63"/>
      <c r="L455" s="62"/>
      <c r="M455" s="61"/>
      <c r="N455" s="62"/>
      <c r="O455" s="62"/>
      <c r="P455" s="61"/>
      <c r="Q455" s="62"/>
      <c r="R455" s="43"/>
      <c r="S455" s="45"/>
      <c r="T455" s="58" t="str">
        <f>IF(Tableau1[[#This Row],[DMS_SAP]]="","",HYPERLINK(Tableau1[[#This Row],[Chemin fichier source]],"X"))</f>
        <v/>
      </c>
      <c r="U455" s="58" t="str">
        <f>IF(Tableau1[[#This Row],[Date rév.]]="","",HYPERLINK(Tableau1[[#This Row],[Lien document]],"X"))</f>
        <v/>
      </c>
      <c r="V455" s="44"/>
      <c r="W455" s="46" t="str">
        <f ca="1">Chemin_accès!$B$2&amp;Tableau1[[#This Row],[Poste Responsable]]&amp;"\"&amp;Tableau1[[#This Row],[Localisation / Classement]]&amp;"\"&amp;Tableau1[[#This Row],[Poste technique]]&amp;"_"&amp;Tableau1[[#This Row],[Plan Entretien]]&amp;".pdf"</f>
        <v>\\stjn.local\trimet\Donnees_Projets\Dms Sap\Maintenance\PlanEntretien\7.MNRJ\\_.pdf</v>
      </c>
      <c r="X455" s="44"/>
      <c r="Y455" s="44"/>
      <c r="Z455" s="41" t="str">
        <f ca="1">IF(AND(Tableau1[[#This Row],[Charge]]&lt;&gt;0, Tableau1[[#This Row],[Nombre intervenants]]&lt;&gt;0,Tableau1[[#This Row],[Lien document]]&lt;&gt;0,Tableau1[[#This Row],[DMS_SAP]]&lt;&gt;0)=TRUE,"MIS A JOUR","")</f>
        <v/>
      </c>
      <c r="AA455" s="45"/>
      <c r="AB455" s="55" t="str">
        <f ca="1">IF(Tableau1[[#This Row],[Date rév.]]&lt;&gt;"", DAYS360(Tableau1[[#This Row],[Date rév.]],TODAY()),"")</f>
        <v/>
      </c>
      <c r="AC455" s="47">
        <f>IFERROR(INDEX(Chemin_accès!$B$11:$C$22,MATCH(Tableau1[[#This Row],[Type]],Chemin_accès!$C$11:$C$22,0),1),Chemin_accès!$B$11)</f>
        <v>0</v>
      </c>
      <c r="AD455" s="47" t="str">
        <f>Chemin_accès!$B$8&amp;Tableau1[[#This Row],[Localisation / Classement]]&amp;"\"&amp;Tableau1[[#This Row],[Poste technique]]&amp;"_"&amp;Tableau1[[#This Row],[Plan Entretien]]&amp;".xlsm"</f>
        <v>\_.xlsm</v>
      </c>
    </row>
    <row r="456" spans="1:30" x14ac:dyDescent="0.3">
      <c r="A456" s="41" t="str">
        <f t="shared" ca="1" si="7"/>
        <v>7.MNRJ</v>
      </c>
      <c r="B4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6" s="43"/>
      <c r="D456" s="41"/>
      <c r="E456" s="41"/>
      <c r="F456" s="61"/>
      <c r="G456" s="61"/>
      <c r="H456" s="63"/>
      <c r="I456" s="63"/>
      <c r="J456" s="63"/>
      <c r="K456" s="63"/>
      <c r="L456" s="62"/>
      <c r="M456" s="61"/>
      <c r="N456" s="62"/>
      <c r="O456" s="62"/>
      <c r="P456" s="61"/>
      <c r="Q456" s="62"/>
      <c r="R456" s="43"/>
      <c r="S456" s="45"/>
      <c r="T456" s="58" t="str">
        <f>IF(Tableau1[[#This Row],[DMS_SAP]]="","",HYPERLINK(Tableau1[[#This Row],[Chemin fichier source]],"X"))</f>
        <v/>
      </c>
      <c r="U456" s="58" t="str">
        <f>IF(Tableau1[[#This Row],[Date rév.]]="","",HYPERLINK(Tableau1[[#This Row],[Lien document]],"X"))</f>
        <v/>
      </c>
      <c r="V456" s="44"/>
      <c r="W456" s="46" t="str">
        <f ca="1">Chemin_accès!$B$2&amp;Tableau1[[#This Row],[Poste Responsable]]&amp;"\"&amp;Tableau1[[#This Row],[Localisation / Classement]]&amp;"\"&amp;Tableau1[[#This Row],[Poste technique]]&amp;"_"&amp;Tableau1[[#This Row],[Plan Entretien]]&amp;".pdf"</f>
        <v>\\stjn.local\trimet\Donnees_Projets\Dms Sap\Maintenance\PlanEntretien\7.MNRJ\\_.pdf</v>
      </c>
      <c r="X456" s="44"/>
      <c r="Y456" s="44"/>
      <c r="Z456" s="41" t="str">
        <f ca="1">IF(AND(Tableau1[[#This Row],[Charge]]&lt;&gt;0, Tableau1[[#This Row],[Nombre intervenants]]&lt;&gt;0,Tableau1[[#This Row],[Lien document]]&lt;&gt;0,Tableau1[[#This Row],[DMS_SAP]]&lt;&gt;0)=TRUE,"MIS A JOUR","")</f>
        <v/>
      </c>
      <c r="AA456" s="45"/>
      <c r="AB456" s="55" t="str">
        <f ca="1">IF(Tableau1[[#This Row],[Date rév.]]&lt;&gt;"", DAYS360(Tableau1[[#This Row],[Date rév.]],TODAY()),"")</f>
        <v/>
      </c>
      <c r="AC456" s="47">
        <f>IFERROR(INDEX(Chemin_accès!$B$11:$C$22,MATCH(Tableau1[[#This Row],[Type]],Chemin_accès!$C$11:$C$22,0),1),Chemin_accès!$B$11)</f>
        <v>0</v>
      </c>
      <c r="AD456" s="47" t="str">
        <f>Chemin_accès!$B$8&amp;Tableau1[[#This Row],[Localisation / Classement]]&amp;"\"&amp;Tableau1[[#This Row],[Poste technique]]&amp;"_"&amp;Tableau1[[#This Row],[Plan Entretien]]&amp;".xlsm"</f>
        <v>\_.xlsm</v>
      </c>
    </row>
    <row r="457" spans="1:30" x14ac:dyDescent="0.3">
      <c r="A457" s="41" t="str">
        <f t="shared" ca="1" si="7"/>
        <v>7.MNRJ</v>
      </c>
      <c r="B4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7" s="43"/>
      <c r="D457" s="41"/>
      <c r="E457" s="41"/>
      <c r="F457" s="61"/>
      <c r="G457" s="61"/>
      <c r="H457" s="63"/>
      <c r="I457" s="63"/>
      <c r="J457" s="63"/>
      <c r="K457" s="63"/>
      <c r="L457" s="62"/>
      <c r="M457" s="61"/>
      <c r="N457" s="62"/>
      <c r="O457" s="62"/>
      <c r="P457" s="61"/>
      <c r="Q457" s="62"/>
      <c r="R457" s="43"/>
      <c r="S457" s="45"/>
      <c r="T457" s="58" t="str">
        <f>IF(Tableau1[[#This Row],[DMS_SAP]]="","",HYPERLINK(Tableau1[[#This Row],[Chemin fichier source]],"X"))</f>
        <v/>
      </c>
      <c r="U457" s="58" t="str">
        <f>IF(Tableau1[[#This Row],[Date rév.]]="","",HYPERLINK(Tableau1[[#This Row],[Lien document]],"X"))</f>
        <v/>
      </c>
      <c r="V457" s="44"/>
      <c r="W457" s="46" t="str">
        <f ca="1">Chemin_accès!$B$2&amp;Tableau1[[#This Row],[Poste Responsable]]&amp;"\"&amp;Tableau1[[#This Row],[Localisation / Classement]]&amp;"\"&amp;Tableau1[[#This Row],[Poste technique]]&amp;"_"&amp;Tableau1[[#This Row],[Plan Entretien]]&amp;".pdf"</f>
        <v>\\stjn.local\trimet\Donnees_Projets\Dms Sap\Maintenance\PlanEntretien\7.MNRJ\\_.pdf</v>
      </c>
      <c r="X457" s="44"/>
      <c r="Y457" s="44"/>
      <c r="Z457" s="41" t="str">
        <f ca="1">IF(AND(Tableau1[[#This Row],[Charge]]&lt;&gt;0, Tableau1[[#This Row],[Nombre intervenants]]&lt;&gt;0,Tableau1[[#This Row],[Lien document]]&lt;&gt;0,Tableau1[[#This Row],[DMS_SAP]]&lt;&gt;0)=TRUE,"MIS A JOUR","")</f>
        <v/>
      </c>
      <c r="AA457" s="45"/>
      <c r="AB457" s="55" t="str">
        <f ca="1">IF(Tableau1[[#This Row],[Date rév.]]&lt;&gt;"", DAYS360(Tableau1[[#This Row],[Date rév.]],TODAY()),"")</f>
        <v/>
      </c>
      <c r="AC457" s="47">
        <f>IFERROR(INDEX(Chemin_accès!$B$11:$C$22,MATCH(Tableau1[[#This Row],[Type]],Chemin_accès!$C$11:$C$22,0),1),Chemin_accès!$B$11)</f>
        <v>0</v>
      </c>
      <c r="AD457" s="47" t="str">
        <f>Chemin_accès!$B$8&amp;Tableau1[[#This Row],[Localisation / Classement]]&amp;"\"&amp;Tableau1[[#This Row],[Poste technique]]&amp;"_"&amp;Tableau1[[#This Row],[Plan Entretien]]&amp;".xlsm"</f>
        <v>\_.xlsm</v>
      </c>
    </row>
    <row r="458" spans="1:30" x14ac:dyDescent="0.3">
      <c r="A458" s="41" t="str">
        <f t="shared" ca="1" si="7"/>
        <v>7.MNRJ</v>
      </c>
      <c r="B4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8" s="43"/>
      <c r="D458" s="41"/>
      <c r="E458" s="41"/>
      <c r="F458" s="61"/>
      <c r="G458" s="61"/>
      <c r="H458" s="63"/>
      <c r="I458" s="63"/>
      <c r="J458" s="63"/>
      <c r="K458" s="63"/>
      <c r="L458" s="62"/>
      <c r="M458" s="61"/>
      <c r="N458" s="62"/>
      <c r="O458" s="62"/>
      <c r="P458" s="61"/>
      <c r="Q458" s="62"/>
      <c r="R458" s="43"/>
      <c r="S458" s="45"/>
      <c r="T458" s="58" t="str">
        <f>IF(Tableau1[[#This Row],[DMS_SAP]]="","",HYPERLINK(Tableau1[[#This Row],[Chemin fichier source]],"X"))</f>
        <v/>
      </c>
      <c r="U458" s="58" t="str">
        <f>IF(Tableau1[[#This Row],[Date rév.]]="","",HYPERLINK(Tableau1[[#This Row],[Lien document]],"X"))</f>
        <v/>
      </c>
      <c r="V458" s="44"/>
      <c r="W458" s="46" t="str">
        <f ca="1">Chemin_accès!$B$2&amp;Tableau1[[#This Row],[Poste Responsable]]&amp;"\"&amp;Tableau1[[#This Row],[Localisation / Classement]]&amp;"\"&amp;Tableau1[[#This Row],[Poste technique]]&amp;"_"&amp;Tableau1[[#This Row],[Plan Entretien]]&amp;".pdf"</f>
        <v>\\stjn.local\trimet\Donnees_Projets\Dms Sap\Maintenance\PlanEntretien\7.MNRJ\\_.pdf</v>
      </c>
      <c r="X458" s="44"/>
      <c r="Y458" s="44"/>
      <c r="Z458" s="41" t="str">
        <f ca="1">IF(AND(Tableau1[[#This Row],[Charge]]&lt;&gt;0, Tableau1[[#This Row],[Nombre intervenants]]&lt;&gt;0,Tableau1[[#This Row],[Lien document]]&lt;&gt;0,Tableau1[[#This Row],[DMS_SAP]]&lt;&gt;0)=TRUE,"MIS A JOUR","")</f>
        <v/>
      </c>
      <c r="AA458" s="45"/>
      <c r="AB458" s="55" t="str">
        <f ca="1">IF(Tableau1[[#This Row],[Date rév.]]&lt;&gt;"", DAYS360(Tableau1[[#This Row],[Date rév.]],TODAY()),"")</f>
        <v/>
      </c>
      <c r="AC458" s="47">
        <f>IFERROR(INDEX(Chemin_accès!$B$11:$C$22,MATCH(Tableau1[[#This Row],[Type]],Chemin_accès!$C$11:$C$22,0),1),Chemin_accès!$B$11)</f>
        <v>0</v>
      </c>
      <c r="AD458" s="47" t="str">
        <f>Chemin_accès!$B$8&amp;Tableau1[[#This Row],[Localisation / Classement]]&amp;"\"&amp;Tableau1[[#This Row],[Poste technique]]&amp;"_"&amp;Tableau1[[#This Row],[Plan Entretien]]&amp;".xlsm"</f>
        <v>\_.xlsm</v>
      </c>
    </row>
    <row r="459" spans="1:30" x14ac:dyDescent="0.3">
      <c r="A459" s="41" t="str">
        <f t="shared" ca="1" si="7"/>
        <v>7.MNRJ</v>
      </c>
      <c r="B4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9" s="43"/>
      <c r="D459" s="41"/>
      <c r="E459" s="41"/>
      <c r="F459" s="61"/>
      <c r="G459" s="61"/>
      <c r="H459" s="63"/>
      <c r="I459" s="63"/>
      <c r="J459" s="63"/>
      <c r="K459" s="63"/>
      <c r="L459" s="62"/>
      <c r="M459" s="61"/>
      <c r="N459" s="62"/>
      <c r="O459" s="62"/>
      <c r="P459" s="61"/>
      <c r="Q459" s="62"/>
      <c r="R459" s="43"/>
      <c r="S459" s="45"/>
      <c r="T459" s="58" t="str">
        <f>IF(Tableau1[[#This Row],[DMS_SAP]]="","",HYPERLINK(Tableau1[[#This Row],[Chemin fichier source]],"X"))</f>
        <v/>
      </c>
      <c r="U459" s="58" t="str">
        <f>IF(Tableau1[[#This Row],[Date rév.]]="","",HYPERLINK(Tableau1[[#This Row],[Lien document]],"X"))</f>
        <v/>
      </c>
      <c r="V459" s="44"/>
      <c r="W459" s="46" t="str">
        <f ca="1">Chemin_accès!$B$2&amp;Tableau1[[#This Row],[Poste Responsable]]&amp;"\"&amp;Tableau1[[#This Row],[Localisation / Classement]]&amp;"\"&amp;Tableau1[[#This Row],[Poste technique]]&amp;"_"&amp;Tableau1[[#This Row],[Plan Entretien]]&amp;".pdf"</f>
        <v>\\stjn.local\trimet\Donnees_Projets\Dms Sap\Maintenance\PlanEntretien\7.MNRJ\\_.pdf</v>
      </c>
      <c r="X459" s="44"/>
      <c r="Y459" s="44"/>
      <c r="Z459" s="41" t="str">
        <f ca="1">IF(AND(Tableau1[[#This Row],[Charge]]&lt;&gt;0, Tableau1[[#This Row],[Nombre intervenants]]&lt;&gt;0,Tableau1[[#This Row],[Lien document]]&lt;&gt;0,Tableau1[[#This Row],[DMS_SAP]]&lt;&gt;0)=TRUE,"MIS A JOUR","")</f>
        <v/>
      </c>
      <c r="AA459" s="45"/>
      <c r="AB459" s="55" t="str">
        <f ca="1">IF(Tableau1[[#This Row],[Date rév.]]&lt;&gt;"", DAYS360(Tableau1[[#This Row],[Date rév.]],TODAY()),"")</f>
        <v/>
      </c>
      <c r="AC459" s="47">
        <f>IFERROR(INDEX(Chemin_accès!$B$11:$C$22,MATCH(Tableau1[[#This Row],[Type]],Chemin_accès!$C$11:$C$22,0),1),Chemin_accès!$B$11)</f>
        <v>0</v>
      </c>
      <c r="AD459" s="47" t="str">
        <f>Chemin_accès!$B$8&amp;Tableau1[[#This Row],[Localisation / Classement]]&amp;"\"&amp;Tableau1[[#This Row],[Poste technique]]&amp;"_"&amp;Tableau1[[#This Row],[Plan Entretien]]&amp;".xlsm"</f>
        <v>\_.xlsm</v>
      </c>
    </row>
    <row r="460" spans="1:30" x14ac:dyDescent="0.3">
      <c r="A460" s="41" t="str">
        <f t="shared" ca="1" si="7"/>
        <v>7.MNRJ</v>
      </c>
      <c r="B4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0" s="43"/>
      <c r="D460" s="41"/>
      <c r="E460" s="41"/>
      <c r="F460" s="61"/>
      <c r="G460" s="61"/>
      <c r="H460" s="63"/>
      <c r="I460" s="63"/>
      <c r="J460" s="63"/>
      <c r="K460" s="63"/>
      <c r="L460" s="62"/>
      <c r="M460" s="61"/>
      <c r="N460" s="62"/>
      <c r="O460" s="62"/>
      <c r="P460" s="61"/>
      <c r="Q460" s="62"/>
      <c r="R460" s="43"/>
      <c r="S460" s="45"/>
      <c r="T460" s="58" t="str">
        <f>IF(Tableau1[[#This Row],[DMS_SAP]]="","",HYPERLINK(Tableau1[[#This Row],[Chemin fichier source]],"X"))</f>
        <v/>
      </c>
      <c r="U460" s="58" t="str">
        <f>IF(Tableau1[[#This Row],[Date rév.]]="","",HYPERLINK(Tableau1[[#This Row],[Lien document]],"X"))</f>
        <v/>
      </c>
      <c r="V460" s="44"/>
      <c r="W460" s="46" t="str">
        <f ca="1">Chemin_accès!$B$2&amp;Tableau1[[#This Row],[Poste Responsable]]&amp;"\"&amp;Tableau1[[#This Row],[Localisation / Classement]]&amp;"\"&amp;Tableau1[[#This Row],[Poste technique]]&amp;"_"&amp;Tableau1[[#This Row],[Plan Entretien]]&amp;".pdf"</f>
        <v>\\stjn.local\trimet\Donnees_Projets\Dms Sap\Maintenance\PlanEntretien\7.MNRJ\\_.pdf</v>
      </c>
      <c r="X460" s="44"/>
      <c r="Y460" s="44"/>
      <c r="Z460" s="41" t="str">
        <f ca="1">IF(AND(Tableau1[[#This Row],[Charge]]&lt;&gt;0, Tableau1[[#This Row],[Nombre intervenants]]&lt;&gt;0,Tableau1[[#This Row],[Lien document]]&lt;&gt;0,Tableau1[[#This Row],[DMS_SAP]]&lt;&gt;0)=TRUE,"MIS A JOUR","")</f>
        <v/>
      </c>
      <c r="AA460" s="45"/>
      <c r="AB460" s="55" t="str">
        <f ca="1">IF(Tableau1[[#This Row],[Date rév.]]&lt;&gt;"", DAYS360(Tableau1[[#This Row],[Date rév.]],TODAY()),"")</f>
        <v/>
      </c>
      <c r="AC460" s="47">
        <f>IFERROR(INDEX(Chemin_accès!$B$11:$C$22,MATCH(Tableau1[[#This Row],[Type]],Chemin_accès!$C$11:$C$22,0),1),Chemin_accès!$B$11)</f>
        <v>0</v>
      </c>
      <c r="AD460" s="47" t="str">
        <f>Chemin_accès!$B$8&amp;Tableau1[[#This Row],[Localisation / Classement]]&amp;"\"&amp;Tableau1[[#This Row],[Poste technique]]&amp;"_"&amp;Tableau1[[#This Row],[Plan Entretien]]&amp;".xlsm"</f>
        <v>\_.xlsm</v>
      </c>
    </row>
    <row r="461" spans="1:30" x14ac:dyDescent="0.3">
      <c r="A461" s="41" t="str">
        <f t="shared" ca="1" si="7"/>
        <v>7.MNRJ</v>
      </c>
      <c r="B4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1" s="43"/>
      <c r="D461" s="41"/>
      <c r="E461" s="41"/>
      <c r="F461" s="61"/>
      <c r="G461" s="61"/>
      <c r="H461" s="63"/>
      <c r="I461" s="63"/>
      <c r="J461" s="63"/>
      <c r="K461" s="63"/>
      <c r="L461" s="62"/>
      <c r="M461" s="61"/>
      <c r="N461" s="62"/>
      <c r="O461" s="62"/>
      <c r="P461" s="61"/>
      <c r="Q461" s="62"/>
      <c r="R461" s="43"/>
      <c r="S461" s="45"/>
      <c r="T461" s="58" t="str">
        <f>IF(Tableau1[[#This Row],[DMS_SAP]]="","",HYPERLINK(Tableau1[[#This Row],[Chemin fichier source]],"X"))</f>
        <v/>
      </c>
      <c r="U461" s="58" t="str">
        <f>IF(Tableau1[[#This Row],[Date rév.]]="","",HYPERLINK(Tableau1[[#This Row],[Lien document]],"X"))</f>
        <v/>
      </c>
      <c r="V461" s="44"/>
      <c r="W461" s="46" t="str">
        <f ca="1">Chemin_accès!$B$2&amp;Tableau1[[#This Row],[Poste Responsable]]&amp;"\"&amp;Tableau1[[#This Row],[Localisation / Classement]]&amp;"\"&amp;Tableau1[[#This Row],[Poste technique]]&amp;"_"&amp;Tableau1[[#This Row],[Plan Entretien]]&amp;".pdf"</f>
        <v>\\stjn.local\trimet\Donnees_Projets\Dms Sap\Maintenance\PlanEntretien\7.MNRJ\\_.pdf</v>
      </c>
      <c r="X461" s="44"/>
      <c r="Y461" s="44"/>
      <c r="Z461" s="41" t="str">
        <f ca="1">IF(AND(Tableau1[[#This Row],[Charge]]&lt;&gt;0, Tableau1[[#This Row],[Nombre intervenants]]&lt;&gt;0,Tableau1[[#This Row],[Lien document]]&lt;&gt;0,Tableau1[[#This Row],[DMS_SAP]]&lt;&gt;0)=TRUE,"MIS A JOUR","")</f>
        <v/>
      </c>
      <c r="AA461" s="45"/>
      <c r="AB461" s="55" t="str">
        <f ca="1">IF(Tableau1[[#This Row],[Date rév.]]&lt;&gt;"", DAYS360(Tableau1[[#This Row],[Date rév.]],TODAY()),"")</f>
        <v/>
      </c>
      <c r="AC461" s="47">
        <f>IFERROR(INDEX(Chemin_accès!$B$11:$C$22,MATCH(Tableau1[[#This Row],[Type]],Chemin_accès!$C$11:$C$22,0),1),Chemin_accès!$B$11)</f>
        <v>0</v>
      </c>
      <c r="AD461" s="47" t="str">
        <f>Chemin_accès!$B$8&amp;Tableau1[[#This Row],[Localisation / Classement]]&amp;"\"&amp;Tableau1[[#This Row],[Poste technique]]&amp;"_"&amp;Tableau1[[#This Row],[Plan Entretien]]&amp;".xlsm"</f>
        <v>\_.xlsm</v>
      </c>
    </row>
    <row r="462" spans="1:30" x14ac:dyDescent="0.3">
      <c r="A462" s="41" t="str">
        <f t="shared" ca="1" si="7"/>
        <v>7.MNRJ</v>
      </c>
      <c r="B4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2" s="43"/>
      <c r="D462" s="41"/>
      <c r="E462" s="41"/>
      <c r="F462" s="61"/>
      <c r="G462" s="61"/>
      <c r="H462" s="63"/>
      <c r="I462" s="63"/>
      <c r="J462" s="63"/>
      <c r="K462" s="63"/>
      <c r="L462" s="62"/>
      <c r="M462" s="61"/>
      <c r="N462" s="62"/>
      <c r="O462" s="62"/>
      <c r="P462" s="61"/>
      <c r="Q462" s="62"/>
      <c r="R462" s="43"/>
      <c r="S462" s="45"/>
      <c r="T462" s="58" t="str">
        <f>IF(Tableau1[[#This Row],[DMS_SAP]]="","",HYPERLINK(Tableau1[[#This Row],[Chemin fichier source]],"X"))</f>
        <v/>
      </c>
      <c r="U462" s="58" t="str">
        <f>IF(Tableau1[[#This Row],[Date rév.]]="","",HYPERLINK(Tableau1[[#This Row],[Lien document]],"X"))</f>
        <v/>
      </c>
      <c r="V462" s="44"/>
      <c r="W462" s="46" t="str">
        <f ca="1">Chemin_accès!$B$2&amp;Tableau1[[#This Row],[Poste Responsable]]&amp;"\"&amp;Tableau1[[#This Row],[Localisation / Classement]]&amp;"\"&amp;Tableau1[[#This Row],[Poste technique]]&amp;"_"&amp;Tableau1[[#This Row],[Plan Entretien]]&amp;".pdf"</f>
        <v>\\stjn.local\trimet\Donnees_Projets\Dms Sap\Maintenance\PlanEntretien\7.MNRJ\\_.pdf</v>
      </c>
      <c r="X462" s="44"/>
      <c r="Y462" s="44"/>
      <c r="Z462" s="41" t="str">
        <f ca="1">IF(AND(Tableau1[[#This Row],[Charge]]&lt;&gt;0, Tableau1[[#This Row],[Nombre intervenants]]&lt;&gt;0,Tableau1[[#This Row],[Lien document]]&lt;&gt;0,Tableau1[[#This Row],[DMS_SAP]]&lt;&gt;0)=TRUE,"MIS A JOUR","")</f>
        <v/>
      </c>
      <c r="AA462" s="45"/>
      <c r="AB462" s="55" t="str">
        <f ca="1">IF(Tableau1[[#This Row],[Date rév.]]&lt;&gt;"", DAYS360(Tableau1[[#This Row],[Date rév.]],TODAY()),"")</f>
        <v/>
      </c>
      <c r="AC462" s="47">
        <f>IFERROR(INDEX(Chemin_accès!$B$11:$C$22,MATCH(Tableau1[[#This Row],[Type]],Chemin_accès!$C$11:$C$22,0),1),Chemin_accès!$B$11)</f>
        <v>0</v>
      </c>
      <c r="AD462" s="47" t="str">
        <f>Chemin_accès!$B$8&amp;Tableau1[[#This Row],[Localisation / Classement]]&amp;"\"&amp;Tableau1[[#This Row],[Poste technique]]&amp;"_"&amp;Tableau1[[#This Row],[Plan Entretien]]&amp;".xlsm"</f>
        <v>\_.xlsm</v>
      </c>
    </row>
    <row r="463" spans="1:30" x14ac:dyDescent="0.3">
      <c r="A463" s="41" t="str">
        <f t="shared" ca="1" si="7"/>
        <v>7.MNRJ</v>
      </c>
      <c r="B4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3" s="43"/>
      <c r="D463" s="41"/>
      <c r="E463" s="41"/>
      <c r="F463" s="61"/>
      <c r="G463" s="61"/>
      <c r="H463" s="63"/>
      <c r="I463" s="63"/>
      <c r="J463" s="63"/>
      <c r="K463" s="63"/>
      <c r="L463" s="62"/>
      <c r="M463" s="61"/>
      <c r="N463" s="62"/>
      <c r="O463" s="62"/>
      <c r="P463" s="61"/>
      <c r="Q463" s="62"/>
      <c r="R463" s="43"/>
      <c r="S463" s="45"/>
      <c r="T463" s="58" t="str">
        <f>IF(Tableau1[[#This Row],[DMS_SAP]]="","",HYPERLINK(Tableau1[[#This Row],[Chemin fichier source]],"X"))</f>
        <v/>
      </c>
      <c r="U463" s="58" t="str">
        <f>IF(Tableau1[[#This Row],[Date rév.]]="","",HYPERLINK(Tableau1[[#This Row],[Lien document]],"X"))</f>
        <v/>
      </c>
      <c r="V463" s="44"/>
      <c r="W463" s="46" t="str">
        <f ca="1">Chemin_accès!$B$2&amp;Tableau1[[#This Row],[Poste Responsable]]&amp;"\"&amp;Tableau1[[#This Row],[Localisation / Classement]]&amp;"\"&amp;Tableau1[[#This Row],[Poste technique]]&amp;"_"&amp;Tableau1[[#This Row],[Plan Entretien]]&amp;".pdf"</f>
        <v>\\stjn.local\trimet\Donnees_Projets\Dms Sap\Maintenance\PlanEntretien\7.MNRJ\\_.pdf</v>
      </c>
      <c r="X463" s="44"/>
      <c r="Y463" s="44"/>
      <c r="Z463" s="41" t="str">
        <f ca="1">IF(AND(Tableau1[[#This Row],[Charge]]&lt;&gt;0, Tableau1[[#This Row],[Nombre intervenants]]&lt;&gt;0,Tableau1[[#This Row],[Lien document]]&lt;&gt;0,Tableau1[[#This Row],[DMS_SAP]]&lt;&gt;0)=TRUE,"MIS A JOUR","")</f>
        <v/>
      </c>
      <c r="AA463" s="45"/>
      <c r="AB463" s="55" t="str">
        <f ca="1">IF(Tableau1[[#This Row],[Date rév.]]&lt;&gt;"", DAYS360(Tableau1[[#This Row],[Date rév.]],TODAY()),"")</f>
        <v/>
      </c>
      <c r="AC463" s="47">
        <f>IFERROR(INDEX(Chemin_accès!$B$11:$C$22,MATCH(Tableau1[[#This Row],[Type]],Chemin_accès!$C$11:$C$22,0),1),Chemin_accès!$B$11)</f>
        <v>0</v>
      </c>
      <c r="AD463" s="47" t="str">
        <f>Chemin_accès!$B$8&amp;Tableau1[[#This Row],[Localisation / Classement]]&amp;"\"&amp;Tableau1[[#This Row],[Poste technique]]&amp;"_"&amp;Tableau1[[#This Row],[Plan Entretien]]&amp;".xlsm"</f>
        <v>\_.xlsm</v>
      </c>
    </row>
    <row r="464" spans="1:30" x14ac:dyDescent="0.3">
      <c r="A464" s="41" t="str">
        <f t="shared" ca="1" si="7"/>
        <v>7.MNRJ</v>
      </c>
      <c r="B4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4" s="43"/>
      <c r="D464" s="41"/>
      <c r="E464" s="41"/>
      <c r="F464" s="61"/>
      <c r="G464" s="61"/>
      <c r="H464" s="63"/>
      <c r="I464" s="63"/>
      <c r="J464" s="63"/>
      <c r="K464" s="63"/>
      <c r="L464" s="62"/>
      <c r="M464" s="61"/>
      <c r="N464" s="62"/>
      <c r="O464" s="62"/>
      <c r="P464" s="61"/>
      <c r="Q464" s="62"/>
      <c r="R464" s="43"/>
      <c r="S464" s="45"/>
      <c r="T464" s="58" t="str">
        <f>IF(Tableau1[[#This Row],[DMS_SAP]]="","",HYPERLINK(Tableau1[[#This Row],[Chemin fichier source]],"X"))</f>
        <v/>
      </c>
      <c r="U464" s="58" t="str">
        <f>IF(Tableau1[[#This Row],[Date rév.]]="","",HYPERLINK(Tableau1[[#This Row],[Lien document]],"X"))</f>
        <v/>
      </c>
      <c r="V464" s="44"/>
      <c r="W464" s="46" t="str">
        <f ca="1">Chemin_accès!$B$2&amp;Tableau1[[#This Row],[Poste Responsable]]&amp;"\"&amp;Tableau1[[#This Row],[Localisation / Classement]]&amp;"\"&amp;Tableau1[[#This Row],[Poste technique]]&amp;"_"&amp;Tableau1[[#This Row],[Plan Entretien]]&amp;".pdf"</f>
        <v>\\stjn.local\trimet\Donnees_Projets\Dms Sap\Maintenance\PlanEntretien\7.MNRJ\\_.pdf</v>
      </c>
      <c r="X464" s="44"/>
      <c r="Y464" s="44"/>
      <c r="Z464" s="41" t="str">
        <f ca="1">IF(AND(Tableau1[[#This Row],[Charge]]&lt;&gt;0, Tableau1[[#This Row],[Nombre intervenants]]&lt;&gt;0,Tableau1[[#This Row],[Lien document]]&lt;&gt;0,Tableau1[[#This Row],[DMS_SAP]]&lt;&gt;0)=TRUE,"MIS A JOUR","")</f>
        <v/>
      </c>
      <c r="AA464" s="45"/>
      <c r="AB464" s="55" t="str">
        <f ca="1">IF(Tableau1[[#This Row],[Date rév.]]&lt;&gt;"", DAYS360(Tableau1[[#This Row],[Date rév.]],TODAY()),"")</f>
        <v/>
      </c>
      <c r="AC464" s="47">
        <f>IFERROR(INDEX(Chemin_accès!$B$11:$C$22,MATCH(Tableau1[[#This Row],[Type]],Chemin_accès!$C$11:$C$22,0),1),Chemin_accès!$B$11)</f>
        <v>0</v>
      </c>
      <c r="AD464" s="47" t="str">
        <f>Chemin_accès!$B$8&amp;Tableau1[[#This Row],[Localisation / Classement]]&amp;"\"&amp;Tableau1[[#This Row],[Poste technique]]&amp;"_"&amp;Tableau1[[#This Row],[Plan Entretien]]&amp;".xlsm"</f>
        <v>\_.xlsm</v>
      </c>
    </row>
    <row r="465" spans="1:30" x14ac:dyDescent="0.3">
      <c r="A465" s="41" t="str">
        <f t="shared" ca="1" si="7"/>
        <v>7.MNRJ</v>
      </c>
      <c r="B4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5" s="43"/>
      <c r="D465" s="41"/>
      <c r="E465" s="41"/>
      <c r="F465" s="61"/>
      <c r="G465" s="61"/>
      <c r="H465" s="63"/>
      <c r="I465" s="63"/>
      <c r="J465" s="63"/>
      <c r="K465" s="63"/>
      <c r="L465" s="62"/>
      <c r="M465" s="61"/>
      <c r="N465" s="62"/>
      <c r="O465" s="62"/>
      <c r="P465" s="61"/>
      <c r="Q465" s="62"/>
      <c r="R465" s="43"/>
      <c r="S465" s="45"/>
      <c r="T465" s="58" t="str">
        <f>IF(Tableau1[[#This Row],[DMS_SAP]]="","",HYPERLINK(Tableau1[[#This Row],[Chemin fichier source]],"X"))</f>
        <v/>
      </c>
      <c r="U465" s="58" t="str">
        <f>IF(Tableau1[[#This Row],[Date rév.]]="","",HYPERLINK(Tableau1[[#This Row],[Lien document]],"X"))</f>
        <v/>
      </c>
      <c r="V465" s="44"/>
      <c r="W465" s="46" t="str">
        <f ca="1">Chemin_accès!$B$2&amp;Tableau1[[#This Row],[Poste Responsable]]&amp;"\"&amp;Tableau1[[#This Row],[Localisation / Classement]]&amp;"\"&amp;Tableau1[[#This Row],[Poste technique]]&amp;"_"&amp;Tableau1[[#This Row],[Plan Entretien]]&amp;".pdf"</f>
        <v>\\stjn.local\trimet\Donnees_Projets\Dms Sap\Maintenance\PlanEntretien\7.MNRJ\\_.pdf</v>
      </c>
      <c r="X465" s="44"/>
      <c r="Y465" s="44"/>
      <c r="Z465" s="41" t="str">
        <f ca="1">IF(AND(Tableau1[[#This Row],[Charge]]&lt;&gt;0, Tableau1[[#This Row],[Nombre intervenants]]&lt;&gt;0,Tableau1[[#This Row],[Lien document]]&lt;&gt;0,Tableau1[[#This Row],[DMS_SAP]]&lt;&gt;0)=TRUE,"MIS A JOUR","")</f>
        <v/>
      </c>
      <c r="AA465" s="45"/>
      <c r="AB465" s="55" t="str">
        <f ca="1">IF(Tableau1[[#This Row],[Date rév.]]&lt;&gt;"", DAYS360(Tableau1[[#This Row],[Date rév.]],TODAY()),"")</f>
        <v/>
      </c>
      <c r="AC465" s="47">
        <f>IFERROR(INDEX(Chemin_accès!$B$11:$C$22,MATCH(Tableau1[[#This Row],[Type]],Chemin_accès!$C$11:$C$22,0),1),Chemin_accès!$B$11)</f>
        <v>0</v>
      </c>
      <c r="AD465" s="47" t="str">
        <f>Chemin_accès!$B$8&amp;Tableau1[[#This Row],[Localisation / Classement]]&amp;"\"&amp;Tableau1[[#This Row],[Poste technique]]&amp;"_"&amp;Tableau1[[#This Row],[Plan Entretien]]&amp;".xlsm"</f>
        <v>\_.xlsm</v>
      </c>
    </row>
    <row r="466" spans="1:30" x14ac:dyDescent="0.3">
      <c r="A466" s="41" t="str">
        <f t="shared" ca="1" si="7"/>
        <v>7.MNRJ</v>
      </c>
      <c r="B4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6" s="43"/>
      <c r="D466" s="41"/>
      <c r="E466" s="41"/>
      <c r="F466" s="50"/>
      <c r="G466" s="50"/>
      <c r="H466" s="65"/>
      <c r="I466" s="65"/>
      <c r="J466" s="65"/>
      <c r="K466" s="65"/>
      <c r="L466" s="51"/>
      <c r="M466" s="50"/>
      <c r="N466" s="51"/>
      <c r="O466" s="51"/>
      <c r="P466" s="50"/>
      <c r="Q466" s="51"/>
      <c r="R466" s="43"/>
      <c r="S466" s="45"/>
      <c r="T466" s="58" t="str">
        <f>IF(Tableau1[[#This Row],[DMS_SAP]]="","",HYPERLINK(Tableau1[[#This Row],[Chemin fichier source]],"X"))</f>
        <v/>
      </c>
      <c r="U466" s="58" t="str">
        <f>IF(Tableau1[[#This Row],[Date rév.]]="","",HYPERLINK(Tableau1[[#This Row],[Lien document]],"X"))</f>
        <v/>
      </c>
      <c r="V466" s="44"/>
      <c r="W466" s="46" t="str">
        <f ca="1">Chemin_accès!$B$2&amp;Tableau1[[#This Row],[Poste Responsable]]&amp;"\"&amp;Tableau1[[#This Row],[Localisation / Classement]]&amp;"\"&amp;Tableau1[[#This Row],[Poste technique]]&amp;"_"&amp;Tableau1[[#This Row],[Plan Entretien]]&amp;".pdf"</f>
        <v>\\stjn.local\trimet\Donnees_Projets\Dms Sap\Maintenance\PlanEntretien\7.MNRJ\\_.pdf</v>
      </c>
      <c r="X466" s="44"/>
      <c r="Y466" s="44"/>
      <c r="Z466" s="41" t="str">
        <f ca="1">IF(AND(Tableau1[[#This Row],[Charge]]&lt;&gt;0, Tableau1[[#This Row],[Nombre intervenants]]&lt;&gt;0,Tableau1[[#This Row],[Lien document]]&lt;&gt;0,Tableau1[[#This Row],[DMS_SAP]]&lt;&gt;0)=TRUE,"MIS A JOUR","")</f>
        <v/>
      </c>
      <c r="AA466" s="45"/>
      <c r="AB466" s="55" t="str">
        <f ca="1">IF(Tableau1[[#This Row],[Date rév.]]&lt;&gt;"", DAYS360(Tableau1[[#This Row],[Date rév.]],TODAY()),"")</f>
        <v/>
      </c>
      <c r="AC466" s="47">
        <f>IFERROR(INDEX(Chemin_accès!$B$11:$C$22,MATCH(Tableau1[[#This Row],[Type]],Chemin_accès!$C$11:$C$22,0),1),Chemin_accès!$B$11)</f>
        <v>0</v>
      </c>
      <c r="AD466" s="47" t="str">
        <f>Chemin_accès!$B$8&amp;Tableau1[[#This Row],[Localisation / Classement]]&amp;"\"&amp;Tableau1[[#This Row],[Poste technique]]&amp;"_"&amp;Tableau1[[#This Row],[Plan Entretien]]&amp;".xlsm"</f>
        <v>\_.xlsm</v>
      </c>
    </row>
    <row r="467" spans="1:30" x14ac:dyDescent="0.3">
      <c r="A467" s="41" t="str">
        <f t="shared" ca="1" si="7"/>
        <v>7.MNRJ</v>
      </c>
      <c r="B4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7" s="43"/>
      <c r="D467" s="41"/>
      <c r="E467" s="41"/>
      <c r="F467" s="50"/>
      <c r="G467" s="50"/>
      <c r="H467" s="65"/>
      <c r="I467" s="65"/>
      <c r="J467" s="65"/>
      <c r="K467" s="65"/>
      <c r="L467" s="51"/>
      <c r="M467" s="50"/>
      <c r="N467" s="51"/>
      <c r="O467" s="51"/>
      <c r="P467" s="50"/>
      <c r="Q467" s="51"/>
      <c r="R467" s="43"/>
      <c r="S467" s="45"/>
      <c r="T467" s="58" t="str">
        <f>IF(Tableau1[[#This Row],[DMS_SAP]]="","",HYPERLINK(Tableau1[[#This Row],[Chemin fichier source]],"X"))</f>
        <v/>
      </c>
      <c r="U467" s="58" t="str">
        <f>IF(Tableau1[[#This Row],[Date rév.]]="","",HYPERLINK(Tableau1[[#This Row],[Lien document]],"X"))</f>
        <v/>
      </c>
      <c r="V467" s="44"/>
      <c r="W467" s="46" t="str">
        <f ca="1">Chemin_accès!$B$2&amp;Tableau1[[#This Row],[Poste Responsable]]&amp;"\"&amp;Tableau1[[#This Row],[Localisation / Classement]]&amp;"\"&amp;Tableau1[[#This Row],[Poste technique]]&amp;"_"&amp;Tableau1[[#This Row],[Plan Entretien]]&amp;".pdf"</f>
        <v>\\stjn.local\trimet\Donnees_Projets\Dms Sap\Maintenance\PlanEntretien\7.MNRJ\\_.pdf</v>
      </c>
      <c r="X467" s="44"/>
      <c r="Y467" s="44"/>
      <c r="Z467" s="41" t="str">
        <f ca="1">IF(AND(Tableau1[[#This Row],[Charge]]&lt;&gt;0, Tableau1[[#This Row],[Nombre intervenants]]&lt;&gt;0,Tableau1[[#This Row],[Lien document]]&lt;&gt;0,Tableau1[[#This Row],[DMS_SAP]]&lt;&gt;0)=TRUE,"MIS A JOUR","")</f>
        <v/>
      </c>
      <c r="AA467" s="45"/>
      <c r="AB467" s="55" t="str">
        <f ca="1">IF(Tableau1[[#This Row],[Date rév.]]&lt;&gt;"", DAYS360(Tableau1[[#This Row],[Date rév.]],TODAY()),"")</f>
        <v/>
      </c>
      <c r="AC467" s="47">
        <f>IFERROR(INDEX(Chemin_accès!$B$11:$C$22,MATCH(Tableau1[[#This Row],[Type]],Chemin_accès!$C$11:$C$22,0),1),Chemin_accès!$B$11)</f>
        <v>0</v>
      </c>
      <c r="AD467" s="47" t="str">
        <f>Chemin_accès!$B$8&amp;Tableau1[[#This Row],[Localisation / Classement]]&amp;"\"&amp;Tableau1[[#This Row],[Poste technique]]&amp;"_"&amp;Tableau1[[#This Row],[Plan Entretien]]&amp;".xlsm"</f>
        <v>\_.xlsm</v>
      </c>
    </row>
    <row r="468" spans="1:30" x14ac:dyDescent="0.3">
      <c r="A468" s="41" t="str">
        <f t="shared" ca="1" si="7"/>
        <v>7.MNRJ</v>
      </c>
      <c r="B4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8" s="43"/>
      <c r="D468" s="41"/>
      <c r="E468" s="41"/>
      <c r="F468" s="50"/>
      <c r="G468" s="50"/>
      <c r="H468" s="65"/>
      <c r="I468" s="65"/>
      <c r="J468" s="65"/>
      <c r="K468" s="65"/>
      <c r="L468" s="51"/>
      <c r="M468" s="50"/>
      <c r="N468" s="51"/>
      <c r="O468" s="51"/>
      <c r="P468" s="50"/>
      <c r="Q468" s="51"/>
      <c r="R468" s="43"/>
      <c r="S468" s="45"/>
      <c r="T468" s="58" t="str">
        <f>IF(Tableau1[[#This Row],[DMS_SAP]]="","",HYPERLINK(Tableau1[[#This Row],[Chemin fichier source]],"X"))</f>
        <v/>
      </c>
      <c r="U468" s="58" t="str">
        <f>IF(Tableau1[[#This Row],[Date rév.]]="","",HYPERLINK(Tableau1[[#This Row],[Lien document]],"X"))</f>
        <v/>
      </c>
      <c r="V468" s="44"/>
      <c r="W468" s="46" t="str">
        <f ca="1">Chemin_accès!$B$2&amp;Tableau1[[#This Row],[Poste Responsable]]&amp;"\"&amp;Tableau1[[#This Row],[Localisation / Classement]]&amp;"\"&amp;Tableau1[[#This Row],[Poste technique]]&amp;"_"&amp;Tableau1[[#This Row],[Plan Entretien]]&amp;".pdf"</f>
        <v>\\stjn.local\trimet\Donnees_Projets\Dms Sap\Maintenance\PlanEntretien\7.MNRJ\\_.pdf</v>
      </c>
      <c r="X468" s="44"/>
      <c r="Y468" s="44"/>
      <c r="Z468" s="41" t="str">
        <f ca="1">IF(AND(Tableau1[[#This Row],[Charge]]&lt;&gt;0, Tableau1[[#This Row],[Nombre intervenants]]&lt;&gt;0,Tableau1[[#This Row],[Lien document]]&lt;&gt;0,Tableau1[[#This Row],[DMS_SAP]]&lt;&gt;0)=TRUE,"MIS A JOUR","")</f>
        <v/>
      </c>
      <c r="AA468" s="45"/>
      <c r="AB468" s="55" t="str">
        <f ca="1">IF(Tableau1[[#This Row],[Date rév.]]&lt;&gt;"", DAYS360(Tableau1[[#This Row],[Date rév.]],TODAY()),"")</f>
        <v/>
      </c>
      <c r="AC468" s="47">
        <f>IFERROR(INDEX(Chemin_accès!$B$11:$C$22,MATCH(Tableau1[[#This Row],[Type]],Chemin_accès!$C$11:$C$22,0),1),Chemin_accès!$B$11)</f>
        <v>0</v>
      </c>
      <c r="AD468" s="47" t="str">
        <f>Chemin_accès!$B$8&amp;Tableau1[[#This Row],[Localisation / Classement]]&amp;"\"&amp;Tableau1[[#This Row],[Poste technique]]&amp;"_"&amp;Tableau1[[#This Row],[Plan Entretien]]&amp;".xlsm"</f>
        <v>\_.xlsm</v>
      </c>
    </row>
    <row r="469" spans="1:30" x14ac:dyDescent="0.3">
      <c r="A469" s="41" t="str">
        <f t="shared" ca="1" si="7"/>
        <v>7.MNRJ</v>
      </c>
      <c r="B4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9" s="43"/>
      <c r="D469" s="41"/>
      <c r="E469" s="41"/>
      <c r="F469" s="50"/>
      <c r="G469" s="50"/>
      <c r="H469" s="65"/>
      <c r="I469" s="65"/>
      <c r="J469" s="65"/>
      <c r="K469" s="65"/>
      <c r="L469" s="51"/>
      <c r="M469" s="50"/>
      <c r="N469" s="51"/>
      <c r="O469" s="51"/>
      <c r="P469" s="50"/>
      <c r="Q469" s="51"/>
      <c r="R469" s="43"/>
      <c r="S469" s="45"/>
      <c r="T469" s="58" t="str">
        <f>IF(Tableau1[[#This Row],[DMS_SAP]]="","",HYPERLINK(Tableau1[[#This Row],[Chemin fichier source]],"X"))</f>
        <v/>
      </c>
      <c r="U469" s="58" t="str">
        <f>IF(Tableau1[[#This Row],[Date rév.]]="","",HYPERLINK(Tableau1[[#This Row],[Lien document]],"X"))</f>
        <v/>
      </c>
      <c r="V469" s="44"/>
      <c r="W469" s="46" t="str">
        <f ca="1">Chemin_accès!$B$2&amp;Tableau1[[#This Row],[Poste Responsable]]&amp;"\"&amp;Tableau1[[#This Row],[Localisation / Classement]]&amp;"\"&amp;Tableau1[[#This Row],[Poste technique]]&amp;"_"&amp;Tableau1[[#This Row],[Plan Entretien]]&amp;".pdf"</f>
        <v>\\stjn.local\trimet\Donnees_Projets\Dms Sap\Maintenance\PlanEntretien\7.MNRJ\\_.pdf</v>
      </c>
      <c r="X469" s="44"/>
      <c r="Y469" s="44"/>
      <c r="Z469" s="41" t="str">
        <f ca="1">IF(AND(Tableau1[[#This Row],[Charge]]&lt;&gt;0, Tableau1[[#This Row],[Nombre intervenants]]&lt;&gt;0,Tableau1[[#This Row],[Lien document]]&lt;&gt;0,Tableau1[[#This Row],[DMS_SAP]]&lt;&gt;0)=TRUE,"MIS A JOUR","")</f>
        <v/>
      </c>
      <c r="AA469" s="45"/>
      <c r="AB469" s="55" t="str">
        <f ca="1">IF(Tableau1[[#This Row],[Date rév.]]&lt;&gt;"", DAYS360(Tableau1[[#This Row],[Date rév.]],TODAY()),"")</f>
        <v/>
      </c>
      <c r="AC469" s="47">
        <f>IFERROR(INDEX(Chemin_accès!$B$11:$C$22,MATCH(Tableau1[[#This Row],[Type]],Chemin_accès!$C$11:$C$22,0),1),Chemin_accès!$B$11)</f>
        <v>0</v>
      </c>
      <c r="AD469" s="47" t="str">
        <f>Chemin_accès!$B$8&amp;Tableau1[[#This Row],[Localisation / Classement]]&amp;"\"&amp;Tableau1[[#This Row],[Poste technique]]&amp;"_"&amp;Tableau1[[#This Row],[Plan Entretien]]&amp;".xlsm"</f>
        <v>\_.xlsm</v>
      </c>
    </row>
    <row r="470" spans="1:30" x14ac:dyDescent="0.3">
      <c r="A470" s="41" t="str">
        <f t="shared" ca="1" si="7"/>
        <v>7.MNRJ</v>
      </c>
      <c r="B4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0" s="43"/>
      <c r="D470" s="41"/>
      <c r="E470" s="41"/>
      <c r="F470" s="50"/>
      <c r="G470" s="50"/>
      <c r="H470" s="65"/>
      <c r="I470" s="65"/>
      <c r="J470" s="65"/>
      <c r="K470" s="65"/>
      <c r="L470" s="51"/>
      <c r="M470" s="50"/>
      <c r="N470" s="51"/>
      <c r="O470" s="51"/>
      <c r="P470" s="50"/>
      <c r="Q470" s="51"/>
      <c r="R470" s="43"/>
      <c r="S470" s="45"/>
      <c r="T470" s="58" t="str">
        <f>IF(Tableau1[[#This Row],[DMS_SAP]]="","",HYPERLINK(Tableau1[[#This Row],[Chemin fichier source]],"X"))</f>
        <v/>
      </c>
      <c r="U470" s="58" t="str">
        <f>IF(Tableau1[[#This Row],[Date rév.]]="","",HYPERLINK(Tableau1[[#This Row],[Lien document]],"X"))</f>
        <v/>
      </c>
      <c r="V470" s="44"/>
      <c r="W470" s="46" t="str">
        <f ca="1">Chemin_accès!$B$2&amp;Tableau1[[#This Row],[Poste Responsable]]&amp;"\"&amp;Tableau1[[#This Row],[Localisation / Classement]]&amp;"\"&amp;Tableau1[[#This Row],[Poste technique]]&amp;"_"&amp;Tableau1[[#This Row],[Plan Entretien]]&amp;".pdf"</f>
        <v>\\stjn.local\trimet\Donnees_Projets\Dms Sap\Maintenance\PlanEntretien\7.MNRJ\\_.pdf</v>
      </c>
      <c r="X470" s="44"/>
      <c r="Y470" s="44"/>
      <c r="Z470" s="41" t="str">
        <f ca="1">IF(AND(Tableau1[[#This Row],[Charge]]&lt;&gt;0, Tableau1[[#This Row],[Nombre intervenants]]&lt;&gt;0,Tableau1[[#This Row],[Lien document]]&lt;&gt;0,Tableau1[[#This Row],[DMS_SAP]]&lt;&gt;0)=TRUE,"MIS A JOUR","")</f>
        <v/>
      </c>
      <c r="AA470" s="45"/>
      <c r="AB470" s="55" t="str">
        <f ca="1">IF(Tableau1[[#This Row],[Date rév.]]&lt;&gt;"", DAYS360(Tableau1[[#This Row],[Date rév.]],TODAY()),"")</f>
        <v/>
      </c>
      <c r="AC470" s="47">
        <f>IFERROR(INDEX(Chemin_accès!$B$11:$C$22,MATCH(Tableau1[[#This Row],[Type]],Chemin_accès!$C$11:$C$22,0),1),Chemin_accès!$B$11)</f>
        <v>0</v>
      </c>
      <c r="AD470" s="47" t="str">
        <f>Chemin_accès!$B$8&amp;Tableau1[[#This Row],[Localisation / Classement]]&amp;"\"&amp;Tableau1[[#This Row],[Poste technique]]&amp;"_"&amp;Tableau1[[#This Row],[Plan Entretien]]&amp;".xlsm"</f>
        <v>\_.xlsm</v>
      </c>
    </row>
    <row r="471" spans="1:30" x14ac:dyDescent="0.3">
      <c r="A471" s="41" t="str">
        <f t="shared" ca="1" si="7"/>
        <v>7.MNRJ</v>
      </c>
      <c r="B4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1" s="43"/>
      <c r="D471" s="41"/>
      <c r="E471" s="41"/>
      <c r="F471" s="50"/>
      <c r="G471" s="50"/>
      <c r="H471" s="65"/>
      <c r="I471" s="65"/>
      <c r="J471" s="65"/>
      <c r="K471" s="65"/>
      <c r="L471" s="51"/>
      <c r="M471" s="50"/>
      <c r="N471" s="51"/>
      <c r="O471" s="51"/>
      <c r="P471" s="50"/>
      <c r="Q471" s="51"/>
      <c r="R471" s="43"/>
      <c r="S471" s="45"/>
      <c r="T471" s="58" t="str">
        <f>IF(Tableau1[[#This Row],[DMS_SAP]]="","",HYPERLINK(Tableau1[[#This Row],[Chemin fichier source]],"X"))</f>
        <v/>
      </c>
      <c r="U471" s="58" t="str">
        <f>IF(Tableau1[[#This Row],[Date rév.]]="","",HYPERLINK(Tableau1[[#This Row],[Lien document]],"X"))</f>
        <v/>
      </c>
      <c r="V471" s="44"/>
      <c r="W471" s="46" t="str">
        <f ca="1">Chemin_accès!$B$2&amp;Tableau1[[#This Row],[Poste Responsable]]&amp;"\"&amp;Tableau1[[#This Row],[Localisation / Classement]]&amp;"\"&amp;Tableau1[[#This Row],[Poste technique]]&amp;"_"&amp;Tableau1[[#This Row],[Plan Entretien]]&amp;".pdf"</f>
        <v>\\stjn.local\trimet\Donnees_Projets\Dms Sap\Maintenance\PlanEntretien\7.MNRJ\\_.pdf</v>
      </c>
      <c r="X471" s="44"/>
      <c r="Y471" s="44"/>
      <c r="Z471" s="41" t="str">
        <f ca="1">IF(AND(Tableau1[[#This Row],[Charge]]&lt;&gt;0, Tableau1[[#This Row],[Nombre intervenants]]&lt;&gt;0,Tableau1[[#This Row],[Lien document]]&lt;&gt;0,Tableau1[[#This Row],[DMS_SAP]]&lt;&gt;0)=TRUE,"MIS A JOUR","")</f>
        <v/>
      </c>
      <c r="AA471" s="45"/>
      <c r="AB471" s="55" t="str">
        <f ca="1">IF(Tableau1[[#This Row],[Date rév.]]&lt;&gt;"", DAYS360(Tableau1[[#This Row],[Date rév.]],TODAY()),"")</f>
        <v/>
      </c>
      <c r="AC471" s="47">
        <f>IFERROR(INDEX(Chemin_accès!$B$11:$C$22,MATCH(Tableau1[[#This Row],[Type]],Chemin_accès!$C$11:$C$22,0),1),Chemin_accès!$B$11)</f>
        <v>0</v>
      </c>
      <c r="AD471" s="47" t="str">
        <f>Chemin_accès!$B$8&amp;Tableau1[[#This Row],[Localisation / Classement]]&amp;"\"&amp;Tableau1[[#This Row],[Poste technique]]&amp;"_"&amp;Tableau1[[#This Row],[Plan Entretien]]&amp;".xlsm"</f>
        <v>\_.xlsm</v>
      </c>
    </row>
    <row r="472" spans="1:30" x14ac:dyDescent="0.3">
      <c r="A472" s="41" t="str">
        <f t="shared" ca="1" si="7"/>
        <v>7.MNRJ</v>
      </c>
      <c r="B4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2" s="43"/>
      <c r="D472" s="41"/>
      <c r="E472" s="41"/>
      <c r="F472" s="50"/>
      <c r="G472" s="50"/>
      <c r="H472" s="65"/>
      <c r="I472" s="65"/>
      <c r="J472" s="65"/>
      <c r="K472" s="65"/>
      <c r="L472" s="51"/>
      <c r="M472" s="50"/>
      <c r="N472" s="51"/>
      <c r="O472" s="51"/>
      <c r="P472" s="50"/>
      <c r="Q472" s="51"/>
      <c r="R472" s="43"/>
      <c r="S472" s="45"/>
      <c r="T472" s="58" t="str">
        <f>IF(Tableau1[[#This Row],[DMS_SAP]]="","",HYPERLINK(Tableau1[[#This Row],[Chemin fichier source]],"X"))</f>
        <v/>
      </c>
      <c r="U472" s="58" t="str">
        <f>IF(Tableau1[[#This Row],[Date rév.]]="","",HYPERLINK(Tableau1[[#This Row],[Lien document]],"X"))</f>
        <v/>
      </c>
      <c r="V472" s="44"/>
      <c r="W472" s="46" t="str">
        <f ca="1">Chemin_accès!$B$2&amp;Tableau1[[#This Row],[Poste Responsable]]&amp;"\"&amp;Tableau1[[#This Row],[Localisation / Classement]]&amp;"\"&amp;Tableau1[[#This Row],[Poste technique]]&amp;"_"&amp;Tableau1[[#This Row],[Plan Entretien]]&amp;".pdf"</f>
        <v>\\stjn.local\trimet\Donnees_Projets\Dms Sap\Maintenance\PlanEntretien\7.MNRJ\\_.pdf</v>
      </c>
      <c r="X472" s="44"/>
      <c r="Y472" s="44"/>
      <c r="Z472" s="41" t="str">
        <f ca="1">IF(AND(Tableau1[[#This Row],[Charge]]&lt;&gt;0, Tableau1[[#This Row],[Nombre intervenants]]&lt;&gt;0,Tableau1[[#This Row],[Lien document]]&lt;&gt;0,Tableau1[[#This Row],[DMS_SAP]]&lt;&gt;0)=TRUE,"MIS A JOUR","")</f>
        <v/>
      </c>
      <c r="AA472" s="45"/>
      <c r="AB472" s="55" t="str">
        <f ca="1">IF(Tableau1[[#This Row],[Date rév.]]&lt;&gt;"", DAYS360(Tableau1[[#This Row],[Date rév.]],TODAY()),"")</f>
        <v/>
      </c>
      <c r="AC472" s="47">
        <f>IFERROR(INDEX(Chemin_accès!$B$11:$C$22,MATCH(Tableau1[[#This Row],[Type]],Chemin_accès!$C$11:$C$22,0),1),Chemin_accès!$B$11)</f>
        <v>0</v>
      </c>
      <c r="AD472" s="47" t="str">
        <f>Chemin_accès!$B$8&amp;Tableau1[[#This Row],[Localisation / Classement]]&amp;"\"&amp;Tableau1[[#This Row],[Poste technique]]&amp;"_"&amp;Tableau1[[#This Row],[Plan Entretien]]&amp;".xlsm"</f>
        <v>\_.xlsm</v>
      </c>
    </row>
    <row r="473" spans="1:30" x14ac:dyDescent="0.3">
      <c r="A473" s="41" t="str">
        <f t="shared" ca="1" si="7"/>
        <v>7.MNRJ</v>
      </c>
      <c r="B4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3" s="43"/>
      <c r="D473" s="41"/>
      <c r="E473" s="41"/>
      <c r="F473" s="50"/>
      <c r="G473" s="50"/>
      <c r="H473" s="65"/>
      <c r="I473" s="65"/>
      <c r="J473" s="65"/>
      <c r="K473" s="65"/>
      <c r="L473" s="51"/>
      <c r="M473" s="50"/>
      <c r="N473" s="51"/>
      <c r="O473" s="51"/>
      <c r="P473" s="50"/>
      <c r="Q473" s="51"/>
      <c r="R473" s="43"/>
      <c r="S473" s="45"/>
      <c r="T473" s="58" t="str">
        <f>IF(Tableau1[[#This Row],[DMS_SAP]]="","",HYPERLINK(Tableau1[[#This Row],[Chemin fichier source]],"X"))</f>
        <v/>
      </c>
      <c r="U473" s="58" t="str">
        <f>IF(Tableau1[[#This Row],[Date rév.]]="","",HYPERLINK(Tableau1[[#This Row],[Lien document]],"X"))</f>
        <v/>
      </c>
      <c r="V473" s="44"/>
      <c r="W473" s="46" t="str">
        <f ca="1">Chemin_accès!$B$2&amp;Tableau1[[#This Row],[Poste Responsable]]&amp;"\"&amp;Tableau1[[#This Row],[Localisation / Classement]]&amp;"\"&amp;Tableau1[[#This Row],[Poste technique]]&amp;"_"&amp;Tableau1[[#This Row],[Plan Entretien]]&amp;".pdf"</f>
        <v>\\stjn.local\trimet\Donnees_Projets\Dms Sap\Maintenance\PlanEntretien\7.MNRJ\\_.pdf</v>
      </c>
      <c r="X473" s="44"/>
      <c r="Y473" s="44"/>
      <c r="Z473" s="41" t="str">
        <f ca="1">IF(AND(Tableau1[[#This Row],[Charge]]&lt;&gt;0, Tableau1[[#This Row],[Nombre intervenants]]&lt;&gt;0,Tableau1[[#This Row],[Lien document]]&lt;&gt;0,Tableau1[[#This Row],[DMS_SAP]]&lt;&gt;0)=TRUE,"MIS A JOUR","")</f>
        <v/>
      </c>
      <c r="AA473" s="45"/>
      <c r="AB473" s="55" t="str">
        <f ca="1">IF(Tableau1[[#This Row],[Date rév.]]&lt;&gt;"", DAYS360(Tableau1[[#This Row],[Date rév.]],TODAY()),"")</f>
        <v/>
      </c>
      <c r="AC473" s="47">
        <f>IFERROR(INDEX(Chemin_accès!$B$11:$C$22,MATCH(Tableau1[[#This Row],[Type]],Chemin_accès!$C$11:$C$22,0),1),Chemin_accès!$B$11)</f>
        <v>0</v>
      </c>
      <c r="AD473" s="47" t="str">
        <f>Chemin_accès!$B$8&amp;Tableau1[[#This Row],[Localisation / Classement]]&amp;"\"&amp;Tableau1[[#This Row],[Poste technique]]&amp;"_"&amp;Tableau1[[#This Row],[Plan Entretien]]&amp;".xlsm"</f>
        <v>\_.xlsm</v>
      </c>
    </row>
    <row r="474" spans="1:30" x14ac:dyDescent="0.3">
      <c r="A474" s="41" t="str">
        <f t="shared" ca="1" si="7"/>
        <v>7.MNRJ</v>
      </c>
      <c r="B4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4" s="43"/>
      <c r="D474" s="41"/>
      <c r="E474" s="41"/>
      <c r="F474" s="50"/>
      <c r="G474" s="50"/>
      <c r="H474" s="65"/>
      <c r="I474" s="65"/>
      <c r="J474" s="65"/>
      <c r="K474" s="65"/>
      <c r="L474" s="51"/>
      <c r="M474" s="50"/>
      <c r="N474" s="51"/>
      <c r="O474" s="51"/>
      <c r="P474" s="50"/>
      <c r="Q474" s="51"/>
      <c r="R474" s="43"/>
      <c r="S474" s="45"/>
      <c r="T474" s="58" t="str">
        <f>IF(Tableau1[[#This Row],[DMS_SAP]]="","",HYPERLINK(Tableau1[[#This Row],[Chemin fichier source]],"X"))</f>
        <v/>
      </c>
      <c r="U474" s="58" t="str">
        <f>IF(Tableau1[[#This Row],[Date rév.]]="","",HYPERLINK(Tableau1[[#This Row],[Lien document]],"X"))</f>
        <v/>
      </c>
      <c r="V474" s="44"/>
      <c r="W474" s="46" t="str">
        <f ca="1">Chemin_accès!$B$2&amp;Tableau1[[#This Row],[Poste Responsable]]&amp;"\"&amp;Tableau1[[#This Row],[Localisation / Classement]]&amp;"\"&amp;Tableau1[[#This Row],[Poste technique]]&amp;"_"&amp;Tableau1[[#This Row],[Plan Entretien]]&amp;".pdf"</f>
        <v>\\stjn.local\trimet\Donnees_Projets\Dms Sap\Maintenance\PlanEntretien\7.MNRJ\\_.pdf</v>
      </c>
      <c r="X474" s="44"/>
      <c r="Y474" s="44"/>
      <c r="Z474" s="41" t="str">
        <f ca="1">IF(AND(Tableau1[[#This Row],[Charge]]&lt;&gt;0, Tableau1[[#This Row],[Nombre intervenants]]&lt;&gt;0,Tableau1[[#This Row],[Lien document]]&lt;&gt;0,Tableau1[[#This Row],[DMS_SAP]]&lt;&gt;0)=TRUE,"MIS A JOUR","")</f>
        <v/>
      </c>
      <c r="AA474" s="45"/>
      <c r="AB474" s="55" t="str">
        <f ca="1">IF(Tableau1[[#This Row],[Date rév.]]&lt;&gt;"", DAYS360(Tableau1[[#This Row],[Date rév.]],TODAY()),"")</f>
        <v/>
      </c>
      <c r="AC474" s="47">
        <f>IFERROR(INDEX(Chemin_accès!$B$11:$C$22,MATCH(Tableau1[[#This Row],[Type]],Chemin_accès!$C$11:$C$22,0),1),Chemin_accès!$B$11)</f>
        <v>0</v>
      </c>
      <c r="AD474" s="47" t="str">
        <f>Chemin_accès!$B$8&amp;Tableau1[[#This Row],[Localisation / Classement]]&amp;"\"&amp;Tableau1[[#This Row],[Poste technique]]&amp;"_"&amp;Tableau1[[#This Row],[Plan Entretien]]&amp;".xlsm"</f>
        <v>\_.xlsm</v>
      </c>
    </row>
    <row r="475" spans="1:30" x14ac:dyDescent="0.3">
      <c r="A475" s="41" t="str">
        <f t="shared" ca="1" si="7"/>
        <v>7.MNRJ</v>
      </c>
      <c r="B4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5" s="43"/>
      <c r="D475" s="41"/>
      <c r="E475" s="41"/>
      <c r="F475" s="50"/>
      <c r="G475" s="50"/>
      <c r="H475" s="65"/>
      <c r="I475" s="65"/>
      <c r="J475" s="65"/>
      <c r="K475" s="65"/>
      <c r="L475" s="51"/>
      <c r="M475" s="50"/>
      <c r="N475" s="51"/>
      <c r="O475" s="51"/>
      <c r="P475" s="50"/>
      <c r="Q475" s="51"/>
      <c r="R475" s="43"/>
      <c r="S475" s="45"/>
      <c r="T475" s="58" t="str">
        <f>IF(Tableau1[[#This Row],[DMS_SAP]]="","",HYPERLINK(Tableau1[[#This Row],[Chemin fichier source]],"X"))</f>
        <v/>
      </c>
      <c r="U475" s="58" t="str">
        <f>IF(Tableau1[[#This Row],[Date rév.]]="","",HYPERLINK(Tableau1[[#This Row],[Lien document]],"X"))</f>
        <v/>
      </c>
      <c r="V475" s="44"/>
      <c r="W475" s="46" t="str">
        <f ca="1">Chemin_accès!$B$2&amp;Tableau1[[#This Row],[Poste Responsable]]&amp;"\"&amp;Tableau1[[#This Row],[Localisation / Classement]]&amp;"\"&amp;Tableau1[[#This Row],[Poste technique]]&amp;"_"&amp;Tableau1[[#This Row],[Plan Entretien]]&amp;".pdf"</f>
        <v>\\stjn.local\trimet\Donnees_Projets\Dms Sap\Maintenance\PlanEntretien\7.MNRJ\\_.pdf</v>
      </c>
      <c r="X475" s="44"/>
      <c r="Y475" s="44"/>
      <c r="Z475" s="41" t="str">
        <f ca="1">IF(AND(Tableau1[[#This Row],[Charge]]&lt;&gt;0, Tableau1[[#This Row],[Nombre intervenants]]&lt;&gt;0,Tableau1[[#This Row],[Lien document]]&lt;&gt;0,Tableau1[[#This Row],[DMS_SAP]]&lt;&gt;0)=TRUE,"MIS A JOUR","")</f>
        <v/>
      </c>
      <c r="AA475" s="45"/>
      <c r="AB475" s="55" t="str">
        <f ca="1">IF(Tableau1[[#This Row],[Date rév.]]&lt;&gt;"", DAYS360(Tableau1[[#This Row],[Date rév.]],TODAY()),"")</f>
        <v/>
      </c>
      <c r="AC475" s="47">
        <f>IFERROR(INDEX(Chemin_accès!$B$11:$C$22,MATCH(Tableau1[[#This Row],[Type]],Chemin_accès!$C$11:$C$22,0),1),Chemin_accès!$B$11)</f>
        <v>0</v>
      </c>
      <c r="AD475" s="47" t="str">
        <f>Chemin_accès!$B$8&amp;Tableau1[[#This Row],[Localisation / Classement]]&amp;"\"&amp;Tableau1[[#This Row],[Poste technique]]&amp;"_"&amp;Tableau1[[#This Row],[Plan Entretien]]&amp;".xlsm"</f>
        <v>\_.xlsm</v>
      </c>
    </row>
    <row r="476" spans="1:30" x14ac:dyDescent="0.3">
      <c r="A476" s="41" t="str">
        <f t="shared" ca="1" si="7"/>
        <v>7.MNRJ</v>
      </c>
      <c r="B4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6" s="43"/>
      <c r="D476" s="41"/>
      <c r="E476" s="41"/>
      <c r="F476" s="50"/>
      <c r="G476" s="50"/>
      <c r="H476" s="65"/>
      <c r="I476" s="65"/>
      <c r="J476" s="65"/>
      <c r="K476" s="65"/>
      <c r="L476" s="51"/>
      <c r="M476" s="50"/>
      <c r="N476" s="51"/>
      <c r="O476" s="51"/>
      <c r="P476" s="50"/>
      <c r="Q476" s="51"/>
      <c r="R476" s="43"/>
      <c r="S476" s="45"/>
      <c r="T476" s="58" t="str">
        <f>IF(Tableau1[[#This Row],[DMS_SAP]]="","",HYPERLINK(Tableau1[[#This Row],[Chemin fichier source]],"X"))</f>
        <v/>
      </c>
      <c r="U476" s="58" t="str">
        <f>IF(Tableau1[[#This Row],[Date rév.]]="","",HYPERLINK(Tableau1[[#This Row],[Lien document]],"X"))</f>
        <v/>
      </c>
      <c r="V476" s="44"/>
      <c r="W476" s="46" t="str">
        <f ca="1">Chemin_accès!$B$2&amp;Tableau1[[#This Row],[Poste Responsable]]&amp;"\"&amp;Tableau1[[#This Row],[Localisation / Classement]]&amp;"\"&amp;Tableau1[[#This Row],[Poste technique]]&amp;"_"&amp;Tableau1[[#This Row],[Plan Entretien]]&amp;".pdf"</f>
        <v>\\stjn.local\trimet\Donnees_Projets\Dms Sap\Maintenance\PlanEntretien\7.MNRJ\\_.pdf</v>
      </c>
      <c r="X476" s="44"/>
      <c r="Y476" s="44"/>
      <c r="Z476" s="41" t="str">
        <f ca="1">IF(AND(Tableau1[[#This Row],[Charge]]&lt;&gt;0, Tableau1[[#This Row],[Nombre intervenants]]&lt;&gt;0,Tableau1[[#This Row],[Lien document]]&lt;&gt;0,Tableau1[[#This Row],[DMS_SAP]]&lt;&gt;0)=TRUE,"MIS A JOUR","")</f>
        <v/>
      </c>
      <c r="AA476" s="45"/>
      <c r="AB476" s="55" t="str">
        <f ca="1">IF(Tableau1[[#This Row],[Date rév.]]&lt;&gt;"", DAYS360(Tableau1[[#This Row],[Date rév.]],TODAY()),"")</f>
        <v/>
      </c>
      <c r="AC476" s="47">
        <f>IFERROR(INDEX(Chemin_accès!$B$11:$C$22,MATCH(Tableau1[[#This Row],[Type]],Chemin_accès!$C$11:$C$22,0),1),Chemin_accès!$B$11)</f>
        <v>0</v>
      </c>
      <c r="AD476" s="47" t="str">
        <f>Chemin_accès!$B$8&amp;Tableau1[[#This Row],[Localisation / Classement]]&amp;"\"&amp;Tableau1[[#This Row],[Poste technique]]&amp;"_"&amp;Tableau1[[#This Row],[Plan Entretien]]&amp;".xlsm"</f>
        <v>\_.xlsm</v>
      </c>
    </row>
    <row r="477" spans="1:30" x14ac:dyDescent="0.3">
      <c r="A477" s="41" t="str">
        <f t="shared" ca="1" si="7"/>
        <v>7.MNRJ</v>
      </c>
      <c r="B4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7" s="43"/>
      <c r="D477" s="41"/>
      <c r="E477" s="41"/>
      <c r="F477" s="50"/>
      <c r="G477" s="50"/>
      <c r="H477" s="65"/>
      <c r="I477" s="65"/>
      <c r="J477" s="65"/>
      <c r="K477" s="65"/>
      <c r="L477" s="51"/>
      <c r="M477" s="50"/>
      <c r="N477" s="51"/>
      <c r="O477" s="51"/>
      <c r="P477" s="50"/>
      <c r="Q477" s="51"/>
      <c r="R477" s="43"/>
      <c r="S477" s="45"/>
      <c r="T477" s="58" t="str">
        <f>IF(Tableau1[[#This Row],[DMS_SAP]]="","",HYPERLINK(Tableau1[[#This Row],[Chemin fichier source]],"X"))</f>
        <v/>
      </c>
      <c r="U477" s="58" t="str">
        <f>IF(Tableau1[[#This Row],[Date rév.]]="","",HYPERLINK(Tableau1[[#This Row],[Lien document]],"X"))</f>
        <v/>
      </c>
      <c r="V477" s="44"/>
      <c r="W477" s="46" t="str">
        <f ca="1">Chemin_accès!$B$2&amp;Tableau1[[#This Row],[Poste Responsable]]&amp;"\"&amp;Tableau1[[#This Row],[Localisation / Classement]]&amp;"\"&amp;Tableau1[[#This Row],[Poste technique]]&amp;"_"&amp;Tableau1[[#This Row],[Plan Entretien]]&amp;".pdf"</f>
        <v>\\stjn.local\trimet\Donnees_Projets\Dms Sap\Maintenance\PlanEntretien\7.MNRJ\\_.pdf</v>
      </c>
      <c r="X477" s="44"/>
      <c r="Y477" s="44"/>
      <c r="Z477" s="41" t="str">
        <f ca="1">IF(AND(Tableau1[[#This Row],[Charge]]&lt;&gt;0, Tableau1[[#This Row],[Nombre intervenants]]&lt;&gt;0,Tableau1[[#This Row],[Lien document]]&lt;&gt;0,Tableau1[[#This Row],[DMS_SAP]]&lt;&gt;0)=TRUE,"MIS A JOUR","")</f>
        <v/>
      </c>
      <c r="AA477" s="45"/>
      <c r="AB477" s="55" t="str">
        <f ca="1">IF(Tableau1[[#This Row],[Date rév.]]&lt;&gt;"", DAYS360(Tableau1[[#This Row],[Date rév.]],TODAY()),"")</f>
        <v/>
      </c>
      <c r="AC477" s="47">
        <f>IFERROR(INDEX(Chemin_accès!$B$11:$C$22,MATCH(Tableau1[[#This Row],[Type]],Chemin_accès!$C$11:$C$22,0),1),Chemin_accès!$B$11)</f>
        <v>0</v>
      </c>
      <c r="AD477" s="47" t="str">
        <f>Chemin_accès!$B$8&amp;Tableau1[[#This Row],[Localisation / Classement]]&amp;"\"&amp;Tableau1[[#This Row],[Poste technique]]&amp;"_"&amp;Tableau1[[#This Row],[Plan Entretien]]&amp;".xlsm"</f>
        <v>\_.xlsm</v>
      </c>
    </row>
    <row r="478" spans="1:30" x14ac:dyDescent="0.3">
      <c r="A478" s="41" t="str">
        <f t="shared" ca="1" si="7"/>
        <v>7.MNRJ</v>
      </c>
      <c r="B4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8" s="43"/>
      <c r="D478" s="41"/>
      <c r="E478" s="41"/>
      <c r="F478" s="50"/>
      <c r="G478" s="50"/>
      <c r="H478" s="65"/>
      <c r="I478" s="65"/>
      <c r="J478" s="65"/>
      <c r="K478" s="65"/>
      <c r="L478" s="51"/>
      <c r="M478" s="50"/>
      <c r="N478" s="51"/>
      <c r="O478" s="51"/>
      <c r="P478" s="50"/>
      <c r="Q478" s="51"/>
      <c r="R478" s="43"/>
      <c r="S478" s="45"/>
      <c r="T478" s="58" t="str">
        <f>IF(Tableau1[[#This Row],[DMS_SAP]]="","",HYPERLINK(Tableau1[[#This Row],[Chemin fichier source]],"X"))</f>
        <v/>
      </c>
      <c r="U478" s="58" t="str">
        <f>IF(Tableau1[[#This Row],[Date rév.]]="","",HYPERLINK(Tableau1[[#This Row],[Lien document]],"X"))</f>
        <v/>
      </c>
      <c r="V478" s="44"/>
      <c r="W478" s="46" t="str">
        <f ca="1">Chemin_accès!$B$2&amp;Tableau1[[#This Row],[Poste Responsable]]&amp;"\"&amp;Tableau1[[#This Row],[Localisation / Classement]]&amp;"\"&amp;Tableau1[[#This Row],[Poste technique]]&amp;"_"&amp;Tableau1[[#This Row],[Plan Entretien]]&amp;".pdf"</f>
        <v>\\stjn.local\trimet\Donnees_Projets\Dms Sap\Maintenance\PlanEntretien\7.MNRJ\\_.pdf</v>
      </c>
      <c r="X478" s="44"/>
      <c r="Y478" s="44"/>
      <c r="Z478" s="41" t="str">
        <f ca="1">IF(AND(Tableau1[[#This Row],[Charge]]&lt;&gt;0, Tableau1[[#This Row],[Nombre intervenants]]&lt;&gt;0,Tableau1[[#This Row],[Lien document]]&lt;&gt;0,Tableau1[[#This Row],[DMS_SAP]]&lt;&gt;0)=TRUE,"MIS A JOUR","")</f>
        <v/>
      </c>
      <c r="AA478" s="45"/>
      <c r="AB478" s="55" t="str">
        <f ca="1">IF(Tableau1[[#This Row],[Date rév.]]&lt;&gt;"", DAYS360(Tableau1[[#This Row],[Date rév.]],TODAY()),"")</f>
        <v/>
      </c>
      <c r="AC478" s="47">
        <f>IFERROR(INDEX(Chemin_accès!$B$11:$C$22,MATCH(Tableau1[[#This Row],[Type]],Chemin_accès!$C$11:$C$22,0),1),Chemin_accès!$B$11)</f>
        <v>0</v>
      </c>
      <c r="AD478" s="47" t="str">
        <f>Chemin_accès!$B$8&amp;Tableau1[[#This Row],[Localisation / Classement]]&amp;"\"&amp;Tableau1[[#This Row],[Poste technique]]&amp;"_"&amp;Tableau1[[#This Row],[Plan Entretien]]&amp;".xlsm"</f>
        <v>\_.xlsm</v>
      </c>
    </row>
    <row r="479" spans="1:30" x14ac:dyDescent="0.3">
      <c r="A479" s="41" t="str">
        <f t="shared" ca="1" si="7"/>
        <v>7.MNRJ</v>
      </c>
      <c r="B4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9" s="43"/>
      <c r="D479" s="41"/>
      <c r="E479" s="41"/>
      <c r="F479" s="50"/>
      <c r="G479" s="50"/>
      <c r="H479" s="65"/>
      <c r="I479" s="65"/>
      <c r="J479" s="65"/>
      <c r="K479" s="65"/>
      <c r="L479" s="51"/>
      <c r="M479" s="50"/>
      <c r="N479" s="51"/>
      <c r="O479" s="51"/>
      <c r="P479" s="50"/>
      <c r="Q479" s="51"/>
      <c r="R479" s="43"/>
      <c r="S479" s="45"/>
      <c r="T479" s="58" t="str">
        <f>IF(Tableau1[[#This Row],[DMS_SAP]]="","",HYPERLINK(Tableau1[[#This Row],[Chemin fichier source]],"X"))</f>
        <v/>
      </c>
      <c r="U479" s="58" t="str">
        <f>IF(Tableau1[[#This Row],[Date rév.]]="","",HYPERLINK(Tableau1[[#This Row],[Lien document]],"X"))</f>
        <v/>
      </c>
      <c r="V479" s="44"/>
      <c r="W479" s="46" t="str">
        <f ca="1">Chemin_accès!$B$2&amp;Tableau1[[#This Row],[Poste Responsable]]&amp;"\"&amp;Tableau1[[#This Row],[Localisation / Classement]]&amp;"\"&amp;Tableau1[[#This Row],[Poste technique]]&amp;"_"&amp;Tableau1[[#This Row],[Plan Entretien]]&amp;".pdf"</f>
        <v>\\stjn.local\trimet\Donnees_Projets\Dms Sap\Maintenance\PlanEntretien\7.MNRJ\\_.pdf</v>
      </c>
      <c r="X479" s="44"/>
      <c r="Y479" s="44"/>
      <c r="Z479" s="41" t="str">
        <f ca="1">IF(AND(Tableau1[[#This Row],[Charge]]&lt;&gt;0, Tableau1[[#This Row],[Nombre intervenants]]&lt;&gt;0,Tableau1[[#This Row],[Lien document]]&lt;&gt;0,Tableau1[[#This Row],[DMS_SAP]]&lt;&gt;0)=TRUE,"MIS A JOUR","")</f>
        <v/>
      </c>
      <c r="AA479" s="45"/>
      <c r="AB479" s="55" t="str">
        <f ca="1">IF(Tableau1[[#This Row],[Date rév.]]&lt;&gt;"", DAYS360(Tableau1[[#This Row],[Date rév.]],TODAY()),"")</f>
        <v/>
      </c>
      <c r="AC479" s="47">
        <f>IFERROR(INDEX(Chemin_accès!$B$11:$C$22,MATCH(Tableau1[[#This Row],[Type]],Chemin_accès!$C$11:$C$22,0),1),Chemin_accès!$B$11)</f>
        <v>0</v>
      </c>
      <c r="AD479" s="47" t="str">
        <f>Chemin_accès!$B$8&amp;Tableau1[[#This Row],[Localisation / Classement]]&amp;"\"&amp;Tableau1[[#This Row],[Poste technique]]&amp;"_"&amp;Tableau1[[#This Row],[Plan Entretien]]&amp;".xlsm"</f>
        <v>\_.xlsm</v>
      </c>
    </row>
    <row r="480" spans="1:30" x14ac:dyDescent="0.3">
      <c r="A480" s="41" t="str">
        <f t="shared" ca="1" si="7"/>
        <v>7.MNRJ</v>
      </c>
      <c r="B4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0" s="43"/>
      <c r="D480" s="41"/>
      <c r="E480" s="41"/>
      <c r="F480" s="44"/>
      <c r="G480" s="44"/>
      <c r="H480" s="48"/>
      <c r="I480" s="48"/>
      <c r="J480" s="48"/>
      <c r="K480" s="48"/>
      <c r="L480" s="43"/>
      <c r="M480" s="44"/>
      <c r="N480" s="43"/>
      <c r="O480" s="43"/>
      <c r="P480" s="44"/>
      <c r="Q480" s="43"/>
      <c r="R480" s="43"/>
      <c r="S480" s="45"/>
      <c r="T480" s="58" t="str">
        <f>IF(Tableau1[[#This Row],[DMS_SAP]]="","",HYPERLINK(Tableau1[[#This Row],[Chemin fichier source]],"X"))</f>
        <v/>
      </c>
      <c r="U480" s="58" t="str">
        <f>IF(Tableau1[[#This Row],[Date rév.]]="","",HYPERLINK(Tableau1[[#This Row],[Lien document]],"X"))</f>
        <v/>
      </c>
      <c r="V480" s="44"/>
      <c r="W480" s="46" t="str">
        <f ca="1">Chemin_accès!$B$2&amp;Tableau1[[#This Row],[Poste Responsable]]&amp;"\"&amp;Tableau1[[#This Row],[Localisation / Classement]]&amp;"\"&amp;Tableau1[[#This Row],[Poste technique]]&amp;"_"&amp;Tableau1[[#This Row],[Plan Entretien]]&amp;".pdf"</f>
        <v>\\stjn.local\trimet\Donnees_Projets\Dms Sap\Maintenance\PlanEntretien\7.MNRJ\\_.pdf</v>
      </c>
      <c r="X480" s="44"/>
      <c r="Y480" s="44"/>
      <c r="Z480" s="41" t="str">
        <f ca="1">IF(AND(Tableau1[[#This Row],[Charge]]&lt;&gt;0, Tableau1[[#This Row],[Nombre intervenants]]&lt;&gt;0,Tableau1[[#This Row],[Lien document]]&lt;&gt;0,Tableau1[[#This Row],[DMS_SAP]]&lt;&gt;0)=TRUE,"MIS A JOUR","")</f>
        <v/>
      </c>
      <c r="AA480" s="45"/>
      <c r="AB480" s="55" t="str">
        <f ca="1">IF(Tableau1[[#This Row],[Date rév.]]&lt;&gt;"", DAYS360(Tableau1[[#This Row],[Date rév.]],TODAY()),"")</f>
        <v/>
      </c>
      <c r="AC480" s="47">
        <f>IFERROR(INDEX(Chemin_accès!$B$11:$C$22,MATCH(Tableau1[[#This Row],[Type]],Chemin_accès!$C$11:$C$22,0),1),Chemin_accès!$B$11)</f>
        <v>0</v>
      </c>
      <c r="AD480" s="47" t="str">
        <f>Chemin_accès!$B$8&amp;Tableau1[[#This Row],[Localisation / Classement]]&amp;"\"&amp;Tableau1[[#This Row],[Poste technique]]&amp;"_"&amp;Tableau1[[#This Row],[Plan Entretien]]&amp;".xlsm"</f>
        <v>\_.xlsm</v>
      </c>
    </row>
    <row r="481" spans="1:30" x14ac:dyDescent="0.3">
      <c r="A481" s="41" t="str">
        <f t="shared" ca="1" si="7"/>
        <v>7.MNRJ</v>
      </c>
      <c r="B4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1" s="43"/>
      <c r="D481" s="41"/>
      <c r="E481" s="41"/>
      <c r="F481" s="44"/>
      <c r="G481" s="44"/>
      <c r="H481" s="48"/>
      <c r="I481" s="48"/>
      <c r="J481" s="48"/>
      <c r="K481" s="48"/>
      <c r="L481" s="43"/>
      <c r="M481" s="44"/>
      <c r="N481" s="43"/>
      <c r="O481" s="43"/>
      <c r="P481" s="44"/>
      <c r="Q481" s="43"/>
      <c r="R481" s="43"/>
      <c r="S481" s="45"/>
      <c r="T481" s="58" t="str">
        <f>IF(Tableau1[[#This Row],[DMS_SAP]]="","",HYPERLINK(Tableau1[[#This Row],[Chemin fichier source]],"X"))</f>
        <v/>
      </c>
      <c r="U481" s="58" t="str">
        <f>IF(Tableau1[[#This Row],[Date rév.]]="","",HYPERLINK(Tableau1[[#This Row],[Lien document]],"X"))</f>
        <v/>
      </c>
      <c r="V481" s="44"/>
      <c r="W481" s="46" t="str">
        <f ca="1">Chemin_accès!$B$2&amp;Tableau1[[#This Row],[Poste Responsable]]&amp;"\"&amp;Tableau1[[#This Row],[Localisation / Classement]]&amp;"\"&amp;Tableau1[[#This Row],[Poste technique]]&amp;"_"&amp;Tableau1[[#This Row],[Plan Entretien]]&amp;".pdf"</f>
        <v>\\stjn.local\trimet\Donnees_Projets\Dms Sap\Maintenance\PlanEntretien\7.MNRJ\\_.pdf</v>
      </c>
      <c r="X481" s="44"/>
      <c r="Y481" s="44"/>
      <c r="Z481" s="41" t="str">
        <f ca="1">IF(AND(Tableau1[[#This Row],[Charge]]&lt;&gt;0, Tableau1[[#This Row],[Nombre intervenants]]&lt;&gt;0,Tableau1[[#This Row],[Lien document]]&lt;&gt;0,Tableau1[[#This Row],[DMS_SAP]]&lt;&gt;0)=TRUE,"MIS A JOUR","")</f>
        <v/>
      </c>
      <c r="AA481" s="45"/>
      <c r="AB481" s="55" t="str">
        <f ca="1">IF(Tableau1[[#This Row],[Date rév.]]&lt;&gt;"", DAYS360(Tableau1[[#This Row],[Date rév.]],TODAY()),"")</f>
        <v/>
      </c>
      <c r="AC481" s="47">
        <f>IFERROR(INDEX(Chemin_accès!$B$11:$C$22,MATCH(Tableau1[[#This Row],[Type]],Chemin_accès!$C$11:$C$22,0),1),Chemin_accès!$B$11)</f>
        <v>0</v>
      </c>
      <c r="AD481" s="47" t="str">
        <f>Chemin_accès!$B$8&amp;Tableau1[[#This Row],[Localisation / Classement]]&amp;"\"&amp;Tableau1[[#This Row],[Poste technique]]&amp;"_"&amp;Tableau1[[#This Row],[Plan Entretien]]&amp;".xlsm"</f>
        <v>\_.xlsm</v>
      </c>
    </row>
    <row r="482" spans="1:30" x14ac:dyDescent="0.3">
      <c r="A482" s="41" t="str">
        <f t="shared" ca="1" si="7"/>
        <v>7.MNRJ</v>
      </c>
      <c r="B4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2" s="43"/>
      <c r="D482" s="41"/>
      <c r="E482" s="41"/>
      <c r="F482" s="44"/>
      <c r="G482" s="44"/>
      <c r="H482" s="48"/>
      <c r="I482" s="48"/>
      <c r="J482" s="48"/>
      <c r="K482" s="48"/>
      <c r="L482" s="43"/>
      <c r="M482" s="44"/>
      <c r="N482" s="43"/>
      <c r="O482" s="43"/>
      <c r="P482" s="44"/>
      <c r="Q482" s="43"/>
      <c r="R482" s="43"/>
      <c r="S482" s="45"/>
      <c r="T482" s="58" t="str">
        <f>IF(Tableau1[[#This Row],[DMS_SAP]]="","",HYPERLINK(Tableau1[[#This Row],[Chemin fichier source]],"X"))</f>
        <v/>
      </c>
      <c r="U482" s="58" t="str">
        <f>IF(Tableau1[[#This Row],[Date rév.]]="","",HYPERLINK(Tableau1[[#This Row],[Lien document]],"X"))</f>
        <v/>
      </c>
      <c r="V482" s="44"/>
      <c r="W482" s="49" t="str">
        <f ca="1">Chemin_accès!$B$2&amp;Tableau1[[#This Row],[Poste Responsable]]&amp;"\"&amp;Tableau1[[#This Row],[Localisation / Classement]]&amp;"\"&amp;Tableau1[[#This Row],[Poste technique]]&amp;"_"&amp;Tableau1[[#This Row],[Plan Entretien]]&amp;".pdf"</f>
        <v>\\stjn.local\trimet\Donnees_Projets\Dms Sap\Maintenance\PlanEntretien\7.MNRJ\\_.pdf</v>
      </c>
      <c r="X482" s="44"/>
      <c r="Y482" s="44"/>
      <c r="Z482" s="41" t="str">
        <f ca="1">IF(AND(Tableau1[[#This Row],[Charge]]&lt;&gt;0, Tableau1[[#This Row],[Nombre intervenants]]&lt;&gt;0,Tableau1[[#This Row],[Lien document]]&lt;&gt;0,Tableau1[[#This Row],[DMS_SAP]]&lt;&gt;0)=TRUE,"MIS A JOUR","")</f>
        <v/>
      </c>
      <c r="AA482" s="45"/>
      <c r="AB482" s="55" t="str">
        <f ca="1">IF(Tableau1[[#This Row],[Date rév.]]&lt;&gt;"", DAYS360(Tableau1[[#This Row],[Date rév.]],TODAY()),"")</f>
        <v/>
      </c>
      <c r="AC482" s="47">
        <f>IFERROR(INDEX(Chemin_accès!$B$11:$C$22,MATCH(Tableau1[[#This Row],[Type]],Chemin_accès!$C$11:$C$22,0),1),Chemin_accès!$B$11)</f>
        <v>0</v>
      </c>
      <c r="AD482" s="47" t="str">
        <f>Chemin_accès!$B$8&amp;Tableau1[[#This Row],[Localisation / Classement]]&amp;"\"&amp;Tableau1[[#This Row],[Poste technique]]&amp;"_"&amp;Tableau1[[#This Row],[Plan Entretien]]&amp;".xlsm"</f>
        <v>\_.xlsm</v>
      </c>
    </row>
    <row r="483" spans="1:30" x14ac:dyDescent="0.3">
      <c r="A483" s="41" t="str">
        <f t="shared" ca="1" si="7"/>
        <v>7.MNRJ</v>
      </c>
      <c r="B4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3" s="43"/>
      <c r="D483" s="41"/>
      <c r="E483" s="41"/>
      <c r="F483" s="44"/>
      <c r="G483" s="44"/>
      <c r="H483" s="48"/>
      <c r="I483" s="48"/>
      <c r="J483" s="48"/>
      <c r="K483" s="48"/>
      <c r="L483" s="43"/>
      <c r="M483" s="44"/>
      <c r="N483" s="43"/>
      <c r="O483" s="43"/>
      <c r="P483" s="44"/>
      <c r="Q483" s="43"/>
      <c r="R483" s="43"/>
      <c r="S483" s="45"/>
      <c r="T483" s="58" t="str">
        <f>IF(Tableau1[[#This Row],[DMS_SAP]]="","",HYPERLINK(Tableau1[[#This Row],[Chemin fichier source]],"X"))</f>
        <v/>
      </c>
      <c r="U483" s="58" t="str">
        <f>IF(Tableau1[[#This Row],[Date rév.]]="","",HYPERLINK(Tableau1[[#This Row],[Lien document]],"X"))</f>
        <v/>
      </c>
      <c r="V483" s="44"/>
      <c r="W483" s="46" t="str">
        <f ca="1">Chemin_accès!$B$2&amp;Tableau1[[#This Row],[Poste Responsable]]&amp;"\"&amp;Tableau1[[#This Row],[Localisation / Classement]]&amp;"\"&amp;Tableau1[[#This Row],[Poste technique]]&amp;"_"&amp;Tableau1[[#This Row],[Plan Entretien]]&amp;".pdf"</f>
        <v>\\stjn.local\trimet\Donnees_Projets\Dms Sap\Maintenance\PlanEntretien\7.MNRJ\\_.pdf</v>
      </c>
      <c r="X483" s="44"/>
      <c r="Y483" s="44"/>
      <c r="Z483" s="41" t="str">
        <f ca="1">IF(AND(Tableau1[[#This Row],[Charge]]&lt;&gt;0, Tableau1[[#This Row],[Nombre intervenants]]&lt;&gt;0,Tableau1[[#This Row],[Lien document]]&lt;&gt;0,Tableau1[[#This Row],[DMS_SAP]]&lt;&gt;0)=TRUE,"MIS A JOUR","")</f>
        <v/>
      </c>
      <c r="AA483" s="45"/>
      <c r="AB483" s="55" t="str">
        <f ca="1">IF(Tableau1[[#This Row],[Date rév.]]&lt;&gt;"", DAYS360(Tableau1[[#This Row],[Date rév.]],TODAY()),"")</f>
        <v/>
      </c>
      <c r="AC483" s="47">
        <f>IFERROR(INDEX(Chemin_accès!$B$11:$C$22,MATCH(Tableau1[[#This Row],[Type]],Chemin_accès!$C$11:$C$22,0),1),Chemin_accès!$B$11)</f>
        <v>0</v>
      </c>
      <c r="AD483" s="47" t="str">
        <f>Chemin_accès!$B$8&amp;Tableau1[[#This Row],[Localisation / Classement]]&amp;"\"&amp;Tableau1[[#This Row],[Poste technique]]&amp;"_"&amp;Tableau1[[#This Row],[Plan Entretien]]&amp;".xlsm"</f>
        <v>\_.xlsm</v>
      </c>
    </row>
    <row r="484" spans="1:30" x14ac:dyDescent="0.3">
      <c r="A484" s="41" t="str">
        <f t="shared" ca="1" si="7"/>
        <v>7.MNRJ</v>
      </c>
      <c r="B4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4" s="43"/>
      <c r="D484" s="41"/>
      <c r="E484" s="41"/>
      <c r="F484" s="44"/>
      <c r="G484" s="44"/>
      <c r="H484" s="48"/>
      <c r="I484" s="48"/>
      <c r="J484" s="48"/>
      <c r="K484" s="48"/>
      <c r="L484" s="43"/>
      <c r="M484" s="44"/>
      <c r="N484" s="43"/>
      <c r="O484" s="43"/>
      <c r="P484" s="44"/>
      <c r="Q484" s="43"/>
      <c r="R484" s="43"/>
      <c r="S484" s="45"/>
      <c r="T484" s="58" t="str">
        <f>IF(Tableau1[[#This Row],[DMS_SAP]]="","",HYPERLINK(Tableau1[[#This Row],[Chemin fichier source]],"X"))</f>
        <v/>
      </c>
      <c r="U484" s="58" t="str">
        <f>IF(Tableau1[[#This Row],[Date rév.]]="","",HYPERLINK(Tableau1[[#This Row],[Lien document]],"X"))</f>
        <v/>
      </c>
      <c r="V484" s="44"/>
      <c r="W484" s="46" t="str">
        <f ca="1">Chemin_accès!$B$2&amp;Tableau1[[#This Row],[Poste Responsable]]&amp;"\"&amp;Tableau1[[#This Row],[Localisation / Classement]]&amp;"\"&amp;Tableau1[[#This Row],[Poste technique]]&amp;"_"&amp;Tableau1[[#This Row],[Plan Entretien]]&amp;".pdf"</f>
        <v>\\stjn.local\trimet\Donnees_Projets\Dms Sap\Maintenance\PlanEntretien\7.MNRJ\\_.pdf</v>
      </c>
      <c r="X484" s="44"/>
      <c r="Y484" s="44"/>
      <c r="Z484" s="41" t="str">
        <f ca="1">IF(AND(Tableau1[[#This Row],[Charge]]&lt;&gt;0, Tableau1[[#This Row],[Nombre intervenants]]&lt;&gt;0,Tableau1[[#This Row],[Lien document]]&lt;&gt;0,Tableau1[[#This Row],[DMS_SAP]]&lt;&gt;0)=TRUE,"MIS A JOUR","")</f>
        <v/>
      </c>
      <c r="AA484" s="45"/>
      <c r="AB484" s="55" t="str">
        <f ca="1">IF(Tableau1[[#This Row],[Date rév.]]&lt;&gt;"", DAYS360(Tableau1[[#This Row],[Date rév.]],TODAY()),"")</f>
        <v/>
      </c>
      <c r="AC484" s="47">
        <f>IFERROR(INDEX(Chemin_accès!$B$11:$C$22,MATCH(Tableau1[[#This Row],[Type]],Chemin_accès!$C$11:$C$22,0),1),Chemin_accès!$B$11)</f>
        <v>0</v>
      </c>
      <c r="AD484" s="47" t="str">
        <f>Chemin_accès!$B$8&amp;Tableau1[[#This Row],[Localisation / Classement]]&amp;"\"&amp;Tableau1[[#This Row],[Poste technique]]&amp;"_"&amp;Tableau1[[#This Row],[Plan Entretien]]&amp;".xlsm"</f>
        <v>\_.xlsm</v>
      </c>
    </row>
    <row r="485" spans="1:30" x14ac:dyDescent="0.3">
      <c r="A485" s="41" t="str">
        <f t="shared" ca="1" si="7"/>
        <v>7.MNRJ</v>
      </c>
      <c r="B4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5" s="43"/>
      <c r="D485" s="41"/>
      <c r="E485" s="41"/>
      <c r="F485" s="44"/>
      <c r="G485" s="44"/>
      <c r="H485" s="48"/>
      <c r="I485" s="48"/>
      <c r="J485" s="48"/>
      <c r="K485" s="48"/>
      <c r="L485" s="43"/>
      <c r="M485" s="44"/>
      <c r="N485" s="43"/>
      <c r="O485" s="43"/>
      <c r="P485" s="44"/>
      <c r="Q485" s="43"/>
      <c r="R485" s="43"/>
      <c r="S485" s="45"/>
      <c r="T485" s="58" t="str">
        <f>IF(Tableau1[[#This Row],[DMS_SAP]]="","",HYPERLINK(Tableau1[[#This Row],[Chemin fichier source]],"X"))</f>
        <v/>
      </c>
      <c r="U485" s="58" t="str">
        <f>IF(Tableau1[[#This Row],[Date rév.]]="","",HYPERLINK(Tableau1[[#This Row],[Lien document]],"X"))</f>
        <v/>
      </c>
      <c r="V485" s="44"/>
      <c r="W485" s="46" t="str">
        <f ca="1">Chemin_accès!$B$2&amp;Tableau1[[#This Row],[Poste Responsable]]&amp;"\"&amp;Tableau1[[#This Row],[Localisation / Classement]]&amp;"\"&amp;Tableau1[[#This Row],[Poste technique]]&amp;"_"&amp;Tableau1[[#This Row],[Plan Entretien]]&amp;".pdf"</f>
        <v>\\stjn.local\trimet\Donnees_Projets\Dms Sap\Maintenance\PlanEntretien\7.MNRJ\\_.pdf</v>
      </c>
      <c r="X485" s="44"/>
      <c r="Y485" s="44"/>
      <c r="Z485" s="41" t="str">
        <f ca="1">IF(AND(Tableau1[[#This Row],[Charge]]&lt;&gt;0, Tableau1[[#This Row],[Nombre intervenants]]&lt;&gt;0,Tableau1[[#This Row],[Lien document]]&lt;&gt;0,Tableau1[[#This Row],[DMS_SAP]]&lt;&gt;0)=TRUE,"MIS A JOUR","")</f>
        <v/>
      </c>
      <c r="AA485" s="45"/>
      <c r="AB485" s="55" t="str">
        <f ca="1">IF(Tableau1[[#This Row],[Date rév.]]&lt;&gt;"", DAYS360(Tableau1[[#This Row],[Date rév.]],TODAY()),"")</f>
        <v/>
      </c>
      <c r="AC485" s="47">
        <f>IFERROR(INDEX(Chemin_accès!$B$11:$C$22,MATCH(Tableau1[[#This Row],[Type]],Chemin_accès!$C$11:$C$22,0),1),Chemin_accès!$B$11)</f>
        <v>0</v>
      </c>
      <c r="AD485" s="47" t="str">
        <f>Chemin_accès!$B$8&amp;Tableau1[[#This Row],[Localisation / Classement]]&amp;"\"&amp;Tableau1[[#This Row],[Poste technique]]&amp;"_"&amp;Tableau1[[#This Row],[Plan Entretien]]&amp;".xlsm"</f>
        <v>\_.xlsm</v>
      </c>
    </row>
    <row r="486" spans="1:30" x14ac:dyDescent="0.3">
      <c r="A486" s="41" t="str">
        <f t="shared" ca="1" si="7"/>
        <v>7.MNRJ</v>
      </c>
      <c r="B4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6" s="43"/>
      <c r="D486" s="41"/>
      <c r="E486" s="41"/>
      <c r="F486" s="44"/>
      <c r="G486" s="44"/>
      <c r="H486" s="48"/>
      <c r="I486" s="48"/>
      <c r="J486" s="48"/>
      <c r="K486" s="48"/>
      <c r="L486" s="43"/>
      <c r="M486" s="44"/>
      <c r="N486" s="43"/>
      <c r="O486" s="43"/>
      <c r="P486" s="44"/>
      <c r="Q486" s="43"/>
      <c r="R486" s="43"/>
      <c r="S486" s="45"/>
      <c r="T486" s="58" t="str">
        <f>IF(Tableau1[[#This Row],[DMS_SAP]]="","",HYPERLINK(Tableau1[[#This Row],[Chemin fichier source]],"X"))</f>
        <v/>
      </c>
      <c r="U486" s="58" t="str">
        <f>IF(Tableau1[[#This Row],[Date rév.]]="","",HYPERLINK(Tableau1[[#This Row],[Lien document]],"X"))</f>
        <v/>
      </c>
      <c r="V486" s="44"/>
      <c r="W486" s="46" t="str">
        <f ca="1">Chemin_accès!$B$2&amp;Tableau1[[#This Row],[Poste Responsable]]&amp;"\"&amp;Tableau1[[#This Row],[Localisation / Classement]]&amp;"\"&amp;Tableau1[[#This Row],[Poste technique]]&amp;"_"&amp;Tableau1[[#This Row],[Plan Entretien]]&amp;".pdf"</f>
        <v>\\stjn.local\trimet\Donnees_Projets\Dms Sap\Maintenance\PlanEntretien\7.MNRJ\\_.pdf</v>
      </c>
      <c r="X486" s="44"/>
      <c r="Y486" s="44"/>
      <c r="Z486" s="41" t="str">
        <f ca="1">IF(AND(Tableau1[[#This Row],[Charge]]&lt;&gt;0, Tableau1[[#This Row],[Nombre intervenants]]&lt;&gt;0,Tableau1[[#This Row],[Lien document]]&lt;&gt;0,Tableau1[[#This Row],[DMS_SAP]]&lt;&gt;0)=TRUE,"MIS A JOUR","")</f>
        <v/>
      </c>
      <c r="AA486" s="45"/>
      <c r="AB486" s="55" t="str">
        <f ca="1">IF(Tableau1[[#This Row],[Date rév.]]&lt;&gt;"", DAYS360(Tableau1[[#This Row],[Date rév.]],TODAY()),"")</f>
        <v/>
      </c>
      <c r="AC486" s="47">
        <f>IFERROR(INDEX(Chemin_accès!$B$11:$C$22,MATCH(Tableau1[[#This Row],[Type]],Chemin_accès!$C$11:$C$22,0),1),Chemin_accès!$B$11)</f>
        <v>0</v>
      </c>
      <c r="AD486" s="47" t="str">
        <f>Chemin_accès!$B$8&amp;Tableau1[[#This Row],[Localisation / Classement]]&amp;"\"&amp;Tableau1[[#This Row],[Poste technique]]&amp;"_"&amp;Tableau1[[#This Row],[Plan Entretien]]&amp;".xlsm"</f>
        <v>\_.xlsm</v>
      </c>
    </row>
    <row r="487" spans="1:30" x14ac:dyDescent="0.3">
      <c r="A487" s="41" t="str">
        <f t="shared" ca="1" si="7"/>
        <v>7.MNRJ</v>
      </c>
      <c r="B4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7" s="43"/>
      <c r="D487" s="41"/>
      <c r="E487" s="41"/>
      <c r="F487" s="44"/>
      <c r="G487" s="44"/>
      <c r="H487" s="48"/>
      <c r="I487" s="48"/>
      <c r="J487" s="48"/>
      <c r="K487" s="48"/>
      <c r="L487" s="43"/>
      <c r="M487" s="44"/>
      <c r="N487" s="43"/>
      <c r="O487" s="43"/>
      <c r="P487" s="44"/>
      <c r="Q487" s="43"/>
      <c r="R487" s="43"/>
      <c r="S487" s="45"/>
      <c r="T487" s="58" t="str">
        <f>IF(Tableau1[[#This Row],[DMS_SAP]]="","",HYPERLINK(Tableau1[[#This Row],[Chemin fichier source]],"X"))</f>
        <v/>
      </c>
      <c r="U487" s="58" t="str">
        <f>IF(Tableau1[[#This Row],[Date rév.]]="","",HYPERLINK(Tableau1[[#This Row],[Lien document]],"X"))</f>
        <v/>
      </c>
      <c r="V487" s="44"/>
      <c r="W487" s="46" t="str">
        <f ca="1">Chemin_accès!$B$2&amp;Tableau1[[#This Row],[Poste Responsable]]&amp;"\"&amp;Tableau1[[#This Row],[Localisation / Classement]]&amp;"\"&amp;Tableau1[[#This Row],[Poste technique]]&amp;"_"&amp;Tableau1[[#This Row],[Plan Entretien]]&amp;".pdf"</f>
        <v>\\stjn.local\trimet\Donnees_Projets\Dms Sap\Maintenance\PlanEntretien\7.MNRJ\\_.pdf</v>
      </c>
      <c r="X487" s="44"/>
      <c r="Y487" s="44"/>
      <c r="Z487" s="41" t="str">
        <f ca="1">IF(AND(Tableau1[[#This Row],[Charge]]&lt;&gt;0, Tableau1[[#This Row],[Nombre intervenants]]&lt;&gt;0,Tableau1[[#This Row],[Lien document]]&lt;&gt;0,Tableau1[[#This Row],[DMS_SAP]]&lt;&gt;0)=TRUE,"MIS A JOUR","")</f>
        <v/>
      </c>
      <c r="AA487" s="45"/>
      <c r="AB487" s="55" t="str">
        <f ca="1">IF(Tableau1[[#This Row],[Date rév.]]&lt;&gt;"", DAYS360(Tableau1[[#This Row],[Date rév.]],TODAY()),"")</f>
        <v/>
      </c>
      <c r="AC487" s="47">
        <f>IFERROR(INDEX(Chemin_accès!$B$11:$C$22,MATCH(Tableau1[[#This Row],[Type]],Chemin_accès!$C$11:$C$22,0),1),Chemin_accès!$B$11)</f>
        <v>0</v>
      </c>
      <c r="AD487" s="47" t="str">
        <f>Chemin_accès!$B$8&amp;Tableau1[[#This Row],[Localisation / Classement]]&amp;"\"&amp;Tableau1[[#This Row],[Poste technique]]&amp;"_"&amp;Tableau1[[#This Row],[Plan Entretien]]&amp;".xlsm"</f>
        <v>\_.xlsm</v>
      </c>
    </row>
    <row r="488" spans="1:30" x14ac:dyDescent="0.3">
      <c r="A488" s="41" t="str">
        <f t="shared" ca="1" si="7"/>
        <v>7.MNRJ</v>
      </c>
      <c r="B4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8" s="43"/>
      <c r="D488" s="41"/>
      <c r="E488" s="41"/>
      <c r="F488" s="44"/>
      <c r="G488" s="44"/>
      <c r="H488" s="48"/>
      <c r="I488" s="48"/>
      <c r="J488" s="48"/>
      <c r="K488" s="48"/>
      <c r="L488" s="43"/>
      <c r="M488" s="44"/>
      <c r="N488" s="43"/>
      <c r="O488" s="43"/>
      <c r="P488" s="44"/>
      <c r="Q488" s="43"/>
      <c r="R488" s="43"/>
      <c r="S488" s="45"/>
      <c r="T488" s="58" t="str">
        <f>IF(Tableau1[[#This Row],[DMS_SAP]]="","",HYPERLINK(Tableau1[[#This Row],[Chemin fichier source]],"X"))</f>
        <v/>
      </c>
      <c r="U488" s="58" t="str">
        <f>IF(Tableau1[[#This Row],[Date rév.]]="","",HYPERLINK(Tableau1[[#This Row],[Lien document]],"X"))</f>
        <v/>
      </c>
      <c r="V488" s="44"/>
      <c r="W488" s="46" t="str">
        <f ca="1">Chemin_accès!$B$2&amp;Tableau1[[#This Row],[Poste Responsable]]&amp;"\"&amp;Tableau1[[#This Row],[Localisation / Classement]]&amp;"\"&amp;Tableau1[[#This Row],[Poste technique]]&amp;"_"&amp;Tableau1[[#This Row],[Plan Entretien]]&amp;".pdf"</f>
        <v>\\stjn.local\trimet\Donnees_Projets\Dms Sap\Maintenance\PlanEntretien\7.MNRJ\\_.pdf</v>
      </c>
      <c r="X488" s="44"/>
      <c r="Y488" s="44"/>
      <c r="Z488" s="41" t="str">
        <f ca="1">IF(AND(Tableau1[[#This Row],[Charge]]&lt;&gt;0, Tableau1[[#This Row],[Nombre intervenants]]&lt;&gt;0,Tableau1[[#This Row],[Lien document]]&lt;&gt;0,Tableau1[[#This Row],[DMS_SAP]]&lt;&gt;0)=TRUE,"MIS A JOUR","")</f>
        <v/>
      </c>
      <c r="AA488" s="45"/>
      <c r="AB488" s="55" t="str">
        <f ca="1">IF(Tableau1[[#This Row],[Date rév.]]&lt;&gt;"", DAYS360(Tableau1[[#This Row],[Date rév.]],TODAY()),"")</f>
        <v/>
      </c>
      <c r="AC488" s="47">
        <f>IFERROR(INDEX(Chemin_accès!$B$11:$C$22,MATCH(Tableau1[[#This Row],[Type]],Chemin_accès!$C$11:$C$22,0),1),Chemin_accès!$B$11)</f>
        <v>0</v>
      </c>
      <c r="AD488" s="47" t="str">
        <f>Chemin_accès!$B$8&amp;Tableau1[[#This Row],[Localisation / Classement]]&amp;"\"&amp;Tableau1[[#This Row],[Poste technique]]&amp;"_"&amp;Tableau1[[#This Row],[Plan Entretien]]&amp;".xlsm"</f>
        <v>\_.xlsm</v>
      </c>
    </row>
    <row r="489" spans="1:30" x14ac:dyDescent="0.3">
      <c r="A489" s="41" t="str">
        <f t="shared" ca="1" si="7"/>
        <v>7.MNRJ</v>
      </c>
      <c r="B4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9" s="43"/>
      <c r="D489" s="41"/>
      <c r="E489" s="41"/>
      <c r="F489" s="44"/>
      <c r="G489" s="44"/>
      <c r="H489" s="48"/>
      <c r="I489" s="48"/>
      <c r="J489" s="48"/>
      <c r="K489" s="48"/>
      <c r="L489" s="43"/>
      <c r="M489" s="44"/>
      <c r="N489" s="43"/>
      <c r="O489" s="43"/>
      <c r="P489" s="44"/>
      <c r="Q489" s="43"/>
      <c r="R489" s="43"/>
      <c r="S489" s="45"/>
      <c r="T489" s="58" t="str">
        <f>IF(Tableau1[[#This Row],[DMS_SAP]]="","",HYPERLINK(Tableau1[[#This Row],[Chemin fichier source]],"X"))</f>
        <v/>
      </c>
      <c r="U489" s="58" t="str">
        <f>IF(Tableau1[[#This Row],[Date rév.]]="","",HYPERLINK(Tableau1[[#This Row],[Lien document]],"X"))</f>
        <v/>
      </c>
      <c r="V489" s="44"/>
      <c r="W489" s="46" t="str">
        <f ca="1">Chemin_accès!$B$2&amp;Tableau1[[#This Row],[Poste Responsable]]&amp;"\"&amp;Tableau1[[#This Row],[Localisation / Classement]]&amp;"\"&amp;Tableau1[[#This Row],[Poste technique]]&amp;"_"&amp;Tableau1[[#This Row],[Plan Entretien]]&amp;".pdf"</f>
        <v>\\stjn.local\trimet\Donnees_Projets\Dms Sap\Maintenance\PlanEntretien\7.MNRJ\\_.pdf</v>
      </c>
      <c r="X489" s="44"/>
      <c r="Y489" s="44"/>
      <c r="Z489" s="41" t="str">
        <f ca="1">IF(AND(Tableau1[[#This Row],[Charge]]&lt;&gt;0, Tableau1[[#This Row],[Nombre intervenants]]&lt;&gt;0,Tableau1[[#This Row],[Lien document]]&lt;&gt;0,Tableau1[[#This Row],[DMS_SAP]]&lt;&gt;0)=TRUE,"MIS A JOUR","")</f>
        <v/>
      </c>
      <c r="AA489" s="45"/>
      <c r="AB489" s="55" t="str">
        <f ca="1">IF(Tableau1[[#This Row],[Date rév.]]&lt;&gt;"", DAYS360(Tableau1[[#This Row],[Date rév.]],TODAY()),"")</f>
        <v/>
      </c>
      <c r="AC489" s="47">
        <f>IFERROR(INDEX(Chemin_accès!$B$11:$C$22,MATCH(Tableau1[[#This Row],[Type]],Chemin_accès!$C$11:$C$22,0),1),Chemin_accès!$B$11)</f>
        <v>0</v>
      </c>
      <c r="AD489" s="47" t="str">
        <f>Chemin_accès!$B$8&amp;Tableau1[[#This Row],[Localisation / Classement]]&amp;"\"&amp;Tableau1[[#This Row],[Poste technique]]&amp;"_"&amp;Tableau1[[#This Row],[Plan Entretien]]&amp;".xlsm"</f>
        <v>\_.xlsm</v>
      </c>
    </row>
    <row r="490" spans="1:30" x14ac:dyDescent="0.3">
      <c r="A490" s="41" t="str">
        <f t="shared" ca="1" si="7"/>
        <v>7.MNRJ</v>
      </c>
      <c r="B4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0" s="43"/>
      <c r="D490" s="41"/>
      <c r="E490" s="41"/>
      <c r="F490" s="44"/>
      <c r="G490" s="44"/>
      <c r="H490" s="48"/>
      <c r="I490" s="48"/>
      <c r="J490" s="48"/>
      <c r="K490" s="48"/>
      <c r="L490" s="43"/>
      <c r="M490" s="44"/>
      <c r="N490" s="43"/>
      <c r="O490" s="43"/>
      <c r="P490" s="44"/>
      <c r="Q490" s="43"/>
      <c r="R490" s="43"/>
      <c r="S490" s="45"/>
      <c r="T490" s="58" t="str">
        <f>IF(Tableau1[[#This Row],[DMS_SAP]]="","",HYPERLINK(Tableau1[[#This Row],[Chemin fichier source]],"X"))</f>
        <v/>
      </c>
      <c r="U490" s="58" t="str">
        <f>IF(Tableau1[[#This Row],[Date rév.]]="","",HYPERLINK(Tableau1[[#This Row],[Lien document]],"X"))</f>
        <v/>
      </c>
      <c r="V490" s="44"/>
      <c r="W490" s="46" t="str">
        <f ca="1">Chemin_accès!$B$2&amp;Tableau1[[#This Row],[Poste Responsable]]&amp;"\"&amp;Tableau1[[#This Row],[Localisation / Classement]]&amp;"\"&amp;Tableau1[[#This Row],[Poste technique]]&amp;"_"&amp;Tableau1[[#This Row],[Plan Entretien]]&amp;".pdf"</f>
        <v>\\stjn.local\trimet\Donnees_Projets\Dms Sap\Maintenance\PlanEntretien\7.MNRJ\\_.pdf</v>
      </c>
      <c r="X490" s="44"/>
      <c r="Y490" s="44"/>
      <c r="Z490" s="41" t="str">
        <f ca="1">IF(AND(Tableau1[[#This Row],[Charge]]&lt;&gt;0, Tableau1[[#This Row],[Nombre intervenants]]&lt;&gt;0,Tableau1[[#This Row],[Lien document]]&lt;&gt;0,Tableau1[[#This Row],[DMS_SAP]]&lt;&gt;0)=TRUE,"MIS A JOUR","")</f>
        <v/>
      </c>
      <c r="AA490" s="45"/>
      <c r="AB490" s="55" t="str">
        <f ca="1">IF(Tableau1[[#This Row],[Date rév.]]&lt;&gt;"", DAYS360(Tableau1[[#This Row],[Date rév.]],TODAY()),"")</f>
        <v/>
      </c>
      <c r="AC490" s="47">
        <f>IFERROR(INDEX(Chemin_accès!$B$11:$C$22,MATCH(Tableau1[[#This Row],[Type]],Chemin_accès!$C$11:$C$22,0),1),Chemin_accès!$B$11)</f>
        <v>0</v>
      </c>
      <c r="AD490" s="47" t="str">
        <f>Chemin_accès!$B$8&amp;Tableau1[[#This Row],[Localisation / Classement]]&amp;"\"&amp;Tableau1[[#This Row],[Poste technique]]&amp;"_"&amp;Tableau1[[#This Row],[Plan Entretien]]&amp;".xlsm"</f>
        <v>\_.xlsm</v>
      </c>
    </row>
    <row r="491" spans="1:30" x14ac:dyDescent="0.3">
      <c r="A491" s="41" t="str">
        <f t="shared" ca="1" si="7"/>
        <v>7.MNRJ</v>
      </c>
      <c r="B4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1" s="43"/>
      <c r="D491" s="41"/>
      <c r="E491" s="41"/>
      <c r="F491" s="44"/>
      <c r="G491" s="44"/>
      <c r="H491" s="48"/>
      <c r="I491" s="48"/>
      <c r="J491" s="48"/>
      <c r="K491" s="48"/>
      <c r="L491" s="43"/>
      <c r="M491" s="44"/>
      <c r="N491" s="43"/>
      <c r="O491" s="43"/>
      <c r="P491" s="44"/>
      <c r="Q491" s="43"/>
      <c r="R491" s="43"/>
      <c r="S491" s="45"/>
      <c r="T491" s="58" t="str">
        <f>IF(Tableau1[[#This Row],[DMS_SAP]]="","",HYPERLINK(Tableau1[[#This Row],[Chemin fichier source]],"X"))</f>
        <v/>
      </c>
      <c r="U491" s="58" t="str">
        <f>IF(Tableau1[[#This Row],[Date rév.]]="","",HYPERLINK(Tableau1[[#This Row],[Lien document]],"X"))</f>
        <v/>
      </c>
      <c r="V491" s="44"/>
      <c r="W491" s="46" t="str">
        <f ca="1">Chemin_accès!$B$2&amp;Tableau1[[#This Row],[Poste Responsable]]&amp;"\"&amp;Tableau1[[#This Row],[Localisation / Classement]]&amp;"\"&amp;Tableau1[[#This Row],[Poste technique]]&amp;"_"&amp;Tableau1[[#This Row],[Plan Entretien]]&amp;".pdf"</f>
        <v>\\stjn.local\trimet\Donnees_Projets\Dms Sap\Maintenance\PlanEntretien\7.MNRJ\\_.pdf</v>
      </c>
      <c r="X491" s="44"/>
      <c r="Y491" s="44"/>
      <c r="Z491" s="41" t="str">
        <f ca="1">IF(AND(Tableau1[[#This Row],[Charge]]&lt;&gt;0, Tableau1[[#This Row],[Nombre intervenants]]&lt;&gt;0,Tableau1[[#This Row],[Lien document]]&lt;&gt;0,Tableau1[[#This Row],[DMS_SAP]]&lt;&gt;0)=TRUE,"MIS A JOUR","")</f>
        <v/>
      </c>
      <c r="AA491" s="45"/>
      <c r="AB491" s="55" t="str">
        <f ca="1">IF(Tableau1[[#This Row],[Date rév.]]&lt;&gt;"", DAYS360(Tableau1[[#This Row],[Date rév.]],TODAY()),"")</f>
        <v/>
      </c>
      <c r="AC491" s="47">
        <f>IFERROR(INDEX(Chemin_accès!$B$11:$C$22,MATCH(Tableau1[[#This Row],[Type]],Chemin_accès!$C$11:$C$22,0),1),Chemin_accès!$B$11)</f>
        <v>0</v>
      </c>
      <c r="AD491" s="47" t="str">
        <f>Chemin_accès!$B$8&amp;Tableau1[[#This Row],[Localisation / Classement]]&amp;"\"&amp;Tableau1[[#This Row],[Poste technique]]&amp;"_"&amp;Tableau1[[#This Row],[Plan Entretien]]&amp;".xlsm"</f>
        <v>\_.xlsm</v>
      </c>
    </row>
    <row r="492" spans="1:30" x14ac:dyDescent="0.3">
      <c r="A492" s="41" t="str">
        <f t="shared" ca="1" si="7"/>
        <v>7.MNRJ</v>
      </c>
      <c r="B4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2" s="43"/>
      <c r="D492" s="41"/>
      <c r="E492" s="41"/>
      <c r="F492" s="44"/>
      <c r="G492" s="44"/>
      <c r="H492" s="48"/>
      <c r="I492" s="48"/>
      <c r="J492" s="48"/>
      <c r="K492" s="48"/>
      <c r="L492" s="43"/>
      <c r="M492" s="44"/>
      <c r="N492" s="43"/>
      <c r="O492" s="43"/>
      <c r="P492" s="44"/>
      <c r="Q492" s="43"/>
      <c r="R492" s="43"/>
      <c r="S492" s="45"/>
      <c r="T492" s="58" t="str">
        <f>IF(Tableau1[[#This Row],[DMS_SAP]]="","",HYPERLINK(Tableau1[[#This Row],[Chemin fichier source]],"X"))</f>
        <v/>
      </c>
      <c r="U492" s="58" t="str">
        <f>IF(Tableau1[[#This Row],[Date rév.]]="","",HYPERLINK(Tableau1[[#This Row],[Lien document]],"X"))</f>
        <v/>
      </c>
      <c r="V492" s="44"/>
      <c r="W492" s="46" t="str">
        <f ca="1">Chemin_accès!$B$2&amp;Tableau1[[#This Row],[Poste Responsable]]&amp;"\"&amp;Tableau1[[#This Row],[Localisation / Classement]]&amp;"\"&amp;Tableau1[[#This Row],[Poste technique]]&amp;"_"&amp;Tableau1[[#This Row],[Plan Entretien]]&amp;".pdf"</f>
        <v>\\stjn.local\trimet\Donnees_Projets\Dms Sap\Maintenance\PlanEntretien\7.MNRJ\\_.pdf</v>
      </c>
      <c r="X492" s="44"/>
      <c r="Y492" s="44"/>
      <c r="Z492" s="41" t="str">
        <f ca="1">IF(AND(Tableau1[[#This Row],[Charge]]&lt;&gt;0, Tableau1[[#This Row],[Nombre intervenants]]&lt;&gt;0,Tableau1[[#This Row],[Lien document]]&lt;&gt;0,Tableau1[[#This Row],[DMS_SAP]]&lt;&gt;0)=TRUE,"MIS A JOUR","")</f>
        <v/>
      </c>
      <c r="AA492" s="45"/>
      <c r="AB492" s="55" t="str">
        <f ca="1">IF(Tableau1[[#This Row],[Date rév.]]&lt;&gt;"", DAYS360(Tableau1[[#This Row],[Date rév.]],TODAY()),"")</f>
        <v/>
      </c>
      <c r="AC492" s="47">
        <f>IFERROR(INDEX(Chemin_accès!$B$11:$C$22,MATCH(Tableau1[[#This Row],[Type]],Chemin_accès!$C$11:$C$22,0),1),Chemin_accès!$B$11)</f>
        <v>0</v>
      </c>
      <c r="AD492" s="47" t="str">
        <f>Chemin_accès!$B$8&amp;Tableau1[[#This Row],[Localisation / Classement]]&amp;"\"&amp;Tableau1[[#This Row],[Poste technique]]&amp;"_"&amp;Tableau1[[#This Row],[Plan Entretien]]&amp;".xlsm"</f>
        <v>\_.xlsm</v>
      </c>
    </row>
    <row r="493" spans="1:30" x14ac:dyDescent="0.3">
      <c r="A493" s="41" t="str">
        <f t="shared" ca="1" si="7"/>
        <v>7.MNRJ</v>
      </c>
      <c r="B4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3" s="43"/>
      <c r="D493" s="41"/>
      <c r="E493" s="41"/>
      <c r="F493" s="44"/>
      <c r="G493" s="44"/>
      <c r="H493" s="48"/>
      <c r="I493" s="48"/>
      <c r="J493" s="48"/>
      <c r="K493" s="48"/>
      <c r="L493" s="43"/>
      <c r="M493" s="44"/>
      <c r="N493" s="43"/>
      <c r="O493" s="43"/>
      <c r="P493" s="44"/>
      <c r="Q493" s="43"/>
      <c r="R493" s="43"/>
      <c r="S493" s="45"/>
      <c r="T493" s="58" t="str">
        <f>IF(Tableau1[[#This Row],[DMS_SAP]]="","",HYPERLINK(Tableau1[[#This Row],[Chemin fichier source]],"X"))</f>
        <v/>
      </c>
      <c r="U493" s="58" t="str">
        <f>IF(Tableau1[[#This Row],[Date rév.]]="","",HYPERLINK(Tableau1[[#This Row],[Lien document]],"X"))</f>
        <v/>
      </c>
      <c r="V493" s="44"/>
      <c r="W493" s="46" t="str">
        <f ca="1">Chemin_accès!$B$2&amp;Tableau1[[#This Row],[Poste Responsable]]&amp;"\"&amp;Tableau1[[#This Row],[Localisation / Classement]]&amp;"\"&amp;Tableau1[[#This Row],[Poste technique]]&amp;"_"&amp;Tableau1[[#This Row],[Plan Entretien]]&amp;".pdf"</f>
        <v>\\stjn.local\trimet\Donnees_Projets\Dms Sap\Maintenance\PlanEntretien\7.MNRJ\\_.pdf</v>
      </c>
      <c r="X493" s="44"/>
      <c r="Y493" s="44"/>
      <c r="Z493" s="41" t="str">
        <f ca="1">IF(AND(Tableau1[[#This Row],[Charge]]&lt;&gt;0, Tableau1[[#This Row],[Nombre intervenants]]&lt;&gt;0,Tableau1[[#This Row],[Lien document]]&lt;&gt;0,Tableau1[[#This Row],[DMS_SAP]]&lt;&gt;0)=TRUE,"MIS A JOUR","")</f>
        <v/>
      </c>
      <c r="AA493" s="45"/>
      <c r="AB493" s="55" t="str">
        <f ca="1">IF(Tableau1[[#This Row],[Date rév.]]&lt;&gt;"", DAYS360(Tableau1[[#This Row],[Date rév.]],TODAY()),"")</f>
        <v/>
      </c>
      <c r="AC493" s="47">
        <f>IFERROR(INDEX(Chemin_accès!$B$11:$C$22,MATCH(Tableau1[[#This Row],[Type]],Chemin_accès!$C$11:$C$22,0),1),Chemin_accès!$B$11)</f>
        <v>0</v>
      </c>
      <c r="AD493" s="47" t="str">
        <f>Chemin_accès!$B$8&amp;Tableau1[[#This Row],[Localisation / Classement]]&amp;"\"&amp;Tableau1[[#This Row],[Poste technique]]&amp;"_"&amp;Tableau1[[#This Row],[Plan Entretien]]&amp;".xlsm"</f>
        <v>\_.xlsm</v>
      </c>
    </row>
    <row r="494" spans="1:30" x14ac:dyDescent="0.3">
      <c r="A494" s="41" t="str">
        <f t="shared" ca="1" si="7"/>
        <v>7.MNRJ</v>
      </c>
      <c r="B4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4" s="43"/>
      <c r="D494" s="41"/>
      <c r="E494" s="41"/>
      <c r="F494" s="44"/>
      <c r="G494" s="44"/>
      <c r="H494" s="48"/>
      <c r="I494" s="48"/>
      <c r="J494" s="48"/>
      <c r="K494" s="48"/>
      <c r="L494" s="43"/>
      <c r="M494" s="44"/>
      <c r="N494" s="43"/>
      <c r="O494" s="43"/>
      <c r="P494" s="44"/>
      <c r="Q494" s="43"/>
      <c r="R494" s="43"/>
      <c r="S494" s="45"/>
      <c r="T494" s="58" t="str">
        <f>IF(Tableau1[[#This Row],[DMS_SAP]]="","",HYPERLINK(Tableau1[[#This Row],[Chemin fichier source]],"X"))</f>
        <v/>
      </c>
      <c r="U494" s="58" t="str">
        <f>IF(Tableau1[[#This Row],[Date rév.]]="","",HYPERLINK(Tableau1[[#This Row],[Lien document]],"X"))</f>
        <v/>
      </c>
      <c r="V494" s="44"/>
      <c r="W494" s="46" t="str">
        <f ca="1">Chemin_accès!$B$2&amp;Tableau1[[#This Row],[Poste Responsable]]&amp;"\"&amp;Tableau1[[#This Row],[Localisation / Classement]]&amp;"\"&amp;Tableau1[[#This Row],[Poste technique]]&amp;"_"&amp;Tableau1[[#This Row],[Plan Entretien]]&amp;".pdf"</f>
        <v>\\stjn.local\trimet\Donnees_Projets\Dms Sap\Maintenance\PlanEntretien\7.MNRJ\\_.pdf</v>
      </c>
      <c r="X494" s="44"/>
      <c r="Y494" s="44"/>
      <c r="Z494" s="41" t="str">
        <f ca="1">IF(AND(Tableau1[[#This Row],[Charge]]&lt;&gt;0, Tableau1[[#This Row],[Nombre intervenants]]&lt;&gt;0,Tableau1[[#This Row],[Lien document]]&lt;&gt;0,Tableau1[[#This Row],[DMS_SAP]]&lt;&gt;0)=TRUE,"MIS A JOUR","")</f>
        <v/>
      </c>
      <c r="AA494" s="45"/>
      <c r="AB494" s="55" t="str">
        <f ca="1">IF(Tableau1[[#This Row],[Date rév.]]&lt;&gt;"", DAYS360(Tableau1[[#This Row],[Date rév.]],TODAY()),"")</f>
        <v/>
      </c>
      <c r="AC494" s="47">
        <f>IFERROR(INDEX(Chemin_accès!$B$11:$C$22,MATCH(Tableau1[[#This Row],[Type]],Chemin_accès!$C$11:$C$22,0),1),Chemin_accès!$B$11)</f>
        <v>0</v>
      </c>
      <c r="AD494" s="47" t="str">
        <f>Chemin_accès!$B$8&amp;Tableau1[[#This Row],[Localisation / Classement]]&amp;"\"&amp;Tableau1[[#This Row],[Poste technique]]&amp;"_"&amp;Tableau1[[#This Row],[Plan Entretien]]&amp;".xlsm"</f>
        <v>\_.xlsm</v>
      </c>
    </row>
    <row r="495" spans="1:30" x14ac:dyDescent="0.3">
      <c r="A495" s="41" t="str">
        <f t="shared" ca="1" si="7"/>
        <v>7.MNRJ</v>
      </c>
      <c r="B4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5" s="43"/>
      <c r="D495" s="41"/>
      <c r="E495" s="41"/>
      <c r="F495" s="44"/>
      <c r="G495" s="44"/>
      <c r="H495" s="48"/>
      <c r="I495" s="48"/>
      <c r="J495" s="48"/>
      <c r="K495" s="48"/>
      <c r="L495" s="43"/>
      <c r="M495" s="44"/>
      <c r="N495" s="43"/>
      <c r="O495" s="43"/>
      <c r="P495" s="44"/>
      <c r="Q495" s="43"/>
      <c r="R495" s="43"/>
      <c r="S495" s="45"/>
      <c r="T495" s="58" t="str">
        <f>IF(Tableau1[[#This Row],[DMS_SAP]]="","",HYPERLINK(Tableau1[[#This Row],[Chemin fichier source]],"X"))</f>
        <v/>
      </c>
      <c r="U495" s="58" t="str">
        <f>IF(Tableau1[[#This Row],[Date rév.]]="","",HYPERLINK(Tableau1[[#This Row],[Lien document]],"X"))</f>
        <v/>
      </c>
      <c r="V495" s="44"/>
      <c r="W495" s="46" t="str">
        <f ca="1">Chemin_accès!$B$2&amp;Tableau1[[#This Row],[Poste Responsable]]&amp;"\"&amp;Tableau1[[#This Row],[Localisation / Classement]]&amp;"\"&amp;Tableau1[[#This Row],[Poste technique]]&amp;"_"&amp;Tableau1[[#This Row],[Plan Entretien]]&amp;".pdf"</f>
        <v>\\stjn.local\trimet\Donnees_Projets\Dms Sap\Maintenance\PlanEntretien\7.MNRJ\\_.pdf</v>
      </c>
      <c r="X495" s="44"/>
      <c r="Y495" s="44"/>
      <c r="Z495" s="41" t="str">
        <f ca="1">IF(AND(Tableau1[[#This Row],[Charge]]&lt;&gt;0, Tableau1[[#This Row],[Nombre intervenants]]&lt;&gt;0,Tableau1[[#This Row],[Lien document]]&lt;&gt;0,Tableau1[[#This Row],[DMS_SAP]]&lt;&gt;0)=TRUE,"MIS A JOUR","")</f>
        <v/>
      </c>
      <c r="AA495" s="45"/>
      <c r="AB495" s="55" t="str">
        <f ca="1">IF(Tableau1[[#This Row],[Date rév.]]&lt;&gt;"", DAYS360(Tableau1[[#This Row],[Date rév.]],TODAY()),"")</f>
        <v/>
      </c>
      <c r="AC495" s="47">
        <f>IFERROR(INDEX(Chemin_accès!$B$11:$C$22,MATCH(Tableau1[[#This Row],[Type]],Chemin_accès!$C$11:$C$22,0),1),Chemin_accès!$B$11)</f>
        <v>0</v>
      </c>
      <c r="AD495" s="47" t="str">
        <f>Chemin_accès!$B$8&amp;Tableau1[[#This Row],[Localisation / Classement]]&amp;"\"&amp;Tableau1[[#This Row],[Poste technique]]&amp;"_"&amp;Tableau1[[#This Row],[Plan Entretien]]&amp;".xlsm"</f>
        <v>\_.xlsm</v>
      </c>
    </row>
    <row r="496" spans="1:30" x14ac:dyDescent="0.3">
      <c r="A496" s="41" t="str">
        <f t="shared" ca="1" si="7"/>
        <v>7.MNRJ</v>
      </c>
      <c r="B4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6" s="43"/>
      <c r="D496" s="41"/>
      <c r="E496" s="41"/>
      <c r="F496" s="44"/>
      <c r="G496" s="44"/>
      <c r="H496" s="48"/>
      <c r="I496" s="48"/>
      <c r="J496" s="48"/>
      <c r="K496" s="48"/>
      <c r="L496" s="43"/>
      <c r="M496" s="44"/>
      <c r="N496" s="43"/>
      <c r="O496" s="43"/>
      <c r="P496" s="44"/>
      <c r="Q496" s="43"/>
      <c r="R496" s="43"/>
      <c r="S496" s="45"/>
      <c r="T496" s="58" t="str">
        <f>IF(Tableau1[[#This Row],[DMS_SAP]]="","",HYPERLINK(Tableau1[[#This Row],[Chemin fichier source]],"X"))</f>
        <v/>
      </c>
      <c r="U496" s="58" t="str">
        <f>IF(Tableau1[[#This Row],[Date rév.]]="","",HYPERLINK(Tableau1[[#This Row],[Lien document]],"X"))</f>
        <v/>
      </c>
      <c r="V496" s="44"/>
      <c r="W496" s="46" t="str">
        <f ca="1">Chemin_accès!$B$2&amp;Tableau1[[#This Row],[Poste Responsable]]&amp;"\"&amp;Tableau1[[#This Row],[Localisation / Classement]]&amp;"\"&amp;Tableau1[[#This Row],[Poste technique]]&amp;"_"&amp;Tableau1[[#This Row],[Plan Entretien]]&amp;".pdf"</f>
        <v>\\stjn.local\trimet\Donnees_Projets\Dms Sap\Maintenance\PlanEntretien\7.MNRJ\\_.pdf</v>
      </c>
      <c r="X496" s="44"/>
      <c r="Y496" s="44"/>
      <c r="Z496" s="41" t="str">
        <f ca="1">IF(AND(Tableau1[[#This Row],[Charge]]&lt;&gt;0, Tableau1[[#This Row],[Nombre intervenants]]&lt;&gt;0,Tableau1[[#This Row],[Lien document]]&lt;&gt;0,Tableau1[[#This Row],[DMS_SAP]]&lt;&gt;0)=TRUE,"MIS A JOUR","")</f>
        <v/>
      </c>
      <c r="AA496" s="45"/>
      <c r="AB496" s="55" t="str">
        <f ca="1">IF(Tableau1[[#This Row],[Date rév.]]&lt;&gt;"", DAYS360(Tableau1[[#This Row],[Date rév.]],TODAY()),"")</f>
        <v/>
      </c>
      <c r="AC496" s="47">
        <f>IFERROR(INDEX(Chemin_accès!$B$11:$C$22,MATCH(Tableau1[[#This Row],[Type]],Chemin_accès!$C$11:$C$22,0),1),Chemin_accès!$B$11)</f>
        <v>0</v>
      </c>
      <c r="AD496" s="47" t="str">
        <f>Chemin_accès!$B$8&amp;Tableau1[[#This Row],[Localisation / Classement]]&amp;"\"&amp;Tableau1[[#This Row],[Poste technique]]&amp;"_"&amp;Tableau1[[#This Row],[Plan Entretien]]&amp;".xlsm"</f>
        <v>\_.xlsm</v>
      </c>
    </row>
    <row r="497" spans="1:30" x14ac:dyDescent="0.3">
      <c r="A497" s="41" t="str">
        <f t="shared" ca="1" si="7"/>
        <v>7.MNRJ</v>
      </c>
      <c r="B4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7" s="43"/>
      <c r="D497" s="41"/>
      <c r="E497" s="41"/>
      <c r="F497" s="44"/>
      <c r="G497" s="44"/>
      <c r="H497" s="48"/>
      <c r="I497" s="48"/>
      <c r="J497" s="48"/>
      <c r="K497" s="48"/>
      <c r="L497" s="43"/>
      <c r="M497" s="44"/>
      <c r="N497" s="43"/>
      <c r="O497" s="43"/>
      <c r="P497" s="44"/>
      <c r="Q497" s="43"/>
      <c r="R497" s="43"/>
      <c r="S497" s="45"/>
      <c r="T497" s="58" t="str">
        <f>IF(Tableau1[[#This Row],[DMS_SAP]]="","",HYPERLINK(Tableau1[[#This Row],[Chemin fichier source]],"X"))</f>
        <v/>
      </c>
      <c r="U497" s="58" t="str">
        <f>IF(Tableau1[[#This Row],[Date rév.]]="","",HYPERLINK(Tableau1[[#This Row],[Lien document]],"X"))</f>
        <v/>
      </c>
      <c r="V497" s="44"/>
      <c r="W497" s="46" t="str">
        <f ca="1">Chemin_accès!$B$2&amp;Tableau1[[#This Row],[Poste Responsable]]&amp;"\"&amp;Tableau1[[#This Row],[Localisation / Classement]]&amp;"\"&amp;Tableau1[[#This Row],[Poste technique]]&amp;"_"&amp;Tableau1[[#This Row],[Plan Entretien]]&amp;".pdf"</f>
        <v>\\stjn.local\trimet\Donnees_Projets\Dms Sap\Maintenance\PlanEntretien\7.MNRJ\\_.pdf</v>
      </c>
      <c r="X497" s="44"/>
      <c r="Y497" s="44"/>
      <c r="Z497" s="41" t="str">
        <f ca="1">IF(AND(Tableau1[[#This Row],[Charge]]&lt;&gt;0, Tableau1[[#This Row],[Nombre intervenants]]&lt;&gt;0,Tableau1[[#This Row],[Lien document]]&lt;&gt;0,Tableau1[[#This Row],[DMS_SAP]]&lt;&gt;0)=TRUE,"MIS A JOUR","")</f>
        <v/>
      </c>
      <c r="AA497" s="45"/>
      <c r="AB497" s="55" t="str">
        <f ca="1">IF(Tableau1[[#This Row],[Date rév.]]&lt;&gt;"", DAYS360(Tableau1[[#This Row],[Date rév.]],TODAY()),"")</f>
        <v/>
      </c>
      <c r="AC497" s="47">
        <f>IFERROR(INDEX(Chemin_accès!$B$11:$C$22,MATCH(Tableau1[[#This Row],[Type]],Chemin_accès!$C$11:$C$22,0),1),Chemin_accès!$B$11)</f>
        <v>0</v>
      </c>
      <c r="AD497" s="47" t="str">
        <f>Chemin_accès!$B$8&amp;Tableau1[[#This Row],[Localisation / Classement]]&amp;"\"&amp;Tableau1[[#This Row],[Poste technique]]&amp;"_"&amp;Tableau1[[#This Row],[Plan Entretien]]&amp;".xlsm"</f>
        <v>\_.xlsm</v>
      </c>
    </row>
    <row r="498" spans="1:30" x14ac:dyDescent="0.3">
      <c r="A498" s="41" t="str">
        <f t="shared" ca="1" si="7"/>
        <v>7.MNRJ</v>
      </c>
      <c r="B4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8" s="43"/>
      <c r="D498" s="41"/>
      <c r="E498" s="41"/>
      <c r="F498" s="44"/>
      <c r="G498" s="44"/>
      <c r="H498" s="48"/>
      <c r="I498" s="48"/>
      <c r="J498" s="48"/>
      <c r="K498" s="48"/>
      <c r="L498" s="43"/>
      <c r="M498" s="44"/>
      <c r="N498" s="43"/>
      <c r="O498" s="43"/>
      <c r="P498" s="44"/>
      <c r="Q498" s="43"/>
      <c r="R498" s="43"/>
      <c r="S498" s="45"/>
      <c r="T498" s="58" t="str">
        <f>IF(Tableau1[[#This Row],[DMS_SAP]]="","",HYPERLINK(Tableau1[[#This Row],[Chemin fichier source]],"X"))</f>
        <v/>
      </c>
      <c r="U498" s="58" t="str">
        <f>IF(Tableau1[[#This Row],[Date rév.]]="","",HYPERLINK(Tableau1[[#This Row],[Lien document]],"X"))</f>
        <v/>
      </c>
      <c r="V498" s="44"/>
      <c r="W498" s="46" t="str">
        <f ca="1">Chemin_accès!$B$2&amp;Tableau1[[#This Row],[Poste Responsable]]&amp;"\"&amp;Tableau1[[#This Row],[Localisation / Classement]]&amp;"\"&amp;Tableau1[[#This Row],[Poste technique]]&amp;"_"&amp;Tableau1[[#This Row],[Plan Entretien]]&amp;".pdf"</f>
        <v>\\stjn.local\trimet\Donnees_Projets\Dms Sap\Maintenance\PlanEntretien\7.MNRJ\\_.pdf</v>
      </c>
      <c r="X498" s="44"/>
      <c r="Y498" s="44"/>
      <c r="Z498" s="41" t="str">
        <f ca="1">IF(AND(Tableau1[[#This Row],[Charge]]&lt;&gt;0, Tableau1[[#This Row],[Nombre intervenants]]&lt;&gt;0,Tableau1[[#This Row],[Lien document]]&lt;&gt;0,Tableau1[[#This Row],[DMS_SAP]]&lt;&gt;0)=TRUE,"MIS A JOUR","")</f>
        <v/>
      </c>
      <c r="AA498" s="45"/>
      <c r="AB498" s="55" t="str">
        <f ca="1">IF(Tableau1[[#This Row],[Date rév.]]&lt;&gt;"", DAYS360(Tableau1[[#This Row],[Date rév.]],TODAY()),"")</f>
        <v/>
      </c>
      <c r="AC498" s="47">
        <f>IFERROR(INDEX(Chemin_accès!$B$11:$C$22,MATCH(Tableau1[[#This Row],[Type]],Chemin_accès!$C$11:$C$22,0),1),Chemin_accès!$B$11)</f>
        <v>0</v>
      </c>
      <c r="AD498" s="47" t="str">
        <f>Chemin_accès!$B$8&amp;Tableau1[[#This Row],[Localisation / Classement]]&amp;"\"&amp;Tableau1[[#This Row],[Poste technique]]&amp;"_"&amp;Tableau1[[#This Row],[Plan Entretien]]&amp;".xlsm"</f>
        <v>\_.xlsm</v>
      </c>
    </row>
    <row r="499" spans="1:30" x14ac:dyDescent="0.3">
      <c r="A499" s="41" t="str">
        <f t="shared" ca="1" si="7"/>
        <v>7.MNRJ</v>
      </c>
      <c r="B4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9" s="43"/>
      <c r="D499" s="41"/>
      <c r="E499" s="41"/>
      <c r="F499" s="44"/>
      <c r="G499" s="44"/>
      <c r="H499" s="48"/>
      <c r="I499" s="48"/>
      <c r="J499" s="48"/>
      <c r="K499" s="48"/>
      <c r="L499" s="43"/>
      <c r="M499" s="44"/>
      <c r="N499" s="43"/>
      <c r="O499" s="43"/>
      <c r="P499" s="44"/>
      <c r="Q499" s="43"/>
      <c r="R499" s="43"/>
      <c r="S499" s="45"/>
      <c r="T499" s="58" t="str">
        <f>IF(Tableau1[[#This Row],[DMS_SAP]]="","",HYPERLINK(Tableau1[[#This Row],[Chemin fichier source]],"X"))</f>
        <v/>
      </c>
      <c r="U499" s="58" t="str">
        <f>IF(Tableau1[[#This Row],[Date rév.]]="","",HYPERLINK(Tableau1[[#This Row],[Lien document]],"X"))</f>
        <v/>
      </c>
      <c r="V499" s="44"/>
      <c r="W499" s="46" t="str">
        <f ca="1">Chemin_accès!$B$2&amp;Tableau1[[#This Row],[Poste Responsable]]&amp;"\"&amp;Tableau1[[#This Row],[Localisation / Classement]]&amp;"\"&amp;Tableau1[[#This Row],[Poste technique]]&amp;"_"&amp;Tableau1[[#This Row],[Plan Entretien]]&amp;".pdf"</f>
        <v>\\stjn.local\trimet\Donnees_Projets\Dms Sap\Maintenance\PlanEntretien\7.MNRJ\\_.pdf</v>
      </c>
      <c r="X499" s="44"/>
      <c r="Y499" s="44"/>
      <c r="Z499" s="41" t="str">
        <f ca="1">IF(AND(Tableau1[[#This Row],[Charge]]&lt;&gt;0, Tableau1[[#This Row],[Nombre intervenants]]&lt;&gt;0,Tableau1[[#This Row],[Lien document]]&lt;&gt;0,Tableau1[[#This Row],[DMS_SAP]]&lt;&gt;0)=TRUE,"MIS A JOUR","")</f>
        <v/>
      </c>
      <c r="AA499" s="45"/>
      <c r="AB499" s="55" t="str">
        <f ca="1">IF(Tableau1[[#This Row],[Date rév.]]&lt;&gt;"", DAYS360(Tableau1[[#This Row],[Date rév.]],TODAY()),"")</f>
        <v/>
      </c>
      <c r="AC499" s="47">
        <f>IFERROR(INDEX(Chemin_accès!$B$11:$C$22,MATCH(Tableau1[[#This Row],[Type]],Chemin_accès!$C$11:$C$22,0),1),Chemin_accès!$B$11)</f>
        <v>0</v>
      </c>
      <c r="AD499" s="47" t="str">
        <f>Chemin_accès!$B$8&amp;Tableau1[[#This Row],[Localisation / Classement]]&amp;"\"&amp;Tableau1[[#This Row],[Poste technique]]&amp;"_"&amp;Tableau1[[#This Row],[Plan Entretien]]&amp;".xlsm"</f>
        <v>\_.xlsm</v>
      </c>
    </row>
    <row r="500" spans="1:30" x14ac:dyDescent="0.3">
      <c r="A500" s="41" t="str">
        <f t="shared" ca="1" si="7"/>
        <v>7.MNRJ</v>
      </c>
      <c r="B5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0" s="43"/>
      <c r="D500" s="41"/>
      <c r="E500" s="41"/>
      <c r="F500" s="44"/>
      <c r="G500" s="44"/>
      <c r="H500" s="48"/>
      <c r="I500" s="48"/>
      <c r="J500" s="48"/>
      <c r="K500" s="48"/>
      <c r="L500" s="43"/>
      <c r="M500" s="44"/>
      <c r="N500" s="43"/>
      <c r="O500" s="43"/>
      <c r="P500" s="44"/>
      <c r="Q500" s="43"/>
      <c r="R500" s="43"/>
      <c r="S500" s="45"/>
      <c r="T500" s="58" t="str">
        <f>IF(Tableau1[[#This Row],[DMS_SAP]]="","",HYPERLINK(Tableau1[[#This Row],[Chemin fichier source]],"X"))</f>
        <v/>
      </c>
      <c r="U500" s="58" t="str">
        <f>IF(Tableau1[[#This Row],[Date rév.]]="","",HYPERLINK(Tableau1[[#This Row],[Lien document]],"X"))</f>
        <v/>
      </c>
      <c r="V500" s="44"/>
      <c r="W500" s="46" t="str">
        <f ca="1">Chemin_accès!$B$2&amp;Tableau1[[#This Row],[Poste Responsable]]&amp;"\"&amp;Tableau1[[#This Row],[Localisation / Classement]]&amp;"\"&amp;Tableau1[[#This Row],[Poste technique]]&amp;"_"&amp;Tableau1[[#This Row],[Plan Entretien]]&amp;".pdf"</f>
        <v>\\stjn.local\trimet\Donnees_Projets\Dms Sap\Maintenance\PlanEntretien\7.MNRJ\\_.pdf</v>
      </c>
      <c r="X500" s="44"/>
      <c r="Y500" s="44"/>
      <c r="Z500" s="41" t="str">
        <f ca="1">IF(AND(Tableau1[[#This Row],[Charge]]&lt;&gt;0, Tableau1[[#This Row],[Nombre intervenants]]&lt;&gt;0,Tableau1[[#This Row],[Lien document]]&lt;&gt;0,Tableau1[[#This Row],[DMS_SAP]]&lt;&gt;0)=TRUE,"MIS A JOUR","")</f>
        <v/>
      </c>
      <c r="AA500" s="45"/>
      <c r="AB500" s="55" t="str">
        <f ca="1">IF(Tableau1[[#This Row],[Date rév.]]&lt;&gt;"", DAYS360(Tableau1[[#This Row],[Date rév.]],TODAY()),"")</f>
        <v/>
      </c>
      <c r="AC500" s="47">
        <f>IFERROR(INDEX(Chemin_accès!$B$11:$C$22,MATCH(Tableau1[[#This Row],[Type]],Chemin_accès!$C$11:$C$22,0),1),Chemin_accès!$B$11)</f>
        <v>0</v>
      </c>
      <c r="AD500" s="47" t="str">
        <f>Chemin_accès!$B$8&amp;Tableau1[[#This Row],[Localisation / Classement]]&amp;"\"&amp;Tableau1[[#This Row],[Poste technique]]&amp;"_"&amp;Tableau1[[#This Row],[Plan Entretien]]&amp;".xlsm"</f>
        <v>\_.xlsm</v>
      </c>
    </row>
    <row r="501" spans="1:30" x14ac:dyDescent="0.3">
      <c r="A501" s="41" t="str">
        <f t="shared" ca="1" si="7"/>
        <v>7.MNRJ</v>
      </c>
      <c r="B5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1" s="43"/>
      <c r="D501" s="41"/>
      <c r="E501" s="41"/>
      <c r="F501" s="44"/>
      <c r="G501" s="44"/>
      <c r="H501" s="48"/>
      <c r="I501" s="48"/>
      <c r="J501" s="48"/>
      <c r="K501" s="48"/>
      <c r="L501" s="43"/>
      <c r="M501" s="44"/>
      <c r="N501" s="43"/>
      <c r="O501" s="43"/>
      <c r="P501" s="44"/>
      <c r="Q501" s="43"/>
      <c r="R501" s="43"/>
      <c r="S501" s="45"/>
      <c r="T501" s="58" t="str">
        <f>IF(Tableau1[[#This Row],[DMS_SAP]]="","",HYPERLINK(Tableau1[[#This Row],[Chemin fichier source]],"X"))</f>
        <v/>
      </c>
      <c r="U501" s="58" t="str">
        <f>IF(Tableau1[[#This Row],[Date rév.]]="","",HYPERLINK(Tableau1[[#This Row],[Lien document]],"X"))</f>
        <v/>
      </c>
      <c r="V501" s="44"/>
      <c r="W501" s="46" t="str">
        <f ca="1">Chemin_accès!$B$2&amp;Tableau1[[#This Row],[Poste Responsable]]&amp;"\"&amp;Tableau1[[#This Row],[Localisation / Classement]]&amp;"\"&amp;Tableau1[[#This Row],[Poste technique]]&amp;"_"&amp;Tableau1[[#This Row],[Plan Entretien]]&amp;".pdf"</f>
        <v>\\stjn.local\trimet\Donnees_Projets\Dms Sap\Maintenance\PlanEntretien\7.MNRJ\\_.pdf</v>
      </c>
      <c r="X501" s="44"/>
      <c r="Y501" s="44"/>
      <c r="Z501" s="41" t="str">
        <f ca="1">IF(AND(Tableau1[[#This Row],[Charge]]&lt;&gt;0, Tableau1[[#This Row],[Nombre intervenants]]&lt;&gt;0,Tableau1[[#This Row],[Lien document]]&lt;&gt;0,Tableau1[[#This Row],[DMS_SAP]]&lt;&gt;0)=TRUE,"MIS A JOUR","")</f>
        <v/>
      </c>
      <c r="AA501" s="45"/>
      <c r="AB501" s="55" t="str">
        <f ca="1">IF(Tableau1[[#This Row],[Date rév.]]&lt;&gt;"", DAYS360(Tableau1[[#This Row],[Date rév.]],TODAY()),"")</f>
        <v/>
      </c>
      <c r="AC501" s="47">
        <f>IFERROR(INDEX(Chemin_accès!$B$11:$C$22,MATCH(Tableau1[[#This Row],[Type]],Chemin_accès!$C$11:$C$22,0),1),Chemin_accès!$B$11)</f>
        <v>0</v>
      </c>
      <c r="AD501" s="47" t="str">
        <f>Chemin_accès!$B$8&amp;Tableau1[[#This Row],[Localisation / Classement]]&amp;"\"&amp;Tableau1[[#This Row],[Poste technique]]&amp;"_"&amp;Tableau1[[#This Row],[Plan Entretien]]&amp;".xlsm"</f>
        <v>\_.xlsm</v>
      </c>
    </row>
    <row r="502" spans="1:30" x14ac:dyDescent="0.3">
      <c r="A502" s="41" t="str">
        <f t="shared" ca="1" si="7"/>
        <v>7.MNRJ</v>
      </c>
      <c r="B5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2" s="43"/>
      <c r="D502" s="41"/>
      <c r="E502" s="41"/>
      <c r="F502" s="44"/>
      <c r="G502" s="44"/>
      <c r="H502" s="48"/>
      <c r="I502" s="48"/>
      <c r="J502" s="48"/>
      <c r="K502" s="48"/>
      <c r="L502" s="43"/>
      <c r="M502" s="44"/>
      <c r="N502" s="43"/>
      <c r="O502" s="43"/>
      <c r="P502" s="44"/>
      <c r="Q502" s="43"/>
      <c r="R502" s="43"/>
      <c r="S502" s="45"/>
      <c r="T502" s="58" t="str">
        <f>IF(Tableau1[[#This Row],[DMS_SAP]]="","",HYPERLINK(Tableau1[[#This Row],[Chemin fichier source]],"X"))</f>
        <v/>
      </c>
      <c r="U502" s="58" t="str">
        <f>IF(Tableau1[[#This Row],[Date rév.]]="","",HYPERLINK(Tableau1[[#This Row],[Lien document]],"X"))</f>
        <v/>
      </c>
      <c r="V502" s="44"/>
      <c r="W502" s="46" t="str">
        <f ca="1">Chemin_accès!$B$2&amp;Tableau1[[#This Row],[Poste Responsable]]&amp;"\"&amp;Tableau1[[#This Row],[Localisation / Classement]]&amp;"\"&amp;Tableau1[[#This Row],[Poste technique]]&amp;"_"&amp;Tableau1[[#This Row],[Plan Entretien]]&amp;".pdf"</f>
        <v>\\stjn.local\trimet\Donnees_Projets\Dms Sap\Maintenance\PlanEntretien\7.MNRJ\\_.pdf</v>
      </c>
      <c r="X502" s="44"/>
      <c r="Y502" s="44"/>
      <c r="Z502" s="41" t="str">
        <f ca="1">IF(AND(Tableau1[[#This Row],[Charge]]&lt;&gt;0, Tableau1[[#This Row],[Nombre intervenants]]&lt;&gt;0,Tableau1[[#This Row],[Lien document]]&lt;&gt;0,Tableau1[[#This Row],[DMS_SAP]]&lt;&gt;0)=TRUE,"MIS A JOUR","")</f>
        <v/>
      </c>
      <c r="AA502" s="45"/>
      <c r="AB502" s="55" t="str">
        <f ca="1">IF(Tableau1[[#This Row],[Date rév.]]&lt;&gt;"", DAYS360(Tableau1[[#This Row],[Date rév.]],TODAY()),"")</f>
        <v/>
      </c>
      <c r="AC502" s="47">
        <f>IFERROR(INDEX(Chemin_accès!$B$11:$C$22,MATCH(Tableau1[[#This Row],[Type]],Chemin_accès!$C$11:$C$22,0),1),Chemin_accès!$B$11)</f>
        <v>0</v>
      </c>
      <c r="AD502" s="47" t="str">
        <f>Chemin_accès!$B$8&amp;Tableau1[[#This Row],[Localisation / Classement]]&amp;"\"&amp;Tableau1[[#This Row],[Poste technique]]&amp;"_"&amp;Tableau1[[#This Row],[Plan Entretien]]&amp;".xlsm"</f>
        <v>\_.xlsm</v>
      </c>
    </row>
    <row r="503" spans="1:30" x14ac:dyDescent="0.3">
      <c r="A503" s="41" t="str">
        <f t="shared" ca="1" si="7"/>
        <v>7.MNRJ</v>
      </c>
      <c r="B5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3" s="43"/>
      <c r="D503" s="41"/>
      <c r="E503" s="41"/>
      <c r="F503" s="44"/>
      <c r="G503" s="44"/>
      <c r="H503" s="48"/>
      <c r="I503" s="48"/>
      <c r="J503" s="48"/>
      <c r="K503" s="48"/>
      <c r="L503" s="43"/>
      <c r="M503" s="44"/>
      <c r="N503" s="43"/>
      <c r="O503" s="43"/>
      <c r="P503" s="44"/>
      <c r="Q503" s="43"/>
      <c r="R503" s="43"/>
      <c r="S503" s="45"/>
      <c r="T503" s="58" t="str">
        <f>IF(Tableau1[[#This Row],[DMS_SAP]]="","",HYPERLINK(Tableau1[[#This Row],[Chemin fichier source]],"X"))</f>
        <v/>
      </c>
      <c r="U503" s="58" t="str">
        <f>IF(Tableau1[[#This Row],[Date rév.]]="","",HYPERLINK(Tableau1[[#This Row],[Lien document]],"X"))</f>
        <v/>
      </c>
      <c r="V503" s="44"/>
      <c r="W503" s="46" t="str">
        <f ca="1">Chemin_accès!$B$2&amp;Tableau1[[#This Row],[Poste Responsable]]&amp;"\"&amp;Tableau1[[#This Row],[Localisation / Classement]]&amp;"\"&amp;Tableau1[[#This Row],[Poste technique]]&amp;"_"&amp;Tableau1[[#This Row],[Plan Entretien]]&amp;".pdf"</f>
        <v>\\stjn.local\trimet\Donnees_Projets\Dms Sap\Maintenance\PlanEntretien\7.MNRJ\\_.pdf</v>
      </c>
      <c r="X503" s="44"/>
      <c r="Y503" s="44"/>
      <c r="Z503" s="41" t="str">
        <f ca="1">IF(AND(Tableau1[[#This Row],[Charge]]&lt;&gt;0, Tableau1[[#This Row],[Nombre intervenants]]&lt;&gt;0,Tableau1[[#This Row],[Lien document]]&lt;&gt;0,Tableau1[[#This Row],[DMS_SAP]]&lt;&gt;0)=TRUE,"MIS A JOUR","")</f>
        <v/>
      </c>
      <c r="AA503" s="45"/>
      <c r="AB503" s="55" t="str">
        <f ca="1">IF(Tableau1[[#This Row],[Date rév.]]&lt;&gt;"", DAYS360(Tableau1[[#This Row],[Date rév.]],TODAY()),"")</f>
        <v/>
      </c>
      <c r="AC503" s="47">
        <f>IFERROR(INDEX(Chemin_accès!$B$11:$C$22,MATCH(Tableau1[[#This Row],[Type]],Chemin_accès!$C$11:$C$22,0),1),Chemin_accès!$B$11)</f>
        <v>0</v>
      </c>
      <c r="AD503" s="47" t="str">
        <f>Chemin_accès!$B$8&amp;Tableau1[[#This Row],[Localisation / Classement]]&amp;"\"&amp;Tableau1[[#This Row],[Poste technique]]&amp;"_"&amp;Tableau1[[#This Row],[Plan Entretien]]&amp;".xlsm"</f>
        <v>\_.xlsm</v>
      </c>
    </row>
    <row r="504" spans="1:30" x14ac:dyDescent="0.3">
      <c r="A504" s="41" t="str">
        <f t="shared" ca="1" si="7"/>
        <v>7.MNRJ</v>
      </c>
      <c r="B5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4" s="43"/>
      <c r="D504" s="41"/>
      <c r="E504" s="41"/>
      <c r="F504" s="44"/>
      <c r="G504" s="44"/>
      <c r="H504" s="48"/>
      <c r="I504" s="48"/>
      <c r="J504" s="48"/>
      <c r="K504" s="48"/>
      <c r="L504" s="43"/>
      <c r="M504" s="44"/>
      <c r="N504" s="43"/>
      <c r="O504" s="43"/>
      <c r="P504" s="44"/>
      <c r="Q504" s="43"/>
      <c r="R504" s="43"/>
      <c r="S504" s="45"/>
      <c r="T504" s="58" t="str">
        <f>IF(Tableau1[[#This Row],[DMS_SAP]]="","",HYPERLINK(Tableau1[[#This Row],[Chemin fichier source]],"X"))</f>
        <v/>
      </c>
      <c r="U504" s="58" t="str">
        <f>IF(Tableau1[[#This Row],[Date rév.]]="","",HYPERLINK(Tableau1[[#This Row],[Lien document]],"X"))</f>
        <v/>
      </c>
      <c r="V504" s="44"/>
      <c r="W504" s="46" t="str">
        <f ca="1">Chemin_accès!$B$2&amp;Tableau1[[#This Row],[Poste Responsable]]&amp;"\"&amp;Tableau1[[#This Row],[Localisation / Classement]]&amp;"\"&amp;Tableau1[[#This Row],[Poste technique]]&amp;"_"&amp;Tableau1[[#This Row],[Plan Entretien]]&amp;".pdf"</f>
        <v>\\stjn.local\trimet\Donnees_Projets\Dms Sap\Maintenance\PlanEntretien\7.MNRJ\\_.pdf</v>
      </c>
      <c r="X504" s="44"/>
      <c r="Y504" s="44"/>
      <c r="Z504" s="41" t="str">
        <f ca="1">IF(AND(Tableau1[[#This Row],[Charge]]&lt;&gt;0, Tableau1[[#This Row],[Nombre intervenants]]&lt;&gt;0,Tableau1[[#This Row],[Lien document]]&lt;&gt;0,Tableau1[[#This Row],[DMS_SAP]]&lt;&gt;0)=TRUE,"MIS A JOUR","")</f>
        <v/>
      </c>
      <c r="AA504" s="45"/>
      <c r="AB504" s="55" t="str">
        <f ca="1">IF(Tableau1[[#This Row],[Date rév.]]&lt;&gt;"", DAYS360(Tableau1[[#This Row],[Date rév.]],TODAY()),"")</f>
        <v/>
      </c>
      <c r="AC504" s="47">
        <f>IFERROR(INDEX(Chemin_accès!$B$11:$C$22,MATCH(Tableau1[[#This Row],[Type]],Chemin_accès!$C$11:$C$22,0),1),Chemin_accès!$B$11)</f>
        <v>0</v>
      </c>
      <c r="AD504" s="47" t="str">
        <f>Chemin_accès!$B$8&amp;Tableau1[[#This Row],[Localisation / Classement]]&amp;"\"&amp;Tableau1[[#This Row],[Poste technique]]&amp;"_"&amp;Tableau1[[#This Row],[Plan Entretien]]&amp;".xlsm"</f>
        <v>\_.xlsm</v>
      </c>
    </row>
    <row r="505" spans="1:30" x14ac:dyDescent="0.3">
      <c r="A505" s="41" t="str">
        <f t="shared" ca="1" si="7"/>
        <v>7.MNRJ</v>
      </c>
      <c r="B5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5" s="43"/>
      <c r="D505" s="41"/>
      <c r="E505" s="41"/>
      <c r="F505" s="44"/>
      <c r="G505" s="44"/>
      <c r="H505" s="48"/>
      <c r="I505" s="48"/>
      <c r="J505" s="48"/>
      <c r="K505" s="48"/>
      <c r="L505" s="43"/>
      <c r="M505" s="44"/>
      <c r="N505" s="43"/>
      <c r="O505" s="43"/>
      <c r="P505" s="44"/>
      <c r="Q505" s="43"/>
      <c r="R505" s="43"/>
      <c r="S505" s="45"/>
      <c r="T505" s="58" t="str">
        <f>IF(Tableau1[[#This Row],[DMS_SAP]]="","",HYPERLINK(Tableau1[[#This Row],[Chemin fichier source]],"X"))</f>
        <v/>
      </c>
      <c r="U505" s="58" t="str">
        <f>IF(Tableau1[[#This Row],[Date rév.]]="","",HYPERLINK(Tableau1[[#This Row],[Lien document]],"X"))</f>
        <v/>
      </c>
      <c r="V505" s="44"/>
      <c r="W505" s="46" t="str">
        <f ca="1">Chemin_accès!$B$2&amp;Tableau1[[#This Row],[Poste Responsable]]&amp;"\"&amp;Tableau1[[#This Row],[Localisation / Classement]]&amp;"\"&amp;Tableau1[[#This Row],[Poste technique]]&amp;"_"&amp;Tableau1[[#This Row],[Plan Entretien]]&amp;".pdf"</f>
        <v>\\stjn.local\trimet\Donnees_Projets\Dms Sap\Maintenance\PlanEntretien\7.MNRJ\\_.pdf</v>
      </c>
      <c r="X505" s="44"/>
      <c r="Y505" s="44"/>
      <c r="Z505" s="41" t="str">
        <f ca="1">IF(AND(Tableau1[[#This Row],[Charge]]&lt;&gt;0, Tableau1[[#This Row],[Nombre intervenants]]&lt;&gt;0,Tableau1[[#This Row],[Lien document]]&lt;&gt;0,Tableau1[[#This Row],[DMS_SAP]]&lt;&gt;0)=TRUE,"MIS A JOUR","")</f>
        <v/>
      </c>
      <c r="AA505" s="45"/>
      <c r="AB505" s="55" t="str">
        <f ca="1">IF(Tableau1[[#This Row],[Date rév.]]&lt;&gt;"", DAYS360(Tableau1[[#This Row],[Date rév.]],TODAY()),"")</f>
        <v/>
      </c>
      <c r="AC505" s="47">
        <f>IFERROR(INDEX(Chemin_accès!$B$11:$C$22,MATCH(Tableau1[[#This Row],[Type]],Chemin_accès!$C$11:$C$22,0),1),Chemin_accès!$B$11)</f>
        <v>0</v>
      </c>
      <c r="AD505" s="47" t="str">
        <f>Chemin_accès!$B$8&amp;Tableau1[[#This Row],[Localisation / Classement]]&amp;"\"&amp;Tableau1[[#This Row],[Poste technique]]&amp;"_"&amp;Tableau1[[#This Row],[Plan Entretien]]&amp;".xlsm"</f>
        <v>\_.xlsm</v>
      </c>
    </row>
    <row r="506" spans="1:30" x14ac:dyDescent="0.3">
      <c r="A506" s="41" t="str">
        <f t="shared" ca="1" si="7"/>
        <v>7.MNRJ</v>
      </c>
      <c r="B5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6" s="43"/>
      <c r="D506" s="41"/>
      <c r="E506" s="41"/>
      <c r="F506" s="44"/>
      <c r="G506" s="44"/>
      <c r="H506" s="48"/>
      <c r="I506" s="48"/>
      <c r="J506" s="48"/>
      <c r="K506" s="48"/>
      <c r="L506" s="43"/>
      <c r="M506" s="44"/>
      <c r="N506" s="43"/>
      <c r="O506" s="43"/>
      <c r="P506" s="44"/>
      <c r="Q506" s="43"/>
      <c r="R506" s="43"/>
      <c r="S506" s="45"/>
      <c r="T506" s="58" t="str">
        <f>IF(Tableau1[[#This Row],[DMS_SAP]]="","",HYPERLINK(Tableau1[[#This Row],[Chemin fichier source]],"X"))</f>
        <v/>
      </c>
      <c r="U506" s="58" t="str">
        <f>IF(Tableau1[[#This Row],[Date rév.]]="","",HYPERLINK(Tableau1[[#This Row],[Lien document]],"X"))</f>
        <v/>
      </c>
      <c r="V506" s="44"/>
      <c r="W506" s="46" t="str">
        <f ca="1">Chemin_accès!$B$2&amp;Tableau1[[#This Row],[Poste Responsable]]&amp;"\"&amp;Tableau1[[#This Row],[Localisation / Classement]]&amp;"\"&amp;Tableau1[[#This Row],[Poste technique]]&amp;"_"&amp;Tableau1[[#This Row],[Plan Entretien]]&amp;".pdf"</f>
        <v>\\stjn.local\trimet\Donnees_Projets\Dms Sap\Maintenance\PlanEntretien\7.MNRJ\\_.pdf</v>
      </c>
      <c r="X506" s="44"/>
      <c r="Y506" s="44"/>
      <c r="Z506" s="41" t="str">
        <f ca="1">IF(AND(Tableau1[[#This Row],[Charge]]&lt;&gt;0, Tableau1[[#This Row],[Nombre intervenants]]&lt;&gt;0,Tableau1[[#This Row],[Lien document]]&lt;&gt;0,Tableau1[[#This Row],[DMS_SAP]]&lt;&gt;0)=TRUE,"MIS A JOUR","")</f>
        <v/>
      </c>
      <c r="AA506" s="45"/>
      <c r="AB506" s="55" t="str">
        <f ca="1">IF(Tableau1[[#This Row],[Date rév.]]&lt;&gt;"", DAYS360(Tableau1[[#This Row],[Date rév.]],TODAY()),"")</f>
        <v/>
      </c>
      <c r="AC506" s="47">
        <f>IFERROR(INDEX(Chemin_accès!$B$11:$C$22,MATCH(Tableau1[[#This Row],[Type]],Chemin_accès!$C$11:$C$22,0),1),Chemin_accès!$B$11)</f>
        <v>0</v>
      </c>
      <c r="AD506" s="47" t="str">
        <f>Chemin_accès!$B$8&amp;Tableau1[[#This Row],[Localisation / Classement]]&amp;"\"&amp;Tableau1[[#This Row],[Poste technique]]&amp;"_"&amp;Tableau1[[#This Row],[Plan Entretien]]&amp;".xlsm"</f>
        <v>\_.xlsm</v>
      </c>
    </row>
    <row r="507" spans="1:30" x14ac:dyDescent="0.3">
      <c r="A507" s="41" t="str">
        <f t="shared" ca="1" si="7"/>
        <v>7.MNRJ</v>
      </c>
      <c r="B5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7" s="43"/>
      <c r="D507" s="41"/>
      <c r="E507" s="41"/>
      <c r="F507" s="44"/>
      <c r="G507" s="44"/>
      <c r="H507" s="48"/>
      <c r="I507" s="48"/>
      <c r="J507" s="48"/>
      <c r="K507" s="48"/>
      <c r="L507" s="43"/>
      <c r="M507" s="44"/>
      <c r="N507" s="43"/>
      <c r="O507" s="43"/>
      <c r="P507" s="44"/>
      <c r="Q507" s="43"/>
      <c r="R507" s="43"/>
      <c r="S507" s="45"/>
      <c r="T507" s="58" t="str">
        <f>IF(Tableau1[[#This Row],[DMS_SAP]]="","",HYPERLINK(Tableau1[[#This Row],[Chemin fichier source]],"X"))</f>
        <v/>
      </c>
      <c r="U507" s="58" t="str">
        <f>IF(Tableau1[[#This Row],[Date rév.]]="","",HYPERLINK(Tableau1[[#This Row],[Lien document]],"X"))</f>
        <v/>
      </c>
      <c r="V507" s="44"/>
      <c r="W507" s="46" t="str">
        <f ca="1">Chemin_accès!$B$2&amp;Tableau1[[#This Row],[Poste Responsable]]&amp;"\"&amp;Tableau1[[#This Row],[Localisation / Classement]]&amp;"\"&amp;Tableau1[[#This Row],[Poste technique]]&amp;"_"&amp;Tableau1[[#This Row],[Plan Entretien]]&amp;".pdf"</f>
        <v>\\stjn.local\trimet\Donnees_Projets\Dms Sap\Maintenance\PlanEntretien\7.MNRJ\\_.pdf</v>
      </c>
      <c r="X507" s="44"/>
      <c r="Y507" s="44"/>
      <c r="Z507" s="41" t="str">
        <f ca="1">IF(AND(Tableau1[[#This Row],[Charge]]&lt;&gt;0, Tableau1[[#This Row],[Nombre intervenants]]&lt;&gt;0,Tableau1[[#This Row],[Lien document]]&lt;&gt;0,Tableau1[[#This Row],[DMS_SAP]]&lt;&gt;0)=TRUE,"MIS A JOUR","")</f>
        <v/>
      </c>
      <c r="AA507" s="45"/>
      <c r="AB507" s="55" t="str">
        <f ca="1">IF(Tableau1[[#This Row],[Date rév.]]&lt;&gt;"", DAYS360(Tableau1[[#This Row],[Date rév.]],TODAY()),"")</f>
        <v/>
      </c>
      <c r="AC507" s="47">
        <f>IFERROR(INDEX(Chemin_accès!$B$11:$C$22,MATCH(Tableau1[[#This Row],[Type]],Chemin_accès!$C$11:$C$22,0),1),Chemin_accès!$B$11)</f>
        <v>0</v>
      </c>
      <c r="AD507" s="47" t="str">
        <f>Chemin_accès!$B$8&amp;Tableau1[[#This Row],[Localisation / Classement]]&amp;"\"&amp;Tableau1[[#This Row],[Poste technique]]&amp;"_"&amp;Tableau1[[#This Row],[Plan Entretien]]&amp;".xlsm"</f>
        <v>\_.xlsm</v>
      </c>
    </row>
    <row r="508" spans="1:30" x14ac:dyDescent="0.3">
      <c r="A508" s="41" t="str">
        <f t="shared" ca="1" si="7"/>
        <v>7.MNRJ</v>
      </c>
      <c r="B5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8" s="43"/>
      <c r="D508" s="41"/>
      <c r="E508" s="41"/>
      <c r="F508" s="44"/>
      <c r="G508" s="44"/>
      <c r="H508" s="48"/>
      <c r="I508" s="48"/>
      <c r="J508" s="48"/>
      <c r="K508" s="48"/>
      <c r="L508" s="43"/>
      <c r="M508" s="44"/>
      <c r="N508" s="43"/>
      <c r="O508" s="43"/>
      <c r="P508" s="44"/>
      <c r="Q508" s="43"/>
      <c r="R508" s="43"/>
      <c r="S508" s="45"/>
      <c r="T508" s="58" t="str">
        <f>IF(Tableau1[[#This Row],[DMS_SAP]]="","",HYPERLINK(Tableau1[[#This Row],[Chemin fichier source]],"X"))</f>
        <v/>
      </c>
      <c r="U508" s="58" t="str">
        <f>IF(Tableau1[[#This Row],[Date rév.]]="","",HYPERLINK(Tableau1[[#This Row],[Lien document]],"X"))</f>
        <v/>
      </c>
      <c r="V508" s="44"/>
      <c r="W508" s="46" t="str">
        <f ca="1">Chemin_accès!$B$2&amp;Tableau1[[#This Row],[Poste Responsable]]&amp;"\"&amp;Tableau1[[#This Row],[Localisation / Classement]]&amp;"\"&amp;Tableau1[[#This Row],[Poste technique]]&amp;"_"&amp;Tableau1[[#This Row],[Plan Entretien]]&amp;".pdf"</f>
        <v>\\stjn.local\trimet\Donnees_Projets\Dms Sap\Maintenance\PlanEntretien\7.MNRJ\\_.pdf</v>
      </c>
      <c r="X508" s="44"/>
      <c r="Y508" s="44"/>
      <c r="Z508" s="41" t="str">
        <f ca="1">IF(AND(Tableau1[[#This Row],[Charge]]&lt;&gt;0, Tableau1[[#This Row],[Nombre intervenants]]&lt;&gt;0,Tableau1[[#This Row],[Lien document]]&lt;&gt;0,Tableau1[[#This Row],[DMS_SAP]]&lt;&gt;0)=TRUE,"MIS A JOUR","")</f>
        <v/>
      </c>
      <c r="AA508" s="45"/>
      <c r="AB508" s="55" t="str">
        <f ca="1">IF(Tableau1[[#This Row],[Date rév.]]&lt;&gt;"", DAYS360(Tableau1[[#This Row],[Date rév.]],TODAY()),"")</f>
        <v/>
      </c>
      <c r="AC508" s="47">
        <f>IFERROR(INDEX(Chemin_accès!$B$11:$C$22,MATCH(Tableau1[[#This Row],[Type]],Chemin_accès!$C$11:$C$22,0),1),Chemin_accès!$B$11)</f>
        <v>0</v>
      </c>
      <c r="AD508" s="47" t="str">
        <f>Chemin_accès!$B$8&amp;Tableau1[[#This Row],[Localisation / Classement]]&amp;"\"&amp;Tableau1[[#This Row],[Poste technique]]&amp;"_"&amp;Tableau1[[#This Row],[Plan Entretien]]&amp;".xlsm"</f>
        <v>\_.xlsm</v>
      </c>
    </row>
    <row r="509" spans="1:30" x14ac:dyDescent="0.3">
      <c r="A509" s="41" t="str">
        <f t="shared" ca="1" si="7"/>
        <v>7.MNRJ</v>
      </c>
      <c r="B5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9" s="43"/>
      <c r="D509" s="41"/>
      <c r="E509" s="41"/>
      <c r="F509" s="44"/>
      <c r="G509" s="44"/>
      <c r="H509" s="48"/>
      <c r="I509" s="48"/>
      <c r="J509" s="48"/>
      <c r="K509" s="48"/>
      <c r="L509" s="43"/>
      <c r="M509" s="44"/>
      <c r="N509" s="43"/>
      <c r="O509" s="43"/>
      <c r="P509" s="44"/>
      <c r="Q509" s="43"/>
      <c r="R509" s="43"/>
      <c r="S509" s="45"/>
      <c r="T509" s="58" t="str">
        <f>IF(Tableau1[[#This Row],[DMS_SAP]]="","",HYPERLINK(Tableau1[[#This Row],[Chemin fichier source]],"X"))</f>
        <v/>
      </c>
      <c r="U509" s="58" t="str">
        <f>IF(Tableau1[[#This Row],[Date rév.]]="","",HYPERLINK(Tableau1[[#This Row],[Lien document]],"X"))</f>
        <v/>
      </c>
      <c r="V509" s="44"/>
      <c r="W509" s="46" t="str">
        <f ca="1">Chemin_accès!$B$2&amp;Tableau1[[#This Row],[Poste Responsable]]&amp;"\"&amp;Tableau1[[#This Row],[Localisation / Classement]]&amp;"\"&amp;Tableau1[[#This Row],[Poste technique]]&amp;"_"&amp;Tableau1[[#This Row],[Plan Entretien]]&amp;".pdf"</f>
        <v>\\stjn.local\trimet\Donnees_Projets\Dms Sap\Maintenance\PlanEntretien\7.MNRJ\\_.pdf</v>
      </c>
      <c r="X509" s="44"/>
      <c r="Y509" s="44"/>
      <c r="Z509" s="41" t="str">
        <f ca="1">IF(AND(Tableau1[[#This Row],[Charge]]&lt;&gt;0, Tableau1[[#This Row],[Nombre intervenants]]&lt;&gt;0,Tableau1[[#This Row],[Lien document]]&lt;&gt;0,Tableau1[[#This Row],[DMS_SAP]]&lt;&gt;0)=TRUE,"MIS A JOUR","")</f>
        <v/>
      </c>
      <c r="AA509" s="45"/>
      <c r="AB509" s="55" t="str">
        <f ca="1">IF(Tableau1[[#This Row],[Date rév.]]&lt;&gt;"", DAYS360(Tableau1[[#This Row],[Date rév.]],TODAY()),"")</f>
        <v/>
      </c>
      <c r="AC509" s="47">
        <f>IFERROR(INDEX(Chemin_accès!$B$11:$C$22,MATCH(Tableau1[[#This Row],[Type]],Chemin_accès!$C$11:$C$22,0),1),Chemin_accès!$B$11)</f>
        <v>0</v>
      </c>
      <c r="AD509" s="47" t="str">
        <f>Chemin_accès!$B$8&amp;Tableau1[[#This Row],[Localisation / Classement]]&amp;"\"&amp;Tableau1[[#This Row],[Poste technique]]&amp;"_"&amp;Tableau1[[#This Row],[Plan Entretien]]&amp;".xlsm"</f>
        <v>\_.xlsm</v>
      </c>
    </row>
    <row r="510" spans="1:30" x14ac:dyDescent="0.3">
      <c r="A510" s="41" t="str">
        <f t="shared" ca="1" si="7"/>
        <v>7.MNRJ</v>
      </c>
      <c r="B5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0" s="43"/>
      <c r="D510" s="41"/>
      <c r="E510" s="41"/>
      <c r="F510" s="44"/>
      <c r="G510" s="44"/>
      <c r="H510" s="48"/>
      <c r="I510" s="48"/>
      <c r="J510" s="48"/>
      <c r="K510" s="48"/>
      <c r="L510" s="43"/>
      <c r="M510" s="44"/>
      <c r="N510" s="43"/>
      <c r="O510" s="43"/>
      <c r="P510" s="44"/>
      <c r="Q510" s="43"/>
      <c r="R510" s="43"/>
      <c r="S510" s="45"/>
      <c r="T510" s="58" t="str">
        <f>IF(Tableau1[[#This Row],[DMS_SAP]]="","",HYPERLINK(Tableau1[[#This Row],[Chemin fichier source]],"X"))</f>
        <v/>
      </c>
      <c r="U510" s="58" t="str">
        <f>IF(Tableau1[[#This Row],[Date rév.]]="","",HYPERLINK(Tableau1[[#This Row],[Lien document]],"X"))</f>
        <v/>
      </c>
      <c r="V510" s="44"/>
      <c r="W510" s="46" t="str">
        <f ca="1">Chemin_accès!$B$2&amp;Tableau1[[#This Row],[Poste Responsable]]&amp;"\"&amp;Tableau1[[#This Row],[Localisation / Classement]]&amp;"\"&amp;Tableau1[[#This Row],[Poste technique]]&amp;"_"&amp;Tableau1[[#This Row],[Plan Entretien]]&amp;".pdf"</f>
        <v>\\stjn.local\trimet\Donnees_Projets\Dms Sap\Maintenance\PlanEntretien\7.MNRJ\\_.pdf</v>
      </c>
      <c r="X510" s="44"/>
      <c r="Y510" s="44"/>
      <c r="Z510" s="41" t="str">
        <f ca="1">IF(AND(Tableau1[[#This Row],[Charge]]&lt;&gt;0, Tableau1[[#This Row],[Nombre intervenants]]&lt;&gt;0,Tableau1[[#This Row],[Lien document]]&lt;&gt;0,Tableau1[[#This Row],[DMS_SAP]]&lt;&gt;0)=TRUE,"MIS A JOUR","")</f>
        <v/>
      </c>
      <c r="AA510" s="45"/>
      <c r="AB510" s="55" t="str">
        <f ca="1">IF(Tableau1[[#This Row],[Date rév.]]&lt;&gt;"", DAYS360(Tableau1[[#This Row],[Date rév.]],TODAY()),"")</f>
        <v/>
      </c>
      <c r="AC510" s="47">
        <f>IFERROR(INDEX(Chemin_accès!$B$11:$C$22,MATCH(Tableau1[[#This Row],[Type]],Chemin_accès!$C$11:$C$22,0),1),Chemin_accès!$B$11)</f>
        <v>0</v>
      </c>
      <c r="AD510" s="47" t="str">
        <f>Chemin_accès!$B$8&amp;Tableau1[[#This Row],[Localisation / Classement]]&amp;"\"&amp;Tableau1[[#This Row],[Poste technique]]&amp;"_"&amp;Tableau1[[#This Row],[Plan Entretien]]&amp;".xlsm"</f>
        <v>\_.xlsm</v>
      </c>
    </row>
    <row r="511" spans="1:30" x14ac:dyDescent="0.3">
      <c r="A511" s="41" t="str">
        <f t="shared" ca="1" si="7"/>
        <v>7.MNRJ</v>
      </c>
      <c r="B5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1" s="43"/>
      <c r="D511" s="41"/>
      <c r="E511" s="41"/>
      <c r="F511" s="44"/>
      <c r="G511" s="44"/>
      <c r="H511" s="48"/>
      <c r="I511" s="48"/>
      <c r="J511" s="48"/>
      <c r="K511" s="48"/>
      <c r="L511" s="43"/>
      <c r="M511" s="44"/>
      <c r="N511" s="43"/>
      <c r="O511" s="43"/>
      <c r="P511" s="44"/>
      <c r="Q511" s="43"/>
      <c r="R511" s="43"/>
      <c r="S511" s="45"/>
      <c r="T511" s="58" t="str">
        <f>IF(Tableau1[[#This Row],[DMS_SAP]]="","",HYPERLINK(Tableau1[[#This Row],[Chemin fichier source]],"X"))</f>
        <v/>
      </c>
      <c r="U511" s="58" t="str">
        <f>IF(Tableau1[[#This Row],[Date rév.]]="","",HYPERLINK(Tableau1[[#This Row],[Lien document]],"X"))</f>
        <v/>
      </c>
      <c r="V511" s="44"/>
      <c r="W511" s="46" t="str">
        <f ca="1">Chemin_accès!$B$2&amp;Tableau1[[#This Row],[Poste Responsable]]&amp;"\"&amp;Tableau1[[#This Row],[Localisation / Classement]]&amp;"\"&amp;Tableau1[[#This Row],[Poste technique]]&amp;"_"&amp;Tableau1[[#This Row],[Plan Entretien]]&amp;".pdf"</f>
        <v>\\stjn.local\trimet\Donnees_Projets\Dms Sap\Maintenance\PlanEntretien\7.MNRJ\\_.pdf</v>
      </c>
      <c r="X511" s="44"/>
      <c r="Y511" s="44"/>
      <c r="Z511" s="41" t="str">
        <f ca="1">IF(AND(Tableau1[[#This Row],[Charge]]&lt;&gt;0, Tableau1[[#This Row],[Nombre intervenants]]&lt;&gt;0,Tableau1[[#This Row],[Lien document]]&lt;&gt;0,Tableau1[[#This Row],[DMS_SAP]]&lt;&gt;0)=TRUE,"MIS A JOUR","")</f>
        <v/>
      </c>
      <c r="AA511" s="45"/>
      <c r="AB511" s="55" t="str">
        <f ca="1">IF(Tableau1[[#This Row],[Date rév.]]&lt;&gt;"", DAYS360(Tableau1[[#This Row],[Date rév.]],TODAY()),"")</f>
        <v/>
      </c>
      <c r="AC511" s="47">
        <f>IFERROR(INDEX(Chemin_accès!$B$11:$C$22,MATCH(Tableau1[[#This Row],[Type]],Chemin_accès!$C$11:$C$22,0),1),Chemin_accès!$B$11)</f>
        <v>0</v>
      </c>
      <c r="AD511" s="47" t="str">
        <f>Chemin_accès!$B$8&amp;Tableau1[[#This Row],[Localisation / Classement]]&amp;"\"&amp;Tableau1[[#This Row],[Poste technique]]&amp;"_"&amp;Tableau1[[#This Row],[Plan Entretien]]&amp;".xlsm"</f>
        <v>\_.xlsm</v>
      </c>
    </row>
    <row r="512" spans="1:30" x14ac:dyDescent="0.3">
      <c r="A512" s="41" t="str">
        <f t="shared" ca="1" si="7"/>
        <v>7.MNRJ</v>
      </c>
      <c r="B5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2" s="43"/>
      <c r="D512" s="41"/>
      <c r="E512" s="41"/>
      <c r="F512" s="44"/>
      <c r="G512" s="44"/>
      <c r="H512" s="48"/>
      <c r="I512" s="48"/>
      <c r="J512" s="48"/>
      <c r="K512" s="48"/>
      <c r="L512" s="43"/>
      <c r="M512" s="44"/>
      <c r="N512" s="43"/>
      <c r="O512" s="43"/>
      <c r="P512" s="44"/>
      <c r="Q512" s="43"/>
      <c r="R512" s="43"/>
      <c r="S512" s="45"/>
      <c r="T512" s="58" t="str">
        <f>IF(Tableau1[[#This Row],[DMS_SAP]]="","",HYPERLINK(Tableau1[[#This Row],[Chemin fichier source]],"X"))</f>
        <v/>
      </c>
      <c r="U512" s="58" t="str">
        <f>IF(Tableau1[[#This Row],[Date rév.]]="","",HYPERLINK(Tableau1[[#This Row],[Lien document]],"X"))</f>
        <v/>
      </c>
      <c r="V512" s="44"/>
      <c r="W512" s="46" t="str">
        <f ca="1">Chemin_accès!$B$2&amp;Tableau1[[#This Row],[Poste Responsable]]&amp;"\"&amp;Tableau1[[#This Row],[Localisation / Classement]]&amp;"\"&amp;Tableau1[[#This Row],[Poste technique]]&amp;"_"&amp;Tableau1[[#This Row],[Plan Entretien]]&amp;".pdf"</f>
        <v>\\stjn.local\trimet\Donnees_Projets\Dms Sap\Maintenance\PlanEntretien\7.MNRJ\\_.pdf</v>
      </c>
      <c r="X512" s="44"/>
      <c r="Y512" s="44"/>
      <c r="Z512" s="41" t="str">
        <f ca="1">IF(AND(Tableau1[[#This Row],[Charge]]&lt;&gt;0, Tableau1[[#This Row],[Nombre intervenants]]&lt;&gt;0,Tableau1[[#This Row],[Lien document]]&lt;&gt;0,Tableau1[[#This Row],[DMS_SAP]]&lt;&gt;0)=TRUE,"MIS A JOUR","")</f>
        <v/>
      </c>
      <c r="AA512" s="45"/>
      <c r="AB512" s="55" t="str">
        <f ca="1">IF(Tableau1[[#This Row],[Date rév.]]&lt;&gt;"", DAYS360(Tableau1[[#This Row],[Date rév.]],TODAY()),"")</f>
        <v/>
      </c>
      <c r="AC512" s="47">
        <f>IFERROR(INDEX(Chemin_accès!$B$11:$C$22,MATCH(Tableau1[[#This Row],[Type]],Chemin_accès!$C$11:$C$22,0),1),Chemin_accès!$B$11)</f>
        <v>0</v>
      </c>
      <c r="AD512" s="47" t="str">
        <f>Chemin_accès!$B$8&amp;Tableau1[[#This Row],[Localisation / Classement]]&amp;"\"&amp;Tableau1[[#This Row],[Poste technique]]&amp;"_"&amp;Tableau1[[#This Row],[Plan Entretien]]&amp;".xlsm"</f>
        <v>\_.xlsm</v>
      </c>
    </row>
    <row r="513" spans="1:30" x14ac:dyDescent="0.3">
      <c r="A513" s="41" t="str">
        <f t="shared" ca="1" si="7"/>
        <v>7.MNRJ</v>
      </c>
      <c r="B5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3" s="43"/>
      <c r="D513" s="41"/>
      <c r="E513" s="41"/>
      <c r="F513" s="44"/>
      <c r="G513" s="44"/>
      <c r="H513" s="48"/>
      <c r="I513" s="48"/>
      <c r="J513" s="48"/>
      <c r="K513" s="48"/>
      <c r="L513" s="43"/>
      <c r="M513" s="44"/>
      <c r="N513" s="43"/>
      <c r="O513" s="43"/>
      <c r="P513" s="44"/>
      <c r="Q513" s="43"/>
      <c r="R513" s="43"/>
      <c r="S513" s="45"/>
      <c r="T513" s="58" t="str">
        <f>IF(Tableau1[[#This Row],[DMS_SAP]]="","",HYPERLINK(Tableau1[[#This Row],[Chemin fichier source]],"X"))</f>
        <v/>
      </c>
      <c r="U513" s="58" t="str">
        <f>IF(Tableau1[[#This Row],[Date rév.]]="","",HYPERLINK(Tableau1[[#This Row],[Lien document]],"X"))</f>
        <v/>
      </c>
      <c r="V513" s="44"/>
      <c r="W513" s="46" t="str">
        <f ca="1">Chemin_accès!$B$2&amp;Tableau1[[#This Row],[Poste Responsable]]&amp;"\"&amp;Tableau1[[#This Row],[Localisation / Classement]]&amp;"\"&amp;Tableau1[[#This Row],[Poste technique]]&amp;"_"&amp;Tableau1[[#This Row],[Plan Entretien]]&amp;".pdf"</f>
        <v>\\stjn.local\trimet\Donnees_Projets\Dms Sap\Maintenance\PlanEntretien\7.MNRJ\\_.pdf</v>
      </c>
      <c r="X513" s="44"/>
      <c r="Y513" s="44"/>
      <c r="Z513" s="41" t="str">
        <f ca="1">IF(AND(Tableau1[[#This Row],[Charge]]&lt;&gt;0, Tableau1[[#This Row],[Nombre intervenants]]&lt;&gt;0,Tableau1[[#This Row],[Lien document]]&lt;&gt;0,Tableau1[[#This Row],[DMS_SAP]]&lt;&gt;0)=TRUE,"MIS A JOUR","")</f>
        <v/>
      </c>
      <c r="AA513" s="45"/>
      <c r="AB513" s="55" t="str">
        <f ca="1">IF(Tableau1[[#This Row],[Date rév.]]&lt;&gt;"", DAYS360(Tableau1[[#This Row],[Date rév.]],TODAY()),"")</f>
        <v/>
      </c>
      <c r="AC513" s="47">
        <f>IFERROR(INDEX(Chemin_accès!$B$11:$C$22,MATCH(Tableau1[[#This Row],[Type]],Chemin_accès!$C$11:$C$22,0),1),Chemin_accès!$B$11)</f>
        <v>0</v>
      </c>
      <c r="AD513" s="47" t="str">
        <f>Chemin_accès!$B$8&amp;Tableau1[[#This Row],[Localisation / Classement]]&amp;"\"&amp;Tableau1[[#This Row],[Poste technique]]&amp;"_"&amp;Tableau1[[#This Row],[Plan Entretien]]&amp;".xlsm"</f>
        <v>\_.xlsm</v>
      </c>
    </row>
    <row r="514" spans="1:30" x14ac:dyDescent="0.3">
      <c r="A514" s="41" t="str">
        <f t="shared" ca="1" si="7"/>
        <v>7.MNRJ</v>
      </c>
      <c r="B5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4" s="43"/>
      <c r="D514" s="41"/>
      <c r="E514" s="41"/>
      <c r="F514" s="44"/>
      <c r="G514" s="44"/>
      <c r="H514" s="48"/>
      <c r="I514" s="48"/>
      <c r="J514" s="48"/>
      <c r="K514" s="48"/>
      <c r="L514" s="43"/>
      <c r="M514" s="44"/>
      <c r="N514" s="43"/>
      <c r="O514" s="43"/>
      <c r="P514" s="44"/>
      <c r="Q514" s="43"/>
      <c r="R514" s="43"/>
      <c r="S514" s="45"/>
      <c r="T514" s="58" t="str">
        <f>IF(Tableau1[[#This Row],[DMS_SAP]]="","",HYPERLINK(Tableau1[[#This Row],[Chemin fichier source]],"X"))</f>
        <v/>
      </c>
      <c r="U514" s="58" t="str">
        <f>IF(Tableau1[[#This Row],[Date rév.]]="","",HYPERLINK(Tableau1[[#This Row],[Lien document]],"X"))</f>
        <v/>
      </c>
      <c r="V514" s="44"/>
      <c r="W514" s="46" t="str">
        <f ca="1">Chemin_accès!$B$2&amp;Tableau1[[#This Row],[Poste Responsable]]&amp;"\"&amp;Tableau1[[#This Row],[Localisation / Classement]]&amp;"\"&amp;Tableau1[[#This Row],[Poste technique]]&amp;"_"&amp;Tableau1[[#This Row],[Plan Entretien]]&amp;".pdf"</f>
        <v>\\stjn.local\trimet\Donnees_Projets\Dms Sap\Maintenance\PlanEntretien\7.MNRJ\\_.pdf</v>
      </c>
      <c r="X514" s="44"/>
      <c r="Y514" s="44"/>
      <c r="Z514" s="41" t="str">
        <f ca="1">IF(AND(Tableau1[[#This Row],[Charge]]&lt;&gt;0, Tableau1[[#This Row],[Nombre intervenants]]&lt;&gt;0,Tableau1[[#This Row],[Lien document]]&lt;&gt;0,Tableau1[[#This Row],[DMS_SAP]]&lt;&gt;0)=TRUE,"MIS A JOUR","")</f>
        <v/>
      </c>
      <c r="AA514" s="45"/>
      <c r="AB514" s="55" t="str">
        <f ca="1">IF(Tableau1[[#This Row],[Date rév.]]&lt;&gt;"", DAYS360(Tableau1[[#This Row],[Date rév.]],TODAY()),"")</f>
        <v/>
      </c>
      <c r="AC514" s="47">
        <f>IFERROR(INDEX(Chemin_accès!$B$11:$C$22,MATCH(Tableau1[[#This Row],[Type]],Chemin_accès!$C$11:$C$22,0),1),Chemin_accès!$B$11)</f>
        <v>0</v>
      </c>
      <c r="AD514" s="47" t="str">
        <f>Chemin_accès!$B$8&amp;Tableau1[[#This Row],[Localisation / Classement]]&amp;"\"&amp;Tableau1[[#This Row],[Poste technique]]&amp;"_"&amp;Tableau1[[#This Row],[Plan Entretien]]&amp;".xlsm"</f>
        <v>\_.xlsm</v>
      </c>
    </row>
    <row r="515" spans="1:30" x14ac:dyDescent="0.3">
      <c r="A515" s="41" t="str">
        <f t="shared" ref="A515:A578" ca="1" si="8">MID(CELL("filename",$A$1),FIND("]",CELL("filename",$A$1))+1,32)</f>
        <v>7.MNRJ</v>
      </c>
      <c r="B5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5" s="43"/>
      <c r="D515" s="41"/>
      <c r="E515" s="41"/>
      <c r="F515" s="44"/>
      <c r="G515" s="44"/>
      <c r="H515" s="48"/>
      <c r="I515" s="48"/>
      <c r="J515" s="48"/>
      <c r="K515" s="48"/>
      <c r="L515" s="43"/>
      <c r="M515" s="44"/>
      <c r="N515" s="43"/>
      <c r="O515" s="43"/>
      <c r="P515" s="44"/>
      <c r="Q515" s="43"/>
      <c r="R515" s="43"/>
      <c r="S515" s="45"/>
      <c r="T515" s="58" t="str">
        <f>IF(Tableau1[[#This Row],[DMS_SAP]]="","",HYPERLINK(Tableau1[[#This Row],[Chemin fichier source]],"X"))</f>
        <v/>
      </c>
      <c r="U515" s="58" t="str">
        <f>IF(Tableau1[[#This Row],[Date rév.]]="","",HYPERLINK(Tableau1[[#This Row],[Lien document]],"X"))</f>
        <v/>
      </c>
      <c r="V515" s="44"/>
      <c r="W515" s="46" t="str">
        <f ca="1">Chemin_accès!$B$2&amp;Tableau1[[#This Row],[Poste Responsable]]&amp;"\"&amp;Tableau1[[#This Row],[Localisation / Classement]]&amp;"\"&amp;Tableau1[[#This Row],[Poste technique]]&amp;"_"&amp;Tableau1[[#This Row],[Plan Entretien]]&amp;".pdf"</f>
        <v>\\stjn.local\trimet\Donnees_Projets\Dms Sap\Maintenance\PlanEntretien\7.MNRJ\\_.pdf</v>
      </c>
      <c r="X515" s="44"/>
      <c r="Y515" s="44"/>
      <c r="Z515" s="41" t="str">
        <f ca="1">IF(AND(Tableau1[[#This Row],[Charge]]&lt;&gt;0, Tableau1[[#This Row],[Nombre intervenants]]&lt;&gt;0,Tableau1[[#This Row],[Lien document]]&lt;&gt;0,Tableau1[[#This Row],[DMS_SAP]]&lt;&gt;0)=TRUE,"MIS A JOUR","")</f>
        <v/>
      </c>
      <c r="AA515" s="45"/>
      <c r="AB515" s="55" t="str">
        <f ca="1">IF(Tableau1[[#This Row],[Date rév.]]&lt;&gt;"", DAYS360(Tableau1[[#This Row],[Date rév.]],TODAY()),"")</f>
        <v/>
      </c>
      <c r="AC515" s="47">
        <f>IFERROR(INDEX(Chemin_accès!$B$11:$C$22,MATCH(Tableau1[[#This Row],[Type]],Chemin_accès!$C$11:$C$22,0),1),Chemin_accès!$B$11)</f>
        <v>0</v>
      </c>
      <c r="AD515" s="47" t="str">
        <f>Chemin_accès!$B$8&amp;Tableau1[[#This Row],[Localisation / Classement]]&amp;"\"&amp;Tableau1[[#This Row],[Poste technique]]&amp;"_"&amp;Tableau1[[#This Row],[Plan Entretien]]&amp;".xlsm"</f>
        <v>\_.xlsm</v>
      </c>
    </row>
    <row r="516" spans="1:30" x14ac:dyDescent="0.3">
      <c r="A516" s="41" t="str">
        <f t="shared" ca="1" si="8"/>
        <v>7.MNRJ</v>
      </c>
      <c r="B5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6" s="43"/>
      <c r="D516" s="41"/>
      <c r="E516" s="41"/>
      <c r="F516" s="44"/>
      <c r="G516" s="44"/>
      <c r="H516" s="48"/>
      <c r="I516" s="48"/>
      <c r="J516" s="48"/>
      <c r="K516" s="48"/>
      <c r="L516" s="43"/>
      <c r="M516" s="44"/>
      <c r="N516" s="43"/>
      <c r="O516" s="43"/>
      <c r="P516" s="44"/>
      <c r="Q516" s="43"/>
      <c r="R516" s="43"/>
      <c r="S516" s="45"/>
      <c r="T516" s="58" t="str">
        <f>IF(Tableau1[[#This Row],[DMS_SAP]]="","",HYPERLINK(Tableau1[[#This Row],[Chemin fichier source]],"X"))</f>
        <v/>
      </c>
      <c r="U516" s="58" t="str">
        <f>IF(Tableau1[[#This Row],[Date rév.]]="","",HYPERLINK(Tableau1[[#This Row],[Lien document]],"X"))</f>
        <v/>
      </c>
      <c r="V516" s="44"/>
      <c r="W516" s="46" t="str">
        <f ca="1">Chemin_accès!$B$2&amp;Tableau1[[#This Row],[Poste Responsable]]&amp;"\"&amp;Tableau1[[#This Row],[Localisation / Classement]]&amp;"\"&amp;Tableau1[[#This Row],[Poste technique]]&amp;"_"&amp;Tableau1[[#This Row],[Plan Entretien]]&amp;".pdf"</f>
        <v>\\stjn.local\trimet\Donnees_Projets\Dms Sap\Maintenance\PlanEntretien\7.MNRJ\\_.pdf</v>
      </c>
      <c r="X516" s="44"/>
      <c r="Y516" s="44"/>
      <c r="Z516" s="41" t="str">
        <f ca="1">IF(AND(Tableau1[[#This Row],[Charge]]&lt;&gt;0, Tableau1[[#This Row],[Nombre intervenants]]&lt;&gt;0,Tableau1[[#This Row],[Lien document]]&lt;&gt;0,Tableau1[[#This Row],[DMS_SAP]]&lt;&gt;0)=TRUE,"MIS A JOUR","")</f>
        <v/>
      </c>
      <c r="AA516" s="45"/>
      <c r="AB516" s="55" t="str">
        <f ca="1">IF(Tableau1[[#This Row],[Date rév.]]&lt;&gt;"", DAYS360(Tableau1[[#This Row],[Date rév.]],TODAY()),"")</f>
        <v/>
      </c>
      <c r="AC516" s="47">
        <f>IFERROR(INDEX(Chemin_accès!$B$11:$C$22,MATCH(Tableau1[[#This Row],[Type]],Chemin_accès!$C$11:$C$22,0),1),Chemin_accès!$B$11)</f>
        <v>0</v>
      </c>
      <c r="AD516" s="47" t="str">
        <f>Chemin_accès!$B$8&amp;Tableau1[[#This Row],[Localisation / Classement]]&amp;"\"&amp;Tableau1[[#This Row],[Poste technique]]&amp;"_"&amp;Tableau1[[#This Row],[Plan Entretien]]&amp;".xlsm"</f>
        <v>\_.xlsm</v>
      </c>
    </row>
    <row r="517" spans="1:30" x14ac:dyDescent="0.3">
      <c r="A517" s="41" t="str">
        <f t="shared" ca="1" si="8"/>
        <v>7.MNRJ</v>
      </c>
      <c r="B5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7" s="43"/>
      <c r="D517" s="41"/>
      <c r="E517" s="41"/>
      <c r="F517" s="44"/>
      <c r="G517" s="44"/>
      <c r="H517" s="48"/>
      <c r="I517" s="48"/>
      <c r="J517" s="48"/>
      <c r="K517" s="48"/>
      <c r="L517" s="43"/>
      <c r="M517" s="44"/>
      <c r="N517" s="43"/>
      <c r="O517" s="43"/>
      <c r="P517" s="44"/>
      <c r="Q517" s="43"/>
      <c r="R517" s="43"/>
      <c r="S517" s="45"/>
      <c r="T517" s="58" t="str">
        <f>IF(Tableau1[[#This Row],[DMS_SAP]]="","",HYPERLINK(Tableau1[[#This Row],[Chemin fichier source]],"X"))</f>
        <v/>
      </c>
      <c r="U517" s="58" t="str">
        <f>IF(Tableau1[[#This Row],[Date rév.]]="","",HYPERLINK(Tableau1[[#This Row],[Lien document]],"X"))</f>
        <v/>
      </c>
      <c r="V517" s="44"/>
      <c r="W517" s="46" t="str">
        <f ca="1">Chemin_accès!$B$2&amp;Tableau1[[#This Row],[Poste Responsable]]&amp;"\"&amp;Tableau1[[#This Row],[Localisation / Classement]]&amp;"\"&amp;Tableau1[[#This Row],[Poste technique]]&amp;"_"&amp;Tableau1[[#This Row],[Plan Entretien]]&amp;".pdf"</f>
        <v>\\stjn.local\trimet\Donnees_Projets\Dms Sap\Maintenance\PlanEntretien\7.MNRJ\\_.pdf</v>
      </c>
      <c r="X517" s="44"/>
      <c r="Y517" s="44"/>
      <c r="Z517" s="41" t="str">
        <f ca="1">IF(AND(Tableau1[[#This Row],[Charge]]&lt;&gt;0, Tableau1[[#This Row],[Nombre intervenants]]&lt;&gt;0,Tableau1[[#This Row],[Lien document]]&lt;&gt;0,Tableau1[[#This Row],[DMS_SAP]]&lt;&gt;0)=TRUE,"MIS A JOUR","")</f>
        <v/>
      </c>
      <c r="AA517" s="45"/>
      <c r="AB517" s="55" t="str">
        <f ca="1">IF(Tableau1[[#This Row],[Date rév.]]&lt;&gt;"", DAYS360(Tableau1[[#This Row],[Date rév.]],TODAY()),"")</f>
        <v/>
      </c>
      <c r="AC517" s="47">
        <f>IFERROR(INDEX(Chemin_accès!$B$11:$C$22,MATCH(Tableau1[[#This Row],[Type]],Chemin_accès!$C$11:$C$22,0),1),Chemin_accès!$B$11)</f>
        <v>0</v>
      </c>
      <c r="AD517" s="47" t="str">
        <f>Chemin_accès!$B$8&amp;Tableau1[[#This Row],[Localisation / Classement]]&amp;"\"&amp;Tableau1[[#This Row],[Poste technique]]&amp;"_"&amp;Tableau1[[#This Row],[Plan Entretien]]&amp;".xlsm"</f>
        <v>\_.xlsm</v>
      </c>
    </row>
    <row r="518" spans="1:30" x14ac:dyDescent="0.3">
      <c r="A518" s="41" t="str">
        <f t="shared" ca="1" si="8"/>
        <v>7.MNRJ</v>
      </c>
      <c r="B5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8" s="43"/>
      <c r="D518" s="41"/>
      <c r="E518" s="41"/>
      <c r="F518" s="44"/>
      <c r="G518" s="44"/>
      <c r="H518" s="48"/>
      <c r="I518" s="48"/>
      <c r="J518" s="48"/>
      <c r="K518" s="48"/>
      <c r="L518" s="43"/>
      <c r="M518" s="44"/>
      <c r="N518" s="43"/>
      <c r="O518" s="43"/>
      <c r="P518" s="44"/>
      <c r="Q518" s="43"/>
      <c r="R518" s="43"/>
      <c r="S518" s="45"/>
      <c r="T518" s="58" t="str">
        <f>IF(Tableau1[[#This Row],[DMS_SAP]]="","",HYPERLINK(Tableau1[[#This Row],[Chemin fichier source]],"X"))</f>
        <v/>
      </c>
      <c r="U518" s="58" t="str">
        <f>IF(Tableau1[[#This Row],[Date rév.]]="","",HYPERLINK(Tableau1[[#This Row],[Lien document]],"X"))</f>
        <v/>
      </c>
      <c r="V518" s="44"/>
      <c r="W518" s="46" t="str">
        <f ca="1">Chemin_accès!$B$2&amp;Tableau1[[#This Row],[Poste Responsable]]&amp;"\"&amp;Tableau1[[#This Row],[Localisation / Classement]]&amp;"\"&amp;Tableau1[[#This Row],[Poste technique]]&amp;"_"&amp;Tableau1[[#This Row],[Plan Entretien]]&amp;".pdf"</f>
        <v>\\stjn.local\trimet\Donnees_Projets\Dms Sap\Maintenance\PlanEntretien\7.MNRJ\\_.pdf</v>
      </c>
      <c r="X518" s="44"/>
      <c r="Y518" s="44"/>
      <c r="Z518" s="41" t="str">
        <f ca="1">IF(AND(Tableau1[[#This Row],[Charge]]&lt;&gt;0, Tableau1[[#This Row],[Nombre intervenants]]&lt;&gt;0,Tableau1[[#This Row],[Lien document]]&lt;&gt;0,Tableau1[[#This Row],[DMS_SAP]]&lt;&gt;0)=TRUE,"MIS A JOUR","")</f>
        <v/>
      </c>
      <c r="AA518" s="45"/>
      <c r="AB518" s="55" t="str">
        <f ca="1">IF(Tableau1[[#This Row],[Date rév.]]&lt;&gt;"", DAYS360(Tableau1[[#This Row],[Date rév.]],TODAY()),"")</f>
        <v/>
      </c>
      <c r="AC518" s="47">
        <f>IFERROR(INDEX(Chemin_accès!$B$11:$C$22,MATCH(Tableau1[[#This Row],[Type]],Chemin_accès!$C$11:$C$22,0),1),Chemin_accès!$B$11)</f>
        <v>0</v>
      </c>
      <c r="AD518" s="47" t="str">
        <f>Chemin_accès!$B$8&amp;Tableau1[[#This Row],[Localisation / Classement]]&amp;"\"&amp;Tableau1[[#This Row],[Poste technique]]&amp;"_"&amp;Tableau1[[#This Row],[Plan Entretien]]&amp;".xlsm"</f>
        <v>\_.xlsm</v>
      </c>
    </row>
    <row r="519" spans="1:30" x14ac:dyDescent="0.3">
      <c r="A519" s="41" t="str">
        <f t="shared" ca="1" si="8"/>
        <v>7.MNRJ</v>
      </c>
      <c r="B5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9" s="43"/>
      <c r="D519" s="41"/>
      <c r="E519" s="41"/>
      <c r="F519" s="44"/>
      <c r="G519" s="44"/>
      <c r="H519" s="48"/>
      <c r="I519" s="48"/>
      <c r="J519" s="48"/>
      <c r="K519" s="48"/>
      <c r="L519" s="43"/>
      <c r="M519" s="44"/>
      <c r="N519" s="43"/>
      <c r="O519" s="43"/>
      <c r="P519" s="44"/>
      <c r="Q519" s="43"/>
      <c r="R519" s="43"/>
      <c r="S519" s="45"/>
      <c r="T519" s="58" t="str">
        <f>IF(Tableau1[[#This Row],[DMS_SAP]]="","",HYPERLINK(Tableau1[[#This Row],[Chemin fichier source]],"X"))</f>
        <v/>
      </c>
      <c r="U519" s="58" t="str">
        <f>IF(Tableau1[[#This Row],[Date rév.]]="","",HYPERLINK(Tableau1[[#This Row],[Lien document]],"X"))</f>
        <v/>
      </c>
      <c r="V519" s="44"/>
      <c r="W519" s="46" t="str">
        <f ca="1">Chemin_accès!$B$2&amp;Tableau1[[#This Row],[Poste Responsable]]&amp;"\"&amp;Tableau1[[#This Row],[Localisation / Classement]]&amp;"\"&amp;Tableau1[[#This Row],[Poste technique]]&amp;"_"&amp;Tableau1[[#This Row],[Plan Entretien]]&amp;".pdf"</f>
        <v>\\stjn.local\trimet\Donnees_Projets\Dms Sap\Maintenance\PlanEntretien\7.MNRJ\\_.pdf</v>
      </c>
      <c r="X519" s="44"/>
      <c r="Y519" s="44"/>
      <c r="Z519" s="41" t="str">
        <f ca="1">IF(AND(Tableau1[[#This Row],[Charge]]&lt;&gt;0, Tableau1[[#This Row],[Nombre intervenants]]&lt;&gt;0,Tableau1[[#This Row],[Lien document]]&lt;&gt;0,Tableau1[[#This Row],[DMS_SAP]]&lt;&gt;0)=TRUE,"MIS A JOUR","")</f>
        <v/>
      </c>
      <c r="AA519" s="45"/>
      <c r="AB519" s="55" t="str">
        <f ca="1">IF(Tableau1[[#This Row],[Date rév.]]&lt;&gt;"", DAYS360(Tableau1[[#This Row],[Date rév.]],TODAY()),"")</f>
        <v/>
      </c>
      <c r="AC519" s="47">
        <f>IFERROR(INDEX(Chemin_accès!$B$11:$C$22,MATCH(Tableau1[[#This Row],[Type]],Chemin_accès!$C$11:$C$22,0),1),Chemin_accès!$B$11)</f>
        <v>0</v>
      </c>
      <c r="AD519" s="47" t="str">
        <f>Chemin_accès!$B$8&amp;Tableau1[[#This Row],[Localisation / Classement]]&amp;"\"&amp;Tableau1[[#This Row],[Poste technique]]&amp;"_"&amp;Tableau1[[#This Row],[Plan Entretien]]&amp;".xlsm"</f>
        <v>\_.xlsm</v>
      </c>
    </row>
    <row r="520" spans="1:30" x14ac:dyDescent="0.3">
      <c r="A520" s="41" t="str">
        <f t="shared" ca="1" si="8"/>
        <v>7.MNRJ</v>
      </c>
      <c r="B5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0" s="43"/>
      <c r="D520" s="41"/>
      <c r="E520" s="41"/>
      <c r="F520" s="44"/>
      <c r="G520" s="44"/>
      <c r="H520" s="48"/>
      <c r="I520" s="48"/>
      <c r="J520" s="48"/>
      <c r="K520" s="48"/>
      <c r="L520" s="43"/>
      <c r="M520" s="44"/>
      <c r="N520" s="43"/>
      <c r="O520" s="43"/>
      <c r="P520" s="44"/>
      <c r="Q520" s="43"/>
      <c r="R520" s="43"/>
      <c r="S520" s="45"/>
      <c r="T520" s="58" t="str">
        <f>IF(Tableau1[[#This Row],[DMS_SAP]]="","",HYPERLINK(Tableau1[[#This Row],[Chemin fichier source]],"X"))</f>
        <v/>
      </c>
      <c r="U520" s="58" t="str">
        <f>IF(Tableau1[[#This Row],[Date rév.]]="","",HYPERLINK(Tableau1[[#This Row],[Lien document]],"X"))</f>
        <v/>
      </c>
      <c r="V520" s="44"/>
      <c r="W520" s="46" t="str">
        <f ca="1">Chemin_accès!$B$2&amp;Tableau1[[#This Row],[Poste Responsable]]&amp;"\"&amp;Tableau1[[#This Row],[Localisation / Classement]]&amp;"\"&amp;Tableau1[[#This Row],[Poste technique]]&amp;"_"&amp;Tableau1[[#This Row],[Plan Entretien]]&amp;".pdf"</f>
        <v>\\stjn.local\trimet\Donnees_Projets\Dms Sap\Maintenance\PlanEntretien\7.MNRJ\\_.pdf</v>
      </c>
      <c r="X520" s="44"/>
      <c r="Y520" s="44"/>
      <c r="Z520" s="41" t="str">
        <f ca="1">IF(AND(Tableau1[[#This Row],[Charge]]&lt;&gt;0, Tableau1[[#This Row],[Nombre intervenants]]&lt;&gt;0,Tableau1[[#This Row],[Lien document]]&lt;&gt;0,Tableau1[[#This Row],[DMS_SAP]]&lt;&gt;0)=TRUE,"MIS A JOUR","")</f>
        <v/>
      </c>
      <c r="AA520" s="45"/>
      <c r="AB520" s="55" t="str">
        <f ca="1">IF(Tableau1[[#This Row],[Date rév.]]&lt;&gt;"", DAYS360(Tableau1[[#This Row],[Date rév.]],TODAY()),"")</f>
        <v/>
      </c>
      <c r="AC520" s="47">
        <f>IFERROR(INDEX(Chemin_accès!$B$11:$C$22,MATCH(Tableau1[[#This Row],[Type]],Chemin_accès!$C$11:$C$22,0),1),Chemin_accès!$B$11)</f>
        <v>0</v>
      </c>
      <c r="AD520" s="47" t="str">
        <f>Chemin_accès!$B$8&amp;Tableau1[[#This Row],[Localisation / Classement]]&amp;"\"&amp;Tableau1[[#This Row],[Poste technique]]&amp;"_"&amp;Tableau1[[#This Row],[Plan Entretien]]&amp;".xlsm"</f>
        <v>\_.xlsm</v>
      </c>
    </row>
    <row r="521" spans="1:30" x14ac:dyDescent="0.3">
      <c r="A521" s="41" t="str">
        <f t="shared" ca="1" si="8"/>
        <v>7.MNRJ</v>
      </c>
      <c r="B5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1" s="43"/>
      <c r="D521" s="41"/>
      <c r="E521" s="41"/>
      <c r="F521" s="44"/>
      <c r="G521" s="44"/>
      <c r="H521" s="48"/>
      <c r="I521" s="48"/>
      <c r="J521" s="48"/>
      <c r="K521" s="48"/>
      <c r="L521" s="43"/>
      <c r="M521" s="44"/>
      <c r="N521" s="43"/>
      <c r="O521" s="43"/>
      <c r="P521" s="44"/>
      <c r="Q521" s="43"/>
      <c r="R521" s="43"/>
      <c r="S521" s="45"/>
      <c r="T521" s="58" t="str">
        <f>IF(Tableau1[[#This Row],[DMS_SAP]]="","",HYPERLINK(Tableau1[[#This Row],[Chemin fichier source]],"X"))</f>
        <v/>
      </c>
      <c r="U521" s="58" t="str">
        <f>IF(Tableau1[[#This Row],[Date rév.]]="","",HYPERLINK(Tableau1[[#This Row],[Lien document]],"X"))</f>
        <v/>
      </c>
      <c r="V521" s="44"/>
      <c r="W521" s="46" t="str">
        <f ca="1">Chemin_accès!$B$2&amp;Tableau1[[#This Row],[Poste Responsable]]&amp;"\"&amp;Tableau1[[#This Row],[Localisation / Classement]]&amp;"\"&amp;Tableau1[[#This Row],[Poste technique]]&amp;"_"&amp;Tableau1[[#This Row],[Plan Entretien]]&amp;".pdf"</f>
        <v>\\stjn.local\trimet\Donnees_Projets\Dms Sap\Maintenance\PlanEntretien\7.MNRJ\\_.pdf</v>
      </c>
      <c r="X521" s="44"/>
      <c r="Y521" s="44"/>
      <c r="Z521" s="41" t="str">
        <f ca="1">IF(AND(Tableau1[[#This Row],[Charge]]&lt;&gt;0, Tableau1[[#This Row],[Nombre intervenants]]&lt;&gt;0,Tableau1[[#This Row],[Lien document]]&lt;&gt;0,Tableau1[[#This Row],[DMS_SAP]]&lt;&gt;0)=TRUE,"MIS A JOUR","")</f>
        <v/>
      </c>
      <c r="AA521" s="45"/>
      <c r="AB521" s="55" t="str">
        <f ca="1">IF(Tableau1[[#This Row],[Date rév.]]&lt;&gt;"", DAYS360(Tableau1[[#This Row],[Date rév.]],TODAY()),"")</f>
        <v/>
      </c>
      <c r="AC521" s="47">
        <f>IFERROR(INDEX(Chemin_accès!$B$11:$C$22,MATCH(Tableau1[[#This Row],[Type]],Chemin_accès!$C$11:$C$22,0),1),Chemin_accès!$B$11)</f>
        <v>0</v>
      </c>
      <c r="AD521" s="47" t="str">
        <f>Chemin_accès!$B$8&amp;Tableau1[[#This Row],[Localisation / Classement]]&amp;"\"&amp;Tableau1[[#This Row],[Poste technique]]&amp;"_"&amp;Tableau1[[#This Row],[Plan Entretien]]&amp;".xlsm"</f>
        <v>\_.xlsm</v>
      </c>
    </row>
    <row r="522" spans="1:30" x14ac:dyDescent="0.3">
      <c r="A522" s="41" t="str">
        <f t="shared" ca="1" si="8"/>
        <v>7.MNRJ</v>
      </c>
      <c r="B5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2" s="43"/>
      <c r="D522" s="41"/>
      <c r="E522" s="41"/>
      <c r="F522" s="44"/>
      <c r="G522" s="44"/>
      <c r="H522" s="48"/>
      <c r="I522" s="48"/>
      <c r="J522" s="48"/>
      <c r="K522" s="48"/>
      <c r="L522" s="43"/>
      <c r="M522" s="44"/>
      <c r="N522" s="43"/>
      <c r="O522" s="43"/>
      <c r="P522" s="44"/>
      <c r="Q522" s="43"/>
      <c r="R522" s="43"/>
      <c r="S522" s="45"/>
      <c r="T522" s="58" t="str">
        <f>IF(Tableau1[[#This Row],[DMS_SAP]]="","",HYPERLINK(Tableau1[[#This Row],[Chemin fichier source]],"X"))</f>
        <v/>
      </c>
      <c r="U522" s="58" t="str">
        <f>IF(Tableau1[[#This Row],[Date rév.]]="","",HYPERLINK(Tableau1[[#This Row],[Lien document]],"X"))</f>
        <v/>
      </c>
      <c r="V522" s="44"/>
      <c r="W522" s="46" t="str">
        <f ca="1">Chemin_accès!$B$2&amp;Tableau1[[#This Row],[Poste Responsable]]&amp;"\"&amp;Tableau1[[#This Row],[Localisation / Classement]]&amp;"\"&amp;Tableau1[[#This Row],[Poste technique]]&amp;"_"&amp;Tableau1[[#This Row],[Plan Entretien]]&amp;".pdf"</f>
        <v>\\stjn.local\trimet\Donnees_Projets\Dms Sap\Maintenance\PlanEntretien\7.MNRJ\\_.pdf</v>
      </c>
      <c r="X522" s="44"/>
      <c r="Y522" s="44"/>
      <c r="Z522" s="41" t="str">
        <f ca="1">IF(AND(Tableau1[[#This Row],[Charge]]&lt;&gt;0, Tableau1[[#This Row],[Nombre intervenants]]&lt;&gt;0,Tableau1[[#This Row],[Lien document]]&lt;&gt;0,Tableau1[[#This Row],[DMS_SAP]]&lt;&gt;0)=TRUE,"MIS A JOUR","")</f>
        <v/>
      </c>
      <c r="AA522" s="45"/>
      <c r="AB522" s="55" t="str">
        <f ca="1">IF(Tableau1[[#This Row],[Date rév.]]&lt;&gt;"", DAYS360(Tableau1[[#This Row],[Date rév.]],TODAY()),"")</f>
        <v/>
      </c>
      <c r="AC522" s="47">
        <f>IFERROR(INDEX(Chemin_accès!$B$11:$C$22,MATCH(Tableau1[[#This Row],[Type]],Chemin_accès!$C$11:$C$22,0),1),Chemin_accès!$B$11)</f>
        <v>0</v>
      </c>
      <c r="AD522" s="47" t="str">
        <f>Chemin_accès!$B$8&amp;Tableau1[[#This Row],[Localisation / Classement]]&amp;"\"&amp;Tableau1[[#This Row],[Poste technique]]&amp;"_"&amp;Tableau1[[#This Row],[Plan Entretien]]&amp;".xlsm"</f>
        <v>\_.xlsm</v>
      </c>
    </row>
    <row r="523" spans="1:30" x14ac:dyDescent="0.3">
      <c r="A523" s="41" t="str">
        <f t="shared" ca="1" si="8"/>
        <v>7.MNRJ</v>
      </c>
      <c r="B5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3" s="43"/>
      <c r="D523" s="41"/>
      <c r="E523" s="41"/>
      <c r="F523" s="44"/>
      <c r="G523" s="44"/>
      <c r="H523" s="48"/>
      <c r="I523" s="48"/>
      <c r="J523" s="48"/>
      <c r="K523" s="48"/>
      <c r="L523" s="43"/>
      <c r="M523" s="44"/>
      <c r="N523" s="43"/>
      <c r="O523" s="43"/>
      <c r="P523" s="44"/>
      <c r="Q523" s="43"/>
      <c r="R523" s="43"/>
      <c r="S523" s="45"/>
      <c r="T523" s="58" t="str">
        <f>IF(Tableau1[[#This Row],[DMS_SAP]]="","",HYPERLINK(Tableau1[[#This Row],[Chemin fichier source]],"X"))</f>
        <v/>
      </c>
      <c r="U523" s="58" t="str">
        <f>IF(Tableau1[[#This Row],[Date rév.]]="","",HYPERLINK(Tableau1[[#This Row],[Lien document]],"X"))</f>
        <v/>
      </c>
      <c r="V523" s="44"/>
      <c r="W523" s="46" t="str">
        <f ca="1">Chemin_accès!$B$2&amp;Tableau1[[#This Row],[Poste Responsable]]&amp;"\"&amp;Tableau1[[#This Row],[Localisation / Classement]]&amp;"\"&amp;Tableau1[[#This Row],[Poste technique]]&amp;"_"&amp;Tableau1[[#This Row],[Plan Entretien]]&amp;".pdf"</f>
        <v>\\stjn.local\trimet\Donnees_Projets\Dms Sap\Maintenance\PlanEntretien\7.MNRJ\\_.pdf</v>
      </c>
      <c r="X523" s="44"/>
      <c r="Y523" s="44"/>
      <c r="Z523" s="41" t="str">
        <f ca="1">IF(AND(Tableau1[[#This Row],[Charge]]&lt;&gt;0, Tableau1[[#This Row],[Nombre intervenants]]&lt;&gt;0,Tableau1[[#This Row],[Lien document]]&lt;&gt;0,Tableau1[[#This Row],[DMS_SAP]]&lt;&gt;0)=TRUE,"MIS A JOUR","")</f>
        <v/>
      </c>
      <c r="AA523" s="45"/>
      <c r="AB523" s="55" t="str">
        <f ca="1">IF(Tableau1[[#This Row],[Date rév.]]&lt;&gt;"", DAYS360(Tableau1[[#This Row],[Date rév.]],TODAY()),"")</f>
        <v/>
      </c>
      <c r="AC523" s="47">
        <f>IFERROR(INDEX(Chemin_accès!$B$11:$C$22,MATCH(Tableau1[[#This Row],[Type]],Chemin_accès!$C$11:$C$22,0),1),Chemin_accès!$B$11)</f>
        <v>0</v>
      </c>
      <c r="AD523" s="47" t="str">
        <f>Chemin_accès!$B$8&amp;Tableau1[[#This Row],[Localisation / Classement]]&amp;"\"&amp;Tableau1[[#This Row],[Poste technique]]&amp;"_"&amp;Tableau1[[#This Row],[Plan Entretien]]&amp;".xlsm"</f>
        <v>\_.xlsm</v>
      </c>
    </row>
    <row r="524" spans="1:30" x14ac:dyDescent="0.3">
      <c r="A524" s="41" t="str">
        <f t="shared" ca="1" si="8"/>
        <v>7.MNRJ</v>
      </c>
      <c r="B5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4" s="43"/>
      <c r="D524" s="41"/>
      <c r="E524" s="41"/>
      <c r="F524" s="44"/>
      <c r="G524" s="44"/>
      <c r="H524" s="48"/>
      <c r="I524" s="48"/>
      <c r="J524" s="48"/>
      <c r="K524" s="48"/>
      <c r="L524" s="43"/>
      <c r="M524" s="44"/>
      <c r="N524" s="43"/>
      <c r="O524" s="43"/>
      <c r="P524" s="44"/>
      <c r="Q524" s="43"/>
      <c r="R524" s="43"/>
      <c r="S524" s="45"/>
      <c r="T524" s="58" t="str">
        <f>IF(Tableau1[[#This Row],[DMS_SAP]]="","",HYPERLINK(Tableau1[[#This Row],[Chemin fichier source]],"X"))</f>
        <v/>
      </c>
      <c r="U524" s="58" t="str">
        <f>IF(Tableau1[[#This Row],[Date rév.]]="","",HYPERLINK(Tableau1[[#This Row],[Lien document]],"X"))</f>
        <v/>
      </c>
      <c r="V524" s="44"/>
      <c r="W524" s="46" t="str">
        <f ca="1">Chemin_accès!$B$2&amp;Tableau1[[#This Row],[Poste Responsable]]&amp;"\"&amp;Tableau1[[#This Row],[Localisation / Classement]]&amp;"\"&amp;Tableau1[[#This Row],[Poste technique]]&amp;"_"&amp;Tableau1[[#This Row],[Plan Entretien]]&amp;".pdf"</f>
        <v>\\stjn.local\trimet\Donnees_Projets\Dms Sap\Maintenance\PlanEntretien\7.MNRJ\\_.pdf</v>
      </c>
      <c r="X524" s="44"/>
      <c r="Y524" s="44"/>
      <c r="Z524" s="41" t="str">
        <f ca="1">IF(AND(Tableau1[[#This Row],[Charge]]&lt;&gt;0, Tableau1[[#This Row],[Nombre intervenants]]&lt;&gt;0,Tableau1[[#This Row],[Lien document]]&lt;&gt;0,Tableau1[[#This Row],[DMS_SAP]]&lt;&gt;0)=TRUE,"MIS A JOUR","")</f>
        <v/>
      </c>
      <c r="AA524" s="45"/>
      <c r="AB524" s="55" t="str">
        <f ca="1">IF(Tableau1[[#This Row],[Date rév.]]&lt;&gt;"", DAYS360(Tableau1[[#This Row],[Date rév.]],TODAY()),"")</f>
        <v/>
      </c>
      <c r="AC524" s="47">
        <f>IFERROR(INDEX(Chemin_accès!$B$11:$C$22,MATCH(Tableau1[[#This Row],[Type]],Chemin_accès!$C$11:$C$22,0),1),Chemin_accès!$B$11)</f>
        <v>0</v>
      </c>
      <c r="AD524" s="47" t="str">
        <f>Chemin_accès!$B$8&amp;Tableau1[[#This Row],[Localisation / Classement]]&amp;"\"&amp;Tableau1[[#This Row],[Poste technique]]&amp;"_"&amp;Tableau1[[#This Row],[Plan Entretien]]&amp;".xlsm"</f>
        <v>\_.xlsm</v>
      </c>
    </row>
    <row r="525" spans="1:30" x14ac:dyDescent="0.3">
      <c r="A525" s="41" t="str">
        <f t="shared" ca="1" si="8"/>
        <v>7.MNRJ</v>
      </c>
      <c r="B5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5" s="43"/>
      <c r="D525" s="41"/>
      <c r="E525" s="41"/>
      <c r="F525" s="44"/>
      <c r="G525" s="44"/>
      <c r="H525" s="48"/>
      <c r="I525" s="48"/>
      <c r="J525" s="48"/>
      <c r="K525" s="48"/>
      <c r="L525" s="43"/>
      <c r="M525" s="44"/>
      <c r="N525" s="43"/>
      <c r="O525" s="43"/>
      <c r="P525" s="44"/>
      <c r="Q525" s="43"/>
      <c r="R525" s="43"/>
      <c r="S525" s="45"/>
      <c r="T525" s="58" t="str">
        <f>IF(Tableau1[[#This Row],[DMS_SAP]]="","",HYPERLINK(Tableau1[[#This Row],[Chemin fichier source]],"X"))</f>
        <v/>
      </c>
      <c r="U525" s="58" t="str">
        <f>IF(Tableau1[[#This Row],[Date rév.]]="","",HYPERLINK(Tableau1[[#This Row],[Lien document]],"X"))</f>
        <v/>
      </c>
      <c r="V525" s="44"/>
      <c r="W525" s="46" t="str">
        <f ca="1">Chemin_accès!$B$2&amp;Tableau1[[#This Row],[Poste Responsable]]&amp;"\"&amp;Tableau1[[#This Row],[Localisation / Classement]]&amp;"\"&amp;Tableau1[[#This Row],[Poste technique]]&amp;"_"&amp;Tableau1[[#This Row],[Plan Entretien]]&amp;".pdf"</f>
        <v>\\stjn.local\trimet\Donnees_Projets\Dms Sap\Maintenance\PlanEntretien\7.MNRJ\\_.pdf</v>
      </c>
      <c r="X525" s="44"/>
      <c r="Y525" s="44"/>
      <c r="Z525" s="41" t="str">
        <f ca="1">IF(AND(Tableau1[[#This Row],[Charge]]&lt;&gt;0, Tableau1[[#This Row],[Nombre intervenants]]&lt;&gt;0,Tableau1[[#This Row],[Lien document]]&lt;&gt;0,Tableau1[[#This Row],[DMS_SAP]]&lt;&gt;0)=TRUE,"MIS A JOUR","")</f>
        <v/>
      </c>
      <c r="AA525" s="45"/>
      <c r="AB525" s="55" t="str">
        <f ca="1">IF(Tableau1[[#This Row],[Date rév.]]&lt;&gt;"", DAYS360(Tableau1[[#This Row],[Date rév.]],TODAY()),"")</f>
        <v/>
      </c>
      <c r="AC525" s="47">
        <f>IFERROR(INDEX(Chemin_accès!$B$11:$C$22,MATCH(Tableau1[[#This Row],[Type]],Chemin_accès!$C$11:$C$22,0),1),Chemin_accès!$B$11)</f>
        <v>0</v>
      </c>
      <c r="AD525" s="47" t="str">
        <f>Chemin_accès!$B$8&amp;Tableau1[[#This Row],[Localisation / Classement]]&amp;"\"&amp;Tableau1[[#This Row],[Poste technique]]&amp;"_"&amp;Tableau1[[#This Row],[Plan Entretien]]&amp;".xlsm"</f>
        <v>\_.xlsm</v>
      </c>
    </row>
    <row r="526" spans="1:30" x14ac:dyDescent="0.3">
      <c r="A526" s="41" t="str">
        <f t="shared" ca="1" si="8"/>
        <v>7.MNRJ</v>
      </c>
      <c r="B5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6" s="43"/>
      <c r="D526" s="41"/>
      <c r="E526" s="41"/>
      <c r="F526" s="44"/>
      <c r="G526" s="44"/>
      <c r="H526" s="48"/>
      <c r="I526" s="48"/>
      <c r="J526" s="48"/>
      <c r="K526" s="48"/>
      <c r="L526" s="43"/>
      <c r="M526" s="44"/>
      <c r="N526" s="43"/>
      <c r="O526" s="43"/>
      <c r="P526" s="44"/>
      <c r="Q526" s="43"/>
      <c r="R526" s="43"/>
      <c r="S526" s="45"/>
      <c r="T526" s="58" t="str">
        <f>IF(Tableau1[[#This Row],[DMS_SAP]]="","",HYPERLINK(Tableau1[[#This Row],[Chemin fichier source]],"X"))</f>
        <v/>
      </c>
      <c r="U526" s="58" t="str">
        <f>IF(Tableau1[[#This Row],[Date rév.]]="","",HYPERLINK(Tableau1[[#This Row],[Lien document]],"X"))</f>
        <v/>
      </c>
      <c r="V526" s="44"/>
      <c r="W526" s="46" t="str">
        <f ca="1">Chemin_accès!$B$2&amp;Tableau1[[#This Row],[Poste Responsable]]&amp;"\"&amp;Tableau1[[#This Row],[Localisation / Classement]]&amp;"\"&amp;Tableau1[[#This Row],[Poste technique]]&amp;"_"&amp;Tableau1[[#This Row],[Plan Entretien]]&amp;".pdf"</f>
        <v>\\stjn.local\trimet\Donnees_Projets\Dms Sap\Maintenance\PlanEntretien\7.MNRJ\\_.pdf</v>
      </c>
      <c r="X526" s="44"/>
      <c r="Y526" s="44"/>
      <c r="Z526" s="41" t="str">
        <f ca="1">IF(AND(Tableau1[[#This Row],[Charge]]&lt;&gt;0, Tableau1[[#This Row],[Nombre intervenants]]&lt;&gt;0,Tableau1[[#This Row],[Lien document]]&lt;&gt;0,Tableau1[[#This Row],[DMS_SAP]]&lt;&gt;0)=TRUE,"MIS A JOUR","")</f>
        <v/>
      </c>
      <c r="AA526" s="45"/>
      <c r="AB526" s="55" t="str">
        <f ca="1">IF(Tableau1[[#This Row],[Date rév.]]&lt;&gt;"", DAYS360(Tableau1[[#This Row],[Date rév.]],TODAY()),"")</f>
        <v/>
      </c>
      <c r="AC526" s="47">
        <f>IFERROR(INDEX(Chemin_accès!$B$11:$C$22,MATCH(Tableau1[[#This Row],[Type]],Chemin_accès!$C$11:$C$22,0),1),Chemin_accès!$B$11)</f>
        <v>0</v>
      </c>
      <c r="AD526" s="47" t="str">
        <f>Chemin_accès!$B$8&amp;Tableau1[[#This Row],[Localisation / Classement]]&amp;"\"&amp;Tableau1[[#This Row],[Poste technique]]&amp;"_"&amp;Tableau1[[#This Row],[Plan Entretien]]&amp;".xlsm"</f>
        <v>\_.xlsm</v>
      </c>
    </row>
    <row r="527" spans="1:30" x14ac:dyDescent="0.3">
      <c r="A527" s="41" t="str">
        <f t="shared" ca="1" si="8"/>
        <v>7.MNRJ</v>
      </c>
      <c r="B5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7" s="43"/>
      <c r="D527" s="41"/>
      <c r="E527" s="41"/>
      <c r="F527" s="44"/>
      <c r="G527" s="44"/>
      <c r="H527" s="48"/>
      <c r="I527" s="48"/>
      <c r="J527" s="48"/>
      <c r="K527" s="48"/>
      <c r="L527" s="43"/>
      <c r="M527" s="44"/>
      <c r="N527" s="43"/>
      <c r="O527" s="43"/>
      <c r="P527" s="44"/>
      <c r="Q527" s="43"/>
      <c r="R527" s="43"/>
      <c r="S527" s="45"/>
      <c r="T527" s="58" t="str">
        <f>IF(Tableau1[[#This Row],[DMS_SAP]]="","",HYPERLINK(Tableau1[[#This Row],[Chemin fichier source]],"X"))</f>
        <v/>
      </c>
      <c r="U527" s="58" t="str">
        <f>IF(Tableau1[[#This Row],[Date rév.]]="","",HYPERLINK(Tableau1[[#This Row],[Lien document]],"X"))</f>
        <v/>
      </c>
      <c r="V527" s="44"/>
      <c r="W527" s="46" t="str">
        <f ca="1">Chemin_accès!$B$2&amp;Tableau1[[#This Row],[Poste Responsable]]&amp;"\"&amp;Tableau1[[#This Row],[Localisation / Classement]]&amp;"\"&amp;Tableau1[[#This Row],[Poste technique]]&amp;"_"&amp;Tableau1[[#This Row],[Plan Entretien]]&amp;".pdf"</f>
        <v>\\stjn.local\trimet\Donnees_Projets\Dms Sap\Maintenance\PlanEntretien\7.MNRJ\\_.pdf</v>
      </c>
      <c r="X527" s="44"/>
      <c r="Y527" s="44"/>
      <c r="Z527" s="41" t="str">
        <f ca="1">IF(AND(Tableau1[[#This Row],[Charge]]&lt;&gt;0, Tableau1[[#This Row],[Nombre intervenants]]&lt;&gt;0,Tableau1[[#This Row],[Lien document]]&lt;&gt;0,Tableau1[[#This Row],[DMS_SAP]]&lt;&gt;0)=TRUE,"MIS A JOUR","")</f>
        <v/>
      </c>
      <c r="AA527" s="45"/>
      <c r="AB527" s="55" t="str">
        <f ca="1">IF(Tableau1[[#This Row],[Date rév.]]&lt;&gt;"", DAYS360(Tableau1[[#This Row],[Date rév.]],TODAY()),"")</f>
        <v/>
      </c>
      <c r="AC527" s="47">
        <f>IFERROR(INDEX(Chemin_accès!$B$11:$C$22,MATCH(Tableau1[[#This Row],[Type]],Chemin_accès!$C$11:$C$22,0),1),Chemin_accès!$B$11)</f>
        <v>0</v>
      </c>
      <c r="AD527" s="47" t="str">
        <f>Chemin_accès!$B$8&amp;Tableau1[[#This Row],[Localisation / Classement]]&amp;"\"&amp;Tableau1[[#This Row],[Poste technique]]&amp;"_"&amp;Tableau1[[#This Row],[Plan Entretien]]&amp;".xlsm"</f>
        <v>\_.xlsm</v>
      </c>
    </row>
    <row r="528" spans="1:30" x14ac:dyDescent="0.3">
      <c r="A528" s="41" t="str">
        <f t="shared" ca="1" si="8"/>
        <v>7.MNRJ</v>
      </c>
      <c r="B5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8" s="43"/>
      <c r="D528" s="41"/>
      <c r="E528" s="41"/>
      <c r="F528" s="44"/>
      <c r="G528" s="44"/>
      <c r="H528" s="48"/>
      <c r="I528" s="48"/>
      <c r="J528" s="48"/>
      <c r="K528" s="48"/>
      <c r="L528" s="43"/>
      <c r="M528" s="44"/>
      <c r="N528" s="43"/>
      <c r="O528" s="43"/>
      <c r="P528" s="44"/>
      <c r="Q528" s="43"/>
      <c r="R528" s="43"/>
      <c r="S528" s="45"/>
      <c r="T528" s="58" t="str">
        <f>IF(Tableau1[[#This Row],[DMS_SAP]]="","",HYPERLINK(Tableau1[[#This Row],[Chemin fichier source]],"X"))</f>
        <v/>
      </c>
      <c r="U528" s="58" t="str">
        <f>IF(Tableau1[[#This Row],[Date rév.]]="","",HYPERLINK(Tableau1[[#This Row],[Lien document]],"X"))</f>
        <v/>
      </c>
      <c r="V528" s="44"/>
      <c r="W528" s="46" t="str">
        <f ca="1">Chemin_accès!$B$2&amp;Tableau1[[#This Row],[Poste Responsable]]&amp;"\"&amp;Tableau1[[#This Row],[Localisation / Classement]]&amp;"\"&amp;Tableau1[[#This Row],[Poste technique]]&amp;"_"&amp;Tableau1[[#This Row],[Plan Entretien]]&amp;".pdf"</f>
        <v>\\stjn.local\trimet\Donnees_Projets\Dms Sap\Maintenance\PlanEntretien\7.MNRJ\\_.pdf</v>
      </c>
      <c r="X528" s="44"/>
      <c r="Y528" s="44"/>
      <c r="Z528" s="41" t="str">
        <f ca="1">IF(AND(Tableau1[[#This Row],[Charge]]&lt;&gt;0, Tableau1[[#This Row],[Nombre intervenants]]&lt;&gt;0,Tableau1[[#This Row],[Lien document]]&lt;&gt;0,Tableau1[[#This Row],[DMS_SAP]]&lt;&gt;0)=TRUE,"MIS A JOUR","")</f>
        <v/>
      </c>
      <c r="AA528" s="45"/>
      <c r="AB528" s="55" t="str">
        <f ca="1">IF(Tableau1[[#This Row],[Date rév.]]&lt;&gt;"", DAYS360(Tableau1[[#This Row],[Date rév.]],TODAY()),"")</f>
        <v/>
      </c>
      <c r="AC528" s="47">
        <f>IFERROR(INDEX(Chemin_accès!$B$11:$C$22,MATCH(Tableau1[[#This Row],[Type]],Chemin_accès!$C$11:$C$22,0),1),Chemin_accès!$B$11)</f>
        <v>0</v>
      </c>
      <c r="AD528" s="47" t="str">
        <f>Chemin_accès!$B$8&amp;Tableau1[[#This Row],[Localisation / Classement]]&amp;"\"&amp;Tableau1[[#This Row],[Poste technique]]&amp;"_"&amp;Tableau1[[#This Row],[Plan Entretien]]&amp;".xlsm"</f>
        <v>\_.xlsm</v>
      </c>
    </row>
    <row r="529" spans="1:30" x14ac:dyDescent="0.3">
      <c r="A529" s="41" t="str">
        <f t="shared" ca="1" si="8"/>
        <v>7.MNRJ</v>
      </c>
      <c r="B5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9" s="43"/>
      <c r="D529" s="41"/>
      <c r="E529" s="41"/>
      <c r="F529" s="44"/>
      <c r="G529" s="44"/>
      <c r="H529" s="48"/>
      <c r="I529" s="48"/>
      <c r="J529" s="48"/>
      <c r="K529" s="48"/>
      <c r="L529" s="43"/>
      <c r="M529" s="44"/>
      <c r="N529" s="43"/>
      <c r="O529" s="43"/>
      <c r="P529" s="44"/>
      <c r="Q529" s="43"/>
      <c r="R529" s="43"/>
      <c r="S529" s="45"/>
      <c r="T529" s="58" t="str">
        <f>IF(Tableau1[[#This Row],[DMS_SAP]]="","",HYPERLINK(Tableau1[[#This Row],[Chemin fichier source]],"X"))</f>
        <v/>
      </c>
      <c r="U529" s="58" t="str">
        <f>IF(Tableau1[[#This Row],[Date rév.]]="","",HYPERLINK(Tableau1[[#This Row],[Lien document]],"X"))</f>
        <v/>
      </c>
      <c r="V529" s="44"/>
      <c r="W529" s="46" t="str">
        <f ca="1">Chemin_accès!$B$2&amp;Tableau1[[#This Row],[Poste Responsable]]&amp;"\"&amp;Tableau1[[#This Row],[Localisation / Classement]]&amp;"\"&amp;Tableau1[[#This Row],[Poste technique]]&amp;"_"&amp;Tableau1[[#This Row],[Plan Entretien]]&amp;".pdf"</f>
        <v>\\stjn.local\trimet\Donnees_Projets\Dms Sap\Maintenance\PlanEntretien\7.MNRJ\\_.pdf</v>
      </c>
      <c r="X529" s="44"/>
      <c r="Y529" s="44"/>
      <c r="Z529" s="41" t="str">
        <f ca="1">IF(AND(Tableau1[[#This Row],[Charge]]&lt;&gt;0, Tableau1[[#This Row],[Nombre intervenants]]&lt;&gt;0,Tableau1[[#This Row],[Lien document]]&lt;&gt;0,Tableau1[[#This Row],[DMS_SAP]]&lt;&gt;0)=TRUE,"MIS A JOUR","")</f>
        <v/>
      </c>
      <c r="AA529" s="45"/>
      <c r="AB529" s="55" t="str">
        <f ca="1">IF(Tableau1[[#This Row],[Date rév.]]&lt;&gt;"", DAYS360(Tableau1[[#This Row],[Date rév.]],TODAY()),"")</f>
        <v/>
      </c>
      <c r="AC529" s="47">
        <f>IFERROR(INDEX(Chemin_accès!$B$11:$C$22,MATCH(Tableau1[[#This Row],[Type]],Chemin_accès!$C$11:$C$22,0),1),Chemin_accès!$B$11)</f>
        <v>0</v>
      </c>
      <c r="AD529" s="47" t="str">
        <f>Chemin_accès!$B$8&amp;Tableau1[[#This Row],[Localisation / Classement]]&amp;"\"&amp;Tableau1[[#This Row],[Poste technique]]&amp;"_"&amp;Tableau1[[#This Row],[Plan Entretien]]&amp;".xlsm"</f>
        <v>\_.xlsm</v>
      </c>
    </row>
    <row r="530" spans="1:30" x14ac:dyDescent="0.3">
      <c r="A530" s="41" t="str">
        <f t="shared" ca="1" si="8"/>
        <v>7.MNRJ</v>
      </c>
      <c r="B5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0" s="43"/>
      <c r="D530" s="41"/>
      <c r="E530" s="41"/>
      <c r="F530" s="44"/>
      <c r="G530" s="44"/>
      <c r="H530" s="48"/>
      <c r="I530" s="48"/>
      <c r="J530" s="48"/>
      <c r="K530" s="48"/>
      <c r="L530" s="43"/>
      <c r="M530" s="44"/>
      <c r="N530" s="43"/>
      <c r="O530" s="43"/>
      <c r="P530" s="44"/>
      <c r="Q530" s="43"/>
      <c r="R530" s="43"/>
      <c r="S530" s="45"/>
      <c r="T530" s="58" t="str">
        <f>IF(Tableau1[[#This Row],[DMS_SAP]]="","",HYPERLINK(Tableau1[[#This Row],[Chemin fichier source]],"X"))</f>
        <v/>
      </c>
      <c r="U530" s="58" t="str">
        <f>IF(Tableau1[[#This Row],[Date rév.]]="","",HYPERLINK(Tableau1[[#This Row],[Lien document]],"X"))</f>
        <v/>
      </c>
      <c r="V530" s="44"/>
      <c r="W530" s="46" t="str">
        <f ca="1">Chemin_accès!$B$2&amp;Tableau1[[#This Row],[Poste Responsable]]&amp;"\"&amp;Tableau1[[#This Row],[Localisation / Classement]]&amp;"\"&amp;Tableau1[[#This Row],[Poste technique]]&amp;"_"&amp;Tableau1[[#This Row],[Plan Entretien]]&amp;".pdf"</f>
        <v>\\stjn.local\trimet\Donnees_Projets\Dms Sap\Maintenance\PlanEntretien\7.MNRJ\\_.pdf</v>
      </c>
      <c r="X530" s="44"/>
      <c r="Y530" s="44"/>
      <c r="Z530" s="41" t="str">
        <f ca="1">IF(AND(Tableau1[[#This Row],[Charge]]&lt;&gt;0, Tableau1[[#This Row],[Nombre intervenants]]&lt;&gt;0,Tableau1[[#This Row],[Lien document]]&lt;&gt;0,Tableau1[[#This Row],[DMS_SAP]]&lt;&gt;0)=TRUE,"MIS A JOUR","")</f>
        <v/>
      </c>
      <c r="AA530" s="45"/>
      <c r="AB530" s="55" t="str">
        <f ca="1">IF(Tableau1[[#This Row],[Date rév.]]&lt;&gt;"", DAYS360(Tableau1[[#This Row],[Date rév.]],TODAY()),"")</f>
        <v/>
      </c>
      <c r="AC530" s="47">
        <f>IFERROR(INDEX(Chemin_accès!$B$11:$C$22,MATCH(Tableau1[[#This Row],[Type]],Chemin_accès!$C$11:$C$22,0),1),Chemin_accès!$B$11)</f>
        <v>0</v>
      </c>
      <c r="AD530" s="47" t="str">
        <f>Chemin_accès!$B$8&amp;Tableau1[[#This Row],[Localisation / Classement]]&amp;"\"&amp;Tableau1[[#This Row],[Poste technique]]&amp;"_"&amp;Tableau1[[#This Row],[Plan Entretien]]&amp;".xlsm"</f>
        <v>\_.xlsm</v>
      </c>
    </row>
    <row r="531" spans="1:30" x14ac:dyDescent="0.3">
      <c r="A531" s="41" t="str">
        <f t="shared" ca="1" si="8"/>
        <v>7.MNRJ</v>
      </c>
      <c r="B5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1" s="43"/>
      <c r="D531" s="41"/>
      <c r="E531" s="41"/>
      <c r="F531" s="44"/>
      <c r="G531" s="44"/>
      <c r="H531" s="48"/>
      <c r="I531" s="48"/>
      <c r="J531" s="48"/>
      <c r="K531" s="48"/>
      <c r="L531" s="43"/>
      <c r="M531" s="44"/>
      <c r="N531" s="43"/>
      <c r="O531" s="43"/>
      <c r="P531" s="44"/>
      <c r="Q531" s="43"/>
      <c r="R531" s="43"/>
      <c r="S531" s="45"/>
      <c r="T531" s="58" t="str">
        <f>IF(Tableau1[[#This Row],[DMS_SAP]]="","",HYPERLINK(Tableau1[[#This Row],[Chemin fichier source]],"X"))</f>
        <v/>
      </c>
      <c r="U531" s="58" t="str">
        <f>IF(Tableau1[[#This Row],[Date rév.]]="","",HYPERLINK(Tableau1[[#This Row],[Lien document]],"X"))</f>
        <v/>
      </c>
      <c r="V531" s="44"/>
      <c r="W531" s="46" t="str">
        <f ca="1">Chemin_accès!$B$2&amp;Tableau1[[#This Row],[Poste Responsable]]&amp;"\"&amp;Tableau1[[#This Row],[Localisation / Classement]]&amp;"\"&amp;Tableau1[[#This Row],[Poste technique]]&amp;"_"&amp;Tableau1[[#This Row],[Plan Entretien]]&amp;".pdf"</f>
        <v>\\stjn.local\trimet\Donnees_Projets\Dms Sap\Maintenance\PlanEntretien\7.MNRJ\\_.pdf</v>
      </c>
      <c r="X531" s="44"/>
      <c r="Y531" s="44"/>
      <c r="Z531" s="41" t="str">
        <f ca="1">IF(AND(Tableau1[[#This Row],[Charge]]&lt;&gt;0, Tableau1[[#This Row],[Nombre intervenants]]&lt;&gt;0,Tableau1[[#This Row],[Lien document]]&lt;&gt;0,Tableau1[[#This Row],[DMS_SAP]]&lt;&gt;0)=TRUE,"MIS A JOUR","")</f>
        <v/>
      </c>
      <c r="AA531" s="45"/>
      <c r="AB531" s="55" t="str">
        <f ca="1">IF(Tableau1[[#This Row],[Date rév.]]&lt;&gt;"", DAYS360(Tableau1[[#This Row],[Date rév.]],TODAY()),"")</f>
        <v/>
      </c>
      <c r="AC531" s="47">
        <f>IFERROR(INDEX(Chemin_accès!$B$11:$C$22,MATCH(Tableau1[[#This Row],[Type]],Chemin_accès!$C$11:$C$22,0),1),Chemin_accès!$B$11)</f>
        <v>0</v>
      </c>
      <c r="AD531" s="47" t="str">
        <f>Chemin_accès!$B$8&amp;Tableau1[[#This Row],[Localisation / Classement]]&amp;"\"&amp;Tableau1[[#This Row],[Poste technique]]&amp;"_"&amp;Tableau1[[#This Row],[Plan Entretien]]&amp;".xlsm"</f>
        <v>\_.xlsm</v>
      </c>
    </row>
    <row r="532" spans="1:30" x14ac:dyDescent="0.3">
      <c r="A532" s="41" t="str">
        <f t="shared" ca="1" si="8"/>
        <v>7.MNRJ</v>
      </c>
      <c r="B5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2" s="43"/>
      <c r="D532" s="41"/>
      <c r="E532" s="41"/>
      <c r="F532" s="44"/>
      <c r="G532" s="44"/>
      <c r="H532" s="48"/>
      <c r="I532" s="48"/>
      <c r="J532" s="48"/>
      <c r="K532" s="48"/>
      <c r="L532" s="43"/>
      <c r="M532" s="44"/>
      <c r="N532" s="43"/>
      <c r="O532" s="43"/>
      <c r="P532" s="44"/>
      <c r="Q532" s="43"/>
      <c r="R532" s="43"/>
      <c r="S532" s="45"/>
      <c r="T532" s="58" t="str">
        <f>IF(Tableau1[[#This Row],[DMS_SAP]]="","",HYPERLINK(Tableau1[[#This Row],[Chemin fichier source]],"X"))</f>
        <v/>
      </c>
      <c r="U532" s="58" t="str">
        <f>IF(Tableau1[[#This Row],[Date rév.]]="","",HYPERLINK(Tableau1[[#This Row],[Lien document]],"X"))</f>
        <v/>
      </c>
      <c r="V532" s="44"/>
      <c r="W532" s="46" t="str">
        <f ca="1">Chemin_accès!$B$2&amp;Tableau1[[#This Row],[Poste Responsable]]&amp;"\"&amp;Tableau1[[#This Row],[Localisation / Classement]]&amp;"\"&amp;Tableau1[[#This Row],[Poste technique]]&amp;"_"&amp;Tableau1[[#This Row],[Plan Entretien]]&amp;".pdf"</f>
        <v>\\stjn.local\trimet\Donnees_Projets\Dms Sap\Maintenance\PlanEntretien\7.MNRJ\\_.pdf</v>
      </c>
      <c r="X532" s="44"/>
      <c r="Y532" s="44"/>
      <c r="Z532" s="41" t="str">
        <f ca="1">IF(AND(Tableau1[[#This Row],[Charge]]&lt;&gt;0, Tableau1[[#This Row],[Nombre intervenants]]&lt;&gt;0,Tableau1[[#This Row],[Lien document]]&lt;&gt;0,Tableau1[[#This Row],[DMS_SAP]]&lt;&gt;0)=TRUE,"MIS A JOUR","")</f>
        <v/>
      </c>
      <c r="AA532" s="45"/>
      <c r="AB532" s="55" t="str">
        <f ca="1">IF(Tableau1[[#This Row],[Date rév.]]&lt;&gt;"", DAYS360(Tableau1[[#This Row],[Date rév.]],TODAY()),"")</f>
        <v/>
      </c>
      <c r="AC532" s="47">
        <f>IFERROR(INDEX(Chemin_accès!$B$11:$C$22,MATCH(Tableau1[[#This Row],[Type]],Chemin_accès!$C$11:$C$22,0),1),Chemin_accès!$B$11)</f>
        <v>0</v>
      </c>
      <c r="AD532" s="47" t="str">
        <f>Chemin_accès!$B$8&amp;Tableau1[[#This Row],[Localisation / Classement]]&amp;"\"&amp;Tableau1[[#This Row],[Poste technique]]&amp;"_"&amp;Tableau1[[#This Row],[Plan Entretien]]&amp;".xlsm"</f>
        <v>\_.xlsm</v>
      </c>
    </row>
    <row r="533" spans="1:30" x14ac:dyDescent="0.3">
      <c r="A533" s="41" t="str">
        <f t="shared" ca="1" si="8"/>
        <v>7.MNRJ</v>
      </c>
      <c r="B5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3" s="43"/>
      <c r="D533" s="41"/>
      <c r="E533" s="41"/>
      <c r="F533" s="44"/>
      <c r="G533" s="44"/>
      <c r="H533" s="48"/>
      <c r="I533" s="48"/>
      <c r="J533" s="48"/>
      <c r="K533" s="48"/>
      <c r="L533" s="43"/>
      <c r="M533" s="44"/>
      <c r="N533" s="43"/>
      <c r="O533" s="43"/>
      <c r="P533" s="44"/>
      <c r="Q533" s="43"/>
      <c r="R533" s="43"/>
      <c r="S533" s="45"/>
      <c r="T533" s="58" t="str">
        <f>IF(Tableau1[[#This Row],[DMS_SAP]]="","",HYPERLINK(Tableau1[[#This Row],[Chemin fichier source]],"X"))</f>
        <v/>
      </c>
      <c r="U533" s="58" t="str">
        <f>IF(Tableau1[[#This Row],[Date rév.]]="","",HYPERLINK(Tableau1[[#This Row],[Lien document]],"X"))</f>
        <v/>
      </c>
      <c r="V533" s="44"/>
      <c r="W533" s="46" t="str">
        <f ca="1">Chemin_accès!$B$2&amp;Tableau1[[#This Row],[Poste Responsable]]&amp;"\"&amp;Tableau1[[#This Row],[Localisation / Classement]]&amp;"\"&amp;Tableau1[[#This Row],[Poste technique]]&amp;"_"&amp;Tableau1[[#This Row],[Plan Entretien]]&amp;".pdf"</f>
        <v>\\stjn.local\trimet\Donnees_Projets\Dms Sap\Maintenance\PlanEntretien\7.MNRJ\\_.pdf</v>
      </c>
      <c r="X533" s="44"/>
      <c r="Y533" s="44"/>
      <c r="Z533" s="41" t="str">
        <f ca="1">IF(AND(Tableau1[[#This Row],[Charge]]&lt;&gt;0, Tableau1[[#This Row],[Nombre intervenants]]&lt;&gt;0,Tableau1[[#This Row],[Lien document]]&lt;&gt;0,Tableau1[[#This Row],[DMS_SAP]]&lt;&gt;0)=TRUE,"MIS A JOUR","")</f>
        <v/>
      </c>
      <c r="AA533" s="45"/>
      <c r="AB533" s="55" t="str">
        <f ca="1">IF(Tableau1[[#This Row],[Date rév.]]&lt;&gt;"", DAYS360(Tableau1[[#This Row],[Date rév.]],TODAY()),"")</f>
        <v/>
      </c>
      <c r="AC533" s="47">
        <f>IFERROR(INDEX(Chemin_accès!$B$11:$C$22,MATCH(Tableau1[[#This Row],[Type]],Chemin_accès!$C$11:$C$22,0),1),Chemin_accès!$B$11)</f>
        <v>0</v>
      </c>
      <c r="AD533" s="47" t="str">
        <f>Chemin_accès!$B$8&amp;Tableau1[[#This Row],[Localisation / Classement]]&amp;"\"&amp;Tableau1[[#This Row],[Poste technique]]&amp;"_"&amp;Tableau1[[#This Row],[Plan Entretien]]&amp;".xlsm"</f>
        <v>\_.xlsm</v>
      </c>
    </row>
    <row r="534" spans="1:30" x14ac:dyDescent="0.3">
      <c r="A534" s="41" t="str">
        <f t="shared" ca="1" si="8"/>
        <v>7.MNRJ</v>
      </c>
      <c r="B5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4" s="43"/>
      <c r="D534" s="41"/>
      <c r="E534" s="41"/>
      <c r="F534" s="44"/>
      <c r="G534" s="44"/>
      <c r="H534" s="48"/>
      <c r="I534" s="48"/>
      <c r="J534" s="48"/>
      <c r="K534" s="48"/>
      <c r="L534" s="43"/>
      <c r="M534" s="44"/>
      <c r="N534" s="43"/>
      <c r="O534" s="43"/>
      <c r="P534" s="44"/>
      <c r="Q534" s="43"/>
      <c r="R534" s="43"/>
      <c r="S534" s="45"/>
      <c r="T534" s="58" t="str">
        <f>IF(Tableau1[[#This Row],[DMS_SAP]]="","",HYPERLINK(Tableau1[[#This Row],[Chemin fichier source]],"X"))</f>
        <v/>
      </c>
      <c r="U534" s="58" t="str">
        <f>IF(Tableau1[[#This Row],[Date rév.]]="","",HYPERLINK(Tableau1[[#This Row],[Lien document]],"X"))</f>
        <v/>
      </c>
      <c r="V534" s="44"/>
      <c r="W534" s="46" t="str">
        <f ca="1">Chemin_accès!$B$2&amp;Tableau1[[#This Row],[Poste Responsable]]&amp;"\"&amp;Tableau1[[#This Row],[Localisation / Classement]]&amp;"\"&amp;Tableau1[[#This Row],[Poste technique]]&amp;"_"&amp;Tableau1[[#This Row],[Plan Entretien]]&amp;".pdf"</f>
        <v>\\stjn.local\trimet\Donnees_Projets\Dms Sap\Maintenance\PlanEntretien\7.MNRJ\\_.pdf</v>
      </c>
      <c r="X534" s="44"/>
      <c r="Y534" s="44"/>
      <c r="Z534" s="41" t="str">
        <f ca="1">IF(AND(Tableau1[[#This Row],[Charge]]&lt;&gt;0, Tableau1[[#This Row],[Nombre intervenants]]&lt;&gt;0,Tableau1[[#This Row],[Lien document]]&lt;&gt;0,Tableau1[[#This Row],[DMS_SAP]]&lt;&gt;0)=TRUE,"MIS A JOUR","")</f>
        <v/>
      </c>
      <c r="AA534" s="45"/>
      <c r="AB534" s="55" t="str">
        <f ca="1">IF(Tableau1[[#This Row],[Date rév.]]&lt;&gt;"", DAYS360(Tableau1[[#This Row],[Date rév.]],TODAY()),"")</f>
        <v/>
      </c>
      <c r="AC534" s="47">
        <f>IFERROR(INDEX(Chemin_accès!$B$11:$C$22,MATCH(Tableau1[[#This Row],[Type]],Chemin_accès!$C$11:$C$22,0),1),Chemin_accès!$B$11)</f>
        <v>0</v>
      </c>
      <c r="AD534" s="47" t="str">
        <f>Chemin_accès!$B$8&amp;Tableau1[[#This Row],[Localisation / Classement]]&amp;"\"&amp;Tableau1[[#This Row],[Poste technique]]&amp;"_"&amp;Tableau1[[#This Row],[Plan Entretien]]&amp;".xlsm"</f>
        <v>\_.xlsm</v>
      </c>
    </row>
    <row r="535" spans="1:30" x14ac:dyDescent="0.3">
      <c r="A535" s="41" t="str">
        <f t="shared" ca="1" si="8"/>
        <v>7.MNRJ</v>
      </c>
      <c r="B5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5" s="43"/>
      <c r="D535" s="41"/>
      <c r="E535" s="41"/>
      <c r="F535" s="44"/>
      <c r="G535" s="44"/>
      <c r="H535" s="48"/>
      <c r="I535" s="48"/>
      <c r="J535" s="48"/>
      <c r="K535" s="48"/>
      <c r="L535" s="43"/>
      <c r="M535" s="44"/>
      <c r="N535" s="43"/>
      <c r="O535" s="43"/>
      <c r="P535" s="44"/>
      <c r="Q535" s="43"/>
      <c r="R535" s="43"/>
      <c r="S535" s="45"/>
      <c r="T535" s="58" t="str">
        <f>IF(Tableau1[[#This Row],[DMS_SAP]]="","",HYPERLINK(Tableau1[[#This Row],[Chemin fichier source]],"X"))</f>
        <v/>
      </c>
      <c r="U535" s="58" t="str">
        <f>IF(Tableau1[[#This Row],[Date rév.]]="","",HYPERLINK(Tableau1[[#This Row],[Lien document]],"X"))</f>
        <v/>
      </c>
      <c r="V535" s="44"/>
      <c r="W535" s="46" t="str">
        <f ca="1">Chemin_accès!$B$2&amp;Tableau1[[#This Row],[Poste Responsable]]&amp;"\"&amp;Tableau1[[#This Row],[Localisation / Classement]]&amp;"\"&amp;Tableau1[[#This Row],[Poste technique]]&amp;"_"&amp;Tableau1[[#This Row],[Plan Entretien]]&amp;".pdf"</f>
        <v>\\stjn.local\trimet\Donnees_Projets\Dms Sap\Maintenance\PlanEntretien\7.MNRJ\\_.pdf</v>
      </c>
      <c r="X535" s="44"/>
      <c r="Y535" s="44"/>
      <c r="Z535" s="41" t="str">
        <f ca="1">IF(AND(Tableau1[[#This Row],[Charge]]&lt;&gt;0, Tableau1[[#This Row],[Nombre intervenants]]&lt;&gt;0,Tableau1[[#This Row],[Lien document]]&lt;&gt;0,Tableau1[[#This Row],[DMS_SAP]]&lt;&gt;0)=TRUE,"MIS A JOUR","")</f>
        <v/>
      </c>
      <c r="AA535" s="45"/>
      <c r="AB535" s="55" t="str">
        <f ca="1">IF(Tableau1[[#This Row],[Date rév.]]&lt;&gt;"", DAYS360(Tableau1[[#This Row],[Date rév.]],TODAY()),"")</f>
        <v/>
      </c>
      <c r="AC535" s="47">
        <f>IFERROR(INDEX(Chemin_accès!$B$11:$C$22,MATCH(Tableau1[[#This Row],[Type]],Chemin_accès!$C$11:$C$22,0),1),Chemin_accès!$B$11)</f>
        <v>0</v>
      </c>
      <c r="AD535" s="47" t="str">
        <f>Chemin_accès!$B$8&amp;Tableau1[[#This Row],[Localisation / Classement]]&amp;"\"&amp;Tableau1[[#This Row],[Poste technique]]&amp;"_"&amp;Tableau1[[#This Row],[Plan Entretien]]&amp;".xlsm"</f>
        <v>\_.xlsm</v>
      </c>
    </row>
    <row r="536" spans="1:30" x14ac:dyDescent="0.3">
      <c r="A536" s="41" t="str">
        <f t="shared" ca="1" si="8"/>
        <v>7.MNRJ</v>
      </c>
      <c r="B5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6" s="43"/>
      <c r="D536" s="41"/>
      <c r="E536" s="41"/>
      <c r="F536" s="44"/>
      <c r="G536" s="44"/>
      <c r="H536" s="48"/>
      <c r="I536" s="48"/>
      <c r="J536" s="48"/>
      <c r="K536" s="48"/>
      <c r="L536" s="43"/>
      <c r="M536" s="44"/>
      <c r="N536" s="43"/>
      <c r="O536" s="43"/>
      <c r="P536" s="44"/>
      <c r="Q536" s="43"/>
      <c r="R536" s="43"/>
      <c r="S536" s="45"/>
      <c r="T536" s="58" t="str">
        <f>IF(Tableau1[[#This Row],[DMS_SAP]]="","",HYPERLINK(Tableau1[[#This Row],[Chemin fichier source]],"X"))</f>
        <v/>
      </c>
      <c r="U536" s="58" t="str">
        <f>IF(Tableau1[[#This Row],[Date rév.]]="","",HYPERLINK(Tableau1[[#This Row],[Lien document]],"X"))</f>
        <v/>
      </c>
      <c r="V536" s="44"/>
      <c r="W536" s="46" t="str">
        <f ca="1">Chemin_accès!$B$2&amp;Tableau1[[#This Row],[Poste Responsable]]&amp;"\"&amp;Tableau1[[#This Row],[Localisation / Classement]]&amp;"\"&amp;Tableau1[[#This Row],[Poste technique]]&amp;"_"&amp;Tableau1[[#This Row],[Plan Entretien]]&amp;".pdf"</f>
        <v>\\stjn.local\trimet\Donnees_Projets\Dms Sap\Maintenance\PlanEntretien\7.MNRJ\\_.pdf</v>
      </c>
      <c r="X536" s="44"/>
      <c r="Y536" s="44"/>
      <c r="Z536" s="41" t="str">
        <f ca="1">IF(AND(Tableau1[[#This Row],[Charge]]&lt;&gt;0, Tableau1[[#This Row],[Nombre intervenants]]&lt;&gt;0,Tableau1[[#This Row],[Lien document]]&lt;&gt;0,Tableau1[[#This Row],[DMS_SAP]]&lt;&gt;0)=TRUE,"MIS A JOUR","")</f>
        <v/>
      </c>
      <c r="AA536" s="45"/>
      <c r="AB536" s="55" t="str">
        <f ca="1">IF(Tableau1[[#This Row],[Date rév.]]&lt;&gt;"", DAYS360(Tableau1[[#This Row],[Date rév.]],TODAY()),"")</f>
        <v/>
      </c>
      <c r="AC536" s="47">
        <f>IFERROR(INDEX(Chemin_accès!$B$11:$C$22,MATCH(Tableau1[[#This Row],[Type]],Chemin_accès!$C$11:$C$22,0),1),Chemin_accès!$B$11)</f>
        <v>0</v>
      </c>
      <c r="AD536" s="47" t="str">
        <f>Chemin_accès!$B$8&amp;Tableau1[[#This Row],[Localisation / Classement]]&amp;"\"&amp;Tableau1[[#This Row],[Poste technique]]&amp;"_"&amp;Tableau1[[#This Row],[Plan Entretien]]&amp;".xlsm"</f>
        <v>\_.xlsm</v>
      </c>
    </row>
    <row r="537" spans="1:30" x14ac:dyDescent="0.3">
      <c r="A537" s="41" t="str">
        <f t="shared" ca="1" si="8"/>
        <v>7.MNRJ</v>
      </c>
      <c r="B5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7" s="43"/>
      <c r="D537" s="41"/>
      <c r="E537" s="41"/>
      <c r="F537" s="44"/>
      <c r="G537" s="44"/>
      <c r="H537" s="48"/>
      <c r="I537" s="48"/>
      <c r="J537" s="48"/>
      <c r="K537" s="48"/>
      <c r="L537" s="43"/>
      <c r="M537" s="44"/>
      <c r="N537" s="43"/>
      <c r="O537" s="43"/>
      <c r="P537" s="44"/>
      <c r="Q537" s="43"/>
      <c r="R537" s="43"/>
      <c r="S537" s="45"/>
      <c r="T537" s="58" t="str">
        <f>IF(Tableau1[[#This Row],[DMS_SAP]]="","",HYPERLINK(Tableau1[[#This Row],[Chemin fichier source]],"X"))</f>
        <v/>
      </c>
      <c r="U537" s="58" t="str">
        <f>IF(Tableau1[[#This Row],[Date rév.]]="","",HYPERLINK(Tableau1[[#This Row],[Lien document]],"X"))</f>
        <v/>
      </c>
      <c r="V537" s="44"/>
      <c r="W537" s="46" t="str">
        <f ca="1">Chemin_accès!$B$2&amp;Tableau1[[#This Row],[Poste Responsable]]&amp;"\"&amp;Tableau1[[#This Row],[Localisation / Classement]]&amp;"\"&amp;Tableau1[[#This Row],[Poste technique]]&amp;"_"&amp;Tableau1[[#This Row],[Plan Entretien]]&amp;".pdf"</f>
        <v>\\stjn.local\trimet\Donnees_Projets\Dms Sap\Maintenance\PlanEntretien\7.MNRJ\\_.pdf</v>
      </c>
      <c r="X537" s="44"/>
      <c r="Y537" s="44"/>
      <c r="Z537" s="41" t="str">
        <f ca="1">IF(AND(Tableau1[[#This Row],[Charge]]&lt;&gt;0, Tableau1[[#This Row],[Nombre intervenants]]&lt;&gt;0,Tableau1[[#This Row],[Lien document]]&lt;&gt;0,Tableau1[[#This Row],[DMS_SAP]]&lt;&gt;0)=TRUE,"MIS A JOUR","")</f>
        <v/>
      </c>
      <c r="AA537" s="45"/>
      <c r="AB537" s="55" t="str">
        <f ca="1">IF(Tableau1[[#This Row],[Date rév.]]&lt;&gt;"", DAYS360(Tableau1[[#This Row],[Date rév.]],TODAY()),"")</f>
        <v/>
      </c>
      <c r="AC537" s="47">
        <f>IFERROR(INDEX(Chemin_accès!$B$11:$C$22,MATCH(Tableau1[[#This Row],[Type]],Chemin_accès!$C$11:$C$22,0),1),Chemin_accès!$B$11)</f>
        <v>0</v>
      </c>
      <c r="AD537" s="47" t="str">
        <f>Chemin_accès!$B$8&amp;Tableau1[[#This Row],[Localisation / Classement]]&amp;"\"&amp;Tableau1[[#This Row],[Poste technique]]&amp;"_"&amp;Tableau1[[#This Row],[Plan Entretien]]&amp;".xlsm"</f>
        <v>\_.xlsm</v>
      </c>
    </row>
    <row r="538" spans="1:30" x14ac:dyDescent="0.3">
      <c r="A538" s="41" t="str">
        <f t="shared" ca="1" si="8"/>
        <v>7.MNRJ</v>
      </c>
      <c r="B5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8" s="43"/>
      <c r="D538" s="41"/>
      <c r="E538" s="41"/>
      <c r="F538" s="44"/>
      <c r="G538" s="44"/>
      <c r="H538" s="48"/>
      <c r="I538" s="48"/>
      <c r="J538" s="48"/>
      <c r="K538" s="48"/>
      <c r="L538" s="43"/>
      <c r="M538" s="44"/>
      <c r="N538" s="43"/>
      <c r="O538" s="43"/>
      <c r="P538" s="44"/>
      <c r="Q538" s="43"/>
      <c r="R538" s="43"/>
      <c r="S538" s="45"/>
      <c r="T538" s="58" t="str">
        <f>IF(Tableau1[[#This Row],[DMS_SAP]]="","",HYPERLINK(Tableau1[[#This Row],[Chemin fichier source]],"X"))</f>
        <v/>
      </c>
      <c r="U538" s="58" t="str">
        <f>IF(Tableau1[[#This Row],[Date rév.]]="","",HYPERLINK(Tableau1[[#This Row],[Lien document]],"X"))</f>
        <v/>
      </c>
      <c r="V538" s="44"/>
      <c r="W538" s="46" t="str">
        <f ca="1">Chemin_accès!$B$2&amp;Tableau1[[#This Row],[Poste Responsable]]&amp;"\"&amp;Tableau1[[#This Row],[Localisation / Classement]]&amp;"\"&amp;Tableau1[[#This Row],[Poste technique]]&amp;"_"&amp;Tableau1[[#This Row],[Plan Entretien]]&amp;".pdf"</f>
        <v>\\stjn.local\trimet\Donnees_Projets\Dms Sap\Maintenance\PlanEntretien\7.MNRJ\\_.pdf</v>
      </c>
      <c r="X538" s="44"/>
      <c r="Y538" s="44"/>
      <c r="Z538" s="41" t="str">
        <f ca="1">IF(AND(Tableau1[[#This Row],[Charge]]&lt;&gt;0, Tableau1[[#This Row],[Nombre intervenants]]&lt;&gt;0,Tableau1[[#This Row],[Lien document]]&lt;&gt;0,Tableau1[[#This Row],[DMS_SAP]]&lt;&gt;0)=TRUE,"MIS A JOUR","")</f>
        <v/>
      </c>
      <c r="AA538" s="45"/>
      <c r="AB538" s="55" t="str">
        <f ca="1">IF(Tableau1[[#This Row],[Date rév.]]&lt;&gt;"", DAYS360(Tableau1[[#This Row],[Date rév.]],TODAY()),"")</f>
        <v/>
      </c>
      <c r="AC538" s="47">
        <f>IFERROR(INDEX(Chemin_accès!$B$11:$C$22,MATCH(Tableau1[[#This Row],[Type]],Chemin_accès!$C$11:$C$22,0),1),Chemin_accès!$B$11)</f>
        <v>0</v>
      </c>
      <c r="AD538" s="47" t="str">
        <f>Chemin_accès!$B$8&amp;Tableau1[[#This Row],[Localisation / Classement]]&amp;"\"&amp;Tableau1[[#This Row],[Poste technique]]&amp;"_"&amp;Tableau1[[#This Row],[Plan Entretien]]&amp;".xlsm"</f>
        <v>\_.xlsm</v>
      </c>
    </row>
    <row r="539" spans="1:30" x14ac:dyDescent="0.3">
      <c r="A539" s="41" t="str">
        <f t="shared" ca="1" si="8"/>
        <v>7.MNRJ</v>
      </c>
      <c r="B5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9" s="43"/>
      <c r="D539" s="41"/>
      <c r="E539" s="41"/>
      <c r="F539" s="44"/>
      <c r="G539" s="44"/>
      <c r="H539" s="48"/>
      <c r="I539" s="48"/>
      <c r="J539" s="48"/>
      <c r="K539" s="48"/>
      <c r="L539" s="43"/>
      <c r="M539" s="44"/>
      <c r="N539" s="43"/>
      <c r="O539" s="43"/>
      <c r="P539" s="44"/>
      <c r="Q539" s="43"/>
      <c r="R539" s="43"/>
      <c r="S539" s="45"/>
      <c r="T539" s="58" t="str">
        <f>IF(Tableau1[[#This Row],[DMS_SAP]]="","",HYPERLINK(Tableau1[[#This Row],[Chemin fichier source]],"X"))</f>
        <v/>
      </c>
      <c r="U539" s="58" t="str">
        <f>IF(Tableau1[[#This Row],[Date rév.]]="","",HYPERLINK(Tableau1[[#This Row],[Lien document]],"X"))</f>
        <v/>
      </c>
      <c r="V539" s="44"/>
      <c r="W539" s="46" t="str">
        <f ca="1">Chemin_accès!$B$2&amp;Tableau1[[#This Row],[Poste Responsable]]&amp;"\"&amp;Tableau1[[#This Row],[Localisation / Classement]]&amp;"\"&amp;Tableau1[[#This Row],[Poste technique]]&amp;"_"&amp;Tableau1[[#This Row],[Plan Entretien]]&amp;".pdf"</f>
        <v>\\stjn.local\trimet\Donnees_Projets\Dms Sap\Maintenance\PlanEntretien\7.MNRJ\\_.pdf</v>
      </c>
      <c r="X539" s="44"/>
      <c r="Y539" s="44"/>
      <c r="Z539" s="41" t="str">
        <f ca="1">IF(AND(Tableau1[[#This Row],[Charge]]&lt;&gt;0, Tableau1[[#This Row],[Nombre intervenants]]&lt;&gt;0,Tableau1[[#This Row],[Lien document]]&lt;&gt;0,Tableau1[[#This Row],[DMS_SAP]]&lt;&gt;0)=TRUE,"MIS A JOUR","")</f>
        <v/>
      </c>
      <c r="AA539" s="45"/>
      <c r="AB539" s="55" t="str">
        <f ca="1">IF(Tableau1[[#This Row],[Date rév.]]&lt;&gt;"", DAYS360(Tableau1[[#This Row],[Date rév.]],TODAY()),"")</f>
        <v/>
      </c>
      <c r="AC539" s="47">
        <f>IFERROR(INDEX(Chemin_accès!$B$11:$C$22,MATCH(Tableau1[[#This Row],[Type]],Chemin_accès!$C$11:$C$22,0),1),Chemin_accès!$B$11)</f>
        <v>0</v>
      </c>
      <c r="AD539" s="47" t="str">
        <f>Chemin_accès!$B$8&amp;Tableau1[[#This Row],[Localisation / Classement]]&amp;"\"&amp;Tableau1[[#This Row],[Poste technique]]&amp;"_"&amp;Tableau1[[#This Row],[Plan Entretien]]&amp;".xlsm"</f>
        <v>\_.xlsm</v>
      </c>
    </row>
    <row r="540" spans="1:30" x14ac:dyDescent="0.3">
      <c r="A540" s="41" t="str">
        <f t="shared" ca="1" si="8"/>
        <v>7.MNRJ</v>
      </c>
      <c r="B5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0" s="43"/>
      <c r="D540" s="41"/>
      <c r="E540" s="41"/>
      <c r="F540" s="44"/>
      <c r="G540" s="44"/>
      <c r="H540" s="48"/>
      <c r="I540" s="48"/>
      <c r="J540" s="48"/>
      <c r="K540" s="48"/>
      <c r="L540" s="43"/>
      <c r="M540" s="44"/>
      <c r="N540" s="43"/>
      <c r="O540" s="43"/>
      <c r="P540" s="44"/>
      <c r="Q540" s="43"/>
      <c r="R540" s="43"/>
      <c r="S540" s="45"/>
      <c r="T540" s="58" t="str">
        <f>IF(Tableau1[[#This Row],[DMS_SAP]]="","",HYPERLINK(Tableau1[[#This Row],[Chemin fichier source]],"X"))</f>
        <v/>
      </c>
      <c r="U540" s="58" t="str">
        <f>IF(Tableau1[[#This Row],[Date rév.]]="","",HYPERLINK(Tableau1[[#This Row],[Lien document]],"X"))</f>
        <v/>
      </c>
      <c r="V540" s="44"/>
      <c r="W540" s="46" t="str">
        <f ca="1">Chemin_accès!$B$2&amp;Tableau1[[#This Row],[Poste Responsable]]&amp;"\"&amp;Tableau1[[#This Row],[Localisation / Classement]]&amp;"\"&amp;Tableau1[[#This Row],[Poste technique]]&amp;"_"&amp;Tableau1[[#This Row],[Plan Entretien]]&amp;".pdf"</f>
        <v>\\stjn.local\trimet\Donnees_Projets\Dms Sap\Maintenance\PlanEntretien\7.MNRJ\\_.pdf</v>
      </c>
      <c r="X540" s="44"/>
      <c r="Y540" s="44"/>
      <c r="Z540" s="41" t="str">
        <f ca="1">IF(AND(Tableau1[[#This Row],[Charge]]&lt;&gt;0, Tableau1[[#This Row],[Nombre intervenants]]&lt;&gt;0,Tableau1[[#This Row],[Lien document]]&lt;&gt;0,Tableau1[[#This Row],[DMS_SAP]]&lt;&gt;0)=TRUE,"MIS A JOUR","")</f>
        <v/>
      </c>
      <c r="AA540" s="45"/>
      <c r="AB540" s="55" t="str">
        <f ca="1">IF(Tableau1[[#This Row],[Date rév.]]&lt;&gt;"", DAYS360(Tableau1[[#This Row],[Date rév.]],TODAY()),"")</f>
        <v/>
      </c>
      <c r="AC540" s="47">
        <f>IFERROR(INDEX(Chemin_accès!$B$11:$C$22,MATCH(Tableau1[[#This Row],[Type]],Chemin_accès!$C$11:$C$22,0),1),Chemin_accès!$B$11)</f>
        <v>0</v>
      </c>
      <c r="AD540" s="47" t="str">
        <f>Chemin_accès!$B$8&amp;Tableau1[[#This Row],[Localisation / Classement]]&amp;"\"&amp;Tableau1[[#This Row],[Poste technique]]&amp;"_"&amp;Tableau1[[#This Row],[Plan Entretien]]&amp;".xlsm"</f>
        <v>\_.xlsm</v>
      </c>
    </row>
    <row r="541" spans="1:30" x14ac:dyDescent="0.3">
      <c r="A541" s="41" t="str">
        <f t="shared" ca="1" si="8"/>
        <v>7.MNRJ</v>
      </c>
      <c r="B5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1" s="43"/>
      <c r="D541" s="41"/>
      <c r="E541" s="41"/>
      <c r="F541" s="44"/>
      <c r="G541" s="44"/>
      <c r="H541" s="48"/>
      <c r="I541" s="48"/>
      <c r="J541" s="48"/>
      <c r="K541" s="48"/>
      <c r="L541" s="43"/>
      <c r="M541" s="44"/>
      <c r="N541" s="43"/>
      <c r="O541" s="43"/>
      <c r="P541" s="44"/>
      <c r="Q541" s="43"/>
      <c r="R541" s="43"/>
      <c r="S541" s="45"/>
      <c r="T541" s="58" t="str">
        <f>IF(Tableau1[[#This Row],[DMS_SAP]]="","",HYPERLINK(Tableau1[[#This Row],[Chemin fichier source]],"X"))</f>
        <v/>
      </c>
      <c r="U541" s="58" t="str">
        <f>IF(Tableau1[[#This Row],[Date rév.]]="","",HYPERLINK(Tableau1[[#This Row],[Lien document]],"X"))</f>
        <v/>
      </c>
      <c r="V541" s="44"/>
      <c r="W541" s="46" t="str">
        <f ca="1">Chemin_accès!$B$2&amp;Tableau1[[#This Row],[Poste Responsable]]&amp;"\"&amp;Tableau1[[#This Row],[Localisation / Classement]]&amp;"\"&amp;Tableau1[[#This Row],[Poste technique]]&amp;"_"&amp;Tableau1[[#This Row],[Plan Entretien]]&amp;".pdf"</f>
        <v>\\stjn.local\trimet\Donnees_Projets\Dms Sap\Maintenance\PlanEntretien\7.MNRJ\\_.pdf</v>
      </c>
      <c r="X541" s="44"/>
      <c r="Y541" s="44"/>
      <c r="Z541" s="41" t="str">
        <f ca="1">IF(AND(Tableau1[[#This Row],[Charge]]&lt;&gt;0, Tableau1[[#This Row],[Nombre intervenants]]&lt;&gt;0,Tableau1[[#This Row],[Lien document]]&lt;&gt;0,Tableau1[[#This Row],[DMS_SAP]]&lt;&gt;0)=TRUE,"MIS A JOUR","")</f>
        <v/>
      </c>
      <c r="AA541" s="45"/>
      <c r="AB541" s="55" t="str">
        <f ca="1">IF(Tableau1[[#This Row],[Date rév.]]&lt;&gt;"", DAYS360(Tableau1[[#This Row],[Date rév.]],TODAY()),"")</f>
        <v/>
      </c>
      <c r="AC541" s="47">
        <f>IFERROR(INDEX(Chemin_accès!$B$11:$C$22,MATCH(Tableau1[[#This Row],[Type]],Chemin_accès!$C$11:$C$22,0),1),Chemin_accès!$B$11)</f>
        <v>0</v>
      </c>
      <c r="AD541" s="47" t="str">
        <f>Chemin_accès!$B$8&amp;Tableau1[[#This Row],[Localisation / Classement]]&amp;"\"&amp;Tableau1[[#This Row],[Poste technique]]&amp;"_"&amp;Tableau1[[#This Row],[Plan Entretien]]&amp;".xlsm"</f>
        <v>\_.xlsm</v>
      </c>
    </row>
    <row r="542" spans="1:30" x14ac:dyDescent="0.3">
      <c r="A542" s="41" t="str">
        <f t="shared" ca="1" si="8"/>
        <v>7.MNRJ</v>
      </c>
      <c r="B5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2" s="43"/>
      <c r="D542" s="41"/>
      <c r="E542" s="41"/>
      <c r="F542" s="44"/>
      <c r="G542" s="44"/>
      <c r="H542" s="48"/>
      <c r="I542" s="48"/>
      <c r="J542" s="48"/>
      <c r="K542" s="48"/>
      <c r="L542" s="43"/>
      <c r="M542" s="44"/>
      <c r="N542" s="43"/>
      <c r="O542" s="43"/>
      <c r="P542" s="44"/>
      <c r="Q542" s="43"/>
      <c r="R542" s="43"/>
      <c r="S542" s="45"/>
      <c r="T542" s="58" t="str">
        <f>IF(Tableau1[[#This Row],[DMS_SAP]]="","",HYPERLINK(Tableau1[[#This Row],[Chemin fichier source]],"X"))</f>
        <v/>
      </c>
      <c r="U542" s="58" t="str">
        <f>IF(Tableau1[[#This Row],[Date rév.]]="","",HYPERLINK(Tableau1[[#This Row],[Lien document]],"X"))</f>
        <v/>
      </c>
      <c r="V542" s="44"/>
      <c r="W542" s="46" t="str">
        <f ca="1">Chemin_accès!$B$2&amp;Tableau1[[#This Row],[Poste Responsable]]&amp;"\"&amp;Tableau1[[#This Row],[Localisation / Classement]]&amp;"\"&amp;Tableau1[[#This Row],[Poste technique]]&amp;"_"&amp;Tableau1[[#This Row],[Plan Entretien]]&amp;".pdf"</f>
        <v>\\stjn.local\trimet\Donnees_Projets\Dms Sap\Maintenance\PlanEntretien\7.MNRJ\\_.pdf</v>
      </c>
      <c r="X542" s="44"/>
      <c r="Y542" s="44"/>
      <c r="Z542" s="41" t="str">
        <f ca="1">IF(AND(Tableau1[[#This Row],[Charge]]&lt;&gt;0, Tableau1[[#This Row],[Nombre intervenants]]&lt;&gt;0,Tableau1[[#This Row],[Lien document]]&lt;&gt;0,Tableau1[[#This Row],[DMS_SAP]]&lt;&gt;0)=TRUE,"MIS A JOUR","")</f>
        <v/>
      </c>
      <c r="AA542" s="45"/>
      <c r="AB542" s="55" t="str">
        <f ca="1">IF(Tableau1[[#This Row],[Date rév.]]&lt;&gt;"", DAYS360(Tableau1[[#This Row],[Date rév.]],TODAY()),"")</f>
        <v/>
      </c>
      <c r="AC542" s="47">
        <f>IFERROR(INDEX(Chemin_accès!$B$11:$C$22,MATCH(Tableau1[[#This Row],[Type]],Chemin_accès!$C$11:$C$22,0),1),Chemin_accès!$B$11)</f>
        <v>0</v>
      </c>
      <c r="AD542" s="47" t="str">
        <f>Chemin_accès!$B$8&amp;Tableau1[[#This Row],[Localisation / Classement]]&amp;"\"&amp;Tableau1[[#This Row],[Poste technique]]&amp;"_"&amp;Tableau1[[#This Row],[Plan Entretien]]&amp;".xlsm"</f>
        <v>\_.xlsm</v>
      </c>
    </row>
    <row r="543" spans="1:30" x14ac:dyDescent="0.3">
      <c r="A543" s="41" t="str">
        <f t="shared" ca="1" si="8"/>
        <v>7.MNRJ</v>
      </c>
      <c r="B5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3" s="43"/>
      <c r="D543" s="41"/>
      <c r="E543" s="41"/>
      <c r="F543" s="44"/>
      <c r="G543" s="44"/>
      <c r="H543" s="48"/>
      <c r="I543" s="48"/>
      <c r="J543" s="48"/>
      <c r="K543" s="48"/>
      <c r="L543" s="43"/>
      <c r="M543" s="44"/>
      <c r="N543" s="43"/>
      <c r="O543" s="43"/>
      <c r="P543" s="44"/>
      <c r="Q543" s="43"/>
      <c r="R543" s="43"/>
      <c r="S543" s="45"/>
      <c r="T543" s="58" t="str">
        <f>IF(Tableau1[[#This Row],[DMS_SAP]]="","",HYPERLINK(Tableau1[[#This Row],[Chemin fichier source]],"X"))</f>
        <v/>
      </c>
      <c r="U543" s="58" t="str">
        <f>IF(Tableau1[[#This Row],[Date rév.]]="","",HYPERLINK(Tableau1[[#This Row],[Lien document]],"X"))</f>
        <v/>
      </c>
      <c r="V543" s="44"/>
      <c r="W543" s="46" t="str">
        <f ca="1">Chemin_accès!$B$2&amp;Tableau1[[#This Row],[Poste Responsable]]&amp;"\"&amp;Tableau1[[#This Row],[Localisation / Classement]]&amp;"\"&amp;Tableau1[[#This Row],[Poste technique]]&amp;"_"&amp;Tableau1[[#This Row],[Plan Entretien]]&amp;".pdf"</f>
        <v>\\stjn.local\trimet\Donnees_Projets\Dms Sap\Maintenance\PlanEntretien\7.MNRJ\\_.pdf</v>
      </c>
      <c r="X543" s="44"/>
      <c r="Y543" s="44"/>
      <c r="Z543" s="41" t="str">
        <f ca="1">IF(AND(Tableau1[[#This Row],[Charge]]&lt;&gt;0, Tableau1[[#This Row],[Nombre intervenants]]&lt;&gt;0,Tableau1[[#This Row],[Lien document]]&lt;&gt;0,Tableau1[[#This Row],[DMS_SAP]]&lt;&gt;0)=TRUE,"MIS A JOUR","")</f>
        <v/>
      </c>
      <c r="AA543" s="45"/>
      <c r="AB543" s="55" t="str">
        <f ca="1">IF(Tableau1[[#This Row],[Date rév.]]&lt;&gt;"", DAYS360(Tableau1[[#This Row],[Date rév.]],TODAY()),"")</f>
        <v/>
      </c>
      <c r="AC543" s="47">
        <f>IFERROR(INDEX(Chemin_accès!$B$11:$C$22,MATCH(Tableau1[[#This Row],[Type]],Chemin_accès!$C$11:$C$22,0),1),Chemin_accès!$B$11)</f>
        <v>0</v>
      </c>
      <c r="AD543" s="47" t="str">
        <f>Chemin_accès!$B$8&amp;Tableau1[[#This Row],[Localisation / Classement]]&amp;"\"&amp;Tableau1[[#This Row],[Poste technique]]&amp;"_"&amp;Tableau1[[#This Row],[Plan Entretien]]&amp;".xlsm"</f>
        <v>\_.xlsm</v>
      </c>
    </row>
    <row r="544" spans="1:30" x14ac:dyDescent="0.3">
      <c r="A544" s="41" t="str">
        <f t="shared" ca="1" si="8"/>
        <v>7.MNRJ</v>
      </c>
      <c r="B5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4" s="43"/>
      <c r="D544" s="41"/>
      <c r="E544" s="41"/>
      <c r="F544" s="44"/>
      <c r="G544" s="44"/>
      <c r="H544" s="48"/>
      <c r="I544" s="48"/>
      <c r="J544" s="48"/>
      <c r="K544" s="48"/>
      <c r="L544" s="43"/>
      <c r="M544" s="44"/>
      <c r="N544" s="43"/>
      <c r="O544" s="43"/>
      <c r="P544" s="44"/>
      <c r="Q544" s="43"/>
      <c r="R544" s="43"/>
      <c r="S544" s="45"/>
      <c r="T544" s="58" t="str">
        <f>IF(Tableau1[[#This Row],[DMS_SAP]]="","",HYPERLINK(Tableau1[[#This Row],[Chemin fichier source]],"X"))</f>
        <v/>
      </c>
      <c r="U544" s="58" t="str">
        <f>IF(Tableau1[[#This Row],[Date rév.]]="","",HYPERLINK(Tableau1[[#This Row],[Lien document]],"X"))</f>
        <v/>
      </c>
      <c r="V544" s="44"/>
      <c r="W544" s="46" t="str">
        <f ca="1">Chemin_accès!$B$2&amp;Tableau1[[#This Row],[Poste Responsable]]&amp;"\"&amp;Tableau1[[#This Row],[Localisation / Classement]]&amp;"\"&amp;Tableau1[[#This Row],[Poste technique]]&amp;"_"&amp;Tableau1[[#This Row],[Plan Entretien]]&amp;".pdf"</f>
        <v>\\stjn.local\trimet\Donnees_Projets\Dms Sap\Maintenance\PlanEntretien\7.MNRJ\\_.pdf</v>
      </c>
      <c r="X544" s="44"/>
      <c r="Y544" s="44"/>
      <c r="Z544" s="41" t="str">
        <f ca="1">IF(AND(Tableau1[[#This Row],[Charge]]&lt;&gt;0, Tableau1[[#This Row],[Nombre intervenants]]&lt;&gt;0,Tableau1[[#This Row],[Lien document]]&lt;&gt;0,Tableau1[[#This Row],[DMS_SAP]]&lt;&gt;0)=TRUE,"MIS A JOUR","")</f>
        <v/>
      </c>
      <c r="AA544" s="45"/>
      <c r="AB544" s="55" t="str">
        <f ca="1">IF(Tableau1[[#This Row],[Date rév.]]&lt;&gt;"", DAYS360(Tableau1[[#This Row],[Date rév.]],TODAY()),"")</f>
        <v/>
      </c>
      <c r="AC544" s="47">
        <f>IFERROR(INDEX(Chemin_accès!$B$11:$C$22,MATCH(Tableau1[[#This Row],[Type]],Chemin_accès!$C$11:$C$22,0),1),Chemin_accès!$B$11)</f>
        <v>0</v>
      </c>
      <c r="AD544" s="47" t="str">
        <f>Chemin_accès!$B$8&amp;Tableau1[[#This Row],[Localisation / Classement]]&amp;"\"&amp;Tableau1[[#This Row],[Poste technique]]&amp;"_"&amp;Tableau1[[#This Row],[Plan Entretien]]&amp;".xlsm"</f>
        <v>\_.xlsm</v>
      </c>
    </row>
    <row r="545" spans="1:30" x14ac:dyDescent="0.3">
      <c r="A545" s="41" t="str">
        <f t="shared" ca="1" si="8"/>
        <v>7.MNRJ</v>
      </c>
      <c r="B5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5" s="43"/>
      <c r="D545" s="41"/>
      <c r="E545" s="41"/>
      <c r="F545" s="44"/>
      <c r="G545" s="44"/>
      <c r="H545" s="48"/>
      <c r="I545" s="48"/>
      <c r="J545" s="48"/>
      <c r="K545" s="48"/>
      <c r="L545" s="43"/>
      <c r="M545" s="44"/>
      <c r="N545" s="43"/>
      <c r="O545" s="43"/>
      <c r="P545" s="44"/>
      <c r="Q545" s="43"/>
      <c r="R545" s="43"/>
      <c r="S545" s="45"/>
      <c r="T545" s="58" t="str">
        <f>IF(Tableau1[[#This Row],[DMS_SAP]]="","",HYPERLINK(Tableau1[[#This Row],[Chemin fichier source]],"X"))</f>
        <v/>
      </c>
      <c r="U545" s="58" t="str">
        <f>IF(Tableau1[[#This Row],[Date rév.]]="","",HYPERLINK(Tableau1[[#This Row],[Lien document]],"X"))</f>
        <v/>
      </c>
      <c r="V545" s="44"/>
      <c r="W545" s="46" t="str">
        <f ca="1">Chemin_accès!$B$2&amp;Tableau1[[#This Row],[Poste Responsable]]&amp;"\"&amp;Tableau1[[#This Row],[Localisation / Classement]]&amp;"\"&amp;Tableau1[[#This Row],[Poste technique]]&amp;"_"&amp;Tableau1[[#This Row],[Plan Entretien]]&amp;".pdf"</f>
        <v>\\stjn.local\trimet\Donnees_Projets\Dms Sap\Maintenance\PlanEntretien\7.MNRJ\\_.pdf</v>
      </c>
      <c r="X545" s="44"/>
      <c r="Y545" s="44"/>
      <c r="Z545" s="41" t="str">
        <f ca="1">IF(AND(Tableau1[[#This Row],[Charge]]&lt;&gt;0, Tableau1[[#This Row],[Nombre intervenants]]&lt;&gt;0,Tableau1[[#This Row],[Lien document]]&lt;&gt;0,Tableau1[[#This Row],[DMS_SAP]]&lt;&gt;0)=TRUE,"MIS A JOUR","")</f>
        <v/>
      </c>
      <c r="AA545" s="45"/>
      <c r="AB545" s="55" t="str">
        <f ca="1">IF(Tableau1[[#This Row],[Date rév.]]&lt;&gt;"", DAYS360(Tableau1[[#This Row],[Date rév.]],TODAY()),"")</f>
        <v/>
      </c>
      <c r="AC545" s="47">
        <f>IFERROR(INDEX(Chemin_accès!$B$11:$C$22,MATCH(Tableau1[[#This Row],[Type]],Chemin_accès!$C$11:$C$22,0),1),Chemin_accès!$B$11)</f>
        <v>0</v>
      </c>
      <c r="AD545" s="47" t="str">
        <f>Chemin_accès!$B$8&amp;Tableau1[[#This Row],[Localisation / Classement]]&amp;"\"&amp;Tableau1[[#This Row],[Poste technique]]&amp;"_"&amp;Tableau1[[#This Row],[Plan Entretien]]&amp;".xlsm"</f>
        <v>\_.xlsm</v>
      </c>
    </row>
    <row r="546" spans="1:30" x14ac:dyDescent="0.3">
      <c r="A546" s="41" t="str">
        <f t="shared" ca="1" si="8"/>
        <v>7.MNRJ</v>
      </c>
      <c r="B5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6" s="43"/>
      <c r="D546" s="41"/>
      <c r="E546" s="41"/>
      <c r="F546" s="44"/>
      <c r="G546" s="44"/>
      <c r="H546" s="48"/>
      <c r="I546" s="48"/>
      <c r="J546" s="48"/>
      <c r="K546" s="48"/>
      <c r="L546" s="43"/>
      <c r="M546" s="44"/>
      <c r="N546" s="43"/>
      <c r="O546" s="43"/>
      <c r="P546" s="44"/>
      <c r="Q546" s="43"/>
      <c r="R546" s="43"/>
      <c r="S546" s="45"/>
      <c r="T546" s="58" t="str">
        <f>IF(Tableau1[[#This Row],[DMS_SAP]]="","",HYPERLINK(Tableau1[[#This Row],[Chemin fichier source]],"X"))</f>
        <v/>
      </c>
      <c r="U546" s="58" t="str">
        <f>IF(Tableau1[[#This Row],[Date rév.]]="","",HYPERLINK(Tableau1[[#This Row],[Lien document]],"X"))</f>
        <v/>
      </c>
      <c r="V546" s="44"/>
      <c r="W546" s="46" t="str">
        <f ca="1">Chemin_accès!$B$2&amp;Tableau1[[#This Row],[Poste Responsable]]&amp;"\"&amp;Tableau1[[#This Row],[Localisation / Classement]]&amp;"\"&amp;Tableau1[[#This Row],[Poste technique]]&amp;"_"&amp;Tableau1[[#This Row],[Plan Entretien]]&amp;".pdf"</f>
        <v>\\stjn.local\trimet\Donnees_Projets\Dms Sap\Maintenance\PlanEntretien\7.MNRJ\\_.pdf</v>
      </c>
      <c r="X546" s="44"/>
      <c r="Y546" s="44"/>
      <c r="Z546" s="41" t="str">
        <f ca="1">IF(AND(Tableau1[[#This Row],[Charge]]&lt;&gt;0, Tableau1[[#This Row],[Nombre intervenants]]&lt;&gt;0,Tableau1[[#This Row],[Lien document]]&lt;&gt;0,Tableau1[[#This Row],[DMS_SAP]]&lt;&gt;0)=TRUE,"MIS A JOUR","")</f>
        <v/>
      </c>
      <c r="AA546" s="45"/>
      <c r="AB546" s="55" t="str">
        <f ca="1">IF(Tableau1[[#This Row],[Date rév.]]&lt;&gt;"", DAYS360(Tableau1[[#This Row],[Date rév.]],TODAY()),"")</f>
        <v/>
      </c>
      <c r="AC546" s="47">
        <f>IFERROR(INDEX(Chemin_accès!$B$11:$C$22,MATCH(Tableau1[[#This Row],[Type]],Chemin_accès!$C$11:$C$22,0),1),Chemin_accès!$B$11)</f>
        <v>0</v>
      </c>
      <c r="AD546" s="47" t="str">
        <f>Chemin_accès!$B$8&amp;Tableau1[[#This Row],[Localisation / Classement]]&amp;"\"&amp;Tableau1[[#This Row],[Poste technique]]&amp;"_"&amp;Tableau1[[#This Row],[Plan Entretien]]&amp;".xlsm"</f>
        <v>\_.xlsm</v>
      </c>
    </row>
    <row r="547" spans="1:30" x14ac:dyDescent="0.3">
      <c r="A547" s="41" t="str">
        <f t="shared" ca="1" si="8"/>
        <v>7.MNRJ</v>
      </c>
      <c r="B5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7" s="43"/>
      <c r="D547" s="41"/>
      <c r="E547" s="41"/>
      <c r="F547" s="44"/>
      <c r="G547" s="44"/>
      <c r="H547" s="48"/>
      <c r="I547" s="48"/>
      <c r="J547" s="48"/>
      <c r="K547" s="48"/>
      <c r="L547" s="43"/>
      <c r="M547" s="44"/>
      <c r="N547" s="43"/>
      <c r="O547" s="43"/>
      <c r="P547" s="44"/>
      <c r="Q547" s="43"/>
      <c r="R547" s="43"/>
      <c r="S547" s="45"/>
      <c r="T547" s="58" t="str">
        <f>IF(Tableau1[[#This Row],[DMS_SAP]]="","",HYPERLINK(Tableau1[[#This Row],[Chemin fichier source]],"X"))</f>
        <v/>
      </c>
      <c r="U547" s="58" t="str">
        <f>IF(Tableau1[[#This Row],[Date rév.]]="","",HYPERLINK(Tableau1[[#This Row],[Lien document]],"X"))</f>
        <v/>
      </c>
      <c r="V547" s="44"/>
      <c r="W547" s="46" t="str">
        <f ca="1">Chemin_accès!$B$2&amp;Tableau1[[#This Row],[Poste Responsable]]&amp;"\"&amp;Tableau1[[#This Row],[Localisation / Classement]]&amp;"\"&amp;Tableau1[[#This Row],[Poste technique]]&amp;"_"&amp;Tableau1[[#This Row],[Plan Entretien]]&amp;".pdf"</f>
        <v>\\stjn.local\trimet\Donnees_Projets\Dms Sap\Maintenance\PlanEntretien\7.MNRJ\\_.pdf</v>
      </c>
      <c r="X547" s="44"/>
      <c r="Y547" s="44"/>
      <c r="Z547" s="41" t="str">
        <f ca="1">IF(AND(Tableau1[[#This Row],[Charge]]&lt;&gt;0, Tableau1[[#This Row],[Nombre intervenants]]&lt;&gt;0,Tableau1[[#This Row],[Lien document]]&lt;&gt;0,Tableau1[[#This Row],[DMS_SAP]]&lt;&gt;0)=TRUE,"MIS A JOUR","")</f>
        <v/>
      </c>
      <c r="AA547" s="45"/>
      <c r="AB547" s="55" t="str">
        <f ca="1">IF(Tableau1[[#This Row],[Date rév.]]&lt;&gt;"", DAYS360(Tableau1[[#This Row],[Date rév.]],TODAY()),"")</f>
        <v/>
      </c>
      <c r="AC547" s="47">
        <f>IFERROR(INDEX(Chemin_accès!$B$11:$C$22,MATCH(Tableau1[[#This Row],[Type]],Chemin_accès!$C$11:$C$22,0),1),Chemin_accès!$B$11)</f>
        <v>0</v>
      </c>
      <c r="AD547" s="47" t="str">
        <f>Chemin_accès!$B$8&amp;Tableau1[[#This Row],[Localisation / Classement]]&amp;"\"&amp;Tableau1[[#This Row],[Poste technique]]&amp;"_"&amp;Tableau1[[#This Row],[Plan Entretien]]&amp;".xlsm"</f>
        <v>\_.xlsm</v>
      </c>
    </row>
    <row r="548" spans="1:30" x14ac:dyDescent="0.3">
      <c r="A548" s="41" t="str">
        <f t="shared" ca="1" si="8"/>
        <v>7.MNRJ</v>
      </c>
      <c r="B5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8" s="43"/>
      <c r="D548" s="41"/>
      <c r="E548" s="41"/>
      <c r="F548" s="44"/>
      <c r="G548" s="44"/>
      <c r="H548" s="48"/>
      <c r="I548" s="48"/>
      <c r="J548" s="48"/>
      <c r="K548" s="48"/>
      <c r="L548" s="43"/>
      <c r="M548" s="44"/>
      <c r="N548" s="43"/>
      <c r="O548" s="43"/>
      <c r="P548" s="44"/>
      <c r="Q548" s="43"/>
      <c r="R548" s="43"/>
      <c r="S548" s="45"/>
      <c r="T548" s="58" t="str">
        <f>IF(Tableau1[[#This Row],[DMS_SAP]]="","",HYPERLINK(Tableau1[[#This Row],[Chemin fichier source]],"X"))</f>
        <v/>
      </c>
      <c r="U548" s="58" t="str">
        <f>IF(Tableau1[[#This Row],[Date rév.]]="","",HYPERLINK(Tableau1[[#This Row],[Lien document]],"X"))</f>
        <v/>
      </c>
      <c r="V548" s="44"/>
      <c r="W548" s="46" t="str">
        <f ca="1">Chemin_accès!$B$2&amp;Tableau1[[#This Row],[Poste Responsable]]&amp;"\"&amp;Tableau1[[#This Row],[Localisation / Classement]]&amp;"\"&amp;Tableau1[[#This Row],[Poste technique]]&amp;"_"&amp;Tableau1[[#This Row],[Plan Entretien]]&amp;".pdf"</f>
        <v>\\stjn.local\trimet\Donnees_Projets\Dms Sap\Maintenance\PlanEntretien\7.MNRJ\\_.pdf</v>
      </c>
      <c r="X548" s="44"/>
      <c r="Y548" s="44"/>
      <c r="Z548" s="41" t="str">
        <f ca="1">IF(AND(Tableau1[[#This Row],[Charge]]&lt;&gt;0, Tableau1[[#This Row],[Nombre intervenants]]&lt;&gt;0,Tableau1[[#This Row],[Lien document]]&lt;&gt;0,Tableau1[[#This Row],[DMS_SAP]]&lt;&gt;0)=TRUE,"MIS A JOUR","")</f>
        <v/>
      </c>
      <c r="AA548" s="45"/>
      <c r="AB548" s="55" t="str">
        <f ca="1">IF(Tableau1[[#This Row],[Date rév.]]&lt;&gt;"", DAYS360(Tableau1[[#This Row],[Date rév.]],TODAY()),"")</f>
        <v/>
      </c>
      <c r="AC548" s="47">
        <f>IFERROR(INDEX(Chemin_accès!$B$11:$C$22,MATCH(Tableau1[[#This Row],[Type]],Chemin_accès!$C$11:$C$22,0),1),Chemin_accès!$B$11)</f>
        <v>0</v>
      </c>
      <c r="AD548" s="47" t="str">
        <f>Chemin_accès!$B$8&amp;Tableau1[[#This Row],[Localisation / Classement]]&amp;"\"&amp;Tableau1[[#This Row],[Poste technique]]&amp;"_"&amp;Tableau1[[#This Row],[Plan Entretien]]&amp;".xlsm"</f>
        <v>\_.xlsm</v>
      </c>
    </row>
    <row r="549" spans="1:30" x14ac:dyDescent="0.3">
      <c r="A549" s="41" t="str">
        <f t="shared" ca="1" si="8"/>
        <v>7.MNRJ</v>
      </c>
      <c r="B5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9" s="43"/>
      <c r="D549" s="41"/>
      <c r="E549" s="41"/>
      <c r="F549" s="44"/>
      <c r="G549" s="44"/>
      <c r="H549" s="48"/>
      <c r="I549" s="48"/>
      <c r="J549" s="48"/>
      <c r="K549" s="48"/>
      <c r="L549" s="43"/>
      <c r="M549" s="44"/>
      <c r="N549" s="43"/>
      <c r="O549" s="43"/>
      <c r="P549" s="44"/>
      <c r="Q549" s="43"/>
      <c r="R549" s="43"/>
      <c r="S549" s="45"/>
      <c r="T549" s="58" t="str">
        <f>IF(Tableau1[[#This Row],[DMS_SAP]]="","",HYPERLINK(Tableau1[[#This Row],[Chemin fichier source]],"X"))</f>
        <v/>
      </c>
      <c r="U549" s="58" t="str">
        <f>IF(Tableau1[[#This Row],[Date rév.]]="","",HYPERLINK(Tableau1[[#This Row],[Lien document]],"X"))</f>
        <v/>
      </c>
      <c r="V549" s="44"/>
      <c r="W549" s="46" t="str">
        <f ca="1">Chemin_accès!$B$2&amp;Tableau1[[#This Row],[Poste Responsable]]&amp;"\"&amp;Tableau1[[#This Row],[Localisation / Classement]]&amp;"\"&amp;Tableau1[[#This Row],[Poste technique]]&amp;"_"&amp;Tableau1[[#This Row],[Plan Entretien]]&amp;".pdf"</f>
        <v>\\stjn.local\trimet\Donnees_Projets\Dms Sap\Maintenance\PlanEntretien\7.MNRJ\\_.pdf</v>
      </c>
      <c r="X549" s="44"/>
      <c r="Y549" s="44"/>
      <c r="Z549" s="41" t="str">
        <f ca="1">IF(AND(Tableau1[[#This Row],[Charge]]&lt;&gt;0, Tableau1[[#This Row],[Nombre intervenants]]&lt;&gt;0,Tableau1[[#This Row],[Lien document]]&lt;&gt;0,Tableau1[[#This Row],[DMS_SAP]]&lt;&gt;0)=TRUE,"MIS A JOUR","")</f>
        <v/>
      </c>
      <c r="AA549" s="45"/>
      <c r="AB549" s="55" t="str">
        <f ca="1">IF(Tableau1[[#This Row],[Date rév.]]&lt;&gt;"", DAYS360(Tableau1[[#This Row],[Date rév.]],TODAY()),"")</f>
        <v/>
      </c>
      <c r="AC549" s="47">
        <f>IFERROR(INDEX(Chemin_accès!$B$11:$C$22,MATCH(Tableau1[[#This Row],[Type]],Chemin_accès!$C$11:$C$22,0),1),Chemin_accès!$B$11)</f>
        <v>0</v>
      </c>
      <c r="AD549" s="47" t="str">
        <f>Chemin_accès!$B$8&amp;Tableau1[[#This Row],[Localisation / Classement]]&amp;"\"&amp;Tableau1[[#This Row],[Poste technique]]&amp;"_"&amp;Tableau1[[#This Row],[Plan Entretien]]&amp;".xlsm"</f>
        <v>\_.xlsm</v>
      </c>
    </row>
    <row r="550" spans="1:30" x14ac:dyDescent="0.3">
      <c r="A550" s="41" t="str">
        <f t="shared" ca="1" si="8"/>
        <v>7.MNRJ</v>
      </c>
      <c r="B5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0" s="43"/>
      <c r="D550" s="41"/>
      <c r="E550" s="41"/>
      <c r="F550" s="44"/>
      <c r="G550" s="44"/>
      <c r="H550" s="48"/>
      <c r="I550" s="48"/>
      <c r="J550" s="48"/>
      <c r="K550" s="48"/>
      <c r="L550" s="43"/>
      <c r="M550" s="44"/>
      <c r="N550" s="43"/>
      <c r="O550" s="43"/>
      <c r="P550" s="44"/>
      <c r="Q550" s="43"/>
      <c r="R550" s="43"/>
      <c r="S550" s="45"/>
      <c r="T550" s="58" t="str">
        <f>IF(Tableau1[[#This Row],[DMS_SAP]]="","",HYPERLINK(Tableau1[[#This Row],[Chemin fichier source]],"X"))</f>
        <v/>
      </c>
      <c r="U550" s="58" t="str">
        <f>IF(Tableau1[[#This Row],[Date rév.]]="","",HYPERLINK(Tableau1[[#This Row],[Lien document]],"X"))</f>
        <v/>
      </c>
      <c r="V550" s="44"/>
      <c r="W550" s="46" t="str">
        <f ca="1">Chemin_accès!$B$2&amp;Tableau1[[#This Row],[Poste Responsable]]&amp;"\"&amp;Tableau1[[#This Row],[Localisation / Classement]]&amp;"\"&amp;Tableau1[[#This Row],[Poste technique]]&amp;"_"&amp;Tableau1[[#This Row],[Plan Entretien]]&amp;".pdf"</f>
        <v>\\stjn.local\trimet\Donnees_Projets\Dms Sap\Maintenance\PlanEntretien\7.MNRJ\\_.pdf</v>
      </c>
      <c r="X550" s="44"/>
      <c r="Y550" s="44"/>
      <c r="Z550" s="41" t="str">
        <f ca="1">IF(AND(Tableau1[[#This Row],[Charge]]&lt;&gt;0, Tableau1[[#This Row],[Nombre intervenants]]&lt;&gt;0,Tableau1[[#This Row],[Lien document]]&lt;&gt;0,Tableau1[[#This Row],[DMS_SAP]]&lt;&gt;0)=TRUE,"MIS A JOUR","")</f>
        <v/>
      </c>
      <c r="AA550" s="45"/>
      <c r="AB550" s="55" t="str">
        <f ca="1">IF(Tableau1[[#This Row],[Date rév.]]&lt;&gt;"", DAYS360(Tableau1[[#This Row],[Date rév.]],TODAY()),"")</f>
        <v/>
      </c>
      <c r="AC550" s="47">
        <f>IFERROR(INDEX(Chemin_accès!$B$11:$C$22,MATCH(Tableau1[[#This Row],[Type]],Chemin_accès!$C$11:$C$22,0),1),Chemin_accès!$B$11)</f>
        <v>0</v>
      </c>
      <c r="AD550" s="47" t="str">
        <f>Chemin_accès!$B$8&amp;Tableau1[[#This Row],[Localisation / Classement]]&amp;"\"&amp;Tableau1[[#This Row],[Poste technique]]&amp;"_"&amp;Tableau1[[#This Row],[Plan Entretien]]&amp;".xlsm"</f>
        <v>\_.xlsm</v>
      </c>
    </row>
    <row r="551" spans="1:30" x14ac:dyDescent="0.3">
      <c r="A551" s="41" t="str">
        <f t="shared" ca="1" si="8"/>
        <v>7.MNRJ</v>
      </c>
      <c r="B5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1" s="43"/>
      <c r="D551" s="41"/>
      <c r="E551" s="41"/>
      <c r="F551" s="44"/>
      <c r="G551" s="44"/>
      <c r="H551" s="48"/>
      <c r="I551" s="48"/>
      <c r="J551" s="48"/>
      <c r="K551" s="48"/>
      <c r="L551" s="43"/>
      <c r="M551" s="44"/>
      <c r="N551" s="43"/>
      <c r="O551" s="43"/>
      <c r="P551" s="44"/>
      <c r="Q551" s="43"/>
      <c r="R551" s="43"/>
      <c r="S551" s="45"/>
      <c r="T551" s="58" t="str">
        <f>IF(Tableau1[[#This Row],[DMS_SAP]]="","",HYPERLINK(Tableau1[[#This Row],[Chemin fichier source]],"X"))</f>
        <v/>
      </c>
      <c r="U551" s="58" t="str">
        <f>IF(Tableau1[[#This Row],[Date rév.]]="","",HYPERLINK(Tableau1[[#This Row],[Lien document]],"X"))</f>
        <v/>
      </c>
      <c r="V551" s="44"/>
      <c r="W551" s="46" t="str">
        <f ca="1">Chemin_accès!$B$2&amp;Tableau1[[#This Row],[Poste Responsable]]&amp;"\"&amp;Tableau1[[#This Row],[Localisation / Classement]]&amp;"\"&amp;Tableau1[[#This Row],[Poste technique]]&amp;"_"&amp;Tableau1[[#This Row],[Plan Entretien]]&amp;".pdf"</f>
        <v>\\stjn.local\trimet\Donnees_Projets\Dms Sap\Maintenance\PlanEntretien\7.MNRJ\\_.pdf</v>
      </c>
      <c r="X551" s="44"/>
      <c r="Y551" s="44"/>
      <c r="Z551" s="41" t="str">
        <f ca="1">IF(AND(Tableau1[[#This Row],[Charge]]&lt;&gt;0, Tableau1[[#This Row],[Nombre intervenants]]&lt;&gt;0,Tableau1[[#This Row],[Lien document]]&lt;&gt;0,Tableau1[[#This Row],[DMS_SAP]]&lt;&gt;0)=TRUE,"MIS A JOUR","")</f>
        <v/>
      </c>
      <c r="AA551" s="45"/>
      <c r="AB551" s="55" t="str">
        <f ca="1">IF(Tableau1[[#This Row],[Date rév.]]&lt;&gt;"", DAYS360(Tableau1[[#This Row],[Date rév.]],TODAY()),"")</f>
        <v/>
      </c>
      <c r="AC551" s="47">
        <f>IFERROR(INDEX(Chemin_accès!$B$11:$C$22,MATCH(Tableau1[[#This Row],[Type]],Chemin_accès!$C$11:$C$22,0),1),Chemin_accès!$B$11)</f>
        <v>0</v>
      </c>
      <c r="AD551" s="47" t="str">
        <f>Chemin_accès!$B$8&amp;Tableau1[[#This Row],[Localisation / Classement]]&amp;"\"&amp;Tableau1[[#This Row],[Poste technique]]&amp;"_"&amp;Tableau1[[#This Row],[Plan Entretien]]&amp;".xlsm"</f>
        <v>\_.xlsm</v>
      </c>
    </row>
    <row r="552" spans="1:30" x14ac:dyDescent="0.3">
      <c r="A552" s="41" t="str">
        <f t="shared" ca="1" si="8"/>
        <v>7.MNRJ</v>
      </c>
      <c r="B5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2" s="43"/>
      <c r="D552" s="41"/>
      <c r="E552" s="41"/>
      <c r="F552" s="44"/>
      <c r="G552" s="44"/>
      <c r="H552" s="48"/>
      <c r="I552" s="48"/>
      <c r="J552" s="48"/>
      <c r="K552" s="48"/>
      <c r="L552" s="43"/>
      <c r="M552" s="44"/>
      <c r="N552" s="43"/>
      <c r="O552" s="43"/>
      <c r="P552" s="44"/>
      <c r="Q552" s="43"/>
      <c r="R552" s="43"/>
      <c r="S552" s="45"/>
      <c r="T552" s="58" t="str">
        <f>IF(Tableau1[[#This Row],[DMS_SAP]]="","",HYPERLINK(Tableau1[[#This Row],[Chemin fichier source]],"X"))</f>
        <v/>
      </c>
      <c r="U552" s="58" t="str">
        <f>IF(Tableau1[[#This Row],[Date rév.]]="","",HYPERLINK(Tableau1[[#This Row],[Lien document]],"X"))</f>
        <v/>
      </c>
      <c r="V552" s="44"/>
      <c r="W552" s="46" t="str">
        <f ca="1">Chemin_accès!$B$2&amp;Tableau1[[#This Row],[Poste Responsable]]&amp;"\"&amp;Tableau1[[#This Row],[Localisation / Classement]]&amp;"\"&amp;Tableau1[[#This Row],[Poste technique]]&amp;"_"&amp;Tableau1[[#This Row],[Plan Entretien]]&amp;".pdf"</f>
        <v>\\stjn.local\trimet\Donnees_Projets\Dms Sap\Maintenance\PlanEntretien\7.MNRJ\\_.pdf</v>
      </c>
      <c r="X552" s="44"/>
      <c r="Y552" s="44"/>
      <c r="Z552" s="41" t="str">
        <f ca="1">IF(AND(Tableau1[[#This Row],[Charge]]&lt;&gt;0, Tableau1[[#This Row],[Nombre intervenants]]&lt;&gt;0,Tableau1[[#This Row],[Lien document]]&lt;&gt;0,Tableau1[[#This Row],[DMS_SAP]]&lt;&gt;0)=TRUE,"MIS A JOUR","")</f>
        <v/>
      </c>
      <c r="AA552" s="45"/>
      <c r="AB552" s="55" t="str">
        <f ca="1">IF(Tableau1[[#This Row],[Date rév.]]&lt;&gt;"", DAYS360(Tableau1[[#This Row],[Date rév.]],TODAY()),"")</f>
        <v/>
      </c>
      <c r="AC552" s="47">
        <f>IFERROR(INDEX(Chemin_accès!$B$11:$C$22,MATCH(Tableau1[[#This Row],[Type]],Chemin_accès!$C$11:$C$22,0),1),Chemin_accès!$B$11)</f>
        <v>0</v>
      </c>
      <c r="AD552" s="47" t="str">
        <f>Chemin_accès!$B$8&amp;Tableau1[[#This Row],[Localisation / Classement]]&amp;"\"&amp;Tableau1[[#This Row],[Poste technique]]&amp;"_"&amp;Tableau1[[#This Row],[Plan Entretien]]&amp;".xlsm"</f>
        <v>\_.xlsm</v>
      </c>
    </row>
    <row r="553" spans="1:30" x14ac:dyDescent="0.3">
      <c r="A553" s="41" t="str">
        <f t="shared" ca="1" si="8"/>
        <v>7.MNRJ</v>
      </c>
      <c r="B5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3" s="43"/>
      <c r="D553" s="41"/>
      <c r="E553" s="41"/>
      <c r="F553" s="44"/>
      <c r="G553" s="44"/>
      <c r="H553" s="48"/>
      <c r="I553" s="48"/>
      <c r="J553" s="48"/>
      <c r="K553" s="48"/>
      <c r="L553" s="43"/>
      <c r="M553" s="44"/>
      <c r="N553" s="43"/>
      <c r="O553" s="43"/>
      <c r="P553" s="44"/>
      <c r="Q553" s="43"/>
      <c r="R553" s="43"/>
      <c r="S553" s="45"/>
      <c r="T553" s="58" t="str">
        <f>IF(Tableau1[[#This Row],[DMS_SAP]]="","",HYPERLINK(Tableau1[[#This Row],[Chemin fichier source]],"X"))</f>
        <v/>
      </c>
      <c r="U553" s="58" t="str">
        <f>IF(Tableau1[[#This Row],[Date rév.]]="","",HYPERLINK(Tableau1[[#This Row],[Lien document]],"X"))</f>
        <v/>
      </c>
      <c r="V553" s="44"/>
      <c r="W553" s="46" t="str">
        <f ca="1">Chemin_accès!$B$2&amp;Tableau1[[#This Row],[Poste Responsable]]&amp;"\"&amp;Tableau1[[#This Row],[Localisation / Classement]]&amp;"\"&amp;Tableau1[[#This Row],[Poste technique]]&amp;"_"&amp;Tableau1[[#This Row],[Plan Entretien]]&amp;".pdf"</f>
        <v>\\stjn.local\trimet\Donnees_Projets\Dms Sap\Maintenance\PlanEntretien\7.MNRJ\\_.pdf</v>
      </c>
      <c r="X553" s="44"/>
      <c r="Y553" s="44"/>
      <c r="Z553" s="41" t="str">
        <f ca="1">IF(AND(Tableau1[[#This Row],[Charge]]&lt;&gt;0, Tableau1[[#This Row],[Nombre intervenants]]&lt;&gt;0,Tableau1[[#This Row],[Lien document]]&lt;&gt;0,Tableau1[[#This Row],[DMS_SAP]]&lt;&gt;0)=TRUE,"MIS A JOUR","")</f>
        <v/>
      </c>
      <c r="AA553" s="45"/>
      <c r="AB553" s="55" t="str">
        <f ca="1">IF(Tableau1[[#This Row],[Date rév.]]&lt;&gt;"", DAYS360(Tableau1[[#This Row],[Date rév.]],TODAY()),"")</f>
        <v/>
      </c>
      <c r="AC553" s="47">
        <f>IFERROR(INDEX(Chemin_accès!$B$11:$C$22,MATCH(Tableau1[[#This Row],[Type]],Chemin_accès!$C$11:$C$22,0),1),Chemin_accès!$B$11)</f>
        <v>0</v>
      </c>
      <c r="AD553" s="47" t="str">
        <f>Chemin_accès!$B$8&amp;Tableau1[[#This Row],[Localisation / Classement]]&amp;"\"&amp;Tableau1[[#This Row],[Poste technique]]&amp;"_"&amp;Tableau1[[#This Row],[Plan Entretien]]&amp;".xlsm"</f>
        <v>\_.xlsm</v>
      </c>
    </row>
    <row r="554" spans="1:30" x14ac:dyDescent="0.3">
      <c r="A554" s="41" t="str">
        <f t="shared" ca="1" si="8"/>
        <v>7.MNRJ</v>
      </c>
      <c r="B5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4" s="43"/>
      <c r="D554" s="41"/>
      <c r="E554" s="41"/>
      <c r="F554" s="44"/>
      <c r="G554" s="44"/>
      <c r="H554" s="48"/>
      <c r="I554" s="48"/>
      <c r="J554" s="48"/>
      <c r="K554" s="48"/>
      <c r="L554" s="43"/>
      <c r="M554" s="44"/>
      <c r="N554" s="43"/>
      <c r="O554" s="43"/>
      <c r="P554" s="44"/>
      <c r="Q554" s="43"/>
      <c r="R554" s="43"/>
      <c r="S554" s="45"/>
      <c r="T554" s="58" t="str">
        <f>IF(Tableau1[[#This Row],[DMS_SAP]]="","",HYPERLINK(Tableau1[[#This Row],[Chemin fichier source]],"X"))</f>
        <v/>
      </c>
      <c r="U554" s="58" t="str">
        <f>IF(Tableau1[[#This Row],[Date rév.]]="","",HYPERLINK(Tableau1[[#This Row],[Lien document]],"X"))</f>
        <v/>
      </c>
      <c r="V554" s="44"/>
      <c r="W554" s="46" t="str">
        <f ca="1">Chemin_accès!$B$2&amp;Tableau1[[#This Row],[Poste Responsable]]&amp;"\"&amp;Tableau1[[#This Row],[Localisation / Classement]]&amp;"\"&amp;Tableau1[[#This Row],[Poste technique]]&amp;"_"&amp;Tableau1[[#This Row],[Plan Entretien]]&amp;".pdf"</f>
        <v>\\stjn.local\trimet\Donnees_Projets\Dms Sap\Maintenance\PlanEntretien\7.MNRJ\\_.pdf</v>
      </c>
      <c r="X554" s="44"/>
      <c r="Y554" s="44"/>
      <c r="Z554" s="41" t="str">
        <f ca="1">IF(AND(Tableau1[[#This Row],[Charge]]&lt;&gt;0, Tableau1[[#This Row],[Nombre intervenants]]&lt;&gt;0,Tableau1[[#This Row],[Lien document]]&lt;&gt;0,Tableau1[[#This Row],[DMS_SAP]]&lt;&gt;0)=TRUE,"MIS A JOUR","")</f>
        <v/>
      </c>
      <c r="AA554" s="45"/>
      <c r="AB554" s="55" t="str">
        <f ca="1">IF(Tableau1[[#This Row],[Date rév.]]&lt;&gt;"", DAYS360(Tableau1[[#This Row],[Date rév.]],TODAY()),"")</f>
        <v/>
      </c>
      <c r="AC554" s="47">
        <f>IFERROR(INDEX(Chemin_accès!$B$11:$C$22,MATCH(Tableau1[[#This Row],[Type]],Chemin_accès!$C$11:$C$22,0),1),Chemin_accès!$B$11)</f>
        <v>0</v>
      </c>
      <c r="AD554" s="47" t="str">
        <f>Chemin_accès!$B$8&amp;Tableau1[[#This Row],[Localisation / Classement]]&amp;"\"&amp;Tableau1[[#This Row],[Poste technique]]&amp;"_"&amp;Tableau1[[#This Row],[Plan Entretien]]&amp;".xlsm"</f>
        <v>\_.xlsm</v>
      </c>
    </row>
    <row r="555" spans="1:30" x14ac:dyDescent="0.3">
      <c r="A555" s="41" t="str">
        <f t="shared" ca="1" si="8"/>
        <v>7.MNRJ</v>
      </c>
      <c r="B5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5" s="43"/>
      <c r="D555" s="41"/>
      <c r="E555" s="41"/>
      <c r="F555" s="44"/>
      <c r="G555" s="44"/>
      <c r="H555" s="48"/>
      <c r="I555" s="48"/>
      <c r="J555" s="48"/>
      <c r="K555" s="48"/>
      <c r="L555" s="43"/>
      <c r="M555" s="44"/>
      <c r="N555" s="43"/>
      <c r="O555" s="43"/>
      <c r="P555" s="44"/>
      <c r="Q555" s="43"/>
      <c r="R555" s="43"/>
      <c r="S555" s="45"/>
      <c r="T555" s="58" t="str">
        <f>IF(Tableau1[[#This Row],[DMS_SAP]]="","",HYPERLINK(Tableau1[[#This Row],[Chemin fichier source]],"X"))</f>
        <v/>
      </c>
      <c r="U555" s="58" t="str">
        <f>IF(Tableau1[[#This Row],[Date rév.]]="","",HYPERLINK(Tableau1[[#This Row],[Lien document]],"X"))</f>
        <v/>
      </c>
      <c r="V555" s="44"/>
      <c r="W555" s="46" t="str">
        <f ca="1">Chemin_accès!$B$2&amp;Tableau1[[#This Row],[Poste Responsable]]&amp;"\"&amp;Tableau1[[#This Row],[Localisation / Classement]]&amp;"\"&amp;Tableau1[[#This Row],[Poste technique]]&amp;"_"&amp;Tableau1[[#This Row],[Plan Entretien]]&amp;".pdf"</f>
        <v>\\stjn.local\trimet\Donnees_Projets\Dms Sap\Maintenance\PlanEntretien\7.MNRJ\\_.pdf</v>
      </c>
      <c r="X555" s="44"/>
      <c r="Y555" s="44"/>
      <c r="Z555" s="41" t="str">
        <f ca="1">IF(AND(Tableau1[[#This Row],[Charge]]&lt;&gt;0, Tableau1[[#This Row],[Nombre intervenants]]&lt;&gt;0,Tableau1[[#This Row],[Lien document]]&lt;&gt;0,Tableau1[[#This Row],[DMS_SAP]]&lt;&gt;0)=TRUE,"MIS A JOUR","")</f>
        <v/>
      </c>
      <c r="AA555" s="45"/>
      <c r="AB555" s="55" t="str">
        <f ca="1">IF(Tableau1[[#This Row],[Date rév.]]&lt;&gt;"", DAYS360(Tableau1[[#This Row],[Date rév.]],TODAY()),"")</f>
        <v/>
      </c>
      <c r="AC555" s="47">
        <f>IFERROR(INDEX(Chemin_accès!$B$11:$C$22,MATCH(Tableau1[[#This Row],[Type]],Chemin_accès!$C$11:$C$22,0),1),Chemin_accès!$B$11)</f>
        <v>0</v>
      </c>
      <c r="AD555" s="47" t="str">
        <f>Chemin_accès!$B$8&amp;Tableau1[[#This Row],[Localisation / Classement]]&amp;"\"&amp;Tableau1[[#This Row],[Poste technique]]&amp;"_"&amp;Tableau1[[#This Row],[Plan Entretien]]&amp;".xlsm"</f>
        <v>\_.xlsm</v>
      </c>
    </row>
    <row r="556" spans="1:30" x14ac:dyDescent="0.3">
      <c r="A556" s="41" t="str">
        <f t="shared" ca="1" si="8"/>
        <v>7.MNRJ</v>
      </c>
      <c r="B5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6" s="43"/>
      <c r="D556" s="41"/>
      <c r="E556" s="41"/>
      <c r="F556" s="44"/>
      <c r="G556" s="44"/>
      <c r="H556" s="48"/>
      <c r="I556" s="48"/>
      <c r="J556" s="48"/>
      <c r="K556" s="48"/>
      <c r="L556" s="43"/>
      <c r="M556" s="44"/>
      <c r="N556" s="43"/>
      <c r="O556" s="43"/>
      <c r="P556" s="44"/>
      <c r="Q556" s="43"/>
      <c r="R556" s="43"/>
      <c r="S556" s="45"/>
      <c r="T556" s="58" t="str">
        <f>IF(Tableau1[[#This Row],[DMS_SAP]]="","",HYPERLINK(Tableau1[[#This Row],[Chemin fichier source]],"X"))</f>
        <v/>
      </c>
      <c r="U556" s="58" t="str">
        <f>IF(Tableau1[[#This Row],[Date rév.]]="","",HYPERLINK(Tableau1[[#This Row],[Lien document]],"X"))</f>
        <v/>
      </c>
      <c r="V556" s="44"/>
      <c r="W556" s="46" t="str">
        <f ca="1">Chemin_accès!$B$2&amp;Tableau1[[#This Row],[Poste Responsable]]&amp;"\"&amp;Tableau1[[#This Row],[Localisation / Classement]]&amp;"\"&amp;Tableau1[[#This Row],[Poste technique]]&amp;"_"&amp;Tableau1[[#This Row],[Plan Entretien]]&amp;".pdf"</f>
        <v>\\stjn.local\trimet\Donnees_Projets\Dms Sap\Maintenance\PlanEntretien\7.MNRJ\\_.pdf</v>
      </c>
      <c r="X556" s="44"/>
      <c r="Y556" s="44"/>
      <c r="Z556" s="41" t="str">
        <f ca="1">IF(AND(Tableau1[[#This Row],[Charge]]&lt;&gt;0, Tableau1[[#This Row],[Nombre intervenants]]&lt;&gt;0,Tableau1[[#This Row],[Lien document]]&lt;&gt;0,Tableau1[[#This Row],[DMS_SAP]]&lt;&gt;0)=TRUE,"MIS A JOUR","")</f>
        <v/>
      </c>
      <c r="AA556" s="45"/>
      <c r="AB556" s="55" t="str">
        <f ca="1">IF(Tableau1[[#This Row],[Date rév.]]&lt;&gt;"", DAYS360(Tableau1[[#This Row],[Date rév.]],TODAY()),"")</f>
        <v/>
      </c>
      <c r="AC556" s="47">
        <f>IFERROR(INDEX(Chemin_accès!$B$11:$C$22,MATCH(Tableau1[[#This Row],[Type]],Chemin_accès!$C$11:$C$22,0),1),Chemin_accès!$B$11)</f>
        <v>0</v>
      </c>
      <c r="AD556" s="47" t="str">
        <f>Chemin_accès!$B$8&amp;Tableau1[[#This Row],[Localisation / Classement]]&amp;"\"&amp;Tableau1[[#This Row],[Poste technique]]&amp;"_"&amp;Tableau1[[#This Row],[Plan Entretien]]&amp;".xlsm"</f>
        <v>\_.xlsm</v>
      </c>
    </row>
    <row r="557" spans="1:30" x14ac:dyDescent="0.3">
      <c r="A557" s="41" t="str">
        <f t="shared" ca="1" si="8"/>
        <v>7.MNRJ</v>
      </c>
      <c r="B5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7" s="43"/>
      <c r="D557" s="41"/>
      <c r="E557" s="41"/>
      <c r="F557" s="44"/>
      <c r="G557" s="44"/>
      <c r="H557" s="48"/>
      <c r="I557" s="48"/>
      <c r="J557" s="48"/>
      <c r="K557" s="48"/>
      <c r="L557" s="43"/>
      <c r="M557" s="44"/>
      <c r="N557" s="43"/>
      <c r="O557" s="43"/>
      <c r="P557" s="44"/>
      <c r="Q557" s="43"/>
      <c r="R557" s="43"/>
      <c r="S557" s="45"/>
      <c r="T557" s="58" t="str">
        <f>IF(Tableau1[[#This Row],[DMS_SAP]]="","",HYPERLINK(Tableau1[[#This Row],[Chemin fichier source]],"X"))</f>
        <v/>
      </c>
      <c r="U557" s="58" t="str">
        <f>IF(Tableau1[[#This Row],[Date rév.]]="","",HYPERLINK(Tableau1[[#This Row],[Lien document]],"X"))</f>
        <v/>
      </c>
      <c r="V557" s="44"/>
      <c r="W557" s="46" t="str">
        <f ca="1">Chemin_accès!$B$2&amp;Tableau1[[#This Row],[Poste Responsable]]&amp;"\"&amp;Tableau1[[#This Row],[Localisation / Classement]]&amp;"\"&amp;Tableau1[[#This Row],[Poste technique]]&amp;"_"&amp;Tableau1[[#This Row],[Plan Entretien]]&amp;".pdf"</f>
        <v>\\stjn.local\trimet\Donnees_Projets\Dms Sap\Maintenance\PlanEntretien\7.MNRJ\\_.pdf</v>
      </c>
      <c r="X557" s="44"/>
      <c r="Y557" s="44"/>
      <c r="Z557" s="41" t="str">
        <f ca="1">IF(AND(Tableau1[[#This Row],[Charge]]&lt;&gt;0, Tableau1[[#This Row],[Nombre intervenants]]&lt;&gt;0,Tableau1[[#This Row],[Lien document]]&lt;&gt;0,Tableau1[[#This Row],[DMS_SAP]]&lt;&gt;0)=TRUE,"MIS A JOUR","")</f>
        <v/>
      </c>
      <c r="AA557" s="45"/>
      <c r="AB557" s="55" t="str">
        <f ca="1">IF(Tableau1[[#This Row],[Date rév.]]&lt;&gt;"", DAYS360(Tableau1[[#This Row],[Date rév.]],TODAY()),"")</f>
        <v/>
      </c>
      <c r="AC557" s="47">
        <f>IFERROR(INDEX(Chemin_accès!$B$11:$C$22,MATCH(Tableau1[[#This Row],[Type]],Chemin_accès!$C$11:$C$22,0),1),Chemin_accès!$B$11)</f>
        <v>0</v>
      </c>
      <c r="AD557" s="47" t="str">
        <f>Chemin_accès!$B$8&amp;Tableau1[[#This Row],[Localisation / Classement]]&amp;"\"&amp;Tableau1[[#This Row],[Poste technique]]&amp;"_"&amp;Tableau1[[#This Row],[Plan Entretien]]&amp;".xlsm"</f>
        <v>\_.xlsm</v>
      </c>
    </row>
    <row r="558" spans="1:30" x14ac:dyDescent="0.3">
      <c r="A558" s="41" t="str">
        <f t="shared" ca="1" si="8"/>
        <v>7.MNRJ</v>
      </c>
      <c r="B5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8" s="43"/>
      <c r="D558" s="41"/>
      <c r="E558" s="41"/>
      <c r="F558" s="44"/>
      <c r="G558" s="44"/>
      <c r="H558" s="48"/>
      <c r="I558" s="48"/>
      <c r="J558" s="48"/>
      <c r="K558" s="48"/>
      <c r="L558" s="43"/>
      <c r="M558" s="44"/>
      <c r="N558" s="43"/>
      <c r="O558" s="43"/>
      <c r="P558" s="44"/>
      <c r="Q558" s="43"/>
      <c r="R558" s="43"/>
      <c r="S558" s="45"/>
      <c r="T558" s="58" t="str">
        <f>IF(Tableau1[[#This Row],[DMS_SAP]]="","",HYPERLINK(Tableau1[[#This Row],[Chemin fichier source]],"X"))</f>
        <v/>
      </c>
      <c r="U558" s="58" t="str">
        <f>IF(Tableau1[[#This Row],[Date rév.]]="","",HYPERLINK(Tableau1[[#This Row],[Lien document]],"X"))</f>
        <v/>
      </c>
      <c r="V558" s="44"/>
      <c r="W558" s="46" t="str">
        <f ca="1">Chemin_accès!$B$2&amp;Tableau1[[#This Row],[Poste Responsable]]&amp;"\"&amp;Tableau1[[#This Row],[Localisation / Classement]]&amp;"\"&amp;Tableau1[[#This Row],[Poste technique]]&amp;"_"&amp;Tableau1[[#This Row],[Plan Entretien]]&amp;".pdf"</f>
        <v>\\stjn.local\trimet\Donnees_Projets\Dms Sap\Maintenance\PlanEntretien\7.MNRJ\\_.pdf</v>
      </c>
      <c r="X558" s="44"/>
      <c r="Y558" s="44"/>
      <c r="Z558" s="41" t="str">
        <f ca="1">IF(AND(Tableau1[[#This Row],[Charge]]&lt;&gt;0, Tableau1[[#This Row],[Nombre intervenants]]&lt;&gt;0,Tableau1[[#This Row],[Lien document]]&lt;&gt;0,Tableau1[[#This Row],[DMS_SAP]]&lt;&gt;0)=TRUE,"MIS A JOUR","")</f>
        <v/>
      </c>
      <c r="AA558" s="45"/>
      <c r="AB558" s="55" t="str">
        <f ca="1">IF(Tableau1[[#This Row],[Date rév.]]&lt;&gt;"", DAYS360(Tableau1[[#This Row],[Date rév.]],TODAY()),"")</f>
        <v/>
      </c>
      <c r="AC558" s="47">
        <f>IFERROR(INDEX(Chemin_accès!$B$11:$C$22,MATCH(Tableau1[[#This Row],[Type]],Chemin_accès!$C$11:$C$22,0),1),Chemin_accès!$B$11)</f>
        <v>0</v>
      </c>
      <c r="AD558" s="47" t="str">
        <f>Chemin_accès!$B$8&amp;Tableau1[[#This Row],[Localisation / Classement]]&amp;"\"&amp;Tableau1[[#This Row],[Poste technique]]&amp;"_"&amp;Tableau1[[#This Row],[Plan Entretien]]&amp;".xlsm"</f>
        <v>\_.xlsm</v>
      </c>
    </row>
    <row r="559" spans="1:30" x14ac:dyDescent="0.3">
      <c r="A559" s="41" t="str">
        <f t="shared" ca="1" si="8"/>
        <v>7.MNRJ</v>
      </c>
      <c r="B5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9" s="43"/>
      <c r="D559" s="41"/>
      <c r="E559" s="41"/>
      <c r="F559" s="44"/>
      <c r="G559" s="44"/>
      <c r="H559" s="48"/>
      <c r="I559" s="48"/>
      <c r="J559" s="48"/>
      <c r="K559" s="48"/>
      <c r="L559" s="43"/>
      <c r="M559" s="44"/>
      <c r="N559" s="43"/>
      <c r="O559" s="43"/>
      <c r="P559" s="44"/>
      <c r="Q559" s="43"/>
      <c r="R559" s="43"/>
      <c r="S559" s="45"/>
      <c r="T559" s="58" t="str">
        <f>IF(Tableau1[[#This Row],[DMS_SAP]]="","",HYPERLINK(Tableau1[[#This Row],[Chemin fichier source]],"X"))</f>
        <v/>
      </c>
      <c r="U559" s="58" t="str">
        <f>IF(Tableau1[[#This Row],[Date rév.]]="","",HYPERLINK(Tableau1[[#This Row],[Lien document]],"X"))</f>
        <v/>
      </c>
      <c r="V559" s="44"/>
      <c r="W559" s="46" t="str">
        <f ca="1">Chemin_accès!$B$2&amp;Tableau1[[#This Row],[Poste Responsable]]&amp;"\"&amp;Tableau1[[#This Row],[Localisation / Classement]]&amp;"\"&amp;Tableau1[[#This Row],[Poste technique]]&amp;"_"&amp;Tableau1[[#This Row],[Plan Entretien]]&amp;".pdf"</f>
        <v>\\stjn.local\trimet\Donnees_Projets\Dms Sap\Maintenance\PlanEntretien\7.MNRJ\\_.pdf</v>
      </c>
      <c r="X559" s="44"/>
      <c r="Y559" s="44"/>
      <c r="Z559" s="41" t="str">
        <f ca="1">IF(AND(Tableau1[[#This Row],[Charge]]&lt;&gt;0, Tableau1[[#This Row],[Nombre intervenants]]&lt;&gt;0,Tableau1[[#This Row],[Lien document]]&lt;&gt;0,Tableau1[[#This Row],[DMS_SAP]]&lt;&gt;0)=TRUE,"MIS A JOUR","")</f>
        <v/>
      </c>
      <c r="AA559" s="45"/>
      <c r="AB559" s="55" t="str">
        <f ca="1">IF(Tableau1[[#This Row],[Date rév.]]&lt;&gt;"", DAYS360(Tableau1[[#This Row],[Date rév.]],TODAY()),"")</f>
        <v/>
      </c>
      <c r="AC559" s="47">
        <f>IFERROR(INDEX(Chemin_accès!$B$11:$C$22,MATCH(Tableau1[[#This Row],[Type]],Chemin_accès!$C$11:$C$22,0),1),Chemin_accès!$B$11)</f>
        <v>0</v>
      </c>
      <c r="AD559" s="47" t="str">
        <f>Chemin_accès!$B$8&amp;Tableau1[[#This Row],[Localisation / Classement]]&amp;"\"&amp;Tableau1[[#This Row],[Poste technique]]&amp;"_"&amp;Tableau1[[#This Row],[Plan Entretien]]&amp;".xlsm"</f>
        <v>\_.xlsm</v>
      </c>
    </row>
    <row r="560" spans="1:30" x14ac:dyDescent="0.3">
      <c r="A560" s="41" t="str">
        <f t="shared" ca="1" si="8"/>
        <v>7.MNRJ</v>
      </c>
      <c r="B5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0" s="43"/>
      <c r="D560" s="41"/>
      <c r="E560" s="41"/>
      <c r="F560" s="44"/>
      <c r="G560" s="44"/>
      <c r="H560" s="48"/>
      <c r="I560" s="48"/>
      <c r="J560" s="48"/>
      <c r="K560" s="48"/>
      <c r="L560" s="43"/>
      <c r="M560" s="44"/>
      <c r="N560" s="43"/>
      <c r="O560" s="43"/>
      <c r="P560" s="44"/>
      <c r="Q560" s="43"/>
      <c r="R560" s="43"/>
      <c r="S560" s="45"/>
      <c r="T560" s="58" t="str">
        <f>IF(Tableau1[[#This Row],[DMS_SAP]]="","",HYPERLINK(Tableau1[[#This Row],[Chemin fichier source]],"X"))</f>
        <v/>
      </c>
      <c r="U560" s="58" t="str">
        <f>IF(Tableau1[[#This Row],[Date rév.]]="","",HYPERLINK(Tableau1[[#This Row],[Lien document]],"X"))</f>
        <v/>
      </c>
      <c r="V560" s="44"/>
      <c r="W560" s="46" t="str">
        <f ca="1">Chemin_accès!$B$2&amp;Tableau1[[#This Row],[Poste Responsable]]&amp;"\"&amp;Tableau1[[#This Row],[Localisation / Classement]]&amp;"\"&amp;Tableau1[[#This Row],[Poste technique]]&amp;"_"&amp;Tableau1[[#This Row],[Plan Entretien]]&amp;".pdf"</f>
        <v>\\stjn.local\trimet\Donnees_Projets\Dms Sap\Maintenance\PlanEntretien\7.MNRJ\\_.pdf</v>
      </c>
      <c r="X560" s="44"/>
      <c r="Y560" s="44"/>
      <c r="Z560" s="41" t="str">
        <f ca="1">IF(AND(Tableau1[[#This Row],[Charge]]&lt;&gt;0, Tableau1[[#This Row],[Nombre intervenants]]&lt;&gt;0,Tableau1[[#This Row],[Lien document]]&lt;&gt;0,Tableau1[[#This Row],[DMS_SAP]]&lt;&gt;0)=TRUE,"MIS A JOUR","")</f>
        <v/>
      </c>
      <c r="AA560" s="45"/>
      <c r="AB560" s="55" t="str">
        <f ca="1">IF(Tableau1[[#This Row],[Date rév.]]&lt;&gt;"", DAYS360(Tableau1[[#This Row],[Date rév.]],TODAY()),"")</f>
        <v/>
      </c>
      <c r="AC560" s="47">
        <f>IFERROR(INDEX(Chemin_accès!$B$11:$C$22,MATCH(Tableau1[[#This Row],[Type]],Chemin_accès!$C$11:$C$22,0),1),Chemin_accès!$B$11)</f>
        <v>0</v>
      </c>
      <c r="AD560" s="47" t="str">
        <f>Chemin_accès!$B$8&amp;Tableau1[[#This Row],[Localisation / Classement]]&amp;"\"&amp;Tableau1[[#This Row],[Poste technique]]&amp;"_"&amp;Tableau1[[#This Row],[Plan Entretien]]&amp;".xlsm"</f>
        <v>\_.xlsm</v>
      </c>
    </row>
    <row r="561" spans="1:30" x14ac:dyDescent="0.3">
      <c r="A561" s="41" t="str">
        <f t="shared" ca="1" si="8"/>
        <v>7.MNRJ</v>
      </c>
      <c r="B5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1" s="43"/>
      <c r="D561" s="41"/>
      <c r="E561" s="41"/>
      <c r="F561" s="44"/>
      <c r="G561" s="44"/>
      <c r="H561" s="48"/>
      <c r="I561" s="48"/>
      <c r="J561" s="48"/>
      <c r="K561" s="48"/>
      <c r="L561" s="43"/>
      <c r="M561" s="44"/>
      <c r="N561" s="43"/>
      <c r="O561" s="43"/>
      <c r="P561" s="44"/>
      <c r="Q561" s="43"/>
      <c r="R561" s="43"/>
      <c r="S561" s="45"/>
      <c r="T561" s="58" t="str">
        <f>IF(Tableau1[[#This Row],[DMS_SAP]]="","",HYPERLINK(Tableau1[[#This Row],[Chemin fichier source]],"X"))</f>
        <v/>
      </c>
      <c r="U561" s="58" t="str">
        <f>IF(Tableau1[[#This Row],[Date rév.]]="","",HYPERLINK(Tableau1[[#This Row],[Lien document]],"X"))</f>
        <v/>
      </c>
      <c r="V561" s="44"/>
      <c r="W561" s="46" t="str">
        <f ca="1">Chemin_accès!$B$2&amp;Tableau1[[#This Row],[Poste Responsable]]&amp;"\"&amp;Tableau1[[#This Row],[Localisation / Classement]]&amp;"\"&amp;Tableau1[[#This Row],[Poste technique]]&amp;"_"&amp;Tableau1[[#This Row],[Plan Entretien]]&amp;".pdf"</f>
        <v>\\stjn.local\trimet\Donnees_Projets\Dms Sap\Maintenance\PlanEntretien\7.MNRJ\\_.pdf</v>
      </c>
      <c r="X561" s="44"/>
      <c r="Y561" s="44"/>
      <c r="Z561" s="41" t="str">
        <f ca="1">IF(AND(Tableau1[[#This Row],[Charge]]&lt;&gt;0, Tableau1[[#This Row],[Nombre intervenants]]&lt;&gt;0,Tableau1[[#This Row],[Lien document]]&lt;&gt;0,Tableau1[[#This Row],[DMS_SAP]]&lt;&gt;0)=TRUE,"MIS A JOUR","")</f>
        <v/>
      </c>
      <c r="AA561" s="45"/>
      <c r="AB561" s="55" t="str">
        <f ca="1">IF(Tableau1[[#This Row],[Date rév.]]&lt;&gt;"", DAYS360(Tableau1[[#This Row],[Date rév.]],TODAY()),"")</f>
        <v/>
      </c>
      <c r="AC561" s="47">
        <f>IFERROR(INDEX(Chemin_accès!$B$11:$C$22,MATCH(Tableau1[[#This Row],[Type]],Chemin_accès!$C$11:$C$22,0),1),Chemin_accès!$B$11)</f>
        <v>0</v>
      </c>
      <c r="AD561" s="47" t="str">
        <f>Chemin_accès!$B$8&amp;Tableau1[[#This Row],[Localisation / Classement]]&amp;"\"&amp;Tableau1[[#This Row],[Poste technique]]&amp;"_"&amp;Tableau1[[#This Row],[Plan Entretien]]&amp;".xlsm"</f>
        <v>\_.xlsm</v>
      </c>
    </row>
    <row r="562" spans="1:30" x14ac:dyDescent="0.3">
      <c r="A562" s="41" t="str">
        <f t="shared" ca="1" si="8"/>
        <v>7.MNRJ</v>
      </c>
      <c r="B5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2" s="43"/>
      <c r="D562" s="41"/>
      <c r="E562" s="41"/>
      <c r="F562" s="44"/>
      <c r="G562" s="44"/>
      <c r="H562" s="48"/>
      <c r="I562" s="48"/>
      <c r="J562" s="48"/>
      <c r="K562" s="48"/>
      <c r="L562" s="43"/>
      <c r="M562" s="44"/>
      <c r="N562" s="43"/>
      <c r="O562" s="43"/>
      <c r="P562" s="44"/>
      <c r="Q562" s="43"/>
      <c r="R562" s="43"/>
      <c r="S562" s="45"/>
      <c r="T562" s="58" t="str">
        <f>IF(Tableau1[[#This Row],[DMS_SAP]]="","",HYPERLINK(Tableau1[[#This Row],[Chemin fichier source]],"X"))</f>
        <v/>
      </c>
      <c r="U562" s="58" t="str">
        <f>IF(Tableau1[[#This Row],[Date rév.]]="","",HYPERLINK(Tableau1[[#This Row],[Lien document]],"X"))</f>
        <v/>
      </c>
      <c r="V562" s="44"/>
      <c r="W562" s="46" t="str">
        <f ca="1">Chemin_accès!$B$2&amp;Tableau1[[#This Row],[Poste Responsable]]&amp;"\"&amp;Tableau1[[#This Row],[Localisation / Classement]]&amp;"\"&amp;Tableau1[[#This Row],[Poste technique]]&amp;"_"&amp;Tableau1[[#This Row],[Plan Entretien]]&amp;".pdf"</f>
        <v>\\stjn.local\trimet\Donnees_Projets\Dms Sap\Maintenance\PlanEntretien\7.MNRJ\\_.pdf</v>
      </c>
      <c r="X562" s="44"/>
      <c r="Y562" s="44"/>
      <c r="Z562" s="41" t="str">
        <f ca="1">IF(AND(Tableau1[[#This Row],[Charge]]&lt;&gt;0, Tableau1[[#This Row],[Nombre intervenants]]&lt;&gt;0,Tableau1[[#This Row],[Lien document]]&lt;&gt;0,Tableau1[[#This Row],[DMS_SAP]]&lt;&gt;0)=TRUE,"MIS A JOUR","")</f>
        <v/>
      </c>
      <c r="AA562" s="45"/>
      <c r="AB562" s="55" t="str">
        <f ca="1">IF(Tableau1[[#This Row],[Date rév.]]&lt;&gt;"", DAYS360(Tableau1[[#This Row],[Date rév.]],TODAY()),"")</f>
        <v/>
      </c>
      <c r="AC562" s="47">
        <f>IFERROR(INDEX(Chemin_accès!$B$11:$C$22,MATCH(Tableau1[[#This Row],[Type]],Chemin_accès!$C$11:$C$22,0),1),Chemin_accès!$B$11)</f>
        <v>0</v>
      </c>
      <c r="AD562" s="47" t="str">
        <f>Chemin_accès!$B$8&amp;Tableau1[[#This Row],[Localisation / Classement]]&amp;"\"&amp;Tableau1[[#This Row],[Poste technique]]&amp;"_"&amp;Tableau1[[#This Row],[Plan Entretien]]&amp;".xlsm"</f>
        <v>\_.xlsm</v>
      </c>
    </row>
    <row r="563" spans="1:30" x14ac:dyDescent="0.3">
      <c r="A563" s="41" t="str">
        <f t="shared" ca="1" si="8"/>
        <v>7.MNRJ</v>
      </c>
      <c r="B5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3" s="43"/>
      <c r="D563" s="41"/>
      <c r="E563" s="41"/>
      <c r="F563" s="44"/>
      <c r="G563" s="44"/>
      <c r="H563" s="48"/>
      <c r="I563" s="48"/>
      <c r="J563" s="48"/>
      <c r="K563" s="48"/>
      <c r="L563" s="43"/>
      <c r="M563" s="44"/>
      <c r="N563" s="43"/>
      <c r="O563" s="43"/>
      <c r="P563" s="44"/>
      <c r="Q563" s="43"/>
      <c r="R563" s="43"/>
      <c r="S563" s="45"/>
      <c r="T563" s="58" t="str">
        <f>IF(Tableau1[[#This Row],[DMS_SAP]]="","",HYPERLINK(Tableau1[[#This Row],[Chemin fichier source]],"X"))</f>
        <v/>
      </c>
      <c r="U563" s="58" t="str">
        <f>IF(Tableau1[[#This Row],[Date rév.]]="","",HYPERLINK(Tableau1[[#This Row],[Lien document]],"X"))</f>
        <v/>
      </c>
      <c r="V563" s="44"/>
      <c r="W563" s="46" t="str">
        <f ca="1">Chemin_accès!$B$2&amp;Tableau1[[#This Row],[Poste Responsable]]&amp;"\"&amp;Tableau1[[#This Row],[Localisation / Classement]]&amp;"\"&amp;Tableau1[[#This Row],[Poste technique]]&amp;"_"&amp;Tableau1[[#This Row],[Plan Entretien]]&amp;".pdf"</f>
        <v>\\stjn.local\trimet\Donnees_Projets\Dms Sap\Maintenance\PlanEntretien\7.MNRJ\\_.pdf</v>
      </c>
      <c r="X563" s="44"/>
      <c r="Y563" s="44"/>
      <c r="Z563" s="41" t="str">
        <f ca="1">IF(AND(Tableau1[[#This Row],[Charge]]&lt;&gt;0, Tableau1[[#This Row],[Nombre intervenants]]&lt;&gt;0,Tableau1[[#This Row],[Lien document]]&lt;&gt;0,Tableau1[[#This Row],[DMS_SAP]]&lt;&gt;0)=TRUE,"MIS A JOUR","")</f>
        <v/>
      </c>
      <c r="AA563" s="45"/>
      <c r="AB563" s="55" t="str">
        <f ca="1">IF(Tableau1[[#This Row],[Date rév.]]&lt;&gt;"", DAYS360(Tableau1[[#This Row],[Date rév.]],TODAY()),"")</f>
        <v/>
      </c>
      <c r="AC563" s="47">
        <f>IFERROR(INDEX(Chemin_accès!$B$11:$C$22,MATCH(Tableau1[[#This Row],[Type]],Chemin_accès!$C$11:$C$22,0),1),Chemin_accès!$B$11)</f>
        <v>0</v>
      </c>
      <c r="AD563" s="47" t="str">
        <f>Chemin_accès!$B$8&amp;Tableau1[[#This Row],[Localisation / Classement]]&amp;"\"&amp;Tableau1[[#This Row],[Poste technique]]&amp;"_"&amp;Tableau1[[#This Row],[Plan Entretien]]&amp;".xlsm"</f>
        <v>\_.xlsm</v>
      </c>
    </row>
    <row r="564" spans="1:30" x14ac:dyDescent="0.3">
      <c r="A564" s="41" t="str">
        <f t="shared" ca="1" si="8"/>
        <v>7.MNRJ</v>
      </c>
      <c r="B5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4" s="43"/>
      <c r="D564" s="41"/>
      <c r="E564" s="41"/>
      <c r="F564" s="44"/>
      <c r="G564" s="44"/>
      <c r="H564" s="48"/>
      <c r="I564" s="48"/>
      <c r="J564" s="48"/>
      <c r="K564" s="48"/>
      <c r="L564" s="43"/>
      <c r="M564" s="44"/>
      <c r="N564" s="43"/>
      <c r="O564" s="43"/>
      <c r="P564" s="44"/>
      <c r="Q564" s="43"/>
      <c r="R564" s="43"/>
      <c r="S564" s="45"/>
      <c r="T564" s="58" t="str">
        <f>IF(Tableau1[[#This Row],[DMS_SAP]]="","",HYPERLINK(Tableau1[[#This Row],[Chemin fichier source]],"X"))</f>
        <v/>
      </c>
      <c r="U564" s="58" t="str">
        <f>IF(Tableau1[[#This Row],[Date rév.]]="","",HYPERLINK(Tableau1[[#This Row],[Lien document]],"X"))</f>
        <v/>
      </c>
      <c r="V564" s="44"/>
      <c r="W564" s="46" t="str">
        <f ca="1">Chemin_accès!$B$2&amp;Tableau1[[#This Row],[Poste Responsable]]&amp;"\"&amp;Tableau1[[#This Row],[Localisation / Classement]]&amp;"\"&amp;Tableau1[[#This Row],[Poste technique]]&amp;"_"&amp;Tableau1[[#This Row],[Plan Entretien]]&amp;".pdf"</f>
        <v>\\stjn.local\trimet\Donnees_Projets\Dms Sap\Maintenance\PlanEntretien\7.MNRJ\\_.pdf</v>
      </c>
      <c r="X564" s="44"/>
      <c r="Y564" s="44"/>
      <c r="Z564" s="41" t="str">
        <f ca="1">IF(AND(Tableau1[[#This Row],[Charge]]&lt;&gt;0, Tableau1[[#This Row],[Nombre intervenants]]&lt;&gt;0,Tableau1[[#This Row],[Lien document]]&lt;&gt;0,Tableau1[[#This Row],[DMS_SAP]]&lt;&gt;0)=TRUE,"MIS A JOUR","")</f>
        <v/>
      </c>
      <c r="AA564" s="45"/>
      <c r="AB564" s="55" t="str">
        <f ca="1">IF(Tableau1[[#This Row],[Date rév.]]&lt;&gt;"", DAYS360(Tableau1[[#This Row],[Date rév.]],TODAY()),"")</f>
        <v/>
      </c>
      <c r="AC564" s="47">
        <f>IFERROR(INDEX(Chemin_accès!$B$11:$C$22,MATCH(Tableau1[[#This Row],[Type]],Chemin_accès!$C$11:$C$22,0),1),Chemin_accès!$B$11)</f>
        <v>0</v>
      </c>
      <c r="AD564" s="47" t="str">
        <f>Chemin_accès!$B$8&amp;Tableau1[[#This Row],[Localisation / Classement]]&amp;"\"&amp;Tableau1[[#This Row],[Poste technique]]&amp;"_"&amp;Tableau1[[#This Row],[Plan Entretien]]&amp;".xlsm"</f>
        <v>\_.xlsm</v>
      </c>
    </row>
    <row r="565" spans="1:30" x14ac:dyDescent="0.3">
      <c r="A565" s="41" t="str">
        <f t="shared" ca="1" si="8"/>
        <v>7.MNRJ</v>
      </c>
      <c r="B5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5" s="43"/>
      <c r="D565" s="41"/>
      <c r="E565" s="41"/>
      <c r="F565" s="44"/>
      <c r="G565" s="44"/>
      <c r="H565" s="48"/>
      <c r="I565" s="48"/>
      <c r="J565" s="48"/>
      <c r="K565" s="48"/>
      <c r="L565" s="43"/>
      <c r="M565" s="44"/>
      <c r="N565" s="43"/>
      <c r="O565" s="43"/>
      <c r="P565" s="44"/>
      <c r="Q565" s="43"/>
      <c r="R565" s="43"/>
      <c r="S565" s="45"/>
      <c r="T565" s="58" t="str">
        <f>IF(Tableau1[[#This Row],[DMS_SAP]]="","",HYPERLINK(Tableau1[[#This Row],[Chemin fichier source]],"X"))</f>
        <v/>
      </c>
      <c r="U565" s="58" t="str">
        <f>IF(Tableau1[[#This Row],[Date rév.]]="","",HYPERLINK(Tableau1[[#This Row],[Lien document]],"X"))</f>
        <v/>
      </c>
      <c r="V565" s="44"/>
      <c r="W565" s="46" t="str">
        <f ca="1">Chemin_accès!$B$2&amp;Tableau1[[#This Row],[Poste Responsable]]&amp;"\"&amp;Tableau1[[#This Row],[Localisation / Classement]]&amp;"\"&amp;Tableau1[[#This Row],[Poste technique]]&amp;"_"&amp;Tableau1[[#This Row],[Plan Entretien]]&amp;".pdf"</f>
        <v>\\stjn.local\trimet\Donnees_Projets\Dms Sap\Maintenance\PlanEntretien\7.MNRJ\\_.pdf</v>
      </c>
      <c r="X565" s="44"/>
      <c r="Y565" s="44"/>
      <c r="Z565" s="41" t="str">
        <f ca="1">IF(AND(Tableau1[[#This Row],[Charge]]&lt;&gt;0, Tableau1[[#This Row],[Nombre intervenants]]&lt;&gt;0,Tableau1[[#This Row],[Lien document]]&lt;&gt;0,Tableau1[[#This Row],[DMS_SAP]]&lt;&gt;0)=TRUE,"MIS A JOUR","")</f>
        <v/>
      </c>
      <c r="AA565" s="45"/>
      <c r="AB565" s="55" t="str">
        <f ca="1">IF(Tableau1[[#This Row],[Date rév.]]&lt;&gt;"", DAYS360(Tableau1[[#This Row],[Date rév.]],TODAY()),"")</f>
        <v/>
      </c>
      <c r="AC565" s="47">
        <f>IFERROR(INDEX(Chemin_accès!$B$11:$C$22,MATCH(Tableau1[[#This Row],[Type]],Chemin_accès!$C$11:$C$22,0),1),Chemin_accès!$B$11)</f>
        <v>0</v>
      </c>
      <c r="AD565" s="47" t="str">
        <f>Chemin_accès!$B$8&amp;Tableau1[[#This Row],[Localisation / Classement]]&amp;"\"&amp;Tableau1[[#This Row],[Poste technique]]&amp;"_"&amp;Tableau1[[#This Row],[Plan Entretien]]&amp;".xlsm"</f>
        <v>\_.xlsm</v>
      </c>
    </row>
    <row r="566" spans="1:30" x14ac:dyDescent="0.3">
      <c r="A566" s="41" t="str">
        <f t="shared" ca="1" si="8"/>
        <v>7.MNRJ</v>
      </c>
      <c r="B5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6" s="43"/>
      <c r="D566" s="41"/>
      <c r="E566" s="41"/>
      <c r="F566" s="44"/>
      <c r="G566" s="44"/>
      <c r="H566" s="48"/>
      <c r="I566" s="48"/>
      <c r="J566" s="48"/>
      <c r="K566" s="48"/>
      <c r="L566" s="43"/>
      <c r="M566" s="44"/>
      <c r="N566" s="43"/>
      <c r="O566" s="43"/>
      <c r="P566" s="44"/>
      <c r="Q566" s="43"/>
      <c r="R566" s="43"/>
      <c r="S566" s="45"/>
      <c r="T566" s="58" t="str">
        <f>IF(Tableau1[[#This Row],[DMS_SAP]]="","",HYPERLINK(Tableau1[[#This Row],[Chemin fichier source]],"X"))</f>
        <v/>
      </c>
      <c r="U566" s="58" t="str">
        <f>IF(Tableau1[[#This Row],[Date rév.]]="","",HYPERLINK(Tableau1[[#This Row],[Lien document]],"X"))</f>
        <v/>
      </c>
      <c r="V566" s="44"/>
      <c r="W566" s="46" t="str">
        <f ca="1">Chemin_accès!$B$2&amp;Tableau1[[#This Row],[Poste Responsable]]&amp;"\"&amp;Tableau1[[#This Row],[Localisation / Classement]]&amp;"\"&amp;Tableau1[[#This Row],[Poste technique]]&amp;"_"&amp;Tableau1[[#This Row],[Plan Entretien]]&amp;".pdf"</f>
        <v>\\stjn.local\trimet\Donnees_Projets\Dms Sap\Maintenance\PlanEntretien\7.MNRJ\\_.pdf</v>
      </c>
      <c r="X566" s="44"/>
      <c r="Y566" s="44"/>
      <c r="Z566" s="41" t="str">
        <f ca="1">IF(AND(Tableau1[[#This Row],[Charge]]&lt;&gt;0, Tableau1[[#This Row],[Nombre intervenants]]&lt;&gt;0,Tableau1[[#This Row],[Lien document]]&lt;&gt;0,Tableau1[[#This Row],[DMS_SAP]]&lt;&gt;0)=TRUE,"MIS A JOUR","")</f>
        <v/>
      </c>
      <c r="AA566" s="45"/>
      <c r="AB566" s="55" t="str">
        <f ca="1">IF(Tableau1[[#This Row],[Date rév.]]&lt;&gt;"", DAYS360(Tableau1[[#This Row],[Date rév.]],TODAY()),"")</f>
        <v/>
      </c>
      <c r="AC566" s="47">
        <f>IFERROR(INDEX(Chemin_accès!$B$11:$C$22,MATCH(Tableau1[[#This Row],[Type]],Chemin_accès!$C$11:$C$22,0),1),Chemin_accès!$B$11)</f>
        <v>0</v>
      </c>
      <c r="AD566" s="47" t="str">
        <f>Chemin_accès!$B$8&amp;Tableau1[[#This Row],[Localisation / Classement]]&amp;"\"&amp;Tableau1[[#This Row],[Poste technique]]&amp;"_"&amp;Tableau1[[#This Row],[Plan Entretien]]&amp;".xlsm"</f>
        <v>\_.xlsm</v>
      </c>
    </row>
    <row r="567" spans="1:30" x14ac:dyDescent="0.3">
      <c r="A567" s="41" t="str">
        <f t="shared" ca="1" si="8"/>
        <v>7.MNRJ</v>
      </c>
      <c r="B5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7" s="43"/>
      <c r="D567" s="41"/>
      <c r="E567" s="41"/>
      <c r="F567" s="44"/>
      <c r="G567" s="44"/>
      <c r="H567" s="48"/>
      <c r="I567" s="48"/>
      <c r="J567" s="48"/>
      <c r="K567" s="48"/>
      <c r="L567" s="43"/>
      <c r="M567" s="44"/>
      <c r="N567" s="43"/>
      <c r="O567" s="43"/>
      <c r="P567" s="44"/>
      <c r="Q567" s="43"/>
      <c r="R567" s="43"/>
      <c r="S567" s="45"/>
      <c r="T567" s="58" t="str">
        <f>IF(Tableau1[[#This Row],[DMS_SAP]]="","",HYPERLINK(Tableau1[[#This Row],[Chemin fichier source]],"X"))</f>
        <v/>
      </c>
      <c r="U567" s="58" t="str">
        <f>IF(Tableau1[[#This Row],[Date rév.]]="","",HYPERLINK(Tableau1[[#This Row],[Lien document]],"X"))</f>
        <v/>
      </c>
      <c r="V567" s="44"/>
      <c r="W567" s="46" t="str">
        <f ca="1">Chemin_accès!$B$2&amp;Tableau1[[#This Row],[Poste Responsable]]&amp;"\"&amp;Tableau1[[#This Row],[Localisation / Classement]]&amp;"\"&amp;Tableau1[[#This Row],[Poste technique]]&amp;"_"&amp;Tableau1[[#This Row],[Plan Entretien]]&amp;".pdf"</f>
        <v>\\stjn.local\trimet\Donnees_Projets\Dms Sap\Maintenance\PlanEntretien\7.MNRJ\\_.pdf</v>
      </c>
      <c r="X567" s="44"/>
      <c r="Y567" s="44"/>
      <c r="Z567" s="41" t="str">
        <f ca="1">IF(AND(Tableau1[[#This Row],[Charge]]&lt;&gt;0, Tableau1[[#This Row],[Nombre intervenants]]&lt;&gt;0,Tableau1[[#This Row],[Lien document]]&lt;&gt;0,Tableau1[[#This Row],[DMS_SAP]]&lt;&gt;0)=TRUE,"MIS A JOUR","")</f>
        <v/>
      </c>
      <c r="AA567" s="45"/>
      <c r="AB567" s="55" t="str">
        <f ca="1">IF(Tableau1[[#This Row],[Date rév.]]&lt;&gt;"", DAYS360(Tableau1[[#This Row],[Date rév.]],TODAY()),"")</f>
        <v/>
      </c>
      <c r="AC567" s="47">
        <f>IFERROR(INDEX(Chemin_accès!$B$11:$C$22,MATCH(Tableau1[[#This Row],[Type]],Chemin_accès!$C$11:$C$22,0),1),Chemin_accès!$B$11)</f>
        <v>0</v>
      </c>
      <c r="AD567" s="47" t="str">
        <f>Chemin_accès!$B$8&amp;Tableau1[[#This Row],[Localisation / Classement]]&amp;"\"&amp;Tableau1[[#This Row],[Poste technique]]&amp;"_"&amp;Tableau1[[#This Row],[Plan Entretien]]&amp;".xlsm"</f>
        <v>\_.xlsm</v>
      </c>
    </row>
    <row r="568" spans="1:30" x14ac:dyDescent="0.3">
      <c r="A568" s="41" t="str">
        <f t="shared" ca="1" si="8"/>
        <v>7.MNRJ</v>
      </c>
      <c r="B5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8" s="43"/>
      <c r="D568" s="41"/>
      <c r="E568" s="41"/>
      <c r="F568" s="44"/>
      <c r="G568" s="44"/>
      <c r="H568" s="48"/>
      <c r="I568" s="48"/>
      <c r="J568" s="48"/>
      <c r="K568" s="48"/>
      <c r="L568" s="43"/>
      <c r="M568" s="44"/>
      <c r="N568" s="43"/>
      <c r="O568" s="43"/>
      <c r="P568" s="44"/>
      <c r="Q568" s="43"/>
      <c r="R568" s="43"/>
      <c r="S568" s="45"/>
      <c r="T568" s="58" t="str">
        <f>IF(Tableau1[[#This Row],[DMS_SAP]]="","",HYPERLINK(Tableau1[[#This Row],[Chemin fichier source]],"X"))</f>
        <v/>
      </c>
      <c r="U568" s="58" t="str">
        <f>IF(Tableau1[[#This Row],[Date rév.]]="","",HYPERLINK(Tableau1[[#This Row],[Lien document]],"X"))</f>
        <v/>
      </c>
      <c r="V568" s="44"/>
      <c r="W568" s="46" t="str">
        <f ca="1">Chemin_accès!$B$2&amp;Tableau1[[#This Row],[Poste Responsable]]&amp;"\"&amp;Tableau1[[#This Row],[Localisation / Classement]]&amp;"\"&amp;Tableau1[[#This Row],[Poste technique]]&amp;"_"&amp;Tableau1[[#This Row],[Plan Entretien]]&amp;".pdf"</f>
        <v>\\stjn.local\trimet\Donnees_Projets\Dms Sap\Maintenance\PlanEntretien\7.MNRJ\\_.pdf</v>
      </c>
      <c r="X568" s="44"/>
      <c r="Y568" s="44"/>
      <c r="Z568" s="41" t="str">
        <f ca="1">IF(AND(Tableau1[[#This Row],[Charge]]&lt;&gt;0, Tableau1[[#This Row],[Nombre intervenants]]&lt;&gt;0,Tableau1[[#This Row],[Lien document]]&lt;&gt;0,Tableau1[[#This Row],[DMS_SAP]]&lt;&gt;0)=TRUE,"MIS A JOUR","")</f>
        <v/>
      </c>
      <c r="AA568" s="45"/>
      <c r="AB568" s="55" t="str">
        <f ca="1">IF(Tableau1[[#This Row],[Date rév.]]&lt;&gt;"", DAYS360(Tableau1[[#This Row],[Date rév.]],TODAY()),"")</f>
        <v/>
      </c>
      <c r="AC568" s="47">
        <f>IFERROR(INDEX(Chemin_accès!$B$11:$C$22,MATCH(Tableau1[[#This Row],[Type]],Chemin_accès!$C$11:$C$22,0),1),Chemin_accès!$B$11)</f>
        <v>0</v>
      </c>
      <c r="AD568" s="47" t="str">
        <f>Chemin_accès!$B$8&amp;Tableau1[[#This Row],[Localisation / Classement]]&amp;"\"&amp;Tableau1[[#This Row],[Poste technique]]&amp;"_"&amp;Tableau1[[#This Row],[Plan Entretien]]&amp;".xlsm"</f>
        <v>\_.xlsm</v>
      </c>
    </row>
    <row r="569" spans="1:30" x14ac:dyDescent="0.3">
      <c r="A569" s="41" t="str">
        <f t="shared" ca="1" si="8"/>
        <v>7.MNRJ</v>
      </c>
      <c r="B5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9" s="43"/>
      <c r="D569" s="41"/>
      <c r="E569" s="41"/>
      <c r="F569" s="44"/>
      <c r="G569" s="44"/>
      <c r="H569" s="48"/>
      <c r="I569" s="48"/>
      <c r="J569" s="48"/>
      <c r="K569" s="48"/>
      <c r="L569" s="43"/>
      <c r="M569" s="44"/>
      <c r="N569" s="43"/>
      <c r="O569" s="43"/>
      <c r="P569" s="44"/>
      <c r="Q569" s="43"/>
      <c r="R569" s="43"/>
      <c r="S569" s="45"/>
      <c r="T569" s="58" t="str">
        <f>IF(Tableau1[[#This Row],[DMS_SAP]]="","",HYPERLINK(Tableau1[[#This Row],[Chemin fichier source]],"X"))</f>
        <v/>
      </c>
      <c r="U569" s="58" t="str">
        <f>IF(Tableau1[[#This Row],[Date rév.]]="","",HYPERLINK(Tableau1[[#This Row],[Lien document]],"X"))</f>
        <v/>
      </c>
      <c r="V569" s="44"/>
      <c r="W569" s="46" t="str">
        <f ca="1">Chemin_accès!$B$2&amp;Tableau1[[#This Row],[Poste Responsable]]&amp;"\"&amp;Tableau1[[#This Row],[Localisation / Classement]]&amp;"\"&amp;Tableau1[[#This Row],[Poste technique]]&amp;"_"&amp;Tableau1[[#This Row],[Plan Entretien]]&amp;".pdf"</f>
        <v>\\stjn.local\trimet\Donnees_Projets\Dms Sap\Maintenance\PlanEntretien\7.MNRJ\\_.pdf</v>
      </c>
      <c r="X569" s="44"/>
      <c r="Y569" s="44"/>
      <c r="Z569" s="41" t="str">
        <f ca="1">IF(AND(Tableau1[[#This Row],[Charge]]&lt;&gt;0, Tableau1[[#This Row],[Nombre intervenants]]&lt;&gt;0,Tableau1[[#This Row],[Lien document]]&lt;&gt;0,Tableau1[[#This Row],[DMS_SAP]]&lt;&gt;0)=TRUE,"MIS A JOUR","")</f>
        <v/>
      </c>
      <c r="AA569" s="45"/>
      <c r="AB569" s="55" t="str">
        <f ca="1">IF(Tableau1[[#This Row],[Date rév.]]&lt;&gt;"", DAYS360(Tableau1[[#This Row],[Date rév.]],TODAY()),"")</f>
        <v/>
      </c>
      <c r="AC569" s="47">
        <f>IFERROR(INDEX(Chemin_accès!$B$11:$C$22,MATCH(Tableau1[[#This Row],[Type]],Chemin_accès!$C$11:$C$22,0),1),Chemin_accès!$B$11)</f>
        <v>0</v>
      </c>
      <c r="AD569" s="47" t="str">
        <f>Chemin_accès!$B$8&amp;Tableau1[[#This Row],[Localisation / Classement]]&amp;"\"&amp;Tableau1[[#This Row],[Poste technique]]&amp;"_"&amp;Tableau1[[#This Row],[Plan Entretien]]&amp;".xlsm"</f>
        <v>\_.xlsm</v>
      </c>
    </row>
    <row r="570" spans="1:30" x14ac:dyDescent="0.3">
      <c r="A570" s="41" t="str">
        <f t="shared" ca="1" si="8"/>
        <v>7.MNRJ</v>
      </c>
      <c r="B5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0" s="43"/>
      <c r="D570" s="41"/>
      <c r="E570" s="41"/>
      <c r="F570" s="44"/>
      <c r="G570" s="44"/>
      <c r="H570" s="48"/>
      <c r="I570" s="48"/>
      <c r="J570" s="48"/>
      <c r="K570" s="48"/>
      <c r="L570" s="43"/>
      <c r="M570" s="44"/>
      <c r="N570" s="43"/>
      <c r="O570" s="43"/>
      <c r="P570" s="44"/>
      <c r="Q570" s="43"/>
      <c r="R570" s="43"/>
      <c r="S570" s="45"/>
      <c r="T570" s="58" t="str">
        <f>IF(Tableau1[[#This Row],[DMS_SAP]]="","",HYPERLINK(Tableau1[[#This Row],[Chemin fichier source]],"X"))</f>
        <v/>
      </c>
      <c r="U570" s="58" t="str">
        <f>IF(Tableau1[[#This Row],[Date rév.]]="","",HYPERLINK(Tableau1[[#This Row],[Lien document]],"X"))</f>
        <v/>
      </c>
      <c r="V570" s="44"/>
      <c r="W570" s="46" t="str">
        <f ca="1">Chemin_accès!$B$2&amp;Tableau1[[#This Row],[Poste Responsable]]&amp;"\"&amp;Tableau1[[#This Row],[Localisation / Classement]]&amp;"\"&amp;Tableau1[[#This Row],[Poste technique]]&amp;"_"&amp;Tableau1[[#This Row],[Plan Entretien]]&amp;".pdf"</f>
        <v>\\stjn.local\trimet\Donnees_Projets\Dms Sap\Maintenance\PlanEntretien\7.MNRJ\\_.pdf</v>
      </c>
      <c r="X570" s="44"/>
      <c r="Y570" s="44"/>
      <c r="Z570" s="41" t="str">
        <f ca="1">IF(AND(Tableau1[[#This Row],[Charge]]&lt;&gt;0, Tableau1[[#This Row],[Nombre intervenants]]&lt;&gt;0,Tableau1[[#This Row],[Lien document]]&lt;&gt;0,Tableau1[[#This Row],[DMS_SAP]]&lt;&gt;0)=TRUE,"MIS A JOUR","")</f>
        <v/>
      </c>
      <c r="AA570" s="45"/>
      <c r="AB570" s="55" t="str">
        <f ca="1">IF(Tableau1[[#This Row],[Date rév.]]&lt;&gt;"", DAYS360(Tableau1[[#This Row],[Date rév.]],TODAY()),"")</f>
        <v/>
      </c>
      <c r="AC570" s="47">
        <f>IFERROR(INDEX(Chemin_accès!$B$11:$C$22,MATCH(Tableau1[[#This Row],[Type]],Chemin_accès!$C$11:$C$22,0),1),Chemin_accès!$B$11)</f>
        <v>0</v>
      </c>
      <c r="AD570" s="47" t="str">
        <f>Chemin_accès!$B$8&amp;Tableau1[[#This Row],[Localisation / Classement]]&amp;"\"&amp;Tableau1[[#This Row],[Poste technique]]&amp;"_"&amp;Tableau1[[#This Row],[Plan Entretien]]&amp;".xlsm"</f>
        <v>\_.xlsm</v>
      </c>
    </row>
    <row r="571" spans="1:30" x14ac:dyDescent="0.3">
      <c r="A571" s="41" t="str">
        <f t="shared" ca="1" si="8"/>
        <v>7.MNRJ</v>
      </c>
      <c r="B5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1" s="43"/>
      <c r="D571" s="41"/>
      <c r="E571" s="41"/>
      <c r="F571" s="44"/>
      <c r="G571" s="44"/>
      <c r="H571" s="48"/>
      <c r="I571" s="48"/>
      <c r="J571" s="48"/>
      <c r="K571" s="48"/>
      <c r="L571" s="43"/>
      <c r="M571" s="44"/>
      <c r="N571" s="43"/>
      <c r="O571" s="43"/>
      <c r="P571" s="44"/>
      <c r="Q571" s="43"/>
      <c r="R571" s="43"/>
      <c r="S571" s="45"/>
      <c r="T571" s="58" t="str">
        <f>IF(Tableau1[[#This Row],[DMS_SAP]]="","",HYPERLINK(Tableau1[[#This Row],[Chemin fichier source]],"X"))</f>
        <v/>
      </c>
      <c r="U571" s="58" t="str">
        <f>IF(Tableau1[[#This Row],[Date rév.]]="","",HYPERLINK(Tableau1[[#This Row],[Lien document]],"X"))</f>
        <v/>
      </c>
      <c r="V571" s="44"/>
      <c r="W571" s="46" t="str">
        <f ca="1">Chemin_accès!$B$2&amp;Tableau1[[#This Row],[Poste Responsable]]&amp;"\"&amp;Tableau1[[#This Row],[Localisation / Classement]]&amp;"\"&amp;Tableau1[[#This Row],[Poste technique]]&amp;"_"&amp;Tableau1[[#This Row],[Plan Entretien]]&amp;".pdf"</f>
        <v>\\stjn.local\trimet\Donnees_Projets\Dms Sap\Maintenance\PlanEntretien\7.MNRJ\\_.pdf</v>
      </c>
      <c r="X571" s="44"/>
      <c r="Y571" s="44"/>
      <c r="Z571" s="41" t="str">
        <f ca="1">IF(AND(Tableau1[[#This Row],[Charge]]&lt;&gt;0, Tableau1[[#This Row],[Nombre intervenants]]&lt;&gt;0,Tableau1[[#This Row],[Lien document]]&lt;&gt;0,Tableau1[[#This Row],[DMS_SAP]]&lt;&gt;0)=TRUE,"MIS A JOUR","")</f>
        <v/>
      </c>
      <c r="AA571" s="45"/>
      <c r="AB571" s="55" t="str">
        <f ca="1">IF(Tableau1[[#This Row],[Date rév.]]&lt;&gt;"", DAYS360(Tableau1[[#This Row],[Date rév.]],TODAY()),"")</f>
        <v/>
      </c>
      <c r="AC571" s="47">
        <f>IFERROR(INDEX(Chemin_accès!$B$11:$C$22,MATCH(Tableau1[[#This Row],[Type]],Chemin_accès!$C$11:$C$22,0),1),Chemin_accès!$B$11)</f>
        <v>0</v>
      </c>
      <c r="AD571" s="47" t="str">
        <f>Chemin_accès!$B$8&amp;Tableau1[[#This Row],[Localisation / Classement]]&amp;"\"&amp;Tableau1[[#This Row],[Poste technique]]&amp;"_"&amp;Tableau1[[#This Row],[Plan Entretien]]&amp;".xlsm"</f>
        <v>\_.xlsm</v>
      </c>
    </row>
    <row r="572" spans="1:30" x14ac:dyDescent="0.3">
      <c r="A572" s="41" t="str">
        <f t="shared" ca="1" si="8"/>
        <v>7.MNRJ</v>
      </c>
      <c r="B5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2" s="43"/>
      <c r="D572" s="41"/>
      <c r="E572" s="41"/>
      <c r="F572" s="44"/>
      <c r="G572" s="44"/>
      <c r="H572" s="48"/>
      <c r="I572" s="48"/>
      <c r="J572" s="48"/>
      <c r="K572" s="48"/>
      <c r="L572" s="43"/>
      <c r="M572" s="44"/>
      <c r="N572" s="43"/>
      <c r="O572" s="43"/>
      <c r="P572" s="44"/>
      <c r="Q572" s="43"/>
      <c r="R572" s="43"/>
      <c r="S572" s="45"/>
      <c r="T572" s="58" t="str">
        <f>IF(Tableau1[[#This Row],[DMS_SAP]]="","",HYPERLINK(Tableau1[[#This Row],[Chemin fichier source]],"X"))</f>
        <v/>
      </c>
      <c r="U572" s="58" t="str">
        <f>IF(Tableau1[[#This Row],[Date rév.]]="","",HYPERLINK(Tableau1[[#This Row],[Lien document]],"X"))</f>
        <v/>
      </c>
      <c r="V572" s="44"/>
      <c r="W572" s="46" t="str">
        <f ca="1">Chemin_accès!$B$2&amp;Tableau1[[#This Row],[Poste Responsable]]&amp;"\"&amp;Tableau1[[#This Row],[Localisation / Classement]]&amp;"\"&amp;Tableau1[[#This Row],[Poste technique]]&amp;"_"&amp;Tableau1[[#This Row],[Plan Entretien]]&amp;".pdf"</f>
        <v>\\stjn.local\trimet\Donnees_Projets\Dms Sap\Maintenance\PlanEntretien\7.MNRJ\\_.pdf</v>
      </c>
      <c r="X572" s="44"/>
      <c r="Y572" s="44"/>
      <c r="Z572" s="41" t="str">
        <f ca="1">IF(AND(Tableau1[[#This Row],[Charge]]&lt;&gt;0, Tableau1[[#This Row],[Nombre intervenants]]&lt;&gt;0,Tableau1[[#This Row],[Lien document]]&lt;&gt;0,Tableau1[[#This Row],[DMS_SAP]]&lt;&gt;0)=TRUE,"MIS A JOUR","")</f>
        <v/>
      </c>
      <c r="AA572" s="45"/>
      <c r="AB572" s="55" t="str">
        <f ca="1">IF(Tableau1[[#This Row],[Date rév.]]&lt;&gt;"", DAYS360(Tableau1[[#This Row],[Date rév.]],TODAY()),"")</f>
        <v/>
      </c>
      <c r="AC572" s="47">
        <f>IFERROR(INDEX(Chemin_accès!$B$11:$C$22,MATCH(Tableau1[[#This Row],[Type]],Chemin_accès!$C$11:$C$22,0),1),Chemin_accès!$B$11)</f>
        <v>0</v>
      </c>
      <c r="AD572" s="47" t="str">
        <f>Chemin_accès!$B$8&amp;Tableau1[[#This Row],[Localisation / Classement]]&amp;"\"&amp;Tableau1[[#This Row],[Poste technique]]&amp;"_"&amp;Tableau1[[#This Row],[Plan Entretien]]&amp;".xlsm"</f>
        <v>\_.xlsm</v>
      </c>
    </row>
    <row r="573" spans="1:30" x14ac:dyDescent="0.3">
      <c r="A573" s="41" t="str">
        <f t="shared" ca="1" si="8"/>
        <v>7.MNRJ</v>
      </c>
      <c r="B5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3" s="43"/>
      <c r="D573" s="41"/>
      <c r="E573" s="41"/>
      <c r="F573" s="44"/>
      <c r="G573" s="44"/>
      <c r="H573" s="48"/>
      <c r="I573" s="48"/>
      <c r="J573" s="48"/>
      <c r="K573" s="48"/>
      <c r="L573" s="43"/>
      <c r="M573" s="44"/>
      <c r="N573" s="43"/>
      <c r="O573" s="43"/>
      <c r="P573" s="44"/>
      <c r="Q573" s="43"/>
      <c r="R573" s="43"/>
      <c r="S573" s="45"/>
      <c r="T573" s="58" t="str">
        <f>IF(Tableau1[[#This Row],[DMS_SAP]]="","",HYPERLINK(Tableau1[[#This Row],[Chemin fichier source]],"X"))</f>
        <v/>
      </c>
      <c r="U573" s="58" t="str">
        <f>IF(Tableau1[[#This Row],[Date rév.]]="","",HYPERLINK(Tableau1[[#This Row],[Lien document]],"X"))</f>
        <v/>
      </c>
      <c r="V573" s="44"/>
      <c r="W573" s="46" t="str">
        <f ca="1">Chemin_accès!$B$2&amp;Tableau1[[#This Row],[Poste Responsable]]&amp;"\"&amp;Tableau1[[#This Row],[Localisation / Classement]]&amp;"\"&amp;Tableau1[[#This Row],[Poste technique]]&amp;"_"&amp;Tableau1[[#This Row],[Plan Entretien]]&amp;".pdf"</f>
        <v>\\stjn.local\trimet\Donnees_Projets\Dms Sap\Maintenance\PlanEntretien\7.MNRJ\\_.pdf</v>
      </c>
      <c r="X573" s="44"/>
      <c r="Y573" s="44"/>
      <c r="Z573" s="41" t="str">
        <f ca="1">IF(AND(Tableau1[[#This Row],[Charge]]&lt;&gt;0, Tableau1[[#This Row],[Nombre intervenants]]&lt;&gt;0,Tableau1[[#This Row],[Lien document]]&lt;&gt;0,Tableau1[[#This Row],[DMS_SAP]]&lt;&gt;0)=TRUE,"MIS A JOUR","")</f>
        <v/>
      </c>
      <c r="AA573" s="45"/>
      <c r="AB573" s="55" t="str">
        <f ca="1">IF(Tableau1[[#This Row],[Date rév.]]&lt;&gt;"", DAYS360(Tableau1[[#This Row],[Date rév.]],TODAY()),"")</f>
        <v/>
      </c>
      <c r="AC573" s="47">
        <f>IFERROR(INDEX(Chemin_accès!$B$11:$C$22,MATCH(Tableau1[[#This Row],[Type]],Chemin_accès!$C$11:$C$22,0),1),Chemin_accès!$B$11)</f>
        <v>0</v>
      </c>
      <c r="AD573" s="47" t="str">
        <f>Chemin_accès!$B$8&amp;Tableau1[[#This Row],[Localisation / Classement]]&amp;"\"&amp;Tableau1[[#This Row],[Poste technique]]&amp;"_"&amp;Tableau1[[#This Row],[Plan Entretien]]&amp;".xlsm"</f>
        <v>\_.xlsm</v>
      </c>
    </row>
    <row r="574" spans="1:30" x14ac:dyDescent="0.3">
      <c r="A574" s="41" t="str">
        <f t="shared" ca="1" si="8"/>
        <v>7.MNRJ</v>
      </c>
      <c r="B5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4" s="43"/>
      <c r="D574" s="41"/>
      <c r="E574" s="41"/>
      <c r="F574" s="44"/>
      <c r="G574" s="44"/>
      <c r="H574" s="48"/>
      <c r="I574" s="48"/>
      <c r="J574" s="48"/>
      <c r="K574" s="48"/>
      <c r="L574" s="43"/>
      <c r="M574" s="44"/>
      <c r="N574" s="43"/>
      <c r="O574" s="43"/>
      <c r="P574" s="44"/>
      <c r="Q574" s="43"/>
      <c r="R574" s="43"/>
      <c r="S574" s="45"/>
      <c r="T574" s="58" t="str">
        <f>IF(Tableau1[[#This Row],[DMS_SAP]]="","",HYPERLINK(Tableau1[[#This Row],[Chemin fichier source]],"X"))</f>
        <v/>
      </c>
      <c r="U574" s="58" t="str">
        <f>IF(Tableau1[[#This Row],[Date rév.]]="","",HYPERLINK(Tableau1[[#This Row],[Lien document]],"X"))</f>
        <v/>
      </c>
      <c r="V574" s="44"/>
      <c r="W574" s="46" t="str">
        <f ca="1">Chemin_accès!$B$2&amp;Tableau1[[#This Row],[Poste Responsable]]&amp;"\"&amp;Tableau1[[#This Row],[Localisation / Classement]]&amp;"\"&amp;Tableau1[[#This Row],[Poste technique]]&amp;"_"&amp;Tableau1[[#This Row],[Plan Entretien]]&amp;".pdf"</f>
        <v>\\stjn.local\trimet\Donnees_Projets\Dms Sap\Maintenance\PlanEntretien\7.MNRJ\\_.pdf</v>
      </c>
      <c r="X574" s="44"/>
      <c r="Y574" s="44"/>
      <c r="Z574" s="41" t="str">
        <f ca="1">IF(AND(Tableau1[[#This Row],[Charge]]&lt;&gt;0, Tableau1[[#This Row],[Nombre intervenants]]&lt;&gt;0,Tableau1[[#This Row],[Lien document]]&lt;&gt;0,Tableau1[[#This Row],[DMS_SAP]]&lt;&gt;0)=TRUE,"MIS A JOUR","")</f>
        <v/>
      </c>
      <c r="AA574" s="45"/>
      <c r="AB574" s="55" t="str">
        <f ca="1">IF(Tableau1[[#This Row],[Date rév.]]&lt;&gt;"", DAYS360(Tableau1[[#This Row],[Date rév.]],TODAY()),"")</f>
        <v/>
      </c>
      <c r="AC574" s="47">
        <f>IFERROR(INDEX(Chemin_accès!$B$11:$C$22,MATCH(Tableau1[[#This Row],[Type]],Chemin_accès!$C$11:$C$22,0),1),Chemin_accès!$B$11)</f>
        <v>0</v>
      </c>
      <c r="AD574" s="47" t="str">
        <f>Chemin_accès!$B$8&amp;Tableau1[[#This Row],[Localisation / Classement]]&amp;"\"&amp;Tableau1[[#This Row],[Poste technique]]&amp;"_"&amp;Tableau1[[#This Row],[Plan Entretien]]&amp;".xlsm"</f>
        <v>\_.xlsm</v>
      </c>
    </row>
    <row r="575" spans="1:30" x14ac:dyDescent="0.3">
      <c r="A575" s="41" t="str">
        <f t="shared" ca="1" si="8"/>
        <v>7.MNRJ</v>
      </c>
      <c r="B5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5" s="43"/>
      <c r="D575" s="41"/>
      <c r="E575" s="41"/>
      <c r="F575" s="44"/>
      <c r="G575" s="44"/>
      <c r="H575" s="48"/>
      <c r="I575" s="48"/>
      <c r="J575" s="48"/>
      <c r="K575" s="48"/>
      <c r="L575" s="43"/>
      <c r="M575" s="44"/>
      <c r="N575" s="43"/>
      <c r="O575" s="43"/>
      <c r="P575" s="44"/>
      <c r="Q575" s="43"/>
      <c r="R575" s="43"/>
      <c r="S575" s="45"/>
      <c r="T575" s="58" t="str">
        <f>IF(Tableau1[[#This Row],[DMS_SAP]]="","",HYPERLINK(Tableau1[[#This Row],[Chemin fichier source]],"X"))</f>
        <v/>
      </c>
      <c r="U575" s="58" t="str">
        <f>IF(Tableau1[[#This Row],[Date rév.]]="","",HYPERLINK(Tableau1[[#This Row],[Lien document]],"X"))</f>
        <v/>
      </c>
      <c r="V575" s="44"/>
      <c r="W575" s="46" t="str">
        <f ca="1">Chemin_accès!$B$2&amp;Tableau1[[#This Row],[Poste Responsable]]&amp;"\"&amp;Tableau1[[#This Row],[Localisation / Classement]]&amp;"\"&amp;Tableau1[[#This Row],[Poste technique]]&amp;"_"&amp;Tableau1[[#This Row],[Plan Entretien]]&amp;".pdf"</f>
        <v>\\stjn.local\trimet\Donnees_Projets\Dms Sap\Maintenance\PlanEntretien\7.MNRJ\\_.pdf</v>
      </c>
      <c r="X575" s="44"/>
      <c r="Y575" s="44"/>
      <c r="Z575" s="41" t="str">
        <f ca="1">IF(AND(Tableau1[[#This Row],[Charge]]&lt;&gt;0, Tableau1[[#This Row],[Nombre intervenants]]&lt;&gt;0,Tableau1[[#This Row],[Lien document]]&lt;&gt;0,Tableau1[[#This Row],[DMS_SAP]]&lt;&gt;0)=TRUE,"MIS A JOUR","")</f>
        <v/>
      </c>
      <c r="AA575" s="45"/>
      <c r="AB575" s="55" t="str">
        <f ca="1">IF(Tableau1[[#This Row],[Date rév.]]&lt;&gt;"", DAYS360(Tableau1[[#This Row],[Date rév.]],TODAY()),"")</f>
        <v/>
      </c>
      <c r="AC575" s="47">
        <f>IFERROR(INDEX(Chemin_accès!$B$11:$C$22,MATCH(Tableau1[[#This Row],[Type]],Chemin_accès!$C$11:$C$22,0),1),Chemin_accès!$B$11)</f>
        <v>0</v>
      </c>
      <c r="AD575" s="47" t="str">
        <f>Chemin_accès!$B$8&amp;Tableau1[[#This Row],[Localisation / Classement]]&amp;"\"&amp;Tableau1[[#This Row],[Poste technique]]&amp;"_"&amp;Tableau1[[#This Row],[Plan Entretien]]&amp;".xlsm"</f>
        <v>\_.xlsm</v>
      </c>
    </row>
    <row r="576" spans="1:30" x14ac:dyDescent="0.3">
      <c r="A576" s="41" t="str">
        <f t="shared" ca="1" si="8"/>
        <v>7.MNRJ</v>
      </c>
      <c r="B5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6" s="43"/>
      <c r="D576" s="41"/>
      <c r="E576" s="41"/>
      <c r="F576" s="44"/>
      <c r="G576" s="44"/>
      <c r="H576" s="48"/>
      <c r="I576" s="48"/>
      <c r="J576" s="48"/>
      <c r="K576" s="48"/>
      <c r="L576" s="43"/>
      <c r="M576" s="44"/>
      <c r="N576" s="43"/>
      <c r="O576" s="43"/>
      <c r="P576" s="44"/>
      <c r="Q576" s="43"/>
      <c r="R576" s="43"/>
      <c r="S576" s="45"/>
      <c r="T576" s="58" t="str">
        <f>IF(Tableau1[[#This Row],[DMS_SAP]]="","",HYPERLINK(Tableau1[[#This Row],[Chemin fichier source]],"X"))</f>
        <v/>
      </c>
      <c r="U576" s="58" t="str">
        <f>IF(Tableau1[[#This Row],[Date rév.]]="","",HYPERLINK(Tableau1[[#This Row],[Lien document]],"X"))</f>
        <v/>
      </c>
      <c r="V576" s="44"/>
      <c r="W576" s="46" t="str">
        <f ca="1">Chemin_accès!$B$2&amp;Tableau1[[#This Row],[Poste Responsable]]&amp;"\"&amp;Tableau1[[#This Row],[Localisation / Classement]]&amp;"\"&amp;Tableau1[[#This Row],[Poste technique]]&amp;"_"&amp;Tableau1[[#This Row],[Plan Entretien]]&amp;".pdf"</f>
        <v>\\stjn.local\trimet\Donnees_Projets\Dms Sap\Maintenance\PlanEntretien\7.MNRJ\\_.pdf</v>
      </c>
      <c r="X576" s="44"/>
      <c r="Y576" s="44"/>
      <c r="Z576" s="41" t="str">
        <f ca="1">IF(AND(Tableau1[[#This Row],[Charge]]&lt;&gt;0, Tableau1[[#This Row],[Nombre intervenants]]&lt;&gt;0,Tableau1[[#This Row],[Lien document]]&lt;&gt;0,Tableau1[[#This Row],[DMS_SAP]]&lt;&gt;0)=TRUE,"MIS A JOUR","")</f>
        <v/>
      </c>
      <c r="AA576" s="45"/>
      <c r="AB576" s="55" t="str">
        <f ca="1">IF(Tableau1[[#This Row],[Date rév.]]&lt;&gt;"", DAYS360(Tableau1[[#This Row],[Date rév.]],TODAY()),"")</f>
        <v/>
      </c>
      <c r="AC576" s="47">
        <f>IFERROR(INDEX(Chemin_accès!$B$11:$C$22,MATCH(Tableau1[[#This Row],[Type]],Chemin_accès!$C$11:$C$22,0),1),Chemin_accès!$B$11)</f>
        <v>0</v>
      </c>
      <c r="AD576" s="47" t="str">
        <f>Chemin_accès!$B$8&amp;Tableau1[[#This Row],[Localisation / Classement]]&amp;"\"&amp;Tableau1[[#This Row],[Poste technique]]&amp;"_"&amp;Tableau1[[#This Row],[Plan Entretien]]&amp;".xlsm"</f>
        <v>\_.xlsm</v>
      </c>
    </row>
    <row r="577" spans="1:30" x14ac:dyDescent="0.3">
      <c r="A577" s="41" t="str">
        <f t="shared" ca="1" si="8"/>
        <v>7.MNRJ</v>
      </c>
      <c r="B5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7" s="43"/>
      <c r="D577" s="41"/>
      <c r="E577" s="41"/>
      <c r="F577" s="44"/>
      <c r="G577" s="44"/>
      <c r="H577" s="48"/>
      <c r="I577" s="48"/>
      <c r="J577" s="48"/>
      <c r="K577" s="48"/>
      <c r="L577" s="43"/>
      <c r="M577" s="44"/>
      <c r="N577" s="43"/>
      <c r="O577" s="43"/>
      <c r="P577" s="44"/>
      <c r="Q577" s="43"/>
      <c r="R577" s="43"/>
      <c r="S577" s="45"/>
      <c r="T577" s="58" t="str">
        <f>IF(Tableau1[[#This Row],[DMS_SAP]]="","",HYPERLINK(Tableau1[[#This Row],[Chemin fichier source]],"X"))</f>
        <v/>
      </c>
      <c r="U577" s="58" t="str">
        <f>IF(Tableau1[[#This Row],[Date rév.]]="","",HYPERLINK(Tableau1[[#This Row],[Lien document]],"X"))</f>
        <v/>
      </c>
      <c r="V577" s="44"/>
      <c r="W577" s="46" t="str">
        <f ca="1">Chemin_accès!$B$2&amp;Tableau1[[#This Row],[Poste Responsable]]&amp;"\"&amp;Tableau1[[#This Row],[Localisation / Classement]]&amp;"\"&amp;Tableau1[[#This Row],[Poste technique]]&amp;"_"&amp;Tableau1[[#This Row],[Plan Entretien]]&amp;".pdf"</f>
        <v>\\stjn.local\trimet\Donnees_Projets\Dms Sap\Maintenance\PlanEntretien\7.MNRJ\\_.pdf</v>
      </c>
      <c r="X577" s="44"/>
      <c r="Y577" s="44"/>
      <c r="Z577" s="41" t="str">
        <f ca="1">IF(AND(Tableau1[[#This Row],[Charge]]&lt;&gt;0, Tableau1[[#This Row],[Nombre intervenants]]&lt;&gt;0,Tableau1[[#This Row],[Lien document]]&lt;&gt;0,Tableau1[[#This Row],[DMS_SAP]]&lt;&gt;0)=TRUE,"MIS A JOUR","")</f>
        <v/>
      </c>
      <c r="AA577" s="45"/>
      <c r="AB577" s="55" t="str">
        <f ca="1">IF(Tableau1[[#This Row],[Date rév.]]&lt;&gt;"", DAYS360(Tableau1[[#This Row],[Date rév.]],TODAY()),"")</f>
        <v/>
      </c>
      <c r="AC577" s="47">
        <f>IFERROR(INDEX(Chemin_accès!$B$11:$C$22,MATCH(Tableau1[[#This Row],[Type]],Chemin_accès!$C$11:$C$22,0),1),Chemin_accès!$B$11)</f>
        <v>0</v>
      </c>
      <c r="AD577" s="47" t="str">
        <f>Chemin_accès!$B$8&amp;Tableau1[[#This Row],[Localisation / Classement]]&amp;"\"&amp;Tableau1[[#This Row],[Poste technique]]&amp;"_"&amp;Tableau1[[#This Row],[Plan Entretien]]&amp;".xlsm"</f>
        <v>\_.xlsm</v>
      </c>
    </row>
    <row r="578" spans="1:30" x14ac:dyDescent="0.3">
      <c r="A578" s="41" t="str">
        <f t="shared" ca="1" si="8"/>
        <v>7.MNRJ</v>
      </c>
      <c r="B5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8" s="43"/>
      <c r="D578" s="41"/>
      <c r="E578" s="41"/>
      <c r="F578" s="44"/>
      <c r="G578" s="44"/>
      <c r="H578" s="48"/>
      <c r="I578" s="48"/>
      <c r="J578" s="48"/>
      <c r="K578" s="48"/>
      <c r="L578" s="43"/>
      <c r="M578" s="44"/>
      <c r="N578" s="43"/>
      <c r="O578" s="43"/>
      <c r="P578" s="44"/>
      <c r="Q578" s="43"/>
      <c r="R578" s="43"/>
      <c r="S578" s="45"/>
      <c r="T578" s="58" t="str">
        <f>IF(Tableau1[[#This Row],[DMS_SAP]]="","",HYPERLINK(Tableau1[[#This Row],[Chemin fichier source]],"X"))</f>
        <v/>
      </c>
      <c r="U578" s="58" t="str">
        <f>IF(Tableau1[[#This Row],[Date rév.]]="","",HYPERLINK(Tableau1[[#This Row],[Lien document]],"X"))</f>
        <v/>
      </c>
      <c r="V578" s="44"/>
      <c r="W578" s="46" t="str">
        <f ca="1">Chemin_accès!$B$2&amp;Tableau1[[#This Row],[Poste Responsable]]&amp;"\"&amp;Tableau1[[#This Row],[Localisation / Classement]]&amp;"\"&amp;Tableau1[[#This Row],[Poste technique]]&amp;"_"&amp;Tableau1[[#This Row],[Plan Entretien]]&amp;".pdf"</f>
        <v>\\stjn.local\trimet\Donnees_Projets\Dms Sap\Maintenance\PlanEntretien\7.MNRJ\\_.pdf</v>
      </c>
      <c r="X578" s="44"/>
      <c r="Y578" s="44"/>
      <c r="Z578" s="41" t="str">
        <f ca="1">IF(AND(Tableau1[[#This Row],[Charge]]&lt;&gt;0, Tableau1[[#This Row],[Nombre intervenants]]&lt;&gt;0,Tableau1[[#This Row],[Lien document]]&lt;&gt;0,Tableau1[[#This Row],[DMS_SAP]]&lt;&gt;0)=TRUE,"MIS A JOUR","")</f>
        <v/>
      </c>
      <c r="AA578" s="45"/>
      <c r="AB578" s="55" t="str">
        <f ca="1">IF(Tableau1[[#This Row],[Date rév.]]&lt;&gt;"", DAYS360(Tableau1[[#This Row],[Date rév.]],TODAY()),"")</f>
        <v/>
      </c>
      <c r="AC578" s="47">
        <f>IFERROR(INDEX(Chemin_accès!$B$11:$C$22,MATCH(Tableau1[[#This Row],[Type]],Chemin_accès!$C$11:$C$22,0),1),Chemin_accès!$B$11)</f>
        <v>0</v>
      </c>
      <c r="AD578" s="47" t="str">
        <f>Chemin_accès!$B$8&amp;Tableau1[[#This Row],[Localisation / Classement]]&amp;"\"&amp;Tableau1[[#This Row],[Poste technique]]&amp;"_"&amp;Tableau1[[#This Row],[Plan Entretien]]&amp;".xlsm"</f>
        <v>\_.xlsm</v>
      </c>
    </row>
    <row r="579" spans="1:30" x14ac:dyDescent="0.3">
      <c r="A579" s="41" t="str">
        <f t="shared" ref="A579:A642" ca="1" si="9">MID(CELL("filename",$A$1),FIND("]",CELL("filename",$A$1))+1,32)</f>
        <v>7.MNRJ</v>
      </c>
      <c r="B5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9" s="43"/>
      <c r="D579" s="41"/>
      <c r="E579" s="41"/>
      <c r="F579" s="44"/>
      <c r="G579" s="44"/>
      <c r="H579" s="48"/>
      <c r="I579" s="48"/>
      <c r="J579" s="48"/>
      <c r="K579" s="48"/>
      <c r="L579" s="43"/>
      <c r="M579" s="44"/>
      <c r="N579" s="43"/>
      <c r="O579" s="43"/>
      <c r="P579" s="44"/>
      <c r="Q579" s="43"/>
      <c r="R579" s="43"/>
      <c r="S579" s="45"/>
      <c r="T579" s="58" t="str">
        <f>IF(Tableau1[[#This Row],[DMS_SAP]]="","",HYPERLINK(Tableau1[[#This Row],[Chemin fichier source]],"X"))</f>
        <v/>
      </c>
      <c r="U579" s="58" t="str">
        <f>IF(Tableau1[[#This Row],[Date rév.]]="","",HYPERLINK(Tableau1[[#This Row],[Lien document]],"X"))</f>
        <v/>
      </c>
      <c r="V579" s="44"/>
      <c r="W579" s="46" t="str">
        <f ca="1">Chemin_accès!$B$2&amp;Tableau1[[#This Row],[Poste Responsable]]&amp;"\"&amp;Tableau1[[#This Row],[Localisation / Classement]]&amp;"\"&amp;Tableau1[[#This Row],[Poste technique]]&amp;"_"&amp;Tableau1[[#This Row],[Plan Entretien]]&amp;".pdf"</f>
        <v>\\stjn.local\trimet\Donnees_Projets\Dms Sap\Maintenance\PlanEntretien\7.MNRJ\\_.pdf</v>
      </c>
      <c r="X579" s="44"/>
      <c r="Y579" s="44"/>
      <c r="Z579" s="41" t="str">
        <f ca="1">IF(AND(Tableau1[[#This Row],[Charge]]&lt;&gt;0, Tableau1[[#This Row],[Nombre intervenants]]&lt;&gt;0,Tableau1[[#This Row],[Lien document]]&lt;&gt;0,Tableau1[[#This Row],[DMS_SAP]]&lt;&gt;0)=TRUE,"MIS A JOUR","")</f>
        <v/>
      </c>
      <c r="AA579" s="45"/>
      <c r="AB579" s="55" t="str">
        <f ca="1">IF(Tableau1[[#This Row],[Date rév.]]&lt;&gt;"", DAYS360(Tableau1[[#This Row],[Date rév.]],TODAY()),"")</f>
        <v/>
      </c>
      <c r="AC579" s="47">
        <f>IFERROR(INDEX(Chemin_accès!$B$11:$C$22,MATCH(Tableau1[[#This Row],[Type]],Chemin_accès!$C$11:$C$22,0),1),Chemin_accès!$B$11)</f>
        <v>0</v>
      </c>
      <c r="AD579" s="47" t="str">
        <f>Chemin_accès!$B$8&amp;Tableau1[[#This Row],[Localisation / Classement]]&amp;"\"&amp;Tableau1[[#This Row],[Poste technique]]&amp;"_"&amp;Tableau1[[#This Row],[Plan Entretien]]&amp;".xlsm"</f>
        <v>\_.xlsm</v>
      </c>
    </row>
    <row r="580" spans="1:30" x14ac:dyDescent="0.3">
      <c r="A580" s="41" t="str">
        <f t="shared" ca="1" si="9"/>
        <v>7.MNRJ</v>
      </c>
      <c r="B5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0" s="43"/>
      <c r="D580" s="41"/>
      <c r="E580" s="41"/>
      <c r="F580" s="44"/>
      <c r="G580" s="44"/>
      <c r="H580" s="48"/>
      <c r="I580" s="48"/>
      <c r="J580" s="48"/>
      <c r="K580" s="48"/>
      <c r="L580" s="43"/>
      <c r="M580" s="44"/>
      <c r="N580" s="43"/>
      <c r="O580" s="43"/>
      <c r="P580" s="44"/>
      <c r="Q580" s="43"/>
      <c r="R580" s="43"/>
      <c r="S580" s="45"/>
      <c r="T580" s="58" t="str">
        <f>IF(Tableau1[[#This Row],[DMS_SAP]]="","",HYPERLINK(Tableau1[[#This Row],[Chemin fichier source]],"X"))</f>
        <v/>
      </c>
      <c r="U580" s="58" t="str">
        <f>IF(Tableau1[[#This Row],[Date rév.]]="","",HYPERLINK(Tableau1[[#This Row],[Lien document]],"X"))</f>
        <v/>
      </c>
      <c r="V580" s="44"/>
      <c r="W580" s="46" t="str">
        <f ca="1">Chemin_accès!$B$2&amp;Tableau1[[#This Row],[Poste Responsable]]&amp;"\"&amp;Tableau1[[#This Row],[Localisation / Classement]]&amp;"\"&amp;Tableau1[[#This Row],[Poste technique]]&amp;"_"&amp;Tableau1[[#This Row],[Plan Entretien]]&amp;".pdf"</f>
        <v>\\stjn.local\trimet\Donnees_Projets\Dms Sap\Maintenance\PlanEntretien\7.MNRJ\\_.pdf</v>
      </c>
      <c r="X580" s="44"/>
      <c r="Y580" s="44"/>
      <c r="Z580" s="41" t="str">
        <f ca="1">IF(AND(Tableau1[[#This Row],[Charge]]&lt;&gt;0, Tableau1[[#This Row],[Nombre intervenants]]&lt;&gt;0,Tableau1[[#This Row],[Lien document]]&lt;&gt;0,Tableau1[[#This Row],[DMS_SAP]]&lt;&gt;0)=TRUE,"MIS A JOUR","")</f>
        <v/>
      </c>
      <c r="AA580" s="45"/>
      <c r="AB580" s="55" t="str">
        <f ca="1">IF(Tableau1[[#This Row],[Date rév.]]&lt;&gt;"", DAYS360(Tableau1[[#This Row],[Date rév.]],TODAY()),"")</f>
        <v/>
      </c>
      <c r="AC580" s="47">
        <f>IFERROR(INDEX(Chemin_accès!$B$11:$C$22,MATCH(Tableau1[[#This Row],[Type]],Chemin_accès!$C$11:$C$22,0),1),Chemin_accès!$B$11)</f>
        <v>0</v>
      </c>
      <c r="AD580" s="47" t="str">
        <f>Chemin_accès!$B$8&amp;Tableau1[[#This Row],[Localisation / Classement]]&amp;"\"&amp;Tableau1[[#This Row],[Poste technique]]&amp;"_"&amp;Tableau1[[#This Row],[Plan Entretien]]&amp;".xlsm"</f>
        <v>\_.xlsm</v>
      </c>
    </row>
    <row r="581" spans="1:30" x14ac:dyDescent="0.3">
      <c r="A581" s="41" t="str">
        <f t="shared" ca="1" si="9"/>
        <v>7.MNRJ</v>
      </c>
      <c r="B5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1" s="43"/>
      <c r="D581" s="41"/>
      <c r="E581" s="41"/>
      <c r="F581" s="44"/>
      <c r="G581" s="44"/>
      <c r="H581" s="48"/>
      <c r="I581" s="48"/>
      <c r="J581" s="48"/>
      <c r="K581" s="48"/>
      <c r="L581" s="43"/>
      <c r="M581" s="44"/>
      <c r="N581" s="43"/>
      <c r="O581" s="43"/>
      <c r="P581" s="44"/>
      <c r="Q581" s="43"/>
      <c r="R581" s="43"/>
      <c r="S581" s="45"/>
      <c r="T581" s="58" t="str">
        <f>IF(Tableau1[[#This Row],[DMS_SAP]]="","",HYPERLINK(Tableau1[[#This Row],[Chemin fichier source]],"X"))</f>
        <v/>
      </c>
      <c r="U581" s="58" t="str">
        <f>IF(Tableau1[[#This Row],[Date rév.]]="","",HYPERLINK(Tableau1[[#This Row],[Lien document]],"X"))</f>
        <v/>
      </c>
      <c r="V581" s="44"/>
      <c r="W581" s="46" t="str">
        <f ca="1">Chemin_accès!$B$2&amp;Tableau1[[#This Row],[Poste Responsable]]&amp;"\"&amp;Tableau1[[#This Row],[Localisation / Classement]]&amp;"\"&amp;Tableau1[[#This Row],[Poste technique]]&amp;"_"&amp;Tableau1[[#This Row],[Plan Entretien]]&amp;".pdf"</f>
        <v>\\stjn.local\trimet\Donnees_Projets\Dms Sap\Maintenance\PlanEntretien\7.MNRJ\\_.pdf</v>
      </c>
      <c r="X581" s="44"/>
      <c r="Y581" s="44"/>
      <c r="Z581" s="41" t="str">
        <f ca="1">IF(AND(Tableau1[[#This Row],[Charge]]&lt;&gt;0, Tableau1[[#This Row],[Nombre intervenants]]&lt;&gt;0,Tableau1[[#This Row],[Lien document]]&lt;&gt;0,Tableau1[[#This Row],[DMS_SAP]]&lt;&gt;0)=TRUE,"MIS A JOUR","")</f>
        <v/>
      </c>
      <c r="AA581" s="45"/>
      <c r="AB581" s="55" t="str">
        <f ca="1">IF(Tableau1[[#This Row],[Date rév.]]&lt;&gt;"", DAYS360(Tableau1[[#This Row],[Date rév.]],TODAY()),"")</f>
        <v/>
      </c>
      <c r="AC581" s="47">
        <f>IFERROR(INDEX(Chemin_accès!$B$11:$C$22,MATCH(Tableau1[[#This Row],[Type]],Chemin_accès!$C$11:$C$22,0),1),Chemin_accès!$B$11)</f>
        <v>0</v>
      </c>
      <c r="AD581" s="47" t="str">
        <f>Chemin_accès!$B$8&amp;Tableau1[[#This Row],[Localisation / Classement]]&amp;"\"&amp;Tableau1[[#This Row],[Poste technique]]&amp;"_"&amp;Tableau1[[#This Row],[Plan Entretien]]&amp;".xlsm"</f>
        <v>\_.xlsm</v>
      </c>
    </row>
    <row r="582" spans="1:30" x14ac:dyDescent="0.3">
      <c r="A582" s="41" t="str">
        <f t="shared" ca="1" si="9"/>
        <v>7.MNRJ</v>
      </c>
      <c r="B5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2" s="43"/>
      <c r="D582" s="41"/>
      <c r="E582" s="41"/>
      <c r="F582" s="44"/>
      <c r="G582" s="44"/>
      <c r="H582" s="48"/>
      <c r="I582" s="48"/>
      <c r="J582" s="48"/>
      <c r="K582" s="48"/>
      <c r="L582" s="43"/>
      <c r="M582" s="44"/>
      <c r="N582" s="43"/>
      <c r="O582" s="43"/>
      <c r="P582" s="44"/>
      <c r="Q582" s="43"/>
      <c r="R582" s="43"/>
      <c r="S582" s="45"/>
      <c r="T582" s="58" t="str">
        <f>IF(Tableau1[[#This Row],[DMS_SAP]]="","",HYPERLINK(Tableau1[[#This Row],[Chemin fichier source]],"X"))</f>
        <v/>
      </c>
      <c r="U582" s="58" t="str">
        <f>IF(Tableau1[[#This Row],[Date rév.]]="","",HYPERLINK(Tableau1[[#This Row],[Lien document]],"X"))</f>
        <v/>
      </c>
      <c r="V582" s="44"/>
      <c r="W582" s="46" t="str">
        <f ca="1">Chemin_accès!$B$2&amp;Tableau1[[#This Row],[Poste Responsable]]&amp;"\"&amp;Tableau1[[#This Row],[Localisation / Classement]]&amp;"\"&amp;Tableau1[[#This Row],[Poste technique]]&amp;"_"&amp;Tableau1[[#This Row],[Plan Entretien]]&amp;".pdf"</f>
        <v>\\stjn.local\trimet\Donnees_Projets\Dms Sap\Maintenance\PlanEntretien\7.MNRJ\\_.pdf</v>
      </c>
      <c r="X582" s="44"/>
      <c r="Y582" s="44"/>
      <c r="Z582" s="41" t="str">
        <f ca="1">IF(AND(Tableau1[[#This Row],[Charge]]&lt;&gt;0, Tableau1[[#This Row],[Nombre intervenants]]&lt;&gt;0,Tableau1[[#This Row],[Lien document]]&lt;&gt;0,Tableau1[[#This Row],[DMS_SAP]]&lt;&gt;0)=TRUE,"MIS A JOUR","")</f>
        <v/>
      </c>
      <c r="AA582" s="45"/>
      <c r="AB582" s="55" t="str">
        <f ca="1">IF(Tableau1[[#This Row],[Date rév.]]&lt;&gt;"", DAYS360(Tableau1[[#This Row],[Date rév.]],TODAY()),"")</f>
        <v/>
      </c>
      <c r="AC582" s="47">
        <f>IFERROR(INDEX(Chemin_accès!$B$11:$C$22,MATCH(Tableau1[[#This Row],[Type]],Chemin_accès!$C$11:$C$22,0),1),Chemin_accès!$B$11)</f>
        <v>0</v>
      </c>
      <c r="AD582" s="47" t="str">
        <f>Chemin_accès!$B$8&amp;Tableau1[[#This Row],[Localisation / Classement]]&amp;"\"&amp;Tableau1[[#This Row],[Poste technique]]&amp;"_"&amp;Tableau1[[#This Row],[Plan Entretien]]&amp;".xlsm"</f>
        <v>\_.xlsm</v>
      </c>
    </row>
    <row r="583" spans="1:30" x14ac:dyDescent="0.3">
      <c r="A583" s="41" t="str">
        <f t="shared" ca="1" si="9"/>
        <v>7.MNRJ</v>
      </c>
      <c r="B5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3" s="43"/>
      <c r="D583" s="41"/>
      <c r="E583" s="41"/>
      <c r="F583" s="44"/>
      <c r="G583" s="44"/>
      <c r="H583" s="48"/>
      <c r="I583" s="48"/>
      <c r="J583" s="48"/>
      <c r="K583" s="48"/>
      <c r="L583" s="43"/>
      <c r="M583" s="44"/>
      <c r="N583" s="43"/>
      <c r="O583" s="43"/>
      <c r="P583" s="44"/>
      <c r="Q583" s="43"/>
      <c r="R583" s="43"/>
      <c r="S583" s="45"/>
      <c r="T583" s="58" t="str">
        <f>IF(Tableau1[[#This Row],[DMS_SAP]]="","",HYPERLINK(Tableau1[[#This Row],[Chemin fichier source]],"X"))</f>
        <v/>
      </c>
      <c r="U583" s="58" t="str">
        <f>IF(Tableau1[[#This Row],[Date rév.]]="","",HYPERLINK(Tableau1[[#This Row],[Lien document]],"X"))</f>
        <v/>
      </c>
      <c r="V583" s="44"/>
      <c r="W583" s="46" t="str">
        <f ca="1">Chemin_accès!$B$2&amp;Tableau1[[#This Row],[Poste Responsable]]&amp;"\"&amp;Tableau1[[#This Row],[Localisation / Classement]]&amp;"\"&amp;Tableau1[[#This Row],[Poste technique]]&amp;"_"&amp;Tableau1[[#This Row],[Plan Entretien]]&amp;".pdf"</f>
        <v>\\stjn.local\trimet\Donnees_Projets\Dms Sap\Maintenance\PlanEntretien\7.MNRJ\\_.pdf</v>
      </c>
      <c r="X583" s="44"/>
      <c r="Y583" s="44"/>
      <c r="Z583" s="41" t="str">
        <f ca="1">IF(AND(Tableau1[[#This Row],[Charge]]&lt;&gt;0, Tableau1[[#This Row],[Nombre intervenants]]&lt;&gt;0,Tableau1[[#This Row],[Lien document]]&lt;&gt;0,Tableau1[[#This Row],[DMS_SAP]]&lt;&gt;0)=TRUE,"MIS A JOUR","")</f>
        <v/>
      </c>
      <c r="AA583" s="45"/>
      <c r="AB583" s="55" t="str">
        <f ca="1">IF(Tableau1[[#This Row],[Date rév.]]&lt;&gt;"", DAYS360(Tableau1[[#This Row],[Date rév.]],TODAY()),"")</f>
        <v/>
      </c>
      <c r="AC583" s="47">
        <f>IFERROR(INDEX(Chemin_accès!$B$11:$C$22,MATCH(Tableau1[[#This Row],[Type]],Chemin_accès!$C$11:$C$22,0),1),Chemin_accès!$B$11)</f>
        <v>0</v>
      </c>
      <c r="AD583" s="47" t="str">
        <f>Chemin_accès!$B$8&amp;Tableau1[[#This Row],[Localisation / Classement]]&amp;"\"&amp;Tableau1[[#This Row],[Poste technique]]&amp;"_"&amp;Tableau1[[#This Row],[Plan Entretien]]&amp;".xlsm"</f>
        <v>\_.xlsm</v>
      </c>
    </row>
    <row r="584" spans="1:30" x14ac:dyDescent="0.3">
      <c r="A584" s="41" t="str">
        <f t="shared" ca="1" si="9"/>
        <v>7.MNRJ</v>
      </c>
      <c r="B5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4" s="43"/>
      <c r="D584" s="41"/>
      <c r="E584" s="41"/>
      <c r="F584" s="44"/>
      <c r="G584" s="44"/>
      <c r="H584" s="48"/>
      <c r="I584" s="48"/>
      <c r="J584" s="48"/>
      <c r="K584" s="48"/>
      <c r="L584" s="43"/>
      <c r="M584" s="44"/>
      <c r="N584" s="43"/>
      <c r="O584" s="43"/>
      <c r="P584" s="44"/>
      <c r="Q584" s="43"/>
      <c r="R584" s="43"/>
      <c r="S584" s="45"/>
      <c r="T584" s="58" t="str">
        <f>IF(Tableau1[[#This Row],[DMS_SAP]]="","",HYPERLINK(Tableau1[[#This Row],[Chemin fichier source]],"X"))</f>
        <v/>
      </c>
      <c r="U584" s="58" t="str">
        <f>IF(Tableau1[[#This Row],[Date rév.]]="","",HYPERLINK(Tableau1[[#This Row],[Lien document]],"X"))</f>
        <v/>
      </c>
      <c r="V584" s="44"/>
      <c r="W584" s="46" t="str">
        <f ca="1">Chemin_accès!$B$2&amp;Tableau1[[#This Row],[Poste Responsable]]&amp;"\"&amp;Tableau1[[#This Row],[Localisation / Classement]]&amp;"\"&amp;Tableau1[[#This Row],[Poste technique]]&amp;"_"&amp;Tableau1[[#This Row],[Plan Entretien]]&amp;".pdf"</f>
        <v>\\stjn.local\trimet\Donnees_Projets\Dms Sap\Maintenance\PlanEntretien\7.MNRJ\\_.pdf</v>
      </c>
      <c r="X584" s="44"/>
      <c r="Y584" s="44"/>
      <c r="Z584" s="41" t="str">
        <f ca="1">IF(AND(Tableau1[[#This Row],[Charge]]&lt;&gt;0, Tableau1[[#This Row],[Nombre intervenants]]&lt;&gt;0,Tableau1[[#This Row],[Lien document]]&lt;&gt;0,Tableau1[[#This Row],[DMS_SAP]]&lt;&gt;0)=TRUE,"MIS A JOUR","")</f>
        <v/>
      </c>
      <c r="AA584" s="45"/>
      <c r="AB584" s="55" t="str">
        <f ca="1">IF(Tableau1[[#This Row],[Date rév.]]&lt;&gt;"", DAYS360(Tableau1[[#This Row],[Date rév.]],TODAY()),"")</f>
        <v/>
      </c>
      <c r="AC584" s="47">
        <f>IFERROR(INDEX(Chemin_accès!$B$11:$C$22,MATCH(Tableau1[[#This Row],[Type]],Chemin_accès!$C$11:$C$22,0),1),Chemin_accès!$B$11)</f>
        <v>0</v>
      </c>
      <c r="AD584" s="47" t="str">
        <f>Chemin_accès!$B$8&amp;Tableau1[[#This Row],[Localisation / Classement]]&amp;"\"&amp;Tableau1[[#This Row],[Poste technique]]&amp;"_"&amp;Tableau1[[#This Row],[Plan Entretien]]&amp;".xlsm"</f>
        <v>\_.xlsm</v>
      </c>
    </row>
    <row r="585" spans="1:30" x14ac:dyDescent="0.3">
      <c r="A585" s="41" t="str">
        <f t="shared" ca="1" si="9"/>
        <v>7.MNRJ</v>
      </c>
      <c r="B5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5" s="43"/>
      <c r="D585" s="41"/>
      <c r="E585" s="41"/>
      <c r="F585" s="44"/>
      <c r="G585" s="44"/>
      <c r="H585" s="48"/>
      <c r="I585" s="48"/>
      <c r="J585" s="48"/>
      <c r="K585" s="48"/>
      <c r="L585" s="43"/>
      <c r="M585" s="44"/>
      <c r="N585" s="43"/>
      <c r="O585" s="43"/>
      <c r="P585" s="44"/>
      <c r="Q585" s="43"/>
      <c r="R585" s="43"/>
      <c r="S585" s="45"/>
      <c r="T585" s="58" t="str">
        <f>IF(Tableau1[[#This Row],[DMS_SAP]]="","",HYPERLINK(Tableau1[[#This Row],[Chemin fichier source]],"X"))</f>
        <v/>
      </c>
      <c r="U585" s="58" t="str">
        <f>IF(Tableau1[[#This Row],[Date rév.]]="","",HYPERLINK(Tableau1[[#This Row],[Lien document]],"X"))</f>
        <v/>
      </c>
      <c r="V585" s="44"/>
      <c r="W585" s="46" t="str">
        <f ca="1">Chemin_accès!$B$2&amp;Tableau1[[#This Row],[Poste Responsable]]&amp;"\"&amp;Tableau1[[#This Row],[Localisation / Classement]]&amp;"\"&amp;Tableau1[[#This Row],[Poste technique]]&amp;"_"&amp;Tableau1[[#This Row],[Plan Entretien]]&amp;".pdf"</f>
        <v>\\stjn.local\trimet\Donnees_Projets\Dms Sap\Maintenance\PlanEntretien\7.MNRJ\\_.pdf</v>
      </c>
      <c r="X585" s="44"/>
      <c r="Y585" s="44"/>
      <c r="Z585" s="41" t="str">
        <f ca="1">IF(AND(Tableau1[[#This Row],[Charge]]&lt;&gt;0, Tableau1[[#This Row],[Nombre intervenants]]&lt;&gt;0,Tableau1[[#This Row],[Lien document]]&lt;&gt;0,Tableau1[[#This Row],[DMS_SAP]]&lt;&gt;0)=TRUE,"MIS A JOUR","")</f>
        <v/>
      </c>
      <c r="AA585" s="45"/>
      <c r="AB585" s="55" t="str">
        <f ca="1">IF(Tableau1[[#This Row],[Date rév.]]&lt;&gt;"", DAYS360(Tableau1[[#This Row],[Date rév.]],TODAY()),"")</f>
        <v/>
      </c>
      <c r="AC585" s="47">
        <f>IFERROR(INDEX(Chemin_accès!$B$11:$C$22,MATCH(Tableau1[[#This Row],[Type]],Chemin_accès!$C$11:$C$22,0),1),Chemin_accès!$B$11)</f>
        <v>0</v>
      </c>
      <c r="AD585" s="47" t="str">
        <f>Chemin_accès!$B$8&amp;Tableau1[[#This Row],[Localisation / Classement]]&amp;"\"&amp;Tableau1[[#This Row],[Poste technique]]&amp;"_"&amp;Tableau1[[#This Row],[Plan Entretien]]&amp;".xlsm"</f>
        <v>\_.xlsm</v>
      </c>
    </row>
    <row r="586" spans="1:30" x14ac:dyDescent="0.3">
      <c r="A586" s="41" t="str">
        <f t="shared" ca="1" si="9"/>
        <v>7.MNRJ</v>
      </c>
      <c r="B5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6" s="43"/>
      <c r="D586" s="41"/>
      <c r="E586" s="41"/>
      <c r="F586" s="44"/>
      <c r="G586" s="44"/>
      <c r="H586" s="48"/>
      <c r="I586" s="48"/>
      <c r="J586" s="48"/>
      <c r="K586" s="48"/>
      <c r="L586" s="43"/>
      <c r="M586" s="44"/>
      <c r="N586" s="43"/>
      <c r="O586" s="43"/>
      <c r="P586" s="44"/>
      <c r="Q586" s="43"/>
      <c r="R586" s="43"/>
      <c r="S586" s="45"/>
      <c r="T586" s="58" t="str">
        <f>IF(Tableau1[[#This Row],[DMS_SAP]]="","",HYPERLINK(Tableau1[[#This Row],[Chemin fichier source]],"X"))</f>
        <v/>
      </c>
      <c r="U586" s="58" t="str">
        <f>IF(Tableau1[[#This Row],[Date rév.]]="","",HYPERLINK(Tableau1[[#This Row],[Lien document]],"X"))</f>
        <v/>
      </c>
      <c r="V586" s="44"/>
      <c r="W586" s="46" t="str">
        <f ca="1">Chemin_accès!$B$2&amp;Tableau1[[#This Row],[Poste Responsable]]&amp;"\"&amp;Tableau1[[#This Row],[Localisation / Classement]]&amp;"\"&amp;Tableau1[[#This Row],[Poste technique]]&amp;"_"&amp;Tableau1[[#This Row],[Plan Entretien]]&amp;".pdf"</f>
        <v>\\stjn.local\trimet\Donnees_Projets\Dms Sap\Maintenance\PlanEntretien\7.MNRJ\\_.pdf</v>
      </c>
      <c r="X586" s="44"/>
      <c r="Y586" s="44"/>
      <c r="Z586" s="41" t="str">
        <f ca="1">IF(AND(Tableau1[[#This Row],[Charge]]&lt;&gt;0, Tableau1[[#This Row],[Nombre intervenants]]&lt;&gt;0,Tableau1[[#This Row],[Lien document]]&lt;&gt;0,Tableau1[[#This Row],[DMS_SAP]]&lt;&gt;0)=TRUE,"MIS A JOUR","")</f>
        <v/>
      </c>
      <c r="AA586" s="45"/>
      <c r="AB586" s="55" t="str">
        <f ca="1">IF(Tableau1[[#This Row],[Date rév.]]&lt;&gt;"", DAYS360(Tableau1[[#This Row],[Date rév.]],TODAY()),"")</f>
        <v/>
      </c>
      <c r="AC586" s="47">
        <f>IFERROR(INDEX(Chemin_accès!$B$11:$C$22,MATCH(Tableau1[[#This Row],[Type]],Chemin_accès!$C$11:$C$22,0),1),Chemin_accès!$B$11)</f>
        <v>0</v>
      </c>
      <c r="AD586" s="47" t="str">
        <f>Chemin_accès!$B$8&amp;Tableau1[[#This Row],[Localisation / Classement]]&amp;"\"&amp;Tableau1[[#This Row],[Poste technique]]&amp;"_"&amp;Tableau1[[#This Row],[Plan Entretien]]&amp;".xlsm"</f>
        <v>\_.xlsm</v>
      </c>
    </row>
    <row r="587" spans="1:30" x14ac:dyDescent="0.3">
      <c r="A587" s="41" t="str">
        <f t="shared" ca="1" si="9"/>
        <v>7.MNRJ</v>
      </c>
      <c r="B5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7" s="43"/>
      <c r="D587" s="41"/>
      <c r="E587" s="41"/>
      <c r="F587" s="44"/>
      <c r="G587" s="44"/>
      <c r="H587" s="48"/>
      <c r="I587" s="48"/>
      <c r="J587" s="48"/>
      <c r="K587" s="48"/>
      <c r="L587" s="43"/>
      <c r="M587" s="44"/>
      <c r="N587" s="43"/>
      <c r="O587" s="43"/>
      <c r="P587" s="44"/>
      <c r="Q587" s="43"/>
      <c r="R587" s="43"/>
      <c r="S587" s="45"/>
      <c r="T587" s="58" t="str">
        <f>IF(Tableau1[[#This Row],[DMS_SAP]]="","",HYPERLINK(Tableau1[[#This Row],[Chemin fichier source]],"X"))</f>
        <v/>
      </c>
      <c r="U587" s="58" t="str">
        <f>IF(Tableau1[[#This Row],[Date rév.]]="","",HYPERLINK(Tableau1[[#This Row],[Lien document]],"X"))</f>
        <v/>
      </c>
      <c r="V587" s="44"/>
      <c r="W587" s="46" t="str">
        <f ca="1">Chemin_accès!$B$2&amp;Tableau1[[#This Row],[Poste Responsable]]&amp;"\"&amp;Tableau1[[#This Row],[Localisation / Classement]]&amp;"\"&amp;Tableau1[[#This Row],[Poste technique]]&amp;"_"&amp;Tableau1[[#This Row],[Plan Entretien]]&amp;".pdf"</f>
        <v>\\stjn.local\trimet\Donnees_Projets\Dms Sap\Maintenance\PlanEntretien\7.MNRJ\\_.pdf</v>
      </c>
      <c r="X587" s="44"/>
      <c r="Y587" s="44"/>
      <c r="Z587" s="41" t="str">
        <f ca="1">IF(AND(Tableau1[[#This Row],[Charge]]&lt;&gt;0, Tableau1[[#This Row],[Nombre intervenants]]&lt;&gt;0,Tableau1[[#This Row],[Lien document]]&lt;&gt;0,Tableau1[[#This Row],[DMS_SAP]]&lt;&gt;0)=TRUE,"MIS A JOUR","")</f>
        <v/>
      </c>
      <c r="AA587" s="45"/>
      <c r="AB587" s="55" t="str">
        <f ca="1">IF(Tableau1[[#This Row],[Date rév.]]&lt;&gt;"", DAYS360(Tableau1[[#This Row],[Date rév.]],TODAY()),"")</f>
        <v/>
      </c>
      <c r="AC587" s="47">
        <f>IFERROR(INDEX(Chemin_accès!$B$11:$C$22,MATCH(Tableau1[[#This Row],[Type]],Chemin_accès!$C$11:$C$22,0),1),Chemin_accès!$B$11)</f>
        <v>0</v>
      </c>
      <c r="AD587" s="47" t="str">
        <f>Chemin_accès!$B$8&amp;Tableau1[[#This Row],[Localisation / Classement]]&amp;"\"&amp;Tableau1[[#This Row],[Poste technique]]&amp;"_"&amp;Tableau1[[#This Row],[Plan Entretien]]&amp;".xlsm"</f>
        <v>\_.xlsm</v>
      </c>
    </row>
    <row r="588" spans="1:30" x14ac:dyDescent="0.3">
      <c r="A588" s="41" t="str">
        <f t="shared" ca="1" si="9"/>
        <v>7.MNRJ</v>
      </c>
      <c r="B5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8" s="43"/>
      <c r="D588" s="41"/>
      <c r="E588" s="41"/>
      <c r="F588" s="44"/>
      <c r="G588" s="44"/>
      <c r="H588" s="48"/>
      <c r="I588" s="48"/>
      <c r="J588" s="48"/>
      <c r="K588" s="48"/>
      <c r="L588" s="43"/>
      <c r="M588" s="44"/>
      <c r="N588" s="43"/>
      <c r="O588" s="43"/>
      <c r="P588" s="44"/>
      <c r="Q588" s="43"/>
      <c r="R588" s="43"/>
      <c r="S588" s="45"/>
      <c r="T588" s="58" t="str">
        <f>IF(Tableau1[[#This Row],[DMS_SAP]]="","",HYPERLINK(Tableau1[[#This Row],[Chemin fichier source]],"X"))</f>
        <v/>
      </c>
      <c r="U588" s="58" t="str">
        <f>IF(Tableau1[[#This Row],[Date rév.]]="","",HYPERLINK(Tableau1[[#This Row],[Lien document]],"X"))</f>
        <v/>
      </c>
      <c r="V588" s="44"/>
      <c r="W588" s="46" t="str">
        <f ca="1">Chemin_accès!$B$2&amp;Tableau1[[#This Row],[Poste Responsable]]&amp;"\"&amp;Tableau1[[#This Row],[Localisation / Classement]]&amp;"\"&amp;Tableau1[[#This Row],[Poste technique]]&amp;"_"&amp;Tableau1[[#This Row],[Plan Entretien]]&amp;".pdf"</f>
        <v>\\stjn.local\trimet\Donnees_Projets\Dms Sap\Maintenance\PlanEntretien\7.MNRJ\\_.pdf</v>
      </c>
      <c r="X588" s="44"/>
      <c r="Y588" s="44"/>
      <c r="Z588" s="41" t="str">
        <f ca="1">IF(AND(Tableau1[[#This Row],[Charge]]&lt;&gt;0, Tableau1[[#This Row],[Nombre intervenants]]&lt;&gt;0,Tableau1[[#This Row],[Lien document]]&lt;&gt;0,Tableau1[[#This Row],[DMS_SAP]]&lt;&gt;0)=TRUE,"MIS A JOUR","")</f>
        <v/>
      </c>
      <c r="AA588" s="45"/>
      <c r="AB588" s="55" t="str">
        <f ca="1">IF(Tableau1[[#This Row],[Date rév.]]&lt;&gt;"", DAYS360(Tableau1[[#This Row],[Date rév.]],TODAY()),"")</f>
        <v/>
      </c>
      <c r="AC588" s="47">
        <f>IFERROR(INDEX(Chemin_accès!$B$11:$C$22,MATCH(Tableau1[[#This Row],[Type]],Chemin_accès!$C$11:$C$22,0),1),Chemin_accès!$B$11)</f>
        <v>0</v>
      </c>
      <c r="AD588" s="47" t="str">
        <f>Chemin_accès!$B$8&amp;Tableau1[[#This Row],[Localisation / Classement]]&amp;"\"&amp;Tableau1[[#This Row],[Poste technique]]&amp;"_"&amp;Tableau1[[#This Row],[Plan Entretien]]&amp;".xlsm"</f>
        <v>\_.xlsm</v>
      </c>
    </row>
    <row r="589" spans="1:30" x14ac:dyDescent="0.3">
      <c r="A589" s="41" t="str">
        <f t="shared" ca="1" si="9"/>
        <v>7.MNRJ</v>
      </c>
      <c r="B5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9" s="43"/>
      <c r="D589" s="41"/>
      <c r="E589" s="41"/>
      <c r="F589" s="44"/>
      <c r="G589" s="44"/>
      <c r="H589" s="48"/>
      <c r="I589" s="48"/>
      <c r="J589" s="48"/>
      <c r="K589" s="48"/>
      <c r="L589" s="43"/>
      <c r="M589" s="44"/>
      <c r="N589" s="43"/>
      <c r="O589" s="43"/>
      <c r="P589" s="44"/>
      <c r="Q589" s="43"/>
      <c r="R589" s="43"/>
      <c r="S589" s="45"/>
      <c r="T589" s="58" t="str">
        <f>IF(Tableau1[[#This Row],[DMS_SAP]]="","",HYPERLINK(Tableau1[[#This Row],[Chemin fichier source]],"X"))</f>
        <v/>
      </c>
      <c r="U589" s="58" t="str">
        <f>IF(Tableau1[[#This Row],[Date rév.]]="","",HYPERLINK(Tableau1[[#This Row],[Lien document]],"X"))</f>
        <v/>
      </c>
      <c r="V589" s="44"/>
      <c r="W589" s="46" t="str">
        <f ca="1">Chemin_accès!$B$2&amp;Tableau1[[#This Row],[Poste Responsable]]&amp;"\"&amp;Tableau1[[#This Row],[Localisation / Classement]]&amp;"\"&amp;Tableau1[[#This Row],[Poste technique]]&amp;"_"&amp;Tableau1[[#This Row],[Plan Entretien]]&amp;".pdf"</f>
        <v>\\stjn.local\trimet\Donnees_Projets\Dms Sap\Maintenance\PlanEntretien\7.MNRJ\\_.pdf</v>
      </c>
      <c r="X589" s="44"/>
      <c r="Y589" s="44"/>
      <c r="Z589" s="41" t="str">
        <f ca="1">IF(AND(Tableau1[[#This Row],[Charge]]&lt;&gt;0, Tableau1[[#This Row],[Nombre intervenants]]&lt;&gt;0,Tableau1[[#This Row],[Lien document]]&lt;&gt;0,Tableau1[[#This Row],[DMS_SAP]]&lt;&gt;0)=TRUE,"MIS A JOUR","")</f>
        <v/>
      </c>
      <c r="AA589" s="45"/>
      <c r="AB589" s="55" t="str">
        <f ca="1">IF(Tableau1[[#This Row],[Date rév.]]&lt;&gt;"", DAYS360(Tableau1[[#This Row],[Date rév.]],TODAY()),"")</f>
        <v/>
      </c>
      <c r="AC589" s="47">
        <f>IFERROR(INDEX(Chemin_accès!$B$11:$C$22,MATCH(Tableau1[[#This Row],[Type]],Chemin_accès!$C$11:$C$22,0),1),Chemin_accès!$B$11)</f>
        <v>0</v>
      </c>
      <c r="AD589" s="47" t="str">
        <f>Chemin_accès!$B$8&amp;Tableau1[[#This Row],[Localisation / Classement]]&amp;"\"&amp;Tableau1[[#This Row],[Poste technique]]&amp;"_"&amp;Tableau1[[#This Row],[Plan Entretien]]&amp;".xlsm"</f>
        <v>\_.xlsm</v>
      </c>
    </row>
    <row r="590" spans="1:30" x14ac:dyDescent="0.3">
      <c r="A590" s="41" t="str">
        <f t="shared" ca="1" si="9"/>
        <v>7.MNRJ</v>
      </c>
      <c r="B5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0" s="43"/>
      <c r="D590" s="41"/>
      <c r="E590" s="41"/>
      <c r="F590" s="44"/>
      <c r="G590" s="44"/>
      <c r="H590" s="48"/>
      <c r="I590" s="48"/>
      <c r="J590" s="48"/>
      <c r="K590" s="48"/>
      <c r="L590" s="43"/>
      <c r="M590" s="44"/>
      <c r="N590" s="43"/>
      <c r="O590" s="43"/>
      <c r="P590" s="44"/>
      <c r="Q590" s="43"/>
      <c r="R590" s="43"/>
      <c r="S590" s="45"/>
      <c r="T590" s="58" t="str">
        <f>IF(Tableau1[[#This Row],[DMS_SAP]]="","",HYPERLINK(Tableau1[[#This Row],[Chemin fichier source]],"X"))</f>
        <v/>
      </c>
      <c r="U590" s="58" t="str">
        <f>IF(Tableau1[[#This Row],[Date rév.]]="","",HYPERLINK(Tableau1[[#This Row],[Lien document]],"X"))</f>
        <v/>
      </c>
      <c r="V590" s="44"/>
      <c r="W590" s="46" t="str">
        <f ca="1">Chemin_accès!$B$2&amp;Tableau1[[#This Row],[Poste Responsable]]&amp;"\"&amp;Tableau1[[#This Row],[Localisation / Classement]]&amp;"\"&amp;Tableau1[[#This Row],[Poste technique]]&amp;"_"&amp;Tableau1[[#This Row],[Plan Entretien]]&amp;".pdf"</f>
        <v>\\stjn.local\trimet\Donnees_Projets\Dms Sap\Maintenance\PlanEntretien\7.MNRJ\\_.pdf</v>
      </c>
      <c r="X590" s="44"/>
      <c r="Y590" s="44"/>
      <c r="Z590" s="41" t="str">
        <f ca="1">IF(AND(Tableau1[[#This Row],[Charge]]&lt;&gt;0, Tableau1[[#This Row],[Nombre intervenants]]&lt;&gt;0,Tableau1[[#This Row],[Lien document]]&lt;&gt;0,Tableau1[[#This Row],[DMS_SAP]]&lt;&gt;0)=TRUE,"MIS A JOUR","")</f>
        <v/>
      </c>
      <c r="AA590" s="45"/>
      <c r="AB590" s="55" t="str">
        <f ca="1">IF(Tableau1[[#This Row],[Date rév.]]&lt;&gt;"", DAYS360(Tableau1[[#This Row],[Date rév.]],TODAY()),"")</f>
        <v/>
      </c>
      <c r="AC590" s="47">
        <f>IFERROR(INDEX(Chemin_accès!$B$11:$C$22,MATCH(Tableau1[[#This Row],[Type]],Chemin_accès!$C$11:$C$22,0),1),Chemin_accès!$B$11)</f>
        <v>0</v>
      </c>
      <c r="AD590" s="47" t="str">
        <f>Chemin_accès!$B$8&amp;Tableau1[[#This Row],[Localisation / Classement]]&amp;"\"&amp;Tableau1[[#This Row],[Poste technique]]&amp;"_"&amp;Tableau1[[#This Row],[Plan Entretien]]&amp;".xlsm"</f>
        <v>\_.xlsm</v>
      </c>
    </row>
    <row r="591" spans="1:30" x14ac:dyDescent="0.3">
      <c r="A591" s="41" t="str">
        <f t="shared" ca="1" si="9"/>
        <v>7.MNRJ</v>
      </c>
      <c r="B5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1" s="43"/>
      <c r="D591" s="41"/>
      <c r="E591" s="41"/>
      <c r="F591" s="44"/>
      <c r="G591" s="44"/>
      <c r="H591" s="48"/>
      <c r="I591" s="48"/>
      <c r="J591" s="48"/>
      <c r="K591" s="48"/>
      <c r="L591" s="43"/>
      <c r="M591" s="44"/>
      <c r="N591" s="43"/>
      <c r="O591" s="43"/>
      <c r="P591" s="44"/>
      <c r="Q591" s="43"/>
      <c r="R591" s="43"/>
      <c r="S591" s="45"/>
      <c r="T591" s="58" t="str">
        <f>IF(Tableau1[[#This Row],[DMS_SAP]]="","",HYPERLINK(Tableau1[[#This Row],[Chemin fichier source]],"X"))</f>
        <v/>
      </c>
      <c r="U591" s="58" t="str">
        <f>IF(Tableau1[[#This Row],[Date rév.]]="","",HYPERLINK(Tableau1[[#This Row],[Lien document]],"X"))</f>
        <v/>
      </c>
      <c r="V591" s="44"/>
      <c r="W591" s="46" t="str">
        <f ca="1">Chemin_accès!$B$2&amp;Tableau1[[#This Row],[Poste Responsable]]&amp;"\"&amp;Tableau1[[#This Row],[Localisation / Classement]]&amp;"\"&amp;Tableau1[[#This Row],[Poste technique]]&amp;"_"&amp;Tableau1[[#This Row],[Plan Entretien]]&amp;".pdf"</f>
        <v>\\stjn.local\trimet\Donnees_Projets\Dms Sap\Maintenance\PlanEntretien\7.MNRJ\\_.pdf</v>
      </c>
      <c r="X591" s="44"/>
      <c r="Y591" s="44"/>
      <c r="Z591" s="41" t="str">
        <f ca="1">IF(AND(Tableau1[[#This Row],[Charge]]&lt;&gt;0, Tableau1[[#This Row],[Nombre intervenants]]&lt;&gt;0,Tableau1[[#This Row],[Lien document]]&lt;&gt;0,Tableau1[[#This Row],[DMS_SAP]]&lt;&gt;0)=TRUE,"MIS A JOUR","")</f>
        <v/>
      </c>
      <c r="AA591" s="45"/>
      <c r="AB591" s="55" t="str">
        <f ca="1">IF(Tableau1[[#This Row],[Date rév.]]&lt;&gt;"", DAYS360(Tableau1[[#This Row],[Date rév.]],TODAY()),"")</f>
        <v/>
      </c>
      <c r="AC591" s="47">
        <f>IFERROR(INDEX(Chemin_accès!$B$11:$C$22,MATCH(Tableau1[[#This Row],[Type]],Chemin_accès!$C$11:$C$22,0),1),Chemin_accès!$B$11)</f>
        <v>0</v>
      </c>
      <c r="AD591" s="47" t="str">
        <f>Chemin_accès!$B$8&amp;Tableau1[[#This Row],[Localisation / Classement]]&amp;"\"&amp;Tableau1[[#This Row],[Poste technique]]&amp;"_"&amp;Tableau1[[#This Row],[Plan Entretien]]&amp;".xlsm"</f>
        <v>\_.xlsm</v>
      </c>
    </row>
    <row r="592" spans="1:30" x14ac:dyDescent="0.3">
      <c r="A592" s="41" t="str">
        <f t="shared" ca="1" si="9"/>
        <v>7.MNRJ</v>
      </c>
      <c r="B5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2" s="43"/>
      <c r="D592" s="41"/>
      <c r="E592" s="41"/>
      <c r="F592" s="44"/>
      <c r="G592" s="44"/>
      <c r="H592" s="48"/>
      <c r="I592" s="48"/>
      <c r="J592" s="48"/>
      <c r="K592" s="48"/>
      <c r="L592" s="43"/>
      <c r="M592" s="44"/>
      <c r="N592" s="43"/>
      <c r="O592" s="43"/>
      <c r="P592" s="44"/>
      <c r="Q592" s="43"/>
      <c r="R592" s="43"/>
      <c r="S592" s="45"/>
      <c r="T592" s="58" t="str">
        <f>IF(Tableau1[[#This Row],[DMS_SAP]]="","",HYPERLINK(Tableau1[[#This Row],[Chemin fichier source]],"X"))</f>
        <v/>
      </c>
      <c r="U592" s="58" t="str">
        <f>IF(Tableau1[[#This Row],[Date rév.]]="","",HYPERLINK(Tableau1[[#This Row],[Lien document]],"X"))</f>
        <v/>
      </c>
      <c r="V592" s="44"/>
      <c r="W592" s="46" t="str">
        <f ca="1">Chemin_accès!$B$2&amp;Tableau1[[#This Row],[Poste Responsable]]&amp;"\"&amp;Tableau1[[#This Row],[Localisation / Classement]]&amp;"\"&amp;Tableau1[[#This Row],[Poste technique]]&amp;"_"&amp;Tableau1[[#This Row],[Plan Entretien]]&amp;".pdf"</f>
        <v>\\stjn.local\trimet\Donnees_Projets\Dms Sap\Maintenance\PlanEntretien\7.MNRJ\\_.pdf</v>
      </c>
      <c r="X592" s="44"/>
      <c r="Y592" s="44"/>
      <c r="Z592" s="41" t="str">
        <f ca="1">IF(AND(Tableau1[[#This Row],[Charge]]&lt;&gt;0, Tableau1[[#This Row],[Nombre intervenants]]&lt;&gt;0,Tableau1[[#This Row],[Lien document]]&lt;&gt;0,Tableau1[[#This Row],[DMS_SAP]]&lt;&gt;0)=TRUE,"MIS A JOUR","")</f>
        <v/>
      </c>
      <c r="AA592" s="45"/>
      <c r="AB592" s="55" t="str">
        <f ca="1">IF(Tableau1[[#This Row],[Date rév.]]&lt;&gt;"", DAYS360(Tableau1[[#This Row],[Date rév.]],TODAY()),"")</f>
        <v/>
      </c>
      <c r="AC592" s="47">
        <f>IFERROR(INDEX(Chemin_accès!$B$11:$C$22,MATCH(Tableau1[[#This Row],[Type]],Chemin_accès!$C$11:$C$22,0),1),Chemin_accès!$B$11)</f>
        <v>0</v>
      </c>
      <c r="AD592" s="47" t="str">
        <f>Chemin_accès!$B$8&amp;Tableau1[[#This Row],[Localisation / Classement]]&amp;"\"&amp;Tableau1[[#This Row],[Poste technique]]&amp;"_"&amp;Tableau1[[#This Row],[Plan Entretien]]&amp;".xlsm"</f>
        <v>\_.xlsm</v>
      </c>
    </row>
    <row r="593" spans="1:30" x14ac:dyDescent="0.3">
      <c r="A593" s="41" t="str">
        <f t="shared" ca="1" si="9"/>
        <v>7.MNRJ</v>
      </c>
      <c r="B5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3" s="43"/>
      <c r="D593" s="41"/>
      <c r="E593" s="41"/>
      <c r="F593" s="44"/>
      <c r="G593" s="44"/>
      <c r="H593" s="48"/>
      <c r="I593" s="48"/>
      <c r="J593" s="48"/>
      <c r="K593" s="48"/>
      <c r="L593" s="43"/>
      <c r="M593" s="44"/>
      <c r="N593" s="43"/>
      <c r="O593" s="43"/>
      <c r="P593" s="44"/>
      <c r="Q593" s="43"/>
      <c r="R593" s="43"/>
      <c r="S593" s="45"/>
      <c r="T593" s="58" t="str">
        <f>IF(Tableau1[[#This Row],[DMS_SAP]]="","",HYPERLINK(Tableau1[[#This Row],[Chemin fichier source]],"X"))</f>
        <v/>
      </c>
      <c r="U593" s="58" t="str">
        <f>IF(Tableau1[[#This Row],[Date rév.]]="","",HYPERLINK(Tableau1[[#This Row],[Lien document]],"X"))</f>
        <v/>
      </c>
      <c r="V593" s="44"/>
      <c r="W593" s="46" t="str">
        <f ca="1">Chemin_accès!$B$2&amp;Tableau1[[#This Row],[Poste Responsable]]&amp;"\"&amp;Tableau1[[#This Row],[Localisation / Classement]]&amp;"\"&amp;Tableau1[[#This Row],[Poste technique]]&amp;"_"&amp;Tableau1[[#This Row],[Plan Entretien]]&amp;".pdf"</f>
        <v>\\stjn.local\trimet\Donnees_Projets\Dms Sap\Maintenance\PlanEntretien\7.MNRJ\\_.pdf</v>
      </c>
      <c r="X593" s="44"/>
      <c r="Y593" s="44"/>
      <c r="Z593" s="41" t="str">
        <f ca="1">IF(AND(Tableau1[[#This Row],[Charge]]&lt;&gt;0, Tableau1[[#This Row],[Nombre intervenants]]&lt;&gt;0,Tableau1[[#This Row],[Lien document]]&lt;&gt;0,Tableau1[[#This Row],[DMS_SAP]]&lt;&gt;0)=TRUE,"MIS A JOUR","")</f>
        <v/>
      </c>
      <c r="AA593" s="45"/>
      <c r="AB593" s="55" t="str">
        <f ca="1">IF(Tableau1[[#This Row],[Date rév.]]&lt;&gt;"", DAYS360(Tableau1[[#This Row],[Date rév.]],TODAY()),"")</f>
        <v/>
      </c>
      <c r="AC593" s="47">
        <f>IFERROR(INDEX(Chemin_accès!$B$11:$C$22,MATCH(Tableau1[[#This Row],[Type]],Chemin_accès!$C$11:$C$22,0),1),Chemin_accès!$B$11)</f>
        <v>0</v>
      </c>
      <c r="AD593" s="47" t="str">
        <f>Chemin_accès!$B$8&amp;Tableau1[[#This Row],[Localisation / Classement]]&amp;"\"&amp;Tableau1[[#This Row],[Poste technique]]&amp;"_"&amp;Tableau1[[#This Row],[Plan Entretien]]&amp;".xlsm"</f>
        <v>\_.xlsm</v>
      </c>
    </row>
    <row r="594" spans="1:30" x14ac:dyDescent="0.3">
      <c r="A594" s="41" t="str">
        <f t="shared" ca="1" si="9"/>
        <v>7.MNRJ</v>
      </c>
      <c r="B5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4" s="43"/>
      <c r="D594" s="41"/>
      <c r="E594" s="41"/>
      <c r="F594" s="44"/>
      <c r="G594" s="44"/>
      <c r="H594" s="48"/>
      <c r="I594" s="48"/>
      <c r="J594" s="48"/>
      <c r="K594" s="48"/>
      <c r="L594" s="43"/>
      <c r="M594" s="44"/>
      <c r="N594" s="43"/>
      <c r="O594" s="43"/>
      <c r="P594" s="44"/>
      <c r="Q594" s="43"/>
      <c r="R594" s="43"/>
      <c r="S594" s="45"/>
      <c r="T594" s="58" t="str">
        <f>IF(Tableau1[[#This Row],[DMS_SAP]]="","",HYPERLINK(Tableau1[[#This Row],[Chemin fichier source]],"X"))</f>
        <v/>
      </c>
      <c r="U594" s="58" t="str">
        <f>IF(Tableau1[[#This Row],[Date rév.]]="","",HYPERLINK(Tableau1[[#This Row],[Lien document]],"X"))</f>
        <v/>
      </c>
      <c r="V594" s="44"/>
      <c r="W594" s="46" t="str">
        <f ca="1">Chemin_accès!$B$2&amp;Tableau1[[#This Row],[Poste Responsable]]&amp;"\"&amp;Tableau1[[#This Row],[Localisation / Classement]]&amp;"\"&amp;Tableau1[[#This Row],[Poste technique]]&amp;"_"&amp;Tableau1[[#This Row],[Plan Entretien]]&amp;".pdf"</f>
        <v>\\stjn.local\trimet\Donnees_Projets\Dms Sap\Maintenance\PlanEntretien\7.MNRJ\\_.pdf</v>
      </c>
      <c r="X594" s="44"/>
      <c r="Y594" s="44"/>
      <c r="Z594" s="41" t="str">
        <f ca="1">IF(AND(Tableau1[[#This Row],[Charge]]&lt;&gt;0, Tableau1[[#This Row],[Nombre intervenants]]&lt;&gt;0,Tableau1[[#This Row],[Lien document]]&lt;&gt;0,Tableau1[[#This Row],[DMS_SAP]]&lt;&gt;0)=TRUE,"MIS A JOUR","")</f>
        <v/>
      </c>
      <c r="AA594" s="45"/>
      <c r="AB594" s="55" t="str">
        <f ca="1">IF(Tableau1[[#This Row],[Date rév.]]&lt;&gt;"", DAYS360(Tableau1[[#This Row],[Date rév.]],TODAY()),"")</f>
        <v/>
      </c>
      <c r="AC594" s="47">
        <f>IFERROR(INDEX(Chemin_accès!$B$11:$C$22,MATCH(Tableau1[[#This Row],[Type]],Chemin_accès!$C$11:$C$22,0),1),Chemin_accès!$B$11)</f>
        <v>0</v>
      </c>
      <c r="AD594" s="47" t="str">
        <f>Chemin_accès!$B$8&amp;Tableau1[[#This Row],[Localisation / Classement]]&amp;"\"&amp;Tableau1[[#This Row],[Poste technique]]&amp;"_"&amp;Tableau1[[#This Row],[Plan Entretien]]&amp;".xlsm"</f>
        <v>\_.xlsm</v>
      </c>
    </row>
    <row r="595" spans="1:30" x14ac:dyDescent="0.3">
      <c r="A595" s="41" t="str">
        <f t="shared" ca="1" si="9"/>
        <v>7.MNRJ</v>
      </c>
      <c r="B5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5" s="43"/>
      <c r="D595" s="41"/>
      <c r="E595" s="41"/>
      <c r="F595" s="44"/>
      <c r="G595" s="44"/>
      <c r="H595" s="48"/>
      <c r="I595" s="48"/>
      <c r="J595" s="48"/>
      <c r="K595" s="48"/>
      <c r="L595" s="43"/>
      <c r="M595" s="44"/>
      <c r="N595" s="43"/>
      <c r="O595" s="43"/>
      <c r="P595" s="44"/>
      <c r="Q595" s="43"/>
      <c r="R595" s="43"/>
      <c r="S595" s="45"/>
      <c r="T595" s="58" t="str">
        <f>IF(Tableau1[[#This Row],[DMS_SAP]]="","",HYPERLINK(Tableau1[[#This Row],[Chemin fichier source]],"X"))</f>
        <v/>
      </c>
      <c r="U595" s="58" t="str">
        <f>IF(Tableau1[[#This Row],[Date rév.]]="","",HYPERLINK(Tableau1[[#This Row],[Lien document]],"X"))</f>
        <v/>
      </c>
      <c r="V595" s="44"/>
      <c r="W595" s="46" t="str">
        <f ca="1">Chemin_accès!$B$2&amp;Tableau1[[#This Row],[Poste Responsable]]&amp;"\"&amp;Tableau1[[#This Row],[Localisation / Classement]]&amp;"\"&amp;Tableau1[[#This Row],[Poste technique]]&amp;"_"&amp;Tableau1[[#This Row],[Plan Entretien]]&amp;".pdf"</f>
        <v>\\stjn.local\trimet\Donnees_Projets\Dms Sap\Maintenance\PlanEntretien\7.MNRJ\\_.pdf</v>
      </c>
      <c r="X595" s="44"/>
      <c r="Y595" s="44"/>
      <c r="Z595" s="41" t="str">
        <f ca="1">IF(AND(Tableau1[[#This Row],[Charge]]&lt;&gt;0, Tableau1[[#This Row],[Nombre intervenants]]&lt;&gt;0,Tableau1[[#This Row],[Lien document]]&lt;&gt;0,Tableau1[[#This Row],[DMS_SAP]]&lt;&gt;0)=TRUE,"MIS A JOUR","")</f>
        <v/>
      </c>
      <c r="AA595" s="45"/>
      <c r="AB595" s="55" t="str">
        <f ca="1">IF(Tableau1[[#This Row],[Date rév.]]&lt;&gt;"", DAYS360(Tableau1[[#This Row],[Date rév.]],TODAY()),"")</f>
        <v/>
      </c>
      <c r="AC595" s="47">
        <f>IFERROR(INDEX(Chemin_accès!$B$11:$C$22,MATCH(Tableau1[[#This Row],[Type]],Chemin_accès!$C$11:$C$22,0),1),Chemin_accès!$B$11)</f>
        <v>0</v>
      </c>
      <c r="AD595" s="47" t="str">
        <f>Chemin_accès!$B$8&amp;Tableau1[[#This Row],[Localisation / Classement]]&amp;"\"&amp;Tableau1[[#This Row],[Poste technique]]&amp;"_"&amp;Tableau1[[#This Row],[Plan Entretien]]&amp;".xlsm"</f>
        <v>\_.xlsm</v>
      </c>
    </row>
    <row r="596" spans="1:30" x14ac:dyDescent="0.3">
      <c r="A596" s="41" t="str">
        <f t="shared" ca="1" si="9"/>
        <v>7.MNRJ</v>
      </c>
      <c r="B5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6" s="43"/>
      <c r="D596" s="41"/>
      <c r="E596" s="41"/>
      <c r="F596" s="44"/>
      <c r="G596" s="44"/>
      <c r="H596" s="48"/>
      <c r="I596" s="48"/>
      <c r="J596" s="48"/>
      <c r="K596" s="48"/>
      <c r="L596" s="43"/>
      <c r="M596" s="44"/>
      <c r="N596" s="43"/>
      <c r="O596" s="43"/>
      <c r="P596" s="44"/>
      <c r="Q596" s="43"/>
      <c r="R596" s="43"/>
      <c r="S596" s="45"/>
      <c r="T596" s="58" t="str">
        <f>IF(Tableau1[[#This Row],[DMS_SAP]]="","",HYPERLINK(Tableau1[[#This Row],[Chemin fichier source]],"X"))</f>
        <v/>
      </c>
      <c r="U596" s="58" t="str">
        <f>IF(Tableau1[[#This Row],[Date rév.]]="","",HYPERLINK(Tableau1[[#This Row],[Lien document]],"X"))</f>
        <v/>
      </c>
      <c r="V596" s="44"/>
      <c r="W596" s="46" t="str">
        <f ca="1">Chemin_accès!$B$2&amp;Tableau1[[#This Row],[Poste Responsable]]&amp;"\"&amp;Tableau1[[#This Row],[Localisation / Classement]]&amp;"\"&amp;Tableau1[[#This Row],[Poste technique]]&amp;"_"&amp;Tableau1[[#This Row],[Plan Entretien]]&amp;".pdf"</f>
        <v>\\stjn.local\trimet\Donnees_Projets\Dms Sap\Maintenance\PlanEntretien\7.MNRJ\\_.pdf</v>
      </c>
      <c r="X596" s="44"/>
      <c r="Y596" s="44"/>
      <c r="Z596" s="41" t="str">
        <f ca="1">IF(AND(Tableau1[[#This Row],[Charge]]&lt;&gt;0, Tableau1[[#This Row],[Nombre intervenants]]&lt;&gt;0,Tableau1[[#This Row],[Lien document]]&lt;&gt;0,Tableau1[[#This Row],[DMS_SAP]]&lt;&gt;0)=TRUE,"MIS A JOUR","")</f>
        <v/>
      </c>
      <c r="AA596" s="45"/>
      <c r="AB596" s="55" t="str">
        <f ca="1">IF(Tableau1[[#This Row],[Date rév.]]&lt;&gt;"", DAYS360(Tableau1[[#This Row],[Date rév.]],TODAY()),"")</f>
        <v/>
      </c>
      <c r="AC596" s="47">
        <f>IFERROR(INDEX(Chemin_accès!$B$11:$C$22,MATCH(Tableau1[[#This Row],[Type]],Chemin_accès!$C$11:$C$22,0),1),Chemin_accès!$B$11)</f>
        <v>0</v>
      </c>
      <c r="AD596" s="47" t="str">
        <f>Chemin_accès!$B$8&amp;Tableau1[[#This Row],[Localisation / Classement]]&amp;"\"&amp;Tableau1[[#This Row],[Poste technique]]&amp;"_"&amp;Tableau1[[#This Row],[Plan Entretien]]&amp;".xlsm"</f>
        <v>\_.xlsm</v>
      </c>
    </row>
    <row r="597" spans="1:30" x14ac:dyDescent="0.3">
      <c r="A597" s="41" t="str">
        <f t="shared" ca="1" si="9"/>
        <v>7.MNRJ</v>
      </c>
      <c r="B5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7" s="43"/>
      <c r="D597" s="41"/>
      <c r="E597" s="41"/>
      <c r="F597" s="44"/>
      <c r="G597" s="44"/>
      <c r="H597" s="48"/>
      <c r="I597" s="48"/>
      <c r="J597" s="48"/>
      <c r="K597" s="48"/>
      <c r="L597" s="43"/>
      <c r="M597" s="44"/>
      <c r="N597" s="43"/>
      <c r="O597" s="43"/>
      <c r="P597" s="44"/>
      <c r="Q597" s="43"/>
      <c r="R597" s="43"/>
      <c r="S597" s="45"/>
      <c r="T597" s="58" t="str">
        <f>IF(Tableau1[[#This Row],[DMS_SAP]]="","",HYPERLINK(Tableau1[[#This Row],[Chemin fichier source]],"X"))</f>
        <v/>
      </c>
      <c r="U597" s="58" t="str">
        <f>IF(Tableau1[[#This Row],[Date rév.]]="","",HYPERLINK(Tableau1[[#This Row],[Lien document]],"X"))</f>
        <v/>
      </c>
      <c r="V597" s="44"/>
      <c r="W597" s="46" t="str">
        <f ca="1">Chemin_accès!$B$2&amp;Tableau1[[#This Row],[Poste Responsable]]&amp;"\"&amp;Tableau1[[#This Row],[Localisation / Classement]]&amp;"\"&amp;Tableau1[[#This Row],[Poste technique]]&amp;"_"&amp;Tableau1[[#This Row],[Plan Entretien]]&amp;".pdf"</f>
        <v>\\stjn.local\trimet\Donnees_Projets\Dms Sap\Maintenance\PlanEntretien\7.MNRJ\\_.pdf</v>
      </c>
      <c r="X597" s="44"/>
      <c r="Y597" s="44"/>
      <c r="Z597" s="41" t="str">
        <f ca="1">IF(AND(Tableau1[[#This Row],[Charge]]&lt;&gt;0, Tableau1[[#This Row],[Nombre intervenants]]&lt;&gt;0,Tableau1[[#This Row],[Lien document]]&lt;&gt;0,Tableau1[[#This Row],[DMS_SAP]]&lt;&gt;0)=TRUE,"MIS A JOUR","")</f>
        <v/>
      </c>
      <c r="AA597" s="45"/>
      <c r="AB597" s="55" t="str">
        <f ca="1">IF(Tableau1[[#This Row],[Date rév.]]&lt;&gt;"", DAYS360(Tableau1[[#This Row],[Date rév.]],TODAY()),"")</f>
        <v/>
      </c>
      <c r="AC597" s="47">
        <f>IFERROR(INDEX(Chemin_accès!$B$11:$C$22,MATCH(Tableau1[[#This Row],[Type]],Chemin_accès!$C$11:$C$22,0),1),Chemin_accès!$B$11)</f>
        <v>0</v>
      </c>
      <c r="AD597" s="47" t="str">
        <f>Chemin_accès!$B$8&amp;Tableau1[[#This Row],[Localisation / Classement]]&amp;"\"&amp;Tableau1[[#This Row],[Poste technique]]&amp;"_"&amp;Tableau1[[#This Row],[Plan Entretien]]&amp;".xlsm"</f>
        <v>\_.xlsm</v>
      </c>
    </row>
    <row r="598" spans="1:30" x14ac:dyDescent="0.3">
      <c r="A598" s="41" t="str">
        <f t="shared" ca="1" si="9"/>
        <v>7.MNRJ</v>
      </c>
      <c r="B5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8" s="43"/>
      <c r="D598" s="41"/>
      <c r="E598" s="41"/>
      <c r="F598" s="44"/>
      <c r="G598" s="44"/>
      <c r="H598" s="48"/>
      <c r="I598" s="48"/>
      <c r="J598" s="48"/>
      <c r="K598" s="48"/>
      <c r="L598" s="43"/>
      <c r="M598" s="44"/>
      <c r="N598" s="43"/>
      <c r="O598" s="43"/>
      <c r="P598" s="44"/>
      <c r="Q598" s="43"/>
      <c r="R598" s="43"/>
      <c r="S598" s="45"/>
      <c r="T598" s="58" t="str">
        <f>IF(Tableau1[[#This Row],[DMS_SAP]]="","",HYPERLINK(Tableau1[[#This Row],[Chemin fichier source]],"X"))</f>
        <v/>
      </c>
      <c r="U598" s="58" t="str">
        <f>IF(Tableau1[[#This Row],[Date rév.]]="","",HYPERLINK(Tableau1[[#This Row],[Lien document]],"X"))</f>
        <v/>
      </c>
      <c r="V598" s="44"/>
      <c r="W598" s="46" t="str">
        <f ca="1">Chemin_accès!$B$2&amp;Tableau1[[#This Row],[Poste Responsable]]&amp;"\"&amp;Tableau1[[#This Row],[Localisation / Classement]]&amp;"\"&amp;Tableau1[[#This Row],[Poste technique]]&amp;"_"&amp;Tableau1[[#This Row],[Plan Entretien]]&amp;".pdf"</f>
        <v>\\stjn.local\trimet\Donnees_Projets\Dms Sap\Maintenance\PlanEntretien\7.MNRJ\\_.pdf</v>
      </c>
      <c r="X598" s="44"/>
      <c r="Y598" s="44"/>
      <c r="Z598" s="41" t="str">
        <f ca="1">IF(AND(Tableau1[[#This Row],[Charge]]&lt;&gt;0, Tableau1[[#This Row],[Nombre intervenants]]&lt;&gt;0,Tableau1[[#This Row],[Lien document]]&lt;&gt;0,Tableau1[[#This Row],[DMS_SAP]]&lt;&gt;0)=TRUE,"MIS A JOUR","")</f>
        <v/>
      </c>
      <c r="AA598" s="45"/>
      <c r="AB598" s="55" t="str">
        <f ca="1">IF(Tableau1[[#This Row],[Date rév.]]&lt;&gt;"", DAYS360(Tableau1[[#This Row],[Date rév.]],TODAY()),"")</f>
        <v/>
      </c>
      <c r="AC598" s="47">
        <f>IFERROR(INDEX(Chemin_accès!$B$11:$C$22,MATCH(Tableau1[[#This Row],[Type]],Chemin_accès!$C$11:$C$22,0),1),Chemin_accès!$B$11)</f>
        <v>0</v>
      </c>
      <c r="AD598" s="47" t="str">
        <f>Chemin_accès!$B$8&amp;Tableau1[[#This Row],[Localisation / Classement]]&amp;"\"&amp;Tableau1[[#This Row],[Poste technique]]&amp;"_"&amp;Tableau1[[#This Row],[Plan Entretien]]&amp;".xlsm"</f>
        <v>\_.xlsm</v>
      </c>
    </row>
    <row r="599" spans="1:30" x14ac:dyDescent="0.3">
      <c r="A599" s="41" t="str">
        <f t="shared" ca="1" si="9"/>
        <v>7.MNRJ</v>
      </c>
      <c r="B5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9" s="43"/>
      <c r="D599" s="41"/>
      <c r="E599" s="41"/>
      <c r="F599" s="44"/>
      <c r="G599" s="44"/>
      <c r="H599" s="48"/>
      <c r="I599" s="48"/>
      <c r="J599" s="48"/>
      <c r="K599" s="48"/>
      <c r="L599" s="43"/>
      <c r="M599" s="44"/>
      <c r="N599" s="43"/>
      <c r="O599" s="43"/>
      <c r="P599" s="44"/>
      <c r="Q599" s="43"/>
      <c r="R599" s="43"/>
      <c r="S599" s="45"/>
      <c r="T599" s="58" t="str">
        <f>IF(Tableau1[[#This Row],[DMS_SAP]]="","",HYPERLINK(Tableau1[[#This Row],[Chemin fichier source]],"X"))</f>
        <v/>
      </c>
      <c r="U599" s="58" t="str">
        <f>IF(Tableau1[[#This Row],[Date rév.]]="","",HYPERLINK(Tableau1[[#This Row],[Lien document]],"X"))</f>
        <v/>
      </c>
      <c r="V599" s="44"/>
      <c r="W599" s="46" t="str">
        <f ca="1">Chemin_accès!$B$2&amp;Tableau1[[#This Row],[Poste Responsable]]&amp;"\"&amp;Tableau1[[#This Row],[Localisation / Classement]]&amp;"\"&amp;Tableau1[[#This Row],[Poste technique]]&amp;"_"&amp;Tableau1[[#This Row],[Plan Entretien]]&amp;".pdf"</f>
        <v>\\stjn.local\trimet\Donnees_Projets\Dms Sap\Maintenance\PlanEntretien\7.MNRJ\\_.pdf</v>
      </c>
      <c r="X599" s="44"/>
      <c r="Y599" s="44"/>
      <c r="Z599" s="41" t="str">
        <f ca="1">IF(AND(Tableau1[[#This Row],[Charge]]&lt;&gt;0, Tableau1[[#This Row],[Nombre intervenants]]&lt;&gt;0,Tableau1[[#This Row],[Lien document]]&lt;&gt;0,Tableau1[[#This Row],[DMS_SAP]]&lt;&gt;0)=TRUE,"MIS A JOUR","")</f>
        <v/>
      </c>
      <c r="AA599" s="45"/>
      <c r="AB599" s="55" t="str">
        <f ca="1">IF(Tableau1[[#This Row],[Date rév.]]&lt;&gt;"", DAYS360(Tableau1[[#This Row],[Date rév.]],TODAY()),"")</f>
        <v/>
      </c>
      <c r="AC599" s="47">
        <f>IFERROR(INDEX(Chemin_accès!$B$11:$C$22,MATCH(Tableau1[[#This Row],[Type]],Chemin_accès!$C$11:$C$22,0),1),Chemin_accès!$B$11)</f>
        <v>0</v>
      </c>
      <c r="AD599" s="47" t="str">
        <f>Chemin_accès!$B$8&amp;Tableau1[[#This Row],[Localisation / Classement]]&amp;"\"&amp;Tableau1[[#This Row],[Poste technique]]&amp;"_"&amp;Tableau1[[#This Row],[Plan Entretien]]&amp;".xlsm"</f>
        <v>\_.xlsm</v>
      </c>
    </row>
    <row r="600" spans="1:30" x14ac:dyDescent="0.3">
      <c r="A600" s="41" t="str">
        <f t="shared" ca="1" si="9"/>
        <v>7.MNRJ</v>
      </c>
      <c r="B6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0" s="43"/>
      <c r="D600" s="41"/>
      <c r="E600" s="41"/>
      <c r="F600" s="44"/>
      <c r="G600" s="44"/>
      <c r="H600" s="48"/>
      <c r="I600" s="48"/>
      <c r="J600" s="48"/>
      <c r="K600" s="48"/>
      <c r="L600" s="43"/>
      <c r="M600" s="44"/>
      <c r="N600" s="43"/>
      <c r="O600" s="43"/>
      <c r="P600" s="44"/>
      <c r="Q600" s="43"/>
      <c r="R600" s="43"/>
      <c r="S600" s="45"/>
      <c r="T600" s="58" t="str">
        <f>IF(Tableau1[[#This Row],[DMS_SAP]]="","",HYPERLINK(Tableau1[[#This Row],[Chemin fichier source]],"X"))</f>
        <v/>
      </c>
      <c r="U600" s="58" t="str">
        <f>IF(Tableau1[[#This Row],[Date rév.]]="","",HYPERLINK(Tableau1[[#This Row],[Lien document]],"X"))</f>
        <v/>
      </c>
      <c r="V600" s="44"/>
      <c r="W600" s="46" t="str">
        <f ca="1">Chemin_accès!$B$2&amp;Tableau1[[#This Row],[Poste Responsable]]&amp;"\"&amp;Tableau1[[#This Row],[Localisation / Classement]]&amp;"\"&amp;Tableau1[[#This Row],[Poste technique]]&amp;"_"&amp;Tableau1[[#This Row],[Plan Entretien]]&amp;".pdf"</f>
        <v>\\stjn.local\trimet\Donnees_Projets\Dms Sap\Maintenance\PlanEntretien\7.MNRJ\\_.pdf</v>
      </c>
      <c r="X600" s="44"/>
      <c r="Y600" s="44"/>
      <c r="Z600" s="41" t="str">
        <f ca="1">IF(AND(Tableau1[[#This Row],[Charge]]&lt;&gt;0, Tableau1[[#This Row],[Nombre intervenants]]&lt;&gt;0,Tableau1[[#This Row],[Lien document]]&lt;&gt;0,Tableau1[[#This Row],[DMS_SAP]]&lt;&gt;0)=TRUE,"MIS A JOUR","")</f>
        <v/>
      </c>
      <c r="AA600" s="45"/>
      <c r="AB600" s="55" t="str">
        <f ca="1">IF(Tableau1[[#This Row],[Date rév.]]&lt;&gt;"", DAYS360(Tableau1[[#This Row],[Date rév.]],TODAY()),"")</f>
        <v/>
      </c>
      <c r="AC600" s="47">
        <f>IFERROR(INDEX(Chemin_accès!$B$11:$C$22,MATCH(Tableau1[[#This Row],[Type]],Chemin_accès!$C$11:$C$22,0),1),Chemin_accès!$B$11)</f>
        <v>0</v>
      </c>
      <c r="AD600" s="47" t="str">
        <f>Chemin_accès!$B$8&amp;Tableau1[[#This Row],[Localisation / Classement]]&amp;"\"&amp;Tableau1[[#This Row],[Poste technique]]&amp;"_"&amp;Tableau1[[#This Row],[Plan Entretien]]&amp;".xlsm"</f>
        <v>\_.xlsm</v>
      </c>
    </row>
    <row r="601" spans="1:30" x14ac:dyDescent="0.3">
      <c r="A601" s="41" t="str">
        <f t="shared" ca="1" si="9"/>
        <v>7.MNRJ</v>
      </c>
      <c r="B6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1" s="43"/>
      <c r="D601" s="41"/>
      <c r="E601" s="41"/>
      <c r="F601" s="44"/>
      <c r="G601" s="44"/>
      <c r="H601" s="48"/>
      <c r="I601" s="48"/>
      <c r="J601" s="48"/>
      <c r="K601" s="48"/>
      <c r="L601" s="43"/>
      <c r="M601" s="44"/>
      <c r="N601" s="43"/>
      <c r="O601" s="43"/>
      <c r="P601" s="44"/>
      <c r="Q601" s="43"/>
      <c r="R601" s="43"/>
      <c r="S601" s="45"/>
      <c r="T601" s="58" t="str">
        <f>IF(Tableau1[[#This Row],[DMS_SAP]]="","",HYPERLINK(Tableau1[[#This Row],[Chemin fichier source]],"X"))</f>
        <v/>
      </c>
      <c r="U601" s="58" t="str">
        <f>IF(Tableau1[[#This Row],[Date rév.]]="","",HYPERLINK(Tableau1[[#This Row],[Lien document]],"X"))</f>
        <v/>
      </c>
      <c r="V601" s="44"/>
      <c r="W601" s="46" t="str">
        <f ca="1">Chemin_accès!$B$2&amp;Tableau1[[#This Row],[Poste Responsable]]&amp;"\"&amp;Tableau1[[#This Row],[Localisation / Classement]]&amp;"\"&amp;Tableau1[[#This Row],[Poste technique]]&amp;"_"&amp;Tableau1[[#This Row],[Plan Entretien]]&amp;".pdf"</f>
        <v>\\stjn.local\trimet\Donnees_Projets\Dms Sap\Maintenance\PlanEntretien\7.MNRJ\\_.pdf</v>
      </c>
      <c r="X601" s="44"/>
      <c r="Y601" s="44"/>
      <c r="Z601" s="41" t="str">
        <f ca="1">IF(AND(Tableau1[[#This Row],[Charge]]&lt;&gt;0, Tableau1[[#This Row],[Nombre intervenants]]&lt;&gt;0,Tableau1[[#This Row],[Lien document]]&lt;&gt;0,Tableau1[[#This Row],[DMS_SAP]]&lt;&gt;0)=TRUE,"MIS A JOUR","")</f>
        <v/>
      </c>
      <c r="AA601" s="45"/>
      <c r="AB601" s="55" t="str">
        <f ca="1">IF(Tableau1[[#This Row],[Date rév.]]&lt;&gt;"", DAYS360(Tableau1[[#This Row],[Date rév.]],TODAY()),"")</f>
        <v/>
      </c>
      <c r="AC601" s="47">
        <f>IFERROR(INDEX(Chemin_accès!$B$11:$C$22,MATCH(Tableau1[[#This Row],[Type]],Chemin_accès!$C$11:$C$22,0),1),Chemin_accès!$B$11)</f>
        <v>0</v>
      </c>
      <c r="AD601" s="47" t="str">
        <f>Chemin_accès!$B$8&amp;Tableau1[[#This Row],[Localisation / Classement]]&amp;"\"&amp;Tableau1[[#This Row],[Poste technique]]&amp;"_"&amp;Tableau1[[#This Row],[Plan Entretien]]&amp;".xlsm"</f>
        <v>\_.xlsm</v>
      </c>
    </row>
    <row r="602" spans="1:30" x14ac:dyDescent="0.3">
      <c r="A602" s="41" t="str">
        <f t="shared" ca="1" si="9"/>
        <v>7.MNRJ</v>
      </c>
      <c r="B6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2" s="43"/>
      <c r="D602" s="41"/>
      <c r="E602" s="41"/>
      <c r="F602" s="44"/>
      <c r="G602" s="44"/>
      <c r="H602" s="48"/>
      <c r="I602" s="48"/>
      <c r="J602" s="48"/>
      <c r="K602" s="48"/>
      <c r="L602" s="43"/>
      <c r="M602" s="44"/>
      <c r="N602" s="43"/>
      <c r="O602" s="43"/>
      <c r="P602" s="44"/>
      <c r="Q602" s="43"/>
      <c r="R602" s="43"/>
      <c r="S602" s="45"/>
      <c r="T602" s="58" t="str">
        <f>IF(Tableau1[[#This Row],[DMS_SAP]]="","",HYPERLINK(Tableau1[[#This Row],[Chemin fichier source]],"X"))</f>
        <v/>
      </c>
      <c r="U602" s="58" t="str">
        <f>IF(Tableau1[[#This Row],[Date rév.]]="","",HYPERLINK(Tableau1[[#This Row],[Lien document]],"X"))</f>
        <v/>
      </c>
      <c r="V602" s="44"/>
      <c r="W602" s="46" t="str">
        <f ca="1">Chemin_accès!$B$2&amp;Tableau1[[#This Row],[Poste Responsable]]&amp;"\"&amp;Tableau1[[#This Row],[Localisation / Classement]]&amp;"\"&amp;Tableau1[[#This Row],[Poste technique]]&amp;"_"&amp;Tableau1[[#This Row],[Plan Entretien]]&amp;".pdf"</f>
        <v>\\stjn.local\trimet\Donnees_Projets\Dms Sap\Maintenance\PlanEntretien\7.MNRJ\\_.pdf</v>
      </c>
      <c r="X602" s="44"/>
      <c r="Y602" s="44"/>
      <c r="Z602" s="41" t="str">
        <f ca="1">IF(AND(Tableau1[[#This Row],[Charge]]&lt;&gt;0, Tableau1[[#This Row],[Nombre intervenants]]&lt;&gt;0,Tableau1[[#This Row],[Lien document]]&lt;&gt;0,Tableau1[[#This Row],[DMS_SAP]]&lt;&gt;0)=TRUE,"MIS A JOUR","")</f>
        <v/>
      </c>
      <c r="AA602" s="45"/>
      <c r="AB602" s="55" t="str">
        <f ca="1">IF(Tableau1[[#This Row],[Date rév.]]&lt;&gt;"", DAYS360(Tableau1[[#This Row],[Date rév.]],TODAY()),"")</f>
        <v/>
      </c>
      <c r="AC602" s="47">
        <f>IFERROR(INDEX(Chemin_accès!$B$11:$C$22,MATCH(Tableau1[[#This Row],[Type]],Chemin_accès!$C$11:$C$22,0),1),Chemin_accès!$B$11)</f>
        <v>0</v>
      </c>
      <c r="AD602" s="47" t="str">
        <f>Chemin_accès!$B$8&amp;Tableau1[[#This Row],[Localisation / Classement]]&amp;"\"&amp;Tableau1[[#This Row],[Poste technique]]&amp;"_"&amp;Tableau1[[#This Row],[Plan Entretien]]&amp;".xlsm"</f>
        <v>\_.xlsm</v>
      </c>
    </row>
    <row r="603" spans="1:30" x14ac:dyDescent="0.3">
      <c r="A603" s="41" t="str">
        <f t="shared" ca="1" si="9"/>
        <v>7.MNRJ</v>
      </c>
      <c r="B6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3" s="43"/>
      <c r="D603" s="41"/>
      <c r="E603" s="41"/>
      <c r="F603" s="44"/>
      <c r="G603" s="44"/>
      <c r="H603" s="48"/>
      <c r="I603" s="48"/>
      <c r="J603" s="48"/>
      <c r="K603" s="48"/>
      <c r="L603" s="43"/>
      <c r="M603" s="44"/>
      <c r="N603" s="43"/>
      <c r="O603" s="43"/>
      <c r="P603" s="44"/>
      <c r="Q603" s="43"/>
      <c r="R603" s="43"/>
      <c r="S603" s="45"/>
      <c r="T603" s="58" t="str">
        <f>IF(Tableau1[[#This Row],[DMS_SAP]]="","",HYPERLINK(Tableau1[[#This Row],[Chemin fichier source]],"X"))</f>
        <v/>
      </c>
      <c r="U603" s="58" t="str">
        <f>IF(Tableau1[[#This Row],[Date rév.]]="","",HYPERLINK(Tableau1[[#This Row],[Lien document]],"X"))</f>
        <v/>
      </c>
      <c r="V603" s="44"/>
      <c r="W603" s="46" t="str">
        <f ca="1">Chemin_accès!$B$2&amp;Tableau1[[#This Row],[Poste Responsable]]&amp;"\"&amp;Tableau1[[#This Row],[Localisation / Classement]]&amp;"\"&amp;Tableau1[[#This Row],[Poste technique]]&amp;"_"&amp;Tableau1[[#This Row],[Plan Entretien]]&amp;".pdf"</f>
        <v>\\stjn.local\trimet\Donnees_Projets\Dms Sap\Maintenance\PlanEntretien\7.MNRJ\\_.pdf</v>
      </c>
      <c r="X603" s="44"/>
      <c r="Y603" s="44"/>
      <c r="Z603" s="41" t="str">
        <f ca="1">IF(AND(Tableau1[[#This Row],[Charge]]&lt;&gt;0, Tableau1[[#This Row],[Nombre intervenants]]&lt;&gt;0,Tableau1[[#This Row],[Lien document]]&lt;&gt;0,Tableau1[[#This Row],[DMS_SAP]]&lt;&gt;0)=TRUE,"MIS A JOUR","")</f>
        <v/>
      </c>
      <c r="AA603" s="45"/>
      <c r="AB603" s="55" t="str">
        <f ca="1">IF(Tableau1[[#This Row],[Date rév.]]&lt;&gt;"", DAYS360(Tableau1[[#This Row],[Date rév.]],TODAY()),"")</f>
        <v/>
      </c>
      <c r="AC603" s="47">
        <f>IFERROR(INDEX(Chemin_accès!$B$11:$C$22,MATCH(Tableau1[[#This Row],[Type]],Chemin_accès!$C$11:$C$22,0),1),Chemin_accès!$B$11)</f>
        <v>0</v>
      </c>
      <c r="AD603" s="47" t="str">
        <f>Chemin_accès!$B$8&amp;Tableau1[[#This Row],[Localisation / Classement]]&amp;"\"&amp;Tableau1[[#This Row],[Poste technique]]&amp;"_"&amp;Tableau1[[#This Row],[Plan Entretien]]&amp;".xlsm"</f>
        <v>\_.xlsm</v>
      </c>
    </row>
    <row r="604" spans="1:30" x14ac:dyDescent="0.3">
      <c r="A604" s="41" t="str">
        <f t="shared" ca="1" si="9"/>
        <v>7.MNRJ</v>
      </c>
      <c r="B6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4" s="43"/>
      <c r="D604" s="41"/>
      <c r="E604" s="41"/>
      <c r="F604" s="44"/>
      <c r="G604" s="44"/>
      <c r="H604" s="48"/>
      <c r="I604" s="48"/>
      <c r="J604" s="48"/>
      <c r="K604" s="48"/>
      <c r="L604" s="43"/>
      <c r="M604" s="44"/>
      <c r="N604" s="43"/>
      <c r="O604" s="43"/>
      <c r="P604" s="44"/>
      <c r="Q604" s="43"/>
      <c r="R604" s="43"/>
      <c r="S604" s="45"/>
      <c r="T604" s="58" t="str">
        <f>IF(Tableau1[[#This Row],[DMS_SAP]]="","",HYPERLINK(Tableau1[[#This Row],[Chemin fichier source]],"X"))</f>
        <v/>
      </c>
      <c r="U604" s="58" t="str">
        <f>IF(Tableau1[[#This Row],[Date rév.]]="","",HYPERLINK(Tableau1[[#This Row],[Lien document]],"X"))</f>
        <v/>
      </c>
      <c r="V604" s="44"/>
      <c r="W604" s="46" t="str">
        <f ca="1">Chemin_accès!$B$2&amp;Tableau1[[#This Row],[Poste Responsable]]&amp;"\"&amp;Tableau1[[#This Row],[Localisation / Classement]]&amp;"\"&amp;Tableau1[[#This Row],[Poste technique]]&amp;"_"&amp;Tableau1[[#This Row],[Plan Entretien]]&amp;".pdf"</f>
        <v>\\stjn.local\trimet\Donnees_Projets\Dms Sap\Maintenance\PlanEntretien\7.MNRJ\\_.pdf</v>
      </c>
      <c r="X604" s="44"/>
      <c r="Y604" s="44"/>
      <c r="Z604" s="41" t="str">
        <f ca="1">IF(AND(Tableau1[[#This Row],[Charge]]&lt;&gt;0, Tableau1[[#This Row],[Nombre intervenants]]&lt;&gt;0,Tableau1[[#This Row],[Lien document]]&lt;&gt;0,Tableau1[[#This Row],[DMS_SAP]]&lt;&gt;0)=TRUE,"MIS A JOUR","")</f>
        <v/>
      </c>
      <c r="AA604" s="45"/>
      <c r="AB604" s="55" t="str">
        <f ca="1">IF(Tableau1[[#This Row],[Date rév.]]&lt;&gt;"", DAYS360(Tableau1[[#This Row],[Date rév.]],TODAY()),"")</f>
        <v/>
      </c>
      <c r="AC604" s="47">
        <f>IFERROR(INDEX(Chemin_accès!$B$11:$C$22,MATCH(Tableau1[[#This Row],[Type]],Chemin_accès!$C$11:$C$22,0),1),Chemin_accès!$B$11)</f>
        <v>0</v>
      </c>
      <c r="AD604" s="47" t="str">
        <f>Chemin_accès!$B$8&amp;Tableau1[[#This Row],[Localisation / Classement]]&amp;"\"&amp;Tableau1[[#This Row],[Poste technique]]&amp;"_"&amp;Tableau1[[#This Row],[Plan Entretien]]&amp;".xlsm"</f>
        <v>\_.xlsm</v>
      </c>
    </row>
    <row r="605" spans="1:30" x14ac:dyDescent="0.3">
      <c r="A605" s="41" t="str">
        <f t="shared" ca="1" si="9"/>
        <v>7.MNRJ</v>
      </c>
      <c r="B6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5" s="43"/>
      <c r="D605" s="41"/>
      <c r="E605" s="41"/>
      <c r="F605" s="44"/>
      <c r="G605" s="44"/>
      <c r="H605" s="48"/>
      <c r="I605" s="48"/>
      <c r="J605" s="48"/>
      <c r="K605" s="48"/>
      <c r="L605" s="43"/>
      <c r="M605" s="44"/>
      <c r="N605" s="43"/>
      <c r="O605" s="43"/>
      <c r="P605" s="44"/>
      <c r="Q605" s="43"/>
      <c r="R605" s="43"/>
      <c r="S605" s="45"/>
      <c r="T605" s="58" t="str">
        <f>IF(Tableau1[[#This Row],[DMS_SAP]]="","",HYPERLINK(Tableau1[[#This Row],[Chemin fichier source]],"X"))</f>
        <v/>
      </c>
      <c r="U605" s="58" t="str">
        <f>IF(Tableau1[[#This Row],[Date rév.]]="","",HYPERLINK(Tableau1[[#This Row],[Lien document]],"X"))</f>
        <v/>
      </c>
      <c r="V605" s="44"/>
      <c r="W605" s="46" t="str">
        <f ca="1">Chemin_accès!$B$2&amp;Tableau1[[#This Row],[Poste Responsable]]&amp;"\"&amp;Tableau1[[#This Row],[Localisation / Classement]]&amp;"\"&amp;Tableau1[[#This Row],[Poste technique]]&amp;"_"&amp;Tableau1[[#This Row],[Plan Entretien]]&amp;".pdf"</f>
        <v>\\stjn.local\trimet\Donnees_Projets\Dms Sap\Maintenance\PlanEntretien\7.MNRJ\\_.pdf</v>
      </c>
      <c r="X605" s="44"/>
      <c r="Y605" s="44"/>
      <c r="Z605" s="41" t="str">
        <f ca="1">IF(AND(Tableau1[[#This Row],[Charge]]&lt;&gt;0, Tableau1[[#This Row],[Nombre intervenants]]&lt;&gt;0,Tableau1[[#This Row],[Lien document]]&lt;&gt;0,Tableau1[[#This Row],[DMS_SAP]]&lt;&gt;0)=TRUE,"MIS A JOUR","")</f>
        <v/>
      </c>
      <c r="AA605" s="45"/>
      <c r="AB605" s="55" t="str">
        <f ca="1">IF(Tableau1[[#This Row],[Date rév.]]&lt;&gt;"", DAYS360(Tableau1[[#This Row],[Date rév.]],TODAY()),"")</f>
        <v/>
      </c>
      <c r="AC605" s="47">
        <f>IFERROR(INDEX(Chemin_accès!$B$11:$C$22,MATCH(Tableau1[[#This Row],[Type]],Chemin_accès!$C$11:$C$22,0),1),Chemin_accès!$B$11)</f>
        <v>0</v>
      </c>
      <c r="AD605" s="47" t="str">
        <f>Chemin_accès!$B$8&amp;Tableau1[[#This Row],[Localisation / Classement]]&amp;"\"&amp;Tableau1[[#This Row],[Poste technique]]&amp;"_"&amp;Tableau1[[#This Row],[Plan Entretien]]&amp;".xlsm"</f>
        <v>\_.xlsm</v>
      </c>
    </row>
    <row r="606" spans="1:30" x14ac:dyDescent="0.3">
      <c r="A606" s="41" t="str">
        <f t="shared" ca="1" si="9"/>
        <v>7.MNRJ</v>
      </c>
      <c r="B6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6" s="43"/>
      <c r="D606" s="41"/>
      <c r="E606" s="41"/>
      <c r="F606" s="44"/>
      <c r="G606" s="44"/>
      <c r="H606" s="48"/>
      <c r="I606" s="48"/>
      <c r="J606" s="48"/>
      <c r="K606" s="48"/>
      <c r="L606" s="43"/>
      <c r="M606" s="44"/>
      <c r="N606" s="43"/>
      <c r="O606" s="43"/>
      <c r="P606" s="44"/>
      <c r="Q606" s="43"/>
      <c r="R606" s="43"/>
      <c r="S606" s="45"/>
      <c r="T606" s="58" t="str">
        <f>IF(Tableau1[[#This Row],[DMS_SAP]]="","",HYPERLINK(Tableau1[[#This Row],[Chemin fichier source]],"X"))</f>
        <v/>
      </c>
      <c r="U606" s="58" t="str">
        <f>IF(Tableau1[[#This Row],[Date rév.]]="","",HYPERLINK(Tableau1[[#This Row],[Lien document]],"X"))</f>
        <v/>
      </c>
      <c r="V606" s="44"/>
      <c r="W606" s="46" t="str">
        <f ca="1">Chemin_accès!$B$2&amp;Tableau1[[#This Row],[Poste Responsable]]&amp;"\"&amp;Tableau1[[#This Row],[Localisation / Classement]]&amp;"\"&amp;Tableau1[[#This Row],[Poste technique]]&amp;"_"&amp;Tableau1[[#This Row],[Plan Entretien]]&amp;".pdf"</f>
        <v>\\stjn.local\trimet\Donnees_Projets\Dms Sap\Maintenance\PlanEntretien\7.MNRJ\\_.pdf</v>
      </c>
      <c r="X606" s="44"/>
      <c r="Y606" s="44"/>
      <c r="Z606" s="41" t="str">
        <f ca="1">IF(AND(Tableau1[[#This Row],[Charge]]&lt;&gt;0, Tableau1[[#This Row],[Nombre intervenants]]&lt;&gt;0,Tableau1[[#This Row],[Lien document]]&lt;&gt;0,Tableau1[[#This Row],[DMS_SAP]]&lt;&gt;0)=TRUE,"MIS A JOUR","")</f>
        <v/>
      </c>
      <c r="AA606" s="45"/>
      <c r="AB606" s="55" t="str">
        <f ca="1">IF(Tableau1[[#This Row],[Date rév.]]&lt;&gt;"", DAYS360(Tableau1[[#This Row],[Date rév.]],TODAY()),"")</f>
        <v/>
      </c>
      <c r="AC606" s="47">
        <f>IFERROR(INDEX(Chemin_accès!$B$11:$C$22,MATCH(Tableau1[[#This Row],[Type]],Chemin_accès!$C$11:$C$22,0),1),Chemin_accès!$B$11)</f>
        <v>0</v>
      </c>
      <c r="AD606" s="47" t="str">
        <f>Chemin_accès!$B$8&amp;Tableau1[[#This Row],[Localisation / Classement]]&amp;"\"&amp;Tableau1[[#This Row],[Poste technique]]&amp;"_"&amp;Tableau1[[#This Row],[Plan Entretien]]&amp;".xlsm"</f>
        <v>\_.xlsm</v>
      </c>
    </row>
    <row r="607" spans="1:30" x14ac:dyDescent="0.3">
      <c r="A607" s="41" t="str">
        <f t="shared" ca="1" si="9"/>
        <v>7.MNRJ</v>
      </c>
      <c r="B6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7" s="43"/>
      <c r="D607" s="41"/>
      <c r="E607" s="41"/>
      <c r="F607" s="44"/>
      <c r="G607" s="44"/>
      <c r="H607" s="48"/>
      <c r="I607" s="48"/>
      <c r="J607" s="48"/>
      <c r="K607" s="48"/>
      <c r="L607" s="43"/>
      <c r="M607" s="44"/>
      <c r="N607" s="43"/>
      <c r="O607" s="43"/>
      <c r="P607" s="44"/>
      <c r="Q607" s="43"/>
      <c r="R607" s="43"/>
      <c r="S607" s="45"/>
      <c r="T607" s="58" t="str">
        <f>IF(Tableau1[[#This Row],[DMS_SAP]]="","",HYPERLINK(Tableau1[[#This Row],[Chemin fichier source]],"X"))</f>
        <v/>
      </c>
      <c r="U607" s="58" t="str">
        <f>IF(Tableau1[[#This Row],[Date rév.]]="","",HYPERLINK(Tableau1[[#This Row],[Lien document]],"X"))</f>
        <v/>
      </c>
      <c r="V607" s="44"/>
      <c r="W607" s="46" t="str">
        <f ca="1">Chemin_accès!$B$2&amp;Tableau1[[#This Row],[Poste Responsable]]&amp;"\"&amp;Tableau1[[#This Row],[Localisation / Classement]]&amp;"\"&amp;Tableau1[[#This Row],[Poste technique]]&amp;"_"&amp;Tableau1[[#This Row],[Plan Entretien]]&amp;".pdf"</f>
        <v>\\stjn.local\trimet\Donnees_Projets\Dms Sap\Maintenance\PlanEntretien\7.MNRJ\\_.pdf</v>
      </c>
      <c r="X607" s="44"/>
      <c r="Y607" s="44"/>
      <c r="Z607" s="41" t="str">
        <f ca="1">IF(AND(Tableau1[[#This Row],[Charge]]&lt;&gt;0, Tableau1[[#This Row],[Nombre intervenants]]&lt;&gt;0,Tableau1[[#This Row],[Lien document]]&lt;&gt;0,Tableau1[[#This Row],[DMS_SAP]]&lt;&gt;0)=TRUE,"MIS A JOUR","")</f>
        <v/>
      </c>
      <c r="AA607" s="45"/>
      <c r="AB607" s="55" t="str">
        <f ca="1">IF(Tableau1[[#This Row],[Date rév.]]&lt;&gt;"", DAYS360(Tableau1[[#This Row],[Date rév.]],TODAY()),"")</f>
        <v/>
      </c>
      <c r="AC607" s="47">
        <f>IFERROR(INDEX(Chemin_accès!$B$11:$C$22,MATCH(Tableau1[[#This Row],[Type]],Chemin_accès!$C$11:$C$22,0),1),Chemin_accès!$B$11)</f>
        <v>0</v>
      </c>
      <c r="AD607" s="47" t="str">
        <f>Chemin_accès!$B$8&amp;Tableau1[[#This Row],[Localisation / Classement]]&amp;"\"&amp;Tableau1[[#This Row],[Poste technique]]&amp;"_"&amp;Tableau1[[#This Row],[Plan Entretien]]&amp;".xlsm"</f>
        <v>\_.xlsm</v>
      </c>
    </row>
    <row r="608" spans="1:30" x14ac:dyDescent="0.3">
      <c r="A608" s="41" t="str">
        <f t="shared" ca="1" si="9"/>
        <v>7.MNRJ</v>
      </c>
      <c r="B6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8" s="43"/>
      <c r="D608" s="41"/>
      <c r="E608" s="41"/>
      <c r="F608" s="44"/>
      <c r="G608" s="44"/>
      <c r="H608" s="48"/>
      <c r="I608" s="48"/>
      <c r="J608" s="48"/>
      <c r="K608" s="48"/>
      <c r="L608" s="43"/>
      <c r="M608" s="44"/>
      <c r="N608" s="43"/>
      <c r="O608" s="43"/>
      <c r="P608" s="44"/>
      <c r="Q608" s="43"/>
      <c r="R608" s="43"/>
      <c r="S608" s="45"/>
      <c r="T608" s="58" t="str">
        <f>IF(Tableau1[[#This Row],[DMS_SAP]]="","",HYPERLINK(Tableau1[[#This Row],[Chemin fichier source]],"X"))</f>
        <v/>
      </c>
      <c r="U608" s="58" t="str">
        <f>IF(Tableau1[[#This Row],[Date rév.]]="","",HYPERLINK(Tableau1[[#This Row],[Lien document]],"X"))</f>
        <v/>
      </c>
      <c r="V608" s="44"/>
      <c r="W608" s="46" t="str">
        <f ca="1">Chemin_accès!$B$2&amp;Tableau1[[#This Row],[Poste Responsable]]&amp;"\"&amp;Tableau1[[#This Row],[Localisation / Classement]]&amp;"\"&amp;Tableau1[[#This Row],[Poste technique]]&amp;"_"&amp;Tableau1[[#This Row],[Plan Entretien]]&amp;".pdf"</f>
        <v>\\stjn.local\trimet\Donnees_Projets\Dms Sap\Maintenance\PlanEntretien\7.MNRJ\\_.pdf</v>
      </c>
      <c r="X608" s="44"/>
      <c r="Y608" s="44"/>
      <c r="Z608" s="41" t="str">
        <f ca="1">IF(AND(Tableau1[[#This Row],[Charge]]&lt;&gt;0, Tableau1[[#This Row],[Nombre intervenants]]&lt;&gt;0,Tableau1[[#This Row],[Lien document]]&lt;&gt;0,Tableau1[[#This Row],[DMS_SAP]]&lt;&gt;0)=TRUE,"MIS A JOUR","")</f>
        <v/>
      </c>
      <c r="AA608" s="45"/>
      <c r="AB608" s="55" t="str">
        <f ca="1">IF(Tableau1[[#This Row],[Date rév.]]&lt;&gt;"", DAYS360(Tableau1[[#This Row],[Date rév.]],TODAY()),"")</f>
        <v/>
      </c>
      <c r="AC608" s="47">
        <f>IFERROR(INDEX(Chemin_accès!$B$11:$C$22,MATCH(Tableau1[[#This Row],[Type]],Chemin_accès!$C$11:$C$22,0),1),Chemin_accès!$B$11)</f>
        <v>0</v>
      </c>
      <c r="AD608" s="47" t="str">
        <f>Chemin_accès!$B$8&amp;Tableau1[[#This Row],[Localisation / Classement]]&amp;"\"&amp;Tableau1[[#This Row],[Poste technique]]&amp;"_"&amp;Tableau1[[#This Row],[Plan Entretien]]&amp;".xlsm"</f>
        <v>\_.xlsm</v>
      </c>
    </row>
    <row r="609" spans="1:30" x14ac:dyDescent="0.3">
      <c r="A609" s="41" t="str">
        <f t="shared" ca="1" si="9"/>
        <v>7.MNRJ</v>
      </c>
      <c r="B6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9" s="43"/>
      <c r="D609" s="41"/>
      <c r="E609" s="41"/>
      <c r="F609" s="44"/>
      <c r="G609" s="44"/>
      <c r="H609" s="48"/>
      <c r="I609" s="48"/>
      <c r="J609" s="48"/>
      <c r="K609" s="48"/>
      <c r="L609" s="43"/>
      <c r="M609" s="44"/>
      <c r="N609" s="43"/>
      <c r="O609" s="43"/>
      <c r="P609" s="44"/>
      <c r="Q609" s="43"/>
      <c r="R609" s="43"/>
      <c r="S609" s="45"/>
      <c r="T609" s="58" t="str">
        <f>IF(Tableau1[[#This Row],[DMS_SAP]]="","",HYPERLINK(Tableau1[[#This Row],[Chemin fichier source]],"X"))</f>
        <v/>
      </c>
      <c r="U609" s="58" t="str">
        <f>IF(Tableau1[[#This Row],[Date rév.]]="","",HYPERLINK(Tableau1[[#This Row],[Lien document]],"X"))</f>
        <v/>
      </c>
      <c r="V609" s="44"/>
      <c r="W609" s="46" t="str">
        <f ca="1">Chemin_accès!$B$2&amp;Tableau1[[#This Row],[Poste Responsable]]&amp;"\"&amp;Tableau1[[#This Row],[Localisation / Classement]]&amp;"\"&amp;Tableau1[[#This Row],[Poste technique]]&amp;"_"&amp;Tableau1[[#This Row],[Plan Entretien]]&amp;".pdf"</f>
        <v>\\stjn.local\trimet\Donnees_Projets\Dms Sap\Maintenance\PlanEntretien\7.MNRJ\\_.pdf</v>
      </c>
      <c r="X609" s="44"/>
      <c r="Y609" s="44"/>
      <c r="Z609" s="41" t="str">
        <f ca="1">IF(AND(Tableau1[[#This Row],[Charge]]&lt;&gt;0, Tableau1[[#This Row],[Nombre intervenants]]&lt;&gt;0,Tableau1[[#This Row],[Lien document]]&lt;&gt;0,Tableau1[[#This Row],[DMS_SAP]]&lt;&gt;0)=TRUE,"MIS A JOUR","")</f>
        <v/>
      </c>
      <c r="AA609" s="45"/>
      <c r="AB609" s="55" t="str">
        <f ca="1">IF(Tableau1[[#This Row],[Date rév.]]&lt;&gt;"", DAYS360(Tableau1[[#This Row],[Date rév.]],TODAY()),"")</f>
        <v/>
      </c>
      <c r="AC609" s="47">
        <f>IFERROR(INDEX(Chemin_accès!$B$11:$C$22,MATCH(Tableau1[[#This Row],[Type]],Chemin_accès!$C$11:$C$22,0),1),Chemin_accès!$B$11)</f>
        <v>0</v>
      </c>
      <c r="AD609" s="47" t="str">
        <f>Chemin_accès!$B$8&amp;Tableau1[[#This Row],[Localisation / Classement]]&amp;"\"&amp;Tableau1[[#This Row],[Poste technique]]&amp;"_"&amp;Tableau1[[#This Row],[Plan Entretien]]&amp;".xlsm"</f>
        <v>\_.xlsm</v>
      </c>
    </row>
    <row r="610" spans="1:30" x14ac:dyDescent="0.3">
      <c r="A610" s="41" t="str">
        <f t="shared" ca="1" si="9"/>
        <v>7.MNRJ</v>
      </c>
      <c r="B6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0" s="43"/>
      <c r="D610" s="41"/>
      <c r="E610" s="41"/>
      <c r="F610" s="44"/>
      <c r="G610" s="44"/>
      <c r="H610" s="48"/>
      <c r="I610" s="48"/>
      <c r="J610" s="48"/>
      <c r="K610" s="48"/>
      <c r="L610" s="43"/>
      <c r="M610" s="44"/>
      <c r="N610" s="43"/>
      <c r="O610" s="43"/>
      <c r="P610" s="44"/>
      <c r="Q610" s="43"/>
      <c r="R610" s="43"/>
      <c r="S610" s="45"/>
      <c r="T610" s="58" t="str">
        <f>IF(Tableau1[[#This Row],[DMS_SAP]]="","",HYPERLINK(Tableau1[[#This Row],[Chemin fichier source]],"X"))</f>
        <v/>
      </c>
      <c r="U610" s="58" t="str">
        <f>IF(Tableau1[[#This Row],[Date rév.]]="","",HYPERLINK(Tableau1[[#This Row],[Lien document]],"X"))</f>
        <v/>
      </c>
      <c r="V610" s="44"/>
      <c r="W610" s="46" t="str">
        <f ca="1">Chemin_accès!$B$2&amp;Tableau1[[#This Row],[Poste Responsable]]&amp;"\"&amp;Tableau1[[#This Row],[Localisation / Classement]]&amp;"\"&amp;Tableau1[[#This Row],[Poste technique]]&amp;"_"&amp;Tableau1[[#This Row],[Plan Entretien]]&amp;".pdf"</f>
        <v>\\stjn.local\trimet\Donnees_Projets\Dms Sap\Maintenance\PlanEntretien\7.MNRJ\\_.pdf</v>
      </c>
      <c r="X610" s="44"/>
      <c r="Y610" s="44"/>
      <c r="Z610" s="41" t="str">
        <f ca="1">IF(AND(Tableau1[[#This Row],[Charge]]&lt;&gt;0, Tableau1[[#This Row],[Nombre intervenants]]&lt;&gt;0,Tableau1[[#This Row],[Lien document]]&lt;&gt;0,Tableau1[[#This Row],[DMS_SAP]]&lt;&gt;0)=TRUE,"MIS A JOUR","")</f>
        <v/>
      </c>
      <c r="AA610" s="45"/>
      <c r="AB610" s="55" t="str">
        <f ca="1">IF(Tableau1[[#This Row],[Date rév.]]&lt;&gt;"", DAYS360(Tableau1[[#This Row],[Date rév.]],TODAY()),"")</f>
        <v/>
      </c>
      <c r="AC610" s="47">
        <f>IFERROR(INDEX(Chemin_accès!$B$11:$C$22,MATCH(Tableau1[[#This Row],[Type]],Chemin_accès!$C$11:$C$22,0),1),Chemin_accès!$B$11)</f>
        <v>0</v>
      </c>
      <c r="AD610" s="47" t="str">
        <f>Chemin_accès!$B$8&amp;Tableau1[[#This Row],[Localisation / Classement]]&amp;"\"&amp;Tableau1[[#This Row],[Poste technique]]&amp;"_"&amp;Tableau1[[#This Row],[Plan Entretien]]&amp;".xlsm"</f>
        <v>\_.xlsm</v>
      </c>
    </row>
    <row r="611" spans="1:30" x14ac:dyDescent="0.3">
      <c r="A611" s="41" t="str">
        <f t="shared" ca="1" si="9"/>
        <v>7.MNRJ</v>
      </c>
      <c r="B6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1" s="43"/>
      <c r="D611" s="41"/>
      <c r="E611" s="41"/>
      <c r="F611" s="44"/>
      <c r="G611" s="44"/>
      <c r="H611" s="48"/>
      <c r="I611" s="48"/>
      <c r="J611" s="48"/>
      <c r="K611" s="48"/>
      <c r="L611" s="43"/>
      <c r="M611" s="44"/>
      <c r="N611" s="43"/>
      <c r="O611" s="43"/>
      <c r="P611" s="44"/>
      <c r="Q611" s="43"/>
      <c r="R611" s="43"/>
      <c r="S611" s="45"/>
      <c r="T611" s="58" t="str">
        <f>IF(Tableau1[[#This Row],[DMS_SAP]]="","",HYPERLINK(Tableau1[[#This Row],[Chemin fichier source]],"X"))</f>
        <v/>
      </c>
      <c r="U611" s="58" t="str">
        <f>IF(Tableau1[[#This Row],[Date rév.]]="","",HYPERLINK(Tableau1[[#This Row],[Lien document]],"X"))</f>
        <v/>
      </c>
      <c r="V611" s="44"/>
      <c r="W611" s="46" t="str">
        <f ca="1">Chemin_accès!$B$2&amp;Tableau1[[#This Row],[Poste Responsable]]&amp;"\"&amp;Tableau1[[#This Row],[Localisation / Classement]]&amp;"\"&amp;Tableau1[[#This Row],[Poste technique]]&amp;"_"&amp;Tableau1[[#This Row],[Plan Entretien]]&amp;".pdf"</f>
        <v>\\stjn.local\trimet\Donnees_Projets\Dms Sap\Maintenance\PlanEntretien\7.MNRJ\\_.pdf</v>
      </c>
      <c r="X611" s="44"/>
      <c r="Y611" s="44"/>
      <c r="Z611" s="41" t="str">
        <f ca="1">IF(AND(Tableau1[[#This Row],[Charge]]&lt;&gt;0, Tableau1[[#This Row],[Nombre intervenants]]&lt;&gt;0,Tableau1[[#This Row],[Lien document]]&lt;&gt;0,Tableau1[[#This Row],[DMS_SAP]]&lt;&gt;0)=TRUE,"MIS A JOUR","")</f>
        <v/>
      </c>
      <c r="AA611" s="45"/>
      <c r="AB611" s="55" t="str">
        <f ca="1">IF(Tableau1[[#This Row],[Date rév.]]&lt;&gt;"", DAYS360(Tableau1[[#This Row],[Date rév.]],TODAY()),"")</f>
        <v/>
      </c>
      <c r="AC611" s="47">
        <f>IFERROR(INDEX(Chemin_accès!$B$11:$C$22,MATCH(Tableau1[[#This Row],[Type]],Chemin_accès!$C$11:$C$22,0),1),Chemin_accès!$B$11)</f>
        <v>0</v>
      </c>
      <c r="AD611" s="47" t="str">
        <f>Chemin_accès!$B$8&amp;Tableau1[[#This Row],[Localisation / Classement]]&amp;"\"&amp;Tableau1[[#This Row],[Poste technique]]&amp;"_"&amp;Tableau1[[#This Row],[Plan Entretien]]&amp;".xlsm"</f>
        <v>\_.xlsm</v>
      </c>
    </row>
    <row r="612" spans="1:30" x14ac:dyDescent="0.3">
      <c r="A612" s="41" t="str">
        <f t="shared" ca="1" si="9"/>
        <v>7.MNRJ</v>
      </c>
      <c r="B6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2" s="43"/>
      <c r="D612" s="41"/>
      <c r="E612" s="41"/>
      <c r="F612" s="44"/>
      <c r="G612" s="44"/>
      <c r="H612" s="48"/>
      <c r="I612" s="48"/>
      <c r="J612" s="48"/>
      <c r="K612" s="48"/>
      <c r="L612" s="43"/>
      <c r="M612" s="44"/>
      <c r="N612" s="43"/>
      <c r="O612" s="43"/>
      <c r="P612" s="44"/>
      <c r="Q612" s="43"/>
      <c r="R612" s="43"/>
      <c r="S612" s="45"/>
      <c r="T612" s="58" t="str">
        <f>IF(Tableau1[[#This Row],[DMS_SAP]]="","",HYPERLINK(Tableau1[[#This Row],[Chemin fichier source]],"X"))</f>
        <v/>
      </c>
      <c r="U612" s="58" t="str">
        <f>IF(Tableau1[[#This Row],[Date rév.]]="","",HYPERLINK(Tableau1[[#This Row],[Lien document]],"X"))</f>
        <v/>
      </c>
      <c r="V612" s="44"/>
      <c r="W612" s="46" t="str">
        <f ca="1">Chemin_accès!$B$2&amp;Tableau1[[#This Row],[Poste Responsable]]&amp;"\"&amp;Tableau1[[#This Row],[Localisation / Classement]]&amp;"\"&amp;Tableau1[[#This Row],[Poste technique]]&amp;"_"&amp;Tableau1[[#This Row],[Plan Entretien]]&amp;".pdf"</f>
        <v>\\stjn.local\trimet\Donnees_Projets\Dms Sap\Maintenance\PlanEntretien\7.MNRJ\\_.pdf</v>
      </c>
      <c r="X612" s="44"/>
      <c r="Y612" s="44"/>
      <c r="Z612" s="41" t="str">
        <f ca="1">IF(AND(Tableau1[[#This Row],[Charge]]&lt;&gt;0, Tableau1[[#This Row],[Nombre intervenants]]&lt;&gt;0,Tableau1[[#This Row],[Lien document]]&lt;&gt;0,Tableau1[[#This Row],[DMS_SAP]]&lt;&gt;0)=TRUE,"MIS A JOUR","")</f>
        <v/>
      </c>
      <c r="AA612" s="45"/>
      <c r="AB612" s="55" t="str">
        <f ca="1">IF(Tableau1[[#This Row],[Date rév.]]&lt;&gt;"", DAYS360(Tableau1[[#This Row],[Date rév.]],TODAY()),"")</f>
        <v/>
      </c>
      <c r="AC612" s="47">
        <f>IFERROR(INDEX(Chemin_accès!$B$11:$C$22,MATCH(Tableau1[[#This Row],[Type]],Chemin_accès!$C$11:$C$22,0),1),Chemin_accès!$B$11)</f>
        <v>0</v>
      </c>
      <c r="AD612" s="47" t="str">
        <f>Chemin_accès!$B$8&amp;Tableau1[[#This Row],[Localisation / Classement]]&amp;"\"&amp;Tableau1[[#This Row],[Poste technique]]&amp;"_"&amp;Tableau1[[#This Row],[Plan Entretien]]&amp;".xlsm"</f>
        <v>\_.xlsm</v>
      </c>
    </row>
    <row r="613" spans="1:30" x14ac:dyDescent="0.3">
      <c r="A613" s="41" t="str">
        <f t="shared" ca="1" si="9"/>
        <v>7.MNRJ</v>
      </c>
      <c r="B6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3" s="43"/>
      <c r="D613" s="41"/>
      <c r="E613" s="41"/>
      <c r="F613" s="44"/>
      <c r="G613" s="44"/>
      <c r="H613" s="48"/>
      <c r="I613" s="48"/>
      <c r="J613" s="48"/>
      <c r="K613" s="48"/>
      <c r="L613" s="43"/>
      <c r="M613" s="44"/>
      <c r="N613" s="43"/>
      <c r="O613" s="43"/>
      <c r="P613" s="44"/>
      <c r="Q613" s="43"/>
      <c r="R613" s="43"/>
      <c r="S613" s="45"/>
      <c r="T613" s="58" t="str">
        <f>IF(Tableau1[[#This Row],[DMS_SAP]]="","",HYPERLINK(Tableau1[[#This Row],[Chemin fichier source]],"X"))</f>
        <v/>
      </c>
      <c r="U613" s="58" t="str">
        <f>IF(Tableau1[[#This Row],[Date rév.]]="","",HYPERLINK(Tableau1[[#This Row],[Lien document]],"X"))</f>
        <v/>
      </c>
      <c r="V613" s="44"/>
      <c r="W613" s="46" t="str">
        <f ca="1">Chemin_accès!$B$2&amp;Tableau1[[#This Row],[Poste Responsable]]&amp;"\"&amp;Tableau1[[#This Row],[Localisation / Classement]]&amp;"\"&amp;Tableau1[[#This Row],[Poste technique]]&amp;"_"&amp;Tableau1[[#This Row],[Plan Entretien]]&amp;".pdf"</f>
        <v>\\stjn.local\trimet\Donnees_Projets\Dms Sap\Maintenance\PlanEntretien\7.MNRJ\\_.pdf</v>
      </c>
      <c r="X613" s="44"/>
      <c r="Y613" s="44"/>
      <c r="Z613" s="41" t="str">
        <f ca="1">IF(AND(Tableau1[[#This Row],[Charge]]&lt;&gt;0, Tableau1[[#This Row],[Nombre intervenants]]&lt;&gt;0,Tableau1[[#This Row],[Lien document]]&lt;&gt;0,Tableau1[[#This Row],[DMS_SAP]]&lt;&gt;0)=TRUE,"MIS A JOUR","")</f>
        <v/>
      </c>
      <c r="AA613" s="45"/>
      <c r="AB613" s="55" t="str">
        <f ca="1">IF(Tableau1[[#This Row],[Date rév.]]&lt;&gt;"", DAYS360(Tableau1[[#This Row],[Date rév.]],TODAY()),"")</f>
        <v/>
      </c>
      <c r="AC613" s="47">
        <f>IFERROR(INDEX(Chemin_accès!$B$11:$C$22,MATCH(Tableau1[[#This Row],[Type]],Chemin_accès!$C$11:$C$22,0),1),Chemin_accès!$B$11)</f>
        <v>0</v>
      </c>
      <c r="AD613" s="47" t="str">
        <f>Chemin_accès!$B$8&amp;Tableau1[[#This Row],[Localisation / Classement]]&amp;"\"&amp;Tableau1[[#This Row],[Poste technique]]&amp;"_"&amp;Tableau1[[#This Row],[Plan Entretien]]&amp;".xlsm"</f>
        <v>\_.xlsm</v>
      </c>
    </row>
    <row r="614" spans="1:30" x14ac:dyDescent="0.3">
      <c r="A614" s="41" t="str">
        <f t="shared" ca="1" si="9"/>
        <v>7.MNRJ</v>
      </c>
      <c r="B6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4" s="43"/>
      <c r="D614" s="41"/>
      <c r="E614" s="41"/>
      <c r="F614" s="44"/>
      <c r="G614" s="44"/>
      <c r="H614" s="48"/>
      <c r="I614" s="48"/>
      <c r="J614" s="48"/>
      <c r="K614" s="48"/>
      <c r="L614" s="43"/>
      <c r="M614" s="44"/>
      <c r="N614" s="43"/>
      <c r="O614" s="43"/>
      <c r="P614" s="44"/>
      <c r="Q614" s="43"/>
      <c r="R614" s="43"/>
      <c r="S614" s="45"/>
      <c r="T614" s="58" t="str">
        <f>IF(Tableau1[[#This Row],[DMS_SAP]]="","",HYPERLINK(Tableau1[[#This Row],[Chemin fichier source]],"X"))</f>
        <v/>
      </c>
      <c r="U614" s="58" t="str">
        <f>IF(Tableau1[[#This Row],[Date rév.]]="","",HYPERLINK(Tableau1[[#This Row],[Lien document]],"X"))</f>
        <v/>
      </c>
      <c r="V614" s="44"/>
      <c r="W614" s="46" t="str">
        <f ca="1">Chemin_accès!$B$2&amp;Tableau1[[#This Row],[Poste Responsable]]&amp;"\"&amp;Tableau1[[#This Row],[Localisation / Classement]]&amp;"\"&amp;Tableau1[[#This Row],[Poste technique]]&amp;"_"&amp;Tableau1[[#This Row],[Plan Entretien]]&amp;".pdf"</f>
        <v>\\stjn.local\trimet\Donnees_Projets\Dms Sap\Maintenance\PlanEntretien\7.MNRJ\\_.pdf</v>
      </c>
      <c r="X614" s="44"/>
      <c r="Y614" s="44"/>
      <c r="Z614" s="41" t="str">
        <f ca="1">IF(AND(Tableau1[[#This Row],[Charge]]&lt;&gt;0, Tableau1[[#This Row],[Nombre intervenants]]&lt;&gt;0,Tableau1[[#This Row],[Lien document]]&lt;&gt;0,Tableau1[[#This Row],[DMS_SAP]]&lt;&gt;0)=TRUE,"MIS A JOUR","")</f>
        <v/>
      </c>
      <c r="AA614" s="45"/>
      <c r="AB614" s="55" t="str">
        <f ca="1">IF(Tableau1[[#This Row],[Date rév.]]&lt;&gt;"", DAYS360(Tableau1[[#This Row],[Date rév.]],TODAY()),"")</f>
        <v/>
      </c>
      <c r="AC614" s="47">
        <f>IFERROR(INDEX(Chemin_accès!$B$11:$C$22,MATCH(Tableau1[[#This Row],[Type]],Chemin_accès!$C$11:$C$22,0),1),Chemin_accès!$B$11)</f>
        <v>0</v>
      </c>
      <c r="AD614" s="47" t="str">
        <f>Chemin_accès!$B$8&amp;Tableau1[[#This Row],[Localisation / Classement]]&amp;"\"&amp;Tableau1[[#This Row],[Poste technique]]&amp;"_"&amp;Tableau1[[#This Row],[Plan Entretien]]&amp;".xlsm"</f>
        <v>\_.xlsm</v>
      </c>
    </row>
    <row r="615" spans="1:30" x14ac:dyDescent="0.3">
      <c r="A615" s="41" t="str">
        <f t="shared" ca="1" si="9"/>
        <v>7.MNRJ</v>
      </c>
      <c r="B6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5" s="43"/>
      <c r="D615" s="41"/>
      <c r="E615" s="41"/>
      <c r="F615" s="44"/>
      <c r="G615" s="44"/>
      <c r="H615" s="48"/>
      <c r="I615" s="48"/>
      <c r="J615" s="48"/>
      <c r="K615" s="48"/>
      <c r="L615" s="43"/>
      <c r="M615" s="44"/>
      <c r="N615" s="43"/>
      <c r="O615" s="43"/>
      <c r="P615" s="44"/>
      <c r="Q615" s="43"/>
      <c r="R615" s="43"/>
      <c r="S615" s="45"/>
      <c r="T615" s="58" t="str">
        <f>IF(Tableau1[[#This Row],[DMS_SAP]]="","",HYPERLINK(Tableau1[[#This Row],[Chemin fichier source]],"X"))</f>
        <v/>
      </c>
      <c r="U615" s="58" t="str">
        <f>IF(Tableau1[[#This Row],[Date rév.]]="","",HYPERLINK(Tableau1[[#This Row],[Lien document]],"X"))</f>
        <v/>
      </c>
      <c r="V615" s="44"/>
      <c r="W615" s="46" t="str">
        <f ca="1">Chemin_accès!$B$2&amp;Tableau1[[#This Row],[Poste Responsable]]&amp;"\"&amp;Tableau1[[#This Row],[Localisation / Classement]]&amp;"\"&amp;Tableau1[[#This Row],[Poste technique]]&amp;"_"&amp;Tableau1[[#This Row],[Plan Entretien]]&amp;".pdf"</f>
        <v>\\stjn.local\trimet\Donnees_Projets\Dms Sap\Maintenance\PlanEntretien\7.MNRJ\\_.pdf</v>
      </c>
      <c r="X615" s="44"/>
      <c r="Y615" s="44"/>
      <c r="Z615" s="41" t="str">
        <f ca="1">IF(AND(Tableau1[[#This Row],[Charge]]&lt;&gt;0, Tableau1[[#This Row],[Nombre intervenants]]&lt;&gt;0,Tableau1[[#This Row],[Lien document]]&lt;&gt;0,Tableau1[[#This Row],[DMS_SAP]]&lt;&gt;0)=TRUE,"MIS A JOUR","")</f>
        <v/>
      </c>
      <c r="AA615" s="45"/>
      <c r="AB615" s="55" t="str">
        <f ca="1">IF(Tableau1[[#This Row],[Date rév.]]&lt;&gt;"", DAYS360(Tableau1[[#This Row],[Date rév.]],TODAY()),"")</f>
        <v/>
      </c>
      <c r="AC615" s="47">
        <f>IFERROR(INDEX(Chemin_accès!$B$11:$C$22,MATCH(Tableau1[[#This Row],[Type]],Chemin_accès!$C$11:$C$22,0),1),Chemin_accès!$B$11)</f>
        <v>0</v>
      </c>
      <c r="AD615" s="47" t="str">
        <f>Chemin_accès!$B$8&amp;Tableau1[[#This Row],[Localisation / Classement]]&amp;"\"&amp;Tableau1[[#This Row],[Poste technique]]&amp;"_"&amp;Tableau1[[#This Row],[Plan Entretien]]&amp;".xlsm"</f>
        <v>\_.xlsm</v>
      </c>
    </row>
    <row r="616" spans="1:30" x14ac:dyDescent="0.3">
      <c r="A616" s="41" t="str">
        <f t="shared" ca="1" si="9"/>
        <v>7.MNRJ</v>
      </c>
      <c r="B6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6" s="43"/>
      <c r="D616" s="41"/>
      <c r="E616" s="41"/>
      <c r="F616" s="44"/>
      <c r="G616" s="44"/>
      <c r="H616" s="48"/>
      <c r="I616" s="48"/>
      <c r="J616" s="48"/>
      <c r="K616" s="48"/>
      <c r="L616" s="43"/>
      <c r="M616" s="44"/>
      <c r="N616" s="43"/>
      <c r="O616" s="43"/>
      <c r="P616" s="44"/>
      <c r="Q616" s="43"/>
      <c r="R616" s="43"/>
      <c r="S616" s="45"/>
      <c r="T616" s="58" t="str">
        <f>IF(Tableau1[[#This Row],[DMS_SAP]]="","",HYPERLINK(Tableau1[[#This Row],[Chemin fichier source]],"X"))</f>
        <v/>
      </c>
      <c r="U616" s="58" t="str">
        <f>IF(Tableau1[[#This Row],[Date rév.]]="","",HYPERLINK(Tableau1[[#This Row],[Lien document]],"X"))</f>
        <v/>
      </c>
      <c r="V616" s="44"/>
      <c r="W616" s="46" t="str">
        <f ca="1">Chemin_accès!$B$2&amp;Tableau1[[#This Row],[Poste Responsable]]&amp;"\"&amp;Tableau1[[#This Row],[Localisation / Classement]]&amp;"\"&amp;Tableau1[[#This Row],[Poste technique]]&amp;"_"&amp;Tableau1[[#This Row],[Plan Entretien]]&amp;".pdf"</f>
        <v>\\stjn.local\trimet\Donnees_Projets\Dms Sap\Maintenance\PlanEntretien\7.MNRJ\\_.pdf</v>
      </c>
      <c r="X616" s="44"/>
      <c r="Y616" s="44"/>
      <c r="Z616" s="41" t="str">
        <f ca="1">IF(AND(Tableau1[[#This Row],[Charge]]&lt;&gt;0, Tableau1[[#This Row],[Nombre intervenants]]&lt;&gt;0,Tableau1[[#This Row],[Lien document]]&lt;&gt;0,Tableau1[[#This Row],[DMS_SAP]]&lt;&gt;0)=TRUE,"MIS A JOUR","")</f>
        <v/>
      </c>
      <c r="AA616" s="45"/>
      <c r="AB616" s="55" t="str">
        <f ca="1">IF(Tableau1[[#This Row],[Date rév.]]&lt;&gt;"", DAYS360(Tableau1[[#This Row],[Date rév.]],TODAY()),"")</f>
        <v/>
      </c>
      <c r="AC616" s="47">
        <f>IFERROR(INDEX(Chemin_accès!$B$11:$C$22,MATCH(Tableau1[[#This Row],[Type]],Chemin_accès!$C$11:$C$22,0),1),Chemin_accès!$B$11)</f>
        <v>0</v>
      </c>
      <c r="AD616" s="47" t="str">
        <f>Chemin_accès!$B$8&amp;Tableau1[[#This Row],[Localisation / Classement]]&amp;"\"&amp;Tableau1[[#This Row],[Poste technique]]&amp;"_"&amp;Tableau1[[#This Row],[Plan Entretien]]&amp;".xlsm"</f>
        <v>\_.xlsm</v>
      </c>
    </row>
    <row r="617" spans="1:30" x14ac:dyDescent="0.3">
      <c r="A617" s="41" t="str">
        <f t="shared" ca="1" si="9"/>
        <v>7.MNRJ</v>
      </c>
      <c r="B6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7" s="43"/>
      <c r="D617" s="41"/>
      <c r="E617" s="41"/>
      <c r="F617" s="44"/>
      <c r="G617" s="44"/>
      <c r="H617" s="48"/>
      <c r="I617" s="48"/>
      <c r="J617" s="48"/>
      <c r="K617" s="48"/>
      <c r="L617" s="43"/>
      <c r="M617" s="44"/>
      <c r="N617" s="43"/>
      <c r="O617" s="43"/>
      <c r="P617" s="44"/>
      <c r="Q617" s="43"/>
      <c r="R617" s="43"/>
      <c r="S617" s="45"/>
      <c r="T617" s="58" t="str">
        <f>IF(Tableau1[[#This Row],[DMS_SAP]]="","",HYPERLINK(Tableau1[[#This Row],[Chemin fichier source]],"X"))</f>
        <v/>
      </c>
      <c r="U617" s="58" t="str">
        <f>IF(Tableau1[[#This Row],[Date rév.]]="","",HYPERLINK(Tableau1[[#This Row],[Lien document]],"X"))</f>
        <v/>
      </c>
      <c r="V617" s="44"/>
      <c r="W617" s="46" t="str">
        <f ca="1">Chemin_accès!$B$2&amp;Tableau1[[#This Row],[Poste Responsable]]&amp;"\"&amp;Tableau1[[#This Row],[Localisation / Classement]]&amp;"\"&amp;Tableau1[[#This Row],[Poste technique]]&amp;"_"&amp;Tableau1[[#This Row],[Plan Entretien]]&amp;".pdf"</f>
        <v>\\stjn.local\trimet\Donnees_Projets\Dms Sap\Maintenance\PlanEntretien\7.MNRJ\\_.pdf</v>
      </c>
      <c r="X617" s="44"/>
      <c r="Y617" s="44"/>
      <c r="Z617" s="41" t="str">
        <f ca="1">IF(AND(Tableau1[[#This Row],[Charge]]&lt;&gt;0, Tableau1[[#This Row],[Nombre intervenants]]&lt;&gt;0,Tableau1[[#This Row],[Lien document]]&lt;&gt;0,Tableau1[[#This Row],[DMS_SAP]]&lt;&gt;0)=TRUE,"MIS A JOUR","")</f>
        <v/>
      </c>
      <c r="AA617" s="45"/>
      <c r="AB617" s="55" t="str">
        <f ca="1">IF(Tableau1[[#This Row],[Date rév.]]&lt;&gt;"", DAYS360(Tableau1[[#This Row],[Date rév.]],TODAY()),"")</f>
        <v/>
      </c>
      <c r="AC617" s="47">
        <f>IFERROR(INDEX(Chemin_accès!$B$11:$C$22,MATCH(Tableau1[[#This Row],[Type]],Chemin_accès!$C$11:$C$22,0),1),Chemin_accès!$B$11)</f>
        <v>0</v>
      </c>
      <c r="AD617" s="47" t="str">
        <f>Chemin_accès!$B$8&amp;Tableau1[[#This Row],[Localisation / Classement]]&amp;"\"&amp;Tableau1[[#This Row],[Poste technique]]&amp;"_"&amp;Tableau1[[#This Row],[Plan Entretien]]&amp;".xlsm"</f>
        <v>\_.xlsm</v>
      </c>
    </row>
    <row r="618" spans="1:30" x14ac:dyDescent="0.3">
      <c r="A618" s="41" t="str">
        <f t="shared" ca="1" si="9"/>
        <v>7.MNRJ</v>
      </c>
      <c r="B6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8" s="43"/>
      <c r="D618" s="41"/>
      <c r="E618" s="41"/>
      <c r="F618" s="44"/>
      <c r="G618" s="44"/>
      <c r="H618" s="48"/>
      <c r="I618" s="48"/>
      <c r="J618" s="48"/>
      <c r="K618" s="48"/>
      <c r="L618" s="43"/>
      <c r="M618" s="44"/>
      <c r="N618" s="43"/>
      <c r="O618" s="43"/>
      <c r="P618" s="44"/>
      <c r="Q618" s="43"/>
      <c r="R618" s="43"/>
      <c r="S618" s="45"/>
      <c r="T618" s="58" t="str">
        <f>IF(Tableau1[[#This Row],[DMS_SAP]]="","",HYPERLINK(Tableau1[[#This Row],[Chemin fichier source]],"X"))</f>
        <v/>
      </c>
      <c r="U618" s="58" t="str">
        <f>IF(Tableau1[[#This Row],[Date rév.]]="","",HYPERLINK(Tableau1[[#This Row],[Lien document]],"X"))</f>
        <v/>
      </c>
      <c r="V618" s="44"/>
      <c r="W618" s="46" t="str">
        <f ca="1">Chemin_accès!$B$2&amp;Tableau1[[#This Row],[Poste Responsable]]&amp;"\"&amp;Tableau1[[#This Row],[Localisation / Classement]]&amp;"\"&amp;Tableau1[[#This Row],[Poste technique]]&amp;"_"&amp;Tableau1[[#This Row],[Plan Entretien]]&amp;".pdf"</f>
        <v>\\stjn.local\trimet\Donnees_Projets\Dms Sap\Maintenance\PlanEntretien\7.MNRJ\\_.pdf</v>
      </c>
      <c r="X618" s="44"/>
      <c r="Y618" s="44"/>
      <c r="Z618" s="41" t="str">
        <f ca="1">IF(AND(Tableau1[[#This Row],[Charge]]&lt;&gt;0, Tableau1[[#This Row],[Nombre intervenants]]&lt;&gt;0,Tableau1[[#This Row],[Lien document]]&lt;&gt;0,Tableau1[[#This Row],[DMS_SAP]]&lt;&gt;0)=TRUE,"MIS A JOUR","")</f>
        <v/>
      </c>
      <c r="AA618" s="45"/>
      <c r="AB618" s="55" t="str">
        <f ca="1">IF(Tableau1[[#This Row],[Date rév.]]&lt;&gt;"", DAYS360(Tableau1[[#This Row],[Date rév.]],TODAY()),"")</f>
        <v/>
      </c>
      <c r="AC618" s="47">
        <f>IFERROR(INDEX(Chemin_accès!$B$11:$C$22,MATCH(Tableau1[[#This Row],[Type]],Chemin_accès!$C$11:$C$22,0),1),Chemin_accès!$B$11)</f>
        <v>0</v>
      </c>
      <c r="AD618" s="47" t="str">
        <f>Chemin_accès!$B$8&amp;Tableau1[[#This Row],[Localisation / Classement]]&amp;"\"&amp;Tableau1[[#This Row],[Poste technique]]&amp;"_"&amp;Tableau1[[#This Row],[Plan Entretien]]&amp;".xlsm"</f>
        <v>\_.xlsm</v>
      </c>
    </row>
    <row r="619" spans="1:30" x14ac:dyDescent="0.3">
      <c r="A619" s="41" t="str">
        <f t="shared" ca="1" si="9"/>
        <v>7.MNRJ</v>
      </c>
      <c r="B6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9" s="43"/>
      <c r="D619" s="41"/>
      <c r="E619" s="41"/>
      <c r="F619" s="44"/>
      <c r="G619" s="44"/>
      <c r="H619" s="48"/>
      <c r="I619" s="48"/>
      <c r="J619" s="48"/>
      <c r="K619" s="48"/>
      <c r="L619" s="43"/>
      <c r="M619" s="44"/>
      <c r="N619" s="43"/>
      <c r="O619" s="43"/>
      <c r="P619" s="44"/>
      <c r="Q619" s="43"/>
      <c r="R619" s="43"/>
      <c r="S619" s="45"/>
      <c r="T619" s="58" t="str">
        <f>IF(Tableau1[[#This Row],[DMS_SAP]]="","",HYPERLINK(Tableau1[[#This Row],[Chemin fichier source]],"X"))</f>
        <v/>
      </c>
      <c r="U619" s="58" t="str">
        <f>IF(Tableau1[[#This Row],[Date rév.]]="","",HYPERLINK(Tableau1[[#This Row],[Lien document]],"X"))</f>
        <v/>
      </c>
      <c r="V619" s="44"/>
      <c r="W619" s="46" t="str">
        <f ca="1">Chemin_accès!$B$2&amp;Tableau1[[#This Row],[Poste Responsable]]&amp;"\"&amp;Tableau1[[#This Row],[Localisation / Classement]]&amp;"\"&amp;Tableau1[[#This Row],[Poste technique]]&amp;"_"&amp;Tableau1[[#This Row],[Plan Entretien]]&amp;".pdf"</f>
        <v>\\stjn.local\trimet\Donnees_Projets\Dms Sap\Maintenance\PlanEntretien\7.MNRJ\\_.pdf</v>
      </c>
      <c r="X619" s="44"/>
      <c r="Y619" s="44"/>
      <c r="Z619" s="41" t="str">
        <f ca="1">IF(AND(Tableau1[[#This Row],[Charge]]&lt;&gt;0, Tableau1[[#This Row],[Nombre intervenants]]&lt;&gt;0,Tableau1[[#This Row],[Lien document]]&lt;&gt;0,Tableau1[[#This Row],[DMS_SAP]]&lt;&gt;0)=TRUE,"MIS A JOUR","")</f>
        <v/>
      </c>
      <c r="AA619" s="45"/>
      <c r="AB619" s="55" t="str">
        <f ca="1">IF(Tableau1[[#This Row],[Date rév.]]&lt;&gt;"", DAYS360(Tableau1[[#This Row],[Date rév.]],TODAY()),"")</f>
        <v/>
      </c>
      <c r="AC619" s="47">
        <f>IFERROR(INDEX(Chemin_accès!$B$11:$C$22,MATCH(Tableau1[[#This Row],[Type]],Chemin_accès!$C$11:$C$22,0),1),Chemin_accès!$B$11)</f>
        <v>0</v>
      </c>
      <c r="AD619" s="47" t="str">
        <f>Chemin_accès!$B$8&amp;Tableau1[[#This Row],[Localisation / Classement]]&amp;"\"&amp;Tableau1[[#This Row],[Poste technique]]&amp;"_"&amp;Tableau1[[#This Row],[Plan Entretien]]&amp;".xlsm"</f>
        <v>\_.xlsm</v>
      </c>
    </row>
    <row r="620" spans="1:30" x14ac:dyDescent="0.3">
      <c r="A620" s="41" t="str">
        <f t="shared" ca="1" si="9"/>
        <v>7.MNRJ</v>
      </c>
      <c r="B6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0" s="43"/>
      <c r="D620" s="41"/>
      <c r="E620" s="41"/>
      <c r="F620" s="44"/>
      <c r="G620" s="44"/>
      <c r="H620" s="48"/>
      <c r="I620" s="48"/>
      <c r="J620" s="48"/>
      <c r="K620" s="48"/>
      <c r="L620" s="43"/>
      <c r="M620" s="44"/>
      <c r="N620" s="43"/>
      <c r="O620" s="43"/>
      <c r="P620" s="44"/>
      <c r="Q620" s="43"/>
      <c r="R620" s="43"/>
      <c r="S620" s="45"/>
      <c r="T620" s="58" t="str">
        <f>IF(Tableau1[[#This Row],[DMS_SAP]]="","",HYPERLINK(Tableau1[[#This Row],[Chemin fichier source]],"X"))</f>
        <v/>
      </c>
      <c r="U620" s="58" t="str">
        <f>IF(Tableau1[[#This Row],[Date rév.]]="","",HYPERLINK(Tableau1[[#This Row],[Lien document]],"X"))</f>
        <v/>
      </c>
      <c r="V620" s="44"/>
      <c r="W620" s="46" t="str">
        <f ca="1">Chemin_accès!$B$2&amp;Tableau1[[#This Row],[Poste Responsable]]&amp;"\"&amp;Tableau1[[#This Row],[Localisation / Classement]]&amp;"\"&amp;Tableau1[[#This Row],[Poste technique]]&amp;"_"&amp;Tableau1[[#This Row],[Plan Entretien]]&amp;".pdf"</f>
        <v>\\stjn.local\trimet\Donnees_Projets\Dms Sap\Maintenance\PlanEntretien\7.MNRJ\\_.pdf</v>
      </c>
      <c r="X620" s="44"/>
      <c r="Y620" s="44"/>
      <c r="Z620" s="41" t="str">
        <f ca="1">IF(AND(Tableau1[[#This Row],[Charge]]&lt;&gt;0, Tableau1[[#This Row],[Nombre intervenants]]&lt;&gt;0,Tableau1[[#This Row],[Lien document]]&lt;&gt;0,Tableau1[[#This Row],[DMS_SAP]]&lt;&gt;0)=TRUE,"MIS A JOUR","")</f>
        <v/>
      </c>
      <c r="AA620" s="45"/>
      <c r="AB620" s="55" t="str">
        <f ca="1">IF(Tableau1[[#This Row],[Date rév.]]&lt;&gt;"", DAYS360(Tableau1[[#This Row],[Date rév.]],TODAY()),"")</f>
        <v/>
      </c>
      <c r="AC620" s="47">
        <f>IFERROR(INDEX(Chemin_accès!$B$11:$C$22,MATCH(Tableau1[[#This Row],[Type]],Chemin_accès!$C$11:$C$22,0),1),Chemin_accès!$B$11)</f>
        <v>0</v>
      </c>
      <c r="AD620" s="47" t="str">
        <f>Chemin_accès!$B$8&amp;Tableau1[[#This Row],[Localisation / Classement]]&amp;"\"&amp;Tableau1[[#This Row],[Poste technique]]&amp;"_"&amp;Tableau1[[#This Row],[Plan Entretien]]&amp;".xlsm"</f>
        <v>\_.xlsm</v>
      </c>
    </row>
    <row r="621" spans="1:30" x14ac:dyDescent="0.3">
      <c r="A621" s="41" t="str">
        <f t="shared" ca="1" si="9"/>
        <v>7.MNRJ</v>
      </c>
      <c r="B6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1" s="43"/>
      <c r="D621" s="41"/>
      <c r="E621" s="41"/>
      <c r="F621" s="44"/>
      <c r="G621" s="44"/>
      <c r="H621" s="48"/>
      <c r="I621" s="48"/>
      <c r="J621" s="48"/>
      <c r="K621" s="48"/>
      <c r="L621" s="43"/>
      <c r="M621" s="44"/>
      <c r="N621" s="43"/>
      <c r="O621" s="43"/>
      <c r="P621" s="44"/>
      <c r="Q621" s="43"/>
      <c r="R621" s="43"/>
      <c r="S621" s="45"/>
      <c r="T621" s="58" t="str">
        <f>IF(Tableau1[[#This Row],[DMS_SAP]]="","",HYPERLINK(Tableau1[[#This Row],[Chemin fichier source]],"X"))</f>
        <v/>
      </c>
      <c r="U621" s="58" t="str">
        <f>IF(Tableau1[[#This Row],[Date rév.]]="","",HYPERLINK(Tableau1[[#This Row],[Lien document]],"X"))</f>
        <v/>
      </c>
      <c r="V621" s="44"/>
      <c r="W621" s="46" t="str">
        <f ca="1">Chemin_accès!$B$2&amp;Tableau1[[#This Row],[Poste Responsable]]&amp;"\"&amp;Tableau1[[#This Row],[Localisation / Classement]]&amp;"\"&amp;Tableau1[[#This Row],[Poste technique]]&amp;"_"&amp;Tableau1[[#This Row],[Plan Entretien]]&amp;".pdf"</f>
        <v>\\stjn.local\trimet\Donnees_Projets\Dms Sap\Maintenance\PlanEntretien\7.MNRJ\\_.pdf</v>
      </c>
      <c r="X621" s="44"/>
      <c r="Y621" s="44"/>
      <c r="Z621" s="41" t="str">
        <f ca="1">IF(AND(Tableau1[[#This Row],[Charge]]&lt;&gt;0, Tableau1[[#This Row],[Nombre intervenants]]&lt;&gt;0,Tableau1[[#This Row],[Lien document]]&lt;&gt;0,Tableau1[[#This Row],[DMS_SAP]]&lt;&gt;0)=TRUE,"MIS A JOUR","")</f>
        <v/>
      </c>
      <c r="AA621" s="45"/>
      <c r="AB621" s="55" t="str">
        <f ca="1">IF(Tableau1[[#This Row],[Date rév.]]&lt;&gt;"", DAYS360(Tableau1[[#This Row],[Date rév.]],TODAY()),"")</f>
        <v/>
      </c>
      <c r="AC621" s="47">
        <f>IFERROR(INDEX(Chemin_accès!$B$11:$C$22,MATCH(Tableau1[[#This Row],[Type]],Chemin_accès!$C$11:$C$22,0),1),Chemin_accès!$B$11)</f>
        <v>0</v>
      </c>
      <c r="AD621" s="47" t="str">
        <f>Chemin_accès!$B$8&amp;Tableau1[[#This Row],[Localisation / Classement]]&amp;"\"&amp;Tableau1[[#This Row],[Poste technique]]&amp;"_"&amp;Tableau1[[#This Row],[Plan Entretien]]&amp;".xlsm"</f>
        <v>\_.xlsm</v>
      </c>
    </row>
    <row r="622" spans="1:30" x14ac:dyDescent="0.3">
      <c r="A622" s="41" t="str">
        <f t="shared" ca="1" si="9"/>
        <v>7.MNRJ</v>
      </c>
      <c r="B6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2" s="43"/>
      <c r="D622" s="41"/>
      <c r="E622" s="41"/>
      <c r="F622" s="44"/>
      <c r="G622" s="44"/>
      <c r="H622" s="48"/>
      <c r="I622" s="48"/>
      <c r="J622" s="48"/>
      <c r="K622" s="48"/>
      <c r="L622" s="43"/>
      <c r="M622" s="44"/>
      <c r="N622" s="43"/>
      <c r="O622" s="43"/>
      <c r="P622" s="44"/>
      <c r="Q622" s="43"/>
      <c r="R622" s="43"/>
      <c r="S622" s="45"/>
      <c r="T622" s="58" t="str">
        <f>IF(Tableau1[[#This Row],[DMS_SAP]]="","",HYPERLINK(Tableau1[[#This Row],[Chemin fichier source]],"X"))</f>
        <v/>
      </c>
      <c r="U622" s="58" t="str">
        <f>IF(Tableau1[[#This Row],[Date rév.]]="","",HYPERLINK(Tableau1[[#This Row],[Lien document]],"X"))</f>
        <v/>
      </c>
      <c r="V622" s="44"/>
      <c r="W622" s="46" t="str">
        <f ca="1">Chemin_accès!$B$2&amp;Tableau1[[#This Row],[Poste Responsable]]&amp;"\"&amp;Tableau1[[#This Row],[Localisation / Classement]]&amp;"\"&amp;Tableau1[[#This Row],[Poste technique]]&amp;"_"&amp;Tableau1[[#This Row],[Plan Entretien]]&amp;".pdf"</f>
        <v>\\stjn.local\trimet\Donnees_Projets\Dms Sap\Maintenance\PlanEntretien\7.MNRJ\\_.pdf</v>
      </c>
      <c r="X622" s="44"/>
      <c r="Y622" s="44"/>
      <c r="Z622" s="41" t="str">
        <f ca="1">IF(AND(Tableau1[[#This Row],[Charge]]&lt;&gt;0, Tableau1[[#This Row],[Nombre intervenants]]&lt;&gt;0,Tableau1[[#This Row],[Lien document]]&lt;&gt;0,Tableau1[[#This Row],[DMS_SAP]]&lt;&gt;0)=TRUE,"MIS A JOUR","")</f>
        <v/>
      </c>
      <c r="AA622" s="45"/>
      <c r="AB622" s="55" t="str">
        <f ca="1">IF(Tableau1[[#This Row],[Date rév.]]&lt;&gt;"", DAYS360(Tableau1[[#This Row],[Date rév.]],TODAY()),"")</f>
        <v/>
      </c>
      <c r="AC622" s="47">
        <f>IFERROR(INDEX(Chemin_accès!$B$11:$C$22,MATCH(Tableau1[[#This Row],[Type]],Chemin_accès!$C$11:$C$22,0),1),Chemin_accès!$B$11)</f>
        <v>0</v>
      </c>
      <c r="AD622" s="47" t="str">
        <f>Chemin_accès!$B$8&amp;Tableau1[[#This Row],[Localisation / Classement]]&amp;"\"&amp;Tableau1[[#This Row],[Poste technique]]&amp;"_"&amp;Tableau1[[#This Row],[Plan Entretien]]&amp;".xlsm"</f>
        <v>\_.xlsm</v>
      </c>
    </row>
    <row r="623" spans="1:30" x14ac:dyDescent="0.3">
      <c r="A623" s="41" t="str">
        <f t="shared" ca="1" si="9"/>
        <v>7.MNRJ</v>
      </c>
      <c r="B6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3" s="43"/>
      <c r="D623" s="41"/>
      <c r="E623" s="41"/>
      <c r="F623" s="44"/>
      <c r="G623" s="44"/>
      <c r="H623" s="48"/>
      <c r="I623" s="48"/>
      <c r="J623" s="48"/>
      <c r="K623" s="48"/>
      <c r="L623" s="43"/>
      <c r="M623" s="44"/>
      <c r="N623" s="43"/>
      <c r="O623" s="43"/>
      <c r="P623" s="44"/>
      <c r="Q623" s="43"/>
      <c r="R623" s="43"/>
      <c r="S623" s="45"/>
      <c r="T623" s="58" t="str">
        <f>IF(Tableau1[[#This Row],[DMS_SAP]]="","",HYPERLINK(Tableau1[[#This Row],[Chemin fichier source]],"X"))</f>
        <v/>
      </c>
      <c r="U623" s="58" t="str">
        <f>IF(Tableau1[[#This Row],[Date rév.]]="","",HYPERLINK(Tableau1[[#This Row],[Lien document]],"X"))</f>
        <v/>
      </c>
      <c r="V623" s="44"/>
      <c r="W623" s="46" t="str">
        <f ca="1">Chemin_accès!$B$2&amp;Tableau1[[#This Row],[Poste Responsable]]&amp;"\"&amp;Tableau1[[#This Row],[Localisation / Classement]]&amp;"\"&amp;Tableau1[[#This Row],[Poste technique]]&amp;"_"&amp;Tableau1[[#This Row],[Plan Entretien]]&amp;".pdf"</f>
        <v>\\stjn.local\trimet\Donnees_Projets\Dms Sap\Maintenance\PlanEntretien\7.MNRJ\\_.pdf</v>
      </c>
      <c r="X623" s="44"/>
      <c r="Y623" s="44"/>
      <c r="Z623" s="41" t="str">
        <f ca="1">IF(AND(Tableau1[[#This Row],[Charge]]&lt;&gt;0, Tableau1[[#This Row],[Nombre intervenants]]&lt;&gt;0,Tableau1[[#This Row],[Lien document]]&lt;&gt;0,Tableau1[[#This Row],[DMS_SAP]]&lt;&gt;0)=TRUE,"MIS A JOUR","")</f>
        <v/>
      </c>
      <c r="AA623" s="45"/>
      <c r="AB623" s="55" t="str">
        <f ca="1">IF(Tableau1[[#This Row],[Date rév.]]&lt;&gt;"", DAYS360(Tableau1[[#This Row],[Date rév.]],TODAY()),"")</f>
        <v/>
      </c>
      <c r="AC623" s="47">
        <f>IFERROR(INDEX(Chemin_accès!$B$11:$C$22,MATCH(Tableau1[[#This Row],[Type]],Chemin_accès!$C$11:$C$22,0),1),Chemin_accès!$B$11)</f>
        <v>0</v>
      </c>
      <c r="AD623" s="47" t="str">
        <f>Chemin_accès!$B$8&amp;Tableau1[[#This Row],[Localisation / Classement]]&amp;"\"&amp;Tableau1[[#This Row],[Poste technique]]&amp;"_"&amp;Tableau1[[#This Row],[Plan Entretien]]&amp;".xlsm"</f>
        <v>\_.xlsm</v>
      </c>
    </row>
    <row r="624" spans="1:30" x14ac:dyDescent="0.3">
      <c r="A624" s="41" t="str">
        <f t="shared" ca="1" si="9"/>
        <v>7.MNRJ</v>
      </c>
      <c r="B6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4" s="43"/>
      <c r="D624" s="41"/>
      <c r="E624" s="41"/>
      <c r="F624" s="44"/>
      <c r="G624" s="44"/>
      <c r="H624" s="48"/>
      <c r="I624" s="48"/>
      <c r="J624" s="48"/>
      <c r="K624" s="48"/>
      <c r="L624" s="43"/>
      <c r="M624" s="44"/>
      <c r="N624" s="43"/>
      <c r="O624" s="43"/>
      <c r="P624" s="44"/>
      <c r="Q624" s="43"/>
      <c r="R624" s="43"/>
      <c r="S624" s="45"/>
      <c r="T624" s="58" t="str">
        <f>IF(Tableau1[[#This Row],[DMS_SAP]]="","",HYPERLINK(Tableau1[[#This Row],[Chemin fichier source]],"X"))</f>
        <v/>
      </c>
      <c r="U624" s="58" t="str">
        <f>IF(Tableau1[[#This Row],[Date rév.]]="","",HYPERLINK(Tableau1[[#This Row],[Lien document]],"X"))</f>
        <v/>
      </c>
      <c r="V624" s="44"/>
      <c r="W624" s="46" t="str">
        <f ca="1">Chemin_accès!$B$2&amp;Tableau1[[#This Row],[Poste Responsable]]&amp;"\"&amp;Tableau1[[#This Row],[Localisation / Classement]]&amp;"\"&amp;Tableau1[[#This Row],[Poste technique]]&amp;"_"&amp;Tableau1[[#This Row],[Plan Entretien]]&amp;".pdf"</f>
        <v>\\stjn.local\trimet\Donnees_Projets\Dms Sap\Maintenance\PlanEntretien\7.MNRJ\\_.pdf</v>
      </c>
      <c r="X624" s="44"/>
      <c r="Y624" s="44"/>
      <c r="Z624" s="41" t="str">
        <f ca="1">IF(AND(Tableau1[[#This Row],[Charge]]&lt;&gt;0, Tableau1[[#This Row],[Nombre intervenants]]&lt;&gt;0,Tableau1[[#This Row],[Lien document]]&lt;&gt;0,Tableau1[[#This Row],[DMS_SAP]]&lt;&gt;0)=TRUE,"MIS A JOUR","")</f>
        <v/>
      </c>
      <c r="AA624" s="45"/>
      <c r="AB624" s="55" t="str">
        <f ca="1">IF(Tableau1[[#This Row],[Date rév.]]&lt;&gt;"", DAYS360(Tableau1[[#This Row],[Date rév.]],TODAY()),"")</f>
        <v/>
      </c>
      <c r="AC624" s="47">
        <f>IFERROR(INDEX(Chemin_accès!$B$11:$C$22,MATCH(Tableau1[[#This Row],[Type]],Chemin_accès!$C$11:$C$22,0),1),Chemin_accès!$B$11)</f>
        <v>0</v>
      </c>
      <c r="AD624" s="47" t="str">
        <f>Chemin_accès!$B$8&amp;Tableau1[[#This Row],[Localisation / Classement]]&amp;"\"&amp;Tableau1[[#This Row],[Poste technique]]&amp;"_"&amp;Tableau1[[#This Row],[Plan Entretien]]&amp;".xlsm"</f>
        <v>\_.xlsm</v>
      </c>
    </row>
    <row r="625" spans="1:30" x14ac:dyDescent="0.3">
      <c r="A625" s="41" t="str">
        <f t="shared" ca="1" si="9"/>
        <v>7.MNRJ</v>
      </c>
      <c r="B6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5" s="43"/>
      <c r="D625" s="41"/>
      <c r="E625" s="41"/>
      <c r="F625" s="44"/>
      <c r="G625" s="44"/>
      <c r="H625" s="48"/>
      <c r="I625" s="48"/>
      <c r="J625" s="48"/>
      <c r="K625" s="48"/>
      <c r="L625" s="43"/>
      <c r="M625" s="44"/>
      <c r="N625" s="43"/>
      <c r="O625" s="43"/>
      <c r="P625" s="44"/>
      <c r="Q625" s="43"/>
      <c r="R625" s="43"/>
      <c r="S625" s="45"/>
      <c r="T625" s="58" t="str">
        <f>IF(Tableau1[[#This Row],[DMS_SAP]]="","",HYPERLINK(Tableau1[[#This Row],[Chemin fichier source]],"X"))</f>
        <v/>
      </c>
      <c r="U625" s="58" t="str">
        <f>IF(Tableau1[[#This Row],[Date rév.]]="","",HYPERLINK(Tableau1[[#This Row],[Lien document]],"X"))</f>
        <v/>
      </c>
      <c r="V625" s="44"/>
      <c r="W625" s="46" t="str">
        <f ca="1">Chemin_accès!$B$2&amp;Tableau1[[#This Row],[Poste Responsable]]&amp;"\"&amp;Tableau1[[#This Row],[Localisation / Classement]]&amp;"\"&amp;Tableau1[[#This Row],[Poste technique]]&amp;"_"&amp;Tableau1[[#This Row],[Plan Entretien]]&amp;".pdf"</f>
        <v>\\stjn.local\trimet\Donnees_Projets\Dms Sap\Maintenance\PlanEntretien\7.MNRJ\\_.pdf</v>
      </c>
      <c r="X625" s="44"/>
      <c r="Y625" s="44"/>
      <c r="Z625" s="41" t="str">
        <f ca="1">IF(AND(Tableau1[[#This Row],[Charge]]&lt;&gt;0, Tableau1[[#This Row],[Nombre intervenants]]&lt;&gt;0,Tableau1[[#This Row],[Lien document]]&lt;&gt;0,Tableau1[[#This Row],[DMS_SAP]]&lt;&gt;0)=TRUE,"MIS A JOUR","")</f>
        <v/>
      </c>
      <c r="AA625" s="45"/>
      <c r="AB625" s="55" t="str">
        <f ca="1">IF(Tableau1[[#This Row],[Date rév.]]&lt;&gt;"", DAYS360(Tableau1[[#This Row],[Date rév.]],TODAY()),"")</f>
        <v/>
      </c>
      <c r="AC625" s="47">
        <f>IFERROR(INDEX(Chemin_accès!$B$11:$C$22,MATCH(Tableau1[[#This Row],[Type]],Chemin_accès!$C$11:$C$22,0),1),Chemin_accès!$B$11)</f>
        <v>0</v>
      </c>
      <c r="AD625" s="47" t="str">
        <f>Chemin_accès!$B$8&amp;Tableau1[[#This Row],[Localisation / Classement]]&amp;"\"&amp;Tableau1[[#This Row],[Poste technique]]&amp;"_"&amp;Tableau1[[#This Row],[Plan Entretien]]&amp;".xlsm"</f>
        <v>\_.xlsm</v>
      </c>
    </row>
    <row r="626" spans="1:30" x14ac:dyDescent="0.3">
      <c r="A626" s="41" t="str">
        <f t="shared" ca="1" si="9"/>
        <v>7.MNRJ</v>
      </c>
      <c r="B6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6" s="43"/>
      <c r="D626" s="41"/>
      <c r="E626" s="41"/>
      <c r="F626" s="44"/>
      <c r="G626" s="44"/>
      <c r="H626" s="48"/>
      <c r="I626" s="48"/>
      <c r="J626" s="48"/>
      <c r="K626" s="48"/>
      <c r="L626" s="43"/>
      <c r="M626" s="44"/>
      <c r="N626" s="43"/>
      <c r="O626" s="43"/>
      <c r="P626" s="44"/>
      <c r="Q626" s="43"/>
      <c r="R626" s="43"/>
      <c r="S626" s="45"/>
      <c r="T626" s="58" t="str">
        <f>IF(Tableau1[[#This Row],[DMS_SAP]]="","",HYPERLINK(Tableau1[[#This Row],[Chemin fichier source]],"X"))</f>
        <v/>
      </c>
      <c r="U626" s="58" t="str">
        <f>IF(Tableau1[[#This Row],[Date rév.]]="","",HYPERLINK(Tableau1[[#This Row],[Lien document]],"X"))</f>
        <v/>
      </c>
      <c r="V626" s="44"/>
      <c r="W626" s="46" t="str">
        <f ca="1">Chemin_accès!$B$2&amp;Tableau1[[#This Row],[Poste Responsable]]&amp;"\"&amp;Tableau1[[#This Row],[Localisation / Classement]]&amp;"\"&amp;Tableau1[[#This Row],[Poste technique]]&amp;"_"&amp;Tableau1[[#This Row],[Plan Entretien]]&amp;".pdf"</f>
        <v>\\stjn.local\trimet\Donnees_Projets\Dms Sap\Maintenance\PlanEntretien\7.MNRJ\\_.pdf</v>
      </c>
      <c r="X626" s="44"/>
      <c r="Y626" s="44"/>
      <c r="Z626" s="41" t="str">
        <f ca="1">IF(AND(Tableau1[[#This Row],[Charge]]&lt;&gt;0, Tableau1[[#This Row],[Nombre intervenants]]&lt;&gt;0,Tableau1[[#This Row],[Lien document]]&lt;&gt;0,Tableau1[[#This Row],[DMS_SAP]]&lt;&gt;0)=TRUE,"MIS A JOUR","")</f>
        <v/>
      </c>
      <c r="AA626" s="45"/>
      <c r="AB626" s="55" t="str">
        <f ca="1">IF(Tableau1[[#This Row],[Date rév.]]&lt;&gt;"", DAYS360(Tableau1[[#This Row],[Date rév.]],TODAY()),"")</f>
        <v/>
      </c>
      <c r="AC626" s="47">
        <f>IFERROR(INDEX(Chemin_accès!$B$11:$C$22,MATCH(Tableau1[[#This Row],[Type]],Chemin_accès!$C$11:$C$22,0),1),Chemin_accès!$B$11)</f>
        <v>0</v>
      </c>
      <c r="AD626" s="47" t="str">
        <f>Chemin_accès!$B$8&amp;Tableau1[[#This Row],[Localisation / Classement]]&amp;"\"&amp;Tableau1[[#This Row],[Poste technique]]&amp;"_"&amp;Tableau1[[#This Row],[Plan Entretien]]&amp;".xlsm"</f>
        <v>\_.xlsm</v>
      </c>
    </row>
    <row r="627" spans="1:30" x14ac:dyDescent="0.3">
      <c r="A627" s="41" t="str">
        <f t="shared" ca="1" si="9"/>
        <v>7.MNRJ</v>
      </c>
      <c r="B6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7" s="43"/>
      <c r="D627" s="41"/>
      <c r="E627" s="41"/>
      <c r="F627" s="44"/>
      <c r="G627" s="44"/>
      <c r="H627" s="48"/>
      <c r="I627" s="48"/>
      <c r="J627" s="48"/>
      <c r="K627" s="48"/>
      <c r="L627" s="43"/>
      <c r="M627" s="44"/>
      <c r="N627" s="43"/>
      <c r="O627" s="43"/>
      <c r="P627" s="44"/>
      <c r="Q627" s="43"/>
      <c r="R627" s="43"/>
      <c r="S627" s="45"/>
      <c r="T627" s="58" t="str">
        <f>IF(Tableau1[[#This Row],[DMS_SAP]]="","",HYPERLINK(Tableau1[[#This Row],[Chemin fichier source]],"X"))</f>
        <v/>
      </c>
      <c r="U627" s="58" t="str">
        <f>IF(Tableau1[[#This Row],[Date rév.]]="","",HYPERLINK(Tableau1[[#This Row],[Lien document]],"X"))</f>
        <v/>
      </c>
      <c r="V627" s="44"/>
      <c r="W627" s="46" t="str">
        <f ca="1">Chemin_accès!$B$2&amp;Tableau1[[#This Row],[Poste Responsable]]&amp;"\"&amp;Tableau1[[#This Row],[Localisation / Classement]]&amp;"\"&amp;Tableau1[[#This Row],[Poste technique]]&amp;"_"&amp;Tableau1[[#This Row],[Plan Entretien]]&amp;".pdf"</f>
        <v>\\stjn.local\trimet\Donnees_Projets\Dms Sap\Maintenance\PlanEntretien\7.MNRJ\\_.pdf</v>
      </c>
      <c r="X627" s="44"/>
      <c r="Y627" s="44"/>
      <c r="Z627" s="41" t="str">
        <f ca="1">IF(AND(Tableau1[[#This Row],[Charge]]&lt;&gt;0, Tableau1[[#This Row],[Nombre intervenants]]&lt;&gt;0,Tableau1[[#This Row],[Lien document]]&lt;&gt;0,Tableau1[[#This Row],[DMS_SAP]]&lt;&gt;0)=TRUE,"MIS A JOUR","")</f>
        <v/>
      </c>
      <c r="AA627" s="45"/>
      <c r="AB627" s="55" t="str">
        <f ca="1">IF(Tableau1[[#This Row],[Date rév.]]&lt;&gt;"", DAYS360(Tableau1[[#This Row],[Date rév.]],TODAY()),"")</f>
        <v/>
      </c>
      <c r="AC627" s="47">
        <f>IFERROR(INDEX(Chemin_accès!$B$11:$C$22,MATCH(Tableau1[[#This Row],[Type]],Chemin_accès!$C$11:$C$22,0),1),Chemin_accès!$B$11)</f>
        <v>0</v>
      </c>
      <c r="AD627" s="47" t="str">
        <f>Chemin_accès!$B$8&amp;Tableau1[[#This Row],[Localisation / Classement]]&amp;"\"&amp;Tableau1[[#This Row],[Poste technique]]&amp;"_"&amp;Tableau1[[#This Row],[Plan Entretien]]&amp;".xlsm"</f>
        <v>\_.xlsm</v>
      </c>
    </row>
    <row r="628" spans="1:30" x14ac:dyDescent="0.3">
      <c r="A628" s="41" t="str">
        <f t="shared" ca="1" si="9"/>
        <v>7.MNRJ</v>
      </c>
      <c r="B6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8" s="43"/>
      <c r="D628" s="41"/>
      <c r="E628" s="41"/>
      <c r="F628" s="44"/>
      <c r="G628" s="44"/>
      <c r="H628" s="48"/>
      <c r="I628" s="48"/>
      <c r="J628" s="48"/>
      <c r="K628" s="48"/>
      <c r="L628" s="43"/>
      <c r="M628" s="44"/>
      <c r="N628" s="43"/>
      <c r="O628" s="43"/>
      <c r="P628" s="44"/>
      <c r="Q628" s="43"/>
      <c r="R628" s="43"/>
      <c r="S628" s="45"/>
      <c r="T628" s="58" t="str">
        <f>IF(Tableau1[[#This Row],[DMS_SAP]]="","",HYPERLINK(Tableau1[[#This Row],[Chemin fichier source]],"X"))</f>
        <v/>
      </c>
      <c r="U628" s="58" t="str">
        <f>IF(Tableau1[[#This Row],[Date rév.]]="","",HYPERLINK(Tableau1[[#This Row],[Lien document]],"X"))</f>
        <v/>
      </c>
      <c r="V628" s="44"/>
      <c r="W628" s="46" t="str">
        <f ca="1">Chemin_accès!$B$2&amp;Tableau1[[#This Row],[Poste Responsable]]&amp;"\"&amp;Tableau1[[#This Row],[Localisation / Classement]]&amp;"\"&amp;Tableau1[[#This Row],[Poste technique]]&amp;"_"&amp;Tableau1[[#This Row],[Plan Entretien]]&amp;".pdf"</f>
        <v>\\stjn.local\trimet\Donnees_Projets\Dms Sap\Maintenance\PlanEntretien\7.MNRJ\\_.pdf</v>
      </c>
      <c r="X628" s="44"/>
      <c r="Y628" s="44"/>
      <c r="Z628" s="41" t="str">
        <f ca="1">IF(AND(Tableau1[[#This Row],[Charge]]&lt;&gt;0, Tableau1[[#This Row],[Nombre intervenants]]&lt;&gt;0,Tableau1[[#This Row],[Lien document]]&lt;&gt;0,Tableau1[[#This Row],[DMS_SAP]]&lt;&gt;0)=TRUE,"MIS A JOUR","")</f>
        <v/>
      </c>
      <c r="AA628" s="45"/>
      <c r="AB628" s="55" t="str">
        <f ca="1">IF(Tableau1[[#This Row],[Date rév.]]&lt;&gt;"", DAYS360(Tableau1[[#This Row],[Date rév.]],TODAY()),"")</f>
        <v/>
      </c>
      <c r="AC628" s="47">
        <f>IFERROR(INDEX(Chemin_accès!$B$11:$C$22,MATCH(Tableau1[[#This Row],[Type]],Chemin_accès!$C$11:$C$22,0),1),Chemin_accès!$B$11)</f>
        <v>0</v>
      </c>
      <c r="AD628" s="47" t="str">
        <f>Chemin_accès!$B$8&amp;Tableau1[[#This Row],[Localisation / Classement]]&amp;"\"&amp;Tableau1[[#This Row],[Poste technique]]&amp;"_"&amp;Tableau1[[#This Row],[Plan Entretien]]&amp;".xlsm"</f>
        <v>\_.xlsm</v>
      </c>
    </row>
    <row r="629" spans="1:30" x14ac:dyDescent="0.3">
      <c r="A629" s="41" t="str">
        <f t="shared" ca="1" si="9"/>
        <v>7.MNRJ</v>
      </c>
      <c r="B6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9" s="43"/>
      <c r="D629" s="41"/>
      <c r="E629" s="41"/>
      <c r="F629" s="44"/>
      <c r="G629" s="44"/>
      <c r="H629" s="48"/>
      <c r="I629" s="48"/>
      <c r="J629" s="48"/>
      <c r="K629" s="48"/>
      <c r="L629" s="43"/>
      <c r="M629" s="44"/>
      <c r="N629" s="43"/>
      <c r="O629" s="43"/>
      <c r="P629" s="44"/>
      <c r="Q629" s="43"/>
      <c r="R629" s="43"/>
      <c r="S629" s="45"/>
      <c r="T629" s="58" t="str">
        <f>IF(Tableau1[[#This Row],[DMS_SAP]]="","",HYPERLINK(Tableau1[[#This Row],[Chemin fichier source]],"X"))</f>
        <v/>
      </c>
      <c r="U629" s="58" t="str">
        <f>IF(Tableau1[[#This Row],[Date rév.]]="","",HYPERLINK(Tableau1[[#This Row],[Lien document]],"X"))</f>
        <v/>
      </c>
      <c r="V629" s="44"/>
      <c r="W629" s="46" t="str">
        <f ca="1">Chemin_accès!$B$2&amp;Tableau1[[#This Row],[Poste Responsable]]&amp;"\"&amp;Tableau1[[#This Row],[Localisation / Classement]]&amp;"\"&amp;Tableau1[[#This Row],[Poste technique]]&amp;"_"&amp;Tableau1[[#This Row],[Plan Entretien]]&amp;".pdf"</f>
        <v>\\stjn.local\trimet\Donnees_Projets\Dms Sap\Maintenance\PlanEntretien\7.MNRJ\\_.pdf</v>
      </c>
      <c r="X629" s="44"/>
      <c r="Y629" s="44"/>
      <c r="Z629" s="41" t="str">
        <f ca="1">IF(AND(Tableau1[[#This Row],[Charge]]&lt;&gt;0, Tableau1[[#This Row],[Nombre intervenants]]&lt;&gt;0,Tableau1[[#This Row],[Lien document]]&lt;&gt;0,Tableau1[[#This Row],[DMS_SAP]]&lt;&gt;0)=TRUE,"MIS A JOUR","")</f>
        <v/>
      </c>
      <c r="AA629" s="45"/>
      <c r="AB629" s="55" t="str">
        <f ca="1">IF(Tableau1[[#This Row],[Date rév.]]&lt;&gt;"", DAYS360(Tableau1[[#This Row],[Date rév.]],TODAY()),"")</f>
        <v/>
      </c>
      <c r="AC629" s="47">
        <f>IFERROR(INDEX(Chemin_accès!$B$11:$C$22,MATCH(Tableau1[[#This Row],[Type]],Chemin_accès!$C$11:$C$22,0),1),Chemin_accès!$B$11)</f>
        <v>0</v>
      </c>
      <c r="AD629" s="47" t="str">
        <f>Chemin_accès!$B$8&amp;Tableau1[[#This Row],[Localisation / Classement]]&amp;"\"&amp;Tableau1[[#This Row],[Poste technique]]&amp;"_"&amp;Tableau1[[#This Row],[Plan Entretien]]&amp;".xlsm"</f>
        <v>\_.xlsm</v>
      </c>
    </row>
    <row r="630" spans="1:30" x14ac:dyDescent="0.3">
      <c r="A630" s="41" t="str">
        <f t="shared" ca="1" si="9"/>
        <v>7.MNRJ</v>
      </c>
      <c r="B6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0" s="43"/>
      <c r="D630" s="41"/>
      <c r="E630" s="41"/>
      <c r="F630" s="44"/>
      <c r="G630" s="44"/>
      <c r="H630" s="48"/>
      <c r="I630" s="48"/>
      <c r="J630" s="48"/>
      <c r="K630" s="48"/>
      <c r="L630" s="43"/>
      <c r="M630" s="44"/>
      <c r="N630" s="43"/>
      <c r="O630" s="43"/>
      <c r="P630" s="44"/>
      <c r="Q630" s="43"/>
      <c r="R630" s="43"/>
      <c r="S630" s="45"/>
      <c r="T630" s="58" t="str">
        <f>IF(Tableau1[[#This Row],[DMS_SAP]]="","",HYPERLINK(Tableau1[[#This Row],[Chemin fichier source]],"X"))</f>
        <v/>
      </c>
      <c r="U630" s="58" t="str">
        <f>IF(Tableau1[[#This Row],[Date rév.]]="","",HYPERLINK(Tableau1[[#This Row],[Lien document]],"X"))</f>
        <v/>
      </c>
      <c r="V630" s="44"/>
      <c r="W630" s="46" t="str">
        <f ca="1">Chemin_accès!$B$2&amp;Tableau1[[#This Row],[Poste Responsable]]&amp;"\"&amp;Tableau1[[#This Row],[Localisation / Classement]]&amp;"\"&amp;Tableau1[[#This Row],[Poste technique]]&amp;"_"&amp;Tableau1[[#This Row],[Plan Entretien]]&amp;".pdf"</f>
        <v>\\stjn.local\trimet\Donnees_Projets\Dms Sap\Maintenance\PlanEntretien\7.MNRJ\\_.pdf</v>
      </c>
      <c r="X630" s="44"/>
      <c r="Y630" s="44"/>
      <c r="Z630" s="41" t="str">
        <f ca="1">IF(AND(Tableau1[[#This Row],[Charge]]&lt;&gt;0, Tableau1[[#This Row],[Nombre intervenants]]&lt;&gt;0,Tableau1[[#This Row],[Lien document]]&lt;&gt;0,Tableau1[[#This Row],[DMS_SAP]]&lt;&gt;0)=TRUE,"MIS A JOUR","")</f>
        <v/>
      </c>
      <c r="AA630" s="45"/>
      <c r="AB630" s="55" t="str">
        <f ca="1">IF(Tableau1[[#This Row],[Date rév.]]&lt;&gt;"", DAYS360(Tableau1[[#This Row],[Date rév.]],TODAY()),"")</f>
        <v/>
      </c>
      <c r="AC630" s="47">
        <f>IFERROR(INDEX(Chemin_accès!$B$11:$C$22,MATCH(Tableau1[[#This Row],[Type]],Chemin_accès!$C$11:$C$22,0),1),Chemin_accès!$B$11)</f>
        <v>0</v>
      </c>
      <c r="AD630" s="47" t="str">
        <f>Chemin_accès!$B$8&amp;Tableau1[[#This Row],[Localisation / Classement]]&amp;"\"&amp;Tableau1[[#This Row],[Poste technique]]&amp;"_"&amp;Tableau1[[#This Row],[Plan Entretien]]&amp;".xlsm"</f>
        <v>\_.xlsm</v>
      </c>
    </row>
    <row r="631" spans="1:30" x14ac:dyDescent="0.3">
      <c r="A631" s="41" t="str">
        <f t="shared" ca="1" si="9"/>
        <v>7.MNRJ</v>
      </c>
      <c r="B6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1" s="43"/>
      <c r="D631" s="41"/>
      <c r="E631" s="41"/>
      <c r="F631" s="44"/>
      <c r="G631" s="44"/>
      <c r="H631" s="48"/>
      <c r="I631" s="48"/>
      <c r="J631" s="48"/>
      <c r="K631" s="48"/>
      <c r="L631" s="43"/>
      <c r="M631" s="44"/>
      <c r="N631" s="43"/>
      <c r="O631" s="43"/>
      <c r="P631" s="44"/>
      <c r="Q631" s="43"/>
      <c r="R631" s="43"/>
      <c r="S631" s="45"/>
      <c r="T631" s="58" t="str">
        <f>IF(Tableau1[[#This Row],[DMS_SAP]]="","",HYPERLINK(Tableau1[[#This Row],[Chemin fichier source]],"X"))</f>
        <v/>
      </c>
      <c r="U631" s="58" t="str">
        <f>IF(Tableau1[[#This Row],[Date rév.]]="","",HYPERLINK(Tableau1[[#This Row],[Lien document]],"X"))</f>
        <v/>
      </c>
      <c r="V631" s="44"/>
      <c r="W631" s="46" t="str">
        <f ca="1">Chemin_accès!$B$2&amp;Tableau1[[#This Row],[Poste Responsable]]&amp;"\"&amp;Tableau1[[#This Row],[Localisation / Classement]]&amp;"\"&amp;Tableau1[[#This Row],[Poste technique]]&amp;"_"&amp;Tableau1[[#This Row],[Plan Entretien]]&amp;".pdf"</f>
        <v>\\stjn.local\trimet\Donnees_Projets\Dms Sap\Maintenance\PlanEntretien\7.MNRJ\\_.pdf</v>
      </c>
      <c r="X631" s="44"/>
      <c r="Y631" s="44"/>
      <c r="Z631" s="41" t="str">
        <f ca="1">IF(AND(Tableau1[[#This Row],[Charge]]&lt;&gt;0, Tableau1[[#This Row],[Nombre intervenants]]&lt;&gt;0,Tableau1[[#This Row],[Lien document]]&lt;&gt;0,Tableau1[[#This Row],[DMS_SAP]]&lt;&gt;0)=TRUE,"MIS A JOUR","")</f>
        <v/>
      </c>
      <c r="AA631" s="45"/>
      <c r="AB631" s="55" t="str">
        <f ca="1">IF(Tableau1[[#This Row],[Date rév.]]&lt;&gt;"", DAYS360(Tableau1[[#This Row],[Date rév.]],TODAY()),"")</f>
        <v/>
      </c>
      <c r="AC631" s="47">
        <f>IFERROR(INDEX(Chemin_accès!$B$11:$C$22,MATCH(Tableau1[[#This Row],[Type]],Chemin_accès!$C$11:$C$22,0),1),Chemin_accès!$B$11)</f>
        <v>0</v>
      </c>
      <c r="AD631" s="47" t="str">
        <f>Chemin_accès!$B$8&amp;Tableau1[[#This Row],[Localisation / Classement]]&amp;"\"&amp;Tableau1[[#This Row],[Poste technique]]&amp;"_"&amp;Tableau1[[#This Row],[Plan Entretien]]&amp;".xlsm"</f>
        <v>\_.xlsm</v>
      </c>
    </row>
    <row r="632" spans="1:30" x14ac:dyDescent="0.3">
      <c r="A632" s="41" t="str">
        <f t="shared" ca="1" si="9"/>
        <v>7.MNRJ</v>
      </c>
      <c r="B6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2" s="43"/>
      <c r="D632" s="41"/>
      <c r="E632" s="41"/>
      <c r="F632" s="44"/>
      <c r="G632" s="44"/>
      <c r="H632" s="48"/>
      <c r="I632" s="48"/>
      <c r="J632" s="48"/>
      <c r="K632" s="48"/>
      <c r="L632" s="43"/>
      <c r="M632" s="44"/>
      <c r="N632" s="43"/>
      <c r="O632" s="43"/>
      <c r="P632" s="44"/>
      <c r="Q632" s="43"/>
      <c r="R632" s="43"/>
      <c r="S632" s="45"/>
      <c r="T632" s="58" t="str">
        <f>IF(Tableau1[[#This Row],[DMS_SAP]]="","",HYPERLINK(Tableau1[[#This Row],[Chemin fichier source]],"X"))</f>
        <v/>
      </c>
      <c r="U632" s="58" t="str">
        <f>IF(Tableau1[[#This Row],[Date rév.]]="","",HYPERLINK(Tableau1[[#This Row],[Lien document]],"X"))</f>
        <v/>
      </c>
      <c r="V632" s="44"/>
      <c r="W632" s="46" t="str">
        <f ca="1">Chemin_accès!$B$2&amp;Tableau1[[#This Row],[Poste Responsable]]&amp;"\"&amp;Tableau1[[#This Row],[Localisation / Classement]]&amp;"\"&amp;Tableau1[[#This Row],[Poste technique]]&amp;"_"&amp;Tableau1[[#This Row],[Plan Entretien]]&amp;".pdf"</f>
        <v>\\stjn.local\trimet\Donnees_Projets\Dms Sap\Maintenance\PlanEntretien\7.MNRJ\\_.pdf</v>
      </c>
      <c r="X632" s="44"/>
      <c r="Y632" s="44"/>
      <c r="Z632" s="41" t="str">
        <f ca="1">IF(AND(Tableau1[[#This Row],[Charge]]&lt;&gt;0, Tableau1[[#This Row],[Nombre intervenants]]&lt;&gt;0,Tableau1[[#This Row],[Lien document]]&lt;&gt;0,Tableau1[[#This Row],[DMS_SAP]]&lt;&gt;0)=TRUE,"MIS A JOUR","")</f>
        <v/>
      </c>
      <c r="AA632" s="45"/>
      <c r="AB632" s="55" t="str">
        <f ca="1">IF(Tableau1[[#This Row],[Date rév.]]&lt;&gt;"", DAYS360(Tableau1[[#This Row],[Date rév.]],TODAY()),"")</f>
        <v/>
      </c>
      <c r="AC632" s="47">
        <f>IFERROR(INDEX(Chemin_accès!$B$11:$C$22,MATCH(Tableau1[[#This Row],[Type]],Chemin_accès!$C$11:$C$22,0),1),Chemin_accès!$B$11)</f>
        <v>0</v>
      </c>
      <c r="AD632" s="47" t="str">
        <f>Chemin_accès!$B$8&amp;Tableau1[[#This Row],[Localisation / Classement]]&amp;"\"&amp;Tableau1[[#This Row],[Poste technique]]&amp;"_"&amp;Tableau1[[#This Row],[Plan Entretien]]&amp;".xlsm"</f>
        <v>\_.xlsm</v>
      </c>
    </row>
    <row r="633" spans="1:30" x14ac:dyDescent="0.3">
      <c r="A633" s="41" t="str">
        <f t="shared" ca="1" si="9"/>
        <v>7.MNRJ</v>
      </c>
      <c r="B6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3" s="43"/>
      <c r="D633" s="41"/>
      <c r="E633" s="41"/>
      <c r="F633" s="44"/>
      <c r="G633" s="44"/>
      <c r="H633" s="48"/>
      <c r="I633" s="48"/>
      <c r="J633" s="48"/>
      <c r="K633" s="48"/>
      <c r="L633" s="43"/>
      <c r="M633" s="44"/>
      <c r="N633" s="43"/>
      <c r="O633" s="43"/>
      <c r="P633" s="44"/>
      <c r="Q633" s="43"/>
      <c r="R633" s="43"/>
      <c r="S633" s="45"/>
      <c r="T633" s="58" t="str">
        <f>IF(Tableau1[[#This Row],[DMS_SAP]]="","",HYPERLINK(Tableau1[[#This Row],[Chemin fichier source]],"X"))</f>
        <v/>
      </c>
      <c r="U633" s="58" t="str">
        <f>IF(Tableau1[[#This Row],[Date rév.]]="","",HYPERLINK(Tableau1[[#This Row],[Lien document]],"X"))</f>
        <v/>
      </c>
      <c r="V633" s="44"/>
      <c r="W633" s="46" t="str">
        <f ca="1">Chemin_accès!$B$2&amp;Tableau1[[#This Row],[Poste Responsable]]&amp;"\"&amp;Tableau1[[#This Row],[Localisation / Classement]]&amp;"\"&amp;Tableau1[[#This Row],[Poste technique]]&amp;"_"&amp;Tableau1[[#This Row],[Plan Entretien]]&amp;".pdf"</f>
        <v>\\stjn.local\trimet\Donnees_Projets\Dms Sap\Maintenance\PlanEntretien\7.MNRJ\\_.pdf</v>
      </c>
      <c r="X633" s="44"/>
      <c r="Y633" s="44"/>
      <c r="Z633" s="41" t="str">
        <f ca="1">IF(AND(Tableau1[[#This Row],[Charge]]&lt;&gt;0, Tableau1[[#This Row],[Nombre intervenants]]&lt;&gt;0,Tableau1[[#This Row],[Lien document]]&lt;&gt;0,Tableau1[[#This Row],[DMS_SAP]]&lt;&gt;0)=TRUE,"MIS A JOUR","")</f>
        <v/>
      </c>
      <c r="AA633" s="45"/>
      <c r="AB633" s="55" t="str">
        <f ca="1">IF(Tableau1[[#This Row],[Date rév.]]&lt;&gt;"", DAYS360(Tableau1[[#This Row],[Date rév.]],TODAY()),"")</f>
        <v/>
      </c>
      <c r="AC633" s="47">
        <f>IFERROR(INDEX(Chemin_accès!$B$11:$C$22,MATCH(Tableau1[[#This Row],[Type]],Chemin_accès!$C$11:$C$22,0),1),Chemin_accès!$B$11)</f>
        <v>0</v>
      </c>
      <c r="AD633" s="47" t="str">
        <f>Chemin_accès!$B$8&amp;Tableau1[[#This Row],[Localisation / Classement]]&amp;"\"&amp;Tableau1[[#This Row],[Poste technique]]&amp;"_"&amp;Tableau1[[#This Row],[Plan Entretien]]&amp;".xlsm"</f>
        <v>\_.xlsm</v>
      </c>
    </row>
    <row r="634" spans="1:30" x14ac:dyDescent="0.3">
      <c r="A634" s="41" t="str">
        <f t="shared" ca="1" si="9"/>
        <v>7.MNRJ</v>
      </c>
      <c r="B6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4" s="43"/>
      <c r="D634" s="41"/>
      <c r="E634" s="41"/>
      <c r="F634" s="44"/>
      <c r="G634" s="44"/>
      <c r="H634" s="48"/>
      <c r="I634" s="48"/>
      <c r="J634" s="48"/>
      <c r="K634" s="48"/>
      <c r="L634" s="43"/>
      <c r="M634" s="44"/>
      <c r="N634" s="43"/>
      <c r="O634" s="43"/>
      <c r="P634" s="44"/>
      <c r="Q634" s="43"/>
      <c r="R634" s="43"/>
      <c r="S634" s="45"/>
      <c r="T634" s="58" t="str">
        <f>IF(Tableau1[[#This Row],[DMS_SAP]]="","",HYPERLINK(Tableau1[[#This Row],[Chemin fichier source]],"X"))</f>
        <v/>
      </c>
      <c r="U634" s="58" t="str">
        <f>IF(Tableau1[[#This Row],[Date rév.]]="","",HYPERLINK(Tableau1[[#This Row],[Lien document]],"X"))</f>
        <v/>
      </c>
      <c r="V634" s="44"/>
      <c r="W634" s="46" t="str">
        <f ca="1">Chemin_accès!$B$2&amp;Tableau1[[#This Row],[Poste Responsable]]&amp;"\"&amp;Tableau1[[#This Row],[Localisation / Classement]]&amp;"\"&amp;Tableau1[[#This Row],[Poste technique]]&amp;"_"&amp;Tableau1[[#This Row],[Plan Entretien]]&amp;".pdf"</f>
        <v>\\stjn.local\trimet\Donnees_Projets\Dms Sap\Maintenance\PlanEntretien\7.MNRJ\\_.pdf</v>
      </c>
      <c r="X634" s="44"/>
      <c r="Y634" s="44"/>
      <c r="Z634" s="41" t="str">
        <f ca="1">IF(AND(Tableau1[[#This Row],[Charge]]&lt;&gt;0, Tableau1[[#This Row],[Nombre intervenants]]&lt;&gt;0,Tableau1[[#This Row],[Lien document]]&lt;&gt;0,Tableau1[[#This Row],[DMS_SAP]]&lt;&gt;0)=TRUE,"MIS A JOUR","")</f>
        <v/>
      </c>
      <c r="AA634" s="45"/>
      <c r="AB634" s="55" t="str">
        <f ca="1">IF(Tableau1[[#This Row],[Date rév.]]&lt;&gt;"", DAYS360(Tableau1[[#This Row],[Date rév.]],TODAY()),"")</f>
        <v/>
      </c>
      <c r="AC634" s="47">
        <f>IFERROR(INDEX(Chemin_accès!$B$11:$C$22,MATCH(Tableau1[[#This Row],[Type]],Chemin_accès!$C$11:$C$22,0),1),Chemin_accès!$B$11)</f>
        <v>0</v>
      </c>
      <c r="AD634" s="47" t="str">
        <f>Chemin_accès!$B$8&amp;Tableau1[[#This Row],[Localisation / Classement]]&amp;"\"&amp;Tableau1[[#This Row],[Poste technique]]&amp;"_"&amp;Tableau1[[#This Row],[Plan Entretien]]&amp;".xlsm"</f>
        <v>\_.xlsm</v>
      </c>
    </row>
    <row r="635" spans="1:30" x14ac:dyDescent="0.3">
      <c r="A635" s="41" t="str">
        <f t="shared" ca="1" si="9"/>
        <v>7.MNRJ</v>
      </c>
      <c r="B6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5" s="43"/>
      <c r="D635" s="41"/>
      <c r="E635" s="41"/>
      <c r="F635" s="44"/>
      <c r="G635" s="44"/>
      <c r="H635" s="48"/>
      <c r="I635" s="48"/>
      <c r="J635" s="48"/>
      <c r="K635" s="48"/>
      <c r="L635" s="43"/>
      <c r="M635" s="44"/>
      <c r="N635" s="43"/>
      <c r="O635" s="43"/>
      <c r="P635" s="44"/>
      <c r="Q635" s="43"/>
      <c r="R635" s="43"/>
      <c r="S635" s="45"/>
      <c r="T635" s="58" t="str">
        <f>IF(Tableau1[[#This Row],[DMS_SAP]]="","",HYPERLINK(Tableau1[[#This Row],[Chemin fichier source]],"X"))</f>
        <v/>
      </c>
      <c r="U635" s="58" t="str">
        <f>IF(Tableau1[[#This Row],[Date rév.]]="","",HYPERLINK(Tableau1[[#This Row],[Lien document]],"X"))</f>
        <v/>
      </c>
      <c r="V635" s="44"/>
      <c r="W635" s="46" t="str">
        <f ca="1">Chemin_accès!$B$2&amp;Tableau1[[#This Row],[Poste Responsable]]&amp;"\"&amp;Tableau1[[#This Row],[Localisation / Classement]]&amp;"\"&amp;Tableau1[[#This Row],[Poste technique]]&amp;"_"&amp;Tableau1[[#This Row],[Plan Entretien]]&amp;".pdf"</f>
        <v>\\stjn.local\trimet\Donnees_Projets\Dms Sap\Maintenance\PlanEntretien\7.MNRJ\\_.pdf</v>
      </c>
      <c r="X635" s="44"/>
      <c r="Y635" s="44"/>
      <c r="Z635" s="41" t="str">
        <f ca="1">IF(AND(Tableau1[[#This Row],[Charge]]&lt;&gt;0, Tableau1[[#This Row],[Nombre intervenants]]&lt;&gt;0,Tableau1[[#This Row],[Lien document]]&lt;&gt;0,Tableau1[[#This Row],[DMS_SAP]]&lt;&gt;0)=TRUE,"MIS A JOUR","")</f>
        <v/>
      </c>
      <c r="AA635" s="45"/>
      <c r="AB635" s="55" t="str">
        <f ca="1">IF(Tableau1[[#This Row],[Date rév.]]&lt;&gt;"", DAYS360(Tableau1[[#This Row],[Date rév.]],TODAY()),"")</f>
        <v/>
      </c>
      <c r="AC635" s="47">
        <f>IFERROR(INDEX(Chemin_accès!$B$11:$C$22,MATCH(Tableau1[[#This Row],[Type]],Chemin_accès!$C$11:$C$22,0),1),Chemin_accès!$B$11)</f>
        <v>0</v>
      </c>
      <c r="AD635" s="47" t="str">
        <f>Chemin_accès!$B$8&amp;Tableau1[[#This Row],[Localisation / Classement]]&amp;"\"&amp;Tableau1[[#This Row],[Poste technique]]&amp;"_"&amp;Tableau1[[#This Row],[Plan Entretien]]&amp;".xlsm"</f>
        <v>\_.xlsm</v>
      </c>
    </row>
    <row r="636" spans="1:30" x14ac:dyDescent="0.3">
      <c r="A636" s="41" t="str">
        <f t="shared" ca="1" si="9"/>
        <v>7.MNRJ</v>
      </c>
      <c r="B6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6" s="43"/>
      <c r="D636" s="41"/>
      <c r="E636" s="41"/>
      <c r="F636" s="44"/>
      <c r="G636" s="44"/>
      <c r="H636" s="48"/>
      <c r="I636" s="48"/>
      <c r="J636" s="48"/>
      <c r="K636" s="48"/>
      <c r="L636" s="43"/>
      <c r="M636" s="44"/>
      <c r="N636" s="43"/>
      <c r="O636" s="43"/>
      <c r="P636" s="44"/>
      <c r="Q636" s="43"/>
      <c r="R636" s="43"/>
      <c r="S636" s="45"/>
      <c r="T636" s="58" t="str">
        <f>IF(Tableau1[[#This Row],[DMS_SAP]]="","",HYPERLINK(Tableau1[[#This Row],[Chemin fichier source]],"X"))</f>
        <v/>
      </c>
      <c r="U636" s="58" t="str">
        <f>IF(Tableau1[[#This Row],[Date rév.]]="","",HYPERLINK(Tableau1[[#This Row],[Lien document]],"X"))</f>
        <v/>
      </c>
      <c r="V636" s="44"/>
      <c r="W636" s="46" t="str">
        <f ca="1">Chemin_accès!$B$2&amp;Tableau1[[#This Row],[Poste Responsable]]&amp;"\"&amp;Tableau1[[#This Row],[Localisation / Classement]]&amp;"\"&amp;Tableau1[[#This Row],[Poste technique]]&amp;"_"&amp;Tableau1[[#This Row],[Plan Entretien]]&amp;".pdf"</f>
        <v>\\stjn.local\trimet\Donnees_Projets\Dms Sap\Maintenance\PlanEntretien\7.MNRJ\\_.pdf</v>
      </c>
      <c r="X636" s="44"/>
      <c r="Y636" s="44"/>
      <c r="Z636" s="41" t="str">
        <f ca="1">IF(AND(Tableau1[[#This Row],[Charge]]&lt;&gt;0, Tableau1[[#This Row],[Nombre intervenants]]&lt;&gt;0,Tableau1[[#This Row],[Lien document]]&lt;&gt;0,Tableau1[[#This Row],[DMS_SAP]]&lt;&gt;0)=TRUE,"MIS A JOUR","")</f>
        <v/>
      </c>
      <c r="AA636" s="45"/>
      <c r="AB636" s="55" t="str">
        <f ca="1">IF(Tableau1[[#This Row],[Date rév.]]&lt;&gt;"", DAYS360(Tableau1[[#This Row],[Date rév.]],TODAY()),"")</f>
        <v/>
      </c>
      <c r="AC636" s="47">
        <f>IFERROR(INDEX(Chemin_accès!$B$11:$C$22,MATCH(Tableau1[[#This Row],[Type]],Chemin_accès!$C$11:$C$22,0),1),Chemin_accès!$B$11)</f>
        <v>0</v>
      </c>
      <c r="AD636" s="47" t="str">
        <f>Chemin_accès!$B$8&amp;Tableau1[[#This Row],[Localisation / Classement]]&amp;"\"&amp;Tableau1[[#This Row],[Poste technique]]&amp;"_"&amp;Tableau1[[#This Row],[Plan Entretien]]&amp;".xlsm"</f>
        <v>\_.xlsm</v>
      </c>
    </row>
    <row r="637" spans="1:30" x14ac:dyDescent="0.3">
      <c r="A637" s="41" t="str">
        <f t="shared" ca="1" si="9"/>
        <v>7.MNRJ</v>
      </c>
      <c r="B6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7" s="43"/>
      <c r="D637" s="41"/>
      <c r="E637" s="41"/>
      <c r="F637" s="44"/>
      <c r="G637" s="44"/>
      <c r="H637" s="48"/>
      <c r="I637" s="48"/>
      <c r="J637" s="48"/>
      <c r="K637" s="48"/>
      <c r="L637" s="43"/>
      <c r="M637" s="44"/>
      <c r="N637" s="43"/>
      <c r="O637" s="43"/>
      <c r="P637" s="44"/>
      <c r="Q637" s="43"/>
      <c r="R637" s="43"/>
      <c r="S637" s="45"/>
      <c r="T637" s="58" t="str">
        <f>IF(Tableau1[[#This Row],[DMS_SAP]]="","",HYPERLINK(Tableau1[[#This Row],[Chemin fichier source]],"X"))</f>
        <v/>
      </c>
      <c r="U637" s="58" t="str">
        <f>IF(Tableau1[[#This Row],[Date rév.]]="","",HYPERLINK(Tableau1[[#This Row],[Lien document]],"X"))</f>
        <v/>
      </c>
      <c r="V637" s="44"/>
      <c r="W637" s="46" t="str">
        <f ca="1">Chemin_accès!$B$2&amp;Tableau1[[#This Row],[Poste Responsable]]&amp;"\"&amp;Tableau1[[#This Row],[Localisation / Classement]]&amp;"\"&amp;Tableau1[[#This Row],[Poste technique]]&amp;"_"&amp;Tableau1[[#This Row],[Plan Entretien]]&amp;".pdf"</f>
        <v>\\stjn.local\trimet\Donnees_Projets\Dms Sap\Maintenance\PlanEntretien\7.MNRJ\\_.pdf</v>
      </c>
      <c r="X637" s="44"/>
      <c r="Y637" s="44"/>
      <c r="Z637" s="41" t="str">
        <f ca="1">IF(AND(Tableau1[[#This Row],[Charge]]&lt;&gt;0, Tableau1[[#This Row],[Nombre intervenants]]&lt;&gt;0,Tableau1[[#This Row],[Lien document]]&lt;&gt;0,Tableau1[[#This Row],[DMS_SAP]]&lt;&gt;0)=TRUE,"MIS A JOUR","")</f>
        <v/>
      </c>
      <c r="AA637" s="45"/>
      <c r="AB637" s="55" t="str">
        <f ca="1">IF(Tableau1[[#This Row],[Date rév.]]&lt;&gt;"", DAYS360(Tableau1[[#This Row],[Date rév.]],TODAY()),"")</f>
        <v/>
      </c>
      <c r="AC637" s="47">
        <f>IFERROR(INDEX(Chemin_accès!$B$11:$C$22,MATCH(Tableau1[[#This Row],[Type]],Chemin_accès!$C$11:$C$22,0),1),Chemin_accès!$B$11)</f>
        <v>0</v>
      </c>
      <c r="AD637" s="47" t="str">
        <f>Chemin_accès!$B$8&amp;Tableau1[[#This Row],[Localisation / Classement]]&amp;"\"&amp;Tableau1[[#This Row],[Poste technique]]&amp;"_"&amp;Tableau1[[#This Row],[Plan Entretien]]&amp;".xlsm"</f>
        <v>\_.xlsm</v>
      </c>
    </row>
    <row r="638" spans="1:30" x14ac:dyDescent="0.3">
      <c r="A638" s="41" t="str">
        <f t="shared" ca="1" si="9"/>
        <v>7.MNRJ</v>
      </c>
      <c r="B6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8" s="43"/>
      <c r="D638" s="41"/>
      <c r="E638" s="41"/>
      <c r="F638" s="44"/>
      <c r="G638" s="44"/>
      <c r="H638" s="48"/>
      <c r="I638" s="48"/>
      <c r="J638" s="48"/>
      <c r="K638" s="48"/>
      <c r="L638" s="43"/>
      <c r="M638" s="44"/>
      <c r="N638" s="43"/>
      <c r="O638" s="43"/>
      <c r="P638" s="44"/>
      <c r="Q638" s="43"/>
      <c r="R638" s="43"/>
      <c r="S638" s="45"/>
      <c r="T638" s="58" t="str">
        <f>IF(Tableau1[[#This Row],[DMS_SAP]]="","",HYPERLINK(Tableau1[[#This Row],[Chemin fichier source]],"X"))</f>
        <v/>
      </c>
      <c r="U638" s="58" t="str">
        <f>IF(Tableau1[[#This Row],[Date rév.]]="","",HYPERLINK(Tableau1[[#This Row],[Lien document]],"X"))</f>
        <v/>
      </c>
      <c r="V638" s="44"/>
      <c r="W638" s="46" t="str">
        <f ca="1">Chemin_accès!$B$2&amp;Tableau1[[#This Row],[Poste Responsable]]&amp;"\"&amp;Tableau1[[#This Row],[Localisation / Classement]]&amp;"\"&amp;Tableau1[[#This Row],[Poste technique]]&amp;"_"&amp;Tableau1[[#This Row],[Plan Entretien]]&amp;".pdf"</f>
        <v>\\stjn.local\trimet\Donnees_Projets\Dms Sap\Maintenance\PlanEntretien\7.MNRJ\\_.pdf</v>
      </c>
      <c r="X638" s="44"/>
      <c r="Y638" s="44"/>
      <c r="Z638" s="41" t="str">
        <f ca="1">IF(AND(Tableau1[[#This Row],[Charge]]&lt;&gt;0, Tableau1[[#This Row],[Nombre intervenants]]&lt;&gt;0,Tableau1[[#This Row],[Lien document]]&lt;&gt;0,Tableau1[[#This Row],[DMS_SAP]]&lt;&gt;0)=TRUE,"MIS A JOUR","")</f>
        <v/>
      </c>
      <c r="AA638" s="45"/>
      <c r="AB638" s="55" t="str">
        <f ca="1">IF(Tableau1[[#This Row],[Date rév.]]&lt;&gt;"", DAYS360(Tableau1[[#This Row],[Date rév.]],TODAY()),"")</f>
        <v/>
      </c>
      <c r="AC638" s="47">
        <f>IFERROR(INDEX(Chemin_accès!$B$11:$C$22,MATCH(Tableau1[[#This Row],[Type]],Chemin_accès!$C$11:$C$22,0),1),Chemin_accès!$B$11)</f>
        <v>0</v>
      </c>
      <c r="AD638" s="47" t="str">
        <f>Chemin_accès!$B$8&amp;Tableau1[[#This Row],[Localisation / Classement]]&amp;"\"&amp;Tableau1[[#This Row],[Poste technique]]&amp;"_"&amp;Tableau1[[#This Row],[Plan Entretien]]&amp;".xlsm"</f>
        <v>\_.xlsm</v>
      </c>
    </row>
    <row r="639" spans="1:30" x14ac:dyDescent="0.3">
      <c r="A639" s="41" t="str">
        <f t="shared" ca="1" si="9"/>
        <v>7.MNRJ</v>
      </c>
      <c r="B6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9" s="43"/>
      <c r="D639" s="41"/>
      <c r="E639" s="41"/>
      <c r="F639" s="44"/>
      <c r="G639" s="44"/>
      <c r="H639" s="48"/>
      <c r="I639" s="48"/>
      <c r="J639" s="48"/>
      <c r="K639" s="48"/>
      <c r="L639" s="43"/>
      <c r="M639" s="44"/>
      <c r="N639" s="43"/>
      <c r="O639" s="43"/>
      <c r="P639" s="44"/>
      <c r="Q639" s="43"/>
      <c r="R639" s="43"/>
      <c r="S639" s="45"/>
      <c r="T639" s="58" t="str">
        <f>IF(Tableau1[[#This Row],[DMS_SAP]]="","",HYPERLINK(Tableau1[[#This Row],[Chemin fichier source]],"X"))</f>
        <v/>
      </c>
      <c r="U639" s="58" t="str">
        <f>IF(Tableau1[[#This Row],[Date rév.]]="","",HYPERLINK(Tableau1[[#This Row],[Lien document]],"X"))</f>
        <v/>
      </c>
      <c r="V639" s="44"/>
      <c r="W639" s="46" t="str">
        <f ca="1">Chemin_accès!$B$2&amp;Tableau1[[#This Row],[Poste Responsable]]&amp;"\"&amp;Tableau1[[#This Row],[Localisation / Classement]]&amp;"\"&amp;Tableau1[[#This Row],[Poste technique]]&amp;"_"&amp;Tableau1[[#This Row],[Plan Entretien]]&amp;".pdf"</f>
        <v>\\stjn.local\trimet\Donnees_Projets\Dms Sap\Maintenance\PlanEntretien\7.MNRJ\\_.pdf</v>
      </c>
      <c r="X639" s="44"/>
      <c r="Y639" s="44"/>
      <c r="Z639" s="41" t="str">
        <f ca="1">IF(AND(Tableau1[[#This Row],[Charge]]&lt;&gt;0, Tableau1[[#This Row],[Nombre intervenants]]&lt;&gt;0,Tableau1[[#This Row],[Lien document]]&lt;&gt;0,Tableau1[[#This Row],[DMS_SAP]]&lt;&gt;0)=TRUE,"MIS A JOUR","")</f>
        <v/>
      </c>
      <c r="AA639" s="45"/>
      <c r="AB639" s="55" t="str">
        <f ca="1">IF(Tableau1[[#This Row],[Date rév.]]&lt;&gt;"", DAYS360(Tableau1[[#This Row],[Date rév.]],TODAY()),"")</f>
        <v/>
      </c>
      <c r="AC639" s="47">
        <f>IFERROR(INDEX(Chemin_accès!$B$11:$C$22,MATCH(Tableau1[[#This Row],[Type]],Chemin_accès!$C$11:$C$22,0),1),Chemin_accès!$B$11)</f>
        <v>0</v>
      </c>
      <c r="AD639" s="47" t="str">
        <f>Chemin_accès!$B$8&amp;Tableau1[[#This Row],[Localisation / Classement]]&amp;"\"&amp;Tableau1[[#This Row],[Poste technique]]&amp;"_"&amp;Tableau1[[#This Row],[Plan Entretien]]&amp;".xlsm"</f>
        <v>\_.xlsm</v>
      </c>
    </row>
    <row r="640" spans="1:30" x14ac:dyDescent="0.3">
      <c r="A640" s="41" t="str">
        <f t="shared" ca="1" si="9"/>
        <v>7.MNRJ</v>
      </c>
      <c r="B6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0" s="43"/>
      <c r="D640" s="41"/>
      <c r="E640" s="41"/>
      <c r="F640" s="44"/>
      <c r="G640" s="44"/>
      <c r="H640" s="48"/>
      <c r="I640" s="48"/>
      <c r="J640" s="48"/>
      <c r="K640" s="48"/>
      <c r="L640" s="43"/>
      <c r="M640" s="44"/>
      <c r="N640" s="43"/>
      <c r="O640" s="43"/>
      <c r="P640" s="44"/>
      <c r="Q640" s="43"/>
      <c r="R640" s="43"/>
      <c r="S640" s="45"/>
      <c r="T640" s="58" t="str">
        <f>IF(Tableau1[[#This Row],[DMS_SAP]]="","",HYPERLINK(Tableau1[[#This Row],[Chemin fichier source]],"X"))</f>
        <v/>
      </c>
      <c r="U640" s="58" t="str">
        <f>IF(Tableau1[[#This Row],[Date rév.]]="","",HYPERLINK(Tableau1[[#This Row],[Lien document]],"X"))</f>
        <v/>
      </c>
      <c r="V640" s="44"/>
      <c r="W640" s="46" t="str">
        <f ca="1">Chemin_accès!$B$2&amp;Tableau1[[#This Row],[Poste Responsable]]&amp;"\"&amp;Tableau1[[#This Row],[Localisation / Classement]]&amp;"\"&amp;Tableau1[[#This Row],[Poste technique]]&amp;"_"&amp;Tableau1[[#This Row],[Plan Entretien]]&amp;".pdf"</f>
        <v>\\stjn.local\trimet\Donnees_Projets\Dms Sap\Maintenance\PlanEntretien\7.MNRJ\\_.pdf</v>
      </c>
      <c r="X640" s="44"/>
      <c r="Y640" s="44"/>
      <c r="Z640" s="41" t="str">
        <f ca="1">IF(AND(Tableau1[[#This Row],[Charge]]&lt;&gt;0, Tableau1[[#This Row],[Nombre intervenants]]&lt;&gt;0,Tableau1[[#This Row],[Lien document]]&lt;&gt;0,Tableau1[[#This Row],[DMS_SAP]]&lt;&gt;0)=TRUE,"MIS A JOUR","")</f>
        <v/>
      </c>
      <c r="AA640" s="45"/>
      <c r="AB640" s="55" t="str">
        <f ca="1">IF(Tableau1[[#This Row],[Date rév.]]&lt;&gt;"", DAYS360(Tableau1[[#This Row],[Date rév.]],TODAY()),"")</f>
        <v/>
      </c>
      <c r="AC640" s="47">
        <f>IFERROR(INDEX(Chemin_accès!$B$11:$C$22,MATCH(Tableau1[[#This Row],[Type]],Chemin_accès!$C$11:$C$22,0),1),Chemin_accès!$B$11)</f>
        <v>0</v>
      </c>
      <c r="AD640" s="47" t="str">
        <f>Chemin_accès!$B$8&amp;Tableau1[[#This Row],[Localisation / Classement]]&amp;"\"&amp;Tableau1[[#This Row],[Poste technique]]&amp;"_"&amp;Tableau1[[#This Row],[Plan Entretien]]&amp;".xlsm"</f>
        <v>\_.xlsm</v>
      </c>
    </row>
    <row r="641" spans="1:30" x14ac:dyDescent="0.3">
      <c r="A641" s="41" t="str">
        <f t="shared" ca="1" si="9"/>
        <v>7.MNRJ</v>
      </c>
      <c r="B6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1" s="43"/>
      <c r="D641" s="41"/>
      <c r="E641" s="41"/>
      <c r="F641" s="44"/>
      <c r="G641" s="44"/>
      <c r="H641" s="48"/>
      <c r="I641" s="48"/>
      <c r="J641" s="48"/>
      <c r="K641" s="48"/>
      <c r="L641" s="43"/>
      <c r="M641" s="44"/>
      <c r="N641" s="43"/>
      <c r="O641" s="43"/>
      <c r="P641" s="44"/>
      <c r="Q641" s="43"/>
      <c r="R641" s="43"/>
      <c r="S641" s="45"/>
      <c r="T641" s="58" t="str">
        <f>IF(Tableau1[[#This Row],[DMS_SAP]]="","",HYPERLINK(Tableau1[[#This Row],[Chemin fichier source]],"X"))</f>
        <v/>
      </c>
      <c r="U641" s="58" t="str">
        <f>IF(Tableau1[[#This Row],[Date rév.]]="","",HYPERLINK(Tableau1[[#This Row],[Lien document]],"X"))</f>
        <v/>
      </c>
      <c r="V641" s="44"/>
      <c r="W641" s="46" t="str">
        <f ca="1">Chemin_accès!$B$2&amp;Tableau1[[#This Row],[Poste Responsable]]&amp;"\"&amp;Tableau1[[#This Row],[Localisation / Classement]]&amp;"\"&amp;Tableau1[[#This Row],[Poste technique]]&amp;"_"&amp;Tableau1[[#This Row],[Plan Entretien]]&amp;".pdf"</f>
        <v>\\stjn.local\trimet\Donnees_Projets\Dms Sap\Maintenance\PlanEntretien\7.MNRJ\\_.pdf</v>
      </c>
      <c r="X641" s="44"/>
      <c r="Y641" s="44"/>
      <c r="Z641" s="41" t="str">
        <f ca="1">IF(AND(Tableau1[[#This Row],[Charge]]&lt;&gt;0, Tableau1[[#This Row],[Nombre intervenants]]&lt;&gt;0,Tableau1[[#This Row],[Lien document]]&lt;&gt;0,Tableau1[[#This Row],[DMS_SAP]]&lt;&gt;0)=TRUE,"MIS A JOUR","")</f>
        <v/>
      </c>
      <c r="AA641" s="45"/>
      <c r="AB641" s="55" t="str">
        <f ca="1">IF(Tableau1[[#This Row],[Date rév.]]&lt;&gt;"", DAYS360(Tableau1[[#This Row],[Date rév.]],TODAY()),"")</f>
        <v/>
      </c>
      <c r="AC641" s="47">
        <f>IFERROR(INDEX(Chemin_accès!$B$11:$C$22,MATCH(Tableau1[[#This Row],[Type]],Chemin_accès!$C$11:$C$22,0),1),Chemin_accès!$B$11)</f>
        <v>0</v>
      </c>
      <c r="AD641" s="47" t="str">
        <f>Chemin_accès!$B$8&amp;Tableau1[[#This Row],[Localisation / Classement]]&amp;"\"&amp;Tableau1[[#This Row],[Poste technique]]&amp;"_"&amp;Tableau1[[#This Row],[Plan Entretien]]&amp;".xlsm"</f>
        <v>\_.xlsm</v>
      </c>
    </row>
    <row r="642" spans="1:30" x14ac:dyDescent="0.3">
      <c r="A642" s="41" t="str">
        <f t="shared" ca="1" si="9"/>
        <v>7.MNRJ</v>
      </c>
      <c r="B6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2" s="43"/>
      <c r="D642" s="41"/>
      <c r="E642" s="41"/>
      <c r="F642" s="44"/>
      <c r="G642" s="44"/>
      <c r="H642" s="48"/>
      <c r="I642" s="48"/>
      <c r="J642" s="48"/>
      <c r="K642" s="48"/>
      <c r="L642" s="43"/>
      <c r="M642" s="44"/>
      <c r="N642" s="43"/>
      <c r="O642" s="43"/>
      <c r="P642" s="44"/>
      <c r="Q642" s="43"/>
      <c r="R642" s="43"/>
      <c r="S642" s="45"/>
      <c r="T642" s="58" t="str">
        <f>IF(Tableau1[[#This Row],[DMS_SAP]]="","",HYPERLINK(Tableau1[[#This Row],[Chemin fichier source]],"X"))</f>
        <v/>
      </c>
      <c r="U642" s="58" t="str">
        <f>IF(Tableau1[[#This Row],[Date rév.]]="","",HYPERLINK(Tableau1[[#This Row],[Lien document]],"X"))</f>
        <v/>
      </c>
      <c r="V642" s="44"/>
      <c r="W642" s="46" t="str">
        <f ca="1">Chemin_accès!$B$2&amp;Tableau1[[#This Row],[Poste Responsable]]&amp;"\"&amp;Tableau1[[#This Row],[Localisation / Classement]]&amp;"\"&amp;Tableau1[[#This Row],[Poste technique]]&amp;"_"&amp;Tableau1[[#This Row],[Plan Entretien]]&amp;".pdf"</f>
        <v>\\stjn.local\trimet\Donnees_Projets\Dms Sap\Maintenance\PlanEntretien\7.MNRJ\\_.pdf</v>
      </c>
      <c r="X642" s="44"/>
      <c r="Y642" s="44"/>
      <c r="Z642" s="41" t="str">
        <f ca="1">IF(AND(Tableau1[[#This Row],[Charge]]&lt;&gt;0, Tableau1[[#This Row],[Nombre intervenants]]&lt;&gt;0,Tableau1[[#This Row],[Lien document]]&lt;&gt;0,Tableau1[[#This Row],[DMS_SAP]]&lt;&gt;0)=TRUE,"MIS A JOUR","")</f>
        <v/>
      </c>
      <c r="AA642" s="45"/>
      <c r="AB642" s="55" t="str">
        <f ca="1">IF(Tableau1[[#This Row],[Date rév.]]&lt;&gt;"", DAYS360(Tableau1[[#This Row],[Date rév.]],TODAY()),"")</f>
        <v/>
      </c>
      <c r="AC642" s="47">
        <f>IFERROR(INDEX(Chemin_accès!$B$11:$C$22,MATCH(Tableau1[[#This Row],[Type]],Chemin_accès!$C$11:$C$22,0),1),Chemin_accès!$B$11)</f>
        <v>0</v>
      </c>
      <c r="AD642" s="47" t="str">
        <f>Chemin_accès!$B$8&amp;Tableau1[[#This Row],[Localisation / Classement]]&amp;"\"&amp;Tableau1[[#This Row],[Poste technique]]&amp;"_"&amp;Tableau1[[#This Row],[Plan Entretien]]&amp;".xlsm"</f>
        <v>\_.xlsm</v>
      </c>
    </row>
    <row r="643" spans="1:30" x14ac:dyDescent="0.3">
      <c r="A643" s="41" t="str">
        <f t="shared" ref="A643:A706" ca="1" si="10">MID(CELL("filename",$A$1),FIND("]",CELL("filename",$A$1))+1,32)</f>
        <v>7.MNRJ</v>
      </c>
      <c r="B6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3" s="43"/>
      <c r="D643" s="41"/>
      <c r="E643" s="41"/>
      <c r="F643" s="44"/>
      <c r="G643" s="44"/>
      <c r="H643" s="48"/>
      <c r="I643" s="48"/>
      <c r="J643" s="48"/>
      <c r="K643" s="48"/>
      <c r="L643" s="43"/>
      <c r="M643" s="44"/>
      <c r="N643" s="43"/>
      <c r="O643" s="43"/>
      <c r="P643" s="44"/>
      <c r="Q643" s="43"/>
      <c r="R643" s="43"/>
      <c r="S643" s="45"/>
      <c r="T643" s="58" t="str">
        <f>IF(Tableau1[[#This Row],[DMS_SAP]]="","",HYPERLINK(Tableau1[[#This Row],[Chemin fichier source]],"X"))</f>
        <v/>
      </c>
      <c r="U643" s="58" t="str">
        <f>IF(Tableau1[[#This Row],[Date rév.]]="","",HYPERLINK(Tableau1[[#This Row],[Lien document]],"X"))</f>
        <v/>
      </c>
      <c r="V643" s="44"/>
      <c r="W643" s="46" t="str">
        <f ca="1">Chemin_accès!$B$2&amp;Tableau1[[#This Row],[Poste Responsable]]&amp;"\"&amp;Tableau1[[#This Row],[Localisation / Classement]]&amp;"\"&amp;Tableau1[[#This Row],[Poste technique]]&amp;"_"&amp;Tableau1[[#This Row],[Plan Entretien]]&amp;".pdf"</f>
        <v>\\stjn.local\trimet\Donnees_Projets\Dms Sap\Maintenance\PlanEntretien\7.MNRJ\\_.pdf</v>
      </c>
      <c r="X643" s="44"/>
      <c r="Y643" s="44"/>
      <c r="Z643" s="41" t="str">
        <f ca="1">IF(AND(Tableau1[[#This Row],[Charge]]&lt;&gt;0, Tableau1[[#This Row],[Nombre intervenants]]&lt;&gt;0,Tableau1[[#This Row],[Lien document]]&lt;&gt;0,Tableau1[[#This Row],[DMS_SAP]]&lt;&gt;0)=TRUE,"MIS A JOUR","")</f>
        <v/>
      </c>
      <c r="AA643" s="45"/>
      <c r="AB643" s="55" t="str">
        <f ca="1">IF(Tableau1[[#This Row],[Date rév.]]&lt;&gt;"", DAYS360(Tableau1[[#This Row],[Date rév.]],TODAY()),"")</f>
        <v/>
      </c>
      <c r="AC643" s="47">
        <f>IFERROR(INDEX(Chemin_accès!$B$11:$C$22,MATCH(Tableau1[[#This Row],[Type]],Chemin_accès!$C$11:$C$22,0),1),Chemin_accès!$B$11)</f>
        <v>0</v>
      </c>
      <c r="AD643" s="47" t="str">
        <f>Chemin_accès!$B$8&amp;Tableau1[[#This Row],[Localisation / Classement]]&amp;"\"&amp;Tableau1[[#This Row],[Poste technique]]&amp;"_"&amp;Tableau1[[#This Row],[Plan Entretien]]&amp;".xlsm"</f>
        <v>\_.xlsm</v>
      </c>
    </row>
    <row r="644" spans="1:30" x14ac:dyDescent="0.3">
      <c r="A644" s="41" t="str">
        <f t="shared" ca="1" si="10"/>
        <v>7.MNRJ</v>
      </c>
      <c r="B6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4" s="43"/>
      <c r="D644" s="41"/>
      <c r="E644" s="41"/>
      <c r="F644" s="44"/>
      <c r="G644" s="44"/>
      <c r="H644" s="48"/>
      <c r="I644" s="48"/>
      <c r="J644" s="48"/>
      <c r="K644" s="48"/>
      <c r="L644" s="43"/>
      <c r="M644" s="44"/>
      <c r="N644" s="43"/>
      <c r="O644" s="43"/>
      <c r="P644" s="44"/>
      <c r="Q644" s="43"/>
      <c r="R644" s="43"/>
      <c r="S644" s="45"/>
      <c r="T644" s="58" t="str">
        <f>IF(Tableau1[[#This Row],[DMS_SAP]]="","",HYPERLINK(Tableau1[[#This Row],[Chemin fichier source]],"X"))</f>
        <v/>
      </c>
      <c r="U644" s="58" t="str">
        <f>IF(Tableau1[[#This Row],[Date rév.]]="","",HYPERLINK(Tableau1[[#This Row],[Lien document]],"X"))</f>
        <v/>
      </c>
      <c r="V644" s="44"/>
      <c r="W644" s="46" t="str">
        <f ca="1">Chemin_accès!$B$2&amp;Tableau1[[#This Row],[Poste Responsable]]&amp;"\"&amp;Tableau1[[#This Row],[Localisation / Classement]]&amp;"\"&amp;Tableau1[[#This Row],[Poste technique]]&amp;"_"&amp;Tableau1[[#This Row],[Plan Entretien]]&amp;".pdf"</f>
        <v>\\stjn.local\trimet\Donnees_Projets\Dms Sap\Maintenance\PlanEntretien\7.MNRJ\\_.pdf</v>
      </c>
      <c r="X644" s="44"/>
      <c r="Y644" s="44"/>
      <c r="Z644" s="41" t="str">
        <f ca="1">IF(AND(Tableau1[[#This Row],[Charge]]&lt;&gt;0, Tableau1[[#This Row],[Nombre intervenants]]&lt;&gt;0,Tableau1[[#This Row],[Lien document]]&lt;&gt;0,Tableau1[[#This Row],[DMS_SAP]]&lt;&gt;0)=TRUE,"MIS A JOUR","")</f>
        <v/>
      </c>
      <c r="AA644" s="45"/>
      <c r="AB644" s="55" t="str">
        <f ca="1">IF(Tableau1[[#This Row],[Date rév.]]&lt;&gt;"", DAYS360(Tableau1[[#This Row],[Date rév.]],TODAY()),"")</f>
        <v/>
      </c>
      <c r="AC644" s="47">
        <f>IFERROR(INDEX(Chemin_accès!$B$11:$C$22,MATCH(Tableau1[[#This Row],[Type]],Chemin_accès!$C$11:$C$22,0),1),Chemin_accès!$B$11)</f>
        <v>0</v>
      </c>
      <c r="AD644" s="47" t="str">
        <f>Chemin_accès!$B$8&amp;Tableau1[[#This Row],[Localisation / Classement]]&amp;"\"&amp;Tableau1[[#This Row],[Poste technique]]&amp;"_"&amp;Tableau1[[#This Row],[Plan Entretien]]&amp;".xlsm"</f>
        <v>\_.xlsm</v>
      </c>
    </row>
    <row r="645" spans="1:30" x14ac:dyDescent="0.3">
      <c r="A645" s="41" t="str">
        <f t="shared" ca="1" si="10"/>
        <v>7.MNRJ</v>
      </c>
      <c r="B6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5" s="43"/>
      <c r="D645" s="41"/>
      <c r="E645" s="41"/>
      <c r="F645" s="44"/>
      <c r="G645" s="44"/>
      <c r="H645" s="48"/>
      <c r="I645" s="48"/>
      <c r="J645" s="48"/>
      <c r="K645" s="48"/>
      <c r="L645" s="43"/>
      <c r="M645" s="44"/>
      <c r="N645" s="43"/>
      <c r="O645" s="43"/>
      <c r="P645" s="44"/>
      <c r="Q645" s="43"/>
      <c r="R645" s="43"/>
      <c r="S645" s="45"/>
      <c r="T645" s="58" t="str">
        <f>IF(Tableau1[[#This Row],[DMS_SAP]]="","",HYPERLINK(Tableau1[[#This Row],[Chemin fichier source]],"X"))</f>
        <v/>
      </c>
      <c r="U645" s="58" t="str">
        <f>IF(Tableau1[[#This Row],[Date rév.]]="","",HYPERLINK(Tableau1[[#This Row],[Lien document]],"X"))</f>
        <v/>
      </c>
      <c r="V645" s="44"/>
      <c r="W645" s="46" t="str">
        <f ca="1">Chemin_accès!$B$2&amp;Tableau1[[#This Row],[Poste Responsable]]&amp;"\"&amp;Tableau1[[#This Row],[Localisation / Classement]]&amp;"\"&amp;Tableau1[[#This Row],[Poste technique]]&amp;"_"&amp;Tableau1[[#This Row],[Plan Entretien]]&amp;".pdf"</f>
        <v>\\stjn.local\trimet\Donnees_Projets\Dms Sap\Maintenance\PlanEntretien\7.MNRJ\\_.pdf</v>
      </c>
      <c r="X645" s="44"/>
      <c r="Y645" s="44"/>
      <c r="Z645" s="41" t="str">
        <f ca="1">IF(AND(Tableau1[[#This Row],[Charge]]&lt;&gt;0, Tableau1[[#This Row],[Nombre intervenants]]&lt;&gt;0,Tableau1[[#This Row],[Lien document]]&lt;&gt;0,Tableau1[[#This Row],[DMS_SAP]]&lt;&gt;0)=TRUE,"MIS A JOUR","")</f>
        <v/>
      </c>
      <c r="AA645" s="45"/>
      <c r="AB645" s="55" t="str">
        <f ca="1">IF(Tableau1[[#This Row],[Date rév.]]&lt;&gt;"", DAYS360(Tableau1[[#This Row],[Date rév.]],TODAY()),"")</f>
        <v/>
      </c>
      <c r="AC645" s="47">
        <f>IFERROR(INDEX(Chemin_accès!$B$11:$C$22,MATCH(Tableau1[[#This Row],[Type]],Chemin_accès!$C$11:$C$22,0),1),Chemin_accès!$B$11)</f>
        <v>0</v>
      </c>
      <c r="AD645" s="47" t="str">
        <f>Chemin_accès!$B$8&amp;Tableau1[[#This Row],[Localisation / Classement]]&amp;"\"&amp;Tableau1[[#This Row],[Poste technique]]&amp;"_"&amp;Tableau1[[#This Row],[Plan Entretien]]&amp;".xlsm"</f>
        <v>\_.xlsm</v>
      </c>
    </row>
    <row r="646" spans="1:30" x14ac:dyDescent="0.3">
      <c r="A646" s="41" t="str">
        <f t="shared" ca="1" si="10"/>
        <v>7.MNRJ</v>
      </c>
      <c r="B6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6" s="43"/>
      <c r="D646" s="41"/>
      <c r="E646" s="41"/>
      <c r="F646" s="44"/>
      <c r="G646" s="44"/>
      <c r="H646" s="48"/>
      <c r="I646" s="48"/>
      <c r="J646" s="48"/>
      <c r="K646" s="48"/>
      <c r="L646" s="43"/>
      <c r="M646" s="44"/>
      <c r="N646" s="43"/>
      <c r="O646" s="43"/>
      <c r="P646" s="44"/>
      <c r="Q646" s="43"/>
      <c r="R646" s="43"/>
      <c r="S646" s="45"/>
      <c r="T646" s="58" t="str">
        <f>IF(Tableau1[[#This Row],[DMS_SAP]]="","",HYPERLINK(Tableau1[[#This Row],[Chemin fichier source]],"X"))</f>
        <v/>
      </c>
      <c r="U646" s="58" t="str">
        <f>IF(Tableau1[[#This Row],[Date rév.]]="","",HYPERLINK(Tableau1[[#This Row],[Lien document]],"X"))</f>
        <v/>
      </c>
      <c r="V646" s="44"/>
      <c r="W646" s="46" t="str">
        <f ca="1">Chemin_accès!$B$2&amp;Tableau1[[#This Row],[Poste Responsable]]&amp;"\"&amp;Tableau1[[#This Row],[Localisation / Classement]]&amp;"\"&amp;Tableau1[[#This Row],[Poste technique]]&amp;"_"&amp;Tableau1[[#This Row],[Plan Entretien]]&amp;".pdf"</f>
        <v>\\stjn.local\trimet\Donnees_Projets\Dms Sap\Maintenance\PlanEntretien\7.MNRJ\\_.pdf</v>
      </c>
      <c r="X646" s="44"/>
      <c r="Y646" s="44"/>
      <c r="Z646" s="41" t="str">
        <f ca="1">IF(AND(Tableau1[[#This Row],[Charge]]&lt;&gt;0, Tableau1[[#This Row],[Nombre intervenants]]&lt;&gt;0,Tableau1[[#This Row],[Lien document]]&lt;&gt;0,Tableau1[[#This Row],[DMS_SAP]]&lt;&gt;0)=TRUE,"MIS A JOUR","")</f>
        <v/>
      </c>
      <c r="AA646" s="45"/>
      <c r="AB646" s="55" t="str">
        <f ca="1">IF(Tableau1[[#This Row],[Date rév.]]&lt;&gt;"", DAYS360(Tableau1[[#This Row],[Date rév.]],TODAY()),"")</f>
        <v/>
      </c>
      <c r="AC646" s="47">
        <f>IFERROR(INDEX(Chemin_accès!$B$11:$C$22,MATCH(Tableau1[[#This Row],[Type]],Chemin_accès!$C$11:$C$22,0),1),Chemin_accès!$B$11)</f>
        <v>0</v>
      </c>
      <c r="AD646" s="47" t="str">
        <f>Chemin_accès!$B$8&amp;Tableau1[[#This Row],[Localisation / Classement]]&amp;"\"&amp;Tableau1[[#This Row],[Poste technique]]&amp;"_"&amp;Tableau1[[#This Row],[Plan Entretien]]&amp;".xlsm"</f>
        <v>\_.xlsm</v>
      </c>
    </row>
    <row r="647" spans="1:30" x14ac:dyDescent="0.3">
      <c r="A647" s="41" t="str">
        <f t="shared" ca="1" si="10"/>
        <v>7.MNRJ</v>
      </c>
      <c r="B6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7" s="43"/>
      <c r="D647" s="41"/>
      <c r="E647" s="41"/>
      <c r="F647" s="44"/>
      <c r="G647" s="44"/>
      <c r="H647" s="48"/>
      <c r="I647" s="48"/>
      <c r="J647" s="48"/>
      <c r="K647" s="48"/>
      <c r="L647" s="43"/>
      <c r="M647" s="44"/>
      <c r="N647" s="43"/>
      <c r="O647" s="43"/>
      <c r="P647" s="44"/>
      <c r="Q647" s="43"/>
      <c r="R647" s="43"/>
      <c r="S647" s="45"/>
      <c r="T647" s="58" t="str">
        <f>IF(Tableau1[[#This Row],[DMS_SAP]]="","",HYPERLINK(Tableau1[[#This Row],[Chemin fichier source]],"X"))</f>
        <v/>
      </c>
      <c r="U647" s="58" t="str">
        <f>IF(Tableau1[[#This Row],[Date rév.]]="","",HYPERLINK(Tableau1[[#This Row],[Lien document]],"X"))</f>
        <v/>
      </c>
      <c r="V647" s="44"/>
      <c r="W647" s="46" t="str">
        <f ca="1">Chemin_accès!$B$2&amp;Tableau1[[#This Row],[Poste Responsable]]&amp;"\"&amp;Tableau1[[#This Row],[Localisation / Classement]]&amp;"\"&amp;Tableau1[[#This Row],[Poste technique]]&amp;"_"&amp;Tableau1[[#This Row],[Plan Entretien]]&amp;".pdf"</f>
        <v>\\stjn.local\trimet\Donnees_Projets\Dms Sap\Maintenance\PlanEntretien\7.MNRJ\\_.pdf</v>
      </c>
      <c r="X647" s="44"/>
      <c r="Y647" s="44"/>
      <c r="Z647" s="41" t="str">
        <f ca="1">IF(AND(Tableau1[[#This Row],[Charge]]&lt;&gt;0, Tableau1[[#This Row],[Nombre intervenants]]&lt;&gt;0,Tableau1[[#This Row],[Lien document]]&lt;&gt;0,Tableau1[[#This Row],[DMS_SAP]]&lt;&gt;0)=TRUE,"MIS A JOUR","")</f>
        <v/>
      </c>
      <c r="AA647" s="45"/>
      <c r="AB647" s="55" t="str">
        <f ca="1">IF(Tableau1[[#This Row],[Date rév.]]&lt;&gt;"", DAYS360(Tableau1[[#This Row],[Date rév.]],TODAY()),"")</f>
        <v/>
      </c>
      <c r="AC647" s="47">
        <f>IFERROR(INDEX(Chemin_accès!$B$11:$C$22,MATCH(Tableau1[[#This Row],[Type]],Chemin_accès!$C$11:$C$22,0),1),Chemin_accès!$B$11)</f>
        <v>0</v>
      </c>
      <c r="AD647" s="47" t="str">
        <f>Chemin_accès!$B$8&amp;Tableau1[[#This Row],[Localisation / Classement]]&amp;"\"&amp;Tableau1[[#This Row],[Poste technique]]&amp;"_"&amp;Tableau1[[#This Row],[Plan Entretien]]&amp;".xlsm"</f>
        <v>\_.xlsm</v>
      </c>
    </row>
    <row r="648" spans="1:30" x14ac:dyDescent="0.3">
      <c r="A648" s="41" t="str">
        <f t="shared" ca="1" si="10"/>
        <v>7.MNRJ</v>
      </c>
      <c r="B6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8" s="43"/>
      <c r="D648" s="41"/>
      <c r="E648" s="41"/>
      <c r="F648" s="44"/>
      <c r="G648" s="44"/>
      <c r="H648" s="48"/>
      <c r="I648" s="48"/>
      <c r="J648" s="48"/>
      <c r="K648" s="48"/>
      <c r="L648" s="43"/>
      <c r="M648" s="44"/>
      <c r="N648" s="43"/>
      <c r="O648" s="43"/>
      <c r="P648" s="44"/>
      <c r="Q648" s="43"/>
      <c r="R648" s="43"/>
      <c r="S648" s="45"/>
      <c r="T648" s="58" t="str">
        <f>IF(Tableau1[[#This Row],[DMS_SAP]]="","",HYPERLINK(Tableau1[[#This Row],[Chemin fichier source]],"X"))</f>
        <v/>
      </c>
      <c r="U648" s="58" t="str">
        <f>IF(Tableau1[[#This Row],[Date rév.]]="","",HYPERLINK(Tableau1[[#This Row],[Lien document]],"X"))</f>
        <v/>
      </c>
      <c r="V648" s="44"/>
      <c r="W648" s="46" t="str">
        <f ca="1">Chemin_accès!$B$2&amp;Tableau1[[#This Row],[Poste Responsable]]&amp;"\"&amp;Tableau1[[#This Row],[Localisation / Classement]]&amp;"\"&amp;Tableau1[[#This Row],[Poste technique]]&amp;"_"&amp;Tableau1[[#This Row],[Plan Entretien]]&amp;".pdf"</f>
        <v>\\stjn.local\trimet\Donnees_Projets\Dms Sap\Maintenance\PlanEntretien\7.MNRJ\\_.pdf</v>
      </c>
      <c r="X648" s="44"/>
      <c r="Y648" s="44"/>
      <c r="Z648" s="41" t="str">
        <f ca="1">IF(AND(Tableau1[[#This Row],[Charge]]&lt;&gt;0, Tableau1[[#This Row],[Nombre intervenants]]&lt;&gt;0,Tableau1[[#This Row],[Lien document]]&lt;&gt;0,Tableau1[[#This Row],[DMS_SAP]]&lt;&gt;0)=TRUE,"MIS A JOUR","")</f>
        <v/>
      </c>
      <c r="AA648" s="45"/>
      <c r="AB648" s="55" t="str">
        <f ca="1">IF(Tableau1[[#This Row],[Date rév.]]&lt;&gt;"", DAYS360(Tableau1[[#This Row],[Date rév.]],TODAY()),"")</f>
        <v/>
      </c>
      <c r="AC648" s="47">
        <f>IFERROR(INDEX(Chemin_accès!$B$11:$C$22,MATCH(Tableau1[[#This Row],[Type]],Chemin_accès!$C$11:$C$22,0),1),Chemin_accès!$B$11)</f>
        <v>0</v>
      </c>
      <c r="AD648" s="47" t="str">
        <f>Chemin_accès!$B$8&amp;Tableau1[[#This Row],[Localisation / Classement]]&amp;"\"&amp;Tableau1[[#This Row],[Poste technique]]&amp;"_"&amp;Tableau1[[#This Row],[Plan Entretien]]&amp;".xlsm"</f>
        <v>\_.xlsm</v>
      </c>
    </row>
    <row r="649" spans="1:30" x14ac:dyDescent="0.3">
      <c r="A649" s="41" t="str">
        <f t="shared" ca="1" si="10"/>
        <v>7.MNRJ</v>
      </c>
      <c r="B6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9" s="43"/>
      <c r="D649" s="41"/>
      <c r="E649" s="41"/>
      <c r="F649" s="44"/>
      <c r="G649" s="44"/>
      <c r="H649" s="48"/>
      <c r="I649" s="48"/>
      <c r="J649" s="48"/>
      <c r="K649" s="48"/>
      <c r="L649" s="43"/>
      <c r="M649" s="44"/>
      <c r="N649" s="43"/>
      <c r="O649" s="43"/>
      <c r="P649" s="44"/>
      <c r="Q649" s="43"/>
      <c r="R649" s="43"/>
      <c r="S649" s="45"/>
      <c r="T649" s="58" t="str">
        <f>IF(Tableau1[[#This Row],[DMS_SAP]]="","",HYPERLINK(Tableau1[[#This Row],[Chemin fichier source]],"X"))</f>
        <v/>
      </c>
      <c r="U649" s="58" t="str">
        <f>IF(Tableau1[[#This Row],[Date rév.]]="","",HYPERLINK(Tableau1[[#This Row],[Lien document]],"X"))</f>
        <v/>
      </c>
      <c r="V649" s="44"/>
      <c r="W649" s="46" t="str">
        <f ca="1">Chemin_accès!$B$2&amp;Tableau1[[#This Row],[Poste Responsable]]&amp;"\"&amp;Tableau1[[#This Row],[Localisation / Classement]]&amp;"\"&amp;Tableau1[[#This Row],[Poste technique]]&amp;"_"&amp;Tableau1[[#This Row],[Plan Entretien]]&amp;".pdf"</f>
        <v>\\stjn.local\trimet\Donnees_Projets\Dms Sap\Maintenance\PlanEntretien\7.MNRJ\\_.pdf</v>
      </c>
      <c r="X649" s="44"/>
      <c r="Y649" s="44"/>
      <c r="Z649" s="41" t="str">
        <f ca="1">IF(AND(Tableau1[[#This Row],[Charge]]&lt;&gt;0, Tableau1[[#This Row],[Nombre intervenants]]&lt;&gt;0,Tableau1[[#This Row],[Lien document]]&lt;&gt;0,Tableau1[[#This Row],[DMS_SAP]]&lt;&gt;0)=TRUE,"MIS A JOUR","")</f>
        <v/>
      </c>
      <c r="AA649" s="45"/>
      <c r="AB649" s="55" t="str">
        <f ca="1">IF(Tableau1[[#This Row],[Date rév.]]&lt;&gt;"", DAYS360(Tableau1[[#This Row],[Date rév.]],TODAY()),"")</f>
        <v/>
      </c>
      <c r="AC649" s="47">
        <f>IFERROR(INDEX(Chemin_accès!$B$11:$C$22,MATCH(Tableau1[[#This Row],[Type]],Chemin_accès!$C$11:$C$22,0),1),Chemin_accès!$B$11)</f>
        <v>0</v>
      </c>
      <c r="AD649" s="47" t="str">
        <f>Chemin_accès!$B$8&amp;Tableau1[[#This Row],[Localisation / Classement]]&amp;"\"&amp;Tableau1[[#This Row],[Poste technique]]&amp;"_"&amp;Tableau1[[#This Row],[Plan Entretien]]&amp;".xlsm"</f>
        <v>\_.xlsm</v>
      </c>
    </row>
    <row r="650" spans="1:30" x14ac:dyDescent="0.3">
      <c r="A650" s="41" t="str">
        <f t="shared" ca="1" si="10"/>
        <v>7.MNRJ</v>
      </c>
      <c r="B6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0" s="43"/>
      <c r="D650" s="41"/>
      <c r="E650" s="41"/>
      <c r="F650" s="44"/>
      <c r="G650" s="44"/>
      <c r="H650" s="48"/>
      <c r="I650" s="48"/>
      <c r="J650" s="48"/>
      <c r="K650" s="48"/>
      <c r="L650" s="43"/>
      <c r="M650" s="44"/>
      <c r="N650" s="43"/>
      <c r="O650" s="43"/>
      <c r="P650" s="44"/>
      <c r="Q650" s="43"/>
      <c r="R650" s="43"/>
      <c r="S650" s="45"/>
      <c r="T650" s="58" t="str">
        <f>IF(Tableau1[[#This Row],[DMS_SAP]]="","",HYPERLINK(Tableau1[[#This Row],[Chemin fichier source]],"X"))</f>
        <v/>
      </c>
      <c r="U650" s="58" t="str">
        <f>IF(Tableau1[[#This Row],[Date rév.]]="","",HYPERLINK(Tableau1[[#This Row],[Lien document]],"X"))</f>
        <v/>
      </c>
      <c r="V650" s="44"/>
      <c r="W650" s="46" t="str">
        <f ca="1">Chemin_accès!$B$2&amp;Tableau1[[#This Row],[Poste Responsable]]&amp;"\"&amp;Tableau1[[#This Row],[Localisation / Classement]]&amp;"\"&amp;Tableau1[[#This Row],[Poste technique]]&amp;"_"&amp;Tableau1[[#This Row],[Plan Entretien]]&amp;".pdf"</f>
        <v>\\stjn.local\trimet\Donnees_Projets\Dms Sap\Maintenance\PlanEntretien\7.MNRJ\\_.pdf</v>
      </c>
      <c r="X650" s="44"/>
      <c r="Y650" s="44"/>
      <c r="Z650" s="41" t="str">
        <f ca="1">IF(AND(Tableau1[[#This Row],[Charge]]&lt;&gt;0, Tableau1[[#This Row],[Nombre intervenants]]&lt;&gt;0,Tableau1[[#This Row],[Lien document]]&lt;&gt;0,Tableau1[[#This Row],[DMS_SAP]]&lt;&gt;0)=TRUE,"MIS A JOUR","")</f>
        <v/>
      </c>
      <c r="AA650" s="45"/>
      <c r="AB650" s="55" t="str">
        <f ca="1">IF(Tableau1[[#This Row],[Date rév.]]&lt;&gt;"", DAYS360(Tableau1[[#This Row],[Date rév.]],TODAY()),"")</f>
        <v/>
      </c>
      <c r="AC650" s="47">
        <f>IFERROR(INDEX(Chemin_accès!$B$11:$C$22,MATCH(Tableau1[[#This Row],[Type]],Chemin_accès!$C$11:$C$22,0),1),Chemin_accès!$B$11)</f>
        <v>0</v>
      </c>
      <c r="AD650" s="47" t="str">
        <f>Chemin_accès!$B$8&amp;Tableau1[[#This Row],[Localisation / Classement]]&amp;"\"&amp;Tableau1[[#This Row],[Poste technique]]&amp;"_"&amp;Tableau1[[#This Row],[Plan Entretien]]&amp;".xlsm"</f>
        <v>\_.xlsm</v>
      </c>
    </row>
    <row r="651" spans="1:30" x14ac:dyDescent="0.3">
      <c r="A651" s="41" t="str">
        <f t="shared" ca="1" si="10"/>
        <v>7.MNRJ</v>
      </c>
      <c r="B6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1" s="43"/>
      <c r="D651" s="41"/>
      <c r="E651" s="41"/>
      <c r="F651" s="44"/>
      <c r="G651" s="44"/>
      <c r="H651" s="48"/>
      <c r="I651" s="48"/>
      <c r="J651" s="48"/>
      <c r="K651" s="48"/>
      <c r="L651" s="43"/>
      <c r="M651" s="44"/>
      <c r="N651" s="43"/>
      <c r="O651" s="43"/>
      <c r="P651" s="44"/>
      <c r="Q651" s="43"/>
      <c r="R651" s="43"/>
      <c r="S651" s="45"/>
      <c r="T651" s="58" t="str">
        <f>IF(Tableau1[[#This Row],[DMS_SAP]]="","",HYPERLINK(Tableau1[[#This Row],[Chemin fichier source]],"X"))</f>
        <v/>
      </c>
      <c r="U651" s="58" t="str">
        <f>IF(Tableau1[[#This Row],[Date rév.]]="","",HYPERLINK(Tableau1[[#This Row],[Lien document]],"X"))</f>
        <v/>
      </c>
      <c r="V651" s="44"/>
      <c r="W651" s="46" t="str">
        <f ca="1">Chemin_accès!$B$2&amp;Tableau1[[#This Row],[Poste Responsable]]&amp;"\"&amp;Tableau1[[#This Row],[Localisation / Classement]]&amp;"\"&amp;Tableau1[[#This Row],[Poste technique]]&amp;"_"&amp;Tableau1[[#This Row],[Plan Entretien]]&amp;".pdf"</f>
        <v>\\stjn.local\trimet\Donnees_Projets\Dms Sap\Maintenance\PlanEntretien\7.MNRJ\\_.pdf</v>
      </c>
      <c r="X651" s="44"/>
      <c r="Y651" s="44"/>
      <c r="Z651" s="41" t="str">
        <f ca="1">IF(AND(Tableau1[[#This Row],[Charge]]&lt;&gt;0, Tableau1[[#This Row],[Nombre intervenants]]&lt;&gt;0,Tableau1[[#This Row],[Lien document]]&lt;&gt;0,Tableau1[[#This Row],[DMS_SAP]]&lt;&gt;0)=TRUE,"MIS A JOUR","")</f>
        <v/>
      </c>
      <c r="AA651" s="45"/>
      <c r="AB651" s="55" t="str">
        <f ca="1">IF(Tableau1[[#This Row],[Date rév.]]&lt;&gt;"", DAYS360(Tableau1[[#This Row],[Date rév.]],TODAY()),"")</f>
        <v/>
      </c>
      <c r="AC651" s="47">
        <f>IFERROR(INDEX(Chemin_accès!$B$11:$C$22,MATCH(Tableau1[[#This Row],[Type]],Chemin_accès!$C$11:$C$22,0),1),Chemin_accès!$B$11)</f>
        <v>0</v>
      </c>
      <c r="AD651" s="47" t="str">
        <f>Chemin_accès!$B$8&amp;Tableau1[[#This Row],[Localisation / Classement]]&amp;"\"&amp;Tableau1[[#This Row],[Poste technique]]&amp;"_"&amp;Tableau1[[#This Row],[Plan Entretien]]&amp;".xlsm"</f>
        <v>\_.xlsm</v>
      </c>
    </row>
    <row r="652" spans="1:30" x14ac:dyDescent="0.3">
      <c r="A652" s="41" t="str">
        <f t="shared" ca="1" si="10"/>
        <v>7.MNRJ</v>
      </c>
      <c r="B6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2" s="43"/>
      <c r="D652" s="41"/>
      <c r="E652" s="41"/>
      <c r="F652" s="44"/>
      <c r="G652" s="44"/>
      <c r="H652" s="48"/>
      <c r="I652" s="48"/>
      <c r="J652" s="48"/>
      <c r="K652" s="48"/>
      <c r="L652" s="43"/>
      <c r="M652" s="44"/>
      <c r="N652" s="43"/>
      <c r="O652" s="43"/>
      <c r="P652" s="44"/>
      <c r="Q652" s="43"/>
      <c r="R652" s="43"/>
      <c r="S652" s="45"/>
      <c r="T652" s="58" t="str">
        <f>IF(Tableau1[[#This Row],[DMS_SAP]]="","",HYPERLINK(Tableau1[[#This Row],[Chemin fichier source]],"X"))</f>
        <v/>
      </c>
      <c r="U652" s="58" t="str">
        <f>IF(Tableau1[[#This Row],[Date rév.]]="","",HYPERLINK(Tableau1[[#This Row],[Lien document]],"X"))</f>
        <v/>
      </c>
      <c r="V652" s="44"/>
      <c r="W652" s="46" t="str">
        <f ca="1">Chemin_accès!$B$2&amp;Tableau1[[#This Row],[Poste Responsable]]&amp;"\"&amp;Tableau1[[#This Row],[Localisation / Classement]]&amp;"\"&amp;Tableau1[[#This Row],[Poste technique]]&amp;"_"&amp;Tableau1[[#This Row],[Plan Entretien]]&amp;".pdf"</f>
        <v>\\stjn.local\trimet\Donnees_Projets\Dms Sap\Maintenance\PlanEntretien\7.MNRJ\\_.pdf</v>
      </c>
      <c r="X652" s="44"/>
      <c r="Y652" s="44"/>
      <c r="Z652" s="41" t="str">
        <f ca="1">IF(AND(Tableau1[[#This Row],[Charge]]&lt;&gt;0, Tableau1[[#This Row],[Nombre intervenants]]&lt;&gt;0,Tableau1[[#This Row],[Lien document]]&lt;&gt;0,Tableau1[[#This Row],[DMS_SAP]]&lt;&gt;0)=TRUE,"MIS A JOUR","")</f>
        <v/>
      </c>
      <c r="AA652" s="45"/>
      <c r="AB652" s="55" t="str">
        <f ca="1">IF(Tableau1[[#This Row],[Date rév.]]&lt;&gt;"", DAYS360(Tableau1[[#This Row],[Date rév.]],TODAY()),"")</f>
        <v/>
      </c>
      <c r="AC652" s="47">
        <f>IFERROR(INDEX(Chemin_accès!$B$11:$C$22,MATCH(Tableau1[[#This Row],[Type]],Chemin_accès!$C$11:$C$22,0),1),Chemin_accès!$B$11)</f>
        <v>0</v>
      </c>
      <c r="AD652" s="47" t="str">
        <f>Chemin_accès!$B$8&amp;Tableau1[[#This Row],[Localisation / Classement]]&amp;"\"&amp;Tableau1[[#This Row],[Poste technique]]&amp;"_"&amp;Tableau1[[#This Row],[Plan Entretien]]&amp;".xlsm"</f>
        <v>\_.xlsm</v>
      </c>
    </row>
    <row r="653" spans="1:30" x14ac:dyDescent="0.3">
      <c r="A653" s="41" t="str">
        <f t="shared" ca="1" si="10"/>
        <v>7.MNRJ</v>
      </c>
      <c r="B6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3" s="43"/>
      <c r="D653" s="41"/>
      <c r="E653" s="41"/>
      <c r="F653" s="44"/>
      <c r="G653" s="44"/>
      <c r="H653" s="48"/>
      <c r="I653" s="48"/>
      <c r="J653" s="48"/>
      <c r="K653" s="48"/>
      <c r="L653" s="43"/>
      <c r="M653" s="44"/>
      <c r="N653" s="43"/>
      <c r="O653" s="43"/>
      <c r="P653" s="44"/>
      <c r="Q653" s="43"/>
      <c r="R653" s="43"/>
      <c r="S653" s="45"/>
      <c r="T653" s="58" t="str">
        <f>IF(Tableau1[[#This Row],[DMS_SAP]]="","",HYPERLINK(Tableau1[[#This Row],[Chemin fichier source]],"X"))</f>
        <v/>
      </c>
      <c r="U653" s="58" t="str">
        <f>IF(Tableau1[[#This Row],[Date rév.]]="","",HYPERLINK(Tableau1[[#This Row],[Lien document]],"X"))</f>
        <v/>
      </c>
      <c r="V653" s="44"/>
      <c r="W653" s="46" t="str">
        <f ca="1">Chemin_accès!$B$2&amp;Tableau1[[#This Row],[Poste Responsable]]&amp;"\"&amp;Tableau1[[#This Row],[Localisation / Classement]]&amp;"\"&amp;Tableau1[[#This Row],[Poste technique]]&amp;"_"&amp;Tableau1[[#This Row],[Plan Entretien]]&amp;".pdf"</f>
        <v>\\stjn.local\trimet\Donnees_Projets\Dms Sap\Maintenance\PlanEntretien\7.MNRJ\\_.pdf</v>
      </c>
      <c r="X653" s="44"/>
      <c r="Y653" s="44"/>
      <c r="Z653" s="41" t="str">
        <f ca="1">IF(AND(Tableau1[[#This Row],[Charge]]&lt;&gt;0, Tableau1[[#This Row],[Nombre intervenants]]&lt;&gt;0,Tableau1[[#This Row],[Lien document]]&lt;&gt;0,Tableau1[[#This Row],[DMS_SAP]]&lt;&gt;0)=TRUE,"MIS A JOUR","")</f>
        <v/>
      </c>
      <c r="AA653" s="45"/>
      <c r="AB653" s="55" t="str">
        <f ca="1">IF(Tableau1[[#This Row],[Date rév.]]&lt;&gt;"", DAYS360(Tableau1[[#This Row],[Date rév.]],TODAY()),"")</f>
        <v/>
      </c>
      <c r="AC653" s="47">
        <f>IFERROR(INDEX(Chemin_accès!$B$11:$C$22,MATCH(Tableau1[[#This Row],[Type]],Chemin_accès!$C$11:$C$22,0),1),Chemin_accès!$B$11)</f>
        <v>0</v>
      </c>
      <c r="AD653" s="47" t="str">
        <f>Chemin_accès!$B$8&amp;Tableau1[[#This Row],[Localisation / Classement]]&amp;"\"&amp;Tableau1[[#This Row],[Poste technique]]&amp;"_"&amp;Tableau1[[#This Row],[Plan Entretien]]&amp;".xlsm"</f>
        <v>\_.xlsm</v>
      </c>
    </row>
    <row r="654" spans="1:30" x14ac:dyDescent="0.3">
      <c r="A654" s="41" t="str">
        <f t="shared" ca="1" si="10"/>
        <v>7.MNRJ</v>
      </c>
      <c r="B6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4" s="43"/>
      <c r="D654" s="41"/>
      <c r="E654" s="41"/>
      <c r="F654" s="44"/>
      <c r="G654" s="44"/>
      <c r="H654" s="48"/>
      <c r="I654" s="48"/>
      <c r="J654" s="48"/>
      <c r="K654" s="48"/>
      <c r="L654" s="43"/>
      <c r="M654" s="44"/>
      <c r="N654" s="43"/>
      <c r="O654" s="43"/>
      <c r="P654" s="44"/>
      <c r="Q654" s="43"/>
      <c r="R654" s="43"/>
      <c r="S654" s="45"/>
      <c r="T654" s="58" t="str">
        <f>IF(Tableau1[[#This Row],[DMS_SAP]]="","",HYPERLINK(Tableau1[[#This Row],[Chemin fichier source]],"X"))</f>
        <v/>
      </c>
      <c r="U654" s="58" t="str">
        <f>IF(Tableau1[[#This Row],[Date rév.]]="","",HYPERLINK(Tableau1[[#This Row],[Lien document]],"X"))</f>
        <v/>
      </c>
      <c r="V654" s="44"/>
      <c r="W654" s="46" t="str">
        <f ca="1">Chemin_accès!$B$2&amp;Tableau1[[#This Row],[Poste Responsable]]&amp;"\"&amp;Tableau1[[#This Row],[Localisation / Classement]]&amp;"\"&amp;Tableau1[[#This Row],[Poste technique]]&amp;"_"&amp;Tableau1[[#This Row],[Plan Entretien]]&amp;".pdf"</f>
        <v>\\stjn.local\trimet\Donnees_Projets\Dms Sap\Maintenance\PlanEntretien\7.MNRJ\\_.pdf</v>
      </c>
      <c r="X654" s="44"/>
      <c r="Y654" s="44"/>
      <c r="Z654" s="41" t="str">
        <f ca="1">IF(AND(Tableau1[[#This Row],[Charge]]&lt;&gt;0, Tableau1[[#This Row],[Nombre intervenants]]&lt;&gt;0,Tableau1[[#This Row],[Lien document]]&lt;&gt;0,Tableau1[[#This Row],[DMS_SAP]]&lt;&gt;0)=TRUE,"MIS A JOUR","")</f>
        <v/>
      </c>
      <c r="AA654" s="45"/>
      <c r="AB654" s="55" t="str">
        <f ca="1">IF(Tableau1[[#This Row],[Date rév.]]&lt;&gt;"", DAYS360(Tableau1[[#This Row],[Date rév.]],TODAY()),"")</f>
        <v/>
      </c>
      <c r="AC654" s="47">
        <f>IFERROR(INDEX(Chemin_accès!$B$11:$C$22,MATCH(Tableau1[[#This Row],[Type]],Chemin_accès!$C$11:$C$22,0),1),Chemin_accès!$B$11)</f>
        <v>0</v>
      </c>
      <c r="AD654" s="47" t="str">
        <f>Chemin_accès!$B$8&amp;Tableau1[[#This Row],[Localisation / Classement]]&amp;"\"&amp;Tableau1[[#This Row],[Poste technique]]&amp;"_"&amp;Tableau1[[#This Row],[Plan Entretien]]&amp;".xlsm"</f>
        <v>\_.xlsm</v>
      </c>
    </row>
    <row r="655" spans="1:30" x14ac:dyDescent="0.3">
      <c r="A655" s="41" t="str">
        <f t="shared" ca="1" si="10"/>
        <v>7.MNRJ</v>
      </c>
      <c r="B6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5" s="43"/>
      <c r="D655" s="41"/>
      <c r="E655" s="41"/>
      <c r="F655" s="44"/>
      <c r="G655" s="44"/>
      <c r="H655" s="48"/>
      <c r="I655" s="48"/>
      <c r="J655" s="48"/>
      <c r="K655" s="48"/>
      <c r="L655" s="43"/>
      <c r="M655" s="44"/>
      <c r="N655" s="43"/>
      <c r="O655" s="43"/>
      <c r="P655" s="44"/>
      <c r="Q655" s="43"/>
      <c r="R655" s="43"/>
      <c r="S655" s="45"/>
      <c r="T655" s="58" t="str">
        <f>IF(Tableau1[[#This Row],[DMS_SAP]]="","",HYPERLINK(Tableau1[[#This Row],[Chemin fichier source]],"X"))</f>
        <v/>
      </c>
      <c r="U655" s="58" t="str">
        <f>IF(Tableau1[[#This Row],[Date rév.]]="","",HYPERLINK(Tableau1[[#This Row],[Lien document]],"X"))</f>
        <v/>
      </c>
      <c r="V655" s="44"/>
      <c r="W655" s="46" t="str">
        <f ca="1">Chemin_accès!$B$2&amp;Tableau1[[#This Row],[Poste Responsable]]&amp;"\"&amp;Tableau1[[#This Row],[Localisation / Classement]]&amp;"\"&amp;Tableau1[[#This Row],[Poste technique]]&amp;"_"&amp;Tableau1[[#This Row],[Plan Entretien]]&amp;".pdf"</f>
        <v>\\stjn.local\trimet\Donnees_Projets\Dms Sap\Maintenance\PlanEntretien\7.MNRJ\\_.pdf</v>
      </c>
      <c r="X655" s="44"/>
      <c r="Y655" s="44"/>
      <c r="Z655" s="41" t="str">
        <f ca="1">IF(AND(Tableau1[[#This Row],[Charge]]&lt;&gt;0, Tableau1[[#This Row],[Nombre intervenants]]&lt;&gt;0,Tableau1[[#This Row],[Lien document]]&lt;&gt;0,Tableau1[[#This Row],[DMS_SAP]]&lt;&gt;0)=TRUE,"MIS A JOUR","")</f>
        <v/>
      </c>
      <c r="AA655" s="45"/>
      <c r="AB655" s="55" t="str">
        <f ca="1">IF(Tableau1[[#This Row],[Date rév.]]&lt;&gt;"", DAYS360(Tableau1[[#This Row],[Date rév.]],TODAY()),"")</f>
        <v/>
      </c>
      <c r="AC655" s="47">
        <f>IFERROR(INDEX(Chemin_accès!$B$11:$C$22,MATCH(Tableau1[[#This Row],[Type]],Chemin_accès!$C$11:$C$22,0),1),Chemin_accès!$B$11)</f>
        <v>0</v>
      </c>
      <c r="AD655" s="47" t="str">
        <f>Chemin_accès!$B$8&amp;Tableau1[[#This Row],[Localisation / Classement]]&amp;"\"&amp;Tableau1[[#This Row],[Poste technique]]&amp;"_"&amp;Tableau1[[#This Row],[Plan Entretien]]&amp;".xlsm"</f>
        <v>\_.xlsm</v>
      </c>
    </row>
    <row r="656" spans="1:30" x14ac:dyDescent="0.3">
      <c r="A656" s="41" t="str">
        <f t="shared" ca="1" si="10"/>
        <v>7.MNRJ</v>
      </c>
      <c r="B6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6" s="43"/>
      <c r="D656" s="41"/>
      <c r="E656" s="41"/>
      <c r="F656" s="44"/>
      <c r="G656" s="44"/>
      <c r="H656" s="48"/>
      <c r="I656" s="48"/>
      <c r="J656" s="48"/>
      <c r="K656" s="48"/>
      <c r="L656" s="43"/>
      <c r="M656" s="44"/>
      <c r="N656" s="43"/>
      <c r="O656" s="43"/>
      <c r="P656" s="44"/>
      <c r="Q656" s="43"/>
      <c r="R656" s="43"/>
      <c r="S656" s="45"/>
      <c r="T656" s="58" t="str">
        <f>IF(Tableau1[[#This Row],[DMS_SAP]]="","",HYPERLINK(Tableau1[[#This Row],[Chemin fichier source]],"X"))</f>
        <v/>
      </c>
      <c r="U656" s="58" t="str">
        <f>IF(Tableau1[[#This Row],[Date rév.]]="","",HYPERLINK(Tableau1[[#This Row],[Lien document]],"X"))</f>
        <v/>
      </c>
      <c r="V656" s="44"/>
      <c r="W656" s="46" t="str">
        <f ca="1">Chemin_accès!$B$2&amp;Tableau1[[#This Row],[Poste Responsable]]&amp;"\"&amp;Tableau1[[#This Row],[Localisation / Classement]]&amp;"\"&amp;Tableau1[[#This Row],[Poste technique]]&amp;"_"&amp;Tableau1[[#This Row],[Plan Entretien]]&amp;".pdf"</f>
        <v>\\stjn.local\trimet\Donnees_Projets\Dms Sap\Maintenance\PlanEntretien\7.MNRJ\\_.pdf</v>
      </c>
      <c r="X656" s="44"/>
      <c r="Y656" s="44"/>
      <c r="Z656" s="41" t="str">
        <f ca="1">IF(AND(Tableau1[[#This Row],[Charge]]&lt;&gt;0, Tableau1[[#This Row],[Nombre intervenants]]&lt;&gt;0,Tableau1[[#This Row],[Lien document]]&lt;&gt;0,Tableau1[[#This Row],[DMS_SAP]]&lt;&gt;0)=TRUE,"MIS A JOUR","")</f>
        <v/>
      </c>
      <c r="AA656" s="45"/>
      <c r="AB656" s="55" t="str">
        <f ca="1">IF(Tableau1[[#This Row],[Date rév.]]&lt;&gt;"", DAYS360(Tableau1[[#This Row],[Date rév.]],TODAY()),"")</f>
        <v/>
      </c>
      <c r="AC656" s="47">
        <f>IFERROR(INDEX(Chemin_accès!$B$11:$C$22,MATCH(Tableau1[[#This Row],[Type]],Chemin_accès!$C$11:$C$22,0),1),Chemin_accès!$B$11)</f>
        <v>0</v>
      </c>
      <c r="AD656" s="47" t="str">
        <f>Chemin_accès!$B$8&amp;Tableau1[[#This Row],[Localisation / Classement]]&amp;"\"&amp;Tableau1[[#This Row],[Poste technique]]&amp;"_"&amp;Tableau1[[#This Row],[Plan Entretien]]&amp;".xlsm"</f>
        <v>\_.xlsm</v>
      </c>
    </row>
    <row r="657" spans="1:30" x14ac:dyDescent="0.3">
      <c r="A657" s="41" t="str">
        <f t="shared" ca="1" si="10"/>
        <v>7.MNRJ</v>
      </c>
      <c r="B6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7" s="43"/>
      <c r="D657" s="41"/>
      <c r="E657" s="41"/>
      <c r="F657" s="44"/>
      <c r="G657" s="44"/>
      <c r="H657" s="48"/>
      <c r="I657" s="48"/>
      <c r="J657" s="48"/>
      <c r="K657" s="48"/>
      <c r="L657" s="43"/>
      <c r="M657" s="44"/>
      <c r="N657" s="43"/>
      <c r="O657" s="43"/>
      <c r="P657" s="44"/>
      <c r="Q657" s="43"/>
      <c r="R657" s="43"/>
      <c r="S657" s="45"/>
      <c r="T657" s="58" t="str">
        <f>IF(Tableau1[[#This Row],[DMS_SAP]]="","",HYPERLINK(Tableau1[[#This Row],[Chemin fichier source]],"X"))</f>
        <v/>
      </c>
      <c r="U657" s="58" t="str">
        <f>IF(Tableau1[[#This Row],[Date rév.]]="","",HYPERLINK(Tableau1[[#This Row],[Lien document]],"X"))</f>
        <v/>
      </c>
      <c r="V657" s="44"/>
      <c r="W657" s="46" t="str">
        <f ca="1">Chemin_accès!$B$2&amp;Tableau1[[#This Row],[Poste Responsable]]&amp;"\"&amp;Tableau1[[#This Row],[Localisation / Classement]]&amp;"\"&amp;Tableau1[[#This Row],[Poste technique]]&amp;"_"&amp;Tableau1[[#This Row],[Plan Entretien]]&amp;".pdf"</f>
        <v>\\stjn.local\trimet\Donnees_Projets\Dms Sap\Maintenance\PlanEntretien\7.MNRJ\\_.pdf</v>
      </c>
      <c r="X657" s="44"/>
      <c r="Y657" s="44"/>
      <c r="Z657" s="41" t="str">
        <f ca="1">IF(AND(Tableau1[[#This Row],[Charge]]&lt;&gt;0, Tableau1[[#This Row],[Nombre intervenants]]&lt;&gt;0,Tableau1[[#This Row],[Lien document]]&lt;&gt;0,Tableau1[[#This Row],[DMS_SAP]]&lt;&gt;0)=TRUE,"MIS A JOUR","")</f>
        <v/>
      </c>
      <c r="AA657" s="45"/>
      <c r="AB657" s="55" t="str">
        <f ca="1">IF(Tableau1[[#This Row],[Date rév.]]&lt;&gt;"", DAYS360(Tableau1[[#This Row],[Date rév.]],TODAY()),"")</f>
        <v/>
      </c>
      <c r="AC657" s="47">
        <f>IFERROR(INDEX(Chemin_accès!$B$11:$C$22,MATCH(Tableau1[[#This Row],[Type]],Chemin_accès!$C$11:$C$22,0),1),Chemin_accès!$B$11)</f>
        <v>0</v>
      </c>
      <c r="AD657" s="47" t="str">
        <f>Chemin_accès!$B$8&amp;Tableau1[[#This Row],[Localisation / Classement]]&amp;"\"&amp;Tableau1[[#This Row],[Poste technique]]&amp;"_"&amp;Tableau1[[#This Row],[Plan Entretien]]&amp;".xlsm"</f>
        <v>\_.xlsm</v>
      </c>
    </row>
    <row r="658" spans="1:30" x14ac:dyDescent="0.3">
      <c r="A658" s="41" t="str">
        <f t="shared" ca="1" si="10"/>
        <v>7.MNRJ</v>
      </c>
      <c r="B6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8" s="43"/>
      <c r="D658" s="41"/>
      <c r="E658" s="41"/>
      <c r="F658" s="44"/>
      <c r="G658" s="44"/>
      <c r="H658" s="48"/>
      <c r="I658" s="48"/>
      <c r="J658" s="48"/>
      <c r="K658" s="48"/>
      <c r="L658" s="43"/>
      <c r="M658" s="44"/>
      <c r="N658" s="43"/>
      <c r="O658" s="43"/>
      <c r="P658" s="44"/>
      <c r="Q658" s="43"/>
      <c r="R658" s="43"/>
      <c r="S658" s="45"/>
      <c r="T658" s="58" t="str">
        <f>IF(Tableau1[[#This Row],[DMS_SAP]]="","",HYPERLINK(Tableau1[[#This Row],[Chemin fichier source]],"X"))</f>
        <v/>
      </c>
      <c r="U658" s="58" t="str">
        <f>IF(Tableau1[[#This Row],[Date rév.]]="","",HYPERLINK(Tableau1[[#This Row],[Lien document]],"X"))</f>
        <v/>
      </c>
      <c r="V658" s="44"/>
      <c r="W658" s="46" t="str">
        <f ca="1">Chemin_accès!$B$2&amp;Tableau1[[#This Row],[Poste Responsable]]&amp;"\"&amp;Tableau1[[#This Row],[Localisation / Classement]]&amp;"\"&amp;Tableau1[[#This Row],[Poste technique]]&amp;"_"&amp;Tableau1[[#This Row],[Plan Entretien]]&amp;".pdf"</f>
        <v>\\stjn.local\trimet\Donnees_Projets\Dms Sap\Maintenance\PlanEntretien\7.MNRJ\\_.pdf</v>
      </c>
      <c r="X658" s="44"/>
      <c r="Y658" s="44"/>
      <c r="Z658" s="41" t="str">
        <f ca="1">IF(AND(Tableau1[[#This Row],[Charge]]&lt;&gt;0, Tableau1[[#This Row],[Nombre intervenants]]&lt;&gt;0,Tableau1[[#This Row],[Lien document]]&lt;&gt;0,Tableau1[[#This Row],[DMS_SAP]]&lt;&gt;0)=TRUE,"MIS A JOUR","")</f>
        <v/>
      </c>
      <c r="AA658" s="45"/>
      <c r="AB658" s="55" t="str">
        <f ca="1">IF(Tableau1[[#This Row],[Date rév.]]&lt;&gt;"", DAYS360(Tableau1[[#This Row],[Date rév.]],TODAY()),"")</f>
        <v/>
      </c>
      <c r="AC658" s="47">
        <f>IFERROR(INDEX(Chemin_accès!$B$11:$C$22,MATCH(Tableau1[[#This Row],[Type]],Chemin_accès!$C$11:$C$22,0),1),Chemin_accès!$B$11)</f>
        <v>0</v>
      </c>
      <c r="AD658" s="47" t="str">
        <f>Chemin_accès!$B$8&amp;Tableau1[[#This Row],[Localisation / Classement]]&amp;"\"&amp;Tableau1[[#This Row],[Poste technique]]&amp;"_"&amp;Tableau1[[#This Row],[Plan Entretien]]&amp;".xlsm"</f>
        <v>\_.xlsm</v>
      </c>
    </row>
    <row r="659" spans="1:30" x14ac:dyDescent="0.3">
      <c r="A659" s="41" t="str">
        <f t="shared" ca="1" si="10"/>
        <v>7.MNRJ</v>
      </c>
      <c r="B6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9" s="43"/>
      <c r="D659" s="41"/>
      <c r="E659" s="41"/>
      <c r="F659" s="44"/>
      <c r="G659" s="44"/>
      <c r="H659" s="48"/>
      <c r="I659" s="48"/>
      <c r="J659" s="48"/>
      <c r="K659" s="48"/>
      <c r="L659" s="43"/>
      <c r="M659" s="44"/>
      <c r="N659" s="43"/>
      <c r="O659" s="43"/>
      <c r="P659" s="44"/>
      <c r="Q659" s="43"/>
      <c r="R659" s="43"/>
      <c r="S659" s="45"/>
      <c r="T659" s="58" t="str">
        <f>IF(Tableau1[[#This Row],[DMS_SAP]]="","",HYPERLINK(Tableau1[[#This Row],[Chemin fichier source]],"X"))</f>
        <v/>
      </c>
      <c r="U659" s="58" t="str">
        <f>IF(Tableau1[[#This Row],[Date rév.]]="","",HYPERLINK(Tableau1[[#This Row],[Lien document]],"X"))</f>
        <v/>
      </c>
      <c r="V659" s="44"/>
      <c r="W659" s="46" t="str">
        <f ca="1">Chemin_accès!$B$2&amp;Tableau1[[#This Row],[Poste Responsable]]&amp;"\"&amp;Tableau1[[#This Row],[Localisation / Classement]]&amp;"\"&amp;Tableau1[[#This Row],[Poste technique]]&amp;"_"&amp;Tableau1[[#This Row],[Plan Entretien]]&amp;".pdf"</f>
        <v>\\stjn.local\trimet\Donnees_Projets\Dms Sap\Maintenance\PlanEntretien\7.MNRJ\\_.pdf</v>
      </c>
      <c r="X659" s="44"/>
      <c r="Y659" s="44"/>
      <c r="Z659" s="41" t="str">
        <f ca="1">IF(AND(Tableau1[[#This Row],[Charge]]&lt;&gt;0, Tableau1[[#This Row],[Nombre intervenants]]&lt;&gt;0,Tableau1[[#This Row],[Lien document]]&lt;&gt;0,Tableau1[[#This Row],[DMS_SAP]]&lt;&gt;0)=TRUE,"MIS A JOUR","")</f>
        <v/>
      </c>
      <c r="AA659" s="45"/>
      <c r="AB659" s="55" t="str">
        <f ca="1">IF(Tableau1[[#This Row],[Date rév.]]&lt;&gt;"", DAYS360(Tableau1[[#This Row],[Date rév.]],TODAY()),"")</f>
        <v/>
      </c>
      <c r="AC659" s="47">
        <f>IFERROR(INDEX(Chemin_accès!$B$11:$C$22,MATCH(Tableau1[[#This Row],[Type]],Chemin_accès!$C$11:$C$22,0),1),Chemin_accès!$B$11)</f>
        <v>0</v>
      </c>
      <c r="AD659" s="47" t="str">
        <f>Chemin_accès!$B$8&amp;Tableau1[[#This Row],[Localisation / Classement]]&amp;"\"&amp;Tableau1[[#This Row],[Poste technique]]&amp;"_"&amp;Tableau1[[#This Row],[Plan Entretien]]&amp;".xlsm"</f>
        <v>\_.xlsm</v>
      </c>
    </row>
    <row r="660" spans="1:30" x14ac:dyDescent="0.3">
      <c r="A660" s="41" t="str">
        <f t="shared" ca="1" si="10"/>
        <v>7.MNRJ</v>
      </c>
      <c r="B6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0" s="43"/>
      <c r="D660" s="41"/>
      <c r="E660" s="41"/>
      <c r="F660" s="44"/>
      <c r="G660" s="44"/>
      <c r="H660" s="48"/>
      <c r="I660" s="48"/>
      <c r="J660" s="48"/>
      <c r="K660" s="48"/>
      <c r="L660" s="43"/>
      <c r="M660" s="44"/>
      <c r="N660" s="43"/>
      <c r="O660" s="43"/>
      <c r="P660" s="44"/>
      <c r="Q660" s="43"/>
      <c r="R660" s="43"/>
      <c r="S660" s="45"/>
      <c r="T660" s="58" t="str">
        <f>IF(Tableau1[[#This Row],[DMS_SAP]]="","",HYPERLINK(Tableau1[[#This Row],[Chemin fichier source]],"X"))</f>
        <v/>
      </c>
      <c r="U660" s="58" t="str">
        <f>IF(Tableau1[[#This Row],[Date rév.]]="","",HYPERLINK(Tableau1[[#This Row],[Lien document]],"X"))</f>
        <v/>
      </c>
      <c r="V660" s="44"/>
      <c r="W660" s="46" t="str">
        <f ca="1">Chemin_accès!$B$2&amp;Tableau1[[#This Row],[Poste Responsable]]&amp;"\"&amp;Tableau1[[#This Row],[Localisation / Classement]]&amp;"\"&amp;Tableau1[[#This Row],[Poste technique]]&amp;"_"&amp;Tableau1[[#This Row],[Plan Entretien]]&amp;".pdf"</f>
        <v>\\stjn.local\trimet\Donnees_Projets\Dms Sap\Maintenance\PlanEntretien\7.MNRJ\\_.pdf</v>
      </c>
      <c r="X660" s="44"/>
      <c r="Y660" s="44"/>
      <c r="Z660" s="41" t="str">
        <f ca="1">IF(AND(Tableau1[[#This Row],[Charge]]&lt;&gt;0, Tableau1[[#This Row],[Nombre intervenants]]&lt;&gt;0,Tableau1[[#This Row],[Lien document]]&lt;&gt;0,Tableau1[[#This Row],[DMS_SAP]]&lt;&gt;0)=TRUE,"MIS A JOUR","")</f>
        <v/>
      </c>
      <c r="AA660" s="45"/>
      <c r="AB660" s="55" t="str">
        <f ca="1">IF(Tableau1[[#This Row],[Date rév.]]&lt;&gt;"", DAYS360(Tableau1[[#This Row],[Date rév.]],TODAY()),"")</f>
        <v/>
      </c>
      <c r="AC660" s="47">
        <f>IFERROR(INDEX(Chemin_accès!$B$11:$C$22,MATCH(Tableau1[[#This Row],[Type]],Chemin_accès!$C$11:$C$22,0),1),Chemin_accès!$B$11)</f>
        <v>0</v>
      </c>
      <c r="AD660" s="47" t="str">
        <f>Chemin_accès!$B$8&amp;Tableau1[[#This Row],[Localisation / Classement]]&amp;"\"&amp;Tableau1[[#This Row],[Poste technique]]&amp;"_"&amp;Tableau1[[#This Row],[Plan Entretien]]&amp;".xlsm"</f>
        <v>\_.xlsm</v>
      </c>
    </row>
    <row r="661" spans="1:30" x14ac:dyDescent="0.3">
      <c r="A661" s="41" t="str">
        <f t="shared" ca="1" si="10"/>
        <v>7.MNRJ</v>
      </c>
      <c r="B6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1" s="43"/>
      <c r="D661" s="41"/>
      <c r="E661" s="41"/>
      <c r="F661" s="44"/>
      <c r="G661" s="44"/>
      <c r="H661" s="48"/>
      <c r="I661" s="48"/>
      <c r="J661" s="48"/>
      <c r="K661" s="48"/>
      <c r="L661" s="43"/>
      <c r="M661" s="44"/>
      <c r="N661" s="43"/>
      <c r="O661" s="43"/>
      <c r="P661" s="44"/>
      <c r="Q661" s="43"/>
      <c r="R661" s="43"/>
      <c r="S661" s="45"/>
      <c r="T661" s="58" t="str">
        <f>IF(Tableau1[[#This Row],[DMS_SAP]]="","",HYPERLINK(Tableau1[[#This Row],[Chemin fichier source]],"X"))</f>
        <v/>
      </c>
      <c r="U661" s="58" t="str">
        <f>IF(Tableau1[[#This Row],[Date rév.]]="","",HYPERLINK(Tableau1[[#This Row],[Lien document]],"X"))</f>
        <v/>
      </c>
      <c r="V661" s="44"/>
      <c r="W661" s="46" t="str">
        <f ca="1">Chemin_accès!$B$2&amp;Tableau1[[#This Row],[Poste Responsable]]&amp;"\"&amp;Tableau1[[#This Row],[Localisation / Classement]]&amp;"\"&amp;Tableau1[[#This Row],[Poste technique]]&amp;"_"&amp;Tableau1[[#This Row],[Plan Entretien]]&amp;".pdf"</f>
        <v>\\stjn.local\trimet\Donnees_Projets\Dms Sap\Maintenance\PlanEntretien\7.MNRJ\\_.pdf</v>
      </c>
      <c r="X661" s="44"/>
      <c r="Y661" s="44"/>
      <c r="Z661" s="41" t="str">
        <f ca="1">IF(AND(Tableau1[[#This Row],[Charge]]&lt;&gt;0, Tableau1[[#This Row],[Nombre intervenants]]&lt;&gt;0,Tableau1[[#This Row],[Lien document]]&lt;&gt;0,Tableau1[[#This Row],[DMS_SAP]]&lt;&gt;0)=TRUE,"MIS A JOUR","")</f>
        <v/>
      </c>
      <c r="AA661" s="45"/>
      <c r="AB661" s="55" t="str">
        <f ca="1">IF(Tableau1[[#This Row],[Date rév.]]&lt;&gt;"", DAYS360(Tableau1[[#This Row],[Date rév.]],TODAY()),"")</f>
        <v/>
      </c>
      <c r="AC661" s="47">
        <f>IFERROR(INDEX(Chemin_accès!$B$11:$C$22,MATCH(Tableau1[[#This Row],[Type]],Chemin_accès!$C$11:$C$22,0),1),Chemin_accès!$B$11)</f>
        <v>0</v>
      </c>
      <c r="AD661" s="47" t="str">
        <f>Chemin_accès!$B$8&amp;Tableau1[[#This Row],[Localisation / Classement]]&amp;"\"&amp;Tableau1[[#This Row],[Poste technique]]&amp;"_"&amp;Tableau1[[#This Row],[Plan Entretien]]&amp;".xlsm"</f>
        <v>\_.xlsm</v>
      </c>
    </row>
    <row r="662" spans="1:30" x14ac:dyDescent="0.3">
      <c r="A662" s="41" t="str">
        <f t="shared" ca="1" si="10"/>
        <v>7.MNRJ</v>
      </c>
      <c r="B6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2" s="43"/>
      <c r="D662" s="41"/>
      <c r="E662" s="41"/>
      <c r="F662" s="44"/>
      <c r="G662" s="44"/>
      <c r="H662" s="48"/>
      <c r="I662" s="48"/>
      <c r="J662" s="48"/>
      <c r="K662" s="48"/>
      <c r="L662" s="43"/>
      <c r="M662" s="44"/>
      <c r="N662" s="43"/>
      <c r="O662" s="43"/>
      <c r="P662" s="44"/>
      <c r="Q662" s="43"/>
      <c r="R662" s="43"/>
      <c r="S662" s="45"/>
      <c r="T662" s="58" t="str">
        <f>IF(Tableau1[[#This Row],[DMS_SAP]]="","",HYPERLINK(Tableau1[[#This Row],[Chemin fichier source]],"X"))</f>
        <v/>
      </c>
      <c r="U662" s="58" t="str">
        <f>IF(Tableau1[[#This Row],[Date rév.]]="","",HYPERLINK(Tableau1[[#This Row],[Lien document]],"X"))</f>
        <v/>
      </c>
      <c r="V662" s="44"/>
      <c r="W662" s="46" t="str">
        <f ca="1">Chemin_accès!$B$2&amp;Tableau1[[#This Row],[Poste Responsable]]&amp;"\"&amp;Tableau1[[#This Row],[Localisation / Classement]]&amp;"\"&amp;Tableau1[[#This Row],[Poste technique]]&amp;"_"&amp;Tableau1[[#This Row],[Plan Entretien]]&amp;".pdf"</f>
        <v>\\stjn.local\trimet\Donnees_Projets\Dms Sap\Maintenance\PlanEntretien\7.MNRJ\\_.pdf</v>
      </c>
      <c r="X662" s="44"/>
      <c r="Y662" s="44"/>
      <c r="Z662" s="41" t="str">
        <f ca="1">IF(AND(Tableau1[[#This Row],[Charge]]&lt;&gt;0, Tableau1[[#This Row],[Nombre intervenants]]&lt;&gt;0,Tableau1[[#This Row],[Lien document]]&lt;&gt;0,Tableau1[[#This Row],[DMS_SAP]]&lt;&gt;0)=TRUE,"MIS A JOUR","")</f>
        <v/>
      </c>
      <c r="AA662" s="45"/>
      <c r="AB662" s="55" t="str">
        <f ca="1">IF(Tableau1[[#This Row],[Date rév.]]&lt;&gt;"", DAYS360(Tableau1[[#This Row],[Date rév.]],TODAY()),"")</f>
        <v/>
      </c>
      <c r="AC662" s="47">
        <f>IFERROR(INDEX(Chemin_accès!$B$11:$C$22,MATCH(Tableau1[[#This Row],[Type]],Chemin_accès!$C$11:$C$22,0),1),Chemin_accès!$B$11)</f>
        <v>0</v>
      </c>
      <c r="AD662" s="47" t="str">
        <f>Chemin_accès!$B$8&amp;Tableau1[[#This Row],[Localisation / Classement]]&amp;"\"&amp;Tableau1[[#This Row],[Poste technique]]&amp;"_"&amp;Tableau1[[#This Row],[Plan Entretien]]&amp;".xlsm"</f>
        <v>\_.xlsm</v>
      </c>
    </row>
    <row r="663" spans="1:30" x14ac:dyDescent="0.3">
      <c r="A663" s="41" t="str">
        <f t="shared" ca="1" si="10"/>
        <v>7.MNRJ</v>
      </c>
      <c r="B6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3" s="43"/>
      <c r="D663" s="41"/>
      <c r="E663" s="41"/>
      <c r="F663" s="44"/>
      <c r="G663" s="44"/>
      <c r="H663" s="48"/>
      <c r="I663" s="48"/>
      <c r="J663" s="48"/>
      <c r="K663" s="48"/>
      <c r="L663" s="43"/>
      <c r="M663" s="44"/>
      <c r="N663" s="43"/>
      <c r="O663" s="43"/>
      <c r="P663" s="44"/>
      <c r="Q663" s="43"/>
      <c r="R663" s="43"/>
      <c r="S663" s="45"/>
      <c r="T663" s="58" t="str">
        <f>IF(Tableau1[[#This Row],[DMS_SAP]]="","",HYPERLINK(Tableau1[[#This Row],[Chemin fichier source]],"X"))</f>
        <v/>
      </c>
      <c r="U663" s="58" t="str">
        <f>IF(Tableau1[[#This Row],[Date rév.]]="","",HYPERLINK(Tableau1[[#This Row],[Lien document]],"X"))</f>
        <v/>
      </c>
      <c r="V663" s="44"/>
      <c r="W663" s="46" t="str">
        <f ca="1">Chemin_accès!$B$2&amp;Tableau1[[#This Row],[Poste Responsable]]&amp;"\"&amp;Tableau1[[#This Row],[Localisation / Classement]]&amp;"\"&amp;Tableau1[[#This Row],[Poste technique]]&amp;"_"&amp;Tableau1[[#This Row],[Plan Entretien]]&amp;".pdf"</f>
        <v>\\stjn.local\trimet\Donnees_Projets\Dms Sap\Maintenance\PlanEntretien\7.MNRJ\\_.pdf</v>
      </c>
      <c r="X663" s="44"/>
      <c r="Y663" s="44"/>
      <c r="Z663" s="41" t="str">
        <f ca="1">IF(AND(Tableau1[[#This Row],[Charge]]&lt;&gt;0, Tableau1[[#This Row],[Nombre intervenants]]&lt;&gt;0,Tableau1[[#This Row],[Lien document]]&lt;&gt;0,Tableau1[[#This Row],[DMS_SAP]]&lt;&gt;0)=TRUE,"MIS A JOUR","")</f>
        <v/>
      </c>
      <c r="AA663" s="45"/>
      <c r="AB663" s="55" t="str">
        <f ca="1">IF(Tableau1[[#This Row],[Date rév.]]&lt;&gt;"", DAYS360(Tableau1[[#This Row],[Date rév.]],TODAY()),"")</f>
        <v/>
      </c>
      <c r="AC663" s="47">
        <f>IFERROR(INDEX(Chemin_accès!$B$11:$C$22,MATCH(Tableau1[[#This Row],[Type]],Chemin_accès!$C$11:$C$22,0),1),Chemin_accès!$B$11)</f>
        <v>0</v>
      </c>
      <c r="AD663" s="47" t="str">
        <f>Chemin_accès!$B$8&amp;Tableau1[[#This Row],[Localisation / Classement]]&amp;"\"&amp;Tableau1[[#This Row],[Poste technique]]&amp;"_"&amp;Tableau1[[#This Row],[Plan Entretien]]&amp;".xlsm"</f>
        <v>\_.xlsm</v>
      </c>
    </row>
    <row r="664" spans="1:30" x14ac:dyDescent="0.3">
      <c r="A664" s="41" t="str">
        <f t="shared" ca="1" si="10"/>
        <v>7.MNRJ</v>
      </c>
      <c r="B6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4" s="43"/>
      <c r="D664" s="41"/>
      <c r="E664" s="41"/>
      <c r="F664" s="44"/>
      <c r="G664" s="44"/>
      <c r="H664" s="48"/>
      <c r="I664" s="48"/>
      <c r="J664" s="48"/>
      <c r="K664" s="48"/>
      <c r="L664" s="43"/>
      <c r="M664" s="44"/>
      <c r="N664" s="43"/>
      <c r="O664" s="43"/>
      <c r="P664" s="44"/>
      <c r="Q664" s="43"/>
      <c r="R664" s="43"/>
      <c r="S664" s="45"/>
      <c r="T664" s="58" t="str">
        <f>IF(Tableau1[[#This Row],[DMS_SAP]]="","",HYPERLINK(Tableau1[[#This Row],[Chemin fichier source]],"X"))</f>
        <v/>
      </c>
      <c r="U664" s="58" t="str">
        <f>IF(Tableau1[[#This Row],[Date rév.]]="","",HYPERLINK(Tableau1[[#This Row],[Lien document]],"X"))</f>
        <v/>
      </c>
      <c r="V664" s="44"/>
      <c r="W664" s="46" t="str">
        <f ca="1">Chemin_accès!$B$2&amp;Tableau1[[#This Row],[Poste Responsable]]&amp;"\"&amp;Tableau1[[#This Row],[Localisation / Classement]]&amp;"\"&amp;Tableau1[[#This Row],[Poste technique]]&amp;"_"&amp;Tableau1[[#This Row],[Plan Entretien]]&amp;".pdf"</f>
        <v>\\stjn.local\trimet\Donnees_Projets\Dms Sap\Maintenance\PlanEntretien\7.MNRJ\\_.pdf</v>
      </c>
      <c r="X664" s="44"/>
      <c r="Y664" s="44"/>
      <c r="Z664" s="41" t="str">
        <f ca="1">IF(AND(Tableau1[[#This Row],[Charge]]&lt;&gt;0, Tableau1[[#This Row],[Nombre intervenants]]&lt;&gt;0,Tableau1[[#This Row],[Lien document]]&lt;&gt;0,Tableau1[[#This Row],[DMS_SAP]]&lt;&gt;0)=TRUE,"MIS A JOUR","")</f>
        <v/>
      </c>
      <c r="AA664" s="45"/>
      <c r="AB664" s="55" t="str">
        <f ca="1">IF(Tableau1[[#This Row],[Date rév.]]&lt;&gt;"", DAYS360(Tableau1[[#This Row],[Date rév.]],TODAY()),"")</f>
        <v/>
      </c>
      <c r="AC664" s="47">
        <f>IFERROR(INDEX(Chemin_accès!$B$11:$C$22,MATCH(Tableau1[[#This Row],[Type]],Chemin_accès!$C$11:$C$22,0),1),Chemin_accès!$B$11)</f>
        <v>0</v>
      </c>
      <c r="AD664" s="47" t="str">
        <f>Chemin_accès!$B$8&amp;Tableau1[[#This Row],[Localisation / Classement]]&amp;"\"&amp;Tableau1[[#This Row],[Poste technique]]&amp;"_"&amp;Tableau1[[#This Row],[Plan Entretien]]&amp;".xlsm"</f>
        <v>\_.xlsm</v>
      </c>
    </row>
    <row r="665" spans="1:30" x14ac:dyDescent="0.3">
      <c r="A665" s="41" t="str">
        <f t="shared" ca="1" si="10"/>
        <v>7.MNRJ</v>
      </c>
      <c r="B6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5" s="43"/>
      <c r="D665" s="41"/>
      <c r="E665" s="41"/>
      <c r="F665" s="44"/>
      <c r="G665" s="44"/>
      <c r="H665" s="48"/>
      <c r="I665" s="48"/>
      <c r="J665" s="48"/>
      <c r="K665" s="48"/>
      <c r="L665" s="43"/>
      <c r="M665" s="44"/>
      <c r="N665" s="43"/>
      <c r="O665" s="43"/>
      <c r="P665" s="44"/>
      <c r="Q665" s="43"/>
      <c r="R665" s="43"/>
      <c r="S665" s="45"/>
      <c r="T665" s="58" t="str">
        <f>IF(Tableau1[[#This Row],[DMS_SAP]]="","",HYPERLINK(Tableau1[[#This Row],[Chemin fichier source]],"X"))</f>
        <v/>
      </c>
      <c r="U665" s="58" t="str">
        <f>IF(Tableau1[[#This Row],[Date rév.]]="","",HYPERLINK(Tableau1[[#This Row],[Lien document]],"X"))</f>
        <v/>
      </c>
      <c r="V665" s="44"/>
      <c r="W665" s="46" t="str">
        <f ca="1">Chemin_accès!$B$2&amp;Tableau1[[#This Row],[Poste Responsable]]&amp;"\"&amp;Tableau1[[#This Row],[Localisation / Classement]]&amp;"\"&amp;Tableau1[[#This Row],[Poste technique]]&amp;"_"&amp;Tableau1[[#This Row],[Plan Entretien]]&amp;".pdf"</f>
        <v>\\stjn.local\trimet\Donnees_Projets\Dms Sap\Maintenance\PlanEntretien\7.MNRJ\\_.pdf</v>
      </c>
      <c r="X665" s="44"/>
      <c r="Y665" s="44"/>
      <c r="Z665" s="41" t="str">
        <f ca="1">IF(AND(Tableau1[[#This Row],[Charge]]&lt;&gt;0, Tableau1[[#This Row],[Nombre intervenants]]&lt;&gt;0,Tableau1[[#This Row],[Lien document]]&lt;&gt;0,Tableau1[[#This Row],[DMS_SAP]]&lt;&gt;0)=TRUE,"MIS A JOUR","")</f>
        <v/>
      </c>
      <c r="AA665" s="45"/>
      <c r="AB665" s="55" t="str">
        <f ca="1">IF(Tableau1[[#This Row],[Date rév.]]&lt;&gt;"", DAYS360(Tableau1[[#This Row],[Date rév.]],TODAY()),"")</f>
        <v/>
      </c>
      <c r="AC665" s="47">
        <f>IFERROR(INDEX(Chemin_accès!$B$11:$C$22,MATCH(Tableau1[[#This Row],[Type]],Chemin_accès!$C$11:$C$22,0),1),Chemin_accès!$B$11)</f>
        <v>0</v>
      </c>
      <c r="AD665" s="47" t="str">
        <f>Chemin_accès!$B$8&amp;Tableau1[[#This Row],[Localisation / Classement]]&amp;"\"&amp;Tableau1[[#This Row],[Poste technique]]&amp;"_"&amp;Tableau1[[#This Row],[Plan Entretien]]&amp;".xlsm"</f>
        <v>\_.xlsm</v>
      </c>
    </row>
    <row r="666" spans="1:30" x14ac:dyDescent="0.3">
      <c r="A666" s="41" t="str">
        <f t="shared" ca="1" si="10"/>
        <v>7.MNRJ</v>
      </c>
      <c r="B6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6" s="43"/>
      <c r="D666" s="41"/>
      <c r="E666" s="41"/>
      <c r="F666" s="44"/>
      <c r="G666" s="44"/>
      <c r="H666" s="48"/>
      <c r="I666" s="48"/>
      <c r="J666" s="48"/>
      <c r="K666" s="48"/>
      <c r="L666" s="43"/>
      <c r="M666" s="44"/>
      <c r="N666" s="43"/>
      <c r="O666" s="43"/>
      <c r="P666" s="44"/>
      <c r="Q666" s="43"/>
      <c r="R666" s="43"/>
      <c r="S666" s="45"/>
      <c r="T666" s="58" t="str">
        <f>IF(Tableau1[[#This Row],[DMS_SAP]]="","",HYPERLINK(Tableau1[[#This Row],[Chemin fichier source]],"X"))</f>
        <v/>
      </c>
      <c r="U666" s="58" t="str">
        <f>IF(Tableau1[[#This Row],[Date rév.]]="","",HYPERLINK(Tableau1[[#This Row],[Lien document]],"X"))</f>
        <v/>
      </c>
      <c r="V666" s="44"/>
      <c r="W666" s="46" t="str">
        <f ca="1">Chemin_accès!$B$2&amp;Tableau1[[#This Row],[Poste Responsable]]&amp;"\"&amp;Tableau1[[#This Row],[Localisation / Classement]]&amp;"\"&amp;Tableau1[[#This Row],[Poste technique]]&amp;"_"&amp;Tableau1[[#This Row],[Plan Entretien]]&amp;".pdf"</f>
        <v>\\stjn.local\trimet\Donnees_Projets\Dms Sap\Maintenance\PlanEntretien\7.MNRJ\\_.pdf</v>
      </c>
      <c r="X666" s="44"/>
      <c r="Y666" s="44"/>
      <c r="Z666" s="41" t="str">
        <f ca="1">IF(AND(Tableau1[[#This Row],[Charge]]&lt;&gt;0, Tableau1[[#This Row],[Nombre intervenants]]&lt;&gt;0,Tableau1[[#This Row],[Lien document]]&lt;&gt;0,Tableau1[[#This Row],[DMS_SAP]]&lt;&gt;0)=TRUE,"MIS A JOUR","")</f>
        <v/>
      </c>
      <c r="AA666" s="45"/>
      <c r="AB666" s="55" t="str">
        <f ca="1">IF(Tableau1[[#This Row],[Date rév.]]&lt;&gt;"", DAYS360(Tableau1[[#This Row],[Date rév.]],TODAY()),"")</f>
        <v/>
      </c>
      <c r="AC666" s="47">
        <f>IFERROR(INDEX(Chemin_accès!$B$11:$C$22,MATCH(Tableau1[[#This Row],[Type]],Chemin_accès!$C$11:$C$22,0),1),Chemin_accès!$B$11)</f>
        <v>0</v>
      </c>
      <c r="AD666" s="47" t="str">
        <f>Chemin_accès!$B$8&amp;Tableau1[[#This Row],[Localisation / Classement]]&amp;"\"&amp;Tableau1[[#This Row],[Poste technique]]&amp;"_"&amp;Tableau1[[#This Row],[Plan Entretien]]&amp;".xlsm"</f>
        <v>\_.xlsm</v>
      </c>
    </row>
    <row r="667" spans="1:30" x14ac:dyDescent="0.3">
      <c r="A667" s="41" t="str">
        <f t="shared" ca="1" si="10"/>
        <v>7.MNRJ</v>
      </c>
      <c r="B6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7" s="43"/>
      <c r="D667" s="41"/>
      <c r="E667" s="41"/>
      <c r="F667" s="44"/>
      <c r="G667" s="44"/>
      <c r="H667" s="48"/>
      <c r="I667" s="48"/>
      <c r="J667" s="48"/>
      <c r="K667" s="48"/>
      <c r="L667" s="43"/>
      <c r="M667" s="44"/>
      <c r="N667" s="43"/>
      <c r="O667" s="43"/>
      <c r="P667" s="44"/>
      <c r="Q667" s="43"/>
      <c r="R667" s="43"/>
      <c r="S667" s="45"/>
      <c r="T667" s="58" t="str">
        <f>IF(Tableau1[[#This Row],[DMS_SAP]]="","",HYPERLINK(Tableau1[[#This Row],[Chemin fichier source]],"X"))</f>
        <v/>
      </c>
      <c r="U667" s="58" t="str">
        <f>IF(Tableau1[[#This Row],[Date rév.]]="","",HYPERLINK(Tableau1[[#This Row],[Lien document]],"X"))</f>
        <v/>
      </c>
      <c r="V667" s="44"/>
      <c r="W667" s="46" t="str">
        <f ca="1">Chemin_accès!$B$2&amp;Tableau1[[#This Row],[Poste Responsable]]&amp;"\"&amp;Tableau1[[#This Row],[Localisation / Classement]]&amp;"\"&amp;Tableau1[[#This Row],[Poste technique]]&amp;"_"&amp;Tableau1[[#This Row],[Plan Entretien]]&amp;".pdf"</f>
        <v>\\stjn.local\trimet\Donnees_Projets\Dms Sap\Maintenance\PlanEntretien\7.MNRJ\\_.pdf</v>
      </c>
      <c r="X667" s="44"/>
      <c r="Y667" s="44"/>
      <c r="Z667" s="41" t="str">
        <f ca="1">IF(AND(Tableau1[[#This Row],[Charge]]&lt;&gt;0, Tableau1[[#This Row],[Nombre intervenants]]&lt;&gt;0,Tableau1[[#This Row],[Lien document]]&lt;&gt;0,Tableau1[[#This Row],[DMS_SAP]]&lt;&gt;0)=TRUE,"MIS A JOUR","")</f>
        <v/>
      </c>
      <c r="AA667" s="45"/>
      <c r="AB667" s="55" t="str">
        <f ca="1">IF(Tableau1[[#This Row],[Date rév.]]&lt;&gt;"", DAYS360(Tableau1[[#This Row],[Date rév.]],TODAY()),"")</f>
        <v/>
      </c>
      <c r="AC667" s="47">
        <f>IFERROR(INDEX(Chemin_accès!$B$11:$C$22,MATCH(Tableau1[[#This Row],[Type]],Chemin_accès!$C$11:$C$22,0),1),Chemin_accès!$B$11)</f>
        <v>0</v>
      </c>
      <c r="AD667" s="47" t="str">
        <f>Chemin_accès!$B$8&amp;Tableau1[[#This Row],[Localisation / Classement]]&amp;"\"&amp;Tableau1[[#This Row],[Poste technique]]&amp;"_"&amp;Tableau1[[#This Row],[Plan Entretien]]&amp;".xlsm"</f>
        <v>\_.xlsm</v>
      </c>
    </row>
    <row r="668" spans="1:30" x14ac:dyDescent="0.3">
      <c r="A668" s="41" t="str">
        <f t="shared" ca="1" si="10"/>
        <v>7.MNRJ</v>
      </c>
      <c r="B6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8" s="43"/>
      <c r="D668" s="41"/>
      <c r="E668" s="41"/>
      <c r="F668" s="44"/>
      <c r="G668" s="44"/>
      <c r="H668" s="48"/>
      <c r="I668" s="48"/>
      <c r="J668" s="48"/>
      <c r="K668" s="48"/>
      <c r="L668" s="43"/>
      <c r="M668" s="44"/>
      <c r="N668" s="43"/>
      <c r="O668" s="43"/>
      <c r="P668" s="44"/>
      <c r="Q668" s="43"/>
      <c r="R668" s="43"/>
      <c r="S668" s="45"/>
      <c r="T668" s="58" t="str">
        <f>IF(Tableau1[[#This Row],[DMS_SAP]]="","",HYPERLINK(Tableau1[[#This Row],[Chemin fichier source]],"X"))</f>
        <v/>
      </c>
      <c r="U668" s="58" t="str">
        <f>IF(Tableau1[[#This Row],[Date rév.]]="","",HYPERLINK(Tableau1[[#This Row],[Lien document]],"X"))</f>
        <v/>
      </c>
      <c r="V668" s="44"/>
      <c r="W668" s="46" t="str">
        <f ca="1">Chemin_accès!$B$2&amp;Tableau1[[#This Row],[Poste Responsable]]&amp;"\"&amp;Tableau1[[#This Row],[Localisation / Classement]]&amp;"\"&amp;Tableau1[[#This Row],[Poste technique]]&amp;"_"&amp;Tableau1[[#This Row],[Plan Entretien]]&amp;".pdf"</f>
        <v>\\stjn.local\trimet\Donnees_Projets\Dms Sap\Maintenance\PlanEntretien\7.MNRJ\\_.pdf</v>
      </c>
      <c r="X668" s="44"/>
      <c r="Y668" s="44"/>
      <c r="Z668" s="41" t="str">
        <f ca="1">IF(AND(Tableau1[[#This Row],[Charge]]&lt;&gt;0, Tableau1[[#This Row],[Nombre intervenants]]&lt;&gt;0,Tableau1[[#This Row],[Lien document]]&lt;&gt;0,Tableau1[[#This Row],[DMS_SAP]]&lt;&gt;0)=TRUE,"MIS A JOUR","")</f>
        <v/>
      </c>
      <c r="AA668" s="45"/>
      <c r="AB668" s="55" t="str">
        <f ca="1">IF(Tableau1[[#This Row],[Date rév.]]&lt;&gt;"", DAYS360(Tableau1[[#This Row],[Date rév.]],TODAY()),"")</f>
        <v/>
      </c>
      <c r="AC668" s="47">
        <f>IFERROR(INDEX(Chemin_accès!$B$11:$C$22,MATCH(Tableau1[[#This Row],[Type]],Chemin_accès!$C$11:$C$22,0),1),Chemin_accès!$B$11)</f>
        <v>0</v>
      </c>
      <c r="AD668" s="47" t="str">
        <f>Chemin_accès!$B$8&amp;Tableau1[[#This Row],[Localisation / Classement]]&amp;"\"&amp;Tableau1[[#This Row],[Poste technique]]&amp;"_"&amp;Tableau1[[#This Row],[Plan Entretien]]&amp;".xlsm"</f>
        <v>\_.xlsm</v>
      </c>
    </row>
    <row r="669" spans="1:30" x14ac:dyDescent="0.3">
      <c r="A669" s="41" t="str">
        <f t="shared" ca="1" si="10"/>
        <v>7.MNRJ</v>
      </c>
      <c r="B6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9" s="43"/>
      <c r="D669" s="41"/>
      <c r="E669" s="41"/>
      <c r="F669" s="44"/>
      <c r="G669" s="44"/>
      <c r="H669" s="48"/>
      <c r="I669" s="48"/>
      <c r="J669" s="48"/>
      <c r="K669" s="48"/>
      <c r="L669" s="43"/>
      <c r="M669" s="44"/>
      <c r="N669" s="43"/>
      <c r="O669" s="43"/>
      <c r="P669" s="44"/>
      <c r="Q669" s="43"/>
      <c r="R669" s="43"/>
      <c r="S669" s="45"/>
      <c r="T669" s="58" t="str">
        <f>IF(Tableau1[[#This Row],[DMS_SAP]]="","",HYPERLINK(Tableau1[[#This Row],[Chemin fichier source]],"X"))</f>
        <v/>
      </c>
      <c r="U669" s="58" t="str">
        <f>IF(Tableau1[[#This Row],[Date rév.]]="","",HYPERLINK(Tableau1[[#This Row],[Lien document]],"X"))</f>
        <v/>
      </c>
      <c r="V669" s="44"/>
      <c r="W669" s="46" t="str">
        <f ca="1">Chemin_accès!$B$2&amp;Tableau1[[#This Row],[Poste Responsable]]&amp;"\"&amp;Tableau1[[#This Row],[Localisation / Classement]]&amp;"\"&amp;Tableau1[[#This Row],[Poste technique]]&amp;"_"&amp;Tableau1[[#This Row],[Plan Entretien]]&amp;".pdf"</f>
        <v>\\stjn.local\trimet\Donnees_Projets\Dms Sap\Maintenance\PlanEntretien\7.MNRJ\\_.pdf</v>
      </c>
      <c r="X669" s="44"/>
      <c r="Y669" s="44"/>
      <c r="Z669" s="41" t="str">
        <f ca="1">IF(AND(Tableau1[[#This Row],[Charge]]&lt;&gt;0, Tableau1[[#This Row],[Nombre intervenants]]&lt;&gt;0,Tableau1[[#This Row],[Lien document]]&lt;&gt;0,Tableau1[[#This Row],[DMS_SAP]]&lt;&gt;0)=TRUE,"MIS A JOUR","")</f>
        <v/>
      </c>
      <c r="AA669" s="45"/>
      <c r="AB669" s="55" t="str">
        <f ca="1">IF(Tableau1[[#This Row],[Date rév.]]&lt;&gt;"", DAYS360(Tableau1[[#This Row],[Date rév.]],TODAY()),"")</f>
        <v/>
      </c>
      <c r="AC669" s="47">
        <f>IFERROR(INDEX(Chemin_accès!$B$11:$C$22,MATCH(Tableau1[[#This Row],[Type]],Chemin_accès!$C$11:$C$22,0),1),Chemin_accès!$B$11)</f>
        <v>0</v>
      </c>
      <c r="AD669" s="47" t="str">
        <f>Chemin_accès!$B$8&amp;Tableau1[[#This Row],[Localisation / Classement]]&amp;"\"&amp;Tableau1[[#This Row],[Poste technique]]&amp;"_"&amp;Tableau1[[#This Row],[Plan Entretien]]&amp;".xlsm"</f>
        <v>\_.xlsm</v>
      </c>
    </row>
    <row r="670" spans="1:30" x14ac:dyDescent="0.3">
      <c r="A670" s="41" t="str">
        <f t="shared" ca="1" si="10"/>
        <v>7.MNRJ</v>
      </c>
      <c r="B6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0" s="43"/>
      <c r="D670" s="41"/>
      <c r="E670" s="41"/>
      <c r="F670" s="44"/>
      <c r="G670" s="44"/>
      <c r="H670" s="48"/>
      <c r="I670" s="48"/>
      <c r="J670" s="48"/>
      <c r="K670" s="48"/>
      <c r="L670" s="43"/>
      <c r="M670" s="44"/>
      <c r="N670" s="43"/>
      <c r="O670" s="43"/>
      <c r="P670" s="44"/>
      <c r="Q670" s="43"/>
      <c r="R670" s="43"/>
      <c r="S670" s="45"/>
      <c r="T670" s="58" t="str">
        <f>IF(Tableau1[[#This Row],[DMS_SAP]]="","",HYPERLINK(Tableau1[[#This Row],[Chemin fichier source]],"X"))</f>
        <v/>
      </c>
      <c r="U670" s="58" t="str">
        <f>IF(Tableau1[[#This Row],[Date rév.]]="","",HYPERLINK(Tableau1[[#This Row],[Lien document]],"X"))</f>
        <v/>
      </c>
      <c r="V670" s="44"/>
      <c r="W670" s="46" t="str">
        <f ca="1">Chemin_accès!$B$2&amp;Tableau1[[#This Row],[Poste Responsable]]&amp;"\"&amp;Tableau1[[#This Row],[Localisation / Classement]]&amp;"\"&amp;Tableau1[[#This Row],[Poste technique]]&amp;"_"&amp;Tableau1[[#This Row],[Plan Entretien]]&amp;".pdf"</f>
        <v>\\stjn.local\trimet\Donnees_Projets\Dms Sap\Maintenance\PlanEntretien\7.MNRJ\\_.pdf</v>
      </c>
      <c r="X670" s="44"/>
      <c r="Y670" s="44"/>
      <c r="Z670" s="41" t="str">
        <f ca="1">IF(AND(Tableau1[[#This Row],[Charge]]&lt;&gt;0, Tableau1[[#This Row],[Nombre intervenants]]&lt;&gt;0,Tableau1[[#This Row],[Lien document]]&lt;&gt;0,Tableau1[[#This Row],[DMS_SAP]]&lt;&gt;0)=TRUE,"MIS A JOUR","")</f>
        <v/>
      </c>
      <c r="AA670" s="45"/>
      <c r="AB670" s="55" t="str">
        <f ca="1">IF(Tableau1[[#This Row],[Date rév.]]&lt;&gt;"", DAYS360(Tableau1[[#This Row],[Date rév.]],TODAY()),"")</f>
        <v/>
      </c>
      <c r="AC670" s="47">
        <f>IFERROR(INDEX(Chemin_accès!$B$11:$C$22,MATCH(Tableau1[[#This Row],[Type]],Chemin_accès!$C$11:$C$22,0),1),Chemin_accès!$B$11)</f>
        <v>0</v>
      </c>
      <c r="AD670" s="47" t="str">
        <f>Chemin_accès!$B$8&amp;Tableau1[[#This Row],[Localisation / Classement]]&amp;"\"&amp;Tableau1[[#This Row],[Poste technique]]&amp;"_"&amp;Tableau1[[#This Row],[Plan Entretien]]&amp;".xlsm"</f>
        <v>\_.xlsm</v>
      </c>
    </row>
    <row r="671" spans="1:30" x14ac:dyDescent="0.3">
      <c r="A671" s="41" t="str">
        <f t="shared" ca="1" si="10"/>
        <v>7.MNRJ</v>
      </c>
      <c r="B6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1" s="43"/>
      <c r="D671" s="41"/>
      <c r="E671" s="41"/>
      <c r="F671" s="44"/>
      <c r="G671" s="44"/>
      <c r="H671" s="48"/>
      <c r="I671" s="48"/>
      <c r="J671" s="48"/>
      <c r="K671" s="48"/>
      <c r="L671" s="43"/>
      <c r="M671" s="44"/>
      <c r="N671" s="43"/>
      <c r="O671" s="43"/>
      <c r="P671" s="44"/>
      <c r="Q671" s="43"/>
      <c r="R671" s="43"/>
      <c r="S671" s="45"/>
      <c r="T671" s="58" t="str">
        <f>IF(Tableau1[[#This Row],[DMS_SAP]]="","",HYPERLINK(Tableau1[[#This Row],[Chemin fichier source]],"X"))</f>
        <v/>
      </c>
      <c r="U671" s="58" t="str">
        <f>IF(Tableau1[[#This Row],[Date rév.]]="","",HYPERLINK(Tableau1[[#This Row],[Lien document]],"X"))</f>
        <v/>
      </c>
      <c r="V671" s="44"/>
      <c r="W671" s="46" t="str">
        <f ca="1">Chemin_accès!$B$2&amp;Tableau1[[#This Row],[Poste Responsable]]&amp;"\"&amp;Tableau1[[#This Row],[Localisation / Classement]]&amp;"\"&amp;Tableau1[[#This Row],[Poste technique]]&amp;"_"&amp;Tableau1[[#This Row],[Plan Entretien]]&amp;".pdf"</f>
        <v>\\stjn.local\trimet\Donnees_Projets\Dms Sap\Maintenance\PlanEntretien\7.MNRJ\\_.pdf</v>
      </c>
      <c r="X671" s="44"/>
      <c r="Y671" s="44"/>
      <c r="Z671" s="41" t="str">
        <f ca="1">IF(AND(Tableau1[[#This Row],[Charge]]&lt;&gt;0, Tableau1[[#This Row],[Nombre intervenants]]&lt;&gt;0,Tableau1[[#This Row],[Lien document]]&lt;&gt;0,Tableau1[[#This Row],[DMS_SAP]]&lt;&gt;0)=TRUE,"MIS A JOUR","")</f>
        <v/>
      </c>
      <c r="AA671" s="45"/>
      <c r="AB671" s="55" t="str">
        <f ca="1">IF(Tableau1[[#This Row],[Date rév.]]&lt;&gt;"", DAYS360(Tableau1[[#This Row],[Date rév.]],TODAY()),"")</f>
        <v/>
      </c>
      <c r="AC671" s="47">
        <f>IFERROR(INDEX(Chemin_accès!$B$11:$C$22,MATCH(Tableau1[[#This Row],[Type]],Chemin_accès!$C$11:$C$22,0),1),Chemin_accès!$B$11)</f>
        <v>0</v>
      </c>
      <c r="AD671" s="47" t="str">
        <f>Chemin_accès!$B$8&amp;Tableau1[[#This Row],[Localisation / Classement]]&amp;"\"&amp;Tableau1[[#This Row],[Poste technique]]&amp;"_"&amp;Tableau1[[#This Row],[Plan Entretien]]&amp;".xlsm"</f>
        <v>\_.xlsm</v>
      </c>
    </row>
    <row r="672" spans="1:30" x14ac:dyDescent="0.3">
      <c r="A672" s="41" t="str">
        <f t="shared" ca="1" si="10"/>
        <v>7.MNRJ</v>
      </c>
      <c r="B6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2" s="43"/>
      <c r="D672" s="41"/>
      <c r="E672" s="41"/>
      <c r="F672" s="44"/>
      <c r="G672" s="44"/>
      <c r="H672" s="48"/>
      <c r="I672" s="48"/>
      <c r="J672" s="48"/>
      <c r="K672" s="48"/>
      <c r="L672" s="43"/>
      <c r="M672" s="44"/>
      <c r="N672" s="43"/>
      <c r="O672" s="43"/>
      <c r="P672" s="44"/>
      <c r="Q672" s="43"/>
      <c r="R672" s="43"/>
      <c r="S672" s="45"/>
      <c r="T672" s="58" t="str">
        <f>IF(Tableau1[[#This Row],[DMS_SAP]]="","",HYPERLINK(Tableau1[[#This Row],[Chemin fichier source]],"X"))</f>
        <v/>
      </c>
      <c r="U672" s="58" t="str">
        <f>IF(Tableau1[[#This Row],[Date rév.]]="","",HYPERLINK(Tableau1[[#This Row],[Lien document]],"X"))</f>
        <v/>
      </c>
      <c r="V672" s="44"/>
      <c r="W672" s="46" t="str">
        <f ca="1">Chemin_accès!$B$2&amp;Tableau1[[#This Row],[Poste Responsable]]&amp;"\"&amp;Tableau1[[#This Row],[Localisation / Classement]]&amp;"\"&amp;Tableau1[[#This Row],[Poste technique]]&amp;"_"&amp;Tableau1[[#This Row],[Plan Entretien]]&amp;".pdf"</f>
        <v>\\stjn.local\trimet\Donnees_Projets\Dms Sap\Maintenance\PlanEntretien\7.MNRJ\\_.pdf</v>
      </c>
      <c r="X672" s="44"/>
      <c r="Y672" s="44"/>
      <c r="Z672" s="41" t="str">
        <f ca="1">IF(AND(Tableau1[[#This Row],[Charge]]&lt;&gt;0, Tableau1[[#This Row],[Nombre intervenants]]&lt;&gt;0,Tableau1[[#This Row],[Lien document]]&lt;&gt;0,Tableau1[[#This Row],[DMS_SAP]]&lt;&gt;0)=TRUE,"MIS A JOUR","")</f>
        <v/>
      </c>
      <c r="AA672" s="45"/>
      <c r="AB672" s="55" t="str">
        <f ca="1">IF(Tableau1[[#This Row],[Date rév.]]&lt;&gt;"", DAYS360(Tableau1[[#This Row],[Date rév.]],TODAY()),"")</f>
        <v/>
      </c>
      <c r="AC672" s="47">
        <f>IFERROR(INDEX(Chemin_accès!$B$11:$C$22,MATCH(Tableau1[[#This Row],[Type]],Chemin_accès!$C$11:$C$22,0),1),Chemin_accès!$B$11)</f>
        <v>0</v>
      </c>
      <c r="AD672" s="47" t="str">
        <f>Chemin_accès!$B$8&amp;Tableau1[[#This Row],[Localisation / Classement]]&amp;"\"&amp;Tableau1[[#This Row],[Poste technique]]&amp;"_"&amp;Tableau1[[#This Row],[Plan Entretien]]&amp;".xlsm"</f>
        <v>\_.xlsm</v>
      </c>
    </row>
    <row r="673" spans="1:30" x14ac:dyDescent="0.3">
      <c r="A673" s="41" t="str">
        <f t="shared" ca="1" si="10"/>
        <v>7.MNRJ</v>
      </c>
      <c r="B6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3" s="43"/>
      <c r="D673" s="41"/>
      <c r="E673" s="41"/>
      <c r="F673" s="44"/>
      <c r="G673" s="44"/>
      <c r="H673" s="48"/>
      <c r="I673" s="48"/>
      <c r="J673" s="48"/>
      <c r="K673" s="48"/>
      <c r="L673" s="43"/>
      <c r="M673" s="44"/>
      <c r="N673" s="43"/>
      <c r="O673" s="43"/>
      <c r="P673" s="44"/>
      <c r="Q673" s="43"/>
      <c r="R673" s="43"/>
      <c r="S673" s="45"/>
      <c r="T673" s="58" t="str">
        <f>IF(Tableau1[[#This Row],[DMS_SAP]]="","",HYPERLINK(Tableau1[[#This Row],[Chemin fichier source]],"X"))</f>
        <v/>
      </c>
      <c r="U673" s="58" t="str">
        <f>IF(Tableau1[[#This Row],[Date rév.]]="","",HYPERLINK(Tableau1[[#This Row],[Lien document]],"X"))</f>
        <v/>
      </c>
      <c r="V673" s="44"/>
      <c r="W673" s="46" t="str">
        <f ca="1">Chemin_accès!$B$2&amp;Tableau1[[#This Row],[Poste Responsable]]&amp;"\"&amp;Tableau1[[#This Row],[Localisation / Classement]]&amp;"\"&amp;Tableau1[[#This Row],[Poste technique]]&amp;"_"&amp;Tableau1[[#This Row],[Plan Entretien]]&amp;".pdf"</f>
        <v>\\stjn.local\trimet\Donnees_Projets\Dms Sap\Maintenance\PlanEntretien\7.MNRJ\\_.pdf</v>
      </c>
      <c r="X673" s="44"/>
      <c r="Y673" s="44"/>
      <c r="Z673" s="41" t="str">
        <f ca="1">IF(AND(Tableau1[[#This Row],[Charge]]&lt;&gt;0, Tableau1[[#This Row],[Nombre intervenants]]&lt;&gt;0,Tableau1[[#This Row],[Lien document]]&lt;&gt;0,Tableau1[[#This Row],[DMS_SAP]]&lt;&gt;0)=TRUE,"MIS A JOUR","")</f>
        <v/>
      </c>
      <c r="AA673" s="45"/>
      <c r="AB673" s="55" t="str">
        <f ca="1">IF(Tableau1[[#This Row],[Date rév.]]&lt;&gt;"", DAYS360(Tableau1[[#This Row],[Date rév.]],TODAY()),"")</f>
        <v/>
      </c>
      <c r="AC673" s="47">
        <f>IFERROR(INDEX(Chemin_accès!$B$11:$C$22,MATCH(Tableau1[[#This Row],[Type]],Chemin_accès!$C$11:$C$22,0),1),Chemin_accès!$B$11)</f>
        <v>0</v>
      </c>
      <c r="AD673" s="47" t="str">
        <f>Chemin_accès!$B$8&amp;Tableau1[[#This Row],[Localisation / Classement]]&amp;"\"&amp;Tableau1[[#This Row],[Poste technique]]&amp;"_"&amp;Tableau1[[#This Row],[Plan Entretien]]&amp;".xlsm"</f>
        <v>\_.xlsm</v>
      </c>
    </row>
    <row r="674" spans="1:30" x14ac:dyDescent="0.3">
      <c r="A674" s="41" t="str">
        <f t="shared" ca="1" si="10"/>
        <v>7.MNRJ</v>
      </c>
      <c r="B6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4" s="43"/>
      <c r="D674" s="41"/>
      <c r="E674" s="41"/>
      <c r="F674" s="44"/>
      <c r="G674" s="44"/>
      <c r="H674" s="48"/>
      <c r="I674" s="48"/>
      <c r="J674" s="48"/>
      <c r="K674" s="48"/>
      <c r="L674" s="43"/>
      <c r="M674" s="44"/>
      <c r="N674" s="43"/>
      <c r="O674" s="43"/>
      <c r="P674" s="44"/>
      <c r="Q674" s="43"/>
      <c r="R674" s="43"/>
      <c r="S674" s="45"/>
      <c r="T674" s="58" t="str">
        <f>IF(Tableau1[[#This Row],[DMS_SAP]]="","",HYPERLINK(Tableau1[[#This Row],[Chemin fichier source]],"X"))</f>
        <v/>
      </c>
      <c r="U674" s="58" t="str">
        <f>IF(Tableau1[[#This Row],[Date rév.]]="","",HYPERLINK(Tableau1[[#This Row],[Lien document]],"X"))</f>
        <v/>
      </c>
      <c r="V674" s="44"/>
      <c r="W674" s="46" t="str">
        <f ca="1">Chemin_accès!$B$2&amp;Tableau1[[#This Row],[Poste Responsable]]&amp;"\"&amp;Tableau1[[#This Row],[Localisation / Classement]]&amp;"\"&amp;Tableau1[[#This Row],[Poste technique]]&amp;"_"&amp;Tableau1[[#This Row],[Plan Entretien]]&amp;".pdf"</f>
        <v>\\stjn.local\trimet\Donnees_Projets\Dms Sap\Maintenance\PlanEntretien\7.MNRJ\\_.pdf</v>
      </c>
      <c r="X674" s="44"/>
      <c r="Y674" s="44"/>
      <c r="Z674" s="41" t="str">
        <f ca="1">IF(AND(Tableau1[[#This Row],[Charge]]&lt;&gt;0, Tableau1[[#This Row],[Nombre intervenants]]&lt;&gt;0,Tableau1[[#This Row],[Lien document]]&lt;&gt;0,Tableau1[[#This Row],[DMS_SAP]]&lt;&gt;0)=TRUE,"MIS A JOUR","")</f>
        <v/>
      </c>
      <c r="AA674" s="45"/>
      <c r="AB674" s="55" t="str">
        <f ca="1">IF(Tableau1[[#This Row],[Date rév.]]&lt;&gt;"", DAYS360(Tableau1[[#This Row],[Date rév.]],TODAY()),"")</f>
        <v/>
      </c>
      <c r="AC674" s="47">
        <f>IFERROR(INDEX(Chemin_accès!$B$11:$C$22,MATCH(Tableau1[[#This Row],[Type]],Chemin_accès!$C$11:$C$22,0),1),Chemin_accès!$B$11)</f>
        <v>0</v>
      </c>
      <c r="AD674" s="47" t="str">
        <f>Chemin_accès!$B$8&amp;Tableau1[[#This Row],[Localisation / Classement]]&amp;"\"&amp;Tableau1[[#This Row],[Poste technique]]&amp;"_"&amp;Tableau1[[#This Row],[Plan Entretien]]&amp;".xlsm"</f>
        <v>\_.xlsm</v>
      </c>
    </row>
    <row r="675" spans="1:30" x14ac:dyDescent="0.3">
      <c r="A675" s="41" t="str">
        <f t="shared" ca="1" si="10"/>
        <v>7.MNRJ</v>
      </c>
      <c r="B6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5" s="43"/>
      <c r="D675" s="41"/>
      <c r="E675" s="41"/>
      <c r="F675" s="44"/>
      <c r="G675" s="44"/>
      <c r="H675" s="48"/>
      <c r="I675" s="48"/>
      <c r="J675" s="48"/>
      <c r="K675" s="48"/>
      <c r="L675" s="43"/>
      <c r="M675" s="44"/>
      <c r="N675" s="43"/>
      <c r="O675" s="43"/>
      <c r="P675" s="44"/>
      <c r="Q675" s="43"/>
      <c r="R675" s="43"/>
      <c r="S675" s="45"/>
      <c r="T675" s="58" t="str">
        <f>IF(Tableau1[[#This Row],[DMS_SAP]]="","",HYPERLINK(Tableau1[[#This Row],[Chemin fichier source]],"X"))</f>
        <v/>
      </c>
      <c r="U675" s="58" t="str">
        <f>IF(Tableau1[[#This Row],[Date rév.]]="","",HYPERLINK(Tableau1[[#This Row],[Lien document]],"X"))</f>
        <v/>
      </c>
      <c r="V675" s="44"/>
      <c r="W675" s="46" t="str">
        <f ca="1">Chemin_accès!$B$2&amp;Tableau1[[#This Row],[Poste Responsable]]&amp;"\"&amp;Tableau1[[#This Row],[Localisation / Classement]]&amp;"\"&amp;Tableau1[[#This Row],[Poste technique]]&amp;"_"&amp;Tableau1[[#This Row],[Plan Entretien]]&amp;".pdf"</f>
        <v>\\stjn.local\trimet\Donnees_Projets\Dms Sap\Maintenance\PlanEntretien\7.MNRJ\\_.pdf</v>
      </c>
      <c r="X675" s="44"/>
      <c r="Y675" s="44"/>
      <c r="Z675" s="41" t="str">
        <f ca="1">IF(AND(Tableau1[[#This Row],[Charge]]&lt;&gt;0, Tableau1[[#This Row],[Nombre intervenants]]&lt;&gt;0,Tableau1[[#This Row],[Lien document]]&lt;&gt;0,Tableau1[[#This Row],[DMS_SAP]]&lt;&gt;0)=TRUE,"MIS A JOUR","")</f>
        <v/>
      </c>
      <c r="AA675" s="45"/>
      <c r="AB675" s="55" t="str">
        <f ca="1">IF(Tableau1[[#This Row],[Date rév.]]&lt;&gt;"", DAYS360(Tableau1[[#This Row],[Date rév.]],TODAY()),"")</f>
        <v/>
      </c>
      <c r="AC675" s="47">
        <f>IFERROR(INDEX(Chemin_accès!$B$11:$C$22,MATCH(Tableau1[[#This Row],[Type]],Chemin_accès!$C$11:$C$22,0),1),Chemin_accès!$B$11)</f>
        <v>0</v>
      </c>
      <c r="AD675" s="47" t="str">
        <f>Chemin_accès!$B$8&amp;Tableau1[[#This Row],[Localisation / Classement]]&amp;"\"&amp;Tableau1[[#This Row],[Poste technique]]&amp;"_"&amp;Tableau1[[#This Row],[Plan Entretien]]&amp;".xlsm"</f>
        <v>\_.xlsm</v>
      </c>
    </row>
    <row r="676" spans="1:30" x14ac:dyDescent="0.3">
      <c r="A676" s="41" t="str">
        <f t="shared" ca="1" si="10"/>
        <v>7.MNRJ</v>
      </c>
      <c r="B6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6" s="43"/>
      <c r="D676" s="41"/>
      <c r="E676" s="41"/>
      <c r="F676" s="44"/>
      <c r="G676" s="44"/>
      <c r="H676" s="48"/>
      <c r="I676" s="48"/>
      <c r="J676" s="48"/>
      <c r="K676" s="48"/>
      <c r="L676" s="43"/>
      <c r="M676" s="44"/>
      <c r="N676" s="43"/>
      <c r="O676" s="43"/>
      <c r="P676" s="44"/>
      <c r="Q676" s="43"/>
      <c r="R676" s="43"/>
      <c r="S676" s="45"/>
      <c r="T676" s="58" t="str">
        <f>IF(Tableau1[[#This Row],[DMS_SAP]]="","",HYPERLINK(Tableau1[[#This Row],[Chemin fichier source]],"X"))</f>
        <v/>
      </c>
      <c r="U676" s="58" t="str">
        <f>IF(Tableau1[[#This Row],[Date rév.]]="","",HYPERLINK(Tableau1[[#This Row],[Lien document]],"X"))</f>
        <v/>
      </c>
      <c r="V676" s="44"/>
      <c r="W676" s="46" t="str">
        <f ca="1">Chemin_accès!$B$2&amp;Tableau1[[#This Row],[Poste Responsable]]&amp;"\"&amp;Tableau1[[#This Row],[Localisation / Classement]]&amp;"\"&amp;Tableau1[[#This Row],[Poste technique]]&amp;"_"&amp;Tableau1[[#This Row],[Plan Entretien]]&amp;".pdf"</f>
        <v>\\stjn.local\trimet\Donnees_Projets\Dms Sap\Maintenance\PlanEntretien\7.MNRJ\\_.pdf</v>
      </c>
      <c r="X676" s="44"/>
      <c r="Y676" s="44"/>
      <c r="Z676" s="41" t="str">
        <f ca="1">IF(AND(Tableau1[[#This Row],[Charge]]&lt;&gt;0, Tableau1[[#This Row],[Nombre intervenants]]&lt;&gt;0,Tableau1[[#This Row],[Lien document]]&lt;&gt;0,Tableau1[[#This Row],[DMS_SAP]]&lt;&gt;0)=TRUE,"MIS A JOUR","")</f>
        <v/>
      </c>
      <c r="AA676" s="45"/>
      <c r="AB676" s="55" t="str">
        <f ca="1">IF(Tableau1[[#This Row],[Date rév.]]&lt;&gt;"", DAYS360(Tableau1[[#This Row],[Date rév.]],TODAY()),"")</f>
        <v/>
      </c>
      <c r="AC676" s="47">
        <f>IFERROR(INDEX(Chemin_accès!$B$11:$C$22,MATCH(Tableau1[[#This Row],[Type]],Chemin_accès!$C$11:$C$22,0),1),Chemin_accès!$B$11)</f>
        <v>0</v>
      </c>
      <c r="AD676" s="47" t="str">
        <f>Chemin_accès!$B$8&amp;Tableau1[[#This Row],[Localisation / Classement]]&amp;"\"&amp;Tableau1[[#This Row],[Poste technique]]&amp;"_"&amp;Tableau1[[#This Row],[Plan Entretien]]&amp;".xlsm"</f>
        <v>\_.xlsm</v>
      </c>
    </row>
    <row r="677" spans="1:30" x14ac:dyDescent="0.3">
      <c r="A677" s="41" t="str">
        <f t="shared" ca="1" si="10"/>
        <v>7.MNRJ</v>
      </c>
      <c r="B6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7" s="43"/>
      <c r="D677" s="41"/>
      <c r="E677" s="41"/>
      <c r="F677" s="44"/>
      <c r="G677" s="44"/>
      <c r="H677" s="48"/>
      <c r="I677" s="48"/>
      <c r="J677" s="48"/>
      <c r="K677" s="48"/>
      <c r="L677" s="43"/>
      <c r="M677" s="44"/>
      <c r="N677" s="43"/>
      <c r="O677" s="43"/>
      <c r="P677" s="44"/>
      <c r="Q677" s="43"/>
      <c r="R677" s="43"/>
      <c r="S677" s="45"/>
      <c r="T677" s="58" t="str">
        <f>IF(Tableau1[[#This Row],[DMS_SAP]]="","",HYPERLINK(Tableau1[[#This Row],[Chemin fichier source]],"X"))</f>
        <v/>
      </c>
      <c r="U677" s="58" t="str">
        <f>IF(Tableau1[[#This Row],[Date rév.]]="","",HYPERLINK(Tableau1[[#This Row],[Lien document]],"X"))</f>
        <v/>
      </c>
      <c r="V677" s="44"/>
      <c r="W677" s="46" t="str">
        <f ca="1">Chemin_accès!$B$2&amp;Tableau1[[#This Row],[Poste Responsable]]&amp;"\"&amp;Tableau1[[#This Row],[Localisation / Classement]]&amp;"\"&amp;Tableau1[[#This Row],[Poste technique]]&amp;"_"&amp;Tableau1[[#This Row],[Plan Entretien]]&amp;".pdf"</f>
        <v>\\stjn.local\trimet\Donnees_Projets\Dms Sap\Maintenance\PlanEntretien\7.MNRJ\\_.pdf</v>
      </c>
      <c r="X677" s="44"/>
      <c r="Y677" s="44"/>
      <c r="Z677" s="41" t="str">
        <f ca="1">IF(AND(Tableau1[[#This Row],[Charge]]&lt;&gt;0, Tableau1[[#This Row],[Nombre intervenants]]&lt;&gt;0,Tableau1[[#This Row],[Lien document]]&lt;&gt;0,Tableau1[[#This Row],[DMS_SAP]]&lt;&gt;0)=TRUE,"MIS A JOUR","")</f>
        <v/>
      </c>
      <c r="AA677" s="45"/>
      <c r="AB677" s="55" t="str">
        <f ca="1">IF(Tableau1[[#This Row],[Date rév.]]&lt;&gt;"", DAYS360(Tableau1[[#This Row],[Date rév.]],TODAY()),"")</f>
        <v/>
      </c>
      <c r="AC677" s="47">
        <f>IFERROR(INDEX(Chemin_accès!$B$11:$C$22,MATCH(Tableau1[[#This Row],[Type]],Chemin_accès!$C$11:$C$22,0),1),Chemin_accès!$B$11)</f>
        <v>0</v>
      </c>
      <c r="AD677" s="47" t="str">
        <f>Chemin_accès!$B$8&amp;Tableau1[[#This Row],[Localisation / Classement]]&amp;"\"&amp;Tableau1[[#This Row],[Poste technique]]&amp;"_"&amp;Tableau1[[#This Row],[Plan Entretien]]&amp;".xlsm"</f>
        <v>\_.xlsm</v>
      </c>
    </row>
    <row r="678" spans="1:30" x14ac:dyDescent="0.3">
      <c r="A678" s="41" t="str">
        <f t="shared" ca="1" si="10"/>
        <v>7.MNRJ</v>
      </c>
      <c r="B6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8" s="43"/>
      <c r="D678" s="41"/>
      <c r="E678" s="41"/>
      <c r="F678" s="44"/>
      <c r="G678" s="44"/>
      <c r="H678" s="48"/>
      <c r="I678" s="48"/>
      <c r="J678" s="48"/>
      <c r="K678" s="48"/>
      <c r="L678" s="43"/>
      <c r="M678" s="44"/>
      <c r="N678" s="43"/>
      <c r="O678" s="43"/>
      <c r="P678" s="44"/>
      <c r="Q678" s="43"/>
      <c r="R678" s="43"/>
      <c r="S678" s="45"/>
      <c r="T678" s="58" t="str">
        <f>IF(Tableau1[[#This Row],[DMS_SAP]]="","",HYPERLINK(Tableau1[[#This Row],[Chemin fichier source]],"X"))</f>
        <v/>
      </c>
      <c r="U678" s="58" t="str">
        <f>IF(Tableau1[[#This Row],[Date rév.]]="","",HYPERLINK(Tableau1[[#This Row],[Lien document]],"X"))</f>
        <v/>
      </c>
      <c r="V678" s="44"/>
      <c r="W678" s="46" t="str">
        <f ca="1">Chemin_accès!$B$2&amp;Tableau1[[#This Row],[Poste Responsable]]&amp;"\"&amp;Tableau1[[#This Row],[Localisation / Classement]]&amp;"\"&amp;Tableau1[[#This Row],[Poste technique]]&amp;"_"&amp;Tableau1[[#This Row],[Plan Entretien]]&amp;".pdf"</f>
        <v>\\stjn.local\trimet\Donnees_Projets\Dms Sap\Maintenance\PlanEntretien\7.MNRJ\\_.pdf</v>
      </c>
      <c r="X678" s="44"/>
      <c r="Y678" s="44"/>
      <c r="Z678" s="41" t="str">
        <f ca="1">IF(AND(Tableau1[[#This Row],[Charge]]&lt;&gt;0, Tableau1[[#This Row],[Nombre intervenants]]&lt;&gt;0,Tableau1[[#This Row],[Lien document]]&lt;&gt;0,Tableau1[[#This Row],[DMS_SAP]]&lt;&gt;0)=TRUE,"MIS A JOUR","")</f>
        <v/>
      </c>
      <c r="AA678" s="45"/>
      <c r="AB678" s="55" t="str">
        <f ca="1">IF(Tableau1[[#This Row],[Date rév.]]&lt;&gt;"", DAYS360(Tableau1[[#This Row],[Date rév.]],TODAY()),"")</f>
        <v/>
      </c>
      <c r="AC678" s="47">
        <f>IFERROR(INDEX(Chemin_accès!$B$11:$C$22,MATCH(Tableau1[[#This Row],[Type]],Chemin_accès!$C$11:$C$22,0),1),Chemin_accès!$B$11)</f>
        <v>0</v>
      </c>
      <c r="AD678" s="47" t="str">
        <f>Chemin_accès!$B$8&amp;Tableau1[[#This Row],[Localisation / Classement]]&amp;"\"&amp;Tableau1[[#This Row],[Poste technique]]&amp;"_"&amp;Tableau1[[#This Row],[Plan Entretien]]&amp;".xlsm"</f>
        <v>\_.xlsm</v>
      </c>
    </row>
    <row r="679" spans="1:30" x14ac:dyDescent="0.3">
      <c r="A679" s="41" t="str">
        <f t="shared" ca="1" si="10"/>
        <v>7.MNRJ</v>
      </c>
      <c r="B6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9" s="43"/>
      <c r="D679" s="41"/>
      <c r="E679" s="41"/>
      <c r="F679" s="44"/>
      <c r="G679" s="44"/>
      <c r="H679" s="48"/>
      <c r="I679" s="48"/>
      <c r="J679" s="48"/>
      <c r="K679" s="48"/>
      <c r="L679" s="43"/>
      <c r="M679" s="44"/>
      <c r="N679" s="43"/>
      <c r="O679" s="43"/>
      <c r="P679" s="44"/>
      <c r="Q679" s="43"/>
      <c r="R679" s="43"/>
      <c r="S679" s="45"/>
      <c r="T679" s="58" t="str">
        <f>IF(Tableau1[[#This Row],[DMS_SAP]]="","",HYPERLINK(Tableau1[[#This Row],[Chemin fichier source]],"X"))</f>
        <v/>
      </c>
      <c r="U679" s="58" t="str">
        <f>IF(Tableau1[[#This Row],[Date rév.]]="","",HYPERLINK(Tableau1[[#This Row],[Lien document]],"X"))</f>
        <v/>
      </c>
      <c r="V679" s="44"/>
      <c r="W679" s="46" t="str">
        <f ca="1">Chemin_accès!$B$2&amp;Tableau1[[#This Row],[Poste Responsable]]&amp;"\"&amp;Tableau1[[#This Row],[Localisation / Classement]]&amp;"\"&amp;Tableau1[[#This Row],[Poste technique]]&amp;"_"&amp;Tableau1[[#This Row],[Plan Entretien]]&amp;".pdf"</f>
        <v>\\stjn.local\trimet\Donnees_Projets\Dms Sap\Maintenance\PlanEntretien\7.MNRJ\\_.pdf</v>
      </c>
      <c r="X679" s="44"/>
      <c r="Y679" s="44"/>
      <c r="Z679" s="41" t="str">
        <f ca="1">IF(AND(Tableau1[[#This Row],[Charge]]&lt;&gt;0, Tableau1[[#This Row],[Nombre intervenants]]&lt;&gt;0,Tableau1[[#This Row],[Lien document]]&lt;&gt;0,Tableau1[[#This Row],[DMS_SAP]]&lt;&gt;0)=TRUE,"MIS A JOUR","")</f>
        <v/>
      </c>
      <c r="AA679" s="45"/>
      <c r="AB679" s="55" t="str">
        <f ca="1">IF(Tableau1[[#This Row],[Date rév.]]&lt;&gt;"", DAYS360(Tableau1[[#This Row],[Date rév.]],TODAY()),"")</f>
        <v/>
      </c>
      <c r="AC679" s="47">
        <f>IFERROR(INDEX(Chemin_accès!$B$11:$C$22,MATCH(Tableau1[[#This Row],[Type]],Chemin_accès!$C$11:$C$22,0),1),Chemin_accès!$B$11)</f>
        <v>0</v>
      </c>
      <c r="AD679" s="47" t="str">
        <f>Chemin_accès!$B$8&amp;Tableau1[[#This Row],[Localisation / Classement]]&amp;"\"&amp;Tableau1[[#This Row],[Poste technique]]&amp;"_"&amp;Tableau1[[#This Row],[Plan Entretien]]&amp;".xlsm"</f>
        <v>\_.xlsm</v>
      </c>
    </row>
    <row r="680" spans="1:30" x14ac:dyDescent="0.3">
      <c r="A680" s="41" t="str">
        <f t="shared" ca="1" si="10"/>
        <v>7.MNRJ</v>
      </c>
      <c r="B6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0" s="43"/>
      <c r="D680" s="41"/>
      <c r="E680" s="41"/>
      <c r="F680" s="44"/>
      <c r="G680" s="44"/>
      <c r="H680" s="48"/>
      <c r="I680" s="48"/>
      <c r="J680" s="48"/>
      <c r="K680" s="48"/>
      <c r="L680" s="43"/>
      <c r="M680" s="44"/>
      <c r="N680" s="43"/>
      <c r="O680" s="43"/>
      <c r="P680" s="44"/>
      <c r="Q680" s="43"/>
      <c r="R680" s="43"/>
      <c r="S680" s="45"/>
      <c r="T680" s="58" t="str">
        <f>IF(Tableau1[[#This Row],[DMS_SAP]]="","",HYPERLINK(Tableau1[[#This Row],[Chemin fichier source]],"X"))</f>
        <v/>
      </c>
      <c r="U680" s="58" t="str">
        <f>IF(Tableau1[[#This Row],[Date rév.]]="","",HYPERLINK(Tableau1[[#This Row],[Lien document]],"X"))</f>
        <v/>
      </c>
      <c r="V680" s="44"/>
      <c r="W680" s="46" t="str">
        <f ca="1">Chemin_accès!$B$2&amp;Tableau1[[#This Row],[Poste Responsable]]&amp;"\"&amp;Tableau1[[#This Row],[Localisation / Classement]]&amp;"\"&amp;Tableau1[[#This Row],[Poste technique]]&amp;"_"&amp;Tableau1[[#This Row],[Plan Entretien]]&amp;".pdf"</f>
        <v>\\stjn.local\trimet\Donnees_Projets\Dms Sap\Maintenance\PlanEntretien\7.MNRJ\\_.pdf</v>
      </c>
      <c r="X680" s="44"/>
      <c r="Y680" s="44"/>
      <c r="Z680" s="41" t="str">
        <f ca="1">IF(AND(Tableau1[[#This Row],[Charge]]&lt;&gt;0, Tableau1[[#This Row],[Nombre intervenants]]&lt;&gt;0,Tableau1[[#This Row],[Lien document]]&lt;&gt;0,Tableau1[[#This Row],[DMS_SAP]]&lt;&gt;0)=TRUE,"MIS A JOUR","")</f>
        <v/>
      </c>
      <c r="AA680" s="45"/>
      <c r="AB680" s="55" t="str">
        <f ca="1">IF(Tableau1[[#This Row],[Date rév.]]&lt;&gt;"", DAYS360(Tableau1[[#This Row],[Date rév.]],TODAY()),"")</f>
        <v/>
      </c>
      <c r="AC680" s="47">
        <f>IFERROR(INDEX(Chemin_accès!$B$11:$C$22,MATCH(Tableau1[[#This Row],[Type]],Chemin_accès!$C$11:$C$22,0),1),Chemin_accès!$B$11)</f>
        <v>0</v>
      </c>
      <c r="AD680" s="47" t="str">
        <f>Chemin_accès!$B$8&amp;Tableau1[[#This Row],[Localisation / Classement]]&amp;"\"&amp;Tableau1[[#This Row],[Poste technique]]&amp;"_"&amp;Tableau1[[#This Row],[Plan Entretien]]&amp;".xlsm"</f>
        <v>\_.xlsm</v>
      </c>
    </row>
    <row r="681" spans="1:30" x14ac:dyDescent="0.3">
      <c r="A681" s="41" t="str">
        <f t="shared" ca="1" si="10"/>
        <v>7.MNRJ</v>
      </c>
      <c r="B6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1" s="43"/>
      <c r="D681" s="41"/>
      <c r="E681" s="41"/>
      <c r="F681" s="44"/>
      <c r="G681" s="44"/>
      <c r="H681" s="48"/>
      <c r="I681" s="48"/>
      <c r="J681" s="48"/>
      <c r="K681" s="48"/>
      <c r="L681" s="43"/>
      <c r="M681" s="44"/>
      <c r="N681" s="43"/>
      <c r="O681" s="43"/>
      <c r="P681" s="44"/>
      <c r="Q681" s="43"/>
      <c r="R681" s="43"/>
      <c r="S681" s="45"/>
      <c r="T681" s="58" t="str">
        <f>IF(Tableau1[[#This Row],[DMS_SAP]]="","",HYPERLINK(Tableau1[[#This Row],[Chemin fichier source]],"X"))</f>
        <v/>
      </c>
      <c r="U681" s="58" t="str">
        <f>IF(Tableau1[[#This Row],[Date rév.]]="","",HYPERLINK(Tableau1[[#This Row],[Lien document]],"X"))</f>
        <v/>
      </c>
      <c r="V681" s="44"/>
      <c r="W681" s="46" t="str">
        <f ca="1">Chemin_accès!$B$2&amp;Tableau1[[#This Row],[Poste Responsable]]&amp;"\"&amp;Tableau1[[#This Row],[Localisation / Classement]]&amp;"\"&amp;Tableau1[[#This Row],[Poste technique]]&amp;"_"&amp;Tableau1[[#This Row],[Plan Entretien]]&amp;".pdf"</f>
        <v>\\stjn.local\trimet\Donnees_Projets\Dms Sap\Maintenance\PlanEntretien\7.MNRJ\\_.pdf</v>
      </c>
      <c r="X681" s="44"/>
      <c r="Y681" s="44"/>
      <c r="Z681" s="41" t="str">
        <f ca="1">IF(AND(Tableau1[[#This Row],[Charge]]&lt;&gt;0, Tableau1[[#This Row],[Nombre intervenants]]&lt;&gt;0,Tableau1[[#This Row],[Lien document]]&lt;&gt;0,Tableau1[[#This Row],[DMS_SAP]]&lt;&gt;0)=TRUE,"MIS A JOUR","")</f>
        <v/>
      </c>
      <c r="AA681" s="45"/>
      <c r="AB681" s="55" t="str">
        <f ca="1">IF(Tableau1[[#This Row],[Date rév.]]&lt;&gt;"", DAYS360(Tableau1[[#This Row],[Date rév.]],TODAY()),"")</f>
        <v/>
      </c>
      <c r="AC681" s="47">
        <f>IFERROR(INDEX(Chemin_accès!$B$11:$C$22,MATCH(Tableau1[[#This Row],[Type]],Chemin_accès!$C$11:$C$22,0),1),Chemin_accès!$B$11)</f>
        <v>0</v>
      </c>
      <c r="AD681" s="47" t="str">
        <f>Chemin_accès!$B$8&amp;Tableau1[[#This Row],[Localisation / Classement]]&amp;"\"&amp;Tableau1[[#This Row],[Poste technique]]&amp;"_"&amp;Tableau1[[#This Row],[Plan Entretien]]&amp;".xlsm"</f>
        <v>\_.xlsm</v>
      </c>
    </row>
    <row r="682" spans="1:30" x14ac:dyDescent="0.3">
      <c r="A682" s="41" t="str">
        <f t="shared" ca="1" si="10"/>
        <v>7.MNRJ</v>
      </c>
      <c r="B6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2" s="43"/>
      <c r="D682" s="41"/>
      <c r="E682" s="41"/>
      <c r="F682" s="44"/>
      <c r="G682" s="44"/>
      <c r="H682" s="48"/>
      <c r="I682" s="48"/>
      <c r="J682" s="48"/>
      <c r="K682" s="48"/>
      <c r="L682" s="43"/>
      <c r="M682" s="44"/>
      <c r="N682" s="43"/>
      <c r="O682" s="43"/>
      <c r="P682" s="44"/>
      <c r="Q682" s="43"/>
      <c r="R682" s="43"/>
      <c r="S682" s="45"/>
      <c r="T682" s="58" t="str">
        <f>IF(Tableau1[[#This Row],[DMS_SAP]]="","",HYPERLINK(Tableau1[[#This Row],[Chemin fichier source]],"X"))</f>
        <v/>
      </c>
      <c r="U682" s="58" t="str">
        <f>IF(Tableau1[[#This Row],[Date rév.]]="","",HYPERLINK(Tableau1[[#This Row],[Lien document]],"X"))</f>
        <v/>
      </c>
      <c r="V682" s="44"/>
      <c r="W682" s="46" t="str">
        <f ca="1">Chemin_accès!$B$2&amp;Tableau1[[#This Row],[Poste Responsable]]&amp;"\"&amp;Tableau1[[#This Row],[Localisation / Classement]]&amp;"\"&amp;Tableau1[[#This Row],[Poste technique]]&amp;"_"&amp;Tableau1[[#This Row],[Plan Entretien]]&amp;".pdf"</f>
        <v>\\stjn.local\trimet\Donnees_Projets\Dms Sap\Maintenance\PlanEntretien\7.MNRJ\\_.pdf</v>
      </c>
      <c r="X682" s="44"/>
      <c r="Y682" s="44"/>
      <c r="Z682" s="41" t="str">
        <f ca="1">IF(AND(Tableau1[[#This Row],[Charge]]&lt;&gt;0, Tableau1[[#This Row],[Nombre intervenants]]&lt;&gt;0,Tableau1[[#This Row],[Lien document]]&lt;&gt;0,Tableau1[[#This Row],[DMS_SAP]]&lt;&gt;0)=TRUE,"MIS A JOUR","")</f>
        <v/>
      </c>
      <c r="AA682" s="45"/>
      <c r="AB682" s="55" t="str">
        <f ca="1">IF(Tableau1[[#This Row],[Date rév.]]&lt;&gt;"", DAYS360(Tableau1[[#This Row],[Date rév.]],TODAY()),"")</f>
        <v/>
      </c>
      <c r="AC682" s="47">
        <f>IFERROR(INDEX(Chemin_accès!$B$11:$C$22,MATCH(Tableau1[[#This Row],[Type]],Chemin_accès!$C$11:$C$22,0),1),Chemin_accès!$B$11)</f>
        <v>0</v>
      </c>
      <c r="AD682" s="47" t="str">
        <f>Chemin_accès!$B$8&amp;Tableau1[[#This Row],[Localisation / Classement]]&amp;"\"&amp;Tableau1[[#This Row],[Poste technique]]&amp;"_"&amp;Tableau1[[#This Row],[Plan Entretien]]&amp;".xlsm"</f>
        <v>\_.xlsm</v>
      </c>
    </row>
    <row r="683" spans="1:30" x14ac:dyDescent="0.3">
      <c r="A683" s="41" t="str">
        <f t="shared" ca="1" si="10"/>
        <v>7.MNRJ</v>
      </c>
      <c r="B6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3" s="43"/>
      <c r="D683" s="41"/>
      <c r="E683" s="41"/>
      <c r="F683" s="44"/>
      <c r="G683" s="44"/>
      <c r="H683" s="48"/>
      <c r="I683" s="48"/>
      <c r="J683" s="48"/>
      <c r="K683" s="48"/>
      <c r="L683" s="43"/>
      <c r="M683" s="44"/>
      <c r="N683" s="43"/>
      <c r="O683" s="43"/>
      <c r="P683" s="44"/>
      <c r="Q683" s="43"/>
      <c r="R683" s="43"/>
      <c r="S683" s="45"/>
      <c r="T683" s="58" t="str">
        <f>IF(Tableau1[[#This Row],[DMS_SAP]]="","",HYPERLINK(Tableau1[[#This Row],[Chemin fichier source]],"X"))</f>
        <v/>
      </c>
      <c r="U683" s="58" t="str">
        <f>IF(Tableau1[[#This Row],[Date rév.]]="","",HYPERLINK(Tableau1[[#This Row],[Lien document]],"X"))</f>
        <v/>
      </c>
      <c r="V683" s="44"/>
      <c r="W683" s="46" t="str">
        <f ca="1">Chemin_accès!$B$2&amp;Tableau1[[#This Row],[Poste Responsable]]&amp;"\"&amp;Tableau1[[#This Row],[Localisation / Classement]]&amp;"\"&amp;Tableau1[[#This Row],[Poste technique]]&amp;"_"&amp;Tableau1[[#This Row],[Plan Entretien]]&amp;".pdf"</f>
        <v>\\stjn.local\trimet\Donnees_Projets\Dms Sap\Maintenance\PlanEntretien\7.MNRJ\\_.pdf</v>
      </c>
      <c r="X683" s="44"/>
      <c r="Y683" s="44"/>
      <c r="Z683" s="41" t="str">
        <f ca="1">IF(AND(Tableau1[[#This Row],[Charge]]&lt;&gt;0, Tableau1[[#This Row],[Nombre intervenants]]&lt;&gt;0,Tableau1[[#This Row],[Lien document]]&lt;&gt;0,Tableau1[[#This Row],[DMS_SAP]]&lt;&gt;0)=TRUE,"MIS A JOUR","")</f>
        <v/>
      </c>
      <c r="AA683" s="45"/>
      <c r="AB683" s="55" t="str">
        <f ca="1">IF(Tableau1[[#This Row],[Date rév.]]&lt;&gt;"", DAYS360(Tableau1[[#This Row],[Date rév.]],TODAY()),"")</f>
        <v/>
      </c>
      <c r="AC683" s="47">
        <f>IFERROR(INDEX(Chemin_accès!$B$11:$C$22,MATCH(Tableau1[[#This Row],[Type]],Chemin_accès!$C$11:$C$22,0),1),Chemin_accès!$B$11)</f>
        <v>0</v>
      </c>
      <c r="AD683" s="47" t="str">
        <f>Chemin_accès!$B$8&amp;Tableau1[[#This Row],[Localisation / Classement]]&amp;"\"&amp;Tableau1[[#This Row],[Poste technique]]&amp;"_"&amp;Tableau1[[#This Row],[Plan Entretien]]&amp;".xlsm"</f>
        <v>\_.xlsm</v>
      </c>
    </row>
    <row r="684" spans="1:30" x14ac:dyDescent="0.3">
      <c r="A684" s="41" t="str">
        <f t="shared" ca="1" si="10"/>
        <v>7.MNRJ</v>
      </c>
      <c r="B6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4" s="43"/>
      <c r="D684" s="41"/>
      <c r="E684" s="41"/>
      <c r="F684" s="44"/>
      <c r="G684" s="44"/>
      <c r="H684" s="48"/>
      <c r="I684" s="48"/>
      <c r="J684" s="48"/>
      <c r="K684" s="48"/>
      <c r="L684" s="43"/>
      <c r="M684" s="44"/>
      <c r="N684" s="43"/>
      <c r="O684" s="43"/>
      <c r="P684" s="44"/>
      <c r="Q684" s="43"/>
      <c r="R684" s="43"/>
      <c r="S684" s="45"/>
      <c r="T684" s="58" t="str">
        <f>IF(Tableau1[[#This Row],[DMS_SAP]]="","",HYPERLINK(Tableau1[[#This Row],[Chemin fichier source]],"X"))</f>
        <v/>
      </c>
      <c r="U684" s="58" t="str">
        <f>IF(Tableau1[[#This Row],[Date rév.]]="","",HYPERLINK(Tableau1[[#This Row],[Lien document]],"X"))</f>
        <v/>
      </c>
      <c r="V684" s="44"/>
      <c r="W684" s="46" t="str">
        <f ca="1">Chemin_accès!$B$2&amp;Tableau1[[#This Row],[Poste Responsable]]&amp;"\"&amp;Tableau1[[#This Row],[Localisation / Classement]]&amp;"\"&amp;Tableau1[[#This Row],[Poste technique]]&amp;"_"&amp;Tableau1[[#This Row],[Plan Entretien]]&amp;".pdf"</f>
        <v>\\stjn.local\trimet\Donnees_Projets\Dms Sap\Maintenance\PlanEntretien\7.MNRJ\\_.pdf</v>
      </c>
      <c r="X684" s="44"/>
      <c r="Y684" s="44"/>
      <c r="Z684" s="41" t="str">
        <f ca="1">IF(AND(Tableau1[[#This Row],[Charge]]&lt;&gt;0, Tableau1[[#This Row],[Nombre intervenants]]&lt;&gt;0,Tableau1[[#This Row],[Lien document]]&lt;&gt;0,Tableau1[[#This Row],[DMS_SAP]]&lt;&gt;0)=TRUE,"MIS A JOUR","")</f>
        <v/>
      </c>
      <c r="AA684" s="45"/>
      <c r="AB684" s="55" t="str">
        <f ca="1">IF(Tableau1[[#This Row],[Date rév.]]&lt;&gt;"", DAYS360(Tableau1[[#This Row],[Date rév.]],TODAY()),"")</f>
        <v/>
      </c>
      <c r="AC684" s="47">
        <f>IFERROR(INDEX(Chemin_accès!$B$11:$C$22,MATCH(Tableau1[[#This Row],[Type]],Chemin_accès!$C$11:$C$22,0),1),Chemin_accès!$B$11)</f>
        <v>0</v>
      </c>
      <c r="AD684" s="47" t="str">
        <f>Chemin_accès!$B$8&amp;Tableau1[[#This Row],[Localisation / Classement]]&amp;"\"&amp;Tableau1[[#This Row],[Poste technique]]&amp;"_"&amp;Tableau1[[#This Row],[Plan Entretien]]&amp;".xlsm"</f>
        <v>\_.xlsm</v>
      </c>
    </row>
    <row r="685" spans="1:30" x14ac:dyDescent="0.3">
      <c r="A685" s="41" t="str">
        <f t="shared" ca="1" si="10"/>
        <v>7.MNRJ</v>
      </c>
      <c r="B6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5" s="43"/>
      <c r="D685" s="41"/>
      <c r="E685" s="41"/>
      <c r="F685" s="44"/>
      <c r="G685" s="44"/>
      <c r="H685" s="48"/>
      <c r="I685" s="48"/>
      <c r="J685" s="48"/>
      <c r="K685" s="48"/>
      <c r="L685" s="43"/>
      <c r="M685" s="44"/>
      <c r="N685" s="43"/>
      <c r="O685" s="43"/>
      <c r="P685" s="44"/>
      <c r="Q685" s="43"/>
      <c r="R685" s="43"/>
      <c r="S685" s="45"/>
      <c r="T685" s="58" t="str">
        <f>IF(Tableau1[[#This Row],[DMS_SAP]]="","",HYPERLINK(Tableau1[[#This Row],[Chemin fichier source]],"X"))</f>
        <v/>
      </c>
      <c r="U685" s="58" t="str">
        <f>IF(Tableau1[[#This Row],[Date rév.]]="","",HYPERLINK(Tableau1[[#This Row],[Lien document]],"X"))</f>
        <v/>
      </c>
      <c r="V685" s="44"/>
      <c r="W685" s="46" t="str">
        <f ca="1">Chemin_accès!$B$2&amp;Tableau1[[#This Row],[Poste Responsable]]&amp;"\"&amp;Tableau1[[#This Row],[Localisation / Classement]]&amp;"\"&amp;Tableau1[[#This Row],[Poste technique]]&amp;"_"&amp;Tableau1[[#This Row],[Plan Entretien]]&amp;".pdf"</f>
        <v>\\stjn.local\trimet\Donnees_Projets\Dms Sap\Maintenance\PlanEntretien\7.MNRJ\\_.pdf</v>
      </c>
      <c r="X685" s="44"/>
      <c r="Y685" s="44"/>
      <c r="Z685" s="41" t="str">
        <f ca="1">IF(AND(Tableau1[[#This Row],[Charge]]&lt;&gt;0, Tableau1[[#This Row],[Nombre intervenants]]&lt;&gt;0,Tableau1[[#This Row],[Lien document]]&lt;&gt;0,Tableau1[[#This Row],[DMS_SAP]]&lt;&gt;0)=TRUE,"MIS A JOUR","")</f>
        <v/>
      </c>
      <c r="AA685" s="45"/>
      <c r="AB685" s="55" t="str">
        <f ca="1">IF(Tableau1[[#This Row],[Date rév.]]&lt;&gt;"", DAYS360(Tableau1[[#This Row],[Date rév.]],TODAY()),"")</f>
        <v/>
      </c>
      <c r="AC685" s="47">
        <f>IFERROR(INDEX(Chemin_accès!$B$11:$C$22,MATCH(Tableau1[[#This Row],[Type]],Chemin_accès!$C$11:$C$22,0),1),Chemin_accès!$B$11)</f>
        <v>0</v>
      </c>
      <c r="AD685" s="47" t="str">
        <f>Chemin_accès!$B$8&amp;Tableau1[[#This Row],[Localisation / Classement]]&amp;"\"&amp;Tableau1[[#This Row],[Poste technique]]&amp;"_"&amp;Tableau1[[#This Row],[Plan Entretien]]&amp;".xlsm"</f>
        <v>\_.xlsm</v>
      </c>
    </row>
    <row r="686" spans="1:30" x14ac:dyDescent="0.3">
      <c r="A686" s="41" t="str">
        <f t="shared" ca="1" si="10"/>
        <v>7.MNRJ</v>
      </c>
      <c r="B6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6" s="43"/>
      <c r="D686" s="41"/>
      <c r="E686" s="41"/>
      <c r="F686" s="44"/>
      <c r="G686" s="44"/>
      <c r="H686" s="48"/>
      <c r="I686" s="48"/>
      <c r="J686" s="48"/>
      <c r="K686" s="48"/>
      <c r="L686" s="43"/>
      <c r="M686" s="44"/>
      <c r="N686" s="43"/>
      <c r="O686" s="43"/>
      <c r="P686" s="44"/>
      <c r="Q686" s="43"/>
      <c r="R686" s="43"/>
      <c r="S686" s="45"/>
      <c r="T686" s="58" t="str">
        <f>IF(Tableau1[[#This Row],[DMS_SAP]]="","",HYPERLINK(Tableau1[[#This Row],[Chemin fichier source]],"X"))</f>
        <v/>
      </c>
      <c r="U686" s="58" t="str">
        <f>IF(Tableau1[[#This Row],[Date rév.]]="","",HYPERLINK(Tableau1[[#This Row],[Lien document]],"X"))</f>
        <v/>
      </c>
      <c r="V686" s="44"/>
      <c r="W686" s="46" t="str">
        <f ca="1">Chemin_accès!$B$2&amp;Tableau1[[#This Row],[Poste Responsable]]&amp;"\"&amp;Tableau1[[#This Row],[Localisation / Classement]]&amp;"\"&amp;Tableau1[[#This Row],[Poste technique]]&amp;"_"&amp;Tableau1[[#This Row],[Plan Entretien]]&amp;".pdf"</f>
        <v>\\stjn.local\trimet\Donnees_Projets\Dms Sap\Maintenance\PlanEntretien\7.MNRJ\\_.pdf</v>
      </c>
      <c r="X686" s="44"/>
      <c r="Y686" s="44"/>
      <c r="Z686" s="41" t="str">
        <f ca="1">IF(AND(Tableau1[[#This Row],[Charge]]&lt;&gt;0, Tableau1[[#This Row],[Nombre intervenants]]&lt;&gt;0,Tableau1[[#This Row],[Lien document]]&lt;&gt;0,Tableau1[[#This Row],[DMS_SAP]]&lt;&gt;0)=TRUE,"MIS A JOUR","")</f>
        <v/>
      </c>
      <c r="AA686" s="45"/>
      <c r="AB686" s="55" t="str">
        <f ca="1">IF(Tableau1[[#This Row],[Date rév.]]&lt;&gt;"", DAYS360(Tableau1[[#This Row],[Date rév.]],TODAY()),"")</f>
        <v/>
      </c>
      <c r="AC686" s="47">
        <f>IFERROR(INDEX(Chemin_accès!$B$11:$C$22,MATCH(Tableau1[[#This Row],[Type]],Chemin_accès!$C$11:$C$22,0),1),Chemin_accès!$B$11)</f>
        <v>0</v>
      </c>
      <c r="AD686" s="47" t="str">
        <f>Chemin_accès!$B$8&amp;Tableau1[[#This Row],[Localisation / Classement]]&amp;"\"&amp;Tableau1[[#This Row],[Poste technique]]&amp;"_"&amp;Tableau1[[#This Row],[Plan Entretien]]&amp;".xlsm"</f>
        <v>\_.xlsm</v>
      </c>
    </row>
    <row r="687" spans="1:30" x14ac:dyDescent="0.3">
      <c r="A687" s="41" t="str">
        <f t="shared" ca="1" si="10"/>
        <v>7.MNRJ</v>
      </c>
      <c r="B6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7" s="43"/>
      <c r="D687" s="41"/>
      <c r="E687" s="41"/>
      <c r="F687" s="44"/>
      <c r="G687" s="44"/>
      <c r="H687" s="48"/>
      <c r="I687" s="48"/>
      <c r="J687" s="48"/>
      <c r="K687" s="48"/>
      <c r="L687" s="43"/>
      <c r="M687" s="44"/>
      <c r="N687" s="43"/>
      <c r="O687" s="43"/>
      <c r="P687" s="44"/>
      <c r="Q687" s="43"/>
      <c r="R687" s="43"/>
      <c r="S687" s="45"/>
      <c r="T687" s="58" t="str">
        <f>IF(Tableau1[[#This Row],[DMS_SAP]]="","",HYPERLINK(Tableau1[[#This Row],[Chemin fichier source]],"X"))</f>
        <v/>
      </c>
      <c r="U687" s="58" t="str">
        <f>IF(Tableau1[[#This Row],[Date rév.]]="","",HYPERLINK(Tableau1[[#This Row],[Lien document]],"X"))</f>
        <v/>
      </c>
      <c r="V687" s="44"/>
      <c r="W687" s="46" t="str">
        <f ca="1">Chemin_accès!$B$2&amp;Tableau1[[#This Row],[Poste Responsable]]&amp;"\"&amp;Tableau1[[#This Row],[Localisation / Classement]]&amp;"\"&amp;Tableau1[[#This Row],[Poste technique]]&amp;"_"&amp;Tableau1[[#This Row],[Plan Entretien]]&amp;".pdf"</f>
        <v>\\stjn.local\trimet\Donnees_Projets\Dms Sap\Maintenance\PlanEntretien\7.MNRJ\\_.pdf</v>
      </c>
      <c r="X687" s="44"/>
      <c r="Y687" s="44"/>
      <c r="Z687" s="41" t="str">
        <f ca="1">IF(AND(Tableau1[[#This Row],[Charge]]&lt;&gt;0, Tableau1[[#This Row],[Nombre intervenants]]&lt;&gt;0,Tableau1[[#This Row],[Lien document]]&lt;&gt;0,Tableau1[[#This Row],[DMS_SAP]]&lt;&gt;0)=TRUE,"MIS A JOUR","")</f>
        <v/>
      </c>
      <c r="AA687" s="45"/>
      <c r="AB687" s="55" t="str">
        <f ca="1">IF(Tableau1[[#This Row],[Date rév.]]&lt;&gt;"", DAYS360(Tableau1[[#This Row],[Date rév.]],TODAY()),"")</f>
        <v/>
      </c>
      <c r="AC687" s="47">
        <f>IFERROR(INDEX(Chemin_accès!$B$11:$C$22,MATCH(Tableau1[[#This Row],[Type]],Chemin_accès!$C$11:$C$22,0),1),Chemin_accès!$B$11)</f>
        <v>0</v>
      </c>
      <c r="AD687" s="47" t="str">
        <f>Chemin_accès!$B$8&amp;Tableau1[[#This Row],[Localisation / Classement]]&amp;"\"&amp;Tableau1[[#This Row],[Poste technique]]&amp;"_"&amp;Tableau1[[#This Row],[Plan Entretien]]&amp;".xlsm"</f>
        <v>\_.xlsm</v>
      </c>
    </row>
    <row r="688" spans="1:30" x14ac:dyDescent="0.3">
      <c r="A688" s="41" t="str">
        <f t="shared" ca="1" si="10"/>
        <v>7.MNRJ</v>
      </c>
      <c r="B6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8" s="43"/>
      <c r="D688" s="41"/>
      <c r="E688" s="41"/>
      <c r="F688" s="44"/>
      <c r="G688" s="44"/>
      <c r="H688" s="48"/>
      <c r="I688" s="48"/>
      <c r="J688" s="48"/>
      <c r="K688" s="48"/>
      <c r="L688" s="43"/>
      <c r="M688" s="44"/>
      <c r="N688" s="43"/>
      <c r="O688" s="43"/>
      <c r="P688" s="44"/>
      <c r="Q688" s="43"/>
      <c r="R688" s="43"/>
      <c r="S688" s="45"/>
      <c r="T688" s="58" t="str">
        <f>IF(Tableau1[[#This Row],[DMS_SAP]]="","",HYPERLINK(Tableau1[[#This Row],[Chemin fichier source]],"X"))</f>
        <v/>
      </c>
      <c r="U688" s="58" t="str">
        <f>IF(Tableau1[[#This Row],[Date rév.]]="","",HYPERLINK(Tableau1[[#This Row],[Lien document]],"X"))</f>
        <v/>
      </c>
      <c r="V688" s="44"/>
      <c r="W688" s="46" t="str">
        <f ca="1">Chemin_accès!$B$2&amp;Tableau1[[#This Row],[Poste Responsable]]&amp;"\"&amp;Tableau1[[#This Row],[Localisation / Classement]]&amp;"\"&amp;Tableau1[[#This Row],[Poste technique]]&amp;"_"&amp;Tableau1[[#This Row],[Plan Entretien]]&amp;".pdf"</f>
        <v>\\stjn.local\trimet\Donnees_Projets\Dms Sap\Maintenance\PlanEntretien\7.MNRJ\\_.pdf</v>
      </c>
      <c r="X688" s="44"/>
      <c r="Y688" s="44"/>
      <c r="Z688" s="41" t="str">
        <f ca="1">IF(AND(Tableau1[[#This Row],[Charge]]&lt;&gt;0, Tableau1[[#This Row],[Nombre intervenants]]&lt;&gt;0,Tableau1[[#This Row],[Lien document]]&lt;&gt;0,Tableau1[[#This Row],[DMS_SAP]]&lt;&gt;0)=TRUE,"MIS A JOUR","")</f>
        <v/>
      </c>
      <c r="AA688" s="45"/>
      <c r="AB688" s="55" t="str">
        <f ca="1">IF(Tableau1[[#This Row],[Date rév.]]&lt;&gt;"", DAYS360(Tableau1[[#This Row],[Date rév.]],TODAY()),"")</f>
        <v/>
      </c>
      <c r="AC688" s="47">
        <f>IFERROR(INDEX(Chemin_accès!$B$11:$C$22,MATCH(Tableau1[[#This Row],[Type]],Chemin_accès!$C$11:$C$22,0),1),Chemin_accès!$B$11)</f>
        <v>0</v>
      </c>
      <c r="AD688" s="47" t="str">
        <f>Chemin_accès!$B$8&amp;Tableau1[[#This Row],[Localisation / Classement]]&amp;"\"&amp;Tableau1[[#This Row],[Poste technique]]&amp;"_"&amp;Tableau1[[#This Row],[Plan Entretien]]&amp;".xlsm"</f>
        <v>\_.xlsm</v>
      </c>
    </row>
    <row r="689" spans="1:30" x14ac:dyDescent="0.3">
      <c r="A689" s="41" t="str">
        <f t="shared" ca="1" si="10"/>
        <v>7.MNRJ</v>
      </c>
      <c r="B6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9" s="43"/>
      <c r="D689" s="41"/>
      <c r="E689" s="41"/>
      <c r="F689" s="44"/>
      <c r="G689" s="44"/>
      <c r="H689" s="48"/>
      <c r="I689" s="48"/>
      <c r="J689" s="48"/>
      <c r="K689" s="48"/>
      <c r="L689" s="43"/>
      <c r="M689" s="44"/>
      <c r="N689" s="43"/>
      <c r="O689" s="43"/>
      <c r="P689" s="44"/>
      <c r="Q689" s="43"/>
      <c r="R689" s="43"/>
      <c r="S689" s="45"/>
      <c r="T689" s="58" t="str">
        <f>IF(Tableau1[[#This Row],[DMS_SAP]]="","",HYPERLINK(Tableau1[[#This Row],[Chemin fichier source]],"X"))</f>
        <v/>
      </c>
      <c r="U689" s="58" t="str">
        <f>IF(Tableau1[[#This Row],[Date rév.]]="","",HYPERLINK(Tableau1[[#This Row],[Lien document]],"X"))</f>
        <v/>
      </c>
      <c r="V689" s="44"/>
      <c r="W689" s="46" t="str">
        <f ca="1">Chemin_accès!$B$2&amp;Tableau1[[#This Row],[Poste Responsable]]&amp;"\"&amp;Tableau1[[#This Row],[Localisation / Classement]]&amp;"\"&amp;Tableau1[[#This Row],[Poste technique]]&amp;"_"&amp;Tableau1[[#This Row],[Plan Entretien]]&amp;".pdf"</f>
        <v>\\stjn.local\trimet\Donnees_Projets\Dms Sap\Maintenance\PlanEntretien\7.MNRJ\\_.pdf</v>
      </c>
      <c r="X689" s="44"/>
      <c r="Y689" s="44"/>
      <c r="Z689" s="41" t="str">
        <f ca="1">IF(AND(Tableau1[[#This Row],[Charge]]&lt;&gt;0, Tableau1[[#This Row],[Nombre intervenants]]&lt;&gt;0,Tableau1[[#This Row],[Lien document]]&lt;&gt;0,Tableau1[[#This Row],[DMS_SAP]]&lt;&gt;0)=TRUE,"MIS A JOUR","")</f>
        <v/>
      </c>
      <c r="AA689" s="45"/>
      <c r="AB689" s="55" t="str">
        <f ca="1">IF(Tableau1[[#This Row],[Date rév.]]&lt;&gt;"", DAYS360(Tableau1[[#This Row],[Date rév.]],TODAY()),"")</f>
        <v/>
      </c>
      <c r="AC689" s="47">
        <f>IFERROR(INDEX(Chemin_accès!$B$11:$C$22,MATCH(Tableau1[[#This Row],[Type]],Chemin_accès!$C$11:$C$22,0),1),Chemin_accès!$B$11)</f>
        <v>0</v>
      </c>
      <c r="AD689" s="47" t="str">
        <f>Chemin_accès!$B$8&amp;Tableau1[[#This Row],[Localisation / Classement]]&amp;"\"&amp;Tableau1[[#This Row],[Poste technique]]&amp;"_"&amp;Tableau1[[#This Row],[Plan Entretien]]&amp;".xlsm"</f>
        <v>\_.xlsm</v>
      </c>
    </row>
    <row r="690" spans="1:30" x14ac:dyDescent="0.3">
      <c r="A690" s="41" t="str">
        <f t="shared" ca="1" si="10"/>
        <v>7.MNRJ</v>
      </c>
      <c r="B6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0" s="43"/>
      <c r="D690" s="41"/>
      <c r="E690" s="41"/>
      <c r="F690" s="44"/>
      <c r="G690" s="44"/>
      <c r="H690" s="48"/>
      <c r="I690" s="48"/>
      <c r="J690" s="48"/>
      <c r="K690" s="48"/>
      <c r="L690" s="43"/>
      <c r="M690" s="44"/>
      <c r="N690" s="43"/>
      <c r="O690" s="43"/>
      <c r="P690" s="44"/>
      <c r="Q690" s="43"/>
      <c r="R690" s="43"/>
      <c r="S690" s="45"/>
      <c r="T690" s="58" t="str">
        <f>IF(Tableau1[[#This Row],[DMS_SAP]]="","",HYPERLINK(Tableau1[[#This Row],[Chemin fichier source]],"X"))</f>
        <v/>
      </c>
      <c r="U690" s="58" t="str">
        <f>IF(Tableau1[[#This Row],[Date rév.]]="","",HYPERLINK(Tableau1[[#This Row],[Lien document]],"X"))</f>
        <v/>
      </c>
      <c r="V690" s="44"/>
      <c r="W690" s="46" t="str">
        <f ca="1">Chemin_accès!$B$2&amp;Tableau1[[#This Row],[Poste Responsable]]&amp;"\"&amp;Tableau1[[#This Row],[Localisation / Classement]]&amp;"\"&amp;Tableau1[[#This Row],[Poste technique]]&amp;"_"&amp;Tableau1[[#This Row],[Plan Entretien]]&amp;".pdf"</f>
        <v>\\stjn.local\trimet\Donnees_Projets\Dms Sap\Maintenance\PlanEntretien\7.MNRJ\\_.pdf</v>
      </c>
      <c r="X690" s="44"/>
      <c r="Y690" s="44"/>
      <c r="Z690" s="41" t="str">
        <f ca="1">IF(AND(Tableau1[[#This Row],[Charge]]&lt;&gt;0, Tableau1[[#This Row],[Nombre intervenants]]&lt;&gt;0,Tableau1[[#This Row],[Lien document]]&lt;&gt;0,Tableau1[[#This Row],[DMS_SAP]]&lt;&gt;0)=TRUE,"MIS A JOUR","")</f>
        <v/>
      </c>
      <c r="AA690" s="45"/>
      <c r="AB690" s="55" t="str">
        <f ca="1">IF(Tableau1[[#This Row],[Date rév.]]&lt;&gt;"", DAYS360(Tableau1[[#This Row],[Date rév.]],TODAY()),"")</f>
        <v/>
      </c>
      <c r="AC690" s="47">
        <f>IFERROR(INDEX(Chemin_accès!$B$11:$C$22,MATCH(Tableau1[[#This Row],[Type]],Chemin_accès!$C$11:$C$22,0),1),Chemin_accès!$B$11)</f>
        <v>0</v>
      </c>
      <c r="AD690" s="47" t="str">
        <f>Chemin_accès!$B$8&amp;Tableau1[[#This Row],[Localisation / Classement]]&amp;"\"&amp;Tableau1[[#This Row],[Poste technique]]&amp;"_"&amp;Tableau1[[#This Row],[Plan Entretien]]&amp;".xlsm"</f>
        <v>\_.xlsm</v>
      </c>
    </row>
    <row r="691" spans="1:30" x14ac:dyDescent="0.3">
      <c r="A691" s="41" t="str">
        <f t="shared" ca="1" si="10"/>
        <v>7.MNRJ</v>
      </c>
      <c r="B6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1" s="43"/>
      <c r="D691" s="41"/>
      <c r="E691" s="41"/>
      <c r="F691" s="44"/>
      <c r="G691" s="44"/>
      <c r="H691" s="48"/>
      <c r="I691" s="48"/>
      <c r="J691" s="48"/>
      <c r="K691" s="48"/>
      <c r="L691" s="43"/>
      <c r="M691" s="44"/>
      <c r="N691" s="43"/>
      <c r="O691" s="43"/>
      <c r="P691" s="44"/>
      <c r="Q691" s="43"/>
      <c r="R691" s="43"/>
      <c r="S691" s="45"/>
      <c r="T691" s="58" t="str">
        <f>IF(Tableau1[[#This Row],[DMS_SAP]]="","",HYPERLINK(Tableau1[[#This Row],[Chemin fichier source]],"X"))</f>
        <v/>
      </c>
      <c r="U691" s="58" t="str">
        <f>IF(Tableau1[[#This Row],[Date rév.]]="","",HYPERLINK(Tableau1[[#This Row],[Lien document]],"X"))</f>
        <v/>
      </c>
      <c r="V691" s="44"/>
      <c r="W691" s="46" t="str">
        <f ca="1">Chemin_accès!$B$2&amp;Tableau1[[#This Row],[Poste Responsable]]&amp;"\"&amp;Tableau1[[#This Row],[Localisation / Classement]]&amp;"\"&amp;Tableau1[[#This Row],[Poste technique]]&amp;"_"&amp;Tableau1[[#This Row],[Plan Entretien]]&amp;".pdf"</f>
        <v>\\stjn.local\trimet\Donnees_Projets\Dms Sap\Maintenance\PlanEntretien\7.MNRJ\\_.pdf</v>
      </c>
      <c r="X691" s="44"/>
      <c r="Y691" s="44"/>
      <c r="Z691" s="41" t="str">
        <f ca="1">IF(AND(Tableau1[[#This Row],[Charge]]&lt;&gt;0, Tableau1[[#This Row],[Nombre intervenants]]&lt;&gt;0,Tableau1[[#This Row],[Lien document]]&lt;&gt;0,Tableau1[[#This Row],[DMS_SAP]]&lt;&gt;0)=TRUE,"MIS A JOUR","")</f>
        <v/>
      </c>
      <c r="AA691" s="45"/>
      <c r="AB691" s="55" t="str">
        <f ca="1">IF(Tableau1[[#This Row],[Date rév.]]&lt;&gt;"", DAYS360(Tableau1[[#This Row],[Date rév.]],TODAY()),"")</f>
        <v/>
      </c>
      <c r="AC691" s="47">
        <f>IFERROR(INDEX(Chemin_accès!$B$11:$C$22,MATCH(Tableau1[[#This Row],[Type]],Chemin_accès!$C$11:$C$22,0),1),Chemin_accès!$B$11)</f>
        <v>0</v>
      </c>
      <c r="AD691" s="47" t="str">
        <f>Chemin_accès!$B$8&amp;Tableau1[[#This Row],[Localisation / Classement]]&amp;"\"&amp;Tableau1[[#This Row],[Poste technique]]&amp;"_"&amp;Tableau1[[#This Row],[Plan Entretien]]&amp;".xlsm"</f>
        <v>\_.xlsm</v>
      </c>
    </row>
    <row r="692" spans="1:30" x14ac:dyDescent="0.3">
      <c r="A692" s="41" t="str">
        <f t="shared" ca="1" si="10"/>
        <v>7.MNRJ</v>
      </c>
      <c r="B6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2" s="43"/>
      <c r="D692" s="41"/>
      <c r="E692" s="41"/>
      <c r="F692" s="44"/>
      <c r="G692" s="44"/>
      <c r="H692" s="48"/>
      <c r="I692" s="48"/>
      <c r="J692" s="48"/>
      <c r="K692" s="48"/>
      <c r="L692" s="43"/>
      <c r="M692" s="44"/>
      <c r="N692" s="43"/>
      <c r="O692" s="43"/>
      <c r="P692" s="44"/>
      <c r="Q692" s="43"/>
      <c r="R692" s="43"/>
      <c r="S692" s="45"/>
      <c r="T692" s="58" t="str">
        <f>IF(Tableau1[[#This Row],[DMS_SAP]]="","",HYPERLINK(Tableau1[[#This Row],[Chemin fichier source]],"X"))</f>
        <v/>
      </c>
      <c r="U692" s="58" t="str">
        <f>IF(Tableau1[[#This Row],[Date rév.]]="","",HYPERLINK(Tableau1[[#This Row],[Lien document]],"X"))</f>
        <v/>
      </c>
      <c r="V692" s="44"/>
      <c r="W692" s="46" t="str">
        <f ca="1">Chemin_accès!$B$2&amp;Tableau1[[#This Row],[Poste Responsable]]&amp;"\"&amp;Tableau1[[#This Row],[Localisation / Classement]]&amp;"\"&amp;Tableau1[[#This Row],[Poste technique]]&amp;"_"&amp;Tableau1[[#This Row],[Plan Entretien]]&amp;".pdf"</f>
        <v>\\stjn.local\trimet\Donnees_Projets\Dms Sap\Maintenance\PlanEntretien\7.MNRJ\\_.pdf</v>
      </c>
      <c r="X692" s="44"/>
      <c r="Y692" s="44"/>
      <c r="Z692" s="41" t="str">
        <f ca="1">IF(AND(Tableau1[[#This Row],[Charge]]&lt;&gt;0, Tableau1[[#This Row],[Nombre intervenants]]&lt;&gt;0,Tableau1[[#This Row],[Lien document]]&lt;&gt;0,Tableau1[[#This Row],[DMS_SAP]]&lt;&gt;0)=TRUE,"MIS A JOUR","")</f>
        <v/>
      </c>
      <c r="AA692" s="45"/>
      <c r="AB692" s="55" t="str">
        <f ca="1">IF(Tableau1[[#This Row],[Date rév.]]&lt;&gt;"", DAYS360(Tableau1[[#This Row],[Date rév.]],TODAY()),"")</f>
        <v/>
      </c>
      <c r="AC692" s="47">
        <f>IFERROR(INDEX(Chemin_accès!$B$11:$C$22,MATCH(Tableau1[[#This Row],[Type]],Chemin_accès!$C$11:$C$22,0),1),Chemin_accès!$B$11)</f>
        <v>0</v>
      </c>
      <c r="AD692" s="47" t="str">
        <f>Chemin_accès!$B$8&amp;Tableau1[[#This Row],[Localisation / Classement]]&amp;"\"&amp;Tableau1[[#This Row],[Poste technique]]&amp;"_"&amp;Tableau1[[#This Row],[Plan Entretien]]&amp;".xlsm"</f>
        <v>\_.xlsm</v>
      </c>
    </row>
    <row r="693" spans="1:30" x14ac:dyDescent="0.3">
      <c r="A693" s="41" t="str">
        <f t="shared" ca="1" si="10"/>
        <v>7.MNRJ</v>
      </c>
      <c r="B6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3" s="43"/>
      <c r="D693" s="41"/>
      <c r="E693" s="41"/>
      <c r="F693" s="44"/>
      <c r="G693" s="44"/>
      <c r="H693" s="48"/>
      <c r="I693" s="48"/>
      <c r="J693" s="48"/>
      <c r="K693" s="48"/>
      <c r="L693" s="43"/>
      <c r="M693" s="44"/>
      <c r="N693" s="43"/>
      <c r="O693" s="43"/>
      <c r="P693" s="44"/>
      <c r="Q693" s="43"/>
      <c r="R693" s="43"/>
      <c r="S693" s="45"/>
      <c r="T693" s="58" t="str">
        <f>IF(Tableau1[[#This Row],[DMS_SAP]]="","",HYPERLINK(Tableau1[[#This Row],[Chemin fichier source]],"X"))</f>
        <v/>
      </c>
      <c r="U693" s="58" t="str">
        <f>IF(Tableau1[[#This Row],[Date rév.]]="","",HYPERLINK(Tableau1[[#This Row],[Lien document]],"X"))</f>
        <v/>
      </c>
      <c r="V693" s="44"/>
      <c r="W693" s="46" t="str">
        <f ca="1">Chemin_accès!$B$2&amp;Tableau1[[#This Row],[Poste Responsable]]&amp;"\"&amp;Tableau1[[#This Row],[Localisation / Classement]]&amp;"\"&amp;Tableau1[[#This Row],[Poste technique]]&amp;"_"&amp;Tableau1[[#This Row],[Plan Entretien]]&amp;".pdf"</f>
        <v>\\stjn.local\trimet\Donnees_Projets\Dms Sap\Maintenance\PlanEntretien\7.MNRJ\\_.pdf</v>
      </c>
      <c r="X693" s="44"/>
      <c r="Y693" s="44"/>
      <c r="Z693" s="41" t="str">
        <f ca="1">IF(AND(Tableau1[[#This Row],[Charge]]&lt;&gt;0, Tableau1[[#This Row],[Nombre intervenants]]&lt;&gt;0,Tableau1[[#This Row],[Lien document]]&lt;&gt;0,Tableau1[[#This Row],[DMS_SAP]]&lt;&gt;0)=TRUE,"MIS A JOUR","")</f>
        <v/>
      </c>
      <c r="AA693" s="45"/>
      <c r="AB693" s="55" t="str">
        <f ca="1">IF(Tableau1[[#This Row],[Date rév.]]&lt;&gt;"", DAYS360(Tableau1[[#This Row],[Date rév.]],TODAY()),"")</f>
        <v/>
      </c>
      <c r="AC693" s="47">
        <f>IFERROR(INDEX(Chemin_accès!$B$11:$C$22,MATCH(Tableau1[[#This Row],[Type]],Chemin_accès!$C$11:$C$22,0),1),Chemin_accès!$B$11)</f>
        <v>0</v>
      </c>
      <c r="AD693" s="47" t="str">
        <f>Chemin_accès!$B$8&amp;Tableau1[[#This Row],[Localisation / Classement]]&amp;"\"&amp;Tableau1[[#This Row],[Poste technique]]&amp;"_"&amp;Tableau1[[#This Row],[Plan Entretien]]&amp;".xlsm"</f>
        <v>\_.xlsm</v>
      </c>
    </row>
    <row r="694" spans="1:30" x14ac:dyDescent="0.3">
      <c r="A694" s="41" t="str">
        <f t="shared" ca="1" si="10"/>
        <v>7.MNRJ</v>
      </c>
      <c r="B6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4" s="43"/>
      <c r="D694" s="41"/>
      <c r="E694" s="41"/>
      <c r="F694" s="44"/>
      <c r="G694" s="44"/>
      <c r="H694" s="48"/>
      <c r="I694" s="48"/>
      <c r="J694" s="48"/>
      <c r="K694" s="48"/>
      <c r="L694" s="43"/>
      <c r="M694" s="44"/>
      <c r="N694" s="43"/>
      <c r="O694" s="43"/>
      <c r="P694" s="44"/>
      <c r="Q694" s="43"/>
      <c r="R694" s="43"/>
      <c r="S694" s="45"/>
      <c r="T694" s="58" t="str">
        <f>IF(Tableau1[[#This Row],[DMS_SAP]]="","",HYPERLINK(Tableau1[[#This Row],[Chemin fichier source]],"X"))</f>
        <v/>
      </c>
      <c r="U694" s="58" t="str">
        <f>IF(Tableau1[[#This Row],[Date rév.]]="","",HYPERLINK(Tableau1[[#This Row],[Lien document]],"X"))</f>
        <v/>
      </c>
      <c r="V694" s="44"/>
      <c r="W694" s="46" t="str">
        <f ca="1">Chemin_accès!$B$2&amp;Tableau1[[#This Row],[Poste Responsable]]&amp;"\"&amp;Tableau1[[#This Row],[Localisation / Classement]]&amp;"\"&amp;Tableau1[[#This Row],[Poste technique]]&amp;"_"&amp;Tableau1[[#This Row],[Plan Entretien]]&amp;".pdf"</f>
        <v>\\stjn.local\trimet\Donnees_Projets\Dms Sap\Maintenance\PlanEntretien\7.MNRJ\\_.pdf</v>
      </c>
      <c r="X694" s="44"/>
      <c r="Y694" s="44"/>
      <c r="Z694" s="41" t="str">
        <f ca="1">IF(AND(Tableau1[[#This Row],[Charge]]&lt;&gt;0, Tableau1[[#This Row],[Nombre intervenants]]&lt;&gt;0,Tableau1[[#This Row],[Lien document]]&lt;&gt;0,Tableau1[[#This Row],[DMS_SAP]]&lt;&gt;0)=TRUE,"MIS A JOUR","")</f>
        <v/>
      </c>
      <c r="AA694" s="45"/>
      <c r="AB694" s="55" t="str">
        <f ca="1">IF(Tableau1[[#This Row],[Date rév.]]&lt;&gt;"", DAYS360(Tableau1[[#This Row],[Date rév.]],TODAY()),"")</f>
        <v/>
      </c>
      <c r="AC694" s="47">
        <f>IFERROR(INDEX(Chemin_accès!$B$11:$C$22,MATCH(Tableau1[[#This Row],[Type]],Chemin_accès!$C$11:$C$22,0),1),Chemin_accès!$B$11)</f>
        <v>0</v>
      </c>
      <c r="AD694" s="47" t="str">
        <f>Chemin_accès!$B$8&amp;Tableau1[[#This Row],[Localisation / Classement]]&amp;"\"&amp;Tableau1[[#This Row],[Poste technique]]&amp;"_"&amp;Tableau1[[#This Row],[Plan Entretien]]&amp;".xlsm"</f>
        <v>\_.xlsm</v>
      </c>
    </row>
    <row r="695" spans="1:30" x14ac:dyDescent="0.3">
      <c r="A695" s="41" t="str">
        <f t="shared" ca="1" si="10"/>
        <v>7.MNRJ</v>
      </c>
      <c r="B6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5" s="43"/>
      <c r="D695" s="41"/>
      <c r="E695" s="41"/>
      <c r="F695" s="44"/>
      <c r="G695" s="44"/>
      <c r="H695" s="48"/>
      <c r="I695" s="48"/>
      <c r="J695" s="48"/>
      <c r="K695" s="48"/>
      <c r="L695" s="43"/>
      <c r="M695" s="44"/>
      <c r="N695" s="43"/>
      <c r="O695" s="43"/>
      <c r="P695" s="44"/>
      <c r="Q695" s="43"/>
      <c r="R695" s="43"/>
      <c r="S695" s="45"/>
      <c r="T695" s="58" t="str">
        <f>IF(Tableau1[[#This Row],[DMS_SAP]]="","",HYPERLINK(Tableau1[[#This Row],[Chemin fichier source]],"X"))</f>
        <v/>
      </c>
      <c r="U695" s="58" t="str">
        <f>IF(Tableau1[[#This Row],[Date rév.]]="","",HYPERLINK(Tableau1[[#This Row],[Lien document]],"X"))</f>
        <v/>
      </c>
      <c r="V695" s="44"/>
      <c r="W695" s="46" t="str">
        <f ca="1">Chemin_accès!$B$2&amp;Tableau1[[#This Row],[Poste Responsable]]&amp;"\"&amp;Tableau1[[#This Row],[Localisation / Classement]]&amp;"\"&amp;Tableau1[[#This Row],[Poste technique]]&amp;"_"&amp;Tableau1[[#This Row],[Plan Entretien]]&amp;".pdf"</f>
        <v>\\stjn.local\trimet\Donnees_Projets\Dms Sap\Maintenance\PlanEntretien\7.MNRJ\\_.pdf</v>
      </c>
      <c r="X695" s="44"/>
      <c r="Y695" s="44"/>
      <c r="Z695" s="41" t="str">
        <f ca="1">IF(AND(Tableau1[[#This Row],[Charge]]&lt;&gt;0, Tableau1[[#This Row],[Nombre intervenants]]&lt;&gt;0,Tableau1[[#This Row],[Lien document]]&lt;&gt;0,Tableau1[[#This Row],[DMS_SAP]]&lt;&gt;0)=TRUE,"MIS A JOUR","")</f>
        <v/>
      </c>
      <c r="AA695" s="45"/>
      <c r="AB695" s="55" t="str">
        <f ca="1">IF(Tableau1[[#This Row],[Date rév.]]&lt;&gt;"", DAYS360(Tableau1[[#This Row],[Date rév.]],TODAY()),"")</f>
        <v/>
      </c>
      <c r="AC695" s="47">
        <f>IFERROR(INDEX(Chemin_accès!$B$11:$C$22,MATCH(Tableau1[[#This Row],[Type]],Chemin_accès!$C$11:$C$22,0),1),Chemin_accès!$B$11)</f>
        <v>0</v>
      </c>
      <c r="AD695" s="47" t="str">
        <f>Chemin_accès!$B$8&amp;Tableau1[[#This Row],[Localisation / Classement]]&amp;"\"&amp;Tableau1[[#This Row],[Poste technique]]&amp;"_"&amp;Tableau1[[#This Row],[Plan Entretien]]&amp;".xlsm"</f>
        <v>\_.xlsm</v>
      </c>
    </row>
    <row r="696" spans="1:30" x14ac:dyDescent="0.3">
      <c r="A696" s="41" t="str">
        <f t="shared" ca="1" si="10"/>
        <v>7.MNRJ</v>
      </c>
      <c r="B6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6" s="43"/>
      <c r="D696" s="41"/>
      <c r="E696" s="41"/>
      <c r="F696" s="44"/>
      <c r="G696" s="44"/>
      <c r="H696" s="48"/>
      <c r="I696" s="48"/>
      <c r="J696" s="48"/>
      <c r="K696" s="48"/>
      <c r="L696" s="43"/>
      <c r="M696" s="44"/>
      <c r="N696" s="43"/>
      <c r="O696" s="43"/>
      <c r="P696" s="44"/>
      <c r="Q696" s="43"/>
      <c r="R696" s="43"/>
      <c r="S696" s="45"/>
      <c r="T696" s="58" t="str">
        <f>IF(Tableau1[[#This Row],[DMS_SAP]]="","",HYPERLINK(Tableau1[[#This Row],[Chemin fichier source]],"X"))</f>
        <v/>
      </c>
      <c r="U696" s="58" t="str">
        <f>IF(Tableau1[[#This Row],[Date rév.]]="","",HYPERLINK(Tableau1[[#This Row],[Lien document]],"X"))</f>
        <v/>
      </c>
      <c r="V696" s="44"/>
      <c r="W696" s="46" t="str">
        <f ca="1">Chemin_accès!$B$2&amp;Tableau1[[#This Row],[Poste Responsable]]&amp;"\"&amp;Tableau1[[#This Row],[Localisation / Classement]]&amp;"\"&amp;Tableau1[[#This Row],[Poste technique]]&amp;"_"&amp;Tableau1[[#This Row],[Plan Entretien]]&amp;".pdf"</f>
        <v>\\stjn.local\trimet\Donnees_Projets\Dms Sap\Maintenance\PlanEntretien\7.MNRJ\\_.pdf</v>
      </c>
      <c r="X696" s="44"/>
      <c r="Y696" s="44"/>
      <c r="Z696" s="41" t="str">
        <f ca="1">IF(AND(Tableau1[[#This Row],[Charge]]&lt;&gt;0, Tableau1[[#This Row],[Nombre intervenants]]&lt;&gt;0,Tableau1[[#This Row],[Lien document]]&lt;&gt;0,Tableau1[[#This Row],[DMS_SAP]]&lt;&gt;0)=TRUE,"MIS A JOUR","")</f>
        <v/>
      </c>
      <c r="AA696" s="45"/>
      <c r="AB696" s="55" t="str">
        <f ca="1">IF(Tableau1[[#This Row],[Date rév.]]&lt;&gt;"", DAYS360(Tableau1[[#This Row],[Date rév.]],TODAY()),"")</f>
        <v/>
      </c>
      <c r="AC696" s="47">
        <f>IFERROR(INDEX(Chemin_accès!$B$11:$C$22,MATCH(Tableau1[[#This Row],[Type]],Chemin_accès!$C$11:$C$22,0),1),Chemin_accès!$B$11)</f>
        <v>0</v>
      </c>
      <c r="AD696" s="47" t="str">
        <f>Chemin_accès!$B$8&amp;Tableau1[[#This Row],[Localisation / Classement]]&amp;"\"&amp;Tableau1[[#This Row],[Poste technique]]&amp;"_"&amp;Tableau1[[#This Row],[Plan Entretien]]&amp;".xlsm"</f>
        <v>\_.xlsm</v>
      </c>
    </row>
    <row r="697" spans="1:30" x14ac:dyDescent="0.3">
      <c r="A697" s="41" t="str">
        <f t="shared" ca="1" si="10"/>
        <v>7.MNRJ</v>
      </c>
      <c r="B6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7" s="43"/>
      <c r="D697" s="41"/>
      <c r="E697" s="41"/>
      <c r="F697" s="44"/>
      <c r="G697" s="44"/>
      <c r="H697" s="48"/>
      <c r="I697" s="48"/>
      <c r="J697" s="48"/>
      <c r="K697" s="48"/>
      <c r="L697" s="43"/>
      <c r="M697" s="44"/>
      <c r="N697" s="43"/>
      <c r="O697" s="43"/>
      <c r="P697" s="44"/>
      <c r="Q697" s="43"/>
      <c r="R697" s="43"/>
      <c r="S697" s="45"/>
      <c r="T697" s="58" t="str">
        <f>IF(Tableau1[[#This Row],[DMS_SAP]]="","",HYPERLINK(Tableau1[[#This Row],[Chemin fichier source]],"X"))</f>
        <v/>
      </c>
      <c r="U697" s="58" t="str">
        <f>IF(Tableau1[[#This Row],[Date rév.]]="","",HYPERLINK(Tableau1[[#This Row],[Lien document]],"X"))</f>
        <v/>
      </c>
      <c r="V697" s="44"/>
      <c r="W697" s="46" t="str">
        <f ca="1">Chemin_accès!$B$2&amp;Tableau1[[#This Row],[Poste Responsable]]&amp;"\"&amp;Tableau1[[#This Row],[Localisation / Classement]]&amp;"\"&amp;Tableau1[[#This Row],[Poste technique]]&amp;"_"&amp;Tableau1[[#This Row],[Plan Entretien]]&amp;".pdf"</f>
        <v>\\stjn.local\trimet\Donnees_Projets\Dms Sap\Maintenance\PlanEntretien\7.MNRJ\\_.pdf</v>
      </c>
      <c r="X697" s="44"/>
      <c r="Y697" s="44"/>
      <c r="Z697" s="41" t="str">
        <f ca="1">IF(AND(Tableau1[[#This Row],[Charge]]&lt;&gt;0, Tableau1[[#This Row],[Nombre intervenants]]&lt;&gt;0,Tableau1[[#This Row],[Lien document]]&lt;&gt;0,Tableau1[[#This Row],[DMS_SAP]]&lt;&gt;0)=TRUE,"MIS A JOUR","")</f>
        <v/>
      </c>
      <c r="AA697" s="45"/>
      <c r="AB697" s="55" t="str">
        <f ca="1">IF(Tableau1[[#This Row],[Date rév.]]&lt;&gt;"", DAYS360(Tableau1[[#This Row],[Date rév.]],TODAY()),"")</f>
        <v/>
      </c>
      <c r="AC697" s="47">
        <f>IFERROR(INDEX(Chemin_accès!$B$11:$C$22,MATCH(Tableau1[[#This Row],[Type]],Chemin_accès!$C$11:$C$22,0),1),Chemin_accès!$B$11)</f>
        <v>0</v>
      </c>
      <c r="AD697" s="47" t="str">
        <f>Chemin_accès!$B$8&amp;Tableau1[[#This Row],[Localisation / Classement]]&amp;"\"&amp;Tableau1[[#This Row],[Poste technique]]&amp;"_"&amp;Tableau1[[#This Row],[Plan Entretien]]&amp;".xlsm"</f>
        <v>\_.xlsm</v>
      </c>
    </row>
    <row r="698" spans="1:30" x14ac:dyDescent="0.3">
      <c r="A698" s="41" t="str">
        <f t="shared" ca="1" si="10"/>
        <v>7.MNRJ</v>
      </c>
      <c r="B6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8" s="43"/>
      <c r="D698" s="41"/>
      <c r="E698" s="41"/>
      <c r="F698" s="44"/>
      <c r="G698" s="44"/>
      <c r="H698" s="48"/>
      <c r="I698" s="48"/>
      <c r="J698" s="48"/>
      <c r="K698" s="48"/>
      <c r="L698" s="43"/>
      <c r="M698" s="44"/>
      <c r="N698" s="43"/>
      <c r="O698" s="43"/>
      <c r="P698" s="44"/>
      <c r="Q698" s="43"/>
      <c r="R698" s="43"/>
      <c r="S698" s="45"/>
      <c r="T698" s="58" t="str">
        <f>IF(Tableau1[[#This Row],[DMS_SAP]]="","",HYPERLINK(Tableau1[[#This Row],[Chemin fichier source]],"X"))</f>
        <v/>
      </c>
      <c r="U698" s="58" t="str">
        <f>IF(Tableau1[[#This Row],[Date rév.]]="","",HYPERLINK(Tableau1[[#This Row],[Lien document]],"X"))</f>
        <v/>
      </c>
      <c r="V698" s="44"/>
      <c r="W698" s="46" t="str">
        <f ca="1">Chemin_accès!$B$2&amp;Tableau1[[#This Row],[Poste Responsable]]&amp;"\"&amp;Tableau1[[#This Row],[Localisation / Classement]]&amp;"\"&amp;Tableau1[[#This Row],[Poste technique]]&amp;"_"&amp;Tableau1[[#This Row],[Plan Entretien]]&amp;".pdf"</f>
        <v>\\stjn.local\trimet\Donnees_Projets\Dms Sap\Maintenance\PlanEntretien\7.MNRJ\\_.pdf</v>
      </c>
      <c r="X698" s="44"/>
      <c r="Y698" s="44"/>
      <c r="Z698" s="41" t="str">
        <f ca="1">IF(AND(Tableau1[[#This Row],[Charge]]&lt;&gt;0, Tableau1[[#This Row],[Nombre intervenants]]&lt;&gt;0,Tableau1[[#This Row],[Lien document]]&lt;&gt;0,Tableau1[[#This Row],[DMS_SAP]]&lt;&gt;0)=TRUE,"MIS A JOUR","")</f>
        <v/>
      </c>
      <c r="AA698" s="45"/>
      <c r="AB698" s="55" t="str">
        <f ca="1">IF(Tableau1[[#This Row],[Date rév.]]&lt;&gt;"", DAYS360(Tableau1[[#This Row],[Date rév.]],TODAY()),"")</f>
        <v/>
      </c>
      <c r="AC698" s="47">
        <f>IFERROR(INDEX(Chemin_accès!$B$11:$C$22,MATCH(Tableau1[[#This Row],[Type]],Chemin_accès!$C$11:$C$22,0),1),Chemin_accès!$B$11)</f>
        <v>0</v>
      </c>
      <c r="AD698" s="47" t="str">
        <f>Chemin_accès!$B$8&amp;Tableau1[[#This Row],[Localisation / Classement]]&amp;"\"&amp;Tableau1[[#This Row],[Poste technique]]&amp;"_"&amp;Tableau1[[#This Row],[Plan Entretien]]&amp;".xlsm"</f>
        <v>\_.xlsm</v>
      </c>
    </row>
    <row r="699" spans="1:30" x14ac:dyDescent="0.3">
      <c r="A699" s="41" t="str">
        <f t="shared" ca="1" si="10"/>
        <v>7.MNRJ</v>
      </c>
      <c r="B6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9" s="43"/>
      <c r="D699" s="41"/>
      <c r="E699" s="41"/>
      <c r="F699" s="44"/>
      <c r="G699" s="44"/>
      <c r="H699" s="48"/>
      <c r="I699" s="48"/>
      <c r="J699" s="48"/>
      <c r="K699" s="48"/>
      <c r="L699" s="43"/>
      <c r="M699" s="44"/>
      <c r="N699" s="43"/>
      <c r="O699" s="43"/>
      <c r="P699" s="44"/>
      <c r="Q699" s="43"/>
      <c r="R699" s="43"/>
      <c r="S699" s="45"/>
      <c r="T699" s="58" t="str">
        <f>IF(Tableau1[[#This Row],[DMS_SAP]]="","",HYPERLINK(Tableau1[[#This Row],[Chemin fichier source]],"X"))</f>
        <v/>
      </c>
      <c r="U699" s="58" t="str">
        <f>IF(Tableau1[[#This Row],[Date rév.]]="","",HYPERLINK(Tableau1[[#This Row],[Lien document]],"X"))</f>
        <v/>
      </c>
      <c r="V699" s="44"/>
      <c r="W699" s="46" t="str">
        <f ca="1">Chemin_accès!$B$2&amp;Tableau1[[#This Row],[Poste Responsable]]&amp;"\"&amp;Tableau1[[#This Row],[Localisation / Classement]]&amp;"\"&amp;Tableau1[[#This Row],[Poste technique]]&amp;"_"&amp;Tableau1[[#This Row],[Plan Entretien]]&amp;".pdf"</f>
        <v>\\stjn.local\trimet\Donnees_Projets\Dms Sap\Maintenance\PlanEntretien\7.MNRJ\\_.pdf</v>
      </c>
      <c r="X699" s="44"/>
      <c r="Y699" s="44"/>
      <c r="Z699" s="41" t="str">
        <f ca="1">IF(AND(Tableau1[[#This Row],[Charge]]&lt;&gt;0, Tableau1[[#This Row],[Nombre intervenants]]&lt;&gt;0,Tableau1[[#This Row],[Lien document]]&lt;&gt;0,Tableau1[[#This Row],[DMS_SAP]]&lt;&gt;0)=TRUE,"MIS A JOUR","")</f>
        <v/>
      </c>
      <c r="AA699" s="45"/>
      <c r="AB699" s="55" t="str">
        <f ca="1">IF(Tableau1[[#This Row],[Date rév.]]&lt;&gt;"", DAYS360(Tableau1[[#This Row],[Date rév.]],TODAY()),"")</f>
        <v/>
      </c>
      <c r="AC699" s="47">
        <f>IFERROR(INDEX(Chemin_accès!$B$11:$C$22,MATCH(Tableau1[[#This Row],[Type]],Chemin_accès!$C$11:$C$22,0),1),Chemin_accès!$B$11)</f>
        <v>0</v>
      </c>
      <c r="AD699" s="47" t="str">
        <f>Chemin_accès!$B$8&amp;Tableau1[[#This Row],[Localisation / Classement]]&amp;"\"&amp;Tableau1[[#This Row],[Poste technique]]&amp;"_"&amp;Tableau1[[#This Row],[Plan Entretien]]&amp;".xlsm"</f>
        <v>\_.xlsm</v>
      </c>
    </row>
    <row r="700" spans="1:30" x14ac:dyDescent="0.3">
      <c r="A700" s="41" t="str">
        <f t="shared" ca="1" si="10"/>
        <v>7.MNRJ</v>
      </c>
      <c r="B7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0" s="43"/>
      <c r="D700" s="41"/>
      <c r="E700" s="41"/>
      <c r="F700" s="44"/>
      <c r="G700" s="44"/>
      <c r="H700" s="48"/>
      <c r="I700" s="48"/>
      <c r="J700" s="48"/>
      <c r="K700" s="48"/>
      <c r="L700" s="43"/>
      <c r="M700" s="44"/>
      <c r="N700" s="43"/>
      <c r="O700" s="43"/>
      <c r="P700" s="44"/>
      <c r="Q700" s="43"/>
      <c r="R700" s="43"/>
      <c r="S700" s="45"/>
      <c r="T700" s="58" t="str">
        <f>IF(Tableau1[[#This Row],[DMS_SAP]]="","",HYPERLINK(Tableau1[[#This Row],[Chemin fichier source]],"X"))</f>
        <v/>
      </c>
      <c r="U700" s="58" t="str">
        <f>IF(Tableau1[[#This Row],[Date rév.]]="","",HYPERLINK(Tableau1[[#This Row],[Lien document]],"X"))</f>
        <v/>
      </c>
      <c r="V700" s="44"/>
      <c r="W700" s="46" t="str">
        <f ca="1">Chemin_accès!$B$2&amp;Tableau1[[#This Row],[Poste Responsable]]&amp;"\"&amp;Tableau1[[#This Row],[Localisation / Classement]]&amp;"\"&amp;Tableau1[[#This Row],[Poste technique]]&amp;"_"&amp;Tableau1[[#This Row],[Plan Entretien]]&amp;".pdf"</f>
        <v>\\stjn.local\trimet\Donnees_Projets\Dms Sap\Maintenance\PlanEntretien\7.MNRJ\\_.pdf</v>
      </c>
      <c r="X700" s="44"/>
      <c r="Y700" s="44"/>
      <c r="Z700" s="41" t="str">
        <f ca="1">IF(AND(Tableau1[[#This Row],[Charge]]&lt;&gt;0, Tableau1[[#This Row],[Nombre intervenants]]&lt;&gt;0,Tableau1[[#This Row],[Lien document]]&lt;&gt;0,Tableau1[[#This Row],[DMS_SAP]]&lt;&gt;0)=TRUE,"MIS A JOUR","")</f>
        <v/>
      </c>
      <c r="AA700" s="45"/>
      <c r="AB700" s="55" t="str">
        <f ca="1">IF(Tableau1[[#This Row],[Date rév.]]&lt;&gt;"", DAYS360(Tableau1[[#This Row],[Date rév.]],TODAY()),"")</f>
        <v/>
      </c>
      <c r="AC700" s="47">
        <f>IFERROR(INDEX(Chemin_accès!$B$11:$C$22,MATCH(Tableau1[[#This Row],[Type]],Chemin_accès!$C$11:$C$22,0),1),Chemin_accès!$B$11)</f>
        <v>0</v>
      </c>
      <c r="AD700" s="47" t="str">
        <f>Chemin_accès!$B$8&amp;Tableau1[[#This Row],[Localisation / Classement]]&amp;"\"&amp;Tableau1[[#This Row],[Poste technique]]&amp;"_"&amp;Tableau1[[#This Row],[Plan Entretien]]&amp;".xlsm"</f>
        <v>\_.xlsm</v>
      </c>
    </row>
    <row r="701" spans="1:30" x14ac:dyDescent="0.3">
      <c r="A701" s="41" t="str">
        <f t="shared" ca="1" si="10"/>
        <v>7.MNRJ</v>
      </c>
      <c r="B7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1" s="43"/>
      <c r="D701" s="41"/>
      <c r="E701" s="41"/>
      <c r="F701" s="44"/>
      <c r="G701" s="44"/>
      <c r="H701" s="48"/>
      <c r="I701" s="48"/>
      <c r="J701" s="48"/>
      <c r="K701" s="48"/>
      <c r="L701" s="43"/>
      <c r="M701" s="44"/>
      <c r="N701" s="43"/>
      <c r="O701" s="43"/>
      <c r="P701" s="44"/>
      <c r="Q701" s="43"/>
      <c r="R701" s="43"/>
      <c r="S701" s="45"/>
      <c r="T701" s="58" t="str">
        <f>IF(Tableau1[[#This Row],[DMS_SAP]]="","",HYPERLINK(Tableau1[[#This Row],[Chemin fichier source]],"X"))</f>
        <v/>
      </c>
      <c r="U701" s="58" t="str">
        <f>IF(Tableau1[[#This Row],[Date rév.]]="","",HYPERLINK(Tableau1[[#This Row],[Lien document]],"X"))</f>
        <v/>
      </c>
      <c r="V701" s="44"/>
      <c r="W701" s="46" t="str">
        <f ca="1">Chemin_accès!$B$2&amp;Tableau1[[#This Row],[Poste Responsable]]&amp;"\"&amp;Tableau1[[#This Row],[Localisation / Classement]]&amp;"\"&amp;Tableau1[[#This Row],[Poste technique]]&amp;"_"&amp;Tableau1[[#This Row],[Plan Entretien]]&amp;".pdf"</f>
        <v>\\stjn.local\trimet\Donnees_Projets\Dms Sap\Maintenance\PlanEntretien\7.MNRJ\\_.pdf</v>
      </c>
      <c r="X701" s="44"/>
      <c r="Y701" s="44"/>
      <c r="Z701" s="41" t="str">
        <f ca="1">IF(AND(Tableau1[[#This Row],[Charge]]&lt;&gt;0, Tableau1[[#This Row],[Nombre intervenants]]&lt;&gt;0,Tableau1[[#This Row],[Lien document]]&lt;&gt;0,Tableau1[[#This Row],[DMS_SAP]]&lt;&gt;0)=TRUE,"MIS A JOUR","")</f>
        <v/>
      </c>
      <c r="AA701" s="45"/>
      <c r="AB701" s="55" t="str">
        <f ca="1">IF(Tableau1[[#This Row],[Date rév.]]&lt;&gt;"", DAYS360(Tableau1[[#This Row],[Date rév.]],TODAY()),"")</f>
        <v/>
      </c>
      <c r="AC701" s="47">
        <f>IFERROR(INDEX(Chemin_accès!$B$11:$C$22,MATCH(Tableau1[[#This Row],[Type]],Chemin_accès!$C$11:$C$22,0),1),Chemin_accès!$B$11)</f>
        <v>0</v>
      </c>
      <c r="AD701" s="47" t="str">
        <f>Chemin_accès!$B$8&amp;Tableau1[[#This Row],[Localisation / Classement]]&amp;"\"&amp;Tableau1[[#This Row],[Poste technique]]&amp;"_"&amp;Tableau1[[#This Row],[Plan Entretien]]&amp;".xlsm"</f>
        <v>\_.xlsm</v>
      </c>
    </row>
    <row r="702" spans="1:30" x14ac:dyDescent="0.3">
      <c r="A702" s="41" t="str">
        <f t="shared" ca="1" si="10"/>
        <v>7.MNRJ</v>
      </c>
      <c r="B7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2" s="43"/>
      <c r="D702" s="41"/>
      <c r="E702" s="41"/>
      <c r="F702" s="44"/>
      <c r="G702" s="44"/>
      <c r="H702" s="48"/>
      <c r="I702" s="48"/>
      <c r="J702" s="48"/>
      <c r="K702" s="48"/>
      <c r="L702" s="43"/>
      <c r="M702" s="44"/>
      <c r="N702" s="43"/>
      <c r="O702" s="43"/>
      <c r="P702" s="44"/>
      <c r="Q702" s="43"/>
      <c r="R702" s="43"/>
      <c r="S702" s="45"/>
      <c r="T702" s="58" t="str">
        <f>IF(Tableau1[[#This Row],[DMS_SAP]]="","",HYPERLINK(Tableau1[[#This Row],[Chemin fichier source]],"X"))</f>
        <v/>
      </c>
      <c r="U702" s="58" t="str">
        <f>IF(Tableau1[[#This Row],[Date rév.]]="","",HYPERLINK(Tableau1[[#This Row],[Lien document]],"X"))</f>
        <v/>
      </c>
      <c r="V702" s="44"/>
      <c r="W702" s="46" t="str">
        <f ca="1">Chemin_accès!$B$2&amp;Tableau1[[#This Row],[Poste Responsable]]&amp;"\"&amp;Tableau1[[#This Row],[Localisation / Classement]]&amp;"\"&amp;Tableau1[[#This Row],[Poste technique]]&amp;"_"&amp;Tableau1[[#This Row],[Plan Entretien]]&amp;".pdf"</f>
        <v>\\stjn.local\trimet\Donnees_Projets\Dms Sap\Maintenance\PlanEntretien\7.MNRJ\\_.pdf</v>
      </c>
      <c r="X702" s="44"/>
      <c r="Y702" s="44"/>
      <c r="Z702" s="41" t="str">
        <f ca="1">IF(AND(Tableau1[[#This Row],[Charge]]&lt;&gt;0, Tableau1[[#This Row],[Nombre intervenants]]&lt;&gt;0,Tableau1[[#This Row],[Lien document]]&lt;&gt;0,Tableau1[[#This Row],[DMS_SAP]]&lt;&gt;0)=TRUE,"MIS A JOUR","")</f>
        <v/>
      </c>
      <c r="AA702" s="45"/>
      <c r="AB702" s="55" t="str">
        <f ca="1">IF(Tableau1[[#This Row],[Date rév.]]&lt;&gt;"", DAYS360(Tableau1[[#This Row],[Date rév.]],TODAY()),"")</f>
        <v/>
      </c>
      <c r="AC702" s="47">
        <f>IFERROR(INDEX(Chemin_accès!$B$11:$C$22,MATCH(Tableau1[[#This Row],[Type]],Chemin_accès!$C$11:$C$22,0),1),Chemin_accès!$B$11)</f>
        <v>0</v>
      </c>
      <c r="AD702" s="47" t="str">
        <f>Chemin_accès!$B$8&amp;Tableau1[[#This Row],[Localisation / Classement]]&amp;"\"&amp;Tableau1[[#This Row],[Poste technique]]&amp;"_"&amp;Tableau1[[#This Row],[Plan Entretien]]&amp;".xlsm"</f>
        <v>\_.xlsm</v>
      </c>
    </row>
    <row r="703" spans="1:30" x14ac:dyDescent="0.3">
      <c r="A703" s="41" t="str">
        <f t="shared" ca="1" si="10"/>
        <v>7.MNRJ</v>
      </c>
      <c r="B7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3" s="43"/>
      <c r="D703" s="41"/>
      <c r="E703" s="41"/>
      <c r="F703" s="44"/>
      <c r="G703" s="44"/>
      <c r="H703" s="48"/>
      <c r="I703" s="48"/>
      <c r="J703" s="48"/>
      <c r="K703" s="48"/>
      <c r="L703" s="43"/>
      <c r="M703" s="44"/>
      <c r="N703" s="43"/>
      <c r="O703" s="43"/>
      <c r="P703" s="44"/>
      <c r="Q703" s="43"/>
      <c r="R703" s="43"/>
      <c r="S703" s="45"/>
      <c r="T703" s="58" t="str">
        <f>IF(Tableau1[[#This Row],[DMS_SAP]]="","",HYPERLINK(Tableau1[[#This Row],[Chemin fichier source]],"X"))</f>
        <v/>
      </c>
      <c r="U703" s="58" t="str">
        <f>IF(Tableau1[[#This Row],[Date rév.]]="","",HYPERLINK(Tableau1[[#This Row],[Lien document]],"X"))</f>
        <v/>
      </c>
      <c r="V703" s="44"/>
      <c r="W703" s="46" t="str">
        <f ca="1">Chemin_accès!$B$2&amp;Tableau1[[#This Row],[Poste Responsable]]&amp;"\"&amp;Tableau1[[#This Row],[Localisation / Classement]]&amp;"\"&amp;Tableau1[[#This Row],[Poste technique]]&amp;"_"&amp;Tableau1[[#This Row],[Plan Entretien]]&amp;".pdf"</f>
        <v>\\stjn.local\trimet\Donnees_Projets\Dms Sap\Maintenance\PlanEntretien\7.MNRJ\\_.pdf</v>
      </c>
      <c r="X703" s="44"/>
      <c r="Y703" s="44"/>
      <c r="Z703" s="41" t="str">
        <f ca="1">IF(AND(Tableau1[[#This Row],[Charge]]&lt;&gt;0, Tableau1[[#This Row],[Nombre intervenants]]&lt;&gt;0,Tableau1[[#This Row],[Lien document]]&lt;&gt;0,Tableau1[[#This Row],[DMS_SAP]]&lt;&gt;0)=TRUE,"MIS A JOUR","")</f>
        <v/>
      </c>
      <c r="AA703" s="45"/>
      <c r="AB703" s="55" t="str">
        <f ca="1">IF(Tableau1[[#This Row],[Date rév.]]&lt;&gt;"", DAYS360(Tableau1[[#This Row],[Date rév.]],TODAY()),"")</f>
        <v/>
      </c>
      <c r="AC703" s="47">
        <f>IFERROR(INDEX(Chemin_accès!$B$11:$C$22,MATCH(Tableau1[[#This Row],[Type]],Chemin_accès!$C$11:$C$22,0),1),Chemin_accès!$B$11)</f>
        <v>0</v>
      </c>
      <c r="AD703" s="47" t="str">
        <f>Chemin_accès!$B$8&amp;Tableau1[[#This Row],[Localisation / Classement]]&amp;"\"&amp;Tableau1[[#This Row],[Poste technique]]&amp;"_"&amp;Tableau1[[#This Row],[Plan Entretien]]&amp;".xlsm"</f>
        <v>\_.xlsm</v>
      </c>
    </row>
    <row r="704" spans="1:30" x14ac:dyDescent="0.3">
      <c r="A704" s="41" t="str">
        <f t="shared" ca="1" si="10"/>
        <v>7.MNRJ</v>
      </c>
      <c r="B7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4" s="43"/>
      <c r="D704" s="41"/>
      <c r="E704" s="41"/>
      <c r="F704" s="44"/>
      <c r="G704" s="44"/>
      <c r="H704" s="48"/>
      <c r="I704" s="48"/>
      <c r="J704" s="48"/>
      <c r="K704" s="48"/>
      <c r="L704" s="43"/>
      <c r="M704" s="44"/>
      <c r="N704" s="43"/>
      <c r="O704" s="43"/>
      <c r="P704" s="44"/>
      <c r="Q704" s="43"/>
      <c r="R704" s="43"/>
      <c r="S704" s="45"/>
      <c r="T704" s="58" t="str">
        <f>IF(Tableau1[[#This Row],[DMS_SAP]]="","",HYPERLINK(Tableau1[[#This Row],[Chemin fichier source]],"X"))</f>
        <v/>
      </c>
      <c r="U704" s="58" t="str">
        <f>IF(Tableau1[[#This Row],[Date rév.]]="","",HYPERLINK(Tableau1[[#This Row],[Lien document]],"X"))</f>
        <v/>
      </c>
      <c r="V704" s="44"/>
      <c r="W704" s="46" t="str">
        <f ca="1">Chemin_accès!$B$2&amp;Tableau1[[#This Row],[Poste Responsable]]&amp;"\"&amp;Tableau1[[#This Row],[Localisation / Classement]]&amp;"\"&amp;Tableau1[[#This Row],[Poste technique]]&amp;"_"&amp;Tableau1[[#This Row],[Plan Entretien]]&amp;".pdf"</f>
        <v>\\stjn.local\trimet\Donnees_Projets\Dms Sap\Maintenance\PlanEntretien\7.MNRJ\\_.pdf</v>
      </c>
      <c r="X704" s="44"/>
      <c r="Y704" s="44"/>
      <c r="Z704" s="41" t="str">
        <f ca="1">IF(AND(Tableau1[[#This Row],[Charge]]&lt;&gt;0, Tableau1[[#This Row],[Nombre intervenants]]&lt;&gt;0,Tableau1[[#This Row],[Lien document]]&lt;&gt;0,Tableau1[[#This Row],[DMS_SAP]]&lt;&gt;0)=TRUE,"MIS A JOUR","")</f>
        <v/>
      </c>
      <c r="AA704" s="45"/>
      <c r="AB704" s="55" t="str">
        <f ca="1">IF(Tableau1[[#This Row],[Date rév.]]&lt;&gt;"", DAYS360(Tableau1[[#This Row],[Date rév.]],TODAY()),"")</f>
        <v/>
      </c>
      <c r="AC704" s="47">
        <f>IFERROR(INDEX(Chemin_accès!$B$11:$C$22,MATCH(Tableau1[[#This Row],[Type]],Chemin_accès!$C$11:$C$22,0),1),Chemin_accès!$B$11)</f>
        <v>0</v>
      </c>
      <c r="AD704" s="47" t="str">
        <f>Chemin_accès!$B$8&amp;Tableau1[[#This Row],[Localisation / Classement]]&amp;"\"&amp;Tableau1[[#This Row],[Poste technique]]&amp;"_"&amp;Tableau1[[#This Row],[Plan Entretien]]&amp;".xlsm"</f>
        <v>\_.xlsm</v>
      </c>
    </row>
    <row r="705" spans="1:30" x14ac:dyDescent="0.3">
      <c r="A705" s="41" t="str">
        <f t="shared" ca="1" si="10"/>
        <v>7.MNRJ</v>
      </c>
      <c r="B7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5" s="43"/>
      <c r="D705" s="41"/>
      <c r="E705" s="41"/>
      <c r="F705" s="44"/>
      <c r="G705" s="44"/>
      <c r="H705" s="48"/>
      <c r="I705" s="48"/>
      <c r="J705" s="48"/>
      <c r="K705" s="48"/>
      <c r="L705" s="43"/>
      <c r="M705" s="44"/>
      <c r="N705" s="43"/>
      <c r="O705" s="43"/>
      <c r="P705" s="44"/>
      <c r="Q705" s="43"/>
      <c r="R705" s="43"/>
      <c r="S705" s="45"/>
      <c r="T705" s="58" t="str">
        <f>IF(Tableau1[[#This Row],[DMS_SAP]]="","",HYPERLINK(Tableau1[[#This Row],[Chemin fichier source]],"X"))</f>
        <v/>
      </c>
      <c r="U705" s="58" t="str">
        <f>IF(Tableau1[[#This Row],[Date rév.]]="","",HYPERLINK(Tableau1[[#This Row],[Lien document]],"X"))</f>
        <v/>
      </c>
      <c r="V705" s="44"/>
      <c r="W705" s="46" t="str">
        <f ca="1">Chemin_accès!$B$2&amp;Tableau1[[#This Row],[Poste Responsable]]&amp;"\"&amp;Tableau1[[#This Row],[Localisation / Classement]]&amp;"\"&amp;Tableau1[[#This Row],[Poste technique]]&amp;"_"&amp;Tableau1[[#This Row],[Plan Entretien]]&amp;".pdf"</f>
        <v>\\stjn.local\trimet\Donnees_Projets\Dms Sap\Maintenance\PlanEntretien\7.MNRJ\\_.pdf</v>
      </c>
      <c r="X705" s="44"/>
      <c r="Y705" s="44"/>
      <c r="Z705" s="41" t="str">
        <f ca="1">IF(AND(Tableau1[[#This Row],[Charge]]&lt;&gt;0, Tableau1[[#This Row],[Nombre intervenants]]&lt;&gt;0,Tableau1[[#This Row],[Lien document]]&lt;&gt;0,Tableau1[[#This Row],[DMS_SAP]]&lt;&gt;0)=TRUE,"MIS A JOUR","")</f>
        <v/>
      </c>
      <c r="AA705" s="45"/>
      <c r="AB705" s="55" t="str">
        <f ca="1">IF(Tableau1[[#This Row],[Date rév.]]&lt;&gt;"", DAYS360(Tableau1[[#This Row],[Date rév.]],TODAY()),"")</f>
        <v/>
      </c>
      <c r="AC705" s="47">
        <f>IFERROR(INDEX(Chemin_accès!$B$11:$C$22,MATCH(Tableau1[[#This Row],[Type]],Chemin_accès!$C$11:$C$22,0),1),Chemin_accès!$B$11)</f>
        <v>0</v>
      </c>
      <c r="AD705" s="47" t="str">
        <f>Chemin_accès!$B$8&amp;Tableau1[[#This Row],[Localisation / Classement]]&amp;"\"&amp;Tableau1[[#This Row],[Poste technique]]&amp;"_"&amp;Tableau1[[#This Row],[Plan Entretien]]&amp;".xlsm"</f>
        <v>\_.xlsm</v>
      </c>
    </row>
    <row r="706" spans="1:30" x14ac:dyDescent="0.3">
      <c r="A706" s="41" t="str">
        <f t="shared" ca="1" si="10"/>
        <v>7.MNRJ</v>
      </c>
      <c r="B7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6" s="43"/>
      <c r="D706" s="41"/>
      <c r="E706" s="41"/>
      <c r="F706" s="44"/>
      <c r="G706" s="44"/>
      <c r="H706" s="48"/>
      <c r="I706" s="48"/>
      <c r="J706" s="48"/>
      <c r="K706" s="48"/>
      <c r="L706" s="43"/>
      <c r="M706" s="44"/>
      <c r="N706" s="43"/>
      <c r="O706" s="43"/>
      <c r="P706" s="44"/>
      <c r="Q706" s="43"/>
      <c r="R706" s="43"/>
      <c r="S706" s="45"/>
      <c r="T706" s="58" t="str">
        <f>IF(Tableau1[[#This Row],[DMS_SAP]]="","",HYPERLINK(Tableau1[[#This Row],[Chemin fichier source]],"X"))</f>
        <v/>
      </c>
      <c r="U706" s="58" t="str">
        <f>IF(Tableau1[[#This Row],[Date rév.]]="","",HYPERLINK(Tableau1[[#This Row],[Lien document]],"X"))</f>
        <v/>
      </c>
      <c r="V706" s="44"/>
      <c r="W706" s="46" t="str">
        <f ca="1">Chemin_accès!$B$2&amp;Tableau1[[#This Row],[Poste Responsable]]&amp;"\"&amp;Tableau1[[#This Row],[Localisation / Classement]]&amp;"\"&amp;Tableau1[[#This Row],[Poste technique]]&amp;"_"&amp;Tableau1[[#This Row],[Plan Entretien]]&amp;".pdf"</f>
        <v>\\stjn.local\trimet\Donnees_Projets\Dms Sap\Maintenance\PlanEntretien\7.MNRJ\\_.pdf</v>
      </c>
      <c r="X706" s="44"/>
      <c r="Y706" s="44"/>
      <c r="Z706" s="41" t="str">
        <f ca="1">IF(AND(Tableau1[[#This Row],[Charge]]&lt;&gt;0, Tableau1[[#This Row],[Nombre intervenants]]&lt;&gt;0,Tableau1[[#This Row],[Lien document]]&lt;&gt;0,Tableau1[[#This Row],[DMS_SAP]]&lt;&gt;0)=TRUE,"MIS A JOUR","")</f>
        <v/>
      </c>
      <c r="AA706" s="45"/>
      <c r="AB706" s="55" t="str">
        <f ca="1">IF(Tableau1[[#This Row],[Date rév.]]&lt;&gt;"", DAYS360(Tableau1[[#This Row],[Date rév.]],TODAY()),"")</f>
        <v/>
      </c>
      <c r="AC706" s="47">
        <f>IFERROR(INDEX(Chemin_accès!$B$11:$C$22,MATCH(Tableau1[[#This Row],[Type]],Chemin_accès!$C$11:$C$22,0),1),Chemin_accès!$B$11)</f>
        <v>0</v>
      </c>
      <c r="AD706" s="47" t="str">
        <f>Chemin_accès!$B$8&amp;Tableau1[[#This Row],[Localisation / Classement]]&amp;"\"&amp;Tableau1[[#This Row],[Poste technique]]&amp;"_"&amp;Tableau1[[#This Row],[Plan Entretien]]&amp;".xlsm"</f>
        <v>\_.xlsm</v>
      </c>
    </row>
    <row r="707" spans="1:30" x14ac:dyDescent="0.3">
      <c r="A707" s="41" t="str">
        <f t="shared" ref="A707:A770" ca="1" si="11">MID(CELL("filename",$A$1),FIND("]",CELL("filename",$A$1))+1,32)</f>
        <v>7.MNRJ</v>
      </c>
      <c r="B7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7" s="43"/>
      <c r="D707" s="41"/>
      <c r="E707" s="41"/>
      <c r="F707" s="44"/>
      <c r="G707" s="44"/>
      <c r="H707" s="48"/>
      <c r="I707" s="48"/>
      <c r="J707" s="48"/>
      <c r="K707" s="48"/>
      <c r="L707" s="43"/>
      <c r="M707" s="44"/>
      <c r="N707" s="43"/>
      <c r="O707" s="43"/>
      <c r="P707" s="44"/>
      <c r="Q707" s="43"/>
      <c r="R707" s="43"/>
      <c r="S707" s="45"/>
      <c r="T707" s="58" t="str">
        <f>IF(Tableau1[[#This Row],[DMS_SAP]]="","",HYPERLINK(Tableau1[[#This Row],[Chemin fichier source]],"X"))</f>
        <v/>
      </c>
      <c r="U707" s="58" t="str">
        <f>IF(Tableau1[[#This Row],[Date rév.]]="","",HYPERLINK(Tableau1[[#This Row],[Lien document]],"X"))</f>
        <v/>
      </c>
      <c r="V707" s="44"/>
      <c r="W707" s="46" t="str">
        <f ca="1">Chemin_accès!$B$2&amp;Tableau1[[#This Row],[Poste Responsable]]&amp;"\"&amp;Tableau1[[#This Row],[Localisation / Classement]]&amp;"\"&amp;Tableau1[[#This Row],[Poste technique]]&amp;"_"&amp;Tableau1[[#This Row],[Plan Entretien]]&amp;".pdf"</f>
        <v>\\stjn.local\trimet\Donnees_Projets\Dms Sap\Maintenance\PlanEntretien\7.MNRJ\\_.pdf</v>
      </c>
      <c r="X707" s="44"/>
      <c r="Y707" s="44"/>
      <c r="Z707" s="41" t="str">
        <f ca="1">IF(AND(Tableau1[[#This Row],[Charge]]&lt;&gt;0, Tableau1[[#This Row],[Nombre intervenants]]&lt;&gt;0,Tableau1[[#This Row],[Lien document]]&lt;&gt;0,Tableau1[[#This Row],[DMS_SAP]]&lt;&gt;0)=TRUE,"MIS A JOUR","")</f>
        <v/>
      </c>
      <c r="AA707" s="45"/>
      <c r="AB707" s="55" t="str">
        <f ca="1">IF(Tableau1[[#This Row],[Date rév.]]&lt;&gt;"", DAYS360(Tableau1[[#This Row],[Date rév.]],TODAY()),"")</f>
        <v/>
      </c>
      <c r="AC707" s="47">
        <f>IFERROR(INDEX(Chemin_accès!$B$11:$C$22,MATCH(Tableau1[[#This Row],[Type]],Chemin_accès!$C$11:$C$22,0),1),Chemin_accès!$B$11)</f>
        <v>0</v>
      </c>
      <c r="AD707" s="47" t="str">
        <f>Chemin_accès!$B$8&amp;Tableau1[[#This Row],[Localisation / Classement]]&amp;"\"&amp;Tableau1[[#This Row],[Poste technique]]&amp;"_"&amp;Tableau1[[#This Row],[Plan Entretien]]&amp;".xlsm"</f>
        <v>\_.xlsm</v>
      </c>
    </row>
    <row r="708" spans="1:30" x14ac:dyDescent="0.3">
      <c r="A708" s="41" t="str">
        <f t="shared" ca="1" si="11"/>
        <v>7.MNRJ</v>
      </c>
      <c r="B7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8" s="43"/>
      <c r="D708" s="41"/>
      <c r="E708" s="41"/>
      <c r="F708" s="44"/>
      <c r="G708" s="44"/>
      <c r="H708" s="48"/>
      <c r="I708" s="48"/>
      <c r="J708" s="48"/>
      <c r="K708" s="48"/>
      <c r="L708" s="43"/>
      <c r="M708" s="44"/>
      <c r="N708" s="43"/>
      <c r="O708" s="43"/>
      <c r="P708" s="44"/>
      <c r="Q708" s="43"/>
      <c r="R708" s="43"/>
      <c r="S708" s="45"/>
      <c r="T708" s="58" t="str">
        <f>IF(Tableau1[[#This Row],[DMS_SAP]]="","",HYPERLINK(Tableau1[[#This Row],[Chemin fichier source]],"X"))</f>
        <v/>
      </c>
      <c r="U708" s="58" t="str">
        <f>IF(Tableau1[[#This Row],[Date rév.]]="","",HYPERLINK(Tableau1[[#This Row],[Lien document]],"X"))</f>
        <v/>
      </c>
      <c r="V708" s="44"/>
      <c r="W708" s="46" t="str">
        <f ca="1">Chemin_accès!$B$2&amp;Tableau1[[#This Row],[Poste Responsable]]&amp;"\"&amp;Tableau1[[#This Row],[Localisation / Classement]]&amp;"\"&amp;Tableau1[[#This Row],[Poste technique]]&amp;"_"&amp;Tableau1[[#This Row],[Plan Entretien]]&amp;".pdf"</f>
        <v>\\stjn.local\trimet\Donnees_Projets\Dms Sap\Maintenance\PlanEntretien\7.MNRJ\\_.pdf</v>
      </c>
      <c r="X708" s="44"/>
      <c r="Y708" s="44"/>
      <c r="Z708" s="41" t="str">
        <f ca="1">IF(AND(Tableau1[[#This Row],[Charge]]&lt;&gt;0, Tableau1[[#This Row],[Nombre intervenants]]&lt;&gt;0,Tableau1[[#This Row],[Lien document]]&lt;&gt;0,Tableau1[[#This Row],[DMS_SAP]]&lt;&gt;0)=TRUE,"MIS A JOUR","")</f>
        <v/>
      </c>
      <c r="AA708" s="45"/>
      <c r="AB708" s="55" t="str">
        <f ca="1">IF(Tableau1[[#This Row],[Date rév.]]&lt;&gt;"", DAYS360(Tableau1[[#This Row],[Date rév.]],TODAY()),"")</f>
        <v/>
      </c>
      <c r="AC708" s="47">
        <f>IFERROR(INDEX(Chemin_accès!$B$11:$C$22,MATCH(Tableau1[[#This Row],[Type]],Chemin_accès!$C$11:$C$22,0),1),Chemin_accès!$B$11)</f>
        <v>0</v>
      </c>
      <c r="AD708" s="47" t="str">
        <f>Chemin_accès!$B$8&amp;Tableau1[[#This Row],[Localisation / Classement]]&amp;"\"&amp;Tableau1[[#This Row],[Poste technique]]&amp;"_"&amp;Tableau1[[#This Row],[Plan Entretien]]&amp;".xlsm"</f>
        <v>\_.xlsm</v>
      </c>
    </row>
    <row r="709" spans="1:30" x14ac:dyDescent="0.3">
      <c r="A709" s="41" t="str">
        <f t="shared" ca="1" si="11"/>
        <v>7.MNRJ</v>
      </c>
      <c r="B7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9" s="43"/>
      <c r="D709" s="41"/>
      <c r="E709" s="41"/>
      <c r="F709" s="44"/>
      <c r="G709" s="44"/>
      <c r="H709" s="48"/>
      <c r="I709" s="48"/>
      <c r="J709" s="48"/>
      <c r="K709" s="48"/>
      <c r="L709" s="43"/>
      <c r="M709" s="44"/>
      <c r="N709" s="43"/>
      <c r="O709" s="43"/>
      <c r="P709" s="44"/>
      <c r="Q709" s="43"/>
      <c r="R709" s="43"/>
      <c r="S709" s="45"/>
      <c r="T709" s="58" t="str">
        <f>IF(Tableau1[[#This Row],[DMS_SAP]]="","",HYPERLINK(Tableau1[[#This Row],[Chemin fichier source]],"X"))</f>
        <v/>
      </c>
      <c r="U709" s="58" t="str">
        <f>IF(Tableau1[[#This Row],[Date rév.]]="","",HYPERLINK(Tableau1[[#This Row],[Lien document]],"X"))</f>
        <v/>
      </c>
      <c r="V709" s="44"/>
      <c r="W709" s="46" t="str">
        <f ca="1">Chemin_accès!$B$2&amp;Tableau1[[#This Row],[Poste Responsable]]&amp;"\"&amp;Tableau1[[#This Row],[Localisation / Classement]]&amp;"\"&amp;Tableau1[[#This Row],[Poste technique]]&amp;"_"&amp;Tableau1[[#This Row],[Plan Entretien]]&amp;".pdf"</f>
        <v>\\stjn.local\trimet\Donnees_Projets\Dms Sap\Maintenance\PlanEntretien\7.MNRJ\\_.pdf</v>
      </c>
      <c r="X709" s="44"/>
      <c r="Y709" s="44"/>
      <c r="Z709" s="41" t="str">
        <f ca="1">IF(AND(Tableau1[[#This Row],[Charge]]&lt;&gt;0, Tableau1[[#This Row],[Nombre intervenants]]&lt;&gt;0,Tableau1[[#This Row],[Lien document]]&lt;&gt;0,Tableau1[[#This Row],[DMS_SAP]]&lt;&gt;0)=TRUE,"MIS A JOUR","")</f>
        <v/>
      </c>
      <c r="AA709" s="45"/>
      <c r="AB709" s="55" t="str">
        <f ca="1">IF(Tableau1[[#This Row],[Date rév.]]&lt;&gt;"", DAYS360(Tableau1[[#This Row],[Date rév.]],TODAY()),"")</f>
        <v/>
      </c>
      <c r="AC709" s="47">
        <f>IFERROR(INDEX(Chemin_accès!$B$11:$C$22,MATCH(Tableau1[[#This Row],[Type]],Chemin_accès!$C$11:$C$22,0),1),Chemin_accès!$B$11)</f>
        <v>0</v>
      </c>
      <c r="AD709" s="47" t="str">
        <f>Chemin_accès!$B$8&amp;Tableau1[[#This Row],[Localisation / Classement]]&amp;"\"&amp;Tableau1[[#This Row],[Poste technique]]&amp;"_"&amp;Tableau1[[#This Row],[Plan Entretien]]&amp;".xlsm"</f>
        <v>\_.xlsm</v>
      </c>
    </row>
    <row r="710" spans="1:30" x14ac:dyDescent="0.3">
      <c r="A710" s="41" t="str">
        <f t="shared" ca="1" si="11"/>
        <v>7.MNRJ</v>
      </c>
      <c r="B7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0" s="43"/>
      <c r="D710" s="41"/>
      <c r="E710" s="41"/>
      <c r="F710" s="44"/>
      <c r="G710" s="44"/>
      <c r="H710" s="48"/>
      <c r="I710" s="48"/>
      <c r="J710" s="48"/>
      <c r="K710" s="48"/>
      <c r="L710" s="43"/>
      <c r="M710" s="44"/>
      <c r="N710" s="43"/>
      <c r="O710" s="43"/>
      <c r="P710" s="44"/>
      <c r="Q710" s="43"/>
      <c r="R710" s="43"/>
      <c r="S710" s="45"/>
      <c r="T710" s="58" t="str">
        <f>IF(Tableau1[[#This Row],[DMS_SAP]]="","",HYPERLINK(Tableau1[[#This Row],[Chemin fichier source]],"X"))</f>
        <v/>
      </c>
      <c r="U710" s="58" t="str">
        <f>IF(Tableau1[[#This Row],[Date rév.]]="","",HYPERLINK(Tableau1[[#This Row],[Lien document]],"X"))</f>
        <v/>
      </c>
      <c r="V710" s="44"/>
      <c r="W710" s="46" t="str">
        <f ca="1">Chemin_accès!$B$2&amp;Tableau1[[#This Row],[Poste Responsable]]&amp;"\"&amp;Tableau1[[#This Row],[Localisation / Classement]]&amp;"\"&amp;Tableau1[[#This Row],[Poste technique]]&amp;"_"&amp;Tableau1[[#This Row],[Plan Entretien]]&amp;".pdf"</f>
        <v>\\stjn.local\trimet\Donnees_Projets\Dms Sap\Maintenance\PlanEntretien\7.MNRJ\\_.pdf</v>
      </c>
      <c r="X710" s="44"/>
      <c r="Y710" s="44"/>
      <c r="Z710" s="41" t="str">
        <f ca="1">IF(AND(Tableau1[[#This Row],[Charge]]&lt;&gt;0, Tableau1[[#This Row],[Nombre intervenants]]&lt;&gt;0,Tableau1[[#This Row],[Lien document]]&lt;&gt;0,Tableau1[[#This Row],[DMS_SAP]]&lt;&gt;0)=TRUE,"MIS A JOUR","")</f>
        <v/>
      </c>
      <c r="AA710" s="45"/>
      <c r="AB710" s="55" t="str">
        <f ca="1">IF(Tableau1[[#This Row],[Date rév.]]&lt;&gt;"", DAYS360(Tableau1[[#This Row],[Date rév.]],TODAY()),"")</f>
        <v/>
      </c>
      <c r="AC710" s="47">
        <f>IFERROR(INDEX(Chemin_accès!$B$11:$C$22,MATCH(Tableau1[[#This Row],[Type]],Chemin_accès!$C$11:$C$22,0),1),Chemin_accès!$B$11)</f>
        <v>0</v>
      </c>
      <c r="AD710" s="47" t="str">
        <f>Chemin_accès!$B$8&amp;Tableau1[[#This Row],[Localisation / Classement]]&amp;"\"&amp;Tableau1[[#This Row],[Poste technique]]&amp;"_"&amp;Tableau1[[#This Row],[Plan Entretien]]&amp;".xlsm"</f>
        <v>\_.xlsm</v>
      </c>
    </row>
    <row r="711" spans="1:30" x14ac:dyDescent="0.3">
      <c r="A711" s="41" t="str">
        <f t="shared" ca="1" si="11"/>
        <v>7.MNRJ</v>
      </c>
      <c r="B7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1" s="43"/>
      <c r="D711" s="41"/>
      <c r="E711" s="41"/>
      <c r="F711" s="44"/>
      <c r="G711" s="44"/>
      <c r="H711" s="48"/>
      <c r="I711" s="48"/>
      <c r="J711" s="48"/>
      <c r="K711" s="48"/>
      <c r="L711" s="43"/>
      <c r="M711" s="44"/>
      <c r="N711" s="43"/>
      <c r="O711" s="43"/>
      <c r="P711" s="44"/>
      <c r="Q711" s="43"/>
      <c r="R711" s="43"/>
      <c r="S711" s="45"/>
      <c r="T711" s="58" t="str">
        <f>IF(Tableau1[[#This Row],[DMS_SAP]]="","",HYPERLINK(Tableau1[[#This Row],[Chemin fichier source]],"X"))</f>
        <v/>
      </c>
      <c r="U711" s="58" t="str">
        <f>IF(Tableau1[[#This Row],[Date rév.]]="","",HYPERLINK(Tableau1[[#This Row],[Lien document]],"X"))</f>
        <v/>
      </c>
      <c r="V711" s="44"/>
      <c r="W711" s="46" t="str">
        <f ca="1">Chemin_accès!$B$2&amp;Tableau1[[#This Row],[Poste Responsable]]&amp;"\"&amp;Tableau1[[#This Row],[Localisation / Classement]]&amp;"\"&amp;Tableau1[[#This Row],[Poste technique]]&amp;"_"&amp;Tableau1[[#This Row],[Plan Entretien]]&amp;".pdf"</f>
        <v>\\stjn.local\trimet\Donnees_Projets\Dms Sap\Maintenance\PlanEntretien\7.MNRJ\\_.pdf</v>
      </c>
      <c r="X711" s="44"/>
      <c r="Y711" s="44"/>
      <c r="Z711" s="41" t="str">
        <f ca="1">IF(AND(Tableau1[[#This Row],[Charge]]&lt;&gt;0, Tableau1[[#This Row],[Nombre intervenants]]&lt;&gt;0,Tableau1[[#This Row],[Lien document]]&lt;&gt;0,Tableau1[[#This Row],[DMS_SAP]]&lt;&gt;0)=TRUE,"MIS A JOUR","")</f>
        <v/>
      </c>
      <c r="AA711" s="45"/>
      <c r="AB711" s="55" t="str">
        <f ca="1">IF(Tableau1[[#This Row],[Date rév.]]&lt;&gt;"", DAYS360(Tableau1[[#This Row],[Date rév.]],TODAY()),"")</f>
        <v/>
      </c>
      <c r="AC711" s="47">
        <f>IFERROR(INDEX(Chemin_accès!$B$11:$C$22,MATCH(Tableau1[[#This Row],[Type]],Chemin_accès!$C$11:$C$22,0),1),Chemin_accès!$B$11)</f>
        <v>0</v>
      </c>
      <c r="AD711" s="47" t="str">
        <f>Chemin_accès!$B$8&amp;Tableau1[[#This Row],[Localisation / Classement]]&amp;"\"&amp;Tableau1[[#This Row],[Poste technique]]&amp;"_"&amp;Tableau1[[#This Row],[Plan Entretien]]&amp;".xlsm"</f>
        <v>\_.xlsm</v>
      </c>
    </row>
    <row r="712" spans="1:30" x14ac:dyDescent="0.3">
      <c r="A712" s="41" t="str">
        <f t="shared" ca="1" si="11"/>
        <v>7.MNRJ</v>
      </c>
      <c r="B7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2" s="43"/>
      <c r="D712" s="41"/>
      <c r="E712" s="41"/>
      <c r="F712" s="44"/>
      <c r="G712" s="44"/>
      <c r="H712" s="48"/>
      <c r="I712" s="48"/>
      <c r="J712" s="48"/>
      <c r="K712" s="48"/>
      <c r="L712" s="43"/>
      <c r="M712" s="44"/>
      <c r="N712" s="43"/>
      <c r="O712" s="43"/>
      <c r="P712" s="44"/>
      <c r="Q712" s="43"/>
      <c r="R712" s="43"/>
      <c r="S712" s="45"/>
      <c r="T712" s="58" t="str">
        <f>IF(Tableau1[[#This Row],[DMS_SAP]]="","",HYPERLINK(Tableau1[[#This Row],[Chemin fichier source]],"X"))</f>
        <v/>
      </c>
      <c r="U712" s="58" t="str">
        <f>IF(Tableau1[[#This Row],[Date rév.]]="","",HYPERLINK(Tableau1[[#This Row],[Lien document]],"X"))</f>
        <v/>
      </c>
      <c r="V712" s="44"/>
      <c r="W712" s="46" t="str">
        <f ca="1">Chemin_accès!$B$2&amp;Tableau1[[#This Row],[Poste Responsable]]&amp;"\"&amp;Tableau1[[#This Row],[Localisation / Classement]]&amp;"\"&amp;Tableau1[[#This Row],[Poste technique]]&amp;"_"&amp;Tableau1[[#This Row],[Plan Entretien]]&amp;".pdf"</f>
        <v>\\stjn.local\trimet\Donnees_Projets\Dms Sap\Maintenance\PlanEntretien\7.MNRJ\\_.pdf</v>
      </c>
      <c r="X712" s="44"/>
      <c r="Y712" s="44"/>
      <c r="Z712" s="41" t="str">
        <f ca="1">IF(AND(Tableau1[[#This Row],[Charge]]&lt;&gt;0, Tableau1[[#This Row],[Nombre intervenants]]&lt;&gt;0,Tableau1[[#This Row],[Lien document]]&lt;&gt;0,Tableau1[[#This Row],[DMS_SAP]]&lt;&gt;0)=TRUE,"MIS A JOUR","")</f>
        <v/>
      </c>
      <c r="AA712" s="45"/>
      <c r="AB712" s="55" t="str">
        <f ca="1">IF(Tableau1[[#This Row],[Date rév.]]&lt;&gt;"", DAYS360(Tableau1[[#This Row],[Date rév.]],TODAY()),"")</f>
        <v/>
      </c>
      <c r="AC712" s="47">
        <f>IFERROR(INDEX(Chemin_accès!$B$11:$C$22,MATCH(Tableau1[[#This Row],[Type]],Chemin_accès!$C$11:$C$22,0),1),Chemin_accès!$B$11)</f>
        <v>0</v>
      </c>
      <c r="AD712" s="47" t="str">
        <f>Chemin_accès!$B$8&amp;Tableau1[[#This Row],[Localisation / Classement]]&amp;"\"&amp;Tableau1[[#This Row],[Poste technique]]&amp;"_"&amp;Tableau1[[#This Row],[Plan Entretien]]&amp;".xlsm"</f>
        <v>\_.xlsm</v>
      </c>
    </row>
    <row r="713" spans="1:30" x14ac:dyDescent="0.3">
      <c r="A713" s="41" t="str">
        <f t="shared" ca="1" si="11"/>
        <v>7.MNRJ</v>
      </c>
      <c r="B7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3" s="43"/>
      <c r="D713" s="41"/>
      <c r="E713" s="41"/>
      <c r="F713" s="44"/>
      <c r="G713" s="44"/>
      <c r="H713" s="48"/>
      <c r="I713" s="48"/>
      <c r="J713" s="48"/>
      <c r="K713" s="48"/>
      <c r="L713" s="43"/>
      <c r="M713" s="44"/>
      <c r="N713" s="43"/>
      <c r="O713" s="43"/>
      <c r="P713" s="44"/>
      <c r="Q713" s="43"/>
      <c r="R713" s="43"/>
      <c r="S713" s="45"/>
      <c r="T713" s="58" t="str">
        <f>IF(Tableau1[[#This Row],[DMS_SAP]]="","",HYPERLINK(Tableau1[[#This Row],[Chemin fichier source]],"X"))</f>
        <v/>
      </c>
      <c r="U713" s="58" t="str">
        <f>IF(Tableau1[[#This Row],[Date rév.]]="","",HYPERLINK(Tableau1[[#This Row],[Lien document]],"X"))</f>
        <v/>
      </c>
      <c r="V713" s="44"/>
      <c r="W713" s="46" t="str">
        <f ca="1">Chemin_accès!$B$2&amp;Tableau1[[#This Row],[Poste Responsable]]&amp;"\"&amp;Tableau1[[#This Row],[Localisation / Classement]]&amp;"\"&amp;Tableau1[[#This Row],[Poste technique]]&amp;"_"&amp;Tableau1[[#This Row],[Plan Entretien]]&amp;".pdf"</f>
        <v>\\stjn.local\trimet\Donnees_Projets\Dms Sap\Maintenance\PlanEntretien\7.MNRJ\\_.pdf</v>
      </c>
      <c r="X713" s="44"/>
      <c r="Y713" s="44"/>
      <c r="Z713" s="41" t="str">
        <f ca="1">IF(AND(Tableau1[[#This Row],[Charge]]&lt;&gt;0, Tableau1[[#This Row],[Nombre intervenants]]&lt;&gt;0,Tableau1[[#This Row],[Lien document]]&lt;&gt;0,Tableau1[[#This Row],[DMS_SAP]]&lt;&gt;0)=TRUE,"MIS A JOUR","")</f>
        <v/>
      </c>
      <c r="AA713" s="45"/>
      <c r="AB713" s="55" t="str">
        <f ca="1">IF(Tableau1[[#This Row],[Date rév.]]&lt;&gt;"", DAYS360(Tableau1[[#This Row],[Date rév.]],TODAY()),"")</f>
        <v/>
      </c>
      <c r="AC713" s="47">
        <f>IFERROR(INDEX(Chemin_accès!$B$11:$C$22,MATCH(Tableau1[[#This Row],[Type]],Chemin_accès!$C$11:$C$22,0),1),Chemin_accès!$B$11)</f>
        <v>0</v>
      </c>
      <c r="AD713" s="47" t="str">
        <f>Chemin_accès!$B$8&amp;Tableau1[[#This Row],[Localisation / Classement]]&amp;"\"&amp;Tableau1[[#This Row],[Poste technique]]&amp;"_"&amp;Tableau1[[#This Row],[Plan Entretien]]&amp;".xlsm"</f>
        <v>\_.xlsm</v>
      </c>
    </row>
    <row r="714" spans="1:30" x14ac:dyDescent="0.3">
      <c r="A714" s="41" t="str">
        <f t="shared" ca="1" si="11"/>
        <v>7.MNRJ</v>
      </c>
      <c r="B7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4" s="43"/>
      <c r="D714" s="41"/>
      <c r="E714" s="41"/>
      <c r="F714" s="44"/>
      <c r="G714" s="44"/>
      <c r="H714" s="48"/>
      <c r="I714" s="48"/>
      <c r="J714" s="48"/>
      <c r="K714" s="48"/>
      <c r="L714" s="43"/>
      <c r="M714" s="44"/>
      <c r="N714" s="43"/>
      <c r="O714" s="43"/>
      <c r="P714" s="44"/>
      <c r="Q714" s="43"/>
      <c r="R714" s="43"/>
      <c r="S714" s="45"/>
      <c r="T714" s="58" t="str">
        <f>IF(Tableau1[[#This Row],[DMS_SAP]]="","",HYPERLINK(Tableau1[[#This Row],[Chemin fichier source]],"X"))</f>
        <v/>
      </c>
      <c r="U714" s="58" t="str">
        <f>IF(Tableau1[[#This Row],[Date rév.]]="","",HYPERLINK(Tableau1[[#This Row],[Lien document]],"X"))</f>
        <v/>
      </c>
      <c r="V714" s="44"/>
      <c r="W714" s="46" t="str">
        <f ca="1">Chemin_accès!$B$2&amp;Tableau1[[#This Row],[Poste Responsable]]&amp;"\"&amp;Tableau1[[#This Row],[Localisation / Classement]]&amp;"\"&amp;Tableau1[[#This Row],[Poste technique]]&amp;"_"&amp;Tableau1[[#This Row],[Plan Entretien]]&amp;".pdf"</f>
        <v>\\stjn.local\trimet\Donnees_Projets\Dms Sap\Maintenance\PlanEntretien\7.MNRJ\\_.pdf</v>
      </c>
      <c r="X714" s="44"/>
      <c r="Y714" s="44"/>
      <c r="Z714" s="41" t="str">
        <f ca="1">IF(AND(Tableau1[[#This Row],[Charge]]&lt;&gt;0, Tableau1[[#This Row],[Nombre intervenants]]&lt;&gt;0,Tableau1[[#This Row],[Lien document]]&lt;&gt;0,Tableau1[[#This Row],[DMS_SAP]]&lt;&gt;0)=TRUE,"MIS A JOUR","")</f>
        <v/>
      </c>
      <c r="AA714" s="45"/>
      <c r="AB714" s="55" t="str">
        <f ca="1">IF(Tableau1[[#This Row],[Date rév.]]&lt;&gt;"", DAYS360(Tableau1[[#This Row],[Date rév.]],TODAY()),"")</f>
        <v/>
      </c>
      <c r="AC714" s="47">
        <f>IFERROR(INDEX(Chemin_accès!$B$11:$C$22,MATCH(Tableau1[[#This Row],[Type]],Chemin_accès!$C$11:$C$22,0),1),Chemin_accès!$B$11)</f>
        <v>0</v>
      </c>
      <c r="AD714" s="47" t="str">
        <f>Chemin_accès!$B$8&amp;Tableau1[[#This Row],[Localisation / Classement]]&amp;"\"&amp;Tableau1[[#This Row],[Poste technique]]&amp;"_"&amp;Tableau1[[#This Row],[Plan Entretien]]&amp;".xlsm"</f>
        <v>\_.xlsm</v>
      </c>
    </row>
    <row r="715" spans="1:30" x14ac:dyDescent="0.3">
      <c r="A715" s="41" t="str">
        <f t="shared" ca="1" si="11"/>
        <v>7.MNRJ</v>
      </c>
      <c r="B7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5" s="43"/>
      <c r="D715" s="41"/>
      <c r="E715" s="41"/>
      <c r="F715" s="44"/>
      <c r="G715" s="44"/>
      <c r="H715" s="48"/>
      <c r="I715" s="48"/>
      <c r="J715" s="48"/>
      <c r="K715" s="48"/>
      <c r="L715" s="43"/>
      <c r="M715" s="44"/>
      <c r="N715" s="43"/>
      <c r="O715" s="43"/>
      <c r="P715" s="44"/>
      <c r="Q715" s="43"/>
      <c r="R715" s="43"/>
      <c r="S715" s="45"/>
      <c r="T715" s="58" t="str">
        <f>IF(Tableau1[[#This Row],[DMS_SAP]]="","",HYPERLINK(Tableau1[[#This Row],[Chemin fichier source]],"X"))</f>
        <v/>
      </c>
      <c r="U715" s="58" t="str">
        <f>IF(Tableau1[[#This Row],[Date rév.]]="","",HYPERLINK(Tableau1[[#This Row],[Lien document]],"X"))</f>
        <v/>
      </c>
      <c r="V715" s="44"/>
      <c r="W715" s="46" t="str">
        <f ca="1">Chemin_accès!$B$2&amp;Tableau1[[#This Row],[Poste Responsable]]&amp;"\"&amp;Tableau1[[#This Row],[Localisation / Classement]]&amp;"\"&amp;Tableau1[[#This Row],[Poste technique]]&amp;"_"&amp;Tableau1[[#This Row],[Plan Entretien]]&amp;".pdf"</f>
        <v>\\stjn.local\trimet\Donnees_Projets\Dms Sap\Maintenance\PlanEntretien\7.MNRJ\\_.pdf</v>
      </c>
      <c r="X715" s="44"/>
      <c r="Y715" s="44"/>
      <c r="Z715" s="41" t="str">
        <f ca="1">IF(AND(Tableau1[[#This Row],[Charge]]&lt;&gt;0, Tableau1[[#This Row],[Nombre intervenants]]&lt;&gt;0,Tableau1[[#This Row],[Lien document]]&lt;&gt;0,Tableau1[[#This Row],[DMS_SAP]]&lt;&gt;0)=TRUE,"MIS A JOUR","")</f>
        <v/>
      </c>
      <c r="AA715" s="45"/>
      <c r="AB715" s="55" t="str">
        <f ca="1">IF(Tableau1[[#This Row],[Date rév.]]&lt;&gt;"", DAYS360(Tableau1[[#This Row],[Date rév.]],TODAY()),"")</f>
        <v/>
      </c>
      <c r="AC715" s="47">
        <f>IFERROR(INDEX(Chemin_accès!$B$11:$C$22,MATCH(Tableau1[[#This Row],[Type]],Chemin_accès!$C$11:$C$22,0),1),Chemin_accès!$B$11)</f>
        <v>0</v>
      </c>
      <c r="AD715" s="47" t="str">
        <f>Chemin_accès!$B$8&amp;Tableau1[[#This Row],[Localisation / Classement]]&amp;"\"&amp;Tableau1[[#This Row],[Poste technique]]&amp;"_"&amp;Tableau1[[#This Row],[Plan Entretien]]&amp;".xlsm"</f>
        <v>\_.xlsm</v>
      </c>
    </row>
    <row r="716" spans="1:30" x14ac:dyDescent="0.3">
      <c r="A716" s="41" t="str">
        <f t="shared" ca="1" si="11"/>
        <v>7.MNRJ</v>
      </c>
      <c r="B7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6" s="43"/>
      <c r="D716" s="41"/>
      <c r="E716" s="41"/>
      <c r="F716" s="44"/>
      <c r="G716" s="44"/>
      <c r="H716" s="48"/>
      <c r="I716" s="48"/>
      <c r="J716" s="48"/>
      <c r="K716" s="48"/>
      <c r="L716" s="43"/>
      <c r="M716" s="44"/>
      <c r="N716" s="43"/>
      <c r="O716" s="43"/>
      <c r="P716" s="44"/>
      <c r="Q716" s="43"/>
      <c r="R716" s="43"/>
      <c r="S716" s="45"/>
      <c r="T716" s="58" t="str">
        <f>IF(Tableau1[[#This Row],[DMS_SAP]]="","",HYPERLINK(Tableau1[[#This Row],[Chemin fichier source]],"X"))</f>
        <v/>
      </c>
      <c r="U716" s="58" t="str">
        <f>IF(Tableau1[[#This Row],[Date rév.]]="","",HYPERLINK(Tableau1[[#This Row],[Lien document]],"X"))</f>
        <v/>
      </c>
      <c r="V716" s="44"/>
      <c r="W716" s="46" t="str">
        <f ca="1">Chemin_accès!$B$2&amp;Tableau1[[#This Row],[Poste Responsable]]&amp;"\"&amp;Tableau1[[#This Row],[Localisation / Classement]]&amp;"\"&amp;Tableau1[[#This Row],[Poste technique]]&amp;"_"&amp;Tableau1[[#This Row],[Plan Entretien]]&amp;".pdf"</f>
        <v>\\stjn.local\trimet\Donnees_Projets\Dms Sap\Maintenance\PlanEntretien\7.MNRJ\\_.pdf</v>
      </c>
      <c r="X716" s="44"/>
      <c r="Y716" s="44"/>
      <c r="Z716" s="41" t="str">
        <f ca="1">IF(AND(Tableau1[[#This Row],[Charge]]&lt;&gt;0, Tableau1[[#This Row],[Nombre intervenants]]&lt;&gt;0,Tableau1[[#This Row],[Lien document]]&lt;&gt;0,Tableau1[[#This Row],[DMS_SAP]]&lt;&gt;0)=TRUE,"MIS A JOUR","")</f>
        <v/>
      </c>
      <c r="AA716" s="45"/>
      <c r="AB716" s="55" t="str">
        <f ca="1">IF(Tableau1[[#This Row],[Date rév.]]&lt;&gt;"", DAYS360(Tableau1[[#This Row],[Date rév.]],TODAY()),"")</f>
        <v/>
      </c>
      <c r="AC716" s="47">
        <f>IFERROR(INDEX(Chemin_accès!$B$11:$C$22,MATCH(Tableau1[[#This Row],[Type]],Chemin_accès!$C$11:$C$22,0),1),Chemin_accès!$B$11)</f>
        <v>0</v>
      </c>
      <c r="AD716" s="47" t="str">
        <f>Chemin_accès!$B$8&amp;Tableau1[[#This Row],[Localisation / Classement]]&amp;"\"&amp;Tableau1[[#This Row],[Poste technique]]&amp;"_"&amp;Tableau1[[#This Row],[Plan Entretien]]&amp;".xlsm"</f>
        <v>\_.xlsm</v>
      </c>
    </row>
    <row r="717" spans="1:30" x14ac:dyDescent="0.3">
      <c r="A717" s="41" t="str">
        <f t="shared" ca="1" si="11"/>
        <v>7.MNRJ</v>
      </c>
      <c r="B7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7" s="43"/>
      <c r="D717" s="41"/>
      <c r="E717" s="41"/>
      <c r="F717" s="44"/>
      <c r="G717" s="44"/>
      <c r="H717" s="48"/>
      <c r="I717" s="48"/>
      <c r="J717" s="48"/>
      <c r="K717" s="48"/>
      <c r="L717" s="43"/>
      <c r="M717" s="44"/>
      <c r="N717" s="43"/>
      <c r="O717" s="43"/>
      <c r="P717" s="44"/>
      <c r="Q717" s="43"/>
      <c r="R717" s="43"/>
      <c r="S717" s="45"/>
      <c r="T717" s="58" t="str">
        <f>IF(Tableau1[[#This Row],[DMS_SAP]]="","",HYPERLINK(Tableau1[[#This Row],[Chemin fichier source]],"X"))</f>
        <v/>
      </c>
      <c r="U717" s="58" t="str">
        <f>IF(Tableau1[[#This Row],[Date rév.]]="","",HYPERLINK(Tableau1[[#This Row],[Lien document]],"X"))</f>
        <v/>
      </c>
      <c r="V717" s="44"/>
      <c r="W717" s="46" t="str">
        <f ca="1">Chemin_accès!$B$2&amp;Tableau1[[#This Row],[Poste Responsable]]&amp;"\"&amp;Tableau1[[#This Row],[Localisation / Classement]]&amp;"\"&amp;Tableau1[[#This Row],[Poste technique]]&amp;"_"&amp;Tableau1[[#This Row],[Plan Entretien]]&amp;".pdf"</f>
        <v>\\stjn.local\trimet\Donnees_Projets\Dms Sap\Maintenance\PlanEntretien\7.MNRJ\\_.pdf</v>
      </c>
      <c r="X717" s="44"/>
      <c r="Y717" s="44"/>
      <c r="Z717" s="41" t="str">
        <f ca="1">IF(AND(Tableau1[[#This Row],[Charge]]&lt;&gt;0, Tableau1[[#This Row],[Nombre intervenants]]&lt;&gt;0,Tableau1[[#This Row],[Lien document]]&lt;&gt;0,Tableau1[[#This Row],[DMS_SAP]]&lt;&gt;0)=TRUE,"MIS A JOUR","")</f>
        <v/>
      </c>
      <c r="AA717" s="45"/>
      <c r="AB717" s="55" t="str">
        <f ca="1">IF(Tableau1[[#This Row],[Date rév.]]&lt;&gt;"", DAYS360(Tableau1[[#This Row],[Date rév.]],TODAY()),"")</f>
        <v/>
      </c>
      <c r="AC717" s="47">
        <f>IFERROR(INDEX(Chemin_accès!$B$11:$C$22,MATCH(Tableau1[[#This Row],[Type]],Chemin_accès!$C$11:$C$22,0),1),Chemin_accès!$B$11)</f>
        <v>0</v>
      </c>
      <c r="AD717" s="47" t="str">
        <f>Chemin_accès!$B$8&amp;Tableau1[[#This Row],[Localisation / Classement]]&amp;"\"&amp;Tableau1[[#This Row],[Poste technique]]&amp;"_"&amp;Tableau1[[#This Row],[Plan Entretien]]&amp;".xlsm"</f>
        <v>\_.xlsm</v>
      </c>
    </row>
    <row r="718" spans="1:30" x14ac:dyDescent="0.3">
      <c r="A718" s="41" t="str">
        <f t="shared" ca="1" si="11"/>
        <v>7.MNRJ</v>
      </c>
      <c r="B7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8" s="43"/>
      <c r="D718" s="41"/>
      <c r="E718" s="41"/>
      <c r="F718" s="44"/>
      <c r="G718" s="44"/>
      <c r="H718" s="48"/>
      <c r="I718" s="48"/>
      <c r="J718" s="48"/>
      <c r="K718" s="48"/>
      <c r="L718" s="43"/>
      <c r="M718" s="44"/>
      <c r="N718" s="43"/>
      <c r="O718" s="43"/>
      <c r="P718" s="44"/>
      <c r="Q718" s="43"/>
      <c r="R718" s="43"/>
      <c r="S718" s="45"/>
      <c r="T718" s="58" t="str">
        <f>IF(Tableau1[[#This Row],[DMS_SAP]]="","",HYPERLINK(Tableau1[[#This Row],[Chemin fichier source]],"X"))</f>
        <v/>
      </c>
      <c r="U718" s="58" t="str">
        <f>IF(Tableau1[[#This Row],[Date rév.]]="","",HYPERLINK(Tableau1[[#This Row],[Lien document]],"X"))</f>
        <v/>
      </c>
      <c r="V718" s="44"/>
      <c r="W718" s="46" t="str">
        <f ca="1">Chemin_accès!$B$2&amp;Tableau1[[#This Row],[Poste Responsable]]&amp;"\"&amp;Tableau1[[#This Row],[Localisation / Classement]]&amp;"\"&amp;Tableau1[[#This Row],[Poste technique]]&amp;"_"&amp;Tableau1[[#This Row],[Plan Entretien]]&amp;".pdf"</f>
        <v>\\stjn.local\trimet\Donnees_Projets\Dms Sap\Maintenance\PlanEntretien\7.MNRJ\\_.pdf</v>
      </c>
      <c r="X718" s="44"/>
      <c r="Y718" s="44"/>
      <c r="Z718" s="41" t="str">
        <f ca="1">IF(AND(Tableau1[[#This Row],[Charge]]&lt;&gt;0, Tableau1[[#This Row],[Nombre intervenants]]&lt;&gt;0,Tableau1[[#This Row],[Lien document]]&lt;&gt;0,Tableau1[[#This Row],[DMS_SAP]]&lt;&gt;0)=TRUE,"MIS A JOUR","")</f>
        <v/>
      </c>
      <c r="AA718" s="45"/>
      <c r="AB718" s="55" t="str">
        <f ca="1">IF(Tableau1[[#This Row],[Date rév.]]&lt;&gt;"", DAYS360(Tableau1[[#This Row],[Date rév.]],TODAY()),"")</f>
        <v/>
      </c>
      <c r="AC718" s="47">
        <f>IFERROR(INDEX(Chemin_accès!$B$11:$C$22,MATCH(Tableau1[[#This Row],[Type]],Chemin_accès!$C$11:$C$22,0),1),Chemin_accès!$B$11)</f>
        <v>0</v>
      </c>
      <c r="AD718" s="47" t="str">
        <f>Chemin_accès!$B$8&amp;Tableau1[[#This Row],[Localisation / Classement]]&amp;"\"&amp;Tableau1[[#This Row],[Poste technique]]&amp;"_"&amp;Tableau1[[#This Row],[Plan Entretien]]&amp;".xlsm"</f>
        <v>\_.xlsm</v>
      </c>
    </row>
    <row r="719" spans="1:30" x14ac:dyDescent="0.3">
      <c r="A719" s="41" t="str">
        <f t="shared" ca="1" si="11"/>
        <v>7.MNRJ</v>
      </c>
      <c r="B7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9" s="43"/>
      <c r="D719" s="41"/>
      <c r="E719" s="41"/>
      <c r="F719" s="44"/>
      <c r="G719" s="44"/>
      <c r="H719" s="48"/>
      <c r="I719" s="48"/>
      <c r="J719" s="48"/>
      <c r="K719" s="48"/>
      <c r="L719" s="43"/>
      <c r="M719" s="44"/>
      <c r="N719" s="43"/>
      <c r="O719" s="43"/>
      <c r="P719" s="44"/>
      <c r="Q719" s="43"/>
      <c r="R719" s="43"/>
      <c r="S719" s="45"/>
      <c r="T719" s="58" t="str">
        <f>IF(Tableau1[[#This Row],[DMS_SAP]]="","",HYPERLINK(Tableau1[[#This Row],[Chemin fichier source]],"X"))</f>
        <v/>
      </c>
      <c r="U719" s="58" t="str">
        <f>IF(Tableau1[[#This Row],[Date rév.]]="","",HYPERLINK(Tableau1[[#This Row],[Lien document]],"X"))</f>
        <v/>
      </c>
      <c r="V719" s="44"/>
      <c r="W719" s="46" t="str">
        <f ca="1">Chemin_accès!$B$2&amp;Tableau1[[#This Row],[Poste Responsable]]&amp;"\"&amp;Tableau1[[#This Row],[Localisation / Classement]]&amp;"\"&amp;Tableau1[[#This Row],[Poste technique]]&amp;"_"&amp;Tableau1[[#This Row],[Plan Entretien]]&amp;".pdf"</f>
        <v>\\stjn.local\trimet\Donnees_Projets\Dms Sap\Maintenance\PlanEntretien\7.MNRJ\\_.pdf</v>
      </c>
      <c r="X719" s="44"/>
      <c r="Y719" s="44"/>
      <c r="Z719" s="41" t="str">
        <f ca="1">IF(AND(Tableau1[[#This Row],[Charge]]&lt;&gt;0, Tableau1[[#This Row],[Nombre intervenants]]&lt;&gt;0,Tableau1[[#This Row],[Lien document]]&lt;&gt;0,Tableau1[[#This Row],[DMS_SAP]]&lt;&gt;0)=TRUE,"MIS A JOUR","")</f>
        <v/>
      </c>
      <c r="AA719" s="45"/>
      <c r="AB719" s="55" t="str">
        <f ca="1">IF(Tableau1[[#This Row],[Date rév.]]&lt;&gt;"", DAYS360(Tableau1[[#This Row],[Date rév.]],TODAY()),"")</f>
        <v/>
      </c>
      <c r="AC719" s="47">
        <f>IFERROR(INDEX(Chemin_accès!$B$11:$C$22,MATCH(Tableau1[[#This Row],[Type]],Chemin_accès!$C$11:$C$22,0),1),Chemin_accès!$B$11)</f>
        <v>0</v>
      </c>
      <c r="AD719" s="47" t="str">
        <f>Chemin_accès!$B$8&amp;Tableau1[[#This Row],[Localisation / Classement]]&amp;"\"&amp;Tableau1[[#This Row],[Poste technique]]&amp;"_"&amp;Tableau1[[#This Row],[Plan Entretien]]&amp;".xlsm"</f>
        <v>\_.xlsm</v>
      </c>
    </row>
    <row r="720" spans="1:30" x14ac:dyDescent="0.3">
      <c r="A720" s="41" t="str">
        <f t="shared" ca="1" si="11"/>
        <v>7.MNRJ</v>
      </c>
      <c r="B7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0" s="43"/>
      <c r="D720" s="41"/>
      <c r="E720" s="41"/>
      <c r="F720" s="44"/>
      <c r="G720" s="44"/>
      <c r="H720" s="48"/>
      <c r="I720" s="48"/>
      <c r="J720" s="48"/>
      <c r="K720" s="48"/>
      <c r="L720" s="43"/>
      <c r="M720" s="44"/>
      <c r="N720" s="43"/>
      <c r="O720" s="43"/>
      <c r="P720" s="44"/>
      <c r="Q720" s="43"/>
      <c r="R720" s="43"/>
      <c r="S720" s="45"/>
      <c r="T720" s="58" t="str">
        <f>IF(Tableau1[[#This Row],[DMS_SAP]]="","",HYPERLINK(Tableau1[[#This Row],[Chemin fichier source]],"X"))</f>
        <v/>
      </c>
      <c r="U720" s="58" t="str">
        <f>IF(Tableau1[[#This Row],[Date rév.]]="","",HYPERLINK(Tableau1[[#This Row],[Lien document]],"X"))</f>
        <v/>
      </c>
      <c r="V720" s="44"/>
      <c r="W720" s="46" t="str">
        <f ca="1">Chemin_accès!$B$2&amp;Tableau1[[#This Row],[Poste Responsable]]&amp;"\"&amp;Tableau1[[#This Row],[Localisation / Classement]]&amp;"\"&amp;Tableau1[[#This Row],[Poste technique]]&amp;"_"&amp;Tableau1[[#This Row],[Plan Entretien]]&amp;".pdf"</f>
        <v>\\stjn.local\trimet\Donnees_Projets\Dms Sap\Maintenance\PlanEntretien\7.MNRJ\\_.pdf</v>
      </c>
      <c r="X720" s="44"/>
      <c r="Y720" s="44"/>
      <c r="Z720" s="41" t="str">
        <f ca="1">IF(AND(Tableau1[[#This Row],[Charge]]&lt;&gt;0, Tableau1[[#This Row],[Nombre intervenants]]&lt;&gt;0,Tableau1[[#This Row],[Lien document]]&lt;&gt;0,Tableau1[[#This Row],[DMS_SAP]]&lt;&gt;0)=TRUE,"MIS A JOUR","")</f>
        <v/>
      </c>
      <c r="AA720" s="45"/>
      <c r="AB720" s="55" t="str">
        <f ca="1">IF(Tableau1[[#This Row],[Date rév.]]&lt;&gt;"", DAYS360(Tableau1[[#This Row],[Date rév.]],TODAY()),"")</f>
        <v/>
      </c>
      <c r="AC720" s="47">
        <f>IFERROR(INDEX(Chemin_accès!$B$11:$C$22,MATCH(Tableau1[[#This Row],[Type]],Chemin_accès!$C$11:$C$22,0),1),Chemin_accès!$B$11)</f>
        <v>0</v>
      </c>
      <c r="AD720" s="47" t="str">
        <f>Chemin_accès!$B$8&amp;Tableau1[[#This Row],[Localisation / Classement]]&amp;"\"&amp;Tableau1[[#This Row],[Poste technique]]&amp;"_"&amp;Tableau1[[#This Row],[Plan Entretien]]&amp;".xlsm"</f>
        <v>\_.xlsm</v>
      </c>
    </row>
    <row r="721" spans="1:30" x14ac:dyDescent="0.3">
      <c r="A721" s="41" t="str">
        <f t="shared" ca="1" si="11"/>
        <v>7.MNRJ</v>
      </c>
      <c r="B7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1" s="43"/>
      <c r="D721" s="41"/>
      <c r="E721" s="41"/>
      <c r="F721" s="44"/>
      <c r="G721" s="44"/>
      <c r="H721" s="48"/>
      <c r="I721" s="48"/>
      <c r="J721" s="48"/>
      <c r="K721" s="48"/>
      <c r="L721" s="43"/>
      <c r="M721" s="44"/>
      <c r="N721" s="43"/>
      <c r="O721" s="43"/>
      <c r="P721" s="44"/>
      <c r="Q721" s="43"/>
      <c r="R721" s="43"/>
      <c r="S721" s="45"/>
      <c r="T721" s="58" t="str">
        <f>IF(Tableau1[[#This Row],[DMS_SAP]]="","",HYPERLINK(Tableau1[[#This Row],[Chemin fichier source]],"X"))</f>
        <v/>
      </c>
      <c r="U721" s="58" t="str">
        <f>IF(Tableau1[[#This Row],[Date rév.]]="","",HYPERLINK(Tableau1[[#This Row],[Lien document]],"X"))</f>
        <v/>
      </c>
      <c r="V721" s="44"/>
      <c r="W721" s="46" t="str">
        <f ca="1">Chemin_accès!$B$2&amp;Tableau1[[#This Row],[Poste Responsable]]&amp;"\"&amp;Tableau1[[#This Row],[Localisation / Classement]]&amp;"\"&amp;Tableau1[[#This Row],[Poste technique]]&amp;"_"&amp;Tableau1[[#This Row],[Plan Entretien]]&amp;".pdf"</f>
        <v>\\stjn.local\trimet\Donnees_Projets\Dms Sap\Maintenance\PlanEntretien\7.MNRJ\\_.pdf</v>
      </c>
      <c r="X721" s="44"/>
      <c r="Y721" s="44"/>
      <c r="Z721" s="41" t="str">
        <f ca="1">IF(AND(Tableau1[[#This Row],[Charge]]&lt;&gt;0, Tableau1[[#This Row],[Nombre intervenants]]&lt;&gt;0,Tableau1[[#This Row],[Lien document]]&lt;&gt;0,Tableau1[[#This Row],[DMS_SAP]]&lt;&gt;0)=TRUE,"MIS A JOUR","")</f>
        <v/>
      </c>
      <c r="AA721" s="45"/>
      <c r="AB721" s="55" t="str">
        <f ca="1">IF(Tableau1[[#This Row],[Date rév.]]&lt;&gt;"", DAYS360(Tableau1[[#This Row],[Date rév.]],TODAY()),"")</f>
        <v/>
      </c>
      <c r="AC721" s="47">
        <f>IFERROR(INDEX(Chemin_accès!$B$11:$C$22,MATCH(Tableau1[[#This Row],[Type]],Chemin_accès!$C$11:$C$22,0),1),Chemin_accès!$B$11)</f>
        <v>0</v>
      </c>
      <c r="AD721" s="47" t="str">
        <f>Chemin_accès!$B$8&amp;Tableau1[[#This Row],[Localisation / Classement]]&amp;"\"&amp;Tableau1[[#This Row],[Poste technique]]&amp;"_"&amp;Tableau1[[#This Row],[Plan Entretien]]&amp;".xlsm"</f>
        <v>\_.xlsm</v>
      </c>
    </row>
    <row r="722" spans="1:30" x14ac:dyDescent="0.3">
      <c r="A722" s="41" t="str">
        <f t="shared" ca="1" si="11"/>
        <v>7.MNRJ</v>
      </c>
      <c r="B7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2" s="43"/>
      <c r="D722" s="41"/>
      <c r="E722" s="41"/>
      <c r="F722" s="44"/>
      <c r="G722" s="44"/>
      <c r="H722" s="48"/>
      <c r="I722" s="48"/>
      <c r="J722" s="48"/>
      <c r="K722" s="48"/>
      <c r="L722" s="43"/>
      <c r="M722" s="44"/>
      <c r="N722" s="43"/>
      <c r="O722" s="43"/>
      <c r="P722" s="44"/>
      <c r="Q722" s="43"/>
      <c r="R722" s="43"/>
      <c r="S722" s="45"/>
      <c r="T722" s="58" t="str">
        <f>IF(Tableau1[[#This Row],[DMS_SAP]]="","",HYPERLINK(Tableau1[[#This Row],[Chemin fichier source]],"X"))</f>
        <v/>
      </c>
      <c r="U722" s="58" t="str">
        <f>IF(Tableau1[[#This Row],[Date rév.]]="","",HYPERLINK(Tableau1[[#This Row],[Lien document]],"X"))</f>
        <v/>
      </c>
      <c r="V722" s="44"/>
      <c r="W722" s="46" t="str">
        <f ca="1">Chemin_accès!$B$2&amp;Tableau1[[#This Row],[Poste Responsable]]&amp;"\"&amp;Tableau1[[#This Row],[Localisation / Classement]]&amp;"\"&amp;Tableau1[[#This Row],[Poste technique]]&amp;"_"&amp;Tableau1[[#This Row],[Plan Entretien]]&amp;".pdf"</f>
        <v>\\stjn.local\trimet\Donnees_Projets\Dms Sap\Maintenance\PlanEntretien\7.MNRJ\\_.pdf</v>
      </c>
      <c r="X722" s="44"/>
      <c r="Y722" s="44"/>
      <c r="Z722" s="41" t="str">
        <f ca="1">IF(AND(Tableau1[[#This Row],[Charge]]&lt;&gt;0, Tableau1[[#This Row],[Nombre intervenants]]&lt;&gt;0,Tableau1[[#This Row],[Lien document]]&lt;&gt;0,Tableau1[[#This Row],[DMS_SAP]]&lt;&gt;0)=TRUE,"MIS A JOUR","")</f>
        <v/>
      </c>
      <c r="AA722" s="45"/>
      <c r="AB722" s="55" t="str">
        <f ca="1">IF(Tableau1[[#This Row],[Date rév.]]&lt;&gt;"", DAYS360(Tableau1[[#This Row],[Date rév.]],TODAY()),"")</f>
        <v/>
      </c>
      <c r="AC722" s="47">
        <f>IFERROR(INDEX(Chemin_accès!$B$11:$C$22,MATCH(Tableau1[[#This Row],[Type]],Chemin_accès!$C$11:$C$22,0),1),Chemin_accès!$B$11)</f>
        <v>0</v>
      </c>
      <c r="AD722" s="47" t="str">
        <f>Chemin_accès!$B$8&amp;Tableau1[[#This Row],[Localisation / Classement]]&amp;"\"&amp;Tableau1[[#This Row],[Poste technique]]&amp;"_"&amp;Tableau1[[#This Row],[Plan Entretien]]&amp;".xlsm"</f>
        <v>\_.xlsm</v>
      </c>
    </row>
    <row r="723" spans="1:30" x14ac:dyDescent="0.3">
      <c r="A723" s="41" t="str">
        <f t="shared" ca="1" si="11"/>
        <v>7.MNRJ</v>
      </c>
      <c r="B7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3" s="43"/>
      <c r="D723" s="41"/>
      <c r="E723" s="41"/>
      <c r="F723" s="44"/>
      <c r="G723" s="44"/>
      <c r="H723" s="48"/>
      <c r="I723" s="48"/>
      <c r="J723" s="48"/>
      <c r="K723" s="48"/>
      <c r="L723" s="43"/>
      <c r="M723" s="44"/>
      <c r="N723" s="43"/>
      <c r="O723" s="43"/>
      <c r="P723" s="44"/>
      <c r="Q723" s="43"/>
      <c r="R723" s="43"/>
      <c r="S723" s="45"/>
      <c r="T723" s="58" t="str">
        <f>IF(Tableau1[[#This Row],[DMS_SAP]]="","",HYPERLINK(Tableau1[[#This Row],[Chemin fichier source]],"X"))</f>
        <v/>
      </c>
      <c r="U723" s="58" t="str">
        <f>IF(Tableau1[[#This Row],[Date rév.]]="","",HYPERLINK(Tableau1[[#This Row],[Lien document]],"X"))</f>
        <v/>
      </c>
      <c r="V723" s="44"/>
      <c r="W723" s="46" t="str">
        <f ca="1">Chemin_accès!$B$2&amp;Tableau1[[#This Row],[Poste Responsable]]&amp;"\"&amp;Tableau1[[#This Row],[Localisation / Classement]]&amp;"\"&amp;Tableau1[[#This Row],[Poste technique]]&amp;"_"&amp;Tableau1[[#This Row],[Plan Entretien]]&amp;".pdf"</f>
        <v>\\stjn.local\trimet\Donnees_Projets\Dms Sap\Maintenance\PlanEntretien\7.MNRJ\\_.pdf</v>
      </c>
      <c r="X723" s="44"/>
      <c r="Y723" s="44"/>
      <c r="Z723" s="41" t="str">
        <f ca="1">IF(AND(Tableau1[[#This Row],[Charge]]&lt;&gt;0, Tableau1[[#This Row],[Nombre intervenants]]&lt;&gt;0,Tableau1[[#This Row],[Lien document]]&lt;&gt;0,Tableau1[[#This Row],[DMS_SAP]]&lt;&gt;0)=TRUE,"MIS A JOUR","")</f>
        <v/>
      </c>
      <c r="AA723" s="45"/>
      <c r="AB723" s="55" t="str">
        <f ca="1">IF(Tableau1[[#This Row],[Date rév.]]&lt;&gt;"", DAYS360(Tableau1[[#This Row],[Date rév.]],TODAY()),"")</f>
        <v/>
      </c>
      <c r="AC723" s="47">
        <f>IFERROR(INDEX(Chemin_accès!$B$11:$C$22,MATCH(Tableau1[[#This Row],[Type]],Chemin_accès!$C$11:$C$22,0),1),Chemin_accès!$B$11)</f>
        <v>0</v>
      </c>
      <c r="AD723" s="47" t="str">
        <f>Chemin_accès!$B$8&amp;Tableau1[[#This Row],[Localisation / Classement]]&amp;"\"&amp;Tableau1[[#This Row],[Poste technique]]&amp;"_"&amp;Tableau1[[#This Row],[Plan Entretien]]&amp;".xlsm"</f>
        <v>\_.xlsm</v>
      </c>
    </row>
    <row r="724" spans="1:30" x14ac:dyDescent="0.3">
      <c r="A724" s="41" t="str">
        <f t="shared" ca="1" si="11"/>
        <v>7.MNRJ</v>
      </c>
      <c r="B7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4" s="43"/>
      <c r="D724" s="41"/>
      <c r="E724" s="41"/>
      <c r="F724" s="44"/>
      <c r="G724" s="44"/>
      <c r="H724" s="48"/>
      <c r="I724" s="48"/>
      <c r="J724" s="48"/>
      <c r="K724" s="48"/>
      <c r="L724" s="43"/>
      <c r="M724" s="44"/>
      <c r="N724" s="43"/>
      <c r="O724" s="43"/>
      <c r="P724" s="44"/>
      <c r="Q724" s="43"/>
      <c r="R724" s="43"/>
      <c r="S724" s="45"/>
      <c r="T724" s="58" t="str">
        <f>IF(Tableau1[[#This Row],[DMS_SAP]]="","",HYPERLINK(Tableau1[[#This Row],[Chemin fichier source]],"X"))</f>
        <v/>
      </c>
      <c r="U724" s="58" t="str">
        <f>IF(Tableau1[[#This Row],[Date rév.]]="","",HYPERLINK(Tableau1[[#This Row],[Lien document]],"X"))</f>
        <v/>
      </c>
      <c r="V724" s="44"/>
      <c r="W724" s="46" t="str">
        <f ca="1">Chemin_accès!$B$2&amp;Tableau1[[#This Row],[Poste Responsable]]&amp;"\"&amp;Tableau1[[#This Row],[Localisation / Classement]]&amp;"\"&amp;Tableau1[[#This Row],[Poste technique]]&amp;"_"&amp;Tableau1[[#This Row],[Plan Entretien]]&amp;".pdf"</f>
        <v>\\stjn.local\trimet\Donnees_Projets\Dms Sap\Maintenance\PlanEntretien\7.MNRJ\\_.pdf</v>
      </c>
      <c r="X724" s="44"/>
      <c r="Y724" s="44"/>
      <c r="Z724" s="41" t="str">
        <f ca="1">IF(AND(Tableau1[[#This Row],[Charge]]&lt;&gt;0, Tableau1[[#This Row],[Nombre intervenants]]&lt;&gt;0,Tableau1[[#This Row],[Lien document]]&lt;&gt;0,Tableau1[[#This Row],[DMS_SAP]]&lt;&gt;0)=TRUE,"MIS A JOUR","")</f>
        <v/>
      </c>
      <c r="AA724" s="45"/>
      <c r="AB724" s="55" t="str">
        <f ca="1">IF(Tableau1[[#This Row],[Date rév.]]&lt;&gt;"", DAYS360(Tableau1[[#This Row],[Date rév.]],TODAY()),"")</f>
        <v/>
      </c>
      <c r="AC724" s="47">
        <f>IFERROR(INDEX(Chemin_accès!$B$11:$C$22,MATCH(Tableau1[[#This Row],[Type]],Chemin_accès!$C$11:$C$22,0),1),Chemin_accès!$B$11)</f>
        <v>0</v>
      </c>
      <c r="AD724" s="47" t="str">
        <f>Chemin_accès!$B$8&amp;Tableau1[[#This Row],[Localisation / Classement]]&amp;"\"&amp;Tableau1[[#This Row],[Poste technique]]&amp;"_"&amp;Tableau1[[#This Row],[Plan Entretien]]&amp;".xlsm"</f>
        <v>\_.xlsm</v>
      </c>
    </row>
    <row r="725" spans="1:30" x14ac:dyDescent="0.3">
      <c r="A725" s="41" t="str">
        <f t="shared" ca="1" si="11"/>
        <v>7.MNRJ</v>
      </c>
      <c r="B7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5" s="43"/>
      <c r="D725" s="41"/>
      <c r="E725" s="41"/>
      <c r="F725" s="44"/>
      <c r="G725" s="44"/>
      <c r="H725" s="48"/>
      <c r="I725" s="48"/>
      <c r="J725" s="48"/>
      <c r="K725" s="48"/>
      <c r="L725" s="43"/>
      <c r="M725" s="44"/>
      <c r="N725" s="43"/>
      <c r="O725" s="43"/>
      <c r="P725" s="44"/>
      <c r="Q725" s="43"/>
      <c r="R725" s="43"/>
      <c r="S725" s="45"/>
      <c r="T725" s="58" t="str">
        <f>IF(Tableau1[[#This Row],[DMS_SAP]]="","",HYPERLINK(Tableau1[[#This Row],[Chemin fichier source]],"X"))</f>
        <v/>
      </c>
      <c r="U725" s="58" t="str">
        <f>IF(Tableau1[[#This Row],[Date rév.]]="","",HYPERLINK(Tableau1[[#This Row],[Lien document]],"X"))</f>
        <v/>
      </c>
      <c r="V725" s="44"/>
      <c r="W725" s="46" t="str">
        <f ca="1">Chemin_accès!$B$2&amp;Tableau1[[#This Row],[Poste Responsable]]&amp;"\"&amp;Tableau1[[#This Row],[Localisation / Classement]]&amp;"\"&amp;Tableau1[[#This Row],[Poste technique]]&amp;"_"&amp;Tableau1[[#This Row],[Plan Entretien]]&amp;".pdf"</f>
        <v>\\stjn.local\trimet\Donnees_Projets\Dms Sap\Maintenance\PlanEntretien\7.MNRJ\\_.pdf</v>
      </c>
      <c r="X725" s="44"/>
      <c r="Y725" s="44"/>
      <c r="Z725" s="41" t="str">
        <f ca="1">IF(AND(Tableau1[[#This Row],[Charge]]&lt;&gt;0, Tableau1[[#This Row],[Nombre intervenants]]&lt;&gt;0,Tableau1[[#This Row],[Lien document]]&lt;&gt;0,Tableau1[[#This Row],[DMS_SAP]]&lt;&gt;0)=TRUE,"MIS A JOUR","")</f>
        <v/>
      </c>
      <c r="AA725" s="45"/>
      <c r="AB725" s="55" t="str">
        <f ca="1">IF(Tableau1[[#This Row],[Date rév.]]&lt;&gt;"", DAYS360(Tableau1[[#This Row],[Date rév.]],TODAY()),"")</f>
        <v/>
      </c>
      <c r="AC725" s="47">
        <f>IFERROR(INDEX(Chemin_accès!$B$11:$C$22,MATCH(Tableau1[[#This Row],[Type]],Chemin_accès!$C$11:$C$22,0),1),Chemin_accès!$B$11)</f>
        <v>0</v>
      </c>
      <c r="AD725" s="47" t="str">
        <f>Chemin_accès!$B$8&amp;Tableau1[[#This Row],[Localisation / Classement]]&amp;"\"&amp;Tableau1[[#This Row],[Poste technique]]&amp;"_"&amp;Tableau1[[#This Row],[Plan Entretien]]&amp;".xlsm"</f>
        <v>\_.xlsm</v>
      </c>
    </row>
    <row r="726" spans="1:30" x14ac:dyDescent="0.3">
      <c r="A726" s="41" t="str">
        <f t="shared" ca="1" si="11"/>
        <v>7.MNRJ</v>
      </c>
      <c r="B7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6" s="43"/>
      <c r="D726" s="41"/>
      <c r="E726" s="41"/>
      <c r="F726" s="44"/>
      <c r="G726" s="44"/>
      <c r="H726" s="48"/>
      <c r="I726" s="48"/>
      <c r="J726" s="48"/>
      <c r="K726" s="48"/>
      <c r="L726" s="43"/>
      <c r="M726" s="44"/>
      <c r="N726" s="43"/>
      <c r="O726" s="43"/>
      <c r="P726" s="44"/>
      <c r="Q726" s="43"/>
      <c r="R726" s="43"/>
      <c r="S726" s="45"/>
      <c r="T726" s="58" t="str">
        <f>IF(Tableau1[[#This Row],[DMS_SAP]]="","",HYPERLINK(Tableau1[[#This Row],[Chemin fichier source]],"X"))</f>
        <v/>
      </c>
      <c r="U726" s="58" t="str">
        <f>IF(Tableau1[[#This Row],[Date rév.]]="","",HYPERLINK(Tableau1[[#This Row],[Lien document]],"X"))</f>
        <v/>
      </c>
      <c r="V726" s="44"/>
      <c r="W726" s="46" t="str">
        <f ca="1">Chemin_accès!$B$2&amp;Tableau1[[#This Row],[Poste Responsable]]&amp;"\"&amp;Tableau1[[#This Row],[Localisation / Classement]]&amp;"\"&amp;Tableau1[[#This Row],[Poste technique]]&amp;"_"&amp;Tableau1[[#This Row],[Plan Entretien]]&amp;".pdf"</f>
        <v>\\stjn.local\trimet\Donnees_Projets\Dms Sap\Maintenance\PlanEntretien\7.MNRJ\\_.pdf</v>
      </c>
      <c r="X726" s="44"/>
      <c r="Y726" s="44"/>
      <c r="Z726" s="41" t="str">
        <f ca="1">IF(AND(Tableau1[[#This Row],[Charge]]&lt;&gt;0, Tableau1[[#This Row],[Nombre intervenants]]&lt;&gt;0,Tableau1[[#This Row],[Lien document]]&lt;&gt;0,Tableau1[[#This Row],[DMS_SAP]]&lt;&gt;0)=TRUE,"MIS A JOUR","")</f>
        <v/>
      </c>
      <c r="AA726" s="45"/>
      <c r="AB726" s="55" t="str">
        <f ca="1">IF(Tableau1[[#This Row],[Date rév.]]&lt;&gt;"", DAYS360(Tableau1[[#This Row],[Date rév.]],TODAY()),"")</f>
        <v/>
      </c>
      <c r="AC726" s="47">
        <f>IFERROR(INDEX(Chemin_accès!$B$11:$C$22,MATCH(Tableau1[[#This Row],[Type]],Chemin_accès!$C$11:$C$22,0),1),Chemin_accès!$B$11)</f>
        <v>0</v>
      </c>
      <c r="AD726" s="47" t="str">
        <f>Chemin_accès!$B$8&amp;Tableau1[[#This Row],[Localisation / Classement]]&amp;"\"&amp;Tableau1[[#This Row],[Poste technique]]&amp;"_"&amp;Tableau1[[#This Row],[Plan Entretien]]&amp;".xlsm"</f>
        <v>\_.xlsm</v>
      </c>
    </row>
    <row r="727" spans="1:30" x14ac:dyDescent="0.3">
      <c r="A727" s="41" t="str">
        <f t="shared" ca="1" si="11"/>
        <v>7.MNRJ</v>
      </c>
      <c r="B7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7" s="43"/>
      <c r="D727" s="41"/>
      <c r="E727" s="41"/>
      <c r="F727" s="44"/>
      <c r="G727" s="44"/>
      <c r="H727" s="48"/>
      <c r="I727" s="48"/>
      <c r="J727" s="48"/>
      <c r="K727" s="48"/>
      <c r="L727" s="43"/>
      <c r="M727" s="44"/>
      <c r="N727" s="43"/>
      <c r="O727" s="43"/>
      <c r="P727" s="44"/>
      <c r="Q727" s="43"/>
      <c r="R727" s="43"/>
      <c r="S727" s="45"/>
      <c r="T727" s="58" t="str">
        <f>IF(Tableau1[[#This Row],[DMS_SAP]]="","",HYPERLINK(Tableau1[[#This Row],[Chemin fichier source]],"X"))</f>
        <v/>
      </c>
      <c r="U727" s="58" t="str">
        <f>IF(Tableau1[[#This Row],[Date rév.]]="","",HYPERLINK(Tableau1[[#This Row],[Lien document]],"X"))</f>
        <v/>
      </c>
      <c r="V727" s="44"/>
      <c r="W727" s="46" t="str">
        <f ca="1">Chemin_accès!$B$2&amp;Tableau1[[#This Row],[Poste Responsable]]&amp;"\"&amp;Tableau1[[#This Row],[Localisation / Classement]]&amp;"\"&amp;Tableau1[[#This Row],[Poste technique]]&amp;"_"&amp;Tableau1[[#This Row],[Plan Entretien]]&amp;".pdf"</f>
        <v>\\stjn.local\trimet\Donnees_Projets\Dms Sap\Maintenance\PlanEntretien\7.MNRJ\\_.pdf</v>
      </c>
      <c r="X727" s="44"/>
      <c r="Y727" s="44"/>
      <c r="Z727" s="41" t="str">
        <f ca="1">IF(AND(Tableau1[[#This Row],[Charge]]&lt;&gt;0, Tableau1[[#This Row],[Nombre intervenants]]&lt;&gt;0,Tableau1[[#This Row],[Lien document]]&lt;&gt;0,Tableau1[[#This Row],[DMS_SAP]]&lt;&gt;0)=TRUE,"MIS A JOUR","")</f>
        <v/>
      </c>
      <c r="AA727" s="45"/>
      <c r="AB727" s="55" t="str">
        <f ca="1">IF(Tableau1[[#This Row],[Date rév.]]&lt;&gt;"", DAYS360(Tableau1[[#This Row],[Date rév.]],TODAY()),"")</f>
        <v/>
      </c>
      <c r="AC727" s="47">
        <f>IFERROR(INDEX(Chemin_accès!$B$11:$C$22,MATCH(Tableau1[[#This Row],[Type]],Chemin_accès!$C$11:$C$22,0),1),Chemin_accès!$B$11)</f>
        <v>0</v>
      </c>
      <c r="AD727" s="47" t="str">
        <f>Chemin_accès!$B$8&amp;Tableau1[[#This Row],[Localisation / Classement]]&amp;"\"&amp;Tableau1[[#This Row],[Poste technique]]&amp;"_"&amp;Tableau1[[#This Row],[Plan Entretien]]&amp;".xlsm"</f>
        <v>\_.xlsm</v>
      </c>
    </row>
    <row r="728" spans="1:30" x14ac:dyDescent="0.3">
      <c r="A728" s="41" t="str">
        <f t="shared" ca="1" si="11"/>
        <v>7.MNRJ</v>
      </c>
      <c r="B7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8" s="43"/>
      <c r="D728" s="41"/>
      <c r="E728" s="41"/>
      <c r="F728" s="44"/>
      <c r="G728" s="44"/>
      <c r="H728" s="48"/>
      <c r="I728" s="48"/>
      <c r="J728" s="48"/>
      <c r="K728" s="48"/>
      <c r="L728" s="43"/>
      <c r="M728" s="44"/>
      <c r="N728" s="43"/>
      <c r="O728" s="43"/>
      <c r="P728" s="44"/>
      <c r="Q728" s="43"/>
      <c r="R728" s="43"/>
      <c r="S728" s="45"/>
      <c r="T728" s="58" t="str">
        <f>IF(Tableau1[[#This Row],[DMS_SAP]]="","",HYPERLINK(Tableau1[[#This Row],[Chemin fichier source]],"X"))</f>
        <v/>
      </c>
      <c r="U728" s="58" t="str">
        <f>IF(Tableau1[[#This Row],[Date rév.]]="","",HYPERLINK(Tableau1[[#This Row],[Lien document]],"X"))</f>
        <v/>
      </c>
      <c r="V728" s="44"/>
      <c r="W728" s="46" t="str">
        <f ca="1">Chemin_accès!$B$2&amp;Tableau1[[#This Row],[Poste Responsable]]&amp;"\"&amp;Tableau1[[#This Row],[Localisation / Classement]]&amp;"\"&amp;Tableau1[[#This Row],[Poste technique]]&amp;"_"&amp;Tableau1[[#This Row],[Plan Entretien]]&amp;".pdf"</f>
        <v>\\stjn.local\trimet\Donnees_Projets\Dms Sap\Maintenance\PlanEntretien\7.MNRJ\\_.pdf</v>
      </c>
      <c r="X728" s="44"/>
      <c r="Y728" s="44"/>
      <c r="Z728" s="41" t="str">
        <f ca="1">IF(AND(Tableau1[[#This Row],[Charge]]&lt;&gt;0, Tableau1[[#This Row],[Nombre intervenants]]&lt;&gt;0,Tableau1[[#This Row],[Lien document]]&lt;&gt;0,Tableau1[[#This Row],[DMS_SAP]]&lt;&gt;0)=TRUE,"MIS A JOUR","")</f>
        <v/>
      </c>
      <c r="AA728" s="45"/>
      <c r="AB728" s="55" t="str">
        <f ca="1">IF(Tableau1[[#This Row],[Date rév.]]&lt;&gt;"", DAYS360(Tableau1[[#This Row],[Date rév.]],TODAY()),"")</f>
        <v/>
      </c>
      <c r="AC728" s="47">
        <f>IFERROR(INDEX(Chemin_accès!$B$11:$C$22,MATCH(Tableau1[[#This Row],[Type]],Chemin_accès!$C$11:$C$22,0),1),Chemin_accès!$B$11)</f>
        <v>0</v>
      </c>
      <c r="AD728" s="47" t="str">
        <f>Chemin_accès!$B$8&amp;Tableau1[[#This Row],[Localisation / Classement]]&amp;"\"&amp;Tableau1[[#This Row],[Poste technique]]&amp;"_"&amp;Tableau1[[#This Row],[Plan Entretien]]&amp;".xlsm"</f>
        <v>\_.xlsm</v>
      </c>
    </row>
    <row r="729" spans="1:30" x14ac:dyDescent="0.3">
      <c r="A729" s="41" t="str">
        <f t="shared" ca="1" si="11"/>
        <v>7.MNRJ</v>
      </c>
      <c r="B7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9" s="43"/>
      <c r="D729" s="41"/>
      <c r="E729" s="41"/>
      <c r="F729" s="44"/>
      <c r="G729" s="44"/>
      <c r="H729" s="48"/>
      <c r="I729" s="48"/>
      <c r="J729" s="48"/>
      <c r="K729" s="48"/>
      <c r="L729" s="43"/>
      <c r="M729" s="44"/>
      <c r="N729" s="43"/>
      <c r="O729" s="43"/>
      <c r="P729" s="44"/>
      <c r="Q729" s="43"/>
      <c r="R729" s="43"/>
      <c r="S729" s="45"/>
      <c r="T729" s="58" t="str">
        <f>IF(Tableau1[[#This Row],[DMS_SAP]]="","",HYPERLINK(Tableau1[[#This Row],[Chemin fichier source]],"X"))</f>
        <v/>
      </c>
      <c r="U729" s="58" t="str">
        <f>IF(Tableau1[[#This Row],[Date rév.]]="","",HYPERLINK(Tableau1[[#This Row],[Lien document]],"X"))</f>
        <v/>
      </c>
      <c r="V729" s="44"/>
      <c r="W729" s="46" t="str">
        <f ca="1">Chemin_accès!$B$2&amp;Tableau1[[#This Row],[Poste Responsable]]&amp;"\"&amp;Tableau1[[#This Row],[Localisation / Classement]]&amp;"\"&amp;Tableau1[[#This Row],[Poste technique]]&amp;"_"&amp;Tableau1[[#This Row],[Plan Entretien]]&amp;".pdf"</f>
        <v>\\stjn.local\trimet\Donnees_Projets\Dms Sap\Maintenance\PlanEntretien\7.MNRJ\\_.pdf</v>
      </c>
      <c r="X729" s="44"/>
      <c r="Y729" s="44"/>
      <c r="Z729" s="41" t="str">
        <f ca="1">IF(AND(Tableau1[[#This Row],[Charge]]&lt;&gt;0, Tableau1[[#This Row],[Nombre intervenants]]&lt;&gt;0,Tableau1[[#This Row],[Lien document]]&lt;&gt;0,Tableau1[[#This Row],[DMS_SAP]]&lt;&gt;0)=TRUE,"MIS A JOUR","")</f>
        <v/>
      </c>
      <c r="AA729" s="45"/>
      <c r="AB729" s="55" t="str">
        <f ca="1">IF(Tableau1[[#This Row],[Date rév.]]&lt;&gt;"", DAYS360(Tableau1[[#This Row],[Date rév.]],TODAY()),"")</f>
        <v/>
      </c>
      <c r="AC729" s="47">
        <f>IFERROR(INDEX(Chemin_accès!$B$11:$C$22,MATCH(Tableau1[[#This Row],[Type]],Chemin_accès!$C$11:$C$22,0),1),Chemin_accès!$B$11)</f>
        <v>0</v>
      </c>
      <c r="AD729" s="47" t="str">
        <f>Chemin_accès!$B$8&amp;Tableau1[[#This Row],[Localisation / Classement]]&amp;"\"&amp;Tableau1[[#This Row],[Poste technique]]&amp;"_"&amp;Tableau1[[#This Row],[Plan Entretien]]&amp;".xlsm"</f>
        <v>\_.xlsm</v>
      </c>
    </row>
    <row r="730" spans="1:30" x14ac:dyDescent="0.3">
      <c r="A730" s="41" t="str">
        <f t="shared" ca="1" si="11"/>
        <v>7.MNRJ</v>
      </c>
      <c r="B7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0" s="43"/>
      <c r="D730" s="41"/>
      <c r="E730" s="41"/>
      <c r="F730" s="44"/>
      <c r="G730" s="44"/>
      <c r="H730" s="48"/>
      <c r="I730" s="48"/>
      <c r="J730" s="48"/>
      <c r="K730" s="48"/>
      <c r="L730" s="43"/>
      <c r="M730" s="44"/>
      <c r="N730" s="43"/>
      <c r="O730" s="43"/>
      <c r="P730" s="44"/>
      <c r="Q730" s="43"/>
      <c r="R730" s="43"/>
      <c r="S730" s="45"/>
      <c r="T730" s="58" t="str">
        <f>IF(Tableau1[[#This Row],[DMS_SAP]]="","",HYPERLINK(Tableau1[[#This Row],[Chemin fichier source]],"X"))</f>
        <v/>
      </c>
      <c r="U730" s="58" t="str">
        <f>IF(Tableau1[[#This Row],[Date rév.]]="","",HYPERLINK(Tableau1[[#This Row],[Lien document]],"X"))</f>
        <v/>
      </c>
      <c r="V730" s="44"/>
      <c r="W730" s="46" t="str">
        <f ca="1">Chemin_accès!$B$2&amp;Tableau1[[#This Row],[Poste Responsable]]&amp;"\"&amp;Tableau1[[#This Row],[Localisation / Classement]]&amp;"\"&amp;Tableau1[[#This Row],[Poste technique]]&amp;"_"&amp;Tableau1[[#This Row],[Plan Entretien]]&amp;".pdf"</f>
        <v>\\stjn.local\trimet\Donnees_Projets\Dms Sap\Maintenance\PlanEntretien\7.MNRJ\\_.pdf</v>
      </c>
      <c r="X730" s="44"/>
      <c r="Y730" s="44"/>
      <c r="Z730" s="41" t="str">
        <f ca="1">IF(AND(Tableau1[[#This Row],[Charge]]&lt;&gt;0, Tableau1[[#This Row],[Nombre intervenants]]&lt;&gt;0,Tableau1[[#This Row],[Lien document]]&lt;&gt;0,Tableau1[[#This Row],[DMS_SAP]]&lt;&gt;0)=TRUE,"MIS A JOUR","")</f>
        <v/>
      </c>
      <c r="AA730" s="45"/>
      <c r="AB730" s="55" t="str">
        <f ca="1">IF(Tableau1[[#This Row],[Date rév.]]&lt;&gt;"", DAYS360(Tableau1[[#This Row],[Date rév.]],TODAY()),"")</f>
        <v/>
      </c>
      <c r="AC730" s="47">
        <f>IFERROR(INDEX(Chemin_accès!$B$11:$C$22,MATCH(Tableau1[[#This Row],[Type]],Chemin_accès!$C$11:$C$22,0),1),Chemin_accès!$B$11)</f>
        <v>0</v>
      </c>
      <c r="AD730" s="47" t="str">
        <f>Chemin_accès!$B$8&amp;Tableau1[[#This Row],[Localisation / Classement]]&amp;"\"&amp;Tableau1[[#This Row],[Poste technique]]&amp;"_"&amp;Tableau1[[#This Row],[Plan Entretien]]&amp;".xlsm"</f>
        <v>\_.xlsm</v>
      </c>
    </row>
    <row r="731" spans="1:30" x14ac:dyDescent="0.3">
      <c r="A731" s="41" t="str">
        <f t="shared" ca="1" si="11"/>
        <v>7.MNRJ</v>
      </c>
      <c r="B7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1" s="43"/>
      <c r="D731" s="41"/>
      <c r="E731" s="41"/>
      <c r="F731" s="44"/>
      <c r="G731" s="44"/>
      <c r="H731" s="48"/>
      <c r="I731" s="48"/>
      <c r="J731" s="48"/>
      <c r="K731" s="48"/>
      <c r="L731" s="43"/>
      <c r="M731" s="44"/>
      <c r="N731" s="43"/>
      <c r="O731" s="43"/>
      <c r="P731" s="44"/>
      <c r="Q731" s="43"/>
      <c r="R731" s="43"/>
      <c r="S731" s="45"/>
      <c r="T731" s="58" t="str">
        <f>IF(Tableau1[[#This Row],[DMS_SAP]]="","",HYPERLINK(Tableau1[[#This Row],[Chemin fichier source]],"X"))</f>
        <v/>
      </c>
      <c r="U731" s="58" t="str">
        <f>IF(Tableau1[[#This Row],[Date rév.]]="","",HYPERLINK(Tableau1[[#This Row],[Lien document]],"X"))</f>
        <v/>
      </c>
      <c r="V731" s="44"/>
      <c r="W731" s="46" t="str">
        <f ca="1">Chemin_accès!$B$2&amp;Tableau1[[#This Row],[Poste Responsable]]&amp;"\"&amp;Tableau1[[#This Row],[Localisation / Classement]]&amp;"\"&amp;Tableau1[[#This Row],[Poste technique]]&amp;"_"&amp;Tableau1[[#This Row],[Plan Entretien]]&amp;".pdf"</f>
        <v>\\stjn.local\trimet\Donnees_Projets\Dms Sap\Maintenance\PlanEntretien\7.MNRJ\\_.pdf</v>
      </c>
      <c r="X731" s="44"/>
      <c r="Y731" s="44"/>
      <c r="Z731" s="41" t="str">
        <f ca="1">IF(AND(Tableau1[[#This Row],[Charge]]&lt;&gt;0, Tableau1[[#This Row],[Nombre intervenants]]&lt;&gt;0,Tableau1[[#This Row],[Lien document]]&lt;&gt;0,Tableau1[[#This Row],[DMS_SAP]]&lt;&gt;0)=TRUE,"MIS A JOUR","")</f>
        <v/>
      </c>
      <c r="AA731" s="45"/>
      <c r="AB731" s="55" t="str">
        <f ca="1">IF(Tableau1[[#This Row],[Date rév.]]&lt;&gt;"", DAYS360(Tableau1[[#This Row],[Date rév.]],TODAY()),"")</f>
        <v/>
      </c>
      <c r="AC731" s="47">
        <f>IFERROR(INDEX(Chemin_accès!$B$11:$C$22,MATCH(Tableau1[[#This Row],[Type]],Chemin_accès!$C$11:$C$22,0),1),Chemin_accès!$B$11)</f>
        <v>0</v>
      </c>
      <c r="AD731" s="47" t="str">
        <f>Chemin_accès!$B$8&amp;Tableau1[[#This Row],[Localisation / Classement]]&amp;"\"&amp;Tableau1[[#This Row],[Poste technique]]&amp;"_"&amp;Tableau1[[#This Row],[Plan Entretien]]&amp;".xlsm"</f>
        <v>\_.xlsm</v>
      </c>
    </row>
    <row r="732" spans="1:30" x14ac:dyDescent="0.3">
      <c r="A732" s="41" t="str">
        <f t="shared" ca="1" si="11"/>
        <v>7.MNRJ</v>
      </c>
      <c r="B7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2" s="43"/>
      <c r="D732" s="41"/>
      <c r="E732" s="41"/>
      <c r="F732" s="44"/>
      <c r="G732" s="44"/>
      <c r="H732" s="48"/>
      <c r="I732" s="48"/>
      <c r="J732" s="48"/>
      <c r="K732" s="48"/>
      <c r="L732" s="43"/>
      <c r="M732" s="44"/>
      <c r="N732" s="43"/>
      <c r="O732" s="43"/>
      <c r="P732" s="44"/>
      <c r="Q732" s="43"/>
      <c r="R732" s="43"/>
      <c r="S732" s="45"/>
      <c r="T732" s="58" t="str">
        <f>IF(Tableau1[[#This Row],[DMS_SAP]]="","",HYPERLINK(Tableau1[[#This Row],[Chemin fichier source]],"X"))</f>
        <v/>
      </c>
      <c r="U732" s="58" t="str">
        <f>IF(Tableau1[[#This Row],[Date rév.]]="","",HYPERLINK(Tableau1[[#This Row],[Lien document]],"X"))</f>
        <v/>
      </c>
      <c r="V732" s="44"/>
      <c r="W732" s="46" t="str">
        <f ca="1">Chemin_accès!$B$2&amp;Tableau1[[#This Row],[Poste Responsable]]&amp;"\"&amp;Tableau1[[#This Row],[Localisation / Classement]]&amp;"\"&amp;Tableau1[[#This Row],[Poste technique]]&amp;"_"&amp;Tableau1[[#This Row],[Plan Entretien]]&amp;".pdf"</f>
        <v>\\stjn.local\trimet\Donnees_Projets\Dms Sap\Maintenance\PlanEntretien\7.MNRJ\\_.pdf</v>
      </c>
      <c r="X732" s="44"/>
      <c r="Y732" s="44"/>
      <c r="Z732" s="41" t="str">
        <f ca="1">IF(AND(Tableau1[[#This Row],[Charge]]&lt;&gt;0, Tableau1[[#This Row],[Nombre intervenants]]&lt;&gt;0,Tableau1[[#This Row],[Lien document]]&lt;&gt;0,Tableau1[[#This Row],[DMS_SAP]]&lt;&gt;0)=TRUE,"MIS A JOUR","")</f>
        <v/>
      </c>
      <c r="AA732" s="45"/>
      <c r="AB732" s="55" t="str">
        <f ca="1">IF(Tableau1[[#This Row],[Date rév.]]&lt;&gt;"", DAYS360(Tableau1[[#This Row],[Date rév.]],TODAY()),"")</f>
        <v/>
      </c>
      <c r="AC732" s="47">
        <f>IFERROR(INDEX(Chemin_accès!$B$11:$C$22,MATCH(Tableau1[[#This Row],[Type]],Chemin_accès!$C$11:$C$22,0),1),Chemin_accès!$B$11)</f>
        <v>0</v>
      </c>
      <c r="AD732" s="47" t="str">
        <f>Chemin_accès!$B$8&amp;Tableau1[[#This Row],[Localisation / Classement]]&amp;"\"&amp;Tableau1[[#This Row],[Poste technique]]&amp;"_"&amp;Tableau1[[#This Row],[Plan Entretien]]&amp;".xlsm"</f>
        <v>\_.xlsm</v>
      </c>
    </row>
    <row r="733" spans="1:30" x14ac:dyDescent="0.3">
      <c r="A733" s="41" t="str">
        <f t="shared" ca="1" si="11"/>
        <v>7.MNRJ</v>
      </c>
      <c r="B7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3" s="43"/>
      <c r="D733" s="41"/>
      <c r="E733" s="41"/>
      <c r="F733" s="44"/>
      <c r="G733" s="44"/>
      <c r="H733" s="48"/>
      <c r="I733" s="48"/>
      <c r="J733" s="48"/>
      <c r="K733" s="48"/>
      <c r="L733" s="43"/>
      <c r="M733" s="44"/>
      <c r="N733" s="43"/>
      <c r="O733" s="43"/>
      <c r="P733" s="44"/>
      <c r="Q733" s="43"/>
      <c r="R733" s="43"/>
      <c r="S733" s="45"/>
      <c r="T733" s="58" t="str">
        <f>IF(Tableau1[[#This Row],[DMS_SAP]]="","",HYPERLINK(Tableau1[[#This Row],[Chemin fichier source]],"X"))</f>
        <v/>
      </c>
      <c r="U733" s="58" t="str">
        <f>IF(Tableau1[[#This Row],[Date rév.]]="","",HYPERLINK(Tableau1[[#This Row],[Lien document]],"X"))</f>
        <v/>
      </c>
      <c r="V733" s="44"/>
      <c r="W733" s="46" t="str">
        <f ca="1">Chemin_accès!$B$2&amp;Tableau1[[#This Row],[Poste Responsable]]&amp;"\"&amp;Tableau1[[#This Row],[Localisation / Classement]]&amp;"\"&amp;Tableau1[[#This Row],[Poste technique]]&amp;"_"&amp;Tableau1[[#This Row],[Plan Entretien]]&amp;".pdf"</f>
        <v>\\stjn.local\trimet\Donnees_Projets\Dms Sap\Maintenance\PlanEntretien\7.MNRJ\\_.pdf</v>
      </c>
      <c r="X733" s="44"/>
      <c r="Y733" s="44"/>
      <c r="Z733" s="41" t="str">
        <f ca="1">IF(AND(Tableau1[[#This Row],[Charge]]&lt;&gt;0, Tableau1[[#This Row],[Nombre intervenants]]&lt;&gt;0,Tableau1[[#This Row],[Lien document]]&lt;&gt;0,Tableau1[[#This Row],[DMS_SAP]]&lt;&gt;0)=TRUE,"MIS A JOUR","")</f>
        <v/>
      </c>
      <c r="AA733" s="45"/>
      <c r="AB733" s="55" t="str">
        <f ca="1">IF(Tableau1[[#This Row],[Date rév.]]&lt;&gt;"", DAYS360(Tableau1[[#This Row],[Date rév.]],TODAY()),"")</f>
        <v/>
      </c>
      <c r="AC733" s="47">
        <f>IFERROR(INDEX(Chemin_accès!$B$11:$C$22,MATCH(Tableau1[[#This Row],[Type]],Chemin_accès!$C$11:$C$22,0),1),Chemin_accès!$B$11)</f>
        <v>0</v>
      </c>
      <c r="AD733" s="47" t="str">
        <f>Chemin_accès!$B$8&amp;Tableau1[[#This Row],[Localisation / Classement]]&amp;"\"&amp;Tableau1[[#This Row],[Poste technique]]&amp;"_"&amp;Tableau1[[#This Row],[Plan Entretien]]&amp;".xlsm"</f>
        <v>\_.xlsm</v>
      </c>
    </row>
    <row r="734" spans="1:30" x14ac:dyDescent="0.3">
      <c r="A734" s="41" t="str">
        <f t="shared" ca="1" si="11"/>
        <v>7.MNRJ</v>
      </c>
      <c r="B7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4" s="43"/>
      <c r="D734" s="41"/>
      <c r="E734" s="41"/>
      <c r="F734" s="44"/>
      <c r="G734" s="44"/>
      <c r="H734" s="48"/>
      <c r="I734" s="48"/>
      <c r="J734" s="48"/>
      <c r="K734" s="48"/>
      <c r="L734" s="43"/>
      <c r="M734" s="44"/>
      <c r="N734" s="43"/>
      <c r="O734" s="43"/>
      <c r="P734" s="44"/>
      <c r="Q734" s="43"/>
      <c r="R734" s="43"/>
      <c r="S734" s="45"/>
      <c r="T734" s="58" t="str">
        <f>IF(Tableau1[[#This Row],[DMS_SAP]]="","",HYPERLINK(Tableau1[[#This Row],[Chemin fichier source]],"X"))</f>
        <v/>
      </c>
      <c r="U734" s="58" t="str">
        <f>IF(Tableau1[[#This Row],[Date rév.]]="","",HYPERLINK(Tableau1[[#This Row],[Lien document]],"X"))</f>
        <v/>
      </c>
      <c r="V734" s="44"/>
      <c r="W734" s="46" t="str">
        <f ca="1">Chemin_accès!$B$2&amp;Tableau1[[#This Row],[Poste Responsable]]&amp;"\"&amp;Tableau1[[#This Row],[Localisation / Classement]]&amp;"\"&amp;Tableau1[[#This Row],[Poste technique]]&amp;"_"&amp;Tableau1[[#This Row],[Plan Entretien]]&amp;".pdf"</f>
        <v>\\stjn.local\trimet\Donnees_Projets\Dms Sap\Maintenance\PlanEntretien\7.MNRJ\\_.pdf</v>
      </c>
      <c r="X734" s="44"/>
      <c r="Y734" s="44"/>
      <c r="Z734" s="41" t="str">
        <f ca="1">IF(AND(Tableau1[[#This Row],[Charge]]&lt;&gt;0, Tableau1[[#This Row],[Nombre intervenants]]&lt;&gt;0,Tableau1[[#This Row],[Lien document]]&lt;&gt;0,Tableau1[[#This Row],[DMS_SAP]]&lt;&gt;0)=TRUE,"MIS A JOUR","")</f>
        <v/>
      </c>
      <c r="AA734" s="45"/>
      <c r="AB734" s="55" t="str">
        <f ca="1">IF(Tableau1[[#This Row],[Date rév.]]&lt;&gt;"", DAYS360(Tableau1[[#This Row],[Date rév.]],TODAY()),"")</f>
        <v/>
      </c>
      <c r="AC734" s="47">
        <f>IFERROR(INDEX(Chemin_accès!$B$11:$C$22,MATCH(Tableau1[[#This Row],[Type]],Chemin_accès!$C$11:$C$22,0),1),Chemin_accès!$B$11)</f>
        <v>0</v>
      </c>
      <c r="AD734" s="47" t="str">
        <f>Chemin_accès!$B$8&amp;Tableau1[[#This Row],[Localisation / Classement]]&amp;"\"&amp;Tableau1[[#This Row],[Poste technique]]&amp;"_"&amp;Tableau1[[#This Row],[Plan Entretien]]&amp;".xlsm"</f>
        <v>\_.xlsm</v>
      </c>
    </row>
    <row r="735" spans="1:30" x14ac:dyDescent="0.3">
      <c r="A735" s="41" t="str">
        <f t="shared" ca="1" si="11"/>
        <v>7.MNRJ</v>
      </c>
      <c r="B7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5" s="43"/>
      <c r="D735" s="41"/>
      <c r="E735" s="41"/>
      <c r="F735" s="44"/>
      <c r="G735" s="44"/>
      <c r="H735" s="48"/>
      <c r="I735" s="48"/>
      <c r="J735" s="48"/>
      <c r="K735" s="48"/>
      <c r="L735" s="43"/>
      <c r="M735" s="44"/>
      <c r="N735" s="43"/>
      <c r="O735" s="43"/>
      <c r="P735" s="44"/>
      <c r="Q735" s="43"/>
      <c r="R735" s="43"/>
      <c r="S735" s="45"/>
      <c r="T735" s="58" t="str">
        <f>IF(Tableau1[[#This Row],[DMS_SAP]]="","",HYPERLINK(Tableau1[[#This Row],[Chemin fichier source]],"X"))</f>
        <v/>
      </c>
      <c r="U735" s="58" t="str">
        <f>IF(Tableau1[[#This Row],[Date rév.]]="","",HYPERLINK(Tableau1[[#This Row],[Lien document]],"X"))</f>
        <v/>
      </c>
      <c r="V735" s="44"/>
      <c r="W735" s="46" t="str">
        <f ca="1">Chemin_accès!$B$2&amp;Tableau1[[#This Row],[Poste Responsable]]&amp;"\"&amp;Tableau1[[#This Row],[Localisation / Classement]]&amp;"\"&amp;Tableau1[[#This Row],[Poste technique]]&amp;"_"&amp;Tableau1[[#This Row],[Plan Entretien]]&amp;".pdf"</f>
        <v>\\stjn.local\trimet\Donnees_Projets\Dms Sap\Maintenance\PlanEntretien\7.MNRJ\\_.pdf</v>
      </c>
      <c r="X735" s="44"/>
      <c r="Y735" s="44"/>
      <c r="Z735" s="41" t="str">
        <f ca="1">IF(AND(Tableau1[[#This Row],[Charge]]&lt;&gt;0, Tableau1[[#This Row],[Nombre intervenants]]&lt;&gt;0,Tableau1[[#This Row],[Lien document]]&lt;&gt;0,Tableau1[[#This Row],[DMS_SAP]]&lt;&gt;0)=TRUE,"MIS A JOUR","")</f>
        <v/>
      </c>
      <c r="AA735" s="45"/>
      <c r="AB735" s="55" t="str">
        <f ca="1">IF(Tableau1[[#This Row],[Date rév.]]&lt;&gt;"", DAYS360(Tableau1[[#This Row],[Date rév.]],TODAY()),"")</f>
        <v/>
      </c>
      <c r="AC735" s="47">
        <f>IFERROR(INDEX(Chemin_accès!$B$11:$C$22,MATCH(Tableau1[[#This Row],[Type]],Chemin_accès!$C$11:$C$22,0),1),Chemin_accès!$B$11)</f>
        <v>0</v>
      </c>
      <c r="AD735" s="47" t="str">
        <f>Chemin_accès!$B$8&amp;Tableau1[[#This Row],[Localisation / Classement]]&amp;"\"&amp;Tableau1[[#This Row],[Poste technique]]&amp;"_"&amp;Tableau1[[#This Row],[Plan Entretien]]&amp;".xlsm"</f>
        <v>\_.xlsm</v>
      </c>
    </row>
    <row r="736" spans="1:30" x14ac:dyDescent="0.3">
      <c r="A736" s="41" t="str">
        <f t="shared" ca="1" si="11"/>
        <v>7.MNRJ</v>
      </c>
      <c r="B7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6" s="43"/>
      <c r="D736" s="41"/>
      <c r="E736" s="41"/>
      <c r="F736" s="44"/>
      <c r="G736" s="44"/>
      <c r="H736" s="48"/>
      <c r="I736" s="48"/>
      <c r="J736" s="48"/>
      <c r="K736" s="48"/>
      <c r="L736" s="43"/>
      <c r="M736" s="44"/>
      <c r="N736" s="43"/>
      <c r="O736" s="43"/>
      <c r="P736" s="44"/>
      <c r="Q736" s="43"/>
      <c r="R736" s="43"/>
      <c r="S736" s="45"/>
      <c r="T736" s="58" t="str">
        <f>IF(Tableau1[[#This Row],[DMS_SAP]]="","",HYPERLINK(Tableau1[[#This Row],[Chemin fichier source]],"X"))</f>
        <v/>
      </c>
      <c r="U736" s="58" t="str">
        <f>IF(Tableau1[[#This Row],[Date rév.]]="","",HYPERLINK(Tableau1[[#This Row],[Lien document]],"X"))</f>
        <v/>
      </c>
      <c r="V736" s="44"/>
      <c r="W736" s="46" t="str">
        <f ca="1">Chemin_accès!$B$2&amp;Tableau1[[#This Row],[Poste Responsable]]&amp;"\"&amp;Tableau1[[#This Row],[Localisation / Classement]]&amp;"\"&amp;Tableau1[[#This Row],[Poste technique]]&amp;"_"&amp;Tableau1[[#This Row],[Plan Entretien]]&amp;".pdf"</f>
        <v>\\stjn.local\trimet\Donnees_Projets\Dms Sap\Maintenance\PlanEntretien\7.MNRJ\\_.pdf</v>
      </c>
      <c r="X736" s="44"/>
      <c r="Y736" s="44"/>
      <c r="Z736" s="41" t="str">
        <f ca="1">IF(AND(Tableau1[[#This Row],[Charge]]&lt;&gt;0, Tableau1[[#This Row],[Nombre intervenants]]&lt;&gt;0,Tableau1[[#This Row],[Lien document]]&lt;&gt;0,Tableau1[[#This Row],[DMS_SAP]]&lt;&gt;0)=TRUE,"MIS A JOUR","")</f>
        <v/>
      </c>
      <c r="AA736" s="45"/>
      <c r="AB736" s="55" t="str">
        <f ca="1">IF(Tableau1[[#This Row],[Date rév.]]&lt;&gt;"", DAYS360(Tableau1[[#This Row],[Date rév.]],TODAY()),"")</f>
        <v/>
      </c>
      <c r="AC736" s="47">
        <f>IFERROR(INDEX(Chemin_accès!$B$11:$C$22,MATCH(Tableau1[[#This Row],[Type]],Chemin_accès!$C$11:$C$22,0),1),Chemin_accès!$B$11)</f>
        <v>0</v>
      </c>
      <c r="AD736" s="47" t="str">
        <f>Chemin_accès!$B$8&amp;Tableau1[[#This Row],[Localisation / Classement]]&amp;"\"&amp;Tableau1[[#This Row],[Poste technique]]&amp;"_"&amp;Tableau1[[#This Row],[Plan Entretien]]&amp;".xlsm"</f>
        <v>\_.xlsm</v>
      </c>
    </row>
    <row r="737" spans="1:30" x14ac:dyDescent="0.3">
      <c r="A737" s="41" t="str">
        <f t="shared" ca="1" si="11"/>
        <v>7.MNRJ</v>
      </c>
      <c r="B7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7" s="43"/>
      <c r="D737" s="41"/>
      <c r="E737" s="41"/>
      <c r="F737" s="44"/>
      <c r="G737" s="44"/>
      <c r="H737" s="48"/>
      <c r="I737" s="48"/>
      <c r="J737" s="48"/>
      <c r="K737" s="48"/>
      <c r="L737" s="43"/>
      <c r="M737" s="44"/>
      <c r="N737" s="43"/>
      <c r="O737" s="43"/>
      <c r="P737" s="44"/>
      <c r="Q737" s="43"/>
      <c r="R737" s="43"/>
      <c r="S737" s="45"/>
      <c r="T737" s="58" t="str">
        <f>IF(Tableau1[[#This Row],[DMS_SAP]]="","",HYPERLINK(Tableau1[[#This Row],[Chemin fichier source]],"X"))</f>
        <v/>
      </c>
      <c r="U737" s="58" t="str">
        <f>IF(Tableau1[[#This Row],[Date rév.]]="","",HYPERLINK(Tableau1[[#This Row],[Lien document]],"X"))</f>
        <v/>
      </c>
      <c r="V737" s="44"/>
      <c r="W737" s="46" t="str">
        <f ca="1">Chemin_accès!$B$2&amp;Tableau1[[#This Row],[Poste Responsable]]&amp;"\"&amp;Tableau1[[#This Row],[Localisation / Classement]]&amp;"\"&amp;Tableau1[[#This Row],[Poste technique]]&amp;"_"&amp;Tableau1[[#This Row],[Plan Entretien]]&amp;".pdf"</f>
        <v>\\stjn.local\trimet\Donnees_Projets\Dms Sap\Maintenance\PlanEntretien\7.MNRJ\\_.pdf</v>
      </c>
      <c r="X737" s="44"/>
      <c r="Y737" s="44"/>
      <c r="Z737" s="41" t="str">
        <f ca="1">IF(AND(Tableau1[[#This Row],[Charge]]&lt;&gt;0, Tableau1[[#This Row],[Nombre intervenants]]&lt;&gt;0,Tableau1[[#This Row],[Lien document]]&lt;&gt;0,Tableau1[[#This Row],[DMS_SAP]]&lt;&gt;0)=TRUE,"MIS A JOUR","")</f>
        <v/>
      </c>
      <c r="AA737" s="45"/>
      <c r="AB737" s="55" t="str">
        <f ca="1">IF(Tableau1[[#This Row],[Date rév.]]&lt;&gt;"", DAYS360(Tableau1[[#This Row],[Date rév.]],TODAY()),"")</f>
        <v/>
      </c>
      <c r="AC737" s="47">
        <f>IFERROR(INDEX(Chemin_accès!$B$11:$C$22,MATCH(Tableau1[[#This Row],[Type]],Chemin_accès!$C$11:$C$22,0),1),Chemin_accès!$B$11)</f>
        <v>0</v>
      </c>
      <c r="AD737" s="47" t="str">
        <f>Chemin_accès!$B$8&amp;Tableau1[[#This Row],[Localisation / Classement]]&amp;"\"&amp;Tableau1[[#This Row],[Poste technique]]&amp;"_"&amp;Tableau1[[#This Row],[Plan Entretien]]&amp;".xlsm"</f>
        <v>\_.xlsm</v>
      </c>
    </row>
    <row r="738" spans="1:30" x14ac:dyDescent="0.3">
      <c r="A738" s="41" t="str">
        <f t="shared" ca="1" si="11"/>
        <v>7.MNRJ</v>
      </c>
      <c r="B7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8" s="43"/>
      <c r="D738" s="41"/>
      <c r="E738" s="41"/>
      <c r="F738" s="44"/>
      <c r="G738" s="44"/>
      <c r="H738" s="48"/>
      <c r="I738" s="48"/>
      <c r="J738" s="48"/>
      <c r="K738" s="48"/>
      <c r="L738" s="43"/>
      <c r="M738" s="44"/>
      <c r="N738" s="43"/>
      <c r="O738" s="43"/>
      <c r="P738" s="44"/>
      <c r="Q738" s="43"/>
      <c r="R738" s="43"/>
      <c r="S738" s="45"/>
      <c r="T738" s="58" t="str">
        <f>IF(Tableau1[[#This Row],[DMS_SAP]]="","",HYPERLINK(Tableau1[[#This Row],[Chemin fichier source]],"X"))</f>
        <v/>
      </c>
      <c r="U738" s="58" t="str">
        <f>IF(Tableau1[[#This Row],[Date rév.]]="","",HYPERLINK(Tableau1[[#This Row],[Lien document]],"X"))</f>
        <v/>
      </c>
      <c r="V738" s="44"/>
      <c r="W738" s="46" t="str">
        <f ca="1">Chemin_accès!$B$2&amp;Tableau1[[#This Row],[Poste Responsable]]&amp;"\"&amp;Tableau1[[#This Row],[Localisation / Classement]]&amp;"\"&amp;Tableau1[[#This Row],[Poste technique]]&amp;"_"&amp;Tableau1[[#This Row],[Plan Entretien]]&amp;".pdf"</f>
        <v>\\stjn.local\trimet\Donnees_Projets\Dms Sap\Maintenance\PlanEntretien\7.MNRJ\\_.pdf</v>
      </c>
      <c r="X738" s="44"/>
      <c r="Y738" s="44"/>
      <c r="Z738" s="41" t="str">
        <f ca="1">IF(AND(Tableau1[[#This Row],[Charge]]&lt;&gt;0, Tableau1[[#This Row],[Nombre intervenants]]&lt;&gt;0,Tableau1[[#This Row],[Lien document]]&lt;&gt;0,Tableau1[[#This Row],[DMS_SAP]]&lt;&gt;0)=TRUE,"MIS A JOUR","")</f>
        <v/>
      </c>
      <c r="AA738" s="45"/>
      <c r="AB738" s="55" t="str">
        <f ca="1">IF(Tableau1[[#This Row],[Date rév.]]&lt;&gt;"", DAYS360(Tableau1[[#This Row],[Date rév.]],TODAY()),"")</f>
        <v/>
      </c>
      <c r="AC738" s="47">
        <f>IFERROR(INDEX(Chemin_accès!$B$11:$C$22,MATCH(Tableau1[[#This Row],[Type]],Chemin_accès!$C$11:$C$22,0),1),Chemin_accès!$B$11)</f>
        <v>0</v>
      </c>
      <c r="AD738" s="47" t="str">
        <f>Chemin_accès!$B$8&amp;Tableau1[[#This Row],[Localisation / Classement]]&amp;"\"&amp;Tableau1[[#This Row],[Poste technique]]&amp;"_"&amp;Tableau1[[#This Row],[Plan Entretien]]&amp;".xlsm"</f>
        <v>\_.xlsm</v>
      </c>
    </row>
    <row r="739" spans="1:30" x14ac:dyDescent="0.3">
      <c r="A739" s="41" t="str">
        <f t="shared" ca="1" si="11"/>
        <v>7.MNRJ</v>
      </c>
      <c r="B7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9" s="43"/>
      <c r="D739" s="41"/>
      <c r="E739" s="41"/>
      <c r="F739" s="44"/>
      <c r="G739" s="44"/>
      <c r="H739" s="48"/>
      <c r="I739" s="48"/>
      <c r="J739" s="48"/>
      <c r="K739" s="48"/>
      <c r="L739" s="43"/>
      <c r="M739" s="44"/>
      <c r="N739" s="43"/>
      <c r="O739" s="43"/>
      <c r="P739" s="44"/>
      <c r="Q739" s="43"/>
      <c r="R739" s="43"/>
      <c r="S739" s="45"/>
      <c r="T739" s="58" t="str">
        <f>IF(Tableau1[[#This Row],[DMS_SAP]]="","",HYPERLINK(Tableau1[[#This Row],[Chemin fichier source]],"X"))</f>
        <v/>
      </c>
      <c r="U739" s="58" t="str">
        <f>IF(Tableau1[[#This Row],[Date rév.]]="","",HYPERLINK(Tableau1[[#This Row],[Lien document]],"X"))</f>
        <v/>
      </c>
      <c r="V739" s="44"/>
      <c r="W739" s="46" t="str">
        <f ca="1">Chemin_accès!$B$2&amp;Tableau1[[#This Row],[Poste Responsable]]&amp;"\"&amp;Tableau1[[#This Row],[Localisation / Classement]]&amp;"\"&amp;Tableau1[[#This Row],[Poste technique]]&amp;"_"&amp;Tableau1[[#This Row],[Plan Entretien]]&amp;".pdf"</f>
        <v>\\stjn.local\trimet\Donnees_Projets\Dms Sap\Maintenance\PlanEntretien\7.MNRJ\\_.pdf</v>
      </c>
      <c r="X739" s="44"/>
      <c r="Y739" s="44"/>
      <c r="Z739" s="41" t="str">
        <f ca="1">IF(AND(Tableau1[[#This Row],[Charge]]&lt;&gt;0, Tableau1[[#This Row],[Nombre intervenants]]&lt;&gt;0,Tableau1[[#This Row],[Lien document]]&lt;&gt;0,Tableau1[[#This Row],[DMS_SAP]]&lt;&gt;0)=TRUE,"MIS A JOUR","")</f>
        <v/>
      </c>
      <c r="AA739" s="45"/>
      <c r="AB739" s="55" t="str">
        <f ca="1">IF(Tableau1[[#This Row],[Date rév.]]&lt;&gt;"", DAYS360(Tableau1[[#This Row],[Date rév.]],TODAY()),"")</f>
        <v/>
      </c>
      <c r="AC739" s="47">
        <f>IFERROR(INDEX(Chemin_accès!$B$11:$C$22,MATCH(Tableau1[[#This Row],[Type]],Chemin_accès!$C$11:$C$22,0),1),Chemin_accès!$B$11)</f>
        <v>0</v>
      </c>
      <c r="AD739" s="47" t="str">
        <f>Chemin_accès!$B$8&amp;Tableau1[[#This Row],[Localisation / Classement]]&amp;"\"&amp;Tableau1[[#This Row],[Poste technique]]&amp;"_"&amp;Tableau1[[#This Row],[Plan Entretien]]&amp;".xlsm"</f>
        <v>\_.xlsm</v>
      </c>
    </row>
    <row r="740" spans="1:30" x14ac:dyDescent="0.3">
      <c r="A740" s="41" t="str">
        <f t="shared" ca="1" si="11"/>
        <v>7.MNRJ</v>
      </c>
      <c r="B7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0" s="43"/>
      <c r="D740" s="41"/>
      <c r="E740" s="41"/>
      <c r="F740" s="44"/>
      <c r="G740" s="44"/>
      <c r="H740" s="48"/>
      <c r="I740" s="48"/>
      <c r="J740" s="48"/>
      <c r="K740" s="48"/>
      <c r="L740" s="43"/>
      <c r="M740" s="44"/>
      <c r="N740" s="43"/>
      <c r="O740" s="43"/>
      <c r="P740" s="44"/>
      <c r="Q740" s="43"/>
      <c r="R740" s="43"/>
      <c r="S740" s="45"/>
      <c r="T740" s="58" t="str">
        <f>IF(Tableau1[[#This Row],[DMS_SAP]]="","",HYPERLINK(Tableau1[[#This Row],[Chemin fichier source]],"X"))</f>
        <v/>
      </c>
      <c r="U740" s="58" t="str">
        <f>IF(Tableau1[[#This Row],[Date rév.]]="","",HYPERLINK(Tableau1[[#This Row],[Lien document]],"X"))</f>
        <v/>
      </c>
      <c r="V740" s="44"/>
      <c r="W740" s="46" t="str">
        <f ca="1">Chemin_accès!$B$2&amp;Tableau1[[#This Row],[Poste Responsable]]&amp;"\"&amp;Tableau1[[#This Row],[Localisation / Classement]]&amp;"\"&amp;Tableau1[[#This Row],[Poste technique]]&amp;"_"&amp;Tableau1[[#This Row],[Plan Entretien]]&amp;".pdf"</f>
        <v>\\stjn.local\trimet\Donnees_Projets\Dms Sap\Maintenance\PlanEntretien\7.MNRJ\\_.pdf</v>
      </c>
      <c r="X740" s="44"/>
      <c r="Y740" s="44"/>
      <c r="Z740" s="41" t="str">
        <f ca="1">IF(AND(Tableau1[[#This Row],[Charge]]&lt;&gt;0, Tableau1[[#This Row],[Nombre intervenants]]&lt;&gt;0,Tableau1[[#This Row],[Lien document]]&lt;&gt;0,Tableau1[[#This Row],[DMS_SAP]]&lt;&gt;0)=TRUE,"MIS A JOUR","")</f>
        <v/>
      </c>
      <c r="AA740" s="45"/>
      <c r="AB740" s="55" t="str">
        <f ca="1">IF(Tableau1[[#This Row],[Date rév.]]&lt;&gt;"", DAYS360(Tableau1[[#This Row],[Date rév.]],TODAY()),"")</f>
        <v/>
      </c>
      <c r="AC740" s="47">
        <f>IFERROR(INDEX(Chemin_accès!$B$11:$C$22,MATCH(Tableau1[[#This Row],[Type]],Chemin_accès!$C$11:$C$22,0),1),Chemin_accès!$B$11)</f>
        <v>0</v>
      </c>
      <c r="AD740" s="47" t="str">
        <f>Chemin_accès!$B$8&amp;Tableau1[[#This Row],[Localisation / Classement]]&amp;"\"&amp;Tableau1[[#This Row],[Poste technique]]&amp;"_"&amp;Tableau1[[#This Row],[Plan Entretien]]&amp;".xlsm"</f>
        <v>\_.xlsm</v>
      </c>
    </row>
    <row r="741" spans="1:30" x14ac:dyDescent="0.3">
      <c r="A741" s="41" t="str">
        <f t="shared" ca="1" si="11"/>
        <v>7.MNRJ</v>
      </c>
      <c r="B7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1" s="43"/>
      <c r="D741" s="41"/>
      <c r="E741" s="41"/>
      <c r="F741" s="44"/>
      <c r="G741" s="44"/>
      <c r="H741" s="48"/>
      <c r="I741" s="48"/>
      <c r="J741" s="48"/>
      <c r="K741" s="48"/>
      <c r="L741" s="43"/>
      <c r="M741" s="44"/>
      <c r="N741" s="43"/>
      <c r="O741" s="43"/>
      <c r="P741" s="44"/>
      <c r="Q741" s="43"/>
      <c r="R741" s="43"/>
      <c r="S741" s="45"/>
      <c r="T741" s="58" t="str">
        <f>IF(Tableau1[[#This Row],[DMS_SAP]]="","",HYPERLINK(Tableau1[[#This Row],[Chemin fichier source]],"X"))</f>
        <v/>
      </c>
      <c r="U741" s="58" t="str">
        <f>IF(Tableau1[[#This Row],[Date rév.]]="","",HYPERLINK(Tableau1[[#This Row],[Lien document]],"X"))</f>
        <v/>
      </c>
      <c r="V741" s="44"/>
      <c r="W741" s="46" t="str">
        <f ca="1">Chemin_accès!$B$2&amp;Tableau1[[#This Row],[Poste Responsable]]&amp;"\"&amp;Tableau1[[#This Row],[Localisation / Classement]]&amp;"\"&amp;Tableau1[[#This Row],[Poste technique]]&amp;"_"&amp;Tableau1[[#This Row],[Plan Entretien]]&amp;".pdf"</f>
        <v>\\stjn.local\trimet\Donnees_Projets\Dms Sap\Maintenance\PlanEntretien\7.MNRJ\\_.pdf</v>
      </c>
      <c r="X741" s="44"/>
      <c r="Y741" s="44"/>
      <c r="Z741" s="41" t="str">
        <f ca="1">IF(AND(Tableau1[[#This Row],[Charge]]&lt;&gt;0, Tableau1[[#This Row],[Nombre intervenants]]&lt;&gt;0,Tableau1[[#This Row],[Lien document]]&lt;&gt;0,Tableau1[[#This Row],[DMS_SAP]]&lt;&gt;0)=TRUE,"MIS A JOUR","")</f>
        <v/>
      </c>
      <c r="AA741" s="45"/>
      <c r="AB741" s="55" t="str">
        <f ca="1">IF(Tableau1[[#This Row],[Date rév.]]&lt;&gt;"", DAYS360(Tableau1[[#This Row],[Date rév.]],TODAY()),"")</f>
        <v/>
      </c>
      <c r="AC741" s="47">
        <f>IFERROR(INDEX(Chemin_accès!$B$11:$C$22,MATCH(Tableau1[[#This Row],[Type]],Chemin_accès!$C$11:$C$22,0),1),Chemin_accès!$B$11)</f>
        <v>0</v>
      </c>
      <c r="AD741" s="47" t="str">
        <f>Chemin_accès!$B$8&amp;Tableau1[[#This Row],[Localisation / Classement]]&amp;"\"&amp;Tableau1[[#This Row],[Poste technique]]&amp;"_"&amp;Tableau1[[#This Row],[Plan Entretien]]&amp;".xlsm"</f>
        <v>\_.xlsm</v>
      </c>
    </row>
    <row r="742" spans="1:30" x14ac:dyDescent="0.3">
      <c r="A742" s="41" t="str">
        <f t="shared" ca="1" si="11"/>
        <v>7.MNRJ</v>
      </c>
      <c r="B7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2" s="43"/>
      <c r="D742" s="41"/>
      <c r="E742" s="41"/>
      <c r="F742" s="44"/>
      <c r="G742" s="44"/>
      <c r="H742" s="48"/>
      <c r="I742" s="48"/>
      <c r="J742" s="48"/>
      <c r="K742" s="48"/>
      <c r="L742" s="43"/>
      <c r="M742" s="44"/>
      <c r="N742" s="43"/>
      <c r="O742" s="43"/>
      <c r="P742" s="44"/>
      <c r="Q742" s="43"/>
      <c r="R742" s="43"/>
      <c r="S742" s="45"/>
      <c r="T742" s="58" t="str">
        <f>IF(Tableau1[[#This Row],[DMS_SAP]]="","",HYPERLINK(Tableau1[[#This Row],[Chemin fichier source]],"X"))</f>
        <v/>
      </c>
      <c r="U742" s="58" t="str">
        <f>IF(Tableau1[[#This Row],[Date rév.]]="","",HYPERLINK(Tableau1[[#This Row],[Lien document]],"X"))</f>
        <v/>
      </c>
      <c r="V742" s="44"/>
      <c r="W742" s="46" t="str">
        <f ca="1">Chemin_accès!$B$2&amp;Tableau1[[#This Row],[Poste Responsable]]&amp;"\"&amp;Tableau1[[#This Row],[Localisation / Classement]]&amp;"\"&amp;Tableau1[[#This Row],[Poste technique]]&amp;"_"&amp;Tableau1[[#This Row],[Plan Entretien]]&amp;".pdf"</f>
        <v>\\stjn.local\trimet\Donnees_Projets\Dms Sap\Maintenance\PlanEntretien\7.MNRJ\\_.pdf</v>
      </c>
      <c r="X742" s="44"/>
      <c r="Y742" s="44"/>
      <c r="Z742" s="41" t="str">
        <f ca="1">IF(AND(Tableau1[[#This Row],[Charge]]&lt;&gt;0, Tableau1[[#This Row],[Nombre intervenants]]&lt;&gt;0,Tableau1[[#This Row],[Lien document]]&lt;&gt;0,Tableau1[[#This Row],[DMS_SAP]]&lt;&gt;0)=TRUE,"MIS A JOUR","")</f>
        <v/>
      </c>
      <c r="AA742" s="45"/>
      <c r="AB742" s="55" t="str">
        <f ca="1">IF(Tableau1[[#This Row],[Date rév.]]&lt;&gt;"", DAYS360(Tableau1[[#This Row],[Date rév.]],TODAY()),"")</f>
        <v/>
      </c>
      <c r="AC742" s="47">
        <f>IFERROR(INDEX(Chemin_accès!$B$11:$C$22,MATCH(Tableau1[[#This Row],[Type]],Chemin_accès!$C$11:$C$22,0),1),Chemin_accès!$B$11)</f>
        <v>0</v>
      </c>
      <c r="AD742" s="47" t="str">
        <f>Chemin_accès!$B$8&amp;Tableau1[[#This Row],[Localisation / Classement]]&amp;"\"&amp;Tableau1[[#This Row],[Poste technique]]&amp;"_"&amp;Tableau1[[#This Row],[Plan Entretien]]&amp;".xlsm"</f>
        <v>\_.xlsm</v>
      </c>
    </row>
    <row r="743" spans="1:30" x14ac:dyDescent="0.3">
      <c r="A743" s="41" t="str">
        <f t="shared" ca="1" si="11"/>
        <v>7.MNRJ</v>
      </c>
      <c r="B7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3" s="43"/>
      <c r="D743" s="41"/>
      <c r="E743" s="41"/>
      <c r="F743" s="44"/>
      <c r="G743" s="44"/>
      <c r="H743" s="48"/>
      <c r="I743" s="48"/>
      <c r="J743" s="48"/>
      <c r="K743" s="48"/>
      <c r="L743" s="43"/>
      <c r="M743" s="44"/>
      <c r="N743" s="43"/>
      <c r="O743" s="43"/>
      <c r="P743" s="44"/>
      <c r="Q743" s="43"/>
      <c r="R743" s="43"/>
      <c r="S743" s="45"/>
      <c r="T743" s="58" t="str">
        <f>IF(Tableau1[[#This Row],[DMS_SAP]]="","",HYPERLINK(Tableau1[[#This Row],[Chemin fichier source]],"X"))</f>
        <v/>
      </c>
      <c r="U743" s="58" t="str">
        <f>IF(Tableau1[[#This Row],[Date rév.]]="","",HYPERLINK(Tableau1[[#This Row],[Lien document]],"X"))</f>
        <v/>
      </c>
      <c r="V743" s="44"/>
      <c r="W743" s="46" t="str">
        <f ca="1">Chemin_accès!$B$2&amp;Tableau1[[#This Row],[Poste Responsable]]&amp;"\"&amp;Tableau1[[#This Row],[Localisation / Classement]]&amp;"\"&amp;Tableau1[[#This Row],[Poste technique]]&amp;"_"&amp;Tableau1[[#This Row],[Plan Entretien]]&amp;".pdf"</f>
        <v>\\stjn.local\trimet\Donnees_Projets\Dms Sap\Maintenance\PlanEntretien\7.MNRJ\\_.pdf</v>
      </c>
      <c r="X743" s="44"/>
      <c r="Y743" s="44"/>
      <c r="Z743" s="41" t="str">
        <f ca="1">IF(AND(Tableau1[[#This Row],[Charge]]&lt;&gt;0, Tableau1[[#This Row],[Nombre intervenants]]&lt;&gt;0,Tableau1[[#This Row],[Lien document]]&lt;&gt;0,Tableau1[[#This Row],[DMS_SAP]]&lt;&gt;0)=TRUE,"MIS A JOUR","")</f>
        <v/>
      </c>
      <c r="AA743" s="45"/>
      <c r="AB743" s="55" t="str">
        <f ca="1">IF(Tableau1[[#This Row],[Date rév.]]&lt;&gt;"", DAYS360(Tableau1[[#This Row],[Date rév.]],TODAY()),"")</f>
        <v/>
      </c>
      <c r="AC743" s="47">
        <f>IFERROR(INDEX(Chemin_accès!$B$11:$C$22,MATCH(Tableau1[[#This Row],[Type]],Chemin_accès!$C$11:$C$22,0),1),Chemin_accès!$B$11)</f>
        <v>0</v>
      </c>
      <c r="AD743" s="47" t="str">
        <f>Chemin_accès!$B$8&amp;Tableau1[[#This Row],[Localisation / Classement]]&amp;"\"&amp;Tableau1[[#This Row],[Poste technique]]&amp;"_"&amp;Tableau1[[#This Row],[Plan Entretien]]&amp;".xlsm"</f>
        <v>\_.xlsm</v>
      </c>
    </row>
    <row r="744" spans="1:30" x14ac:dyDescent="0.3">
      <c r="A744" s="41" t="str">
        <f t="shared" ca="1" si="11"/>
        <v>7.MNRJ</v>
      </c>
      <c r="B7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4" s="43"/>
      <c r="D744" s="41"/>
      <c r="E744" s="41"/>
      <c r="F744" s="44"/>
      <c r="G744" s="44"/>
      <c r="H744" s="48"/>
      <c r="I744" s="48"/>
      <c r="J744" s="48"/>
      <c r="K744" s="48"/>
      <c r="L744" s="43"/>
      <c r="M744" s="44"/>
      <c r="N744" s="43"/>
      <c r="O744" s="43"/>
      <c r="P744" s="44"/>
      <c r="Q744" s="43"/>
      <c r="R744" s="43"/>
      <c r="S744" s="45"/>
      <c r="T744" s="58" t="str">
        <f>IF(Tableau1[[#This Row],[DMS_SAP]]="","",HYPERLINK(Tableau1[[#This Row],[Chemin fichier source]],"X"))</f>
        <v/>
      </c>
      <c r="U744" s="58" t="str">
        <f>IF(Tableau1[[#This Row],[Date rév.]]="","",HYPERLINK(Tableau1[[#This Row],[Lien document]],"X"))</f>
        <v/>
      </c>
      <c r="V744" s="44"/>
      <c r="W744" s="46" t="str">
        <f ca="1">Chemin_accès!$B$2&amp;Tableau1[[#This Row],[Poste Responsable]]&amp;"\"&amp;Tableau1[[#This Row],[Localisation / Classement]]&amp;"\"&amp;Tableau1[[#This Row],[Poste technique]]&amp;"_"&amp;Tableau1[[#This Row],[Plan Entretien]]&amp;".pdf"</f>
        <v>\\stjn.local\trimet\Donnees_Projets\Dms Sap\Maintenance\PlanEntretien\7.MNRJ\\_.pdf</v>
      </c>
      <c r="X744" s="44"/>
      <c r="Y744" s="44"/>
      <c r="Z744" s="41" t="str">
        <f ca="1">IF(AND(Tableau1[[#This Row],[Charge]]&lt;&gt;0, Tableau1[[#This Row],[Nombre intervenants]]&lt;&gt;0,Tableau1[[#This Row],[Lien document]]&lt;&gt;0,Tableau1[[#This Row],[DMS_SAP]]&lt;&gt;0)=TRUE,"MIS A JOUR","")</f>
        <v/>
      </c>
      <c r="AA744" s="45"/>
      <c r="AB744" s="55" t="str">
        <f ca="1">IF(Tableau1[[#This Row],[Date rév.]]&lt;&gt;"", DAYS360(Tableau1[[#This Row],[Date rév.]],TODAY()),"")</f>
        <v/>
      </c>
      <c r="AC744" s="47">
        <f>IFERROR(INDEX(Chemin_accès!$B$11:$C$22,MATCH(Tableau1[[#This Row],[Type]],Chemin_accès!$C$11:$C$22,0),1),Chemin_accès!$B$11)</f>
        <v>0</v>
      </c>
      <c r="AD744" s="47" t="str">
        <f>Chemin_accès!$B$8&amp;Tableau1[[#This Row],[Localisation / Classement]]&amp;"\"&amp;Tableau1[[#This Row],[Poste technique]]&amp;"_"&amp;Tableau1[[#This Row],[Plan Entretien]]&amp;".xlsm"</f>
        <v>\_.xlsm</v>
      </c>
    </row>
    <row r="745" spans="1:30" x14ac:dyDescent="0.3">
      <c r="A745" s="41" t="str">
        <f t="shared" ca="1" si="11"/>
        <v>7.MNRJ</v>
      </c>
      <c r="B7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5" s="43"/>
      <c r="D745" s="41"/>
      <c r="E745" s="41"/>
      <c r="F745" s="44"/>
      <c r="G745" s="44"/>
      <c r="H745" s="48"/>
      <c r="I745" s="48"/>
      <c r="J745" s="48"/>
      <c r="K745" s="48"/>
      <c r="L745" s="43"/>
      <c r="M745" s="44"/>
      <c r="N745" s="43"/>
      <c r="O745" s="43"/>
      <c r="P745" s="44"/>
      <c r="Q745" s="43"/>
      <c r="R745" s="43"/>
      <c r="S745" s="45"/>
      <c r="T745" s="58" t="str">
        <f>IF(Tableau1[[#This Row],[DMS_SAP]]="","",HYPERLINK(Tableau1[[#This Row],[Chemin fichier source]],"X"))</f>
        <v/>
      </c>
      <c r="U745" s="58" t="str">
        <f>IF(Tableau1[[#This Row],[Date rév.]]="","",HYPERLINK(Tableau1[[#This Row],[Lien document]],"X"))</f>
        <v/>
      </c>
      <c r="V745" s="44"/>
      <c r="W745" s="46" t="str">
        <f ca="1">Chemin_accès!$B$2&amp;Tableau1[[#This Row],[Poste Responsable]]&amp;"\"&amp;Tableau1[[#This Row],[Localisation / Classement]]&amp;"\"&amp;Tableau1[[#This Row],[Poste technique]]&amp;"_"&amp;Tableau1[[#This Row],[Plan Entretien]]&amp;".pdf"</f>
        <v>\\stjn.local\trimet\Donnees_Projets\Dms Sap\Maintenance\PlanEntretien\7.MNRJ\\_.pdf</v>
      </c>
      <c r="X745" s="44"/>
      <c r="Y745" s="44"/>
      <c r="Z745" s="41" t="str">
        <f ca="1">IF(AND(Tableau1[[#This Row],[Charge]]&lt;&gt;0, Tableau1[[#This Row],[Nombre intervenants]]&lt;&gt;0,Tableau1[[#This Row],[Lien document]]&lt;&gt;0,Tableau1[[#This Row],[DMS_SAP]]&lt;&gt;0)=TRUE,"MIS A JOUR","")</f>
        <v/>
      </c>
      <c r="AA745" s="45"/>
      <c r="AB745" s="55" t="str">
        <f ca="1">IF(Tableau1[[#This Row],[Date rév.]]&lt;&gt;"", DAYS360(Tableau1[[#This Row],[Date rév.]],TODAY()),"")</f>
        <v/>
      </c>
      <c r="AC745" s="47">
        <f>IFERROR(INDEX(Chemin_accès!$B$11:$C$22,MATCH(Tableau1[[#This Row],[Type]],Chemin_accès!$C$11:$C$22,0),1),Chemin_accès!$B$11)</f>
        <v>0</v>
      </c>
      <c r="AD745" s="47" t="str">
        <f>Chemin_accès!$B$8&amp;Tableau1[[#This Row],[Localisation / Classement]]&amp;"\"&amp;Tableau1[[#This Row],[Poste technique]]&amp;"_"&amp;Tableau1[[#This Row],[Plan Entretien]]&amp;".xlsm"</f>
        <v>\_.xlsm</v>
      </c>
    </row>
    <row r="746" spans="1:30" x14ac:dyDescent="0.3">
      <c r="A746" s="41" t="str">
        <f t="shared" ca="1" si="11"/>
        <v>7.MNRJ</v>
      </c>
      <c r="B7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6" s="43"/>
      <c r="D746" s="41"/>
      <c r="E746" s="41"/>
      <c r="F746" s="44"/>
      <c r="G746" s="44"/>
      <c r="H746" s="48"/>
      <c r="I746" s="48"/>
      <c r="J746" s="48"/>
      <c r="K746" s="48"/>
      <c r="L746" s="43"/>
      <c r="M746" s="44"/>
      <c r="N746" s="43"/>
      <c r="O746" s="43"/>
      <c r="P746" s="44"/>
      <c r="Q746" s="43"/>
      <c r="R746" s="43"/>
      <c r="S746" s="45"/>
      <c r="T746" s="58" t="str">
        <f>IF(Tableau1[[#This Row],[DMS_SAP]]="","",HYPERLINK(Tableau1[[#This Row],[Chemin fichier source]],"X"))</f>
        <v/>
      </c>
      <c r="U746" s="58" t="str">
        <f>IF(Tableau1[[#This Row],[Date rév.]]="","",HYPERLINK(Tableau1[[#This Row],[Lien document]],"X"))</f>
        <v/>
      </c>
      <c r="V746" s="44"/>
      <c r="W746" s="46" t="str">
        <f ca="1">Chemin_accès!$B$2&amp;Tableau1[[#This Row],[Poste Responsable]]&amp;"\"&amp;Tableau1[[#This Row],[Localisation / Classement]]&amp;"\"&amp;Tableau1[[#This Row],[Poste technique]]&amp;"_"&amp;Tableau1[[#This Row],[Plan Entretien]]&amp;".pdf"</f>
        <v>\\stjn.local\trimet\Donnees_Projets\Dms Sap\Maintenance\PlanEntretien\7.MNRJ\\_.pdf</v>
      </c>
      <c r="X746" s="44"/>
      <c r="Y746" s="44"/>
      <c r="Z746" s="41" t="str">
        <f ca="1">IF(AND(Tableau1[[#This Row],[Charge]]&lt;&gt;0, Tableau1[[#This Row],[Nombre intervenants]]&lt;&gt;0,Tableau1[[#This Row],[Lien document]]&lt;&gt;0,Tableau1[[#This Row],[DMS_SAP]]&lt;&gt;0)=TRUE,"MIS A JOUR","")</f>
        <v/>
      </c>
      <c r="AA746" s="45"/>
      <c r="AB746" s="55" t="str">
        <f ca="1">IF(Tableau1[[#This Row],[Date rév.]]&lt;&gt;"", DAYS360(Tableau1[[#This Row],[Date rév.]],TODAY()),"")</f>
        <v/>
      </c>
      <c r="AC746" s="47">
        <f>IFERROR(INDEX(Chemin_accès!$B$11:$C$22,MATCH(Tableau1[[#This Row],[Type]],Chemin_accès!$C$11:$C$22,0),1),Chemin_accès!$B$11)</f>
        <v>0</v>
      </c>
      <c r="AD746" s="47" t="str">
        <f>Chemin_accès!$B$8&amp;Tableau1[[#This Row],[Localisation / Classement]]&amp;"\"&amp;Tableau1[[#This Row],[Poste technique]]&amp;"_"&amp;Tableau1[[#This Row],[Plan Entretien]]&amp;".xlsm"</f>
        <v>\_.xlsm</v>
      </c>
    </row>
    <row r="747" spans="1:30" x14ac:dyDescent="0.3">
      <c r="A747" s="41" t="str">
        <f t="shared" ca="1" si="11"/>
        <v>7.MNRJ</v>
      </c>
      <c r="B7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7" s="43"/>
      <c r="D747" s="41"/>
      <c r="E747" s="41"/>
      <c r="F747" s="44"/>
      <c r="G747" s="44"/>
      <c r="H747" s="48"/>
      <c r="I747" s="48"/>
      <c r="J747" s="48"/>
      <c r="K747" s="48"/>
      <c r="L747" s="43"/>
      <c r="M747" s="44"/>
      <c r="N747" s="43"/>
      <c r="O747" s="43"/>
      <c r="P747" s="44"/>
      <c r="Q747" s="43"/>
      <c r="R747" s="43"/>
      <c r="S747" s="45"/>
      <c r="T747" s="58" t="str">
        <f>IF(Tableau1[[#This Row],[DMS_SAP]]="","",HYPERLINK(Tableau1[[#This Row],[Chemin fichier source]],"X"))</f>
        <v/>
      </c>
      <c r="U747" s="58" t="str">
        <f>IF(Tableau1[[#This Row],[Date rév.]]="","",HYPERLINK(Tableau1[[#This Row],[Lien document]],"X"))</f>
        <v/>
      </c>
      <c r="V747" s="44"/>
      <c r="W747" s="46" t="str">
        <f ca="1">Chemin_accès!$B$2&amp;Tableau1[[#This Row],[Poste Responsable]]&amp;"\"&amp;Tableau1[[#This Row],[Localisation / Classement]]&amp;"\"&amp;Tableau1[[#This Row],[Poste technique]]&amp;"_"&amp;Tableau1[[#This Row],[Plan Entretien]]&amp;".pdf"</f>
        <v>\\stjn.local\trimet\Donnees_Projets\Dms Sap\Maintenance\PlanEntretien\7.MNRJ\\_.pdf</v>
      </c>
      <c r="X747" s="44"/>
      <c r="Y747" s="44"/>
      <c r="Z747" s="41" t="str">
        <f ca="1">IF(AND(Tableau1[[#This Row],[Charge]]&lt;&gt;0, Tableau1[[#This Row],[Nombre intervenants]]&lt;&gt;0,Tableau1[[#This Row],[Lien document]]&lt;&gt;0,Tableau1[[#This Row],[DMS_SAP]]&lt;&gt;0)=TRUE,"MIS A JOUR","")</f>
        <v/>
      </c>
      <c r="AA747" s="45"/>
      <c r="AB747" s="55" t="str">
        <f ca="1">IF(Tableau1[[#This Row],[Date rév.]]&lt;&gt;"", DAYS360(Tableau1[[#This Row],[Date rév.]],TODAY()),"")</f>
        <v/>
      </c>
      <c r="AC747" s="47">
        <f>IFERROR(INDEX(Chemin_accès!$B$11:$C$22,MATCH(Tableau1[[#This Row],[Type]],Chemin_accès!$C$11:$C$22,0),1),Chemin_accès!$B$11)</f>
        <v>0</v>
      </c>
      <c r="AD747" s="47" t="str">
        <f>Chemin_accès!$B$8&amp;Tableau1[[#This Row],[Localisation / Classement]]&amp;"\"&amp;Tableau1[[#This Row],[Poste technique]]&amp;"_"&amp;Tableau1[[#This Row],[Plan Entretien]]&amp;".xlsm"</f>
        <v>\_.xlsm</v>
      </c>
    </row>
    <row r="748" spans="1:30" x14ac:dyDescent="0.3">
      <c r="A748" s="41" t="str">
        <f t="shared" ca="1" si="11"/>
        <v>7.MNRJ</v>
      </c>
      <c r="B7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8" s="43"/>
      <c r="D748" s="41"/>
      <c r="E748" s="41"/>
      <c r="F748" s="44"/>
      <c r="G748" s="44"/>
      <c r="H748" s="48"/>
      <c r="I748" s="48"/>
      <c r="J748" s="48"/>
      <c r="K748" s="48"/>
      <c r="L748" s="43"/>
      <c r="M748" s="44"/>
      <c r="N748" s="43"/>
      <c r="O748" s="43"/>
      <c r="P748" s="44"/>
      <c r="Q748" s="43"/>
      <c r="R748" s="43"/>
      <c r="S748" s="45"/>
      <c r="T748" s="58" t="str">
        <f>IF(Tableau1[[#This Row],[DMS_SAP]]="","",HYPERLINK(Tableau1[[#This Row],[Chemin fichier source]],"X"))</f>
        <v/>
      </c>
      <c r="U748" s="58" t="str">
        <f>IF(Tableau1[[#This Row],[Date rév.]]="","",HYPERLINK(Tableau1[[#This Row],[Lien document]],"X"))</f>
        <v/>
      </c>
      <c r="V748" s="44"/>
      <c r="W748" s="46" t="str">
        <f ca="1">Chemin_accès!$B$2&amp;Tableau1[[#This Row],[Poste Responsable]]&amp;"\"&amp;Tableau1[[#This Row],[Localisation / Classement]]&amp;"\"&amp;Tableau1[[#This Row],[Poste technique]]&amp;"_"&amp;Tableau1[[#This Row],[Plan Entretien]]&amp;".pdf"</f>
        <v>\\stjn.local\trimet\Donnees_Projets\Dms Sap\Maintenance\PlanEntretien\7.MNRJ\\_.pdf</v>
      </c>
      <c r="X748" s="44"/>
      <c r="Y748" s="44"/>
      <c r="Z748" s="41" t="str">
        <f ca="1">IF(AND(Tableau1[[#This Row],[Charge]]&lt;&gt;0, Tableau1[[#This Row],[Nombre intervenants]]&lt;&gt;0,Tableau1[[#This Row],[Lien document]]&lt;&gt;0,Tableau1[[#This Row],[DMS_SAP]]&lt;&gt;0)=TRUE,"MIS A JOUR","")</f>
        <v/>
      </c>
      <c r="AA748" s="45"/>
      <c r="AB748" s="55" t="str">
        <f ca="1">IF(Tableau1[[#This Row],[Date rév.]]&lt;&gt;"", DAYS360(Tableau1[[#This Row],[Date rév.]],TODAY()),"")</f>
        <v/>
      </c>
      <c r="AC748" s="47">
        <f>IFERROR(INDEX(Chemin_accès!$B$11:$C$22,MATCH(Tableau1[[#This Row],[Type]],Chemin_accès!$C$11:$C$22,0),1),Chemin_accès!$B$11)</f>
        <v>0</v>
      </c>
      <c r="AD748" s="47" t="str">
        <f>Chemin_accès!$B$8&amp;Tableau1[[#This Row],[Localisation / Classement]]&amp;"\"&amp;Tableau1[[#This Row],[Poste technique]]&amp;"_"&amp;Tableau1[[#This Row],[Plan Entretien]]&amp;".xlsm"</f>
        <v>\_.xlsm</v>
      </c>
    </row>
    <row r="749" spans="1:30" x14ac:dyDescent="0.3">
      <c r="A749" s="41" t="str">
        <f t="shared" ca="1" si="11"/>
        <v>7.MNRJ</v>
      </c>
      <c r="B7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9" s="43"/>
      <c r="D749" s="41"/>
      <c r="E749" s="41"/>
      <c r="F749" s="44"/>
      <c r="G749" s="44"/>
      <c r="H749" s="48"/>
      <c r="I749" s="48"/>
      <c r="J749" s="48"/>
      <c r="K749" s="48"/>
      <c r="L749" s="43"/>
      <c r="M749" s="44"/>
      <c r="N749" s="43"/>
      <c r="O749" s="43"/>
      <c r="P749" s="44"/>
      <c r="Q749" s="43"/>
      <c r="R749" s="43"/>
      <c r="S749" s="45"/>
      <c r="T749" s="58" t="str">
        <f>IF(Tableau1[[#This Row],[DMS_SAP]]="","",HYPERLINK(Tableau1[[#This Row],[Chemin fichier source]],"X"))</f>
        <v/>
      </c>
      <c r="U749" s="58" t="str">
        <f>IF(Tableau1[[#This Row],[Date rév.]]="","",HYPERLINK(Tableau1[[#This Row],[Lien document]],"X"))</f>
        <v/>
      </c>
      <c r="V749" s="44"/>
      <c r="W749" s="46" t="str">
        <f ca="1">Chemin_accès!$B$2&amp;Tableau1[[#This Row],[Poste Responsable]]&amp;"\"&amp;Tableau1[[#This Row],[Localisation / Classement]]&amp;"\"&amp;Tableau1[[#This Row],[Poste technique]]&amp;"_"&amp;Tableau1[[#This Row],[Plan Entretien]]&amp;".pdf"</f>
        <v>\\stjn.local\trimet\Donnees_Projets\Dms Sap\Maintenance\PlanEntretien\7.MNRJ\\_.pdf</v>
      </c>
      <c r="X749" s="44"/>
      <c r="Y749" s="44"/>
      <c r="Z749" s="41" t="str">
        <f ca="1">IF(AND(Tableau1[[#This Row],[Charge]]&lt;&gt;0, Tableau1[[#This Row],[Nombre intervenants]]&lt;&gt;0,Tableau1[[#This Row],[Lien document]]&lt;&gt;0,Tableau1[[#This Row],[DMS_SAP]]&lt;&gt;0)=TRUE,"MIS A JOUR","")</f>
        <v/>
      </c>
      <c r="AA749" s="45"/>
      <c r="AB749" s="55" t="str">
        <f ca="1">IF(Tableau1[[#This Row],[Date rév.]]&lt;&gt;"", DAYS360(Tableau1[[#This Row],[Date rév.]],TODAY()),"")</f>
        <v/>
      </c>
      <c r="AC749" s="47">
        <f>IFERROR(INDEX(Chemin_accès!$B$11:$C$22,MATCH(Tableau1[[#This Row],[Type]],Chemin_accès!$C$11:$C$22,0),1),Chemin_accès!$B$11)</f>
        <v>0</v>
      </c>
      <c r="AD749" s="47" t="str">
        <f>Chemin_accès!$B$8&amp;Tableau1[[#This Row],[Localisation / Classement]]&amp;"\"&amp;Tableau1[[#This Row],[Poste technique]]&amp;"_"&amp;Tableau1[[#This Row],[Plan Entretien]]&amp;".xlsm"</f>
        <v>\_.xlsm</v>
      </c>
    </row>
    <row r="750" spans="1:30" x14ac:dyDescent="0.3">
      <c r="A750" s="41" t="str">
        <f t="shared" ca="1" si="11"/>
        <v>7.MNRJ</v>
      </c>
      <c r="B7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0" s="43"/>
      <c r="D750" s="41"/>
      <c r="E750" s="41"/>
      <c r="F750" s="44"/>
      <c r="G750" s="44"/>
      <c r="H750" s="48"/>
      <c r="I750" s="48"/>
      <c r="J750" s="48"/>
      <c r="K750" s="48"/>
      <c r="L750" s="43"/>
      <c r="M750" s="44"/>
      <c r="N750" s="43"/>
      <c r="O750" s="43"/>
      <c r="P750" s="44"/>
      <c r="Q750" s="43"/>
      <c r="R750" s="43"/>
      <c r="S750" s="45"/>
      <c r="T750" s="58" t="str">
        <f>IF(Tableau1[[#This Row],[DMS_SAP]]="","",HYPERLINK(Tableau1[[#This Row],[Chemin fichier source]],"X"))</f>
        <v/>
      </c>
      <c r="U750" s="58" t="str">
        <f>IF(Tableau1[[#This Row],[Date rév.]]="","",HYPERLINK(Tableau1[[#This Row],[Lien document]],"X"))</f>
        <v/>
      </c>
      <c r="V750" s="44"/>
      <c r="W750" s="46" t="str">
        <f ca="1">Chemin_accès!$B$2&amp;Tableau1[[#This Row],[Poste Responsable]]&amp;"\"&amp;Tableau1[[#This Row],[Localisation / Classement]]&amp;"\"&amp;Tableau1[[#This Row],[Poste technique]]&amp;"_"&amp;Tableau1[[#This Row],[Plan Entretien]]&amp;".pdf"</f>
        <v>\\stjn.local\trimet\Donnees_Projets\Dms Sap\Maintenance\PlanEntretien\7.MNRJ\\_.pdf</v>
      </c>
      <c r="X750" s="44"/>
      <c r="Y750" s="44"/>
      <c r="Z750" s="41" t="str">
        <f ca="1">IF(AND(Tableau1[[#This Row],[Charge]]&lt;&gt;0, Tableau1[[#This Row],[Nombre intervenants]]&lt;&gt;0,Tableau1[[#This Row],[Lien document]]&lt;&gt;0,Tableau1[[#This Row],[DMS_SAP]]&lt;&gt;0)=TRUE,"MIS A JOUR","")</f>
        <v/>
      </c>
      <c r="AA750" s="45"/>
      <c r="AB750" s="55" t="str">
        <f ca="1">IF(Tableau1[[#This Row],[Date rév.]]&lt;&gt;"", DAYS360(Tableau1[[#This Row],[Date rév.]],TODAY()),"")</f>
        <v/>
      </c>
      <c r="AC750" s="47">
        <f>IFERROR(INDEX(Chemin_accès!$B$11:$C$22,MATCH(Tableau1[[#This Row],[Type]],Chemin_accès!$C$11:$C$22,0),1),Chemin_accès!$B$11)</f>
        <v>0</v>
      </c>
      <c r="AD750" s="47" t="str">
        <f>Chemin_accès!$B$8&amp;Tableau1[[#This Row],[Localisation / Classement]]&amp;"\"&amp;Tableau1[[#This Row],[Poste technique]]&amp;"_"&amp;Tableau1[[#This Row],[Plan Entretien]]&amp;".xlsm"</f>
        <v>\_.xlsm</v>
      </c>
    </row>
    <row r="751" spans="1:30" x14ac:dyDescent="0.3">
      <c r="A751" s="41" t="str">
        <f t="shared" ca="1" si="11"/>
        <v>7.MNRJ</v>
      </c>
      <c r="B7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1" s="43"/>
      <c r="D751" s="41"/>
      <c r="E751" s="41"/>
      <c r="F751" s="44"/>
      <c r="G751" s="44"/>
      <c r="H751" s="48"/>
      <c r="I751" s="48"/>
      <c r="J751" s="48"/>
      <c r="K751" s="48"/>
      <c r="L751" s="43"/>
      <c r="M751" s="44"/>
      <c r="N751" s="43"/>
      <c r="O751" s="43"/>
      <c r="P751" s="44"/>
      <c r="Q751" s="43"/>
      <c r="R751" s="43"/>
      <c r="S751" s="45"/>
      <c r="T751" s="58" t="str">
        <f>IF(Tableau1[[#This Row],[DMS_SAP]]="","",HYPERLINK(Tableau1[[#This Row],[Chemin fichier source]],"X"))</f>
        <v/>
      </c>
      <c r="U751" s="58" t="str">
        <f>IF(Tableau1[[#This Row],[Date rév.]]="","",HYPERLINK(Tableau1[[#This Row],[Lien document]],"X"))</f>
        <v/>
      </c>
      <c r="V751" s="44"/>
      <c r="W751" s="46" t="str">
        <f ca="1">Chemin_accès!$B$2&amp;Tableau1[[#This Row],[Poste Responsable]]&amp;"\"&amp;Tableau1[[#This Row],[Localisation / Classement]]&amp;"\"&amp;Tableau1[[#This Row],[Poste technique]]&amp;"_"&amp;Tableau1[[#This Row],[Plan Entretien]]&amp;".pdf"</f>
        <v>\\stjn.local\trimet\Donnees_Projets\Dms Sap\Maintenance\PlanEntretien\7.MNRJ\\_.pdf</v>
      </c>
      <c r="X751" s="44"/>
      <c r="Y751" s="44"/>
      <c r="Z751" s="41" t="str">
        <f ca="1">IF(AND(Tableau1[[#This Row],[Charge]]&lt;&gt;0, Tableau1[[#This Row],[Nombre intervenants]]&lt;&gt;0,Tableau1[[#This Row],[Lien document]]&lt;&gt;0,Tableau1[[#This Row],[DMS_SAP]]&lt;&gt;0)=TRUE,"MIS A JOUR","")</f>
        <v/>
      </c>
      <c r="AA751" s="45"/>
      <c r="AB751" s="55" t="str">
        <f ca="1">IF(Tableau1[[#This Row],[Date rév.]]&lt;&gt;"", DAYS360(Tableau1[[#This Row],[Date rév.]],TODAY()),"")</f>
        <v/>
      </c>
      <c r="AC751" s="47">
        <f>IFERROR(INDEX(Chemin_accès!$B$11:$C$22,MATCH(Tableau1[[#This Row],[Type]],Chemin_accès!$C$11:$C$22,0),1),Chemin_accès!$B$11)</f>
        <v>0</v>
      </c>
      <c r="AD751" s="47" t="str">
        <f>Chemin_accès!$B$8&amp;Tableau1[[#This Row],[Localisation / Classement]]&amp;"\"&amp;Tableau1[[#This Row],[Poste technique]]&amp;"_"&amp;Tableau1[[#This Row],[Plan Entretien]]&amp;".xlsm"</f>
        <v>\_.xlsm</v>
      </c>
    </row>
    <row r="752" spans="1:30" x14ac:dyDescent="0.3">
      <c r="A752" s="41" t="str">
        <f t="shared" ca="1" si="11"/>
        <v>7.MNRJ</v>
      </c>
      <c r="B7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2" s="43"/>
      <c r="D752" s="41"/>
      <c r="E752" s="41"/>
      <c r="F752" s="44"/>
      <c r="G752" s="44"/>
      <c r="H752" s="48"/>
      <c r="I752" s="48"/>
      <c r="J752" s="48"/>
      <c r="K752" s="48"/>
      <c r="L752" s="43"/>
      <c r="M752" s="44"/>
      <c r="N752" s="43"/>
      <c r="O752" s="43"/>
      <c r="P752" s="44"/>
      <c r="Q752" s="43"/>
      <c r="R752" s="43"/>
      <c r="S752" s="45"/>
      <c r="T752" s="58" t="str">
        <f>IF(Tableau1[[#This Row],[DMS_SAP]]="","",HYPERLINK(Tableau1[[#This Row],[Chemin fichier source]],"X"))</f>
        <v/>
      </c>
      <c r="U752" s="58" t="str">
        <f>IF(Tableau1[[#This Row],[Date rév.]]="","",HYPERLINK(Tableau1[[#This Row],[Lien document]],"X"))</f>
        <v/>
      </c>
      <c r="V752" s="44"/>
      <c r="W752" s="46" t="str">
        <f ca="1">Chemin_accès!$B$2&amp;Tableau1[[#This Row],[Poste Responsable]]&amp;"\"&amp;Tableau1[[#This Row],[Localisation / Classement]]&amp;"\"&amp;Tableau1[[#This Row],[Poste technique]]&amp;"_"&amp;Tableau1[[#This Row],[Plan Entretien]]&amp;".pdf"</f>
        <v>\\stjn.local\trimet\Donnees_Projets\Dms Sap\Maintenance\PlanEntretien\7.MNRJ\\_.pdf</v>
      </c>
      <c r="X752" s="44"/>
      <c r="Y752" s="44"/>
      <c r="Z752" s="41" t="str">
        <f ca="1">IF(AND(Tableau1[[#This Row],[Charge]]&lt;&gt;0, Tableau1[[#This Row],[Nombre intervenants]]&lt;&gt;0,Tableau1[[#This Row],[Lien document]]&lt;&gt;0,Tableau1[[#This Row],[DMS_SAP]]&lt;&gt;0)=TRUE,"MIS A JOUR","")</f>
        <v/>
      </c>
      <c r="AA752" s="45"/>
      <c r="AB752" s="55" t="str">
        <f ca="1">IF(Tableau1[[#This Row],[Date rév.]]&lt;&gt;"", DAYS360(Tableau1[[#This Row],[Date rév.]],TODAY()),"")</f>
        <v/>
      </c>
      <c r="AC752" s="47">
        <f>IFERROR(INDEX(Chemin_accès!$B$11:$C$22,MATCH(Tableau1[[#This Row],[Type]],Chemin_accès!$C$11:$C$22,0),1),Chemin_accès!$B$11)</f>
        <v>0</v>
      </c>
      <c r="AD752" s="47" t="str">
        <f>Chemin_accès!$B$8&amp;Tableau1[[#This Row],[Localisation / Classement]]&amp;"\"&amp;Tableau1[[#This Row],[Poste technique]]&amp;"_"&amp;Tableau1[[#This Row],[Plan Entretien]]&amp;".xlsm"</f>
        <v>\_.xlsm</v>
      </c>
    </row>
    <row r="753" spans="1:30" x14ac:dyDescent="0.3">
      <c r="A753" s="41" t="str">
        <f t="shared" ca="1" si="11"/>
        <v>7.MNRJ</v>
      </c>
      <c r="B7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3" s="43"/>
      <c r="D753" s="41"/>
      <c r="E753" s="41"/>
      <c r="F753" s="44"/>
      <c r="G753" s="44"/>
      <c r="H753" s="48"/>
      <c r="I753" s="48"/>
      <c r="J753" s="48"/>
      <c r="K753" s="48"/>
      <c r="L753" s="43"/>
      <c r="M753" s="44"/>
      <c r="N753" s="43"/>
      <c r="O753" s="43"/>
      <c r="P753" s="44"/>
      <c r="Q753" s="43"/>
      <c r="R753" s="43"/>
      <c r="S753" s="45"/>
      <c r="T753" s="58" t="str">
        <f>IF(Tableau1[[#This Row],[DMS_SAP]]="","",HYPERLINK(Tableau1[[#This Row],[Chemin fichier source]],"X"))</f>
        <v/>
      </c>
      <c r="U753" s="58" t="str">
        <f>IF(Tableau1[[#This Row],[Date rév.]]="","",HYPERLINK(Tableau1[[#This Row],[Lien document]],"X"))</f>
        <v/>
      </c>
      <c r="V753" s="44"/>
      <c r="W753" s="46" t="str">
        <f ca="1">Chemin_accès!$B$2&amp;Tableau1[[#This Row],[Poste Responsable]]&amp;"\"&amp;Tableau1[[#This Row],[Localisation / Classement]]&amp;"\"&amp;Tableau1[[#This Row],[Poste technique]]&amp;"_"&amp;Tableau1[[#This Row],[Plan Entretien]]&amp;".pdf"</f>
        <v>\\stjn.local\trimet\Donnees_Projets\Dms Sap\Maintenance\PlanEntretien\7.MNRJ\\_.pdf</v>
      </c>
      <c r="X753" s="44"/>
      <c r="Y753" s="44"/>
      <c r="Z753" s="41" t="str">
        <f ca="1">IF(AND(Tableau1[[#This Row],[Charge]]&lt;&gt;0, Tableau1[[#This Row],[Nombre intervenants]]&lt;&gt;0,Tableau1[[#This Row],[Lien document]]&lt;&gt;0,Tableau1[[#This Row],[DMS_SAP]]&lt;&gt;0)=TRUE,"MIS A JOUR","")</f>
        <v/>
      </c>
      <c r="AA753" s="45"/>
      <c r="AB753" s="55" t="str">
        <f ca="1">IF(Tableau1[[#This Row],[Date rév.]]&lt;&gt;"", DAYS360(Tableau1[[#This Row],[Date rév.]],TODAY()),"")</f>
        <v/>
      </c>
      <c r="AC753" s="47">
        <f>IFERROR(INDEX(Chemin_accès!$B$11:$C$22,MATCH(Tableau1[[#This Row],[Type]],Chemin_accès!$C$11:$C$22,0),1),Chemin_accès!$B$11)</f>
        <v>0</v>
      </c>
      <c r="AD753" s="47" t="str">
        <f>Chemin_accès!$B$8&amp;Tableau1[[#This Row],[Localisation / Classement]]&amp;"\"&amp;Tableau1[[#This Row],[Poste technique]]&amp;"_"&amp;Tableau1[[#This Row],[Plan Entretien]]&amp;".xlsm"</f>
        <v>\_.xlsm</v>
      </c>
    </row>
    <row r="754" spans="1:30" x14ac:dyDescent="0.3">
      <c r="A754" s="41" t="str">
        <f t="shared" ca="1" si="11"/>
        <v>7.MNRJ</v>
      </c>
      <c r="B7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4" s="43"/>
      <c r="D754" s="41"/>
      <c r="E754" s="41"/>
      <c r="F754" s="44"/>
      <c r="G754" s="44"/>
      <c r="H754" s="48"/>
      <c r="I754" s="48"/>
      <c r="J754" s="48"/>
      <c r="K754" s="48"/>
      <c r="L754" s="43"/>
      <c r="M754" s="44"/>
      <c r="N754" s="43"/>
      <c r="O754" s="43"/>
      <c r="P754" s="44"/>
      <c r="Q754" s="43"/>
      <c r="R754" s="43"/>
      <c r="S754" s="45"/>
      <c r="T754" s="58" t="str">
        <f>IF(Tableau1[[#This Row],[DMS_SAP]]="","",HYPERLINK(Tableau1[[#This Row],[Chemin fichier source]],"X"))</f>
        <v/>
      </c>
      <c r="U754" s="58" t="str">
        <f>IF(Tableau1[[#This Row],[Date rév.]]="","",HYPERLINK(Tableau1[[#This Row],[Lien document]],"X"))</f>
        <v/>
      </c>
      <c r="V754" s="44"/>
      <c r="W754" s="46" t="str">
        <f ca="1">Chemin_accès!$B$2&amp;Tableau1[[#This Row],[Poste Responsable]]&amp;"\"&amp;Tableau1[[#This Row],[Localisation / Classement]]&amp;"\"&amp;Tableau1[[#This Row],[Poste technique]]&amp;"_"&amp;Tableau1[[#This Row],[Plan Entretien]]&amp;".pdf"</f>
        <v>\\stjn.local\trimet\Donnees_Projets\Dms Sap\Maintenance\PlanEntretien\7.MNRJ\\_.pdf</v>
      </c>
      <c r="X754" s="44"/>
      <c r="Y754" s="44"/>
      <c r="Z754" s="41" t="str">
        <f ca="1">IF(AND(Tableau1[[#This Row],[Charge]]&lt;&gt;0, Tableau1[[#This Row],[Nombre intervenants]]&lt;&gt;0,Tableau1[[#This Row],[Lien document]]&lt;&gt;0,Tableau1[[#This Row],[DMS_SAP]]&lt;&gt;0)=TRUE,"MIS A JOUR","")</f>
        <v/>
      </c>
      <c r="AA754" s="45"/>
      <c r="AB754" s="55" t="str">
        <f ca="1">IF(Tableau1[[#This Row],[Date rév.]]&lt;&gt;"", DAYS360(Tableau1[[#This Row],[Date rév.]],TODAY()),"")</f>
        <v/>
      </c>
      <c r="AC754" s="47">
        <f>IFERROR(INDEX(Chemin_accès!$B$11:$C$22,MATCH(Tableau1[[#This Row],[Type]],Chemin_accès!$C$11:$C$22,0),1),Chemin_accès!$B$11)</f>
        <v>0</v>
      </c>
      <c r="AD754" s="47" t="str">
        <f>Chemin_accès!$B$8&amp;Tableau1[[#This Row],[Localisation / Classement]]&amp;"\"&amp;Tableau1[[#This Row],[Poste technique]]&amp;"_"&amp;Tableau1[[#This Row],[Plan Entretien]]&amp;".xlsm"</f>
        <v>\_.xlsm</v>
      </c>
    </row>
    <row r="755" spans="1:30" x14ac:dyDescent="0.3">
      <c r="A755" s="41" t="str">
        <f t="shared" ca="1" si="11"/>
        <v>7.MNRJ</v>
      </c>
      <c r="B7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5" s="43"/>
      <c r="D755" s="41"/>
      <c r="E755" s="41"/>
      <c r="F755" s="44"/>
      <c r="G755" s="44"/>
      <c r="H755" s="48"/>
      <c r="I755" s="48"/>
      <c r="J755" s="48"/>
      <c r="K755" s="48"/>
      <c r="L755" s="43"/>
      <c r="M755" s="44"/>
      <c r="N755" s="43"/>
      <c r="O755" s="43"/>
      <c r="P755" s="44"/>
      <c r="Q755" s="43"/>
      <c r="R755" s="43"/>
      <c r="S755" s="45"/>
      <c r="T755" s="58" t="str">
        <f>IF(Tableau1[[#This Row],[DMS_SAP]]="","",HYPERLINK(Tableau1[[#This Row],[Chemin fichier source]],"X"))</f>
        <v/>
      </c>
      <c r="U755" s="58" t="str">
        <f>IF(Tableau1[[#This Row],[Date rév.]]="","",HYPERLINK(Tableau1[[#This Row],[Lien document]],"X"))</f>
        <v/>
      </c>
      <c r="V755" s="44"/>
      <c r="W755" s="46" t="str">
        <f ca="1">Chemin_accès!$B$2&amp;Tableau1[[#This Row],[Poste Responsable]]&amp;"\"&amp;Tableau1[[#This Row],[Localisation / Classement]]&amp;"\"&amp;Tableau1[[#This Row],[Poste technique]]&amp;"_"&amp;Tableau1[[#This Row],[Plan Entretien]]&amp;".pdf"</f>
        <v>\\stjn.local\trimet\Donnees_Projets\Dms Sap\Maintenance\PlanEntretien\7.MNRJ\\_.pdf</v>
      </c>
      <c r="X755" s="44"/>
      <c r="Y755" s="44"/>
      <c r="Z755" s="41" t="str">
        <f ca="1">IF(AND(Tableau1[[#This Row],[Charge]]&lt;&gt;0, Tableau1[[#This Row],[Nombre intervenants]]&lt;&gt;0,Tableau1[[#This Row],[Lien document]]&lt;&gt;0,Tableau1[[#This Row],[DMS_SAP]]&lt;&gt;0)=TRUE,"MIS A JOUR","")</f>
        <v/>
      </c>
      <c r="AA755" s="45"/>
      <c r="AB755" s="55" t="str">
        <f ca="1">IF(Tableau1[[#This Row],[Date rév.]]&lt;&gt;"", DAYS360(Tableau1[[#This Row],[Date rév.]],TODAY()),"")</f>
        <v/>
      </c>
      <c r="AC755" s="47">
        <f>IFERROR(INDEX(Chemin_accès!$B$11:$C$22,MATCH(Tableau1[[#This Row],[Type]],Chemin_accès!$C$11:$C$22,0),1),Chemin_accès!$B$11)</f>
        <v>0</v>
      </c>
      <c r="AD755" s="47" t="str">
        <f>Chemin_accès!$B$8&amp;Tableau1[[#This Row],[Localisation / Classement]]&amp;"\"&amp;Tableau1[[#This Row],[Poste technique]]&amp;"_"&amp;Tableau1[[#This Row],[Plan Entretien]]&amp;".xlsm"</f>
        <v>\_.xlsm</v>
      </c>
    </row>
    <row r="756" spans="1:30" x14ac:dyDescent="0.3">
      <c r="A756" s="41" t="str">
        <f t="shared" ca="1" si="11"/>
        <v>7.MNRJ</v>
      </c>
      <c r="B7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6" s="43"/>
      <c r="D756" s="41"/>
      <c r="E756" s="41"/>
      <c r="F756" s="44"/>
      <c r="G756" s="44"/>
      <c r="H756" s="48"/>
      <c r="I756" s="48"/>
      <c r="J756" s="48"/>
      <c r="K756" s="48"/>
      <c r="L756" s="43"/>
      <c r="M756" s="44"/>
      <c r="N756" s="43"/>
      <c r="O756" s="43"/>
      <c r="P756" s="44"/>
      <c r="Q756" s="43"/>
      <c r="R756" s="43"/>
      <c r="S756" s="45"/>
      <c r="T756" s="58" t="str">
        <f>IF(Tableau1[[#This Row],[DMS_SAP]]="","",HYPERLINK(Tableau1[[#This Row],[Chemin fichier source]],"X"))</f>
        <v/>
      </c>
      <c r="U756" s="58" t="str">
        <f>IF(Tableau1[[#This Row],[Date rév.]]="","",HYPERLINK(Tableau1[[#This Row],[Lien document]],"X"))</f>
        <v/>
      </c>
      <c r="V756" s="44"/>
      <c r="W756" s="46" t="str">
        <f ca="1">Chemin_accès!$B$2&amp;Tableau1[[#This Row],[Poste Responsable]]&amp;"\"&amp;Tableau1[[#This Row],[Localisation / Classement]]&amp;"\"&amp;Tableau1[[#This Row],[Poste technique]]&amp;"_"&amp;Tableau1[[#This Row],[Plan Entretien]]&amp;".pdf"</f>
        <v>\\stjn.local\trimet\Donnees_Projets\Dms Sap\Maintenance\PlanEntretien\7.MNRJ\\_.pdf</v>
      </c>
      <c r="X756" s="44"/>
      <c r="Y756" s="44"/>
      <c r="Z756" s="41" t="str">
        <f ca="1">IF(AND(Tableau1[[#This Row],[Charge]]&lt;&gt;0, Tableau1[[#This Row],[Nombre intervenants]]&lt;&gt;0,Tableau1[[#This Row],[Lien document]]&lt;&gt;0,Tableau1[[#This Row],[DMS_SAP]]&lt;&gt;0)=TRUE,"MIS A JOUR","")</f>
        <v/>
      </c>
      <c r="AA756" s="45"/>
      <c r="AB756" s="55" t="str">
        <f ca="1">IF(Tableau1[[#This Row],[Date rév.]]&lt;&gt;"", DAYS360(Tableau1[[#This Row],[Date rév.]],TODAY()),"")</f>
        <v/>
      </c>
      <c r="AC756" s="47">
        <f>IFERROR(INDEX(Chemin_accès!$B$11:$C$22,MATCH(Tableau1[[#This Row],[Type]],Chemin_accès!$C$11:$C$22,0),1),Chemin_accès!$B$11)</f>
        <v>0</v>
      </c>
      <c r="AD756" s="47" t="str">
        <f>Chemin_accès!$B$8&amp;Tableau1[[#This Row],[Localisation / Classement]]&amp;"\"&amp;Tableau1[[#This Row],[Poste technique]]&amp;"_"&amp;Tableau1[[#This Row],[Plan Entretien]]&amp;".xlsm"</f>
        <v>\_.xlsm</v>
      </c>
    </row>
    <row r="757" spans="1:30" x14ac:dyDescent="0.3">
      <c r="A757" s="41" t="str">
        <f t="shared" ca="1" si="11"/>
        <v>7.MNRJ</v>
      </c>
      <c r="B7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7" s="43"/>
      <c r="D757" s="41"/>
      <c r="E757" s="41"/>
      <c r="F757" s="44"/>
      <c r="G757" s="44"/>
      <c r="H757" s="48"/>
      <c r="I757" s="48"/>
      <c r="J757" s="48"/>
      <c r="K757" s="48"/>
      <c r="L757" s="43"/>
      <c r="M757" s="44"/>
      <c r="N757" s="43"/>
      <c r="O757" s="43"/>
      <c r="P757" s="44"/>
      <c r="Q757" s="43"/>
      <c r="R757" s="43"/>
      <c r="S757" s="45"/>
      <c r="T757" s="58" t="str">
        <f>IF(Tableau1[[#This Row],[DMS_SAP]]="","",HYPERLINK(Tableau1[[#This Row],[Chemin fichier source]],"X"))</f>
        <v/>
      </c>
      <c r="U757" s="58" t="str">
        <f>IF(Tableau1[[#This Row],[Date rév.]]="","",HYPERLINK(Tableau1[[#This Row],[Lien document]],"X"))</f>
        <v/>
      </c>
      <c r="V757" s="44"/>
      <c r="W757" s="46" t="str">
        <f ca="1">Chemin_accès!$B$2&amp;Tableau1[[#This Row],[Poste Responsable]]&amp;"\"&amp;Tableau1[[#This Row],[Localisation / Classement]]&amp;"\"&amp;Tableau1[[#This Row],[Poste technique]]&amp;"_"&amp;Tableau1[[#This Row],[Plan Entretien]]&amp;".pdf"</f>
        <v>\\stjn.local\trimet\Donnees_Projets\Dms Sap\Maintenance\PlanEntretien\7.MNRJ\\_.pdf</v>
      </c>
      <c r="X757" s="44"/>
      <c r="Y757" s="44"/>
      <c r="Z757" s="41" t="str">
        <f ca="1">IF(AND(Tableau1[[#This Row],[Charge]]&lt;&gt;0, Tableau1[[#This Row],[Nombre intervenants]]&lt;&gt;0,Tableau1[[#This Row],[Lien document]]&lt;&gt;0,Tableau1[[#This Row],[DMS_SAP]]&lt;&gt;0)=TRUE,"MIS A JOUR","")</f>
        <v/>
      </c>
      <c r="AA757" s="45"/>
      <c r="AB757" s="55" t="str">
        <f ca="1">IF(Tableau1[[#This Row],[Date rév.]]&lt;&gt;"", DAYS360(Tableau1[[#This Row],[Date rév.]],TODAY()),"")</f>
        <v/>
      </c>
      <c r="AC757" s="47">
        <f>IFERROR(INDEX(Chemin_accès!$B$11:$C$22,MATCH(Tableau1[[#This Row],[Type]],Chemin_accès!$C$11:$C$22,0),1),Chemin_accès!$B$11)</f>
        <v>0</v>
      </c>
      <c r="AD757" s="47" t="str">
        <f>Chemin_accès!$B$8&amp;Tableau1[[#This Row],[Localisation / Classement]]&amp;"\"&amp;Tableau1[[#This Row],[Poste technique]]&amp;"_"&amp;Tableau1[[#This Row],[Plan Entretien]]&amp;".xlsm"</f>
        <v>\_.xlsm</v>
      </c>
    </row>
    <row r="758" spans="1:30" x14ac:dyDescent="0.3">
      <c r="A758" s="41" t="str">
        <f t="shared" ca="1" si="11"/>
        <v>7.MNRJ</v>
      </c>
      <c r="B7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8" s="43"/>
      <c r="D758" s="41"/>
      <c r="E758" s="41"/>
      <c r="F758" s="44"/>
      <c r="G758" s="44"/>
      <c r="H758" s="48"/>
      <c r="I758" s="48"/>
      <c r="J758" s="48"/>
      <c r="K758" s="48"/>
      <c r="L758" s="43"/>
      <c r="M758" s="44"/>
      <c r="N758" s="43"/>
      <c r="O758" s="43"/>
      <c r="P758" s="44"/>
      <c r="Q758" s="43"/>
      <c r="R758" s="43"/>
      <c r="S758" s="45"/>
      <c r="T758" s="58" t="str">
        <f>IF(Tableau1[[#This Row],[DMS_SAP]]="","",HYPERLINK(Tableau1[[#This Row],[Chemin fichier source]],"X"))</f>
        <v/>
      </c>
      <c r="U758" s="58" t="str">
        <f>IF(Tableau1[[#This Row],[Date rév.]]="","",HYPERLINK(Tableau1[[#This Row],[Lien document]],"X"))</f>
        <v/>
      </c>
      <c r="V758" s="44"/>
      <c r="W758" s="46" t="str">
        <f ca="1">Chemin_accès!$B$2&amp;Tableau1[[#This Row],[Poste Responsable]]&amp;"\"&amp;Tableau1[[#This Row],[Localisation / Classement]]&amp;"\"&amp;Tableau1[[#This Row],[Poste technique]]&amp;"_"&amp;Tableau1[[#This Row],[Plan Entretien]]&amp;".pdf"</f>
        <v>\\stjn.local\trimet\Donnees_Projets\Dms Sap\Maintenance\PlanEntretien\7.MNRJ\\_.pdf</v>
      </c>
      <c r="X758" s="44"/>
      <c r="Y758" s="44"/>
      <c r="Z758" s="41" t="str">
        <f ca="1">IF(AND(Tableau1[[#This Row],[Charge]]&lt;&gt;0, Tableau1[[#This Row],[Nombre intervenants]]&lt;&gt;0,Tableau1[[#This Row],[Lien document]]&lt;&gt;0,Tableau1[[#This Row],[DMS_SAP]]&lt;&gt;0)=TRUE,"MIS A JOUR","")</f>
        <v/>
      </c>
      <c r="AA758" s="45"/>
      <c r="AB758" s="55" t="str">
        <f ca="1">IF(Tableau1[[#This Row],[Date rév.]]&lt;&gt;"", DAYS360(Tableau1[[#This Row],[Date rév.]],TODAY()),"")</f>
        <v/>
      </c>
      <c r="AC758" s="47">
        <f>IFERROR(INDEX(Chemin_accès!$B$11:$C$22,MATCH(Tableau1[[#This Row],[Type]],Chemin_accès!$C$11:$C$22,0),1),Chemin_accès!$B$11)</f>
        <v>0</v>
      </c>
      <c r="AD758" s="47" t="str">
        <f>Chemin_accès!$B$8&amp;Tableau1[[#This Row],[Localisation / Classement]]&amp;"\"&amp;Tableau1[[#This Row],[Poste technique]]&amp;"_"&amp;Tableau1[[#This Row],[Plan Entretien]]&amp;".xlsm"</f>
        <v>\_.xlsm</v>
      </c>
    </row>
    <row r="759" spans="1:30" x14ac:dyDescent="0.3">
      <c r="A759" s="41" t="str">
        <f t="shared" ca="1" si="11"/>
        <v>7.MNRJ</v>
      </c>
      <c r="B7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9" s="43"/>
      <c r="D759" s="41"/>
      <c r="E759" s="41"/>
      <c r="F759" s="44"/>
      <c r="G759" s="44"/>
      <c r="H759" s="48"/>
      <c r="I759" s="48"/>
      <c r="J759" s="48"/>
      <c r="K759" s="48"/>
      <c r="L759" s="43"/>
      <c r="M759" s="44"/>
      <c r="N759" s="43"/>
      <c r="O759" s="43"/>
      <c r="P759" s="44"/>
      <c r="Q759" s="43"/>
      <c r="R759" s="43"/>
      <c r="S759" s="45"/>
      <c r="T759" s="58" t="str">
        <f>IF(Tableau1[[#This Row],[DMS_SAP]]="","",HYPERLINK(Tableau1[[#This Row],[Chemin fichier source]],"X"))</f>
        <v/>
      </c>
      <c r="U759" s="58" t="str">
        <f>IF(Tableau1[[#This Row],[Date rév.]]="","",HYPERLINK(Tableau1[[#This Row],[Lien document]],"X"))</f>
        <v/>
      </c>
      <c r="V759" s="44"/>
      <c r="W759" s="46" t="str">
        <f ca="1">Chemin_accès!$B$2&amp;Tableau1[[#This Row],[Poste Responsable]]&amp;"\"&amp;Tableau1[[#This Row],[Localisation / Classement]]&amp;"\"&amp;Tableau1[[#This Row],[Poste technique]]&amp;"_"&amp;Tableau1[[#This Row],[Plan Entretien]]&amp;".pdf"</f>
        <v>\\stjn.local\trimet\Donnees_Projets\Dms Sap\Maintenance\PlanEntretien\7.MNRJ\\_.pdf</v>
      </c>
      <c r="X759" s="44"/>
      <c r="Y759" s="44"/>
      <c r="Z759" s="41" t="str">
        <f ca="1">IF(AND(Tableau1[[#This Row],[Charge]]&lt;&gt;0, Tableau1[[#This Row],[Nombre intervenants]]&lt;&gt;0,Tableau1[[#This Row],[Lien document]]&lt;&gt;0,Tableau1[[#This Row],[DMS_SAP]]&lt;&gt;0)=TRUE,"MIS A JOUR","")</f>
        <v/>
      </c>
      <c r="AA759" s="45"/>
      <c r="AB759" s="55" t="str">
        <f ca="1">IF(Tableau1[[#This Row],[Date rév.]]&lt;&gt;"", DAYS360(Tableau1[[#This Row],[Date rév.]],TODAY()),"")</f>
        <v/>
      </c>
      <c r="AC759" s="47">
        <f>IFERROR(INDEX(Chemin_accès!$B$11:$C$22,MATCH(Tableau1[[#This Row],[Type]],Chemin_accès!$C$11:$C$22,0),1),Chemin_accès!$B$11)</f>
        <v>0</v>
      </c>
      <c r="AD759" s="47" t="str">
        <f>Chemin_accès!$B$8&amp;Tableau1[[#This Row],[Localisation / Classement]]&amp;"\"&amp;Tableau1[[#This Row],[Poste technique]]&amp;"_"&amp;Tableau1[[#This Row],[Plan Entretien]]&amp;".xlsm"</f>
        <v>\_.xlsm</v>
      </c>
    </row>
    <row r="760" spans="1:30" x14ac:dyDescent="0.3">
      <c r="A760" s="41" t="str">
        <f t="shared" ca="1" si="11"/>
        <v>7.MNRJ</v>
      </c>
      <c r="B7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0" s="43"/>
      <c r="D760" s="41"/>
      <c r="E760" s="41"/>
      <c r="F760" s="44"/>
      <c r="G760" s="44"/>
      <c r="H760" s="48"/>
      <c r="I760" s="48"/>
      <c r="J760" s="48"/>
      <c r="K760" s="48"/>
      <c r="L760" s="43"/>
      <c r="M760" s="44"/>
      <c r="N760" s="43"/>
      <c r="O760" s="43"/>
      <c r="P760" s="44"/>
      <c r="Q760" s="43"/>
      <c r="R760" s="43"/>
      <c r="S760" s="45"/>
      <c r="T760" s="58" t="str">
        <f>IF(Tableau1[[#This Row],[DMS_SAP]]="","",HYPERLINK(Tableau1[[#This Row],[Chemin fichier source]],"X"))</f>
        <v/>
      </c>
      <c r="U760" s="58" t="str">
        <f>IF(Tableau1[[#This Row],[Date rév.]]="","",HYPERLINK(Tableau1[[#This Row],[Lien document]],"X"))</f>
        <v/>
      </c>
      <c r="V760" s="44"/>
      <c r="W760" s="46" t="str">
        <f ca="1">Chemin_accès!$B$2&amp;Tableau1[[#This Row],[Poste Responsable]]&amp;"\"&amp;Tableau1[[#This Row],[Localisation / Classement]]&amp;"\"&amp;Tableau1[[#This Row],[Poste technique]]&amp;"_"&amp;Tableau1[[#This Row],[Plan Entretien]]&amp;".pdf"</f>
        <v>\\stjn.local\trimet\Donnees_Projets\Dms Sap\Maintenance\PlanEntretien\7.MNRJ\\_.pdf</v>
      </c>
      <c r="X760" s="44"/>
      <c r="Y760" s="44"/>
      <c r="Z760" s="41" t="str">
        <f ca="1">IF(AND(Tableau1[[#This Row],[Charge]]&lt;&gt;0, Tableau1[[#This Row],[Nombre intervenants]]&lt;&gt;0,Tableau1[[#This Row],[Lien document]]&lt;&gt;0,Tableau1[[#This Row],[DMS_SAP]]&lt;&gt;0)=TRUE,"MIS A JOUR","")</f>
        <v/>
      </c>
      <c r="AA760" s="45"/>
      <c r="AB760" s="55" t="str">
        <f ca="1">IF(Tableau1[[#This Row],[Date rév.]]&lt;&gt;"", DAYS360(Tableau1[[#This Row],[Date rév.]],TODAY()),"")</f>
        <v/>
      </c>
      <c r="AC760" s="47">
        <f>IFERROR(INDEX(Chemin_accès!$B$11:$C$22,MATCH(Tableau1[[#This Row],[Type]],Chemin_accès!$C$11:$C$22,0),1),Chemin_accès!$B$11)</f>
        <v>0</v>
      </c>
      <c r="AD760" s="47" t="str">
        <f>Chemin_accès!$B$8&amp;Tableau1[[#This Row],[Localisation / Classement]]&amp;"\"&amp;Tableau1[[#This Row],[Poste technique]]&amp;"_"&amp;Tableau1[[#This Row],[Plan Entretien]]&amp;".xlsm"</f>
        <v>\_.xlsm</v>
      </c>
    </row>
    <row r="761" spans="1:30" x14ac:dyDescent="0.3">
      <c r="A761" s="41" t="str">
        <f t="shared" ca="1" si="11"/>
        <v>7.MNRJ</v>
      </c>
      <c r="B7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1" s="43"/>
      <c r="D761" s="41"/>
      <c r="E761" s="41"/>
      <c r="F761" s="44"/>
      <c r="G761" s="44"/>
      <c r="H761" s="48"/>
      <c r="I761" s="48"/>
      <c r="J761" s="48"/>
      <c r="K761" s="48"/>
      <c r="L761" s="43"/>
      <c r="M761" s="44"/>
      <c r="N761" s="43"/>
      <c r="O761" s="43"/>
      <c r="P761" s="44"/>
      <c r="Q761" s="43"/>
      <c r="R761" s="43"/>
      <c r="S761" s="45"/>
      <c r="T761" s="58" t="str">
        <f>IF(Tableau1[[#This Row],[DMS_SAP]]="","",HYPERLINK(Tableau1[[#This Row],[Chemin fichier source]],"X"))</f>
        <v/>
      </c>
      <c r="U761" s="58" t="str">
        <f>IF(Tableau1[[#This Row],[Date rév.]]="","",HYPERLINK(Tableau1[[#This Row],[Lien document]],"X"))</f>
        <v/>
      </c>
      <c r="V761" s="44"/>
      <c r="W761" s="46" t="str">
        <f ca="1">Chemin_accès!$B$2&amp;Tableau1[[#This Row],[Poste Responsable]]&amp;"\"&amp;Tableau1[[#This Row],[Localisation / Classement]]&amp;"\"&amp;Tableau1[[#This Row],[Poste technique]]&amp;"_"&amp;Tableau1[[#This Row],[Plan Entretien]]&amp;".pdf"</f>
        <v>\\stjn.local\trimet\Donnees_Projets\Dms Sap\Maintenance\PlanEntretien\7.MNRJ\\_.pdf</v>
      </c>
      <c r="X761" s="44"/>
      <c r="Y761" s="44"/>
      <c r="Z761" s="41" t="str">
        <f ca="1">IF(AND(Tableau1[[#This Row],[Charge]]&lt;&gt;0, Tableau1[[#This Row],[Nombre intervenants]]&lt;&gt;0,Tableau1[[#This Row],[Lien document]]&lt;&gt;0,Tableau1[[#This Row],[DMS_SAP]]&lt;&gt;0)=TRUE,"MIS A JOUR","")</f>
        <v/>
      </c>
      <c r="AA761" s="45"/>
      <c r="AB761" s="55" t="str">
        <f ca="1">IF(Tableau1[[#This Row],[Date rév.]]&lt;&gt;"", DAYS360(Tableau1[[#This Row],[Date rév.]],TODAY()),"")</f>
        <v/>
      </c>
      <c r="AC761" s="47">
        <f>IFERROR(INDEX(Chemin_accès!$B$11:$C$22,MATCH(Tableau1[[#This Row],[Type]],Chemin_accès!$C$11:$C$22,0),1),Chemin_accès!$B$11)</f>
        <v>0</v>
      </c>
      <c r="AD761" s="47" t="str">
        <f>Chemin_accès!$B$8&amp;Tableau1[[#This Row],[Localisation / Classement]]&amp;"\"&amp;Tableau1[[#This Row],[Poste technique]]&amp;"_"&amp;Tableau1[[#This Row],[Plan Entretien]]&amp;".xlsm"</f>
        <v>\_.xlsm</v>
      </c>
    </row>
    <row r="762" spans="1:30" x14ac:dyDescent="0.3">
      <c r="A762" s="41" t="str">
        <f t="shared" ca="1" si="11"/>
        <v>7.MNRJ</v>
      </c>
      <c r="B7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2" s="43"/>
      <c r="D762" s="41"/>
      <c r="E762" s="41"/>
      <c r="F762" s="44"/>
      <c r="G762" s="44"/>
      <c r="H762" s="48"/>
      <c r="I762" s="48"/>
      <c r="J762" s="48"/>
      <c r="K762" s="48"/>
      <c r="L762" s="43"/>
      <c r="M762" s="44"/>
      <c r="N762" s="43"/>
      <c r="O762" s="43"/>
      <c r="P762" s="44"/>
      <c r="Q762" s="43"/>
      <c r="R762" s="43"/>
      <c r="S762" s="45"/>
      <c r="T762" s="58" t="str">
        <f>IF(Tableau1[[#This Row],[DMS_SAP]]="","",HYPERLINK(Tableau1[[#This Row],[Chemin fichier source]],"X"))</f>
        <v/>
      </c>
      <c r="U762" s="58" t="str">
        <f>IF(Tableau1[[#This Row],[Date rév.]]="","",HYPERLINK(Tableau1[[#This Row],[Lien document]],"X"))</f>
        <v/>
      </c>
      <c r="V762" s="44"/>
      <c r="W762" s="46" t="str">
        <f ca="1">Chemin_accès!$B$2&amp;Tableau1[[#This Row],[Poste Responsable]]&amp;"\"&amp;Tableau1[[#This Row],[Localisation / Classement]]&amp;"\"&amp;Tableau1[[#This Row],[Poste technique]]&amp;"_"&amp;Tableau1[[#This Row],[Plan Entretien]]&amp;".pdf"</f>
        <v>\\stjn.local\trimet\Donnees_Projets\Dms Sap\Maintenance\PlanEntretien\7.MNRJ\\_.pdf</v>
      </c>
      <c r="X762" s="44"/>
      <c r="Y762" s="44"/>
      <c r="Z762" s="41" t="str">
        <f ca="1">IF(AND(Tableau1[[#This Row],[Charge]]&lt;&gt;0, Tableau1[[#This Row],[Nombre intervenants]]&lt;&gt;0,Tableau1[[#This Row],[Lien document]]&lt;&gt;0,Tableau1[[#This Row],[DMS_SAP]]&lt;&gt;0)=TRUE,"MIS A JOUR","")</f>
        <v/>
      </c>
      <c r="AA762" s="45"/>
      <c r="AB762" s="55" t="str">
        <f ca="1">IF(Tableau1[[#This Row],[Date rév.]]&lt;&gt;"", DAYS360(Tableau1[[#This Row],[Date rév.]],TODAY()),"")</f>
        <v/>
      </c>
      <c r="AC762" s="47">
        <f>IFERROR(INDEX(Chemin_accès!$B$11:$C$22,MATCH(Tableau1[[#This Row],[Type]],Chemin_accès!$C$11:$C$22,0),1),Chemin_accès!$B$11)</f>
        <v>0</v>
      </c>
      <c r="AD762" s="47" t="str">
        <f>Chemin_accès!$B$8&amp;Tableau1[[#This Row],[Localisation / Classement]]&amp;"\"&amp;Tableau1[[#This Row],[Poste technique]]&amp;"_"&amp;Tableau1[[#This Row],[Plan Entretien]]&amp;".xlsm"</f>
        <v>\_.xlsm</v>
      </c>
    </row>
    <row r="763" spans="1:30" x14ac:dyDescent="0.3">
      <c r="A763" s="41" t="str">
        <f t="shared" ca="1" si="11"/>
        <v>7.MNRJ</v>
      </c>
      <c r="B7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3" s="43"/>
      <c r="D763" s="41"/>
      <c r="E763" s="41"/>
      <c r="F763" s="44"/>
      <c r="G763" s="44"/>
      <c r="H763" s="48"/>
      <c r="I763" s="48"/>
      <c r="J763" s="48"/>
      <c r="K763" s="48"/>
      <c r="L763" s="43"/>
      <c r="M763" s="44"/>
      <c r="N763" s="43"/>
      <c r="O763" s="43"/>
      <c r="P763" s="44"/>
      <c r="Q763" s="43"/>
      <c r="R763" s="43"/>
      <c r="S763" s="45"/>
      <c r="T763" s="58" t="str">
        <f>IF(Tableau1[[#This Row],[DMS_SAP]]="","",HYPERLINK(Tableau1[[#This Row],[Chemin fichier source]],"X"))</f>
        <v/>
      </c>
      <c r="U763" s="58" t="str">
        <f>IF(Tableau1[[#This Row],[Date rév.]]="","",HYPERLINK(Tableau1[[#This Row],[Lien document]],"X"))</f>
        <v/>
      </c>
      <c r="V763" s="44"/>
      <c r="W763" s="46" t="str">
        <f ca="1">Chemin_accès!$B$2&amp;Tableau1[[#This Row],[Poste Responsable]]&amp;"\"&amp;Tableau1[[#This Row],[Localisation / Classement]]&amp;"\"&amp;Tableau1[[#This Row],[Poste technique]]&amp;"_"&amp;Tableau1[[#This Row],[Plan Entretien]]&amp;".pdf"</f>
        <v>\\stjn.local\trimet\Donnees_Projets\Dms Sap\Maintenance\PlanEntretien\7.MNRJ\\_.pdf</v>
      </c>
      <c r="X763" s="44"/>
      <c r="Y763" s="44"/>
      <c r="Z763" s="41" t="str">
        <f ca="1">IF(AND(Tableau1[[#This Row],[Charge]]&lt;&gt;0, Tableau1[[#This Row],[Nombre intervenants]]&lt;&gt;0,Tableau1[[#This Row],[Lien document]]&lt;&gt;0,Tableau1[[#This Row],[DMS_SAP]]&lt;&gt;0)=TRUE,"MIS A JOUR","")</f>
        <v/>
      </c>
      <c r="AA763" s="45"/>
      <c r="AB763" s="55" t="str">
        <f ca="1">IF(Tableau1[[#This Row],[Date rév.]]&lt;&gt;"", DAYS360(Tableau1[[#This Row],[Date rév.]],TODAY()),"")</f>
        <v/>
      </c>
      <c r="AC763" s="47">
        <f>IFERROR(INDEX(Chemin_accès!$B$11:$C$22,MATCH(Tableau1[[#This Row],[Type]],Chemin_accès!$C$11:$C$22,0),1),Chemin_accès!$B$11)</f>
        <v>0</v>
      </c>
      <c r="AD763" s="47" t="str">
        <f>Chemin_accès!$B$8&amp;Tableau1[[#This Row],[Localisation / Classement]]&amp;"\"&amp;Tableau1[[#This Row],[Poste technique]]&amp;"_"&amp;Tableau1[[#This Row],[Plan Entretien]]&amp;".xlsm"</f>
        <v>\_.xlsm</v>
      </c>
    </row>
    <row r="764" spans="1:30" x14ac:dyDescent="0.3">
      <c r="A764" s="41" t="str">
        <f t="shared" ca="1" si="11"/>
        <v>7.MNRJ</v>
      </c>
      <c r="B7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4" s="43"/>
      <c r="D764" s="41"/>
      <c r="E764" s="41"/>
      <c r="F764" s="44"/>
      <c r="G764" s="44"/>
      <c r="H764" s="48"/>
      <c r="I764" s="48"/>
      <c r="J764" s="48"/>
      <c r="K764" s="48"/>
      <c r="L764" s="43"/>
      <c r="M764" s="44"/>
      <c r="N764" s="43"/>
      <c r="O764" s="43"/>
      <c r="P764" s="44"/>
      <c r="Q764" s="43"/>
      <c r="R764" s="43"/>
      <c r="S764" s="45"/>
      <c r="T764" s="58" t="str">
        <f>IF(Tableau1[[#This Row],[DMS_SAP]]="","",HYPERLINK(Tableau1[[#This Row],[Chemin fichier source]],"X"))</f>
        <v/>
      </c>
      <c r="U764" s="58" t="str">
        <f>IF(Tableau1[[#This Row],[Date rév.]]="","",HYPERLINK(Tableau1[[#This Row],[Lien document]],"X"))</f>
        <v/>
      </c>
      <c r="V764" s="44"/>
      <c r="W764" s="46" t="str">
        <f ca="1">Chemin_accès!$B$2&amp;Tableau1[[#This Row],[Poste Responsable]]&amp;"\"&amp;Tableau1[[#This Row],[Localisation / Classement]]&amp;"\"&amp;Tableau1[[#This Row],[Poste technique]]&amp;"_"&amp;Tableau1[[#This Row],[Plan Entretien]]&amp;".pdf"</f>
        <v>\\stjn.local\trimet\Donnees_Projets\Dms Sap\Maintenance\PlanEntretien\7.MNRJ\\_.pdf</v>
      </c>
      <c r="X764" s="44"/>
      <c r="Y764" s="44"/>
      <c r="Z764" s="41" t="str">
        <f ca="1">IF(AND(Tableau1[[#This Row],[Charge]]&lt;&gt;0, Tableau1[[#This Row],[Nombre intervenants]]&lt;&gt;0,Tableau1[[#This Row],[Lien document]]&lt;&gt;0,Tableau1[[#This Row],[DMS_SAP]]&lt;&gt;0)=TRUE,"MIS A JOUR","")</f>
        <v/>
      </c>
      <c r="AA764" s="45"/>
      <c r="AB764" s="55" t="str">
        <f ca="1">IF(Tableau1[[#This Row],[Date rév.]]&lt;&gt;"", DAYS360(Tableau1[[#This Row],[Date rév.]],TODAY()),"")</f>
        <v/>
      </c>
      <c r="AC764" s="47">
        <f>IFERROR(INDEX(Chemin_accès!$B$11:$C$22,MATCH(Tableau1[[#This Row],[Type]],Chemin_accès!$C$11:$C$22,0),1),Chemin_accès!$B$11)</f>
        <v>0</v>
      </c>
      <c r="AD764" s="47" t="str">
        <f>Chemin_accès!$B$8&amp;Tableau1[[#This Row],[Localisation / Classement]]&amp;"\"&amp;Tableau1[[#This Row],[Poste technique]]&amp;"_"&amp;Tableau1[[#This Row],[Plan Entretien]]&amp;".xlsm"</f>
        <v>\_.xlsm</v>
      </c>
    </row>
    <row r="765" spans="1:30" x14ac:dyDescent="0.3">
      <c r="A765" s="41" t="str">
        <f t="shared" ca="1" si="11"/>
        <v>7.MNRJ</v>
      </c>
      <c r="B7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5" s="43"/>
      <c r="D765" s="41"/>
      <c r="E765" s="41"/>
      <c r="F765" s="44"/>
      <c r="G765" s="44"/>
      <c r="H765" s="48"/>
      <c r="I765" s="48"/>
      <c r="J765" s="48"/>
      <c r="K765" s="48"/>
      <c r="L765" s="43"/>
      <c r="M765" s="44"/>
      <c r="N765" s="43"/>
      <c r="O765" s="43"/>
      <c r="P765" s="44"/>
      <c r="Q765" s="43"/>
      <c r="R765" s="43"/>
      <c r="S765" s="45"/>
      <c r="T765" s="58" t="str">
        <f>IF(Tableau1[[#This Row],[DMS_SAP]]="","",HYPERLINK(Tableau1[[#This Row],[Chemin fichier source]],"X"))</f>
        <v/>
      </c>
      <c r="U765" s="58" t="str">
        <f>IF(Tableau1[[#This Row],[Date rév.]]="","",HYPERLINK(Tableau1[[#This Row],[Lien document]],"X"))</f>
        <v/>
      </c>
      <c r="V765" s="44"/>
      <c r="W765" s="46" t="str">
        <f ca="1">Chemin_accès!$B$2&amp;Tableau1[[#This Row],[Poste Responsable]]&amp;"\"&amp;Tableau1[[#This Row],[Localisation / Classement]]&amp;"\"&amp;Tableau1[[#This Row],[Poste technique]]&amp;"_"&amp;Tableau1[[#This Row],[Plan Entretien]]&amp;".pdf"</f>
        <v>\\stjn.local\trimet\Donnees_Projets\Dms Sap\Maintenance\PlanEntretien\7.MNRJ\\_.pdf</v>
      </c>
      <c r="X765" s="44"/>
      <c r="Y765" s="44"/>
      <c r="Z765" s="41" t="str">
        <f ca="1">IF(AND(Tableau1[[#This Row],[Charge]]&lt;&gt;0, Tableau1[[#This Row],[Nombre intervenants]]&lt;&gt;0,Tableau1[[#This Row],[Lien document]]&lt;&gt;0,Tableau1[[#This Row],[DMS_SAP]]&lt;&gt;0)=TRUE,"MIS A JOUR","")</f>
        <v/>
      </c>
      <c r="AA765" s="45"/>
      <c r="AB765" s="55" t="str">
        <f ca="1">IF(Tableau1[[#This Row],[Date rév.]]&lt;&gt;"", DAYS360(Tableau1[[#This Row],[Date rév.]],TODAY()),"")</f>
        <v/>
      </c>
      <c r="AC765" s="47">
        <f>IFERROR(INDEX(Chemin_accès!$B$11:$C$22,MATCH(Tableau1[[#This Row],[Type]],Chemin_accès!$C$11:$C$22,0),1),Chemin_accès!$B$11)</f>
        <v>0</v>
      </c>
      <c r="AD765" s="47" t="str">
        <f>Chemin_accès!$B$8&amp;Tableau1[[#This Row],[Localisation / Classement]]&amp;"\"&amp;Tableau1[[#This Row],[Poste technique]]&amp;"_"&amp;Tableau1[[#This Row],[Plan Entretien]]&amp;".xlsm"</f>
        <v>\_.xlsm</v>
      </c>
    </row>
    <row r="766" spans="1:30" x14ac:dyDescent="0.3">
      <c r="A766" s="41" t="str">
        <f t="shared" ca="1" si="11"/>
        <v>7.MNRJ</v>
      </c>
      <c r="B7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6" s="43"/>
      <c r="D766" s="41"/>
      <c r="E766" s="41"/>
      <c r="F766" s="44"/>
      <c r="G766" s="44"/>
      <c r="H766" s="48"/>
      <c r="I766" s="48"/>
      <c r="J766" s="48"/>
      <c r="K766" s="48"/>
      <c r="L766" s="43"/>
      <c r="M766" s="44"/>
      <c r="N766" s="43"/>
      <c r="O766" s="43"/>
      <c r="P766" s="44"/>
      <c r="Q766" s="43"/>
      <c r="R766" s="43"/>
      <c r="S766" s="45"/>
      <c r="T766" s="58" t="str">
        <f>IF(Tableau1[[#This Row],[DMS_SAP]]="","",HYPERLINK(Tableau1[[#This Row],[Chemin fichier source]],"X"))</f>
        <v/>
      </c>
      <c r="U766" s="58" t="str">
        <f>IF(Tableau1[[#This Row],[Date rév.]]="","",HYPERLINK(Tableau1[[#This Row],[Lien document]],"X"))</f>
        <v/>
      </c>
      <c r="V766" s="44"/>
      <c r="W766" s="46" t="str">
        <f ca="1">Chemin_accès!$B$2&amp;Tableau1[[#This Row],[Poste Responsable]]&amp;"\"&amp;Tableau1[[#This Row],[Localisation / Classement]]&amp;"\"&amp;Tableau1[[#This Row],[Poste technique]]&amp;"_"&amp;Tableau1[[#This Row],[Plan Entretien]]&amp;".pdf"</f>
        <v>\\stjn.local\trimet\Donnees_Projets\Dms Sap\Maintenance\PlanEntretien\7.MNRJ\\_.pdf</v>
      </c>
      <c r="X766" s="44"/>
      <c r="Y766" s="44"/>
      <c r="Z766" s="41" t="str">
        <f ca="1">IF(AND(Tableau1[[#This Row],[Charge]]&lt;&gt;0, Tableau1[[#This Row],[Nombre intervenants]]&lt;&gt;0,Tableau1[[#This Row],[Lien document]]&lt;&gt;0,Tableau1[[#This Row],[DMS_SAP]]&lt;&gt;0)=TRUE,"MIS A JOUR","")</f>
        <v/>
      </c>
      <c r="AA766" s="45"/>
      <c r="AB766" s="55" t="str">
        <f ca="1">IF(Tableau1[[#This Row],[Date rév.]]&lt;&gt;"", DAYS360(Tableau1[[#This Row],[Date rév.]],TODAY()),"")</f>
        <v/>
      </c>
      <c r="AC766" s="47">
        <f>IFERROR(INDEX(Chemin_accès!$B$11:$C$22,MATCH(Tableau1[[#This Row],[Type]],Chemin_accès!$C$11:$C$22,0),1),Chemin_accès!$B$11)</f>
        <v>0</v>
      </c>
      <c r="AD766" s="47" t="str">
        <f>Chemin_accès!$B$8&amp;Tableau1[[#This Row],[Localisation / Classement]]&amp;"\"&amp;Tableau1[[#This Row],[Poste technique]]&amp;"_"&amp;Tableau1[[#This Row],[Plan Entretien]]&amp;".xlsm"</f>
        <v>\_.xlsm</v>
      </c>
    </row>
    <row r="767" spans="1:30" x14ac:dyDescent="0.3">
      <c r="A767" s="41" t="str">
        <f t="shared" ca="1" si="11"/>
        <v>7.MNRJ</v>
      </c>
      <c r="B7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7" s="43"/>
      <c r="D767" s="41"/>
      <c r="E767" s="41"/>
      <c r="F767" s="44"/>
      <c r="G767" s="44"/>
      <c r="H767" s="48"/>
      <c r="I767" s="48"/>
      <c r="J767" s="48"/>
      <c r="K767" s="48"/>
      <c r="L767" s="43"/>
      <c r="M767" s="44"/>
      <c r="N767" s="43"/>
      <c r="O767" s="43"/>
      <c r="P767" s="44"/>
      <c r="Q767" s="43"/>
      <c r="R767" s="43"/>
      <c r="S767" s="45"/>
      <c r="T767" s="58" t="str">
        <f>IF(Tableau1[[#This Row],[DMS_SAP]]="","",HYPERLINK(Tableau1[[#This Row],[Chemin fichier source]],"X"))</f>
        <v/>
      </c>
      <c r="U767" s="58" t="str">
        <f>IF(Tableau1[[#This Row],[Date rév.]]="","",HYPERLINK(Tableau1[[#This Row],[Lien document]],"X"))</f>
        <v/>
      </c>
      <c r="V767" s="44"/>
      <c r="W767" s="46" t="str">
        <f ca="1">Chemin_accès!$B$2&amp;Tableau1[[#This Row],[Poste Responsable]]&amp;"\"&amp;Tableau1[[#This Row],[Localisation / Classement]]&amp;"\"&amp;Tableau1[[#This Row],[Poste technique]]&amp;"_"&amp;Tableau1[[#This Row],[Plan Entretien]]&amp;".pdf"</f>
        <v>\\stjn.local\trimet\Donnees_Projets\Dms Sap\Maintenance\PlanEntretien\7.MNRJ\\_.pdf</v>
      </c>
      <c r="X767" s="44"/>
      <c r="Y767" s="44"/>
      <c r="Z767" s="41" t="str">
        <f ca="1">IF(AND(Tableau1[[#This Row],[Charge]]&lt;&gt;0, Tableau1[[#This Row],[Nombre intervenants]]&lt;&gt;0,Tableau1[[#This Row],[Lien document]]&lt;&gt;0,Tableau1[[#This Row],[DMS_SAP]]&lt;&gt;0)=TRUE,"MIS A JOUR","")</f>
        <v/>
      </c>
      <c r="AA767" s="45"/>
      <c r="AB767" s="55" t="str">
        <f ca="1">IF(Tableau1[[#This Row],[Date rév.]]&lt;&gt;"", DAYS360(Tableau1[[#This Row],[Date rév.]],TODAY()),"")</f>
        <v/>
      </c>
      <c r="AC767" s="47">
        <f>IFERROR(INDEX(Chemin_accès!$B$11:$C$22,MATCH(Tableau1[[#This Row],[Type]],Chemin_accès!$C$11:$C$22,0),1),Chemin_accès!$B$11)</f>
        <v>0</v>
      </c>
      <c r="AD767" s="47" t="str">
        <f>Chemin_accès!$B$8&amp;Tableau1[[#This Row],[Localisation / Classement]]&amp;"\"&amp;Tableau1[[#This Row],[Poste technique]]&amp;"_"&amp;Tableau1[[#This Row],[Plan Entretien]]&amp;".xlsm"</f>
        <v>\_.xlsm</v>
      </c>
    </row>
    <row r="768" spans="1:30" x14ac:dyDescent="0.3">
      <c r="A768" s="41" t="str">
        <f t="shared" ca="1" si="11"/>
        <v>7.MNRJ</v>
      </c>
      <c r="B7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8" s="43"/>
      <c r="D768" s="41"/>
      <c r="E768" s="41"/>
      <c r="F768" s="44"/>
      <c r="G768" s="44"/>
      <c r="H768" s="48"/>
      <c r="I768" s="48"/>
      <c r="J768" s="48"/>
      <c r="K768" s="48"/>
      <c r="L768" s="43"/>
      <c r="M768" s="44"/>
      <c r="N768" s="43"/>
      <c r="O768" s="43"/>
      <c r="P768" s="44"/>
      <c r="Q768" s="43"/>
      <c r="R768" s="43"/>
      <c r="S768" s="45"/>
      <c r="T768" s="58" t="str">
        <f>IF(Tableau1[[#This Row],[DMS_SAP]]="","",HYPERLINK(Tableau1[[#This Row],[Chemin fichier source]],"X"))</f>
        <v/>
      </c>
      <c r="U768" s="58" t="str">
        <f>IF(Tableau1[[#This Row],[Date rév.]]="","",HYPERLINK(Tableau1[[#This Row],[Lien document]],"X"))</f>
        <v/>
      </c>
      <c r="V768" s="44"/>
      <c r="W768" s="46" t="str">
        <f ca="1">Chemin_accès!$B$2&amp;Tableau1[[#This Row],[Poste Responsable]]&amp;"\"&amp;Tableau1[[#This Row],[Localisation / Classement]]&amp;"\"&amp;Tableau1[[#This Row],[Poste technique]]&amp;"_"&amp;Tableau1[[#This Row],[Plan Entretien]]&amp;".pdf"</f>
        <v>\\stjn.local\trimet\Donnees_Projets\Dms Sap\Maintenance\PlanEntretien\7.MNRJ\\_.pdf</v>
      </c>
      <c r="X768" s="44"/>
      <c r="Y768" s="44"/>
      <c r="Z768" s="41" t="str">
        <f ca="1">IF(AND(Tableau1[[#This Row],[Charge]]&lt;&gt;0, Tableau1[[#This Row],[Nombre intervenants]]&lt;&gt;0,Tableau1[[#This Row],[Lien document]]&lt;&gt;0,Tableau1[[#This Row],[DMS_SAP]]&lt;&gt;0)=TRUE,"MIS A JOUR","")</f>
        <v/>
      </c>
      <c r="AA768" s="45"/>
      <c r="AB768" s="55" t="str">
        <f ca="1">IF(Tableau1[[#This Row],[Date rév.]]&lt;&gt;"", DAYS360(Tableau1[[#This Row],[Date rév.]],TODAY()),"")</f>
        <v/>
      </c>
      <c r="AC768" s="47">
        <f>IFERROR(INDEX(Chemin_accès!$B$11:$C$22,MATCH(Tableau1[[#This Row],[Type]],Chemin_accès!$C$11:$C$22,0),1),Chemin_accès!$B$11)</f>
        <v>0</v>
      </c>
      <c r="AD768" s="47" t="str">
        <f>Chemin_accès!$B$8&amp;Tableau1[[#This Row],[Localisation / Classement]]&amp;"\"&amp;Tableau1[[#This Row],[Poste technique]]&amp;"_"&amp;Tableau1[[#This Row],[Plan Entretien]]&amp;".xlsm"</f>
        <v>\_.xlsm</v>
      </c>
    </row>
    <row r="769" spans="1:30" x14ac:dyDescent="0.3">
      <c r="A769" s="41" t="str">
        <f t="shared" ca="1" si="11"/>
        <v>7.MNRJ</v>
      </c>
      <c r="B7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9" s="43"/>
      <c r="D769" s="41"/>
      <c r="E769" s="41"/>
      <c r="F769" s="44"/>
      <c r="G769" s="44"/>
      <c r="H769" s="48"/>
      <c r="I769" s="48"/>
      <c r="J769" s="48"/>
      <c r="K769" s="48"/>
      <c r="L769" s="43"/>
      <c r="M769" s="44"/>
      <c r="N769" s="43"/>
      <c r="O769" s="43"/>
      <c r="P769" s="44"/>
      <c r="Q769" s="43"/>
      <c r="R769" s="43"/>
      <c r="S769" s="45"/>
      <c r="T769" s="58" t="str">
        <f>IF(Tableau1[[#This Row],[DMS_SAP]]="","",HYPERLINK(Tableau1[[#This Row],[Chemin fichier source]],"X"))</f>
        <v/>
      </c>
      <c r="U769" s="58" t="str">
        <f>IF(Tableau1[[#This Row],[Date rév.]]="","",HYPERLINK(Tableau1[[#This Row],[Lien document]],"X"))</f>
        <v/>
      </c>
      <c r="V769" s="44"/>
      <c r="W769" s="46" t="str">
        <f ca="1">Chemin_accès!$B$2&amp;Tableau1[[#This Row],[Poste Responsable]]&amp;"\"&amp;Tableau1[[#This Row],[Localisation / Classement]]&amp;"\"&amp;Tableau1[[#This Row],[Poste technique]]&amp;"_"&amp;Tableau1[[#This Row],[Plan Entretien]]&amp;".pdf"</f>
        <v>\\stjn.local\trimet\Donnees_Projets\Dms Sap\Maintenance\PlanEntretien\7.MNRJ\\_.pdf</v>
      </c>
      <c r="X769" s="44"/>
      <c r="Y769" s="44"/>
      <c r="Z769" s="41" t="str">
        <f ca="1">IF(AND(Tableau1[[#This Row],[Charge]]&lt;&gt;0, Tableau1[[#This Row],[Nombre intervenants]]&lt;&gt;0,Tableau1[[#This Row],[Lien document]]&lt;&gt;0,Tableau1[[#This Row],[DMS_SAP]]&lt;&gt;0)=TRUE,"MIS A JOUR","")</f>
        <v/>
      </c>
      <c r="AA769" s="45"/>
      <c r="AB769" s="55" t="str">
        <f ca="1">IF(Tableau1[[#This Row],[Date rév.]]&lt;&gt;"", DAYS360(Tableau1[[#This Row],[Date rév.]],TODAY()),"")</f>
        <v/>
      </c>
      <c r="AC769" s="47">
        <f>IFERROR(INDEX(Chemin_accès!$B$11:$C$22,MATCH(Tableau1[[#This Row],[Type]],Chemin_accès!$C$11:$C$22,0),1),Chemin_accès!$B$11)</f>
        <v>0</v>
      </c>
      <c r="AD769" s="47" t="str">
        <f>Chemin_accès!$B$8&amp;Tableau1[[#This Row],[Localisation / Classement]]&amp;"\"&amp;Tableau1[[#This Row],[Poste technique]]&amp;"_"&amp;Tableau1[[#This Row],[Plan Entretien]]&amp;".xlsm"</f>
        <v>\_.xlsm</v>
      </c>
    </row>
    <row r="770" spans="1:30" x14ac:dyDescent="0.3">
      <c r="A770" s="41" t="str">
        <f t="shared" ca="1" si="11"/>
        <v>7.MNRJ</v>
      </c>
      <c r="B7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0" s="43"/>
      <c r="D770" s="41"/>
      <c r="E770" s="41"/>
      <c r="F770" s="44"/>
      <c r="G770" s="44"/>
      <c r="H770" s="48"/>
      <c r="I770" s="48"/>
      <c r="J770" s="48"/>
      <c r="K770" s="48"/>
      <c r="L770" s="43"/>
      <c r="M770" s="44"/>
      <c r="N770" s="43"/>
      <c r="O770" s="43"/>
      <c r="P770" s="44"/>
      <c r="Q770" s="43"/>
      <c r="R770" s="43"/>
      <c r="S770" s="45"/>
      <c r="T770" s="58" t="str">
        <f>IF(Tableau1[[#This Row],[DMS_SAP]]="","",HYPERLINK(Tableau1[[#This Row],[Chemin fichier source]],"X"))</f>
        <v/>
      </c>
      <c r="U770" s="58" t="str">
        <f>IF(Tableau1[[#This Row],[Date rév.]]="","",HYPERLINK(Tableau1[[#This Row],[Lien document]],"X"))</f>
        <v/>
      </c>
      <c r="V770" s="44"/>
      <c r="W770" s="46" t="str">
        <f ca="1">Chemin_accès!$B$2&amp;Tableau1[[#This Row],[Poste Responsable]]&amp;"\"&amp;Tableau1[[#This Row],[Localisation / Classement]]&amp;"\"&amp;Tableau1[[#This Row],[Poste technique]]&amp;"_"&amp;Tableau1[[#This Row],[Plan Entretien]]&amp;".pdf"</f>
        <v>\\stjn.local\trimet\Donnees_Projets\Dms Sap\Maintenance\PlanEntretien\7.MNRJ\\_.pdf</v>
      </c>
      <c r="X770" s="44"/>
      <c r="Y770" s="44"/>
      <c r="Z770" s="41" t="str">
        <f ca="1">IF(AND(Tableau1[[#This Row],[Charge]]&lt;&gt;0, Tableau1[[#This Row],[Nombre intervenants]]&lt;&gt;0,Tableau1[[#This Row],[Lien document]]&lt;&gt;0,Tableau1[[#This Row],[DMS_SAP]]&lt;&gt;0)=TRUE,"MIS A JOUR","")</f>
        <v/>
      </c>
      <c r="AA770" s="45"/>
      <c r="AB770" s="55" t="str">
        <f ca="1">IF(Tableau1[[#This Row],[Date rév.]]&lt;&gt;"", DAYS360(Tableau1[[#This Row],[Date rév.]],TODAY()),"")</f>
        <v/>
      </c>
      <c r="AC770" s="47">
        <f>IFERROR(INDEX(Chemin_accès!$B$11:$C$22,MATCH(Tableau1[[#This Row],[Type]],Chemin_accès!$C$11:$C$22,0),1),Chemin_accès!$B$11)</f>
        <v>0</v>
      </c>
      <c r="AD770" s="47" t="str">
        <f>Chemin_accès!$B$8&amp;Tableau1[[#This Row],[Localisation / Classement]]&amp;"\"&amp;Tableau1[[#This Row],[Poste technique]]&amp;"_"&amp;Tableau1[[#This Row],[Plan Entretien]]&amp;".xlsm"</f>
        <v>\_.xlsm</v>
      </c>
    </row>
    <row r="771" spans="1:30" x14ac:dyDescent="0.3">
      <c r="A771" s="41" t="str">
        <f t="shared" ref="A771:A834" ca="1" si="12">MID(CELL("filename",$A$1),FIND("]",CELL("filename",$A$1))+1,32)</f>
        <v>7.MNRJ</v>
      </c>
      <c r="B7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1" s="43"/>
      <c r="D771" s="41"/>
      <c r="E771" s="41"/>
      <c r="F771" s="44"/>
      <c r="G771" s="44"/>
      <c r="H771" s="48"/>
      <c r="I771" s="48"/>
      <c r="J771" s="48"/>
      <c r="K771" s="48"/>
      <c r="L771" s="43"/>
      <c r="M771" s="44"/>
      <c r="N771" s="43"/>
      <c r="O771" s="43"/>
      <c r="P771" s="44"/>
      <c r="Q771" s="43"/>
      <c r="R771" s="43"/>
      <c r="S771" s="45"/>
      <c r="T771" s="58" t="str">
        <f>IF(Tableau1[[#This Row],[DMS_SAP]]="","",HYPERLINK(Tableau1[[#This Row],[Chemin fichier source]],"X"))</f>
        <v/>
      </c>
      <c r="U771" s="58" t="str">
        <f>IF(Tableau1[[#This Row],[Date rév.]]="","",HYPERLINK(Tableau1[[#This Row],[Lien document]],"X"))</f>
        <v/>
      </c>
      <c r="V771" s="44"/>
      <c r="W771" s="46" t="str">
        <f ca="1">Chemin_accès!$B$2&amp;Tableau1[[#This Row],[Poste Responsable]]&amp;"\"&amp;Tableau1[[#This Row],[Localisation / Classement]]&amp;"\"&amp;Tableau1[[#This Row],[Poste technique]]&amp;"_"&amp;Tableau1[[#This Row],[Plan Entretien]]&amp;".pdf"</f>
        <v>\\stjn.local\trimet\Donnees_Projets\Dms Sap\Maintenance\PlanEntretien\7.MNRJ\\_.pdf</v>
      </c>
      <c r="X771" s="44"/>
      <c r="Y771" s="44"/>
      <c r="Z771" s="41" t="str">
        <f ca="1">IF(AND(Tableau1[[#This Row],[Charge]]&lt;&gt;0, Tableau1[[#This Row],[Nombre intervenants]]&lt;&gt;0,Tableau1[[#This Row],[Lien document]]&lt;&gt;0,Tableau1[[#This Row],[DMS_SAP]]&lt;&gt;0)=TRUE,"MIS A JOUR","")</f>
        <v/>
      </c>
      <c r="AA771" s="45"/>
      <c r="AB771" s="55" t="str">
        <f ca="1">IF(Tableau1[[#This Row],[Date rév.]]&lt;&gt;"", DAYS360(Tableau1[[#This Row],[Date rév.]],TODAY()),"")</f>
        <v/>
      </c>
      <c r="AC771" s="47">
        <f>IFERROR(INDEX(Chemin_accès!$B$11:$C$22,MATCH(Tableau1[[#This Row],[Type]],Chemin_accès!$C$11:$C$22,0),1),Chemin_accès!$B$11)</f>
        <v>0</v>
      </c>
      <c r="AD771" s="47" t="str">
        <f>Chemin_accès!$B$8&amp;Tableau1[[#This Row],[Localisation / Classement]]&amp;"\"&amp;Tableau1[[#This Row],[Poste technique]]&amp;"_"&amp;Tableau1[[#This Row],[Plan Entretien]]&amp;".xlsm"</f>
        <v>\_.xlsm</v>
      </c>
    </row>
    <row r="772" spans="1:30" x14ac:dyDescent="0.3">
      <c r="A772" s="41" t="str">
        <f t="shared" ca="1" si="12"/>
        <v>7.MNRJ</v>
      </c>
      <c r="B7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2" s="43"/>
      <c r="D772" s="41"/>
      <c r="E772" s="41"/>
      <c r="F772" s="44"/>
      <c r="G772" s="44"/>
      <c r="H772" s="48"/>
      <c r="I772" s="48"/>
      <c r="J772" s="48"/>
      <c r="K772" s="48"/>
      <c r="L772" s="43"/>
      <c r="M772" s="44"/>
      <c r="N772" s="43"/>
      <c r="O772" s="43"/>
      <c r="P772" s="44"/>
      <c r="Q772" s="43"/>
      <c r="R772" s="43"/>
      <c r="S772" s="45"/>
      <c r="T772" s="58" t="str">
        <f>IF(Tableau1[[#This Row],[DMS_SAP]]="","",HYPERLINK(Tableau1[[#This Row],[Chemin fichier source]],"X"))</f>
        <v/>
      </c>
      <c r="U772" s="58" t="str">
        <f>IF(Tableau1[[#This Row],[Date rév.]]="","",HYPERLINK(Tableau1[[#This Row],[Lien document]],"X"))</f>
        <v/>
      </c>
      <c r="V772" s="44"/>
      <c r="W772" s="46" t="str">
        <f ca="1">Chemin_accès!$B$2&amp;Tableau1[[#This Row],[Poste Responsable]]&amp;"\"&amp;Tableau1[[#This Row],[Localisation / Classement]]&amp;"\"&amp;Tableau1[[#This Row],[Poste technique]]&amp;"_"&amp;Tableau1[[#This Row],[Plan Entretien]]&amp;".pdf"</f>
        <v>\\stjn.local\trimet\Donnees_Projets\Dms Sap\Maintenance\PlanEntretien\7.MNRJ\\_.pdf</v>
      </c>
      <c r="X772" s="44"/>
      <c r="Y772" s="44"/>
      <c r="Z772" s="41" t="str">
        <f ca="1">IF(AND(Tableau1[[#This Row],[Charge]]&lt;&gt;0, Tableau1[[#This Row],[Nombre intervenants]]&lt;&gt;0,Tableau1[[#This Row],[Lien document]]&lt;&gt;0,Tableau1[[#This Row],[DMS_SAP]]&lt;&gt;0)=TRUE,"MIS A JOUR","")</f>
        <v/>
      </c>
      <c r="AA772" s="45"/>
      <c r="AB772" s="55" t="str">
        <f ca="1">IF(Tableau1[[#This Row],[Date rév.]]&lt;&gt;"", DAYS360(Tableau1[[#This Row],[Date rév.]],TODAY()),"")</f>
        <v/>
      </c>
      <c r="AC772" s="47">
        <f>IFERROR(INDEX(Chemin_accès!$B$11:$C$22,MATCH(Tableau1[[#This Row],[Type]],Chemin_accès!$C$11:$C$22,0),1),Chemin_accès!$B$11)</f>
        <v>0</v>
      </c>
      <c r="AD772" s="47" t="str">
        <f>Chemin_accès!$B$8&amp;Tableau1[[#This Row],[Localisation / Classement]]&amp;"\"&amp;Tableau1[[#This Row],[Poste technique]]&amp;"_"&amp;Tableau1[[#This Row],[Plan Entretien]]&amp;".xlsm"</f>
        <v>\_.xlsm</v>
      </c>
    </row>
    <row r="773" spans="1:30" x14ac:dyDescent="0.3">
      <c r="A773" s="41" t="str">
        <f t="shared" ca="1" si="12"/>
        <v>7.MNRJ</v>
      </c>
      <c r="B7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3" s="43"/>
      <c r="D773" s="41"/>
      <c r="E773" s="41"/>
      <c r="F773" s="44"/>
      <c r="G773" s="44"/>
      <c r="H773" s="48"/>
      <c r="I773" s="48"/>
      <c r="J773" s="48"/>
      <c r="K773" s="48"/>
      <c r="L773" s="43"/>
      <c r="M773" s="44"/>
      <c r="N773" s="43"/>
      <c r="O773" s="43"/>
      <c r="P773" s="44"/>
      <c r="Q773" s="43"/>
      <c r="R773" s="43"/>
      <c r="S773" s="45"/>
      <c r="T773" s="58" t="str">
        <f>IF(Tableau1[[#This Row],[DMS_SAP]]="","",HYPERLINK(Tableau1[[#This Row],[Chemin fichier source]],"X"))</f>
        <v/>
      </c>
      <c r="U773" s="58" t="str">
        <f>IF(Tableau1[[#This Row],[Date rév.]]="","",HYPERLINK(Tableau1[[#This Row],[Lien document]],"X"))</f>
        <v/>
      </c>
      <c r="V773" s="44"/>
      <c r="W773" s="46" t="str">
        <f ca="1">Chemin_accès!$B$2&amp;Tableau1[[#This Row],[Poste Responsable]]&amp;"\"&amp;Tableau1[[#This Row],[Localisation / Classement]]&amp;"\"&amp;Tableau1[[#This Row],[Poste technique]]&amp;"_"&amp;Tableau1[[#This Row],[Plan Entretien]]&amp;".pdf"</f>
        <v>\\stjn.local\trimet\Donnees_Projets\Dms Sap\Maintenance\PlanEntretien\7.MNRJ\\_.pdf</v>
      </c>
      <c r="X773" s="44"/>
      <c r="Y773" s="44"/>
      <c r="Z773" s="41" t="str">
        <f ca="1">IF(AND(Tableau1[[#This Row],[Charge]]&lt;&gt;0, Tableau1[[#This Row],[Nombre intervenants]]&lt;&gt;0,Tableau1[[#This Row],[Lien document]]&lt;&gt;0,Tableau1[[#This Row],[DMS_SAP]]&lt;&gt;0)=TRUE,"MIS A JOUR","")</f>
        <v/>
      </c>
      <c r="AA773" s="45"/>
      <c r="AB773" s="55" t="str">
        <f ca="1">IF(Tableau1[[#This Row],[Date rév.]]&lt;&gt;"", DAYS360(Tableau1[[#This Row],[Date rév.]],TODAY()),"")</f>
        <v/>
      </c>
      <c r="AC773" s="47">
        <f>IFERROR(INDEX(Chemin_accès!$B$11:$C$22,MATCH(Tableau1[[#This Row],[Type]],Chemin_accès!$C$11:$C$22,0),1),Chemin_accès!$B$11)</f>
        <v>0</v>
      </c>
      <c r="AD773" s="47" t="str">
        <f>Chemin_accès!$B$8&amp;Tableau1[[#This Row],[Localisation / Classement]]&amp;"\"&amp;Tableau1[[#This Row],[Poste technique]]&amp;"_"&amp;Tableau1[[#This Row],[Plan Entretien]]&amp;".xlsm"</f>
        <v>\_.xlsm</v>
      </c>
    </row>
    <row r="774" spans="1:30" x14ac:dyDescent="0.3">
      <c r="A774" s="41" t="str">
        <f t="shared" ca="1" si="12"/>
        <v>7.MNRJ</v>
      </c>
      <c r="B7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4" s="43"/>
      <c r="D774" s="41"/>
      <c r="E774" s="41"/>
      <c r="F774" s="44"/>
      <c r="G774" s="44"/>
      <c r="H774" s="48"/>
      <c r="I774" s="48"/>
      <c r="J774" s="48"/>
      <c r="K774" s="48"/>
      <c r="L774" s="43"/>
      <c r="M774" s="44"/>
      <c r="N774" s="43"/>
      <c r="O774" s="43"/>
      <c r="P774" s="44"/>
      <c r="Q774" s="43"/>
      <c r="R774" s="43"/>
      <c r="S774" s="45"/>
      <c r="T774" s="58" t="str">
        <f>IF(Tableau1[[#This Row],[DMS_SAP]]="","",HYPERLINK(Tableau1[[#This Row],[Chemin fichier source]],"X"))</f>
        <v/>
      </c>
      <c r="U774" s="58" t="str">
        <f>IF(Tableau1[[#This Row],[Date rév.]]="","",HYPERLINK(Tableau1[[#This Row],[Lien document]],"X"))</f>
        <v/>
      </c>
      <c r="V774" s="44"/>
      <c r="W774" s="46" t="str">
        <f ca="1">Chemin_accès!$B$2&amp;Tableau1[[#This Row],[Poste Responsable]]&amp;"\"&amp;Tableau1[[#This Row],[Localisation / Classement]]&amp;"\"&amp;Tableau1[[#This Row],[Poste technique]]&amp;"_"&amp;Tableau1[[#This Row],[Plan Entretien]]&amp;".pdf"</f>
        <v>\\stjn.local\trimet\Donnees_Projets\Dms Sap\Maintenance\PlanEntretien\7.MNRJ\\_.pdf</v>
      </c>
      <c r="X774" s="44"/>
      <c r="Y774" s="44"/>
      <c r="Z774" s="41" t="str">
        <f ca="1">IF(AND(Tableau1[[#This Row],[Charge]]&lt;&gt;0, Tableau1[[#This Row],[Nombre intervenants]]&lt;&gt;0,Tableau1[[#This Row],[Lien document]]&lt;&gt;0,Tableau1[[#This Row],[DMS_SAP]]&lt;&gt;0)=TRUE,"MIS A JOUR","")</f>
        <v/>
      </c>
      <c r="AA774" s="45"/>
      <c r="AB774" s="55" t="str">
        <f ca="1">IF(Tableau1[[#This Row],[Date rév.]]&lt;&gt;"", DAYS360(Tableau1[[#This Row],[Date rév.]],TODAY()),"")</f>
        <v/>
      </c>
      <c r="AC774" s="47">
        <f>IFERROR(INDEX(Chemin_accès!$B$11:$C$22,MATCH(Tableau1[[#This Row],[Type]],Chemin_accès!$C$11:$C$22,0),1),Chemin_accès!$B$11)</f>
        <v>0</v>
      </c>
      <c r="AD774" s="47" t="str">
        <f>Chemin_accès!$B$8&amp;Tableau1[[#This Row],[Localisation / Classement]]&amp;"\"&amp;Tableau1[[#This Row],[Poste technique]]&amp;"_"&amp;Tableau1[[#This Row],[Plan Entretien]]&amp;".xlsm"</f>
        <v>\_.xlsm</v>
      </c>
    </row>
    <row r="775" spans="1:30" x14ac:dyDescent="0.3">
      <c r="A775" s="41" t="str">
        <f t="shared" ca="1" si="12"/>
        <v>7.MNRJ</v>
      </c>
      <c r="B7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5" s="43"/>
      <c r="D775" s="41"/>
      <c r="E775" s="41"/>
      <c r="F775" s="44"/>
      <c r="G775" s="44"/>
      <c r="H775" s="48"/>
      <c r="I775" s="48"/>
      <c r="J775" s="48"/>
      <c r="K775" s="48"/>
      <c r="L775" s="43"/>
      <c r="M775" s="44"/>
      <c r="N775" s="43"/>
      <c r="O775" s="43"/>
      <c r="P775" s="44"/>
      <c r="Q775" s="43"/>
      <c r="R775" s="43"/>
      <c r="S775" s="45"/>
      <c r="T775" s="58" t="str">
        <f>IF(Tableau1[[#This Row],[DMS_SAP]]="","",HYPERLINK(Tableau1[[#This Row],[Chemin fichier source]],"X"))</f>
        <v/>
      </c>
      <c r="U775" s="58" t="str">
        <f>IF(Tableau1[[#This Row],[Date rév.]]="","",HYPERLINK(Tableau1[[#This Row],[Lien document]],"X"))</f>
        <v/>
      </c>
      <c r="V775" s="44"/>
      <c r="W775" s="46" t="str">
        <f ca="1">Chemin_accès!$B$2&amp;Tableau1[[#This Row],[Poste Responsable]]&amp;"\"&amp;Tableau1[[#This Row],[Localisation / Classement]]&amp;"\"&amp;Tableau1[[#This Row],[Poste technique]]&amp;"_"&amp;Tableau1[[#This Row],[Plan Entretien]]&amp;".pdf"</f>
        <v>\\stjn.local\trimet\Donnees_Projets\Dms Sap\Maintenance\PlanEntretien\7.MNRJ\\_.pdf</v>
      </c>
      <c r="X775" s="44"/>
      <c r="Y775" s="44"/>
      <c r="Z775" s="41" t="str">
        <f ca="1">IF(AND(Tableau1[[#This Row],[Charge]]&lt;&gt;0, Tableau1[[#This Row],[Nombre intervenants]]&lt;&gt;0,Tableau1[[#This Row],[Lien document]]&lt;&gt;0,Tableau1[[#This Row],[DMS_SAP]]&lt;&gt;0)=TRUE,"MIS A JOUR","")</f>
        <v/>
      </c>
      <c r="AA775" s="45"/>
      <c r="AB775" s="55" t="str">
        <f ca="1">IF(Tableau1[[#This Row],[Date rév.]]&lt;&gt;"", DAYS360(Tableau1[[#This Row],[Date rév.]],TODAY()),"")</f>
        <v/>
      </c>
      <c r="AC775" s="47">
        <f>IFERROR(INDEX(Chemin_accès!$B$11:$C$22,MATCH(Tableau1[[#This Row],[Type]],Chemin_accès!$C$11:$C$22,0),1),Chemin_accès!$B$11)</f>
        <v>0</v>
      </c>
      <c r="AD775" s="47" t="str">
        <f>Chemin_accès!$B$8&amp;Tableau1[[#This Row],[Localisation / Classement]]&amp;"\"&amp;Tableau1[[#This Row],[Poste technique]]&amp;"_"&amp;Tableau1[[#This Row],[Plan Entretien]]&amp;".xlsm"</f>
        <v>\_.xlsm</v>
      </c>
    </row>
    <row r="776" spans="1:30" x14ac:dyDescent="0.3">
      <c r="A776" s="41" t="str">
        <f t="shared" ca="1" si="12"/>
        <v>7.MNRJ</v>
      </c>
      <c r="B7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6" s="43"/>
      <c r="D776" s="41"/>
      <c r="E776" s="41"/>
      <c r="F776" s="44"/>
      <c r="G776" s="44"/>
      <c r="H776" s="48"/>
      <c r="I776" s="48"/>
      <c r="J776" s="48"/>
      <c r="K776" s="48"/>
      <c r="L776" s="43"/>
      <c r="M776" s="44"/>
      <c r="N776" s="43"/>
      <c r="O776" s="43"/>
      <c r="P776" s="44"/>
      <c r="Q776" s="43"/>
      <c r="R776" s="43"/>
      <c r="S776" s="45"/>
      <c r="T776" s="58" t="str">
        <f>IF(Tableau1[[#This Row],[DMS_SAP]]="","",HYPERLINK(Tableau1[[#This Row],[Chemin fichier source]],"X"))</f>
        <v/>
      </c>
      <c r="U776" s="58" t="str">
        <f>IF(Tableau1[[#This Row],[Date rév.]]="","",HYPERLINK(Tableau1[[#This Row],[Lien document]],"X"))</f>
        <v/>
      </c>
      <c r="V776" s="44"/>
      <c r="W776" s="46" t="str">
        <f ca="1">Chemin_accès!$B$2&amp;Tableau1[[#This Row],[Poste Responsable]]&amp;"\"&amp;Tableau1[[#This Row],[Localisation / Classement]]&amp;"\"&amp;Tableau1[[#This Row],[Poste technique]]&amp;"_"&amp;Tableau1[[#This Row],[Plan Entretien]]&amp;".pdf"</f>
        <v>\\stjn.local\trimet\Donnees_Projets\Dms Sap\Maintenance\PlanEntretien\7.MNRJ\\_.pdf</v>
      </c>
      <c r="X776" s="44"/>
      <c r="Y776" s="44"/>
      <c r="Z776" s="41" t="str">
        <f ca="1">IF(AND(Tableau1[[#This Row],[Charge]]&lt;&gt;0, Tableau1[[#This Row],[Nombre intervenants]]&lt;&gt;0,Tableau1[[#This Row],[Lien document]]&lt;&gt;0,Tableau1[[#This Row],[DMS_SAP]]&lt;&gt;0)=TRUE,"MIS A JOUR","")</f>
        <v/>
      </c>
      <c r="AA776" s="45"/>
      <c r="AB776" s="55" t="str">
        <f ca="1">IF(Tableau1[[#This Row],[Date rév.]]&lt;&gt;"", DAYS360(Tableau1[[#This Row],[Date rév.]],TODAY()),"")</f>
        <v/>
      </c>
      <c r="AC776" s="47">
        <f>IFERROR(INDEX(Chemin_accès!$B$11:$C$22,MATCH(Tableau1[[#This Row],[Type]],Chemin_accès!$C$11:$C$22,0),1),Chemin_accès!$B$11)</f>
        <v>0</v>
      </c>
      <c r="AD776" s="47" t="str">
        <f>Chemin_accès!$B$8&amp;Tableau1[[#This Row],[Localisation / Classement]]&amp;"\"&amp;Tableau1[[#This Row],[Poste technique]]&amp;"_"&amp;Tableau1[[#This Row],[Plan Entretien]]&amp;".xlsm"</f>
        <v>\_.xlsm</v>
      </c>
    </row>
    <row r="777" spans="1:30" x14ac:dyDescent="0.3">
      <c r="A777" s="41" t="str">
        <f t="shared" ca="1" si="12"/>
        <v>7.MNRJ</v>
      </c>
      <c r="B7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7" s="43"/>
      <c r="D777" s="41"/>
      <c r="E777" s="41"/>
      <c r="F777" s="44"/>
      <c r="G777" s="44"/>
      <c r="H777" s="48"/>
      <c r="I777" s="48"/>
      <c r="J777" s="48"/>
      <c r="K777" s="48"/>
      <c r="L777" s="43"/>
      <c r="M777" s="44"/>
      <c r="N777" s="43"/>
      <c r="O777" s="43"/>
      <c r="P777" s="44"/>
      <c r="Q777" s="43"/>
      <c r="R777" s="43"/>
      <c r="S777" s="45"/>
      <c r="T777" s="58" t="str">
        <f>IF(Tableau1[[#This Row],[DMS_SAP]]="","",HYPERLINK(Tableau1[[#This Row],[Chemin fichier source]],"X"))</f>
        <v/>
      </c>
      <c r="U777" s="58" t="str">
        <f>IF(Tableau1[[#This Row],[Date rév.]]="","",HYPERLINK(Tableau1[[#This Row],[Lien document]],"X"))</f>
        <v/>
      </c>
      <c r="V777" s="44"/>
      <c r="W777" s="46" t="str">
        <f ca="1">Chemin_accès!$B$2&amp;Tableau1[[#This Row],[Poste Responsable]]&amp;"\"&amp;Tableau1[[#This Row],[Localisation / Classement]]&amp;"\"&amp;Tableau1[[#This Row],[Poste technique]]&amp;"_"&amp;Tableau1[[#This Row],[Plan Entretien]]&amp;".pdf"</f>
        <v>\\stjn.local\trimet\Donnees_Projets\Dms Sap\Maintenance\PlanEntretien\7.MNRJ\\_.pdf</v>
      </c>
      <c r="X777" s="44"/>
      <c r="Y777" s="44"/>
      <c r="Z777" s="41" t="str">
        <f ca="1">IF(AND(Tableau1[[#This Row],[Charge]]&lt;&gt;0, Tableau1[[#This Row],[Nombre intervenants]]&lt;&gt;0,Tableau1[[#This Row],[Lien document]]&lt;&gt;0,Tableau1[[#This Row],[DMS_SAP]]&lt;&gt;0)=TRUE,"MIS A JOUR","")</f>
        <v/>
      </c>
      <c r="AA777" s="45"/>
      <c r="AB777" s="55" t="str">
        <f ca="1">IF(Tableau1[[#This Row],[Date rév.]]&lt;&gt;"", DAYS360(Tableau1[[#This Row],[Date rév.]],TODAY()),"")</f>
        <v/>
      </c>
      <c r="AC777" s="47">
        <f>IFERROR(INDEX(Chemin_accès!$B$11:$C$22,MATCH(Tableau1[[#This Row],[Type]],Chemin_accès!$C$11:$C$22,0),1),Chemin_accès!$B$11)</f>
        <v>0</v>
      </c>
      <c r="AD777" s="47" t="str">
        <f>Chemin_accès!$B$8&amp;Tableau1[[#This Row],[Localisation / Classement]]&amp;"\"&amp;Tableau1[[#This Row],[Poste technique]]&amp;"_"&amp;Tableau1[[#This Row],[Plan Entretien]]&amp;".xlsm"</f>
        <v>\_.xlsm</v>
      </c>
    </row>
    <row r="778" spans="1:30" x14ac:dyDescent="0.3">
      <c r="A778" s="41" t="str">
        <f t="shared" ca="1" si="12"/>
        <v>7.MNRJ</v>
      </c>
      <c r="B7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8" s="43"/>
      <c r="D778" s="41"/>
      <c r="E778" s="41"/>
      <c r="F778" s="44"/>
      <c r="G778" s="44"/>
      <c r="H778" s="48"/>
      <c r="I778" s="48"/>
      <c r="J778" s="48"/>
      <c r="K778" s="48"/>
      <c r="L778" s="43"/>
      <c r="M778" s="44"/>
      <c r="N778" s="43"/>
      <c r="O778" s="43"/>
      <c r="P778" s="44"/>
      <c r="Q778" s="43"/>
      <c r="R778" s="43"/>
      <c r="S778" s="45"/>
      <c r="T778" s="58" t="str">
        <f>IF(Tableau1[[#This Row],[DMS_SAP]]="","",HYPERLINK(Tableau1[[#This Row],[Chemin fichier source]],"X"))</f>
        <v/>
      </c>
      <c r="U778" s="58" t="str">
        <f>IF(Tableau1[[#This Row],[Date rév.]]="","",HYPERLINK(Tableau1[[#This Row],[Lien document]],"X"))</f>
        <v/>
      </c>
      <c r="V778" s="44"/>
      <c r="W778" s="46" t="str">
        <f ca="1">Chemin_accès!$B$2&amp;Tableau1[[#This Row],[Poste Responsable]]&amp;"\"&amp;Tableau1[[#This Row],[Localisation / Classement]]&amp;"\"&amp;Tableau1[[#This Row],[Poste technique]]&amp;"_"&amp;Tableau1[[#This Row],[Plan Entretien]]&amp;".pdf"</f>
        <v>\\stjn.local\trimet\Donnees_Projets\Dms Sap\Maintenance\PlanEntretien\7.MNRJ\\_.pdf</v>
      </c>
      <c r="X778" s="44"/>
      <c r="Y778" s="44"/>
      <c r="Z778" s="41" t="str">
        <f ca="1">IF(AND(Tableau1[[#This Row],[Charge]]&lt;&gt;0, Tableau1[[#This Row],[Nombre intervenants]]&lt;&gt;0,Tableau1[[#This Row],[Lien document]]&lt;&gt;0,Tableau1[[#This Row],[DMS_SAP]]&lt;&gt;0)=TRUE,"MIS A JOUR","")</f>
        <v/>
      </c>
      <c r="AA778" s="45"/>
      <c r="AB778" s="55" t="str">
        <f ca="1">IF(Tableau1[[#This Row],[Date rév.]]&lt;&gt;"", DAYS360(Tableau1[[#This Row],[Date rév.]],TODAY()),"")</f>
        <v/>
      </c>
      <c r="AC778" s="47">
        <f>IFERROR(INDEX(Chemin_accès!$B$11:$C$22,MATCH(Tableau1[[#This Row],[Type]],Chemin_accès!$C$11:$C$22,0),1),Chemin_accès!$B$11)</f>
        <v>0</v>
      </c>
      <c r="AD778" s="47" t="str">
        <f>Chemin_accès!$B$8&amp;Tableau1[[#This Row],[Localisation / Classement]]&amp;"\"&amp;Tableau1[[#This Row],[Poste technique]]&amp;"_"&amp;Tableau1[[#This Row],[Plan Entretien]]&amp;".xlsm"</f>
        <v>\_.xlsm</v>
      </c>
    </row>
    <row r="779" spans="1:30" x14ac:dyDescent="0.3">
      <c r="A779" s="41" t="str">
        <f t="shared" ca="1" si="12"/>
        <v>7.MNRJ</v>
      </c>
      <c r="B7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9" s="43"/>
      <c r="D779" s="41"/>
      <c r="E779" s="41"/>
      <c r="F779" s="44"/>
      <c r="G779" s="44"/>
      <c r="H779" s="48"/>
      <c r="I779" s="48"/>
      <c r="J779" s="48"/>
      <c r="K779" s="48"/>
      <c r="L779" s="43"/>
      <c r="M779" s="44"/>
      <c r="N779" s="43"/>
      <c r="O779" s="43"/>
      <c r="P779" s="44"/>
      <c r="Q779" s="43"/>
      <c r="R779" s="43"/>
      <c r="S779" s="45"/>
      <c r="T779" s="58" t="str">
        <f>IF(Tableau1[[#This Row],[DMS_SAP]]="","",HYPERLINK(Tableau1[[#This Row],[Chemin fichier source]],"X"))</f>
        <v/>
      </c>
      <c r="U779" s="58" t="str">
        <f>IF(Tableau1[[#This Row],[Date rév.]]="","",HYPERLINK(Tableau1[[#This Row],[Lien document]],"X"))</f>
        <v/>
      </c>
      <c r="V779" s="44"/>
      <c r="W779" s="46" t="str">
        <f ca="1">Chemin_accès!$B$2&amp;Tableau1[[#This Row],[Poste Responsable]]&amp;"\"&amp;Tableau1[[#This Row],[Localisation / Classement]]&amp;"\"&amp;Tableau1[[#This Row],[Poste technique]]&amp;"_"&amp;Tableau1[[#This Row],[Plan Entretien]]&amp;".pdf"</f>
        <v>\\stjn.local\trimet\Donnees_Projets\Dms Sap\Maintenance\PlanEntretien\7.MNRJ\\_.pdf</v>
      </c>
      <c r="X779" s="44"/>
      <c r="Y779" s="44"/>
      <c r="Z779" s="41" t="str">
        <f ca="1">IF(AND(Tableau1[[#This Row],[Charge]]&lt;&gt;0, Tableau1[[#This Row],[Nombre intervenants]]&lt;&gt;0,Tableau1[[#This Row],[Lien document]]&lt;&gt;0,Tableau1[[#This Row],[DMS_SAP]]&lt;&gt;0)=TRUE,"MIS A JOUR","")</f>
        <v/>
      </c>
      <c r="AA779" s="45"/>
      <c r="AB779" s="55" t="str">
        <f ca="1">IF(Tableau1[[#This Row],[Date rév.]]&lt;&gt;"", DAYS360(Tableau1[[#This Row],[Date rév.]],TODAY()),"")</f>
        <v/>
      </c>
      <c r="AC779" s="47">
        <f>IFERROR(INDEX(Chemin_accès!$B$11:$C$22,MATCH(Tableau1[[#This Row],[Type]],Chemin_accès!$C$11:$C$22,0),1),Chemin_accès!$B$11)</f>
        <v>0</v>
      </c>
      <c r="AD779" s="47" t="str">
        <f>Chemin_accès!$B$8&amp;Tableau1[[#This Row],[Localisation / Classement]]&amp;"\"&amp;Tableau1[[#This Row],[Poste technique]]&amp;"_"&amp;Tableau1[[#This Row],[Plan Entretien]]&amp;".xlsm"</f>
        <v>\_.xlsm</v>
      </c>
    </row>
    <row r="780" spans="1:30" x14ac:dyDescent="0.3">
      <c r="A780" s="41" t="str">
        <f t="shared" ca="1" si="12"/>
        <v>7.MNRJ</v>
      </c>
      <c r="B7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0" s="43"/>
      <c r="D780" s="41"/>
      <c r="E780" s="41"/>
      <c r="F780" s="44"/>
      <c r="G780" s="44"/>
      <c r="H780" s="48"/>
      <c r="I780" s="48"/>
      <c r="J780" s="48"/>
      <c r="K780" s="48"/>
      <c r="L780" s="43"/>
      <c r="M780" s="44"/>
      <c r="N780" s="43"/>
      <c r="O780" s="43"/>
      <c r="P780" s="44"/>
      <c r="Q780" s="43"/>
      <c r="R780" s="43"/>
      <c r="S780" s="45"/>
      <c r="T780" s="58" t="str">
        <f>IF(Tableau1[[#This Row],[DMS_SAP]]="","",HYPERLINK(Tableau1[[#This Row],[Chemin fichier source]],"X"))</f>
        <v/>
      </c>
      <c r="U780" s="58" t="str">
        <f>IF(Tableau1[[#This Row],[Date rév.]]="","",HYPERLINK(Tableau1[[#This Row],[Lien document]],"X"))</f>
        <v/>
      </c>
      <c r="V780" s="44"/>
      <c r="W780" s="46" t="str">
        <f ca="1">Chemin_accès!$B$2&amp;Tableau1[[#This Row],[Poste Responsable]]&amp;"\"&amp;Tableau1[[#This Row],[Localisation / Classement]]&amp;"\"&amp;Tableau1[[#This Row],[Poste technique]]&amp;"_"&amp;Tableau1[[#This Row],[Plan Entretien]]&amp;".pdf"</f>
        <v>\\stjn.local\trimet\Donnees_Projets\Dms Sap\Maintenance\PlanEntretien\7.MNRJ\\_.pdf</v>
      </c>
      <c r="X780" s="44"/>
      <c r="Y780" s="44"/>
      <c r="Z780" s="41" t="str">
        <f ca="1">IF(AND(Tableau1[[#This Row],[Charge]]&lt;&gt;0, Tableau1[[#This Row],[Nombre intervenants]]&lt;&gt;0,Tableau1[[#This Row],[Lien document]]&lt;&gt;0,Tableau1[[#This Row],[DMS_SAP]]&lt;&gt;0)=TRUE,"MIS A JOUR","")</f>
        <v/>
      </c>
      <c r="AA780" s="45"/>
      <c r="AB780" s="55" t="str">
        <f ca="1">IF(Tableau1[[#This Row],[Date rév.]]&lt;&gt;"", DAYS360(Tableau1[[#This Row],[Date rév.]],TODAY()),"")</f>
        <v/>
      </c>
      <c r="AC780" s="47">
        <f>IFERROR(INDEX(Chemin_accès!$B$11:$C$22,MATCH(Tableau1[[#This Row],[Type]],Chemin_accès!$C$11:$C$22,0),1),Chemin_accès!$B$11)</f>
        <v>0</v>
      </c>
      <c r="AD780" s="47" t="str">
        <f>Chemin_accès!$B$8&amp;Tableau1[[#This Row],[Localisation / Classement]]&amp;"\"&amp;Tableau1[[#This Row],[Poste technique]]&amp;"_"&amp;Tableau1[[#This Row],[Plan Entretien]]&amp;".xlsm"</f>
        <v>\_.xlsm</v>
      </c>
    </row>
    <row r="781" spans="1:30" x14ac:dyDescent="0.3">
      <c r="A781" s="41" t="str">
        <f t="shared" ca="1" si="12"/>
        <v>7.MNRJ</v>
      </c>
      <c r="B7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1" s="43"/>
      <c r="D781" s="41"/>
      <c r="E781" s="41"/>
      <c r="F781" s="44"/>
      <c r="G781" s="44"/>
      <c r="H781" s="48"/>
      <c r="I781" s="48"/>
      <c r="J781" s="48"/>
      <c r="K781" s="48"/>
      <c r="L781" s="43"/>
      <c r="M781" s="44"/>
      <c r="N781" s="43"/>
      <c r="O781" s="43"/>
      <c r="P781" s="44"/>
      <c r="Q781" s="43"/>
      <c r="R781" s="43"/>
      <c r="S781" s="45"/>
      <c r="T781" s="58" t="str">
        <f>IF(Tableau1[[#This Row],[DMS_SAP]]="","",HYPERLINK(Tableau1[[#This Row],[Chemin fichier source]],"X"))</f>
        <v/>
      </c>
      <c r="U781" s="58" t="str">
        <f>IF(Tableau1[[#This Row],[Date rév.]]="","",HYPERLINK(Tableau1[[#This Row],[Lien document]],"X"))</f>
        <v/>
      </c>
      <c r="V781" s="44"/>
      <c r="W781" s="46" t="str">
        <f ca="1">Chemin_accès!$B$2&amp;Tableau1[[#This Row],[Poste Responsable]]&amp;"\"&amp;Tableau1[[#This Row],[Localisation / Classement]]&amp;"\"&amp;Tableau1[[#This Row],[Poste technique]]&amp;"_"&amp;Tableau1[[#This Row],[Plan Entretien]]&amp;".pdf"</f>
        <v>\\stjn.local\trimet\Donnees_Projets\Dms Sap\Maintenance\PlanEntretien\7.MNRJ\\_.pdf</v>
      </c>
      <c r="X781" s="44"/>
      <c r="Y781" s="44"/>
      <c r="Z781" s="41" t="str">
        <f ca="1">IF(AND(Tableau1[[#This Row],[Charge]]&lt;&gt;0, Tableau1[[#This Row],[Nombre intervenants]]&lt;&gt;0,Tableau1[[#This Row],[Lien document]]&lt;&gt;0,Tableau1[[#This Row],[DMS_SAP]]&lt;&gt;0)=TRUE,"MIS A JOUR","")</f>
        <v/>
      </c>
      <c r="AA781" s="45"/>
      <c r="AB781" s="55" t="str">
        <f ca="1">IF(Tableau1[[#This Row],[Date rév.]]&lt;&gt;"", DAYS360(Tableau1[[#This Row],[Date rév.]],TODAY()),"")</f>
        <v/>
      </c>
      <c r="AC781" s="47">
        <f>IFERROR(INDEX(Chemin_accès!$B$11:$C$22,MATCH(Tableau1[[#This Row],[Type]],Chemin_accès!$C$11:$C$22,0),1),Chemin_accès!$B$11)</f>
        <v>0</v>
      </c>
      <c r="AD781" s="47" t="str">
        <f>Chemin_accès!$B$8&amp;Tableau1[[#This Row],[Localisation / Classement]]&amp;"\"&amp;Tableau1[[#This Row],[Poste technique]]&amp;"_"&amp;Tableau1[[#This Row],[Plan Entretien]]&amp;".xlsm"</f>
        <v>\_.xlsm</v>
      </c>
    </row>
    <row r="782" spans="1:30" x14ac:dyDescent="0.3">
      <c r="A782" s="41" t="str">
        <f t="shared" ca="1" si="12"/>
        <v>7.MNRJ</v>
      </c>
      <c r="B7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2" s="43"/>
      <c r="D782" s="41"/>
      <c r="E782" s="41"/>
      <c r="F782" s="44"/>
      <c r="G782" s="44"/>
      <c r="H782" s="48"/>
      <c r="I782" s="48"/>
      <c r="J782" s="48"/>
      <c r="K782" s="48"/>
      <c r="L782" s="43"/>
      <c r="M782" s="44"/>
      <c r="N782" s="43"/>
      <c r="O782" s="43"/>
      <c r="P782" s="44"/>
      <c r="Q782" s="43"/>
      <c r="R782" s="43"/>
      <c r="S782" s="45"/>
      <c r="T782" s="58" t="str">
        <f>IF(Tableau1[[#This Row],[DMS_SAP]]="","",HYPERLINK(Tableau1[[#This Row],[Chemin fichier source]],"X"))</f>
        <v/>
      </c>
      <c r="U782" s="58" t="str">
        <f>IF(Tableau1[[#This Row],[Date rév.]]="","",HYPERLINK(Tableau1[[#This Row],[Lien document]],"X"))</f>
        <v/>
      </c>
      <c r="V782" s="44"/>
      <c r="W782" s="46" t="str">
        <f ca="1">Chemin_accès!$B$2&amp;Tableau1[[#This Row],[Poste Responsable]]&amp;"\"&amp;Tableau1[[#This Row],[Localisation / Classement]]&amp;"\"&amp;Tableau1[[#This Row],[Poste technique]]&amp;"_"&amp;Tableau1[[#This Row],[Plan Entretien]]&amp;".pdf"</f>
        <v>\\stjn.local\trimet\Donnees_Projets\Dms Sap\Maintenance\PlanEntretien\7.MNRJ\\_.pdf</v>
      </c>
      <c r="X782" s="44"/>
      <c r="Y782" s="44"/>
      <c r="Z782" s="41" t="str">
        <f ca="1">IF(AND(Tableau1[[#This Row],[Charge]]&lt;&gt;0, Tableau1[[#This Row],[Nombre intervenants]]&lt;&gt;0,Tableau1[[#This Row],[Lien document]]&lt;&gt;0,Tableau1[[#This Row],[DMS_SAP]]&lt;&gt;0)=TRUE,"MIS A JOUR","")</f>
        <v/>
      </c>
      <c r="AA782" s="45"/>
      <c r="AB782" s="55" t="str">
        <f ca="1">IF(Tableau1[[#This Row],[Date rév.]]&lt;&gt;"", DAYS360(Tableau1[[#This Row],[Date rév.]],TODAY()),"")</f>
        <v/>
      </c>
      <c r="AC782" s="47">
        <f>IFERROR(INDEX(Chemin_accès!$B$11:$C$22,MATCH(Tableau1[[#This Row],[Type]],Chemin_accès!$C$11:$C$22,0),1),Chemin_accès!$B$11)</f>
        <v>0</v>
      </c>
      <c r="AD782" s="47" t="str">
        <f>Chemin_accès!$B$8&amp;Tableau1[[#This Row],[Localisation / Classement]]&amp;"\"&amp;Tableau1[[#This Row],[Poste technique]]&amp;"_"&amp;Tableau1[[#This Row],[Plan Entretien]]&amp;".xlsm"</f>
        <v>\_.xlsm</v>
      </c>
    </row>
    <row r="783" spans="1:30" x14ac:dyDescent="0.3">
      <c r="A783" s="41" t="str">
        <f t="shared" ca="1" si="12"/>
        <v>7.MNRJ</v>
      </c>
      <c r="B7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3" s="43"/>
      <c r="D783" s="41"/>
      <c r="E783" s="41"/>
      <c r="F783" s="44"/>
      <c r="G783" s="44"/>
      <c r="H783" s="48"/>
      <c r="I783" s="48"/>
      <c r="J783" s="48"/>
      <c r="K783" s="48"/>
      <c r="L783" s="43"/>
      <c r="M783" s="44"/>
      <c r="N783" s="43"/>
      <c r="O783" s="43"/>
      <c r="P783" s="44"/>
      <c r="Q783" s="43"/>
      <c r="R783" s="43"/>
      <c r="S783" s="45"/>
      <c r="T783" s="58" t="str">
        <f>IF(Tableau1[[#This Row],[DMS_SAP]]="","",HYPERLINK(Tableau1[[#This Row],[Chemin fichier source]],"X"))</f>
        <v/>
      </c>
      <c r="U783" s="58" t="str">
        <f>IF(Tableau1[[#This Row],[Date rév.]]="","",HYPERLINK(Tableau1[[#This Row],[Lien document]],"X"))</f>
        <v/>
      </c>
      <c r="V783" s="44"/>
      <c r="W783" s="46" t="str">
        <f ca="1">Chemin_accès!$B$2&amp;Tableau1[[#This Row],[Poste Responsable]]&amp;"\"&amp;Tableau1[[#This Row],[Localisation / Classement]]&amp;"\"&amp;Tableau1[[#This Row],[Poste technique]]&amp;"_"&amp;Tableau1[[#This Row],[Plan Entretien]]&amp;".pdf"</f>
        <v>\\stjn.local\trimet\Donnees_Projets\Dms Sap\Maintenance\PlanEntretien\7.MNRJ\\_.pdf</v>
      </c>
      <c r="X783" s="44"/>
      <c r="Y783" s="44"/>
      <c r="Z783" s="41" t="str">
        <f ca="1">IF(AND(Tableau1[[#This Row],[Charge]]&lt;&gt;0, Tableau1[[#This Row],[Nombre intervenants]]&lt;&gt;0,Tableau1[[#This Row],[Lien document]]&lt;&gt;0,Tableau1[[#This Row],[DMS_SAP]]&lt;&gt;0)=TRUE,"MIS A JOUR","")</f>
        <v/>
      </c>
      <c r="AA783" s="45"/>
      <c r="AB783" s="55" t="str">
        <f ca="1">IF(Tableau1[[#This Row],[Date rév.]]&lt;&gt;"", DAYS360(Tableau1[[#This Row],[Date rév.]],TODAY()),"")</f>
        <v/>
      </c>
      <c r="AC783" s="47">
        <f>IFERROR(INDEX(Chemin_accès!$B$11:$C$22,MATCH(Tableau1[[#This Row],[Type]],Chemin_accès!$C$11:$C$22,0),1),Chemin_accès!$B$11)</f>
        <v>0</v>
      </c>
      <c r="AD783" s="47" t="str">
        <f>Chemin_accès!$B$8&amp;Tableau1[[#This Row],[Localisation / Classement]]&amp;"\"&amp;Tableau1[[#This Row],[Poste technique]]&amp;"_"&amp;Tableau1[[#This Row],[Plan Entretien]]&amp;".xlsm"</f>
        <v>\_.xlsm</v>
      </c>
    </row>
    <row r="784" spans="1:30" x14ac:dyDescent="0.3">
      <c r="A784" s="41" t="str">
        <f t="shared" ca="1" si="12"/>
        <v>7.MNRJ</v>
      </c>
      <c r="B7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4" s="43"/>
      <c r="D784" s="41"/>
      <c r="E784" s="41"/>
      <c r="F784" s="44"/>
      <c r="G784" s="44"/>
      <c r="H784" s="48"/>
      <c r="I784" s="48"/>
      <c r="J784" s="48"/>
      <c r="K784" s="48"/>
      <c r="L784" s="43"/>
      <c r="M784" s="44"/>
      <c r="N784" s="43"/>
      <c r="O784" s="43"/>
      <c r="P784" s="44"/>
      <c r="Q784" s="43"/>
      <c r="R784" s="43"/>
      <c r="S784" s="45"/>
      <c r="T784" s="58" t="str">
        <f>IF(Tableau1[[#This Row],[DMS_SAP]]="","",HYPERLINK(Tableau1[[#This Row],[Chemin fichier source]],"X"))</f>
        <v/>
      </c>
      <c r="U784" s="58" t="str">
        <f>IF(Tableau1[[#This Row],[Date rév.]]="","",HYPERLINK(Tableau1[[#This Row],[Lien document]],"X"))</f>
        <v/>
      </c>
      <c r="V784" s="44"/>
      <c r="W784" s="46" t="str">
        <f ca="1">Chemin_accès!$B$2&amp;Tableau1[[#This Row],[Poste Responsable]]&amp;"\"&amp;Tableau1[[#This Row],[Localisation / Classement]]&amp;"\"&amp;Tableau1[[#This Row],[Poste technique]]&amp;"_"&amp;Tableau1[[#This Row],[Plan Entretien]]&amp;".pdf"</f>
        <v>\\stjn.local\trimet\Donnees_Projets\Dms Sap\Maintenance\PlanEntretien\7.MNRJ\\_.pdf</v>
      </c>
      <c r="X784" s="44"/>
      <c r="Y784" s="44"/>
      <c r="Z784" s="41" t="str">
        <f ca="1">IF(AND(Tableau1[[#This Row],[Charge]]&lt;&gt;0, Tableau1[[#This Row],[Nombre intervenants]]&lt;&gt;0,Tableau1[[#This Row],[Lien document]]&lt;&gt;0,Tableau1[[#This Row],[DMS_SAP]]&lt;&gt;0)=TRUE,"MIS A JOUR","")</f>
        <v/>
      </c>
      <c r="AA784" s="45"/>
      <c r="AB784" s="55" t="str">
        <f ca="1">IF(Tableau1[[#This Row],[Date rév.]]&lt;&gt;"", DAYS360(Tableau1[[#This Row],[Date rév.]],TODAY()),"")</f>
        <v/>
      </c>
      <c r="AC784" s="47">
        <f>IFERROR(INDEX(Chemin_accès!$B$11:$C$22,MATCH(Tableau1[[#This Row],[Type]],Chemin_accès!$C$11:$C$22,0),1),Chemin_accès!$B$11)</f>
        <v>0</v>
      </c>
      <c r="AD784" s="47" t="str">
        <f>Chemin_accès!$B$8&amp;Tableau1[[#This Row],[Localisation / Classement]]&amp;"\"&amp;Tableau1[[#This Row],[Poste technique]]&amp;"_"&amp;Tableau1[[#This Row],[Plan Entretien]]&amp;".xlsm"</f>
        <v>\_.xlsm</v>
      </c>
    </row>
    <row r="785" spans="1:30" x14ac:dyDescent="0.3">
      <c r="A785" s="41" t="str">
        <f t="shared" ca="1" si="12"/>
        <v>7.MNRJ</v>
      </c>
      <c r="B7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5" s="43"/>
      <c r="D785" s="41"/>
      <c r="E785" s="41"/>
      <c r="F785" s="44"/>
      <c r="G785" s="44"/>
      <c r="H785" s="48"/>
      <c r="I785" s="48"/>
      <c r="J785" s="48"/>
      <c r="K785" s="48"/>
      <c r="L785" s="43"/>
      <c r="M785" s="44"/>
      <c r="N785" s="43"/>
      <c r="O785" s="43"/>
      <c r="P785" s="44"/>
      <c r="Q785" s="43"/>
      <c r="R785" s="43"/>
      <c r="S785" s="45"/>
      <c r="T785" s="58" t="str">
        <f>IF(Tableau1[[#This Row],[DMS_SAP]]="","",HYPERLINK(Tableau1[[#This Row],[Chemin fichier source]],"X"))</f>
        <v/>
      </c>
      <c r="U785" s="58" t="str">
        <f>IF(Tableau1[[#This Row],[Date rév.]]="","",HYPERLINK(Tableau1[[#This Row],[Lien document]],"X"))</f>
        <v/>
      </c>
      <c r="V785" s="44"/>
      <c r="W785" s="46" t="str">
        <f ca="1">Chemin_accès!$B$2&amp;Tableau1[[#This Row],[Poste Responsable]]&amp;"\"&amp;Tableau1[[#This Row],[Localisation / Classement]]&amp;"\"&amp;Tableau1[[#This Row],[Poste technique]]&amp;"_"&amp;Tableau1[[#This Row],[Plan Entretien]]&amp;".pdf"</f>
        <v>\\stjn.local\trimet\Donnees_Projets\Dms Sap\Maintenance\PlanEntretien\7.MNRJ\\_.pdf</v>
      </c>
      <c r="X785" s="44"/>
      <c r="Y785" s="44"/>
      <c r="Z785" s="41" t="str">
        <f ca="1">IF(AND(Tableau1[[#This Row],[Charge]]&lt;&gt;0, Tableau1[[#This Row],[Nombre intervenants]]&lt;&gt;0,Tableau1[[#This Row],[Lien document]]&lt;&gt;0,Tableau1[[#This Row],[DMS_SAP]]&lt;&gt;0)=TRUE,"MIS A JOUR","")</f>
        <v/>
      </c>
      <c r="AA785" s="45"/>
      <c r="AB785" s="55" t="str">
        <f ca="1">IF(Tableau1[[#This Row],[Date rév.]]&lt;&gt;"", DAYS360(Tableau1[[#This Row],[Date rév.]],TODAY()),"")</f>
        <v/>
      </c>
      <c r="AC785" s="47">
        <f>IFERROR(INDEX(Chemin_accès!$B$11:$C$22,MATCH(Tableau1[[#This Row],[Type]],Chemin_accès!$C$11:$C$22,0),1),Chemin_accès!$B$11)</f>
        <v>0</v>
      </c>
      <c r="AD785" s="47" t="str">
        <f>Chemin_accès!$B$8&amp;Tableau1[[#This Row],[Localisation / Classement]]&amp;"\"&amp;Tableau1[[#This Row],[Poste technique]]&amp;"_"&amp;Tableau1[[#This Row],[Plan Entretien]]&amp;".xlsm"</f>
        <v>\_.xlsm</v>
      </c>
    </row>
    <row r="786" spans="1:30" x14ac:dyDescent="0.3">
      <c r="A786" s="41" t="str">
        <f t="shared" ca="1" si="12"/>
        <v>7.MNRJ</v>
      </c>
      <c r="B7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6" s="43"/>
      <c r="D786" s="41"/>
      <c r="E786" s="41"/>
      <c r="F786" s="44"/>
      <c r="G786" s="44"/>
      <c r="H786" s="48"/>
      <c r="I786" s="48"/>
      <c r="J786" s="48"/>
      <c r="K786" s="48"/>
      <c r="L786" s="43"/>
      <c r="M786" s="44"/>
      <c r="N786" s="43"/>
      <c r="O786" s="43"/>
      <c r="P786" s="44"/>
      <c r="Q786" s="43"/>
      <c r="R786" s="43"/>
      <c r="S786" s="45"/>
      <c r="T786" s="58" t="str">
        <f>IF(Tableau1[[#This Row],[DMS_SAP]]="","",HYPERLINK(Tableau1[[#This Row],[Chemin fichier source]],"X"))</f>
        <v/>
      </c>
      <c r="U786" s="58" t="str">
        <f>IF(Tableau1[[#This Row],[Date rév.]]="","",HYPERLINK(Tableau1[[#This Row],[Lien document]],"X"))</f>
        <v/>
      </c>
      <c r="V786" s="44"/>
      <c r="W786" s="46" t="str">
        <f ca="1">Chemin_accès!$B$2&amp;Tableau1[[#This Row],[Poste Responsable]]&amp;"\"&amp;Tableau1[[#This Row],[Localisation / Classement]]&amp;"\"&amp;Tableau1[[#This Row],[Poste technique]]&amp;"_"&amp;Tableau1[[#This Row],[Plan Entretien]]&amp;".pdf"</f>
        <v>\\stjn.local\trimet\Donnees_Projets\Dms Sap\Maintenance\PlanEntretien\7.MNRJ\\_.pdf</v>
      </c>
      <c r="X786" s="44"/>
      <c r="Y786" s="44"/>
      <c r="Z786" s="41" t="str">
        <f ca="1">IF(AND(Tableau1[[#This Row],[Charge]]&lt;&gt;0, Tableau1[[#This Row],[Nombre intervenants]]&lt;&gt;0,Tableau1[[#This Row],[Lien document]]&lt;&gt;0,Tableau1[[#This Row],[DMS_SAP]]&lt;&gt;0)=TRUE,"MIS A JOUR","")</f>
        <v/>
      </c>
      <c r="AA786" s="45"/>
      <c r="AB786" s="55" t="str">
        <f ca="1">IF(Tableau1[[#This Row],[Date rév.]]&lt;&gt;"", DAYS360(Tableau1[[#This Row],[Date rév.]],TODAY()),"")</f>
        <v/>
      </c>
      <c r="AC786" s="47">
        <f>IFERROR(INDEX(Chemin_accès!$B$11:$C$22,MATCH(Tableau1[[#This Row],[Type]],Chemin_accès!$C$11:$C$22,0),1),Chemin_accès!$B$11)</f>
        <v>0</v>
      </c>
      <c r="AD786" s="47" t="str">
        <f>Chemin_accès!$B$8&amp;Tableau1[[#This Row],[Localisation / Classement]]&amp;"\"&amp;Tableau1[[#This Row],[Poste technique]]&amp;"_"&amp;Tableau1[[#This Row],[Plan Entretien]]&amp;".xlsm"</f>
        <v>\_.xlsm</v>
      </c>
    </row>
    <row r="787" spans="1:30" x14ac:dyDescent="0.3">
      <c r="A787" s="41" t="str">
        <f t="shared" ca="1" si="12"/>
        <v>7.MNRJ</v>
      </c>
      <c r="B7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7" s="43"/>
      <c r="D787" s="41"/>
      <c r="E787" s="41"/>
      <c r="F787" s="44"/>
      <c r="G787" s="44"/>
      <c r="H787" s="48"/>
      <c r="I787" s="48"/>
      <c r="J787" s="48"/>
      <c r="K787" s="48"/>
      <c r="L787" s="43"/>
      <c r="M787" s="44"/>
      <c r="N787" s="43"/>
      <c r="O787" s="43"/>
      <c r="P787" s="44"/>
      <c r="Q787" s="43"/>
      <c r="R787" s="43"/>
      <c r="S787" s="45"/>
      <c r="T787" s="58" t="str">
        <f>IF(Tableau1[[#This Row],[DMS_SAP]]="","",HYPERLINK(Tableau1[[#This Row],[Chemin fichier source]],"X"))</f>
        <v/>
      </c>
      <c r="U787" s="58" t="str">
        <f>IF(Tableau1[[#This Row],[Date rév.]]="","",HYPERLINK(Tableau1[[#This Row],[Lien document]],"X"))</f>
        <v/>
      </c>
      <c r="V787" s="44"/>
      <c r="W787" s="46" t="str">
        <f ca="1">Chemin_accès!$B$2&amp;Tableau1[[#This Row],[Poste Responsable]]&amp;"\"&amp;Tableau1[[#This Row],[Localisation / Classement]]&amp;"\"&amp;Tableau1[[#This Row],[Poste technique]]&amp;"_"&amp;Tableau1[[#This Row],[Plan Entretien]]&amp;".pdf"</f>
        <v>\\stjn.local\trimet\Donnees_Projets\Dms Sap\Maintenance\PlanEntretien\7.MNRJ\\_.pdf</v>
      </c>
      <c r="X787" s="44"/>
      <c r="Y787" s="44"/>
      <c r="Z787" s="41" t="str">
        <f ca="1">IF(AND(Tableau1[[#This Row],[Charge]]&lt;&gt;0, Tableau1[[#This Row],[Nombre intervenants]]&lt;&gt;0,Tableau1[[#This Row],[Lien document]]&lt;&gt;0,Tableau1[[#This Row],[DMS_SAP]]&lt;&gt;0)=TRUE,"MIS A JOUR","")</f>
        <v/>
      </c>
      <c r="AA787" s="45"/>
      <c r="AB787" s="55" t="str">
        <f ca="1">IF(Tableau1[[#This Row],[Date rév.]]&lt;&gt;"", DAYS360(Tableau1[[#This Row],[Date rév.]],TODAY()),"")</f>
        <v/>
      </c>
      <c r="AC787" s="47">
        <f>IFERROR(INDEX(Chemin_accès!$B$11:$C$22,MATCH(Tableau1[[#This Row],[Type]],Chemin_accès!$C$11:$C$22,0),1),Chemin_accès!$B$11)</f>
        <v>0</v>
      </c>
      <c r="AD787" s="47" t="str">
        <f>Chemin_accès!$B$8&amp;Tableau1[[#This Row],[Localisation / Classement]]&amp;"\"&amp;Tableau1[[#This Row],[Poste technique]]&amp;"_"&amp;Tableau1[[#This Row],[Plan Entretien]]&amp;".xlsm"</f>
        <v>\_.xlsm</v>
      </c>
    </row>
    <row r="788" spans="1:30" x14ac:dyDescent="0.3">
      <c r="A788" s="41" t="str">
        <f t="shared" ca="1" si="12"/>
        <v>7.MNRJ</v>
      </c>
      <c r="B7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8" s="43"/>
      <c r="D788" s="41"/>
      <c r="E788" s="41"/>
      <c r="F788" s="44"/>
      <c r="G788" s="44"/>
      <c r="H788" s="48"/>
      <c r="I788" s="48"/>
      <c r="J788" s="48"/>
      <c r="K788" s="48"/>
      <c r="L788" s="43"/>
      <c r="M788" s="44"/>
      <c r="N788" s="43"/>
      <c r="O788" s="43"/>
      <c r="P788" s="44"/>
      <c r="Q788" s="43"/>
      <c r="R788" s="43"/>
      <c r="S788" s="45"/>
      <c r="T788" s="58" t="str">
        <f>IF(Tableau1[[#This Row],[DMS_SAP]]="","",HYPERLINK(Tableau1[[#This Row],[Chemin fichier source]],"X"))</f>
        <v/>
      </c>
      <c r="U788" s="58" t="str">
        <f>IF(Tableau1[[#This Row],[Date rév.]]="","",HYPERLINK(Tableau1[[#This Row],[Lien document]],"X"))</f>
        <v/>
      </c>
      <c r="V788" s="44"/>
      <c r="W788" s="46" t="str">
        <f ca="1">Chemin_accès!$B$2&amp;Tableau1[[#This Row],[Poste Responsable]]&amp;"\"&amp;Tableau1[[#This Row],[Localisation / Classement]]&amp;"\"&amp;Tableau1[[#This Row],[Poste technique]]&amp;"_"&amp;Tableau1[[#This Row],[Plan Entretien]]&amp;".pdf"</f>
        <v>\\stjn.local\trimet\Donnees_Projets\Dms Sap\Maintenance\PlanEntretien\7.MNRJ\\_.pdf</v>
      </c>
      <c r="X788" s="44"/>
      <c r="Y788" s="44"/>
      <c r="Z788" s="41" t="str">
        <f ca="1">IF(AND(Tableau1[[#This Row],[Charge]]&lt;&gt;0, Tableau1[[#This Row],[Nombre intervenants]]&lt;&gt;0,Tableau1[[#This Row],[Lien document]]&lt;&gt;0,Tableau1[[#This Row],[DMS_SAP]]&lt;&gt;0)=TRUE,"MIS A JOUR","")</f>
        <v/>
      </c>
      <c r="AA788" s="45"/>
      <c r="AB788" s="55" t="str">
        <f ca="1">IF(Tableau1[[#This Row],[Date rév.]]&lt;&gt;"", DAYS360(Tableau1[[#This Row],[Date rév.]],TODAY()),"")</f>
        <v/>
      </c>
      <c r="AC788" s="47">
        <f>IFERROR(INDEX(Chemin_accès!$B$11:$C$22,MATCH(Tableau1[[#This Row],[Type]],Chemin_accès!$C$11:$C$22,0),1),Chemin_accès!$B$11)</f>
        <v>0</v>
      </c>
      <c r="AD788" s="47" t="str">
        <f>Chemin_accès!$B$8&amp;Tableau1[[#This Row],[Localisation / Classement]]&amp;"\"&amp;Tableau1[[#This Row],[Poste technique]]&amp;"_"&amp;Tableau1[[#This Row],[Plan Entretien]]&amp;".xlsm"</f>
        <v>\_.xlsm</v>
      </c>
    </row>
    <row r="789" spans="1:30" x14ac:dyDescent="0.3">
      <c r="A789" s="41" t="str">
        <f t="shared" ca="1" si="12"/>
        <v>7.MNRJ</v>
      </c>
      <c r="B7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9" s="43"/>
      <c r="D789" s="41"/>
      <c r="E789" s="41"/>
      <c r="F789" s="44"/>
      <c r="G789" s="44"/>
      <c r="H789" s="48"/>
      <c r="I789" s="48"/>
      <c r="J789" s="48"/>
      <c r="K789" s="48"/>
      <c r="L789" s="43"/>
      <c r="M789" s="44"/>
      <c r="N789" s="43"/>
      <c r="O789" s="43"/>
      <c r="P789" s="44"/>
      <c r="Q789" s="43"/>
      <c r="R789" s="43"/>
      <c r="S789" s="45"/>
      <c r="T789" s="58" t="str">
        <f>IF(Tableau1[[#This Row],[DMS_SAP]]="","",HYPERLINK(Tableau1[[#This Row],[Chemin fichier source]],"X"))</f>
        <v/>
      </c>
      <c r="U789" s="58" t="str">
        <f>IF(Tableau1[[#This Row],[Date rév.]]="","",HYPERLINK(Tableau1[[#This Row],[Lien document]],"X"))</f>
        <v/>
      </c>
      <c r="V789" s="44"/>
      <c r="W789" s="46" t="str">
        <f ca="1">Chemin_accès!$B$2&amp;Tableau1[[#This Row],[Poste Responsable]]&amp;"\"&amp;Tableau1[[#This Row],[Localisation / Classement]]&amp;"\"&amp;Tableau1[[#This Row],[Poste technique]]&amp;"_"&amp;Tableau1[[#This Row],[Plan Entretien]]&amp;".pdf"</f>
        <v>\\stjn.local\trimet\Donnees_Projets\Dms Sap\Maintenance\PlanEntretien\7.MNRJ\\_.pdf</v>
      </c>
      <c r="X789" s="44"/>
      <c r="Y789" s="44"/>
      <c r="Z789" s="41" t="str">
        <f ca="1">IF(AND(Tableau1[[#This Row],[Charge]]&lt;&gt;0, Tableau1[[#This Row],[Nombre intervenants]]&lt;&gt;0,Tableau1[[#This Row],[Lien document]]&lt;&gt;0,Tableau1[[#This Row],[DMS_SAP]]&lt;&gt;0)=TRUE,"MIS A JOUR","")</f>
        <v/>
      </c>
      <c r="AA789" s="45"/>
      <c r="AB789" s="55" t="str">
        <f ca="1">IF(Tableau1[[#This Row],[Date rév.]]&lt;&gt;"", DAYS360(Tableau1[[#This Row],[Date rév.]],TODAY()),"")</f>
        <v/>
      </c>
      <c r="AC789" s="47">
        <f>IFERROR(INDEX(Chemin_accès!$B$11:$C$22,MATCH(Tableau1[[#This Row],[Type]],Chemin_accès!$C$11:$C$22,0),1),Chemin_accès!$B$11)</f>
        <v>0</v>
      </c>
      <c r="AD789" s="47" t="str">
        <f>Chemin_accès!$B$8&amp;Tableau1[[#This Row],[Localisation / Classement]]&amp;"\"&amp;Tableau1[[#This Row],[Poste technique]]&amp;"_"&amp;Tableau1[[#This Row],[Plan Entretien]]&amp;".xlsm"</f>
        <v>\_.xlsm</v>
      </c>
    </row>
    <row r="790" spans="1:30" x14ac:dyDescent="0.3">
      <c r="A790" s="41" t="str">
        <f t="shared" ca="1" si="12"/>
        <v>7.MNRJ</v>
      </c>
      <c r="B7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0" s="43"/>
      <c r="D790" s="41"/>
      <c r="E790" s="41"/>
      <c r="F790" s="44"/>
      <c r="G790" s="44"/>
      <c r="H790" s="48"/>
      <c r="I790" s="48"/>
      <c r="J790" s="48"/>
      <c r="K790" s="48"/>
      <c r="L790" s="43"/>
      <c r="M790" s="44"/>
      <c r="N790" s="43"/>
      <c r="O790" s="43"/>
      <c r="P790" s="44"/>
      <c r="Q790" s="43"/>
      <c r="R790" s="43"/>
      <c r="S790" s="45"/>
      <c r="T790" s="58" t="str">
        <f>IF(Tableau1[[#This Row],[DMS_SAP]]="","",HYPERLINK(Tableau1[[#This Row],[Chemin fichier source]],"X"))</f>
        <v/>
      </c>
      <c r="U790" s="58" t="str">
        <f>IF(Tableau1[[#This Row],[Date rév.]]="","",HYPERLINK(Tableau1[[#This Row],[Lien document]],"X"))</f>
        <v/>
      </c>
      <c r="V790" s="44"/>
      <c r="W790" s="46" t="str">
        <f ca="1">Chemin_accès!$B$2&amp;Tableau1[[#This Row],[Poste Responsable]]&amp;"\"&amp;Tableau1[[#This Row],[Localisation / Classement]]&amp;"\"&amp;Tableau1[[#This Row],[Poste technique]]&amp;"_"&amp;Tableau1[[#This Row],[Plan Entretien]]&amp;".pdf"</f>
        <v>\\stjn.local\trimet\Donnees_Projets\Dms Sap\Maintenance\PlanEntretien\7.MNRJ\\_.pdf</v>
      </c>
      <c r="X790" s="44"/>
      <c r="Y790" s="44"/>
      <c r="Z790" s="41" t="str">
        <f ca="1">IF(AND(Tableau1[[#This Row],[Charge]]&lt;&gt;0, Tableau1[[#This Row],[Nombre intervenants]]&lt;&gt;0,Tableau1[[#This Row],[Lien document]]&lt;&gt;0,Tableau1[[#This Row],[DMS_SAP]]&lt;&gt;0)=TRUE,"MIS A JOUR","")</f>
        <v/>
      </c>
      <c r="AA790" s="45"/>
      <c r="AB790" s="55" t="str">
        <f ca="1">IF(Tableau1[[#This Row],[Date rév.]]&lt;&gt;"", DAYS360(Tableau1[[#This Row],[Date rév.]],TODAY()),"")</f>
        <v/>
      </c>
      <c r="AC790" s="47">
        <f>IFERROR(INDEX(Chemin_accès!$B$11:$C$22,MATCH(Tableau1[[#This Row],[Type]],Chemin_accès!$C$11:$C$22,0),1),Chemin_accès!$B$11)</f>
        <v>0</v>
      </c>
      <c r="AD790" s="47" t="str">
        <f>Chemin_accès!$B$8&amp;Tableau1[[#This Row],[Localisation / Classement]]&amp;"\"&amp;Tableau1[[#This Row],[Poste technique]]&amp;"_"&amp;Tableau1[[#This Row],[Plan Entretien]]&amp;".xlsm"</f>
        <v>\_.xlsm</v>
      </c>
    </row>
    <row r="791" spans="1:30" x14ac:dyDescent="0.3">
      <c r="A791" s="41" t="str">
        <f t="shared" ca="1" si="12"/>
        <v>7.MNRJ</v>
      </c>
      <c r="B7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1" s="43"/>
      <c r="D791" s="41"/>
      <c r="E791" s="41"/>
      <c r="F791" s="44"/>
      <c r="G791" s="44"/>
      <c r="H791" s="48"/>
      <c r="I791" s="48"/>
      <c r="J791" s="48"/>
      <c r="K791" s="48"/>
      <c r="L791" s="43"/>
      <c r="M791" s="44"/>
      <c r="N791" s="43"/>
      <c r="O791" s="43"/>
      <c r="P791" s="44"/>
      <c r="Q791" s="43"/>
      <c r="R791" s="43"/>
      <c r="S791" s="45"/>
      <c r="T791" s="58" t="str">
        <f>IF(Tableau1[[#This Row],[DMS_SAP]]="","",HYPERLINK(Tableau1[[#This Row],[Chemin fichier source]],"X"))</f>
        <v/>
      </c>
      <c r="U791" s="58" t="str">
        <f>IF(Tableau1[[#This Row],[Date rév.]]="","",HYPERLINK(Tableau1[[#This Row],[Lien document]],"X"))</f>
        <v/>
      </c>
      <c r="V791" s="44"/>
      <c r="W791" s="46" t="str">
        <f ca="1">Chemin_accès!$B$2&amp;Tableau1[[#This Row],[Poste Responsable]]&amp;"\"&amp;Tableau1[[#This Row],[Localisation / Classement]]&amp;"\"&amp;Tableau1[[#This Row],[Poste technique]]&amp;"_"&amp;Tableau1[[#This Row],[Plan Entretien]]&amp;".pdf"</f>
        <v>\\stjn.local\trimet\Donnees_Projets\Dms Sap\Maintenance\PlanEntretien\7.MNRJ\\_.pdf</v>
      </c>
      <c r="X791" s="44"/>
      <c r="Y791" s="44"/>
      <c r="Z791" s="41" t="str">
        <f ca="1">IF(AND(Tableau1[[#This Row],[Charge]]&lt;&gt;0, Tableau1[[#This Row],[Nombre intervenants]]&lt;&gt;0,Tableau1[[#This Row],[Lien document]]&lt;&gt;0,Tableau1[[#This Row],[DMS_SAP]]&lt;&gt;0)=TRUE,"MIS A JOUR","")</f>
        <v/>
      </c>
      <c r="AA791" s="45"/>
      <c r="AB791" s="55" t="str">
        <f ca="1">IF(Tableau1[[#This Row],[Date rév.]]&lt;&gt;"", DAYS360(Tableau1[[#This Row],[Date rév.]],TODAY()),"")</f>
        <v/>
      </c>
      <c r="AC791" s="47">
        <f>IFERROR(INDEX(Chemin_accès!$B$11:$C$22,MATCH(Tableau1[[#This Row],[Type]],Chemin_accès!$C$11:$C$22,0),1),Chemin_accès!$B$11)</f>
        <v>0</v>
      </c>
      <c r="AD791" s="47" t="str">
        <f>Chemin_accès!$B$8&amp;Tableau1[[#This Row],[Localisation / Classement]]&amp;"\"&amp;Tableau1[[#This Row],[Poste technique]]&amp;"_"&amp;Tableau1[[#This Row],[Plan Entretien]]&amp;".xlsm"</f>
        <v>\_.xlsm</v>
      </c>
    </row>
    <row r="792" spans="1:30" x14ac:dyDescent="0.3">
      <c r="A792" s="41" t="str">
        <f t="shared" ca="1" si="12"/>
        <v>7.MNRJ</v>
      </c>
      <c r="B7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2" s="43"/>
      <c r="D792" s="41"/>
      <c r="E792" s="41"/>
      <c r="F792" s="44"/>
      <c r="G792" s="44"/>
      <c r="H792" s="48"/>
      <c r="I792" s="48"/>
      <c r="J792" s="48"/>
      <c r="K792" s="48"/>
      <c r="L792" s="43"/>
      <c r="M792" s="44"/>
      <c r="N792" s="43"/>
      <c r="O792" s="43"/>
      <c r="P792" s="44"/>
      <c r="Q792" s="43"/>
      <c r="R792" s="43"/>
      <c r="S792" s="45"/>
      <c r="T792" s="58" t="str">
        <f>IF(Tableau1[[#This Row],[DMS_SAP]]="","",HYPERLINK(Tableau1[[#This Row],[Chemin fichier source]],"X"))</f>
        <v/>
      </c>
      <c r="U792" s="58" t="str">
        <f>IF(Tableau1[[#This Row],[Date rév.]]="","",HYPERLINK(Tableau1[[#This Row],[Lien document]],"X"))</f>
        <v/>
      </c>
      <c r="V792" s="44"/>
      <c r="W792" s="46" t="str">
        <f ca="1">Chemin_accès!$B$2&amp;Tableau1[[#This Row],[Poste Responsable]]&amp;"\"&amp;Tableau1[[#This Row],[Localisation / Classement]]&amp;"\"&amp;Tableau1[[#This Row],[Poste technique]]&amp;"_"&amp;Tableau1[[#This Row],[Plan Entretien]]&amp;".pdf"</f>
        <v>\\stjn.local\trimet\Donnees_Projets\Dms Sap\Maintenance\PlanEntretien\7.MNRJ\\_.pdf</v>
      </c>
      <c r="X792" s="44"/>
      <c r="Y792" s="44"/>
      <c r="Z792" s="41" t="str">
        <f ca="1">IF(AND(Tableau1[[#This Row],[Charge]]&lt;&gt;0, Tableau1[[#This Row],[Nombre intervenants]]&lt;&gt;0,Tableau1[[#This Row],[Lien document]]&lt;&gt;0,Tableau1[[#This Row],[DMS_SAP]]&lt;&gt;0)=TRUE,"MIS A JOUR","")</f>
        <v/>
      </c>
      <c r="AA792" s="45"/>
      <c r="AB792" s="55" t="str">
        <f ca="1">IF(Tableau1[[#This Row],[Date rév.]]&lt;&gt;"", DAYS360(Tableau1[[#This Row],[Date rév.]],TODAY()),"")</f>
        <v/>
      </c>
      <c r="AC792" s="47">
        <f>IFERROR(INDEX(Chemin_accès!$B$11:$C$22,MATCH(Tableau1[[#This Row],[Type]],Chemin_accès!$C$11:$C$22,0),1),Chemin_accès!$B$11)</f>
        <v>0</v>
      </c>
      <c r="AD792" s="47" t="str">
        <f>Chemin_accès!$B$8&amp;Tableau1[[#This Row],[Localisation / Classement]]&amp;"\"&amp;Tableau1[[#This Row],[Poste technique]]&amp;"_"&amp;Tableau1[[#This Row],[Plan Entretien]]&amp;".xlsm"</f>
        <v>\_.xlsm</v>
      </c>
    </row>
    <row r="793" spans="1:30" x14ac:dyDescent="0.3">
      <c r="A793" s="41" t="str">
        <f t="shared" ca="1" si="12"/>
        <v>7.MNRJ</v>
      </c>
      <c r="B7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3" s="43"/>
      <c r="D793" s="41"/>
      <c r="E793" s="41"/>
      <c r="F793" s="44"/>
      <c r="G793" s="44"/>
      <c r="H793" s="48"/>
      <c r="I793" s="48"/>
      <c r="J793" s="48"/>
      <c r="K793" s="48"/>
      <c r="L793" s="43"/>
      <c r="M793" s="44"/>
      <c r="N793" s="43"/>
      <c r="O793" s="43"/>
      <c r="P793" s="44"/>
      <c r="Q793" s="43"/>
      <c r="R793" s="43"/>
      <c r="S793" s="45"/>
      <c r="T793" s="58" t="str">
        <f>IF(Tableau1[[#This Row],[DMS_SAP]]="","",HYPERLINK(Tableau1[[#This Row],[Chemin fichier source]],"X"))</f>
        <v/>
      </c>
      <c r="U793" s="58" t="str">
        <f>IF(Tableau1[[#This Row],[Date rév.]]="","",HYPERLINK(Tableau1[[#This Row],[Lien document]],"X"))</f>
        <v/>
      </c>
      <c r="V793" s="44"/>
      <c r="W793" s="46" t="str">
        <f ca="1">Chemin_accès!$B$2&amp;Tableau1[[#This Row],[Poste Responsable]]&amp;"\"&amp;Tableau1[[#This Row],[Localisation / Classement]]&amp;"\"&amp;Tableau1[[#This Row],[Poste technique]]&amp;"_"&amp;Tableau1[[#This Row],[Plan Entretien]]&amp;".pdf"</f>
        <v>\\stjn.local\trimet\Donnees_Projets\Dms Sap\Maintenance\PlanEntretien\7.MNRJ\\_.pdf</v>
      </c>
      <c r="X793" s="44"/>
      <c r="Y793" s="44"/>
      <c r="Z793" s="41" t="str">
        <f ca="1">IF(AND(Tableau1[[#This Row],[Charge]]&lt;&gt;0, Tableau1[[#This Row],[Nombre intervenants]]&lt;&gt;0,Tableau1[[#This Row],[Lien document]]&lt;&gt;0,Tableau1[[#This Row],[DMS_SAP]]&lt;&gt;0)=TRUE,"MIS A JOUR","")</f>
        <v/>
      </c>
      <c r="AA793" s="45"/>
      <c r="AB793" s="55" t="str">
        <f ca="1">IF(Tableau1[[#This Row],[Date rév.]]&lt;&gt;"", DAYS360(Tableau1[[#This Row],[Date rév.]],TODAY()),"")</f>
        <v/>
      </c>
      <c r="AC793" s="47">
        <f>IFERROR(INDEX(Chemin_accès!$B$11:$C$22,MATCH(Tableau1[[#This Row],[Type]],Chemin_accès!$C$11:$C$22,0),1),Chemin_accès!$B$11)</f>
        <v>0</v>
      </c>
      <c r="AD793" s="47" t="str">
        <f>Chemin_accès!$B$8&amp;Tableau1[[#This Row],[Localisation / Classement]]&amp;"\"&amp;Tableau1[[#This Row],[Poste technique]]&amp;"_"&amp;Tableau1[[#This Row],[Plan Entretien]]&amp;".xlsm"</f>
        <v>\_.xlsm</v>
      </c>
    </row>
    <row r="794" spans="1:30" x14ac:dyDescent="0.3">
      <c r="A794" s="41" t="str">
        <f t="shared" ca="1" si="12"/>
        <v>7.MNRJ</v>
      </c>
      <c r="B7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4" s="43"/>
      <c r="D794" s="41"/>
      <c r="E794" s="41"/>
      <c r="F794" s="44"/>
      <c r="G794" s="44"/>
      <c r="H794" s="48"/>
      <c r="I794" s="48"/>
      <c r="J794" s="48"/>
      <c r="K794" s="48"/>
      <c r="L794" s="43"/>
      <c r="M794" s="44"/>
      <c r="N794" s="43"/>
      <c r="O794" s="43"/>
      <c r="P794" s="44"/>
      <c r="Q794" s="43"/>
      <c r="R794" s="43"/>
      <c r="S794" s="45"/>
      <c r="T794" s="58" t="str">
        <f>IF(Tableau1[[#This Row],[DMS_SAP]]="","",HYPERLINK(Tableau1[[#This Row],[Chemin fichier source]],"X"))</f>
        <v/>
      </c>
      <c r="U794" s="58" t="str">
        <f>IF(Tableau1[[#This Row],[Date rév.]]="","",HYPERLINK(Tableau1[[#This Row],[Lien document]],"X"))</f>
        <v/>
      </c>
      <c r="V794" s="44"/>
      <c r="W794" s="46" t="str">
        <f ca="1">Chemin_accès!$B$2&amp;Tableau1[[#This Row],[Poste Responsable]]&amp;"\"&amp;Tableau1[[#This Row],[Localisation / Classement]]&amp;"\"&amp;Tableau1[[#This Row],[Poste technique]]&amp;"_"&amp;Tableau1[[#This Row],[Plan Entretien]]&amp;".pdf"</f>
        <v>\\stjn.local\trimet\Donnees_Projets\Dms Sap\Maintenance\PlanEntretien\7.MNRJ\\_.pdf</v>
      </c>
      <c r="X794" s="44"/>
      <c r="Y794" s="44"/>
      <c r="Z794" s="41" t="str">
        <f ca="1">IF(AND(Tableau1[[#This Row],[Charge]]&lt;&gt;0, Tableau1[[#This Row],[Nombre intervenants]]&lt;&gt;0,Tableau1[[#This Row],[Lien document]]&lt;&gt;0,Tableau1[[#This Row],[DMS_SAP]]&lt;&gt;0)=TRUE,"MIS A JOUR","")</f>
        <v/>
      </c>
      <c r="AA794" s="45"/>
      <c r="AB794" s="55" t="str">
        <f ca="1">IF(Tableau1[[#This Row],[Date rév.]]&lt;&gt;"", DAYS360(Tableau1[[#This Row],[Date rév.]],TODAY()),"")</f>
        <v/>
      </c>
      <c r="AC794" s="47">
        <f>IFERROR(INDEX(Chemin_accès!$B$11:$C$22,MATCH(Tableau1[[#This Row],[Type]],Chemin_accès!$C$11:$C$22,0),1),Chemin_accès!$B$11)</f>
        <v>0</v>
      </c>
      <c r="AD794" s="47" t="str">
        <f>Chemin_accès!$B$8&amp;Tableau1[[#This Row],[Localisation / Classement]]&amp;"\"&amp;Tableau1[[#This Row],[Poste technique]]&amp;"_"&amp;Tableau1[[#This Row],[Plan Entretien]]&amp;".xlsm"</f>
        <v>\_.xlsm</v>
      </c>
    </row>
    <row r="795" spans="1:30" x14ac:dyDescent="0.3">
      <c r="A795" s="41" t="str">
        <f t="shared" ca="1" si="12"/>
        <v>7.MNRJ</v>
      </c>
      <c r="B7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5" s="43"/>
      <c r="D795" s="41"/>
      <c r="E795" s="41"/>
      <c r="F795" s="44"/>
      <c r="G795" s="44"/>
      <c r="H795" s="48"/>
      <c r="I795" s="48"/>
      <c r="J795" s="48"/>
      <c r="K795" s="48"/>
      <c r="L795" s="43"/>
      <c r="M795" s="44"/>
      <c r="N795" s="43"/>
      <c r="O795" s="43"/>
      <c r="P795" s="44"/>
      <c r="Q795" s="43"/>
      <c r="R795" s="43"/>
      <c r="S795" s="45"/>
      <c r="T795" s="58" t="str">
        <f>IF(Tableau1[[#This Row],[DMS_SAP]]="","",HYPERLINK(Tableau1[[#This Row],[Chemin fichier source]],"X"))</f>
        <v/>
      </c>
      <c r="U795" s="58" t="str">
        <f>IF(Tableau1[[#This Row],[Date rév.]]="","",HYPERLINK(Tableau1[[#This Row],[Lien document]],"X"))</f>
        <v/>
      </c>
      <c r="V795" s="44"/>
      <c r="W795" s="46" t="str">
        <f ca="1">Chemin_accès!$B$2&amp;Tableau1[[#This Row],[Poste Responsable]]&amp;"\"&amp;Tableau1[[#This Row],[Localisation / Classement]]&amp;"\"&amp;Tableau1[[#This Row],[Poste technique]]&amp;"_"&amp;Tableau1[[#This Row],[Plan Entretien]]&amp;".pdf"</f>
        <v>\\stjn.local\trimet\Donnees_Projets\Dms Sap\Maintenance\PlanEntretien\7.MNRJ\\_.pdf</v>
      </c>
      <c r="X795" s="44"/>
      <c r="Y795" s="44"/>
      <c r="Z795" s="41" t="str">
        <f ca="1">IF(AND(Tableau1[[#This Row],[Charge]]&lt;&gt;0, Tableau1[[#This Row],[Nombre intervenants]]&lt;&gt;0,Tableau1[[#This Row],[Lien document]]&lt;&gt;0,Tableau1[[#This Row],[DMS_SAP]]&lt;&gt;0)=TRUE,"MIS A JOUR","")</f>
        <v/>
      </c>
      <c r="AA795" s="45"/>
      <c r="AB795" s="55" t="str">
        <f ca="1">IF(Tableau1[[#This Row],[Date rév.]]&lt;&gt;"", DAYS360(Tableau1[[#This Row],[Date rév.]],TODAY()),"")</f>
        <v/>
      </c>
      <c r="AC795" s="47">
        <f>IFERROR(INDEX(Chemin_accès!$B$11:$C$22,MATCH(Tableau1[[#This Row],[Type]],Chemin_accès!$C$11:$C$22,0),1),Chemin_accès!$B$11)</f>
        <v>0</v>
      </c>
      <c r="AD795" s="47" t="str">
        <f>Chemin_accès!$B$8&amp;Tableau1[[#This Row],[Localisation / Classement]]&amp;"\"&amp;Tableau1[[#This Row],[Poste technique]]&amp;"_"&amp;Tableau1[[#This Row],[Plan Entretien]]&amp;".xlsm"</f>
        <v>\_.xlsm</v>
      </c>
    </row>
    <row r="796" spans="1:30" x14ac:dyDescent="0.3">
      <c r="A796" s="41" t="str">
        <f t="shared" ca="1" si="12"/>
        <v>7.MNRJ</v>
      </c>
      <c r="B7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6" s="43"/>
      <c r="D796" s="41"/>
      <c r="E796" s="41"/>
      <c r="F796" s="44"/>
      <c r="G796" s="44"/>
      <c r="H796" s="48"/>
      <c r="I796" s="48"/>
      <c r="J796" s="48"/>
      <c r="K796" s="48"/>
      <c r="L796" s="43"/>
      <c r="M796" s="44"/>
      <c r="N796" s="43"/>
      <c r="O796" s="43"/>
      <c r="P796" s="44"/>
      <c r="Q796" s="43"/>
      <c r="R796" s="43"/>
      <c r="S796" s="45"/>
      <c r="T796" s="58" t="str">
        <f>IF(Tableau1[[#This Row],[DMS_SAP]]="","",HYPERLINK(Tableau1[[#This Row],[Chemin fichier source]],"X"))</f>
        <v/>
      </c>
      <c r="U796" s="58" t="str">
        <f>IF(Tableau1[[#This Row],[Date rév.]]="","",HYPERLINK(Tableau1[[#This Row],[Lien document]],"X"))</f>
        <v/>
      </c>
      <c r="V796" s="44"/>
      <c r="W796" s="46" t="str">
        <f ca="1">Chemin_accès!$B$2&amp;Tableau1[[#This Row],[Poste Responsable]]&amp;"\"&amp;Tableau1[[#This Row],[Localisation / Classement]]&amp;"\"&amp;Tableau1[[#This Row],[Poste technique]]&amp;"_"&amp;Tableau1[[#This Row],[Plan Entretien]]&amp;".pdf"</f>
        <v>\\stjn.local\trimet\Donnees_Projets\Dms Sap\Maintenance\PlanEntretien\7.MNRJ\\_.pdf</v>
      </c>
      <c r="X796" s="44"/>
      <c r="Y796" s="44"/>
      <c r="Z796" s="41" t="str">
        <f ca="1">IF(AND(Tableau1[[#This Row],[Charge]]&lt;&gt;0, Tableau1[[#This Row],[Nombre intervenants]]&lt;&gt;0,Tableau1[[#This Row],[Lien document]]&lt;&gt;0,Tableau1[[#This Row],[DMS_SAP]]&lt;&gt;0)=TRUE,"MIS A JOUR","")</f>
        <v/>
      </c>
      <c r="AA796" s="45"/>
      <c r="AB796" s="55" t="str">
        <f ca="1">IF(Tableau1[[#This Row],[Date rév.]]&lt;&gt;"", DAYS360(Tableau1[[#This Row],[Date rév.]],TODAY()),"")</f>
        <v/>
      </c>
      <c r="AC796" s="47">
        <f>IFERROR(INDEX(Chemin_accès!$B$11:$C$22,MATCH(Tableau1[[#This Row],[Type]],Chemin_accès!$C$11:$C$22,0),1),Chemin_accès!$B$11)</f>
        <v>0</v>
      </c>
      <c r="AD796" s="47" t="str">
        <f>Chemin_accès!$B$8&amp;Tableau1[[#This Row],[Localisation / Classement]]&amp;"\"&amp;Tableau1[[#This Row],[Poste technique]]&amp;"_"&amp;Tableau1[[#This Row],[Plan Entretien]]&amp;".xlsm"</f>
        <v>\_.xlsm</v>
      </c>
    </row>
    <row r="797" spans="1:30" x14ac:dyDescent="0.3">
      <c r="A797" s="41" t="str">
        <f t="shared" ca="1" si="12"/>
        <v>7.MNRJ</v>
      </c>
      <c r="B7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7" s="43"/>
      <c r="D797" s="41"/>
      <c r="E797" s="41"/>
      <c r="F797" s="44"/>
      <c r="G797" s="44"/>
      <c r="H797" s="48"/>
      <c r="I797" s="48"/>
      <c r="J797" s="48"/>
      <c r="K797" s="48"/>
      <c r="L797" s="43"/>
      <c r="M797" s="44"/>
      <c r="N797" s="43"/>
      <c r="O797" s="43"/>
      <c r="P797" s="44"/>
      <c r="Q797" s="43"/>
      <c r="R797" s="43"/>
      <c r="S797" s="45"/>
      <c r="T797" s="58" t="str">
        <f>IF(Tableau1[[#This Row],[DMS_SAP]]="","",HYPERLINK(Tableau1[[#This Row],[Chemin fichier source]],"X"))</f>
        <v/>
      </c>
      <c r="U797" s="58" t="str">
        <f>IF(Tableau1[[#This Row],[Date rév.]]="","",HYPERLINK(Tableau1[[#This Row],[Lien document]],"X"))</f>
        <v/>
      </c>
      <c r="V797" s="44"/>
      <c r="W797" s="46" t="str">
        <f ca="1">Chemin_accès!$B$2&amp;Tableau1[[#This Row],[Poste Responsable]]&amp;"\"&amp;Tableau1[[#This Row],[Localisation / Classement]]&amp;"\"&amp;Tableau1[[#This Row],[Poste technique]]&amp;"_"&amp;Tableau1[[#This Row],[Plan Entretien]]&amp;".pdf"</f>
        <v>\\stjn.local\trimet\Donnees_Projets\Dms Sap\Maintenance\PlanEntretien\7.MNRJ\\_.pdf</v>
      </c>
      <c r="X797" s="44"/>
      <c r="Y797" s="44"/>
      <c r="Z797" s="41" t="str">
        <f ca="1">IF(AND(Tableau1[[#This Row],[Charge]]&lt;&gt;0, Tableau1[[#This Row],[Nombre intervenants]]&lt;&gt;0,Tableau1[[#This Row],[Lien document]]&lt;&gt;0,Tableau1[[#This Row],[DMS_SAP]]&lt;&gt;0)=TRUE,"MIS A JOUR","")</f>
        <v/>
      </c>
      <c r="AA797" s="45"/>
      <c r="AB797" s="55" t="str">
        <f ca="1">IF(Tableau1[[#This Row],[Date rév.]]&lt;&gt;"", DAYS360(Tableau1[[#This Row],[Date rév.]],TODAY()),"")</f>
        <v/>
      </c>
      <c r="AC797" s="47">
        <f>IFERROR(INDEX(Chemin_accès!$B$11:$C$22,MATCH(Tableau1[[#This Row],[Type]],Chemin_accès!$C$11:$C$22,0),1),Chemin_accès!$B$11)</f>
        <v>0</v>
      </c>
      <c r="AD797" s="47" t="str">
        <f>Chemin_accès!$B$8&amp;Tableau1[[#This Row],[Localisation / Classement]]&amp;"\"&amp;Tableau1[[#This Row],[Poste technique]]&amp;"_"&amp;Tableau1[[#This Row],[Plan Entretien]]&amp;".xlsm"</f>
        <v>\_.xlsm</v>
      </c>
    </row>
    <row r="798" spans="1:30" x14ac:dyDescent="0.3">
      <c r="A798" s="41" t="str">
        <f t="shared" ca="1" si="12"/>
        <v>7.MNRJ</v>
      </c>
      <c r="B7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8" s="43"/>
      <c r="D798" s="41"/>
      <c r="E798" s="41"/>
      <c r="F798" s="44"/>
      <c r="G798" s="44"/>
      <c r="H798" s="48"/>
      <c r="I798" s="48"/>
      <c r="J798" s="48"/>
      <c r="K798" s="48"/>
      <c r="L798" s="43"/>
      <c r="M798" s="44"/>
      <c r="N798" s="43"/>
      <c r="O798" s="43"/>
      <c r="P798" s="44"/>
      <c r="Q798" s="43"/>
      <c r="R798" s="43"/>
      <c r="S798" s="45"/>
      <c r="T798" s="58" t="str">
        <f>IF(Tableau1[[#This Row],[DMS_SAP]]="","",HYPERLINK(Tableau1[[#This Row],[Chemin fichier source]],"X"))</f>
        <v/>
      </c>
      <c r="U798" s="58" t="str">
        <f>IF(Tableau1[[#This Row],[Date rév.]]="","",HYPERLINK(Tableau1[[#This Row],[Lien document]],"X"))</f>
        <v/>
      </c>
      <c r="V798" s="44"/>
      <c r="W798" s="46" t="str">
        <f ca="1">Chemin_accès!$B$2&amp;Tableau1[[#This Row],[Poste Responsable]]&amp;"\"&amp;Tableau1[[#This Row],[Localisation / Classement]]&amp;"\"&amp;Tableau1[[#This Row],[Poste technique]]&amp;"_"&amp;Tableau1[[#This Row],[Plan Entretien]]&amp;".pdf"</f>
        <v>\\stjn.local\trimet\Donnees_Projets\Dms Sap\Maintenance\PlanEntretien\7.MNRJ\\_.pdf</v>
      </c>
      <c r="X798" s="44"/>
      <c r="Y798" s="44"/>
      <c r="Z798" s="41" t="str">
        <f ca="1">IF(AND(Tableau1[[#This Row],[Charge]]&lt;&gt;0, Tableau1[[#This Row],[Nombre intervenants]]&lt;&gt;0,Tableau1[[#This Row],[Lien document]]&lt;&gt;0,Tableau1[[#This Row],[DMS_SAP]]&lt;&gt;0)=TRUE,"MIS A JOUR","")</f>
        <v/>
      </c>
      <c r="AA798" s="45"/>
      <c r="AB798" s="55" t="str">
        <f ca="1">IF(Tableau1[[#This Row],[Date rév.]]&lt;&gt;"", DAYS360(Tableau1[[#This Row],[Date rév.]],TODAY()),"")</f>
        <v/>
      </c>
      <c r="AC798" s="47">
        <f>IFERROR(INDEX(Chemin_accès!$B$11:$C$22,MATCH(Tableau1[[#This Row],[Type]],Chemin_accès!$C$11:$C$22,0),1),Chemin_accès!$B$11)</f>
        <v>0</v>
      </c>
      <c r="AD798" s="47" t="str">
        <f>Chemin_accès!$B$8&amp;Tableau1[[#This Row],[Localisation / Classement]]&amp;"\"&amp;Tableau1[[#This Row],[Poste technique]]&amp;"_"&amp;Tableau1[[#This Row],[Plan Entretien]]&amp;".xlsm"</f>
        <v>\_.xlsm</v>
      </c>
    </row>
    <row r="799" spans="1:30" x14ac:dyDescent="0.3">
      <c r="A799" s="41" t="str">
        <f t="shared" ca="1" si="12"/>
        <v>7.MNRJ</v>
      </c>
      <c r="B7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9" s="43"/>
      <c r="D799" s="41"/>
      <c r="E799" s="41"/>
      <c r="F799" s="44"/>
      <c r="G799" s="44"/>
      <c r="H799" s="48"/>
      <c r="I799" s="48"/>
      <c r="J799" s="48"/>
      <c r="K799" s="48"/>
      <c r="L799" s="43"/>
      <c r="M799" s="44"/>
      <c r="N799" s="43"/>
      <c r="O799" s="43"/>
      <c r="P799" s="44"/>
      <c r="Q799" s="43"/>
      <c r="R799" s="43"/>
      <c r="S799" s="45"/>
      <c r="T799" s="58" t="str">
        <f>IF(Tableau1[[#This Row],[DMS_SAP]]="","",HYPERLINK(Tableau1[[#This Row],[Chemin fichier source]],"X"))</f>
        <v/>
      </c>
      <c r="U799" s="58" t="str">
        <f>IF(Tableau1[[#This Row],[Date rév.]]="","",HYPERLINK(Tableau1[[#This Row],[Lien document]],"X"))</f>
        <v/>
      </c>
      <c r="V799" s="44"/>
      <c r="W799" s="46" t="str">
        <f ca="1">Chemin_accès!$B$2&amp;Tableau1[[#This Row],[Poste Responsable]]&amp;"\"&amp;Tableau1[[#This Row],[Localisation / Classement]]&amp;"\"&amp;Tableau1[[#This Row],[Poste technique]]&amp;"_"&amp;Tableau1[[#This Row],[Plan Entretien]]&amp;".pdf"</f>
        <v>\\stjn.local\trimet\Donnees_Projets\Dms Sap\Maintenance\PlanEntretien\7.MNRJ\\_.pdf</v>
      </c>
      <c r="X799" s="44"/>
      <c r="Y799" s="44"/>
      <c r="Z799" s="41" t="str">
        <f ca="1">IF(AND(Tableau1[[#This Row],[Charge]]&lt;&gt;0, Tableau1[[#This Row],[Nombre intervenants]]&lt;&gt;0,Tableau1[[#This Row],[Lien document]]&lt;&gt;0,Tableau1[[#This Row],[DMS_SAP]]&lt;&gt;0)=TRUE,"MIS A JOUR","")</f>
        <v/>
      </c>
      <c r="AA799" s="45"/>
      <c r="AB799" s="55" t="str">
        <f ca="1">IF(Tableau1[[#This Row],[Date rév.]]&lt;&gt;"", DAYS360(Tableau1[[#This Row],[Date rév.]],TODAY()),"")</f>
        <v/>
      </c>
      <c r="AC799" s="47">
        <f>IFERROR(INDEX(Chemin_accès!$B$11:$C$22,MATCH(Tableau1[[#This Row],[Type]],Chemin_accès!$C$11:$C$22,0),1),Chemin_accès!$B$11)</f>
        <v>0</v>
      </c>
      <c r="AD799" s="47" t="str">
        <f>Chemin_accès!$B$8&amp;Tableau1[[#This Row],[Localisation / Classement]]&amp;"\"&amp;Tableau1[[#This Row],[Poste technique]]&amp;"_"&amp;Tableau1[[#This Row],[Plan Entretien]]&amp;".xlsm"</f>
        <v>\_.xlsm</v>
      </c>
    </row>
    <row r="800" spans="1:30" x14ac:dyDescent="0.3">
      <c r="A800" s="41" t="str">
        <f t="shared" ca="1" si="12"/>
        <v>7.MNRJ</v>
      </c>
      <c r="B8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0" s="43"/>
      <c r="D800" s="41"/>
      <c r="E800" s="41"/>
      <c r="F800" s="44"/>
      <c r="G800" s="44"/>
      <c r="H800" s="48"/>
      <c r="I800" s="48"/>
      <c r="J800" s="48"/>
      <c r="K800" s="48"/>
      <c r="L800" s="43"/>
      <c r="M800" s="44"/>
      <c r="N800" s="43"/>
      <c r="O800" s="43"/>
      <c r="P800" s="44"/>
      <c r="Q800" s="43"/>
      <c r="R800" s="43"/>
      <c r="S800" s="45"/>
      <c r="T800" s="58" t="str">
        <f>IF(Tableau1[[#This Row],[DMS_SAP]]="","",HYPERLINK(Tableau1[[#This Row],[Chemin fichier source]],"X"))</f>
        <v/>
      </c>
      <c r="U800" s="58" t="str">
        <f>IF(Tableau1[[#This Row],[Date rév.]]="","",HYPERLINK(Tableau1[[#This Row],[Lien document]],"X"))</f>
        <v/>
      </c>
      <c r="V800" s="44"/>
      <c r="W800" s="46" t="str">
        <f ca="1">Chemin_accès!$B$2&amp;Tableau1[[#This Row],[Poste Responsable]]&amp;"\"&amp;Tableau1[[#This Row],[Localisation / Classement]]&amp;"\"&amp;Tableau1[[#This Row],[Poste technique]]&amp;"_"&amp;Tableau1[[#This Row],[Plan Entretien]]&amp;".pdf"</f>
        <v>\\stjn.local\trimet\Donnees_Projets\Dms Sap\Maintenance\PlanEntretien\7.MNRJ\\_.pdf</v>
      </c>
      <c r="X800" s="44"/>
      <c r="Y800" s="44"/>
      <c r="Z800" s="41" t="str">
        <f ca="1">IF(AND(Tableau1[[#This Row],[Charge]]&lt;&gt;0, Tableau1[[#This Row],[Nombre intervenants]]&lt;&gt;0,Tableau1[[#This Row],[Lien document]]&lt;&gt;0,Tableau1[[#This Row],[DMS_SAP]]&lt;&gt;0)=TRUE,"MIS A JOUR","")</f>
        <v/>
      </c>
      <c r="AA800" s="45"/>
      <c r="AB800" s="55" t="str">
        <f ca="1">IF(Tableau1[[#This Row],[Date rév.]]&lt;&gt;"", DAYS360(Tableau1[[#This Row],[Date rév.]],TODAY()),"")</f>
        <v/>
      </c>
      <c r="AC800" s="47">
        <f>IFERROR(INDEX(Chemin_accès!$B$11:$C$22,MATCH(Tableau1[[#This Row],[Type]],Chemin_accès!$C$11:$C$22,0),1),Chemin_accès!$B$11)</f>
        <v>0</v>
      </c>
      <c r="AD800" s="47" t="str">
        <f>Chemin_accès!$B$8&amp;Tableau1[[#This Row],[Localisation / Classement]]&amp;"\"&amp;Tableau1[[#This Row],[Poste technique]]&amp;"_"&amp;Tableau1[[#This Row],[Plan Entretien]]&amp;".xlsm"</f>
        <v>\_.xlsm</v>
      </c>
    </row>
    <row r="801" spans="1:30" x14ac:dyDescent="0.3">
      <c r="A801" s="41" t="str">
        <f t="shared" ca="1" si="12"/>
        <v>7.MNRJ</v>
      </c>
      <c r="B8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1" s="43"/>
      <c r="D801" s="41"/>
      <c r="E801" s="41"/>
      <c r="F801" s="44"/>
      <c r="G801" s="44"/>
      <c r="H801" s="48"/>
      <c r="I801" s="48"/>
      <c r="J801" s="48"/>
      <c r="K801" s="48"/>
      <c r="L801" s="43"/>
      <c r="M801" s="44"/>
      <c r="N801" s="43"/>
      <c r="O801" s="43"/>
      <c r="P801" s="44"/>
      <c r="Q801" s="43"/>
      <c r="R801" s="43"/>
      <c r="S801" s="45"/>
      <c r="T801" s="58" t="str">
        <f>IF(Tableau1[[#This Row],[DMS_SAP]]="","",HYPERLINK(Tableau1[[#This Row],[Chemin fichier source]],"X"))</f>
        <v/>
      </c>
      <c r="U801" s="58" t="str">
        <f>IF(Tableau1[[#This Row],[Date rév.]]="","",HYPERLINK(Tableau1[[#This Row],[Lien document]],"X"))</f>
        <v/>
      </c>
      <c r="V801" s="44"/>
      <c r="W801" s="46" t="str">
        <f ca="1">Chemin_accès!$B$2&amp;Tableau1[[#This Row],[Poste Responsable]]&amp;"\"&amp;Tableau1[[#This Row],[Localisation / Classement]]&amp;"\"&amp;Tableau1[[#This Row],[Poste technique]]&amp;"_"&amp;Tableau1[[#This Row],[Plan Entretien]]&amp;".pdf"</f>
        <v>\\stjn.local\trimet\Donnees_Projets\Dms Sap\Maintenance\PlanEntretien\7.MNRJ\\_.pdf</v>
      </c>
      <c r="X801" s="44"/>
      <c r="Y801" s="44"/>
      <c r="Z801" s="41" t="str">
        <f ca="1">IF(AND(Tableau1[[#This Row],[Charge]]&lt;&gt;0, Tableau1[[#This Row],[Nombre intervenants]]&lt;&gt;0,Tableau1[[#This Row],[Lien document]]&lt;&gt;0,Tableau1[[#This Row],[DMS_SAP]]&lt;&gt;0)=TRUE,"MIS A JOUR","")</f>
        <v/>
      </c>
      <c r="AA801" s="45"/>
      <c r="AB801" s="55" t="str">
        <f ca="1">IF(Tableau1[[#This Row],[Date rév.]]&lt;&gt;"", DAYS360(Tableau1[[#This Row],[Date rév.]],TODAY()),"")</f>
        <v/>
      </c>
      <c r="AC801" s="47">
        <f>IFERROR(INDEX(Chemin_accès!$B$11:$C$22,MATCH(Tableau1[[#This Row],[Type]],Chemin_accès!$C$11:$C$22,0),1),Chemin_accès!$B$11)</f>
        <v>0</v>
      </c>
      <c r="AD801" s="47" t="str">
        <f>Chemin_accès!$B$8&amp;Tableau1[[#This Row],[Localisation / Classement]]&amp;"\"&amp;Tableau1[[#This Row],[Poste technique]]&amp;"_"&amp;Tableau1[[#This Row],[Plan Entretien]]&amp;".xlsm"</f>
        <v>\_.xlsm</v>
      </c>
    </row>
    <row r="802" spans="1:30" x14ac:dyDescent="0.3">
      <c r="A802" s="41" t="str">
        <f t="shared" ca="1" si="12"/>
        <v>7.MNRJ</v>
      </c>
      <c r="B8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2" s="43"/>
      <c r="D802" s="41"/>
      <c r="E802" s="41"/>
      <c r="F802" s="44"/>
      <c r="G802" s="44"/>
      <c r="H802" s="48"/>
      <c r="I802" s="48"/>
      <c r="J802" s="48"/>
      <c r="K802" s="48"/>
      <c r="L802" s="43"/>
      <c r="M802" s="44"/>
      <c r="N802" s="43"/>
      <c r="O802" s="43"/>
      <c r="P802" s="44"/>
      <c r="Q802" s="43"/>
      <c r="R802" s="43"/>
      <c r="S802" s="45"/>
      <c r="T802" s="58" t="str">
        <f>IF(Tableau1[[#This Row],[DMS_SAP]]="","",HYPERLINK(Tableau1[[#This Row],[Chemin fichier source]],"X"))</f>
        <v/>
      </c>
      <c r="U802" s="58" t="str">
        <f>IF(Tableau1[[#This Row],[Date rév.]]="","",HYPERLINK(Tableau1[[#This Row],[Lien document]],"X"))</f>
        <v/>
      </c>
      <c r="V802" s="44"/>
      <c r="W802" s="46" t="str">
        <f ca="1">Chemin_accès!$B$2&amp;Tableau1[[#This Row],[Poste Responsable]]&amp;"\"&amp;Tableau1[[#This Row],[Localisation / Classement]]&amp;"\"&amp;Tableau1[[#This Row],[Poste technique]]&amp;"_"&amp;Tableau1[[#This Row],[Plan Entretien]]&amp;".pdf"</f>
        <v>\\stjn.local\trimet\Donnees_Projets\Dms Sap\Maintenance\PlanEntretien\7.MNRJ\\_.pdf</v>
      </c>
      <c r="X802" s="44"/>
      <c r="Y802" s="44"/>
      <c r="Z802" s="41" t="str">
        <f ca="1">IF(AND(Tableau1[[#This Row],[Charge]]&lt;&gt;0, Tableau1[[#This Row],[Nombre intervenants]]&lt;&gt;0,Tableau1[[#This Row],[Lien document]]&lt;&gt;0,Tableau1[[#This Row],[DMS_SAP]]&lt;&gt;0)=TRUE,"MIS A JOUR","")</f>
        <v/>
      </c>
      <c r="AA802" s="45"/>
      <c r="AB802" s="55" t="str">
        <f ca="1">IF(Tableau1[[#This Row],[Date rév.]]&lt;&gt;"", DAYS360(Tableau1[[#This Row],[Date rév.]],TODAY()),"")</f>
        <v/>
      </c>
      <c r="AC802" s="47">
        <f>IFERROR(INDEX(Chemin_accès!$B$11:$C$22,MATCH(Tableau1[[#This Row],[Type]],Chemin_accès!$C$11:$C$22,0),1),Chemin_accès!$B$11)</f>
        <v>0</v>
      </c>
      <c r="AD802" s="47" t="str">
        <f>Chemin_accès!$B$8&amp;Tableau1[[#This Row],[Localisation / Classement]]&amp;"\"&amp;Tableau1[[#This Row],[Poste technique]]&amp;"_"&amp;Tableau1[[#This Row],[Plan Entretien]]&amp;".xlsm"</f>
        <v>\_.xlsm</v>
      </c>
    </row>
    <row r="803" spans="1:30" x14ac:dyDescent="0.3">
      <c r="A803" s="41" t="str">
        <f t="shared" ca="1" si="12"/>
        <v>7.MNRJ</v>
      </c>
      <c r="B8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3" s="43"/>
      <c r="D803" s="41"/>
      <c r="E803" s="41"/>
      <c r="F803" s="44"/>
      <c r="G803" s="44"/>
      <c r="H803" s="48"/>
      <c r="I803" s="48"/>
      <c r="J803" s="48"/>
      <c r="K803" s="48"/>
      <c r="L803" s="43"/>
      <c r="M803" s="44"/>
      <c r="N803" s="43"/>
      <c r="O803" s="43"/>
      <c r="P803" s="44"/>
      <c r="Q803" s="43"/>
      <c r="R803" s="43"/>
      <c r="S803" s="45"/>
      <c r="T803" s="58" t="str">
        <f>IF(Tableau1[[#This Row],[DMS_SAP]]="","",HYPERLINK(Tableau1[[#This Row],[Chemin fichier source]],"X"))</f>
        <v/>
      </c>
      <c r="U803" s="58" t="str">
        <f>IF(Tableau1[[#This Row],[Date rév.]]="","",HYPERLINK(Tableau1[[#This Row],[Lien document]],"X"))</f>
        <v/>
      </c>
      <c r="V803" s="44"/>
      <c r="W803" s="46" t="str">
        <f ca="1">Chemin_accès!$B$2&amp;Tableau1[[#This Row],[Poste Responsable]]&amp;"\"&amp;Tableau1[[#This Row],[Localisation / Classement]]&amp;"\"&amp;Tableau1[[#This Row],[Poste technique]]&amp;"_"&amp;Tableau1[[#This Row],[Plan Entretien]]&amp;".pdf"</f>
        <v>\\stjn.local\trimet\Donnees_Projets\Dms Sap\Maintenance\PlanEntretien\7.MNRJ\\_.pdf</v>
      </c>
      <c r="X803" s="44"/>
      <c r="Y803" s="44"/>
      <c r="Z803" s="41" t="str">
        <f ca="1">IF(AND(Tableau1[[#This Row],[Charge]]&lt;&gt;0, Tableau1[[#This Row],[Nombre intervenants]]&lt;&gt;0,Tableau1[[#This Row],[Lien document]]&lt;&gt;0,Tableau1[[#This Row],[DMS_SAP]]&lt;&gt;0)=TRUE,"MIS A JOUR","")</f>
        <v/>
      </c>
      <c r="AA803" s="45"/>
      <c r="AB803" s="55" t="str">
        <f ca="1">IF(Tableau1[[#This Row],[Date rév.]]&lt;&gt;"", DAYS360(Tableau1[[#This Row],[Date rév.]],TODAY()),"")</f>
        <v/>
      </c>
      <c r="AC803" s="47">
        <f>IFERROR(INDEX(Chemin_accès!$B$11:$C$22,MATCH(Tableau1[[#This Row],[Type]],Chemin_accès!$C$11:$C$22,0),1),Chemin_accès!$B$11)</f>
        <v>0</v>
      </c>
      <c r="AD803" s="47" t="str">
        <f>Chemin_accès!$B$8&amp;Tableau1[[#This Row],[Localisation / Classement]]&amp;"\"&amp;Tableau1[[#This Row],[Poste technique]]&amp;"_"&amp;Tableau1[[#This Row],[Plan Entretien]]&amp;".xlsm"</f>
        <v>\_.xlsm</v>
      </c>
    </row>
    <row r="804" spans="1:30" x14ac:dyDescent="0.3">
      <c r="A804" s="41" t="str">
        <f t="shared" ca="1" si="12"/>
        <v>7.MNRJ</v>
      </c>
      <c r="B8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4" s="43"/>
      <c r="D804" s="41"/>
      <c r="E804" s="41"/>
      <c r="F804" s="44"/>
      <c r="G804" s="44"/>
      <c r="H804" s="48"/>
      <c r="I804" s="48"/>
      <c r="J804" s="48"/>
      <c r="K804" s="48"/>
      <c r="L804" s="43"/>
      <c r="M804" s="44"/>
      <c r="N804" s="43"/>
      <c r="O804" s="43"/>
      <c r="P804" s="44"/>
      <c r="Q804" s="43"/>
      <c r="R804" s="43"/>
      <c r="S804" s="45"/>
      <c r="T804" s="58" t="str">
        <f>IF(Tableau1[[#This Row],[DMS_SAP]]="","",HYPERLINK(Tableau1[[#This Row],[Chemin fichier source]],"X"))</f>
        <v/>
      </c>
      <c r="U804" s="58" t="str">
        <f>IF(Tableau1[[#This Row],[Date rév.]]="","",HYPERLINK(Tableau1[[#This Row],[Lien document]],"X"))</f>
        <v/>
      </c>
      <c r="V804" s="44"/>
      <c r="W804" s="46" t="str">
        <f ca="1">Chemin_accès!$B$2&amp;Tableau1[[#This Row],[Poste Responsable]]&amp;"\"&amp;Tableau1[[#This Row],[Localisation / Classement]]&amp;"\"&amp;Tableau1[[#This Row],[Poste technique]]&amp;"_"&amp;Tableau1[[#This Row],[Plan Entretien]]&amp;".pdf"</f>
        <v>\\stjn.local\trimet\Donnees_Projets\Dms Sap\Maintenance\PlanEntretien\7.MNRJ\\_.pdf</v>
      </c>
      <c r="X804" s="44"/>
      <c r="Y804" s="44"/>
      <c r="Z804" s="41" t="str">
        <f ca="1">IF(AND(Tableau1[[#This Row],[Charge]]&lt;&gt;0, Tableau1[[#This Row],[Nombre intervenants]]&lt;&gt;0,Tableau1[[#This Row],[Lien document]]&lt;&gt;0,Tableau1[[#This Row],[DMS_SAP]]&lt;&gt;0)=TRUE,"MIS A JOUR","")</f>
        <v/>
      </c>
      <c r="AA804" s="45"/>
      <c r="AB804" s="55" t="str">
        <f ca="1">IF(Tableau1[[#This Row],[Date rév.]]&lt;&gt;"", DAYS360(Tableau1[[#This Row],[Date rév.]],TODAY()),"")</f>
        <v/>
      </c>
      <c r="AC804" s="47">
        <f>IFERROR(INDEX(Chemin_accès!$B$11:$C$22,MATCH(Tableau1[[#This Row],[Type]],Chemin_accès!$C$11:$C$22,0),1),Chemin_accès!$B$11)</f>
        <v>0</v>
      </c>
      <c r="AD804" s="47" t="str">
        <f>Chemin_accès!$B$8&amp;Tableau1[[#This Row],[Localisation / Classement]]&amp;"\"&amp;Tableau1[[#This Row],[Poste technique]]&amp;"_"&amp;Tableau1[[#This Row],[Plan Entretien]]&amp;".xlsm"</f>
        <v>\_.xlsm</v>
      </c>
    </row>
    <row r="805" spans="1:30" x14ac:dyDescent="0.3">
      <c r="A805" s="41" t="str">
        <f t="shared" ca="1" si="12"/>
        <v>7.MNRJ</v>
      </c>
      <c r="B8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5" s="43"/>
      <c r="D805" s="41"/>
      <c r="E805" s="41"/>
      <c r="F805" s="44"/>
      <c r="G805" s="44"/>
      <c r="H805" s="48"/>
      <c r="I805" s="48"/>
      <c r="J805" s="48"/>
      <c r="K805" s="48"/>
      <c r="L805" s="43"/>
      <c r="M805" s="44"/>
      <c r="N805" s="43"/>
      <c r="O805" s="43"/>
      <c r="P805" s="44"/>
      <c r="Q805" s="43"/>
      <c r="R805" s="43"/>
      <c r="S805" s="45"/>
      <c r="T805" s="58" t="str">
        <f>IF(Tableau1[[#This Row],[DMS_SAP]]="","",HYPERLINK(Tableau1[[#This Row],[Chemin fichier source]],"X"))</f>
        <v/>
      </c>
      <c r="U805" s="58" t="str">
        <f>IF(Tableau1[[#This Row],[Date rév.]]="","",HYPERLINK(Tableau1[[#This Row],[Lien document]],"X"))</f>
        <v/>
      </c>
      <c r="V805" s="44"/>
      <c r="W805" s="46" t="str">
        <f ca="1">Chemin_accès!$B$2&amp;Tableau1[[#This Row],[Poste Responsable]]&amp;"\"&amp;Tableau1[[#This Row],[Localisation / Classement]]&amp;"\"&amp;Tableau1[[#This Row],[Poste technique]]&amp;"_"&amp;Tableau1[[#This Row],[Plan Entretien]]&amp;".pdf"</f>
        <v>\\stjn.local\trimet\Donnees_Projets\Dms Sap\Maintenance\PlanEntretien\7.MNRJ\\_.pdf</v>
      </c>
      <c r="X805" s="44"/>
      <c r="Y805" s="44"/>
      <c r="Z805" s="41" t="str">
        <f ca="1">IF(AND(Tableau1[[#This Row],[Charge]]&lt;&gt;0, Tableau1[[#This Row],[Nombre intervenants]]&lt;&gt;0,Tableau1[[#This Row],[Lien document]]&lt;&gt;0,Tableau1[[#This Row],[DMS_SAP]]&lt;&gt;0)=TRUE,"MIS A JOUR","")</f>
        <v/>
      </c>
      <c r="AA805" s="45"/>
      <c r="AB805" s="55" t="str">
        <f ca="1">IF(Tableau1[[#This Row],[Date rév.]]&lt;&gt;"", DAYS360(Tableau1[[#This Row],[Date rév.]],TODAY()),"")</f>
        <v/>
      </c>
      <c r="AC805" s="47">
        <f>IFERROR(INDEX(Chemin_accès!$B$11:$C$22,MATCH(Tableau1[[#This Row],[Type]],Chemin_accès!$C$11:$C$22,0),1),Chemin_accès!$B$11)</f>
        <v>0</v>
      </c>
      <c r="AD805" s="47" t="str">
        <f>Chemin_accès!$B$8&amp;Tableau1[[#This Row],[Localisation / Classement]]&amp;"\"&amp;Tableau1[[#This Row],[Poste technique]]&amp;"_"&amp;Tableau1[[#This Row],[Plan Entretien]]&amp;".xlsm"</f>
        <v>\_.xlsm</v>
      </c>
    </row>
    <row r="806" spans="1:30" x14ac:dyDescent="0.3">
      <c r="A806" s="41" t="str">
        <f t="shared" ca="1" si="12"/>
        <v>7.MNRJ</v>
      </c>
      <c r="B8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6" s="43"/>
      <c r="D806" s="41"/>
      <c r="E806" s="41"/>
      <c r="F806" s="44"/>
      <c r="G806" s="44"/>
      <c r="H806" s="48"/>
      <c r="I806" s="48"/>
      <c r="J806" s="48"/>
      <c r="K806" s="48"/>
      <c r="L806" s="43"/>
      <c r="M806" s="44"/>
      <c r="N806" s="43"/>
      <c r="O806" s="43"/>
      <c r="P806" s="44"/>
      <c r="Q806" s="43"/>
      <c r="R806" s="43"/>
      <c r="S806" s="45"/>
      <c r="T806" s="58" t="str">
        <f>IF(Tableau1[[#This Row],[DMS_SAP]]="","",HYPERLINK(Tableau1[[#This Row],[Chemin fichier source]],"X"))</f>
        <v/>
      </c>
      <c r="U806" s="58" t="str">
        <f>IF(Tableau1[[#This Row],[Date rév.]]="","",HYPERLINK(Tableau1[[#This Row],[Lien document]],"X"))</f>
        <v/>
      </c>
      <c r="V806" s="44"/>
      <c r="W806" s="46" t="str">
        <f ca="1">Chemin_accès!$B$2&amp;Tableau1[[#This Row],[Poste Responsable]]&amp;"\"&amp;Tableau1[[#This Row],[Localisation / Classement]]&amp;"\"&amp;Tableau1[[#This Row],[Poste technique]]&amp;"_"&amp;Tableau1[[#This Row],[Plan Entretien]]&amp;".pdf"</f>
        <v>\\stjn.local\trimet\Donnees_Projets\Dms Sap\Maintenance\PlanEntretien\7.MNRJ\\_.pdf</v>
      </c>
      <c r="X806" s="44"/>
      <c r="Y806" s="44"/>
      <c r="Z806" s="41" t="str">
        <f ca="1">IF(AND(Tableau1[[#This Row],[Charge]]&lt;&gt;0, Tableau1[[#This Row],[Nombre intervenants]]&lt;&gt;0,Tableau1[[#This Row],[Lien document]]&lt;&gt;0,Tableau1[[#This Row],[DMS_SAP]]&lt;&gt;0)=TRUE,"MIS A JOUR","")</f>
        <v/>
      </c>
      <c r="AA806" s="45"/>
      <c r="AB806" s="55" t="str">
        <f ca="1">IF(Tableau1[[#This Row],[Date rév.]]&lt;&gt;"", DAYS360(Tableau1[[#This Row],[Date rév.]],TODAY()),"")</f>
        <v/>
      </c>
      <c r="AC806" s="47">
        <f>IFERROR(INDEX(Chemin_accès!$B$11:$C$22,MATCH(Tableau1[[#This Row],[Type]],Chemin_accès!$C$11:$C$22,0),1),Chemin_accès!$B$11)</f>
        <v>0</v>
      </c>
      <c r="AD806" s="47" t="str">
        <f>Chemin_accès!$B$8&amp;Tableau1[[#This Row],[Localisation / Classement]]&amp;"\"&amp;Tableau1[[#This Row],[Poste technique]]&amp;"_"&amp;Tableau1[[#This Row],[Plan Entretien]]&amp;".xlsm"</f>
        <v>\_.xlsm</v>
      </c>
    </row>
    <row r="807" spans="1:30" x14ac:dyDescent="0.3">
      <c r="A807" s="41" t="str">
        <f t="shared" ca="1" si="12"/>
        <v>7.MNRJ</v>
      </c>
      <c r="B8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7" s="43"/>
      <c r="D807" s="41"/>
      <c r="E807" s="41"/>
      <c r="F807" s="44"/>
      <c r="G807" s="44"/>
      <c r="H807" s="48"/>
      <c r="I807" s="48"/>
      <c r="J807" s="48"/>
      <c r="K807" s="48"/>
      <c r="L807" s="43"/>
      <c r="M807" s="44"/>
      <c r="N807" s="43"/>
      <c r="O807" s="43"/>
      <c r="P807" s="44"/>
      <c r="Q807" s="43"/>
      <c r="R807" s="43"/>
      <c r="S807" s="45"/>
      <c r="T807" s="58" t="str">
        <f>IF(Tableau1[[#This Row],[DMS_SAP]]="","",HYPERLINK(Tableau1[[#This Row],[Chemin fichier source]],"X"))</f>
        <v/>
      </c>
      <c r="U807" s="58" t="str">
        <f>IF(Tableau1[[#This Row],[Date rév.]]="","",HYPERLINK(Tableau1[[#This Row],[Lien document]],"X"))</f>
        <v/>
      </c>
      <c r="V807" s="44"/>
      <c r="W807" s="46" t="str">
        <f ca="1">Chemin_accès!$B$2&amp;Tableau1[[#This Row],[Poste Responsable]]&amp;"\"&amp;Tableau1[[#This Row],[Localisation / Classement]]&amp;"\"&amp;Tableau1[[#This Row],[Poste technique]]&amp;"_"&amp;Tableau1[[#This Row],[Plan Entretien]]&amp;".pdf"</f>
        <v>\\stjn.local\trimet\Donnees_Projets\Dms Sap\Maintenance\PlanEntretien\7.MNRJ\\_.pdf</v>
      </c>
      <c r="X807" s="44"/>
      <c r="Y807" s="44"/>
      <c r="Z807" s="41" t="str">
        <f ca="1">IF(AND(Tableau1[[#This Row],[Charge]]&lt;&gt;0, Tableau1[[#This Row],[Nombre intervenants]]&lt;&gt;0,Tableau1[[#This Row],[Lien document]]&lt;&gt;0,Tableau1[[#This Row],[DMS_SAP]]&lt;&gt;0)=TRUE,"MIS A JOUR","")</f>
        <v/>
      </c>
      <c r="AA807" s="45"/>
      <c r="AB807" s="55" t="str">
        <f ca="1">IF(Tableau1[[#This Row],[Date rév.]]&lt;&gt;"", DAYS360(Tableau1[[#This Row],[Date rév.]],TODAY()),"")</f>
        <v/>
      </c>
      <c r="AC807" s="47">
        <f>IFERROR(INDEX(Chemin_accès!$B$11:$C$22,MATCH(Tableau1[[#This Row],[Type]],Chemin_accès!$C$11:$C$22,0),1),Chemin_accès!$B$11)</f>
        <v>0</v>
      </c>
      <c r="AD807" s="47" t="str">
        <f>Chemin_accès!$B$8&amp;Tableau1[[#This Row],[Localisation / Classement]]&amp;"\"&amp;Tableau1[[#This Row],[Poste technique]]&amp;"_"&amp;Tableau1[[#This Row],[Plan Entretien]]&amp;".xlsm"</f>
        <v>\_.xlsm</v>
      </c>
    </row>
    <row r="808" spans="1:30" x14ac:dyDescent="0.3">
      <c r="A808" s="41" t="str">
        <f t="shared" ca="1" si="12"/>
        <v>7.MNRJ</v>
      </c>
      <c r="B8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8" s="43"/>
      <c r="D808" s="41"/>
      <c r="E808" s="41"/>
      <c r="F808" s="44"/>
      <c r="G808" s="44"/>
      <c r="H808" s="48"/>
      <c r="I808" s="48"/>
      <c r="J808" s="48"/>
      <c r="K808" s="48"/>
      <c r="L808" s="43"/>
      <c r="M808" s="44"/>
      <c r="N808" s="43"/>
      <c r="O808" s="43"/>
      <c r="P808" s="44"/>
      <c r="Q808" s="43"/>
      <c r="R808" s="43"/>
      <c r="S808" s="45"/>
      <c r="T808" s="58" t="str">
        <f>IF(Tableau1[[#This Row],[DMS_SAP]]="","",HYPERLINK(Tableau1[[#This Row],[Chemin fichier source]],"X"))</f>
        <v/>
      </c>
      <c r="U808" s="58" t="str">
        <f>IF(Tableau1[[#This Row],[Date rév.]]="","",HYPERLINK(Tableau1[[#This Row],[Lien document]],"X"))</f>
        <v/>
      </c>
      <c r="V808" s="44"/>
      <c r="W808" s="46" t="str">
        <f ca="1">Chemin_accès!$B$2&amp;Tableau1[[#This Row],[Poste Responsable]]&amp;"\"&amp;Tableau1[[#This Row],[Localisation / Classement]]&amp;"\"&amp;Tableau1[[#This Row],[Poste technique]]&amp;"_"&amp;Tableau1[[#This Row],[Plan Entretien]]&amp;".pdf"</f>
        <v>\\stjn.local\trimet\Donnees_Projets\Dms Sap\Maintenance\PlanEntretien\7.MNRJ\\_.pdf</v>
      </c>
      <c r="X808" s="44"/>
      <c r="Y808" s="44"/>
      <c r="Z808" s="41" t="str">
        <f ca="1">IF(AND(Tableau1[[#This Row],[Charge]]&lt;&gt;0, Tableau1[[#This Row],[Nombre intervenants]]&lt;&gt;0,Tableau1[[#This Row],[Lien document]]&lt;&gt;0,Tableau1[[#This Row],[DMS_SAP]]&lt;&gt;0)=TRUE,"MIS A JOUR","")</f>
        <v/>
      </c>
      <c r="AA808" s="45"/>
      <c r="AB808" s="55" t="str">
        <f ca="1">IF(Tableau1[[#This Row],[Date rév.]]&lt;&gt;"", DAYS360(Tableau1[[#This Row],[Date rév.]],TODAY()),"")</f>
        <v/>
      </c>
      <c r="AC808" s="47">
        <f>IFERROR(INDEX(Chemin_accès!$B$11:$C$22,MATCH(Tableau1[[#This Row],[Type]],Chemin_accès!$C$11:$C$22,0),1),Chemin_accès!$B$11)</f>
        <v>0</v>
      </c>
      <c r="AD808" s="47" t="str">
        <f>Chemin_accès!$B$8&amp;Tableau1[[#This Row],[Localisation / Classement]]&amp;"\"&amp;Tableau1[[#This Row],[Poste technique]]&amp;"_"&amp;Tableau1[[#This Row],[Plan Entretien]]&amp;".xlsm"</f>
        <v>\_.xlsm</v>
      </c>
    </row>
    <row r="809" spans="1:30" x14ac:dyDescent="0.3">
      <c r="A809" s="41" t="str">
        <f t="shared" ca="1" si="12"/>
        <v>7.MNRJ</v>
      </c>
      <c r="B8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9" s="43"/>
      <c r="D809" s="41"/>
      <c r="E809" s="41"/>
      <c r="F809" s="44"/>
      <c r="G809" s="44"/>
      <c r="H809" s="48"/>
      <c r="I809" s="48"/>
      <c r="J809" s="48"/>
      <c r="K809" s="48"/>
      <c r="L809" s="43"/>
      <c r="M809" s="44"/>
      <c r="N809" s="43"/>
      <c r="O809" s="43"/>
      <c r="P809" s="44"/>
      <c r="Q809" s="43"/>
      <c r="R809" s="43"/>
      <c r="S809" s="45"/>
      <c r="T809" s="58" t="str">
        <f>IF(Tableau1[[#This Row],[DMS_SAP]]="","",HYPERLINK(Tableau1[[#This Row],[Chemin fichier source]],"X"))</f>
        <v/>
      </c>
      <c r="U809" s="58" t="str">
        <f>IF(Tableau1[[#This Row],[Date rév.]]="","",HYPERLINK(Tableau1[[#This Row],[Lien document]],"X"))</f>
        <v/>
      </c>
      <c r="V809" s="44"/>
      <c r="W809" s="46" t="str">
        <f ca="1">Chemin_accès!$B$2&amp;Tableau1[[#This Row],[Poste Responsable]]&amp;"\"&amp;Tableau1[[#This Row],[Localisation / Classement]]&amp;"\"&amp;Tableau1[[#This Row],[Poste technique]]&amp;"_"&amp;Tableau1[[#This Row],[Plan Entretien]]&amp;".pdf"</f>
        <v>\\stjn.local\trimet\Donnees_Projets\Dms Sap\Maintenance\PlanEntretien\7.MNRJ\\_.pdf</v>
      </c>
      <c r="X809" s="44"/>
      <c r="Y809" s="44"/>
      <c r="Z809" s="41" t="str">
        <f ca="1">IF(AND(Tableau1[[#This Row],[Charge]]&lt;&gt;0, Tableau1[[#This Row],[Nombre intervenants]]&lt;&gt;0,Tableau1[[#This Row],[Lien document]]&lt;&gt;0,Tableau1[[#This Row],[DMS_SAP]]&lt;&gt;0)=TRUE,"MIS A JOUR","")</f>
        <v/>
      </c>
      <c r="AA809" s="45"/>
      <c r="AB809" s="55" t="str">
        <f ca="1">IF(Tableau1[[#This Row],[Date rév.]]&lt;&gt;"", DAYS360(Tableau1[[#This Row],[Date rév.]],TODAY()),"")</f>
        <v/>
      </c>
      <c r="AC809" s="47">
        <f>IFERROR(INDEX(Chemin_accès!$B$11:$C$22,MATCH(Tableau1[[#This Row],[Type]],Chemin_accès!$C$11:$C$22,0),1),Chemin_accès!$B$11)</f>
        <v>0</v>
      </c>
      <c r="AD809" s="47" t="str">
        <f>Chemin_accès!$B$8&amp;Tableau1[[#This Row],[Localisation / Classement]]&amp;"\"&amp;Tableau1[[#This Row],[Poste technique]]&amp;"_"&amp;Tableau1[[#This Row],[Plan Entretien]]&amp;".xlsm"</f>
        <v>\_.xlsm</v>
      </c>
    </row>
    <row r="810" spans="1:30" x14ac:dyDescent="0.3">
      <c r="A810" s="41" t="str">
        <f t="shared" ca="1" si="12"/>
        <v>7.MNRJ</v>
      </c>
      <c r="B8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0" s="43"/>
      <c r="D810" s="41"/>
      <c r="E810" s="41"/>
      <c r="F810" s="44"/>
      <c r="G810" s="44"/>
      <c r="H810" s="48"/>
      <c r="I810" s="48"/>
      <c r="J810" s="48"/>
      <c r="K810" s="48"/>
      <c r="L810" s="43"/>
      <c r="M810" s="44"/>
      <c r="N810" s="43"/>
      <c r="O810" s="43"/>
      <c r="P810" s="44"/>
      <c r="Q810" s="43"/>
      <c r="R810" s="43"/>
      <c r="S810" s="45"/>
      <c r="T810" s="58" t="str">
        <f>IF(Tableau1[[#This Row],[DMS_SAP]]="","",HYPERLINK(Tableau1[[#This Row],[Chemin fichier source]],"X"))</f>
        <v/>
      </c>
      <c r="U810" s="58" t="str">
        <f>IF(Tableau1[[#This Row],[Date rév.]]="","",HYPERLINK(Tableau1[[#This Row],[Lien document]],"X"))</f>
        <v/>
      </c>
      <c r="V810" s="44"/>
      <c r="W810" s="46" t="str">
        <f ca="1">Chemin_accès!$B$2&amp;Tableau1[[#This Row],[Poste Responsable]]&amp;"\"&amp;Tableau1[[#This Row],[Localisation / Classement]]&amp;"\"&amp;Tableau1[[#This Row],[Poste technique]]&amp;"_"&amp;Tableau1[[#This Row],[Plan Entretien]]&amp;".pdf"</f>
        <v>\\stjn.local\trimet\Donnees_Projets\Dms Sap\Maintenance\PlanEntretien\7.MNRJ\\_.pdf</v>
      </c>
      <c r="X810" s="44"/>
      <c r="Y810" s="44"/>
      <c r="Z810" s="41" t="str">
        <f ca="1">IF(AND(Tableau1[[#This Row],[Charge]]&lt;&gt;0, Tableau1[[#This Row],[Nombre intervenants]]&lt;&gt;0,Tableau1[[#This Row],[Lien document]]&lt;&gt;0,Tableau1[[#This Row],[DMS_SAP]]&lt;&gt;0)=TRUE,"MIS A JOUR","")</f>
        <v/>
      </c>
      <c r="AA810" s="45"/>
      <c r="AB810" s="55" t="str">
        <f ca="1">IF(Tableau1[[#This Row],[Date rév.]]&lt;&gt;"", DAYS360(Tableau1[[#This Row],[Date rév.]],TODAY()),"")</f>
        <v/>
      </c>
      <c r="AC810" s="47">
        <f>IFERROR(INDEX(Chemin_accès!$B$11:$C$22,MATCH(Tableau1[[#This Row],[Type]],Chemin_accès!$C$11:$C$22,0),1),Chemin_accès!$B$11)</f>
        <v>0</v>
      </c>
      <c r="AD810" s="47" t="str">
        <f>Chemin_accès!$B$8&amp;Tableau1[[#This Row],[Localisation / Classement]]&amp;"\"&amp;Tableau1[[#This Row],[Poste technique]]&amp;"_"&amp;Tableau1[[#This Row],[Plan Entretien]]&amp;".xlsm"</f>
        <v>\_.xlsm</v>
      </c>
    </row>
    <row r="811" spans="1:30" x14ac:dyDescent="0.3">
      <c r="A811" s="41" t="str">
        <f t="shared" ca="1" si="12"/>
        <v>7.MNRJ</v>
      </c>
      <c r="B8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1" s="43"/>
      <c r="D811" s="41"/>
      <c r="E811" s="41"/>
      <c r="F811" s="44"/>
      <c r="G811" s="44"/>
      <c r="H811" s="48"/>
      <c r="I811" s="48"/>
      <c r="J811" s="48"/>
      <c r="K811" s="48"/>
      <c r="L811" s="43"/>
      <c r="M811" s="44"/>
      <c r="N811" s="43"/>
      <c r="O811" s="43"/>
      <c r="P811" s="44"/>
      <c r="Q811" s="43"/>
      <c r="R811" s="43"/>
      <c r="S811" s="45"/>
      <c r="T811" s="58" t="str">
        <f>IF(Tableau1[[#This Row],[DMS_SAP]]="","",HYPERLINK(Tableau1[[#This Row],[Chemin fichier source]],"X"))</f>
        <v/>
      </c>
      <c r="U811" s="58" t="str">
        <f>IF(Tableau1[[#This Row],[Date rév.]]="","",HYPERLINK(Tableau1[[#This Row],[Lien document]],"X"))</f>
        <v/>
      </c>
      <c r="V811" s="44"/>
      <c r="W811" s="46" t="str">
        <f ca="1">Chemin_accès!$B$2&amp;Tableau1[[#This Row],[Poste Responsable]]&amp;"\"&amp;Tableau1[[#This Row],[Localisation / Classement]]&amp;"\"&amp;Tableau1[[#This Row],[Poste technique]]&amp;"_"&amp;Tableau1[[#This Row],[Plan Entretien]]&amp;".pdf"</f>
        <v>\\stjn.local\trimet\Donnees_Projets\Dms Sap\Maintenance\PlanEntretien\7.MNRJ\\_.pdf</v>
      </c>
      <c r="X811" s="44"/>
      <c r="Y811" s="44"/>
      <c r="Z811" s="41" t="str">
        <f ca="1">IF(AND(Tableau1[[#This Row],[Charge]]&lt;&gt;0, Tableau1[[#This Row],[Nombre intervenants]]&lt;&gt;0,Tableau1[[#This Row],[Lien document]]&lt;&gt;0,Tableau1[[#This Row],[DMS_SAP]]&lt;&gt;0)=TRUE,"MIS A JOUR","")</f>
        <v/>
      </c>
      <c r="AA811" s="45"/>
      <c r="AB811" s="55" t="str">
        <f ca="1">IF(Tableau1[[#This Row],[Date rév.]]&lt;&gt;"", DAYS360(Tableau1[[#This Row],[Date rév.]],TODAY()),"")</f>
        <v/>
      </c>
      <c r="AC811" s="47">
        <f>IFERROR(INDEX(Chemin_accès!$B$11:$C$22,MATCH(Tableau1[[#This Row],[Type]],Chemin_accès!$C$11:$C$22,0),1),Chemin_accès!$B$11)</f>
        <v>0</v>
      </c>
      <c r="AD811" s="47" t="str">
        <f>Chemin_accès!$B$8&amp;Tableau1[[#This Row],[Localisation / Classement]]&amp;"\"&amp;Tableau1[[#This Row],[Poste technique]]&amp;"_"&amp;Tableau1[[#This Row],[Plan Entretien]]&amp;".xlsm"</f>
        <v>\_.xlsm</v>
      </c>
    </row>
    <row r="812" spans="1:30" x14ac:dyDescent="0.3">
      <c r="A812" s="41" t="str">
        <f t="shared" ca="1" si="12"/>
        <v>7.MNRJ</v>
      </c>
      <c r="B8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2" s="43"/>
      <c r="D812" s="41"/>
      <c r="E812" s="41"/>
      <c r="F812" s="44"/>
      <c r="G812" s="44"/>
      <c r="H812" s="48"/>
      <c r="I812" s="48"/>
      <c r="J812" s="48"/>
      <c r="K812" s="48"/>
      <c r="L812" s="43"/>
      <c r="M812" s="44"/>
      <c r="N812" s="43"/>
      <c r="O812" s="43"/>
      <c r="P812" s="44"/>
      <c r="Q812" s="43"/>
      <c r="R812" s="43"/>
      <c r="S812" s="45"/>
      <c r="T812" s="58" t="str">
        <f>IF(Tableau1[[#This Row],[DMS_SAP]]="","",HYPERLINK(Tableau1[[#This Row],[Chemin fichier source]],"X"))</f>
        <v/>
      </c>
      <c r="U812" s="58" t="str">
        <f>IF(Tableau1[[#This Row],[Date rév.]]="","",HYPERLINK(Tableau1[[#This Row],[Lien document]],"X"))</f>
        <v/>
      </c>
      <c r="V812" s="44"/>
      <c r="W812" s="46" t="str">
        <f ca="1">Chemin_accès!$B$2&amp;Tableau1[[#This Row],[Poste Responsable]]&amp;"\"&amp;Tableau1[[#This Row],[Localisation / Classement]]&amp;"\"&amp;Tableau1[[#This Row],[Poste technique]]&amp;"_"&amp;Tableau1[[#This Row],[Plan Entretien]]&amp;".pdf"</f>
        <v>\\stjn.local\trimet\Donnees_Projets\Dms Sap\Maintenance\PlanEntretien\7.MNRJ\\_.pdf</v>
      </c>
      <c r="X812" s="44"/>
      <c r="Y812" s="44"/>
      <c r="Z812" s="41" t="str">
        <f ca="1">IF(AND(Tableau1[[#This Row],[Charge]]&lt;&gt;0, Tableau1[[#This Row],[Nombre intervenants]]&lt;&gt;0,Tableau1[[#This Row],[Lien document]]&lt;&gt;0,Tableau1[[#This Row],[DMS_SAP]]&lt;&gt;0)=TRUE,"MIS A JOUR","")</f>
        <v/>
      </c>
      <c r="AA812" s="45"/>
      <c r="AB812" s="55" t="str">
        <f ca="1">IF(Tableau1[[#This Row],[Date rév.]]&lt;&gt;"", DAYS360(Tableau1[[#This Row],[Date rév.]],TODAY()),"")</f>
        <v/>
      </c>
      <c r="AC812" s="47">
        <f>IFERROR(INDEX(Chemin_accès!$B$11:$C$22,MATCH(Tableau1[[#This Row],[Type]],Chemin_accès!$C$11:$C$22,0),1),Chemin_accès!$B$11)</f>
        <v>0</v>
      </c>
      <c r="AD812" s="47" t="str">
        <f>Chemin_accès!$B$8&amp;Tableau1[[#This Row],[Localisation / Classement]]&amp;"\"&amp;Tableau1[[#This Row],[Poste technique]]&amp;"_"&amp;Tableau1[[#This Row],[Plan Entretien]]&amp;".xlsm"</f>
        <v>\_.xlsm</v>
      </c>
    </row>
    <row r="813" spans="1:30" x14ac:dyDescent="0.3">
      <c r="A813" s="41" t="str">
        <f t="shared" ca="1" si="12"/>
        <v>7.MNRJ</v>
      </c>
      <c r="B8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3" s="43"/>
      <c r="D813" s="41"/>
      <c r="E813" s="41"/>
      <c r="F813" s="44"/>
      <c r="G813" s="44"/>
      <c r="H813" s="48"/>
      <c r="I813" s="48"/>
      <c r="J813" s="48"/>
      <c r="K813" s="48"/>
      <c r="L813" s="43"/>
      <c r="M813" s="44"/>
      <c r="N813" s="43"/>
      <c r="O813" s="43"/>
      <c r="P813" s="44"/>
      <c r="Q813" s="43"/>
      <c r="R813" s="43"/>
      <c r="S813" s="45"/>
      <c r="T813" s="58" t="str">
        <f>IF(Tableau1[[#This Row],[DMS_SAP]]="","",HYPERLINK(Tableau1[[#This Row],[Chemin fichier source]],"X"))</f>
        <v/>
      </c>
      <c r="U813" s="58" t="str">
        <f>IF(Tableau1[[#This Row],[Date rév.]]="","",HYPERLINK(Tableau1[[#This Row],[Lien document]],"X"))</f>
        <v/>
      </c>
      <c r="V813" s="44"/>
      <c r="W813" s="46" t="str">
        <f ca="1">Chemin_accès!$B$2&amp;Tableau1[[#This Row],[Poste Responsable]]&amp;"\"&amp;Tableau1[[#This Row],[Localisation / Classement]]&amp;"\"&amp;Tableau1[[#This Row],[Poste technique]]&amp;"_"&amp;Tableau1[[#This Row],[Plan Entretien]]&amp;".pdf"</f>
        <v>\\stjn.local\trimet\Donnees_Projets\Dms Sap\Maintenance\PlanEntretien\7.MNRJ\\_.pdf</v>
      </c>
      <c r="X813" s="44"/>
      <c r="Y813" s="44"/>
      <c r="Z813" s="41" t="str">
        <f ca="1">IF(AND(Tableau1[[#This Row],[Charge]]&lt;&gt;0, Tableau1[[#This Row],[Nombre intervenants]]&lt;&gt;0,Tableau1[[#This Row],[Lien document]]&lt;&gt;0,Tableau1[[#This Row],[DMS_SAP]]&lt;&gt;0)=TRUE,"MIS A JOUR","")</f>
        <v/>
      </c>
      <c r="AA813" s="45"/>
      <c r="AB813" s="55" t="str">
        <f ca="1">IF(Tableau1[[#This Row],[Date rév.]]&lt;&gt;"", DAYS360(Tableau1[[#This Row],[Date rév.]],TODAY()),"")</f>
        <v/>
      </c>
      <c r="AC813" s="47">
        <f>IFERROR(INDEX(Chemin_accès!$B$11:$C$22,MATCH(Tableau1[[#This Row],[Type]],Chemin_accès!$C$11:$C$22,0),1),Chemin_accès!$B$11)</f>
        <v>0</v>
      </c>
      <c r="AD813" s="47" t="str">
        <f>Chemin_accès!$B$8&amp;Tableau1[[#This Row],[Localisation / Classement]]&amp;"\"&amp;Tableau1[[#This Row],[Poste technique]]&amp;"_"&amp;Tableau1[[#This Row],[Plan Entretien]]&amp;".xlsm"</f>
        <v>\_.xlsm</v>
      </c>
    </row>
    <row r="814" spans="1:30" x14ac:dyDescent="0.3">
      <c r="A814" s="41" t="str">
        <f t="shared" ca="1" si="12"/>
        <v>7.MNRJ</v>
      </c>
      <c r="B8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4" s="43"/>
      <c r="D814" s="41"/>
      <c r="E814" s="41"/>
      <c r="F814" s="44"/>
      <c r="G814" s="44"/>
      <c r="H814" s="48"/>
      <c r="I814" s="48"/>
      <c r="J814" s="48"/>
      <c r="K814" s="48"/>
      <c r="L814" s="43"/>
      <c r="M814" s="44"/>
      <c r="N814" s="43"/>
      <c r="O814" s="43"/>
      <c r="P814" s="44"/>
      <c r="Q814" s="43"/>
      <c r="R814" s="43"/>
      <c r="S814" s="45"/>
      <c r="T814" s="58" t="str">
        <f>IF(Tableau1[[#This Row],[DMS_SAP]]="","",HYPERLINK(Tableau1[[#This Row],[Chemin fichier source]],"X"))</f>
        <v/>
      </c>
      <c r="U814" s="58" t="str">
        <f>IF(Tableau1[[#This Row],[Date rév.]]="","",HYPERLINK(Tableau1[[#This Row],[Lien document]],"X"))</f>
        <v/>
      </c>
      <c r="V814" s="44"/>
      <c r="W814" s="46" t="str">
        <f ca="1">Chemin_accès!$B$2&amp;Tableau1[[#This Row],[Poste Responsable]]&amp;"\"&amp;Tableau1[[#This Row],[Localisation / Classement]]&amp;"\"&amp;Tableau1[[#This Row],[Poste technique]]&amp;"_"&amp;Tableau1[[#This Row],[Plan Entretien]]&amp;".pdf"</f>
        <v>\\stjn.local\trimet\Donnees_Projets\Dms Sap\Maintenance\PlanEntretien\7.MNRJ\\_.pdf</v>
      </c>
      <c r="X814" s="44"/>
      <c r="Y814" s="44"/>
      <c r="Z814" s="41" t="str">
        <f ca="1">IF(AND(Tableau1[[#This Row],[Charge]]&lt;&gt;0, Tableau1[[#This Row],[Nombre intervenants]]&lt;&gt;0,Tableau1[[#This Row],[Lien document]]&lt;&gt;0,Tableau1[[#This Row],[DMS_SAP]]&lt;&gt;0)=TRUE,"MIS A JOUR","")</f>
        <v/>
      </c>
      <c r="AA814" s="45"/>
      <c r="AB814" s="55" t="str">
        <f ca="1">IF(Tableau1[[#This Row],[Date rév.]]&lt;&gt;"", DAYS360(Tableau1[[#This Row],[Date rév.]],TODAY()),"")</f>
        <v/>
      </c>
      <c r="AC814" s="47">
        <f>IFERROR(INDEX(Chemin_accès!$B$11:$C$22,MATCH(Tableau1[[#This Row],[Type]],Chemin_accès!$C$11:$C$22,0),1),Chemin_accès!$B$11)</f>
        <v>0</v>
      </c>
      <c r="AD814" s="47" t="str">
        <f>Chemin_accès!$B$8&amp;Tableau1[[#This Row],[Localisation / Classement]]&amp;"\"&amp;Tableau1[[#This Row],[Poste technique]]&amp;"_"&amp;Tableau1[[#This Row],[Plan Entretien]]&amp;".xlsm"</f>
        <v>\_.xlsm</v>
      </c>
    </row>
    <row r="815" spans="1:30" x14ac:dyDescent="0.3">
      <c r="A815" s="41" t="str">
        <f t="shared" ca="1" si="12"/>
        <v>7.MNRJ</v>
      </c>
      <c r="B8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5" s="43"/>
      <c r="D815" s="41"/>
      <c r="E815" s="41"/>
      <c r="F815" s="44"/>
      <c r="G815" s="44"/>
      <c r="H815" s="48"/>
      <c r="I815" s="48"/>
      <c r="J815" s="48"/>
      <c r="K815" s="48"/>
      <c r="L815" s="43"/>
      <c r="M815" s="44"/>
      <c r="N815" s="43"/>
      <c r="O815" s="43"/>
      <c r="P815" s="44"/>
      <c r="Q815" s="43"/>
      <c r="R815" s="43"/>
      <c r="S815" s="45"/>
      <c r="T815" s="58" t="str">
        <f>IF(Tableau1[[#This Row],[DMS_SAP]]="","",HYPERLINK(Tableau1[[#This Row],[Chemin fichier source]],"X"))</f>
        <v/>
      </c>
      <c r="U815" s="58" t="str">
        <f>IF(Tableau1[[#This Row],[Date rév.]]="","",HYPERLINK(Tableau1[[#This Row],[Lien document]],"X"))</f>
        <v/>
      </c>
      <c r="V815" s="44"/>
      <c r="W815" s="46" t="str">
        <f ca="1">Chemin_accès!$B$2&amp;Tableau1[[#This Row],[Poste Responsable]]&amp;"\"&amp;Tableau1[[#This Row],[Localisation / Classement]]&amp;"\"&amp;Tableau1[[#This Row],[Poste technique]]&amp;"_"&amp;Tableau1[[#This Row],[Plan Entretien]]&amp;".pdf"</f>
        <v>\\stjn.local\trimet\Donnees_Projets\Dms Sap\Maintenance\PlanEntretien\7.MNRJ\\_.pdf</v>
      </c>
      <c r="X815" s="44"/>
      <c r="Y815" s="44"/>
      <c r="Z815" s="41" t="str">
        <f ca="1">IF(AND(Tableau1[[#This Row],[Charge]]&lt;&gt;0, Tableau1[[#This Row],[Nombre intervenants]]&lt;&gt;0,Tableau1[[#This Row],[Lien document]]&lt;&gt;0,Tableau1[[#This Row],[DMS_SAP]]&lt;&gt;0)=TRUE,"MIS A JOUR","")</f>
        <v/>
      </c>
      <c r="AA815" s="45"/>
      <c r="AB815" s="55" t="str">
        <f ca="1">IF(Tableau1[[#This Row],[Date rév.]]&lt;&gt;"", DAYS360(Tableau1[[#This Row],[Date rév.]],TODAY()),"")</f>
        <v/>
      </c>
      <c r="AC815" s="47">
        <f>IFERROR(INDEX(Chemin_accès!$B$11:$C$22,MATCH(Tableau1[[#This Row],[Type]],Chemin_accès!$C$11:$C$22,0),1),Chemin_accès!$B$11)</f>
        <v>0</v>
      </c>
      <c r="AD815" s="47" t="str">
        <f>Chemin_accès!$B$8&amp;Tableau1[[#This Row],[Localisation / Classement]]&amp;"\"&amp;Tableau1[[#This Row],[Poste technique]]&amp;"_"&amp;Tableau1[[#This Row],[Plan Entretien]]&amp;".xlsm"</f>
        <v>\_.xlsm</v>
      </c>
    </row>
    <row r="816" spans="1:30" x14ac:dyDescent="0.3">
      <c r="A816" s="41" t="str">
        <f t="shared" ca="1" si="12"/>
        <v>7.MNRJ</v>
      </c>
      <c r="B8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6" s="43"/>
      <c r="D816" s="41"/>
      <c r="E816" s="41"/>
      <c r="F816" s="44"/>
      <c r="G816" s="44"/>
      <c r="H816" s="48"/>
      <c r="I816" s="48"/>
      <c r="J816" s="48"/>
      <c r="K816" s="48"/>
      <c r="L816" s="43"/>
      <c r="M816" s="44"/>
      <c r="N816" s="43"/>
      <c r="O816" s="43"/>
      <c r="P816" s="44"/>
      <c r="Q816" s="43"/>
      <c r="R816" s="43"/>
      <c r="S816" s="45"/>
      <c r="T816" s="58" t="str">
        <f>IF(Tableau1[[#This Row],[DMS_SAP]]="","",HYPERLINK(Tableau1[[#This Row],[Chemin fichier source]],"X"))</f>
        <v/>
      </c>
      <c r="U816" s="58" t="str">
        <f>IF(Tableau1[[#This Row],[Date rév.]]="","",HYPERLINK(Tableau1[[#This Row],[Lien document]],"X"))</f>
        <v/>
      </c>
      <c r="V816" s="44"/>
      <c r="W816" s="46" t="str">
        <f ca="1">Chemin_accès!$B$2&amp;Tableau1[[#This Row],[Poste Responsable]]&amp;"\"&amp;Tableau1[[#This Row],[Localisation / Classement]]&amp;"\"&amp;Tableau1[[#This Row],[Poste technique]]&amp;"_"&amp;Tableau1[[#This Row],[Plan Entretien]]&amp;".pdf"</f>
        <v>\\stjn.local\trimet\Donnees_Projets\Dms Sap\Maintenance\PlanEntretien\7.MNRJ\\_.pdf</v>
      </c>
      <c r="X816" s="44"/>
      <c r="Y816" s="44"/>
      <c r="Z816" s="41" t="str">
        <f ca="1">IF(AND(Tableau1[[#This Row],[Charge]]&lt;&gt;0, Tableau1[[#This Row],[Nombre intervenants]]&lt;&gt;0,Tableau1[[#This Row],[Lien document]]&lt;&gt;0,Tableau1[[#This Row],[DMS_SAP]]&lt;&gt;0)=TRUE,"MIS A JOUR","")</f>
        <v/>
      </c>
      <c r="AA816" s="45"/>
      <c r="AB816" s="55" t="str">
        <f ca="1">IF(Tableau1[[#This Row],[Date rév.]]&lt;&gt;"", DAYS360(Tableau1[[#This Row],[Date rév.]],TODAY()),"")</f>
        <v/>
      </c>
      <c r="AC816" s="47">
        <f>IFERROR(INDEX(Chemin_accès!$B$11:$C$22,MATCH(Tableau1[[#This Row],[Type]],Chemin_accès!$C$11:$C$22,0),1),Chemin_accès!$B$11)</f>
        <v>0</v>
      </c>
      <c r="AD816" s="47" t="str">
        <f>Chemin_accès!$B$8&amp;Tableau1[[#This Row],[Localisation / Classement]]&amp;"\"&amp;Tableau1[[#This Row],[Poste technique]]&amp;"_"&amp;Tableau1[[#This Row],[Plan Entretien]]&amp;".xlsm"</f>
        <v>\_.xlsm</v>
      </c>
    </row>
    <row r="817" spans="1:30" x14ac:dyDescent="0.3">
      <c r="A817" s="41" t="str">
        <f t="shared" ca="1" si="12"/>
        <v>7.MNRJ</v>
      </c>
      <c r="B8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7" s="43"/>
      <c r="D817" s="41"/>
      <c r="E817" s="41"/>
      <c r="F817" s="44"/>
      <c r="G817" s="44"/>
      <c r="H817" s="48"/>
      <c r="I817" s="48"/>
      <c r="J817" s="48"/>
      <c r="K817" s="48"/>
      <c r="L817" s="43"/>
      <c r="M817" s="44"/>
      <c r="N817" s="43"/>
      <c r="O817" s="43"/>
      <c r="P817" s="44"/>
      <c r="Q817" s="43"/>
      <c r="R817" s="43"/>
      <c r="S817" s="45"/>
      <c r="T817" s="58" t="str">
        <f>IF(Tableau1[[#This Row],[DMS_SAP]]="","",HYPERLINK(Tableau1[[#This Row],[Chemin fichier source]],"X"))</f>
        <v/>
      </c>
      <c r="U817" s="58" t="str">
        <f>IF(Tableau1[[#This Row],[Date rév.]]="","",HYPERLINK(Tableau1[[#This Row],[Lien document]],"X"))</f>
        <v/>
      </c>
      <c r="V817" s="44"/>
      <c r="W817" s="46" t="str">
        <f ca="1">Chemin_accès!$B$2&amp;Tableau1[[#This Row],[Poste Responsable]]&amp;"\"&amp;Tableau1[[#This Row],[Localisation / Classement]]&amp;"\"&amp;Tableau1[[#This Row],[Poste technique]]&amp;"_"&amp;Tableau1[[#This Row],[Plan Entretien]]&amp;".pdf"</f>
        <v>\\stjn.local\trimet\Donnees_Projets\Dms Sap\Maintenance\PlanEntretien\7.MNRJ\\_.pdf</v>
      </c>
      <c r="X817" s="44"/>
      <c r="Y817" s="44"/>
      <c r="Z817" s="41" t="str">
        <f ca="1">IF(AND(Tableau1[[#This Row],[Charge]]&lt;&gt;0, Tableau1[[#This Row],[Nombre intervenants]]&lt;&gt;0,Tableau1[[#This Row],[Lien document]]&lt;&gt;0,Tableau1[[#This Row],[DMS_SAP]]&lt;&gt;0)=TRUE,"MIS A JOUR","")</f>
        <v/>
      </c>
      <c r="AA817" s="45"/>
      <c r="AB817" s="55" t="str">
        <f ca="1">IF(Tableau1[[#This Row],[Date rév.]]&lt;&gt;"", DAYS360(Tableau1[[#This Row],[Date rév.]],TODAY()),"")</f>
        <v/>
      </c>
      <c r="AC817" s="47">
        <f>IFERROR(INDEX(Chemin_accès!$B$11:$C$22,MATCH(Tableau1[[#This Row],[Type]],Chemin_accès!$C$11:$C$22,0),1),Chemin_accès!$B$11)</f>
        <v>0</v>
      </c>
      <c r="AD817" s="47" t="str">
        <f>Chemin_accès!$B$8&amp;Tableau1[[#This Row],[Localisation / Classement]]&amp;"\"&amp;Tableau1[[#This Row],[Poste technique]]&amp;"_"&amp;Tableau1[[#This Row],[Plan Entretien]]&amp;".xlsm"</f>
        <v>\_.xlsm</v>
      </c>
    </row>
    <row r="818" spans="1:30" x14ac:dyDescent="0.3">
      <c r="A818" s="41" t="str">
        <f t="shared" ca="1" si="12"/>
        <v>7.MNRJ</v>
      </c>
      <c r="B8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8" s="43"/>
      <c r="D818" s="41"/>
      <c r="E818" s="41"/>
      <c r="F818" s="44"/>
      <c r="G818" s="44"/>
      <c r="H818" s="48"/>
      <c r="I818" s="48"/>
      <c r="J818" s="48"/>
      <c r="K818" s="48"/>
      <c r="L818" s="43"/>
      <c r="M818" s="44"/>
      <c r="N818" s="43"/>
      <c r="O818" s="43"/>
      <c r="P818" s="44"/>
      <c r="Q818" s="43"/>
      <c r="R818" s="43"/>
      <c r="S818" s="45"/>
      <c r="T818" s="58" t="str">
        <f>IF(Tableau1[[#This Row],[DMS_SAP]]="","",HYPERLINK(Tableau1[[#This Row],[Chemin fichier source]],"X"))</f>
        <v/>
      </c>
      <c r="U818" s="58" t="str">
        <f>IF(Tableau1[[#This Row],[Date rév.]]="","",HYPERLINK(Tableau1[[#This Row],[Lien document]],"X"))</f>
        <v/>
      </c>
      <c r="V818" s="44"/>
      <c r="W818" s="46" t="str">
        <f ca="1">Chemin_accès!$B$2&amp;Tableau1[[#This Row],[Poste Responsable]]&amp;"\"&amp;Tableau1[[#This Row],[Localisation / Classement]]&amp;"\"&amp;Tableau1[[#This Row],[Poste technique]]&amp;"_"&amp;Tableau1[[#This Row],[Plan Entretien]]&amp;".pdf"</f>
        <v>\\stjn.local\trimet\Donnees_Projets\Dms Sap\Maintenance\PlanEntretien\7.MNRJ\\_.pdf</v>
      </c>
      <c r="X818" s="44"/>
      <c r="Y818" s="44"/>
      <c r="Z818" s="41" t="str">
        <f ca="1">IF(AND(Tableau1[[#This Row],[Charge]]&lt;&gt;0, Tableau1[[#This Row],[Nombre intervenants]]&lt;&gt;0,Tableau1[[#This Row],[Lien document]]&lt;&gt;0,Tableau1[[#This Row],[DMS_SAP]]&lt;&gt;0)=TRUE,"MIS A JOUR","")</f>
        <v/>
      </c>
      <c r="AA818" s="45"/>
      <c r="AB818" s="55" t="str">
        <f ca="1">IF(Tableau1[[#This Row],[Date rév.]]&lt;&gt;"", DAYS360(Tableau1[[#This Row],[Date rév.]],TODAY()),"")</f>
        <v/>
      </c>
      <c r="AC818" s="47">
        <f>IFERROR(INDEX(Chemin_accès!$B$11:$C$22,MATCH(Tableau1[[#This Row],[Type]],Chemin_accès!$C$11:$C$22,0),1),Chemin_accès!$B$11)</f>
        <v>0</v>
      </c>
      <c r="AD818" s="47" t="str">
        <f>Chemin_accès!$B$8&amp;Tableau1[[#This Row],[Localisation / Classement]]&amp;"\"&amp;Tableau1[[#This Row],[Poste technique]]&amp;"_"&amp;Tableau1[[#This Row],[Plan Entretien]]&amp;".xlsm"</f>
        <v>\_.xlsm</v>
      </c>
    </row>
    <row r="819" spans="1:30" x14ac:dyDescent="0.3">
      <c r="A819" s="41" t="str">
        <f t="shared" ca="1" si="12"/>
        <v>7.MNRJ</v>
      </c>
      <c r="B8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9" s="43"/>
      <c r="D819" s="41"/>
      <c r="E819" s="41"/>
      <c r="F819" s="44"/>
      <c r="G819" s="44"/>
      <c r="H819" s="48"/>
      <c r="I819" s="48"/>
      <c r="J819" s="48"/>
      <c r="K819" s="48"/>
      <c r="L819" s="43"/>
      <c r="M819" s="44"/>
      <c r="N819" s="43"/>
      <c r="O819" s="43"/>
      <c r="P819" s="44"/>
      <c r="Q819" s="43"/>
      <c r="R819" s="43"/>
      <c r="S819" s="45"/>
      <c r="T819" s="58" t="str">
        <f>IF(Tableau1[[#This Row],[DMS_SAP]]="","",HYPERLINK(Tableau1[[#This Row],[Chemin fichier source]],"X"))</f>
        <v/>
      </c>
      <c r="U819" s="58" t="str">
        <f>IF(Tableau1[[#This Row],[Date rév.]]="","",HYPERLINK(Tableau1[[#This Row],[Lien document]],"X"))</f>
        <v/>
      </c>
      <c r="V819" s="44"/>
      <c r="W819" s="46" t="str">
        <f ca="1">Chemin_accès!$B$2&amp;Tableau1[[#This Row],[Poste Responsable]]&amp;"\"&amp;Tableau1[[#This Row],[Localisation / Classement]]&amp;"\"&amp;Tableau1[[#This Row],[Poste technique]]&amp;"_"&amp;Tableau1[[#This Row],[Plan Entretien]]&amp;".pdf"</f>
        <v>\\stjn.local\trimet\Donnees_Projets\Dms Sap\Maintenance\PlanEntretien\7.MNRJ\\_.pdf</v>
      </c>
      <c r="X819" s="44"/>
      <c r="Y819" s="44"/>
      <c r="Z819" s="41" t="str">
        <f ca="1">IF(AND(Tableau1[[#This Row],[Charge]]&lt;&gt;0, Tableau1[[#This Row],[Nombre intervenants]]&lt;&gt;0,Tableau1[[#This Row],[Lien document]]&lt;&gt;0,Tableau1[[#This Row],[DMS_SAP]]&lt;&gt;0)=TRUE,"MIS A JOUR","")</f>
        <v/>
      </c>
      <c r="AA819" s="45"/>
      <c r="AB819" s="55" t="str">
        <f ca="1">IF(Tableau1[[#This Row],[Date rév.]]&lt;&gt;"", DAYS360(Tableau1[[#This Row],[Date rév.]],TODAY()),"")</f>
        <v/>
      </c>
      <c r="AC819" s="47">
        <f>IFERROR(INDEX(Chemin_accès!$B$11:$C$22,MATCH(Tableau1[[#This Row],[Type]],Chemin_accès!$C$11:$C$22,0),1),Chemin_accès!$B$11)</f>
        <v>0</v>
      </c>
      <c r="AD819" s="47" t="str">
        <f>Chemin_accès!$B$8&amp;Tableau1[[#This Row],[Localisation / Classement]]&amp;"\"&amp;Tableau1[[#This Row],[Poste technique]]&amp;"_"&amp;Tableau1[[#This Row],[Plan Entretien]]&amp;".xlsm"</f>
        <v>\_.xlsm</v>
      </c>
    </row>
    <row r="820" spans="1:30" x14ac:dyDescent="0.3">
      <c r="A820" s="41" t="str">
        <f t="shared" ca="1" si="12"/>
        <v>7.MNRJ</v>
      </c>
      <c r="B8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0" s="43"/>
      <c r="D820" s="41"/>
      <c r="E820" s="41"/>
      <c r="F820" s="44"/>
      <c r="G820" s="44"/>
      <c r="H820" s="48"/>
      <c r="I820" s="48"/>
      <c r="J820" s="48"/>
      <c r="K820" s="48"/>
      <c r="L820" s="43"/>
      <c r="M820" s="44"/>
      <c r="N820" s="43"/>
      <c r="O820" s="43"/>
      <c r="P820" s="44"/>
      <c r="Q820" s="43"/>
      <c r="R820" s="43"/>
      <c r="S820" s="45"/>
      <c r="T820" s="58" t="str">
        <f>IF(Tableau1[[#This Row],[DMS_SAP]]="","",HYPERLINK(Tableau1[[#This Row],[Chemin fichier source]],"X"))</f>
        <v/>
      </c>
      <c r="U820" s="58" t="str">
        <f>IF(Tableau1[[#This Row],[Date rév.]]="","",HYPERLINK(Tableau1[[#This Row],[Lien document]],"X"))</f>
        <v/>
      </c>
      <c r="V820" s="44"/>
      <c r="W820" s="46" t="str">
        <f ca="1">Chemin_accès!$B$2&amp;Tableau1[[#This Row],[Poste Responsable]]&amp;"\"&amp;Tableau1[[#This Row],[Localisation / Classement]]&amp;"\"&amp;Tableau1[[#This Row],[Poste technique]]&amp;"_"&amp;Tableau1[[#This Row],[Plan Entretien]]&amp;".pdf"</f>
        <v>\\stjn.local\trimet\Donnees_Projets\Dms Sap\Maintenance\PlanEntretien\7.MNRJ\\_.pdf</v>
      </c>
      <c r="X820" s="44"/>
      <c r="Y820" s="44"/>
      <c r="Z820" s="41" t="str">
        <f ca="1">IF(AND(Tableau1[[#This Row],[Charge]]&lt;&gt;0, Tableau1[[#This Row],[Nombre intervenants]]&lt;&gt;0,Tableau1[[#This Row],[Lien document]]&lt;&gt;0,Tableau1[[#This Row],[DMS_SAP]]&lt;&gt;0)=TRUE,"MIS A JOUR","")</f>
        <v/>
      </c>
      <c r="AA820" s="45"/>
      <c r="AB820" s="55" t="str">
        <f ca="1">IF(Tableau1[[#This Row],[Date rév.]]&lt;&gt;"", DAYS360(Tableau1[[#This Row],[Date rév.]],TODAY()),"")</f>
        <v/>
      </c>
      <c r="AC820" s="47">
        <f>IFERROR(INDEX(Chemin_accès!$B$11:$C$22,MATCH(Tableau1[[#This Row],[Type]],Chemin_accès!$C$11:$C$22,0),1),Chemin_accès!$B$11)</f>
        <v>0</v>
      </c>
      <c r="AD820" s="47" t="str">
        <f>Chemin_accès!$B$8&amp;Tableau1[[#This Row],[Localisation / Classement]]&amp;"\"&amp;Tableau1[[#This Row],[Poste technique]]&amp;"_"&amp;Tableau1[[#This Row],[Plan Entretien]]&amp;".xlsm"</f>
        <v>\_.xlsm</v>
      </c>
    </row>
    <row r="821" spans="1:30" x14ac:dyDescent="0.3">
      <c r="A821" s="41" t="str">
        <f t="shared" ca="1" si="12"/>
        <v>7.MNRJ</v>
      </c>
      <c r="B8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1" s="43"/>
      <c r="D821" s="41"/>
      <c r="E821" s="41"/>
      <c r="F821" s="44"/>
      <c r="G821" s="44"/>
      <c r="H821" s="48"/>
      <c r="I821" s="48"/>
      <c r="J821" s="48"/>
      <c r="K821" s="48"/>
      <c r="L821" s="43"/>
      <c r="M821" s="44"/>
      <c r="N821" s="43"/>
      <c r="O821" s="43"/>
      <c r="P821" s="44"/>
      <c r="Q821" s="43"/>
      <c r="R821" s="43"/>
      <c r="S821" s="45"/>
      <c r="T821" s="58" t="str">
        <f>IF(Tableau1[[#This Row],[DMS_SAP]]="","",HYPERLINK(Tableau1[[#This Row],[Chemin fichier source]],"X"))</f>
        <v/>
      </c>
      <c r="U821" s="58" t="str">
        <f>IF(Tableau1[[#This Row],[Date rév.]]="","",HYPERLINK(Tableau1[[#This Row],[Lien document]],"X"))</f>
        <v/>
      </c>
      <c r="V821" s="44"/>
      <c r="W821" s="46" t="str">
        <f ca="1">Chemin_accès!$B$2&amp;Tableau1[[#This Row],[Poste Responsable]]&amp;"\"&amp;Tableau1[[#This Row],[Localisation / Classement]]&amp;"\"&amp;Tableau1[[#This Row],[Poste technique]]&amp;"_"&amp;Tableau1[[#This Row],[Plan Entretien]]&amp;".pdf"</f>
        <v>\\stjn.local\trimet\Donnees_Projets\Dms Sap\Maintenance\PlanEntretien\7.MNRJ\\_.pdf</v>
      </c>
      <c r="X821" s="44"/>
      <c r="Y821" s="44"/>
      <c r="Z821" s="41" t="str">
        <f ca="1">IF(AND(Tableau1[[#This Row],[Charge]]&lt;&gt;0, Tableau1[[#This Row],[Nombre intervenants]]&lt;&gt;0,Tableau1[[#This Row],[Lien document]]&lt;&gt;0,Tableau1[[#This Row],[DMS_SAP]]&lt;&gt;0)=TRUE,"MIS A JOUR","")</f>
        <v/>
      </c>
      <c r="AA821" s="45"/>
      <c r="AB821" s="55" t="str">
        <f ca="1">IF(Tableau1[[#This Row],[Date rév.]]&lt;&gt;"", DAYS360(Tableau1[[#This Row],[Date rév.]],TODAY()),"")</f>
        <v/>
      </c>
      <c r="AC821" s="47">
        <f>IFERROR(INDEX(Chemin_accès!$B$11:$C$22,MATCH(Tableau1[[#This Row],[Type]],Chemin_accès!$C$11:$C$22,0),1),Chemin_accès!$B$11)</f>
        <v>0</v>
      </c>
      <c r="AD821" s="47" t="str">
        <f>Chemin_accès!$B$8&amp;Tableau1[[#This Row],[Localisation / Classement]]&amp;"\"&amp;Tableau1[[#This Row],[Poste technique]]&amp;"_"&amp;Tableau1[[#This Row],[Plan Entretien]]&amp;".xlsm"</f>
        <v>\_.xlsm</v>
      </c>
    </row>
    <row r="822" spans="1:30" x14ac:dyDescent="0.3">
      <c r="A822" s="41" t="str">
        <f t="shared" ca="1" si="12"/>
        <v>7.MNRJ</v>
      </c>
      <c r="B8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2" s="43"/>
      <c r="D822" s="41"/>
      <c r="E822" s="41"/>
      <c r="F822" s="44"/>
      <c r="G822" s="44"/>
      <c r="H822" s="48"/>
      <c r="I822" s="48"/>
      <c r="J822" s="48"/>
      <c r="K822" s="48"/>
      <c r="L822" s="43"/>
      <c r="M822" s="44"/>
      <c r="N822" s="43"/>
      <c r="O822" s="43"/>
      <c r="P822" s="44"/>
      <c r="Q822" s="43"/>
      <c r="R822" s="43"/>
      <c r="S822" s="45"/>
      <c r="T822" s="58" t="str">
        <f>IF(Tableau1[[#This Row],[DMS_SAP]]="","",HYPERLINK(Tableau1[[#This Row],[Chemin fichier source]],"X"))</f>
        <v/>
      </c>
      <c r="U822" s="58" t="str">
        <f>IF(Tableau1[[#This Row],[Date rév.]]="","",HYPERLINK(Tableau1[[#This Row],[Lien document]],"X"))</f>
        <v/>
      </c>
      <c r="V822" s="44"/>
      <c r="W822" s="46" t="str">
        <f ca="1">Chemin_accès!$B$2&amp;Tableau1[[#This Row],[Poste Responsable]]&amp;"\"&amp;Tableau1[[#This Row],[Localisation / Classement]]&amp;"\"&amp;Tableau1[[#This Row],[Poste technique]]&amp;"_"&amp;Tableau1[[#This Row],[Plan Entretien]]&amp;".pdf"</f>
        <v>\\stjn.local\trimet\Donnees_Projets\Dms Sap\Maintenance\PlanEntretien\7.MNRJ\\_.pdf</v>
      </c>
      <c r="X822" s="44"/>
      <c r="Y822" s="44"/>
      <c r="Z822" s="41" t="str">
        <f ca="1">IF(AND(Tableau1[[#This Row],[Charge]]&lt;&gt;0, Tableau1[[#This Row],[Nombre intervenants]]&lt;&gt;0,Tableau1[[#This Row],[Lien document]]&lt;&gt;0,Tableau1[[#This Row],[DMS_SAP]]&lt;&gt;0)=TRUE,"MIS A JOUR","")</f>
        <v/>
      </c>
      <c r="AA822" s="45"/>
      <c r="AB822" s="55" t="str">
        <f ca="1">IF(Tableau1[[#This Row],[Date rév.]]&lt;&gt;"", DAYS360(Tableau1[[#This Row],[Date rév.]],TODAY()),"")</f>
        <v/>
      </c>
      <c r="AC822" s="47">
        <f>IFERROR(INDEX(Chemin_accès!$B$11:$C$22,MATCH(Tableau1[[#This Row],[Type]],Chemin_accès!$C$11:$C$22,0),1),Chemin_accès!$B$11)</f>
        <v>0</v>
      </c>
      <c r="AD822" s="47" t="str">
        <f>Chemin_accès!$B$8&amp;Tableau1[[#This Row],[Localisation / Classement]]&amp;"\"&amp;Tableau1[[#This Row],[Poste technique]]&amp;"_"&amp;Tableau1[[#This Row],[Plan Entretien]]&amp;".xlsm"</f>
        <v>\_.xlsm</v>
      </c>
    </row>
    <row r="823" spans="1:30" x14ac:dyDescent="0.3">
      <c r="A823" s="41" t="str">
        <f t="shared" ca="1" si="12"/>
        <v>7.MNRJ</v>
      </c>
      <c r="B8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3" s="43"/>
      <c r="D823" s="41"/>
      <c r="E823" s="41"/>
      <c r="F823" s="44"/>
      <c r="G823" s="44"/>
      <c r="H823" s="48"/>
      <c r="I823" s="48"/>
      <c r="J823" s="48"/>
      <c r="K823" s="48"/>
      <c r="L823" s="43"/>
      <c r="M823" s="44"/>
      <c r="N823" s="43"/>
      <c r="O823" s="43"/>
      <c r="P823" s="44"/>
      <c r="Q823" s="43"/>
      <c r="R823" s="43"/>
      <c r="S823" s="45"/>
      <c r="T823" s="58" t="str">
        <f>IF(Tableau1[[#This Row],[DMS_SAP]]="","",HYPERLINK(Tableau1[[#This Row],[Chemin fichier source]],"X"))</f>
        <v/>
      </c>
      <c r="U823" s="58" t="str">
        <f>IF(Tableau1[[#This Row],[Date rév.]]="","",HYPERLINK(Tableau1[[#This Row],[Lien document]],"X"))</f>
        <v/>
      </c>
      <c r="V823" s="44"/>
      <c r="W823" s="46" t="str">
        <f ca="1">Chemin_accès!$B$2&amp;Tableau1[[#This Row],[Poste Responsable]]&amp;"\"&amp;Tableau1[[#This Row],[Localisation / Classement]]&amp;"\"&amp;Tableau1[[#This Row],[Poste technique]]&amp;"_"&amp;Tableau1[[#This Row],[Plan Entretien]]&amp;".pdf"</f>
        <v>\\stjn.local\trimet\Donnees_Projets\Dms Sap\Maintenance\PlanEntretien\7.MNRJ\\_.pdf</v>
      </c>
      <c r="X823" s="44"/>
      <c r="Y823" s="44"/>
      <c r="Z823" s="41" t="str">
        <f ca="1">IF(AND(Tableau1[[#This Row],[Charge]]&lt;&gt;0, Tableau1[[#This Row],[Nombre intervenants]]&lt;&gt;0,Tableau1[[#This Row],[Lien document]]&lt;&gt;0,Tableau1[[#This Row],[DMS_SAP]]&lt;&gt;0)=TRUE,"MIS A JOUR","")</f>
        <v/>
      </c>
      <c r="AA823" s="45"/>
      <c r="AB823" s="55" t="str">
        <f ca="1">IF(Tableau1[[#This Row],[Date rév.]]&lt;&gt;"", DAYS360(Tableau1[[#This Row],[Date rév.]],TODAY()),"")</f>
        <v/>
      </c>
      <c r="AC823" s="47">
        <f>IFERROR(INDEX(Chemin_accès!$B$11:$C$22,MATCH(Tableau1[[#This Row],[Type]],Chemin_accès!$C$11:$C$22,0),1),Chemin_accès!$B$11)</f>
        <v>0</v>
      </c>
      <c r="AD823" s="47" t="str">
        <f>Chemin_accès!$B$8&amp;Tableau1[[#This Row],[Localisation / Classement]]&amp;"\"&amp;Tableau1[[#This Row],[Poste technique]]&amp;"_"&amp;Tableau1[[#This Row],[Plan Entretien]]&amp;".xlsm"</f>
        <v>\_.xlsm</v>
      </c>
    </row>
    <row r="824" spans="1:30" x14ac:dyDescent="0.3">
      <c r="A824" s="41" t="str">
        <f t="shared" ca="1" si="12"/>
        <v>7.MNRJ</v>
      </c>
      <c r="B8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4" s="43"/>
      <c r="D824" s="41"/>
      <c r="E824" s="41"/>
      <c r="F824" s="44"/>
      <c r="G824" s="44"/>
      <c r="H824" s="48"/>
      <c r="I824" s="48"/>
      <c r="J824" s="48"/>
      <c r="K824" s="48"/>
      <c r="L824" s="43"/>
      <c r="M824" s="44"/>
      <c r="N824" s="43"/>
      <c r="O824" s="43"/>
      <c r="P824" s="44"/>
      <c r="Q824" s="43"/>
      <c r="R824" s="43"/>
      <c r="S824" s="45"/>
      <c r="T824" s="58" t="str">
        <f>IF(Tableau1[[#This Row],[DMS_SAP]]="","",HYPERLINK(Tableau1[[#This Row],[Chemin fichier source]],"X"))</f>
        <v/>
      </c>
      <c r="U824" s="58" t="str">
        <f>IF(Tableau1[[#This Row],[Date rév.]]="","",HYPERLINK(Tableau1[[#This Row],[Lien document]],"X"))</f>
        <v/>
      </c>
      <c r="V824" s="44"/>
      <c r="W824" s="46" t="str">
        <f ca="1">Chemin_accès!$B$2&amp;Tableau1[[#This Row],[Poste Responsable]]&amp;"\"&amp;Tableau1[[#This Row],[Localisation / Classement]]&amp;"\"&amp;Tableau1[[#This Row],[Poste technique]]&amp;"_"&amp;Tableau1[[#This Row],[Plan Entretien]]&amp;".pdf"</f>
        <v>\\stjn.local\trimet\Donnees_Projets\Dms Sap\Maintenance\PlanEntretien\7.MNRJ\\_.pdf</v>
      </c>
      <c r="X824" s="44"/>
      <c r="Y824" s="44"/>
      <c r="Z824" s="41" t="str">
        <f ca="1">IF(AND(Tableau1[[#This Row],[Charge]]&lt;&gt;0, Tableau1[[#This Row],[Nombre intervenants]]&lt;&gt;0,Tableau1[[#This Row],[Lien document]]&lt;&gt;0,Tableau1[[#This Row],[DMS_SAP]]&lt;&gt;0)=TRUE,"MIS A JOUR","")</f>
        <v/>
      </c>
      <c r="AA824" s="45"/>
      <c r="AB824" s="55" t="str">
        <f ca="1">IF(Tableau1[[#This Row],[Date rév.]]&lt;&gt;"", DAYS360(Tableau1[[#This Row],[Date rév.]],TODAY()),"")</f>
        <v/>
      </c>
      <c r="AC824" s="47">
        <f>IFERROR(INDEX(Chemin_accès!$B$11:$C$22,MATCH(Tableau1[[#This Row],[Type]],Chemin_accès!$C$11:$C$22,0),1),Chemin_accès!$B$11)</f>
        <v>0</v>
      </c>
      <c r="AD824" s="47" t="str">
        <f>Chemin_accès!$B$8&amp;Tableau1[[#This Row],[Localisation / Classement]]&amp;"\"&amp;Tableau1[[#This Row],[Poste technique]]&amp;"_"&amp;Tableau1[[#This Row],[Plan Entretien]]&amp;".xlsm"</f>
        <v>\_.xlsm</v>
      </c>
    </row>
    <row r="825" spans="1:30" x14ac:dyDescent="0.3">
      <c r="A825" s="41" t="str">
        <f t="shared" ca="1" si="12"/>
        <v>7.MNRJ</v>
      </c>
      <c r="B8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5" s="43"/>
      <c r="D825" s="41"/>
      <c r="E825" s="41"/>
      <c r="F825" s="44"/>
      <c r="G825" s="44"/>
      <c r="H825" s="48"/>
      <c r="I825" s="48"/>
      <c r="J825" s="48"/>
      <c r="K825" s="48"/>
      <c r="L825" s="43"/>
      <c r="M825" s="44"/>
      <c r="N825" s="43"/>
      <c r="O825" s="43"/>
      <c r="P825" s="44"/>
      <c r="Q825" s="43"/>
      <c r="R825" s="43"/>
      <c r="S825" s="45"/>
      <c r="T825" s="58" t="str">
        <f>IF(Tableau1[[#This Row],[DMS_SAP]]="","",HYPERLINK(Tableau1[[#This Row],[Chemin fichier source]],"X"))</f>
        <v/>
      </c>
      <c r="U825" s="58" t="str">
        <f>IF(Tableau1[[#This Row],[Date rév.]]="","",HYPERLINK(Tableau1[[#This Row],[Lien document]],"X"))</f>
        <v/>
      </c>
      <c r="V825" s="44"/>
      <c r="W825" s="46" t="str">
        <f ca="1">Chemin_accès!$B$2&amp;Tableau1[[#This Row],[Poste Responsable]]&amp;"\"&amp;Tableau1[[#This Row],[Localisation / Classement]]&amp;"\"&amp;Tableau1[[#This Row],[Poste technique]]&amp;"_"&amp;Tableau1[[#This Row],[Plan Entretien]]&amp;".pdf"</f>
        <v>\\stjn.local\trimet\Donnees_Projets\Dms Sap\Maintenance\PlanEntretien\7.MNRJ\\_.pdf</v>
      </c>
      <c r="X825" s="44"/>
      <c r="Y825" s="44"/>
      <c r="Z825" s="41" t="str">
        <f ca="1">IF(AND(Tableau1[[#This Row],[Charge]]&lt;&gt;0, Tableau1[[#This Row],[Nombre intervenants]]&lt;&gt;0,Tableau1[[#This Row],[Lien document]]&lt;&gt;0,Tableau1[[#This Row],[DMS_SAP]]&lt;&gt;0)=TRUE,"MIS A JOUR","")</f>
        <v/>
      </c>
      <c r="AA825" s="45"/>
      <c r="AB825" s="55" t="str">
        <f ca="1">IF(Tableau1[[#This Row],[Date rév.]]&lt;&gt;"", DAYS360(Tableau1[[#This Row],[Date rév.]],TODAY()),"")</f>
        <v/>
      </c>
      <c r="AC825" s="47">
        <f>IFERROR(INDEX(Chemin_accès!$B$11:$C$22,MATCH(Tableau1[[#This Row],[Type]],Chemin_accès!$C$11:$C$22,0),1),Chemin_accès!$B$11)</f>
        <v>0</v>
      </c>
      <c r="AD825" s="47" t="str">
        <f>Chemin_accès!$B$8&amp;Tableau1[[#This Row],[Localisation / Classement]]&amp;"\"&amp;Tableau1[[#This Row],[Poste technique]]&amp;"_"&amp;Tableau1[[#This Row],[Plan Entretien]]&amp;".xlsm"</f>
        <v>\_.xlsm</v>
      </c>
    </row>
    <row r="826" spans="1:30" x14ac:dyDescent="0.3">
      <c r="A826" s="41" t="str">
        <f t="shared" ca="1" si="12"/>
        <v>7.MNRJ</v>
      </c>
      <c r="B8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6" s="43"/>
      <c r="D826" s="41"/>
      <c r="E826" s="41"/>
      <c r="F826" s="44"/>
      <c r="G826" s="44"/>
      <c r="H826" s="48"/>
      <c r="I826" s="48"/>
      <c r="J826" s="48"/>
      <c r="K826" s="48"/>
      <c r="L826" s="43"/>
      <c r="M826" s="44"/>
      <c r="N826" s="43"/>
      <c r="O826" s="43"/>
      <c r="P826" s="44"/>
      <c r="Q826" s="43"/>
      <c r="R826" s="43"/>
      <c r="S826" s="45"/>
      <c r="T826" s="58" t="str">
        <f>IF(Tableau1[[#This Row],[DMS_SAP]]="","",HYPERLINK(Tableau1[[#This Row],[Chemin fichier source]],"X"))</f>
        <v/>
      </c>
      <c r="U826" s="58" t="str">
        <f>IF(Tableau1[[#This Row],[Date rév.]]="","",HYPERLINK(Tableau1[[#This Row],[Lien document]],"X"))</f>
        <v/>
      </c>
      <c r="V826" s="44"/>
      <c r="W826" s="46" t="str">
        <f ca="1">Chemin_accès!$B$2&amp;Tableau1[[#This Row],[Poste Responsable]]&amp;"\"&amp;Tableau1[[#This Row],[Localisation / Classement]]&amp;"\"&amp;Tableau1[[#This Row],[Poste technique]]&amp;"_"&amp;Tableau1[[#This Row],[Plan Entretien]]&amp;".pdf"</f>
        <v>\\stjn.local\trimet\Donnees_Projets\Dms Sap\Maintenance\PlanEntretien\7.MNRJ\\_.pdf</v>
      </c>
      <c r="X826" s="44"/>
      <c r="Y826" s="44"/>
      <c r="Z826" s="41" t="str">
        <f ca="1">IF(AND(Tableau1[[#This Row],[Charge]]&lt;&gt;0, Tableau1[[#This Row],[Nombre intervenants]]&lt;&gt;0,Tableau1[[#This Row],[Lien document]]&lt;&gt;0,Tableau1[[#This Row],[DMS_SAP]]&lt;&gt;0)=TRUE,"MIS A JOUR","")</f>
        <v/>
      </c>
      <c r="AA826" s="45"/>
      <c r="AB826" s="55" t="str">
        <f ca="1">IF(Tableau1[[#This Row],[Date rév.]]&lt;&gt;"", DAYS360(Tableau1[[#This Row],[Date rév.]],TODAY()),"")</f>
        <v/>
      </c>
      <c r="AC826" s="47">
        <f>IFERROR(INDEX(Chemin_accès!$B$11:$C$22,MATCH(Tableau1[[#This Row],[Type]],Chemin_accès!$C$11:$C$22,0),1),Chemin_accès!$B$11)</f>
        <v>0</v>
      </c>
      <c r="AD826" s="47" t="str">
        <f>Chemin_accès!$B$8&amp;Tableau1[[#This Row],[Localisation / Classement]]&amp;"\"&amp;Tableau1[[#This Row],[Poste technique]]&amp;"_"&amp;Tableau1[[#This Row],[Plan Entretien]]&amp;".xlsm"</f>
        <v>\_.xlsm</v>
      </c>
    </row>
    <row r="827" spans="1:30" x14ac:dyDescent="0.3">
      <c r="A827" s="41" t="str">
        <f t="shared" ca="1" si="12"/>
        <v>7.MNRJ</v>
      </c>
      <c r="B8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7" s="43"/>
      <c r="D827" s="41"/>
      <c r="E827" s="41"/>
      <c r="F827" s="44"/>
      <c r="G827" s="44"/>
      <c r="H827" s="48"/>
      <c r="I827" s="48"/>
      <c r="J827" s="48"/>
      <c r="K827" s="48"/>
      <c r="L827" s="43"/>
      <c r="M827" s="44"/>
      <c r="N827" s="43"/>
      <c r="O827" s="43"/>
      <c r="P827" s="44"/>
      <c r="Q827" s="43"/>
      <c r="R827" s="43"/>
      <c r="S827" s="45"/>
      <c r="T827" s="58" t="str">
        <f>IF(Tableau1[[#This Row],[DMS_SAP]]="","",HYPERLINK(Tableau1[[#This Row],[Chemin fichier source]],"X"))</f>
        <v/>
      </c>
      <c r="U827" s="58" t="str">
        <f>IF(Tableau1[[#This Row],[Date rév.]]="","",HYPERLINK(Tableau1[[#This Row],[Lien document]],"X"))</f>
        <v/>
      </c>
      <c r="V827" s="44"/>
      <c r="W827" s="46" t="str">
        <f ca="1">Chemin_accès!$B$2&amp;Tableau1[[#This Row],[Poste Responsable]]&amp;"\"&amp;Tableau1[[#This Row],[Localisation / Classement]]&amp;"\"&amp;Tableau1[[#This Row],[Poste technique]]&amp;"_"&amp;Tableau1[[#This Row],[Plan Entretien]]&amp;".pdf"</f>
        <v>\\stjn.local\trimet\Donnees_Projets\Dms Sap\Maintenance\PlanEntretien\7.MNRJ\\_.pdf</v>
      </c>
      <c r="X827" s="44"/>
      <c r="Y827" s="44"/>
      <c r="Z827" s="41" t="str">
        <f ca="1">IF(AND(Tableau1[[#This Row],[Charge]]&lt;&gt;0, Tableau1[[#This Row],[Nombre intervenants]]&lt;&gt;0,Tableau1[[#This Row],[Lien document]]&lt;&gt;0,Tableau1[[#This Row],[DMS_SAP]]&lt;&gt;0)=TRUE,"MIS A JOUR","")</f>
        <v/>
      </c>
      <c r="AA827" s="45"/>
      <c r="AB827" s="55" t="str">
        <f ca="1">IF(Tableau1[[#This Row],[Date rév.]]&lt;&gt;"", DAYS360(Tableau1[[#This Row],[Date rév.]],TODAY()),"")</f>
        <v/>
      </c>
      <c r="AC827" s="47">
        <f>IFERROR(INDEX(Chemin_accès!$B$11:$C$22,MATCH(Tableau1[[#This Row],[Type]],Chemin_accès!$C$11:$C$22,0),1),Chemin_accès!$B$11)</f>
        <v>0</v>
      </c>
      <c r="AD827" s="47" t="str">
        <f>Chemin_accès!$B$8&amp;Tableau1[[#This Row],[Localisation / Classement]]&amp;"\"&amp;Tableau1[[#This Row],[Poste technique]]&amp;"_"&amp;Tableau1[[#This Row],[Plan Entretien]]&amp;".xlsm"</f>
        <v>\_.xlsm</v>
      </c>
    </row>
    <row r="828" spans="1:30" x14ac:dyDescent="0.3">
      <c r="A828" s="41" t="str">
        <f t="shared" ca="1" si="12"/>
        <v>7.MNRJ</v>
      </c>
      <c r="B8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8" s="43"/>
      <c r="D828" s="41"/>
      <c r="E828" s="41"/>
      <c r="F828" s="44"/>
      <c r="G828" s="44"/>
      <c r="H828" s="48"/>
      <c r="I828" s="48"/>
      <c r="J828" s="48"/>
      <c r="K828" s="48"/>
      <c r="L828" s="43"/>
      <c r="M828" s="44"/>
      <c r="N828" s="43"/>
      <c r="O828" s="43"/>
      <c r="P828" s="44"/>
      <c r="Q828" s="43"/>
      <c r="R828" s="43"/>
      <c r="S828" s="45"/>
      <c r="T828" s="58" t="str">
        <f>IF(Tableau1[[#This Row],[DMS_SAP]]="","",HYPERLINK(Tableau1[[#This Row],[Chemin fichier source]],"X"))</f>
        <v/>
      </c>
      <c r="U828" s="58" t="str">
        <f>IF(Tableau1[[#This Row],[Date rév.]]="","",HYPERLINK(Tableau1[[#This Row],[Lien document]],"X"))</f>
        <v/>
      </c>
      <c r="V828" s="44"/>
      <c r="W828" s="46" t="str">
        <f ca="1">Chemin_accès!$B$2&amp;Tableau1[[#This Row],[Poste Responsable]]&amp;"\"&amp;Tableau1[[#This Row],[Localisation / Classement]]&amp;"\"&amp;Tableau1[[#This Row],[Poste technique]]&amp;"_"&amp;Tableau1[[#This Row],[Plan Entretien]]&amp;".pdf"</f>
        <v>\\stjn.local\trimet\Donnees_Projets\Dms Sap\Maintenance\PlanEntretien\7.MNRJ\\_.pdf</v>
      </c>
      <c r="X828" s="44"/>
      <c r="Y828" s="44"/>
      <c r="Z828" s="41" t="str">
        <f ca="1">IF(AND(Tableau1[[#This Row],[Charge]]&lt;&gt;0, Tableau1[[#This Row],[Nombre intervenants]]&lt;&gt;0,Tableau1[[#This Row],[Lien document]]&lt;&gt;0,Tableau1[[#This Row],[DMS_SAP]]&lt;&gt;0)=TRUE,"MIS A JOUR","")</f>
        <v/>
      </c>
      <c r="AA828" s="45"/>
      <c r="AB828" s="55" t="str">
        <f ca="1">IF(Tableau1[[#This Row],[Date rév.]]&lt;&gt;"", DAYS360(Tableau1[[#This Row],[Date rév.]],TODAY()),"")</f>
        <v/>
      </c>
      <c r="AC828" s="47">
        <f>IFERROR(INDEX(Chemin_accès!$B$11:$C$22,MATCH(Tableau1[[#This Row],[Type]],Chemin_accès!$C$11:$C$22,0),1),Chemin_accès!$B$11)</f>
        <v>0</v>
      </c>
      <c r="AD828" s="47" t="str">
        <f>Chemin_accès!$B$8&amp;Tableau1[[#This Row],[Localisation / Classement]]&amp;"\"&amp;Tableau1[[#This Row],[Poste technique]]&amp;"_"&amp;Tableau1[[#This Row],[Plan Entretien]]&amp;".xlsm"</f>
        <v>\_.xlsm</v>
      </c>
    </row>
    <row r="829" spans="1:30" x14ac:dyDescent="0.3">
      <c r="A829" s="41" t="str">
        <f t="shared" ca="1" si="12"/>
        <v>7.MNRJ</v>
      </c>
      <c r="B8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9" s="43"/>
      <c r="D829" s="41"/>
      <c r="E829" s="41"/>
      <c r="F829" s="44"/>
      <c r="G829" s="44"/>
      <c r="H829" s="48"/>
      <c r="I829" s="48"/>
      <c r="J829" s="48"/>
      <c r="K829" s="48"/>
      <c r="L829" s="43"/>
      <c r="M829" s="44"/>
      <c r="N829" s="43"/>
      <c r="O829" s="43"/>
      <c r="P829" s="44"/>
      <c r="Q829" s="43"/>
      <c r="R829" s="43"/>
      <c r="S829" s="45"/>
      <c r="T829" s="58" t="str">
        <f>IF(Tableau1[[#This Row],[DMS_SAP]]="","",HYPERLINK(Tableau1[[#This Row],[Chemin fichier source]],"X"))</f>
        <v/>
      </c>
      <c r="U829" s="58" t="str">
        <f>IF(Tableau1[[#This Row],[Date rév.]]="","",HYPERLINK(Tableau1[[#This Row],[Lien document]],"X"))</f>
        <v/>
      </c>
      <c r="V829" s="44"/>
      <c r="W829" s="46" t="str">
        <f ca="1">Chemin_accès!$B$2&amp;Tableau1[[#This Row],[Poste Responsable]]&amp;"\"&amp;Tableau1[[#This Row],[Localisation / Classement]]&amp;"\"&amp;Tableau1[[#This Row],[Poste technique]]&amp;"_"&amp;Tableau1[[#This Row],[Plan Entretien]]&amp;".pdf"</f>
        <v>\\stjn.local\trimet\Donnees_Projets\Dms Sap\Maintenance\PlanEntretien\7.MNRJ\\_.pdf</v>
      </c>
      <c r="X829" s="44"/>
      <c r="Y829" s="44"/>
      <c r="Z829" s="41" t="str">
        <f ca="1">IF(AND(Tableau1[[#This Row],[Charge]]&lt;&gt;0, Tableau1[[#This Row],[Nombre intervenants]]&lt;&gt;0,Tableau1[[#This Row],[Lien document]]&lt;&gt;0,Tableau1[[#This Row],[DMS_SAP]]&lt;&gt;0)=TRUE,"MIS A JOUR","")</f>
        <v/>
      </c>
      <c r="AA829" s="45"/>
      <c r="AB829" s="55" t="str">
        <f ca="1">IF(Tableau1[[#This Row],[Date rév.]]&lt;&gt;"", DAYS360(Tableau1[[#This Row],[Date rév.]],TODAY()),"")</f>
        <v/>
      </c>
      <c r="AC829" s="47">
        <f>IFERROR(INDEX(Chemin_accès!$B$11:$C$22,MATCH(Tableau1[[#This Row],[Type]],Chemin_accès!$C$11:$C$22,0),1),Chemin_accès!$B$11)</f>
        <v>0</v>
      </c>
      <c r="AD829" s="47" t="str">
        <f>Chemin_accès!$B$8&amp;Tableau1[[#This Row],[Localisation / Classement]]&amp;"\"&amp;Tableau1[[#This Row],[Poste technique]]&amp;"_"&amp;Tableau1[[#This Row],[Plan Entretien]]&amp;".xlsm"</f>
        <v>\_.xlsm</v>
      </c>
    </row>
    <row r="830" spans="1:30" x14ac:dyDescent="0.3">
      <c r="A830" s="41" t="str">
        <f t="shared" ca="1" si="12"/>
        <v>7.MNRJ</v>
      </c>
      <c r="B8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0" s="43"/>
      <c r="D830" s="41"/>
      <c r="E830" s="41"/>
      <c r="F830" s="44"/>
      <c r="G830" s="44"/>
      <c r="H830" s="48"/>
      <c r="I830" s="48"/>
      <c r="J830" s="48"/>
      <c r="K830" s="48"/>
      <c r="L830" s="43"/>
      <c r="M830" s="44"/>
      <c r="N830" s="43"/>
      <c r="O830" s="43"/>
      <c r="P830" s="44"/>
      <c r="Q830" s="43"/>
      <c r="R830" s="43"/>
      <c r="S830" s="45"/>
      <c r="T830" s="58" t="str">
        <f>IF(Tableau1[[#This Row],[DMS_SAP]]="","",HYPERLINK(Tableau1[[#This Row],[Chemin fichier source]],"X"))</f>
        <v/>
      </c>
      <c r="U830" s="58" t="str">
        <f>IF(Tableau1[[#This Row],[Date rév.]]="","",HYPERLINK(Tableau1[[#This Row],[Lien document]],"X"))</f>
        <v/>
      </c>
      <c r="V830" s="44"/>
      <c r="W830" s="46" t="str">
        <f ca="1">Chemin_accès!$B$2&amp;Tableau1[[#This Row],[Poste Responsable]]&amp;"\"&amp;Tableau1[[#This Row],[Localisation / Classement]]&amp;"\"&amp;Tableau1[[#This Row],[Poste technique]]&amp;"_"&amp;Tableau1[[#This Row],[Plan Entretien]]&amp;".pdf"</f>
        <v>\\stjn.local\trimet\Donnees_Projets\Dms Sap\Maintenance\PlanEntretien\7.MNRJ\\_.pdf</v>
      </c>
      <c r="X830" s="44"/>
      <c r="Y830" s="44"/>
      <c r="Z830" s="41" t="str">
        <f ca="1">IF(AND(Tableau1[[#This Row],[Charge]]&lt;&gt;0, Tableau1[[#This Row],[Nombre intervenants]]&lt;&gt;0,Tableau1[[#This Row],[Lien document]]&lt;&gt;0,Tableau1[[#This Row],[DMS_SAP]]&lt;&gt;0)=TRUE,"MIS A JOUR","")</f>
        <v/>
      </c>
      <c r="AA830" s="45"/>
      <c r="AB830" s="55" t="str">
        <f ca="1">IF(Tableau1[[#This Row],[Date rév.]]&lt;&gt;"", DAYS360(Tableau1[[#This Row],[Date rév.]],TODAY()),"")</f>
        <v/>
      </c>
      <c r="AC830" s="47">
        <f>IFERROR(INDEX(Chemin_accès!$B$11:$C$22,MATCH(Tableau1[[#This Row],[Type]],Chemin_accès!$C$11:$C$22,0),1),Chemin_accès!$B$11)</f>
        <v>0</v>
      </c>
      <c r="AD830" s="47" t="str">
        <f>Chemin_accès!$B$8&amp;Tableau1[[#This Row],[Localisation / Classement]]&amp;"\"&amp;Tableau1[[#This Row],[Poste technique]]&amp;"_"&amp;Tableau1[[#This Row],[Plan Entretien]]&amp;".xlsm"</f>
        <v>\_.xlsm</v>
      </c>
    </row>
    <row r="831" spans="1:30" x14ac:dyDescent="0.3">
      <c r="A831" s="41" t="str">
        <f t="shared" ca="1" si="12"/>
        <v>7.MNRJ</v>
      </c>
      <c r="B8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1" s="43"/>
      <c r="D831" s="41"/>
      <c r="E831" s="41"/>
      <c r="F831" s="44"/>
      <c r="G831" s="44"/>
      <c r="H831" s="48"/>
      <c r="I831" s="48"/>
      <c r="J831" s="48"/>
      <c r="K831" s="48"/>
      <c r="L831" s="43"/>
      <c r="M831" s="44"/>
      <c r="N831" s="43"/>
      <c r="O831" s="43"/>
      <c r="P831" s="44"/>
      <c r="Q831" s="43"/>
      <c r="R831" s="43"/>
      <c r="S831" s="45"/>
      <c r="T831" s="58" t="str">
        <f>IF(Tableau1[[#This Row],[DMS_SAP]]="","",HYPERLINK(Tableau1[[#This Row],[Chemin fichier source]],"X"))</f>
        <v/>
      </c>
      <c r="U831" s="58" t="str">
        <f>IF(Tableau1[[#This Row],[Date rév.]]="","",HYPERLINK(Tableau1[[#This Row],[Lien document]],"X"))</f>
        <v/>
      </c>
      <c r="V831" s="44"/>
      <c r="W831" s="46" t="str">
        <f ca="1">Chemin_accès!$B$2&amp;Tableau1[[#This Row],[Poste Responsable]]&amp;"\"&amp;Tableau1[[#This Row],[Localisation / Classement]]&amp;"\"&amp;Tableau1[[#This Row],[Poste technique]]&amp;"_"&amp;Tableau1[[#This Row],[Plan Entretien]]&amp;".pdf"</f>
        <v>\\stjn.local\trimet\Donnees_Projets\Dms Sap\Maintenance\PlanEntretien\7.MNRJ\\_.pdf</v>
      </c>
      <c r="X831" s="44"/>
      <c r="Y831" s="44"/>
      <c r="Z831" s="41" t="str">
        <f ca="1">IF(AND(Tableau1[[#This Row],[Charge]]&lt;&gt;0, Tableau1[[#This Row],[Nombre intervenants]]&lt;&gt;0,Tableau1[[#This Row],[Lien document]]&lt;&gt;0,Tableau1[[#This Row],[DMS_SAP]]&lt;&gt;0)=TRUE,"MIS A JOUR","")</f>
        <v/>
      </c>
      <c r="AA831" s="45"/>
      <c r="AB831" s="55" t="str">
        <f ca="1">IF(Tableau1[[#This Row],[Date rév.]]&lt;&gt;"", DAYS360(Tableau1[[#This Row],[Date rév.]],TODAY()),"")</f>
        <v/>
      </c>
      <c r="AC831" s="47">
        <f>IFERROR(INDEX(Chemin_accès!$B$11:$C$22,MATCH(Tableau1[[#This Row],[Type]],Chemin_accès!$C$11:$C$22,0),1),Chemin_accès!$B$11)</f>
        <v>0</v>
      </c>
      <c r="AD831" s="47" t="str">
        <f>Chemin_accès!$B$8&amp;Tableau1[[#This Row],[Localisation / Classement]]&amp;"\"&amp;Tableau1[[#This Row],[Poste technique]]&amp;"_"&amp;Tableau1[[#This Row],[Plan Entretien]]&amp;".xlsm"</f>
        <v>\_.xlsm</v>
      </c>
    </row>
    <row r="832" spans="1:30" x14ac:dyDescent="0.3">
      <c r="A832" s="41" t="str">
        <f t="shared" ca="1" si="12"/>
        <v>7.MNRJ</v>
      </c>
      <c r="B8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2" s="43"/>
      <c r="D832" s="41"/>
      <c r="E832" s="41"/>
      <c r="F832" s="44"/>
      <c r="G832" s="44"/>
      <c r="H832" s="48"/>
      <c r="I832" s="48"/>
      <c r="J832" s="48"/>
      <c r="K832" s="48"/>
      <c r="L832" s="43"/>
      <c r="M832" s="44"/>
      <c r="N832" s="43"/>
      <c r="O832" s="43"/>
      <c r="P832" s="44"/>
      <c r="Q832" s="43"/>
      <c r="R832" s="43"/>
      <c r="S832" s="45"/>
      <c r="T832" s="58" t="str">
        <f>IF(Tableau1[[#This Row],[DMS_SAP]]="","",HYPERLINK(Tableau1[[#This Row],[Chemin fichier source]],"X"))</f>
        <v/>
      </c>
      <c r="U832" s="58" t="str">
        <f>IF(Tableau1[[#This Row],[Date rév.]]="","",HYPERLINK(Tableau1[[#This Row],[Lien document]],"X"))</f>
        <v/>
      </c>
      <c r="V832" s="44"/>
      <c r="W832" s="46" t="str">
        <f ca="1">Chemin_accès!$B$2&amp;Tableau1[[#This Row],[Poste Responsable]]&amp;"\"&amp;Tableau1[[#This Row],[Localisation / Classement]]&amp;"\"&amp;Tableau1[[#This Row],[Poste technique]]&amp;"_"&amp;Tableau1[[#This Row],[Plan Entretien]]&amp;".pdf"</f>
        <v>\\stjn.local\trimet\Donnees_Projets\Dms Sap\Maintenance\PlanEntretien\7.MNRJ\\_.pdf</v>
      </c>
      <c r="X832" s="44"/>
      <c r="Y832" s="44"/>
      <c r="Z832" s="41" t="str">
        <f ca="1">IF(AND(Tableau1[[#This Row],[Charge]]&lt;&gt;0, Tableau1[[#This Row],[Nombre intervenants]]&lt;&gt;0,Tableau1[[#This Row],[Lien document]]&lt;&gt;0,Tableau1[[#This Row],[DMS_SAP]]&lt;&gt;0)=TRUE,"MIS A JOUR","")</f>
        <v/>
      </c>
      <c r="AA832" s="45"/>
      <c r="AB832" s="55" t="str">
        <f ca="1">IF(Tableau1[[#This Row],[Date rév.]]&lt;&gt;"", DAYS360(Tableau1[[#This Row],[Date rév.]],TODAY()),"")</f>
        <v/>
      </c>
      <c r="AC832" s="47">
        <f>IFERROR(INDEX(Chemin_accès!$B$11:$C$22,MATCH(Tableau1[[#This Row],[Type]],Chemin_accès!$C$11:$C$22,0),1),Chemin_accès!$B$11)</f>
        <v>0</v>
      </c>
      <c r="AD832" s="47" t="str">
        <f>Chemin_accès!$B$8&amp;Tableau1[[#This Row],[Localisation / Classement]]&amp;"\"&amp;Tableau1[[#This Row],[Poste technique]]&amp;"_"&amp;Tableau1[[#This Row],[Plan Entretien]]&amp;".xlsm"</f>
        <v>\_.xlsm</v>
      </c>
    </row>
    <row r="833" spans="1:30" x14ac:dyDescent="0.3">
      <c r="A833" s="41" t="str">
        <f t="shared" ca="1" si="12"/>
        <v>7.MNRJ</v>
      </c>
      <c r="B8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3" s="43"/>
      <c r="D833" s="41"/>
      <c r="E833" s="41"/>
      <c r="F833" s="44"/>
      <c r="G833" s="44"/>
      <c r="H833" s="48"/>
      <c r="I833" s="48"/>
      <c r="J833" s="48"/>
      <c r="K833" s="48"/>
      <c r="L833" s="43"/>
      <c r="M833" s="44"/>
      <c r="N833" s="43"/>
      <c r="O833" s="43"/>
      <c r="P833" s="44"/>
      <c r="Q833" s="43"/>
      <c r="R833" s="43"/>
      <c r="S833" s="45"/>
      <c r="T833" s="58" t="str">
        <f>IF(Tableau1[[#This Row],[DMS_SAP]]="","",HYPERLINK(Tableau1[[#This Row],[Chemin fichier source]],"X"))</f>
        <v/>
      </c>
      <c r="U833" s="58" t="str">
        <f>IF(Tableau1[[#This Row],[Date rév.]]="","",HYPERLINK(Tableau1[[#This Row],[Lien document]],"X"))</f>
        <v/>
      </c>
      <c r="V833" s="44"/>
      <c r="W833" s="46" t="str">
        <f ca="1">Chemin_accès!$B$2&amp;Tableau1[[#This Row],[Poste Responsable]]&amp;"\"&amp;Tableau1[[#This Row],[Localisation / Classement]]&amp;"\"&amp;Tableau1[[#This Row],[Poste technique]]&amp;"_"&amp;Tableau1[[#This Row],[Plan Entretien]]&amp;".pdf"</f>
        <v>\\stjn.local\trimet\Donnees_Projets\Dms Sap\Maintenance\PlanEntretien\7.MNRJ\\_.pdf</v>
      </c>
      <c r="X833" s="44"/>
      <c r="Y833" s="44"/>
      <c r="Z833" s="41" t="str">
        <f ca="1">IF(AND(Tableau1[[#This Row],[Charge]]&lt;&gt;0, Tableau1[[#This Row],[Nombre intervenants]]&lt;&gt;0,Tableau1[[#This Row],[Lien document]]&lt;&gt;0,Tableau1[[#This Row],[DMS_SAP]]&lt;&gt;0)=TRUE,"MIS A JOUR","")</f>
        <v/>
      </c>
      <c r="AA833" s="45"/>
      <c r="AB833" s="55" t="str">
        <f ca="1">IF(Tableau1[[#This Row],[Date rév.]]&lt;&gt;"", DAYS360(Tableau1[[#This Row],[Date rév.]],TODAY()),"")</f>
        <v/>
      </c>
      <c r="AC833" s="47">
        <f>IFERROR(INDEX(Chemin_accès!$B$11:$C$22,MATCH(Tableau1[[#This Row],[Type]],Chemin_accès!$C$11:$C$22,0),1),Chemin_accès!$B$11)</f>
        <v>0</v>
      </c>
      <c r="AD833" s="47" t="str">
        <f>Chemin_accès!$B$8&amp;Tableau1[[#This Row],[Localisation / Classement]]&amp;"\"&amp;Tableau1[[#This Row],[Poste technique]]&amp;"_"&amp;Tableau1[[#This Row],[Plan Entretien]]&amp;".xlsm"</f>
        <v>\_.xlsm</v>
      </c>
    </row>
    <row r="834" spans="1:30" x14ac:dyDescent="0.3">
      <c r="A834" s="41" t="str">
        <f t="shared" ca="1" si="12"/>
        <v>7.MNRJ</v>
      </c>
      <c r="B8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4" s="43"/>
      <c r="D834" s="41"/>
      <c r="E834" s="41"/>
      <c r="F834" s="44"/>
      <c r="G834" s="44"/>
      <c r="H834" s="48"/>
      <c r="I834" s="48"/>
      <c r="J834" s="48"/>
      <c r="K834" s="48"/>
      <c r="L834" s="43"/>
      <c r="M834" s="44"/>
      <c r="N834" s="43"/>
      <c r="O834" s="43"/>
      <c r="P834" s="44"/>
      <c r="Q834" s="43"/>
      <c r="R834" s="43"/>
      <c r="S834" s="45"/>
      <c r="T834" s="58" t="str">
        <f>IF(Tableau1[[#This Row],[DMS_SAP]]="","",HYPERLINK(Tableau1[[#This Row],[Chemin fichier source]],"X"))</f>
        <v/>
      </c>
      <c r="U834" s="58" t="str">
        <f>IF(Tableau1[[#This Row],[Date rév.]]="","",HYPERLINK(Tableau1[[#This Row],[Lien document]],"X"))</f>
        <v/>
      </c>
      <c r="V834" s="44"/>
      <c r="W834" s="46" t="str">
        <f ca="1">Chemin_accès!$B$2&amp;Tableau1[[#This Row],[Poste Responsable]]&amp;"\"&amp;Tableau1[[#This Row],[Localisation / Classement]]&amp;"\"&amp;Tableau1[[#This Row],[Poste technique]]&amp;"_"&amp;Tableau1[[#This Row],[Plan Entretien]]&amp;".pdf"</f>
        <v>\\stjn.local\trimet\Donnees_Projets\Dms Sap\Maintenance\PlanEntretien\7.MNRJ\\_.pdf</v>
      </c>
      <c r="X834" s="44"/>
      <c r="Y834" s="44"/>
      <c r="Z834" s="41" t="str">
        <f ca="1">IF(AND(Tableau1[[#This Row],[Charge]]&lt;&gt;0, Tableau1[[#This Row],[Nombre intervenants]]&lt;&gt;0,Tableau1[[#This Row],[Lien document]]&lt;&gt;0,Tableau1[[#This Row],[DMS_SAP]]&lt;&gt;0)=TRUE,"MIS A JOUR","")</f>
        <v/>
      </c>
      <c r="AA834" s="45"/>
      <c r="AB834" s="55" t="str">
        <f ca="1">IF(Tableau1[[#This Row],[Date rév.]]&lt;&gt;"", DAYS360(Tableau1[[#This Row],[Date rév.]],TODAY()),"")</f>
        <v/>
      </c>
      <c r="AC834" s="47">
        <f>IFERROR(INDEX(Chemin_accès!$B$11:$C$22,MATCH(Tableau1[[#This Row],[Type]],Chemin_accès!$C$11:$C$22,0),1),Chemin_accès!$B$11)</f>
        <v>0</v>
      </c>
      <c r="AD834" s="47" t="str">
        <f>Chemin_accès!$B$8&amp;Tableau1[[#This Row],[Localisation / Classement]]&amp;"\"&amp;Tableau1[[#This Row],[Poste technique]]&amp;"_"&amp;Tableau1[[#This Row],[Plan Entretien]]&amp;".xlsm"</f>
        <v>\_.xlsm</v>
      </c>
    </row>
    <row r="835" spans="1:30" x14ac:dyDescent="0.3">
      <c r="A835" s="41" t="str">
        <f t="shared" ref="A835:A898" ca="1" si="13">MID(CELL("filename",$A$1),FIND("]",CELL("filename",$A$1))+1,32)</f>
        <v>7.MNRJ</v>
      </c>
      <c r="B8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5" s="43"/>
      <c r="D835" s="41"/>
      <c r="E835" s="41"/>
      <c r="F835" s="44"/>
      <c r="G835" s="44"/>
      <c r="H835" s="48"/>
      <c r="I835" s="48"/>
      <c r="J835" s="48"/>
      <c r="K835" s="48"/>
      <c r="L835" s="43"/>
      <c r="M835" s="44"/>
      <c r="N835" s="43"/>
      <c r="O835" s="43"/>
      <c r="P835" s="44"/>
      <c r="Q835" s="43"/>
      <c r="R835" s="43"/>
      <c r="S835" s="45"/>
      <c r="T835" s="58" t="str">
        <f>IF(Tableau1[[#This Row],[DMS_SAP]]="","",HYPERLINK(Tableau1[[#This Row],[Chemin fichier source]],"X"))</f>
        <v/>
      </c>
      <c r="U835" s="58" t="str">
        <f>IF(Tableau1[[#This Row],[Date rév.]]="","",HYPERLINK(Tableau1[[#This Row],[Lien document]],"X"))</f>
        <v/>
      </c>
      <c r="V835" s="44"/>
      <c r="W835" s="46" t="str">
        <f ca="1">Chemin_accès!$B$2&amp;Tableau1[[#This Row],[Poste Responsable]]&amp;"\"&amp;Tableau1[[#This Row],[Localisation / Classement]]&amp;"\"&amp;Tableau1[[#This Row],[Poste technique]]&amp;"_"&amp;Tableau1[[#This Row],[Plan Entretien]]&amp;".pdf"</f>
        <v>\\stjn.local\trimet\Donnees_Projets\Dms Sap\Maintenance\PlanEntretien\7.MNRJ\\_.pdf</v>
      </c>
      <c r="X835" s="44"/>
      <c r="Y835" s="44"/>
      <c r="Z835" s="41" t="str">
        <f ca="1">IF(AND(Tableau1[[#This Row],[Charge]]&lt;&gt;0, Tableau1[[#This Row],[Nombre intervenants]]&lt;&gt;0,Tableau1[[#This Row],[Lien document]]&lt;&gt;0,Tableau1[[#This Row],[DMS_SAP]]&lt;&gt;0)=TRUE,"MIS A JOUR","")</f>
        <v/>
      </c>
      <c r="AA835" s="45"/>
      <c r="AB835" s="55" t="str">
        <f ca="1">IF(Tableau1[[#This Row],[Date rév.]]&lt;&gt;"", DAYS360(Tableau1[[#This Row],[Date rév.]],TODAY()),"")</f>
        <v/>
      </c>
      <c r="AC835" s="47">
        <f>IFERROR(INDEX(Chemin_accès!$B$11:$C$22,MATCH(Tableau1[[#This Row],[Type]],Chemin_accès!$C$11:$C$22,0),1),Chemin_accès!$B$11)</f>
        <v>0</v>
      </c>
      <c r="AD835" s="47" t="str">
        <f>Chemin_accès!$B$8&amp;Tableau1[[#This Row],[Localisation / Classement]]&amp;"\"&amp;Tableau1[[#This Row],[Poste technique]]&amp;"_"&amp;Tableau1[[#This Row],[Plan Entretien]]&amp;".xlsm"</f>
        <v>\_.xlsm</v>
      </c>
    </row>
    <row r="836" spans="1:30" x14ac:dyDescent="0.3">
      <c r="A836" s="41" t="str">
        <f t="shared" ca="1" si="13"/>
        <v>7.MNRJ</v>
      </c>
      <c r="B8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6" s="43"/>
      <c r="D836" s="41"/>
      <c r="E836" s="41"/>
      <c r="F836" s="44"/>
      <c r="G836" s="44"/>
      <c r="H836" s="48"/>
      <c r="I836" s="48"/>
      <c r="J836" s="48"/>
      <c r="K836" s="48"/>
      <c r="L836" s="43"/>
      <c r="M836" s="44"/>
      <c r="N836" s="43"/>
      <c r="O836" s="43"/>
      <c r="P836" s="44"/>
      <c r="Q836" s="43"/>
      <c r="R836" s="43"/>
      <c r="S836" s="45"/>
      <c r="T836" s="58" t="str">
        <f>IF(Tableau1[[#This Row],[DMS_SAP]]="","",HYPERLINK(Tableau1[[#This Row],[Chemin fichier source]],"X"))</f>
        <v/>
      </c>
      <c r="U836" s="58" t="str">
        <f>IF(Tableau1[[#This Row],[Date rév.]]="","",HYPERLINK(Tableau1[[#This Row],[Lien document]],"X"))</f>
        <v/>
      </c>
      <c r="V836" s="44"/>
      <c r="W836" s="46" t="str">
        <f ca="1">Chemin_accès!$B$2&amp;Tableau1[[#This Row],[Poste Responsable]]&amp;"\"&amp;Tableau1[[#This Row],[Localisation / Classement]]&amp;"\"&amp;Tableau1[[#This Row],[Poste technique]]&amp;"_"&amp;Tableau1[[#This Row],[Plan Entretien]]&amp;".pdf"</f>
        <v>\\stjn.local\trimet\Donnees_Projets\Dms Sap\Maintenance\PlanEntretien\7.MNRJ\\_.pdf</v>
      </c>
      <c r="X836" s="44"/>
      <c r="Y836" s="44"/>
      <c r="Z836" s="41" t="str">
        <f ca="1">IF(AND(Tableau1[[#This Row],[Charge]]&lt;&gt;0, Tableau1[[#This Row],[Nombre intervenants]]&lt;&gt;0,Tableau1[[#This Row],[Lien document]]&lt;&gt;0,Tableau1[[#This Row],[DMS_SAP]]&lt;&gt;0)=TRUE,"MIS A JOUR","")</f>
        <v/>
      </c>
      <c r="AA836" s="45"/>
      <c r="AB836" s="55" t="str">
        <f ca="1">IF(Tableau1[[#This Row],[Date rév.]]&lt;&gt;"", DAYS360(Tableau1[[#This Row],[Date rév.]],TODAY()),"")</f>
        <v/>
      </c>
      <c r="AC836" s="47">
        <f>IFERROR(INDEX(Chemin_accès!$B$11:$C$22,MATCH(Tableau1[[#This Row],[Type]],Chemin_accès!$C$11:$C$22,0),1),Chemin_accès!$B$11)</f>
        <v>0</v>
      </c>
      <c r="AD836" s="47" t="str">
        <f>Chemin_accès!$B$8&amp;Tableau1[[#This Row],[Localisation / Classement]]&amp;"\"&amp;Tableau1[[#This Row],[Poste technique]]&amp;"_"&amp;Tableau1[[#This Row],[Plan Entretien]]&amp;".xlsm"</f>
        <v>\_.xlsm</v>
      </c>
    </row>
    <row r="837" spans="1:30" x14ac:dyDescent="0.3">
      <c r="A837" s="41" t="str">
        <f t="shared" ca="1" si="13"/>
        <v>7.MNRJ</v>
      </c>
      <c r="B8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7" s="43"/>
      <c r="D837" s="41"/>
      <c r="E837" s="41"/>
      <c r="F837" s="44"/>
      <c r="G837" s="44"/>
      <c r="H837" s="48"/>
      <c r="I837" s="48"/>
      <c r="J837" s="48"/>
      <c r="K837" s="48"/>
      <c r="L837" s="43"/>
      <c r="M837" s="44"/>
      <c r="N837" s="43"/>
      <c r="O837" s="43"/>
      <c r="P837" s="44"/>
      <c r="Q837" s="43"/>
      <c r="R837" s="43"/>
      <c r="S837" s="45"/>
      <c r="T837" s="58" t="str">
        <f>IF(Tableau1[[#This Row],[DMS_SAP]]="","",HYPERLINK(Tableau1[[#This Row],[Chemin fichier source]],"X"))</f>
        <v/>
      </c>
      <c r="U837" s="58" t="str">
        <f>IF(Tableau1[[#This Row],[Date rév.]]="","",HYPERLINK(Tableau1[[#This Row],[Lien document]],"X"))</f>
        <v/>
      </c>
      <c r="V837" s="44"/>
      <c r="W837" s="46" t="str">
        <f ca="1">Chemin_accès!$B$2&amp;Tableau1[[#This Row],[Poste Responsable]]&amp;"\"&amp;Tableau1[[#This Row],[Localisation / Classement]]&amp;"\"&amp;Tableau1[[#This Row],[Poste technique]]&amp;"_"&amp;Tableau1[[#This Row],[Plan Entretien]]&amp;".pdf"</f>
        <v>\\stjn.local\trimet\Donnees_Projets\Dms Sap\Maintenance\PlanEntretien\7.MNRJ\\_.pdf</v>
      </c>
      <c r="X837" s="44"/>
      <c r="Y837" s="44"/>
      <c r="Z837" s="41" t="str">
        <f ca="1">IF(AND(Tableau1[[#This Row],[Charge]]&lt;&gt;0, Tableau1[[#This Row],[Nombre intervenants]]&lt;&gt;0,Tableau1[[#This Row],[Lien document]]&lt;&gt;0,Tableau1[[#This Row],[DMS_SAP]]&lt;&gt;0)=TRUE,"MIS A JOUR","")</f>
        <v/>
      </c>
      <c r="AA837" s="45"/>
      <c r="AB837" s="55" t="str">
        <f ca="1">IF(Tableau1[[#This Row],[Date rév.]]&lt;&gt;"", DAYS360(Tableau1[[#This Row],[Date rév.]],TODAY()),"")</f>
        <v/>
      </c>
      <c r="AC837" s="47">
        <f>IFERROR(INDEX(Chemin_accès!$B$11:$C$22,MATCH(Tableau1[[#This Row],[Type]],Chemin_accès!$C$11:$C$22,0),1),Chemin_accès!$B$11)</f>
        <v>0</v>
      </c>
      <c r="AD837" s="47" t="str">
        <f>Chemin_accès!$B$8&amp;Tableau1[[#This Row],[Localisation / Classement]]&amp;"\"&amp;Tableau1[[#This Row],[Poste technique]]&amp;"_"&amp;Tableau1[[#This Row],[Plan Entretien]]&amp;".xlsm"</f>
        <v>\_.xlsm</v>
      </c>
    </row>
    <row r="838" spans="1:30" x14ac:dyDescent="0.3">
      <c r="A838" s="41" t="str">
        <f t="shared" ca="1" si="13"/>
        <v>7.MNRJ</v>
      </c>
      <c r="B8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8" s="43"/>
      <c r="D838" s="41"/>
      <c r="E838" s="41"/>
      <c r="F838" s="44"/>
      <c r="G838" s="44"/>
      <c r="H838" s="48"/>
      <c r="I838" s="48"/>
      <c r="J838" s="48"/>
      <c r="K838" s="48"/>
      <c r="L838" s="43"/>
      <c r="M838" s="44"/>
      <c r="N838" s="43"/>
      <c r="O838" s="43"/>
      <c r="P838" s="44"/>
      <c r="Q838" s="43"/>
      <c r="R838" s="43"/>
      <c r="S838" s="45"/>
      <c r="T838" s="58" t="str">
        <f>IF(Tableau1[[#This Row],[DMS_SAP]]="","",HYPERLINK(Tableau1[[#This Row],[Chemin fichier source]],"X"))</f>
        <v/>
      </c>
      <c r="U838" s="58" t="str">
        <f>IF(Tableau1[[#This Row],[Date rév.]]="","",HYPERLINK(Tableau1[[#This Row],[Lien document]],"X"))</f>
        <v/>
      </c>
      <c r="V838" s="44"/>
      <c r="W838" s="46" t="str">
        <f ca="1">Chemin_accès!$B$2&amp;Tableau1[[#This Row],[Poste Responsable]]&amp;"\"&amp;Tableau1[[#This Row],[Localisation / Classement]]&amp;"\"&amp;Tableau1[[#This Row],[Poste technique]]&amp;"_"&amp;Tableau1[[#This Row],[Plan Entretien]]&amp;".pdf"</f>
        <v>\\stjn.local\trimet\Donnees_Projets\Dms Sap\Maintenance\PlanEntretien\7.MNRJ\\_.pdf</v>
      </c>
      <c r="X838" s="44"/>
      <c r="Y838" s="44"/>
      <c r="Z838" s="41" t="str">
        <f ca="1">IF(AND(Tableau1[[#This Row],[Charge]]&lt;&gt;0, Tableau1[[#This Row],[Nombre intervenants]]&lt;&gt;0,Tableau1[[#This Row],[Lien document]]&lt;&gt;0,Tableau1[[#This Row],[DMS_SAP]]&lt;&gt;0)=TRUE,"MIS A JOUR","")</f>
        <v/>
      </c>
      <c r="AA838" s="45"/>
      <c r="AB838" s="55" t="str">
        <f ca="1">IF(Tableau1[[#This Row],[Date rév.]]&lt;&gt;"", DAYS360(Tableau1[[#This Row],[Date rév.]],TODAY()),"")</f>
        <v/>
      </c>
      <c r="AC838" s="47">
        <f>IFERROR(INDEX(Chemin_accès!$B$11:$C$22,MATCH(Tableau1[[#This Row],[Type]],Chemin_accès!$C$11:$C$22,0),1),Chemin_accès!$B$11)</f>
        <v>0</v>
      </c>
      <c r="AD838" s="47" t="str">
        <f>Chemin_accès!$B$8&amp;Tableau1[[#This Row],[Localisation / Classement]]&amp;"\"&amp;Tableau1[[#This Row],[Poste technique]]&amp;"_"&amp;Tableau1[[#This Row],[Plan Entretien]]&amp;".xlsm"</f>
        <v>\_.xlsm</v>
      </c>
    </row>
    <row r="839" spans="1:30" x14ac:dyDescent="0.3">
      <c r="A839" s="41" t="str">
        <f t="shared" ca="1" si="13"/>
        <v>7.MNRJ</v>
      </c>
      <c r="B8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9" s="43"/>
      <c r="D839" s="41"/>
      <c r="E839" s="41"/>
      <c r="F839" s="44"/>
      <c r="G839" s="44"/>
      <c r="H839" s="48"/>
      <c r="I839" s="48"/>
      <c r="J839" s="48"/>
      <c r="K839" s="48"/>
      <c r="L839" s="43"/>
      <c r="M839" s="44"/>
      <c r="N839" s="43"/>
      <c r="O839" s="43"/>
      <c r="P839" s="44"/>
      <c r="Q839" s="43"/>
      <c r="R839" s="43"/>
      <c r="S839" s="45"/>
      <c r="T839" s="58" t="str">
        <f>IF(Tableau1[[#This Row],[DMS_SAP]]="","",HYPERLINK(Tableau1[[#This Row],[Chemin fichier source]],"X"))</f>
        <v/>
      </c>
      <c r="U839" s="58" t="str">
        <f>IF(Tableau1[[#This Row],[Date rév.]]="","",HYPERLINK(Tableau1[[#This Row],[Lien document]],"X"))</f>
        <v/>
      </c>
      <c r="V839" s="44"/>
      <c r="W839" s="46" t="str">
        <f ca="1">Chemin_accès!$B$2&amp;Tableau1[[#This Row],[Poste Responsable]]&amp;"\"&amp;Tableau1[[#This Row],[Localisation / Classement]]&amp;"\"&amp;Tableau1[[#This Row],[Poste technique]]&amp;"_"&amp;Tableau1[[#This Row],[Plan Entretien]]&amp;".pdf"</f>
        <v>\\stjn.local\trimet\Donnees_Projets\Dms Sap\Maintenance\PlanEntretien\7.MNRJ\\_.pdf</v>
      </c>
      <c r="X839" s="44"/>
      <c r="Y839" s="44"/>
      <c r="Z839" s="41" t="str">
        <f ca="1">IF(AND(Tableau1[[#This Row],[Charge]]&lt;&gt;0, Tableau1[[#This Row],[Nombre intervenants]]&lt;&gt;0,Tableau1[[#This Row],[Lien document]]&lt;&gt;0,Tableau1[[#This Row],[DMS_SAP]]&lt;&gt;0)=TRUE,"MIS A JOUR","")</f>
        <v/>
      </c>
      <c r="AA839" s="45"/>
      <c r="AB839" s="55" t="str">
        <f ca="1">IF(Tableau1[[#This Row],[Date rév.]]&lt;&gt;"", DAYS360(Tableau1[[#This Row],[Date rév.]],TODAY()),"")</f>
        <v/>
      </c>
      <c r="AC839" s="47">
        <f>IFERROR(INDEX(Chemin_accès!$B$11:$C$22,MATCH(Tableau1[[#This Row],[Type]],Chemin_accès!$C$11:$C$22,0),1),Chemin_accès!$B$11)</f>
        <v>0</v>
      </c>
      <c r="AD839" s="47" t="str">
        <f>Chemin_accès!$B$8&amp;Tableau1[[#This Row],[Localisation / Classement]]&amp;"\"&amp;Tableau1[[#This Row],[Poste technique]]&amp;"_"&amp;Tableau1[[#This Row],[Plan Entretien]]&amp;".xlsm"</f>
        <v>\_.xlsm</v>
      </c>
    </row>
    <row r="840" spans="1:30" x14ac:dyDescent="0.3">
      <c r="A840" s="41" t="str">
        <f t="shared" ca="1" si="13"/>
        <v>7.MNRJ</v>
      </c>
      <c r="B8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0" s="43"/>
      <c r="D840" s="41"/>
      <c r="E840" s="41"/>
      <c r="F840" s="44"/>
      <c r="G840" s="44"/>
      <c r="H840" s="48"/>
      <c r="I840" s="48"/>
      <c r="J840" s="48"/>
      <c r="K840" s="48"/>
      <c r="L840" s="43"/>
      <c r="M840" s="44"/>
      <c r="N840" s="43"/>
      <c r="O840" s="43"/>
      <c r="P840" s="44"/>
      <c r="Q840" s="43"/>
      <c r="R840" s="43"/>
      <c r="S840" s="45"/>
      <c r="T840" s="58" t="str">
        <f>IF(Tableau1[[#This Row],[DMS_SAP]]="","",HYPERLINK(Tableau1[[#This Row],[Chemin fichier source]],"X"))</f>
        <v/>
      </c>
      <c r="U840" s="58" t="str">
        <f>IF(Tableau1[[#This Row],[Date rév.]]="","",HYPERLINK(Tableau1[[#This Row],[Lien document]],"X"))</f>
        <v/>
      </c>
      <c r="V840" s="44"/>
      <c r="W840" s="46" t="str">
        <f ca="1">Chemin_accès!$B$2&amp;Tableau1[[#This Row],[Poste Responsable]]&amp;"\"&amp;Tableau1[[#This Row],[Localisation / Classement]]&amp;"\"&amp;Tableau1[[#This Row],[Poste technique]]&amp;"_"&amp;Tableau1[[#This Row],[Plan Entretien]]&amp;".pdf"</f>
        <v>\\stjn.local\trimet\Donnees_Projets\Dms Sap\Maintenance\PlanEntretien\7.MNRJ\\_.pdf</v>
      </c>
      <c r="X840" s="44"/>
      <c r="Y840" s="44"/>
      <c r="Z840" s="41" t="str">
        <f ca="1">IF(AND(Tableau1[[#This Row],[Charge]]&lt;&gt;0, Tableau1[[#This Row],[Nombre intervenants]]&lt;&gt;0,Tableau1[[#This Row],[Lien document]]&lt;&gt;0,Tableau1[[#This Row],[DMS_SAP]]&lt;&gt;0)=TRUE,"MIS A JOUR","")</f>
        <v/>
      </c>
      <c r="AA840" s="45"/>
      <c r="AB840" s="55" t="str">
        <f ca="1">IF(Tableau1[[#This Row],[Date rév.]]&lt;&gt;"", DAYS360(Tableau1[[#This Row],[Date rév.]],TODAY()),"")</f>
        <v/>
      </c>
      <c r="AC840" s="47">
        <f>IFERROR(INDEX(Chemin_accès!$B$11:$C$22,MATCH(Tableau1[[#This Row],[Type]],Chemin_accès!$C$11:$C$22,0),1),Chemin_accès!$B$11)</f>
        <v>0</v>
      </c>
      <c r="AD840" s="47" t="str">
        <f>Chemin_accès!$B$8&amp;Tableau1[[#This Row],[Localisation / Classement]]&amp;"\"&amp;Tableau1[[#This Row],[Poste technique]]&amp;"_"&amp;Tableau1[[#This Row],[Plan Entretien]]&amp;".xlsm"</f>
        <v>\_.xlsm</v>
      </c>
    </row>
    <row r="841" spans="1:30" x14ac:dyDescent="0.3">
      <c r="A841" s="41" t="str">
        <f t="shared" ca="1" si="13"/>
        <v>7.MNRJ</v>
      </c>
      <c r="B8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1" s="43"/>
      <c r="D841" s="41"/>
      <c r="E841" s="41"/>
      <c r="F841" s="44"/>
      <c r="G841" s="44"/>
      <c r="H841" s="48"/>
      <c r="I841" s="48"/>
      <c r="J841" s="48"/>
      <c r="K841" s="48"/>
      <c r="L841" s="43"/>
      <c r="M841" s="44"/>
      <c r="N841" s="43"/>
      <c r="O841" s="43"/>
      <c r="P841" s="44"/>
      <c r="Q841" s="43"/>
      <c r="R841" s="43"/>
      <c r="S841" s="45"/>
      <c r="T841" s="58" t="str">
        <f>IF(Tableau1[[#This Row],[DMS_SAP]]="","",HYPERLINK(Tableau1[[#This Row],[Chemin fichier source]],"X"))</f>
        <v/>
      </c>
      <c r="U841" s="58" t="str">
        <f>IF(Tableau1[[#This Row],[Date rév.]]="","",HYPERLINK(Tableau1[[#This Row],[Lien document]],"X"))</f>
        <v/>
      </c>
      <c r="V841" s="44"/>
      <c r="W841" s="46" t="str">
        <f ca="1">Chemin_accès!$B$2&amp;Tableau1[[#This Row],[Poste Responsable]]&amp;"\"&amp;Tableau1[[#This Row],[Localisation / Classement]]&amp;"\"&amp;Tableau1[[#This Row],[Poste technique]]&amp;"_"&amp;Tableau1[[#This Row],[Plan Entretien]]&amp;".pdf"</f>
        <v>\\stjn.local\trimet\Donnees_Projets\Dms Sap\Maintenance\PlanEntretien\7.MNRJ\\_.pdf</v>
      </c>
      <c r="X841" s="44"/>
      <c r="Y841" s="44"/>
      <c r="Z841" s="41" t="str">
        <f ca="1">IF(AND(Tableau1[[#This Row],[Charge]]&lt;&gt;0, Tableau1[[#This Row],[Nombre intervenants]]&lt;&gt;0,Tableau1[[#This Row],[Lien document]]&lt;&gt;0,Tableau1[[#This Row],[DMS_SAP]]&lt;&gt;0)=TRUE,"MIS A JOUR","")</f>
        <v/>
      </c>
      <c r="AA841" s="45"/>
      <c r="AB841" s="55" t="str">
        <f ca="1">IF(Tableau1[[#This Row],[Date rév.]]&lt;&gt;"", DAYS360(Tableau1[[#This Row],[Date rév.]],TODAY()),"")</f>
        <v/>
      </c>
      <c r="AC841" s="47">
        <f>IFERROR(INDEX(Chemin_accès!$B$11:$C$22,MATCH(Tableau1[[#This Row],[Type]],Chemin_accès!$C$11:$C$22,0),1),Chemin_accès!$B$11)</f>
        <v>0</v>
      </c>
      <c r="AD841" s="47" t="str">
        <f>Chemin_accès!$B$8&amp;Tableau1[[#This Row],[Localisation / Classement]]&amp;"\"&amp;Tableau1[[#This Row],[Poste technique]]&amp;"_"&amp;Tableau1[[#This Row],[Plan Entretien]]&amp;".xlsm"</f>
        <v>\_.xlsm</v>
      </c>
    </row>
    <row r="842" spans="1:30" x14ac:dyDescent="0.3">
      <c r="A842" s="41" t="str">
        <f t="shared" ca="1" si="13"/>
        <v>7.MNRJ</v>
      </c>
      <c r="B8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2" s="43"/>
      <c r="D842" s="41"/>
      <c r="E842" s="41"/>
      <c r="F842" s="44"/>
      <c r="G842" s="44"/>
      <c r="H842" s="48"/>
      <c r="I842" s="48"/>
      <c r="J842" s="48"/>
      <c r="K842" s="48"/>
      <c r="L842" s="43"/>
      <c r="M842" s="44"/>
      <c r="N842" s="43"/>
      <c r="O842" s="43"/>
      <c r="P842" s="44"/>
      <c r="Q842" s="43"/>
      <c r="R842" s="43"/>
      <c r="S842" s="45"/>
      <c r="T842" s="58" t="str">
        <f>IF(Tableau1[[#This Row],[DMS_SAP]]="","",HYPERLINK(Tableau1[[#This Row],[Chemin fichier source]],"X"))</f>
        <v/>
      </c>
      <c r="U842" s="58" t="str">
        <f>IF(Tableau1[[#This Row],[Date rév.]]="","",HYPERLINK(Tableau1[[#This Row],[Lien document]],"X"))</f>
        <v/>
      </c>
      <c r="V842" s="44"/>
      <c r="W842" s="46" t="str">
        <f ca="1">Chemin_accès!$B$2&amp;Tableau1[[#This Row],[Poste Responsable]]&amp;"\"&amp;Tableau1[[#This Row],[Localisation / Classement]]&amp;"\"&amp;Tableau1[[#This Row],[Poste technique]]&amp;"_"&amp;Tableau1[[#This Row],[Plan Entretien]]&amp;".pdf"</f>
        <v>\\stjn.local\trimet\Donnees_Projets\Dms Sap\Maintenance\PlanEntretien\7.MNRJ\\_.pdf</v>
      </c>
      <c r="X842" s="44"/>
      <c r="Y842" s="44"/>
      <c r="Z842" s="41" t="str">
        <f ca="1">IF(AND(Tableau1[[#This Row],[Charge]]&lt;&gt;0, Tableau1[[#This Row],[Nombre intervenants]]&lt;&gt;0,Tableau1[[#This Row],[Lien document]]&lt;&gt;0,Tableau1[[#This Row],[DMS_SAP]]&lt;&gt;0)=TRUE,"MIS A JOUR","")</f>
        <v/>
      </c>
      <c r="AA842" s="45"/>
      <c r="AB842" s="55" t="str">
        <f ca="1">IF(Tableau1[[#This Row],[Date rév.]]&lt;&gt;"", DAYS360(Tableau1[[#This Row],[Date rév.]],TODAY()),"")</f>
        <v/>
      </c>
      <c r="AC842" s="47">
        <f>IFERROR(INDEX(Chemin_accès!$B$11:$C$22,MATCH(Tableau1[[#This Row],[Type]],Chemin_accès!$C$11:$C$22,0),1),Chemin_accès!$B$11)</f>
        <v>0</v>
      </c>
      <c r="AD842" s="47" t="str">
        <f>Chemin_accès!$B$8&amp;Tableau1[[#This Row],[Localisation / Classement]]&amp;"\"&amp;Tableau1[[#This Row],[Poste technique]]&amp;"_"&amp;Tableau1[[#This Row],[Plan Entretien]]&amp;".xlsm"</f>
        <v>\_.xlsm</v>
      </c>
    </row>
    <row r="843" spans="1:30" x14ac:dyDescent="0.3">
      <c r="A843" s="41" t="str">
        <f t="shared" ca="1" si="13"/>
        <v>7.MNRJ</v>
      </c>
      <c r="B8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3" s="43"/>
      <c r="D843" s="41"/>
      <c r="E843" s="41"/>
      <c r="F843" s="44"/>
      <c r="G843" s="44"/>
      <c r="H843" s="48"/>
      <c r="I843" s="48"/>
      <c r="J843" s="48"/>
      <c r="K843" s="48"/>
      <c r="L843" s="43"/>
      <c r="M843" s="44"/>
      <c r="N843" s="43"/>
      <c r="O843" s="43"/>
      <c r="P843" s="44"/>
      <c r="Q843" s="43"/>
      <c r="R843" s="43"/>
      <c r="S843" s="45"/>
      <c r="T843" s="58" t="str">
        <f>IF(Tableau1[[#This Row],[DMS_SAP]]="","",HYPERLINK(Tableau1[[#This Row],[Chemin fichier source]],"X"))</f>
        <v/>
      </c>
      <c r="U843" s="58" t="str">
        <f>IF(Tableau1[[#This Row],[Date rév.]]="","",HYPERLINK(Tableau1[[#This Row],[Lien document]],"X"))</f>
        <v/>
      </c>
      <c r="V843" s="44"/>
      <c r="W843" s="46" t="str">
        <f ca="1">Chemin_accès!$B$2&amp;Tableau1[[#This Row],[Poste Responsable]]&amp;"\"&amp;Tableau1[[#This Row],[Localisation / Classement]]&amp;"\"&amp;Tableau1[[#This Row],[Poste technique]]&amp;"_"&amp;Tableau1[[#This Row],[Plan Entretien]]&amp;".pdf"</f>
        <v>\\stjn.local\trimet\Donnees_Projets\Dms Sap\Maintenance\PlanEntretien\7.MNRJ\\_.pdf</v>
      </c>
      <c r="X843" s="44"/>
      <c r="Y843" s="44"/>
      <c r="Z843" s="41" t="str">
        <f ca="1">IF(AND(Tableau1[[#This Row],[Charge]]&lt;&gt;0, Tableau1[[#This Row],[Nombre intervenants]]&lt;&gt;0,Tableau1[[#This Row],[Lien document]]&lt;&gt;0,Tableau1[[#This Row],[DMS_SAP]]&lt;&gt;0)=TRUE,"MIS A JOUR","")</f>
        <v/>
      </c>
      <c r="AA843" s="45"/>
      <c r="AB843" s="55" t="str">
        <f ca="1">IF(Tableau1[[#This Row],[Date rév.]]&lt;&gt;"", DAYS360(Tableau1[[#This Row],[Date rév.]],TODAY()),"")</f>
        <v/>
      </c>
      <c r="AC843" s="47">
        <f>IFERROR(INDEX(Chemin_accès!$B$11:$C$22,MATCH(Tableau1[[#This Row],[Type]],Chemin_accès!$C$11:$C$22,0),1),Chemin_accès!$B$11)</f>
        <v>0</v>
      </c>
      <c r="AD843" s="47" t="str">
        <f>Chemin_accès!$B$8&amp;Tableau1[[#This Row],[Localisation / Classement]]&amp;"\"&amp;Tableau1[[#This Row],[Poste technique]]&amp;"_"&amp;Tableau1[[#This Row],[Plan Entretien]]&amp;".xlsm"</f>
        <v>\_.xlsm</v>
      </c>
    </row>
    <row r="844" spans="1:30" x14ac:dyDescent="0.3">
      <c r="A844" s="41" t="str">
        <f t="shared" ca="1" si="13"/>
        <v>7.MNRJ</v>
      </c>
      <c r="B8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4" s="43"/>
      <c r="D844" s="41"/>
      <c r="E844" s="41"/>
      <c r="F844" s="44"/>
      <c r="G844" s="44"/>
      <c r="H844" s="48"/>
      <c r="I844" s="48"/>
      <c r="J844" s="48"/>
      <c r="K844" s="48"/>
      <c r="L844" s="43"/>
      <c r="M844" s="44"/>
      <c r="N844" s="43"/>
      <c r="O844" s="43"/>
      <c r="P844" s="44"/>
      <c r="Q844" s="43"/>
      <c r="R844" s="43"/>
      <c r="S844" s="45"/>
      <c r="T844" s="58" t="str">
        <f>IF(Tableau1[[#This Row],[DMS_SAP]]="","",HYPERLINK(Tableau1[[#This Row],[Chemin fichier source]],"X"))</f>
        <v/>
      </c>
      <c r="U844" s="58" t="str">
        <f>IF(Tableau1[[#This Row],[Date rév.]]="","",HYPERLINK(Tableau1[[#This Row],[Lien document]],"X"))</f>
        <v/>
      </c>
      <c r="V844" s="44"/>
      <c r="W844" s="46" t="str">
        <f ca="1">Chemin_accès!$B$2&amp;Tableau1[[#This Row],[Poste Responsable]]&amp;"\"&amp;Tableau1[[#This Row],[Localisation / Classement]]&amp;"\"&amp;Tableau1[[#This Row],[Poste technique]]&amp;"_"&amp;Tableau1[[#This Row],[Plan Entretien]]&amp;".pdf"</f>
        <v>\\stjn.local\trimet\Donnees_Projets\Dms Sap\Maintenance\PlanEntretien\7.MNRJ\\_.pdf</v>
      </c>
      <c r="X844" s="44"/>
      <c r="Y844" s="44"/>
      <c r="Z844" s="41" t="str">
        <f ca="1">IF(AND(Tableau1[[#This Row],[Charge]]&lt;&gt;0, Tableau1[[#This Row],[Nombre intervenants]]&lt;&gt;0,Tableau1[[#This Row],[Lien document]]&lt;&gt;0,Tableau1[[#This Row],[DMS_SAP]]&lt;&gt;0)=TRUE,"MIS A JOUR","")</f>
        <v/>
      </c>
      <c r="AA844" s="45"/>
      <c r="AB844" s="55" t="str">
        <f ca="1">IF(Tableau1[[#This Row],[Date rév.]]&lt;&gt;"", DAYS360(Tableau1[[#This Row],[Date rév.]],TODAY()),"")</f>
        <v/>
      </c>
      <c r="AC844" s="47">
        <f>IFERROR(INDEX(Chemin_accès!$B$11:$C$22,MATCH(Tableau1[[#This Row],[Type]],Chemin_accès!$C$11:$C$22,0),1),Chemin_accès!$B$11)</f>
        <v>0</v>
      </c>
      <c r="AD844" s="47" t="str">
        <f>Chemin_accès!$B$8&amp;Tableau1[[#This Row],[Localisation / Classement]]&amp;"\"&amp;Tableau1[[#This Row],[Poste technique]]&amp;"_"&amp;Tableau1[[#This Row],[Plan Entretien]]&amp;".xlsm"</f>
        <v>\_.xlsm</v>
      </c>
    </row>
    <row r="845" spans="1:30" x14ac:dyDescent="0.3">
      <c r="A845" s="41" t="str">
        <f t="shared" ca="1" si="13"/>
        <v>7.MNRJ</v>
      </c>
      <c r="B8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5" s="43"/>
      <c r="D845" s="41"/>
      <c r="E845" s="41"/>
      <c r="F845" s="44"/>
      <c r="G845" s="44"/>
      <c r="H845" s="48"/>
      <c r="I845" s="48"/>
      <c r="J845" s="48"/>
      <c r="K845" s="48"/>
      <c r="L845" s="43"/>
      <c r="M845" s="44"/>
      <c r="N845" s="43"/>
      <c r="O845" s="43"/>
      <c r="P845" s="44"/>
      <c r="Q845" s="43"/>
      <c r="R845" s="43"/>
      <c r="S845" s="45"/>
      <c r="T845" s="58" t="str">
        <f>IF(Tableau1[[#This Row],[DMS_SAP]]="","",HYPERLINK(Tableau1[[#This Row],[Chemin fichier source]],"X"))</f>
        <v/>
      </c>
      <c r="U845" s="58" t="str">
        <f>IF(Tableau1[[#This Row],[Date rév.]]="","",HYPERLINK(Tableau1[[#This Row],[Lien document]],"X"))</f>
        <v/>
      </c>
      <c r="V845" s="44"/>
      <c r="W845" s="46" t="str">
        <f ca="1">Chemin_accès!$B$2&amp;Tableau1[[#This Row],[Poste Responsable]]&amp;"\"&amp;Tableau1[[#This Row],[Localisation / Classement]]&amp;"\"&amp;Tableau1[[#This Row],[Poste technique]]&amp;"_"&amp;Tableau1[[#This Row],[Plan Entretien]]&amp;".pdf"</f>
        <v>\\stjn.local\trimet\Donnees_Projets\Dms Sap\Maintenance\PlanEntretien\7.MNRJ\\_.pdf</v>
      </c>
      <c r="X845" s="44"/>
      <c r="Y845" s="44"/>
      <c r="Z845" s="41" t="str">
        <f ca="1">IF(AND(Tableau1[[#This Row],[Charge]]&lt;&gt;0, Tableau1[[#This Row],[Nombre intervenants]]&lt;&gt;0,Tableau1[[#This Row],[Lien document]]&lt;&gt;0,Tableau1[[#This Row],[DMS_SAP]]&lt;&gt;0)=TRUE,"MIS A JOUR","")</f>
        <v/>
      </c>
      <c r="AA845" s="45"/>
      <c r="AB845" s="55" t="str">
        <f ca="1">IF(Tableau1[[#This Row],[Date rév.]]&lt;&gt;"", DAYS360(Tableau1[[#This Row],[Date rév.]],TODAY()),"")</f>
        <v/>
      </c>
      <c r="AC845" s="47">
        <f>IFERROR(INDEX(Chemin_accès!$B$11:$C$22,MATCH(Tableau1[[#This Row],[Type]],Chemin_accès!$C$11:$C$22,0),1),Chemin_accès!$B$11)</f>
        <v>0</v>
      </c>
      <c r="AD845" s="47" t="str">
        <f>Chemin_accès!$B$8&amp;Tableau1[[#This Row],[Localisation / Classement]]&amp;"\"&amp;Tableau1[[#This Row],[Poste technique]]&amp;"_"&amp;Tableau1[[#This Row],[Plan Entretien]]&amp;".xlsm"</f>
        <v>\_.xlsm</v>
      </c>
    </row>
    <row r="846" spans="1:30" x14ac:dyDescent="0.3">
      <c r="A846" s="41" t="str">
        <f t="shared" ca="1" si="13"/>
        <v>7.MNRJ</v>
      </c>
      <c r="B8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6" s="43"/>
      <c r="D846" s="41"/>
      <c r="E846" s="41"/>
      <c r="F846" s="44"/>
      <c r="G846" s="44"/>
      <c r="H846" s="48"/>
      <c r="I846" s="48"/>
      <c r="J846" s="48"/>
      <c r="K846" s="48"/>
      <c r="L846" s="43"/>
      <c r="M846" s="44"/>
      <c r="N846" s="43"/>
      <c r="O846" s="43"/>
      <c r="P846" s="44"/>
      <c r="Q846" s="43"/>
      <c r="R846" s="43"/>
      <c r="S846" s="45"/>
      <c r="T846" s="58" t="str">
        <f>IF(Tableau1[[#This Row],[DMS_SAP]]="","",HYPERLINK(Tableau1[[#This Row],[Chemin fichier source]],"X"))</f>
        <v/>
      </c>
      <c r="U846" s="58" t="str">
        <f>IF(Tableau1[[#This Row],[Date rév.]]="","",HYPERLINK(Tableau1[[#This Row],[Lien document]],"X"))</f>
        <v/>
      </c>
      <c r="V846" s="44"/>
      <c r="W846" s="46" t="str">
        <f ca="1">Chemin_accès!$B$2&amp;Tableau1[[#This Row],[Poste Responsable]]&amp;"\"&amp;Tableau1[[#This Row],[Localisation / Classement]]&amp;"\"&amp;Tableau1[[#This Row],[Poste technique]]&amp;"_"&amp;Tableau1[[#This Row],[Plan Entretien]]&amp;".pdf"</f>
        <v>\\stjn.local\trimet\Donnees_Projets\Dms Sap\Maintenance\PlanEntretien\7.MNRJ\\_.pdf</v>
      </c>
      <c r="X846" s="44"/>
      <c r="Y846" s="44"/>
      <c r="Z846" s="41" t="str">
        <f ca="1">IF(AND(Tableau1[[#This Row],[Charge]]&lt;&gt;0, Tableau1[[#This Row],[Nombre intervenants]]&lt;&gt;0,Tableau1[[#This Row],[Lien document]]&lt;&gt;0,Tableau1[[#This Row],[DMS_SAP]]&lt;&gt;0)=TRUE,"MIS A JOUR","")</f>
        <v/>
      </c>
      <c r="AA846" s="45"/>
      <c r="AB846" s="55" t="str">
        <f ca="1">IF(Tableau1[[#This Row],[Date rév.]]&lt;&gt;"", DAYS360(Tableau1[[#This Row],[Date rév.]],TODAY()),"")</f>
        <v/>
      </c>
      <c r="AC846" s="47">
        <f>IFERROR(INDEX(Chemin_accès!$B$11:$C$22,MATCH(Tableau1[[#This Row],[Type]],Chemin_accès!$C$11:$C$22,0),1),Chemin_accès!$B$11)</f>
        <v>0</v>
      </c>
      <c r="AD846" s="47" t="str">
        <f>Chemin_accès!$B$8&amp;Tableau1[[#This Row],[Localisation / Classement]]&amp;"\"&amp;Tableau1[[#This Row],[Poste technique]]&amp;"_"&amp;Tableau1[[#This Row],[Plan Entretien]]&amp;".xlsm"</f>
        <v>\_.xlsm</v>
      </c>
    </row>
    <row r="847" spans="1:30" x14ac:dyDescent="0.3">
      <c r="A847" s="41" t="str">
        <f t="shared" ca="1" si="13"/>
        <v>7.MNRJ</v>
      </c>
      <c r="B8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7" s="43"/>
      <c r="D847" s="41"/>
      <c r="E847" s="41"/>
      <c r="F847" s="44"/>
      <c r="G847" s="44"/>
      <c r="H847" s="48"/>
      <c r="I847" s="48"/>
      <c r="J847" s="48"/>
      <c r="K847" s="48"/>
      <c r="L847" s="43"/>
      <c r="M847" s="44"/>
      <c r="N847" s="43"/>
      <c r="O847" s="43"/>
      <c r="P847" s="44"/>
      <c r="Q847" s="43"/>
      <c r="R847" s="43"/>
      <c r="S847" s="45"/>
      <c r="T847" s="58" t="str">
        <f>IF(Tableau1[[#This Row],[DMS_SAP]]="","",HYPERLINK(Tableau1[[#This Row],[Chemin fichier source]],"X"))</f>
        <v/>
      </c>
      <c r="U847" s="58" t="str">
        <f>IF(Tableau1[[#This Row],[Date rév.]]="","",HYPERLINK(Tableau1[[#This Row],[Lien document]],"X"))</f>
        <v/>
      </c>
      <c r="V847" s="44"/>
      <c r="W847" s="46" t="str">
        <f ca="1">Chemin_accès!$B$2&amp;Tableau1[[#This Row],[Poste Responsable]]&amp;"\"&amp;Tableau1[[#This Row],[Localisation / Classement]]&amp;"\"&amp;Tableau1[[#This Row],[Poste technique]]&amp;"_"&amp;Tableau1[[#This Row],[Plan Entretien]]&amp;".pdf"</f>
        <v>\\stjn.local\trimet\Donnees_Projets\Dms Sap\Maintenance\PlanEntretien\7.MNRJ\\_.pdf</v>
      </c>
      <c r="X847" s="44"/>
      <c r="Y847" s="44"/>
      <c r="Z847" s="41" t="str">
        <f ca="1">IF(AND(Tableau1[[#This Row],[Charge]]&lt;&gt;0, Tableau1[[#This Row],[Nombre intervenants]]&lt;&gt;0,Tableau1[[#This Row],[Lien document]]&lt;&gt;0,Tableau1[[#This Row],[DMS_SAP]]&lt;&gt;0)=TRUE,"MIS A JOUR","")</f>
        <v/>
      </c>
      <c r="AA847" s="45"/>
      <c r="AB847" s="55" t="str">
        <f ca="1">IF(Tableau1[[#This Row],[Date rév.]]&lt;&gt;"", DAYS360(Tableau1[[#This Row],[Date rév.]],TODAY()),"")</f>
        <v/>
      </c>
      <c r="AC847" s="47">
        <f>IFERROR(INDEX(Chemin_accès!$B$11:$C$22,MATCH(Tableau1[[#This Row],[Type]],Chemin_accès!$C$11:$C$22,0),1),Chemin_accès!$B$11)</f>
        <v>0</v>
      </c>
      <c r="AD847" s="47" t="str">
        <f>Chemin_accès!$B$8&amp;Tableau1[[#This Row],[Localisation / Classement]]&amp;"\"&amp;Tableau1[[#This Row],[Poste technique]]&amp;"_"&amp;Tableau1[[#This Row],[Plan Entretien]]&amp;".xlsm"</f>
        <v>\_.xlsm</v>
      </c>
    </row>
    <row r="848" spans="1:30" x14ac:dyDescent="0.3">
      <c r="A848" s="41" t="str">
        <f t="shared" ca="1" si="13"/>
        <v>7.MNRJ</v>
      </c>
      <c r="B8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8" s="43"/>
      <c r="D848" s="41"/>
      <c r="E848" s="41"/>
      <c r="F848" s="44"/>
      <c r="G848" s="44"/>
      <c r="H848" s="48"/>
      <c r="I848" s="48"/>
      <c r="J848" s="48"/>
      <c r="K848" s="48"/>
      <c r="L848" s="43"/>
      <c r="M848" s="44"/>
      <c r="N848" s="43"/>
      <c r="O848" s="43"/>
      <c r="P848" s="44"/>
      <c r="Q848" s="43"/>
      <c r="R848" s="43"/>
      <c r="S848" s="45"/>
      <c r="T848" s="58" t="str">
        <f>IF(Tableau1[[#This Row],[DMS_SAP]]="","",HYPERLINK(Tableau1[[#This Row],[Chemin fichier source]],"X"))</f>
        <v/>
      </c>
      <c r="U848" s="58" t="str">
        <f>IF(Tableau1[[#This Row],[Date rév.]]="","",HYPERLINK(Tableau1[[#This Row],[Lien document]],"X"))</f>
        <v/>
      </c>
      <c r="V848" s="44"/>
      <c r="W848" s="46" t="str">
        <f ca="1">Chemin_accès!$B$2&amp;Tableau1[[#This Row],[Poste Responsable]]&amp;"\"&amp;Tableau1[[#This Row],[Localisation / Classement]]&amp;"\"&amp;Tableau1[[#This Row],[Poste technique]]&amp;"_"&amp;Tableau1[[#This Row],[Plan Entretien]]&amp;".pdf"</f>
        <v>\\stjn.local\trimet\Donnees_Projets\Dms Sap\Maintenance\PlanEntretien\7.MNRJ\\_.pdf</v>
      </c>
      <c r="X848" s="44"/>
      <c r="Y848" s="44"/>
      <c r="Z848" s="41" t="str">
        <f ca="1">IF(AND(Tableau1[[#This Row],[Charge]]&lt;&gt;0, Tableau1[[#This Row],[Nombre intervenants]]&lt;&gt;0,Tableau1[[#This Row],[Lien document]]&lt;&gt;0,Tableau1[[#This Row],[DMS_SAP]]&lt;&gt;0)=TRUE,"MIS A JOUR","")</f>
        <v/>
      </c>
      <c r="AA848" s="45"/>
      <c r="AB848" s="55" t="str">
        <f ca="1">IF(Tableau1[[#This Row],[Date rév.]]&lt;&gt;"", DAYS360(Tableau1[[#This Row],[Date rév.]],TODAY()),"")</f>
        <v/>
      </c>
      <c r="AC848" s="47">
        <f>IFERROR(INDEX(Chemin_accès!$B$11:$C$22,MATCH(Tableau1[[#This Row],[Type]],Chemin_accès!$C$11:$C$22,0),1),Chemin_accès!$B$11)</f>
        <v>0</v>
      </c>
      <c r="AD848" s="47" t="str">
        <f>Chemin_accès!$B$8&amp;Tableau1[[#This Row],[Localisation / Classement]]&amp;"\"&amp;Tableau1[[#This Row],[Poste technique]]&amp;"_"&amp;Tableau1[[#This Row],[Plan Entretien]]&amp;".xlsm"</f>
        <v>\_.xlsm</v>
      </c>
    </row>
    <row r="849" spans="1:30" x14ac:dyDescent="0.3">
      <c r="A849" s="41" t="str">
        <f t="shared" ca="1" si="13"/>
        <v>7.MNRJ</v>
      </c>
      <c r="B8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9" s="43"/>
      <c r="D849" s="41"/>
      <c r="E849" s="41"/>
      <c r="F849" s="44"/>
      <c r="G849" s="44"/>
      <c r="H849" s="48"/>
      <c r="I849" s="48"/>
      <c r="J849" s="48"/>
      <c r="K849" s="48"/>
      <c r="L849" s="43"/>
      <c r="M849" s="44"/>
      <c r="N849" s="43"/>
      <c r="O849" s="43"/>
      <c r="P849" s="44"/>
      <c r="Q849" s="43"/>
      <c r="R849" s="43"/>
      <c r="S849" s="45"/>
      <c r="T849" s="58" t="str">
        <f>IF(Tableau1[[#This Row],[DMS_SAP]]="","",HYPERLINK(Tableau1[[#This Row],[Chemin fichier source]],"X"))</f>
        <v/>
      </c>
      <c r="U849" s="58" t="str">
        <f>IF(Tableau1[[#This Row],[Date rév.]]="","",HYPERLINK(Tableau1[[#This Row],[Lien document]],"X"))</f>
        <v/>
      </c>
      <c r="V849" s="44"/>
      <c r="W849" s="46" t="str">
        <f ca="1">Chemin_accès!$B$2&amp;Tableau1[[#This Row],[Poste Responsable]]&amp;"\"&amp;Tableau1[[#This Row],[Localisation / Classement]]&amp;"\"&amp;Tableau1[[#This Row],[Poste technique]]&amp;"_"&amp;Tableau1[[#This Row],[Plan Entretien]]&amp;".pdf"</f>
        <v>\\stjn.local\trimet\Donnees_Projets\Dms Sap\Maintenance\PlanEntretien\7.MNRJ\\_.pdf</v>
      </c>
      <c r="X849" s="44"/>
      <c r="Y849" s="44"/>
      <c r="Z849" s="41" t="str">
        <f ca="1">IF(AND(Tableau1[[#This Row],[Charge]]&lt;&gt;0, Tableau1[[#This Row],[Nombre intervenants]]&lt;&gt;0,Tableau1[[#This Row],[Lien document]]&lt;&gt;0,Tableau1[[#This Row],[DMS_SAP]]&lt;&gt;0)=TRUE,"MIS A JOUR","")</f>
        <v/>
      </c>
      <c r="AA849" s="45"/>
      <c r="AB849" s="55" t="str">
        <f ca="1">IF(Tableau1[[#This Row],[Date rév.]]&lt;&gt;"", DAYS360(Tableau1[[#This Row],[Date rév.]],TODAY()),"")</f>
        <v/>
      </c>
      <c r="AC849" s="47">
        <f>IFERROR(INDEX(Chemin_accès!$B$11:$C$22,MATCH(Tableau1[[#This Row],[Type]],Chemin_accès!$C$11:$C$22,0),1),Chemin_accès!$B$11)</f>
        <v>0</v>
      </c>
      <c r="AD849" s="47" t="str">
        <f>Chemin_accès!$B$8&amp;Tableau1[[#This Row],[Localisation / Classement]]&amp;"\"&amp;Tableau1[[#This Row],[Poste technique]]&amp;"_"&amp;Tableau1[[#This Row],[Plan Entretien]]&amp;".xlsm"</f>
        <v>\_.xlsm</v>
      </c>
    </row>
    <row r="850" spans="1:30" x14ac:dyDescent="0.3">
      <c r="A850" s="41" t="str">
        <f t="shared" ca="1" si="13"/>
        <v>7.MNRJ</v>
      </c>
      <c r="B8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0" s="43"/>
      <c r="D850" s="41"/>
      <c r="E850" s="41"/>
      <c r="F850" s="44"/>
      <c r="G850" s="44"/>
      <c r="H850" s="48"/>
      <c r="I850" s="48"/>
      <c r="J850" s="48"/>
      <c r="K850" s="48"/>
      <c r="L850" s="43"/>
      <c r="M850" s="44"/>
      <c r="N850" s="43"/>
      <c r="O850" s="43"/>
      <c r="P850" s="44"/>
      <c r="Q850" s="43"/>
      <c r="R850" s="43"/>
      <c r="S850" s="45"/>
      <c r="T850" s="58" t="str">
        <f>IF(Tableau1[[#This Row],[DMS_SAP]]="","",HYPERLINK(Tableau1[[#This Row],[Chemin fichier source]],"X"))</f>
        <v/>
      </c>
      <c r="U850" s="58" t="str">
        <f>IF(Tableau1[[#This Row],[Date rév.]]="","",HYPERLINK(Tableau1[[#This Row],[Lien document]],"X"))</f>
        <v/>
      </c>
      <c r="V850" s="44"/>
      <c r="W850" s="46" t="str">
        <f ca="1">Chemin_accès!$B$2&amp;Tableau1[[#This Row],[Poste Responsable]]&amp;"\"&amp;Tableau1[[#This Row],[Localisation / Classement]]&amp;"\"&amp;Tableau1[[#This Row],[Poste technique]]&amp;"_"&amp;Tableau1[[#This Row],[Plan Entretien]]&amp;".pdf"</f>
        <v>\\stjn.local\trimet\Donnees_Projets\Dms Sap\Maintenance\PlanEntretien\7.MNRJ\\_.pdf</v>
      </c>
      <c r="X850" s="44"/>
      <c r="Y850" s="44"/>
      <c r="Z850" s="41" t="str">
        <f ca="1">IF(AND(Tableau1[[#This Row],[Charge]]&lt;&gt;0, Tableau1[[#This Row],[Nombre intervenants]]&lt;&gt;0,Tableau1[[#This Row],[Lien document]]&lt;&gt;0,Tableau1[[#This Row],[DMS_SAP]]&lt;&gt;0)=TRUE,"MIS A JOUR","")</f>
        <v/>
      </c>
      <c r="AA850" s="45"/>
      <c r="AB850" s="55" t="str">
        <f ca="1">IF(Tableau1[[#This Row],[Date rév.]]&lt;&gt;"", DAYS360(Tableau1[[#This Row],[Date rév.]],TODAY()),"")</f>
        <v/>
      </c>
      <c r="AC850" s="47">
        <f>IFERROR(INDEX(Chemin_accès!$B$11:$C$22,MATCH(Tableau1[[#This Row],[Type]],Chemin_accès!$C$11:$C$22,0),1),Chemin_accès!$B$11)</f>
        <v>0</v>
      </c>
      <c r="AD850" s="47" t="str">
        <f>Chemin_accès!$B$8&amp;Tableau1[[#This Row],[Localisation / Classement]]&amp;"\"&amp;Tableau1[[#This Row],[Poste technique]]&amp;"_"&amp;Tableau1[[#This Row],[Plan Entretien]]&amp;".xlsm"</f>
        <v>\_.xlsm</v>
      </c>
    </row>
    <row r="851" spans="1:30" x14ac:dyDescent="0.3">
      <c r="A851" s="41" t="str">
        <f t="shared" ca="1" si="13"/>
        <v>7.MNRJ</v>
      </c>
      <c r="B8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1" s="43"/>
      <c r="D851" s="41"/>
      <c r="E851" s="41"/>
      <c r="F851" s="44"/>
      <c r="G851" s="44"/>
      <c r="H851" s="48"/>
      <c r="I851" s="48"/>
      <c r="J851" s="48"/>
      <c r="K851" s="48"/>
      <c r="L851" s="43"/>
      <c r="M851" s="44"/>
      <c r="N851" s="43"/>
      <c r="O851" s="43"/>
      <c r="P851" s="44"/>
      <c r="Q851" s="43"/>
      <c r="R851" s="43"/>
      <c r="S851" s="45"/>
      <c r="T851" s="58" t="str">
        <f>IF(Tableau1[[#This Row],[DMS_SAP]]="","",HYPERLINK(Tableau1[[#This Row],[Chemin fichier source]],"X"))</f>
        <v/>
      </c>
      <c r="U851" s="58" t="str">
        <f>IF(Tableau1[[#This Row],[Date rév.]]="","",HYPERLINK(Tableau1[[#This Row],[Lien document]],"X"))</f>
        <v/>
      </c>
      <c r="V851" s="44"/>
      <c r="W851" s="46" t="str">
        <f ca="1">Chemin_accès!$B$2&amp;Tableau1[[#This Row],[Poste Responsable]]&amp;"\"&amp;Tableau1[[#This Row],[Localisation / Classement]]&amp;"\"&amp;Tableau1[[#This Row],[Poste technique]]&amp;"_"&amp;Tableau1[[#This Row],[Plan Entretien]]&amp;".pdf"</f>
        <v>\\stjn.local\trimet\Donnees_Projets\Dms Sap\Maintenance\PlanEntretien\7.MNRJ\\_.pdf</v>
      </c>
      <c r="X851" s="44"/>
      <c r="Y851" s="44"/>
      <c r="Z851" s="41" t="str">
        <f ca="1">IF(AND(Tableau1[[#This Row],[Charge]]&lt;&gt;0, Tableau1[[#This Row],[Nombre intervenants]]&lt;&gt;0,Tableau1[[#This Row],[Lien document]]&lt;&gt;0,Tableau1[[#This Row],[DMS_SAP]]&lt;&gt;0)=TRUE,"MIS A JOUR","")</f>
        <v/>
      </c>
      <c r="AA851" s="45"/>
      <c r="AB851" s="55" t="str">
        <f ca="1">IF(Tableau1[[#This Row],[Date rév.]]&lt;&gt;"", DAYS360(Tableau1[[#This Row],[Date rév.]],TODAY()),"")</f>
        <v/>
      </c>
      <c r="AC851" s="47">
        <f>IFERROR(INDEX(Chemin_accès!$B$11:$C$22,MATCH(Tableau1[[#This Row],[Type]],Chemin_accès!$C$11:$C$22,0),1),Chemin_accès!$B$11)</f>
        <v>0</v>
      </c>
      <c r="AD851" s="47" t="str">
        <f>Chemin_accès!$B$8&amp;Tableau1[[#This Row],[Localisation / Classement]]&amp;"\"&amp;Tableau1[[#This Row],[Poste technique]]&amp;"_"&amp;Tableau1[[#This Row],[Plan Entretien]]&amp;".xlsm"</f>
        <v>\_.xlsm</v>
      </c>
    </row>
    <row r="852" spans="1:30" x14ac:dyDescent="0.3">
      <c r="A852" s="41" t="str">
        <f t="shared" ca="1" si="13"/>
        <v>7.MNRJ</v>
      </c>
      <c r="B8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2" s="43"/>
      <c r="D852" s="41"/>
      <c r="E852" s="41"/>
      <c r="F852" s="44"/>
      <c r="G852" s="44"/>
      <c r="H852" s="48"/>
      <c r="I852" s="48"/>
      <c r="J852" s="48"/>
      <c r="K852" s="48"/>
      <c r="L852" s="43"/>
      <c r="M852" s="44"/>
      <c r="N852" s="43"/>
      <c r="O852" s="43"/>
      <c r="P852" s="44"/>
      <c r="Q852" s="43"/>
      <c r="R852" s="43"/>
      <c r="S852" s="45"/>
      <c r="T852" s="58" t="str">
        <f>IF(Tableau1[[#This Row],[DMS_SAP]]="","",HYPERLINK(Tableau1[[#This Row],[Chemin fichier source]],"X"))</f>
        <v/>
      </c>
      <c r="U852" s="58" t="str">
        <f>IF(Tableau1[[#This Row],[Date rév.]]="","",HYPERLINK(Tableau1[[#This Row],[Lien document]],"X"))</f>
        <v/>
      </c>
      <c r="V852" s="44"/>
      <c r="W852" s="46" t="str">
        <f ca="1">Chemin_accès!$B$2&amp;Tableau1[[#This Row],[Poste Responsable]]&amp;"\"&amp;Tableau1[[#This Row],[Localisation / Classement]]&amp;"\"&amp;Tableau1[[#This Row],[Poste technique]]&amp;"_"&amp;Tableau1[[#This Row],[Plan Entretien]]&amp;".pdf"</f>
        <v>\\stjn.local\trimet\Donnees_Projets\Dms Sap\Maintenance\PlanEntretien\7.MNRJ\\_.pdf</v>
      </c>
      <c r="X852" s="44"/>
      <c r="Y852" s="44"/>
      <c r="Z852" s="41" t="str">
        <f ca="1">IF(AND(Tableau1[[#This Row],[Charge]]&lt;&gt;0, Tableau1[[#This Row],[Nombre intervenants]]&lt;&gt;0,Tableau1[[#This Row],[Lien document]]&lt;&gt;0,Tableau1[[#This Row],[DMS_SAP]]&lt;&gt;0)=TRUE,"MIS A JOUR","")</f>
        <v/>
      </c>
      <c r="AA852" s="45"/>
      <c r="AB852" s="55" t="str">
        <f ca="1">IF(Tableau1[[#This Row],[Date rév.]]&lt;&gt;"", DAYS360(Tableau1[[#This Row],[Date rév.]],TODAY()),"")</f>
        <v/>
      </c>
      <c r="AC852" s="47">
        <f>IFERROR(INDEX(Chemin_accès!$B$11:$C$22,MATCH(Tableau1[[#This Row],[Type]],Chemin_accès!$C$11:$C$22,0),1),Chemin_accès!$B$11)</f>
        <v>0</v>
      </c>
      <c r="AD852" s="47" t="str">
        <f>Chemin_accès!$B$8&amp;Tableau1[[#This Row],[Localisation / Classement]]&amp;"\"&amp;Tableau1[[#This Row],[Poste technique]]&amp;"_"&amp;Tableau1[[#This Row],[Plan Entretien]]&amp;".xlsm"</f>
        <v>\_.xlsm</v>
      </c>
    </row>
    <row r="853" spans="1:30" x14ac:dyDescent="0.3">
      <c r="A853" s="41" t="str">
        <f t="shared" ca="1" si="13"/>
        <v>7.MNRJ</v>
      </c>
      <c r="B8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3" s="43"/>
      <c r="D853" s="41"/>
      <c r="E853" s="41"/>
      <c r="F853" s="44"/>
      <c r="G853" s="44"/>
      <c r="H853" s="48"/>
      <c r="I853" s="48"/>
      <c r="J853" s="48"/>
      <c r="K853" s="48"/>
      <c r="L853" s="43"/>
      <c r="M853" s="44"/>
      <c r="N853" s="43"/>
      <c r="O853" s="43"/>
      <c r="P853" s="44"/>
      <c r="Q853" s="43"/>
      <c r="R853" s="43"/>
      <c r="S853" s="45"/>
      <c r="T853" s="58" t="str">
        <f>IF(Tableau1[[#This Row],[DMS_SAP]]="","",HYPERLINK(Tableau1[[#This Row],[Chemin fichier source]],"X"))</f>
        <v/>
      </c>
      <c r="U853" s="58" t="str">
        <f>IF(Tableau1[[#This Row],[Date rév.]]="","",HYPERLINK(Tableau1[[#This Row],[Lien document]],"X"))</f>
        <v/>
      </c>
      <c r="V853" s="44"/>
      <c r="W853" s="46" t="str">
        <f ca="1">Chemin_accès!$B$2&amp;Tableau1[[#This Row],[Poste Responsable]]&amp;"\"&amp;Tableau1[[#This Row],[Localisation / Classement]]&amp;"\"&amp;Tableau1[[#This Row],[Poste technique]]&amp;"_"&amp;Tableau1[[#This Row],[Plan Entretien]]&amp;".pdf"</f>
        <v>\\stjn.local\trimet\Donnees_Projets\Dms Sap\Maintenance\PlanEntretien\7.MNRJ\\_.pdf</v>
      </c>
      <c r="X853" s="44"/>
      <c r="Y853" s="44"/>
      <c r="Z853" s="41" t="str">
        <f ca="1">IF(AND(Tableau1[[#This Row],[Charge]]&lt;&gt;0, Tableau1[[#This Row],[Nombre intervenants]]&lt;&gt;0,Tableau1[[#This Row],[Lien document]]&lt;&gt;0,Tableau1[[#This Row],[DMS_SAP]]&lt;&gt;0)=TRUE,"MIS A JOUR","")</f>
        <v/>
      </c>
      <c r="AA853" s="45"/>
      <c r="AB853" s="55" t="str">
        <f ca="1">IF(Tableau1[[#This Row],[Date rév.]]&lt;&gt;"", DAYS360(Tableau1[[#This Row],[Date rév.]],TODAY()),"")</f>
        <v/>
      </c>
      <c r="AC853" s="47">
        <f>IFERROR(INDEX(Chemin_accès!$B$11:$C$22,MATCH(Tableau1[[#This Row],[Type]],Chemin_accès!$C$11:$C$22,0),1),Chemin_accès!$B$11)</f>
        <v>0</v>
      </c>
      <c r="AD853" s="47" t="str">
        <f>Chemin_accès!$B$8&amp;Tableau1[[#This Row],[Localisation / Classement]]&amp;"\"&amp;Tableau1[[#This Row],[Poste technique]]&amp;"_"&amp;Tableau1[[#This Row],[Plan Entretien]]&amp;".xlsm"</f>
        <v>\_.xlsm</v>
      </c>
    </row>
    <row r="854" spans="1:30" x14ac:dyDescent="0.3">
      <c r="A854" s="41" t="str">
        <f t="shared" ca="1" si="13"/>
        <v>7.MNRJ</v>
      </c>
      <c r="B8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4" s="43"/>
      <c r="D854" s="41"/>
      <c r="E854" s="41"/>
      <c r="F854" s="44"/>
      <c r="G854" s="44"/>
      <c r="H854" s="48"/>
      <c r="I854" s="48"/>
      <c r="J854" s="48"/>
      <c r="K854" s="48"/>
      <c r="L854" s="43"/>
      <c r="M854" s="44"/>
      <c r="N854" s="43"/>
      <c r="O854" s="43"/>
      <c r="P854" s="44"/>
      <c r="Q854" s="43"/>
      <c r="R854" s="43"/>
      <c r="S854" s="45"/>
      <c r="T854" s="58" t="str">
        <f>IF(Tableau1[[#This Row],[DMS_SAP]]="","",HYPERLINK(Tableau1[[#This Row],[Chemin fichier source]],"X"))</f>
        <v/>
      </c>
      <c r="U854" s="58" t="str">
        <f>IF(Tableau1[[#This Row],[Date rév.]]="","",HYPERLINK(Tableau1[[#This Row],[Lien document]],"X"))</f>
        <v/>
      </c>
      <c r="V854" s="44"/>
      <c r="W854" s="46" t="str">
        <f ca="1">Chemin_accès!$B$2&amp;Tableau1[[#This Row],[Poste Responsable]]&amp;"\"&amp;Tableau1[[#This Row],[Localisation / Classement]]&amp;"\"&amp;Tableau1[[#This Row],[Poste technique]]&amp;"_"&amp;Tableau1[[#This Row],[Plan Entretien]]&amp;".pdf"</f>
        <v>\\stjn.local\trimet\Donnees_Projets\Dms Sap\Maintenance\PlanEntretien\7.MNRJ\\_.pdf</v>
      </c>
      <c r="X854" s="44"/>
      <c r="Y854" s="44"/>
      <c r="Z854" s="41" t="str">
        <f ca="1">IF(AND(Tableau1[[#This Row],[Charge]]&lt;&gt;0, Tableau1[[#This Row],[Nombre intervenants]]&lt;&gt;0,Tableau1[[#This Row],[Lien document]]&lt;&gt;0,Tableau1[[#This Row],[DMS_SAP]]&lt;&gt;0)=TRUE,"MIS A JOUR","")</f>
        <v/>
      </c>
      <c r="AA854" s="45"/>
      <c r="AB854" s="55" t="str">
        <f ca="1">IF(Tableau1[[#This Row],[Date rév.]]&lt;&gt;"", DAYS360(Tableau1[[#This Row],[Date rév.]],TODAY()),"")</f>
        <v/>
      </c>
      <c r="AC854" s="47">
        <f>IFERROR(INDEX(Chemin_accès!$B$11:$C$22,MATCH(Tableau1[[#This Row],[Type]],Chemin_accès!$C$11:$C$22,0),1),Chemin_accès!$B$11)</f>
        <v>0</v>
      </c>
      <c r="AD854" s="47" t="str">
        <f>Chemin_accès!$B$8&amp;Tableau1[[#This Row],[Localisation / Classement]]&amp;"\"&amp;Tableau1[[#This Row],[Poste technique]]&amp;"_"&amp;Tableau1[[#This Row],[Plan Entretien]]&amp;".xlsm"</f>
        <v>\_.xlsm</v>
      </c>
    </row>
    <row r="855" spans="1:30" x14ac:dyDescent="0.3">
      <c r="A855" s="41" t="str">
        <f t="shared" ca="1" si="13"/>
        <v>7.MNRJ</v>
      </c>
      <c r="B8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5" s="43"/>
      <c r="D855" s="41"/>
      <c r="E855" s="41"/>
      <c r="F855" s="44"/>
      <c r="G855" s="44"/>
      <c r="H855" s="48"/>
      <c r="I855" s="48"/>
      <c r="J855" s="48"/>
      <c r="K855" s="48"/>
      <c r="L855" s="43"/>
      <c r="M855" s="44"/>
      <c r="N855" s="43"/>
      <c r="O855" s="43"/>
      <c r="P855" s="44"/>
      <c r="Q855" s="43"/>
      <c r="R855" s="43"/>
      <c r="S855" s="45"/>
      <c r="T855" s="58" t="str">
        <f>IF(Tableau1[[#This Row],[DMS_SAP]]="","",HYPERLINK(Tableau1[[#This Row],[Chemin fichier source]],"X"))</f>
        <v/>
      </c>
      <c r="U855" s="58" t="str">
        <f>IF(Tableau1[[#This Row],[Date rév.]]="","",HYPERLINK(Tableau1[[#This Row],[Lien document]],"X"))</f>
        <v/>
      </c>
      <c r="V855" s="44"/>
      <c r="W855" s="46" t="str">
        <f ca="1">Chemin_accès!$B$2&amp;Tableau1[[#This Row],[Poste Responsable]]&amp;"\"&amp;Tableau1[[#This Row],[Localisation / Classement]]&amp;"\"&amp;Tableau1[[#This Row],[Poste technique]]&amp;"_"&amp;Tableau1[[#This Row],[Plan Entretien]]&amp;".pdf"</f>
        <v>\\stjn.local\trimet\Donnees_Projets\Dms Sap\Maintenance\PlanEntretien\7.MNRJ\\_.pdf</v>
      </c>
      <c r="X855" s="44"/>
      <c r="Y855" s="44"/>
      <c r="Z855" s="41" t="str">
        <f ca="1">IF(AND(Tableau1[[#This Row],[Charge]]&lt;&gt;0, Tableau1[[#This Row],[Nombre intervenants]]&lt;&gt;0,Tableau1[[#This Row],[Lien document]]&lt;&gt;0,Tableau1[[#This Row],[DMS_SAP]]&lt;&gt;0)=TRUE,"MIS A JOUR","")</f>
        <v/>
      </c>
      <c r="AA855" s="45"/>
      <c r="AB855" s="55" t="str">
        <f ca="1">IF(Tableau1[[#This Row],[Date rév.]]&lt;&gt;"", DAYS360(Tableau1[[#This Row],[Date rév.]],TODAY()),"")</f>
        <v/>
      </c>
      <c r="AC855" s="47">
        <f>IFERROR(INDEX(Chemin_accès!$B$11:$C$22,MATCH(Tableau1[[#This Row],[Type]],Chemin_accès!$C$11:$C$22,0),1),Chemin_accès!$B$11)</f>
        <v>0</v>
      </c>
      <c r="AD855" s="47" t="str">
        <f>Chemin_accès!$B$8&amp;Tableau1[[#This Row],[Localisation / Classement]]&amp;"\"&amp;Tableau1[[#This Row],[Poste technique]]&amp;"_"&amp;Tableau1[[#This Row],[Plan Entretien]]&amp;".xlsm"</f>
        <v>\_.xlsm</v>
      </c>
    </row>
    <row r="856" spans="1:30" x14ac:dyDescent="0.3">
      <c r="A856" s="41" t="str">
        <f t="shared" ca="1" si="13"/>
        <v>7.MNRJ</v>
      </c>
      <c r="B8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6" s="43"/>
      <c r="D856" s="41"/>
      <c r="E856" s="41"/>
      <c r="F856" s="44"/>
      <c r="G856" s="44"/>
      <c r="H856" s="48"/>
      <c r="I856" s="48"/>
      <c r="J856" s="48"/>
      <c r="K856" s="48"/>
      <c r="L856" s="43"/>
      <c r="M856" s="44"/>
      <c r="N856" s="43"/>
      <c r="O856" s="43"/>
      <c r="P856" s="44"/>
      <c r="Q856" s="43"/>
      <c r="R856" s="43"/>
      <c r="S856" s="45"/>
      <c r="T856" s="58" t="str">
        <f>IF(Tableau1[[#This Row],[DMS_SAP]]="","",HYPERLINK(Tableau1[[#This Row],[Chemin fichier source]],"X"))</f>
        <v/>
      </c>
      <c r="U856" s="58" t="str">
        <f>IF(Tableau1[[#This Row],[Date rév.]]="","",HYPERLINK(Tableau1[[#This Row],[Lien document]],"X"))</f>
        <v/>
      </c>
      <c r="V856" s="44"/>
      <c r="W856" s="46" t="str">
        <f ca="1">Chemin_accès!$B$2&amp;Tableau1[[#This Row],[Poste Responsable]]&amp;"\"&amp;Tableau1[[#This Row],[Localisation / Classement]]&amp;"\"&amp;Tableau1[[#This Row],[Poste technique]]&amp;"_"&amp;Tableau1[[#This Row],[Plan Entretien]]&amp;".pdf"</f>
        <v>\\stjn.local\trimet\Donnees_Projets\Dms Sap\Maintenance\PlanEntretien\7.MNRJ\\_.pdf</v>
      </c>
      <c r="X856" s="44"/>
      <c r="Y856" s="44"/>
      <c r="Z856" s="41" t="str">
        <f ca="1">IF(AND(Tableau1[[#This Row],[Charge]]&lt;&gt;0, Tableau1[[#This Row],[Nombre intervenants]]&lt;&gt;0,Tableau1[[#This Row],[Lien document]]&lt;&gt;0,Tableau1[[#This Row],[DMS_SAP]]&lt;&gt;0)=TRUE,"MIS A JOUR","")</f>
        <v/>
      </c>
      <c r="AA856" s="45"/>
      <c r="AB856" s="55" t="str">
        <f ca="1">IF(Tableau1[[#This Row],[Date rév.]]&lt;&gt;"", DAYS360(Tableau1[[#This Row],[Date rév.]],TODAY()),"")</f>
        <v/>
      </c>
      <c r="AC856" s="47">
        <f>IFERROR(INDEX(Chemin_accès!$B$11:$C$22,MATCH(Tableau1[[#This Row],[Type]],Chemin_accès!$C$11:$C$22,0),1),Chemin_accès!$B$11)</f>
        <v>0</v>
      </c>
      <c r="AD856" s="47" t="str">
        <f>Chemin_accès!$B$8&amp;Tableau1[[#This Row],[Localisation / Classement]]&amp;"\"&amp;Tableau1[[#This Row],[Poste technique]]&amp;"_"&amp;Tableau1[[#This Row],[Plan Entretien]]&amp;".xlsm"</f>
        <v>\_.xlsm</v>
      </c>
    </row>
    <row r="857" spans="1:30" x14ac:dyDescent="0.3">
      <c r="A857" s="41" t="str">
        <f t="shared" ca="1" si="13"/>
        <v>7.MNRJ</v>
      </c>
      <c r="B8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7" s="43"/>
      <c r="D857" s="41"/>
      <c r="E857" s="41"/>
      <c r="F857" s="44"/>
      <c r="G857" s="44"/>
      <c r="H857" s="48"/>
      <c r="I857" s="48"/>
      <c r="J857" s="48"/>
      <c r="K857" s="48"/>
      <c r="L857" s="43"/>
      <c r="M857" s="44"/>
      <c r="N857" s="43"/>
      <c r="O857" s="43"/>
      <c r="P857" s="44"/>
      <c r="Q857" s="43"/>
      <c r="R857" s="43"/>
      <c r="S857" s="45"/>
      <c r="T857" s="58" t="str">
        <f>IF(Tableau1[[#This Row],[DMS_SAP]]="","",HYPERLINK(Tableau1[[#This Row],[Chemin fichier source]],"X"))</f>
        <v/>
      </c>
      <c r="U857" s="58" t="str">
        <f>IF(Tableau1[[#This Row],[Date rév.]]="","",HYPERLINK(Tableau1[[#This Row],[Lien document]],"X"))</f>
        <v/>
      </c>
      <c r="V857" s="44"/>
      <c r="W857" s="46" t="str">
        <f ca="1">Chemin_accès!$B$2&amp;Tableau1[[#This Row],[Poste Responsable]]&amp;"\"&amp;Tableau1[[#This Row],[Localisation / Classement]]&amp;"\"&amp;Tableau1[[#This Row],[Poste technique]]&amp;"_"&amp;Tableau1[[#This Row],[Plan Entretien]]&amp;".pdf"</f>
        <v>\\stjn.local\trimet\Donnees_Projets\Dms Sap\Maintenance\PlanEntretien\7.MNRJ\\_.pdf</v>
      </c>
      <c r="X857" s="44"/>
      <c r="Y857" s="44"/>
      <c r="Z857" s="41" t="str">
        <f ca="1">IF(AND(Tableau1[[#This Row],[Charge]]&lt;&gt;0, Tableau1[[#This Row],[Nombre intervenants]]&lt;&gt;0,Tableau1[[#This Row],[Lien document]]&lt;&gt;0,Tableau1[[#This Row],[DMS_SAP]]&lt;&gt;0)=TRUE,"MIS A JOUR","")</f>
        <v/>
      </c>
      <c r="AA857" s="45"/>
      <c r="AB857" s="55" t="str">
        <f ca="1">IF(Tableau1[[#This Row],[Date rév.]]&lt;&gt;"", DAYS360(Tableau1[[#This Row],[Date rév.]],TODAY()),"")</f>
        <v/>
      </c>
      <c r="AC857" s="47">
        <f>IFERROR(INDEX(Chemin_accès!$B$11:$C$22,MATCH(Tableau1[[#This Row],[Type]],Chemin_accès!$C$11:$C$22,0),1),Chemin_accès!$B$11)</f>
        <v>0</v>
      </c>
      <c r="AD857" s="47" t="str">
        <f>Chemin_accès!$B$8&amp;Tableau1[[#This Row],[Localisation / Classement]]&amp;"\"&amp;Tableau1[[#This Row],[Poste technique]]&amp;"_"&amp;Tableau1[[#This Row],[Plan Entretien]]&amp;".xlsm"</f>
        <v>\_.xlsm</v>
      </c>
    </row>
    <row r="858" spans="1:30" x14ac:dyDescent="0.3">
      <c r="A858" s="41" t="str">
        <f t="shared" ca="1" si="13"/>
        <v>7.MNRJ</v>
      </c>
      <c r="B8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8" s="43"/>
      <c r="D858" s="41"/>
      <c r="E858" s="41"/>
      <c r="F858" s="44"/>
      <c r="G858" s="44"/>
      <c r="H858" s="48"/>
      <c r="I858" s="48"/>
      <c r="J858" s="48"/>
      <c r="K858" s="48"/>
      <c r="L858" s="43"/>
      <c r="M858" s="44"/>
      <c r="N858" s="43"/>
      <c r="O858" s="43"/>
      <c r="P858" s="44"/>
      <c r="Q858" s="43"/>
      <c r="R858" s="43"/>
      <c r="S858" s="45"/>
      <c r="T858" s="58" t="str">
        <f>IF(Tableau1[[#This Row],[DMS_SAP]]="","",HYPERLINK(Tableau1[[#This Row],[Chemin fichier source]],"X"))</f>
        <v/>
      </c>
      <c r="U858" s="58" t="str">
        <f>IF(Tableau1[[#This Row],[Date rév.]]="","",HYPERLINK(Tableau1[[#This Row],[Lien document]],"X"))</f>
        <v/>
      </c>
      <c r="V858" s="44"/>
      <c r="W858" s="46" t="str">
        <f ca="1">Chemin_accès!$B$2&amp;Tableau1[[#This Row],[Poste Responsable]]&amp;"\"&amp;Tableau1[[#This Row],[Localisation / Classement]]&amp;"\"&amp;Tableau1[[#This Row],[Poste technique]]&amp;"_"&amp;Tableau1[[#This Row],[Plan Entretien]]&amp;".pdf"</f>
        <v>\\stjn.local\trimet\Donnees_Projets\Dms Sap\Maintenance\PlanEntretien\7.MNRJ\\_.pdf</v>
      </c>
      <c r="X858" s="44"/>
      <c r="Y858" s="44"/>
      <c r="Z858" s="41" t="str">
        <f ca="1">IF(AND(Tableau1[[#This Row],[Charge]]&lt;&gt;0, Tableau1[[#This Row],[Nombre intervenants]]&lt;&gt;0,Tableau1[[#This Row],[Lien document]]&lt;&gt;0,Tableau1[[#This Row],[DMS_SAP]]&lt;&gt;0)=TRUE,"MIS A JOUR","")</f>
        <v/>
      </c>
      <c r="AA858" s="45"/>
      <c r="AB858" s="55" t="str">
        <f ca="1">IF(Tableau1[[#This Row],[Date rév.]]&lt;&gt;"", DAYS360(Tableau1[[#This Row],[Date rév.]],TODAY()),"")</f>
        <v/>
      </c>
      <c r="AC858" s="47">
        <f>IFERROR(INDEX(Chemin_accès!$B$11:$C$22,MATCH(Tableau1[[#This Row],[Type]],Chemin_accès!$C$11:$C$22,0),1),Chemin_accès!$B$11)</f>
        <v>0</v>
      </c>
      <c r="AD858" s="47" t="str">
        <f>Chemin_accès!$B$8&amp;Tableau1[[#This Row],[Localisation / Classement]]&amp;"\"&amp;Tableau1[[#This Row],[Poste technique]]&amp;"_"&amp;Tableau1[[#This Row],[Plan Entretien]]&amp;".xlsm"</f>
        <v>\_.xlsm</v>
      </c>
    </row>
    <row r="859" spans="1:30" x14ac:dyDescent="0.3">
      <c r="A859" s="41" t="str">
        <f t="shared" ca="1" si="13"/>
        <v>7.MNRJ</v>
      </c>
      <c r="B8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9" s="43"/>
      <c r="D859" s="41"/>
      <c r="E859" s="41"/>
      <c r="F859" s="44"/>
      <c r="G859" s="44"/>
      <c r="H859" s="48"/>
      <c r="I859" s="48"/>
      <c r="J859" s="48"/>
      <c r="K859" s="48"/>
      <c r="L859" s="43"/>
      <c r="M859" s="44"/>
      <c r="N859" s="43"/>
      <c r="O859" s="43"/>
      <c r="P859" s="44"/>
      <c r="Q859" s="43"/>
      <c r="R859" s="43"/>
      <c r="S859" s="45"/>
      <c r="T859" s="58" t="str">
        <f>IF(Tableau1[[#This Row],[DMS_SAP]]="","",HYPERLINK(Tableau1[[#This Row],[Chemin fichier source]],"X"))</f>
        <v/>
      </c>
      <c r="U859" s="58" t="str">
        <f>IF(Tableau1[[#This Row],[Date rév.]]="","",HYPERLINK(Tableau1[[#This Row],[Lien document]],"X"))</f>
        <v/>
      </c>
      <c r="V859" s="44"/>
      <c r="W859" s="46" t="str">
        <f ca="1">Chemin_accès!$B$2&amp;Tableau1[[#This Row],[Poste Responsable]]&amp;"\"&amp;Tableau1[[#This Row],[Localisation / Classement]]&amp;"\"&amp;Tableau1[[#This Row],[Poste technique]]&amp;"_"&amp;Tableau1[[#This Row],[Plan Entretien]]&amp;".pdf"</f>
        <v>\\stjn.local\trimet\Donnees_Projets\Dms Sap\Maintenance\PlanEntretien\7.MNRJ\\_.pdf</v>
      </c>
      <c r="X859" s="44"/>
      <c r="Y859" s="44"/>
      <c r="Z859" s="41" t="str">
        <f ca="1">IF(AND(Tableau1[[#This Row],[Charge]]&lt;&gt;0, Tableau1[[#This Row],[Nombre intervenants]]&lt;&gt;0,Tableau1[[#This Row],[Lien document]]&lt;&gt;0,Tableau1[[#This Row],[DMS_SAP]]&lt;&gt;0)=TRUE,"MIS A JOUR","")</f>
        <v/>
      </c>
      <c r="AA859" s="45"/>
      <c r="AB859" s="55" t="str">
        <f ca="1">IF(Tableau1[[#This Row],[Date rév.]]&lt;&gt;"", DAYS360(Tableau1[[#This Row],[Date rév.]],TODAY()),"")</f>
        <v/>
      </c>
      <c r="AC859" s="47">
        <f>IFERROR(INDEX(Chemin_accès!$B$11:$C$22,MATCH(Tableau1[[#This Row],[Type]],Chemin_accès!$C$11:$C$22,0),1),Chemin_accès!$B$11)</f>
        <v>0</v>
      </c>
      <c r="AD859" s="47" t="str">
        <f>Chemin_accès!$B$8&amp;Tableau1[[#This Row],[Localisation / Classement]]&amp;"\"&amp;Tableau1[[#This Row],[Poste technique]]&amp;"_"&amp;Tableau1[[#This Row],[Plan Entretien]]&amp;".xlsm"</f>
        <v>\_.xlsm</v>
      </c>
    </row>
    <row r="860" spans="1:30" x14ac:dyDescent="0.3">
      <c r="A860" s="41" t="str">
        <f t="shared" ca="1" si="13"/>
        <v>7.MNRJ</v>
      </c>
      <c r="B8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0" s="43"/>
      <c r="D860" s="41"/>
      <c r="E860" s="41"/>
      <c r="F860" s="44"/>
      <c r="G860" s="44"/>
      <c r="H860" s="48"/>
      <c r="I860" s="48"/>
      <c r="J860" s="48"/>
      <c r="K860" s="48"/>
      <c r="L860" s="43"/>
      <c r="M860" s="44"/>
      <c r="N860" s="43"/>
      <c r="O860" s="43"/>
      <c r="P860" s="44"/>
      <c r="Q860" s="43"/>
      <c r="R860" s="43"/>
      <c r="S860" s="45"/>
      <c r="T860" s="58" t="str">
        <f>IF(Tableau1[[#This Row],[DMS_SAP]]="","",HYPERLINK(Tableau1[[#This Row],[Chemin fichier source]],"X"))</f>
        <v/>
      </c>
      <c r="U860" s="58" t="str">
        <f>IF(Tableau1[[#This Row],[Date rév.]]="","",HYPERLINK(Tableau1[[#This Row],[Lien document]],"X"))</f>
        <v/>
      </c>
      <c r="V860" s="44"/>
      <c r="W860" s="46" t="str">
        <f ca="1">Chemin_accès!$B$2&amp;Tableau1[[#This Row],[Poste Responsable]]&amp;"\"&amp;Tableau1[[#This Row],[Localisation / Classement]]&amp;"\"&amp;Tableau1[[#This Row],[Poste technique]]&amp;"_"&amp;Tableau1[[#This Row],[Plan Entretien]]&amp;".pdf"</f>
        <v>\\stjn.local\trimet\Donnees_Projets\Dms Sap\Maintenance\PlanEntretien\7.MNRJ\\_.pdf</v>
      </c>
      <c r="X860" s="44"/>
      <c r="Y860" s="44"/>
      <c r="Z860" s="41" t="str">
        <f ca="1">IF(AND(Tableau1[[#This Row],[Charge]]&lt;&gt;0, Tableau1[[#This Row],[Nombre intervenants]]&lt;&gt;0,Tableau1[[#This Row],[Lien document]]&lt;&gt;0,Tableau1[[#This Row],[DMS_SAP]]&lt;&gt;0)=TRUE,"MIS A JOUR","")</f>
        <v/>
      </c>
      <c r="AA860" s="45"/>
      <c r="AB860" s="55" t="str">
        <f ca="1">IF(Tableau1[[#This Row],[Date rév.]]&lt;&gt;"", DAYS360(Tableau1[[#This Row],[Date rév.]],TODAY()),"")</f>
        <v/>
      </c>
      <c r="AC860" s="47">
        <f>IFERROR(INDEX(Chemin_accès!$B$11:$C$22,MATCH(Tableau1[[#This Row],[Type]],Chemin_accès!$C$11:$C$22,0),1),Chemin_accès!$B$11)</f>
        <v>0</v>
      </c>
      <c r="AD860" s="47" t="str">
        <f>Chemin_accès!$B$8&amp;Tableau1[[#This Row],[Localisation / Classement]]&amp;"\"&amp;Tableau1[[#This Row],[Poste technique]]&amp;"_"&amp;Tableau1[[#This Row],[Plan Entretien]]&amp;".xlsm"</f>
        <v>\_.xlsm</v>
      </c>
    </row>
    <row r="861" spans="1:30" x14ac:dyDescent="0.3">
      <c r="A861" s="41" t="str">
        <f t="shared" ca="1" si="13"/>
        <v>7.MNRJ</v>
      </c>
      <c r="B8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1" s="43"/>
      <c r="D861" s="41"/>
      <c r="E861" s="41"/>
      <c r="F861" s="44"/>
      <c r="G861" s="44"/>
      <c r="H861" s="48"/>
      <c r="I861" s="48"/>
      <c r="J861" s="48"/>
      <c r="K861" s="48"/>
      <c r="L861" s="43"/>
      <c r="M861" s="44"/>
      <c r="N861" s="43"/>
      <c r="O861" s="43"/>
      <c r="P861" s="44"/>
      <c r="Q861" s="43"/>
      <c r="R861" s="43"/>
      <c r="S861" s="45"/>
      <c r="T861" s="58" t="str">
        <f>IF(Tableau1[[#This Row],[DMS_SAP]]="","",HYPERLINK(Tableau1[[#This Row],[Chemin fichier source]],"X"))</f>
        <v/>
      </c>
      <c r="U861" s="58" t="str">
        <f>IF(Tableau1[[#This Row],[Date rév.]]="","",HYPERLINK(Tableau1[[#This Row],[Lien document]],"X"))</f>
        <v/>
      </c>
      <c r="V861" s="44"/>
      <c r="W861" s="46" t="str">
        <f ca="1">Chemin_accès!$B$2&amp;Tableau1[[#This Row],[Poste Responsable]]&amp;"\"&amp;Tableau1[[#This Row],[Localisation / Classement]]&amp;"\"&amp;Tableau1[[#This Row],[Poste technique]]&amp;"_"&amp;Tableau1[[#This Row],[Plan Entretien]]&amp;".pdf"</f>
        <v>\\stjn.local\trimet\Donnees_Projets\Dms Sap\Maintenance\PlanEntretien\7.MNRJ\\_.pdf</v>
      </c>
      <c r="X861" s="44"/>
      <c r="Y861" s="44"/>
      <c r="Z861" s="41" t="str">
        <f ca="1">IF(AND(Tableau1[[#This Row],[Charge]]&lt;&gt;0, Tableau1[[#This Row],[Nombre intervenants]]&lt;&gt;0,Tableau1[[#This Row],[Lien document]]&lt;&gt;0,Tableau1[[#This Row],[DMS_SAP]]&lt;&gt;0)=TRUE,"MIS A JOUR","")</f>
        <v/>
      </c>
      <c r="AA861" s="45"/>
      <c r="AB861" s="55" t="str">
        <f ca="1">IF(Tableau1[[#This Row],[Date rév.]]&lt;&gt;"", DAYS360(Tableau1[[#This Row],[Date rév.]],TODAY()),"")</f>
        <v/>
      </c>
      <c r="AC861" s="47">
        <f>IFERROR(INDEX(Chemin_accès!$B$11:$C$22,MATCH(Tableau1[[#This Row],[Type]],Chemin_accès!$C$11:$C$22,0),1),Chemin_accès!$B$11)</f>
        <v>0</v>
      </c>
      <c r="AD861" s="47" t="str">
        <f>Chemin_accès!$B$8&amp;Tableau1[[#This Row],[Localisation / Classement]]&amp;"\"&amp;Tableau1[[#This Row],[Poste technique]]&amp;"_"&amp;Tableau1[[#This Row],[Plan Entretien]]&amp;".xlsm"</f>
        <v>\_.xlsm</v>
      </c>
    </row>
    <row r="862" spans="1:30" x14ac:dyDescent="0.3">
      <c r="A862" s="41" t="str">
        <f t="shared" ca="1" si="13"/>
        <v>7.MNRJ</v>
      </c>
      <c r="B8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2" s="43"/>
      <c r="D862" s="41"/>
      <c r="E862" s="41"/>
      <c r="F862" s="44"/>
      <c r="G862" s="44"/>
      <c r="H862" s="48"/>
      <c r="I862" s="48"/>
      <c r="J862" s="48"/>
      <c r="K862" s="48"/>
      <c r="L862" s="43"/>
      <c r="M862" s="44"/>
      <c r="N862" s="43"/>
      <c r="O862" s="43"/>
      <c r="P862" s="44"/>
      <c r="Q862" s="43"/>
      <c r="R862" s="43"/>
      <c r="S862" s="45"/>
      <c r="T862" s="58" t="str">
        <f>IF(Tableau1[[#This Row],[DMS_SAP]]="","",HYPERLINK(Tableau1[[#This Row],[Chemin fichier source]],"X"))</f>
        <v/>
      </c>
      <c r="U862" s="58" t="str">
        <f>IF(Tableau1[[#This Row],[Date rév.]]="","",HYPERLINK(Tableau1[[#This Row],[Lien document]],"X"))</f>
        <v/>
      </c>
      <c r="V862" s="44"/>
      <c r="W862" s="46" t="str">
        <f ca="1">Chemin_accès!$B$2&amp;Tableau1[[#This Row],[Poste Responsable]]&amp;"\"&amp;Tableau1[[#This Row],[Localisation / Classement]]&amp;"\"&amp;Tableau1[[#This Row],[Poste technique]]&amp;"_"&amp;Tableau1[[#This Row],[Plan Entretien]]&amp;".pdf"</f>
        <v>\\stjn.local\trimet\Donnees_Projets\Dms Sap\Maintenance\PlanEntretien\7.MNRJ\\_.pdf</v>
      </c>
      <c r="X862" s="44"/>
      <c r="Y862" s="44"/>
      <c r="Z862" s="41" t="str">
        <f ca="1">IF(AND(Tableau1[[#This Row],[Charge]]&lt;&gt;0, Tableau1[[#This Row],[Nombre intervenants]]&lt;&gt;0,Tableau1[[#This Row],[Lien document]]&lt;&gt;0,Tableau1[[#This Row],[DMS_SAP]]&lt;&gt;0)=TRUE,"MIS A JOUR","")</f>
        <v/>
      </c>
      <c r="AA862" s="45"/>
      <c r="AB862" s="55" t="str">
        <f ca="1">IF(Tableau1[[#This Row],[Date rév.]]&lt;&gt;"", DAYS360(Tableau1[[#This Row],[Date rév.]],TODAY()),"")</f>
        <v/>
      </c>
      <c r="AC862" s="47">
        <f>IFERROR(INDEX(Chemin_accès!$B$11:$C$22,MATCH(Tableau1[[#This Row],[Type]],Chemin_accès!$C$11:$C$22,0),1),Chemin_accès!$B$11)</f>
        <v>0</v>
      </c>
      <c r="AD862" s="47" t="str">
        <f>Chemin_accès!$B$8&amp;Tableau1[[#This Row],[Localisation / Classement]]&amp;"\"&amp;Tableau1[[#This Row],[Poste technique]]&amp;"_"&amp;Tableau1[[#This Row],[Plan Entretien]]&amp;".xlsm"</f>
        <v>\_.xlsm</v>
      </c>
    </row>
    <row r="863" spans="1:30" x14ac:dyDescent="0.3">
      <c r="A863" s="41" t="str">
        <f t="shared" ca="1" si="13"/>
        <v>7.MNRJ</v>
      </c>
      <c r="B8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3" s="43"/>
      <c r="D863" s="41"/>
      <c r="E863" s="41"/>
      <c r="F863" s="44"/>
      <c r="G863" s="44"/>
      <c r="H863" s="48"/>
      <c r="I863" s="48"/>
      <c r="J863" s="48"/>
      <c r="K863" s="48"/>
      <c r="L863" s="43"/>
      <c r="M863" s="44"/>
      <c r="N863" s="43"/>
      <c r="O863" s="43"/>
      <c r="P863" s="44"/>
      <c r="Q863" s="43"/>
      <c r="R863" s="43"/>
      <c r="S863" s="45"/>
      <c r="T863" s="58" t="str">
        <f>IF(Tableau1[[#This Row],[DMS_SAP]]="","",HYPERLINK(Tableau1[[#This Row],[Chemin fichier source]],"X"))</f>
        <v/>
      </c>
      <c r="U863" s="58" t="str">
        <f>IF(Tableau1[[#This Row],[Date rév.]]="","",HYPERLINK(Tableau1[[#This Row],[Lien document]],"X"))</f>
        <v/>
      </c>
      <c r="V863" s="44"/>
      <c r="W863" s="46" t="str">
        <f ca="1">Chemin_accès!$B$2&amp;Tableau1[[#This Row],[Poste Responsable]]&amp;"\"&amp;Tableau1[[#This Row],[Localisation / Classement]]&amp;"\"&amp;Tableau1[[#This Row],[Poste technique]]&amp;"_"&amp;Tableau1[[#This Row],[Plan Entretien]]&amp;".pdf"</f>
        <v>\\stjn.local\trimet\Donnees_Projets\Dms Sap\Maintenance\PlanEntretien\7.MNRJ\\_.pdf</v>
      </c>
      <c r="X863" s="44"/>
      <c r="Y863" s="44"/>
      <c r="Z863" s="41" t="str">
        <f ca="1">IF(AND(Tableau1[[#This Row],[Charge]]&lt;&gt;0, Tableau1[[#This Row],[Nombre intervenants]]&lt;&gt;0,Tableau1[[#This Row],[Lien document]]&lt;&gt;0,Tableau1[[#This Row],[DMS_SAP]]&lt;&gt;0)=TRUE,"MIS A JOUR","")</f>
        <v/>
      </c>
      <c r="AA863" s="45"/>
      <c r="AB863" s="55" t="str">
        <f ca="1">IF(Tableau1[[#This Row],[Date rév.]]&lt;&gt;"", DAYS360(Tableau1[[#This Row],[Date rév.]],TODAY()),"")</f>
        <v/>
      </c>
      <c r="AC863" s="47">
        <f>IFERROR(INDEX(Chemin_accès!$B$11:$C$22,MATCH(Tableau1[[#This Row],[Type]],Chemin_accès!$C$11:$C$22,0),1),Chemin_accès!$B$11)</f>
        <v>0</v>
      </c>
      <c r="AD863" s="47" t="str">
        <f>Chemin_accès!$B$8&amp;Tableau1[[#This Row],[Localisation / Classement]]&amp;"\"&amp;Tableau1[[#This Row],[Poste technique]]&amp;"_"&amp;Tableau1[[#This Row],[Plan Entretien]]&amp;".xlsm"</f>
        <v>\_.xlsm</v>
      </c>
    </row>
    <row r="864" spans="1:30" x14ac:dyDescent="0.3">
      <c r="A864" s="41" t="str">
        <f t="shared" ca="1" si="13"/>
        <v>7.MNRJ</v>
      </c>
      <c r="B8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4" s="43"/>
      <c r="D864" s="41"/>
      <c r="E864" s="41"/>
      <c r="F864" s="44"/>
      <c r="G864" s="44"/>
      <c r="H864" s="48"/>
      <c r="I864" s="48"/>
      <c r="J864" s="48"/>
      <c r="K864" s="48"/>
      <c r="L864" s="43"/>
      <c r="M864" s="44"/>
      <c r="N864" s="43"/>
      <c r="O864" s="43"/>
      <c r="P864" s="44"/>
      <c r="Q864" s="43"/>
      <c r="R864" s="43"/>
      <c r="S864" s="45"/>
      <c r="T864" s="58" t="str">
        <f>IF(Tableau1[[#This Row],[DMS_SAP]]="","",HYPERLINK(Tableau1[[#This Row],[Chemin fichier source]],"X"))</f>
        <v/>
      </c>
      <c r="U864" s="58" t="str">
        <f>IF(Tableau1[[#This Row],[Date rév.]]="","",HYPERLINK(Tableau1[[#This Row],[Lien document]],"X"))</f>
        <v/>
      </c>
      <c r="V864" s="44"/>
      <c r="W864" s="46" t="str">
        <f ca="1">Chemin_accès!$B$2&amp;Tableau1[[#This Row],[Poste Responsable]]&amp;"\"&amp;Tableau1[[#This Row],[Localisation / Classement]]&amp;"\"&amp;Tableau1[[#This Row],[Poste technique]]&amp;"_"&amp;Tableau1[[#This Row],[Plan Entretien]]&amp;".pdf"</f>
        <v>\\stjn.local\trimet\Donnees_Projets\Dms Sap\Maintenance\PlanEntretien\7.MNRJ\\_.pdf</v>
      </c>
      <c r="X864" s="44"/>
      <c r="Y864" s="44"/>
      <c r="Z864" s="41" t="str">
        <f ca="1">IF(AND(Tableau1[[#This Row],[Charge]]&lt;&gt;0, Tableau1[[#This Row],[Nombre intervenants]]&lt;&gt;0,Tableau1[[#This Row],[Lien document]]&lt;&gt;0,Tableau1[[#This Row],[DMS_SAP]]&lt;&gt;0)=TRUE,"MIS A JOUR","")</f>
        <v/>
      </c>
      <c r="AA864" s="45"/>
      <c r="AB864" s="55" t="str">
        <f ca="1">IF(Tableau1[[#This Row],[Date rév.]]&lt;&gt;"", DAYS360(Tableau1[[#This Row],[Date rév.]],TODAY()),"")</f>
        <v/>
      </c>
      <c r="AC864" s="47">
        <f>IFERROR(INDEX(Chemin_accès!$B$11:$C$22,MATCH(Tableau1[[#This Row],[Type]],Chemin_accès!$C$11:$C$22,0),1),Chemin_accès!$B$11)</f>
        <v>0</v>
      </c>
      <c r="AD864" s="47" t="str">
        <f>Chemin_accès!$B$8&amp;Tableau1[[#This Row],[Localisation / Classement]]&amp;"\"&amp;Tableau1[[#This Row],[Poste technique]]&amp;"_"&amp;Tableau1[[#This Row],[Plan Entretien]]&amp;".xlsm"</f>
        <v>\_.xlsm</v>
      </c>
    </row>
    <row r="865" spans="1:30" x14ac:dyDescent="0.3">
      <c r="A865" s="41" t="str">
        <f t="shared" ca="1" si="13"/>
        <v>7.MNRJ</v>
      </c>
      <c r="B8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5" s="43"/>
      <c r="D865" s="41"/>
      <c r="E865" s="41"/>
      <c r="F865" s="44"/>
      <c r="G865" s="44"/>
      <c r="H865" s="48"/>
      <c r="I865" s="48"/>
      <c r="J865" s="48"/>
      <c r="K865" s="48"/>
      <c r="L865" s="43"/>
      <c r="M865" s="44"/>
      <c r="N865" s="43"/>
      <c r="O865" s="43"/>
      <c r="P865" s="44"/>
      <c r="Q865" s="43"/>
      <c r="R865" s="43"/>
      <c r="S865" s="45"/>
      <c r="T865" s="58" t="str">
        <f>IF(Tableau1[[#This Row],[DMS_SAP]]="","",HYPERLINK(Tableau1[[#This Row],[Chemin fichier source]],"X"))</f>
        <v/>
      </c>
      <c r="U865" s="58" t="str">
        <f>IF(Tableau1[[#This Row],[Date rév.]]="","",HYPERLINK(Tableau1[[#This Row],[Lien document]],"X"))</f>
        <v/>
      </c>
      <c r="V865" s="44"/>
      <c r="W865" s="46" t="str">
        <f ca="1">Chemin_accès!$B$2&amp;Tableau1[[#This Row],[Poste Responsable]]&amp;"\"&amp;Tableau1[[#This Row],[Localisation / Classement]]&amp;"\"&amp;Tableau1[[#This Row],[Poste technique]]&amp;"_"&amp;Tableau1[[#This Row],[Plan Entretien]]&amp;".pdf"</f>
        <v>\\stjn.local\trimet\Donnees_Projets\Dms Sap\Maintenance\PlanEntretien\7.MNRJ\\_.pdf</v>
      </c>
      <c r="X865" s="44"/>
      <c r="Y865" s="44"/>
      <c r="Z865" s="41" t="str">
        <f ca="1">IF(AND(Tableau1[[#This Row],[Charge]]&lt;&gt;0, Tableau1[[#This Row],[Nombre intervenants]]&lt;&gt;0,Tableau1[[#This Row],[Lien document]]&lt;&gt;0,Tableau1[[#This Row],[DMS_SAP]]&lt;&gt;0)=TRUE,"MIS A JOUR","")</f>
        <v/>
      </c>
      <c r="AA865" s="45"/>
      <c r="AB865" s="55" t="str">
        <f ca="1">IF(Tableau1[[#This Row],[Date rév.]]&lt;&gt;"", DAYS360(Tableau1[[#This Row],[Date rév.]],TODAY()),"")</f>
        <v/>
      </c>
      <c r="AC865" s="47">
        <f>IFERROR(INDEX(Chemin_accès!$B$11:$C$22,MATCH(Tableau1[[#This Row],[Type]],Chemin_accès!$C$11:$C$22,0),1),Chemin_accès!$B$11)</f>
        <v>0</v>
      </c>
      <c r="AD865" s="47" t="str">
        <f>Chemin_accès!$B$8&amp;Tableau1[[#This Row],[Localisation / Classement]]&amp;"\"&amp;Tableau1[[#This Row],[Poste technique]]&amp;"_"&amp;Tableau1[[#This Row],[Plan Entretien]]&amp;".xlsm"</f>
        <v>\_.xlsm</v>
      </c>
    </row>
    <row r="866" spans="1:30" x14ac:dyDescent="0.3">
      <c r="A866" s="41" t="str">
        <f t="shared" ca="1" si="13"/>
        <v>7.MNRJ</v>
      </c>
      <c r="B8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6" s="43"/>
      <c r="D866" s="41"/>
      <c r="E866" s="41"/>
      <c r="F866" s="44"/>
      <c r="G866" s="44"/>
      <c r="H866" s="48"/>
      <c r="I866" s="48"/>
      <c r="J866" s="48"/>
      <c r="K866" s="48"/>
      <c r="L866" s="43"/>
      <c r="M866" s="44"/>
      <c r="N866" s="43"/>
      <c r="O866" s="43"/>
      <c r="P866" s="44"/>
      <c r="Q866" s="43"/>
      <c r="R866" s="43"/>
      <c r="S866" s="45"/>
      <c r="T866" s="58" t="str">
        <f>IF(Tableau1[[#This Row],[DMS_SAP]]="","",HYPERLINK(Tableau1[[#This Row],[Chemin fichier source]],"X"))</f>
        <v/>
      </c>
      <c r="U866" s="58" t="str">
        <f>IF(Tableau1[[#This Row],[Date rév.]]="","",HYPERLINK(Tableau1[[#This Row],[Lien document]],"X"))</f>
        <v/>
      </c>
      <c r="V866" s="44"/>
      <c r="W866" s="46" t="str">
        <f ca="1">Chemin_accès!$B$2&amp;Tableau1[[#This Row],[Poste Responsable]]&amp;"\"&amp;Tableau1[[#This Row],[Localisation / Classement]]&amp;"\"&amp;Tableau1[[#This Row],[Poste technique]]&amp;"_"&amp;Tableau1[[#This Row],[Plan Entretien]]&amp;".pdf"</f>
        <v>\\stjn.local\trimet\Donnees_Projets\Dms Sap\Maintenance\PlanEntretien\7.MNRJ\\_.pdf</v>
      </c>
      <c r="X866" s="44"/>
      <c r="Y866" s="44"/>
      <c r="Z866" s="41" t="str">
        <f ca="1">IF(AND(Tableau1[[#This Row],[Charge]]&lt;&gt;0, Tableau1[[#This Row],[Nombre intervenants]]&lt;&gt;0,Tableau1[[#This Row],[Lien document]]&lt;&gt;0,Tableau1[[#This Row],[DMS_SAP]]&lt;&gt;0)=TRUE,"MIS A JOUR","")</f>
        <v/>
      </c>
      <c r="AA866" s="45"/>
      <c r="AB866" s="55" t="str">
        <f ca="1">IF(Tableau1[[#This Row],[Date rév.]]&lt;&gt;"", DAYS360(Tableau1[[#This Row],[Date rév.]],TODAY()),"")</f>
        <v/>
      </c>
      <c r="AC866" s="47">
        <f>IFERROR(INDEX(Chemin_accès!$B$11:$C$22,MATCH(Tableau1[[#This Row],[Type]],Chemin_accès!$C$11:$C$22,0),1),Chemin_accès!$B$11)</f>
        <v>0</v>
      </c>
      <c r="AD866" s="47" t="str">
        <f>Chemin_accès!$B$8&amp;Tableau1[[#This Row],[Localisation / Classement]]&amp;"\"&amp;Tableau1[[#This Row],[Poste technique]]&amp;"_"&amp;Tableau1[[#This Row],[Plan Entretien]]&amp;".xlsm"</f>
        <v>\_.xlsm</v>
      </c>
    </row>
    <row r="867" spans="1:30" x14ac:dyDescent="0.3">
      <c r="A867" s="41" t="str">
        <f t="shared" ca="1" si="13"/>
        <v>7.MNRJ</v>
      </c>
      <c r="B8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7" s="43"/>
      <c r="D867" s="41"/>
      <c r="E867" s="41"/>
      <c r="F867" s="44"/>
      <c r="G867" s="44"/>
      <c r="H867" s="48"/>
      <c r="I867" s="48"/>
      <c r="J867" s="48"/>
      <c r="K867" s="48"/>
      <c r="L867" s="43"/>
      <c r="M867" s="44"/>
      <c r="N867" s="43"/>
      <c r="O867" s="43"/>
      <c r="P867" s="44"/>
      <c r="Q867" s="43"/>
      <c r="R867" s="43"/>
      <c r="S867" s="45"/>
      <c r="T867" s="58" t="str">
        <f>IF(Tableau1[[#This Row],[DMS_SAP]]="","",HYPERLINK(Tableau1[[#This Row],[Chemin fichier source]],"X"))</f>
        <v/>
      </c>
      <c r="U867" s="58" t="str">
        <f>IF(Tableau1[[#This Row],[Date rév.]]="","",HYPERLINK(Tableau1[[#This Row],[Lien document]],"X"))</f>
        <v/>
      </c>
      <c r="V867" s="44"/>
      <c r="W867" s="46" t="str">
        <f ca="1">Chemin_accès!$B$2&amp;Tableau1[[#This Row],[Poste Responsable]]&amp;"\"&amp;Tableau1[[#This Row],[Localisation / Classement]]&amp;"\"&amp;Tableau1[[#This Row],[Poste technique]]&amp;"_"&amp;Tableau1[[#This Row],[Plan Entretien]]&amp;".pdf"</f>
        <v>\\stjn.local\trimet\Donnees_Projets\Dms Sap\Maintenance\PlanEntretien\7.MNRJ\\_.pdf</v>
      </c>
      <c r="X867" s="44"/>
      <c r="Y867" s="44"/>
      <c r="Z867" s="41" t="str">
        <f ca="1">IF(AND(Tableau1[[#This Row],[Charge]]&lt;&gt;0, Tableau1[[#This Row],[Nombre intervenants]]&lt;&gt;0,Tableau1[[#This Row],[Lien document]]&lt;&gt;0,Tableau1[[#This Row],[DMS_SAP]]&lt;&gt;0)=TRUE,"MIS A JOUR","")</f>
        <v/>
      </c>
      <c r="AA867" s="45"/>
      <c r="AB867" s="55" t="str">
        <f ca="1">IF(Tableau1[[#This Row],[Date rév.]]&lt;&gt;"", DAYS360(Tableau1[[#This Row],[Date rév.]],TODAY()),"")</f>
        <v/>
      </c>
      <c r="AC867" s="47">
        <f>IFERROR(INDEX(Chemin_accès!$B$11:$C$22,MATCH(Tableau1[[#This Row],[Type]],Chemin_accès!$C$11:$C$22,0),1),Chemin_accès!$B$11)</f>
        <v>0</v>
      </c>
      <c r="AD867" s="47" t="str">
        <f>Chemin_accès!$B$8&amp;Tableau1[[#This Row],[Localisation / Classement]]&amp;"\"&amp;Tableau1[[#This Row],[Poste technique]]&amp;"_"&amp;Tableau1[[#This Row],[Plan Entretien]]&amp;".xlsm"</f>
        <v>\_.xlsm</v>
      </c>
    </row>
    <row r="868" spans="1:30" x14ac:dyDescent="0.3">
      <c r="A868" s="41" t="str">
        <f t="shared" ca="1" si="13"/>
        <v>7.MNRJ</v>
      </c>
      <c r="B8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8" s="43"/>
      <c r="D868" s="41"/>
      <c r="E868" s="41"/>
      <c r="F868" s="44"/>
      <c r="G868" s="44"/>
      <c r="H868" s="48"/>
      <c r="I868" s="48"/>
      <c r="J868" s="48"/>
      <c r="K868" s="48"/>
      <c r="L868" s="43"/>
      <c r="M868" s="44"/>
      <c r="N868" s="43"/>
      <c r="O868" s="43"/>
      <c r="P868" s="44"/>
      <c r="Q868" s="43"/>
      <c r="R868" s="43"/>
      <c r="S868" s="45"/>
      <c r="T868" s="58" t="str">
        <f>IF(Tableau1[[#This Row],[DMS_SAP]]="","",HYPERLINK(Tableau1[[#This Row],[Chemin fichier source]],"X"))</f>
        <v/>
      </c>
      <c r="U868" s="58" t="str">
        <f>IF(Tableau1[[#This Row],[Date rév.]]="","",HYPERLINK(Tableau1[[#This Row],[Lien document]],"X"))</f>
        <v/>
      </c>
      <c r="V868" s="44"/>
      <c r="W868" s="46" t="str">
        <f ca="1">Chemin_accès!$B$2&amp;Tableau1[[#This Row],[Poste Responsable]]&amp;"\"&amp;Tableau1[[#This Row],[Localisation / Classement]]&amp;"\"&amp;Tableau1[[#This Row],[Poste technique]]&amp;"_"&amp;Tableau1[[#This Row],[Plan Entretien]]&amp;".pdf"</f>
        <v>\\stjn.local\trimet\Donnees_Projets\Dms Sap\Maintenance\PlanEntretien\7.MNRJ\\_.pdf</v>
      </c>
      <c r="X868" s="44"/>
      <c r="Y868" s="44"/>
      <c r="Z868" s="41" t="str">
        <f ca="1">IF(AND(Tableau1[[#This Row],[Charge]]&lt;&gt;0, Tableau1[[#This Row],[Nombre intervenants]]&lt;&gt;0,Tableau1[[#This Row],[Lien document]]&lt;&gt;0,Tableau1[[#This Row],[DMS_SAP]]&lt;&gt;0)=TRUE,"MIS A JOUR","")</f>
        <v/>
      </c>
      <c r="AA868" s="45"/>
      <c r="AB868" s="55" t="str">
        <f ca="1">IF(Tableau1[[#This Row],[Date rév.]]&lt;&gt;"", DAYS360(Tableau1[[#This Row],[Date rév.]],TODAY()),"")</f>
        <v/>
      </c>
      <c r="AC868" s="47">
        <f>IFERROR(INDEX(Chemin_accès!$B$11:$C$22,MATCH(Tableau1[[#This Row],[Type]],Chemin_accès!$C$11:$C$22,0),1),Chemin_accès!$B$11)</f>
        <v>0</v>
      </c>
      <c r="AD868" s="47" t="str">
        <f>Chemin_accès!$B$8&amp;Tableau1[[#This Row],[Localisation / Classement]]&amp;"\"&amp;Tableau1[[#This Row],[Poste technique]]&amp;"_"&amp;Tableau1[[#This Row],[Plan Entretien]]&amp;".xlsm"</f>
        <v>\_.xlsm</v>
      </c>
    </row>
    <row r="869" spans="1:30" x14ac:dyDescent="0.3">
      <c r="A869" s="41" t="str">
        <f t="shared" ca="1" si="13"/>
        <v>7.MNRJ</v>
      </c>
      <c r="B8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9" s="43"/>
      <c r="D869" s="41"/>
      <c r="E869" s="41"/>
      <c r="F869" s="44"/>
      <c r="G869" s="44"/>
      <c r="H869" s="48"/>
      <c r="I869" s="48"/>
      <c r="J869" s="48"/>
      <c r="K869" s="48"/>
      <c r="L869" s="43"/>
      <c r="M869" s="44"/>
      <c r="N869" s="43"/>
      <c r="O869" s="43"/>
      <c r="P869" s="44"/>
      <c r="Q869" s="43"/>
      <c r="R869" s="43"/>
      <c r="S869" s="45"/>
      <c r="T869" s="58" t="str">
        <f>IF(Tableau1[[#This Row],[DMS_SAP]]="","",HYPERLINK(Tableau1[[#This Row],[Chemin fichier source]],"X"))</f>
        <v/>
      </c>
      <c r="U869" s="58" t="str">
        <f>IF(Tableau1[[#This Row],[Date rév.]]="","",HYPERLINK(Tableau1[[#This Row],[Lien document]],"X"))</f>
        <v/>
      </c>
      <c r="V869" s="44"/>
      <c r="W869" s="46" t="str">
        <f ca="1">Chemin_accès!$B$2&amp;Tableau1[[#This Row],[Poste Responsable]]&amp;"\"&amp;Tableau1[[#This Row],[Localisation / Classement]]&amp;"\"&amp;Tableau1[[#This Row],[Poste technique]]&amp;"_"&amp;Tableau1[[#This Row],[Plan Entretien]]&amp;".pdf"</f>
        <v>\\stjn.local\trimet\Donnees_Projets\Dms Sap\Maintenance\PlanEntretien\7.MNRJ\\_.pdf</v>
      </c>
      <c r="X869" s="44"/>
      <c r="Y869" s="44"/>
      <c r="Z869" s="41" t="str">
        <f ca="1">IF(AND(Tableau1[[#This Row],[Charge]]&lt;&gt;0, Tableau1[[#This Row],[Nombre intervenants]]&lt;&gt;0,Tableau1[[#This Row],[Lien document]]&lt;&gt;0,Tableau1[[#This Row],[DMS_SAP]]&lt;&gt;0)=TRUE,"MIS A JOUR","")</f>
        <v/>
      </c>
      <c r="AA869" s="45"/>
      <c r="AB869" s="55" t="str">
        <f ca="1">IF(Tableau1[[#This Row],[Date rév.]]&lt;&gt;"", DAYS360(Tableau1[[#This Row],[Date rév.]],TODAY()),"")</f>
        <v/>
      </c>
      <c r="AC869" s="47">
        <f>IFERROR(INDEX(Chemin_accès!$B$11:$C$22,MATCH(Tableau1[[#This Row],[Type]],Chemin_accès!$C$11:$C$22,0),1),Chemin_accès!$B$11)</f>
        <v>0</v>
      </c>
      <c r="AD869" s="47" t="str">
        <f>Chemin_accès!$B$8&amp;Tableau1[[#This Row],[Localisation / Classement]]&amp;"\"&amp;Tableau1[[#This Row],[Poste technique]]&amp;"_"&amp;Tableau1[[#This Row],[Plan Entretien]]&amp;".xlsm"</f>
        <v>\_.xlsm</v>
      </c>
    </row>
    <row r="870" spans="1:30" x14ac:dyDescent="0.3">
      <c r="A870" s="41" t="str">
        <f t="shared" ca="1" si="13"/>
        <v>7.MNRJ</v>
      </c>
      <c r="B8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0" s="43"/>
      <c r="D870" s="41"/>
      <c r="E870" s="41"/>
      <c r="F870" s="44"/>
      <c r="G870" s="44"/>
      <c r="H870" s="48"/>
      <c r="I870" s="48"/>
      <c r="J870" s="48"/>
      <c r="K870" s="48"/>
      <c r="L870" s="43"/>
      <c r="M870" s="44"/>
      <c r="N870" s="43"/>
      <c r="O870" s="43"/>
      <c r="P870" s="44"/>
      <c r="Q870" s="43"/>
      <c r="R870" s="43"/>
      <c r="S870" s="45"/>
      <c r="T870" s="58" t="str">
        <f>IF(Tableau1[[#This Row],[DMS_SAP]]="","",HYPERLINK(Tableau1[[#This Row],[Chemin fichier source]],"X"))</f>
        <v/>
      </c>
      <c r="U870" s="58" t="str">
        <f>IF(Tableau1[[#This Row],[Date rév.]]="","",HYPERLINK(Tableau1[[#This Row],[Lien document]],"X"))</f>
        <v/>
      </c>
      <c r="V870" s="44"/>
      <c r="W870" s="46" t="str">
        <f ca="1">Chemin_accès!$B$2&amp;Tableau1[[#This Row],[Poste Responsable]]&amp;"\"&amp;Tableau1[[#This Row],[Localisation / Classement]]&amp;"\"&amp;Tableau1[[#This Row],[Poste technique]]&amp;"_"&amp;Tableau1[[#This Row],[Plan Entretien]]&amp;".pdf"</f>
        <v>\\stjn.local\trimet\Donnees_Projets\Dms Sap\Maintenance\PlanEntretien\7.MNRJ\\_.pdf</v>
      </c>
      <c r="X870" s="44"/>
      <c r="Y870" s="44"/>
      <c r="Z870" s="41" t="str">
        <f ca="1">IF(AND(Tableau1[[#This Row],[Charge]]&lt;&gt;0, Tableau1[[#This Row],[Nombre intervenants]]&lt;&gt;0,Tableau1[[#This Row],[Lien document]]&lt;&gt;0,Tableau1[[#This Row],[DMS_SAP]]&lt;&gt;0)=TRUE,"MIS A JOUR","")</f>
        <v/>
      </c>
      <c r="AA870" s="45"/>
      <c r="AB870" s="55" t="str">
        <f ca="1">IF(Tableau1[[#This Row],[Date rév.]]&lt;&gt;"", DAYS360(Tableau1[[#This Row],[Date rév.]],TODAY()),"")</f>
        <v/>
      </c>
      <c r="AC870" s="47">
        <f>IFERROR(INDEX(Chemin_accès!$B$11:$C$22,MATCH(Tableau1[[#This Row],[Type]],Chemin_accès!$C$11:$C$22,0),1),Chemin_accès!$B$11)</f>
        <v>0</v>
      </c>
      <c r="AD870" s="47" t="str">
        <f>Chemin_accès!$B$8&amp;Tableau1[[#This Row],[Localisation / Classement]]&amp;"\"&amp;Tableau1[[#This Row],[Poste technique]]&amp;"_"&amp;Tableau1[[#This Row],[Plan Entretien]]&amp;".xlsm"</f>
        <v>\_.xlsm</v>
      </c>
    </row>
    <row r="871" spans="1:30" x14ac:dyDescent="0.3">
      <c r="A871" s="41" t="str">
        <f t="shared" ca="1" si="13"/>
        <v>7.MNRJ</v>
      </c>
      <c r="B8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1" s="43"/>
      <c r="D871" s="41"/>
      <c r="E871" s="41"/>
      <c r="F871" s="44"/>
      <c r="G871" s="44"/>
      <c r="H871" s="48"/>
      <c r="I871" s="48"/>
      <c r="J871" s="48"/>
      <c r="K871" s="48"/>
      <c r="L871" s="43"/>
      <c r="M871" s="44"/>
      <c r="N871" s="43"/>
      <c r="O871" s="43"/>
      <c r="P871" s="44"/>
      <c r="Q871" s="43"/>
      <c r="R871" s="43"/>
      <c r="S871" s="45"/>
      <c r="T871" s="58" t="str">
        <f>IF(Tableau1[[#This Row],[DMS_SAP]]="","",HYPERLINK(Tableau1[[#This Row],[Chemin fichier source]],"X"))</f>
        <v/>
      </c>
      <c r="U871" s="58" t="str">
        <f>IF(Tableau1[[#This Row],[Date rév.]]="","",HYPERLINK(Tableau1[[#This Row],[Lien document]],"X"))</f>
        <v/>
      </c>
      <c r="V871" s="44"/>
      <c r="W871" s="46" t="str">
        <f ca="1">Chemin_accès!$B$2&amp;Tableau1[[#This Row],[Poste Responsable]]&amp;"\"&amp;Tableau1[[#This Row],[Localisation / Classement]]&amp;"\"&amp;Tableau1[[#This Row],[Poste technique]]&amp;"_"&amp;Tableau1[[#This Row],[Plan Entretien]]&amp;".pdf"</f>
        <v>\\stjn.local\trimet\Donnees_Projets\Dms Sap\Maintenance\PlanEntretien\7.MNRJ\\_.pdf</v>
      </c>
      <c r="X871" s="44"/>
      <c r="Y871" s="44"/>
      <c r="Z871" s="41" t="str">
        <f ca="1">IF(AND(Tableau1[[#This Row],[Charge]]&lt;&gt;0, Tableau1[[#This Row],[Nombre intervenants]]&lt;&gt;0,Tableau1[[#This Row],[Lien document]]&lt;&gt;0,Tableau1[[#This Row],[DMS_SAP]]&lt;&gt;0)=TRUE,"MIS A JOUR","")</f>
        <v/>
      </c>
      <c r="AA871" s="45"/>
      <c r="AB871" s="55" t="str">
        <f ca="1">IF(Tableau1[[#This Row],[Date rév.]]&lt;&gt;"", DAYS360(Tableau1[[#This Row],[Date rév.]],TODAY()),"")</f>
        <v/>
      </c>
      <c r="AC871" s="47">
        <f>IFERROR(INDEX(Chemin_accès!$B$11:$C$22,MATCH(Tableau1[[#This Row],[Type]],Chemin_accès!$C$11:$C$22,0),1),Chemin_accès!$B$11)</f>
        <v>0</v>
      </c>
      <c r="AD871" s="47" t="str">
        <f>Chemin_accès!$B$8&amp;Tableau1[[#This Row],[Localisation / Classement]]&amp;"\"&amp;Tableau1[[#This Row],[Poste technique]]&amp;"_"&amp;Tableau1[[#This Row],[Plan Entretien]]&amp;".xlsm"</f>
        <v>\_.xlsm</v>
      </c>
    </row>
    <row r="872" spans="1:30" x14ac:dyDescent="0.3">
      <c r="A872" s="41" t="str">
        <f t="shared" ca="1" si="13"/>
        <v>7.MNRJ</v>
      </c>
      <c r="B8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2" s="43"/>
      <c r="D872" s="41"/>
      <c r="E872" s="41"/>
      <c r="F872" s="44"/>
      <c r="G872" s="44"/>
      <c r="H872" s="48"/>
      <c r="I872" s="48"/>
      <c r="J872" s="48"/>
      <c r="K872" s="48"/>
      <c r="L872" s="43"/>
      <c r="M872" s="44"/>
      <c r="N872" s="43"/>
      <c r="O872" s="43"/>
      <c r="P872" s="44"/>
      <c r="Q872" s="43"/>
      <c r="R872" s="43"/>
      <c r="S872" s="45"/>
      <c r="T872" s="58" t="str">
        <f>IF(Tableau1[[#This Row],[DMS_SAP]]="","",HYPERLINK(Tableau1[[#This Row],[Chemin fichier source]],"X"))</f>
        <v/>
      </c>
      <c r="U872" s="58" t="str">
        <f>IF(Tableau1[[#This Row],[Date rév.]]="","",HYPERLINK(Tableau1[[#This Row],[Lien document]],"X"))</f>
        <v/>
      </c>
      <c r="V872" s="44"/>
      <c r="W872" s="46" t="str">
        <f ca="1">Chemin_accès!$B$2&amp;Tableau1[[#This Row],[Poste Responsable]]&amp;"\"&amp;Tableau1[[#This Row],[Localisation / Classement]]&amp;"\"&amp;Tableau1[[#This Row],[Poste technique]]&amp;"_"&amp;Tableau1[[#This Row],[Plan Entretien]]&amp;".pdf"</f>
        <v>\\stjn.local\trimet\Donnees_Projets\Dms Sap\Maintenance\PlanEntretien\7.MNRJ\\_.pdf</v>
      </c>
      <c r="X872" s="44"/>
      <c r="Y872" s="44"/>
      <c r="Z872" s="41" t="str">
        <f ca="1">IF(AND(Tableau1[[#This Row],[Charge]]&lt;&gt;0, Tableau1[[#This Row],[Nombre intervenants]]&lt;&gt;0,Tableau1[[#This Row],[Lien document]]&lt;&gt;0,Tableau1[[#This Row],[DMS_SAP]]&lt;&gt;0)=TRUE,"MIS A JOUR","")</f>
        <v/>
      </c>
      <c r="AA872" s="45"/>
      <c r="AB872" s="55" t="str">
        <f ca="1">IF(Tableau1[[#This Row],[Date rév.]]&lt;&gt;"", DAYS360(Tableau1[[#This Row],[Date rév.]],TODAY()),"")</f>
        <v/>
      </c>
      <c r="AC872" s="47">
        <f>IFERROR(INDEX(Chemin_accès!$B$11:$C$22,MATCH(Tableau1[[#This Row],[Type]],Chemin_accès!$C$11:$C$22,0),1),Chemin_accès!$B$11)</f>
        <v>0</v>
      </c>
      <c r="AD872" s="47" t="str">
        <f>Chemin_accès!$B$8&amp;Tableau1[[#This Row],[Localisation / Classement]]&amp;"\"&amp;Tableau1[[#This Row],[Poste technique]]&amp;"_"&amp;Tableau1[[#This Row],[Plan Entretien]]&amp;".xlsm"</f>
        <v>\_.xlsm</v>
      </c>
    </row>
    <row r="873" spans="1:30" x14ac:dyDescent="0.3">
      <c r="A873" s="41" t="str">
        <f t="shared" ca="1" si="13"/>
        <v>7.MNRJ</v>
      </c>
      <c r="B8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3" s="43"/>
      <c r="D873" s="41"/>
      <c r="E873" s="41"/>
      <c r="F873" s="44"/>
      <c r="G873" s="44"/>
      <c r="H873" s="48"/>
      <c r="I873" s="48"/>
      <c r="J873" s="48"/>
      <c r="K873" s="48"/>
      <c r="L873" s="43"/>
      <c r="M873" s="44"/>
      <c r="N873" s="43"/>
      <c r="O873" s="43"/>
      <c r="P873" s="44"/>
      <c r="Q873" s="43"/>
      <c r="R873" s="43"/>
      <c r="S873" s="45"/>
      <c r="T873" s="58" t="str">
        <f>IF(Tableau1[[#This Row],[DMS_SAP]]="","",HYPERLINK(Tableau1[[#This Row],[Chemin fichier source]],"X"))</f>
        <v/>
      </c>
      <c r="U873" s="58" t="str">
        <f>IF(Tableau1[[#This Row],[Date rév.]]="","",HYPERLINK(Tableau1[[#This Row],[Lien document]],"X"))</f>
        <v/>
      </c>
      <c r="V873" s="44"/>
      <c r="W873" s="46" t="str">
        <f ca="1">Chemin_accès!$B$2&amp;Tableau1[[#This Row],[Poste Responsable]]&amp;"\"&amp;Tableau1[[#This Row],[Localisation / Classement]]&amp;"\"&amp;Tableau1[[#This Row],[Poste technique]]&amp;"_"&amp;Tableau1[[#This Row],[Plan Entretien]]&amp;".pdf"</f>
        <v>\\stjn.local\trimet\Donnees_Projets\Dms Sap\Maintenance\PlanEntretien\7.MNRJ\\_.pdf</v>
      </c>
      <c r="X873" s="44"/>
      <c r="Y873" s="44"/>
      <c r="Z873" s="41" t="str">
        <f ca="1">IF(AND(Tableau1[[#This Row],[Charge]]&lt;&gt;0, Tableau1[[#This Row],[Nombre intervenants]]&lt;&gt;0,Tableau1[[#This Row],[Lien document]]&lt;&gt;0,Tableau1[[#This Row],[DMS_SAP]]&lt;&gt;0)=TRUE,"MIS A JOUR","")</f>
        <v/>
      </c>
      <c r="AA873" s="45"/>
      <c r="AB873" s="55" t="str">
        <f ca="1">IF(Tableau1[[#This Row],[Date rév.]]&lt;&gt;"", DAYS360(Tableau1[[#This Row],[Date rév.]],TODAY()),"")</f>
        <v/>
      </c>
      <c r="AC873" s="47">
        <f>IFERROR(INDEX(Chemin_accès!$B$11:$C$22,MATCH(Tableau1[[#This Row],[Type]],Chemin_accès!$C$11:$C$22,0),1),Chemin_accès!$B$11)</f>
        <v>0</v>
      </c>
      <c r="AD873" s="47" t="str">
        <f>Chemin_accès!$B$8&amp;Tableau1[[#This Row],[Localisation / Classement]]&amp;"\"&amp;Tableau1[[#This Row],[Poste technique]]&amp;"_"&amp;Tableau1[[#This Row],[Plan Entretien]]&amp;".xlsm"</f>
        <v>\_.xlsm</v>
      </c>
    </row>
    <row r="874" spans="1:30" x14ac:dyDescent="0.3">
      <c r="A874" s="41" t="str">
        <f t="shared" ca="1" si="13"/>
        <v>7.MNRJ</v>
      </c>
      <c r="B8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4" s="43"/>
      <c r="D874" s="41"/>
      <c r="E874" s="41"/>
      <c r="F874" s="44"/>
      <c r="G874" s="44"/>
      <c r="H874" s="48"/>
      <c r="I874" s="48"/>
      <c r="J874" s="48"/>
      <c r="K874" s="48"/>
      <c r="L874" s="43"/>
      <c r="M874" s="44"/>
      <c r="N874" s="43"/>
      <c r="O874" s="43"/>
      <c r="P874" s="44"/>
      <c r="Q874" s="43"/>
      <c r="R874" s="43"/>
      <c r="S874" s="45"/>
      <c r="T874" s="58" t="str">
        <f>IF(Tableau1[[#This Row],[DMS_SAP]]="","",HYPERLINK(Tableau1[[#This Row],[Chemin fichier source]],"X"))</f>
        <v/>
      </c>
      <c r="U874" s="58" t="str">
        <f>IF(Tableau1[[#This Row],[Date rév.]]="","",HYPERLINK(Tableau1[[#This Row],[Lien document]],"X"))</f>
        <v/>
      </c>
      <c r="V874" s="44"/>
      <c r="W874" s="46" t="str">
        <f ca="1">Chemin_accès!$B$2&amp;Tableau1[[#This Row],[Poste Responsable]]&amp;"\"&amp;Tableau1[[#This Row],[Localisation / Classement]]&amp;"\"&amp;Tableau1[[#This Row],[Poste technique]]&amp;"_"&amp;Tableau1[[#This Row],[Plan Entretien]]&amp;".pdf"</f>
        <v>\\stjn.local\trimet\Donnees_Projets\Dms Sap\Maintenance\PlanEntretien\7.MNRJ\\_.pdf</v>
      </c>
      <c r="X874" s="44"/>
      <c r="Y874" s="44"/>
      <c r="Z874" s="41" t="str">
        <f ca="1">IF(AND(Tableau1[[#This Row],[Charge]]&lt;&gt;0, Tableau1[[#This Row],[Nombre intervenants]]&lt;&gt;0,Tableau1[[#This Row],[Lien document]]&lt;&gt;0,Tableau1[[#This Row],[DMS_SAP]]&lt;&gt;0)=TRUE,"MIS A JOUR","")</f>
        <v/>
      </c>
      <c r="AA874" s="45"/>
      <c r="AB874" s="55" t="str">
        <f ca="1">IF(Tableau1[[#This Row],[Date rév.]]&lt;&gt;"", DAYS360(Tableau1[[#This Row],[Date rév.]],TODAY()),"")</f>
        <v/>
      </c>
      <c r="AC874" s="47">
        <f>IFERROR(INDEX(Chemin_accès!$B$11:$C$22,MATCH(Tableau1[[#This Row],[Type]],Chemin_accès!$C$11:$C$22,0),1),Chemin_accès!$B$11)</f>
        <v>0</v>
      </c>
      <c r="AD874" s="47" t="str">
        <f>Chemin_accès!$B$8&amp;Tableau1[[#This Row],[Localisation / Classement]]&amp;"\"&amp;Tableau1[[#This Row],[Poste technique]]&amp;"_"&amp;Tableau1[[#This Row],[Plan Entretien]]&amp;".xlsm"</f>
        <v>\_.xlsm</v>
      </c>
    </row>
    <row r="875" spans="1:30" x14ac:dyDescent="0.3">
      <c r="A875" s="41" t="str">
        <f t="shared" ca="1" si="13"/>
        <v>7.MNRJ</v>
      </c>
      <c r="B8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5" s="43"/>
      <c r="D875" s="41"/>
      <c r="E875" s="41"/>
      <c r="F875" s="44"/>
      <c r="G875" s="44"/>
      <c r="H875" s="48"/>
      <c r="I875" s="48"/>
      <c r="J875" s="48"/>
      <c r="K875" s="48"/>
      <c r="L875" s="43"/>
      <c r="M875" s="44"/>
      <c r="N875" s="43"/>
      <c r="O875" s="43"/>
      <c r="P875" s="44"/>
      <c r="Q875" s="43"/>
      <c r="R875" s="43"/>
      <c r="S875" s="45"/>
      <c r="T875" s="58" t="str">
        <f>IF(Tableau1[[#This Row],[DMS_SAP]]="","",HYPERLINK(Tableau1[[#This Row],[Chemin fichier source]],"X"))</f>
        <v/>
      </c>
      <c r="U875" s="58" t="str">
        <f>IF(Tableau1[[#This Row],[Date rév.]]="","",HYPERLINK(Tableau1[[#This Row],[Lien document]],"X"))</f>
        <v/>
      </c>
      <c r="V875" s="44"/>
      <c r="W875" s="46" t="str">
        <f ca="1">Chemin_accès!$B$2&amp;Tableau1[[#This Row],[Poste Responsable]]&amp;"\"&amp;Tableau1[[#This Row],[Localisation / Classement]]&amp;"\"&amp;Tableau1[[#This Row],[Poste technique]]&amp;"_"&amp;Tableau1[[#This Row],[Plan Entretien]]&amp;".pdf"</f>
        <v>\\stjn.local\trimet\Donnees_Projets\Dms Sap\Maintenance\PlanEntretien\7.MNRJ\\_.pdf</v>
      </c>
      <c r="X875" s="44"/>
      <c r="Y875" s="44"/>
      <c r="Z875" s="41" t="str">
        <f ca="1">IF(AND(Tableau1[[#This Row],[Charge]]&lt;&gt;0, Tableau1[[#This Row],[Nombre intervenants]]&lt;&gt;0,Tableau1[[#This Row],[Lien document]]&lt;&gt;0,Tableau1[[#This Row],[DMS_SAP]]&lt;&gt;0)=TRUE,"MIS A JOUR","")</f>
        <v/>
      </c>
      <c r="AA875" s="45"/>
      <c r="AB875" s="55" t="str">
        <f ca="1">IF(Tableau1[[#This Row],[Date rév.]]&lt;&gt;"", DAYS360(Tableau1[[#This Row],[Date rév.]],TODAY()),"")</f>
        <v/>
      </c>
      <c r="AC875" s="47">
        <f>IFERROR(INDEX(Chemin_accès!$B$11:$C$22,MATCH(Tableau1[[#This Row],[Type]],Chemin_accès!$C$11:$C$22,0),1),Chemin_accès!$B$11)</f>
        <v>0</v>
      </c>
      <c r="AD875" s="47" t="str">
        <f>Chemin_accès!$B$8&amp;Tableau1[[#This Row],[Localisation / Classement]]&amp;"\"&amp;Tableau1[[#This Row],[Poste technique]]&amp;"_"&amp;Tableau1[[#This Row],[Plan Entretien]]&amp;".xlsm"</f>
        <v>\_.xlsm</v>
      </c>
    </row>
    <row r="876" spans="1:30" x14ac:dyDescent="0.3">
      <c r="A876" s="41" t="str">
        <f t="shared" ca="1" si="13"/>
        <v>7.MNRJ</v>
      </c>
      <c r="B8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6" s="43"/>
      <c r="D876" s="41"/>
      <c r="E876" s="41"/>
      <c r="F876" s="44"/>
      <c r="G876" s="44"/>
      <c r="H876" s="48"/>
      <c r="I876" s="48"/>
      <c r="J876" s="48"/>
      <c r="K876" s="48"/>
      <c r="L876" s="43"/>
      <c r="M876" s="44"/>
      <c r="N876" s="43"/>
      <c r="O876" s="43"/>
      <c r="P876" s="44"/>
      <c r="Q876" s="43"/>
      <c r="R876" s="43"/>
      <c r="S876" s="45"/>
      <c r="T876" s="58" t="str">
        <f>IF(Tableau1[[#This Row],[DMS_SAP]]="","",HYPERLINK(Tableau1[[#This Row],[Chemin fichier source]],"X"))</f>
        <v/>
      </c>
      <c r="U876" s="58" t="str">
        <f>IF(Tableau1[[#This Row],[Date rév.]]="","",HYPERLINK(Tableau1[[#This Row],[Lien document]],"X"))</f>
        <v/>
      </c>
      <c r="V876" s="44"/>
      <c r="W876" s="46" t="str">
        <f ca="1">Chemin_accès!$B$2&amp;Tableau1[[#This Row],[Poste Responsable]]&amp;"\"&amp;Tableau1[[#This Row],[Localisation / Classement]]&amp;"\"&amp;Tableau1[[#This Row],[Poste technique]]&amp;"_"&amp;Tableau1[[#This Row],[Plan Entretien]]&amp;".pdf"</f>
        <v>\\stjn.local\trimet\Donnees_Projets\Dms Sap\Maintenance\PlanEntretien\7.MNRJ\\_.pdf</v>
      </c>
      <c r="X876" s="44"/>
      <c r="Y876" s="44"/>
      <c r="Z876" s="41" t="str">
        <f ca="1">IF(AND(Tableau1[[#This Row],[Charge]]&lt;&gt;0, Tableau1[[#This Row],[Nombre intervenants]]&lt;&gt;0,Tableau1[[#This Row],[Lien document]]&lt;&gt;0,Tableau1[[#This Row],[DMS_SAP]]&lt;&gt;0)=TRUE,"MIS A JOUR","")</f>
        <v/>
      </c>
      <c r="AA876" s="45"/>
      <c r="AB876" s="55" t="str">
        <f ca="1">IF(Tableau1[[#This Row],[Date rév.]]&lt;&gt;"", DAYS360(Tableau1[[#This Row],[Date rév.]],TODAY()),"")</f>
        <v/>
      </c>
      <c r="AC876" s="47">
        <f>IFERROR(INDEX(Chemin_accès!$B$11:$C$22,MATCH(Tableau1[[#This Row],[Type]],Chemin_accès!$C$11:$C$22,0),1),Chemin_accès!$B$11)</f>
        <v>0</v>
      </c>
      <c r="AD876" s="47" t="str">
        <f>Chemin_accès!$B$8&amp;Tableau1[[#This Row],[Localisation / Classement]]&amp;"\"&amp;Tableau1[[#This Row],[Poste technique]]&amp;"_"&amp;Tableau1[[#This Row],[Plan Entretien]]&amp;".xlsm"</f>
        <v>\_.xlsm</v>
      </c>
    </row>
    <row r="877" spans="1:30" x14ac:dyDescent="0.3">
      <c r="A877" s="41" t="str">
        <f t="shared" ca="1" si="13"/>
        <v>7.MNRJ</v>
      </c>
      <c r="B8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7" s="43"/>
      <c r="D877" s="41"/>
      <c r="E877" s="41"/>
      <c r="F877" s="44"/>
      <c r="G877" s="44"/>
      <c r="H877" s="48"/>
      <c r="I877" s="48"/>
      <c r="J877" s="48"/>
      <c r="K877" s="48"/>
      <c r="L877" s="43"/>
      <c r="M877" s="44"/>
      <c r="N877" s="43"/>
      <c r="O877" s="43"/>
      <c r="P877" s="44"/>
      <c r="Q877" s="43"/>
      <c r="R877" s="43"/>
      <c r="S877" s="45"/>
      <c r="T877" s="58" t="str">
        <f>IF(Tableau1[[#This Row],[DMS_SAP]]="","",HYPERLINK(Tableau1[[#This Row],[Chemin fichier source]],"X"))</f>
        <v/>
      </c>
      <c r="U877" s="58" t="str">
        <f>IF(Tableau1[[#This Row],[Date rév.]]="","",HYPERLINK(Tableau1[[#This Row],[Lien document]],"X"))</f>
        <v/>
      </c>
      <c r="V877" s="44"/>
      <c r="W877" s="46" t="str">
        <f ca="1">Chemin_accès!$B$2&amp;Tableau1[[#This Row],[Poste Responsable]]&amp;"\"&amp;Tableau1[[#This Row],[Localisation / Classement]]&amp;"\"&amp;Tableau1[[#This Row],[Poste technique]]&amp;"_"&amp;Tableau1[[#This Row],[Plan Entretien]]&amp;".pdf"</f>
        <v>\\stjn.local\trimet\Donnees_Projets\Dms Sap\Maintenance\PlanEntretien\7.MNRJ\\_.pdf</v>
      </c>
      <c r="X877" s="44"/>
      <c r="Y877" s="44"/>
      <c r="Z877" s="41" t="str">
        <f ca="1">IF(AND(Tableau1[[#This Row],[Charge]]&lt;&gt;0, Tableau1[[#This Row],[Nombre intervenants]]&lt;&gt;0,Tableau1[[#This Row],[Lien document]]&lt;&gt;0,Tableau1[[#This Row],[DMS_SAP]]&lt;&gt;0)=TRUE,"MIS A JOUR","")</f>
        <v/>
      </c>
      <c r="AA877" s="45"/>
      <c r="AB877" s="55" t="str">
        <f ca="1">IF(Tableau1[[#This Row],[Date rév.]]&lt;&gt;"", DAYS360(Tableau1[[#This Row],[Date rév.]],TODAY()),"")</f>
        <v/>
      </c>
      <c r="AC877" s="47">
        <f>IFERROR(INDEX(Chemin_accès!$B$11:$C$22,MATCH(Tableau1[[#This Row],[Type]],Chemin_accès!$C$11:$C$22,0),1),Chemin_accès!$B$11)</f>
        <v>0</v>
      </c>
      <c r="AD877" s="47" t="str">
        <f>Chemin_accès!$B$8&amp;Tableau1[[#This Row],[Localisation / Classement]]&amp;"\"&amp;Tableau1[[#This Row],[Poste technique]]&amp;"_"&amp;Tableau1[[#This Row],[Plan Entretien]]&amp;".xlsm"</f>
        <v>\_.xlsm</v>
      </c>
    </row>
    <row r="878" spans="1:30" x14ac:dyDescent="0.3">
      <c r="A878" s="41" t="str">
        <f t="shared" ca="1" si="13"/>
        <v>7.MNRJ</v>
      </c>
      <c r="B8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8" s="43"/>
      <c r="D878" s="41"/>
      <c r="E878" s="41"/>
      <c r="F878" s="44"/>
      <c r="G878" s="44"/>
      <c r="H878" s="48"/>
      <c r="I878" s="48"/>
      <c r="J878" s="48"/>
      <c r="K878" s="48"/>
      <c r="L878" s="43"/>
      <c r="M878" s="44"/>
      <c r="N878" s="43"/>
      <c r="O878" s="43"/>
      <c r="P878" s="44"/>
      <c r="Q878" s="43"/>
      <c r="R878" s="43"/>
      <c r="S878" s="45"/>
      <c r="T878" s="58" t="str">
        <f>IF(Tableau1[[#This Row],[DMS_SAP]]="","",HYPERLINK(Tableau1[[#This Row],[Chemin fichier source]],"X"))</f>
        <v/>
      </c>
      <c r="U878" s="58" t="str">
        <f>IF(Tableau1[[#This Row],[Date rév.]]="","",HYPERLINK(Tableau1[[#This Row],[Lien document]],"X"))</f>
        <v/>
      </c>
      <c r="V878" s="44"/>
      <c r="W878" s="46" t="str">
        <f ca="1">Chemin_accès!$B$2&amp;Tableau1[[#This Row],[Poste Responsable]]&amp;"\"&amp;Tableau1[[#This Row],[Localisation / Classement]]&amp;"\"&amp;Tableau1[[#This Row],[Poste technique]]&amp;"_"&amp;Tableau1[[#This Row],[Plan Entretien]]&amp;".pdf"</f>
        <v>\\stjn.local\trimet\Donnees_Projets\Dms Sap\Maintenance\PlanEntretien\7.MNRJ\\_.pdf</v>
      </c>
      <c r="X878" s="44"/>
      <c r="Y878" s="44"/>
      <c r="Z878" s="41" t="str">
        <f ca="1">IF(AND(Tableau1[[#This Row],[Charge]]&lt;&gt;0, Tableau1[[#This Row],[Nombre intervenants]]&lt;&gt;0,Tableau1[[#This Row],[Lien document]]&lt;&gt;0,Tableau1[[#This Row],[DMS_SAP]]&lt;&gt;0)=TRUE,"MIS A JOUR","")</f>
        <v/>
      </c>
      <c r="AA878" s="45"/>
      <c r="AB878" s="55" t="str">
        <f ca="1">IF(Tableau1[[#This Row],[Date rév.]]&lt;&gt;"", DAYS360(Tableau1[[#This Row],[Date rév.]],TODAY()),"")</f>
        <v/>
      </c>
      <c r="AC878" s="47">
        <f>IFERROR(INDEX(Chemin_accès!$B$11:$C$22,MATCH(Tableau1[[#This Row],[Type]],Chemin_accès!$C$11:$C$22,0),1),Chemin_accès!$B$11)</f>
        <v>0</v>
      </c>
      <c r="AD878" s="47" t="str">
        <f>Chemin_accès!$B$8&amp;Tableau1[[#This Row],[Localisation / Classement]]&amp;"\"&amp;Tableau1[[#This Row],[Poste technique]]&amp;"_"&amp;Tableau1[[#This Row],[Plan Entretien]]&amp;".xlsm"</f>
        <v>\_.xlsm</v>
      </c>
    </row>
    <row r="879" spans="1:30" x14ac:dyDescent="0.3">
      <c r="A879" s="41" t="str">
        <f t="shared" ca="1" si="13"/>
        <v>7.MNRJ</v>
      </c>
      <c r="B8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9" s="43"/>
      <c r="D879" s="41"/>
      <c r="E879" s="41"/>
      <c r="F879" s="44"/>
      <c r="G879" s="44"/>
      <c r="H879" s="48"/>
      <c r="I879" s="48"/>
      <c r="J879" s="48"/>
      <c r="K879" s="48"/>
      <c r="L879" s="43"/>
      <c r="M879" s="44"/>
      <c r="N879" s="43"/>
      <c r="O879" s="43"/>
      <c r="P879" s="44"/>
      <c r="Q879" s="43"/>
      <c r="R879" s="43"/>
      <c r="S879" s="45"/>
      <c r="T879" s="58" t="str">
        <f>IF(Tableau1[[#This Row],[DMS_SAP]]="","",HYPERLINK(Tableau1[[#This Row],[Chemin fichier source]],"X"))</f>
        <v/>
      </c>
      <c r="U879" s="58" t="str">
        <f>IF(Tableau1[[#This Row],[Date rév.]]="","",HYPERLINK(Tableau1[[#This Row],[Lien document]],"X"))</f>
        <v/>
      </c>
      <c r="V879" s="44"/>
      <c r="W879" s="46" t="str">
        <f ca="1">Chemin_accès!$B$2&amp;Tableau1[[#This Row],[Poste Responsable]]&amp;"\"&amp;Tableau1[[#This Row],[Localisation / Classement]]&amp;"\"&amp;Tableau1[[#This Row],[Poste technique]]&amp;"_"&amp;Tableau1[[#This Row],[Plan Entretien]]&amp;".pdf"</f>
        <v>\\stjn.local\trimet\Donnees_Projets\Dms Sap\Maintenance\PlanEntretien\7.MNRJ\\_.pdf</v>
      </c>
      <c r="X879" s="44"/>
      <c r="Y879" s="44"/>
      <c r="Z879" s="41" t="str">
        <f ca="1">IF(AND(Tableau1[[#This Row],[Charge]]&lt;&gt;0, Tableau1[[#This Row],[Nombre intervenants]]&lt;&gt;0,Tableau1[[#This Row],[Lien document]]&lt;&gt;0,Tableau1[[#This Row],[DMS_SAP]]&lt;&gt;0)=TRUE,"MIS A JOUR","")</f>
        <v/>
      </c>
      <c r="AA879" s="45"/>
      <c r="AB879" s="55" t="str">
        <f ca="1">IF(Tableau1[[#This Row],[Date rév.]]&lt;&gt;"", DAYS360(Tableau1[[#This Row],[Date rév.]],TODAY()),"")</f>
        <v/>
      </c>
      <c r="AC879" s="47">
        <f>IFERROR(INDEX(Chemin_accès!$B$11:$C$22,MATCH(Tableau1[[#This Row],[Type]],Chemin_accès!$C$11:$C$22,0),1),Chemin_accès!$B$11)</f>
        <v>0</v>
      </c>
      <c r="AD879" s="47" t="str">
        <f>Chemin_accès!$B$8&amp;Tableau1[[#This Row],[Localisation / Classement]]&amp;"\"&amp;Tableau1[[#This Row],[Poste technique]]&amp;"_"&amp;Tableau1[[#This Row],[Plan Entretien]]&amp;".xlsm"</f>
        <v>\_.xlsm</v>
      </c>
    </row>
    <row r="880" spans="1:30" x14ac:dyDescent="0.3">
      <c r="A880" s="41" t="str">
        <f t="shared" ca="1" si="13"/>
        <v>7.MNRJ</v>
      </c>
      <c r="B8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0" s="43"/>
      <c r="D880" s="41"/>
      <c r="E880" s="41"/>
      <c r="F880" s="44"/>
      <c r="G880" s="44"/>
      <c r="H880" s="48"/>
      <c r="I880" s="48"/>
      <c r="J880" s="48"/>
      <c r="K880" s="48"/>
      <c r="L880" s="43"/>
      <c r="M880" s="44"/>
      <c r="N880" s="43"/>
      <c r="O880" s="43"/>
      <c r="P880" s="44"/>
      <c r="Q880" s="43"/>
      <c r="R880" s="43"/>
      <c r="S880" s="45"/>
      <c r="T880" s="58" t="str">
        <f>IF(Tableau1[[#This Row],[DMS_SAP]]="","",HYPERLINK(Tableau1[[#This Row],[Chemin fichier source]],"X"))</f>
        <v/>
      </c>
      <c r="U880" s="58" t="str">
        <f>IF(Tableau1[[#This Row],[Date rév.]]="","",HYPERLINK(Tableau1[[#This Row],[Lien document]],"X"))</f>
        <v/>
      </c>
      <c r="V880" s="44"/>
      <c r="W880" s="46" t="str">
        <f ca="1">Chemin_accès!$B$2&amp;Tableau1[[#This Row],[Poste Responsable]]&amp;"\"&amp;Tableau1[[#This Row],[Localisation / Classement]]&amp;"\"&amp;Tableau1[[#This Row],[Poste technique]]&amp;"_"&amp;Tableau1[[#This Row],[Plan Entretien]]&amp;".pdf"</f>
        <v>\\stjn.local\trimet\Donnees_Projets\Dms Sap\Maintenance\PlanEntretien\7.MNRJ\\_.pdf</v>
      </c>
      <c r="X880" s="44"/>
      <c r="Y880" s="44"/>
      <c r="Z880" s="41" t="str">
        <f ca="1">IF(AND(Tableau1[[#This Row],[Charge]]&lt;&gt;0, Tableau1[[#This Row],[Nombre intervenants]]&lt;&gt;0,Tableau1[[#This Row],[Lien document]]&lt;&gt;0,Tableau1[[#This Row],[DMS_SAP]]&lt;&gt;0)=TRUE,"MIS A JOUR","")</f>
        <v/>
      </c>
      <c r="AA880" s="45"/>
      <c r="AB880" s="55" t="str">
        <f ca="1">IF(Tableau1[[#This Row],[Date rév.]]&lt;&gt;"", DAYS360(Tableau1[[#This Row],[Date rév.]],TODAY()),"")</f>
        <v/>
      </c>
      <c r="AC880" s="47">
        <f>IFERROR(INDEX(Chemin_accès!$B$11:$C$22,MATCH(Tableau1[[#This Row],[Type]],Chemin_accès!$C$11:$C$22,0),1),Chemin_accès!$B$11)</f>
        <v>0</v>
      </c>
      <c r="AD880" s="47" t="str">
        <f>Chemin_accès!$B$8&amp;Tableau1[[#This Row],[Localisation / Classement]]&amp;"\"&amp;Tableau1[[#This Row],[Poste technique]]&amp;"_"&amp;Tableau1[[#This Row],[Plan Entretien]]&amp;".xlsm"</f>
        <v>\_.xlsm</v>
      </c>
    </row>
    <row r="881" spans="1:30" x14ac:dyDescent="0.3">
      <c r="A881" s="41" t="str">
        <f t="shared" ca="1" si="13"/>
        <v>7.MNRJ</v>
      </c>
      <c r="B8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1" s="43"/>
      <c r="D881" s="41"/>
      <c r="E881" s="41"/>
      <c r="F881" s="44"/>
      <c r="G881" s="44"/>
      <c r="H881" s="48"/>
      <c r="I881" s="48"/>
      <c r="J881" s="48"/>
      <c r="K881" s="48"/>
      <c r="L881" s="43"/>
      <c r="M881" s="44"/>
      <c r="N881" s="43"/>
      <c r="O881" s="43"/>
      <c r="P881" s="44"/>
      <c r="Q881" s="43"/>
      <c r="R881" s="43"/>
      <c r="S881" s="45"/>
      <c r="T881" s="58" t="str">
        <f>IF(Tableau1[[#This Row],[DMS_SAP]]="","",HYPERLINK(Tableau1[[#This Row],[Chemin fichier source]],"X"))</f>
        <v/>
      </c>
      <c r="U881" s="58" t="str">
        <f>IF(Tableau1[[#This Row],[Date rév.]]="","",HYPERLINK(Tableau1[[#This Row],[Lien document]],"X"))</f>
        <v/>
      </c>
      <c r="V881" s="44"/>
      <c r="W881" s="46" t="str">
        <f ca="1">Chemin_accès!$B$2&amp;Tableau1[[#This Row],[Poste Responsable]]&amp;"\"&amp;Tableau1[[#This Row],[Localisation / Classement]]&amp;"\"&amp;Tableau1[[#This Row],[Poste technique]]&amp;"_"&amp;Tableau1[[#This Row],[Plan Entretien]]&amp;".pdf"</f>
        <v>\\stjn.local\trimet\Donnees_Projets\Dms Sap\Maintenance\PlanEntretien\7.MNRJ\\_.pdf</v>
      </c>
      <c r="X881" s="44"/>
      <c r="Y881" s="44"/>
      <c r="Z881" s="41" t="str">
        <f ca="1">IF(AND(Tableau1[[#This Row],[Charge]]&lt;&gt;0, Tableau1[[#This Row],[Nombre intervenants]]&lt;&gt;0,Tableau1[[#This Row],[Lien document]]&lt;&gt;0,Tableau1[[#This Row],[DMS_SAP]]&lt;&gt;0)=TRUE,"MIS A JOUR","")</f>
        <v/>
      </c>
      <c r="AA881" s="45"/>
      <c r="AB881" s="55" t="str">
        <f ca="1">IF(Tableau1[[#This Row],[Date rév.]]&lt;&gt;"", DAYS360(Tableau1[[#This Row],[Date rév.]],TODAY()),"")</f>
        <v/>
      </c>
      <c r="AC881" s="47">
        <f>IFERROR(INDEX(Chemin_accès!$B$11:$C$22,MATCH(Tableau1[[#This Row],[Type]],Chemin_accès!$C$11:$C$22,0),1),Chemin_accès!$B$11)</f>
        <v>0</v>
      </c>
      <c r="AD881" s="47" t="str">
        <f>Chemin_accès!$B$8&amp;Tableau1[[#This Row],[Localisation / Classement]]&amp;"\"&amp;Tableau1[[#This Row],[Poste technique]]&amp;"_"&amp;Tableau1[[#This Row],[Plan Entretien]]&amp;".xlsm"</f>
        <v>\_.xlsm</v>
      </c>
    </row>
    <row r="882" spans="1:30" x14ac:dyDescent="0.3">
      <c r="A882" s="41" t="str">
        <f t="shared" ca="1" si="13"/>
        <v>7.MNRJ</v>
      </c>
      <c r="B8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2" s="43"/>
      <c r="D882" s="41"/>
      <c r="E882" s="41"/>
      <c r="F882" s="44"/>
      <c r="G882" s="44"/>
      <c r="H882" s="48"/>
      <c r="I882" s="48"/>
      <c r="J882" s="48"/>
      <c r="K882" s="48"/>
      <c r="L882" s="43"/>
      <c r="M882" s="44"/>
      <c r="N882" s="43"/>
      <c r="O882" s="43"/>
      <c r="P882" s="44"/>
      <c r="Q882" s="43"/>
      <c r="R882" s="43"/>
      <c r="S882" s="45"/>
      <c r="T882" s="58" t="str">
        <f>IF(Tableau1[[#This Row],[DMS_SAP]]="","",HYPERLINK(Tableau1[[#This Row],[Chemin fichier source]],"X"))</f>
        <v/>
      </c>
      <c r="U882" s="58" t="str">
        <f>IF(Tableau1[[#This Row],[Date rév.]]="","",HYPERLINK(Tableau1[[#This Row],[Lien document]],"X"))</f>
        <v/>
      </c>
      <c r="V882" s="44"/>
      <c r="W882" s="46" t="str">
        <f ca="1">Chemin_accès!$B$2&amp;Tableau1[[#This Row],[Poste Responsable]]&amp;"\"&amp;Tableau1[[#This Row],[Localisation / Classement]]&amp;"\"&amp;Tableau1[[#This Row],[Poste technique]]&amp;"_"&amp;Tableau1[[#This Row],[Plan Entretien]]&amp;".pdf"</f>
        <v>\\stjn.local\trimet\Donnees_Projets\Dms Sap\Maintenance\PlanEntretien\7.MNRJ\\_.pdf</v>
      </c>
      <c r="X882" s="44"/>
      <c r="Y882" s="44"/>
      <c r="Z882" s="41" t="str">
        <f ca="1">IF(AND(Tableau1[[#This Row],[Charge]]&lt;&gt;0, Tableau1[[#This Row],[Nombre intervenants]]&lt;&gt;0,Tableau1[[#This Row],[Lien document]]&lt;&gt;0,Tableau1[[#This Row],[DMS_SAP]]&lt;&gt;0)=TRUE,"MIS A JOUR","")</f>
        <v/>
      </c>
      <c r="AA882" s="45"/>
      <c r="AB882" s="55" t="str">
        <f ca="1">IF(Tableau1[[#This Row],[Date rév.]]&lt;&gt;"", DAYS360(Tableau1[[#This Row],[Date rév.]],TODAY()),"")</f>
        <v/>
      </c>
      <c r="AC882" s="47">
        <f>IFERROR(INDEX(Chemin_accès!$B$11:$C$22,MATCH(Tableau1[[#This Row],[Type]],Chemin_accès!$C$11:$C$22,0),1),Chemin_accès!$B$11)</f>
        <v>0</v>
      </c>
      <c r="AD882" s="47" t="str">
        <f>Chemin_accès!$B$8&amp;Tableau1[[#This Row],[Localisation / Classement]]&amp;"\"&amp;Tableau1[[#This Row],[Poste technique]]&amp;"_"&amp;Tableau1[[#This Row],[Plan Entretien]]&amp;".xlsm"</f>
        <v>\_.xlsm</v>
      </c>
    </row>
    <row r="883" spans="1:30" x14ac:dyDescent="0.3">
      <c r="A883" s="41" t="str">
        <f t="shared" ca="1" si="13"/>
        <v>7.MNRJ</v>
      </c>
      <c r="B8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3" s="43"/>
      <c r="D883" s="41"/>
      <c r="E883" s="41"/>
      <c r="F883" s="44"/>
      <c r="G883" s="44"/>
      <c r="H883" s="48"/>
      <c r="I883" s="48"/>
      <c r="J883" s="48"/>
      <c r="K883" s="48"/>
      <c r="L883" s="43"/>
      <c r="M883" s="44"/>
      <c r="N883" s="43"/>
      <c r="O883" s="43"/>
      <c r="P883" s="44"/>
      <c r="Q883" s="43"/>
      <c r="R883" s="43"/>
      <c r="S883" s="45"/>
      <c r="T883" s="58" t="str">
        <f>IF(Tableau1[[#This Row],[DMS_SAP]]="","",HYPERLINK(Tableau1[[#This Row],[Chemin fichier source]],"X"))</f>
        <v/>
      </c>
      <c r="U883" s="58" t="str">
        <f>IF(Tableau1[[#This Row],[Date rév.]]="","",HYPERLINK(Tableau1[[#This Row],[Lien document]],"X"))</f>
        <v/>
      </c>
      <c r="V883" s="44"/>
      <c r="W883" s="46" t="str">
        <f ca="1">Chemin_accès!$B$2&amp;Tableau1[[#This Row],[Poste Responsable]]&amp;"\"&amp;Tableau1[[#This Row],[Localisation / Classement]]&amp;"\"&amp;Tableau1[[#This Row],[Poste technique]]&amp;"_"&amp;Tableau1[[#This Row],[Plan Entretien]]&amp;".pdf"</f>
        <v>\\stjn.local\trimet\Donnees_Projets\Dms Sap\Maintenance\PlanEntretien\7.MNRJ\\_.pdf</v>
      </c>
      <c r="X883" s="44"/>
      <c r="Y883" s="44"/>
      <c r="Z883" s="41" t="str">
        <f ca="1">IF(AND(Tableau1[[#This Row],[Charge]]&lt;&gt;0, Tableau1[[#This Row],[Nombre intervenants]]&lt;&gt;0,Tableau1[[#This Row],[Lien document]]&lt;&gt;0,Tableau1[[#This Row],[DMS_SAP]]&lt;&gt;0)=TRUE,"MIS A JOUR","")</f>
        <v/>
      </c>
      <c r="AA883" s="45"/>
      <c r="AB883" s="55" t="str">
        <f ca="1">IF(Tableau1[[#This Row],[Date rév.]]&lt;&gt;"", DAYS360(Tableau1[[#This Row],[Date rév.]],TODAY()),"")</f>
        <v/>
      </c>
      <c r="AC883" s="47">
        <f>IFERROR(INDEX(Chemin_accès!$B$11:$C$22,MATCH(Tableau1[[#This Row],[Type]],Chemin_accès!$C$11:$C$22,0),1),Chemin_accès!$B$11)</f>
        <v>0</v>
      </c>
      <c r="AD883" s="47" t="str">
        <f>Chemin_accès!$B$8&amp;Tableau1[[#This Row],[Localisation / Classement]]&amp;"\"&amp;Tableau1[[#This Row],[Poste technique]]&amp;"_"&amp;Tableau1[[#This Row],[Plan Entretien]]&amp;".xlsm"</f>
        <v>\_.xlsm</v>
      </c>
    </row>
    <row r="884" spans="1:30" x14ac:dyDescent="0.3">
      <c r="A884" s="41" t="str">
        <f t="shared" ca="1" si="13"/>
        <v>7.MNRJ</v>
      </c>
      <c r="B8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4" s="43"/>
      <c r="D884" s="41"/>
      <c r="E884" s="41"/>
      <c r="F884" s="44"/>
      <c r="G884" s="44"/>
      <c r="H884" s="48"/>
      <c r="I884" s="48"/>
      <c r="J884" s="48"/>
      <c r="K884" s="48"/>
      <c r="L884" s="43"/>
      <c r="M884" s="44"/>
      <c r="N884" s="43"/>
      <c r="O884" s="43"/>
      <c r="P884" s="44"/>
      <c r="Q884" s="43"/>
      <c r="R884" s="43"/>
      <c r="S884" s="45"/>
      <c r="T884" s="58" t="str">
        <f>IF(Tableau1[[#This Row],[DMS_SAP]]="","",HYPERLINK(Tableau1[[#This Row],[Chemin fichier source]],"X"))</f>
        <v/>
      </c>
      <c r="U884" s="58" t="str">
        <f>IF(Tableau1[[#This Row],[Date rév.]]="","",HYPERLINK(Tableau1[[#This Row],[Lien document]],"X"))</f>
        <v/>
      </c>
      <c r="V884" s="44"/>
      <c r="W884" s="46" t="str">
        <f ca="1">Chemin_accès!$B$2&amp;Tableau1[[#This Row],[Poste Responsable]]&amp;"\"&amp;Tableau1[[#This Row],[Localisation / Classement]]&amp;"\"&amp;Tableau1[[#This Row],[Poste technique]]&amp;"_"&amp;Tableau1[[#This Row],[Plan Entretien]]&amp;".pdf"</f>
        <v>\\stjn.local\trimet\Donnees_Projets\Dms Sap\Maintenance\PlanEntretien\7.MNRJ\\_.pdf</v>
      </c>
      <c r="X884" s="44"/>
      <c r="Y884" s="44"/>
      <c r="Z884" s="41" t="str">
        <f ca="1">IF(AND(Tableau1[[#This Row],[Charge]]&lt;&gt;0, Tableau1[[#This Row],[Nombre intervenants]]&lt;&gt;0,Tableau1[[#This Row],[Lien document]]&lt;&gt;0,Tableau1[[#This Row],[DMS_SAP]]&lt;&gt;0)=TRUE,"MIS A JOUR","")</f>
        <v/>
      </c>
      <c r="AA884" s="45"/>
      <c r="AB884" s="55" t="str">
        <f ca="1">IF(Tableau1[[#This Row],[Date rév.]]&lt;&gt;"", DAYS360(Tableau1[[#This Row],[Date rév.]],TODAY()),"")</f>
        <v/>
      </c>
      <c r="AC884" s="47">
        <f>IFERROR(INDEX(Chemin_accès!$B$11:$C$22,MATCH(Tableau1[[#This Row],[Type]],Chemin_accès!$C$11:$C$22,0),1),Chemin_accès!$B$11)</f>
        <v>0</v>
      </c>
      <c r="AD884" s="47" t="str">
        <f>Chemin_accès!$B$8&amp;Tableau1[[#This Row],[Localisation / Classement]]&amp;"\"&amp;Tableau1[[#This Row],[Poste technique]]&amp;"_"&amp;Tableau1[[#This Row],[Plan Entretien]]&amp;".xlsm"</f>
        <v>\_.xlsm</v>
      </c>
    </row>
    <row r="885" spans="1:30" x14ac:dyDescent="0.3">
      <c r="A885" s="41" t="str">
        <f t="shared" ca="1" si="13"/>
        <v>7.MNRJ</v>
      </c>
      <c r="B8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5" s="43"/>
      <c r="D885" s="41"/>
      <c r="E885" s="41"/>
      <c r="F885" s="44"/>
      <c r="G885" s="44"/>
      <c r="H885" s="48"/>
      <c r="I885" s="48"/>
      <c r="J885" s="48"/>
      <c r="K885" s="48"/>
      <c r="L885" s="43"/>
      <c r="M885" s="44"/>
      <c r="N885" s="43"/>
      <c r="O885" s="43"/>
      <c r="P885" s="44"/>
      <c r="Q885" s="43"/>
      <c r="R885" s="43"/>
      <c r="S885" s="45"/>
      <c r="T885" s="58" t="str">
        <f>IF(Tableau1[[#This Row],[DMS_SAP]]="","",HYPERLINK(Tableau1[[#This Row],[Chemin fichier source]],"X"))</f>
        <v/>
      </c>
      <c r="U885" s="58" t="str">
        <f>IF(Tableau1[[#This Row],[Date rév.]]="","",HYPERLINK(Tableau1[[#This Row],[Lien document]],"X"))</f>
        <v/>
      </c>
      <c r="V885" s="44"/>
      <c r="W885" s="46" t="str">
        <f ca="1">Chemin_accès!$B$2&amp;Tableau1[[#This Row],[Poste Responsable]]&amp;"\"&amp;Tableau1[[#This Row],[Localisation / Classement]]&amp;"\"&amp;Tableau1[[#This Row],[Poste technique]]&amp;"_"&amp;Tableau1[[#This Row],[Plan Entretien]]&amp;".pdf"</f>
        <v>\\stjn.local\trimet\Donnees_Projets\Dms Sap\Maintenance\PlanEntretien\7.MNRJ\\_.pdf</v>
      </c>
      <c r="X885" s="44"/>
      <c r="Y885" s="44"/>
      <c r="Z885" s="41" t="str">
        <f ca="1">IF(AND(Tableau1[[#This Row],[Charge]]&lt;&gt;0, Tableau1[[#This Row],[Nombre intervenants]]&lt;&gt;0,Tableau1[[#This Row],[Lien document]]&lt;&gt;0,Tableau1[[#This Row],[DMS_SAP]]&lt;&gt;0)=TRUE,"MIS A JOUR","")</f>
        <v/>
      </c>
      <c r="AA885" s="45"/>
      <c r="AB885" s="55" t="str">
        <f ca="1">IF(Tableau1[[#This Row],[Date rév.]]&lt;&gt;"", DAYS360(Tableau1[[#This Row],[Date rév.]],TODAY()),"")</f>
        <v/>
      </c>
      <c r="AC885" s="47">
        <f>IFERROR(INDEX(Chemin_accès!$B$11:$C$22,MATCH(Tableau1[[#This Row],[Type]],Chemin_accès!$C$11:$C$22,0),1),Chemin_accès!$B$11)</f>
        <v>0</v>
      </c>
      <c r="AD885" s="47" t="str">
        <f>Chemin_accès!$B$8&amp;Tableau1[[#This Row],[Localisation / Classement]]&amp;"\"&amp;Tableau1[[#This Row],[Poste technique]]&amp;"_"&amp;Tableau1[[#This Row],[Plan Entretien]]&amp;".xlsm"</f>
        <v>\_.xlsm</v>
      </c>
    </row>
    <row r="886" spans="1:30" x14ac:dyDescent="0.3">
      <c r="A886" s="41" t="str">
        <f t="shared" ca="1" si="13"/>
        <v>7.MNRJ</v>
      </c>
      <c r="B8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6" s="43"/>
      <c r="D886" s="41"/>
      <c r="E886" s="41"/>
      <c r="F886" s="44"/>
      <c r="G886" s="44"/>
      <c r="H886" s="48"/>
      <c r="I886" s="48"/>
      <c r="J886" s="48"/>
      <c r="K886" s="48"/>
      <c r="L886" s="43"/>
      <c r="M886" s="44"/>
      <c r="N886" s="43"/>
      <c r="O886" s="43"/>
      <c r="P886" s="44"/>
      <c r="Q886" s="43"/>
      <c r="R886" s="43"/>
      <c r="S886" s="45"/>
      <c r="T886" s="58" t="str">
        <f>IF(Tableau1[[#This Row],[DMS_SAP]]="","",HYPERLINK(Tableau1[[#This Row],[Chemin fichier source]],"X"))</f>
        <v/>
      </c>
      <c r="U886" s="58" t="str">
        <f>IF(Tableau1[[#This Row],[Date rév.]]="","",HYPERLINK(Tableau1[[#This Row],[Lien document]],"X"))</f>
        <v/>
      </c>
      <c r="V886" s="44"/>
      <c r="W886" s="46" t="str">
        <f ca="1">Chemin_accès!$B$2&amp;Tableau1[[#This Row],[Poste Responsable]]&amp;"\"&amp;Tableau1[[#This Row],[Localisation / Classement]]&amp;"\"&amp;Tableau1[[#This Row],[Poste technique]]&amp;"_"&amp;Tableau1[[#This Row],[Plan Entretien]]&amp;".pdf"</f>
        <v>\\stjn.local\trimet\Donnees_Projets\Dms Sap\Maintenance\PlanEntretien\7.MNRJ\\_.pdf</v>
      </c>
      <c r="X886" s="44"/>
      <c r="Y886" s="44"/>
      <c r="Z886" s="41" t="str">
        <f ca="1">IF(AND(Tableau1[[#This Row],[Charge]]&lt;&gt;0, Tableau1[[#This Row],[Nombre intervenants]]&lt;&gt;0,Tableau1[[#This Row],[Lien document]]&lt;&gt;0,Tableau1[[#This Row],[DMS_SAP]]&lt;&gt;0)=TRUE,"MIS A JOUR","")</f>
        <v/>
      </c>
      <c r="AA886" s="45"/>
      <c r="AB886" s="55" t="str">
        <f ca="1">IF(Tableau1[[#This Row],[Date rév.]]&lt;&gt;"", DAYS360(Tableau1[[#This Row],[Date rév.]],TODAY()),"")</f>
        <v/>
      </c>
      <c r="AC886" s="47">
        <f>IFERROR(INDEX(Chemin_accès!$B$11:$C$22,MATCH(Tableau1[[#This Row],[Type]],Chemin_accès!$C$11:$C$22,0),1),Chemin_accès!$B$11)</f>
        <v>0</v>
      </c>
      <c r="AD886" s="47" t="str">
        <f>Chemin_accès!$B$8&amp;Tableau1[[#This Row],[Localisation / Classement]]&amp;"\"&amp;Tableau1[[#This Row],[Poste technique]]&amp;"_"&amp;Tableau1[[#This Row],[Plan Entretien]]&amp;".xlsm"</f>
        <v>\_.xlsm</v>
      </c>
    </row>
    <row r="887" spans="1:30" x14ac:dyDescent="0.3">
      <c r="A887" s="41" t="str">
        <f t="shared" ca="1" si="13"/>
        <v>7.MNRJ</v>
      </c>
      <c r="B8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7" s="43"/>
      <c r="D887" s="41"/>
      <c r="E887" s="41"/>
      <c r="F887" s="44"/>
      <c r="G887" s="44"/>
      <c r="H887" s="48"/>
      <c r="I887" s="48"/>
      <c r="J887" s="48"/>
      <c r="K887" s="48"/>
      <c r="L887" s="43"/>
      <c r="M887" s="44"/>
      <c r="N887" s="43"/>
      <c r="O887" s="43"/>
      <c r="P887" s="44"/>
      <c r="Q887" s="43"/>
      <c r="R887" s="43"/>
      <c r="S887" s="45"/>
      <c r="T887" s="58" t="str">
        <f>IF(Tableau1[[#This Row],[DMS_SAP]]="","",HYPERLINK(Tableau1[[#This Row],[Chemin fichier source]],"X"))</f>
        <v/>
      </c>
      <c r="U887" s="58" t="str">
        <f>IF(Tableau1[[#This Row],[Date rév.]]="","",HYPERLINK(Tableau1[[#This Row],[Lien document]],"X"))</f>
        <v/>
      </c>
      <c r="V887" s="44"/>
      <c r="W887" s="46" t="str">
        <f ca="1">Chemin_accès!$B$2&amp;Tableau1[[#This Row],[Poste Responsable]]&amp;"\"&amp;Tableau1[[#This Row],[Localisation / Classement]]&amp;"\"&amp;Tableau1[[#This Row],[Poste technique]]&amp;"_"&amp;Tableau1[[#This Row],[Plan Entretien]]&amp;".pdf"</f>
        <v>\\stjn.local\trimet\Donnees_Projets\Dms Sap\Maintenance\PlanEntretien\7.MNRJ\\_.pdf</v>
      </c>
      <c r="X887" s="44"/>
      <c r="Y887" s="44"/>
      <c r="Z887" s="41" t="str">
        <f ca="1">IF(AND(Tableau1[[#This Row],[Charge]]&lt;&gt;0, Tableau1[[#This Row],[Nombre intervenants]]&lt;&gt;0,Tableau1[[#This Row],[Lien document]]&lt;&gt;0,Tableau1[[#This Row],[DMS_SAP]]&lt;&gt;0)=TRUE,"MIS A JOUR","")</f>
        <v/>
      </c>
      <c r="AA887" s="45"/>
      <c r="AB887" s="55" t="str">
        <f ca="1">IF(Tableau1[[#This Row],[Date rév.]]&lt;&gt;"", DAYS360(Tableau1[[#This Row],[Date rév.]],TODAY()),"")</f>
        <v/>
      </c>
      <c r="AC887" s="47">
        <f>IFERROR(INDEX(Chemin_accès!$B$11:$C$22,MATCH(Tableau1[[#This Row],[Type]],Chemin_accès!$C$11:$C$22,0),1),Chemin_accès!$B$11)</f>
        <v>0</v>
      </c>
      <c r="AD887" s="47" t="str">
        <f>Chemin_accès!$B$8&amp;Tableau1[[#This Row],[Localisation / Classement]]&amp;"\"&amp;Tableau1[[#This Row],[Poste technique]]&amp;"_"&amp;Tableau1[[#This Row],[Plan Entretien]]&amp;".xlsm"</f>
        <v>\_.xlsm</v>
      </c>
    </row>
    <row r="888" spans="1:30" x14ac:dyDescent="0.3">
      <c r="A888" s="41" t="str">
        <f t="shared" ca="1" si="13"/>
        <v>7.MNRJ</v>
      </c>
      <c r="B8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8" s="43"/>
      <c r="D888" s="41"/>
      <c r="E888" s="41"/>
      <c r="F888" s="44"/>
      <c r="G888" s="44"/>
      <c r="H888" s="48"/>
      <c r="I888" s="48"/>
      <c r="J888" s="48"/>
      <c r="K888" s="48"/>
      <c r="L888" s="43"/>
      <c r="M888" s="44"/>
      <c r="N888" s="43"/>
      <c r="O888" s="43"/>
      <c r="P888" s="44"/>
      <c r="Q888" s="43"/>
      <c r="R888" s="43"/>
      <c r="S888" s="45"/>
      <c r="T888" s="58" t="str">
        <f>IF(Tableau1[[#This Row],[DMS_SAP]]="","",HYPERLINK(Tableau1[[#This Row],[Chemin fichier source]],"X"))</f>
        <v/>
      </c>
      <c r="U888" s="58" t="str">
        <f>IF(Tableau1[[#This Row],[Date rév.]]="","",HYPERLINK(Tableau1[[#This Row],[Lien document]],"X"))</f>
        <v/>
      </c>
      <c r="V888" s="44"/>
      <c r="W888" s="46" t="str">
        <f ca="1">Chemin_accès!$B$2&amp;Tableau1[[#This Row],[Poste Responsable]]&amp;"\"&amp;Tableau1[[#This Row],[Localisation / Classement]]&amp;"\"&amp;Tableau1[[#This Row],[Poste technique]]&amp;"_"&amp;Tableau1[[#This Row],[Plan Entretien]]&amp;".pdf"</f>
        <v>\\stjn.local\trimet\Donnees_Projets\Dms Sap\Maintenance\PlanEntretien\7.MNRJ\\_.pdf</v>
      </c>
      <c r="X888" s="44"/>
      <c r="Y888" s="44"/>
      <c r="Z888" s="41" t="str">
        <f ca="1">IF(AND(Tableau1[[#This Row],[Charge]]&lt;&gt;0, Tableau1[[#This Row],[Nombre intervenants]]&lt;&gt;0,Tableau1[[#This Row],[Lien document]]&lt;&gt;0,Tableau1[[#This Row],[DMS_SAP]]&lt;&gt;0)=TRUE,"MIS A JOUR","")</f>
        <v/>
      </c>
      <c r="AA888" s="45"/>
      <c r="AB888" s="55" t="str">
        <f ca="1">IF(Tableau1[[#This Row],[Date rév.]]&lt;&gt;"", DAYS360(Tableau1[[#This Row],[Date rév.]],TODAY()),"")</f>
        <v/>
      </c>
      <c r="AC888" s="47">
        <f>IFERROR(INDEX(Chemin_accès!$B$11:$C$22,MATCH(Tableau1[[#This Row],[Type]],Chemin_accès!$C$11:$C$22,0),1),Chemin_accès!$B$11)</f>
        <v>0</v>
      </c>
      <c r="AD888" s="47" t="str">
        <f>Chemin_accès!$B$8&amp;Tableau1[[#This Row],[Localisation / Classement]]&amp;"\"&amp;Tableau1[[#This Row],[Poste technique]]&amp;"_"&amp;Tableau1[[#This Row],[Plan Entretien]]&amp;".xlsm"</f>
        <v>\_.xlsm</v>
      </c>
    </row>
    <row r="889" spans="1:30" x14ac:dyDescent="0.3">
      <c r="A889" s="41" t="str">
        <f t="shared" ca="1" si="13"/>
        <v>7.MNRJ</v>
      </c>
      <c r="B8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9" s="43"/>
      <c r="D889" s="41"/>
      <c r="E889" s="41"/>
      <c r="F889" s="44"/>
      <c r="G889" s="44"/>
      <c r="H889" s="48"/>
      <c r="I889" s="48"/>
      <c r="J889" s="48"/>
      <c r="K889" s="48"/>
      <c r="L889" s="43"/>
      <c r="M889" s="44"/>
      <c r="N889" s="43"/>
      <c r="O889" s="43"/>
      <c r="P889" s="44"/>
      <c r="Q889" s="43"/>
      <c r="R889" s="43"/>
      <c r="S889" s="45"/>
      <c r="T889" s="58" t="str">
        <f>IF(Tableau1[[#This Row],[DMS_SAP]]="","",HYPERLINK(Tableau1[[#This Row],[Chemin fichier source]],"X"))</f>
        <v/>
      </c>
      <c r="U889" s="58" t="str">
        <f>IF(Tableau1[[#This Row],[Date rév.]]="","",HYPERLINK(Tableau1[[#This Row],[Lien document]],"X"))</f>
        <v/>
      </c>
      <c r="V889" s="44"/>
      <c r="W889" s="46" t="str">
        <f ca="1">Chemin_accès!$B$2&amp;Tableau1[[#This Row],[Poste Responsable]]&amp;"\"&amp;Tableau1[[#This Row],[Localisation / Classement]]&amp;"\"&amp;Tableau1[[#This Row],[Poste technique]]&amp;"_"&amp;Tableau1[[#This Row],[Plan Entretien]]&amp;".pdf"</f>
        <v>\\stjn.local\trimet\Donnees_Projets\Dms Sap\Maintenance\PlanEntretien\7.MNRJ\\_.pdf</v>
      </c>
      <c r="X889" s="44"/>
      <c r="Y889" s="44"/>
      <c r="Z889" s="41" t="str">
        <f ca="1">IF(AND(Tableau1[[#This Row],[Charge]]&lt;&gt;0, Tableau1[[#This Row],[Nombre intervenants]]&lt;&gt;0,Tableau1[[#This Row],[Lien document]]&lt;&gt;0,Tableau1[[#This Row],[DMS_SAP]]&lt;&gt;0)=TRUE,"MIS A JOUR","")</f>
        <v/>
      </c>
      <c r="AA889" s="45"/>
      <c r="AB889" s="55" t="str">
        <f ca="1">IF(Tableau1[[#This Row],[Date rév.]]&lt;&gt;"", DAYS360(Tableau1[[#This Row],[Date rév.]],TODAY()),"")</f>
        <v/>
      </c>
      <c r="AC889" s="47">
        <f>IFERROR(INDEX(Chemin_accès!$B$11:$C$22,MATCH(Tableau1[[#This Row],[Type]],Chemin_accès!$C$11:$C$22,0),1),Chemin_accès!$B$11)</f>
        <v>0</v>
      </c>
      <c r="AD889" s="47" t="str">
        <f>Chemin_accès!$B$8&amp;Tableau1[[#This Row],[Localisation / Classement]]&amp;"\"&amp;Tableau1[[#This Row],[Poste technique]]&amp;"_"&amp;Tableau1[[#This Row],[Plan Entretien]]&amp;".xlsm"</f>
        <v>\_.xlsm</v>
      </c>
    </row>
    <row r="890" spans="1:30" x14ac:dyDescent="0.3">
      <c r="A890" s="41" t="str">
        <f t="shared" ca="1" si="13"/>
        <v>7.MNRJ</v>
      </c>
      <c r="B8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0" s="43"/>
      <c r="D890" s="41"/>
      <c r="E890" s="41"/>
      <c r="F890" s="44"/>
      <c r="G890" s="44"/>
      <c r="H890" s="48"/>
      <c r="I890" s="48"/>
      <c r="J890" s="48"/>
      <c r="K890" s="48"/>
      <c r="L890" s="43"/>
      <c r="M890" s="44"/>
      <c r="N890" s="43"/>
      <c r="O890" s="43"/>
      <c r="P890" s="44"/>
      <c r="Q890" s="43"/>
      <c r="R890" s="43"/>
      <c r="S890" s="45"/>
      <c r="T890" s="58" t="str">
        <f>IF(Tableau1[[#This Row],[DMS_SAP]]="","",HYPERLINK(Tableau1[[#This Row],[Chemin fichier source]],"X"))</f>
        <v/>
      </c>
      <c r="U890" s="58" t="str">
        <f>IF(Tableau1[[#This Row],[Date rév.]]="","",HYPERLINK(Tableau1[[#This Row],[Lien document]],"X"))</f>
        <v/>
      </c>
      <c r="V890" s="44"/>
      <c r="W890" s="46" t="str">
        <f ca="1">Chemin_accès!$B$2&amp;Tableau1[[#This Row],[Poste Responsable]]&amp;"\"&amp;Tableau1[[#This Row],[Localisation / Classement]]&amp;"\"&amp;Tableau1[[#This Row],[Poste technique]]&amp;"_"&amp;Tableau1[[#This Row],[Plan Entretien]]&amp;".pdf"</f>
        <v>\\stjn.local\trimet\Donnees_Projets\Dms Sap\Maintenance\PlanEntretien\7.MNRJ\\_.pdf</v>
      </c>
      <c r="X890" s="44"/>
      <c r="Y890" s="44"/>
      <c r="Z890" s="41" t="str">
        <f ca="1">IF(AND(Tableau1[[#This Row],[Charge]]&lt;&gt;0, Tableau1[[#This Row],[Nombre intervenants]]&lt;&gt;0,Tableau1[[#This Row],[Lien document]]&lt;&gt;0,Tableau1[[#This Row],[DMS_SAP]]&lt;&gt;0)=TRUE,"MIS A JOUR","")</f>
        <v/>
      </c>
      <c r="AA890" s="45"/>
      <c r="AB890" s="55" t="str">
        <f ca="1">IF(Tableau1[[#This Row],[Date rév.]]&lt;&gt;"", DAYS360(Tableau1[[#This Row],[Date rév.]],TODAY()),"")</f>
        <v/>
      </c>
      <c r="AC890" s="47">
        <f>IFERROR(INDEX(Chemin_accès!$B$11:$C$22,MATCH(Tableau1[[#This Row],[Type]],Chemin_accès!$C$11:$C$22,0),1),Chemin_accès!$B$11)</f>
        <v>0</v>
      </c>
      <c r="AD890" s="47" t="str">
        <f>Chemin_accès!$B$8&amp;Tableau1[[#This Row],[Localisation / Classement]]&amp;"\"&amp;Tableau1[[#This Row],[Poste technique]]&amp;"_"&amp;Tableau1[[#This Row],[Plan Entretien]]&amp;".xlsm"</f>
        <v>\_.xlsm</v>
      </c>
    </row>
    <row r="891" spans="1:30" x14ac:dyDescent="0.3">
      <c r="A891" s="41" t="str">
        <f t="shared" ca="1" si="13"/>
        <v>7.MNRJ</v>
      </c>
      <c r="B8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1" s="43"/>
      <c r="D891" s="41"/>
      <c r="E891" s="41"/>
      <c r="F891" s="44"/>
      <c r="G891" s="44"/>
      <c r="H891" s="48"/>
      <c r="I891" s="48"/>
      <c r="J891" s="48"/>
      <c r="K891" s="48"/>
      <c r="L891" s="43"/>
      <c r="M891" s="44"/>
      <c r="N891" s="43"/>
      <c r="O891" s="43"/>
      <c r="P891" s="44"/>
      <c r="Q891" s="43"/>
      <c r="R891" s="43"/>
      <c r="S891" s="45"/>
      <c r="T891" s="58" t="str">
        <f>IF(Tableau1[[#This Row],[DMS_SAP]]="","",HYPERLINK(Tableau1[[#This Row],[Chemin fichier source]],"X"))</f>
        <v/>
      </c>
      <c r="U891" s="58" t="str">
        <f>IF(Tableau1[[#This Row],[Date rév.]]="","",HYPERLINK(Tableau1[[#This Row],[Lien document]],"X"))</f>
        <v/>
      </c>
      <c r="V891" s="44"/>
      <c r="W891" s="46" t="str">
        <f ca="1">Chemin_accès!$B$2&amp;Tableau1[[#This Row],[Poste Responsable]]&amp;"\"&amp;Tableau1[[#This Row],[Localisation / Classement]]&amp;"\"&amp;Tableau1[[#This Row],[Poste technique]]&amp;"_"&amp;Tableau1[[#This Row],[Plan Entretien]]&amp;".pdf"</f>
        <v>\\stjn.local\trimet\Donnees_Projets\Dms Sap\Maintenance\PlanEntretien\7.MNRJ\\_.pdf</v>
      </c>
      <c r="X891" s="44"/>
      <c r="Y891" s="44"/>
      <c r="Z891" s="41" t="str">
        <f ca="1">IF(AND(Tableau1[[#This Row],[Charge]]&lt;&gt;0, Tableau1[[#This Row],[Nombre intervenants]]&lt;&gt;0,Tableau1[[#This Row],[Lien document]]&lt;&gt;0,Tableau1[[#This Row],[DMS_SAP]]&lt;&gt;0)=TRUE,"MIS A JOUR","")</f>
        <v/>
      </c>
      <c r="AA891" s="45"/>
      <c r="AB891" s="55" t="str">
        <f ca="1">IF(Tableau1[[#This Row],[Date rév.]]&lt;&gt;"", DAYS360(Tableau1[[#This Row],[Date rév.]],TODAY()),"")</f>
        <v/>
      </c>
      <c r="AC891" s="47">
        <f>IFERROR(INDEX(Chemin_accès!$B$11:$C$22,MATCH(Tableau1[[#This Row],[Type]],Chemin_accès!$C$11:$C$22,0),1),Chemin_accès!$B$11)</f>
        <v>0</v>
      </c>
      <c r="AD891" s="47" t="str">
        <f>Chemin_accès!$B$8&amp;Tableau1[[#This Row],[Localisation / Classement]]&amp;"\"&amp;Tableau1[[#This Row],[Poste technique]]&amp;"_"&amp;Tableau1[[#This Row],[Plan Entretien]]&amp;".xlsm"</f>
        <v>\_.xlsm</v>
      </c>
    </row>
    <row r="892" spans="1:30" x14ac:dyDescent="0.3">
      <c r="A892" s="41" t="str">
        <f t="shared" ca="1" si="13"/>
        <v>7.MNRJ</v>
      </c>
      <c r="B8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2" s="43"/>
      <c r="D892" s="41"/>
      <c r="E892" s="41"/>
      <c r="F892" s="44"/>
      <c r="G892" s="44"/>
      <c r="H892" s="48"/>
      <c r="I892" s="48"/>
      <c r="J892" s="48"/>
      <c r="K892" s="48"/>
      <c r="L892" s="43"/>
      <c r="M892" s="44"/>
      <c r="N892" s="43"/>
      <c r="O892" s="43"/>
      <c r="P892" s="44"/>
      <c r="Q892" s="43"/>
      <c r="R892" s="43"/>
      <c r="S892" s="45"/>
      <c r="T892" s="58" t="str">
        <f>IF(Tableau1[[#This Row],[DMS_SAP]]="","",HYPERLINK(Tableau1[[#This Row],[Chemin fichier source]],"X"))</f>
        <v/>
      </c>
      <c r="U892" s="58" t="str">
        <f>IF(Tableau1[[#This Row],[Date rév.]]="","",HYPERLINK(Tableau1[[#This Row],[Lien document]],"X"))</f>
        <v/>
      </c>
      <c r="V892" s="44"/>
      <c r="W892" s="46" t="str">
        <f ca="1">Chemin_accès!$B$2&amp;Tableau1[[#This Row],[Poste Responsable]]&amp;"\"&amp;Tableau1[[#This Row],[Localisation / Classement]]&amp;"\"&amp;Tableau1[[#This Row],[Poste technique]]&amp;"_"&amp;Tableau1[[#This Row],[Plan Entretien]]&amp;".pdf"</f>
        <v>\\stjn.local\trimet\Donnees_Projets\Dms Sap\Maintenance\PlanEntretien\7.MNRJ\\_.pdf</v>
      </c>
      <c r="X892" s="44"/>
      <c r="Y892" s="44"/>
      <c r="Z892" s="41" t="str">
        <f ca="1">IF(AND(Tableau1[[#This Row],[Charge]]&lt;&gt;0, Tableau1[[#This Row],[Nombre intervenants]]&lt;&gt;0,Tableau1[[#This Row],[Lien document]]&lt;&gt;0,Tableau1[[#This Row],[DMS_SAP]]&lt;&gt;0)=TRUE,"MIS A JOUR","")</f>
        <v/>
      </c>
      <c r="AA892" s="45"/>
      <c r="AB892" s="55" t="str">
        <f ca="1">IF(Tableau1[[#This Row],[Date rév.]]&lt;&gt;"", DAYS360(Tableau1[[#This Row],[Date rév.]],TODAY()),"")</f>
        <v/>
      </c>
      <c r="AC892" s="47">
        <f>IFERROR(INDEX(Chemin_accès!$B$11:$C$22,MATCH(Tableau1[[#This Row],[Type]],Chemin_accès!$C$11:$C$22,0),1),Chemin_accès!$B$11)</f>
        <v>0</v>
      </c>
      <c r="AD892" s="47" t="str">
        <f>Chemin_accès!$B$8&amp;Tableau1[[#This Row],[Localisation / Classement]]&amp;"\"&amp;Tableau1[[#This Row],[Poste technique]]&amp;"_"&amp;Tableau1[[#This Row],[Plan Entretien]]&amp;".xlsm"</f>
        <v>\_.xlsm</v>
      </c>
    </row>
    <row r="893" spans="1:30" x14ac:dyDescent="0.3">
      <c r="A893" s="41" t="str">
        <f t="shared" ca="1" si="13"/>
        <v>7.MNRJ</v>
      </c>
      <c r="B8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3" s="43"/>
      <c r="D893" s="41"/>
      <c r="E893" s="41"/>
      <c r="F893" s="44"/>
      <c r="G893" s="44"/>
      <c r="H893" s="48"/>
      <c r="I893" s="48"/>
      <c r="J893" s="48"/>
      <c r="K893" s="48"/>
      <c r="L893" s="43"/>
      <c r="M893" s="44"/>
      <c r="N893" s="43"/>
      <c r="O893" s="43"/>
      <c r="P893" s="44"/>
      <c r="Q893" s="43"/>
      <c r="R893" s="43"/>
      <c r="S893" s="45"/>
      <c r="T893" s="58" t="str">
        <f>IF(Tableau1[[#This Row],[DMS_SAP]]="","",HYPERLINK(Tableau1[[#This Row],[Chemin fichier source]],"X"))</f>
        <v/>
      </c>
      <c r="U893" s="58" t="str">
        <f>IF(Tableau1[[#This Row],[Date rév.]]="","",HYPERLINK(Tableau1[[#This Row],[Lien document]],"X"))</f>
        <v/>
      </c>
      <c r="V893" s="44"/>
      <c r="W893" s="46" t="str">
        <f ca="1">Chemin_accès!$B$2&amp;Tableau1[[#This Row],[Poste Responsable]]&amp;"\"&amp;Tableau1[[#This Row],[Localisation / Classement]]&amp;"\"&amp;Tableau1[[#This Row],[Poste technique]]&amp;"_"&amp;Tableau1[[#This Row],[Plan Entretien]]&amp;".pdf"</f>
        <v>\\stjn.local\trimet\Donnees_Projets\Dms Sap\Maintenance\PlanEntretien\7.MNRJ\\_.pdf</v>
      </c>
      <c r="X893" s="44"/>
      <c r="Y893" s="44"/>
      <c r="Z893" s="41" t="str">
        <f ca="1">IF(AND(Tableau1[[#This Row],[Charge]]&lt;&gt;0, Tableau1[[#This Row],[Nombre intervenants]]&lt;&gt;0,Tableau1[[#This Row],[Lien document]]&lt;&gt;0,Tableau1[[#This Row],[DMS_SAP]]&lt;&gt;0)=TRUE,"MIS A JOUR","")</f>
        <v/>
      </c>
      <c r="AA893" s="45"/>
      <c r="AB893" s="55" t="str">
        <f ca="1">IF(Tableau1[[#This Row],[Date rév.]]&lt;&gt;"", DAYS360(Tableau1[[#This Row],[Date rév.]],TODAY()),"")</f>
        <v/>
      </c>
      <c r="AC893" s="47">
        <f>IFERROR(INDEX(Chemin_accès!$B$11:$C$22,MATCH(Tableau1[[#This Row],[Type]],Chemin_accès!$C$11:$C$22,0),1),Chemin_accès!$B$11)</f>
        <v>0</v>
      </c>
      <c r="AD893" s="47" t="str">
        <f>Chemin_accès!$B$8&amp;Tableau1[[#This Row],[Localisation / Classement]]&amp;"\"&amp;Tableau1[[#This Row],[Poste technique]]&amp;"_"&amp;Tableau1[[#This Row],[Plan Entretien]]&amp;".xlsm"</f>
        <v>\_.xlsm</v>
      </c>
    </row>
    <row r="894" spans="1:30" x14ac:dyDescent="0.3">
      <c r="A894" s="41" t="str">
        <f t="shared" ca="1" si="13"/>
        <v>7.MNRJ</v>
      </c>
      <c r="B8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4" s="43"/>
      <c r="D894" s="41"/>
      <c r="E894" s="41"/>
      <c r="F894" s="44"/>
      <c r="G894" s="44"/>
      <c r="H894" s="48"/>
      <c r="I894" s="48"/>
      <c r="J894" s="48"/>
      <c r="K894" s="48"/>
      <c r="L894" s="43"/>
      <c r="M894" s="44"/>
      <c r="N894" s="43"/>
      <c r="O894" s="43"/>
      <c r="P894" s="44"/>
      <c r="Q894" s="43"/>
      <c r="R894" s="43"/>
      <c r="S894" s="45"/>
      <c r="T894" s="58" t="str">
        <f>IF(Tableau1[[#This Row],[DMS_SAP]]="","",HYPERLINK(Tableau1[[#This Row],[Chemin fichier source]],"X"))</f>
        <v/>
      </c>
      <c r="U894" s="58" t="str">
        <f>IF(Tableau1[[#This Row],[Date rév.]]="","",HYPERLINK(Tableau1[[#This Row],[Lien document]],"X"))</f>
        <v/>
      </c>
      <c r="V894" s="44"/>
      <c r="W894" s="46" t="str">
        <f ca="1">Chemin_accès!$B$2&amp;Tableau1[[#This Row],[Poste Responsable]]&amp;"\"&amp;Tableau1[[#This Row],[Localisation / Classement]]&amp;"\"&amp;Tableau1[[#This Row],[Poste technique]]&amp;"_"&amp;Tableau1[[#This Row],[Plan Entretien]]&amp;".pdf"</f>
        <v>\\stjn.local\trimet\Donnees_Projets\Dms Sap\Maintenance\PlanEntretien\7.MNRJ\\_.pdf</v>
      </c>
      <c r="X894" s="44"/>
      <c r="Y894" s="44"/>
      <c r="Z894" s="41" t="str">
        <f ca="1">IF(AND(Tableau1[[#This Row],[Charge]]&lt;&gt;0, Tableau1[[#This Row],[Nombre intervenants]]&lt;&gt;0,Tableau1[[#This Row],[Lien document]]&lt;&gt;0,Tableau1[[#This Row],[DMS_SAP]]&lt;&gt;0)=TRUE,"MIS A JOUR","")</f>
        <v/>
      </c>
      <c r="AA894" s="45"/>
      <c r="AB894" s="55" t="str">
        <f ca="1">IF(Tableau1[[#This Row],[Date rév.]]&lt;&gt;"", DAYS360(Tableau1[[#This Row],[Date rév.]],TODAY()),"")</f>
        <v/>
      </c>
      <c r="AC894" s="47">
        <f>IFERROR(INDEX(Chemin_accès!$B$11:$C$22,MATCH(Tableau1[[#This Row],[Type]],Chemin_accès!$C$11:$C$22,0),1),Chemin_accès!$B$11)</f>
        <v>0</v>
      </c>
      <c r="AD894" s="47" t="str">
        <f>Chemin_accès!$B$8&amp;Tableau1[[#This Row],[Localisation / Classement]]&amp;"\"&amp;Tableau1[[#This Row],[Poste technique]]&amp;"_"&amp;Tableau1[[#This Row],[Plan Entretien]]&amp;".xlsm"</f>
        <v>\_.xlsm</v>
      </c>
    </row>
    <row r="895" spans="1:30" x14ac:dyDescent="0.3">
      <c r="A895" s="41" t="str">
        <f t="shared" ca="1" si="13"/>
        <v>7.MNRJ</v>
      </c>
      <c r="B8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5" s="43"/>
      <c r="D895" s="41"/>
      <c r="E895" s="41"/>
      <c r="F895" s="44"/>
      <c r="G895" s="44"/>
      <c r="H895" s="48"/>
      <c r="I895" s="48"/>
      <c r="J895" s="48"/>
      <c r="K895" s="48"/>
      <c r="L895" s="43"/>
      <c r="M895" s="44"/>
      <c r="N895" s="43"/>
      <c r="O895" s="43"/>
      <c r="P895" s="44"/>
      <c r="Q895" s="43"/>
      <c r="R895" s="43"/>
      <c r="S895" s="45"/>
      <c r="T895" s="58" t="str">
        <f>IF(Tableau1[[#This Row],[DMS_SAP]]="","",HYPERLINK(Tableau1[[#This Row],[Chemin fichier source]],"X"))</f>
        <v/>
      </c>
      <c r="U895" s="58" t="str">
        <f>IF(Tableau1[[#This Row],[Date rév.]]="","",HYPERLINK(Tableau1[[#This Row],[Lien document]],"X"))</f>
        <v/>
      </c>
      <c r="V895" s="44"/>
      <c r="W895" s="46" t="str">
        <f ca="1">Chemin_accès!$B$2&amp;Tableau1[[#This Row],[Poste Responsable]]&amp;"\"&amp;Tableau1[[#This Row],[Localisation / Classement]]&amp;"\"&amp;Tableau1[[#This Row],[Poste technique]]&amp;"_"&amp;Tableau1[[#This Row],[Plan Entretien]]&amp;".pdf"</f>
        <v>\\stjn.local\trimet\Donnees_Projets\Dms Sap\Maintenance\PlanEntretien\7.MNRJ\\_.pdf</v>
      </c>
      <c r="X895" s="44"/>
      <c r="Y895" s="44"/>
      <c r="Z895" s="41" t="str">
        <f ca="1">IF(AND(Tableau1[[#This Row],[Charge]]&lt;&gt;0, Tableau1[[#This Row],[Nombre intervenants]]&lt;&gt;0,Tableau1[[#This Row],[Lien document]]&lt;&gt;0,Tableau1[[#This Row],[DMS_SAP]]&lt;&gt;0)=TRUE,"MIS A JOUR","")</f>
        <v/>
      </c>
      <c r="AA895" s="45"/>
      <c r="AB895" s="55" t="str">
        <f ca="1">IF(Tableau1[[#This Row],[Date rév.]]&lt;&gt;"", DAYS360(Tableau1[[#This Row],[Date rév.]],TODAY()),"")</f>
        <v/>
      </c>
      <c r="AC895" s="47">
        <f>IFERROR(INDEX(Chemin_accès!$B$11:$C$22,MATCH(Tableau1[[#This Row],[Type]],Chemin_accès!$C$11:$C$22,0),1),Chemin_accès!$B$11)</f>
        <v>0</v>
      </c>
      <c r="AD895" s="47" t="str">
        <f>Chemin_accès!$B$8&amp;Tableau1[[#This Row],[Localisation / Classement]]&amp;"\"&amp;Tableau1[[#This Row],[Poste technique]]&amp;"_"&amp;Tableau1[[#This Row],[Plan Entretien]]&amp;".xlsm"</f>
        <v>\_.xlsm</v>
      </c>
    </row>
    <row r="896" spans="1:30" x14ac:dyDescent="0.3">
      <c r="A896" s="41" t="str">
        <f t="shared" ca="1" si="13"/>
        <v>7.MNRJ</v>
      </c>
      <c r="B8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6" s="43"/>
      <c r="D896" s="41"/>
      <c r="E896" s="41"/>
      <c r="F896" s="44"/>
      <c r="G896" s="44"/>
      <c r="H896" s="48"/>
      <c r="I896" s="48"/>
      <c r="J896" s="48"/>
      <c r="K896" s="48"/>
      <c r="L896" s="43"/>
      <c r="M896" s="44"/>
      <c r="N896" s="43"/>
      <c r="O896" s="43"/>
      <c r="P896" s="44"/>
      <c r="Q896" s="43"/>
      <c r="R896" s="43"/>
      <c r="S896" s="45"/>
      <c r="T896" s="58" t="str">
        <f>IF(Tableau1[[#This Row],[DMS_SAP]]="","",HYPERLINK(Tableau1[[#This Row],[Chemin fichier source]],"X"))</f>
        <v/>
      </c>
      <c r="U896" s="58" t="str">
        <f>IF(Tableau1[[#This Row],[Date rév.]]="","",HYPERLINK(Tableau1[[#This Row],[Lien document]],"X"))</f>
        <v/>
      </c>
      <c r="V896" s="44"/>
      <c r="W896" s="46" t="str">
        <f ca="1">Chemin_accès!$B$2&amp;Tableau1[[#This Row],[Poste Responsable]]&amp;"\"&amp;Tableau1[[#This Row],[Localisation / Classement]]&amp;"\"&amp;Tableau1[[#This Row],[Poste technique]]&amp;"_"&amp;Tableau1[[#This Row],[Plan Entretien]]&amp;".pdf"</f>
        <v>\\stjn.local\trimet\Donnees_Projets\Dms Sap\Maintenance\PlanEntretien\7.MNRJ\\_.pdf</v>
      </c>
      <c r="X896" s="44"/>
      <c r="Y896" s="44"/>
      <c r="Z896" s="41" t="str">
        <f ca="1">IF(AND(Tableau1[[#This Row],[Charge]]&lt;&gt;0, Tableau1[[#This Row],[Nombre intervenants]]&lt;&gt;0,Tableau1[[#This Row],[Lien document]]&lt;&gt;0,Tableau1[[#This Row],[DMS_SAP]]&lt;&gt;0)=TRUE,"MIS A JOUR","")</f>
        <v/>
      </c>
      <c r="AA896" s="45"/>
      <c r="AB896" s="55" t="str">
        <f ca="1">IF(Tableau1[[#This Row],[Date rév.]]&lt;&gt;"", DAYS360(Tableau1[[#This Row],[Date rév.]],TODAY()),"")</f>
        <v/>
      </c>
      <c r="AC896" s="47">
        <f>IFERROR(INDEX(Chemin_accès!$B$11:$C$22,MATCH(Tableau1[[#This Row],[Type]],Chemin_accès!$C$11:$C$22,0),1),Chemin_accès!$B$11)</f>
        <v>0</v>
      </c>
      <c r="AD896" s="47" t="str">
        <f>Chemin_accès!$B$8&amp;Tableau1[[#This Row],[Localisation / Classement]]&amp;"\"&amp;Tableau1[[#This Row],[Poste technique]]&amp;"_"&amp;Tableau1[[#This Row],[Plan Entretien]]&amp;".xlsm"</f>
        <v>\_.xlsm</v>
      </c>
    </row>
    <row r="897" spans="1:30" x14ac:dyDescent="0.3">
      <c r="A897" s="41" t="str">
        <f t="shared" ca="1" si="13"/>
        <v>7.MNRJ</v>
      </c>
      <c r="B8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7" s="43"/>
      <c r="D897" s="41"/>
      <c r="E897" s="41"/>
      <c r="F897" s="44"/>
      <c r="G897" s="44"/>
      <c r="H897" s="48"/>
      <c r="I897" s="48"/>
      <c r="J897" s="48"/>
      <c r="K897" s="48"/>
      <c r="L897" s="43"/>
      <c r="M897" s="44"/>
      <c r="N897" s="43"/>
      <c r="O897" s="43"/>
      <c r="P897" s="44"/>
      <c r="Q897" s="43"/>
      <c r="R897" s="43"/>
      <c r="S897" s="45"/>
      <c r="T897" s="58" t="str">
        <f>IF(Tableau1[[#This Row],[DMS_SAP]]="","",HYPERLINK(Tableau1[[#This Row],[Chemin fichier source]],"X"))</f>
        <v/>
      </c>
      <c r="U897" s="58" t="str">
        <f>IF(Tableau1[[#This Row],[Date rév.]]="","",HYPERLINK(Tableau1[[#This Row],[Lien document]],"X"))</f>
        <v/>
      </c>
      <c r="V897" s="44"/>
      <c r="W897" s="46" t="str">
        <f ca="1">Chemin_accès!$B$2&amp;Tableau1[[#This Row],[Poste Responsable]]&amp;"\"&amp;Tableau1[[#This Row],[Localisation / Classement]]&amp;"\"&amp;Tableau1[[#This Row],[Poste technique]]&amp;"_"&amp;Tableau1[[#This Row],[Plan Entretien]]&amp;".pdf"</f>
        <v>\\stjn.local\trimet\Donnees_Projets\Dms Sap\Maintenance\PlanEntretien\7.MNRJ\\_.pdf</v>
      </c>
      <c r="X897" s="44"/>
      <c r="Y897" s="44"/>
      <c r="Z897" s="41" t="str">
        <f ca="1">IF(AND(Tableau1[[#This Row],[Charge]]&lt;&gt;0, Tableau1[[#This Row],[Nombre intervenants]]&lt;&gt;0,Tableau1[[#This Row],[Lien document]]&lt;&gt;0,Tableau1[[#This Row],[DMS_SAP]]&lt;&gt;0)=TRUE,"MIS A JOUR","")</f>
        <v/>
      </c>
      <c r="AA897" s="45"/>
      <c r="AB897" s="55" t="str">
        <f ca="1">IF(Tableau1[[#This Row],[Date rév.]]&lt;&gt;"", DAYS360(Tableau1[[#This Row],[Date rév.]],TODAY()),"")</f>
        <v/>
      </c>
      <c r="AC897" s="47">
        <f>IFERROR(INDEX(Chemin_accès!$B$11:$C$22,MATCH(Tableau1[[#This Row],[Type]],Chemin_accès!$C$11:$C$22,0),1),Chemin_accès!$B$11)</f>
        <v>0</v>
      </c>
      <c r="AD897" s="47" t="str">
        <f>Chemin_accès!$B$8&amp;Tableau1[[#This Row],[Localisation / Classement]]&amp;"\"&amp;Tableau1[[#This Row],[Poste technique]]&amp;"_"&amp;Tableau1[[#This Row],[Plan Entretien]]&amp;".xlsm"</f>
        <v>\_.xlsm</v>
      </c>
    </row>
    <row r="898" spans="1:30" x14ac:dyDescent="0.3">
      <c r="A898" s="41" t="str">
        <f t="shared" ca="1" si="13"/>
        <v>7.MNRJ</v>
      </c>
      <c r="B8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8" s="43"/>
      <c r="D898" s="41"/>
      <c r="E898" s="41"/>
      <c r="F898" s="44"/>
      <c r="G898" s="44"/>
      <c r="H898" s="48"/>
      <c r="I898" s="48"/>
      <c r="J898" s="48"/>
      <c r="K898" s="48"/>
      <c r="L898" s="43"/>
      <c r="M898" s="44"/>
      <c r="N898" s="43"/>
      <c r="O898" s="43"/>
      <c r="P898" s="44"/>
      <c r="Q898" s="43"/>
      <c r="R898" s="43"/>
      <c r="S898" s="45"/>
      <c r="T898" s="58" t="str">
        <f>IF(Tableau1[[#This Row],[DMS_SAP]]="","",HYPERLINK(Tableau1[[#This Row],[Chemin fichier source]],"X"))</f>
        <v/>
      </c>
      <c r="U898" s="58" t="str">
        <f>IF(Tableau1[[#This Row],[Date rév.]]="","",HYPERLINK(Tableau1[[#This Row],[Lien document]],"X"))</f>
        <v/>
      </c>
      <c r="V898" s="44"/>
      <c r="W898" s="46" t="str">
        <f ca="1">Chemin_accès!$B$2&amp;Tableau1[[#This Row],[Poste Responsable]]&amp;"\"&amp;Tableau1[[#This Row],[Localisation / Classement]]&amp;"\"&amp;Tableau1[[#This Row],[Poste technique]]&amp;"_"&amp;Tableau1[[#This Row],[Plan Entretien]]&amp;".pdf"</f>
        <v>\\stjn.local\trimet\Donnees_Projets\Dms Sap\Maintenance\PlanEntretien\7.MNRJ\\_.pdf</v>
      </c>
      <c r="X898" s="44"/>
      <c r="Y898" s="44"/>
      <c r="Z898" s="41" t="str">
        <f ca="1">IF(AND(Tableau1[[#This Row],[Charge]]&lt;&gt;0, Tableau1[[#This Row],[Nombre intervenants]]&lt;&gt;0,Tableau1[[#This Row],[Lien document]]&lt;&gt;0,Tableau1[[#This Row],[DMS_SAP]]&lt;&gt;0)=TRUE,"MIS A JOUR","")</f>
        <v/>
      </c>
      <c r="AA898" s="45"/>
      <c r="AB898" s="55" t="str">
        <f ca="1">IF(Tableau1[[#This Row],[Date rév.]]&lt;&gt;"", DAYS360(Tableau1[[#This Row],[Date rév.]],TODAY()),"")</f>
        <v/>
      </c>
      <c r="AC898" s="47">
        <f>IFERROR(INDEX(Chemin_accès!$B$11:$C$22,MATCH(Tableau1[[#This Row],[Type]],Chemin_accès!$C$11:$C$22,0),1),Chemin_accès!$B$11)</f>
        <v>0</v>
      </c>
      <c r="AD898" s="47" t="str">
        <f>Chemin_accès!$B$8&amp;Tableau1[[#This Row],[Localisation / Classement]]&amp;"\"&amp;Tableau1[[#This Row],[Poste technique]]&amp;"_"&amp;Tableau1[[#This Row],[Plan Entretien]]&amp;".xlsm"</f>
        <v>\_.xlsm</v>
      </c>
    </row>
    <row r="899" spans="1:30" x14ac:dyDescent="0.3">
      <c r="A899" s="41" t="str">
        <f t="shared" ref="A899:A962" ca="1" si="14">MID(CELL("filename",$A$1),FIND("]",CELL("filename",$A$1))+1,32)</f>
        <v>7.MNRJ</v>
      </c>
      <c r="B8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9" s="43"/>
      <c r="D899" s="41"/>
      <c r="E899" s="41"/>
      <c r="F899" s="44"/>
      <c r="G899" s="44"/>
      <c r="H899" s="48"/>
      <c r="I899" s="48"/>
      <c r="J899" s="48"/>
      <c r="K899" s="48"/>
      <c r="L899" s="43"/>
      <c r="M899" s="44"/>
      <c r="N899" s="43"/>
      <c r="O899" s="43"/>
      <c r="P899" s="44"/>
      <c r="Q899" s="43"/>
      <c r="R899" s="43"/>
      <c r="S899" s="45"/>
      <c r="T899" s="58" t="str">
        <f>IF(Tableau1[[#This Row],[DMS_SAP]]="","",HYPERLINK(Tableau1[[#This Row],[Chemin fichier source]],"X"))</f>
        <v/>
      </c>
      <c r="U899" s="58" t="str">
        <f>IF(Tableau1[[#This Row],[Date rév.]]="","",HYPERLINK(Tableau1[[#This Row],[Lien document]],"X"))</f>
        <v/>
      </c>
      <c r="V899" s="44"/>
      <c r="W899" s="46" t="str">
        <f ca="1">Chemin_accès!$B$2&amp;Tableau1[[#This Row],[Poste Responsable]]&amp;"\"&amp;Tableau1[[#This Row],[Localisation / Classement]]&amp;"\"&amp;Tableau1[[#This Row],[Poste technique]]&amp;"_"&amp;Tableau1[[#This Row],[Plan Entretien]]&amp;".pdf"</f>
        <v>\\stjn.local\trimet\Donnees_Projets\Dms Sap\Maintenance\PlanEntretien\7.MNRJ\\_.pdf</v>
      </c>
      <c r="X899" s="44"/>
      <c r="Y899" s="44"/>
      <c r="Z899" s="41" t="str">
        <f ca="1">IF(AND(Tableau1[[#This Row],[Charge]]&lt;&gt;0, Tableau1[[#This Row],[Nombre intervenants]]&lt;&gt;0,Tableau1[[#This Row],[Lien document]]&lt;&gt;0,Tableau1[[#This Row],[DMS_SAP]]&lt;&gt;0)=TRUE,"MIS A JOUR","")</f>
        <v/>
      </c>
      <c r="AA899" s="45"/>
      <c r="AB899" s="55" t="str">
        <f ca="1">IF(Tableau1[[#This Row],[Date rév.]]&lt;&gt;"", DAYS360(Tableau1[[#This Row],[Date rév.]],TODAY()),"")</f>
        <v/>
      </c>
      <c r="AC899" s="47">
        <f>IFERROR(INDEX(Chemin_accès!$B$11:$C$22,MATCH(Tableau1[[#This Row],[Type]],Chemin_accès!$C$11:$C$22,0),1),Chemin_accès!$B$11)</f>
        <v>0</v>
      </c>
      <c r="AD899" s="47" t="str">
        <f>Chemin_accès!$B$8&amp;Tableau1[[#This Row],[Localisation / Classement]]&amp;"\"&amp;Tableau1[[#This Row],[Poste technique]]&amp;"_"&amp;Tableau1[[#This Row],[Plan Entretien]]&amp;".xlsm"</f>
        <v>\_.xlsm</v>
      </c>
    </row>
    <row r="900" spans="1:30" x14ac:dyDescent="0.3">
      <c r="A900" s="41" t="str">
        <f t="shared" ca="1" si="14"/>
        <v>7.MNRJ</v>
      </c>
      <c r="B9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0" s="43"/>
      <c r="D900" s="41"/>
      <c r="E900" s="41"/>
      <c r="F900" s="44"/>
      <c r="G900" s="44"/>
      <c r="H900" s="48"/>
      <c r="I900" s="48"/>
      <c r="J900" s="48"/>
      <c r="K900" s="48"/>
      <c r="L900" s="43"/>
      <c r="M900" s="44"/>
      <c r="N900" s="43"/>
      <c r="O900" s="43"/>
      <c r="P900" s="44"/>
      <c r="Q900" s="43"/>
      <c r="R900" s="43"/>
      <c r="S900" s="45"/>
      <c r="T900" s="58" t="str">
        <f>IF(Tableau1[[#This Row],[DMS_SAP]]="","",HYPERLINK(Tableau1[[#This Row],[Chemin fichier source]],"X"))</f>
        <v/>
      </c>
      <c r="U900" s="58" t="str">
        <f>IF(Tableau1[[#This Row],[Date rév.]]="","",HYPERLINK(Tableau1[[#This Row],[Lien document]],"X"))</f>
        <v/>
      </c>
      <c r="V900" s="44"/>
      <c r="W900" s="46" t="str">
        <f ca="1">Chemin_accès!$B$2&amp;Tableau1[[#This Row],[Poste Responsable]]&amp;"\"&amp;Tableau1[[#This Row],[Localisation / Classement]]&amp;"\"&amp;Tableau1[[#This Row],[Poste technique]]&amp;"_"&amp;Tableau1[[#This Row],[Plan Entretien]]&amp;".pdf"</f>
        <v>\\stjn.local\trimet\Donnees_Projets\Dms Sap\Maintenance\PlanEntretien\7.MNRJ\\_.pdf</v>
      </c>
      <c r="X900" s="44"/>
      <c r="Y900" s="44"/>
      <c r="Z900" s="41" t="str">
        <f ca="1">IF(AND(Tableau1[[#This Row],[Charge]]&lt;&gt;0, Tableau1[[#This Row],[Nombre intervenants]]&lt;&gt;0,Tableau1[[#This Row],[Lien document]]&lt;&gt;0,Tableau1[[#This Row],[DMS_SAP]]&lt;&gt;0)=TRUE,"MIS A JOUR","")</f>
        <v/>
      </c>
      <c r="AA900" s="45"/>
      <c r="AB900" s="55" t="str">
        <f ca="1">IF(Tableau1[[#This Row],[Date rév.]]&lt;&gt;"", DAYS360(Tableau1[[#This Row],[Date rév.]],TODAY()),"")</f>
        <v/>
      </c>
      <c r="AC900" s="47">
        <f>IFERROR(INDEX(Chemin_accès!$B$11:$C$22,MATCH(Tableau1[[#This Row],[Type]],Chemin_accès!$C$11:$C$22,0),1),Chemin_accès!$B$11)</f>
        <v>0</v>
      </c>
      <c r="AD900" s="47" t="str">
        <f>Chemin_accès!$B$8&amp;Tableau1[[#This Row],[Localisation / Classement]]&amp;"\"&amp;Tableau1[[#This Row],[Poste technique]]&amp;"_"&amp;Tableau1[[#This Row],[Plan Entretien]]&amp;".xlsm"</f>
        <v>\_.xlsm</v>
      </c>
    </row>
    <row r="901" spans="1:30" x14ac:dyDescent="0.3">
      <c r="A901" s="41" t="str">
        <f t="shared" ca="1" si="14"/>
        <v>7.MNRJ</v>
      </c>
      <c r="B9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1" s="43"/>
      <c r="D901" s="41"/>
      <c r="E901" s="41"/>
      <c r="F901" s="44"/>
      <c r="G901" s="44"/>
      <c r="H901" s="48"/>
      <c r="I901" s="48"/>
      <c r="J901" s="48"/>
      <c r="K901" s="48"/>
      <c r="L901" s="43"/>
      <c r="M901" s="44"/>
      <c r="N901" s="43"/>
      <c r="O901" s="43"/>
      <c r="P901" s="44"/>
      <c r="Q901" s="43"/>
      <c r="R901" s="43"/>
      <c r="S901" s="45"/>
      <c r="T901" s="58" t="str">
        <f>IF(Tableau1[[#This Row],[DMS_SAP]]="","",HYPERLINK(Tableau1[[#This Row],[Chemin fichier source]],"X"))</f>
        <v/>
      </c>
      <c r="U901" s="58" t="str">
        <f>IF(Tableau1[[#This Row],[Date rév.]]="","",HYPERLINK(Tableau1[[#This Row],[Lien document]],"X"))</f>
        <v/>
      </c>
      <c r="V901" s="44"/>
      <c r="W901" s="46" t="str">
        <f ca="1">Chemin_accès!$B$2&amp;Tableau1[[#This Row],[Poste Responsable]]&amp;"\"&amp;Tableau1[[#This Row],[Localisation / Classement]]&amp;"\"&amp;Tableau1[[#This Row],[Poste technique]]&amp;"_"&amp;Tableau1[[#This Row],[Plan Entretien]]&amp;".pdf"</f>
        <v>\\stjn.local\trimet\Donnees_Projets\Dms Sap\Maintenance\PlanEntretien\7.MNRJ\\_.pdf</v>
      </c>
      <c r="X901" s="44"/>
      <c r="Y901" s="44"/>
      <c r="Z901" s="41" t="str">
        <f ca="1">IF(AND(Tableau1[[#This Row],[Charge]]&lt;&gt;0, Tableau1[[#This Row],[Nombre intervenants]]&lt;&gt;0,Tableau1[[#This Row],[Lien document]]&lt;&gt;0,Tableau1[[#This Row],[DMS_SAP]]&lt;&gt;0)=TRUE,"MIS A JOUR","")</f>
        <v/>
      </c>
      <c r="AA901" s="45"/>
      <c r="AB901" s="55" t="str">
        <f ca="1">IF(Tableau1[[#This Row],[Date rév.]]&lt;&gt;"", DAYS360(Tableau1[[#This Row],[Date rév.]],TODAY()),"")</f>
        <v/>
      </c>
      <c r="AC901" s="47">
        <f>IFERROR(INDEX(Chemin_accès!$B$11:$C$22,MATCH(Tableau1[[#This Row],[Type]],Chemin_accès!$C$11:$C$22,0),1),Chemin_accès!$B$11)</f>
        <v>0</v>
      </c>
      <c r="AD901" s="47" t="str">
        <f>Chemin_accès!$B$8&amp;Tableau1[[#This Row],[Localisation / Classement]]&amp;"\"&amp;Tableau1[[#This Row],[Poste technique]]&amp;"_"&amp;Tableau1[[#This Row],[Plan Entretien]]&amp;".xlsm"</f>
        <v>\_.xlsm</v>
      </c>
    </row>
    <row r="902" spans="1:30" x14ac:dyDescent="0.3">
      <c r="A902" s="41" t="str">
        <f t="shared" ca="1" si="14"/>
        <v>7.MNRJ</v>
      </c>
      <c r="B90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2" s="43"/>
      <c r="D902" s="41"/>
      <c r="E902" s="41"/>
      <c r="F902" s="44"/>
      <c r="G902" s="44"/>
      <c r="H902" s="48"/>
      <c r="I902" s="48"/>
      <c r="J902" s="48"/>
      <c r="K902" s="48"/>
      <c r="L902" s="43"/>
      <c r="M902" s="44"/>
      <c r="N902" s="43"/>
      <c r="O902" s="43"/>
      <c r="P902" s="44"/>
      <c r="Q902" s="43"/>
      <c r="R902" s="43"/>
      <c r="S902" s="45"/>
      <c r="T902" s="58" t="str">
        <f>IF(Tableau1[[#This Row],[DMS_SAP]]="","",HYPERLINK(Tableau1[[#This Row],[Chemin fichier source]],"X"))</f>
        <v/>
      </c>
      <c r="U902" s="58" t="str">
        <f>IF(Tableau1[[#This Row],[Date rév.]]="","",HYPERLINK(Tableau1[[#This Row],[Lien document]],"X"))</f>
        <v/>
      </c>
      <c r="V902" s="44"/>
      <c r="W902" s="46" t="str">
        <f ca="1">Chemin_accès!$B$2&amp;Tableau1[[#This Row],[Poste Responsable]]&amp;"\"&amp;Tableau1[[#This Row],[Localisation / Classement]]&amp;"\"&amp;Tableau1[[#This Row],[Poste technique]]&amp;"_"&amp;Tableau1[[#This Row],[Plan Entretien]]&amp;".pdf"</f>
        <v>\\stjn.local\trimet\Donnees_Projets\Dms Sap\Maintenance\PlanEntretien\7.MNRJ\\_.pdf</v>
      </c>
      <c r="X902" s="44"/>
      <c r="Y902" s="44"/>
      <c r="Z902" s="41" t="str">
        <f ca="1">IF(AND(Tableau1[[#This Row],[Charge]]&lt;&gt;0, Tableau1[[#This Row],[Nombre intervenants]]&lt;&gt;0,Tableau1[[#This Row],[Lien document]]&lt;&gt;0,Tableau1[[#This Row],[DMS_SAP]]&lt;&gt;0)=TRUE,"MIS A JOUR","")</f>
        <v/>
      </c>
      <c r="AA902" s="45"/>
      <c r="AB902" s="55" t="str">
        <f ca="1">IF(Tableau1[[#This Row],[Date rév.]]&lt;&gt;"", DAYS360(Tableau1[[#This Row],[Date rév.]],TODAY()),"")</f>
        <v/>
      </c>
      <c r="AC902" s="47">
        <f>IFERROR(INDEX(Chemin_accès!$B$11:$C$22,MATCH(Tableau1[[#This Row],[Type]],Chemin_accès!$C$11:$C$22,0),1),Chemin_accès!$B$11)</f>
        <v>0</v>
      </c>
      <c r="AD902" s="47" t="str">
        <f>Chemin_accès!$B$8&amp;Tableau1[[#This Row],[Localisation / Classement]]&amp;"\"&amp;Tableau1[[#This Row],[Poste technique]]&amp;"_"&amp;Tableau1[[#This Row],[Plan Entretien]]&amp;".xlsm"</f>
        <v>\_.xlsm</v>
      </c>
    </row>
    <row r="903" spans="1:30" x14ac:dyDescent="0.3">
      <c r="A903" s="41" t="str">
        <f t="shared" ca="1" si="14"/>
        <v>7.MNRJ</v>
      </c>
      <c r="B90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3" s="43"/>
      <c r="D903" s="41"/>
      <c r="E903" s="41"/>
      <c r="F903" s="44"/>
      <c r="G903" s="44"/>
      <c r="H903" s="48"/>
      <c r="I903" s="48"/>
      <c r="J903" s="48"/>
      <c r="K903" s="48"/>
      <c r="L903" s="43"/>
      <c r="M903" s="44"/>
      <c r="N903" s="43"/>
      <c r="O903" s="43"/>
      <c r="P903" s="44"/>
      <c r="Q903" s="43"/>
      <c r="R903" s="43"/>
      <c r="S903" s="45"/>
      <c r="T903" s="58" t="str">
        <f>IF(Tableau1[[#This Row],[DMS_SAP]]="","",HYPERLINK(Tableau1[[#This Row],[Chemin fichier source]],"X"))</f>
        <v/>
      </c>
      <c r="U903" s="58" t="str">
        <f>IF(Tableau1[[#This Row],[Date rév.]]="","",HYPERLINK(Tableau1[[#This Row],[Lien document]],"X"))</f>
        <v/>
      </c>
      <c r="V903" s="44"/>
      <c r="W903" s="46" t="str">
        <f ca="1">Chemin_accès!$B$2&amp;Tableau1[[#This Row],[Poste Responsable]]&amp;"\"&amp;Tableau1[[#This Row],[Localisation / Classement]]&amp;"\"&amp;Tableau1[[#This Row],[Poste technique]]&amp;"_"&amp;Tableau1[[#This Row],[Plan Entretien]]&amp;".pdf"</f>
        <v>\\stjn.local\trimet\Donnees_Projets\Dms Sap\Maintenance\PlanEntretien\7.MNRJ\\_.pdf</v>
      </c>
      <c r="X903" s="44"/>
      <c r="Y903" s="44"/>
      <c r="Z903" s="41" t="str">
        <f ca="1">IF(AND(Tableau1[[#This Row],[Charge]]&lt;&gt;0, Tableau1[[#This Row],[Nombre intervenants]]&lt;&gt;0,Tableau1[[#This Row],[Lien document]]&lt;&gt;0,Tableau1[[#This Row],[DMS_SAP]]&lt;&gt;0)=TRUE,"MIS A JOUR","")</f>
        <v/>
      </c>
      <c r="AA903" s="45"/>
      <c r="AB903" s="55" t="str">
        <f ca="1">IF(Tableau1[[#This Row],[Date rév.]]&lt;&gt;"", DAYS360(Tableau1[[#This Row],[Date rév.]],TODAY()),"")</f>
        <v/>
      </c>
      <c r="AC903" s="47">
        <f>IFERROR(INDEX(Chemin_accès!$B$11:$C$22,MATCH(Tableau1[[#This Row],[Type]],Chemin_accès!$C$11:$C$22,0),1),Chemin_accès!$B$11)</f>
        <v>0</v>
      </c>
      <c r="AD903" s="47" t="str">
        <f>Chemin_accès!$B$8&amp;Tableau1[[#This Row],[Localisation / Classement]]&amp;"\"&amp;Tableau1[[#This Row],[Poste technique]]&amp;"_"&amp;Tableau1[[#This Row],[Plan Entretien]]&amp;".xlsm"</f>
        <v>\_.xlsm</v>
      </c>
    </row>
    <row r="904" spans="1:30" x14ac:dyDescent="0.3">
      <c r="A904" s="41" t="str">
        <f t="shared" ca="1" si="14"/>
        <v>7.MNRJ</v>
      </c>
      <c r="B90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4" s="43"/>
      <c r="D904" s="41"/>
      <c r="E904" s="41"/>
      <c r="F904" s="44"/>
      <c r="G904" s="44"/>
      <c r="H904" s="48"/>
      <c r="I904" s="48"/>
      <c r="J904" s="48"/>
      <c r="K904" s="48"/>
      <c r="L904" s="43"/>
      <c r="M904" s="44"/>
      <c r="N904" s="43"/>
      <c r="O904" s="43"/>
      <c r="P904" s="44"/>
      <c r="Q904" s="43"/>
      <c r="R904" s="43"/>
      <c r="S904" s="45"/>
      <c r="T904" s="58" t="str">
        <f>IF(Tableau1[[#This Row],[DMS_SAP]]="","",HYPERLINK(Tableau1[[#This Row],[Chemin fichier source]],"X"))</f>
        <v/>
      </c>
      <c r="U904" s="58" t="str">
        <f>IF(Tableau1[[#This Row],[Date rév.]]="","",HYPERLINK(Tableau1[[#This Row],[Lien document]],"X"))</f>
        <v/>
      </c>
      <c r="V904" s="44"/>
      <c r="W904" s="46" t="str">
        <f ca="1">Chemin_accès!$B$2&amp;Tableau1[[#This Row],[Poste Responsable]]&amp;"\"&amp;Tableau1[[#This Row],[Localisation / Classement]]&amp;"\"&amp;Tableau1[[#This Row],[Poste technique]]&amp;"_"&amp;Tableau1[[#This Row],[Plan Entretien]]&amp;".pdf"</f>
        <v>\\stjn.local\trimet\Donnees_Projets\Dms Sap\Maintenance\PlanEntretien\7.MNRJ\\_.pdf</v>
      </c>
      <c r="X904" s="44"/>
      <c r="Y904" s="44"/>
      <c r="Z904" s="41" t="str">
        <f ca="1">IF(AND(Tableau1[[#This Row],[Charge]]&lt;&gt;0, Tableau1[[#This Row],[Nombre intervenants]]&lt;&gt;0,Tableau1[[#This Row],[Lien document]]&lt;&gt;0,Tableau1[[#This Row],[DMS_SAP]]&lt;&gt;0)=TRUE,"MIS A JOUR","")</f>
        <v/>
      </c>
      <c r="AA904" s="45"/>
      <c r="AB904" s="55" t="str">
        <f ca="1">IF(Tableau1[[#This Row],[Date rév.]]&lt;&gt;"", DAYS360(Tableau1[[#This Row],[Date rév.]],TODAY()),"")</f>
        <v/>
      </c>
      <c r="AC904" s="47">
        <f>IFERROR(INDEX(Chemin_accès!$B$11:$C$22,MATCH(Tableau1[[#This Row],[Type]],Chemin_accès!$C$11:$C$22,0),1),Chemin_accès!$B$11)</f>
        <v>0</v>
      </c>
      <c r="AD904" s="47" t="str">
        <f>Chemin_accès!$B$8&amp;Tableau1[[#This Row],[Localisation / Classement]]&amp;"\"&amp;Tableau1[[#This Row],[Poste technique]]&amp;"_"&amp;Tableau1[[#This Row],[Plan Entretien]]&amp;".xlsm"</f>
        <v>\_.xlsm</v>
      </c>
    </row>
    <row r="905" spans="1:30" x14ac:dyDescent="0.3">
      <c r="A905" s="41" t="str">
        <f t="shared" ca="1" si="14"/>
        <v>7.MNRJ</v>
      </c>
      <c r="B90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5" s="43"/>
      <c r="D905" s="41"/>
      <c r="E905" s="41"/>
      <c r="F905" s="44"/>
      <c r="G905" s="44"/>
      <c r="H905" s="48"/>
      <c r="I905" s="48"/>
      <c r="J905" s="48"/>
      <c r="K905" s="48"/>
      <c r="L905" s="43"/>
      <c r="M905" s="44"/>
      <c r="N905" s="43"/>
      <c r="O905" s="43"/>
      <c r="P905" s="44"/>
      <c r="Q905" s="43"/>
      <c r="R905" s="43"/>
      <c r="S905" s="45"/>
      <c r="T905" s="58" t="str">
        <f>IF(Tableau1[[#This Row],[DMS_SAP]]="","",HYPERLINK(Tableau1[[#This Row],[Chemin fichier source]],"X"))</f>
        <v/>
      </c>
      <c r="U905" s="58" t="str">
        <f>IF(Tableau1[[#This Row],[Date rév.]]="","",HYPERLINK(Tableau1[[#This Row],[Lien document]],"X"))</f>
        <v/>
      </c>
      <c r="V905" s="44"/>
      <c r="W905" s="46" t="str">
        <f ca="1">Chemin_accès!$B$2&amp;Tableau1[[#This Row],[Poste Responsable]]&amp;"\"&amp;Tableau1[[#This Row],[Localisation / Classement]]&amp;"\"&amp;Tableau1[[#This Row],[Poste technique]]&amp;"_"&amp;Tableau1[[#This Row],[Plan Entretien]]&amp;".pdf"</f>
        <v>\\stjn.local\trimet\Donnees_Projets\Dms Sap\Maintenance\PlanEntretien\7.MNRJ\\_.pdf</v>
      </c>
      <c r="X905" s="44"/>
      <c r="Y905" s="44"/>
      <c r="Z905" s="41" t="str">
        <f ca="1">IF(AND(Tableau1[[#This Row],[Charge]]&lt;&gt;0, Tableau1[[#This Row],[Nombre intervenants]]&lt;&gt;0,Tableau1[[#This Row],[Lien document]]&lt;&gt;0,Tableau1[[#This Row],[DMS_SAP]]&lt;&gt;0)=TRUE,"MIS A JOUR","")</f>
        <v/>
      </c>
      <c r="AA905" s="45"/>
      <c r="AB905" s="55" t="str">
        <f ca="1">IF(Tableau1[[#This Row],[Date rév.]]&lt;&gt;"", DAYS360(Tableau1[[#This Row],[Date rév.]],TODAY()),"")</f>
        <v/>
      </c>
      <c r="AC905" s="47">
        <f>IFERROR(INDEX(Chemin_accès!$B$11:$C$22,MATCH(Tableau1[[#This Row],[Type]],Chemin_accès!$C$11:$C$22,0),1),Chemin_accès!$B$11)</f>
        <v>0</v>
      </c>
      <c r="AD905" s="47" t="str">
        <f>Chemin_accès!$B$8&amp;Tableau1[[#This Row],[Localisation / Classement]]&amp;"\"&amp;Tableau1[[#This Row],[Poste technique]]&amp;"_"&amp;Tableau1[[#This Row],[Plan Entretien]]&amp;".xlsm"</f>
        <v>\_.xlsm</v>
      </c>
    </row>
    <row r="906" spans="1:30" x14ac:dyDescent="0.3">
      <c r="A906" s="41" t="str">
        <f t="shared" ca="1" si="14"/>
        <v>7.MNRJ</v>
      </c>
      <c r="B90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6" s="43"/>
      <c r="D906" s="41"/>
      <c r="E906" s="41"/>
      <c r="F906" s="44"/>
      <c r="G906" s="44"/>
      <c r="H906" s="48"/>
      <c r="I906" s="48"/>
      <c r="J906" s="48"/>
      <c r="K906" s="48"/>
      <c r="L906" s="43"/>
      <c r="M906" s="44"/>
      <c r="N906" s="43"/>
      <c r="O906" s="43"/>
      <c r="P906" s="44"/>
      <c r="Q906" s="43"/>
      <c r="R906" s="43"/>
      <c r="S906" s="45"/>
      <c r="T906" s="58" t="str">
        <f>IF(Tableau1[[#This Row],[DMS_SAP]]="","",HYPERLINK(Tableau1[[#This Row],[Chemin fichier source]],"X"))</f>
        <v/>
      </c>
      <c r="U906" s="58" t="str">
        <f>IF(Tableau1[[#This Row],[Date rév.]]="","",HYPERLINK(Tableau1[[#This Row],[Lien document]],"X"))</f>
        <v/>
      </c>
      <c r="V906" s="44"/>
      <c r="W906" s="46" t="str">
        <f ca="1">Chemin_accès!$B$2&amp;Tableau1[[#This Row],[Poste Responsable]]&amp;"\"&amp;Tableau1[[#This Row],[Localisation / Classement]]&amp;"\"&amp;Tableau1[[#This Row],[Poste technique]]&amp;"_"&amp;Tableau1[[#This Row],[Plan Entretien]]&amp;".pdf"</f>
        <v>\\stjn.local\trimet\Donnees_Projets\Dms Sap\Maintenance\PlanEntretien\7.MNRJ\\_.pdf</v>
      </c>
      <c r="X906" s="44"/>
      <c r="Y906" s="44"/>
      <c r="Z906" s="41" t="str">
        <f ca="1">IF(AND(Tableau1[[#This Row],[Charge]]&lt;&gt;0, Tableau1[[#This Row],[Nombre intervenants]]&lt;&gt;0,Tableau1[[#This Row],[Lien document]]&lt;&gt;0,Tableau1[[#This Row],[DMS_SAP]]&lt;&gt;0)=TRUE,"MIS A JOUR","")</f>
        <v/>
      </c>
      <c r="AA906" s="45"/>
      <c r="AB906" s="55" t="str">
        <f ca="1">IF(Tableau1[[#This Row],[Date rév.]]&lt;&gt;"", DAYS360(Tableau1[[#This Row],[Date rév.]],TODAY()),"")</f>
        <v/>
      </c>
      <c r="AC906" s="47">
        <f>IFERROR(INDEX(Chemin_accès!$B$11:$C$22,MATCH(Tableau1[[#This Row],[Type]],Chemin_accès!$C$11:$C$22,0),1),Chemin_accès!$B$11)</f>
        <v>0</v>
      </c>
      <c r="AD906" s="47" t="str">
        <f>Chemin_accès!$B$8&amp;Tableau1[[#This Row],[Localisation / Classement]]&amp;"\"&amp;Tableau1[[#This Row],[Poste technique]]&amp;"_"&amp;Tableau1[[#This Row],[Plan Entretien]]&amp;".xlsm"</f>
        <v>\_.xlsm</v>
      </c>
    </row>
    <row r="907" spans="1:30" x14ac:dyDescent="0.3">
      <c r="A907" s="41" t="str">
        <f t="shared" ca="1" si="14"/>
        <v>7.MNRJ</v>
      </c>
      <c r="B90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7" s="43"/>
      <c r="D907" s="41"/>
      <c r="E907" s="41"/>
      <c r="F907" s="44"/>
      <c r="G907" s="44"/>
      <c r="H907" s="48"/>
      <c r="I907" s="48"/>
      <c r="J907" s="48"/>
      <c r="K907" s="48"/>
      <c r="L907" s="43"/>
      <c r="M907" s="44"/>
      <c r="N907" s="43"/>
      <c r="O907" s="43"/>
      <c r="P907" s="44"/>
      <c r="Q907" s="43"/>
      <c r="R907" s="43"/>
      <c r="S907" s="45"/>
      <c r="T907" s="58" t="str">
        <f>IF(Tableau1[[#This Row],[DMS_SAP]]="","",HYPERLINK(Tableau1[[#This Row],[Chemin fichier source]],"X"))</f>
        <v/>
      </c>
      <c r="U907" s="58" t="str">
        <f>IF(Tableau1[[#This Row],[Date rév.]]="","",HYPERLINK(Tableau1[[#This Row],[Lien document]],"X"))</f>
        <v/>
      </c>
      <c r="V907" s="44"/>
      <c r="W907" s="46" t="str">
        <f ca="1">Chemin_accès!$B$2&amp;Tableau1[[#This Row],[Poste Responsable]]&amp;"\"&amp;Tableau1[[#This Row],[Localisation / Classement]]&amp;"\"&amp;Tableau1[[#This Row],[Poste technique]]&amp;"_"&amp;Tableau1[[#This Row],[Plan Entretien]]&amp;".pdf"</f>
        <v>\\stjn.local\trimet\Donnees_Projets\Dms Sap\Maintenance\PlanEntretien\7.MNRJ\\_.pdf</v>
      </c>
      <c r="X907" s="44"/>
      <c r="Y907" s="44"/>
      <c r="Z907" s="41" t="str">
        <f ca="1">IF(AND(Tableau1[[#This Row],[Charge]]&lt;&gt;0, Tableau1[[#This Row],[Nombre intervenants]]&lt;&gt;0,Tableau1[[#This Row],[Lien document]]&lt;&gt;0,Tableau1[[#This Row],[DMS_SAP]]&lt;&gt;0)=TRUE,"MIS A JOUR","")</f>
        <v/>
      </c>
      <c r="AA907" s="45"/>
      <c r="AB907" s="55" t="str">
        <f ca="1">IF(Tableau1[[#This Row],[Date rév.]]&lt;&gt;"", DAYS360(Tableau1[[#This Row],[Date rév.]],TODAY()),"")</f>
        <v/>
      </c>
      <c r="AC907" s="47">
        <f>IFERROR(INDEX(Chemin_accès!$B$11:$C$22,MATCH(Tableau1[[#This Row],[Type]],Chemin_accès!$C$11:$C$22,0),1),Chemin_accès!$B$11)</f>
        <v>0</v>
      </c>
      <c r="AD907" s="47" t="str">
        <f>Chemin_accès!$B$8&amp;Tableau1[[#This Row],[Localisation / Classement]]&amp;"\"&amp;Tableau1[[#This Row],[Poste technique]]&amp;"_"&amp;Tableau1[[#This Row],[Plan Entretien]]&amp;".xlsm"</f>
        <v>\_.xlsm</v>
      </c>
    </row>
    <row r="908" spans="1:30" x14ac:dyDescent="0.3">
      <c r="A908" s="41" t="str">
        <f t="shared" ca="1" si="14"/>
        <v>7.MNRJ</v>
      </c>
      <c r="B90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8" s="43"/>
      <c r="D908" s="41"/>
      <c r="E908" s="41"/>
      <c r="F908" s="44"/>
      <c r="G908" s="44"/>
      <c r="H908" s="48"/>
      <c r="I908" s="48"/>
      <c r="J908" s="48"/>
      <c r="K908" s="48"/>
      <c r="L908" s="43"/>
      <c r="M908" s="44"/>
      <c r="N908" s="43"/>
      <c r="O908" s="43"/>
      <c r="P908" s="44"/>
      <c r="Q908" s="43"/>
      <c r="R908" s="43"/>
      <c r="S908" s="45"/>
      <c r="T908" s="58" t="str">
        <f>IF(Tableau1[[#This Row],[DMS_SAP]]="","",HYPERLINK(Tableau1[[#This Row],[Chemin fichier source]],"X"))</f>
        <v/>
      </c>
      <c r="U908" s="58" t="str">
        <f>IF(Tableau1[[#This Row],[Date rév.]]="","",HYPERLINK(Tableau1[[#This Row],[Lien document]],"X"))</f>
        <v/>
      </c>
      <c r="V908" s="44"/>
      <c r="W908" s="46" t="str">
        <f ca="1">Chemin_accès!$B$2&amp;Tableau1[[#This Row],[Poste Responsable]]&amp;"\"&amp;Tableau1[[#This Row],[Localisation / Classement]]&amp;"\"&amp;Tableau1[[#This Row],[Poste technique]]&amp;"_"&amp;Tableau1[[#This Row],[Plan Entretien]]&amp;".pdf"</f>
        <v>\\stjn.local\trimet\Donnees_Projets\Dms Sap\Maintenance\PlanEntretien\7.MNRJ\\_.pdf</v>
      </c>
      <c r="X908" s="44"/>
      <c r="Y908" s="44"/>
      <c r="Z908" s="41" t="str">
        <f ca="1">IF(AND(Tableau1[[#This Row],[Charge]]&lt;&gt;0, Tableau1[[#This Row],[Nombre intervenants]]&lt;&gt;0,Tableau1[[#This Row],[Lien document]]&lt;&gt;0,Tableau1[[#This Row],[DMS_SAP]]&lt;&gt;0)=TRUE,"MIS A JOUR","")</f>
        <v/>
      </c>
      <c r="AA908" s="45"/>
      <c r="AB908" s="55" t="str">
        <f ca="1">IF(Tableau1[[#This Row],[Date rév.]]&lt;&gt;"", DAYS360(Tableau1[[#This Row],[Date rév.]],TODAY()),"")</f>
        <v/>
      </c>
      <c r="AC908" s="47">
        <f>IFERROR(INDEX(Chemin_accès!$B$11:$C$22,MATCH(Tableau1[[#This Row],[Type]],Chemin_accès!$C$11:$C$22,0),1),Chemin_accès!$B$11)</f>
        <v>0</v>
      </c>
      <c r="AD908" s="47" t="str">
        <f>Chemin_accès!$B$8&amp;Tableau1[[#This Row],[Localisation / Classement]]&amp;"\"&amp;Tableau1[[#This Row],[Poste technique]]&amp;"_"&amp;Tableau1[[#This Row],[Plan Entretien]]&amp;".xlsm"</f>
        <v>\_.xlsm</v>
      </c>
    </row>
    <row r="909" spans="1:30" x14ac:dyDescent="0.3">
      <c r="A909" s="41" t="str">
        <f t="shared" ca="1" si="14"/>
        <v>7.MNRJ</v>
      </c>
      <c r="B90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9" s="43"/>
      <c r="D909" s="41"/>
      <c r="E909" s="41"/>
      <c r="F909" s="44"/>
      <c r="G909" s="44"/>
      <c r="H909" s="48"/>
      <c r="I909" s="48"/>
      <c r="J909" s="48"/>
      <c r="K909" s="48"/>
      <c r="L909" s="43"/>
      <c r="M909" s="44"/>
      <c r="N909" s="43"/>
      <c r="O909" s="43"/>
      <c r="P909" s="44"/>
      <c r="Q909" s="43"/>
      <c r="R909" s="43"/>
      <c r="S909" s="45"/>
      <c r="T909" s="58" t="str">
        <f>IF(Tableau1[[#This Row],[DMS_SAP]]="","",HYPERLINK(Tableau1[[#This Row],[Chemin fichier source]],"X"))</f>
        <v/>
      </c>
      <c r="U909" s="58" t="str">
        <f>IF(Tableau1[[#This Row],[Date rév.]]="","",HYPERLINK(Tableau1[[#This Row],[Lien document]],"X"))</f>
        <v/>
      </c>
      <c r="V909" s="44"/>
      <c r="W909" s="46" t="str">
        <f ca="1">Chemin_accès!$B$2&amp;Tableau1[[#This Row],[Poste Responsable]]&amp;"\"&amp;Tableau1[[#This Row],[Localisation / Classement]]&amp;"\"&amp;Tableau1[[#This Row],[Poste technique]]&amp;"_"&amp;Tableau1[[#This Row],[Plan Entretien]]&amp;".pdf"</f>
        <v>\\stjn.local\trimet\Donnees_Projets\Dms Sap\Maintenance\PlanEntretien\7.MNRJ\\_.pdf</v>
      </c>
      <c r="X909" s="44"/>
      <c r="Y909" s="44"/>
      <c r="Z909" s="41" t="str">
        <f ca="1">IF(AND(Tableau1[[#This Row],[Charge]]&lt;&gt;0, Tableau1[[#This Row],[Nombre intervenants]]&lt;&gt;0,Tableau1[[#This Row],[Lien document]]&lt;&gt;0,Tableau1[[#This Row],[DMS_SAP]]&lt;&gt;0)=TRUE,"MIS A JOUR","")</f>
        <v/>
      </c>
      <c r="AA909" s="45"/>
      <c r="AB909" s="55" t="str">
        <f ca="1">IF(Tableau1[[#This Row],[Date rév.]]&lt;&gt;"", DAYS360(Tableau1[[#This Row],[Date rév.]],TODAY()),"")</f>
        <v/>
      </c>
      <c r="AC909" s="47">
        <f>IFERROR(INDEX(Chemin_accès!$B$11:$C$22,MATCH(Tableau1[[#This Row],[Type]],Chemin_accès!$C$11:$C$22,0),1),Chemin_accès!$B$11)</f>
        <v>0</v>
      </c>
      <c r="AD909" s="47" t="str">
        <f>Chemin_accès!$B$8&amp;Tableau1[[#This Row],[Localisation / Classement]]&amp;"\"&amp;Tableau1[[#This Row],[Poste technique]]&amp;"_"&amp;Tableau1[[#This Row],[Plan Entretien]]&amp;".xlsm"</f>
        <v>\_.xlsm</v>
      </c>
    </row>
    <row r="910" spans="1:30" x14ac:dyDescent="0.3">
      <c r="A910" s="41" t="str">
        <f t="shared" ca="1" si="14"/>
        <v>7.MNRJ</v>
      </c>
      <c r="B91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0" s="43"/>
      <c r="D910" s="41"/>
      <c r="E910" s="41"/>
      <c r="F910" s="44"/>
      <c r="G910" s="44"/>
      <c r="H910" s="48"/>
      <c r="I910" s="48"/>
      <c r="J910" s="48"/>
      <c r="K910" s="48"/>
      <c r="L910" s="43"/>
      <c r="M910" s="44"/>
      <c r="N910" s="43"/>
      <c r="O910" s="43"/>
      <c r="P910" s="44"/>
      <c r="Q910" s="43"/>
      <c r="R910" s="43"/>
      <c r="S910" s="45"/>
      <c r="T910" s="58" t="str">
        <f>IF(Tableau1[[#This Row],[DMS_SAP]]="","",HYPERLINK(Tableau1[[#This Row],[Chemin fichier source]],"X"))</f>
        <v/>
      </c>
      <c r="U910" s="58" t="str">
        <f>IF(Tableau1[[#This Row],[Date rév.]]="","",HYPERLINK(Tableau1[[#This Row],[Lien document]],"X"))</f>
        <v/>
      </c>
      <c r="V910" s="44"/>
      <c r="W910" s="46" t="str">
        <f ca="1">Chemin_accès!$B$2&amp;Tableau1[[#This Row],[Poste Responsable]]&amp;"\"&amp;Tableau1[[#This Row],[Localisation / Classement]]&amp;"\"&amp;Tableau1[[#This Row],[Poste technique]]&amp;"_"&amp;Tableau1[[#This Row],[Plan Entretien]]&amp;".pdf"</f>
        <v>\\stjn.local\trimet\Donnees_Projets\Dms Sap\Maintenance\PlanEntretien\7.MNRJ\\_.pdf</v>
      </c>
      <c r="X910" s="44"/>
      <c r="Y910" s="44"/>
      <c r="Z910" s="41" t="str">
        <f ca="1">IF(AND(Tableau1[[#This Row],[Charge]]&lt;&gt;0, Tableau1[[#This Row],[Nombre intervenants]]&lt;&gt;0,Tableau1[[#This Row],[Lien document]]&lt;&gt;0,Tableau1[[#This Row],[DMS_SAP]]&lt;&gt;0)=TRUE,"MIS A JOUR","")</f>
        <v/>
      </c>
      <c r="AA910" s="45"/>
      <c r="AB910" s="55" t="str">
        <f ca="1">IF(Tableau1[[#This Row],[Date rév.]]&lt;&gt;"", DAYS360(Tableau1[[#This Row],[Date rév.]],TODAY()),"")</f>
        <v/>
      </c>
      <c r="AC910" s="47">
        <f>IFERROR(INDEX(Chemin_accès!$B$11:$C$22,MATCH(Tableau1[[#This Row],[Type]],Chemin_accès!$C$11:$C$22,0),1),Chemin_accès!$B$11)</f>
        <v>0</v>
      </c>
      <c r="AD910" s="47" t="str">
        <f>Chemin_accès!$B$8&amp;Tableau1[[#This Row],[Localisation / Classement]]&amp;"\"&amp;Tableau1[[#This Row],[Poste technique]]&amp;"_"&amp;Tableau1[[#This Row],[Plan Entretien]]&amp;".xlsm"</f>
        <v>\_.xlsm</v>
      </c>
    </row>
    <row r="911" spans="1:30" x14ac:dyDescent="0.3">
      <c r="A911" s="41" t="str">
        <f t="shared" ca="1" si="14"/>
        <v>7.MNRJ</v>
      </c>
      <c r="B91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1" s="43"/>
      <c r="D911" s="41"/>
      <c r="E911" s="41"/>
      <c r="F911" s="44"/>
      <c r="G911" s="44"/>
      <c r="H911" s="48"/>
      <c r="I911" s="48"/>
      <c r="J911" s="48"/>
      <c r="K911" s="48"/>
      <c r="L911" s="43"/>
      <c r="M911" s="44"/>
      <c r="N911" s="43"/>
      <c r="O911" s="43"/>
      <c r="P911" s="44"/>
      <c r="Q911" s="43"/>
      <c r="R911" s="43"/>
      <c r="S911" s="45"/>
      <c r="T911" s="58" t="str">
        <f>IF(Tableau1[[#This Row],[DMS_SAP]]="","",HYPERLINK(Tableau1[[#This Row],[Chemin fichier source]],"X"))</f>
        <v/>
      </c>
      <c r="U911" s="58" t="str">
        <f>IF(Tableau1[[#This Row],[Date rév.]]="","",HYPERLINK(Tableau1[[#This Row],[Lien document]],"X"))</f>
        <v/>
      </c>
      <c r="V911" s="44"/>
      <c r="W911" s="46" t="str">
        <f ca="1">Chemin_accès!$B$2&amp;Tableau1[[#This Row],[Poste Responsable]]&amp;"\"&amp;Tableau1[[#This Row],[Localisation / Classement]]&amp;"\"&amp;Tableau1[[#This Row],[Poste technique]]&amp;"_"&amp;Tableau1[[#This Row],[Plan Entretien]]&amp;".pdf"</f>
        <v>\\stjn.local\trimet\Donnees_Projets\Dms Sap\Maintenance\PlanEntretien\7.MNRJ\\_.pdf</v>
      </c>
      <c r="X911" s="44"/>
      <c r="Y911" s="44"/>
      <c r="Z911" s="41" t="str">
        <f ca="1">IF(AND(Tableau1[[#This Row],[Charge]]&lt;&gt;0, Tableau1[[#This Row],[Nombre intervenants]]&lt;&gt;0,Tableau1[[#This Row],[Lien document]]&lt;&gt;0,Tableau1[[#This Row],[DMS_SAP]]&lt;&gt;0)=TRUE,"MIS A JOUR","")</f>
        <v/>
      </c>
      <c r="AA911" s="45"/>
      <c r="AB911" s="55" t="str">
        <f ca="1">IF(Tableau1[[#This Row],[Date rév.]]&lt;&gt;"", DAYS360(Tableau1[[#This Row],[Date rév.]],TODAY()),"")</f>
        <v/>
      </c>
      <c r="AC911" s="47">
        <f>IFERROR(INDEX(Chemin_accès!$B$11:$C$22,MATCH(Tableau1[[#This Row],[Type]],Chemin_accès!$C$11:$C$22,0),1),Chemin_accès!$B$11)</f>
        <v>0</v>
      </c>
      <c r="AD911" s="47" t="str">
        <f>Chemin_accès!$B$8&amp;Tableau1[[#This Row],[Localisation / Classement]]&amp;"\"&amp;Tableau1[[#This Row],[Poste technique]]&amp;"_"&amp;Tableau1[[#This Row],[Plan Entretien]]&amp;".xlsm"</f>
        <v>\_.xlsm</v>
      </c>
    </row>
    <row r="912" spans="1:30" x14ac:dyDescent="0.3">
      <c r="A912" s="41" t="str">
        <f t="shared" ca="1" si="14"/>
        <v>7.MNRJ</v>
      </c>
      <c r="B91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2" s="43"/>
      <c r="D912" s="41"/>
      <c r="E912" s="41"/>
      <c r="F912" s="44"/>
      <c r="G912" s="44"/>
      <c r="H912" s="48"/>
      <c r="I912" s="48"/>
      <c r="J912" s="48"/>
      <c r="K912" s="48"/>
      <c r="L912" s="43"/>
      <c r="M912" s="44"/>
      <c r="N912" s="43"/>
      <c r="O912" s="43"/>
      <c r="P912" s="44"/>
      <c r="Q912" s="43"/>
      <c r="R912" s="43"/>
      <c r="S912" s="45"/>
      <c r="T912" s="58" t="str">
        <f>IF(Tableau1[[#This Row],[DMS_SAP]]="","",HYPERLINK(Tableau1[[#This Row],[Chemin fichier source]],"X"))</f>
        <v/>
      </c>
      <c r="U912" s="58" t="str">
        <f>IF(Tableau1[[#This Row],[Date rév.]]="","",HYPERLINK(Tableau1[[#This Row],[Lien document]],"X"))</f>
        <v/>
      </c>
      <c r="V912" s="44"/>
      <c r="W912" s="46" t="str">
        <f ca="1">Chemin_accès!$B$2&amp;Tableau1[[#This Row],[Poste Responsable]]&amp;"\"&amp;Tableau1[[#This Row],[Localisation / Classement]]&amp;"\"&amp;Tableau1[[#This Row],[Poste technique]]&amp;"_"&amp;Tableau1[[#This Row],[Plan Entretien]]&amp;".pdf"</f>
        <v>\\stjn.local\trimet\Donnees_Projets\Dms Sap\Maintenance\PlanEntretien\7.MNRJ\\_.pdf</v>
      </c>
      <c r="X912" s="44"/>
      <c r="Y912" s="44"/>
      <c r="Z912" s="41" t="str">
        <f ca="1">IF(AND(Tableau1[[#This Row],[Charge]]&lt;&gt;0, Tableau1[[#This Row],[Nombre intervenants]]&lt;&gt;0,Tableau1[[#This Row],[Lien document]]&lt;&gt;0,Tableau1[[#This Row],[DMS_SAP]]&lt;&gt;0)=TRUE,"MIS A JOUR","")</f>
        <v/>
      </c>
      <c r="AA912" s="45"/>
      <c r="AB912" s="55" t="str">
        <f ca="1">IF(Tableau1[[#This Row],[Date rév.]]&lt;&gt;"", DAYS360(Tableau1[[#This Row],[Date rév.]],TODAY()),"")</f>
        <v/>
      </c>
      <c r="AC912" s="47">
        <f>IFERROR(INDEX(Chemin_accès!$B$11:$C$22,MATCH(Tableau1[[#This Row],[Type]],Chemin_accès!$C$11:$C$22,0),1),Chemin_accès!$B$11)</f>
        <v>0</v>
      </c>
      <c r="AD912" s="47" t="str">
        <f>Chemin_accès!$B$8&amp;Tableau1[[#This Row],[Localisation / Classement]]&amp;"\"&amp;Tableau1[[#This Row],[Poste technique]]&amp;"_"&amp;Tableau1[[#This Row],[Plan Entretien]]&amp;".xlsm"</f>
        <v>\_.xlsm</v>
      </c>
    </row>
    <row r="913" spans="1:30" x14ac:dyDescent="0.3">
      <c r="A913" s="41" t="str">
        <f t="shared" ca="1" si="14"/>
        <v>7.MNRJ</v>
      </c>
      <c r="B91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3" s="43"/>
      <c r="D913" s="41"/>
      <c r="E913" s="41"/>
      <c r="F913" s="44"/>
      <c r="G913" s="44"/>
      <c r="H913" s="48"/>
      <c r="I913" s="48"/>
      <c r="J913" s="48"/>
      <c r="K913" s="48"/>
      <c r="L913" s="43"/>
      <c r="M913" s="44"/>
      <c r="N913" s="43"/>
      <c r="O913" s="43"/>
      <c r="P913" s="44"/>
      <c r="Q913" s="43"/>
      <c r="R913" s="43"/>
      <c r="S913" s="45"/>
      <c r="T913" s="58" t="str">
        <f>IF(Tableau1[[#This Row],[DMS_SAP]]="","",HYPERLINK(Tableau1[[#This Row],[Chemin fichier source]],"X"))</f>
        <v/>
      </c>
      <c r="U913" s="58" t="str">
        <f>IF(Tableau1[[#This Row],[Date rév.]]="","",HYPERLINK(Tableau1[[#This Row],[Lien document]],"X"))</f>
        <v/>
      </c>
      <c r="V913" s="44"/>
      <c r="W913" s="46" t="str">
        <f ca="1">Chemin_accès!$B$2&amp;Tableau1[[#This Row],[Poste Responsable]]&amp;"\"&amp;Tableau1[[#This Row],[Localisation / Classement]]&amp;"\"&amp;Tableau1[[#This Row],[Poste technique]]&amp;"_"&amp;Tableau1[[#This Row],[Plan Entretien]]&amp;".pdf"</f>
        <v>\\stjn.local\trimet\Donnees_Projets\Dms Sap\Maintenance\PlanEntretien\7.MNRJ\\_.pdf</v>
      </c>
      <c r="X913" s="44"/>
      <c r="Y913" s="44"/>
      <c r="Z913" s="41" t="str">
        <f ca="1">IF(AND(Tableau1[[#This Row],[Charge]]&lt;&gt;0, Tableau1[[#This Row],[Nombre intervenants]]&lt;&gt;0,Tableau1[[#This Row],[Lien document]]&lt;&gt;0,Tableau1[[#This Row],[DMS_SAP]]&lt;&gt;0)=TRUE,"MIS A JOUR","")</f>
        <v/>
      </c>
      <c r="AA913" s="45"/>
      <c r="AB913" s="55" t="str">
        <f ca="1">IF(Tableau1[[#This Row],[Date rév.]]&lt;&gt;"", DAYS360(Tableau1[[#This Row],[Date rév.]],TODAY()),"")</f>
        <v/>
      </c>
      <c r="AC913" s="47">
        <f>IFERROR(INDEX(Chemin_accès!$B$11:$C$22,MATCH(Tableau1[[#This Row],[Type]],Chemin_accès!$C$11:$C$22,0),1),Chemin_accès!$B$11)</f>
        <v>0</v>
      </c>
      <c r="AD913" s="47" t="str">
        <f>Chemin_accès!$B$8&amp;Tableau1[[#This Row],[Localisation / Classement]]&amp;"\"&amp;Tableau1[[#This Row],[Poste technique]]&amp;"_"&amp;Tableau1[[#This Row],[Plan Entretien]]&amp;".xlsm"</f>
        <v>\_.xlsm</v>
      </c>
    </row>
    <row r="914" spans="1:30" x14ac:dyDescent="0.3">
      <c r="A914" s="41" t="str">
        <f t="shared" ca="1" si="14"/>
        <v>7.MNRJ</v>
      </c>
      <c r="B91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4" s="43"/>
      <c r="D914" s="41"/>
      <c r="E914" s="41"/>
      <c r="F914" s="44"/>
      <c r="G914" s="44"/>
      <c r="H914" s="48"/>
      <c r="I914" s="48"/>
      <c r="J914" s="48"/>
      <c r="K914" s="48"/>
      <c r="L914" s="43"/>
      <c r="M914" s="44"/>
      <c r="N914" s="43"/>
      <c r="O914" s="43"/>
      <c r="P914" s="44"/>
      <c r="Q914" s="43"/>
      <c r="R914" s="43"/>
      <c r="S914" s="45"/>
      <c r="T914" s="58" t="str">
        <f>IF(Tableau1[[#This Row],[DMS_SAP]]="","",HYPERLINK(Tableau1[[#This Row],[Chemin fichier source]],"X"))</f>
        <v/>
      </c>
      <c r="U914" s="58" t="str">
        <f>IF(Tableau1[[#This Row],[Date rév.]]="","",HYPERLINK(Tableau1[[#This Row],[Lien document]],"X"))</f>
        <v/>
      </c>
      <c r="V914" s="44"/>
      <c r="W914" s="46" t="str">
        <f ca="1">Chemin_accès!$B$2&amp;Tableau1[[#This Row],[Poste Responsable]]&amp;"\"&amp;Tableau1[[#This Row],[Localisation / Classement]]&amp;"\"&amp;Tableau1[[#This Row],[Poste technique]]&amp;"_"&amp;Tableau1[[#This Row],[Plan Entretien]]&amp;".pdf"</f>
        <v>\\stjn.local\trimet\Donnees_Projets\Dms Sap\Maintenance\PlanEntretien\7.MNRJ\\_.pdf</v>
      </c>
      <c r="X914" s="44"/>
      <c r="Y914" s="44"/>
      <c r="Z914" s="41" t="str">
        <f ca="1">IF(AND(Tableau1[[#This Row],[Charge]]&lt;&gt;0, Tableau1[[#This Row],[Nombre intervenants]]&lt;&gt;0,Tableau1[[#This Row],[Lien document]]&lt;&gt;0,Tableau1[[#This Row],[DMS_SAP]]&lt;&gt;0)=TRUE,"MIS A JOUR","")</f>
        <v/>
      </c>
      <c r="AA914" s="45"/>
      <c r="AB914" s="55" t="str">
        <f ca="1">IF(Tableau1[[#This Row],[Date rév.]]&lt;&gt;"", DAYS360(Tableau1[[#This Row],[Date rév.]],TODAY()),"")</f>
        <v/>
      </c>
      <c r="AC914" s="47">
        <f>IFERROR(INDEX(Chemin_accès!$B$11:$C$22,MATCH(Tableau1[[#This Row],[Type]],Chemin_accès!$C$11:$C$22,0),1),Chemin_accès!$B$11)</f>
        <v>0</v>
      </c>
      <c r="AD914" s="47" t="str">
        <f>Chemin_accès!$B$8&amp;Tableau1[[#This Row],[Localisation / Classement]]&amp;"\"&amp;Tableau1[[#This Row],[Poste technique]]&amp;"_"&amp;Tableau1[[#This Row],[Plan Entretien]]&amp;".xlsm"</f>
        <v>\_.xlsm</v>
      </c>
    </row>
    <row r="915" spans="1:30" x14ac:dyDescent="0.3">
      <c r="A915" s="41" t="str">
        <f t="shared" ca="1" si="14"/>
        <v>7.MNRJ</v>
      </c>
      <c r="B91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5" s="43"/>
      <c r="D915" s="41"/>
      <c r="E915" s="41"/>
      <c r="F915" s="44"/>
      <c r="G915" s="44"/>
      <c r="H915" s="48"/>
      <c r="I915" s="48"/>
      <c r="J915" s="48"/>
      <c r="K915" s="48"/>
      <c r="L915" s="43"/>
      <c r="M915" s="44"/>
      <c r="N915" s="43"/>
      <c r="O915" s="43"/>
      <c r="P915" s="44"/>
      <c r="Q915" s="43"/>
      <c r="R915" s="43"/>
      <c r="S915" s="45"/>
      <c r="T915" s="58" t="str">
        <f>IF(Tableau1[[#This Row],[DMS_SAP]]="","",HYPERLINK(Tableau1[[#This Row],[Chemin fichier source]],"X"))</f>
        <v/>
      </c>
      <c r="U915" s="58" t="str">
        <f>IF(Tableau1[[#This Row],[Date rév.]]="","",HYPERLINK(Tableau1[[#This Row],[Lien document]],"X"))</f>
        <v/>
      </c>
      <c r="V915" s="44"/>
      <c r="W915" s="46" t="str">
        <f ca="1">Chemin_accès!$B$2&amp;Tableau1[[#This Row],[Poste Responsable]]&amp;"\"&amp;Tableau1[[#This Row],[Localisation / Classement]]&amp;"\"&amp;Tableau1[[#This Row],[Poste technique]]&amp;"_"&amp;Tableau1[[#This Row],[Plan Entretien]]&amp;".pdf"</f>
        <v>\\stjn.local\trimet\Donnees_Projets\Dms Sap\Maintenance\PlanEntretien\7.MNRJ\\_.pdf</v>
      </c>
      <c r="X915" s="44"/>
      <c r="Y915" s="44"/>
      <c r="Z915" s="41" t="str">
        <f ca="1">IF(AND(Tableau1[[#This Row],[Charge]]&lt;&gt;0, Tableau1[[#This Row],[Nombre intervenants]]&lt;&gt;0,Tableau1[[#This Row],[Lien document]]&lt;&gt;0,Tableau1[[#This Row],[DMS_SAP]]&lt;&gt;0)=TRUE,"MIS A JOUR","")</f>
        <v/>
      </c>
      <c r="AA915" s="45"/>
      <c r="AB915" s="55" t="str">
        <f ca="1">IF(Tableau1[[#This Row],[Date rév.]]&lt;&gt;"", DAYS360(Tableau1[[#This Row],[Date rév.]],TODAY()),"")</f>
        <v/>
      </c>
      <c r="AC915" s="47">
        <f>IFERROR(INDEX(Chemin_accès!$B$11:$C$22,MATCH(Tableau1[[#This Row],[Type]],Chemin_accès!$C$11:$C$22,0),1),Chemin_accès!$B$11)</f>
        <v>0</v>
      </c>
      <c r="AD915" s="47" t="str">
        <f>Chemin_accès!$B$8&amp;Tableau1[[#This Row],[Localisation / Classement]]&amp;"\"&amp;Tableau1[[#This Row],[Poste technique]]&amp;"_"&amp;Tableau1[[#This Row],[Plan Entretien]]&amp;".xlsm"</f>
        <v>\_.xlsm</v>
      </c>
    </row>
    <row r="916" spans="1:30" x14ac:dyDescent="0.3">
      <c r="A916" s="41" t="str">
        <f t="shared" ca="1" si="14"/>
        <v>7.MNRJ</v>
      </c>
      <c r="B91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6" s="43"/>
      <c r="D916" s="41"/>
      <c r="E916" s="41"/>
      <c r="F916" s="44"/>
      <c r="G916" s="44"/>
      <c r="H916" s="48"/>
      <c r="I916" s="48"/>
      <c r="J916" s="48"/>
      <c r="K916" s="48"/>
      <c r="L916" s="43"/>
      <c r="M916" s="44"/>
      <c r="N916" s="43"/>
      <c r="O916" s="43"/>
      <c r="P916" s="44"/>
      <c r="Q916" s="43"/>
      <c r="R916" s="43"/>
      <c r="S916" s="45"/>
      <c r="T916" s="58" t="str">
        <f>IF(Tableau1[[#This Row],[DMS_SAP]]="","",HYPERLINK(Tableau1[[#This Row],[Chemin fichier source]],"X"))</f>
        <v/>
      </c>
      <c r="U916" s="58" t="str">
        <f>IF(Tableau1[[#This Row],[Date rév.]]="","",HYPERLINK(Tableau1[[#This Row],[Lien document]],"X"))</f>
        <v/>
      </c>
      <c r="V916" s="44"/>
      <c r="W916" s="46" t="str">
        <f ca="1">Chemin_accès!$B$2&amp;Tableau1[[#This Row],[Poste Responsable]]&amp;"\"&amp;Tableau1[[#This Row],[Localisation / Classement]]&amp;"\"&amp;Tableau1[[#This Row],[Poste technique]]&amp;"_"&amp;Tableau1[[#This Row],[Plan Entretien]]&amp;".pdf"</f>
        <v>\\stjn.local\trimet\Donnees_Projets\Dms Sap\Maintenance\PlanEntretien\7.MNRJ\\_.pdf</v>
      </c>
      <c r="X916" s="44"/>
      <c r="Y916" s="44"/>
      <c r="Z916" s="41" t="str">
        <f ca="1">IF(AND(Tableau1[[#This Row],[Charge]]&lt;&gt;0, Tableau1[[#This Row],[Nombre intervenants]]&lt;&gt;0,Tableau1[[#This Row],[Lien document]]&lt;&gt;0,Tableau1[[#This Row],[DMS_SAP]]&lt;&gt;0)=TRUE,"MIS A JOUR","")</f>
        <v/>
      </c>
      <c r="AA916" s="45"/>
      <c r="AB916" s="55" t="str">
        <f ca="1">IF(Tableau1[[#This Row],[Date rév.]]&lt;&gt;"", DAYS360(Tableau1[[#This Row],[Date rév.]],TODAY()),"")</f>
        <v/>
      </c>
      <c r="AC916" s="47">
        <f>IFERROR(INDEX(Chemin_accès!$B$11:$C$22,MATCH(Tableau1[[#This Row],[Type]],Chemin_accès!$C$11:$C$22,0),1),Chemin_accès!$B$11)</f>
        <v>0</v>
      </c>
      <c r="AD916" s="47" t="str">
        <f>Chemin_accès!$B$8&amp;Tableau1[[#This Row],[Localisation / Classement]]&amp;"\"&amp;Tableau1[[#This Row],[Poste technique]]&amp;"_"&amp;Tableau1[[#This Row],[Plan Entretien]]&amp;".xlsm"</f>
        <v>\_.xlsm</v>
      </c>
    </row>
    <row r="917" spans="1:30" x14ac:dyDescent="0.3">
      <c r="A917" s="41" t="str">
        <f t="shared" ca="1" si="14"/>
        <v>7.MNRJ</v>
      </c>
      <c r="B91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7" s="43"/>
      <c r="D917" s="41"/>
      <c r="E917" s="41"/>
      <c r="F917" s="44"/>
      <c r="G917" s="44"/>
      <c r="H917" s="48"/>
      <c r="I917" s="48"/>
      <c r="J917" s="48"/>
      <c r="K917" s="48"/>
      <c r="L917" s="43"/>
      <c r="M917" s="44"/>
      <c r="N917" s="43"/>
      <c r="O917" s="43"/>
      <c r="P917" s="44"/>
      <c r="Q917" s="43"/>
      <c r="R917" s="43"/>
      <c r="S917" s="45"/>
      <c r="T917" s="58" t="str">
        <f>IF(Tableau1[[#This Row],[DMS_SAP]]="","",HYPERLINK(Tableau1[[#This Row],[Chemin fichier source]],"X"))</f>
        <v/>
      </c>
      <c r="U917" s="58" t="str">
        <f>IF(Tableau1[[#This Row],[Date rév.]]="","",HYPERLINK(Tableau1[[#This Row],[Lien document]],"X"))</f>
        <v/>
      </c>
      <c r="V917" s="44"/>
      <c r="W917" s="46" t="str">
        <f ca="1">Chemin_accès!$B$2&amp;Tableau1[[#This Row],[Poste Responsable]]&amp;"\"&amp;Tableau1[[#This Row],[Localisation / Classement]]&amp;"\"&amp;Tableau1[[#This Row],[Poste technique]]&amp;"_"&amp;Tableau1[[#This Row],[Plan Entretien]]&amp;".pdf"</f>
        <v>\\stjn.local\trimet\Donnees_Projets\Dms Sap\Maintenance\PlanEntretien\7.MNRJ\\_.pdf</v>
      </c>
      <c r="X917" s="44"/>
      <c r="Y917" s="44"/>
      <c r="Z917" s="41" t="str">
        <f ca="1">IF(AND(Tableau1[[#This Row],[Charge]]&lt;&gt;0, Tableau1[[#This Row],[Nombre intervenants]]&lt;&gt;0,Tableau1[[#This Row],[Lien document]]&lt;&gt;0,Tableau1[[#This Row],[DMS_SAP]]&lt;&gt;0)=TRUE,"MIS A JOUR","")</f>
        <v/>
      </c>
      <c r="AA917" s="45"/>
      <c r="AB917" s="55" t="str">
        <f ca="1">IF(Tableau1[[#This Row],[Date rév.]]&lt;&gt;"", DAYS360(Tableau1[[#This Row],[Date rév.]],TODAY()),"")</f>
        <v/>
      </c>
      <c r="AC917" s="47">
        <f>IFERROR(INDEX(Chemin_accès!$B$11:$C$22,MATCH(Tableau1[[#This Row],[Type]],Chemin_accès!$C$11:$C$22,0),1),Chemin_accès!$B$11)</f>
        <v>0</v>
      </c>
      <c r="AD917" s="47" t="str">
        <f>Chemin_accès!$B$8&amp;Tableau1[[#This Row],[Localisation / Classement]]&amp;"\"&amp;Tableau1[[#This Row],[Poste technique]]&amp;"_"&amp;Tableau1[[#This Row],[Plan Entretien]]&amp;".xlsm"</f>
        <v>\_.xlsm</v>
      </c>
    </row>
    <row r="918" spans="1:30" x14ac:dyDescent="0.3">
      <c r="A918" s="41" t="str">
        <f t="shared" ca="1" si="14"/>
        <v>7.MNRJ</v>
      </c>
      <c r="B91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8" s="43"/>
      <c r="D918" s="41"/>
      <c r="E918" s="41"/>
      <c r="F918" s="44"/>
      <c r="G918" s="44"/>
      <c r="H918" s="48"/>
      <c r="I918" s="48"/>
      <c r="J918" s="48"/>
      <c r="K918" s="48"/>
      <c r="L918" s="43"/>
      <c r="M918" s="44"/>
      <c r="N918" s="43"/>
      <c r="O918" s="43"/>
      <c r="P918" s="44"/>
      <c r="Q918" s="43"/>
      <c r="R918" s="43"/>
      <c r="S918" s="45"/>
      <c r="T918" s="58" t="str">
        <f>IF(Tableau1[[#This Row],[DMS_SAP]]="","",HYPERLINK(Tableau1[[#This Row],[Chemin fichier source]],"X"))</f>
        <v/>
      </c>
      <c r="U918" s="58" t="str">
        <f>IF(Tableau1[[#This Row],[Date rév.]]="","",HYPERLINK(Tableau1[[#This Row],[Lien document]],"X"))</f>
        <v/>
      </c>
      <c r="V918" s="44"/>
      <c r="W918" s="46" t="str">
        <f ca="1">Chemin_accès!$B$2&amp;Tableau1[[#This Row],[Poste Responsable]]&amp;"\"&amp;Tableau1[[#This Row],[Localisation / Classement]]&amp;"\"&amp;Tableau1[[#This Row],[Poste technique]]&amp;"_"&amp;Tableau1[[#This Row],[Plan Entretien]]&amp;".pdf"</f>
        <v>\\stjn.local\trimet\Donnees_Projets\Dms Sap\Maintenance\PlanEntretien\7.MNRJ\\_.pdf</v>
      </c>
      <c r="X918" s="44"/>
      <c r="Y918" s="44"/>
      <c r="Z918" s="41" t="str">
        <f ca="1">IF(AND(Tableau1[[#This Row],[Charge]]&lt;&gt;0, Tableau1[[#This Row],[Nombre intervenants]]&lt;&gt;0,Tableau1[[#This Row],[Lien document]]&lt;&gt;0,Tableau1[[#This Row],[DMS_SAP]]&lt;&gt;0)=TRUE,"MIS A JOUR","")</f>
        <v/>
      </c>
      <c r="AA918" s="45"/>
      <c r="AB918" s="55" t="str">
        <f ca="1">IF(Tableau1[[#This Row],[Date rév.]]&lt;&gt;"", DAYS360(Tableau1[[#This Row],[Date rév.]],TODAY()),"")</f>
        <v/>
      </c>
      <c r="AC918" s="47">
        <f>IFERROR(INDEX(Chemin_accès!$B$11:$C$22,MATCH(Tableau1[[#This Row],[Type]],Chemin_accès!$C$11:$C$22,0),1),Chemin_accès!$B$11)</f>
        <v>0</v>
      </c>
      <c r="AD918" s="47" t="str">
        <f>Chemin_accès!$B$8&amp;Tableau1[[#This Row],[Localisation / Classement]]&amp;"\"&amp;Tableau1[[#This Row],[Poste technique]]&amp;"_"&amp;Tableau1[[#This Row],[Plan Entretien]]&amp;".xlsm"</f>
        <v>\_.xlsm</v>
      </c>
    </row>
    <row r="919" spans="1:30" x14ac:dyDescent="0.3">
      <c r="A919" s="41" t="str">
        <f t="shared" ca="1" si="14"/>
        <v>7.MNRJ</v>
      </c>
      <c r="B91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9" s="43"/>
      <c r="D919" s="41"/>
      <c r="E919" s="41"/>
      <c r="F919" s="44"/>
      <c r="G919" s="44"/>
      <c r="H919" s="48"/>
      <c r="I919" s="48"/>
      <c r="J919" s="48"/>
      <c r="K919" s="48"/>
      <c r="L919" s="43"/>
      <c r="M919" s="44"/>
      <c r="N919" s="43"/>
      <c r="O919" s="43"/>
      <c r="P919" s="44"/>
      <c r="Q919" s="43"/>
      <c r="R919" s="43"/>
      <c r="S919" s="45"/>
      <c r="T919" s="58" t="str">
        <f>IF(Tableau1[[#This Row],[DMS_SAP]]="","",HYPERLINK(Tableau1[[#This Row],[Chemin fichier source]],"X"))</f>
        <v/>
      </c>
      <c r="U919" s="58" t="str">
        <f>IF(Tableau1[[#This Row],[Date rév.]]="","",HYPERLINK(Tableau1[[#This Row],[Lien document]],"X"))</f>
        <v/>
      </c>
      <c r="V919" s="44"/>
      <c r="W919" s="46" t="str">
        <f ca="1">Chemin_accès!$B$2&amp;Tableau1[[#This Row],[Poste Responsable]]&amp;"\"&amp;Tableau1[[#This Row],[Localisation / Classement]]&amp;"\"&amp;Tableau1[[#This Row],[Poste technique]]&amp;"_"&amp;Tableau1[[#This Row],[Plan Entretien]]&amp;".pdf"</f>
        <v>\\stjn.local\trimet\Donnees_Projets\Dms Sap\Maintenance\PlanEntretien\7.MNRJ\\_.pdf</v>
      </c>
      <c r="X919" s="44"/>
      <c r="Y919" s="44"/>
      <c r="Z919" s="41" t="str">
        <f ca="1">IF(AND(Tableau1[[#This Row],[Charge]]&lt;&gt;0, Tableau1[[#This Row],[Nombre intervenants]]&lt;&gt;0,Tableau1[[#This Row],[Lien document]]&lt;&gt;0,Tableau1[[#This Row],[DMS_SAP]]&lt;&gt;0)=TRUE,"MIS A JOUR","")</f>
        <v/>
      </c>
      <c r="AA919" s="45"/>
      <c r="AB919" s="55" t="str">
        <f ca="1">IF(Tableau1[[#This Row],[Date rév.]]&lt;&gt;"", DAYS360(Tableau1[[#This Row],[Date rév.]],TODAY()),"")</f>
        <v/>
      </c>
      <c r="AC919" s="47">
        <f>IFERROR(INDEX(Chemin_accès!$B$11:$C$22,MATCH(Tableau1[[#This Row],[Type]],Chemin_accès!$C$11:$C$22,0),1),Chemin_accès!$B$11)</f>
        <v>0</v>
      </c>
      <c r="AD919" s="47" t="str">
        <f>Chemin_accès!$B$8&amp;Tableau1[[#This Row],[Localisation / Classement]]&amp;"\"&amp;Tableau1[[#This Row],[Poste technique]]&amp;"_"&amp;Tableau1[[#This Row],[Plan Entretien]]&amp;".xlsm"</f>
        <v>\_.xlsm</v>
      </c>
    </row>
    <row r="920" spans="1:30" x14ac:dyDescent="0.3">
      <c r="A920" s="41" t="str">
        <f t="shared" ca="1" si="14"/>
        <v>7.MNRJ</v>
      </c>
      <c r="B92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0" s="43"/>
      <c r="D920" s="41"/>
      <c r="E920" s="41"/>
      <c r="F920" s="44"/>
      <c r="G920" s="44"/>
      <c r="H920" s="48"/>
      <c r="I920" s="48"/>
      <c r="J920" s="48"/>
      <c r="K920" s="48"/>
      <c r="L920" s="43"/>
      <c r="M920" s="44"/>
      <c r="N920" s="43"/>
      <c r="O920" s="43"/>
      <c r="P920" s="44"/>
      <c r="Q920" s="43"/>
      <c r="R920" s="43"/>
      <c r="S920" s="45"/>
      <c r="T920" s="58" t="str">
        <f>IF(Tableau1[[#This Row],[DMS_SAP]]="","",HYPERLINK(Tableau1[[#This Row],[Chemin fichier source]],"X"))</f>
        <v/>
      </c>
      <c r="U920" s="58" t="str">
        <f>IF(Tableau1[[#This Row],[Date rév.]]="","",HYPERLINK(Tableau1[[#This Row],[Lien document]],"X"))</f>
        <v/>
      </c>
      <c r="V920" s="44"/>
      <c r="W920" s="46" t="str">
        <f ca="1">Chemin_accès!$B$2&amp;Tableau1[[#This Row],[Poste Responsable]]&amp;"\"&amp;Tableau1[[#This Row],[Localisation / Classement]]&amp;"\"&amp;Tableau1[[#This Row],[Poste technique]]&amp;"_"&amp;Tableau1[[#This Row],[Plan Entretien]]&amp;".pdf"</f>
        <v>\\stjn.local\trimet\Donnees_Projets\Dms Sap\Maintenance\PlanEntretien\7.MNRJ\\_.pdf</v>
      </c>
      <c r="X920" s="44"/>
      <c r="Y920" s="44"/>
      <c r="Z920" s="41" t="str">
        <f ca="1">IF(AND(Tableau1[[#This Row],[Charge]]&lt;&gt;0, Tableau1[[#This Row],[Nombre intervenants]]&lt;&gt;0,Tableau1[[#This Row],[Lien document]]&lt;&gt;0,Tableau1[[#This Row],[DMS_SAP]]&lt;&gt;0)=TRUE,"MIS A JOUR","")</f>
        <v/>
      </c>
      <c r="AA920" s="45"/>
      <c r="AB920" s="55" t="str">
        <f ca="1">IF(Tableau1[[#This Row],[Date rév.]]&lt;&gt;"", DAYS360(Tableau1[[#This Row],[Date rév.]],TODAY()),"")</f>
        <v/>
      </c>
      <c r="AC920" s="47">
        <f>IFERROR(INDEX(Chemin_accès!$B$11:$C$22,MATCH(Tableau1[[#This Row],[Type]],Chemin_accès!$C$11:$C$22,0),1),Chemin_accès!$B$11)</f>
        <v>0</v>
      </c>
      <c r="AD920" s="47" t="str">
        <f>Chemin_accès!$B$8&amp;Tableau1[[#This Row],[Localisation / Classement]]&amp;"\"&amp;Tableau1[[#This Row],[Poste technique]]&amp;"_"&amp;Tableau1[[#This Row],[Plan Entretien]]&amp;".xlsm"</f>
        <v>\_.xlsm</v>
      </c>
    </row>
    <row r="921" spans="1:30" x14ac:dyDescent="0.3">
      <c r="A921" s="41" t="str">
        <f t="shared" ca="1" si="14"/>
        <v>7.MNRJ</v>
      </c>
      <c r="B92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1" s="43"/>
      <c r="D921" s="41"/>
      <c r="E921" s="41"/>
      <c r="F921" s="44"/>
      <c r="G921" s="44"/>
      <c r="H921" s="48"/>
      <c r="I921" s="48"/>
      <c r="J921" s="48"/>
      <c r="K921" s="48"/>
      <c r="L921" s="43"/>
      <c r="M921" s="44"/>
      <c r="N921" s="43"/>
      <c r="O921" s="43"/>
      <c r="P921" s="44"/>
      <c r="Q921" s="43"/>
      <c r="R921" s="43"/>
      <c r="S921" s="45"/>
      <c r="T921" s="58" t="str">
        <f>IF(Tableau1[[#This Row],[DMS_SAP]]="","",HYPERLINK(Tableau1[[#This Row],[Chemin fichier source]],"X"))</f>
        <v/>
      </c>
      <c r="U921" s="58" t="str">
        <f>IF(Tableau1[[#This Row],[Date rév.]]="","",HYPERLINK(Tableau1[[#This Row],[Lien document]],"X"))</f>
        <v/>
      </c>
      <c r="V921" s="44"/>
      <c r="W921" s="46" t="str">
        <f ca="1">Chemin_accès!$B$2&amp;Tableau1[[#This Row],[Poste Responsable]]&amp;"\"&amp;Tableau1[[#This Row],[Localisation / Classement]]&amp;"\"&amp;Tableau1[[#This Row],[Poste technique]]&amp;"_"&amp;Tableau1[[#This Row],[Plan Entretien]]&amp;".pdf"</f>
        <v>\\stjn.local\trimet\Donnees_Projets\Dms Sap\Maintenance\PlanEntretien\7.MNRJ\\_.pdf</v>
      </c>
      <c r="X921" s="44"/>
      <c r="Y921" s="44"/>
      <c r="Z921" s="41" t="str">
        <f ca="1">IF(AND(Tableau1[[#This Row],[Charge]]&lt;&gt;0, Tableau1[[#This Row],[Nombre intervenants]]&lt;&gt;0,Tableau1[[#This Row],[Lien document]]&lt;&gt;0,Tableau1[[#This Row],[DMS_SAP]]&lt;&gt;0)=TRUE,"MIS A JOUR","")</f>
        <v/>
      </c>
      <c r="AA921" s="45"/>
      <c r="AB921" s="55" t="str">
        <f ca="1">IF(Tableau1[[#This Row],[Date rév.]]&lt;&gt;"", DAYS360(Tableau1[[#This Row],[Date rév.]],TODAY()),"")</f>
        <v/>
      </c>
      <c r="AC921" s="47">
        <f>IFERROR(INDEX(Chemin_accès!$B$11:$C$22,MATCH(Tableau1[[#This Row],[Type]],Chemin_accès!$C$11:$C$22,0),1),Chemin_accès!$B$11)</f>
        <v>0</v>
      </c>
      <c r="AD921" s="47" t="str">
        <f>Chemin_accès!$B$8&amp;Tableau1[[#This Row],[Localisation / Classement]]&amp;"\"&amp;Tableau1[[#This Row],[Poste technique]]&amp;"_"&amp;Tableau1[[#This Row],[Plan Entretien]]&amp;".xlsm"</f>
        <v>\_.xlsm</v>
      </c>
    </row>
    <row r="922" spans="1:30" x14ac:dyDescent="0.3">
      <c r="A922" s="41" t="str">
        <f t="shared" ca="1" si="14"/>
        <v>7.MNRJ</v>
      </c>
      <c r="B92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2" s="43"/>
      <c r="D922" s="41"/>
      <c r="E922" s="41"/>
      <c r="F922" s="44"/>
      <c r="G922" s="44"/>
      <c r="H922" s="48"/>
      <c r="I922" s="48"/>
      <c r="J922" s="48"/>
      <c r="K922" s="48"/>
      <c r="L922" s="43"/>
      <c r="M922" s="44"/>
      <c r="N922" s="43"/>
      <c r="O922" s="43"/>
      <c r="P922" s="44"/>
      <c r="Q922" s="43"/>
      <c r="R922" s="43"/>
      <c r="S922" s="45"/>
      <c r="T922" s="58" t="str">
        <f>IF(Tableau1[[#This Row],[DMS_SAP]]="","",HYPERLINK(Tableau1[[#This Row],[Chemin fichier source]],"X"))</f>
        <v/>
      </c>
      <c r="U922" s="58" t="str">
        <f>IF(Tableau1[[#This Row],[Date rév.]]="","",HYPERLINK(Tableau1[[#This Row],[Lien document]],"X"))</f>
        <v/>
      </c>
      <c r="V922" s="44"/>
      <c r="W922" s="46" t="str">
        <f ca="1">Chemin_accès!$B$2&amp;Tableau1[[#This Row],[Poste Responsable]]&amp;"\"&amp;Tableau1[[#This Row],[Localisation / Classement]]&amp;"\"&amp;Tableau1[[#This Row],[Poste technique]]&amp;"_"&amp;Tableau1[[#This Row],[Plan Entretien]]&amp;".pdf"</f>
        <v>\\stjn.local\trimet\Donnees_Projets\Dms Sap\Maintenance\PlanEntretien\7.MNRJ\\_.pdf</v>
      </c>
      <c r="X922" s="44"/>
      <c r="Y922" s="44"/>
      <c r="Z922" s="41" t="str">
        <f ca="1">IF(AND(Tableau1[[#This Row],[Charge]]&lt;&gt;0, Tableau1[[#This Row],[Nombre intervenants]]&lt;&gt;0,Tableau1[[#This Row],[Lien document]]&lt;&gt;0,Tableau1[[#This Row],[DMS_SAP]]&lt;&gt;0)=TRUE,"MIS A JOUR","")</f>
        <v/>
      </c>
      <c r="AA922" s="45"/>
      <c r="AB922" s="55" t="str">
        <f ca="1">IF(Tableau1[[#This Row],[Date rév.]]&lt;&gt;"", DAYS360(Tableau1[[#This Row],[Date rév.]],TODAY()),"")</f>
        <v/>
      </c>
      <c r="AC922" s="47">
        <f>IFERROR(INDEX(Chemin_accès!$B$11:$C$22,MATCH(Tableau1[[#This Row],[Type]],Chemin_accès!$C$11:$C$22,0),1),Chemin_accès!$B$11)</f>
        <v>0</v>
      </c>
      <c r="AD922" s="47" t="str">
        <f>Chemin_accès!$B$8&amp;Tableau1[[#This Row],[Localisation / Classement]]&amp;"\"&amp;Tableau1[[#This Row],[Poste technique]]&amp;"_"&amp;Tableau1[[#This Row],[Plan Entretien]]&amp;".xlsm"</f>
        <v>\_.xlsm</v>
      </c>
    </row>
    <row r="923" spans="1:30" x14ac:dyDescent="0.3">
      <c r="A923" s="41" t="str">
        <f t="shared" ca="1" si="14"/>
        <v>7.MNRJ</v>
      </c>
      <c r="B92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3" s="43"/>
      <c r="D923" s="41"/>
      <c r="E923" s="41"/>
      <c r="F923" s="44"/>
      <c r="G923" s="44"/>
      <c r="H923" s="48"/>
      <c r="I923" s="48"/>
      <c r="J923" s="48"/>
      <c r="K923" s="48"/>
      <c r="L923" s="43"/>
      <c r="M923" s="44"/>
      <c r="N923" s="43"/>
      <c r="O923" s="43"/>
      <c r="P923" s="44"/>
      <c r="Q923" s="43"/>
      <c r="R923" s="43"/>
      <c r="S923" s="45"/>
      <c r="T923" s="58" t="str">
        <f>IF(Tableau1[[#This Row],[DMS_SAP]]="","",HYPERLINK(Tableau1[[#This Row],[Chemin fichier source]],"X"))</f>
        <v/>
      </c>
      <c r="U923" s="58" t="str">
        <f>IF(Tableau1[[#This Row],[Date rév.]]="","",HYPERLINK(Tableau1[[#This Row],[Lien document]],"X"))</f>
        <v/>
      </c>
      <c r="V923" s="44"/>
      <c r="W923" s="46" t="str">
        <f ca="1">Chemin_accès!$B$2&amp;Tableau1[[#This Row],[Poste Responsable]]&amp;"\"&amp;Tableau1[[#This Row],[Localisation / Classement]]&amp;"\"&amp;Tableau1[[#This Row],[Poste technique]]&amp;"_"&amp;Tableau1[[#This Row],[Plan Entretien]]&amp;".pdf"</f>
        <v>\\stjn.local\trimet\Donnees_Projets\Dms Sap\Maintenance\PlanEntretien\7.MNRJ\\_.pdf</v>
      </c>
      <c r="X923" s="44"/>
      <c r="Y923" s="44"/>
      <c r="Z923" s="41" t="str">
        <f ca="1">IF(AND(Tableau1[[#This Row],[Charge]]&lt;&gt;0, Tableau1[[#This Row],[Nombre intervenants]]&lt;&gt;0,Tableau1[[#This Row],[Lien document]]&lt;&gt;0,Tableau1[[#This Row],[DMS_SAP]]&lt;&gt;0)=TRUE,"MIS A JOUR","")</f>
        <v/>
      </c>
      <c r="AA923" s="45"/>
      <c r="AB923" s="55" t="str">
        <f ca="1">IF(Tableau1[[#This Row],[Date rév.]]&lt;&gt;"", DAYS360(Tableau1[[#This Row],[Date rév.]],TODAY()),"")</f>
        <v/>
      </c>
      <c r="AC923" s="47">
        <f>IFERROR(INDEX(Chemin_accès!$B$11:$C$22,MATCH(Tableau1[[#This Row],[Type]],Chemin_accès!$C$11:$C$22,0),1),Chemin_accès!$B$11)</f>
        <v>0</v>
      </c>
      <c r="AD923" s="47" t="str">
        <f>Chemin_accès!$B$8&amp;Tableau1[[#This Row],[Localisation / Classement]]&amp;"\"&amp;Tableau1[[#This Row],[Poste technique]]&amp;"_"&amp;Tableau1[[#This Row],[Plan Entretien]]&amp;".xlsm"</f>
        <v>\_.xlsm</v>
      </c>
    </row>
    <row r="924" spans="1:30" x14ac:dyDescent="0.3">
      <c r="A924" s="41" t="str">
        <f t="shared" ca="1" si="14"/>
        <v>7.MNRJ</v>
      </c>
      <c r="B92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4" s="43"/>
      <c r="D924" s="41"/>
      <c r="E924" s="41"/>
      <c r="F924" s="44"/>
      <c r="G924" s="44"/>
      <c r="H924" s="48"/>
      <c r="I924" s="48"/>
      <c r="J924" s="48"/>
      <c r="K924" s="48"/>
      <c r="L924" s="43"/>
      <c r="M924" s="44"/>
      <c r="N924" s="43"/>
      <c r="O924" s="43"/>
      <c r="P924" s="44"/>
      <c r="Q924" s="43"/>
      <c r="R924" s="43"/>
      <c r="S924" s="45"/>
      <c r="T924" s="58" t="str">
        <f>IF(Tableau1[[#This Row],[DMS_SAP]]="","",HYPERLINK(Tableau1[[#This Row],[Chemin fichier source]],"X"))</f>
        <v/>
      </c>
      <c r="U924" s="58" t="str">
        <f>IF(Tableau1[[#This Row],[Date rév.]]="","",HYPERLINK(Tableau1[[#This Row],[Lien document]],"X"))</f>
        <v/>
      </c>
      <c r="V924" s="44"/>
      <c r="W924" s="46" t="str">
        <f ca="1">Chemin_accès!$B$2&amp;Tableau1[[#This Row],[Poste Responsable]]&amp;"\"&amp;Tableau1[[#This Row],[Localisation / Classement]]&amp;"\"&amp;Tableau1[[#This Row],[Poste technique]]&amp;"_"&amp;Tableau1[[#This Row],[Plan Entretien]]&amp;".pdf"</f>
        <v>\\stjn.local\trimet\Donnees_Projets\Dms Sap\Maintenance\PlanEntretien\7.MNRJ\\_.pdf</v>
      </c>
      <c r="X924" s="44"/>
      <c r="Y924" s="44"/>
      <c r="Z924" s="41" t="str">
        <f ca="1">IF(AND(Tableau1[[#This Row],[Charge]]&lt;&gt;0, Tableau1[[#This Row],[Nombre intervenants]]&lt;&gt;0,Tableau1[[#This Row],[Lien document]]&lt;&gt;0,Tableau1[[#This Row],[DMS_SAP]]&lt;&gt;0)=TRUE,"MIS A JOUR","")</f>
        <v/>
      </c>
      <c r="AA924" s="45"/>
      <c r="AB924" s="55" t="str">
        <f ca="1">IF(Tableau1[[#This Row],[Date rév.]]&lt;&gt;"", DAYS360(Tableau1[[#This Row],[Date rév.]],TODAY()),"")</f>
        <v/>
      </c>
      <c r="AC924" s="47">
        <f>IFERROR(INDEX(Chemin_accès!$B$11:$C$22,MATCH(Tableau1[[#This Row],[Type]],Chemin_accès!$C$11:$C$22,0),1),Chemin_accès!$B$11)</f>
        <v>0</v>
      </c>
      <c r="AD924" s="47" t="str">
        <f>Chemin_accès!$B$8&amp;Tableau1[[#This Row],[Localisation / Classement]]&amp;"\"&amp;Tableau1[[#This Row],[Poste technique]]&amp;"_"&amp;Tableau1[[#This Row],[Plan Entretien]]&amp;".xlsm"</f>
        <v>\_.xlsm</v>
      </c>
    </row>
    <row r="925" spans="1:30" x14ac:dyDescent="0.3">
      <c r="A925" s="41" t="str">
        <f t="shared" ca="1" si="14"/>
        <v>7.MNRJ</v>
      </c>
      <c r="B92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5" s="43"/>
      <c r="D925" s="41"/>
      <c r="E925" s="41"/>
      <c r="F925" s="44"/>
      <c r="G925" s="44"/>
      <c r="H925" s="48"/>
      <c r="I925" s="48"/>
      <c r="J925" s="48"/>
      <c r="K925" s="48"/>
      <c r="L925" s="43"/>
      <c r="M925" s="44"/>
      <c r="N925" s="43"/>
      <c r="O925" s="43"/>
      <c r="P925" s="44"/>
      <c r="Q925" s="43"/>
      <c r="R925" s="43"/>
      <c r="S925" s="45"/>
      <c r="T925" s="58" t="str">
        <f>IF(Tableau1[[#This Row],[DMS_SAP]]="","",HYPERLINK(Tableau1[[#This Row],[Chemin fichier source]],"X"))</f>
        <v/>
      </c>
      <c r="U925" s="58" t="str">
        <f>IF(Tableau1[[#This Row],[Date rév.]]="","",HYPERLINK(Tableau1[[#This Row],[Lien document]],"X"))</f>
        <v/>
      </c>
      <c r="V925" s="44"/>
      <c r="W925" s="46" t="str">
        <f ca="1">Chemin_accès!$B$2&amp;Tableau1[[#This Row],[Poste Responsable]]&amp;"\"&amp;Tableau1[[#This Row],[Localisation / Classement]]&amp;"\"&amp;Tableau1[[#This Row],[Poste technique]]&amp;"_"&amp;Tableau1[[#This Row],[Plan Entretien]]&amp;".pdf"</f>
        <v>\\stjn.local\trimet\Donnees_Projets\Dms Sap\Maintenance\PlanEntretien\7.MNRJ\\_.pdf</v>
      </c>
      <c r="X925" s="44"/>
      <c r="Y925" s="44"/>
      <c r="Z925" s="41" t="str">
        <f ca="1">IF(AND(Tableau1[[#This Row],[Charge]]&lt;&gt;0, Tableau1[[#This Row],[Nombre intervenants]]&lt;&gt;0,Tableau1[[#This Row],[Lien document]]&lt;&gt;0,Tableau1[[#This Row],[DMS_SAP]]&lt;&gt;0)=TRUE,"MIS A JOUR","")</f>
        <v/>
      </c>
      <c r="AA925" s="45"/>
      <c r="AB925" s="55" t="str">
        <f ca="1">IF(Tableau1[[#This Row],[Date rév.]]&lt;&gt;"", DAYS360(Tableau1[[#This Row],[Date rév.]],TODAY()),"")</f>
        <v/>
      </c>
      <c r="AC925" s="47">
        <f>IFERROR(INDEX(Chemin_accès!$B$11:$C$22,MATCH(Tableau1[[#This Row],[Type]],Chemin_accès!$C$11:$C$22,0),1),Chemin_accès!$B$11)</f>
        <v>0</v>
      </c>
      <c r="AD925" s="47" t="str">
        <f>Chemin_accès!$B$8&amp;Tableau1[[#This Row],[Localisation / Classement]]&amp;"\"&amp;Tableau1[[#This Row],[Poste technique]]&amp;"_"&amp;Tableau1[[#This Row],[Plan Entretien]]&amp;".xlsm"</f>
        <v>\_.xlsm</v>
      </c>
    </row>
    <row r="926" spans="1:30" x14ac:dyDescent="0.3">
      <c r="A926" s="41" t="str">
        <f t="shared" ca="1" si="14"/>
        <v>7.MNRJ</v>
      </c>
      <c r="B92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6" s="43"/>
      <c r="D926" s="41"/>
      <c r="E926" s="41"/>
      <c r="F926" s="44"/>
      <c r="G926" s="44"/>
      <c r="H926" s="48"/>
      <c r="I926" s="48"/>
      <c r="J926" s="48"/>
      <c r="K926" s="48"/>
      <c r="L926" s="43"/>
      <c r="M926" s="44"/>
      <c r="N926" s="43"/>
      <c r="O926" s="43"/>
      <c r="P926" s="44"/>
      <c r="Q926" s="43"/>
      <c r="R926" s="43"/>
      <c r="S926" s="45"/>
      <c r="T926" s="58" t="str">
        <f>IF(Tableau1[[#This Row],[DMS_SAP]]="","",HYPERLINK(Tableau1[[#This Row],[Chemin fichier source]],"X"))</f>
        <v/>
      </c>
      <c r="U926" s="58" t="str">
        <f>IF(Tableau1[[#This Row],[Date rév.]]="","",HYPERLINK(Tableau1[[#This Row],[Lien document]],"X"))</f>
        <v/>
      </c>
      <c r="V926" s="44"/>
      <c r="W926" s="46" t="str">
        <f ca="1">Chemin_accès!$B$2&amp;Tableau1[[#This Row],[Poste Responsable]]&amp;"\"&amp;Tableau1[[#This Row],[Localisation / Classement]]&amp;"\"&amp;Tableau1[[#This Row],[Poste technique]]&amp;"_"&amp;Tableau1[[#This Row],[Plan Entretien]]&amp;".pdf"</f>
        <v>\\stjn.local\trimet\Donnees_Projets\Dms Sap\Maintenance\PlanEntretien\7.MNRJ\\_.pdf</v>
      </c>
      <c r="X926" s="44"/>
      <c r="Y926" s="44"/>
      <c r="Z926" s="41" t="str">
        <f ca="1">IF(AND(Tableau1[[#This Row],[Charge]]&lt;&gt;0, Tableau1[[#This Row],[Nombre intervenants]]&lt;&gt;0,Tableau1[[#This Row],[Lien document]]&lt;&gt;0,Tableau1[[#This Row],[DMS_SAP]]&lt;&gt;0)=TRUE,"MIS A JOUR","")</f>
        <v/>
      </c>
      <c r="AA926" s="45"/>
      <c r="AB926" s="55" t="str">
        <f ca="1">IF(Tableau1[[#This Row],[Date rév.]]&lt;&gt;"", DAYS360(Tableau1[[#This Row],[Date rév.]],TODAY()),"")</f>
        <v/>
      </c>
      <c r="AC926" s="47">
        <f>IFERROR(INDEX(Chemin_accès!$B$11:$C$22,MATCH(Tableau1[[#This Row],[Type]],Chemin_accès!$C$11:$C$22,0),1),Chemin_accès!$B$11)</f>
        <v>0</v>
      </c>
      <c r="AD926" s="47" t="str">
        <f>Chemin_accès!$B$8&amp;Tableau1[[#This Row],[Localisation / Classement]]&amp;"\"&amp;Tableau1[[#This Row],[Poste technique]]&amp;"_"&amp;Tableau1[[#This Row],[Plan Entretien]]&amp;".xlsm"</f>
        <v>\_.xlsm</v>
      </c>
    </row>
    <row r="927" spans="1:30" x14ac:dyDescent="0.3">
      <c r="A927" s="41" t="str">
        <f t="shared" ca="1" si="14"/>
        <v>7.MNRJ</v>
      </c>
      <c r="B92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7" s="43"/>
      <c r="D927" s="41"/>
      <c r="E927" s="41"/>
      <c r="F927" s="44"/>
      <c r="G927" s="44"/>
      <c r="H927" s="48"/>
      <c r="I927" s="48"/>
      <c r="J927" s="48"/>
      <c r="K927" s="48"/>
      <c r="L927" s="43"/>
      <c r="M927" s="44"/>
      <c r="N927" s="43"/>
      <c r="O927" s="43"/>
      <c r="P927" s="44"/>
      <c r="Q927" s="43"/>
      <c r="R927" s="43"/>
      <c r="S927" s="45"/>
      <c r="T927" s="58" t="str">
        <f>IF(Tableau1[[#This Row],[DMS_SAP]]="","",HYPERLINK(Tableau1[[#This Row],[Chemin fichier source]],"X"))</f>
        <v/>
      </c>
      <c r="U927" s="58" t="str">
        <f>IF(Tableau1[[#This Row],[Date rév.]]="","",HYPERLINK(Tableau1[[#This Row],[Lien document]],"X"))</f>
        <v/>
      </c>
      <c r="V927" s="44"/>
      <c r="W927" s="46" t="str">
        <f ca="1">Chemin_accès!$B$2&amp;Tableau1[[#This Row],[Poste Responsable]]&amp;"\"&amp;Tableau1[[#This Row],[Localisation / Classement]]&amp;"\"&amp;Tableau1[[#This Row],[Poste technique]]&amp;"_"&amp;Tableau1[[#This Row],[Plan Entretien]]&amp;".pdf"</f>
        <v>\\stjn.local\trimet\Donnees_Projets\Dms Sap\Maintenance\PlanEntretien\7.MNRJ\\_.pdf</v>
      </c>
      <c r="X927" s="44"/>
      <c r="Y927" s="44"/>
      <c r="Z927" s="41" t="str">
        <f ca="1">IF(AND(Tableau1[[#This Row],[Charge]]&lt;&gt;0, Tableau1[[#This Row],[Nombre intervenants]]&lt;&gt;0,Tableau1[[#This Row],[Lien document]]&lt;&gt;0,Tableau1[[#This Row],[DMS_SAP]]&lt;&gt;0)=TRUE,"MIS A JOUR","")</f>
        <v/>
      </c>
      <c r="AA927" s="45"/>
      <c r="AB927" s="55" t="str">
        <f ca="1">IF(Tableau1[[#This Row],[Date rév.]]&lt;&gt;"", DAYS360(Tableau1[[#This Row],[Date rév.]],TODAY()),"")</f>
        <v/>
      </c>
      <c r="AC927" s="47">
        <f>IFERROR(INDEX(Chemin_accès!$B$11:$C$22,MATCH(Tableau1[[#This Row],[Type]],Chemin_accès!$C$11:$C$22,0),1),Chemin_accès!$B$11)</f>
        <v>0</v>
      </c>
      <c r="AD927" s="47" t="str">
        <f>Chemin_accès!$B$8&amp;Tableau1[[#This Row],[Localisation / Classement]]&amp;"\"&amp;Tableau1[[#This Row],[Poste technique]]&amp;"_"&amp;Tableau1[[#This Row],[Plan Entretien]]&amp;".xlsm"</f>
        <v>\_.xlsm</v>
      </c>
    </row>
    <row r="928" spans="1:30" x14ac:dyDescent="0.3">
      <c r="A928" s="41" t="str">
        <f t="shared" ca="1" si="14"/>
        <v>7.MNRJ</v>
      </c>
      <c r="B92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8" s="43"/>
      <c r="D928" s="41"/>
      <c r="E928" s="41"/>
      <c r="F928" s="44"/>
      <c r="G928" s="44"/>
      <c r="H928" s="48"/>
      <c r="I928" s="48"/>
      <c r="J928" s="48"/>
      <c r="K928" s="48"/>
      <c r="L928" s="43"/>
      <c r="M928" s="44"/>
      <c r="N928" s="43"/>
      <c r="O928" s="43"/>
      <c r="P928" s="44"/>
      <c r="Q928" s="43"/>
      <c r="R928" s="43"/>
      <c r="S928" s="45"/>
      <c r="T928" s="58" t="str">
        <f>IF(Tableau1[[#This Row],[DMS_SAP]]="","",HYPERLINK(Tableau1[[#This Row],[Chemin fichier source]],"X"))</f>
        <v/>
      </c>
      <c r="U928" s="58" t="str">
        <f>IF(Tableau1[[#This Row],[Date rév.]]="","",HYPERLINK(Tableau1[[#This Row],[Lien document]],"X"))</f>
        <v/>
      </c>
      <c r="V928" s="44"/>
      <c r="W928" s="46" t="str">
        <f ca="1">Chemin_accès!$B$2&amp;Tableau1[[#This Row],[Poste Responsable]]&amp;"\"&amp;Tableau1[[#This Row],[Localisation / Classement]]&amp;"\"&amp;Tableau1[[#This Row],[Poste technique]]&amp;"_"&amp;Tableau1[[#This Row],[Plan Entretien]]&amp;".pdf"</f>
        <v>\\stjn.local\trimet\Donnees_Projets\Dms Sap\Maintenance\PlanEntretien\7.MNRJ\\_.pdf</v>
      </c>
      <c r="X928" s="44"/>
      <c r="Y928" s="44"/>
      <c r="Z928" s="41" t="str">
        <f ca="1">IF(AND(Tableau1[[#This Row],[Charge]]&lt;&gt;0, Tableau1[[#This Row],[Nombre intervenants]]&lt;&gt;0,Tableau1[[#This Row],[Lien document]]&lt;&gt;0,Tableau1[[#This Row],[DMS_SAP]]&lt;&gt;0)=TRUE,"MIS A JOUR","")</f>
        <v/>
      </c>
      <c r="AA928" s="45"/>
      <c r="AB928" s="55" t="str">
        <f ca="1">IF(Tableau1[[#This Row],[Date rév.]]&lt;&gt;"", DAYS360(Tableau1[[#This Row],[Date rév.]],TODAY()),"")</f>
        <v/>
      </c>
      <c r="AC928" s="47">
        <f>IFERROR(INDEX(Chemin_accès!$B$11:$C$22,MATCH(Tableau1[[#This Row],[Type]],Chemin_accès!$C$11:$C$22,0),1),Chemin_accès!$B$11)</f>
        <v>0</v>
      </c>
      <c r="AD928" s="47" t="str">
        <f>Chemin_accès!$B$8&amp;Tableau1[[#This Row],[Localisation / Classement]]&amp;"\"&amp;Tableau1[[#This Row],[Poste technique]]&amp;"_"&amp;Tableau1[[#This Row],[Plan Entretien]]&amp;".xlsm"</f>
        <v>\_.xlsm</v>
      </c>
    </row>
    <row r="929" spans="1:30" x14ac:dyDescent="0.3">
      <c r="A929" s="41" t="str">
        <f t="shared" ca="1" si="14"/>
        <v>7.MNRJ</v>
      </c>
      <c r="B92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9" s="43"/>
      <c r="D929" s="41"/>
      <c r="E929" s="41"/>
      <c r="F929" s="44"/>
      <c r="G929" s="44"/>
      <c r="H929" s="48"/>
      <c r="I929" s="48"/>
      <c r="J929" s="48"/>
      <c r="K929" s="48"/>
      <c r="L929" s="43"/>
      <c r="M929" s="44"/>
      <c r="N929" s="43"/>
      <c r="O929" s="43"/>
      <c r="P929" s="44"/>
      <c r="Q929" s="43"/>
      <c r="R929" s="43"/>
      <c r="S929" s="45"/>
      <c r="T929" s="58" t="str">
        <f>IF(Tableau1[[#This Row],[DMS_SAP]]="","",HYPERLINK(Tableau1[[#This Row],[Chemin fichier source]],"X"))</f>
        <v/>
      </c>
      <c r="U929" s="58" t="str">
        <f>IF(Tableau1[[#This Row],[Date rév.]]="","",HYPERLINK(Tableau1[[#This Row],[Lien document]],"X"))</f>
        <v/>
      </c>
      <c r="V929" s="44"/>
      <c r="W929" s="46" t="str">
        <f ca="1">Chemin_accès!$B$2&amp;Tableau1[[#This Row],[Poste Responsable]]&amp;"\"&amp;Tableau1[[#This Row],[Localisation / Classement]]&amp;"\"&amp;Tableau1[[#This Row],[Poste technique]]&amp;"_"&amp;Tableau1[[#This Row],[Plan Entretien]]&amp;".pdf"</f>
        <v>\\stjn.local\trimet\Donnees_Projets\Dms Sap\Maintenance\PlanEntretien\7.MNRJ\\_.pdf</v>
      </c>
      <c r="X929" s="44"/>
      <c r="Y929" s="44"/>
      <c r="Z929" s="41" t="str">
        <f ca="1">IF(AND(Tableau1[[#This Row],[Charge]]&lt;&gt;0, Tableau1[[#This Row],[Nombre intervenants]]&lt;&gt;0,Tableau1[[#This Row],[Lien document]]&lt;&gt;0,Tableau1[[#This Row],[DMS_SAP]]&lt;&gt;0)=TRUE,"MIS A JOUR","")</f>
        <v/>
      </c>
      <c r="AA929" s="45"/>
      <c r="AB929" s="55" t="str">
        <f ca="1">IF(Tableau1[[#This Row],[Date rév.]]&lt;&gt;"", DAYS360(Tableau1[[#This Row],[Date rév.]],TODAY()),"")</f>
        <v/>
      </c>
      <c r="AC929" s="47">
        <f>IFERROR(INDEX(Chemin_accès!$B$11:$C$22,MATCH(Tableau1[[#This Row],[Type]],Chemin_accès!$C$11:$C$22,0),1),Chemin_accès!$B$11)</f>
        <v>0</v>
      </c>
      <c r="AD929" s="47" t="str">
        <f>Chemin_accès!$B$8&amp;Tableau1[[#This Row],[Localisation / Classement]]&amp;"\"&amp;Tableau1[[#This Row],[Poste technique]]&amp;"_"&amp;Tableau1[[#This Row],[Plan Entretien]]&amp;".xlsm"</f>
        <v>\_.xlsm</v>
      </c>
    </row>
    <row r="930" spans="1:30" x14ac:dyDescent="0.3">
      <c r="A930" s="41" t="str">
        <f t="shared" ca="1" si="14"/>
        <v>7.MNRJ</v>
      </c>
      <c r="B93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0" s="43"/>
      <c r="D930" s="41"/>
      <c r="E930" s="41"/>
      <c r="F930" s="44"/>
      <c r="G930" s="44"/>
      <c r="H930" s="48"/>
      <c r="I930" s="48"/>
      <c r="J930" s="48"/>
      <c r="K930" s="48"/>
      <c r="L930" s="43"/>
      <c r="M930" s="44"/>
      <c r="N930" s="43"/>
      <c r="O930" s="43"/>
      <c r="P930" s="44"/>
      <c r="Q930" s="43"/>
      <c r="R930" s="43"/>
      <c r="S930" s="45"/>
      <c r="T930" s="58" t="str">
        <f>IF(Tableau1[[#This Row],[DMS_SAP]]="","",HYPERLINK(Tableau1[[#This Row],[Chemin fichier source]],"X"))</f>
        <v/>
      </c>
      <c r="U930" s="58" t="str">
        <f>IF(Tableau1[[#This Row],[Date rév.]]="","",HYPERLINK(Tableau1[[#This Row],[Lien document]],"X"))</f>
        <v/>
      </c>
      <c r="V930" s="44"/>
      <c r="W930" s="46" t="str">
        <f ca="1">Chemin_accès!$B$2&amp;Tableau1[[#This Row],[Poste Responsable]]&amp;"\"&amp;Tableau1[[#This Row],[Localisation / Classement]]&amp;"\"&amp;Tableau1[[#This Row],[Poste technique]]&amp;"_"&amp;Tableau1[[#This Row],[Plan Entretien]]&amp;".pdf"</f>
        <v>\\stjn.local\trimet\Donnees_Projets\Dms Sap\Maintenance\PlanEntretien\7.MNRJ\\_.pdf</v>
      </c>
      <c r="X930" s="44"/>
      <c r="Y930" s="44"/>
      <c r="Z930" s="41" t="str">
        <f ca="1">IF(AND(Tableau1[[#This Row],[Charge]]&lt;&gt;0, Tableau1[[#This Row],[Nombre intervenants]]&lt;&gt;0,Tableau1[[#This Row],[Lien document]]&lt;&gt;0,Tableau1[[#This Row],[DMS_SAP]]&lt;&gt;0)=TRUE,"MIS A JOUR","")</f>
        <v/>
      </c>
      <c r="AA930" s="45"/>
      <c r="AB930" s="55" t="str">
        <f ca="1">IF(Tableau1[[#This Row],[Date rév.]]&lt;&gt;"", DAYS360(Tableau1[[#This Row],[Date rév.]],TODAY()),"")</f>
        <v/>
      </c>
      <c r="AC930" s="47">
        <f>IFERROR(INDEX(Chemin_accès!$B$11:$C$22,MATCH(Tableau1[[#This Row],[Type]],Chemin_accès!$C$11:$C$22,0),1),Chemin_accès!$B$11)</f>
        <v>0</v>
      </c>
      <c r="AD930" s="47" t="str">
        <f>Chemin_accès!$B$8&amp;Tableau1[[#This Row],[Localisation / Classement]]&amp;"\"&amp;Tableau1[[#This Row],[Poste technique]]&amp;"_"&amp;Tableau1[[#This Row],[Plan Entretien]]&amp;".xlsm"</f>
        <v>\_.xlsm</v>
      </c>
    </row>
    <row r="931" spans="1:30" x14ac:dyDescent="0.3">
      <c r="A931" s="41" t="str">
        <f t="shared" ca="1" si="14"/>
        <v>7.MNRJ</v>
      </c>
      <c r="B93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1" s="43"/>
      <c r="D931" s="41"/>
      <c r="E931" s="41"/>
      <c r="F931" s="44"/>
      <c r="G931" s="44"/>
      <c r="H931" s="48"/>
      <c r="I931" s="48"/>
      <c r="J931" s="48"/>
      <c r="K931" s="48"/>
      <c r="L931" s="43"/>
      <c r="M931" s="44"/>
      <c r="N931" s="43"/>
      <c r="O931" s="43"/>
      <c r="P931" s="44"/>
      <c r="Q931" s="43"/>
      <c r="R931" s="43"/>
      <c r="S931" s="45"/>
      <c r="T931" s="58" t="str">
        <f>IF(Tableau1[[#This Row],[DMS_SAP]]="","",HYPERLINK(Tableau1[[#This Row],[Chemin fichier source]],"X"))</f>
        <v/>
      </c>
      <c r="U931" s="58" t="str">
        <f>IF(Tableau1[[#This Row],[Date rév.]]="","",HYPERLINK(Tableau1[[#This Row],[Lien document]],"X"))</f>
        <v/>
      </c>
      <c r="V931" s="44"/>
      <c r="W931" s="46" t="str">
        <f ca="1">Chemin_accès!$B$2&amp;Tableau1[[#This Row],[Poste Responsable]]&amp;"\"&amp;Tableau1[[#This Row],[Localisation / Classement]]&amp;"\"&amp;Tableau1[[#This Row],[Poste technique]]&amp;"_"&amp;Tableau1[[#This Row],[Plan Entretien]]&amp;".pdf"</f>
        <v>\\stjn.local\trimet\Donnees_Projets\Dms Sap\Maintenance\PlanEntretien\7.MNRJ\\_.pdf</v>
      </c>
      <c r="X931" s="44"/>
      <c r="Y931" s="44"/>
      <c r="Z931" s="41" t="str">
        <f ca="1">IF(AND(Tableau1[[#This Row],[Charge]]&lt;&gt;0, Tableau1[[#This Row],[Nombre intervenants]]&lt;&gt;0,Tableau1[[#This Row],[Lien document]]&lt;&gt;0,Tableau1[[#This Row],[DMS_SAP]]&lt;&gt;0)=TRUE,"MIS A JOUR","")</f>
        <v/>
      </c>
      <c r="AA931" s="45"/>
      <c r="AB931" s="55" t="str">
        <f ca="1">IF(Tableau1[[#This Row],[Date rév.]]&lt;&gt;"", DAYS360(Tableau1[[#This Row],[Date rév.]],TODAY()),"")</f>
        <v/>
      </c>
      <c r="AC931" s="47">
        <f>IFERROR(INDEX(Chemin_accès!$B$11:$C$22,MATCH(Tableau1[[#This Row],[Type]],Chemin_accès!$C$11:$C$22,0),1),Chemin_accès!$B$11)</f>
        <v>0</v>
      </c>
      <c r="AD931" s="47" t="str">
        <f>Chemin_accès!$B$8&amp;Tableau1[[#This Row],[Localisation / Classement]]&amp;"\"&amp;Tableau1[[#This Row],[Poste technique]]&amp;"_"&amp;Tableau1[[#This Row],[Plan Entretien]]&amp;".xlsm"</f>
        <v>\_.xlsm</v>
      </c>
    </row>
    <row r="932" spans="1:30" x14ac:dyDescent="0.3">
      <c r="A932" s="41" t="str">
        <f t="shared" ca="1" si="14"/>
        <v>7.MNRJ</v>
      </c>
      <c r="B93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2" s="43"/>
      <c r="D932" s="41"/>
      <c r="E932" s="41"/>
      <c r="F932" s="44"/>
      <c r="G932" s="44"/>
      <c r="H932" s="48"/>
      <c r="I932" s="48"/>
      <c r="J932" s="48"/>
      <c r="K932" s="48"/>
      <c r="L932" s="43"/>
      <c r="M932" s="44"/>
      <c r="N932" s="43"/>
      <c r="O932" s="43"/>
      <c r="P932" s="44"/>
      <c r="Q932" s="43"/>
      <c r="R932" s="43"/>
      <c r="S932" s="45"/>
      <c r="T932" s="58" t="str">
        <f>IF(Tableau1[[#This Row],[DMS_SAP]]="","",HYPERLINK(Tableau1[[#This Row],[Chemin fichier source]],"X"))</f>
        <v/>
      </c>
      <c r="U932" s="58" t="str">
        <f>IF(Tableau1[[#This Row],[Date rév.]]="","",HYPERLINK(Tableau1[[#This Row],[Lien document]],"X"))</f>
        <v/>
      </c>
      <c r="V932" s="44"/>
      <c r="W932" s="46" t="str">
        <f ca="1">Chemin_accès!$B$2&amp;Tableau1[[#This Row],[Poste Responsable]]&amp;"\"&amp;Tableau1[[#This Row],[Localisation / Classement]]&amp;"\"&amp;Tableau1[[#This Row],[Poste technique]]&amp;"_"&amp;Tableau1[[#This Row],[Plan Entretien]]&amp;".pdf"</f>
        <v>\\stjn.local\trimet\Donnees_Projets\Dms Sap\Maintenance\PlanEntretien\7.MNRJ\\_.pdf</v>
      </c>
      <c r="X932" s="44"/>
      <c r="Y932" s="44"/>
      <c r="Z932" s="41" t="str">
        <f ca="1">IF(AND(Tableau1[[#This Row],[Charge]]&lt;&gt;0, Tableau1[[#This Row],[Nombre intervenants]]&lt;&gt;0,Tableau1[[#This Row],[Lien document]]&lt;&gt;0,Tableau1[[#This Row],[DMS_SAP]]&lt;&gt;0)=TRUE,"MIS A JOUR","")</f>
        <v/>
      </c>
      <c r="AA932" s="45"/>
      <c r="AB932" s="55" t="str">
        <f ca="1">IF(Tableau1[[#This Row],[Date rév.]]&lt;&gt;"", DAYS360(Tableau1[[#This Row],[Date rév.]],TODAY()),"")</f>
        <v/>
      </c>
      <c r="AC932" s="47">
        <f>IFERROR(INDEX(Chemin_accès!$B$11:$C$22,MATCH(Tableau1[[#This Row],[Type]],Chemin_accès!$C$11:$C$22,0),1),Chemin_accès!$B$11)</f>
        <v>0</v>
      </c>
      <c r="AD932" s="47" t="str">
        <f>Chemin_accès!$B$8&amp;Tableau1[[#This Row],[Localisation / Classement]]&amp;"\"&amp;Tableau1[[#This Row],[Poste technique]]&amp;"_"&amp;Tableau1[[#This Row],[Plan Entretien]]&amp;".xlsm"</f>
        <v>\_.xlsm</v>
      </c>
    </row>
    <row r="933" spans="1:30" x14ac:dyDescent="0.3">
      <c r="A933" s="41" t="str">
        <f t="shared" ca="1" si="14"/>
        <v>7.MNRJ</v>
      </c>
      <c r="B93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3" s="43"/>
      <c r="D933" s="41"/>
      <c r="E933" s="41"/>
      <c r="F933" s="44"/>
      <c r="G933" s="44"/>
      <c r="H933" s="48"/>
      <c r="I933" s="48"/>
      <c r="J933" s="48"/>
      <c r="K933" s="48"/>
      <c r="L933" s="43"/>
      <c r="M933" s="44"/>
      <c r="N933" s="43"/>
      <c r="O933" s="43"/>
      <c r="P933" s="44"/>
      <c r="Q933" s="43"/>
      <c r="R933" s="43"/>
      <c r="S933" s="45"/>
      <c r="T933" s="58" t="str">
        <f>IF(Tableau1[[#This Row],[DMS_SAP]]="","",HYPERLINK(Tableau1[[#This Row],[Chemin fichier source]],"X"))</f>
        <v/>
      </c>
      <c r="U933" s="58" t="str">
        <f>IF(Tableau1[[#This Row],[Date rév.]]="","",HYPERLINK(Tableau1[[#This Row],[Lien document]],"X"))</f>
        <v/>
      </c>
      <c r="V933" s="44"/>
      <c r="W933" s="46" t="str">
        <f ca="1">Chemin_accès!$B$2&amp;Tableau1[[#This Row],[Poste Responsable]]&amp;"\"&amp;Tableau1[[#This Row],[Localisation / Classement]]&amp;"\"&amp;Tableau1[[#This Row],[Poste technique]]&amp;"_"&amp;Tableau1[[#This Row],[Plan Entretien]]&amp;".pdf"</f>
        <v>\\stjn.local\trimet\Donnees_Projets\Dms Sap\Maintenance\PlanEntretien\7.MNRJ\\_.pdf</v>
      </c>
      <c r="X933" s="44"/>
      <c r="Y933" s="44"/>
      <c r="Z933" s="41" t="str">
        <f ca="1">IF(AND(Tableau1[[#This Row],[Charge]]&lt;&gt;0, Tableau1[[#This Row],[Nombre intervenants]]&lt;&gt;0,Tableau1[[#This Row],[Lien document]]&lt;&gt;0,Tableau1[[#This Row],[DMS_SAP]]&lt;&gt;0)=TRUE,"MIS A JOUR","")</f>
        <v/>
      </c>
      <c r="AA933" s="45"/>
      <c r="AB933" s="55" t="str">
        <f ca="1">IF(Tableau1[[#This Row],[Date rév.]]&lt;&gt;"", DAYS360(Tableau1[[#This Row],[Date rév.]],TODAY()),"")</f>
        <v/>
      </c>
      <c r="AC933" s="47">
        <f>IFERROR(INDEX(Chemin_accès!$B$11:$C$22,MATCH(Tableau1[[#This Row],[Type]],Chemin_accès!$C$11:$C$22,0),1),Chemin_accès!$B$11)</f>
        <v>0</v>
      </c>
      <c r="AD933" s="47" t="str">
        <f>Chemin_accès!$B$8&amp;Tableau1[[#This Row],[Localisation / Classement]]&amp;"\"&amp;Tableau1[[#This Row],[Poste technique]]&amp;"_"&amp;Tableau1[[#This Row],[Plan Entretien]]&amp;".xlsm"</f>
        <v>\_.xlsm</v>
      </c>
    </row>
    <row r="934" spans="1:30" x14ac:dyDescent="0.3">
      <c r="A934" s="41" t="str">
        <f t="shared" ca="1" si="14"/>
        <v>7.MNRJ</v>
      </c>
      <c r="B93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4" s="43"/>
      <c r="D934" s="41"/>
      <c r="E934" s="41"/>
      <c r="F934" s="44"/>
      <c r="G934" s="44"/>
      <c r="H934" s="48"/>
      <c r="I934" s="48"/>
      <c r="J934" s="48"/>
      <c r="K934" s="48"/>
      <c r="L934" s="43"/>
      <c r="M934" s="44"/>
      <c r="N934" s="43"/>
      <c r="O934" s="43"/>
      <c r="P934" s="44"/>
      <c r="Q934" s="43"/>
      <c r="R934" s="43"/>
      <c r="S934" s="45"/>
      <c r="T934" s="58" t="str">
        <f>IF(Tableau1[[#This Row],[DMS_SAP]]="","",HYPERLINK(Tableau1[[#This Row],[Chemin fichier source]],"X"))</f>
        <v/>
      </c>
      <c r="U934" s="58" t="str">
        <f>IF(Tableau1[[#This Row],[Date rév.]]="","",HYPERLINK(Tableau1[[#This Row],[Lien document]],"X"))</f>
        <v/>
      </c>
      <c r="V934" s="44"/>
      <c r="W934" s="46" t="str">
        <f ca="1">Chemin_accès!$B$2&amp;Tableau1[[#This Row],[Poste Responsable]]&amp;"\"&amp;Tableau1[[#This Row],[Localisation / Classement]]&amp;"\"&amp;Tableau1[[#This Row],[Poste technique]]&amp;"_"&amp;Tableau1[[#This Row],[Plan Entretien]]&amp;".pdf"</f>
        <v>\\stjn.local\trimet\Donnees_Projets\Dms Sap\Maintenance\PlanEntretien\7.MNRJ\\_.pdf</v>
      </c>
      <c r="X934" s="44"/>
      <c r="Y934" s="44"/>
      <c r="Z934" s="41" t="str">
        <f ca="1">IF(AND(Tableau1[[#This Row],[Charge]]&lt;&gt;0, Tableau1[[#This Row],[Nombre intervenants]]&lt;&gt;0,Tableau1[[#This Row],[Lien document]]&lt;&gt;0,Tableau1[[#This Row],[DMS_SAP]]&lt;&gt;0)=TRUE,"MIS A JOUR","")</f>
        <v/>
      </c>
      <c r="AA934" s="45"/>
      <c r="AB934" s="55" t="str">
        <f ca="1">IF(Tableau1[[#This Row],[Date rév.]]&lt;&gt;"", DAYS360(Tableau1[[#This Row],[Date rév.]],TODAY()),"")</f>
        <v/>
      </c>
      <c r="AC934" s="47">
        <f>IFERROR(INDEX(Chemin_accès!$B$11:$C$22,MATCH(Tableau1[[#This Row],[Type]],Chemin_accès!$C$11:$C$22,0),1),Chemin_accès!$B$11)</f>
        <v>0</v>
      </c>
      <c r="AD934" s="47" t="str">
        <f>Chemin_accès!$B$8&amp;Tableau1[[#This Row],[Localisation / Classement]]&amp;"\"&amp;Tableau1[[#This Row],[Poste technique]]&amp;"_"&amp;Tableau1[[#This Row],[Plan Entretien]]&amp;".xlsm"</f>
        <v>\_.xlsm</v>
      </c>
    </row>
    <row r="935" spans="1:30" x14ac:dyDescent="0.3">
      <c r="A935" s="41" t="str">
        <f t="shared" ca="1" si="14"/>
        <v>7.MNRJ</v>
      </c>
      <c r="B93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5" s="43"/>
      <c r="D935" s="41"/>
      <c r="E935" s="41"/>
      <c r="F935" s="44"/>
      <c r="G935" s="44"/>
      <c r="H935" s="48"/>
      <c r="I935" s="48"/>
      <c r="J935" s="48"/>
      <c r="K935" s="48"/>
      <c r="L935" s="43"/>
      <c r="M935" s="44"/>
      <c r="N935" s="43"/>
      <c r="O935" s="43"/>
      <c r="P935" s="44"/>
      <c r="Q935" s="43"/>
      <c r="R935" s="43"/>
      <c r="S935" s="45"/>
      <c r="T935" s="58" t="str">
        <f>IF(Tableau1[[#This Row],[DMS_SAP]]="","",HYPERLINK(Tableau1[[#This Row],[Chemin fichier source]],"X"))</f>
        <v/>
      </c>
      <c r="U935" s="58" t="str">
        <f>IF(Tableau1[[#This Row],[Date rév.]]="","",HYPERLINK(Tableau1[[#This Row],[Lien document]],"X"))</f>
        <v/>
      </c>
      <c r="V935" s="44"/>
      <c r="W935" s="46" t="str">
        <f ca="1">Chemin_accès!$B$2&amp;Tableau1[[#This Row],[Poste Responsable]]&amp;"\"&amp;Tableau1[[#This Row],[Localisation / Classement]]&amp;"\"&amp;Tableau1[[#This Row],[Poste technique]]&amp;"_"&amp;Tableau1[[#This Row],[Plan Entretien]]&amp;".pdf"</f>
        <v>\\stjn.local\trimet\Donnees_Projets\Dms Sap\Maintenance\PlanEntretien\7.MNRJ\\_.pdf</v>
      </c>
      <c r="X935" s="44"/>
      <c r="Y935" s="44"/>
      <c r="Z935" s="41" t="str">
        <f ca="1">IF(AND(Tableau1[[#This Row],[Charge]]&lt;&gt;0, Tableau1[[#This Row],[Nombre intervenants]]&lt;&gt;0,Tableau1[[#This Row],[Lien document]]&lt;&gt;0,Tableau1[[#This Row],[DMS_SAP]]&lt;&gt;0)=TRUE,"MIS A JOUR","")</f>
        <v/>
      </c>
      <c r="AA935" s="45"/>
      <c r="AB935" s="55" t="str">
        <f ca="1">IF(Tableau1[[#This Row],[Date rév.]]&lt;&gt;"", DAYS360(Tableau1[[#This Row],[Date rév.]],TODAY()),"")</f>
        <v/>
      </c>
      <c r="AC935" s="47">
        <f>IFERROR(INDEX(Chemin_accès!$B$11:$C$22,MATCH(Tableau1[[#This Row],[Type]],Chemin_accès!$C$11:$C$22,0),1),Chemin_accès!$B$11)</f>
        <v>0</v>
      </c>
      <c r="AD935" s="47" t="str">
        <f>Chemin_accès!$B$8&amp;Tableau1[[#This Row],[Localisation / Classement]]&amp;"\"&amp;Tableau1[[#This Row],[Poste technique]]&amp;"_"&amp;Tableau1[[#This Row],[Plan Entretien]]&amp;".xlsm"</f>
        <v>\_.xlsm</v>
      </c>
    </row>
    <row r="936" spans="1:30" x14ac:dyDescent="0.3">
      <c r="A936" s="41" t="str">
        <f t="shared" ca="1" si="14"/>
        <v>7.MNRJ</v>
      </c>
      <c r="B93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6" s="43"/>
      <c r="D936" s="41"/>
      <c r="E936" s="41"/>
      <c r="F936" s="44"/>
      <c r="G936" s="44"/>
      <c r="H936" s="48"/>
      <c r="I936" s="48"/>
      <c r="J936" s="48"/>
      <c r="K936" s="48"/>
      <c r="L936" s="43"/>
      <c r="M936" s="44"/>
      <c r="N936" s="43"/>
      <c r="O936" s="43"/>
      <c r="P936" s="44"/>
      <c r="Q936" s="43"/>
      <c r="R936" s="43"/>
      <c r="S936" s="45"/>
      <c r="T936" s="58" t="str">
        <f>IF(Tableau1[[#This Row],[DMS_SAP]]="","",HYPERLINK(Tableau1[[#This Row],[Chemin fichier source]],"X"))</f>
        <v/>
      </c>
      <c r="U936" s="58" t="str">
        <f>IF(Tableau1[[#This Row],[Date rév.]]="","",HYPERLINK(Tableau1[[#This Row],[Lien document]],"X"))</f>
        <v/>
      </c>
      <c r="V936" s="44"/>
      <c r="W936" s="46" t="str">
        <f ca="1">Chemin_accès!$B$2&amp;Tableau1[[#This Row],[Poste Responsable]]&amp;"\"&amp;Tableau1[[#This Row],[Localisation / Classement]]&amp;"\"&amp;Tableau1[[#This Row],[Poste technique]]&amp;"_"&amp;Tableau1[[#This Row],[Plan Entretien]]&amp;".pdf"</f>
        <v>\\stjn.local\trimet\Donnees_Projets\Dms Sap\Maintenance\PlanEntretien\7.MNRJ\\_.pdf</v>
      </c>
      <c r="X936" s="44"/>
      <c r="Y936" s="44"/>
      <c r="Z936" s="41" t="str">
        <f ca="1">IF(AND(Tableau1[[#This Row],[Charge]]&lt;&gt;0, Tableau1[[#This Row],[Nombre intervenants]]&lt;&gt;0,Tableau1[[#This Row],[Lien document]]&lt;&gt;0,Tableau1[[#This Row],[DMS_SAP]]&lt;&gt;0)=TRUE,"MIS A JOUR","")</f>
        <v/>
      </c>
      <c r="AA936" s="45"/>
      <c r="AB936" s="55" t="str">
        <f ca="1">IF(Tableau1[[#This Row],[Date rév.]]&lt;&gt;"", DAYS360(Tableau1[[#This Row],[Date rév.]],TODAY()),"")</f>
        <v/>
      </c>
      <c r="AC936" s="47">
        <f>IFERROR(INDEX(Chemin_accès!$B$11:$C$22,MATCH(Tableau1[[#This Row],[Type]],Chemin_accès!$C$11:$C$22,0),1),Chemin_accès!$B$11)</f>
        <v>0</v>
      </c>
      <c r="AD936" s="47" t="str">
        <f>Chemin_accès!$B$8&amp;Tableau1[[#This Row],[Localisation / Classement]]&amp;"\"&amp;Tableau1[[#This Row],[Poste technique]]&amp;"_"&amp;Tableau1[[#This Row],[Plan Entretien]]&amp;".xlsm"</f>
        <v>\_.xlsm</v>
      </c>
    </row>
    <row r="937" spans="1:30" x14ac:dyDescent="0.3">
      <c r="A937" s="41" t="str">
        <f t="shared" ca="1" si="14"/>
        <v>7.MNRJ</v>
      </c>
      <c r="B93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7" s="43"/>
      <c r="D937" s="41"/>
      <c r="E937" s="41"/>
      <c r="F937" s="44"/>
      <c r="G937" s="44"/>
      <c r="H937" s="48"/>
      <c r="I937" s="48"/>
      <c r="J937" s="48"/>
      <c r="K937" s="48"/>
      <c r="L937" s="43"/>
      <c r="M937" s="44"/>
      <c r="N937" s="43"/>
      <c r="O937" s="43"/>
      <c r="P937" s="44"/>
      <c r="Q937" s="43"/>
      <c r="R937" s="43"/>
      <c r="S937" s="45"/>
      <c r="T937" s="58" t="str">
        <f>IF(Tableau1[[#This Row],[DMS_SAP]]="","",HYPERLINK(Tableau1[[#This Row],[Chemin fichier source]],"X"))</f>
        <v/>
      </c>
      <c r="U937" s="58" t="str">
        <f>IF(Tableau1[[#This Row],[Date rév.]]="","",HYPERLINK(Tableau1[[#This Row],[Lien document]],"X"))</f>
        <v/>
      </c>
      <c r="V937" s="44"/>
      <c r="W937" s="46" t="str">
        <f ca="1">Chemin_accès!$B$2&amp;Tableau1[[#This Row],[Poste Responsable]]&amp;"\"&amp;Tableau1[[#This Row],[Localisation / Classement]]&amp;"\"&amp;Tableau1[[#This Row],[Poste technique]]&amp;"_"&amp;Tableau1[[#This Row],[Plan Entretien]]&amp;".pdf"</f>
        <v>\\stjn.local\trimet\Donnees_Projets\Dms Sap\Maintenance\PlanEntretien\7.MNRJ\\_.pdf</v>
      </c>
      <c r="X937" s="44"/>
      <c r="Y937" s="44"/>
      <c r="Z937" s="41" t="str">
        <f ca="1">IF(AND(Tableau1[[#This Row],[Charge]]&lt;&gt;0, Tableau1[[#This Row],[Nombre intervenants]]&lt;&gt;0,Tableau1[[#This Row],[Lien document]]&lt;&gt;0,Tableau1[[#This Row],[DMS_SAP]]&lt;&gt;0)=TRUE,"MIS A JOUR","")</f>
        <v/>
      </c>
      <c r="AA937" s="45"/>
      <c r="AB937" s="55" t="str">
        <f ca="1">IF(Tableau1[[#This Row],[Date rév.]]&lt;&gt;"", DAYS360(Tableau1[[#This Row],[Date rév.]],TODAY()),"")</f>
        <v/>
      </c>
      <c r="AC937" s="47">
        <f>IFERROR(INDEX(Chemin_accès!$B$11:$C$22,MATCH(Tableau1[[#This Row],[Type]],Chemin_accès!$C$11:$C$22,0),1),Chemin_accès!$B$11)</f>
        <v>0</v>
      </c>
      <c r="AD937" s="47" t="str">
        <f>Chemin_accès!$B$8&amp;Tableau1[[#This Row],[Localisation / Classement]]&amp;"\"&amp;Tableau1[[#This Row],[Poste technique]]&amp;"_"&amp;Tableau1[[#This Row],[Plan Entretien]]&amp;".xlsm"</f>
        <v>\_.xlsm</v>
      </c>
    </row>
    <row r="938" spans="1:30" x14ac:dyDescent="0.3">
      <c r="A938" s="41" t="str">
        <f t="shared" ca="1" si="14"/>
        <v>7.MNRJ</v>
      </c>
      <c r="B93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8" s="43"/>
      <c r="D938" s="41"/>
      <c r="E938" s="41"/>
      <c r="F938" s="44"/>
      <c r="G938" s="44"/>
      <c r="H938" s="48"/>
      <c r="I938" s="48"/>
      <c r="J938" s="48"/>
      <c r="K938" s="48"/>
      <c r="L938" s="43"/>
      <c r="M938" s="44"/>
      <c r="N938" s="43"/>
      <c r="O938" s="43"/>
      <c r="P938" s="44"/>
      <c r="Q938" s="43"/>
      <c r="R938" s="43"/>
      <c r="S938" s="45"/>
      <c r="T938" s="58" t="str">
        <f>IF(Tableau1[[#This Row],[DMS_SAP]]="","",HYPERLINK(Tableau1[[#This Row],[Chemin fichier source]],"X"))</f>
        <v/>
      </c>
      <c r="U938" s="58" t="str">
        <f>IF(Tableau1[[#This Row],[Date rév.]]="","",HYPERLINK(Tableau1[[#This Row],[Lien document]],"X"))</f>
        <v/>
      </c>
      <c r="V938" s="44"/>
      <c r="W938" s="46" t="str">
        <f ca="1">Chemin_accès!$B$2&amp;Tableau1[[#This Row],[Poste Responsable]]&amp;"\"&amp;Tableau1[[#This Row],[Localisation / Classement]]&amp;"\"&amp;Tableau1[[#This Row],[Poste technique]]&amp;"_"&amp;Tableau1[[#This Row],[Plan Entretien]]&amp;".pdf"</f>
        <v>\\stjn.local\trimet\Donnees_Projets\Dms Sap\Maintenance\PlanEntretien\7.MNRJ\\_.pdf</v>
      </c>
      <c r="X938" s="44"/>
      <c r="Y938" s="44"/>
      <c r="Z938" s="41" t="str">
        <f ca="1">IF(AND(Tableau1[[#This Row],[Charge]]&lt;&gt;0, Tableau1[[#This Row],[Nombre intervenants]]&lt;&gt;0,Tableau1[[#This Row],[Lien document]]&lt;&gt;0,Tableau1[[#This Row],[DMS_SAP]]&lt;&gt;0)=TRUE,"MIS A JOUR","")</f>
        <v/>
      </c>
      <c r="AA938" s="45"/>
      <c r="AB938" s="55" t="str">
        <f ca="1">IF(Tableau1[[#This Row],[Date rév.]]&lt;&gt;"", DAYS360(Tableau1[[#This Row],[Date rév.]],TODAY()),"")</f>
        <v/>
      </c>
      <c r="AC938" s="47">
        <f>IFERROR(INDEX(Chemin_accès!$B$11:$C$22,MATCH(Tableau1[[#This Row],[Type]],Chemin_accès!$C$11:$C$22,0),1),Chemin_accès!$B$11)</f>
        <v>0</v>
      </c>
      <c r="AD938" s="47" t="str">
        <f>Chemin_accès!$B$8&amp;Tableau1[[#This Row],[Localisation / Classement]]&amp;"\"&amp;Tableau1[[#This Row],[Poste technique]]&amp;"_"&amp;Tableau1[[#This Row],[Plan Entretien]]&amp;".xlsm"</f>
        <v>\_.xlsm</v>
      </c>
    </row>
    <row r="939" spans="1:30" x14ac:dyDescent="0.3">
      <c r="A939" s="41" t="str">
        <f t="shared" ca="1" si="14"/>
        <v>7.MNRJ</v>
      </c>
      <c r="B93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9" s="43"/>
      <c r="D939" s="41"/>
      <c r="E939" s="41"/>
      <c r="F939" s="44"/>
      <c r="G939" s="44"/>
      <c r="H939" s="48"/>
      <c r="I939" s="48"/>
      <c r="J939" s="48"/>
      <c r="K939" s="48"/>
      <c r="L939" s="43"/>
      <c r="M939" s="44"/>
      <c r="N939" s="43"/>
      <c r="O939" s="43"/>
      <c r="P939" s="44"/>
      <c r="Q939" s="43"/>
      <c r="R939" s="43"/>
      <c r="S939" s="45"/>
      <c r="T939" s="58" t="str">
        <f>IF(Tableau1[[#This Row],[DMS_SAP]]="","",HYPERLINK(Tableau1[[#This Row],[Chemin fichier source]],"X"))</f>
        <v/>
      </c>
      <c r="U939" s="58" t="str">
        <f>IF(Tableau1[[#This Row],[Date rév.]]="","",HYPERLINK(Tableau1[[#This Row],[Lien document]],"X"))</f>
        <v/>
      </c>
      <c r="V939" s="44"/>
      <c r="W939" s="46" t="str">
        <f ca="1">Chemin_accès!$B$2&amp;Tableau1[[#This Row],[Poste Responsable]]&amp;"\"&amp;Tableau1[[#This Row],[Localisation / Classement]]&amp;"\"&amp;Tableau1[[#This Row],[Poste technique]]&amp;"_"&amp;Tableau1[[#This Row],[Plan Entretien]]&amp;".pdf"</f>
        <v>\\stjn.local\trimet\Donnees_Projets\Dms Sap\Maintenance\PlanEntretien\7.MNRJ\\_.pdf</v>
      </c>
      <c r="X939" s="44"/>
      <c r="Y939" s="44"/>
      <c r="Z939" s="41" t="str">
        <f ca="1">IF(AND(Tableau1[[#This Row],[Charge]]&lt;&gt;0, Tableau1[[#This Row],[Nombre intervenants]]&lt;&gt;0,Tableau1[[#This Row],[Lien document]]&lt;&gt;0,Tableau1[[#This Row],[DMS_SAP]]&lt;&gt;0)=TRUE,"MIS A JOUR","")</f>
        <v/>
      </c>
      <c r="AA939" s="45"/>
      <c r="AB939" s="55" t="str">
        <f ca="1">IF(Tableau1[[#This Row],[Date rév.]]&lt;&gt;"", DAYS360(Tableau1[[#This Row],[Date rév.]],TODAY()),"")</f>
        <v/>
      </c>
      <c r="AC939" s="47">
        <f>IFERROR(INDEX(Chemin_accès!$B$11:$C$22,MATCH(Tableau1[[#This Row],[Type]],Chemin_accès!$C$11:$C$22,0),1),Chemin_accès!$B$11)</f>
        <v>0</v>
      </c>
      <c r="AD939" s="47" t="str">
        <f>Chemin_accès!$B$8&amp;Tableau1[[#This Row],[Localisation / Classement]]&amp;"\"&amp;Tableau1[[#This Row],[Poste technique]]&amp;"_"&amp;Tableau1[[#This Row],[Plan Entretien]]&amp;".xlsm"</f>
        <v>\_.xlsm</v>
      </c>
    </row>
    <row r="940" spans="1:30" x14ac:dyDescent="0.3">
      <c r="A940" s="41" t="str">
        <f t="shared" ca="1" si="14"/>
        <v>7.MNRJ</v>
      </c>
      <c r="B94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0" s="43"/>
      <c r="D940" s="41"/>
      <c r="E940" s="41"/>
      <c r="F940" s="44"/>
      <c r="G940" s="44"/>
      <c r="H940" s="48"/>
      <c r="I940" s="48"/>
      <c r="J940" s="48"/>
      <c r="K940" s="48"/>
      <c r="L940" s="43"/>
      <c r="M940" s="44"/>
      <c r="N940" s="43"/>
      <c r="O940" s="43"/>
      <c r="P940" s="44"/>
      <c r="Q940" s="43"/>
      <c r="R940" s="43"/>
      <c r="S940" s="45"/>
      <c r="T940" s="58" t="str">
        <f>IF(Tableau1[[#This Row],[DMS_SAP]]="","",HYPERLINK(Tableau1[[#This Row],[Chemin fichier source]],"X"))</f>
        <v/>
      </c>
      <c r="U940" s="58" t="str">
        <f>IF(Tableau1[[#This Row],[Date rév.]]="","",HYPERLINK(Tableau1[[#This Row],[Lien document]],"X"))</f>
        <v/>
      </c>
      <c r="V940" s="44"/>
      <c r="W940" s="46" t="str">
        <f ca="1">Chemin_accès!$B$2&amp;Tableau1[[#This Row],[Poste Responsable]]&amp;"\"&amp;Tableau1[[#This Row],[Localisation / Classement]]&amp;"\"&amp;Tableau1[[#This Row],[Poste technique]]&amp;"_"&amp;Tableau1[[#This Row],[Plan Entretien]]&amp;".pdf"</f>
        <v>\\stjn.local\trimet\Donnees_Projets\Dms Sap\Maintenance\PlanEntretien\7.MNRJ\\_.pdf</v>
      </c>
      <c r="X940" s="44"/>
      <c r="Y940" s="44"/>
      <c r="Z940" s="41" t="str">
        <f ca="1">IF(AND(Tableau1[[#This Row],[Charge]]&lt;&gt;0, Tableau1[[#This Row],[Nombre intervenants]]&lt;&gt;0,Tableau1[[#This Row],[Lien document]]&lt;&gt;0,Tableau1[[#This Row],[DMS_SAP]]&lt;&gt;0)=TRUE,"MIS A JOUR","")</f>
        <v/>
      </c>
      <c r="AA940" s="45"/>
      <c r="AB940" s="55" t="str">
        <f ca="1">IF(Tableau1[[#This Row],[Date rév.]]&lt;&gt;"", DAYS360(Tableau1[[#This Row],[Date rév.]],TODAY()),"")</f>
        <v/>
      </c>
      <c r="AC940" s="47">
        <f>IFERROR(INDEX(Chemin_accès!$B$11:$C$22,MATCH(Tableau1[[#This Row],[Type]],Chemin_accès!$C$11:$C$22,0),1),Chemin_accès!$B$11)</f>
        <v>0</v>
      </c>
      <c r="AD940" s="47" t="str">
        <f>Chemin_accès!$B$8&amp;Tableau1[[#This Row],[Localisation / Classement]]&amp;"\"&amp;Tableau1[[#This Row],[Poste technique]]&amp;"_"&amp;Tableau1[[#This Row],[Plan Entretien]]&amp;".xlsm"</f>
        <v>\_.xlsm</v>
      </c>
    </row>
    <row r="941" spans="1:30" x14ac:dyDescent="0.3">
      <c r="A941" s="41" t="str">
        <f t="shared" ca="1" si="14"/>
        <v>7.MNRJ</v>
      </c>
      <c r="B94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1" s="43"/>
      <c r="D941" s="41"/>
      <c r="E941" s="41"/>
      <c r="F941" s="44"/>
      <c r="G941" s="44"/>
      <c r="H941" s="48"/>
      <c r="I941" s="48"/>
      <c r="J941" s="48"/>
      <c r="K941" s="48"/>
      <c r="L941" s="43"/>
      <c r="M941" s="44"/>
      <c r="N941" s="43"/>
      <c r="O941" s="43"/>
      <c r="P941" s="44"/>
      <c r="Q941" s="43"/>
      <c r="R941" s="43"/>
      <c r="S941" s="45"/>
      <c r="T941" s="58" t="str">
        <f>IF(Tableau1[[#This Row],[DMS_SAP]]="","",HYPERLINK(Tableau1[[#This Row],[Chemin fichier source]],"X"))</f>
        <v/>
      </c>
      <c r="U941" s="58" t="str">
        <f>IF(Tableau1[[#This Row],[Date rév.]]="","",HYPERLINK(Tableau1[[#This Row],[Lien document]],"X"))</f>
        <v/>
      </c>
      <c r="V941" s="44"/>
      <c r="W941" s="46" t="str">
        <f ca="1">Chemin_accès!$B$2&amp;Tableau1[[#This Row],[Poste Responsable]]&amp;"\"&amp;Tableau1[[#This Row],[Localisation / Classement]]&amp;"\"&amp;Tableau1[[#This Row],[Poste technique]]&amp;"_"&amp;Tableau1[[#This Row],[Plan Entretien]]&amp;".pdf"</f>
        <v>\\stjn.local\trimet\Donnees_Projets\Dms Sap\Maintenance\PlanEntretien\7.MNRJ\\_.pdf</v>
      </c>
      <c r="X941" s="44"/>
      <c r="Y941" s="44"/>
      <c r="Z941" s="41" t="str">
        <f ca="1">IF(AND(Tableau1[[#This Row],[Charge]]&lt;&gt;0, Tableau1[[#This Row],[Nombre intervenants]]&lt;&gt;0,Tableau1[[#This Row],[Lien document]]&lt;&gt;0,Tableau1[[#This Row],[DMS_SAP]]&lt;&gt;0)=TRUE,"MIS A JOUR","")</f>
        <v/>
      </c>
      <c r="AA941" s="45"/>
      <c r="AB941" s="55" t="str">
        <f ca="1">IF(Tableau1[[#This Row],[Date rév.]]&lt;&gt;"", DAYS360(Tableau1[[#This Row],[Date rév.]],TODAY()),"")</f>
        <v/>
      </c>
      <c r="AC941" s="47">
        <f>IFERROR(INDEX(Chemin_accès!$B$11:$C$22,MATCH(Tableau1[[#This Row],[Type]],Chemin_accès!$C$11:$C$22,0),1),Chemin_accès!$B$11)</f>
        <v>0</v>
      </c>
      <c r="AD941" s="47" t="str">
        <f>Chemin_accès!$B$8&amp;Tableau1[[#This Row],[Localisation / Classement]]&amp;"\"&amp;Tableau1[[#This Row],[Poste technique]]&amp;"_"&amp;Tableau1[[#This Row],[Plan Entretien]]&amp;".xlsm"</f>
        <v>\_.xlsm</v>
      </c>
    </row>
    <row r="942" spans="1:30" x14ac:dyDescent="0.3">
      <c r="A942" s="41" t="str">
        <f t="shared" ca="1" si="14"/>
        <v>7.MNRJ</v>
      </c>
      <c r="B94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2" s="43"/>
      <c r="D942" s="41"/>
      <c r="E942" s="41"/>
      <c r="F942" s="44"/>
      <c r="G942" s="44"/>
      <c r="H942" s="48"/>
      <c r="I942" s="48"/>
      <c r="J942" s="48"/>
      <c r="K942" s="48"/>
      <c r="L942" s="43"/>
      <c r="M942" s="44"/>
      <c r="N942" s="43"/>
      <c r="O942" s="43"/>
      <c r="P942" s="44"/>
      <c r="Q942" s="43"/>
      <c r="R942" s="43"/>
      <c r="S942" s="45"/>
      <c r="T942" s="58" t="str">
        <f>IF(Tableau1[[#This Row],[DMS_SAP]]="","",HYPERLINK(Tableau1[[#This Row],[Chemin fichier source]],"X"))</f>
        <v/>
      </c>
      <c r="U942" s="58" t="str">
        <f>IF(Tableau1[[#This Row],[Date rév.]]="","",HYPERLINK(Tableau1[[#This Row],[Lien document]],"X"))</f>
        <v/>
      </c>
      <c r="V942" s="44"/>
      <c r="W942" s="46" t="str">
        <f ca="1">Chemin_accès!$B$2&amp;Tableau1[[#This Row],[Poste Responsable]]&amp;"\"&amp;Tableau1[[#This Row],[Localisation / Classement]]&amp;"\"&amp;Tableau1[[#This Row],[Poste technique]]&amp;"_"&amp;Tableau1[[#This Row],[Plan Entretien]]&amp;".pdf"</f>
        <v>\\stjn.local\trimet\Donnees_Projets\Dms Sap\Maintenance\PlanEntretien\7.MNRJ\\_.pdf</v>
      </c>
      <c r="X942" s="44"/>
      <c r="Y942" s="44"/>
      <c r="Z942" s="41" t="str">
        <f ca="1">IF(AND(Tableau1[[#This Row],[Charge]]&lt;&gt;0, Tableau1[[#This Row],[Nombre intervenants]]&lt;&gt;0,Tableau1[[#This Row],[Lien document]]&lt;&gt;0,Tableau1[[#This Row],[DMS_SAP]]&lt;&gt;0)=TRUE,"MIS A JOUR","")</f>
        <v/>
      </c>
      <c r="AA942" s="45"/>
      <c r="AB942" s="55" t="str">
        <f ca="1">IF(Tableau1[[#This Row],[Date rév.]]&lt;&gt;"", DAYS360(Tableau1[[#This Row],[Date rév.]],TODAY()),"")</f>
        <v/>
      </c>
      <c r="AC942" s="47">
        <f>IFERROR(INDEX(Chemin_accès!$B$11:$C$22,MATCH(Tableau1[[#This Row],[Type]],Chemin_accès!$C$11:$C$22,0),1),Chemin_accès!$B$11)</f>
        <v>0</v>
      </c>
      <c r="AD942" s="47" t="str">
        <f>Chemin_accès!$B$8&amp;Tableau1[[#This Row],[Localisation / Classement]]&amp;"\"&amp;Tableau1[[#This Row],[Poste technique]]&amp;"_"&amp;Tableau1[[#This Row],[Plan Entretien]]&amp;".xlsm"</f>
        <v>\_.xlsm</v>
      </c>
    </row>
    <row r="943" spans="1:30" x14ac:dyDescent="0.3">
      <c r="A943" s="41" t="str">
        <f t="shared" ca="1" si="14"/>
        <v>7.MNRJ</v>
      </c>
      <c r="B94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3" s="43"/>
      <c r="D943" s="41"/>
      <c r="E943" s="41"/>
      <c r="F943" s="44"/>
      <c r="G943" s="44"/>
      <c r="H943" s="48"/>
      <c r="I943" s="48"/>
      <c r="J943" s="48"/>
      <c r="K943" s="48"/>
      <c r="L943" s="43"/>
      <c r="M943" s="44"/>
      <c r="N943" s="43"/>
      <c r="O943" s="43"/>
      <c r="P943" s="44"/>
      <c r="Q943" s="43"/>
      <c r="R943" s="43"/>
      <c r="S943" s="45"/>
      <c r="T943" s="58" t="str">
        <f>IF(Tableau1[[#This Row],[DMS_SAP]]="","",HYPERLINK(Tableau1[[#This Row],[Chemin fichier source]],"X"))</f>
        <v/>
      </c>
      <c r="U943" s="58" t="str">
        <f>IF(Tableau1[[#This Row],[Date rév.]]="","",HYPERLINK(Tableau1[[#This Row],[Lien document]],"X"))</f>
        <v/>
      </c>
      <c r="V943" s="44"/>
      <c r="W943" s="46" t="str">
        <f ca="1">Chemin_accès!$B$2&amp;Tableau1[[#This Row],[Poste Responsable]]&amp;"\"&amp;Tableau1[[#This Row],[Localisation / Classement]]&amp;"\"&amp;Tableau1[[#This Row],[Poste technique]]&amp;"_"&amp;Tableau1[[#This Row],[Plan Entretien]]&amp;".pdf"</f>
        <v>\\stjn.local\trimet\Donnees_Projets\Dms Sap\Maintenance\PlanEntretien\7.MNRJ\\_.pdf</v>
      </c>
      <c r="X943" s="44"/>
      <c r="Y943" s="44"/>
      <c r="Z943" s="41" t="str">
        <f ca="1">IF(AND(Tableau1[[#This Row],[Charge]]&lt;&gt;0, Tableau1[[#This Row],[Nombre intervenants]]&lt;&gt;0,Tableau1[[#This Row],[Lien document]]&lt;&gt;0,Tableau1[[#This Row],[DMS_SAP]]&lt;&gt;0)=TRUE,"MIS A JOUR","")</f>
        <v/>
      </c>
      <c r="AA943" s="45"/>
      <c r="AB943" s="55" t="str">
        <f ca="1">IF(Tableau1[[#This Row],[Date rév.]]&lt;&gt;"", DAYS360(Tableau1[[#This Row],[Date rév.]],TODAY()),"")</f>
        <v/>
      </c>
      <c r="AC943" s="47">
        <f>IFERROR(INDEX(Chemin_accès!$B$11:$C$22,MATCH(Tableau1[[#This Row],[Type]],Chemin_accès!$C$11:$C$22,0),1),Chemin_accès!$B$11)</f>
        <v>0</v>
      </c>
      <c r="AD943" s="47" t="str">
        <f>Chemin_accès!$B$8&amp;Tableau1[[#This Row],[Localisation / Classement]]&amp;"\"&amp;Tableau1[[#This Row],[Poste technique]]&amp;"_"&amp;Tableau1[[#This Row],[Plan Entretien]]&amp;".xlsm"</f>
        <v>\_.xlsm</v>
      </c>
    </row>
    <row r="944" spans="1:30" x14ac:dyDescent="0.3">
      <c r="A944" s="41" t="str">
        <f t="shared" ca="1" si="14"/>
        <v>7.MNRJ</v>
      </c>
      <c r="B94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4" s="43"/>
      <c r="D944" s="41"/>
      <c r="E944" s="41"/>
      <c r="F944" s="44"/>
      <c r="G944" s="44"/>
      <c r="H944" s="48"/>
      <c r="I944" s="48"/>
      <c r="J944" s="48"/>
      <c r="K944" s="48"/>
      <c r="L944" s="43"/>
      <c r="M944" s="44"/>
      <c r="N944" s="43"/>
      <c r="O944" s="43"/>
      <c r="P944" s="44"/>
      <c r="Q944" s="43"/>
      <c r="R944" s="43"/>
      <c r="S944" s="45"/>
      <c r="T944" s="58" t="str">
        <f>IF(Tableau1[[#This Row],[DMS_SAP]]="","",HYPERLINK(Tableau1[[#This Row],[Chemin fichier source]],"X"))</f>
        <v/>
      </c>
      <c r="U944" s="58" t="str">
        <f>IF(Tableau1[[#This Row],[Date rév.]]="","",HYPERLINK(Tableau1[[#This Row],[Lien document]],"X"))</f>
        <v/>
      </c>
      <c r="V944" s="44"/>
      <c r="W944" s="46" t="str">
        <f ca="1">Chemin_accès!$B$2&amp;Tableau1[[#This Row],[Poste Responsable]]&amp;"\"&amp;Tableau1[[#This Row],[Localisation / Classement]]&amp;"\"&amp;Tableau1[[#This Row],[Poste technique]]&amp;"_"&amp;Tableau1[[#This Row],[Plan Entretien]]&amp;".pdf"</f>
        <v>\\stjn.local\trimet\Donnees_Projets\Dms Sap\Maintenance\PlanEntretien\7.MNRJ\\_.pdf</v>
      </c>
      <c r="X944" s="44"/>
      <c r="Y944" s="44"/>
      <c r="Z944" s="41" t="str">
        <f ca="1">IF(AND(Tableau1[[#This Row],[Charge]]&lt;&gt;0, Tableau1[[#This Row],[Nombre intervenants]]&lt;&gt;0,Tableau1[[#This Row],[Lien document]]&lt;&gt;0,Tableau1[[#This Row],[DMS_SAP]]&lt;&gt;0)=TRUE,"MIS A JOUR","")</f>
        <v/>
      </c>
      <c r="AA944" s="45"/>
      <c r="AB944" s="55" t="str">
        <f ca="1">IF(Tableau1[[#This Row],[Date rév.]]&lt;&gt;"", DAYS360(Tableau1[[#This Row],[Date rév.]],TODAY()),"")</f>
        <v/>
      </c>
      <c r="AC944" s="47">
        <f>IFERROR(INDEX(Chemin_accès!$B$11:$C$22,MATCH(Tableau1[[#This Row],[Type]],Chemin_accès!$C$11:$C$22,0),1),Chemin_accès!$B$11)</f>
        <v>0</v>
      </c>
      <c r="AD944" s="47" t="str">
        <f>Chemin_accès!$B$8&amp;Tableau1[[#This Row],[Localisation / Classement]]&amp;"\"&amp;Tableau1[[#This Row],[Poste technique]]&amp;"_"&amp;Tableau1[[#This Row],[Plan Entretien]]&amp;".xlsm"</f>
        <v>\_.xlsm</v>
      </c>
    </row>
    <row r="945" spans="1:30" x14ac:dyDescent="0.3">
      <c r="A945" s="41" t="str">
        <f t="shared" ca="1" si="14"/>
        <v>7.MNRJ</v>
      </c>
      <c r="B94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5" s="43"/>
      <c r="D945" s="41"/>
      <c r="E945" s="41"/>
      <c r="F945" s="44"/>
      <c r="G945" s="44"/>
      <c r="H945" s="48"/>
      <c r="I945" s="48"/>
      <c r="J945" s="48"/>
      <c r="K945" s="48"/>
      <c r="L945" s="43"/>
      <c r="M945" s="44"/>
      <c r="N945" s="43"/>
      <c r="O945" s="43"/>
      <c r="P945" s="44"/>
      <c r="Q945" s="43"/>
      <c r="R945" s="43"/>
      <c r="S945" s="45"/>
      <c r="T945" s="58" t="str">
        <f>IF(Tableau1[[#This Row],[DMS_SAP]]="","",HYPERLINK(Tableau1[[#This Row],[Chemin fichier source]],"X"))</f>
        <v/>
      </c>
      <c r="U945" s="58" t="str">
        <f>IF(Tableau1[[#This Row],[Date rév.]]="","",HYPERLINK(Tableau1[[#This Row],[Lien document]],"X"))</f>
        <v/>
      </c>
      <c r="V945" s="44"/>
      <c r="W945" s="46" t="str">
        <f ca="1">Chemin_accès!$B$2&amp;Tableau1[[#This Row],[Poste Responsable]]&amp;"\"&amp;Tableau1[[#This Row],[Localisation / Classement]]&amp;"\"&amp;Tableau1[[#This Row],[Poste technique]]&amp;"_"&amp;Tableau1[[#This Row],[Plan Entretien]]&amp;".pdf"</f>
        <v>\\stjn.local\trimet\Donnees_Projets\Dms Sap\Maintenance\PlanEntretien\7.MNRJ\\_.pdf</v>
      </c>
      <c r="X945" s="44"/>
      <c r="Y945" s="44"/>
      <c r="Z945" s="41" t="str">
        <f ca="1">IF(AND(Tableau1[[#This Row],[Charge]]&lt;&gt;0, Tableau1[[#This Row],[Nombre intervenants]]&lt;&gt;0,Tableau1[[#This Row],[Lien document]]&lt;&gt;0,Tableau1[[#This Row],[DMS_SAP]]&lt;&gt;0)=TRUE,"MIS A JOUR","")</f>
        <v/>
      </c>
      <c r="AA945" s="45"/>
      <c r="AB945" s="55" t="str">
        <f ca="1">IF(Tableau1[[#This Row],[Date rév.]]&lt;&gt;"", DAYS360(Tableau1[[#This Row],[Date rév.]],TODAY()),"")</f>
        <v/>
      </c>
      <c r="AC945" s="47">
        <f>IFERROR(INDEX(Chemin_accès!$B$11:$C$22,MATCH(Tableau1[[#This Row],[Type]],Chemin_accès!$C$11:$C$22,0),1),Chemin_accès!$B$11)</f>
        <v>0</v>
      </c>
      <c r="AD945" s="47" t="str">
        <f>Chemin_accès!$B$8&amp;Tableau1[[#This Row],[Localisation / Classement]]&amp;"\"&amp;Tableau1[[#This Row],[Poste technique]]&amp;"_"&amp;Tableau1[[#This Row],[Plan Entretien]]&amp;".xlsm"</f>
        <v>\_.xlsm</v>
      </c>
    </row>
    <row r="946" spans="1:30" x14ac:dyDescent="0.3">
      <c r="A946" s="41" t="str">
        <f t="shared" ca="1" si="14"/>
        <v>7.MNRJ</v>
      </c>
      <c r="B94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6" s="43"/>
      <c r="D946" s="41"/>
      <c r="E946" s="41"/>
      <c r="F946" s="44"/>
      <c r="G946" s="44"/>
      <c r="H946" s="48"/>
      <c r="I946" s="48"/>
      <c r="J946" s="48"/>
      <c r="K946" s="48"/>
      <c r="L946" s="43"/>
      <c r="M946" s="44"/>
      <c r="N946" s="43"/>
      <c r="O946" s="43"/>
      <c r="P946" s="44"/>
      <c r="Q946" s="43"/>
      <c r="R946" s="43"/>
      <c r="S946" s="45"/>
      <c r="T946" s="58" t="str">
        <f>IF(Tableau1[[#This Row],[DMS_SAP]]="","",HYPERLINK(Tableau1[[#This Row],[Chemin fichier source]],"X"))</f>
        <v/>
      </c>
      <c r="U946" s="58" t="str">
        <f>IF(Tableau1[[#This Row],[Date rév.]]="","",HYPERLINK(Tableau1[[#This Row],[Lien document]],"X"))</f>
        <v/>
      </c>
      <c r="V946" s="44"/>
      <c r="W946" s="46" t="str">
        <f ca="1">Chemin_accès!$B$2&amp;Tableau1[[#This Row],[Poste Responsable]]&amp;"\"&amp;Tableau1[[#This Row],[Localisation / Classement]]&amp;"\"&amp;Tableau1[[#This Row],[Poste technique]]&amp;"_"&amp;Tableau1[[#This Row],[Plan Entretien]]&amp;".pdf"</f>
        <v>\\stjn.local\trimet\Donnees_Projets\Dms Sap\Maintenance\PlanEntretien\7.MNRJ\\_.pdf</v>
      </c>
      <c r="X946" s="44"/>
      <c r="Y946" s="44"/>
      <c r="Z946" s="41" t="str">
        <f ca="1">IF(AND(Tableau1[[#This Row],[Charge]]&lt;&gt;0, Tableau1[[#This Row],[Nombre intervenants]]&lt;&gt;0,Tableau1[[#This Row],[Lien document]]&lt;&gt;0,Tableau1[[#This Row],[DMS_SAP]]&lt;&gt;0)=TRUE,"MIS A JOUR","")</f>
        <v/>
      </c>
      <c r="AA946" s="45"/>
      <c r="AB946" s="55" t="str">
        <f ca="1">IF(Tableau1[[#This Row],[Date rév.]]&lt;&gt;"", DAYS360(Tableau1[[#This Row],[Date rév.]],TODAY()),"")</f>
        <v/>
      </c>
      <c r="AC946" s="47">
        <f>IFERROR(INDEX(Chemin_accès!$B$11:$C$22,MATCH(Tableau1[[#This Row],[Type]],Chemin_accès!$C$11:$C$22,0),1),Chemin_accès!$B$11)</f>
        <v>0</v>
      </c>
      <c r="AD946" s="47" t="str">
        <f>Chemin_accès!$B$8&amp;Tableau1[[#This Row],[Localisation / Classement]]&amp;"\"&amp;Tableau1[[#This Row],[Poste technique]]&amp;"_"&amp;Tableau1[[#This Row],[Plan Entretien]]&amp;".xlsm"</f>
        <v>\_.xlsm</v>
      </c>
    </row>
    <row r="947" spans="1:30" x14ac:dyDescent="0.3">
      <c r="A947" s="41" t="str">
        <f t="shared" ca="1" si="14"/>
        <v>7.MNRJ</v>
      </c>
      <c r="B94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7" s="43"/>
      <c r="D947" s="41"/>
      <c r="E947" s="41"/>
      <c r="F947" s="44"/>
      <c r="G947" s="44"/>
      <c r="H947" s="48"/>
      <c r="I947" s="48"/>
      <c r="J947" s="48"/>
      <c r="K947" s="48"/>
      <c r="L947" s="43"/>
      <c r="M947" s="44"/>
      <c r="N947" s="43"/>
      <c r="O947" s="43"/>
      <c r="P947" s="44"/>
      <c r="Q947" s="43"/>
      <c r="R947" s="43"/>
      <c r="S947" s="45"/>
      <c r="T947" s="58" t="str">
        <f>IF(Tableau1[[#This Row],[DMS_SAP]]="","",HYPERLINK(Tableau1[[#This Row],[Chemin fichier source]],"X"))</f>
        <v/>
      </c>
      <c r="U947" s="58" t="str">
        <f>IF(Tableau1[[#This Row],[Date rév.]]="","",HYPERLINK(Tableau1[[#This Row],[Lien document]],"X"))</f>
        <v/>
      </c>
      <c r="V947" s="44"/>
      <c r="W947" s="46" t="str">
        <f ca="1">Chemin_accès!$B$2&amp;Tableau1[[#This Row],[Poste Responsable]]&amp;"\"&amp;Tableau1[[#This Row],[Localisation / Classement]]&amp;"\"&amp;Tableau1[[#This Row],[Poste technique]]&amp;"_"&amp;Tableau1[[#This Row],[Plan Entretien]]&amp;".pdf"</f>
        <v>\\stjn.local\trimet\Donnees_Projets\Dms Sap\Maintenance\PlanEntretien\7.MNRJ\\_.pdf</v>
      </c>
      <c r="X947" s="44"/>
      <c r="Y947" s="44"/>
      <c r="Z947" s="41" t="str">
        <f ca="1">IF(AND(Tableau1[[#This Row],[Charge]]&lt;&gt;0, Tableau1[[#This Row],[Nombre intervenants]]&lt;&gt;0,Tableau1[[#This Row],[Lien document]]&lt;&gt;0,Tableau1[[#This Row],[DMS_SAP]]&lt;&gt;0)=TRUE,"MIS A JOUR","")</f>
        <v/>
      </c>
      <c r="AA947" s="45"/>
      <c r="AB947" s="55" t="str">
        <f ca="1">IF(Tableau1[[#This Row],[Date rév.]]&lt;&gt;"", DAYS360(Tableau1[[#This Row],[Date rév.]],TODAY()),"")</f>
        <v/>
      </c>
      <c r="AC947" s="47">
        <f>IFERROR(INDEX(Chemin_accès!$B$11:$C$22,MATCH(Tableau1[[#This Row],[Type]],Chemin_accès!$C$11:$C$22,0),1),Chemin_accès!$B$11)</f>
        <v>0</v>
      </c>
      <c r="AD947" s="47" t="str">
        <f>Chemin_accès!$B$8&amp;Tableau1[[#This Row],[Localisation / Classement]]&amp;"\"&amp;Tableau1[[#This Row],[Poste technique]]&amp;"_"&amp;Tableau1[[#This Row],[Plan Entretien]]&amp;".xlsm"</f>
        <v>\_.xlsm</v>
      </c>
    </row>
    <row r="948" spans="1:30" x14ac:dyDescent="0.3">
      <c r="A948" s="41" t="str">
        <f t="shared" ca="1" si="14"/>
        <v>7.MNRJ</v>
      </c>
      <c r="B94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8" s="43"/>
      <c r="D948" s="41"/>
      <c r="E948" s="41"/>
      <c r="F948" s="44"/>
      <c r="G948" s="44"/>
      <c r="H948" s="48"/>
      <c r="I948" s="48"/>
      <c r="J948" s="48"/>
      <c r="K948" s="48"/>
      <c r="L948" s="43"/>
      <c r="M948" s="44"/>
      <c r="N948" s="43"/>
      <c r="O948" s="43"/>
      <c r="P948" s="44"/>
      <c r="Q948" s="43"/>
      <c r="R948" s="43"/>
      <c r="S948" s="45"/>
      <c r="T948" s="58" t="str">
        <f>IF(Tableau1[[#This Row],[DMS_SAP]]="","",HYPERLINK(Tableau1[[#This Row],[Chemin fichier source]],"X"))</f>
        <v/>
      </c>
      <c r="U948" s="58" t="str">
        <f>IF(Tableau1[[#This Row],[Date rév.]]="","",HYPERLINK(Tableau1[[#This Row],[Lien document]],"X"))</f>
        <v/>
      </c>
      <c r="V948" s="44"/>
      <c r="W948" s="46" t="str">
        <f ca="1">Chemin_accès!$B$2&amp;Tableau1[[#This Row],[Poste Responsable]]&amp;"\"&amp;Tableau1[[#This Row],[Localisation / Classement]]&amp;"\"&amp;Tableau1[[#This Row],[Poste technique]]&amp;"_"&amp;Tableau1[[#This Row],[Plan Entretien]]&amp;".pdf"</f>
        <v>\\stjn.local\trimet\Donnees_Projets\Dms Sap\Maintenance\PlanEntretien\7.MNRJ\\_.pdf</v>
      </c>
      <c r="X948" s="44"/>
      <c r="Y948" s="44"/>
      <c r="Z948" s="41" t="str">
        <f ca="1">IF(AND(Tableau1[[#This Row],[Charge]]&lt;&gt;0, Tableau1[[#This Row],[Nombre intervenants]]&lt;&gt;0,Tableau1[[#This Row],[Lien document]]&lt;&gt;0,Tableau1[[#This Row],[DMS_SAP]]&lt;&gt;0)=TRUE,"MIS A JOUR","")</f>
        <v/>
      </c>
      <c r="AA948" s="45"/>
      <c r="AB948" s="55" t="str">
        <f ca="1">IF(Tableau1[[#This Row],[Date rév.]]&lt;&gt;"", DAYS360(Tableau1[[#This Row],[Date rév.]],TODAY()),"")</f>
        <v/>
      </c>
      <c r="AC948" s="47">
        <f>IFERROR(INDEX(Chemin_accès!$B$11:$C$22,MATCH(Tableau1[[#This Row],[Type]],Chemin_accès!$C$11:$C$22,0),1),Chemin_accès!$B$11)</f>
        <v>0</v>
      </c>
      <c r="AD948" s="47" t="str">
        <f>Chemin_accès!$B$8&amp;Tableau1[[#This Row],[Localisation / Classement]]&amp;"\"&amp;Tableau1[[#This Row],[Poste technique]]&amp;"_"&amp;Tableau1[[#This Row],[Plan Entretien]]&amp;".xlsm"</f>
        <v>\_.xlsm</v>
      </c>
    </row>
    <row r="949" spans="1:30" x14ac:dyDescent="0.3">
      <c r="A949" s="41" t="str">
        <f t="shared" ca="1" si="14"/>
        <v>7.MNRJ</v>
      </c>
      <c r="B94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9" s="43"/>
      <c r="D949" s="41"/>
      <c r="E949" s="41"/>
      <c r="F949" s="44"/>
      <c r="G949" s="44"/>
      <c r="H949" s="48"/>
      <c r="I949" s="48"/>
      <c r="J949" s="48"/>
      <c r="K949" s="48"/>
      <c r="L949" s="43"/>
      <c r="M949" s="44"/>
      <c r="N949" s="43"/>
      <c r="O949" s="43"/>
      <c r="P949" s="44"/>
      <c r="Q949" s="43"/>
      <c r="R949" s="43"/>
      <c r="S949" s="45"/>
      <c r="T949" s="58" t="str">
        <f>IF(Tableau1[[#This Row],[DMS_SAP]]="","",HYPERLINK(Tableau1[[#This Row],[Chemin fichier source]],"X"))</f>
        <v/>
      </c>
      <c r="U949" s="58" t="str">
        <f>IF(Tableau1[[#This Row],[Date rév.]]="","",HYPERLINK(Tableau1[[#This Row],[Lien document]],"X"))</f>
        <v/>
      </c>
      <c r="V949" s="44"/>
      <c r="W949" s="46" t="str">
        <f ca="1">Chemin_accès!$B$2&amp;Tableau1[[#This Row],[Poste Responsable]]&amp;"\"&amp;Tableau1[[#This Row],[Localisation / Classement]]&amp;"\"&amp;Tableau1[[#This Row],[Poste technique]]&amp;"_"&amp;Tableau1[[#This Row],[Plan Entretien]]&amp;".pdf"</f>
        <v>\\stjn.local\trimet\Donnees_Projets\Dms Sap\Maintenance\PlanEntretien\7.MNRJ\\_.pdf</v>
      </c>
      <c r="X949" s="44"/>
      <c r="Y949" s="44"/>
      <c r="Z949" s="41" t="str">
        <f ca="1">IF(AND(Tableau1[[#This Row],[Charge]]&lt;&gt;0, Tableau1[[#This Row],[Nombre intervenants]]&lt;&gt;0,Tableau1[[#This Row],[Lien document]]&lt;&gt;0,Tableau1[[#This Row],[DMS_SAP]]&lt;&gt;0)=TRUE,"MIS A JOUR","")</f>
        <v/>
      </c>
      <c r="AA949" s="45"/>
      <c r="AB949" s="55" t="str">
        <f ca="1">IF(Tableau1[[#This Row],[Date rév.]]&lt;&gt;"", DAYS360(Tableau1[[#This Row],[Date rév.]],TODAY()),"")</f>
        <v/>
      </c>
      <c r="AC949" s="47">
        <f>IFERROR(INDEX(Chemin_accès!$B$11:$C$22,MATCH(Tableau1[[#This Row],[Type]],Chemin_accès!$C$11:$C$22,0),1),Chemin_accès!$B$11)</f>
        <v>0</v>
      </c>
      <c r="AD949" s="47" t="str">
        <f>Chemin_accès!$B$8&amp;Tableau1[[#This Row],[Localisation / Classement]]&amp;"\"&amp;Tableau1[[#This Row],[Poste technique]]&amp;"_"&amp;Tableau1[[#This Row],[Plan Entretien]]&amp;".xlsm"</f>
        <v>\_.xlsm</v>
      </c>
    </row>
    <row r="950" spans="1:30" x14ac:dyDescent="0.3">
      <c r="A950" s="41" t="str">
        <f t="shared" ca="1" si="14"/>
        <v>7.MNRJ</v>
      </c>
      <c r="B95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0" s="43"/>
      <c r="D950" s="41"/>
      <c r="E950" s="41"/>
      <c r="F950" s="44"/>
      <c r="G950" s="44"/>
      <c r="H950" s="48"/>
      <c r="I950" s="48"/>
      <c r="J950" s="48"/>
      <c r="K950" s="48"/>
      <c r="L950" s="43"/>
      <c r="M950" s="44"/>
      <c r="N950" s="43"/>
      <c r="O950" s="43"/>
      <c r="P950" s="44"/>
      <c r="Q950" s="43"/>
      <c r="R950" s="43"/>
      <c r="S950" s="45"/>
      <c r="T950" s="58" t="str">
        <f>IF(Tableau1[[#This Row],[DMS_SAP]]="","",HYPERLINK(Tableau1[[#This Row],[Chemin fichier source]],"X"))</f>
        <v/>
      </c>
      <c r="U950" s="58" t="str">
        <f>IF(Tableau1[[#This Row],[Date rév.]]="","",HYPERLINK(Tableau1[[#This Row],[Lien document]],"X"))</f>
        <v/>
      </c>
      <c r="V950" s="44"/>
      <c r="W950" s="46" t="str">
        <f ca="1">Chemin_accès!$B$2&amp;Tableau1[[#This Row],[Poste Responsable]]&amp;"\"&amp;Tableau1[[#This Row],[Localisation / Classement]]&amp;"\"&amp;Tableau1[[#This Row],[Poste technique]]&amp;"_"&amp;Tableau1[[#This Row],[Plan Entretien]]&amp;".pdf"</f>
        <v>\\stjn.local\trimet\Donnees_Projets\Dms Sap\Maintenance\PlanEntretien\7.MNRJ\\_.pdf</v>
      </c>
      <c r="X950" s="44"/>
      <c r="Y950" s="44"/>
      <c r="Z950" s="41" t="str">
        <f ca="1">IF(AND(Tableau1[[#This Row],[Charge]]&lt;&gt;0, Tableau1[[#This Row],[Nombre intervenants]]&lt;&gt;0,Tableau1[[#This Row],[Lien document]]&lt;&gt;0,Tableau1[[#This Row],[DMS_SAP]]&lt;&gt;0)=TRUE,"MIS A JOUR","")</f>
        <v/>
      </c>
      <c r="AA950" s="45"/>
      <c r="AB950" s="55" t="str">
        <f ca="1">IF(Tableau1[[#This Row],[Date rév.]]&lt;&gt;"", DAYS360(Tableau1[[#This Row],[Date rév.]],TODAY()),"")</f>
        <v/>
      </c>
      <c r="AC950" s="47">
        <f>IFERROR(INDEX(Chemin_accès!$B$11:$C$22,MATCH(Tableau1[[#This Row],[Type]],Chemin_accès!$C$11:$C$22,0),1),Chemin_accès!$B$11)</f>
        <v>0</v>
      </c>
      <c r="AD950" s="47" t="str">
        <f>Chemin_accès!$B$8&amp;Tableau1[[#This Row],[Localisation / Classement]]&amp;"\"&amp;Tableau1[[#This Row],[Poste technique]]&amp;"_"&amp;Tableau1[[#This Row],[Plan Entretien]]&amp;".xlsm"</f>
        <v>\_.xlsm</v>
      </c>
    </row>
    <row r="951" spans="1:30" x14ac:dyDescent="0.3">
      <c r="A951" s="41" t="str">
        <f t="shared" ca="1" si="14"/>
        <v>7.MNRJ</v>
      </c>
      <c r="B95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1" s="43"/>
      <c r="D951" s="41"/>
      <c r="E951" s="41"/>
      <c r="F951" s="44"/>
      <c r="G951" s="44"/>
      <c r="H951" s="48"/>
      <c r="I951" s="48"/>
      <c r="J951" s="48"/>
      <c r="K951" s="48"/>
      <c r="L951" s="43"/>
      <c r="M951" s="44"/>
      <c r="N951" s="43"/>
      <c r="O951" s="43"/>
      <c r="P951" s="44"/>
      <c r="Q951" s="43"/>
      <c r="R951" s="43"/>
      <c r="S951" s="45"/>
      <c r="T951" s="58" t="str">
        <f>IF(Tableau1[[#This Row],[DMS_SAP]]="","",HYPERLINK(Tableau1[[#This Row],[Chemin fichier source]],"X"))</f>
        <v/>
      </c>
      <c r="U951" s="58" t="str">
        <f>IF(Tableau1[[#This Row],[Date rév.]]="","",HYPERLINK(Tableau1[[#This Row],[Lien document]],"X"))</f>
        <v/>
      </c>
      <c r="V951" s="44"/>
      <c r="W951" s="46" t="str">
        <f ca="1">Chemin_accès!$B$2&amp;Tableau1[[#This Row],[Poste Responsable]]&amp;"\"&amp;Tableau1[[#This Row],[Localisation / Classement]]&amp;"\"&amp;Tableau1[[#This Row],[Poste technique]]&amp;"_"&amp;Tableau1[[#This Row],[Plan Entretien]]&amp;".pdf"</f>
        <v>\\stjn.local\trimet\Donnees_Projets\Dms Sap\Maintenance\PlanEntretien\7.MNRJ\\_.pdf</v>
      </c>
      <c r="X951" s="44"/>
      <c r="Y951" s="44"/>
      <c r="Z951" s="41" t="str">
        <f ca="1">IF(AND(Tableau1[[#This Row],[Charge]]&lt;&gt;0, Tableau1[[#This Row],[Nombre intervenants]]&lt;&gt;0,Tableau1[[#This Row],[Lien document]]&lt;&gt;0,Tableau1[[#This Row],[DMS_SAP]]&lt;&gt;0)=TRUE,"MIS A JOUR","")</f>
        <v/>
      </c>
      <c r="AA951" s="45"/>
      <c r="AB951" s="55" t="str">
        <f ca="1">IF(Tableau1[[#This Row],[Date rév.]]&lt;&gt;"", DAYS360(Tableau1[[#This Row],[Date rév.]],TODAY()),"")</f>
        <v/>
      </c>
      <c r="AC951" s="47">
        <f>IFERROR(INDEX(Chemin_accès!$B$11:$C$22,MATCH(Tableau1[[#This Row],[Type]],Chemin_accès!$C$11:$C$22,0),1),Chemin_accès!$B$11)</f>
        <v>0</v>
      </c>
      <c r="AD951" s="47" t="str">
        <f>Chemin_accès!$B$8&amp;Tableau1[[#This Row],[Localisation / Classement]]&amp;"\"&amp;Tableau1[[#This Row],[Poste technique]]&amp;"_"&amp;Tableau1[[#This Row],[Plan Entretien]]&amp;".xlsm"</f>
        <v>\_.xlsm</v>
      </c>
    </row>
    <row r="952" spans="1:30" x14ac:dyDescent="0.3">
      <c r="A952" s="41" t="str">
        <f t="shared" ca="1" si="14"/>
        <v>7.MNRJ</v>
      </c>
      <c r="B95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2" s="43"/>
      <c r="D952" s="41"/>
      <c r="E952" s="41"/>
      <c r="F952" s="44"/>
      <c r="G952" s="44"/>
      <c r="H952" s="48"/>
      <c r="I952" s="48"/>
      <c r="J952" s="48"/>
      <c r="K952" s="48"/>
      <c r="L952" s="43"/>
      <c r="M952" s="44"/>
      <c r="N952" s="43"/>
      <c r="O952" s="43"/>
      <c r="P952" s="44"/>
      <c r="Q952" s="43"/>
      <c r="R952" s="43"/>
      <c r="S952" s="45"/>
      <c r="T952" s="58" t="str">
        <f>IF(Tableau1[[#This Row],[DMS_SAP]]="","",HYPERLINK(Tableau1[[#This Row],[Chemin fichier source]],"X"))</f>
        <v/>
      </c>
      <c r="U952" s="58" t="str">
        <f>IF(Tableau1[[#This Row],[Date rév.]]="","",HYPERLINK(Tableau1[[#This Row],[Lien document]],"X"))</f>
        <v/>
      </c>
      <c r="V952" s="44"/>
      <c r="W952" s="46" t="str">
        <f ca="1">Chemin_accès!$B$2&amp;Tableau1[[#This Row],[Poste Responsable]]&amp;"\"&amp;Tableau1[[#This Row],[Localisation / Classement]]&amp;"\"&amp;Tableau1[[#This Row],[Poste technique]]&amp;"_"&amp;Tableau1[[#This Row],[Plan Entretien]]&amp;".pdf"</f>
        <v>\\stjn.local\trimet\Donnees_Projets\Dms Sap\Maintenance\PlanEntretien\7.MNRJ\\_.pdf</v>
      </c>
      <c r="X952" s="44"/>
      <c r="Y952" s="44"/>
      <c r="Z952" s="41" t="str">
        <f ca="1">IF(AND(Tableau1[[#This Row],[Charge]]&lt;&gt;0, Tableau1[[#This Row],[Nombre intervenants]]&lt;&gt;0,Tableau1[[#This Row],[Lien document]]&lt;&gt;0,Tableau1[[#This Row],[DMS_SAP]]&lt;&gt;0)=TRUE,"MIS A JOUR","")</f>
        <v/>
      </c>
      <c r="AA952" s="45"/>
      <c r="AB952" s="55" t="str">
        <f ca="1">IF(Tableau1[[#This Row],[Date rév.]]&lt;&gt;"", DAYS360(Tableau1[[#This Row],[Date rév.]],TODAY()),"")</f>
        <v/>
      </c>
      <c r="AC952" s="47">
        <f>IFERROR(INDEX(Chemin_accès!$B$11:$C$22,MATCH(Tableau1[[#This Row],[Type]],Chemin_accès!$C$11:$C$22,0),1),Chemin_accès!$B$11)</f>
        <v>0</v>
      </c>
      <c r="AD952" s="47" t="str">
        <f>Chemin_accès!$B$8&amp;Tableau1[[#This Row],[Localisation / Classement]]&amp;"\"&amp;Tableau1[[#This Row],[Poste technique]]&amp;"_"&amp;Tableau1[[#This Row],[Plan Entretien]]&amp;".xlsm"</f>
        <v>\_.xlsm</v>
      </c>
    </row>
    <row r="953" spans="1:30" x14ac:dyDescent="0.3">
      <c r="A953" s="41" t="str">
        <f t="shared" ca="1" si="14"/>
        <v>7.MNRJ</v>
      </c>
      <c r="B95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3" s="43"/>
      <c r="D953" s="41"/>
      <c r="E953" s="41"/>
      <c r="F953" s="44"/>
      <c r="G953" s="44"/>
      <c r="H953" s="48"/>
      <c r="I953" s="48"/>
      <c r="J953" s="48"/>
      <c r="K953" s="48"/>
      <c r="L953" s="43"/>
      <c r="M953" s="44"/>
      <c r="N953" s="43"/>
      <c r="O953" s="43"/>
      <c r="P953" s="44"/>
      <c r="Q953" s="43"/>
      <c r="R953" s="43"/>
      <c r="S953" s="45"/>
      <c r="T953" s="58" t="str">
        <f>IF(Tableau1[[#This Row],[DMS_SAP]]="","",HYPERLINK(Tableau1[[#This Row],[Chemin fichier source]],"X"))</f>
        <v/>
      </c>
      <c r="U953" s="58" t="str">
        <f>IF(Tableau1[[#This Row],[Date rév.]]="","",HYPERLINK(Tableau1[[#This Row],[Lien document]],"X"))</f>
        <v/>
      </c>
      <c r="V953" s="44"/>
      <c r="W953" s="46" t="str">
        <f ca="1">Chemin_accès!$B$2&amp;Tableau1[[#This Row],[Poste Responsable]]&amp;"\"&amp;Tableau1[[#This Row],[Localisation / Classement]]&amp;"\"&amp;Tableau1[[#This Row],[Poste technique]]&amp;"_"&amp;Tableau1[[#This Row],[Plan Entretien]]&amp;".pdf"</f>
        <v>\\stjn.local\trimet\Donnees_Projets\Dms Sap\Maintenance\PlanEntretien\7.MNRJ\\_.pdf</v>
      </c>
      <c r="X953" s="44"/>
      <c r="Y953" s="44"/>
      <c r="Z953" s="41" t="str">
        <f ca="1">IF(AND(Tableau1[[#This Row],[Charge]]&lt;&gt;0, Tableau1[[#This Row],[Nombre intervenants]]&lt;&gt;0,Tableau1[[#This Row],[Lien document]]&lt;&gt;0,Tableau1[[#This Row],[DMS_SAP]]&lt;&gt;0)=TRUE,"MIS A JOUR","")</f>
        <v/>
      </c>
      <c r="AA953" s="45"/>
      <c r="AB953" s="55" t="str">
        <f ca="1">IF(Tableau1[[#This Row],[Date rév.]]&lt;&gt;"", DAYS360(Tableau1[[#This Row],[Date rév.]],TODAY()),"")</f>
        <v/>
      </c>
      <c r="AC953" s="47">
        <f>IFERROR(INDEX(Chemin_accès!$B$11:$C$22,MATCH(Tableau1[[#This Row],[Type]],Chemin_accès!$C$11:$C$22,0),1),Chemin_accès!$B$11)</f>
        <v>0</v>
      </c>
      <c r="AD953" s="47" t="str">
        <f>Chemin_accès!$B$8&amp;Tableau1[[#This Row],[Localisation / Classement]]&amp;"\"&amp;Tableau1[[#This Row],[Poste technique]]&amp;"_"&amp;Tableau1[[#This Row],[Plan Entretien]]&amp;".xlsm"</f>
        <v>\_.xlsm</v>
      </c>
    </row>
    <row r="954" spans="1:30" x14ac:dyDescent="0.3">
      <c r="A954" s="41" t="str">
        <f t="shared" ca="1" si="14"/>
        <v>7.MNRJ</v>
      </c>
      <c r="B95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4" s="43"/>
      <c r="D954" s="41"/>
      <c r="E954" s="41"/>
      <c r="F954" s="44"/>
      <c r="G954" s="44"/>
      <c r="H954" s="48"/>
      <c r="I954" s="48"/>
      <c r="J954" s="48"/>
      <c r="K954" s="48"/>
      <c r="L954" s="43"/>
      <c r="M954" s="44"/>
      <c r="N954" s="43"/>
      <c r="O954" s="43"/>
      <c r="P954" s="44"/>
      <c r="Q954" s="43"/>
      <c r="R954" s="43"/>
      <c r="S954" s="45"/>
      <c r="T954" s="58" t="str">
        <f>IF(Tableau1[[#This Row],[DMS_SAP]]="","",HYPERLINK(Tableau1[[#This Row],[Chemin fichier source]],"X"))</f>
        <v/>
      </c>
      <c r="U954" s="58" t="str">
        <f>IF(Tableau1[[#This Row],[Date rév.]]="","",HYPERLINK(Tableau1[[#This Row],[Lien document]],"X"))</f>
        <v/>
      </c>
      <c r="V954" s="44"/>
      <c r="W954" s="46" t="str">
        <f ca="1">Chemin_accès!$B$2&amp;Tableau1[[#This Row],[Poste Responsable]]&amp;"\"&amp;Tableau1[[#This Row],[Localisation / Classement]]&amp;"\"&amp;Tableau1[[#This Row],[Poste technique]]&amp;"_"&amp;Tableau1[[#This Row],[Plan Entretien]]&amp;".pdf"</f>
        <v>\\stjn.local\trimet\Donnees_Projets\Dms Sap\Maintenance\PlanEntretien\7.MNRJ\\_.pdf</v>
      </c>
      <c r="X954" s="44"/>
      <c r="Y954" s="44"/>
      <c r="Z954" s="41" t="str">
        <f ca="1">IF(AND(Tableau1[[#This Row],[Charge]]&lt;&gt;0, Tableau1[[#This Row],[Nombre intervenants]]&lt;&gt;0,Tableau1[[#This Row],[Lien document]]&lt;&gt;0,Tableau1[[#This Row],[DMS_SAP]]&lt;&gt;0)=TRUE,"MIS A JOUR","")</f>
        <v/>
      </c>
      <c r="AA954" s="45"/>
      <c r="AB954" s="55" t="str">
        <f ca="1">IF(Tableau1[[#This Row],[Date rév.]]&lt;&gt;"", DAYS360(Tableau1[[#This Row],[Date rév.]],TODAY()),"")</f>
        <v/>
      </c>
      <c r="AC954" s="47">
        <f>IFERROR(INDEX(Chemin_accès!$B$11:$C$22,MATCH(Tableau1[[#This Row],[Type]],Chemin_accès!$C$11:$C$22,0),1),Chemin_accès!$B$11)</f>
        <v>0</v>
      </c>
      <c r="AD954" s="47" t="str">
        <f>Chemin_accès!$B$8&amp;Tableau1[[#This Row],[Localisation / Classement]]&amp;"\"&amp;Tableau1[[#This Row],[Poste technique]]&amp;"_"&amp;Tableau1[[#This Row],[Plan Entretien]]&amp;".xlsm"</f>
        <v>\_.xlsm</v>
      </c>
    </row>
    <row r="955" spans="1:30" x14ac:dyDescent="0.3">
      <c r="A955" s="41" t="str">
        <f t="shared" ca="1" si="14"/>
        <v>7.MNRJ</v>
      </c>
      <c r="B95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5" s="43"/>
      <c r="D955" s="41"/>
      <c r="E955" s="41"/>
      <c r="F955" s="44"/>
      <c r="G955" s="44"/>
      <c r="H955" s="48"/>
      <c r="I955" s="48"/>
      <c r="J955" s="48"/>
      <c r="K955" s="48"/>
      <c r="L955" s="43"/>
      <c r="M955" s="44"/>
      <c r="N955" s="43"/>
      <c r="O955" s="43"/>
      <c r="P955" s="44"/>
      <c r="Q955" s="43"/>
      <c r="R955" s="43"/>
      <c r="S955" s="45"/>
      <c r="T955" s="58" t="str">
        <f>IF(Tableau1[[#This Row],[DMS_SAP]]="","",HYPERLINK(Tableau1[[#This Row],[Chemin fichier source]],"X"))</f>
        <v/>
      </c>
      <c r="U955" s="58" t="str">
        <f>IF(Tableau1[[#This Row],[Date rév.]]="","",HYPERLINK(Tableau1[[#This Row],[Lien document]],"X"))</f>
        <v/>
      </c>
      <c r="V955" s="44"/>
      <c r="W955" s="46" t="str">
        <f ca="1">Chemin_accès!$B$2&amp;Tableau1[[#This Row],[Poste Responsable]]&amp;"\"&amp;Tableau1[[#This Row],[Localisation / Classement]]&amp;"\"&amp;Tableau1[[#This Row],[Poste technique]]&amp;"_"&amp;Tableau1[[#This Row],[Plan Entretien]]&amp;".pdf"</f>
        <v>\\stjn.local\trimet\Donnees_Projets\Dms Sap\Maintenance\PlanEntretien\7.MNRJ\\_.pdf</v>
      </c>
      <c r="X955" s="44"/>
      <c r="Y955" s="44"/>
      <c r="Z955" s="41" t="str">
        <f ca="1">IF(AND(Tableau1[[#This Row],[Charge]]&lt;&gt;0, Tableau1[[#This Row],[Nombre intervenants]]&lt;&gt;0,Tableau1[[#This Row],[Lien document]]&lt;&gt;0,Tableau1[[#This Row],[DMS_SAP]]&lt;&gt;0)=TRUE,"MIS A JOUR","")</f>
        <v/>
      </c>
      <c r="AA955" s="45"/>
      <c r="AB955" s="55" t="str">
        <f ca="1">IF(Tableau1[[#This Row],[Date rév.]]&lt;&gt;"", DAYS360(Tableau1[[#This Row],[Date rév.]],TODAY()),"")</f>
        <v/>
      </c>
      <c r="AC955" s="47">
        <f>IFERROR(INDEX(Chemin_accès!$B$11:$C$22,MATCH(Tableau1[[#This Row],[Type]],Chemin_accès!$C$11:$C$22,0),1),Chemin_accès!$B$11)</f>
        <v>0</v>
      </c>
      <c r="AD955" s="47" t="str">
        <f>Chemin_accès!$B$8&amp;Tableau1[[#This Row],[Localisation / Classement]]&amp;"\"&amp;Tableau1[[#This Row],[Poste technique]]&amp;"_"&amp;Tableau1[[#This Row],[Plan Entretien]]&amp;".xlsm"</f>
        <v>\_.xlsm</v>
      </c>
    </row>
    <row r="956" spans="1:30" x14ac:dyDescent="0.3">
      <c r="A956" s="41" t="str">
        <f t="shared" ca="1" si="14"/>
        <v>7.MNRJ</v>
      </c>
      <c r="B95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6" s="43"/>
      <c r="D956" s="41"/>
      <c r="E956" s="41"/>
      <c r="F956" s="44"/>
      <c r="G956" s="44"/>
      <c r="H956" s="48"/>
      <c r="I956" s="48"/>
      <c r="J956" s="48"/>
      <c r="K956" s="48"/>
      <c r="L956" s="43"/>
      <c r="M956" s="44"/>
      <c r="N956" s="43"/>
      <c r="O956" s="43"/>
      <c r="P956" s="44"/>
      <c r="Q956" s="43"/>
      <c r="R956" s="43"/>
      <c r="S956" s="45"/>
      <c r="T956" s="58" t="str">
        <f>IF(Tableau1[[#This Row],[DMS_SAP]]="","",HYPERLINK(Tableau1[[#This Row],[Chemin fichier source]],"X"))</f>
        <v/>
      </c>
      <c r="U956" s="58" t="str">
        <f>IF(Tableau1[[#This Row],[Date rév.]]="","",HYPERLINK(Tableau1[[#This Row],[Lien document]],"X"))</f>
        <v/>
      </c>
      <c r="V956" s="44"/>
      <c r="W956" s="46" t="str">
        <f ca="1">Chemin_accès!$B$2&amp;Tableau1[[#This Row],[Poste Responsable]]&amp;"\"&amp;Tableau1[[#This Row],[Localisation / Classement]]&amp;"\"&amp;Tableau1[[#This Row],[Poste technique]]&amp;"_"&amp;Tableau1[[#This Row],[Plan Entretien]]&amp;".pdf"</f>
        <v>\\stjn.local\trimet\Donnees_Projets\Dms Sap\Maintenance\PlanEntretien\7.MNRJ\\_.pdf</v>
      </c>
      <c r="X956" s="44"/>
      <c r="Y956" s="44"/>
      <c r="Z956" s="41" t="str">
        <f ca="1">IF(AND(Tableau1[[#This Row],[Charge]]&lt;&gt;0, Tableau1[[#This Row],[Nombre intervenants]]&lt;&gt;0,Tableau1[[#This Row],[Lien document]]&lt;&gt;0,Tableau1[[#This Row],[DMS_SAP]]&lt;&gt;0)=TRUE,"MIS A JOUR","")</f>
        <v/>
      </c>
      <c r="AA956" s="45"/>
      <c r="AB956" s="55" t="str">
        <f ca="1">IF(Tableau1[[#This Row],[Date rév.]]&lt;&gt;"", DAYS360(Tableau1[[#This Row],[Date rév.]],TODAY()),"")</f>
        <v/>
      </c>
      <c r="AC956" s="47">
        <f>IFERROR(INDEX(Chemin_accès!$B$11:$C$22,MATCH(Tableau1[[#This Row],[Type]],Chemin_accès!$C$11:$C$22,0),1),Chemin_accès!$B$11)</f>
        <v>0</v>
      </c>
      <c r="AD956" s="47" t="str">
        <f>Chemin_accès!$B$8&amp;Tableau1[[#This Row],[Localisation / Classement]]&amp;"\"&amp;Tableau1[[#This Row],[Poste technique]]&amp;"_"&amp;Tableau1[[#This Row],[Plan Entretien]]&amp;".xlsm"</f>
        <v>\_.xlsm</v>
      </c>
    </row>
    <row r="957" spans="1:30" x14ac:dyDescent="0.3">
      <c r="A957" s="41" t="str">
        <f t="shared" ca="1" si="14"/>
        <v>7.MNRJ</v>
      </c>
      <c r="B95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7" s="43"/>
      <c r="D957" s="41"/>
      <c r="E957" s="41"/>
      <c r="F957" s="44"/>
      <c r="G957" s="44"/>
      <c r="H957" s="48"/>
      <c r="I957" s="48"/>
      <c r="J957" s="48"/>
      <c r="K957" s="48"/>
      <c r="L957" s="43"/>
      <c r="M957" s="44"/>
      <c r="N957" s="43"/>
      <c r="O957" s="43"/>
      <c r="P957" s="44"/>
      <c r="Q957" s="43"/>
      <c r="R957" s="43"/>
      <c r="S957" s="45"/>
      <c r="T957" s="58" t="str">
        <f>IF(Tableau1[[#This Row],[DMS_SAP]]="","",HYPERLINK(Tableau1[[#This Row],[Chemin fichier source]],"X"))</f>
        <v/>
      </c>
      <c r="U957" s="58" t="str">
        <f>IF(Tableau1[[#This Row],[Date rév.]]="","",HYPERLINK(Tableau1[[#This Row],[Lien document]],"X"))</f>
        <v/>
      </c>
      <c r="V957" s="44"/>
      <c r="W957" s="46" t="str">
        <f ca="1">Chemin_accès!$B$2&amp;Tableau1[[#This Row],[Poste Responsable]]&amp;"\"&amp;Tableau1[[#This Row],[Localisation / Classement]]&amp;"\"&amp;Tableau1[[#This Row],[Poste technique]]&amp;"_"&amp;Tableau1[[#This Row],[Plan Entretien]]&amp;".pdf"</f>
        <v>\\stjn.local\trimet\Donnees_Projets\Dms Sap\Maintenance\PlanEntretien\7.MNRJ\\_.pdf</v>
      </c>
      <c r="X957" s="44"/>
      <c r="Y957" s="44"/>
      <c r="Z957" s="41" t="str">
        <f ca="1">IF(AND(Tableau1[[#This Row],[Charge]]&lt;&gt;0, Tableau1[[#This Row],[Nombre intervenants]]&lt;&gt;0,Tableau1[[#This Row],[Lien document]]&lt;&gt;0,Tableau1[[#This Row],[DMS_SAP]]&lt;&gt;0)=TRUE,"MIS A JOUR","")</f>
        <v/>
      </c>
      <c r="AA957" s="45"/>
      <c r="AB957" s="55" t="str">
        <f ca="1">IF(Tableau1[[#This Row],[Date rév.]]&lt;&gt;"", DAYS360(Tableau1[[#This Row],[Date rév.]],TODAY()),"")</f>
        <v/>
      </c>
      <c r="AC957" s="47">
        <f>IFERROR(INDEX(Chemin_accès!$B$11:$C$22,MATCH(Tableau1[[#This Row],[Type]],Chemin_accès!$C$11:$C$22,0),1),Chemin_accès!$B$11)</f>
        <v>0</v>
      </c>
      <c r="AD957" s="47" t="str">
        <f>Chemin_accès!$B$8&amp;Tableau1[[#This Row],[Localisation / Classement]]&amp;"\"&amp;Tableau1[[#This Row],[Poste technique]]&amp;"_"&amp;Tableau1[[#This Row],[Plan Entretien]]&amp;".xlsm"</f>
        <v>\_.xlsm</v>
      </c>
    </row>
    <row r="958" spans="1:30" x14ac:dyDescent="0.3">
      <c r="A958" s="41" t="str">
        <f t="shared" ca="1" si="14"/>
        <v>7.MNRJ</v>
      </c>
      <c r="B95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8" s="43"/>
      <c r="D958" s="41"/>
      <c r="E958" s="41"/>
      <c r="F958" s="44"/>
      <c r="G958" s="44"/>
      <c r="H958" s="48"/>
      <c r="I958" s="48"/>
      <c r="J958" s="48"/>
      <c r="K958" s="48"/>
      <c r="L958" s="43"/>
      <c r="M958" s="44"/>
      <c r="N958" s="43"/>
      <c r="O958" s="43"/>
      <c r="P958" s="44"/>
      <c r="Q958" s="43"/>
      <c r="R958" s="43"/>
      <c r="S958" s="45"/>
      <c r="T958" s="58" t="str">
        <f>IF(Tableau1[[#This Row],[DMS_SAP]]="","",HYPERLINK(Tableau1[[#This Row],[Chemin fichier source]],"X"))</f>
        <v/>
      </c>
      <c r="U958" s="58" t="str">
        <f>IF(Tableau1[[#This Row],[Date rév.]]="","",HYPERLINK(Tableau1[[#This Row],[Lien document]],"X"))</f>
        <v/>
      </c>
      <c r="V958" s="44"/>
      <c r="W958" s="46" t="str">
        <f ca="1">Chemin_accès!$B$2&amp;Tableau1[[#This Row],[Poste Responsable]]&amp;"\"&amp;Tableau1[[#This Row],[Localisation / Classement]]&amp;"\"&amp;Tableau1[[#This Row],[Poste technique]]&amp;"_"&amp;Tableau1[[#This Row],[Plan Entretien]]&amp;".pdf"</f>
        <v>\\stjn.local\trimet\Donnees_Projets\Dms Sap\Maintenance\PlanEntretien\7.MNRJ\\_.pdf</v>
      </c>
      <c r="X958" s="44"/>
      <c r="Y958" s="44"/>
      <c r="Z958" s="41" t="str">
        <f ca="1">IF(AND(Tableau1[[#This Row],[Charge]]&lt;&gt;0, Tableau1[[#This Row],[Nombre intervenants]]&lt;&gt;0,Tableau1[[#This Row],[Lien document]]&lt;&gt;0,Tableau1[[#This Row],[DMS_SAP]]&lt;&gt;0)=TRUE,"MIS A JOUR","")</f>
        <v/>
      </c>
      <c r="AA958" s="45"/>
      <c r="AB958" s="55" t="str">
        <f ca="1">IF(Tableau1[[#This Row],[Date rév.]]&lt;&gt;"", DAYS360(Tableau1[[#This Row],[Date rév.]],TODAY()),"")</f>
        <v/>
      </c>
      <c r="AC958" s="47">
        <f>IFERROR(INDEX(Chemin_accès!$B$11:$C$22,MATCH(Tableau1[[#This Row],[Type]],Chemin_accès!$C$11:$C$22,0),1),Chemin_accès!$B$11)</f>
        <v>0</v>
      </c>
      <c r="AD958" s="47" t="str">
        <f>Chemin_accès!$B$8&amp;Tableau1[[#This Row],[Localisation / Classement]]&amp;"\"&amp;Tableau1[[#This Row],[Poste technique]]&amp;"_"&amp;Tableau1[[#This Row],[Plan Entretien]]&amp;".xlsm"</f>
        <v>\_.xlsm</v>
      </c>
    </row>
    <row r="959" spans="1:30" x14ac:dyDescent="0.3">
      <c r="A959" s="41" t="str">
        <f t="shared" ca="1" si="14"/>
        <v>7.MNRJ</v>
      </c>
      <c r="B95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9" s="43"/>
      <c r="D959" s="41"/>
      <c r="E959" s="41"/>
      <c r="F959" s="44"/>
      <c r="G959" s="44"/>
      <c r="H959" s="48"/>
      <c r="I959" s="48"/>
      <c r="J959" s="48"/>
      <c r="K959" s="48"/>
      <c r="L959" s="43"/>
      <c r="M959" s="44"/>
      <c r="N959" s="43"/>
      <c r="O959" s="43"/>
      <c r="P959" s="44"/>
      <c r="Q959" s="43"/>
      <c r="R959" s="43"/>
      <c r="S959" s="45"/>
      <c r="T959" s="58" t="str">
        <f>IF(Tableau1[[#This Row],[DMS_SAP]]="","",HYPERLINK(Tableau1[[#This Row],[Chemin fichier source]],"X"))</f>
        <v/>
      </c>
      <c r="U959" s="58" t="str">
        <f>IF(Tableau1[[#This Row],[Date rév.]]="","",HYPERLINK(Tableau1[[#This Row],[Lien document]],"X"))</f>
        <v/>
      </c>
      <c r="V959" s="44"/>
      <c r="W959" s="46" t="str">
        <f ca="1">Chemin_accès!$B$2&amp;Tableau1[[#This Row],[Poste Responsable]]&amp;"\"&amp;Tableau1[[#This Row],[Localisation / Classement]]&amp;"\"&amp;Tableau1[[#This Row],[Poste technique]]&amp;"_"&amp;Tableau1[[#This Row],[Plan Entretien]]&amp;".pdf"</f>
        <v>\\stjn.local\trimet\Donnees_Projets\Dms Sap\Maintenance\PlanEntretien\7.MNRJ\\_.pdf</v>
      </c>
      <c r="X959" s="44"/>
      <c r="Y959" s="44"/>
      <c r="Z959" s="41" t="str">
        <f ca="1">IF(AND(Tableau1[[#This Row],[Charge]]&lt;&gt;0, Tableau1[[#This Row],[Nombre intervenants]]&lt;&gt;0,Tableau1[[#This Row],[Lien document]]&lt;&gt;0,Tableau1[[#This Row],[DMS_SAP]]&lt;&gt;0)=TRUE,"MIS A JOUR","")</f>
        <v/>
      </c>
      <c r="AA959" s="45"/>
      <c r="AB959" s="55" t="str">
        <f ca="1">IF(Tableau1[[#This Row],[Date rév.]]&lt;&gt;"", DAYS360(Tableau1[[#This Row],[Date rév.]],TODAY()),"")</f>
        <v/>
      </c>
      <c r="AC959" s="47">
        <f>IFERROR(INDEX(Chemin_accès!$B$11:$C$22,MATCH(Tableau1[[#This Row],[Type]],Chemin_accès!$C$11:$C$22,0),1),Chemin_accès!$B$11)</f>
        <v>0</v>
      </c>
      <c r="AD959" s="47" t="str">
        <f>Chemin_accès!$B$8&amp;Tableau1[[#This Row],[Localisation / Classement]]&amp;"\"&amp;Tableau1[[#This Row],[Poste technique]]&amp;"_"&amp;Tableau1[[#This Row],[Plan Entretien]]&amp;".xlsm"</f>
        <v>\_.xlsm</v>
      </c>
    </row>
    <row r="960" spans="1:30" x14ac:dyDescent="0.3">
      <c r="A960" s="41" t="str">
        <f t="shared" ca="1" si="14"/>
        <v>7.MNRJ</v>
      </c>
      <c r="B96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0" s="43"/>
      <c r="D960" s="41"/>
      <c r="E960" s="41"/>
      <c r="F960" s="44"/>
      <c r="G960" s="44"/>
      <c r="H960" s="48"/>
      <c r="I960" s="48"/>
      <c r="J960" s="48"/>
      <c r="K960" s="48"/>
      <c r="L960" s="43"/>
      <c r="M960" s="44"/>
      <c r="N960" s="43"/>
      <c r="O960" s="43"/>
      <c r="P960" s="44"/>
      <c r="Q960" s="43"/>
      <c r="R960" s="43"/>
      <c r="S960" s="45"/>
      <c r="T960" s="58" t="str">
        <f>IF(Tableau1[[#This Row],[DMS_SAP]]="","",HYPERLINK(Tableau1[[#This Row],[Chemin fichier source]],"X"))</f>
        <v/>
      </c>
      <c r="U960" s="58" t="str">
        <f>IF(Tableau1[[#This Row],[Date rév.]]="","",HYPERLINK(Tableau1[[#This Row],[Lien document]],"X"))</f>
        <v/>
      </c>
      <c r="V960" s="44"/>
      <c r="W960" s="46" t="str">
        <f ca="1">Chemin_accès!$B$2&amp;Tableau1[[#This Row],[Poste Responsable]]&amp;"\"&amp;Tableau1[[#This Row],[Localisation / Classement]]&amp;"\"&amp;Tableau1[[#This Row],[Poste technique]]&amp;"_"&amp;Tableau1[[#This Row],[Plan Entretien]]&amp;".pdf"</f>
        <v>\\stjn.local\trimet\Donnees_Projets\Dms Sap\Maintenance\PlanEntretien\7.MNRJ\\_.pdf</v>
      </c>
      <c r="X960" s="44"/>
      <c r="Y960" s="44"/>
      <c r="Z960" s="41" t="str">
        <f ca="1">IF(AND(Tableau1[[#This Row],[Charge]]&lt;&gt;0, Tableau1[[#This Row],[Nombre intervenants]]&lt;&gt;0,Tableau1[[#This Row],[Lien document]]&lt;&gt;0,Tableau1[[#This Row],[DMS_SAP]]&lt;&gt;0)=TRUE,"MIS A JOUR","")</f>
        <v/>
      </c>
      <c r="AA960" s="45"/>
      <c r="AB960" s="55" t="str">
        <f ca="1">IF(Tableau1[[#This Row],[Date rév.]]&lt;&gt;"", DAYS360(Tableau1[[#This Row],[Date rév.]],TODAY()),"")</f>
        <v/>
      </c>
      <c r="AC960" s="47">
        <f>IFERROR(INDEX(Chemin_accès!$B$11:$C$22,MATCH(Tableau1[[#This Row],[Type]],Chemin_accès!$C$11:$C$22,0),1),Chemin_accès!$B$11)</f>
        <v>0</v>
      </c>
      <c r="AD960" s="47" t="str">
        <f>Chemin_accès!$B$8&amp;Tableau1[[#This Row],[Localisation / Classement]]&amp;"\"&amp;Tableau1[[#This Row],[Poste technique]]&amp;"_"&amp;Tableau1[[#This Row],[Plan Entretien]]&amp;".xlsm"</f>
        <v>\_.xlsm</v>
      </c>
    </row>
    <row r="961" spans="1:30" x14ac:dyDescent="0.3">
      <c r="A961" s="41" t="str">
        <f t="shared" ca="1" si="14"/>
        <v>7.MNRJ</v>
      </c>
      <c r="B96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1" s="43"/>
      <c r="D961" s="41"/>
      <c r="E961" s="41"/>
      <c r="F961" s="44"/>
      <c r="G961" s="44"/>
      <c r="H961" s="48"/>
      <c r="I961" s="48"/>
      <c r="J961" s="48"/>
      <c r="K961" s="48"/>
      <c r="L961" s="43"/>
      <c r="M961" s="44"/>
      <c r="N961" s="43"/>
      <c r="O961" s="43"/>
      <c r="P961" s="44"/>
      <c r="Q961" s="43"/>
      <c r="R961" s="43"/>
      <c r="S961" s="45"/>
      <c r="T961" s="58" t="str">
        <f>IF(Tableau1[[#This Row],[DMS_SAP]]="","",HYPERLINK(Tableau1[[#This Row],[Chemin fichier source]],"X"))</f>
        <v/>
      </c>
      <c r="U961" s="58" t="str">
        <f>IF(Tableau1[[#This Row],[Date rév.]]="","",HYPERLINK(Tableau1[[#This Row],[Lien document]],"X"))</f>
        <v/>
      </c>
      <c r="V961" s="44"/>
      <c r="W961" s="46" t="str">
        <f ca="1">Chemin_accès!$B$2&amp;Tableau1[[#This Row],[Poste Responsable]]&amp;"\"&amp;Tableau1[[#This Row],[Localisation / Classement]]&amp;"\"&amp;Tableau1[[#This Row],[Poste technique]]&amp;"_"&amp;Tableau1[[#This Row],[Plan Entretien]]&amp;".pdf"</f>
        <v>\\stjn.local\trimet\Donnees_Projets\Dms Sap\Maintenance\PlanEntretien\7.MNRJ\\_.pdf</v>
      </c>
      <c r="X961" s="44"/>
      <c r="Y961" s="44"/>
      <c r="Z961" s="41" t="str">
        <f ca="1">IF(AND(Tableau1[[#This Row],[Charge]]&lt;&gt;0, Tableau1[[#This Row],[Nombre intervenants]]&lt;&gt;0,Tableau1[[#This Row],[Lien document]]&lt;&gt;0,Tableau1[[#This Row],[DMS_SAP]]&lt;&gt;0)=TRUE,"MIS A JOUR","")</f>
        <v/>
      </c>
      <c r="AA961" s="45"/>
      <c r="AB961" s="55" t="str">
        <f ca="1">IF(Tableau1[[#This Row],[Date rév.]]&lt;&gt;"", DAYS360(Tableau1[[#This Row],[Date rév.]],TODAY()),"")</f>
        <v/>
      </c>
      <c r="AC961" s="47">
        <f>IFERROR(INDEX(Chemin_accès!$B$11:$C$22,MATCH(Tableau1[[#This Row],[Type]],Chemin_accès!$C$11:$C$22,0),1),Chemin_accès!$B$11)</f>
        <v>0</v>
      </c>
      <c r="AD961" s="47" t="str">
        <f>Chemin_accès!$B$8&amp;Tableau1[[#This Row],[Localisation / Classement]]&amp;"\"&amp;Tableau1[[#This Row],[Poste technique]]&amp;"_"&amp;Tableau1[[#This Row],[Plan Entretien]]&amp;".xlsm"</f>
        <v>\_.xlsm</v>
      </c>
    </row>
    <row r="962" spans="1:30" x14ac:dyDescent="0.3">
      <c r="A962" s="41" t="str">
        <f t="shared" ca="1" si="14"/>
        <v>7.MNRJ</v>
      </c>
      <c r="B96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2" s="43"/>
      <c r="D962" s="41"/>
      <c r="E962" s="41"/>
      <c r="F962" s="44"/>
      <c r="G962" s="44"/>
      <c r="H962" s="48"/>
      <c r="I962" s="48"/>
      <c r="J962" s="48"/>
      <c r="K962" s="48"/>
      <c r="L962" s="43"/>
      <c r="M962" s="44"/>
      <c r="N962" s="43"/>
      <c r="O962" s="43"/>
      <c r="P962" s="44"/>
      <c r="Q962" s="43"/>
      <c r="R962" s="43"/>
      <c r="S962" s="45"/>
      <c r="T962" s="58" t="str">
        <f>IF(Tableau1[[#This Row],[DMS_SAP]]="","",HYPERLINK(Tableau1[[#This Row],[Chemin fichier source]],"X"))</f>
        <v/>
      </c>
      <c r="U962" s="58" t="str">
        <f>IF(Tableau1[[#This Row],[Date rév.]]="","",HYPERLINK(Tableau1[[#This Row],[Lien document]],"X"))</f>
        <v/>
      </c>
      <c r="V962" s="44"/>
      <c r="W962" s="46" t="str">
        <f ca="1">Chemin_accès!$B$2&amp;Tableau1[[#This Row],[Poste Responsable]]&amp;"\"&amp;Tableau1[[#This Row],[Localisation / Classement]]&amp;"\"&amp;Tableau1[[#This Row],[Poste technique]]&amp;"_"&amp;Tableau1[[#This Row],[Plan Entretien]]&amp;".pdf"</f>
        <v>\\stjn.local\trimet\Donnees_Projets\Dms Sap\Maintenance\PlanEntretien\7.MNRJ\\_.pdf</v>
      </c>
      <c r="X962" s="44"/>
      <c r="Y962" s="44"/>
      <c r="Z962" s="41" t="str">
        <f ca="1">IF(AND(Tableau1[[#This Row],[Charge]]&lt;&gt;0, Tableau1[[#This Row],[Nombre intervenants]]&lt;&gt;0,Tableau1[[#This Row],[Lien document]]&lt;&gt;0,Tableau1[[#This Row],[DMS_SAP]]&lt;&gt;0)=TRUE,"MIS A JOUR","")</f>
        <v/>
      </c>
      <c r="AA962" s="45"/>
      <c r="AB962" s="55" t="str">
        <f ca="1">IF(Tableau1[[#This Row],[Date rév.]]&lt;&gt;"", DAYS360(Tableau1[[#This Row],[Date rév.]],TODAY()),"")</f>
        <v/>
      </c>
      <c r="AC962" s="47">
        <f>IFERROR(INDEX(Chemin_accès!$B$11:$C$22,MATCH(Tableau1[[#This Row],[Type]],Chemin_accès!$C$11:$C$22,0),1),Chemin_accès!$B$11)</f>
        <v>0</v>
      </c>
      <c r="AD962" s="47" t="str">
        <f>Chemin_accès!$B$8&amp;Tableau1[[#This Row],[Localisation / Classement]]&amp;"\"&amp;Tableau1[[#This Row],[Poste technique]]&amp;"_"&amp;Tableau1[[#This Row],[Plan Entretien]]&amp;".xlsm"</f>
        <v>\_.xlsm</v>
      </c>
    </row>
    <row r="963" spans="1:30" x14ac:dyDescent="0.3">
      <c r="A963" s="41" t="str">
        <f t="shared" ref="A963:A1001" ca="1" si="15">MID(CELL("filename",$A$1),FIND("]",CELL("filename",$A$1))+1,32)</f>
        <v>7.MNRJ</v>
      </c>
      <c r="B96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3" s="43"/>
      <c r="D963" s="41"/>
      <c r="E963" s="41"/>
      <c r="F963" s="44"/>
      <c r="G963" s="44"/>
      <c r="H963" s="48"/>
      <c r="I963" s="48"/>
      <c r="J963" s="48"/>
      <c r="K963" s="48"/>
      <c r="L963" s="43"/>
      <c r="M963" s="44"/>
      <c r="N963" s="43"/>
      <c r="O963" s="43"/>
      <c r="P963" s="44"/>
      <c r="Q963" s="43"/>
      <c r="R963" s="43"/>
      <c r="S963" s="45"/>
      <c r="T963" s="58" t="str">
        <f>IF(Tableau1[[#This Row],[DMS_SAP]]="","",HYPERLINK(Tableau1[[#This Row],[Chemin fichier source]],"X"))</f>
        <v/>
      </c>
      <c r="U963" s="58" t="str">
        <f>IF(Tableau1[[#This Row],[Date rév.]]="","",HYPERLINK(Tableau1[[#This Row],[Lien document]],"X"))</f>
        <v/>
      </c>
      <c r="V963" s="44"/>
      <c r="W963" s="46" t="str">
        <f ca="1">Chemin_accès!$B$2&amp;Tableau1[[#This Row],[Poste Responsable]]&amp;"\"&amp;Tableau1[[#This Row],[Localisation / Classement]]&amp;"\"&amp;Tableau1[[#This Row],[Poste technique]]&amp;"_"&amp;Tableau1[[#This Row],[Plan Entretien]]&amp;".pdf"</f>
        <v>\\stjn.local\trimet\Donnees_Projets\Dms Sap\Maintenance\PlanEntretien\7.MNRJ\\_.pdf</v>
      </c>
      <c r="X963" s="44"/>
      <c r="Y963" s="44"/>
      <c r="Z963" s="41" t="str">
        <f ca="1">IF(AND(Tableau1[[#This Row],[Charge]]&lt;&gt;0, Tableau1[[#This Row],[Nombre intervenants]]&lt;&gt;0,Tableau1[[#This Row],[Lien document]]&lt;&gt;0,Tableau1[[#This Row],[DMS_SAP]]&lt;&gt;0)=TRUE,"MIS A JOUR","")</f>
        <v/>
      </c>
      <c r="AA963" s="45"/>
      <c r="AB963" s="55" t="str">
        <f ca="1">IF(Tableau1[[#This Row],[Date rév.]]&lt;&gt;"", DAYS360(Tableau1[[#This Row],[Date rév.]],TODAY()),"")</f>
        <v/>
      </c>
      <c r="AC963" s="47">
        <f>IFERROR(INDEX(Chemin_accès!$B$11:$C$22,MATCH(Tableau1[[#This Row],[Type]],Chemin_accès!$C$11:$C$22,0),1),Chemin_accès!$B$11)</f>
        <v>0</v>
      </c>
      <c r="AD963" s="47" t="str">
        <f>Chemin_accès!$B$8&amp;Tableau1[[#This Row],[Localisation / Classement]]&amp;"\"&amp;Tableau1[[#This Row],[Poste technique]]&amp;"_"&amp;Tableau1[[#This Row],[Plan Entretien]]&amp;".xlsm"</f>
        <v>\_.xlsm</v>
      </c>
    </row>
    <row r="964" spans="1:30" x14ac:dyDescent="0.3">
      <c r="A964" s="41" t="str">
        <f t="shared" ca="1" si="15"/>
        <v>7.MNRJ</v>
      </c>
      <c r="B96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4" s="43"/>
      <c r="D964" s="41"/>
      <c r="E964" s="41"/>
      <c r="F964" s="44"/>
      <c r="G964" s="44"/>
      <c r="H964" s="48"/>
      <c r="I964" s="48"/>
      <c r="J964" s="48"/>
      <c r="K964" s="48"/>
      <c r="L964" s="43"/>
      <c r="M964" s="44"/>
      <c r="N964" s="43"/>
      <c r="O964" s="43"/>
      <c r="P964" s="44"/>
      <c r="Q964" s="43"/>
      <c r="R964" s="43"/>
      <c r="S964" s="45"/>
      <c r="T964" s="58" t="str">
        <f>IF(Tableau1[[#This Row],[DMS_SAP]]="","",HYPERLINK(Tableau1[[#This Row],[Chemin fichier source]],"X"))</f>
        <v/>
      </c>
      <c r="U964" s="58" t="str">
        <f>IF(Tableau1[[#This Row],[Date rév.]]="","",HYPERLINK(Tableau1[[#This Row],[Lien document]],"X"))</f>
        <v/>
      </c>
      <c r="V964" s="44"/>
      <c r="W964" s="46" t="str">
        <f ca="1">Chemin_accès!$B$2&amp;Tableau1[[#This Row],[Poste Responsable]]&amp;"\"&amp;Tableau1[[#This Row],[Localisation / Classement]]&amp;"\"&amp;Tableau1[[#This Row],[Poste technique]]&amp;"_"&amp;Tableau1[[#This Row],[Plan Entretien]]&amp;".pdf"</f>
        <v>\\stjn.local\trimet\Donnees_Projets\Dms Sap\Maintenance\PlanEntretien\7.MNRJ\\_.pdf</v>
      </c>
      <c r="X964" s="44"/>
      <c r="Y964" s="44"/>
      <c r="Z964" s="41" t="str">
        <f ca="1">IF(AND(Tableau1[[#This Row],[Charge]]&lt;&gt;0, Tableau1[[#This Row],[Nombre intervenants]]&lt;&gt;0,Tableau1[[#This Row],[Lien document]]&lt;&gt;0,Tableau1[[#This Row],[DMS_SAP]]&lt;&gt;0)=TRUE,"MIS A JOUR","")</f>
        <v/>
      </c>
      <c r="AA964" s="45"/>
      <c r="AB964" s="55" t="str">
        <f ca="1">IF(Tableau1[[#This Row],[Date rév.]]&lt;&gt;"", DAYS360(Tableau1[[#This Row],[Date rév.]],TODAY()),"")</f>
        <v/>
      </c>
      <c r="AC964" s="47">
        <f>IFERROR(INDEX(Chemin_accès!$B$11:$C$22,MATCH(Tableau1[[#This Row],[Type]],Chemin_accès!$C$11:$C$22,0),1),Chemin_accès!$B$11)</f>
        <v>0</v>
      </c>
      <c r="AD964" s="47" t="str">
        <f>Chemin_accès!$B$8&amp;Tableau1[[#This Row],[Localisation / Classement]]&amp;"\"&amp;Tableau1[[#This Row],[Poste technique]]&amp;"_"&amp;Tableau1[[#This Row],[Plan Entretien]]&amp;".xlsm"</f>
        <v>\_.xlsm</v>
      </c>
    </row>
    <row r="965" spans="1:30" x14ac:dyDescent="0.3">
      <c r="A965" s="41" t="str">
        <f t="shared" ca="1" si="15"/>
        <v>7.MNRJ</v>
      </c>
      <c r="B96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5" s="43"/>
      <c r="D965" s="41"/>
      <c r="E965" s="41"/>
      <c r="F965" s="44"/>
      <c r="G965" s="44"/>
      <c r="H965" s="48"/>
      <c r="I965" s="48"/>
      <c r="J965" s="48"/>
      <c r="K965" s="48"/>
      <c r="L965" s="43"/>
      <c r="M965" s="44"/>
      <c r="N965" s="43"/>
      <c r="O965" s="43"/>
      <c r="P965" s="44"/>
      <c r="Q965" s="43"/>
      <c r="R965" s="43"/>
      <c r="S965" s="45"/>
      <c r="T965" s="58" t="str">
        <f>IF(Tableau1[[#This Row],[DMS_SAP]]="","",HYPERLINK(Tableau1[[#This Row],[Chemin fichier source]],"X"))</f>
        <v/>
      </c>
      <c r="U965" s="58" t="str">
        <f>IF(Tableau1[[#This Row],[Date rév.]]="","",HYPERLINK(Tableau1[[#This Row],[Lien document]],"X"))</f>
        <v/>
      </c>
      <c r="V965" s="44"/>
      <c r="W965" s="46" t="str">
        <f ca="1">Chemin_accès!$B$2&amp;Tableau1[[#This Row],[Poste Responsable]]&amp;"\"&amp;Tableau1[[#This Row],[Localisation / Classement]]&amp;"\"&amp;Tableau1[[#This Row],[Poste technique]]&amp;"_"&amp;Tableau1[[#This Row],[Plan Entretien]]&amp;".pdf"</f>
        <v>\\stjn.local\trimet\Donnees_Projets\Dms Sap\Maintenance\PlanEntretien\7.MNRJ\\_.pdf</v>
      </c>
      <c r="X965" s="44"/>
      <c r="Y965" s="44"/>
      <c r="Z965" s="41" t="str">
        <f ca="1">IF(AND(Tableau1[[#This Row],[Charge]]&lt;&gt;0, Tableau1[[#This Row],[Nombre intervenants]]&lt;&gt;0,Tableau1[[#This Row],[Lien document]]&lt;&gt;0,Tableau1[[#This Row],[DMS_SAP]]&lt;&gt;0)=TRUE,"MIS A JOUR","")</f>
        <v/>
      </c>
      <c r="AA965" s="45"/>
      <c r="AB965" s="55" t="str">
        <f ca="1">IF(Tableau1[[#This Row],[Date rév.]]&lt;&gt;"", DAYS360(Tableau1[[#This Row],[Date rév.]],TODAY()),"")</f>
        <v/>
      </c>
      <c r="AC965" s="47">
        <f>IFERROR(INDEX(Chemin_accès!$B$11:$C$22,MATCH(Tableau1[[#This Row],[Type]],Chemin_accès!$C$11:$C$22,0),1),Chemin_accès!$B$11)</f>
        <v>0</v>
      </c>
      <c r="AD965" s="47" t="str">
        <f>Chemin_accès!$B$8&amp;Tableau1[[#This Row],[Localisation / Classement]]&amp;"\"&amp;Tableau1[[#This Row],[Poste technique]]&amp;"_"&amp;Tableau1[[#This Row],[Plan Entretien]]&amp;".xlsm"</f>
        <v>\_.xlsm</v>
      </c>
    </row>
    <row r="966" spans="1:30" x14ac:dyDescent="0.3">
      <c r="A966" s="41" t="str">
        <f t="shared" ca="1" si="15"/>
        <v>7.MNRJ</v>
      </c>
      <c r="B96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6" s="43"/>
      <c r="D966" s="41"/>
      <c r="E966" s="41"/>
      <c r="F966" s="44"/>
      <c r="G966" s="44"/>
      <c r="H966" s="48"/>
      <c r="I966" s="48"/>
      <c r="J966" s="48"/>
      <c r="K966" s="48"/>
      <c r="L966" s="43"/>
      <c r="M966" s="44"/>
      <c r="N966" s="43"/>
      <c r="O966" s="43"/>
      <c r="P966" s="44"/>
      <c r="Q966" s="43"/>
      <c r="R966" s="43"/>
      <c r="S966" s="45"/>
      <c r="T966" s="58" t="str">
        <f>IF(Tableau1[[#This Row],[DMS_SAP]]="","",HYPERLINK(Tableau1[[#This Row],[Chemin fichier source]],"X"))</f>
        <v/>
      </c>
      <c r="U966" s="58" t="str">
        <f>IF(Tableau1[[#This Row],[Date rév.]]="","",HYPERLINK(Tableau1[[#This Row],[Lien document]],"X"))</f>
        <v/>
      </c>
      <c r="V966" s="44"/>
      <c r="W966" s="46" t="str">
        <f ca="1">Chemin_accès!$B$2&amp;Tableau1[[#This Row],[Poste Responsable]]&amp;"\"&amp;Tableau1[[#This Row],[Localisation / Classement]]&amp;"\"&amp;Tableau1[[#This Row],[Poste technique]]&amp;"_"&amp;Tableau1[[#This Row],[Plan Entretien]]&amp;".pdf"</f>
        <v>\\stjn.local\trimet\Donnees_Projets\Dms Sap\Maintenance\PlanEntretien\7.MNRJ\\_.pdf</v>
      </c>
      <c r="X966" s="44"/>
      <c r="Y966" s="44"/>
      <c r="Z966" s="41" t="str">
        <f ca="1">IF(AND(Tableau1[[#This Row],[Charge]]&lt;&gt;0, Tableau1[[#This Row],[Nombre intervenants]]&lt;&gt;0,Tableau1[[#This Row],[Lien document]]&lt;&gt;0,Tableau1[[#This Row],[DMS_SAP]]&lt;&gt;0)=TRUE,"MIS A JOUR","")</f>
        <v/>
      </c>
      <c r="AA966" s="45"/>
      <c r="AB966" s="55" t="str">
        <f ca="1">IF(Tableau1[[#This Row],[Date rév.]]&lt;&gt;"", DAYS360(Tableau1[[#This Row],[Date rév.]],TODAY()),"")</f>
        <v/>
      </c>
      <c r="AC966" s="47">
        <f>IFERROR(INDEX(Chemin_accès!$B$11:$C$22,MATCH(Tableau1[[#This Row],[Type]],Chemin_accès!$C$11:$C$22,0),1),Chemin_accès!$B$11)</f>
        <v>0</v>
      </c>
      <c r="AD966" s="47" t="str">
        <f>Chemin_accès!$B$8&amp;Tableau1[[#This Row],[Localisation / Classement]]&amp;"\"&amp;Tableau1[[#This Row],[Poste technique]]&amp;"_"&amp;Tableau1[[#This Row],[Plan Entretien]]&amp;".xlsm"</f>
        <v>\_.xlsm</v>
      </c>
    </row>
    <row r="967" spans="1:30" x14ac:dyDescent="0.3">
      <c r="A967" s="41" t="str">
        <f t="shared" ca="1" si="15"/>
        <v>7.MNRJ</v>
      </c>
      <c r="B96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7" s="43"/>
      <c r="D967" s="41"/>
      <c r="E967" s="41"/>
      <c r="F967" s="44"/>
      <c r="G967" s="44"/>
      <c r="H967" s="48"/>
      <c r="I967" s="48"/>
      <c r="J967" s="48"/>
      <c r="K967" s="48"/>
      <c r="L967" s="43"/>
      <c r="M967" s="44"/>
      <c r="N967" s="43"/>
      <c r="O967" s="43"/>
      <c r="P967" s="44"/>
      <c r="Q967" s="43"/>
      <c r="R967" s="43"/>
      <c r="S967" s="45"/>
      <c r="T967" s="58" t="str">
        <f>IF(Tableau1[[#This Row],[DMS_SAP]]="","",HYPERLINK(Tableau1[[#This Row],[Chemin fichier source]],"X"))</f>
        <v/>
      </c>
      <c r="U967" s="58" t="str">
        <f>IF(Tableau1[[#This Row],[Date rév.]]="","",HYPERLINK(Tableau1[[#This Row],[Lien document]],"X"))</f>
        <v/>
      </c>
      <c r="V967" s="44"/>
      <c r="W967" s="46" t="str">
        <f ca="1">Chemin_accès!$B$2&amp;Tableau1[[#This Row],[Poste Responsable]]&amp;"\"&amp;Tableau1[[#This Row],[Localisation / Classement]]&amp;"\"&amp;Tableau1[[#This Row],[Poste technique]]&amp;"_"&amp;Tableau1[[#This Row],[Plan Entretien]]&amp;".pdf"</f>
        <v>\\stjn.local\trimet\Donnees_Projets\Dms Sap\Maintenance\PlanEntretien\7.MNRJ\\_.pdf</v>
      </c>
      <c r="X967" s="44"/>
      <c r="Y967" s="44"/>
      <c r="Z967" s="41" t="str">
        <f ca="1">IF(AND(Tableau1[[#This Row],[Charge]]&lt;&gt;0, Tableau1[[#This Row],[Nombre intervenants]]&lt;&gt;0,Tableau1[[#This Row],[Lien document]]&lt;&gt;0,Tableau1[[#This Row],[DMS_SAP]]&lt;&gt;0)=TRUE,"MIS A JOUR","")</f>
        <v/>
      </c>
      <c r="AA967" s="45"/>
      <c r="AB967" s="55" t="str">
        <f ca="1">IF(Tableau1[[#This Row],[Date rév.]]&lt;&gt;"", DAYS360(Tableau1[[#This Row],[Date rév.]],TODAY()),"")</f>
        <v/>
      </c>
      <c r="AC967" s="47">
        <f>IFERROR(INDEX(Chemin_accès!$B$11:$C$22,MATCH(Tableau1[[#This Row],[Type]],Chemin_accès!$C$11:$C$22,0),1),Chemin_accès!$B$11)</f>
        <v>0</v>
      </c>
      <c r="AD967" s="47" t="str">
        <f>Chemin_accès!$B$8&amp;Tableau1[[#This Row],[Localisation / Classement]]&amp;"\"&amp;Tableau1[[#This Row],[Poste technique]]&amp;"_"&amp;Tableau1[[#This Row],[Plan Entretien]]&amp;".xlsm"</f>
        <v>\_.xlsm</v>
      </c>
    </row>
    <row r="968" spans="1:30" x14ac:dyDescent="0.3">
      <c r="A968" s="41" t="str">
        <f t="shared" ca="1" si="15"/>
        <v>7.MNRJ</v>
      </c>
      <c r="B96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8" s="43"/>
      <c r="D968" s="41"/>
      <c r="E968" s="41"/>
      <c r="F968" s="44"/>
      <c r="G968" s="44"/>
      <c r="H968" s="48"/>
      <c r="I968" s="48"/>
      <c r="J968" s="48"/>
      <c r="K968" s="48"/>
      <c r="L968" s="43"/>
      <c r="M968" s="44"/>
      <c r="N968" s="43"/>
      <c r="O968" s="43"/>
      <c r="P968" s="44"/>
      <c r="Q968" s="43"/>
      <c r="R968" s="43"/>
      <c r="S968" s="45"/>
      <c r="T968" s="58" t="str">
        <f>IF(Tableau1[[#This Row],[DMS_SAP]]="","",HYPERLINK(Tableau1[[#This Row],[Chemin fichier source]],"X"))</f>
        <v/>
      </c>
      <c r="U968" s="58" t="str">
        <f>IF(Tableau1[[#This Row],[Date rév.]]="","",HYPERLINK(Tableau1[[#This Row],[Lien document]],"X"))</f>
        <v/>
      </c>
      <c r="V968" s="44"/>
      <c r="W968" s="46" t="str">
        <f ca="1">Chemin_accès!$B$2&amp;Tableau1[[#This Row],[Poste Responsable]]&amp;"\"&amp;Tableau1[[#This Row],[Localisation / Classement]]&amp;"\"&amp;Tableau1[[#This Row],[Poste technique]]&amp;"_"&amp;Tableau1[[#This Row],[Plan Entretien]]&amp;".pdf"</f>
        <v>\\stjn.local\trimet\Donnees_Projets\Dms Sap\Maintenance\PlanEntretien\7.MNRJ\\_.pdf</v>
      </c>
      <c r="X968" s="44"/>
      <c r="Y968" s="44"/>
      <c r="Z968" s="41" t="str">
        <f ca="1">IF(AND(Tableau1[[#This Row],[Charge]]&lt;&gt;0, Tableau1[[#This Row],[Nombre intervenants]]&lt;&gt;0,Tableau1[[#This Row],[Lien document]]&lt;&gt;0,Tableau1[[#This Row],[DMS_SAP]]&lt;&gt;0)=TRUE,"MIS A JOUR","")</f>
        <v/>
      </c>
      <c r="AA968" s="45"/>
      <c r="AB968" s="55" t="str">
        <f ca="1">IF(Tableau1[[#This Row],[Date rév.]]&lt;&gt;"", DAYS360(Tableau1[[#This Row],[Date rév.]],TODAY()),"")</f>
        <v/>
      </c>
      <c r="AC968" s="47">
        <f>IFERROR(INDEX(Chemin_accès!$B$11:$C$22,MATCH(Tableau1[[#This Row],[Type]],Chemin_accès!$C$11:$C$22,0),1),Chemin_accès!$B$11)</f>
        <v>0</v>
      </c>
      <c r="AD968" s="47" t="str">
        <f>Chemin_accès!$B$8&amp;Tableau1[[#This Row],[Localisation / Classement]]&amp;"\"&amp;Tableau1[[#This Row],[Poste technique]]&amp;"_"&amp;Tableau1[[#This Row],[Plan Entretien]]&amp;".xlsm"</f>
        <v>\_.xlsm</v>
      </c>
    </row>
    <row r="969" spans="1:30" x14ac:dyDescent="0.3">
      <c r="A969" s="41" t="str">
        <f t="shared" ca="1" si="15"/>
        <v>7.MNRJ</v>
      </c>
      <c r="B96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9" s="43"/>
      <c r="D969" s="41"/>
      <c r="E969" s="41"/>
      <c r="F969" s="44"/>
      <c r="G969" s="44"/>
      <c r="H969" s="48"/>
      <c r="I969" s="48"/>
      <c r="J969" s="48"/>
      <c r="K969" s="48"/>
      <c r="L969" s="43"/>
      <c r="M969" s="44"/>
      <c r="N969" s="43"/>
      <c r="O969" s="43"/>
      <c r="P969" s="44"/>
      <c r="Q969" s="43"/>
      <c r="R969" s="43"/>
      <c r="S969" s="45"/>
      <c r="T969" s="58" t="str">
        <f>IF(Tableau1[[#This Row],[DMS_SAP]]="","",HYPERLINK(Tableau1[[#This Row],[Chemin fichier source]],"X"))</f>
        <v/>
      </c>
      <c r="U969" s="58" t="str">
        <f>IF(Tableau1[[#This Row],[Date rév.]]="","",HYPERLINK(Tableau1[[#This Row],[Lien document]],"X"))</f>
        <v/>
      </c>
      <c r="V969" s="44"/>
      <c r="W969" s="46" t="str">
        <f ca="1">Chemin_accès!$B$2&amp;Tableau1[[#This Row],[Poste Responsable]]&amp;"\"&amp;Tableau1[[#This Row],[Localisation / Classement]]&amp;"\"&amp;Tableau1[[#This Row],[Poste technique]]&amp;"_"&amp;Tableau1[[#This Row],[Plan Entretien]]&amp;".pdf"</f>
        <v>\\stjn.local\trimet\Donnees_Projets\Dms Sap\Maintenance\PlanEntretien\7.MNRJ\\_.pdf</v>
      </c>
      <c r="X969" s="44"/>
      <c r="Y969" s="44"/>
      <c r="Z969" s="41" t="str">
        <f ca="1">IF(AND(Tableau1[[#This Row],[Charge]]&lt;&gt;0, Tableau1[[#This Row],[Nombre intervenants]]&lt;&gt;0,Tableau1[[#This Row],[Lien document]]&lt;&gt;0,Tableau1[[#This Row],[DMS_SAP]]&lt;&gt;0)=TRUE,"MIS A JOUR","")</f>
        <v/>
      </c>
      <c r="AA969" s="45"/>
      <c r="AB969" s="55" t="str">
        <f ca="1">IF(Tableau1[[#This Row],[Date rév.]]&lt;&gt;"", DAYS360(Tableau1[[#This Row],[Date rév.]],TODAY()),"")</f>
        <v/>
      </c>
      <c r="AC969" s="47">
        <f>IFERROR(INDEX(Chemin_accès!$B$11:$C$22,MATCH(Tableau1[[#This Row],[Type]],Chemin_accès!$C$11:$C$22,0),1),Chemin_accès!$B$11)</f>
        <v>0</v>
      </c>
      <c r="AD969" s="47" t="str">
        <f>Chemin_accès!$B$8&amp;Tableau1[[#This Row],[Localisation / Classement]]&amp;"\"&amp;Tableau1[[#This Row],[Poste technique]]&amp;"_"&amp;Tableau1[[#This Row],[Plan Entretien]]&amp;".xlsm"</f>
        <v>\_.xlsm</v>
      </c>
    </row>
    <row r="970" spans="1:30" x14ac:dyDescent="0.3">
      <c r="A970" s="41" t="str">
        <f t="shared" ca="1" si="15"/>
        <v>7.MNRJ</v>
      </c>
      <c r="B97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0" s="43"/>
      <c r="D970" s="41"/>
      <c r="E970" s="41"/>
      <c r="F970" s="44"/>
      <c r="G970" s="44"/>
      <c r="H970" s="48"/>
      <c r="I970" s="48"/>
      <c r="J970" s="48"/>
      <c r="K970" s="48"/>
      <c r="L970" s="43"/>
      <c r="M970" s="44"/>
      <c r="N970" s="43"/>
      <c r="O970" s="43"/>
      <c r="P970" s="44"/>
      <c r="Q970" s="43"/>
      <c r="R970" s="43"/>
      <c r="S970" s="45"/>
      <c r="T970" s="58" t="str">
        <f>IF(Tableau1[[#This Row],[DMS_SAP]]="","",HYPERLINK(Tableau1[[#This Row],[Chemin fichier source]],"X"))</f>
        <v/>
      </c>
      <c r="U970" s="58" t="str">
        <f>IF(Tableau1[[#This Row],[Date rév.]]="","",HYPERLINK(Tableau1[[#This Row],[Lien document]],"X"))</f>
        <v/>
      </c>
      <c r="V970" s="44"/>
      <c r="W970" s="46" t="str">
        <f ca="1">Chemin_accès!$B$2&amp;Tableau1[[#This Row],[Poste Responsable]]&amp;"\"&amp;Tableau1[[#This Row],[Localisation / Classement]]&amp;"\"&amp;Tableau1[[#This Row],[Poste technique]]&amp;"_"&amp;Tableau1[[#This Row],[Plan Entretien]]&amp;".pdf"</f>
        <v>\\stjn.local\trimet\Donnees_Projets\Dms Sap\Maintenance\PlanEntretien\7.MNRJ\\_.pdf</v>
      </c>
      <c r="X970" s="44"/>
      <c r="Y970" s="44"/>
      <c r="Z970" s="41" t="str">
        <f ca="1">IF(AND(Tableau1[[#This Row],[Charge]]&lt;&gt;0, Tableau1[[#This Row],[Nombre intervenants]]&lt;&gt;0,Tableau1[[#This Row],[Lien document]]&lt;&gt;0,Tableau1[[#This Row],[DMS_SAP]]&lt;&gt;0)=TRUE,"MIS A JOUR","")</f>
        <v/>
      </c>
      <c r="AA970" s="45"/>
      <c r="AB970" s="55" t="str">
        <f ca="1">IF(Tableau1[[#This Row],[Date rév.]]&lt;&gt;"", DAYS360(Tableau1[[#This Row],[Date rév.]],TODAY()),"")</f>
        <v/>
      </c>
      <c r="AC970" s="47">
        <f>IFERROR(INDEX(Chemin_accès!$B$11:$C$22,MATCH(Tableau1[[#This Row],[Type]],Chemin_accès!$C$11:$C$22,0),1),Chemin_accès!$B$11)</f>
        <v>0</v>
      </c>
      <c r="AD970" s="47" t="str">
        <f>Chemin_accès!$B$8&amp;Tableau1[[#This Row],[Localisation / Classement]]&amp;"\"&amp;Tableau1[[#This Row],[Poste technique]]&amp;"_"&amp;Tableau1[[#This Row],[Plan Entretien]]&amp;".xlsm"</f>
        <v>\_.xlsm</v>
      </c>
    </row>
    <row r="971" spans="1:30" x14ac:dyDescent="0.3">
      <c r="A971" s="41" t="str">
        <f t="shared" ca="1" si="15"/>
        <v>7.MNRJ</v>
      </c>
      <c r="B97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1" s="43"/>
      <c r="D971" s="41"/>
      <c r="E971" s="41"/>
      <c r="F971" s="44"/>
      <c r="G971" s="44"/>
      <c r="H971" s="48"/>
      <c r="I971" s="48"/>
      <c r="J971" s="48"/>
      <c r="K971" s="48"/>
      <c r="L971" s="43"/>
      <c r="M971" s="44"/>
      <c r="N971" s="43"/>
      <c r="O971" s="43"/>
      <c r="P971" s="44"/>
      <c r="Q971" s="43"/>
      <c r="R971" s="43"/>
      <c r="S971" s="45"/>
      <c r="T971" s="58" t="str">
        <f>IF(Tableau1[[#This Row],[DMS_SAP]]="","",HYPERLINK(Tableau1[[#This Row],[Chemin fichier source]],"X"))</f>
        <v/>
      </c>
      <c r="U971" s="58" t="str">
        <f>IF(Tableau1[[#This Row],[Date rév.]]="","",HYPERLINK(Tableau1[[#This Row],[Lien document]],"X"))</f>
        <v/>
      </c>
      <c r="V971" s="44"/>
      <c r="W971" s="46" t="str">
        <f ca="1">Chemin_accès!$B$2&amp;Tableau1[[#This Row],[Poste Responsable]]&amp;"\"&amp;Tableau1[[#This Row],[Localisation / Classement]]&amp;"\"&amp;Tableau1[[#This Row],[Poste technique]]&amp;"_"&amp;Tableau1[[#This Row],[Plan Entretien]]&amp;".pdf"</f>
        <v>\\stjn.local\trimet\Donnees_Projets\Dms Sap\Maintenance\PlanEntretien\7.MNRJ\\_.pdf</v>
      </c>
      <c r="X971" s="44"/>
      <c r="Y971" s="44"/>
      <c r="Z971" s="41" t="str">
        <f ca="1">IF(AND(Tableau1[[#This Row],[Charge]]&lt;&gt;0, Tableau1[[#This Row],[Nombre intervenants]]&lt;&gt;0,Tableau1[[#This Row],[Lien document]]&lt;&gt;0,Tableau1[[#This Row],[DMS_SAP]]&lt;&gt;0)=TRUE,"MIS A JOUR","")</f>
        <v/>
      </c>
      <c r="AA971" s="45"/>
      <c r="AB971" s="55" t="str">
        <f ca="1">IF(Tableau1[[#This Row],[Date rév.]]&lt;&gt;"", DAYS360(Tableau1[[#This Row],[Date rév.]],TODAY()),"")</f>
        <v/>
      </c>
      <c r="AC971" s="47">
        <f>IFERROR(INDEX(Chemin_accès!$B$11:$C$22,MATCH(Tableau1[[#This Row],[Type]],Chemin_accès!$C$11:$C$22,0),1),Chemin_accès!$B$11)</f>
        <v>0</v>
      </c>
      <c r="AD971" s="47" t="str">
        <f>Chemin_accès!$B$8&amp;Tableau1[[#This Row],[Localisation / Classement]]&amp;"\"&amp;Tableau1[[#This Row],[Poste technique]]&amp;"_"&amp;Tableau1[[#This Row],[Plan Entretien]]&amp;".xlsm"</f>
        <v>\_.xlsm</v>
      </c>
    </row>
    <row r="972" spans="1:30" x14ac:dyDescent="0.3">
      <c r="A972" s="41" t="str">
        <f t="shared" ca="1" si="15"/>
        <v>7.MNRJ</v>
      </c>
      <c r="B97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2" s="43"/>
      <c r="D972" s="41"/>
      <c r="E972" s="41"/>
      <c r="F972" s="44"/>
      <c r="G972" s="44"/>
      <c r="H972" s="48"/>
      <c r="I972" s="48"/>
      <c r="J972" s="48"/>
      <c r="K972" s="48"/>
      <c r="L972" s="43"/>
      <c r="M972" s="44"/>
      <c r="N972" s="43"/>
      <c r="O972" s="43"/>
      <c r="P972" s="44"/>
      <c r="Q972" s="43"/>
      <c r="R972" s="43"/>
      <c r="S972" s="45"/>
      <c r="T972" s="58" t="str">
        <f>IF(Tableau1[[#This Row],[DMS_SAP]]="","",HYPERLINK(Tableau1[[#This Row],[Chemin fichier source]],"X"))</f>
        <v/>
      </c>
      <c r="U972" s="58" t="str">
        <f>IF(Tableau1[[#This Row],[Date rév.]]="","",HYPERLINK(Tableau1[[#This Row],[Lien document]],"X"))</f>
        <v/>
      </c>
      <c r="V972" s="44"/>
      <c r="W972" s="46" t="str">
        <f ca="1">Chemin_accès!$B$2&amp;Tableau1[[#This Row],[Poste Responsable]]&amp;"\"&amp;Tableau1[[#This Row],[Localisation / Classement]]&amp;"\"&amp;Tableau1[[#This Row],[Poste technique]]&amp;"_"&amp;Tableau1[[#This Row],[Plan Entretien]]&amp;".pdf"</f>
        <v>\\stjn.local\trimet\Donnees_Projets\Dms Sap\Maintenance\PlanEntretien\7.MNRJ\\_.pdf</v>
      </c>
      <c r="X972" s="44"/>
      <c r="Y972" s="44"/>
      <c r="Z972" s="41" t="str">
        <f ca="1">IF(AND(Tableau1[[#This Row],[Charge]]&lt;&gt;0, Tableau1[[#This Row],[Nombre intervenants]]&lt;&gt;0,Tableau1[[#This Row],[Lien document]]&lt;&gt;0,Tableau1[[#This Row],[DMS_SAP]]&lt;&gt;0)=TRUE,"MIS A JOUR","")</f>
        <v/>
      </c>
      <c r="AA972" s="45"/>
      <c r="AB972" s="55" t="str">
        <f ca="1">IF(Tableau1[[#This Row],[Date rév.]]&lt;&gt;"", DAYS360(Tableau1[[#This Row],[Date rév.]],TODAY()),"")</f>
        <v/>
      </c>
      <c r="AC972" s="47">
        <f>IFERROR(INDEX(Chemin_accès!$B$11:$C$22,MATCH(Tableau1[[#This Row],[Type]],Chemin_accès!$C$11:$C$22,0),1),Chemin_accès!$B$11)</f>
        <v>0</v>
      </c>
      <c r="AD972" s="47" t="str">
        <f>Chemin_accès!$B$8&amp;Tableau1[[#This Row],[Localisation / Classement]]&amp;"\"&amp;Tableau1[[#This Row],[Poste technique]]&amp;"_"&amp;Tableau1[[#This Row],[Plan Entretien]]&amp;".xlsm"</f>
        <v>\_.xlsm</v>
      </c>
    </row>
    <row r="973" spans="1:30" x14ac:dyDescent="0.3">
      <c r="A973" s="41" t="str">
        <f t="shared" ca="1" si="15"/>
        <v>7.MNRJ</v>
      </c>
      <c r="B97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3" s="43"/>
      <c r="D973" s="41"/>
      <c r="E973" s="41"/>
      <c r="F973" s="44"/>
      <c r="G973" s="44"/>
      <c r="H973" s="48"/>
      <c r="I973" s="48"/>
      <c r="J973" s="48"/>
      <c r="K973" s="48"/>
      <c r="L973" s="43"/>
      <c r="M973" s="44"/>
      <c r="N973" s="43"/>
      <c r="O973" s="43"/>
      <c r="P973" s="44"/>
      <c r="Q973" s="43"/>
      <c r="R973" s="43"/>
      <c r="S973" s="45"/>
      <c r="T973" s="58" t="str">
        <f>IF(Tableau1[[#This Row],[DMS_SAP]]="","",HYPERLINK(Tableau1[[#This Row],[Chemin fichier source]],"X"))</f>
        <v/>
      </c>
      <c r="U973" s="58" t="str">
        <f>IF(Tableau1[[#This Row],[Date rév.]]="","",HYPERLINK(Tableau1[[#This Row],[Lien document]],"X"))</f>
        <v/>
      </c>
      <c r="V973" s="44"/>
      <c r="W973" s="46" t="str">
        <f ca="1">Chemin_accès!$B$2&amp;Tableau1[[#This Row],[Poste Responsable]]&amp;"\"&amp;Tableau1[[#This Row],[Localisation / Classement]]&amp;"\"&amp;Tableau1[[#This Row],[Poste technique]]&amp;"_"&amp;Tableau1[[#This Row],[Plan Entretien]]&amp;".pdf"</f>
        <v>\\stjn.local\trimet\Donnees_Projets\Dms Sap\Maintenance\PlanEntretien\7.MNRJ\\_.pdf</v>
      </c>
      <c r="X973" s="44"/>
      <c r="Y973" s="44"/>
      <c r="Z973" s="41" t="str">
        <f ca="1">IF(AND(Tableau1[[#This Row],[Charge]]&lt;&gt;0, Tableau1[[#This Row],[Nombre intervenants]]&lt;&gt;0,Tableau1[[#This Row],[Lien document]]&lt;&gt;0,Tableau1[[#This Row],[DMS_SAP]]&lt;&gt;0)=TRUE,"MIS A JOUR","")</f>
        <v/>
      </c>
      <c r="AA973" s="45"/>
      <c r="AB973" s="55" t="str">
        <f ca="1">IF(Tableau1[[#This Row],[Date rév.]]&lt;&gt;"", DAYS360(Tableau1[[#This Row],[Date rév.]],TODAY()),"")</f>
        <v/>
      </c>
      <c r="AC973" s="47">
        <f>IFERROR(INDEX(Chemin_accès!$B$11:$C$22,MATCH(Tableau1[[#This Row],[Type]],Chemin_accès!$C$11:$C$22,0),1),Chemin_accès!$B$11)</f>
        <v>0</v>
      </c>
      <c r="AD973" s="47" t="str">
        <f>Chemin_accès!$B$8&amp;Tableau1[[#This Row],[Localisation / Classement]]&amp;"\"&amp;Tableau1[[#This Row],[Poste technique]]&amp;"_"&amp;Tableau1[[#This Row],[Plan Entretien]]&amp;".xlsm"</f>
        <v>\_.xlsm</v>
      </c>
    </row>
    <row r="974" spans="1:30" x14ac:dyDescent="0.3">
      <c r="A974" s="41" t="str">
        <f t="shared" ca="1" si="15"/>
        <v>7.MNRJ</v>
      </c>
      <c r="B97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4" s="43"/>
      <c r="D974" s="41"/>
      <c r="E974" s="41"/>
      <c r="F974" s="44"/>
      <c r="G974" s="44"/>
      <c r="H974" s="48"/>
      <c r="I974" s="48"/>
      <c r="J974" s="48"/>
      <c r="K974" s="48"/>
      <c r="L974" s="43"/>
      <c r="M974" s="44"/>
      <c r="N974" s="43"/>
      <c r="O974" s="43"/>
      <c r="P974" s="44"/>
      <c r="Q974" s="43"/>
      <c r="R974" s="43"/>
      <c r="S974" s="45"/>
      <c r="T974" s="58" t="str">
        <f>IF(Tableau1[[#This Row],[DMS_SAP]]="","",HYPERLINK(Tableau1[[#This Row],[Chemin fichier source]],"X"))</f>
        <v/>
      </c>
      <c r="U974" s="58" t="str">
        <f>IF(Tableau1[[#This Row],[Date rév.]]="","",HYPERLINK(Tableau1[[#This Row],[Lien document]],"X"))</f>
        <v/>
      </c>
      <c r="V974" s="44"/>
      <c r="W974" s="46" t="str">
        <f ca="1">Chemin_accès!$B$2&amp;Tableau1[[#This Row],[Poste Responsable]]&amp;"\"&amp;Tableau1[[#This Row],[Localisation / Classement]]&amp;"\"&amp;Tableau1[[#This Row],[Poste technique]]&amp;"_"&amp;Tableau1[[#This Row],[Plan Entretien]]&amp;".pdf"</f>
        <v>\\stjn.local\trimet\Donnees_Projets\Dms Sap\Maintenance\PlanEntretien\7.MNRJ\\_.pdf</v>
      </c>
      <c r="X974" s="44"/>
      <c r="Y974" s="44"/>
      <c r="Z974" s="41" t="str">
        <f ca="1">IF(AND(Tableau1[[#This Row],[Charge]]&lt;&gt;0, Tableau1[[#This Row],[Nombre intervenants]]&lt;&gt;0,Tableau1[[#This Row],[Lien document]]&lt;&gt;0,Tableau1[[#This Row],[DMS_SAP]]&lt;&gt;0)=TRUE,"MIS A JOUR","")</f>
        <v/>
      </c>
      <c r="AA974" s="45"/>
      <c r="AB974" s="55" t="str">
        <f ca="1">IF(Tableau1[[#This Row],[Date rév.]]&lt;&gt;"", DAYS360(Tableau1[[#This Row],[Date rév.]],TODAY()),"")</f>
        <v/>
      </c>
      <c r="AC974" s="47">
        <f>IFERROR(INDEX(Chemin_accès!$B$11:$C$22,MATCH(Tableau1[[#This Row],[Type]],Chemin_accès!$C$11:$C$22,0),1),Chemin_accès!$B$11)</f>
        <v>0</v>
      </c>
      <c r="AD974" s="47" t="str">
        <f>Chemin_accès!$B$8&amp;Tableau1[[#This Row],[Localisation / Classement]]&amp;"\"&amp;Tableau1[[#This Row],[Poste technique]]&amp;"_"&amp;Tableau1[[#This Row],[Plan Entretien]]&amp;".xlsm"</f>
        <v>\_.xlsm</v>
      </c>
    </row>
    <row r="975" spans="1:30" x14ac:dyDescent="0.3">
      <c r="A975" s="41" t="str">
        <f t="shared" ca="1" si="15"/>
        <v>7.MNRJ</v>
      </c>
      <c r="B97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5" s="43"/>
      <c r="D975" s="41"/>
      <c r="E975" s="41"/>
      <c r="F975" s="44"/>
      <c r="G975" s="44"/>
      <c r="H975" s="48"/>
      <c r="I975" s="48"/>
      <c r="J975" s="48"/>
      <c r="K975" s="48"/>
      <c r="L975" s="43"/>
      <c r="M975" s="44"/>
      <c r="N975" s="43"/>
      <c r="O975" s="43"/>
      <c r="P975" s="44"/>
      <c r="Q975" s="43"/>
      <c r="R975" s="43"/>
      <c r="S975" s="45"/>
      <c r="T975" s="58" t="str">
        <f>IF(Tableau1[[#This Row],[DMS_SAP]]="","",HYPERLINK(Tableau1[[#This Row],[Chemin fichier source]],"X"))</f>
        <v/>
      </c>
      <c r="U975" s="58" t="str">
        <f>IF(Tableau1[[#This Row],[Date rév.]]="","",HYPERLINK(Tableau1[[#This Row],[Lien document]],"X"))</f>
        <v/>
      </c>
      <c r="V975" s="44"/>
      <c r="W975" s="46" t="str">
        <f ca="1">Chemin_accès!$B$2&amp;Tableau1[[#This Row],[Poste Responsable]]&amp;"\"&amp;Tableau1[[#This Row],[Localisation / Classement]]&amp;"\"&amp;Tableau1[[#This Row],[Poste technique]]&amp;"_"&amp;Tableau1[[#This Row],[Plan Entretien]]&amp;".pdf"</f>
        <v>\\stjn.local\trimet\Donnees_Projets\Dms Sap\Maintenance\PlanEntretien\7.MNRJ\\_.pdf</v>
      </c>
      <c r="X975" s="44"/>
      <c r="Y975" s="44"/>
      <c r="Z975" s="41" t="str">
        <f ca="1">IF(AND(Tableau1[[#This Row],[Charge]]&lt;&gt;0, Tableau1[[#This Row],[Nombre intervenants]]&lt;&gt;0,Tableau1[[#This Row],[Lien document]]&lt;&gt;0,Tableau1[[#This Row],[DMS_SAP]]&lt;&gt;0)=TRUE,"MIS A JOUR","")</f>
        <v/>
      </c>
      <c r="AA975" s="45"/>
      <c r="AB975" s="55" t="str">
        <f ca="1">IF(Tableau1[[#This Row],[Date rév.]]&lt;&gt;"", DAYS360(Tableau1[[#This Row],[Date rév.]],TODAY()),"")</f>
        <v/>
      </c>
      <c r="AC975" s="47">
        <f>IFERROR(INDEX(Chemin_accès!$B$11:$C$22,MATCH(Tableau1[[#This Row],[Type]],Chemin_accès!$C$11:$C$22,0),1),Chemin_accès!$B$11)</f>
        <v>0</v>
      </c>
      <c r="AD975" s="47" t="str">
        <f>Chemin_accès!$B$8&amp;Tableau1[[#This Row],[Localisation / Classement]]&amp;"\"&amp;Tableau1[[#This Row],[Poste technique]]&amp;"_"&amp;Tableau1[[#This Row],[Plan Entretien]]&amp;".xlsm"</f>
        <v>\_.xlsm</v>
      </c>
    </row>
    <row r="976" spans="1:30" x14ac:dyDescent="0.3">
      <c r="A976" s="41" t="str">
        <f t="shared" ca="1" si="15"/>
        <v>7.MNRJ</v>
      </c>
      <c r="B97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6" s="43"/>
      <c r="D976" s="41"/>
      <c r="E976" s="41"/>
      <c r="F976" s="44"/>
      <c r="G976" s="44"/>
      <c r="H976" s="48"/>
      <c r="I976" s="48"/>
      <c r="J976" s="48"/>
      <c r="K976" s="48"/>
      <c r="L976" s="43"/>
      <c r="M976" s="44"/>
      <c r="N976" s="43"/>
      <c r="O976" s="43"/>
      <c r="P976" s="44"/>
      <c r="Q976" s="43"/>
      <c r="R976" s="43"/>
      <c r="S976" s="45"/>
      <c r="T976" s="58" t="str">
        <f>IF(Tableau1[[#This Row],[DMS_SAP]]="","",HYPERLINK(Tableau1[[#This Row],[Chemin fichier source]],"X"))</f>
        <v/>
      </c>
      <c r="U976" s="58" t="str">
        <f>IF(Tableau1[[#This Row],[Date rév.]]="","",HYPERLINK(Tableau1[[#This Row],[Lien document]],"X"))</f>
        <v/>
      </c>
      <c r="V976" s="44"/>
      <c r="W976" s="46" t="str">
        <f ca="1">Chemin_accès!$B$2&amp;Tableau1[[#This Row],[Poste Responsable]]&amp;"\"&amp;Tableau1[[#This Row],[Localisation / Classement]]&amp;"\"&amp;Tableau1[[#This Row],[Poste technique]]&amp;"_"&amp;Tableau1[[#This Row],[Plan Entretien]]&amp;".pdf"</f>
        <v>\\stjn.local\trimet\Donnees_Projets\Dms Sap\Maintenance\PlanEntretien\7.MNRJ\\_.pdf</v>
      </c>
      <c r="X976" s="44"/>
      <c r="Y976" s="44"/>
      <c r="Z976" s="41" t="str">
        <f ca="1">IF(AND(Tableau1[[#This Row],[Charge]]&lt;&gt;0, Tableau1[[#This Row],[Nombre intervenants]]&lt;&gt;0,Tableau1[[#This Row],[Lien document]]&lt;&gt;0,Tableau1[[#This Row],[DMS_SAP]]&lt;&gt;0)=TRUE,"MIS A JOUR","")</f>
        <v/>
      </c>
      <c r="AA976" s="45"/>
      <c r="AB976" s="55" t="str">
        <f ca="1">IF(Tableau1[[#This Row],[Date rév.]]&lt;&gt;"", DAYS360(Tableau1[[#This Row],[Date rév.]],TODAY()),"")</f>
        <v/>
      </c>
      <c r="AC976" s="47">
        <f>IFERROR(INDEX(Chemin_accès!$B$11:$C$22,MATCH(Tableau1[[#This Row],[Type]],Chemin_accès!$C$11:$C$22,0),1),Chemin_accès!$B$11)</f>
        <v>0</v>
      </c>
      <c r="AD976" s="47" t="str">
        <f>Chemin_accès!$B$8&amp;Tableau1[[#This Row],[Localisation / Classement]]&amp;"\"&amp;Tableau1[[#This Row],[Poste technique]]&amp;"_"&amp;Tableau1[[#This Row],[Plan Entretien]]&amp;".xlsm"</f>
        <v>\_.xlsm</v>
      </c>
    </row>
    <row r="977" spans="1:30" x14ac:dyDescent="0.3">
      <c r="A977" s="41" t="str">
        <f t="shared" ca="1" si="15"/>
        <v>7.MNRJ</v>
      </c>
      <c r="B97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7" s="43"/>
      <c r="D977" s="41"/>
      <c r="E977" s="41"/>
      <c r="F977" s="44"/>
      <c r="G977" s="44"/>
      <c r="H977" s="48"/>
      <c r="I977" s="48"/>
      <c r="J977" s="48"/>
      <c r="K977" s="48"/>
      <c r="L977" s="43"/>
      <c r="M977" s="44"/>
      <c r="N977" s="43"/>
      <c r="O977" s="43"/>
      <c r="P977" s="44"/>
      <c r="Q977" s="43"/>
      <c r="R977" s="43"/>
      <c r="S977" s="45"/>
      <c r="T977" s="58" t="str">
        <f>IF(Tableau1[[#This Row],[DMS_SAP]]="","",HYPERLINK(Tableau1[[#This Row],[Chemin fichier source]],"X"))</f>
        <v/>
      </c>
      <c r="U977" s="58" t="str">
        <f>IF(Tableau1[[#This Row],[Date rév.]]="","",HYPERLINK(Tableau1[[#This Row],[Lien document]],"X"))</f>
        <v/>
      </c>
      <c r="V977" s="44"/>
      <c r="W977" s="46" t="str">
        <f ca="1">Chemin_accès!$B$2&amp;Tableau1[[#This Row],[Poste Responsable]]&amp;"\"&amp;Tableau1[[#This Row],[Localisation / Classement]]&amp;"\"&amp;Tableau1[[#This Row],[Poste technique]]&amp;"_"&amp;Tableau1[[#This Row],[Plan Entretien]]&amp;".pdf"</f>
        <v>\\stjn.local\trimet\Donnees_Projets\Dms Sap\Maintenance\PlanEntretien\7.MNRJ\\_.pdf</v>
      </c>
      <c r="X977" s="44"/>
      <c r="Y977" s="44"/>
      <c r="Z977" s="41" t="str">
        <f ca="1">IF(AND(Tableau1[[#This Row],[Charge]]&lt;&gt;0, Tableau1[[#This Row],[Nombre intervenants]]&lt;&gt;0,Tableau1[[#This Row],[Lien document]]&lt;&gt;0,Tableau1[[#This Row],[DMS_SAP]]&lt;&gt;0)=TRUE,"MIS A JOUR","")</f>
        <v/>
      </c>
      <c r="AA977" s="45"/>
      <c r="AB977" s="55" t="str">
        <f ca="1">IF(Tableau1[[#This Row],[Date rév.]]&lt;&gt;"", DAYS360(Tableau1[[#This Row],[Date rév.]],TODAY()),"")</f>
        <v/>
      </c>
      <c r="AC977" s="47">
        <f>IFERROR(INDEX(Chemin_accès!$B$11:$C$22,MATCH(Tableau1[[#This Row],[Type]],Chemin_accès!$C$11:$C$22,0),1),Chemin_accès!$B$11)</f>
        <v>0</v>
      </c>
      <c r="AD977" s="47" t="str">
        <f>Chemin_accès!$B$8&amp;Tableau1[[#This Row],[Localisation / Classement]]&amp;"\"&amp;Tableau1[[#This Row],[Poste technique]]&amp;"_"&amp;Tableau1[[#This Row],[Plan Entretien]]&amp;".xlsm"</f>
        <v>\_.xlsm</v>
      </c>
    </row>
    <row r="978" spans="1:30" x14ac:dyDescent="0.3">
      <c r="A978" s="41" t="str">
        <f t="shared" ca="1" si="15"/>
        <v>7.MNRJ</v>
      </c>
      <c r="B97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8" s="43"/>
      <c r="D978" s="41"/>
      <c r="E978" s="41"/>
      <c r="F978" s="44"/>
      <c r="G978" s="44"/>
      <c r="H978" s="48"/>
      <c r="I978" s="48"/>
      <c r="J978" s="48"/>
      <c r="K978" s="48"/>
      <c r="L978" s="43"/>
      <c r="M978" s="44"/>
      <c r="N978" s="43"/>
      <c r="O978" s="43"/>
      <c r="P978" s="44"/>
      <c r="Q978" s="43"/>
      <c r="R978" s="43"/>
      <c r="S978" s="45"/>
      <c r="T978" s="58" t="str">
        <f>IF(Tableau1[[#This Row],[DMS_SAP]]="","",HYPERLINK(Tableau1[[#This Row],[Chemin fichier source]],"X"))</f>
        <v/>
      </c>
      <c r="U978" s="58" t="str">
        <f>IF(Tableau1[[#This Row],[Date rév.]]="","",HYPERLINK(Tableau1[[#This Row],[Lien document]],"X"))</f>
        <v/>
      </c>
      <c r="V978" s="44"/>
      <c r="W978" s="46" t="str">
        <f ca="1">Chemin_accès!$B$2&amp;Tableau1[[#This Row],[Poste Responsable]]&amp;"\"&amp;Tableau1[[#This Row],[Localisation / Classement]]&amp;"\"&amp;Tableau1[[#This Row],[Poste technique]]&amp;"_"&amp;Tableau1[[#This Row],[Plan Entretien]]&amp;".pdf"</f>
        <v>\\stjn.local\trimet\Donnees_Projets\Dms Sap\Maintenance\PlanEntretien\7.MNRJ\\_.pdf</v>
      </c>
      <c r="X978" s="44"/>
      <c r="Y978" s="44"/>
      <c r="Z978" s="41" t="str">
        <f ca="1">IF(AND(Tableau1[[#This Row],[Charge]]&lt;&gt;0, Tableau1[[#This Row],[Nombre intervenants]]&lt;&gt;0,Tableau1[[#This Row],[Lien document]]&lt;&gt;0,Tableau1[[#This Row],[DMS_SAP]]&lt;&gt;0)=TRUE,"MIS A JOUR","")</f>
        <v/>
      </c>
      <c r="AA978" s="45"/>
      <c r="AB978" s="55" t="str">
        <f ca="1">IF(Tableau1[[#This Row],[Date rév.]]&lt;&gt;"", DAYS360(Tableau1[[#This Row],[Date rév.]],TODAY()),"")</f>
        <v/>
      </c>
      <c r="AC978" s="47">
        <f>IFERROR(INDEX(Chemin_accès!$B$11:$C$22,MATCH(Tableau1[[#This Row],[Type]],Chemin_accès!$C$11:$C$22,0),1),Chemin_accès!$B$11)</f>
        <v>0</v>
      </c>
      <c r="AD978" s="47" t="str">
        <f>Chemin_accès!$B$8&amp;Tableau1[[#This Row],[Localisation / Classement]]&amp;"\"&amp;Tableau1[[#This Row],[Poste technique]]&amp;"_"&amp;Tableau1[[#This Row],[Plan Entretien]]&amp;".xlsm"</f>
        <v>\_.xlsm</v>
      </c>
    </row>
    <row r="979" spans="1:30" x14ac:dyDescent="0.3">
      <c r="A979" s="41" t="str">
        <f t="shared" ca="1" si="15"/>
        <v>7.MNRJ</v>
      </c>
      <c r="B97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9" s="43"/>
      <c r="D979" s="41"/>
      <c r="E979" s="41"/>
      <c r="F979" s="44"/>
      <c r="G979" s="44"/>
      <c r="H979" s="48"/>
      <c r="I979" s="48"/>
      <c r="J979" s="48"/>
      <c r="K979" s="48"/>
      <c r="L979" s="43"/>
      <c r="M979" s="44"/>
      <c r="N979" s="43"/>
      <c r="O979" s="43"/>
      <c r="P979" s="44"/>
      <c r="Q979" s="43"/>
      <c r="R979" s="43"/>
      <c r="S979" s="45"/>
      <c r="T979" s="58" t="str">
        <f>IF(Tableau1[[#This Row],[DMS_SAP]]="","",HYPERLINK(Tableau1[[#This Row],[Chemin fichier source]],"X"))</f>
        <v/>
      </c>
      <c r="U979" s="58" t="str">
        <f>IF(Tableau1[[#This Row],[Date rév.]]="","",HYPERLINK(Tableau1[[#This Row],[Lien document]],"X"))</f>
        <v/>
      </c>
      <c r="V979" s="44"/>
      <c r="W979" s="46" t="str">
        <f ca="1">Chemin_accès!$B$2&amp;Tableau1[[#This Row],[Poste Responsable]]&amp;"\"&amp;Tableau1[[#This Row],[Localisation / Classement]]&amp;"\"&amp;Tableau1[[#This Row],[Poste technique]]&amp;"_"&amp;Tableau1[[#This Row],[Plan Entretien]]&amp;".pdf"</f>
        <v>\\stjn.local\trimet\Donnees_Projets\Dms Sap\Maintenance\PlanEntretien\7.MNRJ\\_.pdf</v>
      </c>
      <c r="X979" s="44"/>
      <c r="Y979" s="44"/>
      <c r="Z979" s="41" t="str">
        <f ca="1">IF(AND(Tableau1[[#This Row],[Charge]]&lt;&gt;0, Tableau1[[#This Row],[Nombre intervenants]]&lt;&gt;0,Tableau1[[#This Row],[Lien document]]&lt;&gt;0,Tableau1[[#This Row],[DMS_SAP]]&lt;&gt;0)=TRUE,"MIS A JOUR","")</f>
        <v/>
      </c>
      <c r="AA979" s="45"/>
      <c r="AB979" s="55" t="str">
        <f ca="1">IF(Tableau1[[#This Row],[Date rév.]]&lt;&gt;"", DAYS360(Tableau1[[#This Row],[Date rév.]],TODAY()),"")</f>
        <v/>
      </c>
      <c r="AC979" s="47">
        <f>IFERROR(INDEX(Chemin_accès!$B$11:$C$22,MATCH(Tableau1[[#This Row],[Type]],Chemin_accès!$C$11:$C$22,0),1),Chemin_accès!$B$11)</f>
        <v>0</v>
      </c>
      <c r="AD979" s="47" t="str">
        <f>Chemin_accès!$B$8&amp;Tableau1[[#This Row],[Localisation / Classement]]&amp;"\"&amp;Tableau1[[#This Row],[Poste technique]]&amp;"_"&amp;Tableau1[[#This Row],[Plan Entretien]]&amp;".xlsm"</f>
        <v>\_.xlsm</v>
      </c>
    </row>
    <row r="980" spans="1:30" x14ac:dyDescent="0.3">
      <c r="A980" s="41" t="str">
        <f t="shared" ca="1" si="15"/>
        <v>7.MNRJ</v>
      </c>
      <c r="B98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0" s="43"/>
      <c r="D980" s="41"/>
      <c r="E980" s="41"/>
      <c r="F980" s="44"/>
      <c r="G980" s="44"/>
      <c r="H980" s="48"/>
      <c r="I980" s="48"/>
      <c r="J980" s="48"/>
      <c r="K980" s="48"/>
      <c r="L980" s="43"/>
      <c r="M980" s="44"/>
      <c r="N980" s="43"/>
      <c r="O980" s="43"/>
      <c r="P980" s="44"/>
      <c r="Q980" s="43"/>
      <c r="R980" s="43"/>
      <c r="S980" s="45"/>
      <c r="T980" s="58" t="str">
        <f>IF(Tableau1[[#This Row],[DMS_SAP]]="","",HYPERLINK(Tableau1[[#This Row],[Chemin fichier source]],"X"))</f>
        <v/>
      </c>
      <c r="U980" s="58" t="str">
        <f>IF(Tableau1[[#This Row],[Date rév.]]="","",HYPERLINK(Tableau1[[#This Row],[Lien document]],"X"))</f>
        <v/>
      </c>
      <c r="V980" s="44"/>
      <c r="W980" s="46" t="str">
        <f ca="1">Chemin_accès!$B$2&amp;Tableau1[[#This Row],[Poste Responsable]]&amp;"\"&amp;Tableau1[[#This Row],[Localisation / Classement]]&amp;"\"&amp;Tableau1[[#This Row],[Poste technique]]&amp;"_"&amp;Tableau1[[#This Row],[Plan Entretien]]&amp;".pdf"</f>
        <v>\\stjn.local\trimet\Donnees_Projets\Dms Sap\Maintenance\PlanEntretien\7.MNRJ\\_.pdf</v>
      </c>
      <c r="X980" s="44"/>
      <c r="Y980" s="44"/>
      <c r="Z980" s="41" t="str">
        <f ca="1">IF(AND(Tableau1[[#This Row],[Charge]]&lt;&gt;0, Tableau1[[#This Row],[Nombre intervenants]]&lt;&gt;0,Tableau1[[#This Row],[Lien document]]&lt;&gt;0,Tableau1[[#This Row],[DMS_SAP]]&lt;&gt;0)=TRUE,"MIS A JOUR","")</f>
        <v/>
      </c>
      <c r="AA980" s="45"/>
      <c r="AB980" s="55" t="str">
        <f ca="1">IF(Tableau1[[#This Row],[Date rév.]]&lt;&gt;"", DAYS360(Tableau1[[#This Row],[Date rév.]],TODAY()),"")</f>
        <v/>
      </c>
      <c r="AC980" s="47">
        <f>IFERROR(INDEX(Chemin_accès!$B$11:$C$22,MATCH(Tableau1[[#This Row],[Type]],Chemin_accès!$C$11:$C$22,0),1),Chemin_accès!$B$11)</f>
        <v>0</v>
      </c>
      <c r="AD980" s="47" t="str">
        <f>Chemin_accès!$B$8&amp;Tableau1[[#This Row],[Localisation / Classement]]&amp;"\"&amp;Tableau1[[#This Row],[Poste technique]]&amp;"_"&amp;Tableau1[[#This Row],[Plan Entretien]]&amp;".xlsm"</f>
        <v>\_.xlsm</v>
      </c>
    </row>
    <row r="981" spans="1:30" x14ac:dyDescent="0.3">
      <c r="A981" s="41" t="str">
        <f t="shared" ca="1" si="15"/>
        <v>7.MNRJ</v>
      </c>
      <c r="B98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1" s="43"/>
      <c r="D981" s="41"/>
      <c r="E981" s="41"/>
      <c r="F981" s="44"/>
      <c r="G981" s="44"/>
      <c r="H981" s="48"/>
      <c r="I981" s="48"/>
      <c r="J981" s="48"/>
      <c r="K981" s="48"/>
      <c r="L981" s="43"/>
      <c r="M981" s="44"/>
      <c r="N981" s="43"/>
      <c r="O981" s="43"/>
      <c r="P981" s="44"/>
      <c r="Q981" s="43"/>
      <c r="R981" s="43"/>
      <c r="S981" s="45"/>
      <c r="T981" s="58" t="str">
        <f>IF(Tableau1[[#This Row],[DMS_SAP]]="","",HYPERLINK(Tableau1[[#This Row],[Chemin fichier source]],"X"))</f>
        <v/>
      </c>
      <c r="U981" s="58" t="str">
        <f>IF(Tableau1[[#This Row],[Date rév.]]="","",HYPERLINK(Tableau1[[#This Row],[Lien document]],"X"))</f>
        <v/>
      </c>
      <c r="V981" s="44"/>
      <c r="W981" s="46" t="str">
        <f ca="1">Chemin_accès!$B$2&amp;Tableau1[[#This Row],[Poste Responsable]]&amp;"\"&amp;Tableau1[[#This Row],[Localisation / Classement]]&amp;"\"&amp;Tableau1[[#This Row],[Poste technique]]&amp;"_"&amp;Tableau1[[#This Row],[Plan Entretien]]&amp;".pdf"</f>
        <v>\\stjn.local\trimet\Donnees_Projets\Dms Sap\Maintenance\PlanEntretien\7.MNRJ\\_.pdf</v>
      </c>
      <c r="X981" s="44"/>
      <c r="Y981" s="44"/>
      <c r="Z981" s="41" t="str">
        <f ca="1">IF(AND(Tableau1[[#This Row],[Charge]]&lt;&gt;0, Tableau1[[#This Row],[Nombre intervenants]]&lt;&gt;0,Tableau1[[#This Row],[Lien document]]&lt;&gt;0,Tableau1[[#This Row],[DMS_SAP]]&lt;&gt;0)=TRUE,"MIS A JOUR","")</f>
        <v/>
      </c>
      <c r="AA981" s="45"/>
      <c r="AB981" s="55" t="str">
        <f ca="1">IF(Tableau1[[#This Row],[Date rév.]]&lt;&gt;"", DAYS360(Tableau1[[#This Row],[Date rév.]],TODAY()),"")</f>
        <v/>
      </c>
      <c r="AC981" s="47">
        <f>IFERROR(INDEX(Chemin_accès!$B$11:$C$22,MATCH(Tableau1[[#This Row],[Type]],Chemin_accès!$C$11:$C$22,0),1),Chemin_accès!$B$11)</f>
        <v>0</v>
      </c>
      <c r="AD981" s="47" t="str">
        <f>Chemin_accès!$B$8&amp;Tableau1[[#This Row],[Localisation / Classement]]&amp;"\"&amp;Tableau1[[#This Row],[Poste technique]]&amp;"_"&amp;Tableau1[[#This Row],[Plan Entretien]]&amp;".xlsm"</f>
        <v>\_.xlsm</v>
      </c>
    </row>
    <row r="982" spans="1:30" x14ac:dyDescent="0.3">
      <c r="A982" s="41" t="str">
        <f t="shared" ca="1" si="15"/>
        <v>7.MNRJ</v>
      </c>
      <c r="B98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2" s="43"/>
      <c r="D982" s="41"/>
      <c r="E982" s="41"/>
      <c r="F982" s="44"/>
      <c r="G982" s="44"/>
      <c r="H982" s="48"/>
      <c r="I982" s="48"/>
      <c r="J982" s="48"/>
      <c r="K982" s="48"/>
      <c r="L982" s="43"/>
      <c r="M982" s="44"/>
      <c r="N982" s="43"/>
      <c r="O982" s="43"/>
      <c r="P982" s="44"/>
      <c r="Q982" s="43"/>
      <c r="R982" s="43"/>
      <c r="S982" s="45"/>
      <c r="T982" s="58" t="str">
        <f>IF(Tableau1[[#This Row],[DMS_SAP]]="","",HYPERLINK(Tableau1[[#This Row],[Chemin fichier source]],"X"))</f>
        <v/>
      </c>
      <c r="U982" s="58" t="str">
        <f>IF(Tableau1[[#This Row],[Date rév.]]="","",HYPERLINK(Tableau1[[#This Row],[Lien document]],"X"))</f>
        <v/>
      </c>
      <c r="V982" s="44"/>
      <c r="W982" s="46" t="str">
        <f ca="1">Chemin_accès!$B$2&amp;Tableau1[[#This Row],[Poste Responsable]]&amp;"\"&amp;Tableau1[[#This Row],[Localisation / Classement]]&amp;"\"&amp;Tableau1[[#This Row],[Poste technique]]&amp;"_"&amp;Tableau1[[#This Row],[Plan Entretien]]&amp;".pdf"</f>
        <v>\\stjn.local\trimet\Donnees_Projets\Dms Sap\Maintenance\PlanEntretien\7.MNRJ\\_.pdf</v>
      </c>
      <c r="X982" s="44"/>
      <c r="Y982" s="44"/>
      <c r="Z982" s="41" t="str">
        <f ca="1">IF(AND(Tableau1[[#This Row],[Charge]]&lt;&gt;0, Tableau1[[#This Row],[Nombre intervenants]]&lt;&gt;0,Tableau1[[#This Row],[Lien document]]&lt;&gt;0,Tableau1[[#This Row],[DMS_SAP]]&lt;&gt;0)=TRUE,"MIS A JOUR","")</f>
        <v/>
      </c>
      <c r="AA982" s="45"/>
      <c r="AB982" s="55" t="str">
        <f ca="1">IF(Tableau1[[#This Row],[Date rév.]]&lt;&gt;"", DAYS360(Tableau1[[#This Row],[Date rév.]],TODAY()),"")</f>
        <v/>
      </c>
      <c r="AC982" s="47">
        <f>IFERROR(INDEX(Chemin_accès!$B$11:$C$22,MATCH(Tableau1[[#This Row],[Type]],Chemin_accès!$C$11:$C$22,0),1),Chemin_accès!$B$11)</f>
        <v>0</v>
      </c>
      <c r="AD982" s="47" t="str">
        <f>Chemin_accès!$B$8&amp;Tableau1[[#This Row],[Localisation / Classement]]&amp;"\"&amp;Tableau1[[#This Row],[Poste technique]]&amp;"_"&amp;Tableau1[[#This Row],[Plan Entretien]]&amp;".xlsm"</f>
        <v>\_.xlsm</v>
      </c>
    </row>
    <row r="983" spans="1:30" x14ac:dyDescent="0.3">
      <c r="A983" s="41" t="str">
        <f t="shared" ca="1" si="15"/>
        <v>7.MNRJ</v>
      </c>
      <c r="B98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3" s="43"/>
      <c r="D983" s="41"/>
      <c r="E983" s="41"/>
      <c r="F983" s="44"/>
      <c r="G983" s="44"/>
      <c r="H983" s="48"/>
      <c r="I983" s="48"/>
      <c r="J983" s="48"/>
      <c r="K983" s="48"/>
      <c r="L983" s="43"/>
      <c r="M983" s="44"/>
      <c r="N983" s="43"/>
      <c r="O983" s="43"/>
      <c r="P983" s="44"/>
      <c r="Q983" s="43"/>
      <c r="R983" s="43"/>
      <c r="S983" s="45"/>
      <c r="T983" s="58" t="str">
        <f>IF(Tableau1[[#This Row],[DMS_SAP]]="","",HYPERLINK(Tableau1[[#This Row],[Chemin fichier source]],"X"))</f>
        <v/>
      </c>
      <c r="U983" s="58" t="str">
        <f>IF(Tableau1[[#This Row],[Date rév.]]="","",HYPERLINK(Tableau1[[#This Row],[Lien document]],"X"))</f>
        <v/>
      </c>
      <c r="V983" s="44"/>
      <c r="W983" s="46" t="str">
        <f ca="1">Chemin_accès!$B$2&amp;Tableau1[[#This Row],[Poste Responsable]]&amp;"\"&amp;Tableau1[[#This Row],[Localisation / Classement]]&amp;"\"&amp;Tableau1[[#This Row],[Poste technique]]&amp;"_"&amp;Tableau1[[#This Row],[Plan Entretien]]&amp;".pdf"</f>
        <v>\\stjn.local\trimet\Donnees_Projets\Dms Sap\Maintenance\PlanEntretien\7.MNRJ\\_.pdf</v>
      </c>
      <c r="X983" s="44"/>
      <c r="Y983" s="44"/>
      <c r="Z983" s="41" t="str">
        <f ca="1">IF(AND(Tableau1[[#This Row],[Charge]]&lt;&gt;0, Tableau1[[#This Row],[Nombre intervenants]]&lt;&gt;0,Tableau1[[#This Row],[Lien document]]&lt;&gt;0,Tableau1[[#This Row],[DMS_SAP]]&lt;&gt;0)=TRUE,"MIS A JOUR","")</f>
        <v/>
      </c>
      <c r="AA983" s="45"/>
      <c r="AB983" s="55" t="str">
        <f ca="1">IF(Tableau1[[#This Row],[Date rév.]]&lt;&gt;"", DAYS360(Tableau1[[#This Row],[Date rév.]],TODAY()),"")</f>
        <v/>
      </c>
      <c r="AC983" s="47">
        <f>IFERROR(INDEX(Chemin_accès!$B$11:$C$22,MATCH(Tableau1[[#This Row],[Type]],Chemin_accès!$C$11:$C$22,0),1),Chemin_accès!$B$11)</f>
        <v>0</v>
      </c>
      <c r="AD983" s="47" t="str">
        <f>Chemin_accès!$B$8&amp;Tableau1[[#This Row],[Localisation / Classement]]&amp;"\"&amp;Tableau1[[#This Row],[Poste technique]]&amp;"_"&amp;Tableau1[[#This Row],[Plan Entretien]]&amp;".xlsm"</f>
        <v>\_.xlsm</v>
      </c>
    </row>
    <row r="984" spans="1:30" x14ac:dyDescent="0.3">
      <c r="A984" s="41" t="str">
        <f t="shared" ca="1" si="15"/>
        <v>7.MNRJ</v>
      </c>
      <c r="B98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4" s="43"/>
      <c r="D984" s="41"/>
      <c r="E984" s="41"/>
      <c r="F984" s="44"/>
      <c r="G984" s="44"/>
      <c r="H984" s="48"/>
      <c r="I984" s="48"/>
      <c r="J984" s="48"/>
      <c r="K984" s="48"/>
      <c r="L984" s="43"/>
      <c r="M984" s="44"/>
      <c r="N984" s="43"/>
      <c r="O984" s="43"/>
      <c r="P984" s="44"/>
      <c r="Q984" s="43"/>
      <c r="R984" s="43"/>
      <c r="S984" s="45"/>
      <c r="T984" s="58" t="str">
        <f>IF(Tableau1[[#This Row],[DMS_SAP]]="","",HYPERLINK(Tableau1[[#This Row],[Chemin fichier source]],"X"))</f>
        <v/>
      </c>
      <c r="U984" s="58" t="str">
        <f>IF(Tableau1[[#This Row],[Date rév.]]="","",HYPERLINK(Tableau1[[#This Row],[Lien document]],"X"))</f>
        <v/>
      </c>
      <c r="V984" s="44"/>
      <c r="W984" s="46" t="str">
        <f ca="1">Chemin_accès!$B$2&amp;Tableau1[[#This Row],[Poste Responsable]]&amp;"\"&amp;Tableau1[[#This Row],[Localisation / Classement]]&amp;"\"&amp;Tableau1[[#This Row],[Poste technique]]&amp;"_"&amp;Tableau1[[#This Row],[Plan Entretien]]&amp;".pdf"</f>
        <v>\\stjn.local\trimet\Donnees_Projets\Dms Sap\Maintenance\PlanEntretien\7.MNRJ\\_.pdf</v>
      </c>
      <c r="X984" s="44"/>
      <c r="Y984" s="44"/>
      <c r="Z984" s="41" t="str">
        <f ca="1">IF(AND(Tableau1[[#This Row],[Charge]]&lt;&gt;0, Tableau1[[#This Row],[Nombre intervenants]]&lt;&gt;0,Tableau1[[#This Row],[Lien document]]&lt;&gt;0,Tableau1[[#This Row],[DMS_SAP]]&lt;&gt;0)=TRUE,"MIS A JOUR","")</f>
        <v/>
      </c>
      <c r="AA984" s="45"/>
      <c r="AB984" s="55" t="str">
        <f ca="1">IF(Tableau1[[#This Row],[Date rév.]]&lt;&gt;"", DAYS360(Tableau1[[#This Row],[Date rév.]],TODAY()),"")</f>
        <v/>
      </c>
      <c r="AC984" s="47">
        <f>IFERROR(INDEX(Chemin_accès!$B$11:$C$22,MATCH(Tableau1[[#This Row],[Type]],Chemin_accès!$C$11:$C$22,0),1),Chemin_accès!$B$11)</f>
        <v>0</v>
      </c>
      <c r="AD984" s="47" t="str">
        <f>Chemin_accès!$B$8&amp;Tableau1[[#This Row],[Localisation / Classement]]&amp;"\"&amp;Tableau1[[#This Row],[Poste technique]]&amp;"_"&amp;Tableau1[[#This Row],[Plan Entretien]]&amp;".xlsm"</f>
        <v>\_.xlsm</v>
      </c>
    </row>
    <row r="985" spans="1:30" x14ac:dyDescent="0.3">
      <c r="A985" s="41" t="str">
        <f t="shared" ca="1" si="15"/>
        <v>7.MNRJ</v>
      </c>
      <c r="B98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5" s="43"/>
      <c r="D985" s="41"/>
      <c r="E985" s="41"/>
      <c r="F985" s="44"/>
      <c r="G985" s="44"/>
      <c r="H985" s="48"/>
      <c r="I985" s="48"/>
      <c r="J985" s="48"/>
      <c r="K985" s="48"/>
      <c r="L985" s="43"/>
      <c r="M985" s="44"/>
      <c r="N985" s="43"/>
      <c r="O985" s="43"/>
      <c r="P985" s="44"/>
      <c r="Q985" s="43"/>
      <c r="R985" s="43"/>
      <c r="S985" s="45"/>
      <c r="T985" s="58" t="str">
        <f>IF(Tableau1[[#This Row],[DMS_SAP]]="","",HYPERLINK(Tableau1[[#This Row],[Chemin fichier source]],"X"))</f>
        <v/>
      </c>
      <c r="U985" s="58" t="str">
        <f>IF(Tableau1[[#This Row],[Date rév.]]="","",HYPERLINK(Tableau1[[#This Row],[Lien document]],"X"))</f>
        <v/>
      </c>
      <c r="V985" s="44"/>
      <c r="W985" s="46" t="str">
        <f ca="1">Chemin_accès!$B$2&amp;Tableau1[[#This Row],[Poste Responsable]]&amp;"\"&amp;Tableau1[[#This Row],[Localisation / Classement]]&amp;"\"&amp;Tableau1[[#This Row],[Poste technique]]&amp;"_"&amp;Tableau1[[#This Row],[Plan Entretien]]&amp;".pdf"</f>
        <v>\\stjn.local\trimet\Donnees_Projets\Dms Sap\Maintenance\PlanEntretien\7.MNRJ\\_.pdf</v>
      </c>
      <c r="X985" s="44"/>
      <c r="Y985" s="44"/>
      <c r="Z985" s="41" t="str">
        <f ca="1">IF(AND(Tableau1[[#This Row],[Charge]]&lt;&gt;0, Tableau1[[#This Row],[Nombre intervenants]]&lt;&gt;0,Tableau1[[#This Row],[Lien document]]&lt;&gt;0,Tableau1[[#This Row],[DMS_SAP]]&lt;&gt;0)=TRUE,"MIS A JOUR","")</f>
        <v/>
      </c>
      <c r="AA985" s="45"/>
      <c r="AB985" s="55" t="str">
        <f ca="1">IF(Tableau1[[#This Row],[Date rév.]]&lt;&gt;"", DAYS360(Tableau1[[#This Row],[Date rév.]],TODAY()),"")</f>
        <v/>
      </c>
      <c r="AC985" s="47">
        <f>IFERROR(INDEX(Chemin_accès!$B$11:$C$22,MATCH(Tableau1[[#This Row],[Type]],Chemin_accès!$C$11:$C$22,0),1),Chemin_accès!$B$11)</f>
        <v>0</v>
      </c>
      <c r="AD985" s="47" t="str">
        <f>Chemin_accès!$B$8&amp;Tableau1[[#This Row],[Localisation / Classement]]&amp;"\"&amp;Tableau1[[#This Row],[Poste technique]]&amp;"_"&amp;Tableau1[[#This Row],[Plan Entretien]]&amp;".xlsm"</f>
        <v>\_.xlsm</v>
      </c>
    </row>
    <row r="986" spans="1:30" x14ac:dyDescent="0.3">
      <c r="A986" s="41" t="str">
        <f t="shared" ca="1" si="15"/>
        <v>7.MNRJ</v>
      </c>
      <c r="B98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6" s="43"/>
      <c r="D986" s="41"/>
      <c r="E986" s="41"/>
      <c r="F986" s="44"/>
      <c r="G986" s="44"/>
      <c r="H986" s="48"/>
      <c r="I986" s="48"/>
      <c r="J986" s="48"/>
      <c r="K986" s="48"/>
      <c r="L986" s="43"/>
      <c r="M986" s="44"/>
      <c r="N986" s="43"/>
      <c r="O986" s="43"/>
      <c r="P986" s="44"/>
      <c r="Q986" s="43"/>
      <c r="R986" s="43"/>
      <c r="S986" s="45"/>
      <c r="T986" s="58" t="str">
        <f>IF(Tableau1[[#This Row],[DMS_SAP]]="","",HYPERLINK(Tableau1[[#This Row],[Chemin fichier source]],"X"))</f>
        <v/>
      </c>
      <c r="U986" s="58" t="str">
        <f>IF(Tableau1[[#This Row],[Date rév.]]="","",HYPERLINK(Tableau1[[#This Row],[Lien document]],"X"))</f>
        <v/>
      </c>
      <c r="V986" s="44"/>
      <c r="W986" s="46" t="str">
        <f ca="1">Chemin_accès!$B$2&amp;Tableau1[[#This Row],[Poste Responsable]]&amp;"\"&amp;Tableau1[[#This Row],[Localisation / Classement]]&amp;"\"&amp;Tableau1[[#This Row],[Poste technique]]&amp;"_"&amp;Tableau1[[#This Row],[Plan Entretien]]&amp;".pdf"</f>
        <v>\\stjn.local\trimet\Donnees_Projets\Dms Sap\Maintenance\PlanEntretien\7.MNRJ\\_.pdf</v>
      </c>
      <c r="X986" s="44"/>
      <c r="Y986" s="44"/>
      <c r="Z986" s="41" t="str">
        <f ca="1">IF(AND(Tableau1[[#This Row],[Charge]]&lt;&gt;0, Tableau1[[#This Row],[Nombre intervenants]]&lt;&gt;0,Tableau1[[#This Row],[Lien document]]&lt;&gt;0,Tableau1[[#This Row],[DMS_SAP]]&lt;&gt;0)=TRUE,"MIS A JOUR","")</f>
        <v/>
      </c>
      <c r="AA986" s="45"/>
      <c r="AB986" s="55" t="str">
        <f ca="1">IF(Tableau1[[#This Row],[Date rév.]]&lt;&gt;"", DAYS360(Tableau1[[#This Row],[Date rév.]],TODAY()),"")</f>
        <v/>
      </c>
      <c r="AC986" s="47">
        <f>IFERROR(INDEX(Chemin_accès!$B$11:$C$22,MATCH(Tableau1[[#This Row],[Type]],Chemin_accès!$C$11:$C$22,0),1),Chemin_accès!$B$11)</f>
        <v>0</v>
      </c>
      <c r="AD986" s="47" t="str">
        <f>Chemin_accès!$B$8&amp;Tableau1[[#This Row],[Localisation / Classement]]&amp;"\"&amp;Tableau1[[#This Row],[Poste technique]]&amp;"_"&amp;Tableau1[[#This Row],[Plan Entretien]]&amp;".xlsm"</f>
        <v>\_.xlsm</v>
      </c>
    </row>
    <row r="987" spans="1:30" x14ac:dyDescent="0.3">
      <c r="A987" s="41" t="str">
        <f t="shared" ca="1" si="15"/>
        <v>7.MNRJ</v>
      </c>
      <c r="B98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7" s="43"/>
      <c r="D987" s="41"/>
      <c r="E987" s="41"/>
      <c r="F987" s="44"/>
      <c r="G987" s="44"/>
      <c r="H987" s="48"/>
      <c r="I987" s="48"/>
      <c r="J987" s="48"/>
      <c r="K987" s="48"/>
      <c r="L987" s="43"/>
      <c r="M987" s="44"/>
      <c r="N987" s="43"/>
      <c r="O987" s="43"/>
      <c r="P987" s="44"/>
      <c r="Q987" s="43"/>
      <c r="R987" s="43"/>
      <c r="S987" s="45"/>
      <c r="T987" s="58" t="str">
        <f>IF(Tableau1[[#This Row],[DMS_SAP]]="","",HYPERLINK(Tableau1[[#This Row],[Chemin fichier source]],"X"))</f>
        <v/>
      </c>
      <c r="U987" s="58" t="str">
        <f>IF(Tableau1[[#This Row],[Date rév.]]="","",HYPERLINK(Tableau1[[#This Row],[Lien document]],"X"))</f>
        <v/>
      </c>
      <c r="V987" s="44"/>
      <c r="W987" s="46" t="str">
        <f ca="1">Chemin_accès!$B$2&amp;Tableau1[[#This Row],[Poste Responsable]]&amp;"\"&amp;Tableau1[[#This Row],[Localisation / Classement]]&amp;"\"&amp;Tableau1[[#This Row],[Poste technique]]&amp;"_"&amp;Tableau1[[#This Row],[Plan Entretien]]&amp;".pdf"</f>
        <v>\\stjn.local\trimet\Donnees_Projets\Dms Sap\Maintenance\PlanEntretien\7.MNRJ\\_.pdf</v>
      </c>
      <c r="X987" s="44"/>
      <c r="Y987" s="44"/>
      <c r="Z987" s="41" t="str">
        <f ca="1">IF(AND(Tableau1[[#This Row],[Charge]]&lt;&gt;0, Tableau1[[#This Row],[Nombre intervenants]]&lt;&gt;0,Tableau1[[#This Row],[Lien document]]&lt;&gt;0,Tableau1[[#This Row],[DMS_SAP]]&lt;&gt;0)=TRUE,"MIS A JOUR","")</f>
        <v/>
      </c>
      <c r="AA987" s="45"/>
      <c r="AB987" s="55" t="str">
        <f ca="1">IF(Tableau1[[#This Row],[Date rév.]]&lt;&gt;"", DAYS360(Tableau1[[#This Row],[Date rév.]],TODAY()),"")</f>
        <v/>
      </c>
      <c r="AC987" s="47">
        <f>IFERROR(INDEX(Chemin_accès!$B$11:$C$22,MATCH(Tableau1[[#This Row],[Type]],Chemin_accès!$C$11:$C$22,0),1),Chemin_accès!$B$11)</f>
        <v>0</v>
      </c>
      <c r="AD987" s="47" t="str">
        <f>Chemin_accès!$B$8&amp;Tableau1[[#This Row],[Localisation / Classement]]&amp;"\"&amp;Tableau1[[#This Row],[Poste technique]]&amp;"_"&amp;Tableau1[[#This Row],[Plan Entretien]]&amp;".xlsm"</f>
        <v>\_.xlsm</v>
      </c>
    </row>
    <row r="988" spans="1:30" x14ac:dyDescent="0.3">
      <c r="A988" s="41" t="str">
        <f t="shared" ca="1" si="15"/>
        <v>7.MNRJ</v>
      </c>
      <c r="B98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8" s="43"/>
      <c r="D988" s="41"/>
      <c r="E988" s="41"/>
      <c r="F988" s="44"/>
      <c r="G988" s="44"/>
      <c r="H988" s="48"/>
      <c r="I988" s="48"/>
      <c r="J988" s="48"/>
      <c r="K988" s="48"/>
      <c r="L988" s="43"/>
      <c r="M988" s="44"/>
      <c r="N988" s="43"/>
      <c r="O988" s="43"/>
      <c r="P988" s="44"/>
      <c r="Q988" s="43"/>
      <c r="R988" s="43"/>
      <c r="S988" s="45"/>
      <c r="T988" s="58" t="str">
        <f>IF(Tableau1[[#This Row],[DMS_SAP]]="","",HYPERLINK(Tableau1[[#This Row],[Chemin fichier source]],"X"))</f>
        <v/>
      </c>
      <c r="U988" s="58" t="str">
        <f>IF(Tableau1[[#This Row],[Date rév.]]="","",HYPERLINK(Tableau1[[#This Row],[Lien document]],"X"))</f>
        <v/>
      </c>
      <c r="V988" s="44"/>
      <c r="W988" s="46" t="str">
        <f ca="1">Chemin_accès!$B$2&amp;Tableau1[[#This Row],[Poste Responsable]]&amp;"\"&amp;Tableau1[[#This Row],[Localisation / Classement]]&amp;"\"&amp;Tableau1[[#This Row],[Poste technique]]&amp;"_"&amp;Tableau1[[#This Row],[Plan Entretien]]&amp;".pdf"</f>
        <v>\\stjn.local\trimet\Donnees_Projets\Dms Sap\Maintenance\PlanEntretien\7.MNRJ\\_.pdf</v>
      </c>
      <c r="X988" s="44"/>
      <c r="Y988" s="44"/>
      <c r="Z988" s="41" t="str">
        <f ca="1">IF(AND(Tableau1[[#This Row],[Charge]]&lt;&gt;0, Tableau1[[#This Row],[Nombre intervenants]]&lt;&gt;0,Tableau1[[#This Row],[Lien document]]&lt;&gt;0,Tableau1[[#This Row],[DMS_SAP]]&lt;&gt;0)=TRUE,"MIS A JOUR","")</f>
        <v/>
      </c>
      <c r="AA988" s="45"/>
      <c r="AB988" s="55" t="str">
        <f ca="1">IF(Tableau1[[#This Row],[Date rév.]]&lt;&gt;"", DAYS360(Tableau1[[#This Row],[Date rév.]],TODAY()),"")</f>
        <v/>
      </c>
      <c r="AC988" s="47">
        <f>IFERROR(INDEX(Chemin_accès!$B$11:$C$22,MATCH(Tableau1[[#This Row],[Type]],Chemin_accès!$C$11:$C$22,0),1),Chemin_accès!$B$11)</f>
        <v>0</v>
      </c>
      <c r="AD988" s="47" t="str">
        <f>Chemin_accès!$B$8&amp;Tableau1[[#This Row],[Localisation / Classement]]&amp;"\"&amp;Tableau1[[#This Row],[Poste technique]]&amp;"_"&amp;Tableau1[[#This Row],[Plan Entretien]]&amp;".xlsm"</f>
        <v>\_.xlsm</v>
      </c>
    </row>
    <row r="989" spans="1:30" x14ac:dyDescent="0.3">
      <c r="A989" s="41" t="str">
        <f t="shared" ca="1" si="15"/>
        <v>7.MNRJ</v>
      </c>
      <c r="B98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9" s="43"/>
      <c r="D989" s="41"/>
      <c r="E989" s="41"/>
      <c r="F989" s="44"/>
      <c r="G989" s="44"/>
      <c r="H989" s="48"/>
      <c r="I989" s="48"/>
      <c r="J989" s="48"/>
      <c r="K989" s="48"/>
      <c r="L989" s="43"/>
      <c r="M989" s="44"/>
      <c r="N989" s="43"/>
      <c r="O989" s="43"/>
      <c r="P989" s="44"/>
      <c r="Q989" s="43"/>
      <c r="R989" s="43"/>
      <c r="S989" s="45"/>
      <c r="T989" s="58" t="str">
        <f>IF(Tableau1[[#This Row],[DMS_SAP]]="","",HYPERLINK(Tableau1[[#This Row],[Chemin fichier source]],"X"))</f>
        <v/>
      </c>
      <c r="U989" s="58" t="str">
        <f>IF(Tableau1[[#This Row],[Date rév.]]="","",HYPERLINK(Tableau1[[#This Row],[Lien document]],"X"))</f>
        <v/>
      </c>
      <c r="V989" s="44"/>
      <c r="W989" s="46" t="str">
        <f ca="1">Chemin_accès!$B$2&amp;Tableau1[[#This Row],[Poste Responsable]]&amp;"\"&amp;Tableau1[[#This Row],[Localisation / Classement]]&amp;"\"&amp;Tableau1[[#This Row],[Poste technique]]&amp;"_"&amp;Tableau1[[#This Row],[Plan Entretien]]&amp;".pdf"</f>
        <v>\\stjn.local\trimet\Donnees_Projets\Dms Sap\Maintenance\PlanEntretien\7.MNRJ\\_.pdf</v>
      </c>
      <c r="X989" s="44"/>
      <c r="Y989" s="44"/>
      <c r="Z989" s="41" t="str">
        <f ca="1">IF(AND(Tableau1[[#This Row],[Charge]]&lt;&gt;0, Tableau1[[#This Row],[Nombre intervenants]]&lt;&gt;0,Tableau1[[#This Row],[Lien document]]&lt;&gt;0,Tableau1[[#This Row],[DMS_SAP]]&lt;&gt;0)=TRUE,"MIS A JOUR","")</f>
        <v/>
      </c>
      <c r="AA989" s="45"/>
      <c r="AB989" s="55" t="str">
        <f ca="1">IF(Tableau1[[#This Row],[Date rév.]]&lt;&gt;"", DAYS360(Tableau1[[#This Row],[Date rév.]],TODAY()),"")</f>
        <v/>
      </c>
      <c r="AC989" s="47">
        <f>IFERROR(INDEX(Chemin_accès!$B$11:$C$22,MATCH(Tableau1[[#This Row],[Type]],Chemin_accès!$C$11:$C$22,0),1),Chemin_accès!$B$11)</f>
        <v>0</v>
      </c>
      <c r="AD989" s="47" t="str">
        <f>Chemin_accès!$B$8&amp;Tableau1[[#This Row],[Localisation / Classement]]&amp;"\"&amp;Tableau1[[#This Row],[Poste technique]]&amp;"_"&amp;Tableau1[[#This Row],[Plan Entretien]]&amp;".xlsm"</f>
        <v>\_.xlsm</v>
      </c>
    </row>
    <row r="990" spans="1:30" x14ac:dyDescent="0.3">
      <c r="A990" s="41" t="str">
        <f t="shared" ca="1" si="15"/>
        <v>7.MNRJ</v>
      </c>
      <c r="B99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0" s="43"/>
      <c r="D990" s="41"/>
      <c r="E990" s="41"/>
      <c r="F990" s="44"/>
      <c r="G990" s="44"/>
      <c r="H990" s="48"/>
      <c r="I990" s="48"/>
      <c r="J990" s="48"/>
      <c r="K990" s="48"/>
      <c r="L990" s="43"/>
      <c r="M990" s="44"/>
      <c r="N990" s="43"/>
      <c r="O990" s="43"/>
      <c r="P990" s="44"/>
      <c r="Q990" s="43"/>
      <c r="R990" s="43"/>
      <c r="S990" s="45"/>
      <c r="T990" s="58" t="str">
        <f>IF(Tableau1[[#This Row],[DMS_SAP]]="","",HYPERLINK(Tableau1[[#This Row],[Chemin fichier source]],"X"))</f>
        <v/>
      </c>
      <c r="U990" s="58" t="str">
        <f>IF(Tableau1[[#This Row],[Date rév.]]="","",HYPERLINK(Tableau1[[#This Row],[Lien document]],"X"))</f>
        <v/>
      </c>
      <c r="V990" s="44"/>
      <c r="W990" s="46" t="str">
        <f ca="1">Chemin_accès!$B$2&amp;Tableau1[[#This Row],[Poste Responsable]]&amp;"\"&amp;Tableau1[[#This Row],[Localisation / Classement]]&amp;"\"&amp;Tableau1[[#This Row],[Poste technique]]&amp;"_"&amp;Tableau1[[#This Row],[Plan Entretien]]&amp;".pdf"</f>
        <v>\\stjn.local\trimet\Donnees_Projets\Dms Sap\Maintenance\PlanEntretien\7.MNRJ\\_.pdf</v>
      </c>
      <c r="X990" s="44"/>
      <c r="Y990" s="44"/>
      <c r="Z990" s="41" t="str">
        <f ca="1">IF(AND(Tableau1[[#This Row],[Charge]]&lt;&gt;0, Tableau1[[#This Row],[Nombre intervenants]]&lt;&gt;0,Tableau1[[#This Row],[Lien document]]&lt;&gt;0,Tableau1[[#This Row],[DMS_SAP]]&lt;&gt;0)=TRUE,"MIS A JOUR","")</f>
        <v/>
      </c>
      <c r="AA990" s="45"/>
      <c r="AB990" s="55" t="str">
        <f ca="1">IF(Tableau1[[#This Row],[Date rév.]]&lt;&gt;"", DAYS360(Tableau1[[#This Row],[Date rév.]],TODAY()),"")</f>
        <v/>
      </c>
      <c r="AC990" s="47">
        <f>IFERROR(INDEX(Chemin_accès!$B$11:$C$22,MATCH(Tableau1[[#This Row],[Type]],Chemin_accès!$C$11:$C$22,0),1),Chemin_accès!$B$11)</f>
        <v>0</v>
      </c>
      <c r="AD990" s="47" t="str">
        <f>Chemin_accès!$B$8&amp;Tableau1[[#This Row],[Localisation / Classement]]&amp;"\"&amp;Tableau1[[#This Row],[Poste technique]]&amp;"_"&amp;Tableau1[[#This Row],[Plan Entretien]]&amp;".xlsm"</f>
        <v>\_.xlsm</v>
      </c>
    </row>
    <row r="991" spans="1:30" x14ac:dyDescent="0.3">
      <c r="A991" s="41" t="str">
        <f t="shared" ca="1" si="15"/>
        <v>7.MNRJ</v>
      </c>
      <c r="B99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1" s="43"/>
      <c r="D991" s="41"/>
      <c r="E991" s="41"/>
      <c r="F991" s="44"/>
      <c r="G991" s="44"/>
      <c r="H991" s="48"/>
      <c r="I991" s="48"/>
      <c r="J991" s="48"/>
      <c r="K991" s="48"/>
      <c r="L991" s="43"/>
      <c r="M991" s="44"/>
      <c r="N991" s="43"/>
      <c r="O991" s="43"/>
      <c r="P991" s="44"/>
      <c r="Q991" s="43"/>
      <c r="R991" s="43"/>
      <c r="S991" s="45"/>
      <c r="T991" s="58" t="str">
        <f>IF(Tableau1[[#This Row],[DMS_SAP]]="","",HYPERLINK(Tableau1[[#This Row],[Chemin fichier source]],"X"))</f>
        <v/>
      </c>
      <c r="U991" s="58" t="str">
        <f>IF(Tableau1[[#This Row],[Date rév.]]="","",HYPERLINK(Tableau1[[#This Row],[Lien document]],"X"))</f>
        <v/>
      </c>
      <c r="V991" s="44"/>
      <c r="W991" s="46" t="str">
        <f ca="1">Chemin_accès!$B$2&amp;Tableau1[[#This Row],[Poste Responsable]]&amp;"\"&amp;Tableau1[[#This Row],[Localisation / Classement]]&amp;"\"&amp;Tableau1[[#This Row],[Poste technique]]&amp;"_"&amp;Tableau1[[#This Row],[Plan Entretien]]&amp;".pdf"</f>
        <v>\\stjn.local\trimet\Donnees_Projets\Dms Sap\Maintenance\PlanEntretien\7.MNRJ\\_.pdf</v>
      </c>
      <c r="X991" s="44"/>
      <c r="Y991" s="44"/>
      <c r="Z991" s="41" t="str">
        <f ca="1">IF(AND(Tableau1[[#This Row],[Charge]]&lt;&gt;0, Tableau1[[#This Row],[Nombre intervenants]]&lt;&gt;0,Tableau1[[#This Row],[Lien document]]&lt;&gt;0,Tableau1[[#This Row],[DMS_SAP]]&lt;&gt;0)=TRUE,"MIS A JOUR","")</f>
        <v/>
      </c>
      <c r="AA991" s="45"/>
      <c r="AB991" s="55" t="str">
        <f ca="1">IF(Tableau1[[#This Row],[Date rév.]]&lt;&gt;"", DAYS360(Tableau1[[#This Row],[Date rév.]],TODAY()),"")</f>
        <v/>
      </c>
      <c r="AC991" s="47">
        <f>IFERROR(INDEX(Chemin_accès!$B$11:$C$22,MATCH(Tableau1[[#This Row],[Type]],Chemin_accès!$C$11:$C$22,0),1),Chemin_accès!$B$11)</f>
        <v>0</v>
      </c>
      <c r="AD991" s="47" t="str">
        <f>Chemin_accès!$B$8&amp;Tableau1[[#This Row],[Localisation / Classement]]&amp;"\"&amp;Tableau1[[#This Row],[Poste technique]]&amp;"_"&amp;Tableau1[[#This Row],[Plan Entretien]]&amp;".xlsm"</f>
        <v>\_.xlsm</v>
      </c>
    </row>
    <row r="992" spans="1:30" x14ac:dyDescent="0.3">
      <c r="A992" s="41" t="str">
        <f t="shared" ca="1" si="15"/>
        <v>7.MNRJ</v>
      </c>
      <c r="B992"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2" s="43"/>
      <c r="D992" s="41"/>
      <c r="E992" s="41"/>
      <c r="F992" s="44"/>
      <c r="G992" s="44"/>
      <c r="H992" s="48"/>
      <c r="I992" s="48"/>
      <c r="J992" s="48"/>
      <c r="K992" s="48"/>
      <c r="L992" s="43"/>
      <c r="M992" s="44"/>
      <c r="N992" s="43"/>
      <c r="O992" s="43"/>
      <c r="P992" s="44"/>
      <c r="Q992" s="43"/>
      <c r="R992" s="43"/>
      <c r="S992" s="45"/>
      <c r="T992" s="58" t="str">
        <f>IF(Tableau1[[#This Row],[DMS_SAP]]="","",HYPERLINK(Tableau1[[#This Row],[Chemin fichier source]],"X"))</f>
        <v/>
      </c>
      <c r="U992" s="58" t="str">
        <f>IF(Tableau1[[#This Row],[Date rév.]]="","",HYPERLINK(Tableau1[[#This Row],[Lien document]],"X"))</f>
        <v/>
      </c>
      <c r="V992" s="44"/>
      <c r="W992" s="46" t="str">
        <f ca="1">Chemin_accès!$B$2&amp;Tableau1[[#This Row],[Poste Responsable]]&amp;"\"&amp;Tableau1[[#This Row],[Localisation / Classement]]&amp;"\"&amp;Tableau1[[#This Row],[Poste technique]]&amp;"_"&amp;Tableau1[[#This Row],[Plan Entretien]]&amp;".pdf"</f>
        <v>\\stjn.local\trimet\Donnees_Projets\Dms Sap\Maintenance\PlanEntretien\7.MNRJ\\_.pdf</v>
      </c>
      <c r="X992" s="44"/>
      <c r="Y992" s="44"/>
      <c r="Z992" s="41" t="str">
        <f ca="1">IF(AND(Tableau1[[#This Row],[Charge]]&lt;&gt;0, Tableau1[[#This Row],[Nombre intervenants]]&lt;&gt;0,Tableau1[[#This Row],[Lien document]]&lt;&gt;0,Tableau1[[#This Row],[DMS_SAP]]&lt;&gt;0)=TRUE,"MIS A JOUR","")</f>
        <v/>
      </c>
      <c r="AA992" s="45"/>
      <c r="AB992" s="55" t="str">
        <f ca="1">IF(Tableau1[[#This Row],[Date rév.]]&lt;&gt;"", DAYS360(Tableau1[[#This Row],[Date rév.]],TODAY()),"")</f>
        <v/>
      </c>
      <c r="AC992" s="47">
        <f>IFERROR(INDEX(Chemin_accès!$B$11:$C$22,MATCH(Tableau1[[#This Row],[Type]],Chemin_accès!$C$11:$C$22,0),1),Chemin_accès!$B$11)</f>
        <v>0</v>
      </c>
      <c r="AD992" s="47" t="str">
        <f>Chemin_accès!$B$8&amp;Tableau1[[#This Row],[Localisation / Classement]]&amp;"\"&amp;Tableau1[[#This Row],[Poste technique]]&amp;"_"&amp;Tableau1[[#This Row],[Plan Entretien]]&amp;".xlsm"</f>
        <v>\_.xlsm</v>
      </c>
    </row>
    <row r="993" spans="1:30" x14ac:dyDescent="0.3">
      <c r="A993" s="41" t="str">
        <f t="shared" ca="1" si="15"/>
        <v>7.MNRJ</v>
      </c>
      <c r="B993"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3" s="43"/>
      <c r="D993" s="41"/>
      <c r="E993" s="41"/>
      <c r="F993" s="44"/>
      <c r="G993" s="44"/>
      <c r="H993" s="48"/>
      <c r="I993" s="48"/>
      <c r="J993" s="48"/>
      <c r="K993" s="48"/>
      <c r="L993" s="43"/>
      <c r="M993" s="44"/>
      <c r="N993" s="43"/>
      <c r="O993" s="43"/>
      <c r="P993" s="44"/>
      <c r="Q993" s="43"/>
      <c r="R993" s="43"/>
      <c r="S993" s="45"/>
      <c r="T993" s="58" t="str">
        <f>IF(Tableau1[[#This Row],[DMS_SAP]]="","",HYPERLINK(Tableau1[[#This Row],[Chemin fichier source]],"X"))</f>
        <v/>
      </c>
      <c r="U993" s="58" t="str">
        <f>IF(Tableau1[[#This Row],[Date rév.]]="","",HYPERLINK(Tableau1[[#This Row],[Lien document]],"X"))</f>
        <v/>
      </c>
      <c r="V993" s="44"/>
      <c r="W993" s="46" t="str">
        <f ca="1">Chemin_accès!$B$2&amp;Tableau1[[#This Row],[Poste Responsable]]&amp;"\"&amp;Tableau1[[#This Row],[Localisation / Classement]]&amp;"\"&amp;Tableau1[[#This Row],[Poste technique]]&amp;"_"&amp;Tableau1[[#This Row],[Plan Entretien]]&amp;".pdf"</f>
        <v>\\stjn.local\trimet\Donnees_Projets\Dms Sap\Maintenance\PlanEntretien\7.MNRJ\\_.pdf</v>
      </c>
      <c r="X993" s="44"/>
      <c r="Y993" s="44"/>
      <c r="Z993" s="41" t="str">
        <f ca="1">IF(AND(Tableau1[[#This Row],[Charge]]&lt;&gt;0, Tableau1[[#This Row],[Nombre intervenants]]&lt;&gt;0,Tableau1[[#This Row],[Lien document]]&lt;&gt;0,Tableau1[[#This Row],[DMS_SAP]]&lt;&gt;0)=TRUE,"MIS A JOUR","")</f>
        <v/>
      </c>
      <c r="AA993" s="45"/>
      <c r="AB993" s="55" t="str">
        <f ca="1">IF(Tableau1[[#This Row],[Date rév.]]&lt;&gt;"", DAYS360(Tableau1[[#This Row],[Date rév.]],TODAY()),"")</f>
        <v/>
      </c>
      <c r="AC993" s="47">
        <f>IFERROR(INDEX(Chemin_accès!$B$11:$C$22,MATCH(Tableau1[[#This Row],[Type]],Chemin_accès!$C$11:$C$22,0),1),Chemin_accès!$B$11)</f>
        <v>0</v>
      </c>
      <c r="AD993" s="47" t="str">
        <f>Chemin_accès!$B$8&amp;Tableau1[[#This Row],[Localisation / Classement]]&amp;"\"&amp;Tableau1[[#This Row],[Poste technique]]&amp;"_"&amp;Tableau1[[#This Row],[Plan Entretien]]&amp;".xlsm"</f>
        <v>\_.xlsm</v>
      </c>
    </row>
    <row r="994" spans="1:30" x14ac:dyDescent="0.3">
      <c r="A994" s="41" t="str">
        <f t="shared" ca="1" si="15"/>
        <v>7.MNRJ</v>
      </c>
      <c r="B994"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4" s="43"/>
      <c r="D994" s="41"/>
      <c r="E994" s="41"/>
      <c r="F994" s="44"/>
      <c r="G994" s="44"/>
      <c r="H994" s="48"/>
      <c r="I994" s="48"/>
      <c r="J994" s="48"/>
      <c r="K994" s="48"/>
      <c r="L994" s="43"/>
      <c r="M994" s="44"/>
      <c r="N994" s="43"/>
      <c r="O994" s="43"/>
      <c r="P994" s="44"/>
      <c r="Q994" s="43"/>
      <c r="R994" s="43"/>
      <c r="S994" s="45"/>
      <c r="T994" s="58" t="str">
        <f>IF(Tableau1[[#This Row],[DMS_SAP]]="","",HYPERLINK(Tableau1[[#This Row],[Chemin fichier source]],"X"))</f>
        <v/>
      </c>
      <c r="U994" s="58" t="str">
        <f>IF(Tableau1[[#This Row],[Date rév.]]="","",HYPERLINK(Tableau1[[#This Row],[Lien document]],"X"))</f>
        <v/>
      </c>
      <c r="V994" s="44"/>
      <c r="W994" s="46" t="str">
        <f ca="1">Chemin_accès!$B$2&amp;Tableau1[[#This Row],[Poste Responsable]]&amp;"\"&amp;Tableau1[[#This Row],[Localisation / Classement]]&amp;"\"&amp;Tableau1[[#This Row],[Poste technique]]&amp;"_"&amp;Tableau1[[#This Row],[Plan Entretien]]&amp;".pdf"</f>
        <v>\\stjn.local\trimet\Donnees_Projets\Dms Sap\Maintenance\PlanEntretien\7.MNRJ\\_.pdf</v>
      </c>
      <c r="X994" s="44"/>
      <c r="Y994" s="44"/>
      <c r="Z994" s="41" t="str">
        <f ca="1">IF(AND(Tableau1[[#This Row],[Charge]]&lt;&gt;0, Tableau1[[#This Row],[Nombre intervenants]]&lt;&gt;0,Tableau1[[#This Row],[Lien document]]&lt;&gt;0,Tableau1[[#This Row],[DMS_SAP]]&lt;&gt;0)=TRUE,"MIS A JOUR","")</f>
        <v/>
      </c>
      <c r="AA994" s="45"/>
      <c r="AB994" s="55" t="str">
        <f ca="1">IF(Tableau1[[#This Row],[Date rév.]]&lt;&gt;"", DAYS360(Tableau1[[#This Row],[Date rév.]],TODAY()),"")</f>
        <v/>
      </c>
      <c r="AC994" s="47">
        <f>IFERROR(INDEX(Chemin_accès!$B$11:$C$22,MATCH(Tableau1[[#This Row],[Type]],Chemin_accès!$C$11:$C$22,0),1),Chemin_accès!$B$11)</f>
        <v>0</v>
      </c>
      <c r="AD994" s="47" t="str">
        <f>Chemin_accès!$B$8&amp;Tableau1[[#This Row],[Localisation / Classement]]&amp;"\"&amp;Tableau1[[#This Row],[Poste technique]]&amp;"_"&amp;Tableau1[[#This Row],[Plan Entretien]]&amp;".xlsm"</f>
        <v>\_.xlsm</v>
      </c>
    </row>
    <row r="995" spans="1:30" x14ac:dyDescent="0.3">
      <c r="A995" s="41" t="str">
        <f t="shared" ca="1" si="15"/>
        <v>7.MNRJ</v>
      </c>
      <c r="B995"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5" s="43"/>
      <c r="D995" s="41"/>
      <c r="E995" s="41"/>
      <c r="F995" s="44"/>
      <c r="G995" s="44"/>
      <c r="H995" s="48"/>
      <c r="I995" s="48"/>
      <c r="J995" s="48"/>
      <c r="K995" s="48"/>
      <c r="L995" s="43"/>
      <c r="M995" s="44"/>
      <c r="N995" s="43"/>
      <c r="O995" s="43"/>
      <c r="P995" s="44"/>
      <c r="Q995" s="43"/>
      <c r="R995" s="43"/>
      <c r="S995" s="45"/>
      <c r="T995" s="58" t="str">
        <f>IF(Tableau1[[#This Row],[DMS_SAP]]="","",HYPERLINK(Tableau1[[#This Row],[Chemin fichier source]],"X"))</f>
        <v/>
      </c>
      <c r="U995" s="58" t="str">
        <f>IF(Tableau1[[#This Row],[Date rév.]]="","",HYPERLINK(Tableau1[[#This Row],[Lien document]],"X"))</f>
        <v/>
      </c>
      <c r="V995" s="44"/>
      <c r="W995" s="46" t="str">
        <f ca="1">Chemin_accès!$B$2&amp;Tableau1[[#This Row],[Poste Responsable]]&amp;"\"&amp;Tableau1[[#This Row],[Localisation / Classement]]&amp;"\"&amp;Tableau1[[#This Row],[Poste technique]]&amp;"_"&amp;Tableau1[[#This Row],[Plan Entretien]]&amp;".pdf"</f>
        <v>\\stjn.local\trimet\Donnees_Projets\Dms Sap\Maintenance\PlanEntretien\7.MNRJ\\_.pdf</v>
      </c>
      <c r="X995" s="44"/>
      <c r="Y995" s="44"/>
      <c r="Z995" s="41" t="str">
        <f ca="1">IF(AND(Tableau1[[#This Row],[Charge]]&lt;&gt;0, Tableau1[[#This Row],[Nombre intervenants]]&lt;&gt;0,Tableau1[[#This Row],[Lien document]]&lt;&gt;0,Tableau1[[#This Row],[DMS_SAP]]&lt;&gt;0)=TRUE,"MIS A JOUR","")</f>
        <v/>
      </c>
      <c r="AA995" s="45"/>
      <c r="AB995" s="55" t="str">
        <f ca="1">IF(Tableau1[[#This Row],[Date rév.]]&lt;&gt;"", DAYS360(Tableau1[[#This Row],[Date rév.]],TODAY()),"")</f>
        <v/>
      </c>
      <c r="AC995" s="47">
        <f>IFERROR(INDEX(Chemin_accès!$B$11:$C$22,MATCH(Tableau1[[#This Row],[Type]],Chemin_accès!$C$11:$C$22,0),1),Chemin_accès!$B$11)</f>
        <v>0</v>
      </c>
      <c r="AD995" s="47" t="str">
        <f>Chemin_accès!$B$8&amp;Tableau1[[#This Row],[Localisation / Classement]]&amp;"\"&amp;Tableau1[[#This Row],[Poste technique]]&amp;"_"&amp;Tableau1[[#This Row],[Plan Entretien]]&amp;".xlsm"</f>
        <v>\_.xlsm</v>
      </c>
    </row>
    <row r="996" spans="1:30" x14ac:dyDescent="0.3">
      <c r="A996" s="41" t="str">
        <f t="shared" ca="1" si="15"/>
        <v>7.MNRJ</v>
      </c>
      <c r="B996"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6" s="43"/>
      <c r="D996" s="41"/>
      <c r="E996" s="41"/>
      <c r="F996" s="44"/>
      <c r="G996" s="44"/>
      <c r="H996" s="48"/>
      <c r="I996" s="48"/>
      <c r="J996" s="48"/>
      <c r="K996" s="48"/>
      <c r="L996" s="43"/>
      <c r="M996" s="44"/>
      <c r="N996" s="43"/>
      <c r="O996" s="43"/>
      <c r="P996" s="44"/>
      <c r="Q996" s="43"/>
      <c r="R996" s="43"/>
      <c r="S996" s="45"/>
      <c r="T996" s="58" t="str">
        <f>IF(Tableau1[[#This Row],[DMS_SAP]]="","",HYPERLINK(Tableau1[[#This Row],[Chemin fichier source]],"X"))</f>
        <v/>
      </c>
      <c r="U996" s="58" t="str">
        <f>IF(Tableau1[[#This Row],[Date rév.]]="","",HYPERLINK(Tableau1[[#This Row],[Lien document]],"X"))</f>
        <v/>
      </c>
      <c r="V996" s="44"/>
      <c r="W996" s="46" t="str">
        <f ca="1">Chemin_accès!$B$2&amp;Tableau1[[#This Row],[Poste Responsable]]&amp;"\"&amp;Tableau1[[#This Row],[Localisation / Classement]]&amp;"\"&amp;Tableau1[[#This Row],[Poste technique]]&amp;"_"&amp;Tableau1[[#This Row],[Plan Entretien]]&amp;".pdf"</f>
        <v>\\stjn.local\trimet\Donnees_Projets\Dms Sap\Maintenance\PlanEntretien\7.MNRJ\\_.pdf</v>
      </c>
      <c r="X996" s="44"/>
      <c r="Y996" s="44"/>
      <c r="Z996" s="41" t="str">
        <f ca="1">IF(AND(Tableau1[[#This Row],[Charge]]&lt;&gt;0, Tableau1[[#This Row],[Nombre intervenants]]&lt;&gt;0,Tableau1[[#This Row],[Lien document]]&lt;&gt;0,Tableau1[[#This Row],[DMS_SAP]]&lt;&gt;0)=TRUE,"MIS A JOUR","")</f>
        <v/>
      </c>
      <c r="AA996" s="45"/>
      <c r="AB996" s="55" t="str">
        <f ca="1">IF(Tableau1[[#This Row],[Date rév.]]&lt;&gt;"", DAYS360(Tableau1[[#This Row],[Date rév.]],TODAY()),"")</f>
        <v/>
      </c>
      <c r="AC996" s="47">
        <f>IFERROR(INDEX(Chemin_accès!$B$11:$C$22,MATCH(Tableau1[[#This Row],[Type]],Chemin_accès!$C$11:$C$22,0),1),Chemin_accès!$B$11)</f>
        <v>0</v>
      </c>
      <c r="AD996" s="47" t="str">
        <f>Chemin_accès!$B$8&amp;Tableau1[[#This Row],[Localisation / Classement]]&amp;"\"&amp;Tableau1[[#This Row],[Poste technique]]&amp;"_"&amp;Tableau1[[#This Row],[Plan Entretien]]&amp;".xlsm"</f>
        <v>\_.xlsm</v>
      </c>
    </row>
    <row r="997" spans="1:30" x14ac:dyDescent="0.3">
      <c r="A997" s="41" t="str">
        <f t="shared" ca="1" si="15"/>
        <v>7.MNRJ</v>
      </c>
      <c r="B997"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7" s="43"/>
      <c r="D997" s="41"/>
      <c r="E997" s="41"/>
      <c r="F997" s="44"/>
      <c r="G997" s="44"/>
      <c r="H997" s="48"/>
      <c r="I997" s="48"/>
      <c r="J997" s="48"/>
      <c r="K997" s="48"/>
      <c r="L997" s="43"/>
      <c r="M997" s="44"/>
      <c r="N997" s="43"/>
      <c r="O997" s="43"/>
      <c r="P997" s="44"/>
      <c r="Q997" s="43"/>
      <c r="R997" s="43"/>
      <c r="S997" s="45"/>
      <c r="T997" s="58" t="str">
        <f>IF(Tableau1[[#This Row],[DMS_SAP]]="","",HYPERLINK(Tableau1[[#This Row],[Chemin fichier source]],"X"))</f>
        <v/>
      </c>
      <c r="U997" s="58" t="str">
        <f>IF(Tableau1[[#This Row],[Date rév.]]="","",HYPERLINK(Tableau1[[#This Row],[Lien document]],"X"))</f>
        <v/>
      </c>
      <c r="V997" s="44"/>
      <c r="W997" s="46" t="str">
        <f ca="1">Chemin_accès!$B$2&amp;Tableau1[[#This Row],[Poste Responsable]]&amp;"\"&amp;Tableau1[[#This Row],[Localisation / Classement]]&amp;"\"&amp;Tableau1[[#This Row],[Poste technique]]&amp;"_"&amp;Tableau1[[#This Row],[Plan Entretien]]&amp;".pdf"</f>
        <v>\\stjn.local\trimet\Donnees_Projets\Dms Sap\Maintenance\PlanEntretien\7.MNRJ\\_.pdf</v>
      </c>
      <c r="X997" s="44"/>
      <c r="Y997" s="44"/>
      <c r="Z997" s="41" t="str">
        <f ca="1">IF(AND(Tableau1[[#This Row],[Charge]]&lt;&gt;0, Tableau1[[#This Row],[Nombre intervenants]]&lt;&gt;0,Tableau1[[#This Row],[Lien document]]&lt;&gt;0,Tableau1[[#This Row],[DMS_SAP]]&lt;&gt;0)=TRUE,"MIS A JOUR","")</f>
        <v/>
      </c>
      <c r="AA997" s="45"/>
      <c r="AB997" s="55" t="str">
        <f ca="1">IF(Tableau1[[#This Row],[Date rév.]]&lt;&gt;"", DAYS360(Tableau1[[#This Row],[Date rév.]],TODAY()),"")</f>
        <v/>
      </c>
      <c r="AC997" s="47">
        <f>IFERROR(INDEX(Chemin_accès!$B$11:$C$22,MATCH(Tableau1[[#This Row],[Type]],Chemin_accès!$C$11:$C$22,0),1),Chemin_accès!$B$11)</f>
        <v>0</v>
      </c>
      <c r="AD997" s="47" t="str">
        <f>Chemin_accès!$B$8&amp;Tableau1[[#This Row],[Localisation / Classement]]&amp;"\"&amp;Tableau1[[#This Row],[Poste technique]]&amp;"_"&amp;Tableau1[[#This Row],[Plan Entretien]]&amp;".xlsm"</f>
        <v>\_.xlsm</v>
      </c>
    </row>
    <row r="998" spans="1:30" x14ac:dyDescent="0.3">
      <c r="A998" s="41" t="str">
        <f t="shared" ca="1" si="15"/>
        <v>7.MNRJ</v>
      </c>
      <c r="B998"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8" s="43"/>
      <c r="D998" s="41"/>
      <c r="E998" s="41"/>
      <c r="F998" s="44"/>
      <c r="G998" s="44"/>
      <c r="H998" s="48"/>
      <c r="I998" s="48"/>
      <c r="J998" s="48"/>
      <c r="K998" s="48"/>
      <c r="L998" s="43"/>
      <c r="M998" s="44"/>
      <c r="N998" s="43"/>
      <c r="O998" s="43"/>
      <c r="P998" s="44"/>
      <c r="Q998" s="43"/>
      <c r="R998" s="43"/>
      <c r="S998" s="45"/>
      <c r="T998" s="58" t="str">
        <f>IF(Tableau1[[#This Row],[DMS_SAP]]="","",HYPERLINK(Tableau1[[#This Row],[Chemin fichier source]],"X"))</f>
        <v/>
      </c>
      <c r="U998" s="58" t="str">
        <f>IF(Tableau1[[#This Row],[Date rév.]]="","",HYPERLINK(Tableau1[[#This Row],[Lien document]],"X"))</f>
        <v/>
      </c>
      <c r="V998" s="44"/>
      <c r="W998" s="46" t="str">
        <f ca="1">Chemin_accès!$B$2&amp;Tableau1[[#This Row],[Poste Responsable]]&amp;"\"&amp;Tableau1[[#This Row],[Localisation / Classement]]&amp;"\"&amp;Tableau1[[#This Row],[Poste technique]]&amp;"_"&amp;Tableau1[[#This Row],[Plan Entretien]]&amp;".pdf"</f>
        <v>\\stjn.local\trimet\Donnees_Projets\Dms Sap\Maintenance\PlanEntretien\7.MNRJ\\_.pdf</v>
      </c>
      <c r="X998" s="44"/>
      <c r="Y998" s="44"/>
      <c r="Z998" s="41" t="str">
        <f ca="1">IF(AND(Tableau1[[#This Row],[Charge]]&lt;&gt;0, Tableau1[[#This Row],[Nombre intervenants]]&lt;&gt;0,Tableau1[[#This Row],[Lien document]]&lt;&gt;0,Tableau1[[#This Row],[DMS_SAP]]&lt;&gt;0)=TRUE,"MIS A JOUR","")</f>
        <v/>
      </c>
      <c r="AA998" s="45"/>
      <c r="AB998" s="55" t="str">
        <f ca="1">IF(Tableau1[[#This Row],[Date rév.]]&lt;&gt;"", DAYS360(Tableau1[[#This Row],[Date rév.]],TODAY()),"")</f>
        <v/>
      </c>
      <c r="AC998" s="47">
        <f>IFERROR(INDEX(Chemin_accès!$B$11:$C$22,MATCH(Tableau1[[#This Row],[Type]],Chemin_accès!$C$11:$C$22,0),1),Chemin_accès!$B$11)</f>
        <v>0</v>
      </c>
      <c r="AD998" s="47" t="str">
        <f>Chemin_accès!$B$8&amp;Tableau1[[#This Row],[Localisation / Classement]]&amp;"\"&amp;Tableau1[[#This Row],[Poste technique]]&amp;"_"&amp;Tableau1[[#This Row],[Plan Entretien]]&amp;".xlsm"</f>
        <v>\_.xlsm</v>
      </c>
    </row>
    <row r="999" spans="1:30" x14ac:dyDescent="0.3">
      <c r="A999" s="41" t="str">
        <f t="shared" ca="1" si="15"/>
        <v>7.MNRJ</v>
      </c>
      <c r="B999"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9" s="43"/>
      <c r="D999" s="41"/>
      <c r="E999" s="41"/>
      <c r="F999" s="44"/>
      <c r="G999" s="44"/>
      <c r="H999" s="48"/>
      <c r="I999" s="48"/>
      <c r="J999" s="48"/>
      <c r="K999" s="48"/>
      <c r="L999" s="43"/>
      <c r="M999" s="44"/>
      <c r="N999" s="43"/>
      <c r="O999" s="43"/>
      <c r="P999" s="44"/>
      <c r="Q999" s="43"/>
      <c r="R999" s="43"/>
      <c r="S999" s="45"/>
      <c r="T999" s="58" t="str">
        <f>IF(Tableau1[[#This Row],[DMS_SAP]]="","",HYPERLINK(Tableau1[[#This Row],[Chemin fichier source]],"X"))</f>
        <v/>
      </c>
      <c r="U999" s="58" t="str">
        <f>IF(Tableau1[[#This Row],[Date rév.]]="","",HYPERLINK(Tableau1[[#This Row],[Lien document]],"X"))</f>
        <v/>
      </c>
      <c r="V999" s="44"/>
      <c r="W999" s="46" t="str">
        <f ca="1">Chemin_accès!$B$2&amp;Tableau1[[#This Row],[Poste Responsable]]&amp;"\"&amp;Tableau1[[#This Row],[Localisation / Classement]]&amp;"\"&amp;Tableau1[[#This Row],[Poste technique]]&amp;"_"&amp;Tableau1[[#This Row],[Plan Entretien]]&amp;".pdf"</f>
        <v>\\stjn.local\trimet\Donnees_Projets\Dms Sap\Maintenance\PlanEntretien\7.MNRJ\\_.pdf</v>
      </c>
      <c r="X999" s="44"/>
      <c r="Y999" s="44"/>
      <c r="Z999" s="41" t="str">
        <f ca="1">IF(AND(Tableau1[[#This Row],[Charge]]&lt;&gt;0, Tableau1[[#This Row],[Nombre intervenants]]&lt;&gt;0,Tableau1[[#This Row],[Lien document]]&lt;&gt;0,Tableau1[[#This Row],[DMS_SAP]]&lt;&gt;0)=TRUE,"MIS A JOUR","")</f>
        <v/>
      </c>
      <c r="AA999" s="45"/>
      <c r="AB999" s="55" t="str">
        <f ca="1">IF(Tableau1[[#This Row],[Date rév.]]&lt;&gt;"", DAYS360(Tableau1[[#This Row],[Date rév.]],TODAY()),"")</f>
        <v/>
      </c>
      <c r="AC999" s="47">
        <f>IFERROR(INDEX(Chemin_accès!$B$11:$C$22,MATCH(Tableau1[[#This Row],[Type]],Chemin_accès!$C$11:$C$22,0),1),Chemin_accès!$B$11)</f>
        <v>0</v>
      </c>
      <c r="AD999" s="47" t="str">
        <f>Chemin_accès!$B$8&amp;Tableau1[[#This Row],[Localisation / Classement]]&amp;"\"&amp;Tableau1[[#This Row],[Poste technique]]&amp;"_"&amp;Tableau1[[#This Row],[Plan Entretien]]&amp;".xlsm"</f>
        <v>\_.xlsm</v>
      </c>
    </row>
    <row r="1000" spans="1:30" x14ac:dyDescent="0.3">
      <c r="A1000" s="41" t="str">
        <f t="shared" ca="1" si="15"/>
        <v>7.MNRJ</v>
      </c>
      <c r="B1000"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0" s="43"/>
      <c r="D1000" s="41"/>
      <c r="E1000" s="41"/>
      <c r="F1000" s="44"/>
      <c r="G1000" s="44"/>
      <c r="H1000" s="48"/>
      <c r="I1000" s="48"/>
      <c r="J1000" s="48"/>
      <c r="K1000" s="48"/>
      <c r="L1000" s="43"/>
      <c r="M1000" s="44"/>
      <c r="N1000" s="43"/>
      <c r="O1000" s="43"/>
      <c r="P1000" s="44"/>
      <c r="Q1000" s="43"/>
      <c r="R1000" s="43"/>
      <c r="S1000" s="45"/>
      <c r="T1000" s="58" t="str">
        <f>IF(Tableau1[[#This Row],[DMS_SAP]]="","",HYPERLINK(Tableau1[[#This Row],[Chemin fichier source]],"X"))</f>
        <v/>
      </c>
      <c r="U1000" s="58" t="str">
        <f>IF(Tableau1[[#This Row],[Date rév.]]="","",HYPERLINK(Tableau1[[#This Row],[Lien document]],"X"))</f>
        <v/>
      </c>
      <c r="V1000" s="44"/>
      <c r="W1000" s="46" t="str">
        <f ca="1">Chemin_accès!$B$2&amp;Tableau1[[#This Row],[Poste Responsable]]&amp;"\"&amp;Tableau1[[#This Row],[Localisation / Classement]]&amp;"\"&amp;Tableau1[[#This Row],[Poste technique]]&amp;"_"&amp;Tableau1[[#This Row],[Plan Entretien]]&amp;".pdf"</f>
        <v>\\stjn.local\trimet\Donnees_Projets\Dms Sap\Maintenance\PlanEntretien\7.MNRJ\\_.pdf</v>
      </c>
      <c r="X1000" s="44"/>
      <c r="Y1000" s="44"/>
      <c r="Z1000" s="41" t="str">
        <f ca="1">IF(AND(Tableau1[[#This Row],[Charge]]&lt;&gt;0, Tableau1[[#This Row],[Nombre intervenants]]&lt;&gt;0,Tableau1[[#This Row],[Lien document]]&lt;&gt;0,Tableau1[[#This Row],[DMS_SAP]]&lt;&gt;0)=TRUE,"MIS A JOUR","")</f>
        <v/>
      </c>
      <c r="AA1000" s="45"/>
      <c r="AB1000" s="55" t="str">
        <f ca="1">IF(Tableau1[[#This Row],[Date rév.]]&lt;&gt;"", DAYS360(Tableau1[[#This Row],[Date rév.]],TODAY()),"")</f>
        <v/>
      </c>
      <c r="AC1000" s="47">
        <f>IFERROR(INDEX(Chemin_accès!$B$11:$C$22,MATCH(Tableau1[[#This Row],[Type]],Chemin_accès!$C$11:$C$22,0),1),Chemin_accès!$B$11)</f>
        <v>0</v>
      </c>
      <c r="AD1000" s="47" t="str">
        <f>Chemin_accès!$B$8&amp;Tableau1[[#This Row],[Localisation / Classement]]&amp;"\"&amp;Tableau1[[#This Row],[Poste technique]]&amp;"_"&amp;Tableau1[[#This Row],[Plan Entretien]]&amp;".xlsm"</f>
        <v>\_.xlsm</v>
      </c>
    </row>
    <row r="1001" spans="1:30" x14ac:dyDescent="0.3">
      <c r="A1001" s="41" t="str">
        <f t="shared" ca="1" si="15"/>
        <v>7.MNRJ</v>
      </c>
      <c r="B1001" s="4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1" s="43"/>
      <c r="D1001" s="41"/>
      <c r="E1001" s="41"/>
      <c r="F1001" s="44"/>
      <c r="G1001" s="44"/>
      <c r="H1001" s="48"/>
      <c r="I1001" s="48"/>
      <c r="J1001" s="48"/>
      <c r="K1001" s="48"/>
      <c r="L1001" s="43"/>
      <c r="M1001" s="44"/>
      <c r="N1001" s="43"/>
      <c r="O1001" s="43"/>
      <c r="P1001" s="44"/>
      <c r="Q1001" s="43"/>
      <c r="R1001" s="43"/>
      <c r="S1001" s="45"/>
      <c r="T1001" s="58" t="str">
        <f>IF(Tableau1[[#This Row],[DMS_SAP]]="","",HYPERLINK(Tableau1[[#This Row],[Chemin fichier source]],"X"))</f>
        <v/>
      </c>
      <c r="U1001" s="58" t="str">
        <f>IF(Tableau1[[#This Row],[Date rév.]]="","",HYPERLINK(Tableau1[[#This Row],[Lien document]],"X"))</f>
        <v/>
      </c>
      <c r="V1001" s="44"/>
      <c r="W1001" s="46" t="str">
        <f ca="1">Chemin_accès!$B$2&amp;Tableau1[[#This Row],[Poste Responsable]]&amp;"\"&amp;Tableau1[[#This Row],[Localisation / Classement]]&amp;"\"&amp;Tableau1[[#This Row],[Poste technique]]&amp;"_"&amp;Tableau1[[#This Row],[Plan Entretien]]&amp;".pdf"</f>
        <v>\\stjn.local\trimet\Donnees_Projets\Dms Sap\Maintenance\PlanEntretien\7.MNRJ\\_.pdf</v>
      </c>
      <c r="X1001" s="44"/>
      <c r="Y1001" s="44"/>
      <c r="Z1001" s="41" t="str">
        <f ca="1">IF(AND(Tableau1[[#This Row],[Charge]]&lt;&gt;0, Tableau1[[#This Row],[Nombre intervenants]]&lt;&gt;0,Tableau1[[#This Row],[Lien document]]&lt;&gt;0,Tableau1[[#This Row],[DMS_SAP]]&lt;&gt;0)=TRUE,"MIS A JOUR","")</f>
        <v/>
      </c>
      <c r="AA1001" s="45"/>
      <c r="AB1001" s="55" t="str">
        <f ca="1">IF(Tableau1[[#This Row],[Date rév.]]&lt;&gt;"", DAYS360(Tableau1[[#This Row],[Date rév.]],TODAY()),"")</f>
        <v/>
      </c>
      <c r="AC1001" s="47">
        <f>IFERROR(INDEX(Chemin_accès!$B$11:$C$22,MATCH(Tableau1[[#This Row],[Type]],Chemin_accès!$C$11:$C$22,0),1),Chemin_accès!$B$11)</f>
        <v>0</v>
      </c>
      <c r="AD1001" s="47" t="str">
        <f>Chemin_accès!$B$8&amp;Tableau1[[#This Row],[Localisation / Classement]]&amp;"\"&amp;Tableau1[[#This Row],[Poste technique]]&amp;"_"&amp;Tableau1[[#This Row],[Plan Entretien]]&amp;".xlsm"</f>
        <v>\_.xlsm</v>
      </c>
    </row>
  </sheetData>
  <sheetProtection algorithmName="SHA-512" hashValue="hDB2VhvTgRgyd4YJhrtDI4U3ojXgrKPlucfSRP9t85AQ1QZ8wWbQ5ei1OteQFITFPkxdyvJb/uJKrn9WdSEEnA==" saltValue="Z2jBpseeMiYGF3vVeF/pGA==" spinCount="100000" sheet="1" objects="1" scenarios="1" autoFilter="0"/>
  <protectedRanges>
    <protectedRange sqref="A3:AD1001" name="Plage1"/>
  </protectedRanges>
  <customSheetViews>
    <customSheetView guid="{CF0A3741-DD40-423F-97D7-0C00E4DC3A32}" printArea="1" showAutoFilter="1">
      <selection activeCell="D19" sqref="D19"/>
      <pageMargins left="0.7" right="0.7" top="0.75" bottom="0.75" header="0.3" footer="0.3"/>
      <pageSetup paperSize="8" orientation="portrait" r:id="rId1"/>
      <autoFilter ref="A2:S2" xr:uid="{D7A34CC6-2722-44D5-B976-8E2258BC71DE}"/>
    </customSheetView>
    <customSheetView guid="{850E940B-2428-4553-BF71-40EDCB2E1D07}" printArea="1" showAutoFilter="1">
      <selection activeCell="F5" sqref="F5"/>
      <pageMargins left="0.7" right="0.7" top="0.75" bottom="0.75" header="0.3" footer="0.3"/>
      <pageSetup paperSize="8" orientation="portrait" r:id="rId2"/>
      <autoFilter ref="A2:S2" xr:uid="{25DEC08D-98A5-432D-A22A-901EB1C4E0A6}"/>
    </customSheetView>
    <customSheetView guid="{41F7FD2A-BA5B-4731-A557-2BD58F51B02E}" showAutoFilter="1">
      <selection activeCell="I19" sqref="I19"/>
      <pageMargins left="0.7" right="0.7" top="0.75" bottom="0.75" header="0.3" footer="0.3"/>
      <pageSetup paperSize="8" orientation="portrait" r:id="rId3"/>
      <autoFilter ref="A2:S2" xr:uid="{3CFF0E9F-6649-47E0-B717-DB447D2CF457}"/>
    </customSheetView>
    <customSheetView guid="{0EF03FB2-E8B1-47F2-9208-E204933E1F15}" showAutoFilter="1">
      <selection activeCell="B4" sqref="B4"/>
      <pageMargins left="0.7" right="0.7" top="0.75" bottom="0.75" header="0.3" footer="0.3"/>
      <pageSetup paperSize="8" orientation="portrait" r:id="rId4"/>
      <autoFilter ref="A2:S2" xr:uid="{8A310683-25A0-4A3B-B3B6-D311E4204A2A}"/>
    </customSheetView>
  </customSheetViews>
  <mergeCells count="2">
    <mergeCell ref="U1:Z1"/>
    <mergeCell ref="AA1:AB1"/>
  </mergeCells>
  <conditionalFormatting sqref="J3:M1001">
    <cfRule type="expression" dxfId="47" priority="8">
      <formula xml:space="preserve"> AND($J3 &lt;&gt; "",$K3 &lt;&gt; "")</formula>
    </cfRule>
  </conditionalFormatting>
  <conditionalFormatting sqref="N3:N1001">
    <cfRule type="cellIs" dxfId="46" priority="26" operator="equal">
      <formula>"CHANG MEC"</formula>
    </cfRule>
    <cfRule type="cellIs" dxfId="45" priority="1053" operator="equal">
      <formula>"TOUR"</formula>
    </cfRule>
    <cfRule type="cellIs" dxfId="44" priority="1054" operator="equal">
      <formula>"REGL ELEC"</formula>
    </cfRule>
    <cfRule type="cellIs" dxfId="43" priority="1055" operator="equal">
      <formula>"REGL MEC"</formula>
    </cfRule>
    <cfRule type="cellIs" dxfId="42" priority="1056" operator="equal">
      <formula>"PROD"</formula>
    </cfRule>
    <cfRule type="cellIs" dxfId="41" priority="1057" operator="equal">
      <formula>"GR"</formula>
    </cfRule>
    <cfRule type="cellIs" dxfId="40" priority="1102" operator="equal">
      <formula>"CTRL ELEC"</formula>
    </cfRule>
    <cfRule type="cellIs" dxfId="39" priority="1103" operator="equal">
      <formula>"CTRL MEC"</formula>
    </cfRule>
  </conditionalFormatting>
  <conditionalFormatting sqref="A3:AD1001">
    <cfRule type="expression" dxfId="38" priority="9">
      <formula xml:space="preserve"> $C3 = "C"</formula>
    </cfRule>
    <cfRule type="expression" dxfId="37" priority="10">
      <formula xml:space="preserve"> $C3 = "S"</formula>
    </cfRule>
    <cfRule type="expression" dxfId="36" priority="11">
      <formula xml:space="preserve"> $C3 = ""</formula>
    </cfRule>
  </conditionalFormatting>
  <conditionalFormatting sqref="I3:I1001">
    <cfRule type="duplicateValues" dxfId="35" priority="1108"/>
  </conditionalFormatting>
  <conditionalFormatting sqref="H3:H1001">
    <cfRule type="duplicateValues" dxfId="34" priority="1109"/>
  </conditionalFormatting>
  <dataValidations count="1">
    <dataValidation type="list" allowBlank="1" showInputMessage="1" showErrorMessage="1" sqref="E3:E1001" xr:uid="{00000000-0002-0000-0500-000000000000}">
      <formula1>"OUI,NON"</formula1>
    </dataValidation>
  </dataValidations>
  <pageMargins left="0.25" right="0.25" top="0.75" bottom="0.75" header="0.3" footer="0.3"/>
  <pageSetup paperSize="8" scale="84" fitToHeight="0"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1297" r:id="rId8" name="Button 33">
              <controlPr defaultSize="0" print="0" autoFill="0" autoPict="0" macro="[0]!Bouton_crea_modif">
                <anchor moveWithCells="1" sizeWithCells="1">
                  <from>
                    <xdr:col>3</xdr:col>
                    <xdr:colOff>45720</xdr:colOff>
                    <xdr:row>0</xdr:row>
                    <xdr:rowOff>30480</xdr:rowOff>
                  </from>
                  <to>
                    <xdr:col>4</xdr:col>
                    <xdr:colOff>152400</xdr:colOff>
                    <xdr:row>0</xdr:row>
                    <xdr:rowOff>487680</xdr:rowOff>
                  </to>
                </anchor>
              </controlPr>
            </control>
          </mc:Choice>
        </mc:AlternateContent>
        <mc:AlternateContent xmlns:mc="http://schemas.openxmlformats.org/markup-compatibility/2006">
          <mc:Choice Requires="x14">
            <control shapeId="11307" r:id="rId9" name="Button 43">
              <controlPr defaultSize="0" print="0" autoFill="0" autoPict="0" macro="[0]!DMS_SAP">
                <anchor moveWithCells="1" sizeWithCells="1">
                  <from>
                    <xdr:col>6</xdr:col>
                    <xdr:colOff>426720</xdr:colOff>
                    <xdr:row>0</xdr:row>
                    <xdr:rowOff>30480</xdr:rowOff>
                  </from>
                  <to>
                    <xdr:col>6</xdr:col>
                    <xdr:colOff>1859280</xdr:colOff>
                    <xdr:row>0</xdr:row>
                    <xdr:rowOff>487680</xdr:rowOff>
                  </to>
                </anchor>
              </controlPr>
            </control>
          </mc:Choice>
        </mc:AlternateContent>
        <mc:AlternateContent xmlns:mc="http://schemas.openxmlformats.org/markup-compatibility/2006">
          <mc:Choice Requires="x14">
            <control shapeId="11338" r:id="rId10" name="Button 74">
              <controlPr defaultSize="0" print="0" autoFill="0" autoPict="0" macro="[0]!Bouton_mode_avancé">
                <anchor moveWithCells="1" sizeWithCells="1">
                  <from>
                    <xdr:col>6</xdr:col>
                    <xdr:colOff>2232660</xdr:colOff>
                    <xdr:row>0</xdr:row>
                    <xdr:rowOff>30480</xdr:rowOff>
                  </from>
                  <to>
                    <xdr:col>7</xdr:col>
                    <xdr:colOff>236220</xdr:colOff>
                    <xdr:row>0</xdr:row>
                    <xdr:rowOff>487680</xdr:rowOff>
                  </to>
                </anchor>
              </controlPr>
            </control>
          </mc:Choice>
        </mc:AlternateContent>
        <mc:AlternateContent xmlns:mc="http://schemas.openxmlformats.org/markup-compatibility/2006">
          <mc:Choice Requires="x14">
            <control shapeId="11369" r:id="rId11" name="Button 105">
              <controlPr defaultSize="0" print="0" autoFill="0" autoPict="0" macro="[0]!Mode_normal">
                <anchor moveWithCells="1" sizeWithCells="1">
                  <from>
                    <xdr:col>0</xdr:col>
                    <xdr:colOff>45720</xdr:colOff>
                    <xdr:row>0</xdr:row>
                    <xdr:rowOff>30480</xdr:rowOff>
                  </from>
                  <to>
                    <xdr:col>1</xdr:col>
                    <xdr:colOff>236220</xdr:colOff>
                    <xdr:row>0</xdr:row>
                    <xdr:rowOff>487680</xdr:rowOff>
                  </to>
                </anchor>
              </controlPr>
            </control>
          </mc:Choice>
        </mc:AlternateContent>
        <mc:AlternateContent xmlns:mc="http://schemas.openxmlformats.org/markup-compatibility/2006">
          <mc:Choice Requires="x14">
            <control shapeId="11377" r:id="rId12" name="Button 113">
              <controlPr defaultSize="0" print="0" autoFill="0" autoPict="0" macro="[0]!Bouton_suppression">
                <anchor moveWithCells="1" sizeWithCells="1">
                  <from>
                    <xdr:col>4</xdr:col>
                    <xdr:colOff>220980</xdr:colOff>
                    <xdr:row>0</xdr:row>
                    <xdr:rowOff>38100</xdr:rowOff>
                  </from>
                  <to>
                    <xdr:col>6</xdr:col>
                    <xdr:colOff>365760</xdr:colOff>
                    <xdr:row>0</xdr:row>
                    <xdr:rowOff>487680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1000000}">
          <x14:formula1>
            <xm:f>list!$C$3:$C$6</xm:f>
          </x14:formula1>
          <xm:sqref>O3:O1001</xm:sqref>
        </x14:dataValidation>
        <x14:dataValidation type="list" allowBlank="1" showInputMessage="1" showErrorMessage="1" xr:uid="{00000000-0002-0000-0500-000002000000}">
          <x14:formula1>
            <xm:f>list!$D$3:$D$5</xm:f>
          </x14:formula1>
          <xm:sqref>P3:P1001</xm:sqref>
        </x14:dataValidation>
        <x14:dataValidation type="list" allowBlank="1" showInputMessage="1" showErrorMessage="1" xr:uid="{00000000-0002-0000-0500-000003000000}">
          <x14:formula1>
            <xm:f>list!$E$3:$E$10</xm:f>
          </x14:formula1>
          <xm:sqref>Q3:Q1001</xm:sqref>
        </x14:dataValidation>
        <x14:dataValidation type="list" allowBlank="1" showInputMessage="1" showErrorMessage="1" xr:uid="{00000000-0002-0000-0500-000004000000}">
          <x14:formula1>
            <xm:f>list!$F$3:$F$5</xm:f>
          </x14:formula1>
          <xm:sqref>R3:R1001</xm:sqref>
        </x14:dataValidation>
        <x14:dataValidation type="list" allowBlank="1" showInputMessage="1" showErrorMessage="1" xr:uid="{00000000-0002-0000-0500-000005000000}">
          <x14:formula1>
            <xm:f>list!$A$3:$A$27</xm:f>
          </x14:formula1>
          <xm:sqref>L3:L1001</xm:sqref>
        </x14:dataValidation>
        <x14:dataValidation type="list" allowBlank="1" showInputMessage="1" showErrorMessage="1" xr:uid="{00000000-0002-0000-0500-000006000000}">
          <x14:formula1>
            <xm:f>list!$I$3:$I$37</xm:f>
          </x14:formula1>
          <xm:sqref>D3:D1001</xm:sqref>
        </x14:dataValidation>
        <x14:dataValidation type="list" allowBlank="1" showInputMessage="1" showErrorMessage="1" xr:uid="{00000000-0002-0000-0500-000007000000}">
          <x14:formula1>
            <xm:f>list!$B$3:$B$11</xm:f>
          </x14:formula1>
          <xm:sqref>N3:N1001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tabColor rgb="FFFFC000"/>
  </sheetPr>
  <dimension ref="B3:CK45"/>
  <sheetViews>
    <sheetView showGridLines="0" zoomScaleNormal="100" workbookViewId="0">
      <selection activeCell="K6" sqref="K6:N6"/>
    </sheetView>
  </sheetViews>
  <sheetFormatPr baseColWidth="10" defaultRowHeight="14.4" x14ac:dyDescent="0.3"/>
  <cols>
    <col min="1" max="30" width="2.6640625" customWidth="1"/>
    <col min="31" max="31" width="11.44140625" style="76"/>
    <col min="32" max="41" width="0" style="76" hidden="1" customWidth="1"/>
    <col min="42" max="89" width="11.44140625" style="76"/>
  </cols>
  <sheetData>
    <row r="3" spans="2:48" ht="15" thickBot="1" x14ac:dyDescent="0.35"/>
    <row r="4" spans="2:48" ht="15" thickBot="1" x14ac:dyDescent="0.35">
      <c r="B4" s="83" t="str">
        <f ca="1">'7.MNRJ'!A3</f>
        <v>7.MNRJ</v>
      </c>
      <c r="C4" s="84"/>
      <c r="D4" s="84"/>
      <c r="E4" s="84"/>
      <c r="F4" s="85"/>
      <c r="G4" s="1"/>
      <c r="H4" s="1"/>
      <c r="I4" s="1"/>
      <c r="J4" s="1"/>
      <c r="K4" s="1"/>
      <c r="L4" s="1"/>
      <c r="M4" s="1"/>
      <c r="N4" s="1"/>
      <c r="O4" s="1"/>
      <c r="P4" s="1"/>
      <c r="Q4" s="1"/>
      <c r="R4" s="1"/>
      <c r="S4" s="1"/>
      <c r="T4" s="1"/>
      <c r="U4" s="1"/>
      <c r="V4" s="1"/>
      <c r="W4" s="1"/>
      <c r="X4" s="8"/>
      <c r="Y4" s="80">
        <f ca="1">TODAY()</f>
        <v>46290</v>
      </c>
      <c r="Z4" s="81"/>
      <c r="AA4" s="81"/>
      <c r="AB4" s="81"/>
      <c r="AC4" s="82"/>
    </row>
    <row r="5" spans="2:48" x14ac:dyDescent="0.3">
      <c r="B5" s="3"/>
      <c r="AC5" s="4"/>
    </row>
    <row r="6" spans="2:48" x14ac:dyDescent="0.3">
      <c r="B6" s="3"/>
      <c r="C6" s="89" t="s">
        <v>7</v>
      </c>
      <c r="D6" s="90"/>
      <c r="E6" s="90"/>
      <c r="F6" s="90"/>
      <c r="G6" s="90"/>
      <c r="H6" s="90"/>
      <c r="I6" s="90"/>
      <c r="J6" s="91"/>
      <c r="K6" s="86">
        <f>COUNTIFS('7.MNRJ'!M3:M1001,"&gt;&lt;",'7.MNRJ'!C3:C1001,"&lt;&gt;S")</f>
        <v>0</v>
      </c>
      <c r="L6" s="87"/>
      <c r="M6" s="87"/>
      <c r="N6" s="88"/>
      <c r="Q6" s="79" t="s">
        <v>56</v>
      </c>
      <c r="R6" s="79"/>
      <c r="S6" s="79"/>
      <c r="T6" s="79"/>
      <c r="U6" s="79"/>
      <c r="V6" s="79"/>
      <c r="W6" s="79"/>
      <c r="X6" s="79"/>
      <c r="Y6" s="86">
        <f>COUNTA('7.MNRJ'!S3:S1001)</f>
        <v>180</v>
      </c>
      <c r="Z6" s="87"/>
      <c r="AA6" s="87" t="str">
        <f>"/" &amp; K6</f>
        <v>/0</v>
      </c>
      <c r="AB6" s="88"/>
      <c r="AC6" s="4"/>
    </row>
    <row r="7" spans="2:48" x14ac:dyDescent="0.3">
      <c r="B7" s="3"/>
      <c r="C7" s="79" t="s">
        <v>57</v>
      </c>
      <c r="D7" s="79"/>
      <c r="E7" s="79"/>
      <c r="F7" s="79"/>
      <c r="G7" s="79"/>
      <c r="H7" s="79"/>
      <c r="I7" s="79"/>
      <c r="J7" s="79"/>
      <c r="K7" s="86">
        <f>SUM('7.MNRJ'!X3:X1001)</f>
        <v>3064</v>
      </c>
      <c r="L7" s="93"/>
      <c r="M7" s="94"/>
      <c r="N7" s="9" t="s">
        <v>76</v>
      </c>
      <c r="Q7" s="79" t="s">
        <v>75</v>
      </c>
      <c r="R7" s="79"/>
      <c r="S7" s="79"/>
      <c r="T7" s="79"/>
      <c r="U7" s="79"/>
      <c r="V7" s="79"/>
      <c r="W7" s="79"/>
      <c r="X7" s="79"/>
      <c r="Y7" s="92">
        <f ca="1">COUNTIF('7.MNRJ'!Z3:Z1001,"MIS A JOUR")</f>
        <v>0</v>
      </c>
      <c r="Z7" s="92"/>
      <c r="AA7" s="92"/>
      <c r="AB7" s="92"/>
      <c r="AC7" s="4"/>
    </row>
    <row r="8" spans="2:48" x14ac:dyDescent="0.3">
      <c r="B8" s="3"/>
      <c r="AC8" s="4"/>
    </row>
    <row r="9" spans="2:48" x14ac:dyDescent="0.3">
      <c r="B9" s="3"/>
      <c r="AC9" s="4"/>
      <c r="AQ9" s="76" t="s">
        <v>20</v>
      </c>
      <c r="AR9" s="76">
        <v>70</v>
      </c>
      <c r="AS9" s="76" t="s">
        <v>15</v>
      </c>
      <c r="AT9" s="76">
        <f>IFERROR(ROUNDUP(Y6*100/K6,1), 0)</f>
        <v>0</v>
      </c>
      <c r="AU9" s="76" t="s">
        <v>16</v>
      </c>
    </row>
    <row r="10" spans="2:48" x14ac:dyDescent="0.3">
      <c r="B10" s="3"/>
      <c r="AC10" s="4"/>
      <c r="AQ10" s="76" t="s">
        <v>17</v>
      </c>
      <c r="AR10" s="76">
        <v>20</v>
      </c>
      <c r="AS10" s="76" t="s">
        <v>18</v>
      </c>
      <c r="AT10" s="76">
        <v>1</v>
      </c>
      <c r="AU10" s="76" t="s">
        <v>19</v>
      </c>
      <c r="AV10" s="76" t="str">
        <f>AT9&amp;"%"</f>
        <v>0%</v>
      </c>
    </row>
    <row r="11" spans="2:48" x14ac:dyDescent="0.3">
      <c r="B11" s="3"/>
      <c r="AC11" s="4"/>
      <c r="AQ11" s="76" t="s">
        <v>14</v>
      </c>
      <c r="AR11" s="76">
        <v>10</v>
      </c>
      <c r="AS11" s="76" t="s">
        <v>21</v>
      </c>
      <c r="AT11" s="76">
        <f>SUM(AR9:AR12)-(AT9+AT10)</f>
        <v>199</v>
      </c>
      <c r="AU11" s="76" t="s">
        <v>16</v>
      </c>
    </row>
    <row r="12" spans="2:48" x14ac:dyDescent="0.3">
      <c r="B12" s="3"/>
      <c r="AC12" s="4"/>
      <c r="AQ12" s="76" t="s">
        <v>21</v>
      </c>
      <c r="AR12" s="76">
        <f>SUM(AR9:AR11)</f>
        <v>100</v>
      </c>
    </row>
    <row r="13" spans="2:48" x14ac:dyDescent="0.3">
      <c r="B13" s="3"/>
      <c r="AC13" s="4"/>
    </row>
    <row r="14" spans="2:48" x14ac:dyDescent="0.3">
      <c r="B14" s="3"/>
      <c r="AC14" s="4"/>
      <c r="AQ14" s="76" t="s">
        <v>20</v>
      </c>
      <c r="AR14" s="76">
        <v>70</v>
      </c>
      <c r="AS14" s="76" t="s">
        <v>15</v>
      </c>
      <c r="AT14" s="76">
        <f ca="1">IFERROR(ROUNDUP(COUNTIF('7.MNRJ'!Z3:Z1001,"MIS A JOUR")*100/Y6,1), 0)</f>
        <v>0</v>
      </c>
      <c r="AU14" s="76" t="s">
        <v>16</v>
      </c>
    </row>
    <row r="15" spans="2:48" x14ac:dyDescent="0.3">
      <c r="B15" s="3"/>
      <c r="AC15" s="4"/>
      <c r="AQ15" s="76" t="s">
        <v>17</v>
      </c>
      <c r="AR15" s="76">
        <v>20</v>
      </c>
      <c r="AS15" s="76" t="s">
        <v>18</v>
      </c>
      <c r="AT15" s="76">
        <v>1</v>
      </c>
      <c r="AU15" s="76" t="s">
        <v>19</v>
      </c>
      <c r="AV15" s="76" t="str">
        <f ca="1">AT14&amp;"%"</f>
        <v>0%</v>
      </c>
    </row>
    <row r="16" spans="2:48" x14ac:dyDescent="0.3">
      <c r="B16" s="3"/>
      <c r="AC16" s="4"/>
      <c r="AQ16" s="76" t="s">
        <v>14</v>
      </c>
      <c r="AR16" s="76">
        <v>10</v>
      </c>
      <c r="AS16" s="76" t="s">
        <v>21</v>
      </c>
      <c r="AT16" s="76">
        <f ca="1">SUM(AR14:AR17)-(AT14+AT15)</f>
        <v>199</v>
      </c>
      <c r="AU16" s="76" t="s">
        <v>16</v>
      </c>
    </row>
    <row r="17" spans="2:69" x14ac:dyDescent="0.3">
      <c r="B17" s="3"/>
      <c r="AC17" s="4"/>
      <c r="AQ17" s="76" t="s">
        <v>21</v>
      </c>
      <c r="AR17" s="76">
        <f>SUM(AR14:AR16)</f>
        <v>100</v>
      </c>
    </row>
    <row r="18" spans="2:69" x14ac:dyDescent="0.3">
      <c r="B18" s="3"/>
      <c r="AC18" s="4"/>
    </row>
    <row r="19" spans="2:69" x14ac:dyDescent="0.3">
      <c r="B19" s="3"/>
      <c r="AC19" s="4"/>
      <c r="AQ19" s="77">
        <v>44470</v>
      </c>
      <c r="AR19" s="77">
        <v>44501</v>
      </c>
      <c r="AS19" s="77">
        <v>44531</v>
      </c>
      <c r="AT19" s="77">
        <v>44562</v>
      </c>
      <c r="AU19" s="77">
        <v>44593</v>
      </c>
      <c r="AV19" s="77">
        <v>44621</v>
      </c>
      <c r="AW19" s="77">
        <v>44652</v>
      </c>
      <c r="AX19" s="77">
        <v>44682</v>
      </c>
      <c r="AY19" s="77">
        <v>44713</v>
      </c>
      <c r="AZ19" s="77">
        <v>44743</v>
      </c>
      <c r="BA19" s="77">
        <v>44774</v>
      </c>
      <c r="BB19" s="77">
        <v>44805</v>
      </c>
      <c r="BC19" s="77">
        <v>44835</v>
      </c>
      <c r="BD19" s="77">
        <v>44866</v>
      </c>
      <c r="BE19" s="77">
        <v>44896</v>
      </c>
      <c r="BF19" s="77">
        <v>44927</v>
      </c>
      <c r="BG19" s="77">
        <v>44958</v>
      </c>
      <c r="BH19" s="77">
        <v>44986</v>
      </c>
      <c r="BI19" s="77">
        <v>45017</v>
      </c>
      <c r="BJ19" s="77">
        <v>45047</v>
      </c>
      <c r="BK19" s="77">
        <v>45078</v>
      </c>
      <c r="BL19" s="77">
        <v>45108</v>
      </c>
      <c r="BM19" s="77">
        <v>45139</v>
      </c>
      <c r="BN19" s="77">
        <v>45170</v>
      </c>
      <c r="BO19" s="77">
        <v>45200</v>
      </c>
      <c r="BP19" s="77">
        <v>45231</v>
      </c>
      <c r="BQ19" s="77">
        <v>45261</v>
      </c>
    </row>
    <row r="20" spans="2:69" x14ac:dyDescent="0.3">
      <c r="B20" s="3"/>
      <c r="AC20" s="4"/>
      <c r="AQ20" s="76">
        <f>COUNTIFS('7.MNRJ'!$S$3:$S$1001,"&gt;"&amp;AQ19,'7.MNRJ'!$S$3:$S$1001,"&lt;"&amp;EOMONTH(AQ19,0))</f>
        <v>0</v>
      </c>
      <c r="AR20" s="76">
        <f>COUNTIFS('7.MNRJ'!$S$3:$S$1001,"&gt;"&amp;AR19,'7.MNRJ'!$S$3:$S$1001,"&lt;"&amp;EOMONTH(AR19,0))</f>
        <v>0</v>
      </c>
      <c r="AS20" s="76">
        <f>COUNTIFS('7.MNRJ'!$S$3:$S$1001,"&gt;"&amp;AS19,'7.MNRJ'!$S$3:$S$1001,"&lt;"&amp;EOMONTH(AS19,0))</f>
        <v>0</v>
      </c>
      <c r="AT20" s="76">
        <f>COUNTIFS('7.MNRJ'!$S$3:$S$1001,"&gt;"&amp;AT19,'7.MNRJ'!$S$3:$S$1001,"&lt;"&amp;EOMONTH(AT19,0))</f>
        <v>0</v>
      </c>
      <c r="AU20" s="76">
        <f>COUNTIFS('7.MNRJ'!$S$3:$S$1001,"&gt;"&amp;AU19,'7.MNRJ'!$S$3:$S$1001,"&lt;"&amp;EOMONTH(AU19,0))</f>
        <v>0</v>
      </c>
      <c r="AV20" s="76">
        <f>COUNTIFS('7.MNRJ'!$S$3:$S$1001,"&gt;"&amp;AV19,'7.MNRJ'!$S$3:$S$1001,"&lt;"&amp;EOMONTH(AV19,0))</f>
        <v>0</v>
      </c>
      <c r="AW20" s="76">
        <f>COUNTIFS('7.MNRJ'!$S$3:$S$1001,"&gt;"&amp;AW19,'7.MNRJ'!$S$3:$S$1001,"&lt;"&amp;EOMONTH(AW19,0))</f>
        <v>0</v>
      </c>
      <c r="AX20" s="76">
        <f>COUNTIFS('7.MNRJ'!$S$3:$S$1001,"&gt;"&amp;AX19,'7.MNRJ'!$S$3:$S$1001,"&lt;"&amp;EOMONTH(AX19,0))</f>
        <v>0</v>
      </c>
      <c r="AY20" s="76">
        <f>COUNTIFS('7.MNRJ'!$S$3:$S$1001,"&gt;"&amp;AY19,'7.MNRJ'!$S$3:$S$1001,"&lt;"&amp;EOMONTH(AY19,0))</f>
        <v>0</v>
      </c>
      <c r="AZ20" s="76">
        <f>COUNTIFS('7.MNRJ'!$S$3:$S$1001,"&gt;"&amp;AZ19,'7.MNRJ'!$S$3:$S$1001,"&lt;"&amp;EOMONTH(AZ19,0))</f>
        <v>0</v>
      </c>
      <c r="BA20" s="76">
        <f>COUNTIFS('7.MNRJ'!$S$3:$S$1001,"&gt;"&amp;BA19,'7.MNRJ'!$S$3:$S$1001,"&lt;"&amp;EOMONTH(BA19,0))</f>
        <v>0</v>
      </c>
      <c r="BB20" s="76">
        <f>COUNTIFS('7.MNRJ'!$S$3:$S$1001,"&gt;"&amp;BB19,'7.MNRJ'!$S$3:$S$1001,"&lt;"&amp;EOMONTH(BB19,0))</f>
        <v>0</v>
      </c>
      <c r="BC20" s="76">
        <f>COUNTIFS('7.MNRJ'!$S$3:$S$1001,"&gt;"&amp;BC19,'7.MNRJ'!$S$3:$S$1001,"&lt;"&amp;EOMONTH(BC19,0))</f>
        <v>0</v>
      </c>
      <c r="BD20" s="76">
        <f>COUNTIFS('7.MNRJ'!$S$3:$S$1001,"&gt;"&amp;BD19,'7.MNRJ'!$S$3:$S$1001,"&lt;"&amp;EOMONTH(BD19,0))</f>
        <v>0</v>
      </c>
      <c r="BE20" s="76">
        <f>COUNTIFS('7.MNRJ'!$S$3:$S$1001,"&gt;"&amp;BE19,'7.MNRJ'!$S$3:$S$1001,"&lt;"&amp;EOMONTH(BE19,0))</f>
        <v>0</v>
      </c>
      <c r="BF20" s="76">
        <f>COUNTIFS('7.MNRJ'!$S$3:$S$1001,"&gt;"&amp;BF19,'7.MNRJ'!$S$3:$S$1001,"&lt;"&amp;EOMONTH(BF19,0))</f>
        <v>0</v>
      </c>
      <c r="BG20" s="76">
        <f>COUNTIFS('7.MNRJ'!$S$3:$S$1001,"&gt;"&amp;BG19,'7.MNRJ'!$S$3:$S$1001,"&lt;"&amp;EOMONTH(BG19,0))</f>
        <v>0</v>
      </c>
      <c r="BH20" s="76">
        <f>COUNTIFS('7.MNRJ'!$S$3:$S$1001,"&gt;"&amp;BH19,'7.MNRJ'!$S$3:$S$1001,"&lt;"&amp;EOMONTH(BH19,0))</f>
        <v>0</v>
      </c>
      <c r="BI20" s="76">
        <f>COUNTIFS('7.MNRJ'!$S$3:$S$1001,"&gt;"&amp;BI19,'7.MNRJ'!$S$3:$S$1001,"&lt;"&amp;EOMONTH(BI19,0))</f>
        <v>0</v>
      </c>
      <c r="BJ20" s="76">
        <f>COUNTIFS('7.MNRJ'!$S$3:$S$1001,"&gt;"&amp;BJ19,'7.MNRJ'!$S$3:$S$1001,"&lt;"&amp;EOMONTH(BJ19,0))</f>
        <v>0</v>
      </c>
      <c r="BK20" s="76">
        <f>COUNTIFS('7.MNRJ'!$S$3:$S$1001,"&gt;"&amp;BK19,'7.MNRJ'!$S$3:$S$1001,"&lt;"&amp;EOMONTH(BK19,0))</f>
        <v>0</v>
      </c>
      <c r="BL20" s="76">
        <f>COUNTIFS('7.MNRJ'!$S$3:$S$1001,"&gt;"&amp;BL19,'7.MNRJ'!$S$3:$S$1001,"&lt;"&amp;EOMONTH(BL19,0))</f>
        <v>0</v>
      </c>
      <c r="BM20" s="76">
        <f>COUNTIFS('7.MNRJ'!$S$3:$S$1001,"&gt;"&amp;BM19,'7.MNRJ'!$S$3:$S$1001,"&lt;"&amp;EOMONTH(BM19,0))</f>
        <v>0</v>
      </c>
      <c r="BN20" s="76">
        <f>COUNTIFS('7.MNRJ'!$S$3:$S$1001,"&gt;"&amp;BN19,'7.MNRJ'!$S$3:$S$1001,"&lt;"&amp;EOMONTH(BN19,0))</f>
        <v>0</v>
      </c>
      <c r="BO20" s="76">
        <f>COUNTIFS('7.MNRJ'!$S$3:$S$1001,"&gt;"&amp;BO19,'7.MNRJ'!$S$3:$S$1001,"&lt;"&amp;EOMONTH(BO19,0))</f>
        <v>0</v>
      </c>
      <c r="BP20" s="76">
        <f>COUNTIFS('7.MNRJ'!$S$3:$S$1001,"&gt;"&amp;BP19,'7.MNRJ'!$S$3:$S$1001,"&lt;"&amp;EOMONTH(BP19,0))</f>
        <v>0</v>
      </c>
      <c r="BQ20" s="76">
        <f>COUNTIFS('7.MNRJ'!$S$3:$S$1001,"&gt;"&amp;BQ19,'7.MNRJ'!$S$3:$S$1001,"&lt;"&amp;EOMONTH(BQ19,0))</f>
        <v>0</v>
      </c>
    </row>
    <row r="21" spans="2:69" x14ac:dyDescent="0.3">
      <c r="B21" s="3"/>
      <c r="AC21" s="4"/>
      <c r="AQ21" s="76">
        <f>COUNTIFS('7.MNRJ'!$AA$3:$AA$1001,"&gt;"&amp;AQ19,'7.MNRJ'!$AA$3:$AA$1001,"&lt;"&amp;EOMONTH(AQ19,0))</f>
        <v>0</v>
      </c>
      <c r="AR21" s="76">
        <f>COUNTIFS('7.MNRJ'!$AA$3:$AA$1001,"&gt;"&amp;AR19,'7.MNRJ'!$AA$3:$AA$1001,"&lt;"&amp;EOMONTH(AR19,0))</f>
        <v>0</v>
      </c>
      <c r="AS21" s="76">
        <f>COUNTIFS('7.MNRJ'!$AA$3:$AA$1001,"&gt;"&amp;AS19,'7.MNRJ'!$AA$3:$AA$1001,"&lt;"&amp;EOMONTH(AS19,0))</f>
        <v>0</v>
      </c>
      <c r="AT21" s="76">
        <f>COUNTIFS('7.MNRJ'!$AA$3:$AA$1001,"&gt;"&amp;AT19,'7.MNRJ'!$AA$3:$AA$1001,"&lt;"&amp;EOMONTH(AT19,0))</f>
        <v>0</v>
      </c>
      <c r="AU21" s="76">
        <f>COUNTIFS('7.MNRJ'!$AA$3:$AA$1001,"&gt;"&amp;AU19,'7.MNRJ'!$AA$3:$AA$1001,"&lt;"&amp;EOMONTH(AU19,0))</f>
        <v>0</v>
      </c>
      <c r="AV21" s="76">
        <f>COUNTIFS('7.MNRJ'!$AA$3:$AA$1001,"&gt;"&amp;AV19,'7.MNRJ'!$AA$3:$AA$1001,"&lt;"&amp;EOMONTH(AV19,0))</f>
        <v>0</v>
      </c>
      <c r="AW21" s="76">
        <f>COUNTIFS('7.MNRJ'!$AA$3:$AA$1001,"&gt;"&amp;AW19,'7.MNRJ'!$AA$3:$AA$1001,"&lt;"&amp;EOMONTH(AW19,0))</f>
        <v>0</v>
      </c>
      <c r="AX21" s="76">
        <f>COUNTIFS('7.MNRJ'!$AA$3:$AA$1001,"&gt;"&amp;AX19,'7.MNRJ'!$AA$3:$AA$1001,"&lt;"&amp;EOMONTH(AX19,0))</f>
        <v>0</v>
      </c>
      <c r="AY21" s="76">
        <f>COUNTIFS('7.MNRJ'!$AA$3:$AA$1001,"&gt;"&amp;AY19,'7.MNRJ'!$AA$3:$AA$1001,"&lt;"&amp;EOMONTH(AY19,0))</f>
        <v>0</v>
      </c>
      <c r="AZ21" s="76">
        <f>COUNTIFS('7.MNRJ'!$AA$3:$AA$1001,"&gt;"&amp;AZ19,'7.MNRJ'!$AA$3:$AA$1001,"&lt;"&amp;EOMONTH(AZ19,0))</f>
        <v>0</v>
      </c>
      <c r="BA21" s="76">
        <f>COUNTIFS('7.MNRJ'!$AA$3:$AA$1001,"&gt;"&amp;BA19,'7.MNRJ'!$AA$3:$AA$1001,"&lt;"&amp;EOMONTH(BA19,0))</f>
        <v>0</v>
      </c>
      <c r="BB21" s="76">
        <f>COUNTIFS('7.MNRJ'!$AA$3:$AA$1001,"&gt;"&amp;BB19,'7.MNRJ'!$AA$3:$AA$1001,"&lt;"&amp;EOMONTH(BB19,0))</f>
        <v>0</v>
      </c>
      <c r="BC21" s="76">
        <f>COUNTIFS('7.MNRJ'!$AA$3:$AA$1001,"&gt;"&amp;BC19,'7.MNRJ'!$AA$3:$AA$1001,"&lt;"&amp;EOMONTH(BC19,0))</f>
        <v>0</v>
      </c>
      <c r="BD21" s="76">
        <f>COUNTIFS('7.MNRJ'!$AA$3:$AA$1001,"&gt;"&amp;BD19,'7.MNRJ'!$AA$3:$AA$1001,"&lt;"&amp;EOMONTH(BD19,0))</f>
        <v>0</v>
      </c>
      <c r="BE21" s="76">
        <f>COUNTIFS('7.MNRJ'!$AA$3:$AA$1001,"&gt;"&amp;BE19,'7.MNRJ'!$AA$3:$AA$1001,"&lt;"&amp;EOMONTH(BE19,0))</f>
        <v>0</v>
      </c>
      <c r="BF21" s="76">
        <f>COUNTIFS('7.MNRJ'!$AA$3:$AA$1001,"&gt;"&amp;BF19,'7.MNRJ'!$AA$3:$AA$1001,"&lt;"&amp;EOMONTH(BF19,0))</f>
        <v>0</v>
      </c>
      <c r="BG21" s="76">
        <f>COUNTIFS('7.MNRJ'!$AA$3:$AA$1001,"&gt;"&amp;BG19,'7.MNRJ'!$AA$3:$AA$1001,"&lt;"&amp;EOMONTH(BG19,0))</f>
        <v>0</v>
      </c>
      <c r="BH21" s="76">
        <f>COUNTIFS('7.MNRJ'!$AA$3:$AA$1001,"&gt;"&amp;BH19,'7.MNRJ'!$AA$3:$AA$1001,"&lt;"&amp;EOMONTH(BH19,0))</f>
        <v>0</v>
      </c>
      <c r="BI21" s="76">
        <f>COUNTIFS('7.MNRJ'!$AA$3:$AA$1001,"&gt;"&amp;BI19,'7.MNRJ'!$AA$3:$AA$1001,"&lt;"&amp;EOMONTH(BI19,0))</f>
        <v>0</v>
      </c>
      <c r="BJ21" s="76">
        <f>COUNTIFS('7.MNRJ'!$AA$3:$AA$1001,"&gt;"&amp;BJ19,'7.MNRJ'!$AA$3:$AA$1001,"&lt;"&amp;EOMONTH(BJ19,0))</f>
        <v>0</v>
      </c>
      <c r="BK21" s="76">
        <f>COUNTIFS('7.MNRJ'!$AA$3:$AA$1001,"&gt;"&amp;BK19,'7.MNRJ'!$AA$3:$AA$1001,"&lt;"&amp;EOMONTH(BK19,0))</f>
        <v>0</v>
      </c>
      <c r="BL21" s="76">
        <f>COUNTIFS('7.MNRJ'!$AA$3:$AA$1001,"&gt;"&amp;BL19,'7.MNRJ'!$AA$3:$AA$1001,"&lt;"&amp;EOMONTH(BL19,0))</f>
        <v>0</v>
      </c>
      <c r="BM21" s="76">
        <f>COUNTIFS('7.MNRJ'!$AA$3:$AA$1001,"&gt;"&amp;BM19,'7.MNRJ'!$AA$3:$AA$1001,"&lt;"&amp;EOMONTH(BM19,0))</f>
        <v>0</v>
      </c>
      <c r="BN21" s="76">
        <f>COUNTIFS('7.MNRJ'!$AA$3:$AA$1001,"&gt;"&amp;BN19,'7.MNRJ'!$AA$3:$AA$1001,"&lt;"&amp;EOMONTH(BN19,0))</f>
        <v>0</v>
      </c>
      <c r="BO21" s="76">
        <f>COUNTIFS('7.MNRJ'!$AA$3:$AA$1001,"&gt;"&amp;BO19,'7.MNRJ'!$AA$3:$AA$1001,"&lt;"&amp;EOMONTH(BO19,0))</f>
        <v>0</v>
      </c>
      <c r="BP21" s="76">
        <f>COUNTIFS('7.MNRJ'!$AA$3:$AA$1001,"&gt;"&amp;BP19,'7.MNRJ'!$AA$3:$AA$1001,"&lt;"&amp;EOMONTH(BP19,0))</f>
        <v>0</v>
      </c>
      <c r="BQ21" s="76">
        <f>COUNTIFS('7.MNRJ'!$AA$3:$AA$1001,"&gt;"&amp;BQ19,'7.MNRJ'!$AA$3:$AA$1001,"&lt;"&amp;EOMONTH(BQ19,0))</f>
        <v>0</v>
      </c>
    </row>
    <row r="22" spans="2:69" x14ac:dyDescent="0.3">
      <c r="B22" s="3"/>
      <c r="AC22" s="4"/>
    </row>
    <row r="23" spans="2:69" x14ac:dyDescent="0.3">
      <c r="B23" s="3"/>
      <c r="AC23" s="4"/>
    </row>
    <row r="24" spans="2:69" x14ac:dyDescent="0.3">
      <c r="B24" s="3"/>
      <c r="AC24" s="4"/>
      <c r="AQ24" s="78"/>
    </row>
    <row r="25" spans="2:69" x14ac:dyDescent="0.3">
      <c r="B25" s="3"/>
      <c r="AC25" s="4"/>
    </row>
    <row r="26" spans="2:69" x14ac:dyDescent="0.3">
      <c r="B26" s="3"/>
      <c r="AC26" s="4"/>
    </row>
    <row r="27" spans="2:69" x14ac:dyDescent="0.3">
      <c r="B27" s="3"/>
      <c r="AC27" s="4"/>
    </row>
    <row r="28" spans="2:69" x14ac:dyDescent="0.3">
      <c r="B28" s="3"/>
      <c r="C28" s="16"/>
      <c r="D28" s="16"/>
      <c r="E28" s="16"/>
      <c r="F28" s="16"/>
      <c r="AC28" s="4"/>
    </row>
    <row r="29" spans="2:69" x14ac:dyDescent="0.3">
      <c r="B29" s="3"/>
      <c r="AC29" s="4"/>
    </row>
    <row r="30" spans="2:69" x14ac:dyDescent="0.3">
      <c r="B30" s="3"/>
      <c r="AC30" s="4"/>
    </row>
    <row r="31" spans="2:69" x14ac:dyDescent="0.3">
      <c r="B31" s="3"/>
      <c r="AC31" s="4"/>
    </row>
    <row r="32" spans="2:69" x14ac:dyDescent="0.3">
      <c r="B32" s="3"/>
      <c r="AC32" s="4"/>
    </row>
    <row r="33" spans="2:29" x14ac:dyDescent="0.3">
      <c r="B33" s="3"/>
      <c r="AC33" s="4"/>
    </row>
    <row r="34" spans="2:29" x14ac:dyDescent="0.3">
      <c r="B34" s="3"/>
      <c r="AC34" s="4"/>
    </row>
    <row r="35" spans="2:29" x14ac:dyDescent="0.3">
      <c r="B35" s="3"/>
      <c r="AC35" s="4"/>
    </row>
    <row r="36" spans="2:29" x14ac:dyDescent="0.3">
      <c r="B36" s="3"/>
      <c r="AC36" s="4"/>
    </row>
    <row r="37" spans="2:29" x14ac:dyDescent="0.3">
      <c r="B37" s="3"/>
      <c r="AC37" s="4"/>
    </row>
    <row r="38" spans="2:29" ht="15" thickBot="1" x14ac:dyDescent="0.35">
      <c r="B38" s="3"/>
      <c r="AC38" s="4"/>
    </row>
    <row r="39" spans="2:29" ht="15" thickBot="1" x14ac:dyDescent="0.35">
      <c r="B39" s="13" t="s">
        <v>13</v>
      </c>
      <c r="C39" s="17"/>
      <c r="D39" s="17"/>
      <c r="E39" s="17"/>
      <c r="F39" s="18"/>
      <c r="G39" s="1"/>
      <c r="H39" s="1"/>
      <c r="I39" s="1"/>
      <c r="J39" s="1"/>
      <c r="K39" s="1"/>
      <c r="L39" s="1"/>
      <c r="M39" s="1"/>
      <c r="N39" s="1"/>
      <c r="O39" s="1"/>
      <c r="P39" s="1"/>
      <c r="Q39" s="1"/>
      <c r="R39" s="1"/>
      <c r="S39" s="1"/>
      <c r="T39" s="1"/>
      <c r="U39" s="1"/>
      <c r="V39" s="1"/>
      <c r="W39" s="1"/>
      <c r="X39" s="1"/>
      <c r="Y39" s="1"/>
      <c r="Z39" s="1"/>
      <c r="AA39" s="1"/>
      <c r="AB39" s="1"/>
      <c r="AC39" s="2"/>
    </row>
    <row r="40" spans="2:29" x14ac:dyDescent="0.3">
      <c r="B40" s="3"/>
      <c r="AC40" s="4"/>
    </row>
    <row r="41" spans="2:29" x14ac:dyDescent="0.3">
      <c r="B41" s="3"/>
      <c r="AC41" s="4"/>
    </row>
    <row r="42" spans="2:29" x14ac:dyDescent="0.3">
      <c r="B42" s="3"/>
      <c r="AC42" s="4"/>
    </row>
    <row r="43" spans="2:29" x14ac:dyDescent="0.3">
      <c r="B43" s="3"/>
      <c r="AC43" s="4"/>
    </row>
    <row r="44" spans="2:29" x14ac:dyDescent="0.3">
      <c r="B44" s="3"/>
      <c r="AC44" s="4"/>
    </row>
    <row r="45" spans="2:29" ht="15" thickBot="1" x14ac:dyDescent="0.35">
      <c r="B45" s="5"/>
      <c r="C45" s="6"/>
      <c r="D45" s="6"/>
      <c r="E45" s="6"/>
      <c r="F45" s="6"/>
      <c r="G45" s="6"/>
      <c r="H45" s="6"/>
      <c r="I45" s="6"/>
      <c r="J45" s="6"/>
      <c r="K45" s="6"/>
      <c r="L45" s="6"/>
      <c r="M45" s="6"/>
      <c r="N45" s="6"/>
      <c r="O45" s="6"/>
      <c r="P45" s="6"/>
      <c r="Q45" s="6"/>
      <c r="R45" s="6"/>
      <c r="S45" s="6"/>
      <c r="T45" s="6"/>
      <c r="U45" s="6"/>
      <c r="V45" s="6"/>
      <c r="W45" s="6"/>
      <c r="X45" s="6"/>
      <c r="Y45" s="6"/>
      <c r="Z45" s="6"/>
      <c r="AA45" s="6"/>
      <c r="AB45" s="6"/>
      <c r="AC45" s="7"/>
    </row>
  </sheetData>
  <customSheetViews>
    <customSheetView guid="{CF0A3741-DD40-423F-97D7-0C00E4DC3A32}" showGridLines="0">
      <pageMargins left="0.7" right="0.7" top="0.75" bottom="0.75" header="0.3" footer="0.3"/>
      <pageSetup orientation="portrait" r:id="rId1"/>
    </customSheetView>
    <customSheetView guid="{850E940B-2428-4553-BF71-40EDCB2E1D07}" showGridLines="0">
      <pageMargins left="0.7" right="0.7" top="0.75" bottom="0.75" header="0.3" footer="0.3"/>
      <pageSetup orientation="portrait" r:id="rId2"/>
    </customSheetView>
    <customSheetView guid="{41F7FD2A-BA5B-4731-A557-2BD58F51B02E}" showGridLines="0">
      <pageMargins left="0.7" right="0.7" top="0.75" bottom="0.75" header="0.3" footer="0.3"/>
      <pageSetup orientation="portrait" r:id="rId3"/>
    </customSheetView>
    <customSheetView guid="{0EF03FB2-E8B1-47F2-9208-E204933E1F15}" showGridLines="0">
      <pageMargins left="0.7" right="0.7" top="0.75" bottom="0.75" header="0.3" footer="0.3"/>
      <pageSetup orientation="portrait" r:id="rId4"/>
    </customSheetView>
  </customSheetViews>
  <mergeCells count="11">
    <mergeCell ref="C7:J7"/>
    <mergeCell ref="Q6:X6"/>
    <mergeCell ref="Y4:AC4"/>
    <mergeCell ref="B4:F4"/>
    <mergeCell ref="K6:N6"/>
    <mergeCell ref="C6:J6"/>
    <mergeCell ref="Q7:X7"/>
    <mergeCell ref="Y7:AB7"/>
    <mergeCell ref="K7:M7"/>
    <mergeCell ref="AA6:AB6"/>
    <mergeCell ref="Y6:Z6"/>
  </mergeCell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vt:i4>
      </vt:variant>
    </vt:vector>
  </HeadingPairs>
  <TitlesOfParts>
    <vt:vector size="8" baseType="lpstr">
      <vt:lpstr>DMS_SAP</vt:lpstr>
      <vt:lpstr>Aide</vt:lpstr>
      <vt:lpstr>creationSap</vt:lpstr>
      <vt:lpstr>list</vt:lpstr>
      <vt:lpstr>Chemin_accès</vt:lpstr>
      <vt:lpstr>7.MNRJ</vt:lpstr>
      <vt:lpstr>KPI</vt:lpstr>
      <vt:lpstr>'7.MNRJ'!Zone_d_impression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Chaix, Florian</dc:creator>
  <cp:lastModifiedBy>Marquenet, Nilane</cp:lastModifiedBy>
  <cp:lastPrinted>2022-02-24T13:51:46Z</cp:lastPrinted>
  <dcterms:created xsi:type="dcterms:W3CDTF">2006-09-16T00:00:00Z</dcterms:created>
  <dcterms:modified xsi:type="dcterms:W3CDTF">2026-09-25T06:50:23Z</dcterms:modified>
</cp:coreProperties>
</file>