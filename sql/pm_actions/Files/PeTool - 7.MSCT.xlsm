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updateLinks="never" codeName="ThisWorkbook" defaultThemeVersion="124226"/>
  <mc:AlternateContent xmlns:mc="http://schemas.openxmlformats.org/markup-compatibility/2006">
    <mc:Choice Requires="x15">
      <x15ac:absPath xmlns:x15ac="http://schemas.microsoft.com/office/spreadsheetml/2010/11/ac" url="S:\Commun\BT METHODES Maintenance\MARQUENET\10 - Projets\10 - 010 - ERP IFS\10 - PeTools\"/>
    </mc:Choice>
  </mc:AlternateContent>
  <xr:revisionPtr revIDLastSave="0" documentId="8_{F4320738-0448-463B-84EA-9DCD06C27C7B}" xr6:coauthVersionLast="47" xr6:coauthVersionMax="47" xr10:uidLastSave="{00000000-0000-0000-0000-000000000000}"/>
  <bookViews>
    <workbookView xWindow="-28920" yWindow="-105" windowWidth="29040" windowHeight="15840" tabRatio="647" firstSheet="1" activeTab="5" xr2:uid="{00000000-000D-0000-FFFF-FFFF00000000}"/>
  </bookViews>
  <sheets>
    <sheet name="DMS_SAP" sheetId="24" state="hidden" r:id="rId1"/>
    <sheet name="Aide" sheetId="26" r:id="rId2"/>
    <sheet name="creationSap" sheetId="8" r:id="rId3"/>
    <sheet name="Chemin_accès" sheetId="21" r:id="rId4"/>
    <sheet name="list" sheetId="19" r:id="rId5"/>
    <sheet name="7.MSCT" sheetId="1" r:id="rId6"/>
    <sheet name="KPI" sheetId="10" r:id="rId7"/>
  </sheets>
  <functionGroups builtInGroupCount="19"/>
  <externalReferences>
    <externalReference r:id="rId8"/>
  </externalReferences>
  <definedNames>
    <definedName name="_xlnm._FilterDatabase" localSheetId="5" hidden="1">'7.MSCT'!$A$2:$AB$2</definedName>
    <definedName name="TEST1" localSheetId="0">#REF!</definedName>
    <definedName name="TEST1">'[1]Listing DMS MDD'!#REF!</definedName>
    <definedName name="TEST2" localSheetId="0">#REF!</definedName>
    <definedName name="TEST2">'[1]Listing DMS MDD'!#REF!</definedName>
    <definedName name="TEST3" localSheetId="0">#REF!</definedName>
    <definedName name="TEST3">'[1]Listing DMS MDD'!#REF!</definedName>
    <definedName name="TESTKEYS" localSheetId="0">#REF!</definedName>
    <definedName name="TESTKEYS">'[1]Listing DMS MDD'!#REF!</definedName>
    <definedName name="TESTVKEY">#REF!</definedName>
    <definedName name="Z_0EF03FB2_E8B1_47F2_9208_E204933E1F15_.wvu.FilterData" localSheetId="5" hidden="1">'7.MSCT'!$F$2:$AB$2</definedName>
    <definedName name="Z_0EF03FB2_E8B1_47F2_9208_E204933E1F15_.wvu.PrintArea" localSheetId="5" hidden="1">'7.MSCT'!$H$2:$W$427</definedName>
    <definedName name="Z_41F7FD2A_BA5B_4731_A557_2BD58F51B02E_.wvu.FilterData" localSheetId="5" hidden="1">'7.MSCT'!$F$2:$AB$2</definedName>
    <definedName name="Z_41F7FD2A_BA5B_4731_A557_2BD58F51B02E_.wvu.PrintArea" localSheetId="5" hidden="1">'7.MSCT'!$H$2:$W$427</definedName>
    <definedName name="Z_850E940B_2428_4553_BF71_40EDCB2E1D07_.wvu.FilterData" localSheetId="5" hidden="1">'7.MSCT'!$F$2:$AB$2</definedName>
    <definedName name="Z_850E940B_2428_4553_BF71_40EDCB2E1D07_.wvu.PrintArea" localSheetId="5" hidden="1">'7.MSCT'!$H$2:$W$427</definedName>
    <definedName name="Z_CF0A3741_DD40_423F_97D7_0C00E4DC3A32_.wvu.FilterData" localSheetId="5" hidden="1">'7.MSCT'!$F$2:$AB$2</definedName>
    <definedName name="Z_CF0A3741_DD40_423F_97D7_0C00E4DC3A32_.wvu.PrintArea" localSheetId="5" hidden="1">'7.MSCT'!$H$2:$W$427</definedName>
    <definedName name="_xlnm.Print_Area" localSheetId="5">'7.MSCT'!$A$453:$R$478</definedName>
  </definedNames>
  <calcPr calcId="191029"/>
  <customWorkbookViews>
    <customWorkbookView name="Chaix, Florian - Affichage personnalisé" guid="{0EF03FB2-E8B1-47F2-9208-E204933E1F15}" mergeInterval="0" personalView="1" maximized="1" xWindow="-8" yWindow="-8" windowWidth="1936" windowHeight="1056" activeSheetId="1"/>
    <customWorkbookView name="Barentin, Fabrice - Affichage personnalisé" guid="{41F7FD2A-BA5B-4731-A557-2BD58F51B02E}" mergeInterval="0" personalView="1" maximized="1" windowWidth="1680" windowHeight="803" activeSheetId="17"/>
    <customWorkbookView name="Valzolgher, Marie - Affichage personnalisé" guid="{850E940B-2428-4553-BF71-40EDCB2E1D07}" mergeInterval="0" personalView="1" maximized="1" windowWidth="1680" windowHeight="825" activeSheetId="4"/>
    <customWorkbookView name="Ozouf, Mathieu - Affichage personnalisé" guid="{CF0A3741-DD40-423F-97D7-0C00E4DC3A32}" mergeInterval="0" personalView="1" maximized="1" xWindow="-9" yWindow="-9" windowWidth="1938" windowHeight="1048"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3" i="1" l="1"/>
  <c r="AD4" i="1"/>
  <c r="AD5" i="1"/>
  <c r="AD6" i="1"/>
  <c r="AD7" i="1"/>
  <c r="AD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U72" i="1" s="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D200" i="1"/>
  <c r="AD201" i="1"/>
  <c r="AD202" i="1"/>
  <c r="AD203" i="1"/>
  <c r="AD204" i="1"/>
  <c r="AD205" i="1"/>
  <c r="AD206" i="1"/>
  <c r="AD207" i="1"/>
  <c r="AD208" i="1"/>
  <c r="AD209" i="1"/>
  <c r="AD210" i="1"/>
  <c r="AD211" i="1"/>
  <c r="AD212" i="1"/>
  <c r="AD213" i="1"/>
  <c r="AD214" i="1"/>
  <c r="AD215" i="1"/>
  <c r="AD216" i="1"/>
  <c r="AD217" i="1"/>
  <c r="AD218" i="1"/>
  <c r="AD219" i="1"/>
  <c r="AD220" i="1"/>
  <c r="AD221" i="1"/>
  <c r="AD222" i="1"/>
  <c r="AD223" i="1"/>
  <c r="AD224" i="1"/>
  <c r="AD225" i="1"/>
  <c r="AD226" i="1"/>
  <c r="AD227" i="1"/>
  <c r="AD228" i="1"/>
  <c r="AD229" i="1"/>
  <c r="AD230" i="1"/>
  <c r="AD231" i="1"/>
  <c r="AD232" i="1"/>
  <c r="AD233" i="1"/>
  <c r="AD234" i="1"/>
  <c r="AD235" i="1"/>
  <c r="AD236" i="1"/>
  <c r="AD237" i="1"/>
  <c r="AD238" i="1"/>
  <c r="AD239" i="1"/>
  <c r="AD240" i="1"/>
  <c r="AD241" i="1"/>
  <c r="AD242" i="1"/>
  <c r="AD243" i="1"/>
  <c r="AD244" i="1"/>
  <c r="AD245" i="1"/>
  <c r="AD246" i="1"/>
  <c r="AD247" i="1"/>
  <c r="AD248" i="1"/>
  <c r="AD249" i="1"/>
  <c r="AD250" i="1"/>
  <c r="AD251" i="1"/>
  <c r="AD252" i="1"/>
  <c r="AD253" i="1"/>
  <c r="AD254" i="1"/>
  <c r="AD255" i="1"/>
  <c r="AD256" i="1"/>
  <c r="AD257" i="1"/>
  <c r="AD258" i="1"/>
  <c r="AD259" i="1"/>
  <c r="AD260" i="1"/>
  <c r="AD261" i="1"/>
  <c r="AD262" i="1"/>
  <c r="AD263" i="1"/>
  <c r="AD264" i="1"/>
  <c r="AD265" i="1"/>
  <c r="AD266" i="1"/>
  <c r="AD267" i="1"/>
  <c r="AD268" i="1"/>
  <c r="AD269" i="1"/>
  <c r="AD270" i="1"/>
  <c r="AD271" i="1"/>
  <c r="AD272" i="1"/>
  <c r="AD273" i="1"/>
  <c r="AD274" i="1"/>
  <c r="AD275" i="1"/>
  <c r="AD276" i="1"/>
  <c r="AD277" i="1"/>
  <c r="AD278" i="1"/>
  <c r="AD279" i="1"/>
  <c r="AD280" i="1"/>
  <c r="AD281" i="1"/>
  <c r="AD282" i="1"/>
  <c r="AD283" i="1"/>
  <c r="AD284" i="1"/>
  <c r="AD285" i="1"/>
  <c r="AD286" i="1"/>
  <c r="AD287" i="1"/>
  <c r="AD288" i="1"/>
  <c r="AD289" i="1"/>
  <c r="AD290" i="1"/>
  <c r="AD291" i="1"/>
  <c r="AD292" i="1"/>
  <c r="AD293" i="1"/>
  <c r="AD294" i="1"/>
  <c r="AD295" i="1"/>
  <c r="AD296" i="1"/>
  <c r="AD297" i="1"/>
  <c r="AD298" i="1"/>
  <c r="AD299" i="1"/>
  <c r="AD300" i="1"/>
  <c r="AD301" i="1"/>
  <c r="AD302" i="1"/>
  <c r="AD303" i="1"/>
  <c r="AD304" i="1"/>
  <c r="AD305" i="1"/>
  <c r="AD306" i="1"/>
  <c r="AD307" i="1"/>
  <c r="AD308" i="1"/>
  <c r="AD309" i="1"/>
  <c r="AD310" i="1"/>
  <c r="AD311" i="1"/>
  <c r="AD312" i="1"/>
  <c r="AD313" i="1"/>
  <c r="AD314" i="1"/>
  <c r="AD315" i="1"/>
  <c r="AD316" i="1"/>
  <c r="AD317" i="1"/>
  <c r="AD318" i="1"/>
  <c r="AD319" i="1"/>
  <c r="AD320" i="1"/>
  <c r="AD321" i="1"/>
  <c r="AD322" i="1"/>
  <c r="AD323" i="1"/>
  <c r="AD324" i="1"/>
  <c r="AD325" i="1"/>
  <c r="AD326" i="1"/>
  <c r="AD327" i="1"/>
  <c r="AD328" i="1"/>
  <c r="AD329" i="1"/>
  <c r="AD330" i="1"/>
  <c r="AD331" i="1"/>
  <c r="AD332" i="1"/>
  <c r="AD333" i="1"/>
  <c r="AD334" i="1"/>
  <c r="AD335" i="1"/>
  <c r="AD336" i="1"/>
  <c r="AD337" i="1"/>
  <c r="AD338" i="1"/>
  <c r="AD339" i="1"/>
  <c r="AD340" i="1"/>
  <c r="AD341" i="1"/>
  <c r="AD342" i="1"/>
  <c r="AD343" i="1"/>
  <c r="AD344" i="1"/>
  <c r="AD345" i="1"/>
  <c r="AD346" i="1"/>
  <c r="AD347" i="1"/>
  <c r="AD348" i="1"/>
  <c r="AD349" i="1"/>
  <c r="AD350" i="1"/>
  <c r="AD351" i="1"/>
  <c r="AD352" i="1"/>
  <c r="AD353" i="1"/>
  <c r="AD354" i="1"/>
  <c r="AD355" i="1"/>
  <c r="AD356" i="1"/>
  <c r="AD357" i="1"/>
  <c r="AD358" i="1"/>
  <c r="AD359" i="1"/>
  <c r="AD360" i="1"/>
  <c r="AD361" i="1"/>
  <c r="AD362" i="1"/>
  <c r="AD363" i="1"/>
  <c r="AD364" i="1"/>
  <c r="AD365" i="1"/>
  <c r="AD366" i="1"/>
  <c r="AD367" i="1"/>
  <c r="AD368" i="1"/>
  <c r="AD369" i="1"/>
  <c r="AD370" i="1"/>
  <c r="AD371" i="1"/>
  <c r="AD372" i="1"/>
  <c r="AD373" i="1"/>
  <c r="AD374" i="1"/>
  <c r="AD375" i="1"/>
  <c r="AD376" i="1"/>
  <c r="AD377" i="1"/>
  <c r="AD378" i="1"/>
  <c r="AD379" i="1"/>
  <c r="AD380" i="1"/>
  <c r="AD381" i="1"/>
  <c r="AD382" i="1"/>
  <c r="AD383" i="1"/>
  <c r="AD384" i="1"/>
  <c r="AD385" i="1"/>
  <c r="AD386" i="1"/>
  <c r="AD387" i="1"/>
  <c r="AD388" i="1"/>
  <c r="AD389" i="1"/>
  <c r="AD390" i="1"/>
  <c r="AD391" i="1"/>
  <c r="AD392" i="1"/>
  <c r="AD393" i="1"/>
  <c r="AD394" i="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D540" i="1"/>
  <c r="AD541" i="1"/>
  <c r="AD542" i="1"/>
  <c r="AD543" i="1"/>
  <c r="AD544" i="1"/>
  <c r="AD545" i="1"/>
  <c r="AD546" i="1"/>
  <c r="AD547" i="1"/>
  <c r="AD548" i="1"/>
  <c r="AD549" i="1"/>
  <c r="AD550" i="1"/>
  <c r="AD551" i="1"/>
  <c r="AD552" i="1"/>
  <c r="AD553" i="1"/>
  <c r="AD554" i="1"/>
  <c r="AD555" i="1"/>
  <c r="AD556" i="1"/>
  <c r="AD557" i="1"/>
  <c r="AD558" i="1"/>
  <c r="AD559" i="1"/>
  <c r="AD560" i="1"/>
  <c r="AD561" i="1"/>
  <c r="AD562" i="1"/>
  <c r="AD563" i="1"/>
  <c r="AD564" i="1"/>
  <c r="AD565" i="1"/>
  <c r="AD566" i="1"/>
  <c r="AD567" i="1"/>
  <c r="AD568" i="1"/>
  <c r="AD569" i="1"/>
  <c r="AD570" i="1"/>
  <c r="AD571" i="1"/>
  <c r="AD572" i="1"/>
  <c r="AD573" i="1"/>
  <c r="AD574" i="1"/>
  <c r="AD575" i="1"/>
  <c r="AD576" i="1"/>
  <c r="AD577" i="1"/>
  <c r="AD578" i="1"/>
  <c r="AD579" i="1"/>
  <c r="AD580" i="1"/>
  <c r="AD581" i="1"/>
  <c r="AD582" i="1"/>
  <c r="AD583" i="1"/>
  <c r="AD584" i="1"/>
  <c r="AD585" i="1"/>
  <c r="AD586" i="1"/>
  <c r="AD587" i="1"/>
  <c r="AD588" i="1"/>
  <c r="AD589" i="1"/>
  <c r="AD590" i="1"/>
  <c r="AD591" i="1"/>
  <c r="AD592" i="1"/>
  <c r="AD593" i="1"/>
  <c r="AD594" i="1"/>
  <c r="AD595" i="1"/>
  <c r="AD596" i="1"/>
  <c r="AD597" i="1"/>
  <c r="AD598" i="1"/>
  <c r="AD599" i="1"/>
  <c r="AD600" i="1"/>
  <c r="AD601" i="1"/>
  <c r="AD602" i="1"/>
  <c r="AD603" i="1"/>
  <c r="AD604" i="1"/>
  <c r="AD605" i="1"/>
  <c r="AD606" i="1"/>
  <c r="AD607" i="1"/>
  <c r="AD608" i="1"/>
  <c r="AD609" i="1"/>
  <c r="AD610" i="1"/>
  <c r="AD611" i="1"/>
  <c r="AD612" i="1"/>
  <c r="AD613" i="1"/>
  <c r="AD614" i="1"/>
  <c r="AD615" i="1"/>
  <c r="AD616" i="1"/>
  <c r="AD617" i="1"/>
  <c r="AD618" i="1"/>
  <c r="AD619" i="1"/>
  <c r="AD620" i="1"/>
  <c r="AD621" i="1"/>
  <c r="AD622" i="1"/>
  <c r="AD623" i="1"/>
  <c r="AD624" i="1"/>
  <c r="AD625" i="1"/>
  <c r="AD626" i="1"/>
  <c r="AD627" i="1"/>
  <c r="AD628" i="1"/>
  <c r="AD629" i="1"/>
  <c r="AD630" i="1"/>
  <c r="AD631" i="1"/>
  <c r="AD632" i="1"/>
  <c r="AD633" i="1"/>
  <c r="AD634" i="1"/>
  <c r="AD635" i="1"/>
  <c r="AD636" i="1"/>
  <c r="AD637" i="1"/>
  <c r="AD638" i="1"/>
  <c r="AD639" i="1"/>
  <c r="AD640" i="1"/>
  <c r="AD641" i="1"/>
  <c r="AD642" i="1"/>
  <c r="AD643" i="1"/>
  <c r="AD644" i="1"/>
  <c r="AD645" i="1"/>
  <c r="AD646" i="1"/>
  <c r="AD647" i="1"/>
  <c r="AD648" i="1"/>
  <c r="AD649" i="1"/>
  <c r="AD650" i="1"/>
  <c r="AD651" i="1"/>
  <c r="AD652" i="1"/>
  <c r="AD653" i="1"/>
  <c r="AD654" i="1"/>
  <c r="AD655" i="1"/>
  <c r="AD656" i="1"/>
  <c r="AD657" i="1"/>
  <c r="AD658" i="1"/>
  <c r="AD659" i="1"/>
  <c r="AD660" i="1"/>
  <c r="AD661" i="1"/>
  <c r="AD662" i="1"/>
  <c r="AD663" i="1"/>
  <c r="AD664" i="1"/>
  <c r="AD665" i="1"/>
  <c r="AD666" i="1"/>
  <c r="AD667" i="1"/>
  <c r="AD668" i="1"/>
  <c r="AD669" i="1"/>
  <c r="AD670" i="1"/>
  <c r="AD671" i="1"/>
  <c r="AD672" i="1"/>
  <c r="AD673" i="1"/>
  <c r="AD674" i="1"/>
  <c r="AD675" i="1"/>
  <c r="AD676" i="1"/>
  <c r="AD677" i="1"/>
  <c r="AD678" i="1"/>
  <c r="AD679" i="1"/>
  <c r="AD680" i="1"/>
  <c r="AD681" i="1"/>
  <c r="AD682" i="1"/>
  <c r="AD683" i="1"/>
  <c r="AD684" i="1"/>
  <c r="AD685" i="1"/>
  <c r="AD686" i="1"/>
  <c r="AD687" i="1"/>
  <c r="AD688" i="1"/>
  <c r="AD689" i="1"/>
  <c r="AD690" i="1"/>
  <c r="AD691" i="1"/>
  <c r="AD692" i="1"/>
  <c r="AD693" i="1"/>
  <c r="AD694" i="1"/>
  <c r="AD695" i="1"/>
  <c r="AD696" i="1"/>
  <c r="AD697" i="1"/>
  <c r="AD698" i="1"/>
  <c r="AD699" i="1"/>
  <c r="AD700" i="1"/>
  <c r="AD701" i="1"/>
  <c r="AD702" i="1"/>
  <c r="AD703" i="1"/>
  <c r="AD704" i="1"/>
  <c r="AD705" i="1"/>
  <c r="AD706" i="1"/>
  <c r="AD707" i="1"/>
  <c r="AD708" i="1"/>
  <c r="AD709" i="1"/>
  <c r="AD710" i="1"/>
  <c r="AD711" i="1"/>
  <c r="AD712" i="1"/>
  <c r="AD713" i="1"/>
  <c r="AD714" i="1"/>
  <c r="AD715" i="1"/>
  <c r="AD716" i="1"/>
  <c r="AD717" i="1"/>
  <c r="AD718" i="1"/>
  <c r="AD719" i="1"/>
  <c r="AD720" i="1"/>
  <c r="AD721" i="1"/>
  <c r="AD722" i="1"/>
  <c r="AD723" i="1"/>
  <c r="AD724" i="1"/>
  <c r="AD725" i="1"/>
  <c r="AD726" i="1"/>
  <c r="AD727" i="1"/>
  <c r="AD728" i="1"/>
  <c r="AD729" i="1"/>
  <c r="AD730" i="1"/>
  <c r="AD731" i="1"/>
  <c r="AD732" i="1"/>
  <c r="AD733" i="1"/>
  <c r="AD734" i="1"/>
  <c r="AD735" i="1"/>
  <c r="AD736" i="1"/>
  <c r="AD737" i="1"/>
  <c r="AD738" i="1"/>
  <c r="AD739" i="1"/>
  <c r="AD740" i="1"/>
  <c r="AD741" i="1"/>
  <c r="AD742" i="1"/>
  <c r="AD743" i="1"/>
  <c r="AD744" i="1"/>
  <c r="AD745" i="1"/>
  <c r="AD746" i="1"/>
  <c r="AD747" i="1"/>
  <c r="AD748" i="1"/>
  <c r="AD749" i="1"/>
  <c r="AD750" i="1"/>
  <c r="AD751" i="1"/>
  <c r="AD752" i="1"/>
  <c r="AD753" i="1"/>
  <c r="AD754" i="1"/>
  <c r="AD755" i="1"/>
  <c r="AD756" i="1"/>
  <c r="AD757" i="1"/>
  <c r="AD758" i="1"/>
  <c r="AD759" i="1"/>
  <c r="AD760" i="1"/>
  <c r="AD761" i="1"/>
  <c r="AD762" i="1"/>
  <c r="AD763" i="1"/>
  <c r="AD764" i="1"/>
  <c r="AD765" i="1"/>
  <c r="AD766" i="1"/>
  <c r="AD767" i="1"/>
  <c r="AD768" i="1"/>
  <c r="AD769" i="1"/>
  <c r="AD770" i="1"/>
  <c r="AD771" i="1"/>
  <c r="AD772" i="1"/>
  <c r="AD773" i="1"/>
  <c r="AD774" i="1"/>
  <c r="AD775" i="1"/>
  <c r="AD776" i="1"/>
  <c r="AD777" i="1"/>
  <c r="AD778" i="1"/>
  <c r="AD779" i="1"/>
  <c r="AD780" i="1"/>
  <c r="AD781" i="1"/>
  <c r="AD782" i="1"/>
  <c r="AD783" i="1"/>
  <c r="AD784" i="1"/>
  <c r="AD785" i="1"/>
  <c r="AD786" i="1"/>
  <c r="AD787" i="1"/>
  <c r="AD788" i="1"/>
  <c r="AD789" i="1"/>
  <c r="AD790" i="1"/>
  <c r="AD791" i="1"/>
  <c r="AD792" i="1"/>
  <c r="AD793" i="1"/>
  <c r="AD794" i="1"/>
  <c r="AD795" i="1"/>
  <c r="AD796" i="1"/>
  <c r="AD797" i="1"/>
  <c r="AD798" i="1"/>
  <c r="AD799" i="1"/>
  <c r="AD800" i="1"/>
  <c r="AD801" i="1"/>
  <c r="AD802" i="1"/>
  <c r="AD803" i="1"/>
  <c r="AD804" i="1"/>
  <c r="AD805" i="1"/>
  <c r="AD806" i="1"/>
  <c r="AD807" i="1"/>
  <c r="AD808" i="1"/>
  <c r="AD809" i="1"/>
  <c r="AD810" i="1"/>
  <c r="AD811" i="1"/>
  <c r="AD812" i="1"/>
  <c r="AD813" i="1"/>
  <c r="AD814" i="1"/>
  <c r="AD815" i="1"/>
  <c r="AD816" i="1"/>
  <c r="AD817" i="1"/>
  <c r="AD818" i="1"/>
  <c r="AD819" i="1"/>
  <c r="AD820" i="1"/>
  <c r="AD821" i="1"/>
  <c r="AD822" i="1"/>
  <c r="AD823" i="1"/>
  <c r="AD824" i="1"/>
  <c r="AD825" i="1"/>
  <c r="AD826" i="1"/>
  <c r="AD827" i="1"/>
  <c r="AD828" i="1"/>
  <c r="AD829" i="1"/>
  <c r="AD830" i="1"/>
  <c r="AD831" i="1"/>
  <c r="AD832" i="1"/>
  <c r="AD833" i="1"/>
  <c r="AD834" i="1"/>
  <c r="AD835" i="1"/>
  <c r="AD836" i="1"/>
  <c r="AD837" i="1"/>
  <c r="AD838" i="1"/>
  <c r="AD839" i="1"/>
  <c r="AD840" i="1"/>
  <c r="AD841" i="1"/>
  <c r="AD842" i="1"/>
  <c r="AD843" i="1"/>
  <c r="AD844" i="1"/>
  <c r="AD845" i="1"/>
  <c r="AD846" i="1"/>
  <c r="AD847" i="1"/>
  <c r="AD848" i="1"/>
  <c r="AD849" i="1"/>
  <c r="AD850" i="1"/>
  <c r="AD851" i="1"/>
  <c r="AD852" i="1"/>
  <c r="AD853" i="1"/>
  <c r="AD854" i="1"/>
  <c r="AD855" i="1"/>
  <c r="AD856" i="1"/>
  <c r="AD857" i="1"/>
  <c r="AD858" i="1"/>
  <c r="AD859" i="1"/>
  <c r="AD860" i="1"/>
  <c r="AD861" i="1"/>
  <c r="AD862" i="1"/>
  <c r="AD863" i="1"/>
  <c r="AD864" i="1"/>
  <c r="AD865" i="1"/>
  <c r="AD866" i="1"/>
  <c r="AD867" i="1"/>
  <c r="AD868" i="1"/>
  <c r="AD869" i="1"/>
  <c r="AD870" i="1"/>
  <c r="AD871" i="1"/>
  <c r="AD872" i="1"/>
  <c r="AD873" i="1"/>
  <c r="AD874" i="1"/>
  <c r="AD875" i="1"/>
  <c r="AD876" i="1"/>
  <c r="AD877" i="1"/>
  <c r="AD878" i="1"/>
  <c r="AD879" i="1"/>
  <c r="AD880" i="1"/>
  <c r="AD881" i="1"/>
  <c r="AD882" i="1"/>
  <c r="AD883" i="1"/>
  <c r="AD884" i="1"/>
  <c r="AD885" i="1"/>
  <c r="AD886" i="1"/>
  <c r="AD887" i="1"/>
  <c r="AD888" i="1"/>
  <c r="AD889" i="1"/>
  <c r="AD890" i="1"/>
  <c r="AD891" i="1"/>
  <c r="AD892" i="1"/>
  <c r="AD893" i="1"/>
  <c r="AD894" i="1"/>
  <c r="AD895" i="1"/>
  <c r="AD896" i="1"/>
  <c r="AD897" i="1"/>
  <c r="AD898" i="1"/>
  <c r="AD899" i="1"/>
  <c r="AD900" i="1"/>
  <c r="AD901" i="1"/>
  <c r="AD902" i="1"/>
  <c r="AD903" i="1"/>
  <c r="AD904" i="1"/>
  <c r="AD905" i="1"/>
  <c r="AD906" i="1"/>
  <c r="AD907" i="1"/>
  <c r="AD908" i="1"/>
  <c r="AD909" i="1"/>
  <c r="AD910" i="1"/>
  <c r="AD911" i="1"/>
  <c r="AD912" i="1"/>
  <c r="AD913" i="1"/>
  <c r="AD914" i="1"/>
  <c r="AD915" i="1"/>
  <c r="AD916" i="1"/>
  <c r="AD917" i="1"/>
  <c r="AD918" i="1"/>
  <c r="AD919" i="1"/>
  <c r="AD920" i="1"/>
  <c r="AD921" i="1"/>
  <c r="AD922" i="1"/>
  <c r="AD923" i="1"/>
  <c r="AD924" i="1"/>
  <c r="AD925" i="1"/>
  <c r="AD926" i="1"/>
  <c r="AD927" i="1"/>
  <c r="AD928" i="1"/>
  <c r="AD929" i="1"/>
  <c r="AD930" i="1"/>
  <c r="AD931" i="1"/>
  <c r="AD932" i="1"/>
  <c r="AD933" i="1"/>
  <c r="AD934" i="1"/>
  <c r="AD935" i="1"/>
  <c r="AD936" i="1"/>
  <c r="AD937" i="1"/>
  <c r="AD938" i="1"/>
  <c r="AD939" i="1"/>
  <c r="AD940" i="1"/>
  <c r="AD941" i="1"/>
  <c r="AD942" i="1"/>
  <c r="AD943" i="1"/>
  <c r="AD944" i="1"/>
  <c r="AD945" i="1"/>
  <c r="AD946" i="1"/>
  <c r="AD947" i="1"/>
  <c r="AD948" i="1"/>
  <c r="AD949" i="1"/>
  <c r="AD950" i="1"/>
  <c r="AD951" i="1"/>
  <c r="AD952" i="1"/>
  <c r="AD953" i="1"/>
  <c r="AD954" i="1"/>
  <c r="AD955" i="1"/>
  <c r="AD956" i="1"/>
  <c r="AD957" i="1"/>
  <c r="AD958" i="1"/>
  <c r="AD959" i="1"/>
  <c r="AD960" i="1"/>
  <c r="AD961" i="1"/>
  <c r="AD962" i="1"/>
  <c r="AD963" i="1"/>
  <c r="AD964" i="1"/>
  <c r="AD965" i="1"/>
  <c r="AD966" i="1"/>
  <c r="AD967" i="1"/>
  <c r="AD968" i="1"/>
  <c r="AD969" i="1"/>
  <c r="AD970" i="1"/>
  <c r="AD971" i="1"/>
  <c r="AD972" i="1"/>
  <c r="AD973" i="1"/>
  <c r="AD974" i="1"/>
  <c r="AD975" i="1"/>
  <c r="AD976" i="1"/>
  <c r="AD977" i="1"/>
  <c r="AD978" i="1"/>
  <c r="AD979" i="1"/>
  <c r="AD980" i="1"/>
  <c r="AD981" i="1"/>
  <c r="AD982" i="1"/>
  <c r="AD983" i="1"/>
  <c r="AD984" i="1"/>
  <c r="AD985" i="1"/>
  <c r="AD986" i="1"/>
  <c r="AD987" i="1"/>
  <c r="AD988" i="1"/>
  <c r="AD989" i="1"/>
  <c r="AD990" i="1"/>
  <c r="AD991" i="1"/>
  <c r="AD992" i="1"/>
  <c r="AD993" i="1"/>
  <c r="AD994" i="1"/>
  <c r="AD995" i="1"/>
  <c r="AD996" i="1"/>
  <c r="AD997" i="1"/>
  <c r="AD998" i="1"/>
  <c r="AD999" i="1"/>
  <c r="AD1000"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260" i="1"/>
  <c r="AC261" i="1"/>
  <c r="AC262" i="1"/>
  <c r="AC263" i="1"/>
  <c r="AC264" i="1"/>
  <c r="AC265" i="1"/>
  <c r="AC266" i="1"/>
  <c r="AC267" i="1"/>
  <c r="AC268" i="1"/>
  <c r="AC269" i="1"/>
  <c r="AC270" i="1"/>
  <c r="AC271" i="1"/>
  <c r="AC272" i="1"/>
  <c r="AC273" i="1"/>
  <c r="AC274" i="1"/>
  <c r="AC275" i="1"/>
  <c r="AC276" i="1"/>
  <c r="AC277" i="1"/>
  <c r="AC278" i="1"/>
  <c r="AC279" i="1"/>
  <c r="AC280" i="1"/>
  <c r="AC281" i="1"/>
  <c r="AC282" i="1"/>
  <c r="AC283" i="1"/>
  <c r="AC284" i="1"/>
  <c r="AC285" i="1"/>
  <c r="AC286" i="1"/>
  <c r="AC287" i="1"/>
  <c r="AC288" i="1"/>
  <c r="AC289" i="1"/>
  <c r="AC290" i="1"/>
  <c r="AC291" i="1"/>
  <c r="AC292" i="1"/>
  <c r="AC293" i="1"/>
  <c r="AC294" i="1"/>
  <c r="AC295" i="1"/>
  <c r="AC296" i="1"/>
  <c r="AC297" i="1"/>
  <c r="AC298" i="1"/>
  <c r="AC299" i="1"/>
  <c r="AC300" i="1"/>
  <c r="AC301" i="1"/>
  <c r="AC302" i="1"/>
  <c r="AC303" i="1"/>
  <c r="AC304" i="1"/>
  <c r="AC305" i="1"/>
  <c r="AC306" i="1"/>
  <c r="AC307" i="1"/>
  <c r="AC308" i="1"/>
  <c r="AC309" i="1"/>
  <c r="AC310" i="1"/>
  <c r="AC311" i="1"/>
  <c r="AC312" i="1"/>
  <c r="AC313" i="1"/>
  <c r="AC314" i="1"/>
  <c r="AC315" i="1"/>
  <c r="AC316" i="1"/>
  <c r="AC317" i="1"/>
  <c r="AC318" i="1"/>
  <c r="AC319" i="1"/>
  <c r="AC320" i="1"/>
  <c r="AC321" i="1"/>
  <c r="AC322" i="1"/>
  <c r="AC323" i="1"/>
  <c r="AC324" i="1"/>
  <c r="AC325" i="1"/>
  <c r="AC326" i="1"/>
  <c r="AC327" i="1"/>
  <c r="AC328" i="1"/>
  <c r="AC329" i="1"/>
  <c r="AC330" i="1"/>
  <c r="AC331" i="1"/>
  <c r="AC332" i="1"/>
  <c r="AC333" i="1"/>
  <c r="AC334" i="1"/>
  <c r="AC335" i="1"/>
  <c r="AC336" i="1"/>
  <c r="AC337" i="1"/>
  <c r="AC338" i="1"/>
  <c r="AC339" i="1"/>
  <c r="AC340" i="1"/>
  <c r="AC341" i="1"/>
  <c r="AC342" i="1"/>
  <c r="AC343" i="1"/>
  <c r="AC344" i="1"/>
  <c r="AC345" i="1"/>
  <c r="AC346" i="1"/>
  <c r="AC347" i="1"/>
  <c r="AC348" i="1"/>
  <c r="AC349" i="1"/>
  <c r="AC350" i="1"/>
  <c r="AC351" i="1"/>
  <c r="AC352" i="1"/>
  <c r="AC353" i="1"/>
  <c r="AC354" i="1"/>
  <c r="AC355" i="1"/>
  <c r="AC356" i="1"/>
  <c r="AC357" i="1"/>
  <c r="AC358" i="1"/>
  <c r="AC359" i="1"/>
  <c r="AC360" i="1"/>
  <c r="AC361" i="1"/>
  <c r="AC362" i="1"/>
  <c r="AC363" i="1"/>
  <c r="AC364" i="1"/>
  <c r="AC365" i="1"/>
  <c r="AC366" i="1"/>
  <c r="AC367" i="1"/>
  <c r="AC368" i="1"/>
  <c r="AC369" i="1"/>
  <c r="AC370" i="1"/>
  <c r="AC371" i="1"/>
  <c r="AC372" i="1"/>
  <c r="AC373" i="1"/>
  <c r="AC374" i="1"/>
  <c r="AC375" i="1"/>
  <c r="AC376" i="1"/>
  <c r="AC377" i="1"/>
  <c r="AC378" i="1"/>
  <c r="AC379" i="1"/>
  <c r="AC380" i="1"/>
  <c r="AC381" i="1"/>
  <c r="AC382" i="1"/>
  <c r="AC383" i="1"/>
  <c r="AC384" i="1"/>
  <c r="AC385" i="1"/>
  <c r="AC386" i="1"/>
  <c r="AC387" i="1"/>
  <c r="AC388" i="1"/>
  <c r="AC389" i="1"/>
  <c r="AC390" i="1"/>
  <c r="AC391" i="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AC456" i="1"/>
  <c r="AC457" i="1"/>
  <c r="AC458" i="1"/>
  <c r="AC459" i="1"/>
  <c r="AC460" i="1"/>
  <c r="AC461" i="1"/>
  <c r="AC462" i="1"/>
  <c r="AC463" i="1"/>
  <c r="AC464" i="1"/>
  <c r="AC465" i="1"/>
  <c r="AC466" i="1"/>
  <c r="AC467" i="1"/>
  <c r="AC468" i="1"/>
  <c r="AC469" i="1"/>
  <c r="AC470" i="1"/>
  <c r="AC471" i="1"/>
  <c r="AC472" i="1"/>
  <c r="AC473" i="1"/>
  <c r="AC474" i="1"/>
  <c r="AC475" i="1"/>
  <c r="AC476" i="1"/>
  <c r="AC477" i="1"/>
  <c r="AC478" i="1"/>
  <c r="AC479" i="1"/>
  <c r="AC480" i="1"/>
  <c r="AC481" i="1"/>
  <c r="AC482" i="1"/>
  <c r="AC483" i="1"/>
  <c r="AC484" i="1"/>
  <c r="AC485" i="1"/>
  <c r="AC486" i="1"/>
  <c r="AC487" i="1"/>
  <c r="AC488" i="1"/>
  <c r="AC489" i="1"/>
  <c r="AC490" i="1"/>
  <c r="AC491" i="1"/>
  <c r="AC492" i="1"/>
  <c r="AC493" i="1"/>
  <c r="AC494" i="1"/>
  <c r="AC495" i="1"/>
  <c r="AC496" i="1"/>
  <c r="AC497" i="1"/>
  <c r="AC498" i="1"/>
  <c r="AC499" i="1"/>
  <c r="AC500" i="1"/>
  <c r="AC501" i="1"/>
  <c r="AC502" i="1"/>
  <c r="AC503" i="1"/>
  <c r="AC504" i="1"/>
  <c r="AC505" i="1"/>
  <c r="AC506" i="1"/>
  <c r="AC507" i="1"/>
  <c r="AC508" i="1"/>
  <c r="AC509" i="1"/>
  <c r="AC510" i="1"/>
  <c r="AC511" i="1"/>
  <c r="AC512" i="1"/>
  <c r="AC513" i="1"/>
  <c r="AC514" i="1"/>
  <c r="AC515" i="1"/>
  <c r="AC516" i="1"/>
  <c r="AC517" i="1"/>
  <c r="AC518" i="1"/>
  <c r="AC519" i="1"/>
  <c r="AC520" i="1"/>
  <c r="AC521" i="1"/>
  <c r="AC522" i="1"/>
  <c r="AC523" i="1"/>
  <c r="AC524" i="1"/>
  <c r="AC525" i="1"/>
  <c r="AC526" i="1"/>
  <c r="AC527" i="1"/>
  <c r="AC528" i="1"/>
  <c r="AC529" i="1"/>
  <c r="AC530" i="1"/>
  <c r="AC531" i="1"/>
  <c r="AC532" i="1"/>
  <c r="AC533" i="1"/>
  <c r="AC534" i="1"/>
  <c r="AC535" i="1"/>
  <c r="AC536" i="1"/>
  <c r="AC537" i="1"/>
  <c r="AC538" i="1"/>
  <c r="AC539" i="1"/>
  <c r="AC540" i="1"/>
  <c r="AC541" i="1"/>
  <c r="AC542" i="1"/>
  <c r="AC543" i="1"/>
  <c r="AC544" i="1"/>
  <c r="AC545" i="1"/>
  <c r="AC546" i="1"/>
  <c r="AC547" i="1"/>
  <c r="AC548" i="1"/>
  <c r="AC549" i="1"/>
  <c r="AC550" i="1"/>
  <c r="AC551" i="1"/>
  <c r="AC552" i="1"/>
  <c r="AC553" i="1"/>
  <c r="AC554" i="1"/>
  <c r="AC555" i="1"/>
  <c r="AC556" i="1"/>
  <c r="AC557" i="1"/>
  <c r="AC558" i="1"/>
  <c r="AC559" i="1"/>
  <c r="AC560" i="1"/>
  <c r="AC561" i="1"/>
  <c r="AC562" i="1"/>
  <c r="AC563" i="1"/>
  <c r="AC564" i="1"/>
  <c r="AC565" i="1"/>
  <c r="AC566" i="1"/>
  <c r="AC567" i="1"/>
  <c r="AC568" i="1"/>
  <c r="AC569" i="1"/>
  <c r="AC570" i="1"/>
  <c r="AC571" i="1"/>
  <c r="AC572" i="1"/>
  <c r="AC573" i="1"/>
  <c r="AC574" i="1"/>
  <c r="AC575" i="1"/>
  <c r="AC576" i="1"/>
  <c r="AC577" i="1"/>
  <c r="AC578" i="1"/>
  <c r="AC579" i="1"/>
  <c r="AC580" i="1"/>
  <c r="AC581" i="1"/>
  <c r="AC582" i="1"/>
  <c r="AC583" i="1"/>
  <c r="AC584" i="1"/>
  <c r="AC585" i="1"/>
  <c r="AC586" i="1"/>
  <c r="AC587" i="1"/>
  <c r="AC588" i="1"/>
  <c r="AC589" i="1"/>
  <c r="AC590" i="1"/>
  <c r="AC591" i="1"/>
  <c r="AC592" i="1"/>
  <c r="AC593" i="1"/>
  <c r="AC594" i="1"/>
  <c r="AC595" i="1"/>
  <c r="AC596" i="1"/>
  <c r="AC597" i="1"/>
  <c r="AC598" i="1"/>
  <c r="AC599" i="1"/>
  <c r="AC600" i="1"/>
  <c r="AC601" i="1"/>
  <c r="AC602" i="1"/>
  <c r="AC603" i="1"/>
  <c r="AC604" i="1"/>
  <c r="AC605" i="1"/>
  <c r="AC606" i="1"/>
  <c r="AC607" i="1"/>
  <c r="AC608" i="1"/>
  <c r="AC609" i="1"/>
  <c r="AC610" i="1"/>
  <c r="AC611" i="1"/>
  <c r="AC612" i="1"/>
  <c r="AC613" i="1"/>
  <c r="AC614" i="1"/>
  <c r="AC615" i="1"/>
  <c r="AC616" i="1"/>
  <c r="AC617" i="1"/>
  <c r="AC618" i="1"/>
  <c r="AC619" i="1"/>
  <c r="AC620" i="1"/>
  <c r="AC621" i="1"/>
  <c r="AC622" i="1"/>
  <c r="AC623" i="1"/>
  <c r="AC624" i="1"/>
  <c r="AC625" i="1"/>
  <c r="AC626" i="1"/>
  <c r="AC627" i="1"/>
  <c r="AC628" i="1"/>
  <c r="AC629" i="1"/>
  <c r="AC630" i="1"/>
  <c r="AC631" i="1"/>
  <c r="AC632" i="1"/>
  <c r="AC633" i="1"/>
  <c r="AC634" i="1"/>
  <c r="AC635" i="1"/>
  <c r="AC636" i="1"/>
  <c r="AC637" i="1"/>
  <c r="AC638" i="1"/>
  <c r="AC639" i="1"/>
  <c r="AC640" i="1"/>
  <c r="AC641" i="1"/>
  <c r="AC642" i="1"/>
  <c r="AC643" i="1"/>
  <c r="AC644" i="1"/>
  <c r="AC645" i="1"/>
  <c r="AC646" i="1"/>
  <c r="AC647" i="1"/>
  <c r="AC648" i="1"/>
  <c r="AC649" i="1"/>
  <c r="AC650" i="1"/>
  <c r="AC651" i="1"/>
  <c r="AC652" i="1"/>
  <c r="AC653" i="1"/>
  <c r="AC654" i="1"/>
  <c r="AC655" i="1"/>
  <c r="AC656" i="1"/>
  <c r="AC657" i="1"/>
  <c r="AC658" i="1"/>
  <c r="AC659" i="1"/>
  <c r="AC660" i="1"/>
  <c r="AC661" i="1"/>
  <c r="AC662" i="1"/>
  <c r="AC663" i="1"/>
  <c r="AC664" i="1"/>
  <c r="AC665" i="1"/>
  <c r="AC666" i="1"/>
  <c r="AC667" i="1"/>
  <c r="AC668" i="1"/>
  <c r="AC669" i="1"/>
  <c r="AC670" i="1"/>
  <c r="AC671" i="1"/>
  <c r="AC672" i="1"/>
  <c r="AC673" i="1"/>
  <c r="AC674" i="1"/>
  <c r="AC675" i="1"/>
  <c r="AC676" i="1"/>
  <c r="AC677" i="1"/>
  <c r="AC678" i="1"/>
  <c r="AC679" i="1"/>
  <c r="AC680" i="1"/>
  <c r="AC681" i="1"/>
  <c r="AC682" i="1"/>
  <c r="AC683" i="1"/>
  <c r="AC684" i="1"/>
  <c r="AC685" i="1"/>
  <c r="AC686" i="1"/>
  <c r="AC687" i="1"/>
  <c r="AC688" i="1"/>
  <c r="AC689" i="1"/>
  <c r="AC690" i="1"/>
  <c r="AC691" i="1"/>
  <c r="AC692" i="1"/>
  <c r="AC693" i="1"/>
  <c r="AC694" i="1"/>
  <c r="AC695" i="1"/>
  <c r="AC696" i="1"/>
  <c r="AC697" i="1"/>
  <c r="AC698" i="1"/>
  <c r="AC699" i="1"/>
  <c r="AC700" i="1"/>
  <c r="AC701" i="1"/>
  <c r="AC702" i="1"/>
  <c r="AC703" i="1"/>
  <c r="AC704" i="1"/>
  <c r="AC705" i="1"/>
  <c r="AC706" i="1"/>
  <c r="AC707" i="1"/>
  <c r="AC708" i="1"/>
  <c r="AC709" i="1"/>
  <c r="AC710" i="1"/>
  <c r="AC711" i="1"/>
  <c r="AC712" i="1"/>
  <c r="AC713" i="1"/>
  <c r="AC714" i="1"/>
  <c r="AC715" i="1"/>
  <c r="AC716" i="1"/>
  <c r="AC717" i="1"/>
  <c r="AC718" i="1"/>
  <c r="AC719" i="1"/>
  <c r="AC720" i="1"/>
  <c r="AC721" i="1"/>
  <c r="AC722" i="1"/>
  <c r="AC723" i="1"/>
  <c r="AC724" i="1"/>
  <c r="AC725" i="1"/>
  <c r="AC726" i="1"/>
  <c r="AC727" i="1"/>
  <c r="AC728" i="1"/>
  <c r="AC729" i="1"/>
  <c r="AC730" i="1"/>
  <c r="AC731" i="1"/>
  <c r="AC732" i="1"/>
  <c r="AC733" i="1"/>
  <c r="AC734" i="1"/>
  <c r="AC735" i="1"/>
  <c r="AC736" i="1"/>
  <c r="AC737" i="1"/>
  <c r="AC738" i="1"/>
  <c r="AC739" i="1"/>
  <c r="AC740" i="1"/>
  <c r="AC741" i="1"/>
  <c r="AC742" i="1"/>
  <c r="AC743" i="1"/>
  <c r="AC744" i="1"/>
  <c r="AC745" i="1"/>
  <c r="AC746" i="1"/>
  <c r="AC747" i="1"/>
  <c r="AC748" i="1"/>
  <c r="AC749" i="1"/>
  <c r="AC750" i="1"/>
  <c r="AC751" i="1"/>
  <c r="AC752" i="1"/>
  <c r="AC753" i="1"/>
  <c r="AC754" i="1"/>
  <c r="AC755" i="1"/>
  <c r="AC756" i="1"/>
  <c r="AC757" i="1"/>
  <c r="AC758" i="1"/>
  <c r="AC759" i="1"/>
  <c r="AC760" i="1"/>
  <c r="AC761" i="1"/>
  <c r="AC762" i="1"/>
  <c r="AC763" i="1"/>
  <c r="AC764" i="1"/>
  <c r="AC765" i="1"/>
  <c r="AC766" i="1"/>
  <c r="AC767" i="1"/>
  <c r="AC768" i="1"/>
  <c r="AC769" i="1"/>
  <c r="AC770" i="1"/>
  <c r="AC771" i="1"/>
  <c r="AC772" i="1"/>
  <c r="AC773" i="1"/>
  <c r="AC774" i="1"/>
  <c r="AC775" i="1"/>
  <c r="AC776" i="1"/>
  <c r="AC777" i="1"/>
  <c r="AC778" i="1"/>
  <c r="AC779" i="1"/>
  <c r="AC780" i="1"/>
  <c r="AC781" i="1"/>
  <c r="AC782" i="1"/>
  <c r="AC783" i="1"/>
  <c r="AC784" i="1"/>
  <c r="AC785" i="1"/>
  <c r="AC786" i="1"/>
  <c r="AC787" i="1"/>
  <c r="AC788" i="1"/>
  <c r="AC789" i="1"/>
  <c r="AC790" i="1"/>
  <c r="AC791" i="1"/>
  <c r="AC792" i="1"/>
  <c r="AC793" i="1"/>
  <c r="AC794" i="1"/>
  <c r="AC795" i="1"/>
  <c r="AC796" i="1"/>
  <c r="AC797" i="1"/>
  <c r="AC798" i="1"/>
  <c r="AC799" i="1"/>
  <c r="AC800" i="1"/>
  <c r="AC801" i="1"/>
  <c r="AC802" i="1"/>
  <c r="AC803" i="1"/>
  <c r="AC804" i="1"/>
  <c r="AC805" i="1"/>
  <c r="AC806" i="1"/>
  <c r="AC807" i="1"/>
  <c r="AC808" i="1"/>
  <c r="AC809" i="1"/>
  <c r="AC810" i="1"/>
  <c r="AC811" i="1"/>
  <c r="AC812" i="1"/>
  <c r="AC813" i="1"/>
  <c r="AC814" i="1"/>
  <c r="AC815" i="1"/>
  <c r="AC816" i="1"/>
  <c r="AC817" i="1"/>
  <c r="AC818" i="1"/>
  <c r="AC819" i="1"/>
  <c r="AC820" i="1"/>
  <c r="AC821" i="1"/>
  <c r="AC822" i="1"/>
  <c r="AC823" i="1"/>
  <c r="AC824" i="1"/>
  <c r="AC825" i="1"/>
  <c r="AC826" i="1"/>
  <c r="AC827" i="1"/>
  <c r="AC828" i="1"/>
  <c r="AC829" i="1"/>
  <c r="AC830" i="1"/>
  <c r="AC831" i="1"/>
  <c r="AC832" i="1"/>
  <c r="AC833" i="1"/>
  <c r="AC834" i="1"/>
  <c r="AC835" i="1"/>
  <c r="AC836" i="1"/>
  <c r="AC837" i="1"/>
  <c r="AC838" i="1"/>
  <c r="AC839" i="1"/>
  <c r="AC840" i="1"/>
  <c r="AC841" i="1"/>
  <c r="AC842" i="1"/>
  <c r="AC843" i="1"/>
  <c r="AC844" i="1"/>
  <c r="AC845" i="1"/>
  <c r="AC846" i="1"/>
  <c r="AC847" i="1"/>
  <c r="AC848" i="1"/>
  <c r="AC849" i="1"/>
  <c r="AC850" i="1"/>
  <c r="AC851" i="1"/>
  <c r="AC852" i="1"/>
  <c r="AC853" i="1"/>
  <c r="AC854" i="1"/>
  <c r="AC855" i="1"/>
  <c r="AC856" i="1"/>
  <c r="AC857" i="1"/>
  <c r="AC858" i="1"/>
  <c r="AC859" i="1"/>
  <c r="AC860" i="1"/>
  <c r="AC861" i="1"/>
  <c r="AC862" i="1"/>
  <c r="AC863" i="1"/>
  <c r="AC864" i="1"/>
  <c r="AC865" i="1"/>
  <c r="AC866" i="1"/>
  <c r="AC867" i="1"/>
  <c r="AC868" i="1"/>
  <c r="AC869" i="1"/>
  <c r="AC870" i="1"/>
  <c r="AC871" i="1"/>
  <c r="AC872" i="1"/>
  <c r="AC873" i="1"/>
  <c r="AC874" i="1"/>
  <c r="AC875" i="1"/>
  <c r="AC876" i="1"/>
  <c r="AC877" i="1"/>
  <c r="AC878" i="1"/>
  <c r="AC879" i="1"/>
  <c r="AC880" i="1"/>
  <c r="AC881" i="1"/>
  <c r="AC882" i="1"/>
  <c r="AC883" i="1"/>
  <c r="AC884" i="1"/>
  <c r="AC885" i="1"/>
  <c r="AC886" i="1"/>
  <c r="AC887" i="1"/>
  <c r="AC888" i="1"/>
  <c r="AC889" i="1"/>
  <c r="AC890" i="1"/>
  <c r="AC891" i="1"/>
  <c r="AC892" i="1"/>
  <c r="AC893" i="1"/>
  <c r="AC894" i="1"/>
  <c r="AC895" i="1"/>
  <c r="AC896" i="1"/>
  <c r="AC897" i="1"/>
  <c r="AC898" i="1"/>
  <c r="AC899" i="1"/>
  <c r="AC900" i="1"/>
  <c r="AC901" i="1"/>
  <c r="AC902" i="1"/>
  <c r="AC903" i="1"/>
  <c r="AC904" i="1"/>
  <c r="AC905" i="1"/>
  <c r="AC906" i="1"/>
  <c r="AC907" i="1"/>
  <c r="AC908" i="1"/>
  <c r="AC909" i="1"/>
  <c r="AC910" i="1"/>
  <c r="AC911" i="1"/>
  <c r="AC912" i="1"/>
  <c r="AC913" i="1"/>
  <c r="AC914" i="1"/>
  <c r="AC915" i="1"/>
  <c r="AC916" i="1"/>
  <c r="AC917" i="1"/>
  <c r="AC918" i="1"/>
  <c r="AC919" i="1"/>
  <c r="AC920" i="1"/>
  <c r="AC921" i="1"/>
  <c r="AC922" i="1"/>
  <c r="AC923" i="1"/>
  <c r="AC924" i="1"/>
  <c r="AC925" i="1"/>
  <c r="AC926" i="1"/>
  <c r="AC927" i="1"/>
  <c r="AC928" i="1"/>
  <c r="AC929" i="1"/>
  <c r="AC930" i="1"/>
  <c r="AC931" i="1"/>
  <c r="AC932" i="1"/>
  <c r="AC933" i="1"/>
  <c r="AC934" i="1"/>
  <c r="AC935" i="1"/>
  <c r="AC936" i="1"/>
  <c r="AC937" i="1"/>
  <c r="AC938" i="1"/>
  <c r="AC939" i="1"/>
  <c r="AC940" i="1"/>
  <c r="AC941" i="1"/>
  <c r="AC942" i="1"/>
  <c r="AC943" i="1"/>
  <c r="AC944" i="1"/>
  <c r="AC945" i="1"/>
  <c r="AC946" i="1"/>
  <c r="AC947" i="1"/>
  <c r="AC948" i="1"/>
  <c r="AC949" i="1"/>
  <c r="AC950" i="1"/>
  <c r="AC951" i="1"/>
  <c r="AC952" i="1"/>
  <c r="AC953" i="1"/>
  <c r="AC954" i="1"/>
  <c r="AC955" i="1"/>
  <c r="AC956" i="1"/>
  <c r="AC957" i="1"/>
  <c r="AC958" i="1"/>
  <c r="AC959" i="1"/>
  <c r="AC960" i="1"/>
  <c r="AC961" i="1"/>
  <c r="AC962" i="1"/>
  <c r="AC963" i="1"/>
  <c r="AC964" i="1"/>
  <c r="AC965" i="1"/>
  <c r="AC966" i="1"/>
  <c r="AC967" i="1"/>
  <c r="AC968" i="1"/>
  <c r="AC969" i="1"/>
  <c r="AC970" i="1"/>
  <c r="AC971" i="1"/>
  <c r="AC972" i="1"/>
  <c r="AC973" i="1"/>
  <c r="AC974" i="1"/>
  <c r="AC975" i="1"/>
  <c r="AC976" i="1"/>
  <c r="AC977" i="1"/>
  <c r="AC978" i="1"/>
  <c r="AC979" i="1"/>
  <c r="AC980" i="1"/>
  <c r="AC981" i="1"/>
  <c r="AC982" i="1"/>
  <c r="AC983" i="1"/>
  <c r="AC984" i="1"/>
  <c r="AC985" i="1"/>
  <c r="AC986" i="1"/>
  <c r="AC987" i="1"/>
  <c r="AC988" i="1"/>
  <c r="AC989" i="1"/>
  <c r="AC990" i="1"/>
  <c r="AC991" i="1"/>
  <c r="AC992" i="1"/>
  <c r="AC993" i="1"/>
  <c r="AC994" i="1"/>
  <c r="AC995" i="1"/>
  <c r="AC996" i="1"/>
  <c r="AC997" i="1"/>
  <c r="AC998" i="1"/>
  <c r="AC999" i="1"/>
  <c r="AC1000" i="1"/>
  <c r="AB3"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AB786" i="1"/>
  <c r="AB787" i="1"/>
  <c r="AB788" i="1"/>
  <c r="AB789" i="1"/>
  <c r="AB790" i="1"/>
  <c r="AB791" i="1"/>
  <c r="AB792" i="1"/>
  <c r="AB793" i="1"/>
  <c r="AB794" i="1"/>
  <c r="AB795" i="1"/>
  <c r="AB796" i="1"/>
  <c r="AB797" i="1"/>
  <c r="AB798" i="1"/>
  <c r="AB799" i="1"/>
  <c r="AB800" i="1"/>
  <c r="AB801" i="1"/>
  <c r="AB802" i="1"/>
  <c r="AB803" i="1"/>
  <c r="AB804" i="1"/>
  <c r="AB805" i="1"/>
  <c r="AB806" i="1"/>
  <c r="AB807" i="1"/>
  <c r="AB808" i="1"/>
  <c r="AB809" i="1"/>
  <c r="AB810" i="1"/>
  <c r="AB811" i="1"/>
  <c r="AB812" i="1"/>
  <c r="AB813" i="1"/>
  <c r="AB814" i="1"/>
  <c r="AB815" i="1"/>
  <c r="AB816" i="1"/>
  <c r="AB817" i="1"/>
  <c r="AB818" i="1"/>
  <c r="AB819" i="1"/>
  <c r="AB820" i="1"/>
  <c r="AB821" i="1"/>
  <c r="AB822" i="1"/>
  <c r="AB82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918" i="1"/>
  <c r="AB919" i="1"/>
  <c r="AB920" i="1"/>
  <c r="AB921" i="1"/>
  <c r="AB922" i="1"/>
  <c r="AB923" i="1"/>
  <c r="AB924" i="1"/>
  <c r="AB925" i="1"/>
  <c r="AB926" i="1"/>
  <c r="AB927" i="1"/>
  <c r="AB928" i="1"/>
  <c r="AB929" i="1"/>
  <c r="AB930" i="1"/>
  <c r="AB931" i="1"/>
  <c r="AB932" i="1"/>
  <c r="AB933" i="1"/>
  <c r="AB934" i="1"/>
  <c r="AB935" i="1"/>
  <c r="AB936" i="1"/>
  <c r="AB937" i="1"/>
  <c r="AB938" i="1"/>
  <c r="AB939" i="1"/>
  <c r="AB940" i="1"/>
  <c r="AB941" i="1"/>
  <c r="AB942" i="1"/>
  <c r="AB943" i="1"/>
  <c r="AB944" i="1"/>
  <c r="AB945" i="1"/>
  <c r="AB946" i="1"/>
  <c r="AB947" i="1"/>
  <c r="AB948" i="1"/>
  <c r="AB949" i="1"/>
  <c r="AB950" i="1"/>
  <c r="AB951" i="1"/>
  <c r="AB952" i="1"/>
  <c r="AB953" i="1"/>
  <c r="AB954" i="1"/>
  <c r="AB955" i="1"/>
  <c r="AB956" i="1"/>
  <c r="AB957" i="1"/>
  <c r="AB958" i="1"/>
  <c r="AB959" i="1"/>
  <c r="AB960" i="1"/>
  <c r="AB961" i="1"/>
  <c r="AB962" i="1"/>
  <c r="AB963" i="1"/>
  <c r="AB964" i="1"/>
  <c r="AB965" i="1"/>
  <c r="AB966" i="1"/>
  <c r="AB967" i="1"/>
  <c r="AB968" i="1"/>
  <c r="AB969" i="1"/>
  <c r="AB970" i="1"/>
  <c r="AB971" i="1"/>
  <c r="AB972" i="1"/>
  <c r="AB973" i="1"/>
  <c r="AB974" i="1"/>
  <c r="AB975" i="1"/>
  <c r="AB976" i="1"/>
  <c r="AB977" i="1"/>
  <c r="AB978" i="1"/>
  <c r="AB979" i="1"/>
  <c r="AB980" i="1"/>
  <c r="AB981" i="1"/>
  <c r="AB982" i="1"/>
  <c r="AB983" i="1"/>
  <c r="AB984" i="1"/>
  <c r="AB985" i="1"/>
  <c r="AB986" i="1"/>
  <c r="AB987" i="1"/>
  <c r="AB988" i="1"/>
  <c r="AB989" i="1"/>
  <c r="AB990" i="1"/>
  <c r="AB991" i="1"/>
  <c r="AB992" i="1"/>
  <c r="AB993" i="1"/>
  <c r="AB994" i="1"/>
  <c r="AB995" i="1"/>
  <c r="AB996" i="1"/>
  <c r="AB997" i="1"/>
  <c r="AB998" i="1"/>
  <c r="AB999" i="1"/>
  <c r="AB1000" i="1"/>
  <c r="A165" i="1"/>
  <c r="B165" i="1" l="1"/>
  <c r="W165" i="1"/>
  <c r="Z165" i="1" s="1"/>
  <c r="BB20" i="10"/>
  <c r="BC20" i="10"/>
  <c r="BD20" i="10"/>
  <c r="BE20" i="10"/>
  <c r="BF20" i="10"/>
  <c r="BG20" i="10"/>
  <c r="BH20" i="10"/>
  <c r="BI20" i="10"/>
  <c r="BJ20" i="10"/>
  <c r="BK20" i="10"/>
  <c r="BL20" i="10"/>
  <c r="BM20" i="10"/>
  <c r="BN20" i="10"/>
  <c r="BO20" i="10"/>
  <c r="BP20" i="10"/>
  <c r="BQ20" i="10"/>
  <c r="BB21" i="10"/>
  <c r="BC21" i="10"/>
  <c r="BD21" i="10"/>
  <c r="BE21" i="10"/>
  <c r="BF21" i="10"/>
  <c r="BG21" i="10"/>
  <c r="BH21" i="10"/>
  <c r="BI21" i="10"/>
  <c r="BJ21" i="10"/>
  <c r="BK21" i="10"/>
  <c r="BL21" i="10"/>
  <c r="BM21" i="10"/>
  <c r="BN21" i="10"/>
  <c r="BO21" i="10"/>
  <c r="BP21" i="10"/>
  <c r="BQ21" i="10"/>
  <c r="U16" i="1" l="1"/>
  <c r="A6" i="26" l="1"/>
  <c r="A4" i="26"/>
  <c r="A2" i="26"/>
  <c r="T11" i="1" l="1"/>
  <c r="T58" i="1"/>
  <c r="T126" i="1"/>
  <c r="T127" i="1"/>
  <c r="T128" i="1"/>
  <c r="T131" i="1"/>
  <c r="T136" i="1"/>
  <c r="T137" i="1"/>
  <c r="T138" i="1"/>
  <c r="T139" i="1"/>
  <c r="T140" i="1"/>
  <c r="T141" i="1"/>
  <c r="T144" i="1"/>
  <c r="T145" i="1"/>
  <c r="T146" i="1"/>
  <c r="T147" i="1"/>
  <c r="T148" i="1"/>
  <c r="T149" i="1"/>
  <c r="T163"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BA21" i="10" l="1"/>
  <c r="AZ21" i="10"/>
  <c r="AY21" i="10"/>
  <c r="AX21" i="10"/>
  <c r="AW21" i="10"/>
  <c r="AV21" i="10"/>
  <c r="AU21" i="10"/>
  <c r="AT21" i="10"/>
  <c r="AS21" i="10"/>
  <c r="AR21" i="10"/>
  <c r="AQ21" i="10"/>
  <c r="BA20" i="10"/>
  <c r="AZ20" i="10"/>
  <c r="AY20" i="10"/>
  <c r="AX20" i="10"/>
  <c r="AW20" i="10"/>
  <c r="AV20" i="10"/>
  <c r="AU20" i="10"/>
  <c r="AT20" i="10"/>
  <c r="AS20" i="10"/>
  <c r="AR20" i="10"/>
  <c r="AQ20" i="10"/>
  <c r="K7" i="10"/>
  <c r="Y6" i="10"/>
  <c r="K6" i="10"/>
  <c r="T3" i="1" l="1"/>
  <c r="T4" i="1"/>
  <c r="T5" i="1"/>
  <c r="T6" i="1"/>
  <c r="T7" i="1"/>
  <c r="T8" i="1"/>
  <c r="T9" i="1"/>
  <c r="T10"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9" i="1"/>
  <c r="T130" i="1"/>
  <c r="T132" i="1"/>
  <c r="T133" i="1"/>
  <c r="T134" i="1"/>
  <c r="T135" i="1"/>
  <c r="T142" i="1"/>
  <c r="T143" i="1"/>
  <c r="T150" i="1"/>
  <c r="T151" i="1"/>
  <c r="T152" i="1"/>
  <c r="T153" i="1"/>
  <c r="T154" i="1"/>
  <c r="T155" i="1"/>
  <c r="T156" i="1"/>
  <c r="T157" i="1"/>
  <c r="T158" i="1"/>
  <c r="T159" i="1"/>
  <c r="T160" i="1"/>
  <c r="T161" i="1"/>
  <c r="T162" i="1"/>
  <c r="T164" i="1"/>
  <c r="U11" i="1" l="1"/>
  <c r="U30" i="1"/>
  <c r="U44" i="1"/>
  <c r="U58" i="1"/>
  <c r="U61" i="1"/>
  <c r="U67" i="1"/>
  <c r="U100" i="1"/>
  <c r="U126" i="1"/>
  <c r="U127" i="1"/>
  <c r="U128" i="1"/>
  <c r="U131" i="1"/>
  <c r="U136" i="1"/>
  <c r="U137" i="1"/>
  <c r="U138" i="1"/>
  <c r="U139" i="1"/>
  <c r="U140" i="1"/>
  <c r="U141" i="1"/>
  <c r="U144" i="1"/>
  <c r="U145" i="1"/>
  <c r="U146" i="1"/>
  <c r="U147" i="1"/>
  <c r="U148" i="1"/>
  <c r="U149" i="1"/>
  <c r="U163"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AR17" i="10" l="1"/>
  <c r="AR12" i="10"/>
  <c r="Y4" i="10"/>
  <c r="A1000" i="1"/>
  <c r="W1000" i="1" s="1"/>
  <c r="Z1000" i="1" s="1"/>
  <c r="A999" i="1"/>
  <c r="W999" i="1" s="1"/>
  <c r="Z999" i="1" s="1"/>
  <c r="A998" i="1"/>
  <c r="W998" i="1" s="1"/>
  <c r="Z998" i="1" s="1"/>
  <c r="A997" i="1"/>
  <c r="W997" i="1" s="1"/>
  <c r="Z997" i="1" s="1"/>
  <c r="A996" i="1"/>
  <c r="W996" i="1" s="1"/>
  <c r="Z996" i="1" s="1"/>
  <c r="A995" i="1"/>
  <c r="W995" i="1" s="1"/>
  <c r="Z995" i="1" s="1"/>
  <c r="A994" i="1"/>
  <c r="W994" i="1" s="1"/>
  <c r="Z994" i="1" s="1"/>
  <c r="A993" i="1"/>
  <c r="W993" i="1" s="1"/>
  <c r="Z993" i="1" s="1"/>
  <c r="A992" i="1"/>
  <c r="W992" i="1" s="1"/>
  <c r="Z992" i="1" s="1"/>
  <c r="A991" i="1"/>
  <c r="W991" i="1" s="1"/>
  <c r="Z991" i="1" s="1"/>
  <c r="A990" i="1"/>
  <c r="W990" i="1" s="1"/>
  <c r="Z990" i="1" s="1"/>
  <c r="A989" i="1"/>
  <c r="W989" i="1" s="1"/>
  <c r="Z989" i="1" s="1"/>
  <c r="A988" i="1"/>
  <c r="W988" i="1" s="1"/>
  <c r="Z988" i="1" s="1"/>
  <c r="A987" i="1"/>
  <c r="W987" i="1" s="1"/>
  <c r="Z987" i="1" s="1"/>
  <c r="A986" i="1"/>
  <c r="W986" i="1" s="1"/>
  <c r="Z986" i="1" s="1"/>
  <c r="A985" i="1"/>
  <c r="W985" i="1" s="1"/>
  <c r="Z985" i="1" s="1"/>
  <c r="A984" i="1"/>
  <c r="W984" i="1" s="1"/>
  <c r="Z984" i="1" s="1"/>
  <c r="A983" i="1"/>
  <c r="W983" i="1" s="1"/>
  <c r="Z983" i="1" s="1"/>
  <c r="A982" i="1"/>
  <c r="W982" i="1" s="1"/>
  <c r="Z982" i="1" s="1"/>
  <c r="A981" i="1"/>
  <c r="W981" i="1" s="1"/>
  <c r="Z981" i="1" s="1"/>
  <c r="A980" i="1"/>
  <c r="W980" i="1" s="1"/>
  <c r="Z980" i="1" s="1"/>
  <c r="A979" i="1"/>
  <c r="W979" i="1" s="1"/>
  <c r="Z979" i="1" s="1"/>
  <c r="A978" i="1"/>
  <c r="W978" i="1" s="1"/>
  <c r="Z978" i="1" s="1"/>
  <c r="A977" i="1"/>
  <c r="W977" i="1" s="1"/>
  <c r="Z977" i="1" s="1"/>
  <c r="A976" i="1"/>
  <c r="W976" i="1" s="1"/>
  <c r="Z976" i="1" s="1"/>
  <c r="A975" i="1"/>
  <c r="W975" i="1" s="1"/>
  <c r="Z975" i="1" s="1"/>
  <c r="A974" i="1"/>
  <c r="W974" i="1" s="1"/>
  <c r="Z974" i="1" s="1"/>
  <c r="A973" i="1"/>
  <c r="W973" i="1" s="1"/>
  <c r="Z973" i="1" s="1"/>
  <c r="A972" i="1"/>
  <c r="W972" i="1" s="1"/>
  <c r="Z972" i="1" s="1"/>
  <c r="A971" i="1"/>
  <c r="W971" i="1" s="1"/>
  <c r="Z971" i="1" s="1"/>
  <c r="A970" i="1"/>
  <c r="W970" i="1" s="1"/>
  <c r="Z970" i="1" s="1"/>
  <c r="A969" i="1"/>
  <c r="W969" i="1" s="1"/>
  <c r="Z969" i="1" s="1"/>
  <c r="A968" i="1"/>
  <c r="W968" i="1" s="1"/>
  <c r="Z968" i="1" s="1"/>
  <c r="A967" i="1"/>
  <c r="W967" i="1" s="1"/>
  <c r="Z967" i="1" s="1"/>
  <c r="A966" i="1"/>
  <c r="W966" i="1" s="1"/>
  <c r="Z966" i="1" s="1"/>
  <c r="A965" i="1"/>
  <c r="W965" i="1" s="1"/>
  <c r="Z965" i="1" s="1"/>
  <c r="A964" i="1"/>
  <c r="W964" i="1" s="1"/>
  <c r="Z964" i="1" s="1"/>
  <c r="A963" i="1"/>
  <c r="W963" i="1" s="1"/>
  <c r="Z963" i="1" s="1"/>
  <c r="A962" i="1"/>
  <c r="W962" i="1" s="1"/>
  <c r="Z962" i="1" s="1"/>
  <c r="A961" i="1"/>
  <c r="W961" i="1" s="1"/>
  <c r="Z961" i="1" s="1"/>
  <c r="A960" i="1"/>
  <c r="W960" i="1" s="1"/>
  <c r="Z960" i="1" s="1"/>
  <c r="A959" i="1"/>
  <c r="W959" i="1" s="1"/>
  <c r="Z959" i="1" s="1"/>
  <c r="A958" i="1"/>
  <c r="W958" i="1" s="1"/>
  <c r="Z958" i="1" s="1"/>
  <c r="A957" i="1"/>
  <c r="W957" i="1" s="1"/>
  <c r="Z957" i="1" s="1"/>
  <c r="A956" i="1"/>
  <c r="W956" i="1" s="1"/>
  <c r="Z956" i="1" s="1"/>
  <c r="A955" i="1"/>
  <c r="W955" i="1" s="1"/>
  <c r="Z955" i="1" s="1"/>
  <c r="A954" i="1"/>
  <c r="W954" i="1" s="1"/>
  <c r="Z954" i="1" s="1"/>
  <c r="A953" i="1"/>
  <c r="W953" i="1" s="1"/>
  <c r="Z953" i="1" s="1"/>
  <c r="A952" i="1"/>
  <c r="W952" i="1" s="1"/>
  <c r="Z952" i="1" s="1"/>
  <c r="A951" i="1"/>
  <c r="W951" i="1" s="1"/>
  <c r="Z951" i="1" s="1"/>
  <c r="A950" i="1"/>
  <c r="W950" i="1" s="1"/>
  <c r="Z950" i="1" s="1"/>
  <c r="A949" i="1"/>
  <c r="W949" i="1" s="1"/>
  <c r="Z949" i="1" s="1"/>
  <c r="A948" i="1"/>
  <c r="W948" i="1" s="1"/>
  <c r="Z948" i="1" s="1"/>
  <c r="A947" i="1"/>
  <c r="W947" i="1" s="1"/>
  <c r="Z947" i="1" s="1"/>
  <c r="A946" i="1"/>
  <c r="W946" i="1" s="1"/>
  <c r="Z946" i="1" s="1"/>
  <c r="A945" i="1"/>
  <c r="W945" i="1" s="1"/>
  <c r="Z945" i="1" s="1"/>
  <c r="A944" i="1"/>
  <c r="W944" i="1" s="1"/>
  <c r="Z944" i="1" s="1"/>
  <c r="A943" i="1"/>
  <c r="W943" i="1" s="1"/>
  <c r="Z943" i="1" s="1"/>
  <c r="A942" i="1"/>
  <c r="W942" i="1" s="1"/>
  <c r="Z942" i="1" s="1"/>
  <c r="A941" i="1"/>
  <c r="W941" i="1" s="1"/>
  <c r="Z941" i="1" s="1"/>
  <c r="A940" i="1"/>
  <c r="W940" i="1" s="1"/>
  <c r="Z940" i="1" s="1"/>
  <c r="A939" i="1"/>
  <c r="W939" i="1" s="1"/>
  <c r="Z939" i="1" s="1"/>
  <c r="A938" i="1"/>
  <c r="W938" i="1" s="1"/>
  <c r="Z938" i="1" s="1"/>
  <c r="A937" i="1"/>
  <c r="W937" i="1" s="1"/>
  <c r="Z937" i="1" s="1"/>
  <c r="A936" i="1"/>
  <c r="W936" i="1" s="1"/>
  <c r="Z936" i="1" s="1"/>
  <c r="A935" i="1"/>
  <c r="W935" i="1" s="1"/>
  <c r="Z935" i="1" s="1"/>
  <c r="A934" i="1"/>
  <c r="W934" i="1" s="1"/>
  <c r="Z934" i="1" s="1"/>
  <c r="A933" i="1"/>
  <c r="W933" i="1" s="1"/>
  <c r="Z933" i="1" s="1"/>
  <c r="A932" i="1"/>
  <c r="W932" i="1" s="1"/>
  <c r="Z932" i="1" s="1"/>
  <c r="A931" i="1"/>
  <c r="W931" i="1" s="1"/>
  <c r="Z931" i="1" s="1"/>
  <c r="A930" i="1"/>
  <c r="W930" i="1" s="1"/>
  <c r="Z930" i="1" s="1"/>
  <c r="A929" i="1"/>
  <c r="W929" i="1" s="1"/>
  <c r="Z929" i="1" s="1"/>
  <c r="A928" i="1"/>
  <c r="W928" i="1" s="1"/>
  <c r="Z928" i="1" s="1"/>
  <c r="A927" i="1"/>
  <c r="W927" i="1" s="1"/>
  <c r="Z927" i="1" s="1"/>
  <c r="A926" i="1"/>
  <c r="W926" i="1" s="1"/>
  <c r="Z926" i="1" s="1"/>
  <c r="A925" i="1"/>
  <c r="W925" i="1" s="1"/>
  <c r="Z925" i="1" s="1"/>
  <c r="A924" i="1"/>
  <c r="W924" i="1" s="1"/>
  <c r="Z924" i="1" s="1"/>
  <c r="A923" i="1"/>
  <c r="W923" i="1" s="1"/>
  <c r="Z923" i="1" s="1"/>
  <c r="A922" i="1"/>
  <c r="W922" i="1" s="1"/>
  <c r="Z922" i="1" s="1"/>
  <c r="A921" i="1"/>
  <c r="W921" i="1" s="1"/>
  <c r="Z921" i="1" s="1"/>
  <c r="A920" i="1"/>
  <c r="W920" i="1" s="1"/>
  <c r="Z920" i="1" s="1"/>
  <c r="A919" i="1"/>
  <c r="W919" i="1" s="1"/>
  <c r="Z919" i="1" s="1"/>
  <c r="A918" i="1"/>
  <c r="W918" i="1" s="1"/>
  <c r="Z918" i="1" s="1"/>
  <c r="A917" i="1"/>
  <c r="W917" i="1" s="1"/>
  <c r="Z917" i="1" s="1"/>
  <c r="A916" i="1"/>
  <c r="W916" i="1" s="1"/>
  <c r="Z916" i="1" s="1"/>
  <c r="A915" i="1"/>
  <c r="W915" i="1" s="1"/>
  <c r="Z915" i="1" s="1"/>
  <c r="A914" i="1"/>
  <c r="W914" i="1" s="1"/>
  <c r="Z914" i="1" s="1"/>
  <c r="A913" i="1"/>
  <c r="W913" i="1" s="1"/>
  <c r="Z913" i="1" s="1"/>
  <c r="A912" i="1"/>
  <c r="W912" i="1" s="1"/>
  <c r="Z912" i="1" s="1"/>
  <c r="A911" i="1"/>
  <c r="W911" i="1" s="1"/>
  <c r="Z911" i="1" s="1"/>
  <c r="A910" i="1"/>
  <c r="W910" i="1" s="1"/>
  <c r="Z910" i="1" s="1"/>
  <c r="A909" i="1"/>
  <c r="W909" i="1" s="1"/>
  <c r="Z909" i="1" s="1"/>
  <c r="A908" i="1"/>
  <c r="W908" i="1" s="1"/>
  <c r="Z908" i="1" s="1"/>
  <c r="A907" i="1"/>
  <c r="W907" i="1" s="1"/>
  <c r="Z907" i="1" s="1"/>
  <c r="A906" i="1"/>
  <c r="W906" i="1" s="1"/>
  <c r="Z906" i="1" s="1"/>
  <c r="A905" i="1"/>
  <c r="W905" i="1" s="1"/>
  <c r="Z905" i="1" s="1"/>
  <c r="A904" i="1"/>
  <c r="W904" i="1" s="1"/>
  <c r="Z904" i="1" s="1"/>
  <c r="A903" i="1"/>
  <c r="W903" i="1" s="1"/>
  <c r="Z903" i="1" s="1"/>
  <c r="A902" i="1"/>
  <c r="W902" i="1" s="1"/>
  <c r="Z902" i="1" s="1"/>
  <c r="A901" i="1"/>
  <c r="W901" i="1" s="1"/>
  <c r="Z901" i="1" s="1"/>
  <c r="A900" i="1"/>
  <c r="W900" i="1" s="1"/>
  <c r="Z900" i="1" s="1"/>
  <c r="A899" i="1"/>
  <c r="W899" i="1" s="1"/>
  <c r="Z899" i="1" s="1"/>
  <c r="A898" i="1"/>
  <c r="W898" i="1" s="1"/>
  <c r="Z898" i="1" s="1"/>
  <c r="A897" i="1"/>
  <c r="W897" i="1" s="1"/>
  <c r="Z897" i="1" s="1"/>
  <c r="A896" i="1"/>
  <c r="W896" i="1" s="1"/>
  <c r="Z896" i="1" s="1"/>
  <c r="A895" i="1"/>
  <c r="W895" i="1" s="1"/>
  <c r="Z895" i="1" s="1"/>
  <c r="A894" i="1"/>
  <c r="W894" i="1" s="1"/>
  <c r="Z894" i="1" s="1"/>
  <c r="A893" i="1"/>
  <c r="W893" i="1" s="1"/>
  <c r="Z893" i="1" s="1"/>
  <c r="A892" i="1"/>
  <c r="W892" i="1" s="1"/>
  <c r="Z892" i="1" s="1"/>
  <c r="A891" i="1"/>
  <c r="W891" i="1" s="1"/>
  <c r="Z891" i="1" s="1"/>
  <c r="A890" i="1"/>
  <c r="W890" i="1" s="1"/>
  <c r="Z890" i="1" s="1"/>
  <c r="A889" i="1"/>
  <c r="W889" i="1" s="1"/>
  <c r="Z889" i="1" s="1"/>
  <c r="A888" i="1"/>
  <c r="W888" i="1" s="1"/>
  <c r="Z888" i="1" s="1"/>
  <c r="A887" i="1"/>
  <c r="W887" i="1" s="1"/>
  <c r="Z887" i="1" s="1"/>
  <c r="A886" i="1"/>
  <c r="W886" i="1" s="1"/>
  <c r="Z886" i="1" s="1"/>
  <c r="A885" i="1"/>
  <c r="W885" i="1" s="1"/>
  <c r="Z885" i="1" s="1"/>
  <c r="A884" i="1"/>
  <c r="W884" i="1" s="1"/>
  <c r="Z884" i="1" s="1"/>
  <c r="A883" i="1"/>
  <c r="W883" i="1" s="1"/>
  <c r="Z883" i="1" s="1"/>
  <c r="A882" i="1"/>
  <c r="W882" i="1" s="1"/>
  <c r="Z882" i="1" s="1"/>
  <c r="A881" i="1"/>
  <c r="W881" i="1" s="1"/>
  <c r="Z881" i="1" s="1"/>
  <c r="A880" i="1"/>
  <c r="W880" i="1" s="1"/>
  <c r="Z880" i="1" s="1"/>
  <c r="A879" i="1"/>
  <c r="W879" i="1" s="1"/>
  <c r="Z879" i="1" s="1"/>
  <c r="A878" i="1"/>
  <c r="W878" i="1" s="1"/>
  <c r="Z878" i="1" s="1"/>
  <c r="A877" i="1"/>
  <c r="W877" i="1" s="1"/>
  <c r="Z877" i="1" s="1"/>
  <c r="A876" i="1"/>
  <c r="W876" i="1" s="1"/>
  <c r="Z876" i="1" s="1"/>
  <c r="A875" i="1"/>
  <c r="W875" i="1" s="1"/>
  <c r="Z875" i="1" s="1"/>
  <c r="A874" i="1"/>
  <c r="W874" i="1" s="1"/>
  <c r="Z874" i="1" s="1"/>
  <c r="A873" i="1"/>
  <c r="W873" i="1" s="1"/>
  <c r="Z873" i="1" s="1"/>
  <c r="A872" i="1"/>
  <c r="W872" i="1" s="1"/>
  <c r="Z872" i="1" s="1"/>
  <c r="A871" i="1"/>
  <c r="W871" i="1" s="1"/>
  <c r="Z871" i="1" s="1"/>
  <c r="A870" i="1"/>
  <c r="W870" i="1" s="1"/>
  <c r="Z870" i="1" s="1"/>
  <c r="A869" i="1"/>
  <c r="W869" i="1" s="1"/>
  <c r="Z869" i="1" s="1"/>
  <c r="A868" i="1"/>
  <c r="W868" i="1" s="1"/>
  <c r="Z868" i="1" s="1"/>
  <c r="A867" i="1"/>
  <c r="W867" i="1" s="1"/>
  <c r="Z867" i="1" s="1"/>
  <c r="A866" i="1"/>
  <c r="W866" i="1" s="1"/>
  <c r="Z866" i="1" s="1"/>
  <c r="A865" i="1"/>
  <c r="W865" i="1" s="1"/>
  <c r="Z865" i="1" s="1"/>
  <c r="A864" i="1"/>
  <c r="W864" i="1" s="1"/>
  <c r="Z864" i="1" s="1"/>
  <c r="A863" i="1"/>
  <c r="W863" i="1" s="1"/>
  <c r="Z863" i="1" s="1"/>
  <c r="A862" i="1"/>
  <c r="W862" i="1" s="1"/>
  <c r="Z862" i="1" s="1"/>
  <c r="A861" i="1"/>
  <c r="W861" i="1" s="1"/>
  <c r="Z861" i="1" s="1"/>
  <c r="A860" i="1"/>
  <c r="W860" i="1" s="1"/>
  <c r="Z860" i="1" s="1"/>
  <c r="A859" i="1"/>
  <c r="W859" i="1" s="1"/>
  <c r="Z859" i="1" s="1"/>
  <c r="A858" i="1"/>
  <c r="W858" i="1" s="1"/>
  <c r="Z858" i="1" s="1"/>
  <c r="A857" i="1"/>
  <c r="W857" i="1" s="1"/>
  <c r="Z857" i="1" s="1"/>
  <c r="A856" i="1"/>
  <c r="W856" i="1" s="1"/>
  <c r="Z856" i="1" s="1"/>
  <c r="A855" i="1"/>
  <c r="W855" i="1" s="1"/>
  <c r="Z855" i="1" s="1"/>
  <c r="A854" i="1"/>
  <c r="W854" i="1" s="1"/>
  <c r="Z854" i="1" s="1"/>
  <c r="A853" i="1"/>
  <c r="W853" i="1" s="1"/>
  <c r="Z853" i="1" s="1"/>
  <c r="A852" i="1"/>
  <c r="W852" i="1" s="1"/>
  <c r="Z852" i="1" s="1"/>
  <c r="A851" i="1"/>
  <c r="W851" i="1" s="1"/>
  <c r="Z851" i="1" s="1"/>
  <c r="A850" i="1"/>
  <c r="W850" i="1" s="1"/>
  <c r="Z850" i="1" s="1"/>
  <c r="A849" i="1"/>
  <c r="W849" i="1" s="1"/>
  <c r="Z849" i="1" s="1"/>
  <c r="A848" i="1"/>
  <c r="W848" i="1" s="1"/>
  <c r="Z848" i="1" s="1"/>
  <c r="A847" i="1"/>
  <c r="W847" i="1" s="1"/>
  <c r="Z847" i="1" s="1"/>
  <c r="A846" i="1"/>
  <c r="W846" i="1" s="1"/>
  <c r="Z846" i="1" s="1"/>
  <c r="A845" i="1"/>
  <c r="W845" i="1" s="1"/>
  <c r="Z845" i="1" s="1"/>
  <c r="A844" i="1"/>
  <c r="W844" i="1" s="1"/>
  <c r="Z844" i="1" s="1"/>
  <c r="A843" i="1"/>
  <c r="W843" i="1" s="1"/>
  <c r="Z843" i="1" s="1"/>
  <c r="A842" i="1"/>
  <c r="W842" i="1" s="1"/>
  <c r="Z842" i="1" s="1"/>
  <c r="A841" i="1"/>
  <c r="W841" i="1" s="1"/>
  <c r="Z841" i="1" s="1"/>
  <c r="A840" i="1"/>
  <c r="W840" i="1" s="1"/>
  <c r="Z840" i="1" s="1"/>
  <c r="A839" i="1"/>
  <c r="W839" i="1" s="1"/>
  <c r="Z839" i="1" s="1"/>
  <c r="A838" i="1"/>
  <c r="W838" i="1" s="1"/>
  <c r="Z838" i="1" s="1"/>
  <c r="A837" i="1"/>
  <c r="W837" i="1" s="1"/>
  <c r="Z837" i="1" s="1"/>
  <c r="A836" i="1"/>
  <c r="W836" i="1" s="1"/>
  <c r="Z836" i="1" s="1"/>
  <c r="A835" i="1"/>
  <c r="W835" i="1" s="1"/>
  <c r="Z835" i="1" s="1"/>
  <c r="A834" i="1"/>
  <c r="W834" i="1" s="1"/>
  <c r="Z834" i="1" s="1"/>
  <c r="A833" i="1"/>
  <c r="W833" i="1" s="1"/>
  <c r="Z833" i="1" s="1"/>
  <c r="A832" i="1"/>
  <c r="W832" i="1" s="1"/>
  <c r="Z832" i="1" s="1"/>
  <c r="A831" i="1"/>
  <c r="W831" i="1" s="1"/>
  <c r="Z831" i="1" s="1"/>
  <c r="A830" i="1"/>
  <c r="W830" i="1" s="1"/>
  <c r="Z830" i="1" s="1"/>
  <c r="A829" i="1"/>
  <c r="W829" i="1" s="1"/>
  <c r="Z829" i="1" s="1"/>
  <c r="A828" i="1"/>
  <c r="W828" i="1" s="1"/>
  <c r="Z828" i="1" s="1"/>
  <c r="A827" i="1"/>
  <c r="W827" i="1" s="1"/>
  <c r="Z827" i="1" s="1"/>
  <c r="A826" i="1"/>
  <c r="W826" i="1" s="1"/>
  <c r="Z826" i="1" s="1"/>
  <c r="A825" i="1"/>
  <c r="W825" i="1" s="1"/>
  <c r="Z825" i="1" s="1"/>
  <c r="A824" i="1"/>
  <c r="W824" i="1" s="1"/>
  <c r="Z824" i="1" s="1"/>
  <c r="A823" i="1"/>
  <c r="W823" i="1" s="1"/>
  <c r="Z823" i="1" s="1"/>
  <c r="A822" i="1"/>
  <c r="W822" i="1" s="1"/>
  <c r="Z822" i="1" s="1"/>
  <c r="A821" i="1"/>
  <c r="W821" i="1" s="1"/>
  <c r="Z821" i="1" s="1"/>
  <c r="A820" i="1"/>
  <c r="W820" i="1" s="1"/>
  <c r="Z820" i="1" s="1"/>
  <c r="A819" i="1"/>
  <c r="W819" i="1" s="1"/>
  <c r="Z819" i="1" s="1"/>
  <c r="A818" i="1"/>
  <c r="W818" i="1" s="1"/>
  <c r="Z818" i="1" s="1"/>
  <c r="A817" i="1"/>
  <c r="W817" i="1" s="1"/>
  <c r="Z817" i="1" s="1"/>
  <c r="A816" i="1"/>
  <c r="W816" i="1" s="1"/>
  <c r="Z816" i="1" s="1"/>
  <c r="A815" i="1"/>
  <c r="W815" i="1" s="1"/>
  <c r="Z815" i="1" s="1"/>
  <c r="A814" i="1"/>
  <c r="W814" i="1" s="1"/>
  <c r="Z814" i="1" s="1"/>
  <c r="A813" i="1"/>
  <c r="W813" i="1" s="1"/>
  <c r="Z813" i="1" s="1"/>
  <c r="A812" i="1"/>
  <c r="W812" i="1" s="1"/>
  <c r="Z812" i="1" s="1"/>
  <c r="A811" i="1"/>
  <c r="W811" i="1" s="1"/>
  <c r="Z811" i="1" s="1"/>
  <c r="A810" i="1"/>
  <c r="W810" i="1" s="1"/>
  <c r="Z810" i="1" s="1"/>
  <c r="A809" i="1"/>
  <c r="W809" i="1" s="1"/>
  <c r="Z809" i="1" s="1"/>
  <c r="A808" i="1"/>
  <c r="W808" i="1" s="1"/>
  <c r="Z808" i="1" s="1"/>
  <c r="A807" i="1"/>
  <c r="W807" i="1" s="1"/>
  <c r="Z807" i="1" s="1"/>
  <c r="A806" i="1"/>
  <c r="W806" i="1" s="1"/>
  <c r="Z806" i="1" s="1"/>
  <c r="A805" i="1"/>
  <c r="W805" i="1" s="1"/>
  <c r="Z805" i="1" s="1"/>
  <c r="A804" i="1"/>
  <c r="W804" i="1" s="1"/>
  <c r="Z804" i="1" s="1"/>
  <c r="A803" i="1"/>
  <c r="W803" i="1" s="1"/>
  <c r="Z803" i="1" s="1"/>
  <c r="A802" i="1"/>
  <c r="W802" i="1" s="1"/>
  <c r="Z802" i="1" s="1"/>
  <c r="A801" i="1"/>
  <c r="W801" i="1" s="1"/>
  <c r="Z801" i="1" s="1"/>
  <c r="A800" i="1"/>
  <c r="W800" i="1" s="1"/>
  <c r="Z800" i="1" s="1"/>
  <c r="A799" i="1"/>
  <c r="W799" i="1" s="1"/>
  <c r="Z799" i="1" s="1"/>
  <c r="A798" i="1"/>
  <c r="W798" i="1" s="1"/>
  <c r="Z798" i="1" s="1"/>
  <c r="A797" i="1"/>
  <c r="W797" i="1" s="1"/>
  <c r="Z797" i="1" s="1"/>
  <c r="A796" i="1"/>
  <c r="W796" i="1" s="1"/>
  <c r="Z796" i="1" s="1"/>
  <c r="A795" i="1"/>
  <c r="W795" i="1" s="1"/>
  <c r="Z795" i="1" s="1"/>
  <c r="A794" i="1"/>
  <c r="W794" i="1" s="1"/>
  <c r="Z794" i="1" s="1"/>
  <c r="A793" i="1"/>
  <c r="W793" i="1" s="1"/>
  <c r="Z793" i="1" s="1"/>
  <c r="A792" i="1"/>
  <c r="W792" i="1" s="1"/>
  <c r="Z792" i="1" s="1"/>
  <c r="A791" i="1"/>
  <c r="W791" i="1" s="1"/>
  <c r="Z791" i="1" s="1"/>
  <c r="A790" i="1"/>
  <c r="W790" i="1" s="1"/>
  <c r="Z790" i="1" s="1"/>
  <c r="A789" i="1"/>
  <c r="W789" i="1" s="1"/>
  <c r="Z789" i="1" s="1"/>
  <c r="A788" i="1"/>
  <c r="W788" i="1" s="1"/>
  <c r="Z788" i="1" s="1"/>
  <c r="A787" i="1"/>
  <c r="W787" i="1" s="1"/>
  <c r="Z787" i="1" s="1"/>
  <c r="A786" i="1"/>
  <c r="W786" i="1" s="1"/>
  <c r="Z786" i="1" s="1"/>
  <c r="A785" i="1"/>
  <c r="W785" i="1" s="1"/>
  <c r="Z785" i="1" s="1"/>
  <c r="A784" i="1"/>
  <c r="W784" i="1" s="1"/>
  <c r="Z784" i="1" s="1"/>
  <c r="A783" i="1"/>
  <c r="W783" i="1" s="1"/>
  <c r="Z783" i="1" s="1"/>
  <c r="A782" i="1"/>
  <c r="W782" i="1" s="1"/>
  <c r="Z782" i="1" s="1"/>
  <c r="A781" i="1"/>
  <c r="W781" i="1" s="1"/>
  <c r="Z781" i="1" s="1"/>
  <c r="A780" i="1"/>
  <c r="W780" i="1" s="1"/>
  <c r="Z780" i="1" s="1"/>
  <c r="A779" i="1"/>
  <c r="W779" i="1" s="1"/>
  <c r="Z779" i="1" s="1"/>
  <c r="A778" i="1"/>
  <c r="W778" i="1" s="1"/>
  <c r="Z778" i="1" s="1"/>
  <c r="A777" i="1"/>
  <c r="W777" i="1" s="1"/>
  <c r="Z777" i="1" s="1"/>
  <c r="A776" i="1"/>
  <c r="W776" i="1" s="1"/>
  <c r="Z776" i="1" s="1"/>
  <c r="A775" i="1"/>
  <c r="W775" i="1" s="1"/>
  <c r="Z775" i="1" s="1"/>
  <c r="A774" i="1"/>
  <c r="W774" i="1" s="1"/>
  <c r="Z774" i="1" s="1"/>
  <c r="A773" i="1"/>
  <c r="W773" i="1" s="1"/>
  <c r="Z773" i="1" s="1"/>
  <c r="A772" i="1"/>
  <c r="W772" i="1" s="1"/>
  <c r="Z772" i="1" s="1"/>
  <c r="A771" i="1"/>
  <c r="W771" i="1" s="1"/>
  <c r="Z771" i="1" s="1"/>
  <c r="A770" i="1"/>
  <c r="W770" i="1" s="1"/>
  <c r="Z770" i="1" s="1"/>
  <c r="A769" i="1"/>
  <c r="W769" i="1" s="1"/>
  <c r="Z769" i="1" s="1"/>
  <c r="A768" i="1"/>
  <c r="W768" i="1" s="1"/>
  <c r="Z768" i="1" s="1"/>
  <c r="A767" i="1"/>
  <c r="W767" i="1" s="1"/>
  <c r="Z767" i="1" s="1"/>
  <c r="A766" i="1"/>
  <c r="W766" i="1" s="1"/>
  <c r="Z766" i="1" s="1"/>
  <c r="A765" i="1"/>
  <c r="W765" i="1" s="1"/>
  <c r="Z765" i="1" s="1"/>
  <c r="A764" i="1"/>
  <c r="W764" i="1" s="1"/>
  <c r="Z764" i="1" s="1"/>
  <c r="A763" i="1"/>
  <c r="W763" i="1" s="1"/>
  <c r="Z763" i="1" s="1"/>
  <c r="A762" i="1"/>
  <c r="W762" i="1" s="1"/>
  <c r="Z762" i="1" s="1"/>
  <c r="A761" i="1"/>
  <c r="W761" i="1" s="1"/>
  <c r="Z761" i="1" s="1"/>
  <c r="A760" i="1"/>
  <c r="W760" i="1" s="1"/>
  <c r="Z760" i="1" s="1"/>
  <c r="A759" i="1"/>
  <c r="W759" i="1" s="1"/>
  <c r="Z759" i="1" s="1"/>
  <c r="A758" i="1"/>
  <c r="W758" i="1" s="1"/>
  <c r="Z758" i="1" s="1"/>
  <c r="A757" i="1"/>
  <c r="W757" i="1" s="1"/>
  <c r="Z757" i="1" s="1"/>
  <c r="A756" i="1"/>
  <c r="W756" i="1" s="1"/>
  <c r="Z756" i="1" s="1"/>
  <c r="A755" i="1"/>
  <c r="W755" i="1" s="1"/>
  <c r="Z755" i="1" s="1"/>
  <c r="A754" i="1"/>
  <c r="W754" i="1" s="1"/>
  <c r="Z754" i="1" s="1"/>
  <c r="A753" i="1"/>
  <c r="W753" i="1" s="1"/>
  <c r="Z753" i="1" s="1"/>
  <c r="A752" i="1"/>
  <c r="W752" i="1" s="1"/>
  <c r="Z752" i="1" s="1"/>
  <c r="A751" i="1"/>
  <c r="W751" i="1" s="1"/>
  <c r="Z751" i="1" s="1"/>
  <c r="A750" i="1"/>
  <c r="W750" i="1" s="1"/>
  <c r="Z750" i="1" s="1"/>
  <c r="A749" i="1"/>
  <c r="W749" i="1" s="1"/>
  <c r="Z749" i="1" s="1"/>
  <c r="A748" i="1"/>
  <c r="W748" i="1" s="1"/>
  <c r="Z748" i="1" s="1"/>
  <c r="A747" i="1"/>
  <c r="W747" i="1" s="1"/>
  <c r="Z747" i="1" s="1"/>
  <c r="A746" i="1"/>
  <c r="W746" i="1" s="1"/>
  <c r="Z746" i="1" s="1"/>
  <c r="A745" i="1"/>
  <c r="W745" i="1" s="1"/>
  <c r="Z745" i="1" s="1"/>
  <c r="A744" i="1"/>
  <c r="W744" i="1" s="1"/>
  <c r="Z744" i="1" s="1"/>
  <c r="A743" i="1"/>
  <c r="W743" i="1" s="1"/>
  <c r="Z743" i="1" s="1"/>
  <c r="A742" i="1"/>
  <c r="W742" i="1" s="1"/>
  <c r="Z742" i="1" s="1"/>
  <c r="A741" i="1"/>
  <c r="W741" i="1" s="1"/>
  <c r="Z741" i="1" s="1"/>
  <c r="A740" i="1"/>
  <c r="W740" i="1" s="1"/>
  <c r="Z740" i="1" s="1"/>
  <c r="A739" i="1"/>
  <c r="W739" i="1" s="1"/>
  <c r="Z739" i="1" s="1"/>
  <c r="A738" i="1"/>
  <c r="W738" i="1" s="1"/>
  <c r="Z738" i="1" s="1"/>
  <c r="A737" i="1"/>
  <c r="W737" i="1" s="1"/>
  <c r="Z737" i="1" s="1"/>
  <c r="A736" i="1"/>
  <c r="W736" i="1" s="1"/>
  <c r="Z736" i="1" s="1"/>
  <c r="A735" i="1"/>
  <c r="W735" i="1" s="1"/>
  <c r="Z735" i="1" s="1"/>
  <c r="A734" i="1"/>
  <c r="W734" i="1" s="1"/>
  <c r="Z734" i="1" s="1"/>
  <c r="A733" i="1"/>
  <c r="W733" i="1" s="1"/>
  <c r="Z733" i="1" s="1"/>
  <c r="A732" i="1"/>
  <c r="W732" i="1" s="1"/>
  <c r="Z732" i="1" s="1"/>
  <c r="A731" i="1"/>
  <c r="W731" i="1" s="1"/>
  <c r="Z731" i="1" s="1"/>
  <c r="A730" i="1"/>
  <c r="W730" i="1" s="1"/>
  <c r="Z730" i="1" s="1"/>
  <c r="A729" i="1"/>
  <c r="W729" i="1" s="1"/>
  <c r="Z729" i="1" s="1"/>
  <c r="A728" i="1"/>
  <c r="W728" i="1" s="1"/>
  <c r="Z728" i="1" s="1"/>
  <c r="A727" i="1"/>
  <c r="W727" i="1" s="1"/>
  <c r="Z727" i="1" s="1"/>
  <c r="A726" i="1"/>
  <c r="W726" i="1" s="1"/>
  <c r="Z726" i="1" s="1"/>
  <c r="A725" i="1"/>
  <c r="W725" i="1" s="1"/>
  <c r="Z725" i="1" s="1"/>
  <c r="A724" i="1"/>
  <c r="W724" i="1" s="1"/>
  <c r="Z724" i="1" s="1"/>
  <c r="A723" i="1"/>
  <c r="W723" i="1" s="1"/>
  <c r="Z723" i="1" s="1"/>
  <c r="A722" i="1"/>
  <c r="W722" i="1" s="1"/>
  <c r="Z722" i="1" s="1"/>
  <c r="A721" i="1"/>
  <c r="W721" i="1" s="1"/>
  <c r="Z721" i="1" s="1"/>
  <c r="A720" i="1"/>
  <c r="W720" i="1" s="1"/>
  <c r="Z720" i="1" s="1"/>
  <c r="A719" i="1"/>
  <c r="W719" i="1" s="1"/>
  <c r="Z719" i="1" s="1"/>
  <c r="A718" i="1"/>
  <c r="W718" i="1" s="1"/>
  <c r="Z718" i="1" s="1"/>
  <c r="A717" i="1"/>
  <c r="W717" i="1" s="1"/>
  <c r="Z717" i="1" s="1"/>
  <c r="A716" i="1"/>
  <c r="W716" i="1" s="1"/>
  <c r="Z716" i="1" s="1"/>
  <c r="A715" i="1"/>
  <c r="W715" i="1" s="1"/>
  <c r="Z715" i="1" s="1"/>
  <c r="A714" i="1"/>
  <c r="W714" i="1" s="1"/>
  <c r="Z714" i="1" s="1"/>
  <c r="A713" i="1"/>
  <c r="W713" i="1" s="1"/>
  <c r="Z713" i="1" s="1"/>
  <c r="A712" i="1"/>
  <c r="W712" i="1" s="1"/>
  <c r="Z712" i="1" s="1"/>
  <c r="A711" i="1"/>
  <c r="W711" i="1" s="1"/>
  <c r="Z711" i="1" s="1"/>
  <c r="A710" i="1"/>
  <c r="W710" i="1" s="1"/>
  <c r="Z710" i="1" s="1"/>
  <c r="A709" i="1"/>
  <c r="W709" i="1" s="1"/>
  <c r="Z709" i="1" s="1"/>
  <c r="A708" i="1"/>
  <c r="W708" i="1" s="1"/>
  <c r="Z708" i="1" s="1"/>
  <c r="A707" i="1"/>
  <c r="W707" i="1" s="1"/>
  <c r="Z707" i="1" s="1"/>
  <c r="A706" i="1"/>
  <c r="W706" i="1" s="1"/>
  <c r="Z706" i="1" s="1"/>
  <c r="A705" i="1"/>
  <c r="W705" i="1" s="1"/>
  <c r="Z705" i="1" s="1"/>
  <c r="A704" i="1"/>
  <c r="W704" i="1" s="1"/>
  <c r="Z704" i="1" s="1"/>
  <c r="A703" i="1"/>
  <c r="W703" i="1" s="1"/>
  <c r="Z703" i="1" s="1"/>
  <c r="A702" i="1"/>
  <c r="W702" i="1" s="1"/>
  <c r="Z702" i="1" s="1"/>
  <c r="A701" i="1"/>
  <c r="W701" i="1" s="1"/>
  <c r="Z701" i="1" s="1"/>
  <c r="A700" i="1"/>
  <c r="W700" i="1" s="1"/>
  <c r="Z700" i="1" s="1"/>
  <c r="A699" i="1"/>
  <c r="W699" i="1" s="1"/>
  <c r="Z699" i="1" s="1"/>
  <c r="A698" i="1"/>
  <c r="W698" i="1" s="1"/>
  <c r="Z698" i="1" s="1"/>
  <c r="A697" i="1"/>
  <c r="W697" i="1" s="1"/>
  <c r="Z697" i="1" s="1"/>
  <c r="A696" i="1"/>
  <c r="W696" i="1" s="1"/>
  <c r="Z696" i="1" s="1"/>
  <c r="A695" i="1"/>
  <c r="W695" i="1" s="1"/>
  <c r="Z695" i="1" s="1"/>
  <c r="A694" i="1"/>
  <c r="W694" i="1" s="1"/>
  <c r="Z694" i="1" s="1"/>
  <c r="A693" i="1"/>
  <c r="W693" i="1" s="1"/>
  <c r="Z693" i="1" s="1"/>
  <c r="A692" i="1"/>
  <c r="W692" i="1" s="1"/>
  <c r="Z692" i="1" s="1"/>
  <c r="A691" i="1"/>
  <c r="W691" i="1" s="1"/>
  <c r="Z691" i="1" s="1"/>
  <c r="A690" i="1"/>
  <c r="W690" i="1" s="1"/>
  <c r="Z690" i="1" s="1"/>
  <c r="A689" i="1"/>
  <c r="W689" i="1" s="1"/>
  <c r="Z689" i="1" s="1"/>
  <c r="A688" i="1"/>
  <c r="W688" i="1" s="1"/>
  <c r="Z688" i="1" s="1"/>
  <c r="A687" i="1"/>
  <c r="W687" i="1" s="1"/>
  <c r="Z687" i="1" s="1"/>
  <c r="A686" i="1"/>
  <c r="W686" i="1" s="1"/>
  <c r="Z686" i="1" s="1"/>
  <c r="A685" i="1"/>
  <c r="W685" i="1" s="1"/>
  <c r="Z685" i="1" s="1"/>
  <c r="A684" i="1"/>
  <c r="W684" i="1" s="1"/>
  <c r="Z684" i="1" s="1"/>
  <c r="A683" i="1"/>
  <c r="W683" i="1" s="1"/>
  <c r="Z683" i="1" s="1"/>
  <c r="A682" i="1"/>
  <c r="W682" i="1" s="1"/>
  <c r="Z682" i="1" s="1"/>
  <c r="A681" i="1"/>
  <c r="W681" i="1" s="1"/>
  <c r="Z681" i="1" s="1"/>
  <c r="A680" i="1"/>
  <c r="W680" i="1" s="1"/>
  <c r="Z680" i="1" s="1"/>
  <c r="A679" i="1"/>
  <c r="W679" i="1" s="1"/>
  <c r="Z679" i="1" s="1"/>
  <c r="A678" i="1"/>
  <c r="W678" i="1" s="1"/>
  <c r="Z678" i="1" s="1"/>
  <c r="A677" i="1"/>
  <c r="W677" i="1" s="1"/>
  <c r="Z677" i="1" s="1"/>
  <c r="A676" i="1"/>
  <c r="W676" i="1" s="1"/>
  <c r="Z676" i="1" s="1"/>
  <c r="A675" i="1"/>
  <c r="W675" i="1" s="1"/>
  <c r="Z675" i="1" s="1"/>
  <c r="A674" i="1"/>
  <c r="W674" i="1" s="1"/>
  <c r="Z674" i="1" s="1"/>
  <c r="A673" i="1"/>
  <c r="W673" i="1" s="1"/>
  <c r="Z673" i="1" s="1"/>
  <c r="A672" i="1"/>
  <c r="W672" i="1" s="1"/>
  <c r="Z672" i="1" s="1"/>
  <c r="A671" i="1"/>
  <c r="W671" i="1" s="1"/>
  <c r="Z671" i="1" s="1"/>
  <c r="A670" i="1"/>
  <c r="W670" i="1" s="1"/>
  <c r="Z670" i="1" s="1"/>
  <c r="A669" i="1"/>
  <c r="W669" i="1" s="1"/>
  <c r="Z669" i="1" s="1"/>
  <c r="A668" i="1"/>
  <c r="W668" i="1" s="1"/>
  <c r="Z668" i="1" s="1"/>
  <c r="A667" i="1"/>
  <c r="W667" i="1" s="1"/>
  <c r="Z667" i="1" s="1"/>
  <c r="A666" i="1"/>
  <c r="W666" i="1" s="1"/>
  <c r="Z666" i="1" s="1"/>
  <c r="A665" i="1"/>
  <c r="W665" i="1" s="1"/>
  <c r="Z665" i="1" s="1"/>
  <c r="A664" i="1"/>
  <c r="W664" i="1" s="1"/>
  <c r="Z664" i="1" s="1"/>
  <c r="A663" i="1"/>
  <c r="W663" i="1" s="1"/>
  <c r="Z663" i="1" s="1"/>
  <c r="A662" i="1"/>
  <c r="W662" i="1" s="1"/>
  <c r="Z662" i="1" s="1"/>
  <c r="A661" i="1"/>
  <c r="W661" i="1" s="1"/>
  <c r="Z661" i="1" s="1"/>
  <c r="A660" i="1"/>
  <c r="W660" i="1" s="1"/>
  <c r="Z660" i="1" s="1"/>
  <c r="A659" i="1"/>
  <c r="W659" i="1" s="1"/>
  <c r="Z659" i="1" s="1"/>
  <c r="A658" i="1"/>
  <c r="W658" i="1" s="1"/>
  <c r="Z658" i="1" s="1"/>
  <c r="A657" i="1"/>
  <c r="W657" i="1" s="1"/>
  <c r="Z657" i="1" s="1"/>
  <c r="A656" i="1"/>
  <c r="W656" i="1" s="1"/>
  <c r="Z656" i="1" s="1"/>
  <c r="A655" i="1"/>
  <c r="W655" i="1" s="1"/>
  <c r="Z655" i="1" s="1"/>
  <c r="A654" i="1"/>
  <c r="W654" i="1" s="1"/>
  <c r="Z654" i="1" s="1"/>
  <c r="A653" i="1"/>
  <c r="W653" i="1" s="1"/>
  <c r="Z653" i="1" s="1"/>
  <c r="A652" i="1"/>
  <c r="W652" i="1" s="1"/>
  <c r="Z652" i="1" s="1"/>
  <c r="A651" i="1"/>
  <c r="W651" i="1" s="1"/>
  <c r="Z651" i="1" s="1"/>
  <c r="A650" i="1"/>
  <c r="W650" i="1" s="1"/>
  <c r="Z650" i="1" s="1"/>
  <c r="A649" i="1"/>
  <c r="W649" i="1" s="1"/>
  <c r="Z649" i="1" s="1"/>
  <c r="A648" i="1"/>
  <c r="W648" i="1" s="1"/>
  <c r="Z648" i="1" s="1"/>
  <c r="A647" i="1"/>
  <c r="W647" i="1" s="1"/>
  <c r="Z647" i="1" s="1"/>
  <c r="A646" i="1"/>
  <c r="W646" i="1" s="1"/>
  <c r="Z646" i="1" s="1"/>
  <c r="A645" i="1"/>
  <c r="W645" i="1" s="1"/>
  <c r="Z645" i="1" s="1"/>
  <c r="A644" i="1"/>
  <c r="W644" i="1" s="1"/>
  <c r="Z644" i="1" s="1"/>
  <c r="A643" i="1"/>
  <c r="W643" i="1" s="1"/>
  <c r="Z643" i="1" s="1"/>
  <c r="A642" i="1"/>
  <c r="W642" i="1" s="1"/>
  <c r="Z642" i="1" s="1"/>
  <c r="A641" i="1"/>
  <c r="W641" i="1" s="1"/>
  <c r="Z641" i="1" s="1"/>
  <c r="A640" i="1"/>
  <c r="W640" i="1" s="1"/>
  <c r="Z640" i="1" s="1"/>
  <c r="A639" i="1"/>
  <c r="W639" i="1" s="1"/>
  <c r="Z639" i="1" s="1"/>
  <c r="A638" i="1"/>
  <c r="W638" i="1" s="1"/>
  <c r="Z638" i="1" s="1"/>
  <c r="A637" i="1"/>
  <c r="W637" i="1" s="1"/>
  <c r="Z637" i="1" s="1"/>
  <c r="A636" i="1"/>
  <c r="W636" i="1" s="1"/>
  <c r="Z636" i="1" s="1"/>
  <c r="A635" i="1"/>
  <c r="W635" i="1" s="1"/>
  <c r="Z635" i="1" s="1"/>
  <c r="A634" i="1"/>
  <c r="W634" i="1" s="1"/>
  <c r="Z634" i="1" s="1"/>
  <c r="A633" i="1"/>
  <c r="W633" i="1" s="1"/>
  <c r="Z633" i="1" s="1"/>
  <c r="A632" i="1"/>
  <c r="W632" i="1" s="1"/>
  <c r="Z632" i="1" s="1"/>
  <c r="A631" i="1"/>
  <c r="W631" i="1" s="1"/>
  <c r="Z631" i="1" s="1"/>
  <c r="A630" i="1"/>
  <c r="W630" i="1" s="1"/>
  <c r="Z630" i="1" s="1"/>
  <c r="A629" i="1"/>
  <c r="W629" i="1" s="1"/>
  <c r="Z629" i="1" s="1"/>
  <c r="A628" i="1"/>
  <c r="W628" i="1" s="1"/>
  <c r="Z628" i="1" s="1"/>
  <c r="A627" i="1"/>
  <c r="W627" i="1" s="1"/>
  <c r="Z627" i="1" s="1"/>
  <c r="A626" i="1"/>
  <c r="W626" i="1" s="1"/>
  <c r="Z626" i="1" s="1"/>
  <c r="A625" i="1"/>
  <c r="W625" i="1" s="1"/>
  <c r="Z625" i="1" s="1"/>
  <c r="A624" i="1"/>
  <c r="W624" i="1" s="1"/>
  <c r="Z624" i="1" s="1"/>
  <c r="A623" i="1"/>
  <c r="W623" i="1" s="1"/>
  <c r="Z623" i="1" s="1"/>
  <c r="A622" i="1"/>
  <c r="W622" i="1" s="1"/>
  <c r="Z622" i="1" s="1"/>
  <c r="A621" i="1"/>
  <c r="W621" i="1" s="1"/>
  <c r="Z621" i="1" s="1"/>
  <c r="A620" i="1"/>
  <c r="W620" i="1" s="1"/>
  <c r="Z620" i="1" s="1"/>
  <c r="A619" i="1"/>
  <c r="W619" i="1" s="1"/>
  <c r="Z619" i="1" s="1"/>
  <c r="A618" i="1"/>
  <c r="W618" i="1" s="1"/>
  <c r="Z618" i="1" s="1"/>
  <c r="A617" i="1"/>
  <c r="W617" i="1" s="1"/>
  <c r="Z617" i="1" s="1"/>
  <c r="A616" i="1"/>
  <c r="W616" i="1" s="1"/>
  <c r="Z616" i="1" s="1"/>
  <c r="A615" i="1"/>
  <c r="W615" i="1" s="1"/>
  <c r="Z615" i="1" s="1"/>
  <c r="A614" i="1"/>
  <c r="W614" i="1" s="1"/>
  <c r="Z614" i="1" s="1"/>
  <c r="A613" i="1"/>
  <c r="W613" i="1" s="1"/>
  <c r="Z613" i="1" s="1"/>
  <c r="A612" i="1"/>
  <c r="W612" i="1" s="1"/>
  <c r="Z612" i="1" s="1"/>
  <c r="A611" i="1"/>
  <c r="W611" i="1" s="1"/>
  <c r="Z611" i="1" s="1"/>
  <c r="A610" i="1"/>
  <c r="W610" i="1" s="1"/>
  <c r="Z610" i="1" s="1"/>
  <c r="A609" i="1"/>
  <c r="W609" i="1" s="1"/>
  <c r="Z609" i="1" s="1"/>
  <c r="A608" i="1"/>
  <c r="W608" i="1" s="1"/>
  <c r="Z608" i="1" s="1"/>
  <c r="A607" i="1"/>
  <c r="W607" i="1" s="1"/>
  <c r="Z607" i="1" s="1"/>
  <c r="A606" i="1"/>
  <c r="W606" i="1" s="1"/>
  <c r="Z606" i="1" s="1"/>
  <c r="A605" i="1"/>
  <c r="W605" i="1" s="1"/>
  <c r="Z605" i="1" s="1"/>
  <c r="A604" i="1"/>
  <c r="W604" i="1" s="1"/>
  <c r="Z604" i="1" s="1"/>
  <c r="A603" i="1"/>
  <c r="W603" i="1" s="1"/>
  <c r="Z603" i="1" s="1"/>
  <c r="A602" i="1"/>
  <c r="W602" i="1" s="1"/>
  <c r="Z602" i="1" s="1"/>
  <c r="A601" i="1"/>
  <c r="W601" i="1" s="1"/>
  <c r="Z601" i="1" s="1"/>
  <c r="A600" i="1"/>
  <c r="W600" i="1" s="1"/>
  <c r="Z600" i="1" s="1"/>
  <c r="A599" i="1"/>
  <c r="W599" i="1" s="1"/>
  <c r="Z599" i="1" s="1"/>
  <c r="A598" i="1"/>
  <c r="W598" i="1" s="1"/>
  <c r="Z598" i="1" s="1"/>
  <c r="A597" i="1"/>
  <c r="W597" i="1" s="1"/>
  <c r="Z597" i="1" s="1"/>
  <c r="A596" i="1"/>
  <c r="W596" i="1" s="1"/>
  <c r="Z596" i="1" s="1"/>
  <c r="A595" i="1"/>
  <c r="W595" i="1" s="1"/>
  <c r="Z595" i="1" s="1"/>
  <c r="A594" i="1"/>
  <c r="W594" i="1" s="1"/>
  <c r="Z594" i="1" s="1"/>
  <c r="A593" i="1"/>
  <c r="W593" i="1" s="1"/>
  <c r="Z593" i="1" s="1"/>
  <c r="A592" i="1"/>
  <c r="W592" i="1" s="1"/>
  <c r="Z592" i="1" s="1"/>
  <c r="A591" i="1"/>
  <c r="W591" i="1" s="1"/>
  <c r="Z591" i="1" s="1"/>
  <c r="A590" i="1"/>
  <c r="W590" i="1" s="1"/>
  <c r="Z590" i="1" s="1"/>
  <c r="A589" i="1"/>
  <c r="W589" i="1" s="1"/>
  <c r="Z589" i="1" s="1"/>
  <c r="A588" i="1"/>
  <c r="W588" i="1" s="1"/>
  <c r="Z588" i="1" s="1"/>
  <c r="A587" i="1"/>
  <c r="W587" i="1" s="1"/>
  <c r="Z587" i="1" s="1"/>
  <c r="A586" i="1"/>
  <c r="W586" i="1" s="1"/>
  <c r="Z586" i="1" s="1"/>
  <c r="A585" i="1"/>
  <c r="W585" i="1" s="1"/>
  <c r="Z585" i="1" s="1"/>
  <c r="A584" i="1"/>
  <c r="W584" i="1" s="1"/>
  <c r="Z584" i="1" s="1"/>
  <c r="A583" i="1"/>
  <c r="W583" i="1" s="1"/>
  <c r="Z583" i="1" s="1"/>
  <c r="A582" i="1"/>
  <c r="W582" i="1" s="1"/>
  <c r="Z582" i="1" s="1"/>
  <c r="A581" i="1"/>
  <c r="W581" i="1" s="1"/>
  <c r="Z581" i="1" s="1"/>
  <c r="A580" i="1"/>
  <c r="W580" i="1" s="1"/>
  <c r="Z580" i="1" s="1"/>
  <c r="A579" i="1"/>
  <c r="W579" i="1" s="1"/>
  <c r="Z579" i="1" s="1"/>
  <c r="A578" i="1"/>
  <c r="W578" i="1" s="1"/>
  <c r="Z578" i="1" s="1"/>
  <c r="A577" i="1"/>
  <c r="W577" i="1" s="1"/>
  <c r="Z577" i="1" s="1"/>
  <c r="A576" i="1"/>
  <c r="W576" i="1" s="1"/>
  <c r="Z576" i="1" s="1"/>
  <c r="A575" i="1"/>
  <c r="W575" i="1" s="1"/>
  <c r="Z575" i="1" s="1"/>
  <c r="A574" i="1"/>
  <c r="W574" i="1" s="1"/>
  <c r="Z574" i="1" s="1"/>
  <c r="A573" i="1"/>
  <c r="W573" i="1" s="1"/>
  <c r="Z573" i="1" s="1"/>
  <c r="A572" i="1"/>
  <c r="W572" i="1" s="1"/>
  <c r="Z572" i="1" s="1"/>
  <c r="A571" i="1"/>
  <c r="W571" i="1" s="1"/>
  <c r="Z571" i="1" s="1"/>
  <c r="A570" i="1"/>
  <c r="W570" i="1" s="1"/>
  <c r="Z570" i="1" s="1"/>
  <c r="A569" i="1"/>
  <c r="W569" i="1" s="1"/>
  <c r="Z569" i="1" s="1"/>
  <c r="A568" i="1"/>
  <c r="W568" i="1" s="1"/>
  <c r="Z568" i="1" s="1"/>
  <c r="A567" i="1"/>
  <c r="W567" i="1" s="1"/>
  <c r="Z567" i="1" s="1"/>
  <c r="A566" i="1"/>
  <c r="W566" i="1" s="1"/>
  <c r="Z566" i="1" s="1"/>
  <c r="A565" i="1"/>
  <c r="W565" i="1" s="1"/>
  <c r="Z565" i="1" s="1"/>
  <c r="A564" i="1"/>
  <c r="W564" i="1" s="1"/>
  <c r="Z564" i="1" s="1"/>
  <c r="A563" i="1"/>
  <c r="W563" i="1" s="1"/>
  <c r="Z563" i="1" s="1"/>
  <c r="A562" i="1"/>
  <c r="W562" i="1" s="1"/>
  <c r="Z562" i="1" s="1"/>
  <c r="A561" i="1"/>
  <c r="W561" i="1" s="1"/>
  <c r="Z561" i="1" s="1"/>
  <c r="A560" i="1"/>
  <c r="W560" i="1" s="1"/>
  <c r="Z560" i="1" s="1"/>
  <c r="A559" i="1"/>
  <c r="W559" i="1" s="1"/>
  <c r="Z559" i="1" s="1"/>
  <c r="A558" i="1"/>
  <c r="W558" i="1" s="1"/>
  <c r="Z558" i="1" s="1"/>
  <c r="A557" i="1"/>
  <c r="W557" i="1" s="1"/>
  <c r="Z557" i="1" s="1"/>
  <c r="A556" i="1"/>
  <c r="W556" i="1" s="1"/>
  <c r="Z556" i="1" s="1"/>
  <c r="A555" i="1"/>
  <c r="W555" i="1" s="1"/>
  <c r="Z555" i="1" s="1"/>
  <c r="A554" i="1"/>
  <c r="W554" i="1" s="1"/>
  <c r="Z554" i="1" s="1"/>
  <c r="A553" i="1"/>
  <c r="W553" i="1" s="1"/>
  <c r="Z553" i="1" s="1"/>
  <c r="A552" i="1"/>
  <c r="W552" i="1" s="1"/>
  <c r="Z552" i="1" s="1"/>
  <c r="A551" i="1"/>
  <c r="W551" i="1" s="1"/>
  <c r="Z551" i="1" s="1"/>
  <c r="A550" i="1"/>
  <c r="W550" i="1" s="1"/>
  <c r="Z550" i="1" s="1"/>
  <c r="A549" i="1"/>
  <c r="W549" i="1" s="1"/>
  <c r="Z549" i="1" s="1"/>
  <c r="A548" i="1"/>
  <c r="W548" i="1" s="1"/>
  <c r="Z548" i="1" s="1"/>
  <c r="A547" i="1"/>
  <c r="W547" i="1" s="1"/>
  <c r="Z547" i="1" s="1"/>
  <c r="A546" i="1"/>
  <c r="W546" i="1" s="1"/>
  <c r="Z546" i="1" s="1"/>
  <c r="A545" i="1"/>
  <c r="W545" i="1" s="1"/>
  <c r="Z545" i="1" s="1"/>
  <c r="A544" i="1"/>
  <c r="W544" i="1" s="1"/>
  <c r="Z544" i="1" s="1"/>
  <c r="A543" i="1"/>
  <c r="W543" i="1" s="1"/>
  <c r="Z543" i="1" s="1"/>
  <c r="A542" i="1"/>
  <c r="W542" i="1" s="1"/>
  <c r="Z542" i="1" s="1"/>
  <c r="A541" i="1"/>
  <c r="W541" i="1" s="1"/>
  <c r="Z541" i="1" s="1"/>
  <c r="A540" i="1"/>
  <c r="W540" i="1" s="1"/>
  <c r="Z540" i="1" s="1"/>
  <c r="A539" i="1"/>
  <c r="W539" i="1" s="1"/>
  <c r="Z539" i="1" s="1"/>
  <c r="A538" i="1"/>
  <c r="W538" i="1" s="1"/>
  <c r="Z538" i="1" s="1"/>
  <c r="A537" i="1"/>
  <c r="W537" i="1" s="1"/>
  <c r="Z537" i="1" s="1"/>
  <c r="A536" i="1"/>
  <c r="W536" i="1" s="1"/>
  <c r="Z536" i="1" s="1"/>
  <c r="A535" i="1"/>
  <c r="W535" i="1" s="1"/>
  <c r="Z535" i="1" s="1"/>
  <c r="A534" i="1"/>
  <c r="W534" i="1" s="1"/>
  <c r="Z534" i="1" s="1"/>
  <c r="A533" i="1"/>
  <c r="W533" i="1" s="1"/>
  <c r="Z533" i="1" s="1"/>
  <c r="A532" i="1"/>
  <c r="W532" i="1" s="1"/>
  <c r="Z532" i="1" s="1"/>
  <c r="A531" i="1"/>
  <c r="W531" i="1" s="1"/>
  <c r="Z531" i="1" s="1"/>
  <c r="A530" i="1"/>
  <c r="W530" i="1" s="1"/>
  <c r="Z530" i="1" s="1"/>
  <c r="A529" i="1"/>
  <c r="W529" i="1" s="1"/>
  <c r="Z529" i="1" s="1"/>
  <c r="A528" i="1"/>
  <c r="W528" i="1" s="1"/>
  <c r="Z528" i="1" s="1"/>
  <c r="A527" i="1"/>
  <c r="W527" i="1" s="1"/>
  <c r="Z527" i="1" s="1"/>
  <c r="A526" i="1"/>
  <c r="W526" i="1" s="1"/>
  <c r="Z526" i="1" s="1"/>
  <c r="A525" i="1"/>
  <c r="W525" i="1" s="1"/>
  <c r="Z525" i="1" s="1"/>
  <c r="A524" i="1"/>
  <c r="W524" i="1" s="1"/>
  <c r="Z524" i="1" s="1"/>
  <c r="A523" i="1"/>
  <c r="W523" i="1" s="1"/>
  <c r="Z523" i="1" s="1"/>
  <c r="A522" i="1"/>
  <c r="W522" i="1" s="1"/>
  <c r="Z522" i="1" s="1"/>
  <c r="A521" i="1"/>
  <c r="W521" i="1" s="1"/>
  <c r="Z521" i="1" s="1"/>
  <c r="A520" i="1"/>
  <c r="W520" i="1" s="1"/>
  <c r="Z520" i="1" s="1"/>
  <c r="A519" i="1"/>
  <c r="W519" i="1" s="1"/>
  <c r="Z519" i="1" s="1"/>
  <c r="A518" i="1"/>
  <c r="W518" i="1" s="1"/>
  <c r="Z518" i="1" s="1"/>
  <c r="A517" i="1"/>
  <c r="W517" i="1" s="1"/>
  <c r="Z517" i="1" s="1"/>
  <c r="A516" i="1"/>
  <c r="W516" i="1" s="1"/>
  <c r="Z516" i="1" s="1"/>
  <c r="A515" i="1"/>
  <c r="W515" i="1" s="1"/>
  <c r="Z515" i="1" s="1"/>
  <c r="A514" i="1"/>
  <c r="W514" i="1" s="1"/>
  <c r="Z514" i="1" s="1"/>
  <c r="A513" i="1"/>
  <c r="W513" i="1" s="1"/>
  <c r="Z513" i="1" s="1"/>
  <c r="A512" i="1"/>
  <c r="W512" i="1" s="1"/>
  <c r="Z512" i="1" s="1"/>
  <c r="A511" i="1"/>
  <c r="W511" i="1" s="1"/>
  <c r="Z511" i="1" s="1"/>
  <c r="A510" i="1"/>
  <c r="W510" i="1" s="1"/>
  <c r="Z510" i="1" s="1"/>
  <c r="A509" i="1"/>
  <c r="W509" i="1" s="1"/>
  <c r="Z509" i="1" s="1"/>
  <c r="A508" i="1"/>
  <c r="W508" i="1" s="1"/>
  <c r="Z508" i="1" s="1"/>
  <c r="A507" i="1"/>
  <c r="W507" i="1" s="1"/>
  <c r="Z507" i="1" s="1"/>
  <c r="A506" i="1"/>
  <c r="W506" i="1" s="1"/>
  <c r="Z506" i="1" s="1"/>
  <c r="A505" i="1"/>
  <c r="W505" i="1" s="1"/>
  <c r="Z505" i="1" s="1"/>
  <c r="A504" i="1"/>
  <c r="W504" i="1" s="1"/>
  <c r="Z504" i="1" s="1"/>
  <c r="A503" i="1"/>
  <c r="W503" i="1" s="1"/>
  <c r="Z503" i="1" s="1"/>
  <c r="A502" i="1"/>
  <c r="W502" i="1" s="1"/>
  <c r="Z502" i="1" s="1"/>
  <c r="A501" i="1"/>
  <c r="W501" i="1" s="1"/>
  <c r="Z501" i="1" s="1"/>
  <c r="A500" i="1"/>
  <c r="W500" i="1" s="1"/>
  <c r="Z500" i="1" s="1"/>
  <c r="A499" i="1"/>
  <c r="W499" i="1" s="1"/>
  <c r="Z499" i="1" s="1"/>
  <c r="A498" i="1"/>
  <c r="W498" i="1" s="1"/>
  <c r="Z498" i="1" s="1"/>
  <c r="A497" i="1"/>
  <c r="W497" i="1" s="1"/>
  <c r="Z497" i="1" s="1"/>
  <c r="A496" i="1"/>
  <c r="W496" i="1" s="1"/>
  <c r="Z496" i="1" s="1"/>
  <c r="A495" i="1"/>
  <c r="W495" i="1" s="1"/>
  <c r="Z495" i="1" s="1"/>
  <c r="A494" i="1"/>
  <c r="W494" i="1" s="1"/>
  <c r="Z494" i="1" s="1"/>
  <c r="A493" i="1"/>
  <c r="W493" i="1" s="1"/>
  <c r="Z493" i="1" s="1"/>
  <c r="A492" i="1"/>
  <c r="W492" i="1" s="1"/>
  <c r="Z492" i="1" s="1"/>
  <c r="A491" i="1"/>
  <c r="W491" i="1" s="1"/>
  <c r="Z491" i="1" s="1"/>
  <c r="A490" i="1"/>
  <c r="W490" i="1" s="1"/>
  <c r="Z490" i="1" s="1"/>
  <c r="A489" i="1"/>
  <c r="W489" i="1" s="1"/>
  <c r="Z489" i="1" s="1"/>
  <c r="A488" i="1"/>
  <c r="W488" i="1" s="1"/>
  <c r="Z488" i="1" s="1"/>
  <c r="A487" i="1"/>
  <c r="W487" i="1" s="1"/>
  <c r="Z487" i="1" s="1"/>
  <c r="A486" i="1"/>
  <c r="W486" i="1" s="1"/>
  <c r="Z486" i="1" s="1"/>
  <c r="A485" i="1"/>
  <c r="W485" i="1" s="1"/>
  <c r="Z485" i="1" s="1"/>
  <c r="A484" i="1"/>
  <c r="W484" i="1" s="1"/>
  <c r="Z484" i="1" s="1"/>
  <c r="A483" i="1"/>
  <c r="W483" i="1" s="1"/>
  <c r="Z483" i="1" s="1"/>
  <c r="A482" i="1"/>
  <c r="W482" i="1" s="1"/>
  <c r="Z482" i="1" s="1"/>
  <c r="A481" i="1"/>
  <c r="W481" i="1" s="1"/>
  <c r="Z481" i="1" s="1"/>
  <c r="A480" i="1"/>
  <c r="W480" i="1" s="1"/>
  <c r="Z480" i="1" s="1"/>
  <c r="A479" i="1"/>
  <c r="W479" i="1" s="1"/>
  <c r="Z479" i="1" s="1"/>
  <c r="A478" i="1"/>
  <c r="W478" i="1" s="1"/>
  <c r="Z478" i="1" s="1"/>
  <c r="A477" i="1"/>
  <c r="W477" i="1" s="1"/>
  <c r="Z477" i="1" s="1"/>
  <c r="A476" i="1"/>
  <c r="W476" i="1" s="1"/>
  <c r="Z476" i="1" s="1"/>
  <c r="A475" i="1"/>
  <c r="W475" i="1" s="1"/>
  <c r="Z475" i="1" s="1"/>
  <c r="A474" i="1"/>
  <c r="W474" i="1" s="1"/>
  <c r="Z474" i="1" s="1"/>
  <c r="A473" i="1"/>
  <c r="W473" i="1" s="1"/>
  <c r="Z473" i="1" s="1"/>
  <c r="A472" i="1"/>
  <c r="W472" i="1" s="1"/>
  <c r="Z472" i="1" s="1"/>
  <c r="A471" i="1"/>
  <c r="W471" i="1" s="1"/>
  <c r="Z471" i="1" s="1"/>
  <c r="A470" i="1"/>
  <c r="W470" i="1" s="1"/>
  <c r="Z470" i="1" s="1"/>
  <c r="A469" i="1"/>
  <c r="W469" i="1" s="1"/>
  <c r="Z469" i="1" s="1"/>
  <c r="A468" i="1"/>
  <c r="W468" i="1" s="1"/>
  <c r="Z468" i="1" s="1"/>
  <c r="A467" i="1"/>
  <c r="W467" i="1" s="1"/>
  <c r="Z467" i="1" s="1"/>
  <c r="A466" i="1"/>
  <c r="W466" i="1" s="1"/>
  <c r="Z466" i="1" s="1"/>
  <c r="A465" i="1"/>
  <c r="W465" i="1" s="1"/>
  <c r="Z465" i="1" s="1"/>
  <c r="A464" i="1"/>
  <c r="W464" i="1" s="1"/>
  <c r="Z464" i="1" s="1"/>
  <c r="A463" i="1"/>
  <c r="W463" i="1" s="1"/>
  <c r="Z463" i="1" s="1"/>
  <c r="A462" i="1"/>
  <c r="W462" i="1" s="1"/>
  <c r="Z462" i="1" s="1"/>
  <c r="A461" i="1"/>
  <c r="W461" i="1" s="1"/>
  <c r="Z461" i="1" s="1"/>
  <c r="A460" i="1"/>
  <c r="W460" i="1" s="1"/>
  <c r="Z460" i="1" s="1"/>
  <c r="A459" i="1"/>
  <c r="W459" i="1" s="1"/>
  <c r="Z459" i="1" s="1"/>
  <c r="A458" i="1"/>
  <c r="W458" i="1" s="1"/>
  <c r="Z458" i="1" s="1"/>
  <c r="A457" i="1"/>
  <c r="W457" i="1" s="1"/>
  <c r="Z457" i="1" s="1"/>
  <c r="A456" i="1"/>
  <c r="W456" i="1" s="1"/>
  <c r="Z456" i="1" s="1"/>
  <c r="A455" i="1"/>
  <c r="W455" i="1" s="1"/>
  <c r="Z455" i="1" s="1"/>
  <c r="A454" i="1"/>
  <c r="W454" i="1" s="1"/>
  <c r="Z454" i="1" s="1"/>
  <c r="A453" i="1"/>
  <c r="W453" i="1" s="1"/>
  <c r="Z453" i="1" s="1"/>
  <c r="A452" i="1"/>
  <c r="W452" i="1" s="1"/>
  <c r="Z452" i="1" s="1"/>
  <c r="A451" i="1"/>
  <c r="W451" i="1" s="1"/>
  <c r="Z451" i="1" s="1"/>
  <c r="A450" i="1"/>
  <c r="W450" i="1" s="1"/>
  <c r="Z450" i="1" s="1"/>
  <c r="A449" i="1"/>
  <c r="W449" i="1" s="1"/>
  <c r="Z449" i="1" s="1"/>
  <c r="A448" i="1"/>
  <c r="W448" i="1" s="1"/>
  <c r="Z448" i="1" s="1"/>
  <c r="A447" i="1"/>
  <c r="W447" i="1" s="1"/>
  <c r="Z447" i="1" s="1"/>
  <c r="A446" i="1"/>
  <c r="W446" i="1" s="1"/>
  <c r="Z446" i="1" s="1"/>
  <c r="A445" i="1"/>
  <c r="W445" i="1" s="1"/>
  <c r="Z445" i="1" s="1"/>
  <c r="A444" i="1"/>
  <c r="W444" i="1" s="1"/>
  <c r="Z444" i="1" s="1"/>
  <c r="A443" i="1"/>
  <c r="W443" i="1" s="1"/>
  <c r="Z443" i="1" s="1"/>
  <c r="A442" i="1"/>
  <c r="W442" i="1" s="1"/>
  <c r="Z442" i="1" s="1"/>
  <c r="A441" i="1"/>
  <c r="W441" i="1" s="1"/>
  <c r="Z441" i="1" s="1"/>
  <c r="A440" i="1"/>
  <c r="W440" i="1" s="1"/>
  <c r="Z440" i="1" s="1"/>
  <c r="A439" i="1"/>
  <c r="W439" i="1" s="1"/>
  <c r="Z439" i="1" s="1"/>
  <c r="A438" i="1"/>
  <c r="W438" i="1" s="1"/>
  <c r="Z438" i="1" s="1"/>
  <c r="A437" i="1"/>
  <c r="W437" i="1" s="1"/>
  <c r="Z437" i="1" s="1"/>
  <c r="A436" i="1"/>
  <c r="W436" i="1" s="1"/>
  <c r="Z436" i="1" s="1"/>
  <c r="A435" i="1"/>
  <c r="W435" i="1" s="1"/>
  <c r="Z435" i="1" s="1"/>
  <c r="A434" i="1"/>
  <c r="W434" i="1" s="1"/>
  <c r="Z434" i="1" s="1"/>
  <c r="A433" i="1"/>
  <c r="W433" i="1" s="1"/>
  <c r="Z433" i="1" s="1"/>
  <c r="A432" i="1"/>
  <c r="W432" i="1" s="1"/>
  <c r="Z432" i="1" s="1"/>
  <c r="A431" i="1"/>
  <c r="W431" i="1" s="1"/>
  <c r="Z431" i="1" s="1"/>
  <c r="A430" i="1"/>
  <c r="W430" i="1" s="1"/>
  <c r="Z430" i="1" s="1"/>
  <c r="A429" i="1"/>
  <c r="W429" i="1" s="1"/>
  <c r="Z429" i="1" s="1"/>
  <c r="A428" i="1"/>
  <c r="W428" i="1" s="1"/>
  <c r="Z428" i="1" s="1"/>
  <c r="A427" i="1"/>
  <c r="W427" i="1" s="1"/>
  <c r="Z427" i="1" s="1"/>
  <c r="A426" i="1"/>
  <c r="W426" i="1" s="1"/>
  <c r="Z426" i="1" s="1"/>
  <c r="A425" i="1"/>
  <c r="W425" i="1" s="1"/>
  <c r="Z425" i="1" s="1"/>
  <c r="A424" i="1"/>
  <c r="W424" i="1" s="1"/>
  <c r="Z424" i="1" s="1"/>
  <c r="A423" i="1"/>
  <c r="W423" i="1" s="1"/>
  <c r="Z423" i="1" s="1"/>
  <c r="A422" i="1"/>
  <c r="W422" i="1" s="1"/>
  <c r="Z422" i="1" s="1"/>
  <c r="A421" i="1"/>
  <c r="W421" i="1" s="1"/>
  <c r="Z421" i="1" s="1"/>
  <c r="A420" i="1"/>
  <c r="W420" i="1" s="1"/>
  <c r="Z420" i="1" s="1"/>
  <c r="A419" i="1"/>
  <c r="W419" i="1" s="1"/>
  <c r="Z419" i="1" s="1"/>
  <c r="A418" i="1"/>
  <c r="W418" i="1" s="1"/>
  <c r="Z418" i="1" s="1"/>
  <c r="A417" i="1"/>
  <c r="W417" i="1" s="1"/>
  <c r="Z417" i="1" s="1"/>
  <c r="A416" i="1"/>
  <c r="W416" i="1" s="1"/>
  <c r="Z416" i="1" s="1"/>
  <c r="A415" i="1"/>
  <c r="W415" i="1" s="1"/>
  <c r="Z415" i="1" s="1"/>
  <c r="A414" i="1"/>
  <c r="W414" i="1" s="1"/>
  <c r="Z414" i="1" s="1"/>
  <c r="A413" i="1"/>
  <c r="W413" i="1" s="1"/>
  <c r="Z413" i="1" s="1"/>
  <c r="A412" i="1"/>
  <c r="W412" i="1" s="1"/>
  <c r="Z412" i="1" s="1"/>
  <c r="A411" i="1"/>
  <c r="W411" i="1" s="1"/>
  <c r="Z411" i="1" s="1"/>
  <c r="A410" i="1"/>
  <c r="W410" i="1" s="1"/>
  <c r="Z410" i="1" s="1"/>
  <c r="A409" i="1"/>
  <c r="W409" i="1" s="1"/>
  <c r="Z409" i="1" s="1"/>
  <c r="A408" i="1"/>
  <c r="W408" i="1" s="1"/>
  <c r="Z408" i="1" s="1"/>
  <c r="A407" i="1"/>
  <c r="W407" i="1" s="1"/>
  <c r="Z407" i="1" s="1"/>
  <c r="A406" i="1"/>
  <c r="W406" i="1" s="1"/>
  <c r="Z406" i="1" s="1"/>
  <c r="A405" i="1"/>
  <c r="W405" i="1" s="1"/>
  <c r="Z405" i="1" s="1"/>
  <c r="A404" i="1"/>
  <c r="W404" i="1" s="1"/>
  <c r="Z404" i="1" s="1"/>
  <c r="A403" i="1"/>
  <c r="W403" i="1" s="1"/>
  <c r="Z403" i="1" s="1"/>
  <c r="A402" i="1"/>
  <c r="W402" i="1" s="1"/>
  <c r="Z402" i="1" s="1"/>
  <c r="A401" i="1"/>
  <c r="W401" i="1" s="1"/>
  <c r="Z401" i="1" s="1"/>
  <c r="A400" i="1"/>
  <c r="W400" i="1" s="1"/>
  <c r="Z400" i="1" s="1"/>
  <c r="A399" i="1"/>
  <c r="W399" i="1" s="1"/>
  <c r="Z399" i="1" s="1"/>
  <c r="A398" i="1"/>
  <c r="W398" i="1" s="1"/>
  <c r="Z398" i="1" s="1"/>
  <c r="A397" i="1"/>
  <c r="W397" i="1" s="1"/>
  <c r="Z397" i="1" s="1"/>
  <c r="A396" i="1"/>
  <c r="W396" i="1" s="1"/>
  <c r="Z396" i="1" s="1"/>
  <c r="A395" i="1"/>
  <c r="W395" i="1" s="1"/>
  <c r="Z395" i="1" s="1"/>
  <c r="A394" i="1"/>
  <c r="W394" i="1" s="1"/>
  <c r="Z394" i="1" s="1"/>
  <c r="A393" i="1"/>
  <c r="W393" i="1" s="1"/>
  <c r="Z393" i="1" s="1"/>
  <c r="A392" i="1"/>
  <c r="W392" i="1" s="1"/>
  <c r="Z392" i="1" s="1"/>
  <c r="A391" i="1"/>
  <c r="W391" i="1" s="1"/>
  <c r="Z391" i="1" s="1"/>
  <c r="A390" i="1"/>
  <c r="W390" i="1" s="1"/>
  <c r="Z390" i="1" s="1"/>
  <c r="A389" i="1"/>
  <c r="W389" i="1" s="1"/>
  <c r="Z389" i="1" s="1"/>
  <c r="A388" i="1"/>
  <c r="W388" i="1" s="1"/>
  <c r="Z388" i="1" s="1"/>
  <c r="A387" i="1"/>
  <c r="W387" i="1" s="1"/>
  <c r="Z387" i="1" s="1"/>
  <c r="A386" i="1"/>
  <c r="W386" i="1" s="1"/>
  <c r="Z386" i="1" s="1"/>
  <c r="A385" i="1"/>
  <c r="W385" i="1" s="1"/>
  <c r="Z385" i="1" s="1"/>
  <c r="A384" i="1"/>
  <c r="W384" i="1" s="1"/>
  <c r="Z384" i="1" s="1"/>
  <c r="A383" i="1"/>
  <c r="W383" i="1" s="1"/>
  <c r="Z383" i="1" s="1"/>
  <c r="A382" i="1"/>
  <c r="W382" i="1" s="1"/>
  <c r="Z382" i="1" s="1"/>
  <c r="A381" i="1"/>
  <c r="W381" i="1" s="1"/>
  <c r="Z381" i="1" s="1"/>
  <c r="A380" i="1"/>
  <c r="W380" i="1" s="1"/>
  <c r="Z380" i="1" s="1"/>
  <c r="A379" i="1"/>
  <c r="W379" i="1" s="1"/>
  <c r="Z379" i="1" s="1"/>
  <c r="A378" i="1"/>
  <c r="W378" i="1" s="1"/>
  <c r="Z378" i="1" s="1"/>
  <c r="A377" i="1"/>
  <c r="W377" i="1" s="1"/>
  <c r="Z377" i="1" s="1"/>
  <c r="A376" i="1"/>
  <c r="W376" i="1" s="1"/>
  <c r="Z376" i="1" s="1"/>
  <c r="A375" i="1"/>
  <c r="W375" i="1" s="1"/>
  <c r="Z375" i="1" s="1"/>
  <c r="A374" i="1"/>
  <c r="W374" i="1" s="1"/>
  <c r="Z374" i="1" s="1"/>
  <c r="A373" i="1"/>
  <c r="W373" i="1" s="1"/>
  <c r="Z373" i="1" s="1"/>
  <c r="A372" i="1"/>
  <c r="W372" i="1" s="1"/>
  <c r="Z372" i="1" s="1"/>
  <c r="A371" i="1"/>
  <c r="W371" i="1" s="1"/>
  <c r="Z371" i="1" s="1"/>
  <c r="A370" i="1"/>
  <c r="W370" i="1" s="1"/>
  <c r="Z370" i="1" s="1"/>
  <c r="A369" i="1"/>
  <c r="W369" i="1" s="1"/>
  <c r="Z369" i="1" s="1"/>
  <c r="A368" i="1"/>
  <c r="W368" i="1" s="1"/>
  <c r="Z368" i="1" s="1"/>
  <c r="A367" i="1"/>
  <c r="W367" i="1" s="1"/>
  <c r="Z367" i="1" s="1"/>
  <c r="A366" i="1"/>
  <c r="W366" i="1" s="1"/>
  <c r="Z366" i="1" s="1"/>
  <c r="A365" i="1"/>
  <c r="W365" i="1" s="1"/>
  <c r="Z365" i="1" s="1"/>
  <c r="A364" i="1"/>
  <c r="W364" i="1" s="1"/>
  <c r="Z364" i="1" s="1"/>
  <c r="A363" i="1"/>
  <c r="W363" i="1" s="1"/>
  <c r="Z363" i="1" s="1"/>
  <c r="A362" i="1"/>
  <c r="W362" i="1" s="1"/>
  <c r="Z362" i="1" s="1"/>
  <c r="A361" i="1"/>
  <c r="W361" i="1" s="1"/>
  <c r="Z361" i="1" s="1"/>
  <c r="A360" i="1"/>
  <c r="W360" i="1" s="1"/>
  <c r="Z360" i="1" s="1"/>
  <c r="A359" i="1"/>
  <c r="W359" i="1" s="1"/>
  <c r="Z359" i="1" s="1"/>
  <c r="A358" i="1"/>
  <c r="W358" i="1" s="1"/>
  <c r="Z358" i="1" s="1"/>
  <c r="A357" i="1"/>
  <c r="W357" i="1" s="1"/>
  <c r="Z357" i="1" s="1"/>
  <c r="A356" i="1"/>
  <c r="W356" i="1" s="1"/>
  <c r="Z356" i="1" s="1"/>
  <c r="A355" i="1"/>
  <c r="W355" i="1" s="1"/>
  <c r="Z355" i="1" s="1"/>
  <c r="A354" i="1"/>
  <c r="W354" i="1" s="1"/>
  <c r="Z354" i="1" s="1"/>
  <c r="A353" i="1"/>
  <c r="W353" i="1" s="1"/>
  <c r="Z353" i="1" s="1"/>
  <c r="A352" i="1"/>
  <c r="W352" i="1" s="1"/>
  <c r="Z352" i="1" s="1"/>
  <c r="A351" i="1"/>
  <c r="W351" i="1" s="1"/>
  <c r="Z351" i="1" s="1"/>
  <c r="A350" i="1"/>
  <c r="W350" i="1" s="1"/>
  <c r="Z350" i="1" s="1"/>
  <c r="A349" i="1"/>
  <c r="W349" i="1" s="1"/>
  <c r="Z349" i="1" s="1"/>
  <c r="A348" i="1"/>
  <c r="W348" i="1" s="1"/>
  <c r="Z348" i="1" s="1"/>
  <c r="A347" i="1"/>
  <c r="W347" i="1" s="1"/>
  <c r="Z347" i="1" s="1"/>
  <c r="A346" i="1"/>
  <c r="W346" i="1" s="1"/>
  <c r="Z346" i="1" s="1"/>
  <c r="A345" i="1"/>
  <c r="W345" i="1" s="1"/>
  <c r="Z345" i="1" s="1"/>
  <c r="A344" i="1"/>
  <c r="W344" i="1" s="1"/>
  <c r="Z344" i="1" s="1"/>
  <c r="A343" i="1"/>
  <c r="W343" i="1" s="1"/>
  <c r="Z343" i="1" s="1"/>
  <c r="A342" i="1"/>
  <c r="W342" i="1" s="1"/>
  <c r="Z342" i="1" s="1"/>
  <c r="A341" i="1"/>
  <c r="W341" i="1" s="1"/>
  <c r="Z341" i="1" s="1"/>
  <c r="A340" i="1"/>
  <c r="W340" i="1" s="1"/>
  <c r="Z340" i="1" s="1"/>
  <c r="A339" i="1"/>
  <c r="W339" i="1" s="1"/>
  <c r="Z339" i="1" s="1"/>
  <c r="A338" i="1"/>
  <c r="W338" i="1" s="1"/>
  <c r="Z338" i="1" s="1"/>
  <c r="A337" i="1"/>
  <c r="W337" i="1" s="1"/>
  <c r="Z337" i="1" s="1"/>
  <c r="A336" i="1"/>
  <c r="W336" i="1" s="1"/>
  <c r="Z336" i="1" s="1"/>
  <c r="A335" i="1"/>
  <c r="W335" i="1" s="1"/>
  <c r="Z335" i="1" s="1"/>
  <c r="A334" i="1"/>
  <c r="W334" i="1" s="1"/>
  <c r="Z334" i="1" s="1"/>
  <c r="A333" i="1"/>
  <c r="W333" i="1" s="1"/>
  <c r="Z333" i="1" s="1"/>
  <c r="A332" i="1"/>
  <c r="W332" i="1" s="1"/>
  <c r="Z332" i="1" s="1"/>
  <c r="A331" i="1"/>
  <c r="W331" i="1" s="1"/>
  <c r="Z331" i="1" s="1"/>
  <c r="A330" i="1"/>
  <c r="W330" i="1" s="1"/>
  <c r="Z330" i="1" s="1"/>
  <c r="A329" i="1"/>
  <c r="W329" i="1" s="1"/>
  <c r="Z329" i="1" s="1"/>
  <c r="A328" i="1"/>
  <c r="W328" i="1" s="1"/>
  <c r="Z328" i="1" s="1"/>
  <c r="A327" i="1"/>
  <c r="W327" i="1" s="1"/>
  <c r="Z327" i="1" s="1"/>
  <c r="A326" i="1"/>
  <c r="W326" i="1" s="1"/>
  <c r="Z326" i="1" s="1"/>
  <c r="A325" i="1"/>
  <c r="W325" i="1" s="1"/>
  <c r="Z325" i="1" s="1"/>
  <c r="A324" i="1"/>
  <c r="W324" i="1" s="1"/>
  <c r="Z324" i="1" s="1"/>
  <c r="A323" i="1"/>
  <c r="W323" i="1" s="1"/>
  <c r="Z323" i="1" s="1"/>
  <c r="A322" i="1"/>
  <c r="W322" i="1" s="1"/>
  <c r="Z322" i="1" s="1"/>
  <c r="A321" i="1"/>
  <c r="W321" i="1" s="1"/>
  <c r="Z321" i="1" s="1"/>
  <c r="A320" i="1"/>
  <c r="W320" i="1" s="1"/>
  <c r="Z320" i="1" s="1"/>
  <c r="A319" i="1"/>
  <c r="W319" i="1" s="1"/>
  <c r="Z319" i="1" s="1"/>
  <c r="A318" i="1"/>
  <c r="W318" i="1" s="1"/>
  <c r="Z318" i="1" s="1"/>
  <c r="A317" i="1"/>
  <c r="W317" i="1" s="1"/>
  <c r="Z317" i="1" s="1"/>
  <c r="A316" i="1"/>
  <c r="W316" i="1" s="1"/>
  <c r="Z316" i="1" s="1"/>
  <c r="A315" i="1"/>
  <c r="W315" i="1" s="1"/>
  <c r="Z315" i="1" s="1"/>
  <c r="A314" i="1"/>
  <c r="W314" i="1" s="1"/>
  <c r="Z314" i="1" s="1"/>
  <c r="A313" i="1"/>
  <c r="W313" i="1" s="1"/>
  <c r="Z313" i="1" s="1"/>
  <c r="A312" i="1"/>
  <c r="W312" i="1" s="1"/>
  <c r="Z312" i="1" s="1"/>
  <c r="A311" i="1"/>
  <c r="W311" i="1" s="1"/>
  <c r="Z311" i="1" s="1"/>
  <c r="A310" i="1"/>
  <c r="W310" i="1" s="1"/>
  <c r="Z310" i="1" s="1"/>
  <c r="A309" i="1"/>
  <c r="W309" i="1" s="1"/>
  <c r="Z309" i="1" s="1"/>
  <c r="A308" i="1"/>
  <c r="W308" i="1" s="1"/>
  <c r="Z308" i="1" s="1"/>
  <c r="A307" i="1"/>
  <c r="W307" i="1" s="1"/>
  <c r="Z307" i="1" s="1"/>
  <c r="A306" i="1"/>
  <c r="W306" i="1" s="1"/>
  <c r="Z306" i="1" s="1"/>
  <c r="A305" i="1"/>
  <c r="W305" i="1" s="1"/>
  <c r="Z305" i="1" s="1"/>
  <c r="A304" i="1"/>
  <c r="W304" i="1" s="1"/>
  <c r="Z304" i="1" s="1"/>
  <c r="A303" i="1"/>
  <c r="W303" i="1" s="1"/>
  <c r="Z303" i="1" s="1"/>
  <c r="A302" i="1"/>
  <c r="W302" i="1" s="1"/>
  <c r="Z302" i="1" s="1"/>
  <c r="A301" i="1"/>
  <c r="W301" i="1" s="1"/>
  <c r="Z301" i="1" s="1"/>
  <c r="A300" i="1"/>
  <c r="W300" i="1" s="1"/>
  <c r="Z300" i="1" s="1"/>
  <c r="A299" i="1"/>
  <c r="W299" i="1" s="1"/>
  <c r="Z299" i="1" s="1"/>
  <c r="A298" i="1"/>
  <c r="W298" i="1" s="1"/>
  <c r="Z298" i="1" s="1"/>
  <c r="A297" i="1"/>
  <c r="W297" i="1" s="1"/>
  <c r="Z297" i="1" s="1"/>
  <c r="A296" i="1"/>
  <c r="W296" i="1" s="1"/>
  <c r="Z296" i="1" s="1"/>
  <c r="A295" i="1"/>
  <c r="W295" i="1" s="1"/>
  <c r="Z295" i="1" s="1"/>
  <c r="A294" i="1"/>
  <c r="W294" i="1" s="1"/>
  <c r="Z294" i="1" s="1"/>
  <c r="A293" i="1"/>
  <c r="W293" i="1" s="1"/>
  <c r="Z293" i="1" s="1"/>
  <c r="A292" i="1"/>
  <c r="W292" i="1" s="1"/>
  <c r="Z292" i="1" s="1"/>
  <c r="A291" i="1"/>
  <c r="W291" i="1" s="1"/>
  <c r="Z291" i="1" s="1"/>
  <c r="A290" i="1"/>
  <c r="W290" i="1" s="1"/>
  <c r="Z290" i="1" s="1"/>
  <c r="A289" i="1"/>
  <c r="W289" i="1" s="1"/>
  <c r="Z289" i="1" s="1"/>
  <c r="A288" i="1"/>
  <c r="W288" i="1" s="1"/>
  <c r="Z288" i="1" s="1"/>
  <c r="A287" i="1"/>
  <c r="W287" i="1" s="1"/>
  <c r="Z287" i="1" s="1"/>
  <c r="A286" i="1"/>
  <c r="W286" i="1" s="1"/>
  <c r="Z286" i="1" s="1"/>
  <c r="A285" i="1"/>
  <c r="W285" i="1" s="1"/>
  <c r="Z285" i="1" s="1"/>
  <c r="A284" i="1"/>
  <c r="W284" i="1" s="1"/>
  <c r="Z284" i="1" s="1"/>
  <c r="A283" i="1"/>
  <c r="W283" i="1" s="1"/>
  <c r="Z283" i="1" s="1"/>
  <c r="A282" i="1"/>
  <c r="W282" i="1" s="1"/>
  <c r="Z282" i="1" s="1"/>
  <c r="A281" i="1"/>
  <c r="W281" i="1" s="1"/>
  <c r="Z281" i="1" s="1"/>
  <c r="A280" i="1"/>
  <c r="W280" i="1" s="1"/>
  <c r="Z280" i="1" s="1"/>
  <c r="A279" i="1"/>
  <c r="W279" i="1" s="1"/>
  <c r="Z279" i="1" s="1"/>
  <c r="A278" i="1"/>
  <c r="W278" i="1" s="1"/>
  <c r="Z278" i="1" s="1"/>
  <c r="A277" i="1"/>
  <c r="W277" i="1" s="1"/>
  <c r="Z277" i="1" s="1"/>
  <c r="A276" i="1"/>
  <c r="W276" i="1" s="1"/>
  <c r="Z276" i="1" s="1"/>
  <c r="A275" i="1"/>
  <c r="W275" i="1" s="1"/>
  <c r="Z275" i="1" s="1"/>
  <c r="A274" i="1"/>
  <c r="W274" i="1" s="1"/>
  <c r="Z274" i="1" s="1"/>
  <c r="A273" i="1"/>
  <c r="W273" i="1" s="1"/>
  <c r="Z273" i="1" s="1"/>
  <c r="A272" i="1"/>
  <c r="W272" i="1" s="1"/>
  <c r="Z272" i="1" s="1"/>
  <c r="A271" i="1"/>
  <c r="W271" i="1" s="1"/>
  <c r="Z271" i="1" s="1"/>
  <c r="A270" i="1"/>
  <c r="W270" i="1" s="1"/>
  <c r="Z270" i="1" s="1"/>
  <c r="A269" i="1"/>
  <c r="W269" i="1" s="1"/>
  <c r="Z269" i="1" s="1"/>
  <c r="A268" i="1"/>
  <c r="W268" i="1" s="1"/>
  <c r="Z268" i="1" s="1"/>
  <c r="A267" i="1"/>
  <c r="W267" i="1" s="1"/>
  <c r="Z267" i="1" s="1"/>
  <c r="A266" i="1"/>
  <c r="W266" i="1" s="1"/>
  <c r="Z266" i="1" s="1"/>
  <c r="A265" i="1"/>
  <c r="W265" i="1" s="1"/>
  <c r="Z265" i="1" s="1"/>
  <c r="A264" i="1"/>
  <c r="W264" i="1" s="1"/>
  <c r="Z264" i="1" s="1"/>
  <c r="A263" i="1"/>
  <c r="W263" i="1" s="1"/>
  <c r="Z263" i="1" s="1"/>
  <c r="A262" i="1"/>
  <c r="W262" i="1" s="1"/>
  <c r="Z262" i="1" s="1"/>
  <c r="A261" i="1"/>
  <c r="W261" i="1" s="1"/>
  <c r="Z261" i="1" s="1"/>
  <c r="A260" i="1"/>
  <c r="W260" i="1" s="1"/>
  <c r="Z260" i="1" s="1"/>
  <c r="A259" i="1"/>
  <c r="W259" i="1" s="1"/>
  <c r="Z259" i="1" s="1"/>
  <c r="A258" i="1"/>
  <c r="W258" i="1" s="1"/>
  <c r="Z258" i="1" s="1"/>
  <c r="A257" i="1"/>
  <c r="W257" i="1" s="1"/>
  <c r="Z257" i="1" s="1"/>
  <c r="A256" i="1"/>
  <c r="W256" i="1" s="1"/>
  <c r="Z256" i="1" s="1"/>
  <c r="A255" i="1"/>
  <c r="W255" i="1" s="1"/>
  <c r="Z255" i="1" s="1"/>
  <c r="A254" i="1"/>
  <c r="W254" i="1" s="1"/>
  <c r="Z254" i="1" s="1"/>
  <c r="A253" i="1"/>
  <c r="W253" i="1" s="1"/>
  <c r="Z253" i="1" s="1"/>
  <c r="A252" i="1"/>
  <c r="W252" i="1" s="1"/>
  <c r="Z252" i="1" s="1"/>
  <c r="A251" i="1"/>
  <c r="W251" i="1" s="1"/>
  <c r="Z251" i="1" s="1"/>
  <c r="A250" i="1"/>
  <c r="W250" i="1" s="1"/>
  <c r="Z250" i="1" s="1"/>
  <c r="A249" i="1"/>
  <c r="W249" i="1" s="1"/>
  <c r="Z249" i="1" s="1"/>
  <c r="A248" i="1"/>
  <c r="W248" i="1" s="1"/>
  <c r="Z248" i="1" s="1"/>
  <c r="A247" i="1"/>
  <c r="W247" i="1" s="1"/>
  <c r="Z247" i="1" s="1"/>
  <c r="A246" i="1"/>
  <c r="W246" i="1" s="1"/>
  <c r="Z246" i="1" s="1"/>
  <c r="A245" i="1"/>
  <c r="W245" i="1" s="1"/>
  <c r="Z245" i="1" s="1"/>
  <c r="A244" i="1"/>
  <c r="W244" i="1" s="1"/>
  <c r="Z244" i="1" s="1"/>
  <c r="A243" i="1"/>
  <c r="W243" i="1" s="1"/>
  <c r="Z243" i="1" s="1"/>
  <c r="A242" i="1"/>
  <c r="W242" i="1" s="1"/>
  <c r="Z242" i="1" s="1"/>
  <c r="A241" i="1"/>
  <c r="W241" i="1" s="1"/>
  <c r="Z241" i="1" s="1"/>
  <c r="A240" i="1"/>
  <c r="W240" i="1" s="1"/>
  <c r="Z240" i="1" s="1"/>
  <c r="A239" i="1"/>
  <c r="W239" i="1" s="1"/>
  <c r="Z239" i="1" s="1"/>
  <c r="A238" i="1"/>
  <c r="W238" i="1" s="1"/>
  <c r="Z238" i="1" s="1"/>
  <c r="A237" i="1"/>
  <c r="W237" i="1" s="1"/>
  <c r="Z237" i="1" s="1"/>
  <c r="A236" i="1"/>
  <c r="W236" i="1" s="1"/>
  <c r="Z236" i="1" s="1"/>
  <c r="A235" i="1"/>
  <c r="W235" i="1" s="1"/>
  <c r="Z235" i="1" s="1"/>
  <c r="A234" i="1"/>
  <c r="W234" i="1" s="1"/>
  <c r="Z234" i="1" s="1"/>
  <c r="A233" i="1"/>
  <c r="W233" i="1" s="1"/>
  <c r="Z233" i="1" s="1"/>
  <c r="A232" i="1"/>
  <c r="W232" i="1" s="1"/>
  <c r="Z232" i="1" s="1"/>
  <c r="A231" i="1"/>
  <c r="W231" i="1" s="1"/>
  <c r="Z231" i="1" s="1"/>
  <c r="A230" i="1"/>
  <c r="W230" i="1" s="1"/>
  <c r="Z230" i="1" s="1"/>
  <c r="A229" i="1"/>
  <c r="W229" i="1" s="1"/>
  <c r="Z229" i="1" s="1"/>
  <c r="A228" i="1"/>
  <c r="W228" i="1" s="1"/>
  <c r="Z228" i="1" s="1"/>
  <c r="A227" i="1"/>
  <c r="W227" i="1" s="1"/>
  <c r="Z227" i="1" s="1"/>
  <c r="A226" i="1"/>
  <c r="W226" i="1" s="1"/>
  <c r="Z226" i="1" s="1"/>
  <c r="A225" i="1"/>
  <c r="W225" i="1" s="1"/>
  <c r="Z225" i="1" s="1"/>
  <c r="A224" i="1"/>
  <c r="W224" i="1" s="1"/>
  <c r="Z224" i="1" s="1"/>
  <c r="A223" i="1"/>
  <c r="W223" i="1" s="1"/>
  <c r="Z223" i="1" s="1"/>
  <c r="A222" i="1"/>
  <c r="W222" i="1" s="1"/>
  <c r="Z222" i="1" s="1"/>
  <c r="A221" i="1"/>
  <c r="W221" i="1" s="1"/>
  <c r="Z221" i="1" s="1"/>
  <c r="A220" i="1"/>
  <c r="W220" i="1" s="1"/>
  <c r="Z220" i="1" s="1"/>
  <c r="A219" i="1"/>
  <c r="W219" i="1" s="1"/>
  <c r="Z219" i="1" s="1"/>
  <c r="A218" i="1"/>
  <c r="W218" i="1" s="1"/>
  <c r="Z218" i="1" s="1"/>
  <c r="A217" i="1"/>
  <c r="W217" i="1" s="1"/>
  <c r="Z217" i="1" s="1"/>
  <c r="A216" i="1"/>
  <c r="W216" i="1" s="1"/>
  <c r="Z216" i="1" s="1"/>
  <c r="A215" i="1"/>
  <c r="W215" i="1" s="1"/>
  <c r="Z215" i="1" s="1"/>
  <c r="A214" i="1"/>
  <c r="W214" i="1" s="1"/>
  <c r="Z214" i="1" s="1"/>
  <c r="A213" i="1"/>
  <c r="W213" i="1" s="1"/>
  <c r="Z213" i="1" s="1"/>
  <c r="A212" i="1"/>
  <c r="W212" i="1" s="1"/>
  <c r="Z212" i="1" s="1"/>
  <c r="A211" i="1"/>
  <c r="W211" i="1" s="1"/>
  <c r="Z211" i="1" s="1"/>
  <c r="A210" i="1"/>
  <c r="W210" i="1" s="1"/>
  <c r="Z210" i="1" s="1"/>
  <c r="A209" i="1"/>
  <c r="W209" i="1" s="1"/>
  <c r="Z209" i="1" s="1"/>
  <c r="A208" i="1"/>
  <c r="W208" i="1" s="1"/>
  <c r="Z208" i="1" s="1"/>
  <c r="A207" i="1"/>
  <c r="W207" i="1" s="1"/>
  <c r="Z207" i="1" s="1"/>
  <c r="A206" i="1"/>
  <c r="W206" i="1" s="1"/>
  <c r="Z206" i="1" s="1"/>
  <c r="A205" i="1"/>
  <c r="W205" i="1" s="1"/>
  <c r="Z205" i="1" s="1"/>
  <c r="A204" i="1"/>
  <c r="W204" i="1" s="1"/>
  <c r="Z204" i="1" s="1"/>
  <c r="A203" i="1"/>
  <c r="W203" i="1" s="1"/>
  <c r="Z203" i="1" s="1"/>
  <c r="A202" i="1"/>
  <c r="W202" i="1" s="1"/>
  <c r="Z202" i="1" s="1"/>
  <c r="A201" i="1"/>
  <c r="W201" i="1" s="1"/>
  <c r="Z201" i="1" s="1"/>
  <c r="A200" i="1"/>
  <c r="W200" i="1" s="1"/>
  <c r="Z200" i="1" s="1"/>
  <c r="A199" i="1"/>
  <c r="W199" i="1" s="1"/>
  <c r="Z199" i="1" s="1"/>
  <c r="A198" i="1"/>
  <c r="W198" i="1" s="1"/>
  <c r="Z198" i="1" s="1"/>
  <c r="A197" i="1"/>
  <c r="W197" i="1" s="1"/>
  <c r="Z197" i="1" s="1"/>
  <c r="A196" i="1"/>
  <c r="W196" i="1" s="1"/>
  <c r="Z196" i="1" s="1"/>
  <c r="A195" i="1"/>
  <c r="W195" i="1" s="1"/>
  <c r="Z195" i="1" s="1"/>
  <c r="A194" i="1"/>
  <c r="W194" i="1" s="1"/>
  <c r="Z194" i="1" s="1"/>
  <c r="A193" i="1"/>
  <c r="W193" i="1" s="1"/>
  <c r="Z193" i="1" s="1"/>
  <c r="A192" i="1"/>
  <c r="W192" i="1" s="1"/>
  <c r="Z192" i="1" s="1"/>
  <c r="A191" i="1"/>
  <c r="W191" i="1" s="1"/>
  <c r="Z191" i="1" s="1"/>
  <c r="A190" i="1"/>
  <c r="W190" i="1" s="1"/>
  <c r="Z190" i="1" s="1"/>
  <c r="A189" i="1"/>
  <c r="W189" i="1" s="1"/>
  <c r="Z189" i="1" s="1"/>
  <c r="A188" i="1"/>
  <c r="W188" i="1" s="1"/>
  <c r="Z188" i="1" s="1"/>
  <c r="A187" i="1"/>
  <c r="W187" i="1" s="1"/>
  <c r="Z187" i="1" s="1"/>
  <c r="A186" i="1"/>
  <c r="W186" i="1" s="1"/>
  <c r="Z186" i="1" s="1"/>
  <c r="A185" i="1"/>
  <c r="W185" i="1" s="1"/>
  <c r="Z185" i="1" s="1"/>
  <c r="A184" i="1"/>
  <c r="W184" i="1" s="1"/>
  <c r="Z184" i="1" s="1"/>
  <c r="A183" i="1"/>
  <c r="W183" i="1" s="1"/>
  <c r="Z183" i="1" s="1"/>
  <c r="A182" i="1"/>
  <c r="W182" i="1" s="1"/>
  <c r="Z182" i="1" s="1"/>
  <c r="A181" i="1"/>
  <c r="W181" i="1" s="1"/>
  <c r="Z181" i="1" s="1"/>
  <c r="A180" i="1"/>
  <c r="W180" i="1" s="1"/>
  <c r="Z180" i="1" s="1"/>
  <c r="A179" i="1"/>
  <c r="W179" i="1" s="1"/>
  <c r="Z179" i="1" s="1"/>
  <c r="A178" i="1"/>
  <c r="W178" i="1" s="1"/>
  <c r="Z178" i="1" s="1"/>
  <c r="A177" i="1"/>
  <c r="W177" i="1" s="1"/>
  <c r="Z177" i="1" s="1"/>
  <c r="A176" i="1"/>
  <c r="W176" i="1" s="1"/>
  <c r="Z176" i="1" s="1"/>
  <c r="A175" i="1"/>
  <c r="W175" i="1" s="1"/>
  <c r="Z175" i="1" s="1"/>
  <c r="A174" i="1"/>
  <c r="W174" i="1" s="1"/>
  <c r="Z174" i="1" s="1"/>
  <c r="A173" i="1"/>
  <c r="W173" i="1" s="1"/>
  <c r="Z173" i="1" s="1"/>
  <c r="A172" i="1"/>
  <c r="W172" i="1" s="1"/>
  <c r="Z172" i="1" s="1"/>
  <c r="A171" i="1"/>
  <c r="W171" i="1" s="1"/>
  <c r="Z171" i="1" s="1"/>
  <c r="A170" i="1"/>
  <c r="W170" i="1" s="1"/>
  <c r="Z170" i="1" s="1"/>
  <c r="A169" i="1"/>
  <c r="W169" i="1" s="1"/>
  <c r="Z169" i="1" s="1"/>
  <c r="A168" i="1"/>
  <c r="W168" i="1" s="1"/>
  <c r="Z168" i="1" s="1"/>
  <c r="A167" i="1"/>
  <c r="W167" i="1" s="1"/>
  <c r="Z167" i="1" s="1"/>
  <c r="A166" i="1"/>
  <c r="W166" i="1" s="1"/>
  <c r="Z166" i="1" s="1"/>
  <c r="A164" i="1"/>
  <c r="W164" i="1" s="1"/>
  <c r="Z164" i="1" s="1"/>
  <c r="A163" i="1"/>
  <c r="W163" i="1" s="1"/>
  <c r="Z163" i="1" s="1"/>
  <c r="A162" i="1"/>
  <c r="W162" i="1" s="1"/>
  <c r="Z162" i="1" s="1"/>
  <c r="A161" i="1"/>
  <c r="W161" i="1" s="1"/>
  <c r="Z161" i="1" s="1"/>
  <c r="A160" i="1"/>
  <c r="W160" i="1" s="1"/>
  <c r="Z160" i="1" s="1"/>
  <c r="A159" i="1"/>
  <c r="W159" i="1" s="1"/>
  <c r="Z159" i="1" s="1"/>
  <c r="A158" i="1"/>
  <c r="W158" i="1" s="1"/>
  <c r="Z158" i="1" s="1"/>
  <c r="A157" i="1"/>
  <c r="A156" i="1"/>
  <c r="W156" i="1" s="1"/>
  <c r="Z156" i="1" s="1"/>
  <c r="A155" i="1"/>
  <c r="W155" i="1" s="1"/>
  <c r="Z155" i="1" s="1"/>
  <c r="A154" i="1"/>
  <c r="A153" i="1"/>
  <c r="W153" i="1" s="1"/>
  <c r="Z153" i="1" s="1"/>
  <c r="A152" i="1"/>
  <c r="W152" i="1" s="1"/>
  <c r="Z152" i="1" s="1"/>
  <c r="A151" i="1"/>
  <c r="W151" i="1" s="1"/>
  <c r="Z151" i="1" s="1"/>
  <c r="A150" i="1"/>
  <c r="W150" i="1" s="1"/>
  <c r="Z150" i="1" s="1"/>
  <c r="A149" i="1"/>
  <c r="W149" i="1" s="1"/>
  <c r="Z149" i="1" s="1"/>
  <c r="A148" i="1"/>
  <c r="W148" i="1" s="1"/>
  <c r="Z148" i="1" s="1"/>
  <c r="A147" i="1"/>
  <c r="W147" i="1" s="1"/>
  <c r="Z147" i="1" s="1"/>
  <c r="A146" i="1"/>
  <c r="W146" i="1" s="1"/>
  <c r="Z146" i="1" s="1"/>
  <c r="A145" i="1"/>
  <c r="W145" i="1" s="1"/>
  <c r="Z145" i="1" s="1"/>
  <c r="A144" i="1"/>
  <c r="W144" i="1" s="1"/>
  <c r="Z144" i="1" s="1"/>
  <c r="A143" i="1"/>
  <c r="W143" i="1" s="1"/>
  <c r="Z143" i="1" s="1"/>
  <c r="A142" i="1"/>
  <c r="W142" i="1" s="1"/>
  <c r="Z142" i="1" s="1"/>
  <c r="A141" i="1"/>
  <c r="W141" i="1" s="1"/>
  <c r="Z141" i="1" s="1"/>
  <c r="A140" i="1"/>
  <c r="W140" i="1" s="1"/>
  <c r="Z140" i="1" s="1"/>
  <c r="A139" i="1"/>
  <c r="W139" i="1" s="1"/>
  <c r="Z139" i="1" s="1"/>
  <c r="A138" i="1"/>
  <c r="W138" i="1" s="1"/>
  <c r="Z138" i="1" s="1"/>
  <c r="A137" i="1"/>
  <c r="W137" i="1" s="1"/>
  <c r="Z137" i="1" s="1"/>
  <c r="A136" i="1"/>
  <c r="W136" i="1" s="1"/>
  <c r="Z136" i="1" s="1"/>
  <c r="A135" i="1"/>
  <c r="W135" i="1" s="1"/>
  <c r="Z135" i="1" s="1"/>
  <c r="A134" i="1"/>
  <c r="W134" i="1" s="1"/>
  <c r="Z134" i="1" s="1"/>
  <c r="A133" i="1"/>
  <c r="W133" i="1" s="1"/>
  <c r="Z133" i="1" s="1"/>
  <c r="A132" i="1"/>
  <c r="W132" i="1" s="1"/>
  <c r="Z132" i="1" s="1"/>
  <c r="A131" i="1"/>
  <c r="W131" i="1" s="1"/>
  <c r="Z131" i="1" s="1"/>
  <c r="A130" i="1"/>
  <c r="W130" i="1" s="1"/>
  <c r="Z130" i="1" s="1"/>
  <c r="A129" i="1"/>
  <c r="W129" i="1" s="1"/>
  <c r="Z129" i="1" s="1"/>
  <c r="A128" i="1"/>
  <c r="W128" i="1" s="1"/>
  <c r="Z128" i="1" s="1"/>
  <c r="A127" i="1"/>
  <c r="W127" i="1" s="1"/>
  <c r="Z127" i="1" s="1"/>
  <c r="A126" i="1"/>
  <c r="W126" i="1" s="1"/>
  <c r="Z126" i="1" s="1"/>
  <c r="A125" i="1"/>
  <c r="W125" i="1" s="1"/>
  <c r="Z125" i="1" s="1"/>
  <c r="A124" i="1"/>
  <c r="W124" i="1" s="1"/>
  <c r="Z124" i="1" s="1"/>
  <c r="A123" i="1"/>
  <c r="A122" i="1"/>
  <c r="W122" i="1" s="1"/>
  <c r="Z122" i="1" s="1"/>
  <c r="A121" i="1"/>
  <c r="W121" i="1" s="1"/>
  <c r="Z121" i="1" s="1"/>
  <c r="A120" i="1"/>
  <c r="W120" i="1" s="1"/>
  <c r="Z120" i="1" s="1"/>
  <c r="A119" i="1"/>
  <c r="W119" i="1" s="1"/>
  <c r="Z119" i="1" s="1"/>
  <c r="A118" i="1"/>
  <c r="A117" i="1"/>
  <c r="W117" i="1" s="1"/>
  <c r="Z117" i="1" s="1"/>
  <c r="A116" i="1"/>
  <c r="W116" i="1" s="1"/>
  <c r="Z116" i="1" s="1"/>
  <c r="A115" i="1"/>
  <c r="A114" i="1"/>
  <c r="W114" i="1" s="1"/>
  <c r="Z114" i="1" s="1"/>
  <c r="A113" i="1"/>
  <c r="W113" i="1" s="1"/>
  <c r="Z113" i="1" s="1"/>
  <c r="A112" i="1"/>
  <c r="W112" i="1" s="1"/>
  <c r="Z112" i="1" s="1"/>
  <c r="A111" i="1"/>
  <c r="W111" i="1" s="1"/>
  <c r="Z111" i="1" s="1"/>
  <c r="A110" i="1"/>
  <c r="A109" i="1"/>
  <c r="W109" i="1" s="1"/>
  <c r="Z109" i="1" s="1"/>
  <c r="A108" i="1"/>
  <c r="W108" i="1" s="1"/>
  <c r="Z108" i="1" s="1"/>
  <c r="A107" i="1"/>
  <c r="A106" i="1"/>
  <c r="W106" i="1" s="1"/>
  <c r="Z106" i="1" s="1"/>
  <c r="A105" i="1"/>
  <c r="W105" i="1" s="1"/>
  <c r="Z105" i="1" s="1"/>
  <c r="A104" i="1"/>
  <c r="W104" i="1" s="1"/>
  <c r="Z104" i="1" s="1"/>
  <c r="A103" i="1"/>
  <c r="W103" i="1" s="1"/>
  <c r="Z103" i="1" s="1"/>
  <c r="A102" i="1"/>
  <c r="A101" i="1"/>
  <c r="W101" i="1" s="1"/>
  <c r="Z101" i="1" s="1"/>
  <c r="A100" i="1"/>
  <c r="W100" i="1" s="1"/>
  <c r="Z100" i="1" s="1"/>
  <c r="A99" i="1"/>
  <c r="A98" i="1"/>
  <c r="W98" i="1" s="1"/>
  <c r="Z98" i="1" s="1"/>
  <c r="A97" i="1"/>
  <c r="W97" i="1" s="1"/>
  <c r="Z97" i="1" s="1"/>
  <c r="A96" i="1"/>
  <c r="W96" i="1" s="1"/>
  <c r="Z96" i="1" s="1"/>
  <c r="A95" i="1"/>
  <c r="W95" i="1" s="1"/>
  <c r="Z95" i="1" s="1"/>
  <c r="A94" i="1"/>
  <c r="A93" i="1"/>
  <c r="W93" i="1" s="1"/>
  <c r="Z93" i="1" s="1"/>
  <c r="A92" i="1"/>
  <c r="W92" i="1" s="1"/>
  <c r="Z92" i="1" s="1"/>
  <c r="A91" i="1"/>
  <c r="A90" i="1"/>
  <c r="W90" i="1" s="1"/>
  <c r="Z90" i="1" s="1"/>
  <c r="A89" i="1"/>
  <c r="W89" i="1" s="1"/>
  <c r="Z89" i="1" s="1"/>
  <c r="A88" i="1"/>
  <c r="W88" i="1" s="1"/>
  <c r="Z88" i="1" s="1"/>
  <c r="A87" i="1"/>
  <c r="W87" i="1" s="1"/>
  <c r="Z87" i="1" s="1"/>
  <c r="A86" i="1"/>
  <c r="A85" i="1"/>
  <c r="W85" i="1" s="1"/>
  <c r="Z85" i="1" s="1"/>
  <c r="A84" i="1"/>
  <c r="W84" i="1" s="1"/>
  <c r="Z84" i="1" s="1"/>
  <c r="A83" i="1"/>
  <c r="A82" i="1"/>
  <c r="W82" i="1" s="1"/>
  <c r="Z82" i="1" s="1"/>
  <c r="A81" i="1"/>
  <c r="W81" i="1" s="1"/>
  <c r="Z81" i="1" s="1"/>
  <c r="A80" i="1"/>
  <c r="W80" i="1" s="1"/>
  <c r="Z80" i="1" s="1"/>
  <c r="A79" i="1"/>
  <c r="W79" i="1" s="1"/>
  <c r="Z79" i="1" s="1"/>
  <c r="A78" i="1"/>
  <c r="A77" i="1"/>
  <c r="W77" i="1" s="1"/>
  <c r="Z77" i="1" s="1"/>
  <c r="A76" i="1"/>
  <c r="W76" i="1" s="1"/>
  <c r="Z76" i="1" s="1"/>
  <c r="A75" i="1"/>
  <c r="A74" i="1"/>
  <c r="W74" i="1" s="1"/>
  <c r="Z74" i="1" s="1"/>
  <c r="A73" i="1"/>
  <c r="W73" i="1" s="1"/>
  <c r="Z73" i="1" s="1"/>
  <c r="A72" i="1"/>
  <c r="W72" i="1" s="1"/>
  <c r="Z72" i="1" s="1"/>
  <c r="A71" i="1"/>
  <c r="W71" i="1" s="1"/>
  <c r="Z71" i="1" s="1"/>
  <c r="A70" i="1"/>
  <c r="W70" i="1" s="1"/>
  <c r="Z70" i="1" s="1"/>
  <c r="A69" i="1"/>
  <c r="W69" i="1" s="1"/>
  <c r="Z69" i="1" s="1"/>
  <c r="A68" i="1"/>
  <c r="W68" i="1" s="1"/>
  <c r="Z68" i="1" s="1"/>
  <c r="A67" i="1"/>
  <c r="W67" i="1" s="1"/>
  <c r="Z67" i="1" s="1"/>
  <c r="A66" i="1"/>
  <c r="W66" i="1" s="1"/>
  <c r="Z66" i="1" s="1"/>
  <c r="A65" i="1"/>
  <c r="W65" i="1" s="1"/>
  <c r="Z65" i="1" s="1"/>
  <c r="A64" i="1"/>
  <c r="W64" i="1" s="1"/>
  <c r="Z64" i="1" s="1"/>
  <c r="A63" i="1"/>
  <c r="W63" i="1" s="1"/>
  <c r="Z63" i="1" s="1"/>
  <c r="A62" i="1"/>
  <c r="W62" i="1" s="1"/>
  <c r="Z62" i="1" s="1"/>
  <c r="A61" i="1"/>
  <c r="W61" i="1" s="1"/>
  <c r="Z61" i="1" s="1"/>
  <c r="A60" i="1"/>
  <c r="W60" i="1" s="1"/>
  <c r="Z60" i="1" s="1"/>
  <c r="A59" i="1"/>
  <c r="W59" i="1" s="1"/>
  <c r="Z59" i="1" s="1"/>
  <c r="A58" i="1"/>
  <c r="W58" i="1" s="1"/>
  <c r="Z58" i="1" s="1"/>
  <c r="A57" i="1"/>
  <c r="W57" i="1" s="1"/>
  <c r="Z57" i="1" s="1"/>
  <c r="A56" i="1"/>
  <c r="W56" i="1" s="1"/>
  <c r="Z56" i="1" s="1"/>
  <c r="A55" i="1"/>
  <c r="W55" i="1" s="1"/>
  <c r="Z55" i="1" s="1"/>
  <c r="A54" i="1"/>
  <c r="W54" i="1" s="1"/>
  <c r="Z54" i="1" s="1"/>
  <c r="A53" i="1"/>
  <c r="W53" i="1" s="1"/>
  <c r="Z53" i="1" s="1"/>
  <c r="A52" i="1"/>
  <c r="W52" i="1" s="1"/>
  <c r="Z52" i="1" s="1"/>
  <c r="A51" i="1"/>
  <c r="W51" i="1" s="1"/>
  <c r="Z51" i="1" s="1"/>
  <c r="A50" i="1"/>
  <c r="W50" i="1" s="1"/>
  <c r="Z50" i="1" s="1"/>
  <c r="A49" i="1"/>
  <c r="W49" i="1" s="1"/>
  <c r="Z49" i="1" s="1"/>
  <c r="A48" i="1"/>
  <c r="W48" i="1" s="1"/>
  <c r="Z48" i="1" s="1"/>
  <c r="A47" i="1"/>
  <c r="W47" i="1" s="1"/>
  <c r="Z47" i="1" s="1"/>
  <c r="A46" i="1"/>
  <c r="W46" i="1" s="1"/>
  <c r="Z46" i="1" s="1"/>
  <c r="A45" i="1"/>
  <c r="W45" i="1" s="1"/>
  <c r="Z45" i="1" s="1"/>
  <c r="A44" i="1"/>
  <c r="W44" i="1" s="1"/>
  <c r="Z44" i="1" s="1"/>
  <c r="A43" i="1"/>
  <c r="W43" i="1" s="1"/>
  <c r="Z43" i="1" s="1"/>
  <c r="A42" i="1"/>
  <c r="W42" i="1" s="1"/>
  <c r="Z42" i="1" s="1"/>
  <c r="A41" i="1"/>
  <c r="W41" i="1" s="1"/>
  <c r="Z41" i="1" s="1"/>
  <c r="A40" i="1"/>
  <c r="W40" i="1" s="1"/>
  <c r="Z40" i="1" s="1"/>
  <c r="A39" i="1"/>
  <c r="W39" i="1" s="1"/>
  <c r="Z39" i="1" s="1"/>
  <c r="A38" i="1"/>
  <c r="W38" i="1" s="1"/>
  <c r="Z38" i="1" s="1"/>
  <c r="A37" i="1"/>
  <c r="W37" i="1" s="1"/>
  <c r="Z37" i="1" s="1"/>
  <c r="A36" i="1"/>
  <c r="W36" i="1" s="1"/>
  <c r="Z36" i="1" s="1"/>
  <c r="A35" i="1"/>
  <c r="W35" i="1" s="1"/>
  <c r="Z35" i="1" s="1"/>
  <c r="A34" i="1"/>
  <c r="W34" i="1" s="1"/>
  <c r="Z34" i="1" s="1"/>
  <c r="A33" i="1"/>
  <c r="W33" i="1" s="1"/>
  <c r="Z33" i="1" s="1"/>
  <c r="A32" i="1"/>
  <c r="W32" i="1" s="1"/>
  <c r="Z32" i="1" s="1"/>
  <c r="A31" i="1"/>
  <c r="W31" i="1" s="1"/>
  <c r="Z31" i="1" s="1"/>
  <c r="A30" i="1"/>
  <c r="W30" i="1" s="1"/>
  <c r="Z30" i="1" s="1"/>
  <c r="A29" i="1"/>
  <c r="W29" i="1" s="1"/>
  <c r="Z29" i="1" s="1"/>
  <c r="A28" i="1"/>
  <c r="W28" i="1" s="1"/>
  <c r="Z28" i="1" s="1"/>
  <c r="A27" i="1"/>
  <c r="W27" i="1" s="1"/>
  <c r="Z27" i="1" s="1"/>
  <c r="A26" i="1"/>
  <c r="W26" i="1" s="1"/>
  <c r="Z26" i="1" s="1"/>
  <c r="A25" i="1"/>
  <c r="W25" i="1" s="1"/>
  <c r="Z25" i="1" s="1"/>
  <c r="A24" i="1"/>
  <c r="W24" i="1" s="1"/>
  <c r="Z24" i="1" s="1"/>
  <c r="A23" i="1"/>
  <c r="W23" i="1" s="1"/>
  <c r="Z23" i="1" s="1"/>
  <c r="A22" i="1"/>
  <c r="W22" i="1" s="1"/>
  <c r="Z22" i="1" s="1"/>
  <c r="A21" i="1"/>
  <c r="W21" i="1" s="1"/>
  <c r="Z21" i="1" s="1"/>
  <c r="A20" i="1"/>
  <c r="W20" i="1" s="1"/>
  <c r="Z20" i="1" s="1"/>
  <c r="A19" i="1"/>
  <c r="W19" i="1" s="1"/>
  <c r="Z19" i="1" s="1"/>
  <c r="A18" i="1"/>
  <c r="W18" i="1" s="1"/>
  <c r="Z18" i="1" s="1"/>
  <c r="A17" i="1"/>
  <c r="W17" i="1" s="1"/>
  <c r="Z17" i="1" s="1"/>
  <c r="A16" i="1"/>
  <c r="W16" i="1" s="1"/>
  <c r="Z16" i="1" s="1"/>
  <c r="A15" i="1"/>
  <c r="W15" i="1" s="1"/>
  <c r="Z15" i="1" s="1"/>
  <c r="A14" i="1"/>
  <c r="W14" i="1" s="1"/>
  <c r="Z14" i="1" s="1"/>
  <c r="A13" i="1"/>
  <c r="W13" i="1" s="1"/>
  <c r="Z13" i="1" s="1"/>
  <c r="A12" i="1"/>
  <c r="W12" i="1" s="1"/>
  <c r="Z12" i="1" s="1"/>
  <c r="A11" i="1"/>
  <c r="W11" i="1" s="1"/>
  <c r="Z11" i="1" s="1"/>
  <c r="A10" i="1"/>
  <c r="W10" i="1" s="1"/>
  <c r="Z10" i="1" s="1"/>
  <c r="A9" i="1"/>
  <c r="W9" i="1" s="1"/>
  <c r="Z9" i="1" s="1"/>
  <c r="A8" i="1"/>
  <c r="W8" i="1" s="1"/>
  <c r="Z8" i="1" s="1"/>
  <c r="A7" i="1"/>
  <c r="W7" i="1" s="1"/>
  <c r="Z7" i="1" s="1"/>
  <c r="A6" i="1"/>
  <c r="W6" i="1" s="1"/>
  <c r="Z6" i="1" s="1"/>
  <c r="A5" i="1"/>
  <c r="W5" i="1" s="1"/>
  <c r="Z5" i="1" s="1"/>
  <c r="A4" i="1"/>
  <c r="W4" i="1" s="1"/>
  <c r="Z4" i="1" s="1"/>
  <c r="A3" i="1"/>
  <c r="W3" i="1" s="1"/>
  <c r="Z3" i="1" s="1"/>
  <c r="W154" i="1" l="1"/>
  <c r="W157" i="1"/>
  <c r="W75" i="1"/>
  <c r="W83" i="1"/>
  <c r="W91" i="1"/>
  <c r="W99" i="1"/>
  <c r="Z99" i="1" s="1"/>
  <c r="W107" i="1"/>
  <c r="W115" i="1"/>
  <c r="W123" i="1"/>
  <c r="W78" i="1"/>
  <c r="Z78" i="1" s="1"/>
  <c r="W86" i="1"/>
  <c r="W94" i="1"/>
  <c r="W102" i="1"/>
  <c r="W110" i="1"/>
  <c r="W118" i="1"/>
  <c r="Z118" i="1" s="1"/>
  <c r="B14" i="1"/>
  <c r="B48" i="1"/>
  <c r="U48" i="1"/>
  <c r="B114" i="1"/>
  <c r="B153" i="1"/>
  <c r="B177" i="1"/>
  <c r="B201" i="1"/>
  <c r="B291" i="1"/>
  <c r="B315" i="1"/>
  <c r="B323" i="1"/>
  <c r="B347" i="1"/>
  <c r="B353" i="1"/>
  <c r="B371" i="1"/>
  <c r="B377" i="1"/>
  <c r="B395" i="1"/>
  <c r="B401" i="1"/>
  <c r="B437" i="1"/>
  <c r="B467" i="1"/>
  <c r="B469" i="1"/>
  <c r="B489" i="1"/>
  <c r="B505" i="1"/>
  <c r="B523" i="1"/>
  <c r="B529" i="1"/>
  <c r="B547" i="1"/>
  <c r="B553" i="1"/>
  <c r="B563" i="1"/>
  <c r="B569" i="1"/>
  <c r="B587" i="1"/>
  <c r="B593" i="1"/>
  <c r="B605" i="1"/>
  <c r="B617" i="1"/>
  <c r="B639" i="1"/>
  <c r="B663" i="1"/>
  <c r="B687" i="1"/>
  <c r="B711" i="1"/>
  <c r="B729" i="1"/>
  <c r="B735" i="1"/>
  <c r="B753" i="1"/>
  <c r="B759" i="1"/>
  <c r="B793" i="1"/>
  <c r="B799" i="1"/>
  <c r="B809" i="1"/>
  <c r="B821" i="1"/>
  <c r="B833" i="1"/>
  <c r="B845" i="1"/>
  <c r="B857" i="1"/>
  <c r="B881" i="1"/>
  <c r="B893" i="1"/>
  <c r="B909" i="1"/>
  <c r="B921" i="1"/>
  <c r="B933" i="1"/>
  <c r="B945" i="1"/>
  <c r="B957" i="1"/>
  <c r="B969" i="1"/>
  <c r="B993" i="1"/>
  <c r="B355" i="1"/>
  <c r="B515" i="1"/>
  <c r="B521" i="1"/>
  <c r="B533" i="1"/>
  <c r="B539" i="1"/>
  <c r="B545" i="1"/>
  <c r="B577" i="1"/>
  <c r="B601" i="1"/>
  <c r="B625" i="1"/>
  <c r="B631" i="1"/>
  <c r="B649" i="1"/>
  <c r="B655" i="1"/>
  <c r="B671" i="1"/>
  <c r="B689" i="1"/>
  <c r="B695" i="1"/>
  <c r="B713" i="1"/>
  <c r="B719" i="1"/>
  <c r="B737" i="1"/>
  <c r="B743" i="1"/>
  <c r="B761" i="1"/>
  <c r="B767" i="1"/>
  <c r="B777" i="1"/>
  <c r="B783" i="1"/>
  <c r="B789" i="1"/>
  <c r="B795" i="1"/>
  <c r="B813" i="1"/>
  <c r="B825" i="1"/>
  <c r="B837" i="1"/>
  <c r="B849" i="1"/>
  <c r="B861" i="1"/>
  <c r="B873" i="1"/>
  <c r="B885" i="1"/>
  <c r="B897" i="1"/>
  <c r="B917" i="1"/>
  <c r="B929" i="1"/>
  <c r="B941" i="1"/>
  <c r="B953" i="1"/>
  <c r="B973" i="1"/>
  <c r="B985" i="1"/>
  <c r="B997" i="1"/>
  <c r="B16" i="1"/>
  <c r="B26" i="1"/>
  <c r="B38" i="1"/>
  <c r="B112" i="1"/>
  <c r="U124" i="1"/>
  <c r="B161" i="1"/>
  <c r="B185" i="1"/>
  <c r="B209" i="1"/>
  <c r="B261" i="1"/>
  <c r="B299" i="1"/>
  <c r="B321" i="1"/>
  <c r="B331" i="1"/>
  <c r="B339" i="1"/>
  <c r="B345" i="1"/>
  <c r="B363" i="1"/>
  <c r="B369" i="1"/>
  <c r="B419" i="1"/>
  <c r="B483" i="1"/>
  <c r="B501" i="1"/>
  <c r="B513" i="1"/>
  <c r="B531" i="1"/>
  <c r="B537" i="1"/>
  <c r="B555" i="1"/>
  <c r="B561" i="1"/>
  <c r="B573" i="1"/>
  <c r="B597" i="1"/>
  <c r="B603" i="1"/>
  <c r="B647" i="1"/>
  <c r="B679" i="1"/>
  <c r="B703" i="1"/>
  <c r="B721" i="1"/>
  <c r="B727" i="1"/>
  <c r="B745" i="1"/>
  <c r="B751" i="1"/>
  <c r="B769" i="1"/>
  <c r="B775" i="1"/>
  <c r="B797" i="1"/>
  <c r="B805" i="1"/>
  <c r="B817" i="1"/>
  <c r="B829" i="1"/>
  <c r="B841" i="1"/>
  <c r="B853" i="1"/>
  <c r="B865" i="1"/>
  <c r="B877" i="1"/>
  <c r="B889" i="1"/>
  <c r="B901" i="1"/>
  <c r="B913" i="1"/>
  <c r="B925" i="1"/>
  <c r="B937" i="1"/>
  <c r="B949" i="1"/>
  <c r="B961" i="1"/>
  <c r="B965" i="1"/>
  <c r="B977" i="1"/>
  <c r="B981" i="1"/>
  <c r="B989" i="1"/>
  <c r="B22" i="1"/>
  <c r="B40" i="1"/>
  <c r="B90" i="1"/>
  <c r="B98" i="1"/>
  <c r="B130" i="1"/>
  <c r="B137" i="1"/>
  <c r="B145" i="1"/>
  <c r="B167" i="1"/>
  <c r="B241" i="1"/>
  <c r="B249" i="1"/>
  <c r="B259" i="1"/>
  <c r="B307" i="1"/>
  <c r="B329" i="1"/>
  <c r="B23" i="1"/>
  <c r="B63" i="1"/>
  <c r="B140" i="1"/>
  <c r="B148" i="1"/>
  <c r="B152" i="1"/>
  <c r="B196" i="1"/>
  <c r="B208" i="1"/>
  <c r="B224" i="1"/>
  <c r="B228" i="1"/>
  <c r="B244" i="1"/>
  <c r="B254" i="1"/>
  <c r="B346" i="1"/>
  <c r="B438" i="1"/>
  <c r="B446" i="1"/>
  <c r="B454" i="1"/>
  <c r="B470" i="1"/>
  <c r="B478" i="1"/>
  <c r="B486" i="1"/>
  <c r="B538" i="1"/>
  <c r="B570" i="1"/>
  <c r="B578" i="1"/>
  <c r="B702" i="1"/>
  <c r="B718" i="1"/>
  <c r="B758" i="1"/>
  <c r="B766" i="1"/>
  <c r="B812" i="1"/>
  <c r="B820" i="1"/>
  <c r="B836" i="1"/>
  <c r="B868" i="1"/>
  <c r="B876" i="1"/>
  <c r="B932" i="1"/>
  <c r="B956" i="1"/>
  <c r="B988" i="1"/>
  <c r="B992" i="1"/>
  <c r="B6" i="1"/>
  <c r="U18" i="1"/>
  <c r="B30" i="1"/>
  <c r="B66" i="1"/>
  <c r="B82" i="1"/>
  <c r="B106" i="1"/>
  <c r="B122" i="1"/>
  <c r="U122" i="1"/>
  <c r="B159" i="1"/>
  <c r="B193" i="1"/>
  <c r="B233" i="1"/>
  <c r="B257" i="1"/>
  <c r="B283" i="1"/>
  <c r="B297" i="1"/>
  <c r="B77" i="1"/>
  <c r="B93" i="1"/>
  <c r="B101" i="1"/>
  <c r="B109" i="1"/>
  <c r="B117" i="1"/>
  <c r="B125" i="1"/>
  <c r="B156" i="1"/>
  <c r="B164" i="1"/>
  <c r="B176" i="1"/>
  <c r="B212" i="1"/>
  <c r="B240" i="1"/>
  <c r="B290" i="1"/>
  <c r="B298" i="1"/>
  <c r="B312" i="1"/>
  <c r="B344" i="1"/>
  <c r="B370" i="1"/>
  <c r="B386" i="1"/>
  <c r="B402" i="1"/>
  <c r="B410" i="1"/>
  <c r="B426" i="1"/>
  <c r="B494" i="1"/>
  <c r="B502" i="1"/>
  <c r="B518" i="1"/>
  <c r="B526" i="1"/>
  <c r="B534" i="1"/>
  <c r="B608" i="1"/>
  <c r="B792" i="1"/>
  <c r="B856" i="1"/>
  <c r="B872" i="1"/>
  <c r="B880" i="1"/>
  <c r="B896" i="1"/>
  <c r="B920" i="1"/>
  <c r="B976" i="1"/>
  <c r="B12" i="1"/>
  <c r="B32" i="1"/>
  <c r="B44" i="1"/>
  <c r="B56" i="1"/>
  <c r="B80" i="1"/>
  <c r="B104" i="1"/>
  <c r="B128" i="1"/>
  <c r="B151" i="1"/>
  <c r="B225" i="1"/>
  <c r="B251" i="1"/>
  <c r="B275" i="1"/>
  <c r="B313" i="1"/>
  <c r="U19" i="1"/>
  <c r="B133" i="1"/>
  <c r="B172" i="1"/>
  <c r="B180" i="1"/>
  <c r="B188" i="1"/>
  <c r="B236" i="1"/>
  <c r="B498" i="1"/>
  <c r="B542" i="1"/>
  <c r="B550" i="1"/>
  <c r="B558" i="1"/>
  <c r="B566" i="1"/>
  <c r="B574" i="1"/>
  <c r="B582" i="1"/>
  <c r="B590" i="1"/>
  <c r="B618" i="1"/>
  <c r="B774" i="1"/>
  <c r="B828" i="1"/>
  <c r="B844" i="1"/>
  <c r="B916" i="1"/>
  <c r="B8" i="1"/>
  <c r="B24" i="1"/>
  <c r="B46" i="1"/>
  <c r="B120" i="1"/>
  <c r="B143" i="1"/>
  <c r="B169" i="1"/>
  <c r="B217" i="1"/>
  <c r="B267" i="1"/>
  <c r="B281" i="1"/>
  <c r="B305" i="1"/>
  <c r="U17" i="1"/>
  <c r="U129" i="1"/>
  <c r="B192" i="1"/>
  <c r="B204" i="1"/>
  <c r="B220" i="1"/>
  <c r="B282" i="1"/>
  <c r="B288" i="1"/>
  <c r="B376" i="1"/>
  <c r="B392" i="1"/>
  <c r="B610" i="1"/>
  <c r="B620" i="1"/>
  <c r="B628" i="1"/>
  <c r="B636" i="1"/>
  <c r="B644" i="1"/>
  <c r="B908" i="1"/>
  <c r="B924" i="1"/>
  <c r="B4" i="10"/>
  <c r="AT9" i="10"/>
  <c r="AT11" i="10" s="1"/>
  <c r="B952" i="1"/>
  <c r="B514" i="1"/>
  <c r="B274" i="1"/>
  <c r="AA6" i="10"/>
  <c r="B733" i="1"/>
  <c r="B158" i="1"/>
  <c r="B408" i="1"/>
  <c r="B108" i="1"/>
  <c r="B646" i="1"/>
  <c r="B116" i="1"/>
  <c r="B476" i="1"/>
  <c r="B788" i="1"/>
  <c r="B375" i="1"/>
  <c r="B139" i="1"/>
  <c r="B528" i="1"/>
  <c r="B664" i="1"/>
  <c r="B34" i="1"/>
  <c r="B641" i="1"/>
  <c r="B686" i="1"/>
  <c r="B18" i="1"/>
  <c r="B113" i="1"/>
  <c r="B356" i="1"/>
  <c r="B314" i="1"/>
  <c r="B589" i="1"/>
  <c r="B100" i="1"/>
  <c r="B328" i="1"/>
  <c r="B595" i="1"/>
  <c r="B632" i="1"/>
  <c r="B657" i="1"/>
  <c r="B144" i="1"/>
  <c r="B289" i="1"/>
  <c r="B549" i="1"/>
  <c r="B132" i="1"/>
  <c r="B461" i="1"/>
  <c r="B79" i="1"/>
  <c r="B136" i="1"/>
  <c r="B147" i="1"/>
  <c r="B232" i="1"/>
  <c r="B306" i="1"/>
  <c r="B362" i="1"/>
  <c r="B453" i="1"/>
  <c r="B472" i="1"/>
  <c r="B672" i="1"/>
  <c r="B707" i="1"/>
  <c r="B771" i="1"/>
  <c r="B124" i="1"/>
  <c r="B320" i="1"/>
  <c r="B351" i="1"/>
  <c r="B568" i="1"/>
  <c r="B579" i="1"/>
  <c r="B715" i="1"/>
  <c r="B900" i="1"/>
  <c r="B959" i="1"/>
  <c r="B465" i="1"/>
  <c r="B546" i="1"/>
  <c r="B557" i="1"/>
  <c r="B613" i="1"/>
  <c r="B665" i="1"/>
  <c r="B704" i="1"/>
  <c r="B31" i="1"/>
  <c r="B150" i="1"/>
  <c r="B235" i="1"/>
  <c r="B340" i="1"/>
  <c r="B431" i="1"/>
  <c r="B506" i="1"/>
  <c r="B755" i="1"/>
  <c r="B895" i="1"/>
  <c r="B675" i="1"/>
  <c r="B488" i="1"/>
  <c r="B624" i="1"/>
  <c r="B633" i="1"/>
  <c r="B670" i="1"/>
  <c r="B681" i="1"/>
  <c r="B728" i="1"/>
  <c r="B747" i="1"/>
  <c r="B50" i="1"/>
  <c r="B121" i="1"/>
  <c r="B142" i="1"/>
  <c r="B246" i="1"/>
  <c r="B284" i="1"/>
  <c r="B367" i="1"/>
  <c r="B457" i="1"/>
  <c r="B552" i="1"/>
  <c r="B656" i="1"/>
  <c r="B717" i="1"/>
  <c r="B936" i="1"/>
  <c r="B39" i="1"/>
  <c r="B58" i="1"/>
  <c r="B129" i="1"/>
  <c r="B155" i="1"/>
  <c r="B256" i="1"/>
  <c r="B296" i="1"/>
  <c r="B311" i="1"/>
  <c r="B316" i="1"/>
  <c r="B662" i="1"/>
  <c r="B72" i="1"/>
  <c r="B105" i="1"/>
  <c r="B134" i="1"/>
  <c r="B268" i="1"/>
  <c r="B627" i="1"/>
  <c r="B653" i="1"/>
  <c r="B731" i="1"/>
  <c r="B42" i="1"/>
  <c r="B84" i="1"/>
  <c r="B97" i="1"/>
  <c r="B28" i="1"/>
  <c r="B65" i="1"/>
  <c r="B9" i="1"/>
  <c r="B54" i="1"/>
  <c r="B62" i="1"/>
  <c r="B49" i="1"/>
  <c r="B292" i="1"/>
  <c r="B360" i="1"/>
  <c r="B372" i="1"/>
  <c r="B448" i="1"/>
  <c r="B480" i="1"/>
  <c r="B520" i="1"/>
  <c r="B554" i="1"/>
  <c r="B592" i="1"/>
  <c r="B712" i="1"/>
  <c r="B752" i="1"/>
  <c r="B768" i="1"/>
  <c r="B784" i="1"/>
  <c r="B802" i="1"/>
  <c r="B824" i="1"/>
  <c r="B951" i="1"/>
  <c r="B15" i="1"/>
  <c r="B20" i="1"/>
  <c r="B41" i="1"/>
  <c r="B61" i="1"/>
  <c r="B166" i="1"/>
  <c r="B171" i="1"/>
  <c r="B187" i="1"/>
  <c r="B203" i="1"/>
  <c r="B219" i="1"/>
  <c r="B248" i="1"/>
  <c r="B264" i="1"/>
  <c r="B271" i="1"/>
  <c r="B287" i="1"/>
  <c r="B303" i="1"/>
  <c r="B308" i="1"/>
  <c r="B332" i="1"/>
  <c r="B394" i="1"/>
  <c r="B416" i="1"/>
  <c r="B445" i="1"/>
  <c r="B493" i="1"/>
  <c r="B512" i="1"/>
  <c r="B541" i="1"/>
  <c r="B586" i="1"/>
  <c r="B607" i="1"/>
  <c r="B621" i="1"/>
  <c r="B638" i="1"/>
  <c r="B667" i="1"/>
  <c r="B697" i="1"/>
  <c r="B709" i="1"/>
  <c r="B723" i="1"/>
  <c r="B744" i="1"/>
  <c r="B763" i="1"/>
  <c r="B779" i="1"/>
  <c r="B832" i="1"/>
  <c r="B904" i="1"/>
  <c r="B944" i="1"/>
  <c r="B984" i="1"/>
  <c r="B964" i="1"/>
  <c r="B17" i="1"/>
  <c r="B60" i="1"/>
  <c r="B163" i="1"/>
  <c r="B168" i="1"/>
  <c r="B184" i="1"/>
  <c r="B200" i="1"/>
  <c r="B216" i="1"/>
  <c r="B243" i="1"/>
  <c r="B266" i="1"/>
  <c r="B336" i="1"/>
  <c r="B352" i="1"/>
  <c r="B368" i="1"/>
  <c r="B378" i="1"/>
  <c r="B400" i="1"/>
  <c r="B424" i="1"/>
  <c r="B442" i="1"/>
  <c r="B474" i="1"/>
  <c r="B490" i="1"/>
  <c r="B509" i="1"/>
  <c r="B560" i="1"/>
  <c r="B609" i="1"/>
  <c r="B630" i="1"/>
  <c r="B640" i="1"/>
  <c r="B654" i="1"/>
  <c r="B739" i="1"/>
  <c r="B760" i="1"/>
  <c r="B776" i="1"/>
  <c r="B864" i="1"/>
  <c r="B968" i="1"/>
  <c r="B720" i="1"/>
  <c r="B736" i="1"/>
  <c r="B794" i="1"/>
  <c r="B943" i="1"/>
  <c r="B33" i="1"/>
  <c r="B57" i="1"/>
  <c r="B95" i="1"/>
  <c r="B179" i="1"/>
  <c r="B195" i="1"/>
  <c r="B211" i="1"/>
  <c r="B227" i="1"/>
  <c r="B279" i="1"/>
  <c r="B319" i="1"/>
  <c r="B384" i="1"/>
  <c r="B25" i="1"/>
  <c r="B36" i="1"/>
  <c r="B47" i="1"/>
  <c r="B73" i="1"/>
  <c r="B76" i="1"/>
  <c r="B81" i="1"/>
  <c r="B89" i="1"/>
  <c r="B92" i="1"/>
  <c r="B103" i="1"/>
  <c r="B111" i="1"/>
  <c r="B119" i="1"/>
  <c r="B127" i="1"/>
  <c r="B160" i="1"/>
  <c r="B174" i="1"/>
  <c r="B182" i="1"/>
  <c r="B190" i="1"/>
  <c r="B198" i="1"/>
  <c r="B206" i="1"/>
  <c r="B214" i="1"/>
  <c r="B222" i="1"/>
  <c r="B230" i="1"/>
  <c r="B238" i="1"/>
  <c r="B276" i="1"/>
  <c r="B444" i="1"/>
  <c r="B449" i="1"/>
  <c r="B458" i="1"/>
  <c r="B477" i="1"/>
  <c r="B491" i="1"/>
  <c r="B800" i="1"/>
  <c r="B848" i="1"/>
  <c r="B905" i="1"/>
  <c r="B996" i="1"/>
  <c r="B385" i="1"/>
  <c r="B423" i="1"/>
  <c r="B510" i="1"/>
  <c r="B594" i="1"/>
  <c r="B615" i="1"/>
  <c r="B648" i="1"/>
  <c r="B441" i="1"/>
  <c r="B507" i="1"/>
  <c r="B960" i="1"/>
  <c r="B7" i="1"/>
  <c r="B10" i="1"/>
  <c r="B52" i="1"/>
  <c r="B55" i="1"/>
  <c r="B88" i="1"/>
  <c r="B96" i="1"/>
  <c r="B258" i="1"/>
  <c r="B272" i="1"/>
  <c r="B280" i="1"/>
  <c r="B300" i="1"/>
  <c r="B322" i="1"/>
  <c r="B330" i="1"/>
  <c r="B338" i="1"/>
  <c r="B343" i="1"/>
  <c r="B354" i="1"/>
  <c r="B387" i="1"/>
  <c r="B418" i="1"/>
  <c r="B425" i="1"/>
  <c r="B432" i="1"/>
  <c r="B598" i="1"/>
  <c r="B643" i="1"/>
  <c r="B808" i="1"/>
  <c r="B361" i="1"/>
  <c r="B409" i="1"/>
  <c r="B427" i="1"/>
  <c r="B443" i="1"/>
  <c r="B452" i="1"/>
  <c r="B485" i="1"/>
  <c r="B504" i="1"/>
  <c r="B576" i="1"/>
  <c r="B678" i="1"/>
  <c r="B694" i="1"/>
  <c r="B869" i="1"/>
  <c r="B884" i="1"/>
  <c r="B928" i="1"/>
  <c r="B403" i="1"/>
  <c r="B481" i="1"/>
  <c r="B565" i="1"/>
  <c r="B64" i="1"/>
  <c r="B71" i="1"/>
  <c r="B304" i="1"/>
  <c r="B364" i="1"/>
  <c r="B393" i="1"/>
  <c r="B411" i="1"/>
  <c r="B466" i="1"/>
  <c r="B499" i="1"/>
  <c r="B562" i="1"/>
  <c r="B571" i="1"/>
  <c r="B635" i="1"/>
  <c r="B659" i="1"/>
  <c r="B816" i="1"/>
  <c r="B462" i="1"/>
  <c r="B348" i="1"/>
  <c r="B482" i="1"/>
  <c r="B585" i="1"/>
  <c r="B840" i="1"/>
  <c r="B892" i="1"/>
  <c r="B912" i="1"/>
  <c r="B983" i="1"/>
  <c r="B260" i="1"/>
  <c r="B295" i="1"/>
  <c r="B324" i="1"/>
  <c r="B379" i="1"/>
  <c r="B417" i="1"/>
  <c r="B496" i="1"/>
  <c r="B651" i="1"/>
  <c r="B673" i="1"/>
  <c r="B879" i="1"/>
  <c r="B391" i="1"/>
  <c r="B600" i="1"/>
  <c r="B972" i="1"/>
  <c r="B980" i="1"/>
  <c r="B517" i="1"/>
  <c r="B522" i="1"/>
  <c r="B525" i="1"/>
  <c r="B530" i="1"/>
  <c r="B536" i="1"/>
  <c r="B581" i="1"/>
  <c r="B584" i="1"/>
  <c r="B602" i="1"/>
  <c r="B619" i="1"/>
  <c r="B622" i="1"/>
  <c r="B677" i="1"/>
  <c r="B680" i="1"/>
  <c r="B683" i="1"/>
  <c r="B691" i="1"/>
  <c r="B705" i="1"/>
  <c r="B710" i="1"/>
  <c r="B726" i="1"/>
  <c r="B734" i="1"/>
  <c r="B742" i="1"/>
  <c r="B750" i="1"/>
  <c r="B787" i="1"/>
  <c r="B796" i="1"/>
  <c r="B804" i="1"/>
  <c r="B807" i="1"/>
  <c r="B815" i="1"/>
  <c r="B839" i="1"/>
  <c r="B847" i="1"/>
  <c r="B852" i="1"/>
  <c r="B860" i="1"/>
  <c r="B888" i="1"/>
  <c r="B940" i="1"/>
  <c r="B948" i="1"/>
  <c r="B1000" i="1"/>
  <c r="B544" i="1"/>
  <c r="B611" i="1"/>
  <c r="B685" i="1"/>
  <c r="B688" i="1"/>
  <c r="B696" i="1"/>
  <c r="B699" i="1"/>
  <c r="B919" i="1"/>
  <c r="B3" i="1"/>
  <c r="B107" i="1"/>
  <c r="B456" i="1"/>
  <c r="B4" i="1"/>
  <c r="B5" i="1"/>
  <c r="U6" i="1"/>
  <c r="B13" i="1"/>
  <c r="B21" i="1"/>
  <c r="B29" i="1"/>
  <c r="B37" i="1"/>
  <c r="B45" i="1"/>
  <c r="B53" i="1"/>
  <c r="B70" i="1"/>
  <c r="B78" i="1"/>
  <c r="B94" i="1"/>
  <c r="B118" i="1"/>
  <c r="B149" i="1"/>
  <c r="B337" i="1"/>
  <c r="B75" i="1"/>
  <c r="B91" i="1"/>
  <c r="B115" i="1"/>
  <c r="B146" i="1"/>
  <c r="B450" i="1"/>
  <c r="U3" i="1"/>
  <c r="B11" i="1"/>
  <c r="B19" i="1"/>
  <c r="B27" i="1"/>
  <c r="B35" i="1"/>
  <c r="B43" i="1"/>
  <c r="B51" i="1"/>
  <c r="B59" i="1"/>
  <c r="B69" i="1"/>
  <c r="B87" i="1"/>
  <c r="B126" i="1"/>
  <c r="B157" i="1"/>
  <c r="B310" i="1"/>
  <c r="B123" i="1"/>
  <c r="B154" i="1"/>
  <c r="B278" i="1"/>
  <c r="B383" i="1"/>
  <c r="B67" i="1"/>
  <c r="B86" i="1"/>
  <c r="B102" i="1"/>
  <c r="B253" i="1"/>
  <c r="B138" i="1"/>
  <c r="C2" i="21"/>
  <c r="B68" i="1"/>
  <c r="B83" i="1"/>
  <c r="B99" i="1"/>
  <c r="B131" i="1"/>
  <c r="B110" i="1"/>
  <c r="B141" i="1"/>
  <c r="B175" i="1"/>
  <c r="B183" i="1"/>
  <c r="B191" i="1"/>
  <c r="B199" i="1"/>
  <c r="B207" i="1"/>
  <c r="B215" i="1"/>
  <c r="B223" i="1"/>
  <c r="B231" i="1"/>
  <c r="B239" i="1"/>
  <c r="B247" i="1"/>
  <c r="B263" i="1"/>
  <c r="B414" i="1"/>
  <c r="B838" i="1"/>
  <c r="B934" i="1"/>
  <c r="B334" i="1"/>
  <c r="B366" i="1"/>
  <c r="B422" i="1"/>
  <c r="B464" i="1"/>
  <c r="B757" i="1"/>
  <c r="B765" i="1"/>
  <c r="B773" i="1"/>
  <c r="B781" i="1"/>
  <c r="B811" i="1"/>
  <c r="B294" i="1"/>
  <c r="B430" i="1"/>
  <c r="B435" i="1"/>
  <c r="B447" i="1"/>
  <c r="B475" i="1"/>
  <c r="B606" i="1"/>
  <c r="B173" i="1"/>
  <c r="B181" i="1"/>
  <c r="B189" i="1"/>
  <c r="B197" i="1"/>
  <c r="B205" i="1"/>
  <c r="B213" i="1"/>
  <c r="B221" i="1"/>
  <c r="B229" i="1"/>
  <c r="B237" i="1"/>
  <c r="B245" i="1"/>
  <c r="B252" i="1"/>
  <c r="B262" i="1"/>
  <c r="B270" i="1"/>
  <c r="B273" i="1"/>
  <c r="B318" i="1"/>
  <c r="B327" i="1"/>
  <c r="B342" i="1"/>
  <c r="B374" i="1"/>
  <c r="B399" i="1"/>
  <c r="B559" i="1"/>
  <c r="B591" i="1"/>
  <c r="B612" i="1"/>
  <c r="B359" i="1"/>
  <c r="B382" i="1"/>
  <c r="B407" i="1"/>
  <c r="B460" i="1"/>
  <c r="B497" i="1"/>
  <c r="B286" i="1"/>
  <c r="B302" i="1"/>
  <c r="B350" i="1"/>
  <c r="B390" i="1"/>
  <c r="B415" i="1"/>
  <c r="B451" i="1"/>
  <c r="B162" i="1"/>
  <c r="B170" i="1"/>
  <c r="B178" i="1"/>
  <c r="B186" i="1"/>
  <c r="B194" i="1"/>
  <c r="B202" i="1"/>
  <c r="B210" i="1"/>
  <c r="B218" i="1"/>
  <c r="B226" i="1"/>
  <c r="B234" i="1"/>
  <c r="B242" i="1"/>
  <c r="B250" i="1"/>
  <c r="B255" i="1"/>
  <c r="B265" i="1"/>
  <c r="B326" i="1"/>
  <c r="B335" i="1"/>
  <c r="B398" i="1"/>
  <c r="B527" i="1"/>
  <c r="B358" i="1"/>
  <c r="B406" i="1"/>
  <c r="B436" i="1"/>
  <c r="B468" i="1"/>
  <c r="B479" i="1"/>
  <c r="B471" i="1"/>
  <c r="B500" i="1"/>
  <c r="B503" i="1"/>
  <c r="B567" i="1"/>
  <c r="B626" i="1"/>
  <c r="B269" i="1"/>
  <c r="B277" i="1"/>
  <c r="B285" i="1"/>
  <c r="B293" i="1"/>
  <c r="B301" i="1"/>
  <c r="B309" i="1"/>
  <c r="B317" i="1"/>
  <c r="B325" i="1"/>
  <c r="B333" i="1"/>
  <c r="B341" i="1"/>
  <c r="B349" i="1"/>
  <c r="B357" i="1"/>
  <c r="B365" i="1"/>
  <c r="B373" i="1"/>
  <c r="B381" i="1"/>
  <c r="B389" i="1"/>
  <c r="B397" i="1"/>
  <c r="B405" i="1"/>
  <c r="B413" i="1"/>
  <c r="B421" i="1"/>
  <c r="B429" i="1"/>
  <c r="B434" i="1"/>
  <c r="B440" i="1"/>
  <c r="B455" i="1"/>
  <c r="B459" i="1"/>
  <c r="B463" i="1"/>
  <c r="B535" i="1"/>
  <c r="B575" i="1"/>
  <c r="B380" i="1"/>
  <c r="B388" i="1"/>
  <c r="B396" i="1"/>
  <c r="B404" i="1"/>
  <c r="B412" i="1"/>
  <c r="B420" i="1"/>
  <c r="B428" i="1"/>
  <c r="B433" i="1"/>
  <c r="B484" i="1"/>
  <c r="B487" i="1"/>
  <c r="B599" i="1"/>
  <c r="B616" i="1"/>
  <c r="B740" i="1"/>
  <c r="B439" i="1"/>
  <c r="B473" i="1"/>
  <c r="B511" i="1"/>
  <c r="B543" i="1"/>
  <c r="B583" i="1"/>
  <c r="B492" i="1"/>
  <c r="B495" i="1"/>
  <c r="B519" i="1"/>
  <c r="B551" i="1"/>
  <c r="B676" i="1"/>
  <c r="B708" i="1"/>
  <c r="B629" i="1"/>
  <c r="B661" i="1"/>
  <c r="B693" i="1"/>
  <c r="B725" i="1"/>
  <c r="B748" i="1"/>
  <c r="B652" i="1"/>
  <c r="B684" i="1"/>
  <c r="B716" i="1"/>
  <c r="B967" i="1"/>
  <c r="B508" i="1"/>
  <c r="B516" i="1"/>
  <c r="B524" i="1"/>
  <c r="B532" i="1"/>
  <c r="B540" i="1"/>
  <c r="B548" i="1"/>
  <c r="B556" i="1"/>
  <c r="B564" i="1"/>
  <c r="B572" i="1"/>
  <c r="B580" i="1"/>
  <c r="B588" i="1"/>
  <c r="B596" i="1"/>
  <c r="B604" i="1"/>
  <c r="B614" i="1"/>
  <c r="B623" i="1"/>
  <c r="B642" i="1"/>
  <c r="B645" i="1"/>
  <c r="B669" i="1"/>
  <c r="B701" i="1"/>
  <c r="B998" i="1"/>
  <c r="B660" i="1"/>
  <c r="B692" i="1"/>
  <c r="B724" i="1"/>
  <c r="B741" i="1"/>
  <c r="B732" i="1"/>
  <c r="B870" i="1"/>
  <c r="B634" i="1"/>
  <c r="B637" i="1"/>
  <c r="B668" i="1"/>
  <c r="B700" i="1"/>
  <c r="B749" i="1"/>
  <c r="B786" i="1"/>
  <c r="B798" i="1"/>
  <c r="B903" i="1"/>
  <c r="B814" i="1"/>
  <c r="B835" i="1"/>
  <c r="B867" i="1"/>
  <c r="B878" i="1"/>
  <c r="B942" i="1"/>
  <c r="B756" i="1"/>
  <c r="B764" i="1"/>
  <c r="B772" i="1"/>
  <c r="B780" i="1"/>
  <c r="B785" i="1"/>
  <c r="B791" i="1"/>
  <c r="B803" i="1"/>
  <c r="B823" i="1"/>
  <c r="B846" i="1"/>
  <c r="B855" i="1"/>
  <c r="B886" i="1"/>
  <c r="B911" i="1"/>
  <c r="B950" i="1"/>
  <c r="B975" i="1"/>
  <c r="B810" i="1"/>
  <c r="B843" i="1"/>
  <c r="B894" i="1"/>
  <c r="B958" i="1"/>
  <c r="B650" i="1"/>
  <c r="B658" i="1"/>
  <c r="B666" i="1"/>
  <c r="B674" i="1"/>
  <c r="B682" i="1"/>
  <c r="B690" i="1"/>
  <c r="B698" i="1"/>
  <c r="B706" i="1"/>
  <c r="B714" i="1"/>
  <c r="B722" i="1"/>
  <c r="B730" i="1"/>
  <c r="B738" i="1"/>
  <c r="B746" i="1"/>
  <c r="B754" i="1"/>
  <c r="B762" i="1"/>
  <c r="B770" i="1"/>
  <c r="B778" i="1"/>
  <c r="B790" i="1"/>
  <c r="B801" i="1"/>
  <c r="B822" i="1"/>
  <c r="B831" i="1"/>
  <c r="B854" i="1"/>
  <c r="B863" i="1"/>
  <c r="B902" i="1"/>
  <c r="B927" i="1"/>
  <c r="B966" i="1"/>
  <c r="B991" i="1"/>
  <c r="B806" i="1"/>
  <c r="B819" i="1"/>
  <c r="B851" i="1"/>
  <c r="B871" i="1"/>
  <c r="B910" i="1"/>
  <c r="B935" i="1"/>
  <c r="B974" i="1"/>
  <c r="B999" i="1"/>
  <c r="B830" i="1"/>
  <c r="B862" i="1"/>
  <c r="B918" i="1"/>
  <c r="B982" i="1"/>
  <c r="B782" i="1"/>
  <c r="B818" i="1"/>
  <c r="B827" i="1"/>
  <c r="B859" i="1"/>
  <c r="B887" i="1"/>
  <c r="B926" i="1"/>
  <c r="B990" i="1"/>
  <c r="B875" i="1"/>
  <c r="B883" i="1"/>
  <c r="B891" i="1"/>
  <c r="B899" i="1"/>
  <c r="B907" i="1"/>
  <c r="B915" i="1"/>
  <c r="B923" i="1"/>
  <c r="B931" i="1"/>
  <c r="B939" i="1"/>
  <c r="B947" i="1"/>
  <c r="B955" i="1"/>
  <c r="B963" i="1"/>
  <c r="B971" i="1"/>
  <c r="B979" i="1"/>
  <c r="B987" i="1"/>
  <c r="B995" i="1"/>
  <c r="B826" i="1"/>
  <c r="B834" i="1"/>
  <c r="B842" i="1"/>
  <c r="B850" i="1"/>
  <c r="B858" i="1"/>
  <c r="B866" i="1"/>
  <c r="B874" i="1"/>
  <c r="B882" i="1"/>
  <c r="B890" i="1"/>
  <c r="B898" i="1"/>
  <c r="B906" i="1"/>
  <c r="B914" i="1"/>
  <c r="B922" i="1"/>
  <c r="B930" i="1"/>
  <c r="B938" i="1"/>
  <c r="B946" i="1"/>
  <c r="B954" i="1"/>
  <c r="B962" i="1"/>
  <c r="B970" i="1"/>
  <c r="B978" i="1"/>
  <c r="B986" i="1"/>
  <c r="B994" i="1"/>
  <c r="U118" i="1" l="1"/>
  <c r="U115" i="1"/>
  <c r="Z115" i="1"/>
  <c r="U110" i="1"/>
  <c r="Z110" i="1"/>
  <c r="U107" i="1"/>
  <c r="Z107" i="1"/>
  <c r="U102" i="1"/>
  <c r="Z102" i="1"/>
  <c r="U94" i="1"/>
  <c r="Z94" i="1"/>
  <c r="U91" i="1"/>
  <c r="Z91" i="1"/>
  <c r="U86" i="1"/>
  <c r="Z86" i="1"/>
  <c r="U83" i="1"/>
  <c r="Z83" i="1"/>
  <c r="U75" i="1"/>
  <c r="Z75" i="1"/>
  <c r="U78" i="1"/>
  <c r="U157" i="1"/>
  <c r="Z157" i="1"/>
  <c r="U123" i="1"/>
  <c r="Z123" i="1"/>
  <c r="U154" i="1"/>
  <c r="Z154" i="1"/>
  <c r="U99" i="1"/>
  <c r="U164" i="1"/>
  <c r="U162" i="1"/>
  <c r="U161" i="1"/>
  <c r="U159" i="1"/>
  <c r="U158" i="1"/>
  <c r="U160" i="1"/>
  <c r="U156" i="1"/>
  <c r="U132" i="1"/>
  <c r="U143" i="1"/>
  <c r="U74" i="1"/>
  <c r="U85" i="1"/>
  <c r="U155" i="1"/>
  <c r="U153" i="1"/>
  <c r="U150" i="1"/>
  <c r="U84" i="1"/>
  <c r="U152" i="1"/>
  <c r="U151" i="1"/>
  <c r="U142" i="1"/>
  <c r="U133" i="1"/>
  <c r="U135" i="1"/>
  <c r="U134" i="1"/>
  <c r="U130" i="1"/>
  <c r="U45" i="1"/>
  <c r="U43" i="1"/>
  <c r="U42" i="1"/>
  <c r="U41" i="1"/>
  <c r="U40" i="1"/>
  <c r="U39" i="1"/>
  <c r="U38" i="1"/>
  <c r="U37" i="1"/>
  <c r="U36" i="1"/>
  <c r="U35" i="1"/>
  <c r="U34" i="1"/>
  <c r="U33" i="1"/>
  <c r="U32" i="1"/>
  <c r="U31" i="1"/>
  <c r="U121" i="1"/>
  <c r="U120" i="1"/>
  <c r="U125" i="1"/>
  <c r="U119" i="1"/>
  <c r="U117" i="1"/>
  <c r="U116" i="1"/>
  <c r="U114" i="1"/>
  <c r="U113" i="1"/>
  <c r="U112" i="1"/>
  <c r="U111" i="1"/>
  <c r="U109" i="1"/>
  <c r="U108" i="1"/>
  <c r="U106" i="1"/>
  <c r="U105" i="1"/>
  <c r="U104" i="1"/>
  <c r="U103" i="1"/>
  <c r="U101" i="1"/>
  <c r="U98" i="1"/>
  <c r="U97" i="1"/>
  <c r="U96" i="1"/>
  <c r="U95" i="1"/>
  <c r="U93" i="1"/>
  <c r="U92" i="1"/>
  <c r="U90" i="1"/>
  <c r="U89" i="1"/>
  <c r="U88" i="1"/>
  <c r="U87" i="1"/>
  <c r="U82" i="1"/>
  <c r="U81" i="1"/>
  <c r="U80" i="1"/>
  <c r="U79" i="1"/>
  <c r="U77" i="1"/>
  <c r="U76" i="1"/>
  <c r="U73" i="1"/>
  <c r="U71" i="1"/>
  <c r="U70" i="1"/>
  <c r="U69" i="1"/>
  <c r="U68" i="1"/>
  <c r="U65" i="1"/>
  <c r="U66" i="1"/>
  <c r="U64" i="1"/>
  <c r="U63" i="1"/>
  <c r="U60" i="1"/>
  <c r="U62" i="1"/>
  <c r="U59" i="1"/>
  <c r="U57" i="1"/>
  <c r="U55" i="1"/>
  <c r="U53" i="1"/>
  <c r="U51" i="1"/>
  <c r="U49" i="1"/>
  <c r="U47" i="1"/>
  <c r="U56" i="1"/>
  <c r="U54" i="1"/>
  <c r="U52" i="1"/>
  <c r="U50" i="1"/>
  <c r="U46" i="1"/>
  <c r="U29" i="1"/>
  <c r="U28" i="1"/>
  <c r="U27" i="1"/>
  <c r="U26" i="1"/>
  <c r="U25" i="1"/>
  <c r="U24" i="1"/>
  <c r="U23" i="1"/>
  <c r="U22" i="1"/>
  <c r="U21" i="1"/>
  <c r="U15" i="1"/>
  <c r="U14" i="1"/>
  <c r="U13" i="1"/>
  <c r="U10" i="1"/>
  <c r="U9" i="1"/>
  <c r="U12" i="1"/>
  <c r="U8" i="1"/>
  <c r="U7" i="1"/>
  <c r="U20" i="1"/>
  <c r="U5" i="1"/>
  <c r="U4" i="1"/>
  <c r="AV10" i="10"/>
  <c r="Y7" i="10" l="1"/>
  <c r="AT14" i="10"/>
  <c r="AT16" i="10" s="1"/>
  <c r="AV1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Chaix, Florian</author>
  </authors>
  <commentList>
    <comment ref="A1" authorId="0" shapeId="0" xr:uid="{00000000-0006-0000-0300-000001000000}">
      <text>
        <r>
          <rPr>
            <b/>
            <sz val="9"/>
            <color indexed="81"/>
            <rFont val="Tahoma"/>
            <family val="2"/>
          </rPr>
          <t>Chaix, Florian:</t>
        </r>
        <r>
          <rPr>
            <sz val="9"/>
            <color indexed="81"/>
            <rFont val="Tahoma"/>
            <family val="2"/>
          </rPr>
          <t xml:space="preserve">
\\stjn.local\trimet\Donnees_Projets\Dms Sap\Maintenance\PlanEntretien\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Chaix, Florian</author>
    <author>Astiasarain, Paul</author>
  </authors>
  <commentList>
    <comment ref="A2" authorId="0" shapeId="0" xr:uid="{00000000-0006-0000-0500-000001000000}">
      <text>
        <r>
          <rPr>
            <b/>
            <sz val="9"/>
            <color indexed="81"/>
            <rFont val="Tahoma"/>
            <family val="2"/>
          </rPr>
          <t>Chaix, Florian:</t>
        </r>
        <r>
          <rPr>
            <sz val="9"/>
            <color indexed="81"/>
            <rFont val="Tahoma"/>
            <family val="2"/>
          </rPr>
          <t xml:space="preserve">
Formule dans cette colonne / NE PAS TOUCHER
=STXT(CELLULE("filename";$A$1);TROUVE("]";CELLULE("filename";$A$1))+1;32)</t>
        </r>
      </text>
    </comment>
    <comment ref="B2" authorId="0" shapeId="0" xr:uid="{00000000-0006-0000-0500-000002000000}">
      <text>
        <r>
          <rPr>
            <b/>
            <sz val="9"/>
            <color indexed="81"/>
            <rFont val="Tahoma"/>
            <family val="2"/>
          </rPr>
          <t>Chaix, Florian:</t>
        </r>
        <r>
          <rPr>
            <sz val="9"/>
            <color indexed="81"/>
            <rFont val="Tahoma"/>
            <family val="2"/>
          </rPr>
          <t xml:space="preserve">
Formule dans cette colonne / NE PAS TOUCHER
=SI(OU([@[Poste Responsable]]="";[@[Localisation / Classement]]="";[@[Poste technique]]="";[@[Niveau SAP]]="";[@[Poste entretien]]="";[@[Plan Entretien]]="";[@[Gamme en DMS]]="";[@[Groupe de Gamme]]="";[@[Compteur de Gamme]]="");"X";"OK")</t>
        </r>
      </text>
    </comment>
    <comment ref="C2" authorId="0" shapeId="0" xr:uid="{00000000-0006-0000-0500-000003000000}">
      <text>
        <r>
          <rPr>
            <b/>
            <sz val="9"/>
            <color indexed="81"/>
            <rFont val="Tahoma"/>
            <family val="2"/>
          </rPr>
          <t>Chaix, Florian:</t>
        </r>
        <r>
          <rPr>
            <sz val="9"/>
            <color indexed="81"/>
            <rFont val="Tahoma"/>
            <family val="2"/>
          </rPr>
          <t xml:space="preserve">
"" = non crée ; C = Gamme crée ; S = Gamme supprimé
Ne pas modifier la colonne, Pas de formule, inscription dans la cellule par la macro</t>
        </r>
      </text>
    </comment>
    <comment ref="D2" authorId="1" shapeId="0" xr:uid="{00000000-0006-0000-0500-000004000000}">
      <text>
        <r>
          <rPr>
            <b/>
            <sz val="9"/>
            <color indexed="81"/>
            <rFont val="Tahoma"/>
            <family val="2"/>
          </rPr>
          <t>Astiasarain, Paul:</t>
        </r>
        <r>
          <rPr>
            <sz val="9"/>
            <color indexed="81"/>
            <rFont val="Tahoma"/>
            <family val="2"/>
          </rPr>
          <t xml:space="preserve">
Nom au choix du secteur pour classer les PE générés (via hall, machine, bâtiment…)</t>
        </r>
      </text>
    </comment>
    <comment ref="E2" authorId="1" shapeId="0" xr:uid="{00000000-0006-0000-0500-000005000000}">
      <text>
        <r>
          <rPr>
            <b/>
            <sz val="9"/>
            <color indexed="81"/>
            <rFont val="Tahoma"/>
            <family val="2"/>
          </rPr>
          <t>Astiasarain, Paul:</t>
        </r>
        <r>
          <rPr>
            <sz val="9"/>
            <color indexed="81"/>
            <rFont val="Tahoma"/>
            <family val="2"/>
          </rPr>
          <t xml:space="preserve">
Si OUI = Besoin d'un fichier lié à imprimer avec l'ordre</t>
        </r>
      </text>
    </comment>
    <comment ref="F2" authorId="1" shapeId="0" xr:uid="{00000000-0006-0000-0500-000006000000}">
      <text>
        <r>
          <rPr>
            <b/>
            <sz val="9"/>
            <color indexed="81"/>
            <rFont val="Tahoma"/>
            <family val="2"/>
          </rPr>
          <t>Astiasarain, Paul:</t>
        </r>
        <r>
          <rPr>
            <sz val="9"/>
            <color indexed="81"/>
            <rFont val="Tahoma"/>
            <family val="2"/>
          </rPr>
          <t xml:space="preserve">
Désignation SAP
à part cas particulier, max. Txxx-Xxxx (Niveau 5)</t>
        </r>
      </text>
    </comment>
    <comment ref="G2" authorId="1" shapeId="0" xr:uid="{00000000-0006-0000-0500-000007000000}">
      <text>
        <r>
          <rPr>
            <b/>
            <sz val="9"/>
            <color indexed="81"/>
            <rFont val="Tahoma"/>
            <family val="2"/>
          </rPr>
          <t>Astiasarain, Paul:</t>
        </r>
        <r>
          <rPr>
            <sz val="9"/>
            <color indexed="81"/>
            <rFont val="Tahoma"/>
            <family val="2"/>
          </rPr>
          <t xml:space="preserve">
Désignation de l'ensemble sur lequel est fait l'intervention
</t>
        </r>
      </text>
    </comment>
    <comment ref="H2" authorId="1" shapeId="0" xr:uid="{00000000-0006-0000-0500-000008000000}">
      <text>
        <r>
          <rPr>
            <b/>
            <sz val="9"/>
            <color indexed="81"/>
            <rFont val="Tahoma"/>
            <family val="2"/>
          </rPr>
          <t>Astiasarain, Paul:</t>
        </r>
        <r>
          <rPr>
            <sz val="9"/>
            <color indexed="81"/>
            <rFont val="Tahoma"/>
            <family val="2"/>
          </rPr>
          <t xml:space="preserve">
Généré en automatique lors de la création du Plan dans SAP</t>
        </r>
      </text>
    </comment>
    <comment ref="I2" authorId="1" shapeId="0" xr:uid="{00000000-0006-0000-0500-000009000000}">
      <text>
        <r>
          <rPr>
            <b/>
            <sz val="9"/>
            <color indexed="81"/>
            <rFont val="Tahoma"/>
            <family val="2"/>
          </rPr>
          <t>Astiasarain, Paul:</t>
        </r>
        <r>
          <rPr>
            <sz val="9"/>
            <color indexed="81"/>
            <rFont val="Tahoma"/>
            <family val="2"/>
          </rPr>
          <t xml:space="preserve">
Généré en automatique lors de la création du Poste dans SAP</t>
        </r>
      </text>
    </comment>
    <comment ref="J2" authorId="1" shapeId="0" xr:uid="{00000000-0006-0000-0500-00000A000000}">
      <text>
        <r>
          <rPr>
            <b/>
            <sz val="9"/>
            <color indexed="81"/>
            <rFont val="Tahoma"/>
            <family val="2"/>
          </rPr>
          <t>Astiasarain, Paul:</t>
        </r>
        <r>
          <rPr>
            <sz val="9"/>
            <color indexed="81"/>
            <rFont val="Tahoma"/>
            <family val="2"/>
          </rPr>
          <t xml:space="preserve">
Généré en automatique lors de la création de la gamme dans SAP</t>
        </r>
      </text>
    </comment>
    <comment ref="K2" authorId="1" shapeId="0" xr:uid="{00000000-0006-0000-0500-00000B000000}">
      <text>
        <r>
          <rPr>
            <b/>
            <sz val="9"/>
            <color indexed="81"/>
            <rFont val="Tahoma"/>
            <family val="2"/>
          </rPr>
          <t>Astiasarain, Paul:</t>
        </r>
        <r>
          <rPr>
            <sz val="9"/>
            <color indexed="81"/>
            <rFont val="Tahoma"/>
            <family val="2"/>
          </rPr>
          <t xml:space="preserve">
Incrémenté par SAP au fur et à mesure de l'ajout de gamme au sein du même groupe de gammes</t>
        </r>
      </text>
    </comment>
    <comment ref="L2" authorId="1" shapeId="0" xr:uid="{00000000-0006-0000-0500-00000C000000}">
      <text>
        <r>
          <rPr>
            <b/>
            <sz val="9"/>
            <color indexed="81"/>
            <rFont val="Tahoma"/>
            <family val="2"/>
          </rPr>
          <t>Astiasarain, Paul:</t>
        </r>
        <r>
          <rPr>
            <sz val="9"/>
            <color indexed="81"/>
            <rFont val="Tahoma"/>
            <family val="2"/>
          </rPr>
          <t xml:space="preserve">
Fréquence de déclenchement de la gamme dans SAP :
Soit en nb de semaine, mois, année
Soit en nb d'heure pour préventif sur compteur </t>
        </r>
      </text>
    </comment>
    <comment ref="M2" authorId="1" shapeId="0" xr:uid="{00000000-0006-0000-0500-00000D000000}">
      <text>
        <r>
          <rPr>
            <b/>
            <sz val="9"/>
            <color indexed="81"/>
            <rFont val="Tahoma"/>
            <family val="2"/>
          </rPr>
          <t>Astiasarain, Paul:</t>
        </r>
        <r>
          <rPr>
            <sz val="9"/>
            <color indexed="81"/>
            <rFont val="Tahoma"/>
            <family val="2"/>
          </rPr>
          <t xml:space="preserve">
Désignation de la gamme en fonction des choix du secteur</t>
        </r>
      </text>
    </comment>
    <comment ref="N2" authorId="1" shapeId="0" xr:uid="{00000000-0006-0000-0500-00000E000000}">
      <text>
        <r>
          <rPr>
            <b/>
            <sz val="9"/>
            <color indexed="81"/>
            <rFont val="Tahoma"/>
            <family val="2"/>
          </rPr>
          <t>Astiasarain, Paul:</t>
        </r>
        <r>
          <rPr>
            <sz val="9"/>
            <color indexed="81"/>
            <rFont val="Tahoma"/>
            <family val="2"/>
          </rPr>
          <t xml:space="preserve">
Type de maintenance
Possibilité de modifier ou ajouter via onglet List</t>
        </r>
      </text>
    </comment>
    <comment ref="Q2" authorId="1" shapeId="0" xr:uid="{00000000-0006-0000-0500-00000F000000}">
      <text>
        <r>
          <rPr>
            <b/>
            <sz val="9"/>
            <color indexed="81"/>
            <rFont val="Tahoma"/>
            <family val="2"/>
          </rPr>
          <t>Astiasarain, Paul:</t>
        </r>
        <r>
          <rPr>
            <sz val="9"/>
            <color indexed="81"/>
            <rFont val="Tahoma"/>
            <family val="2"/>
          </rPr>
          <t xml:space="preserve">
Jour de déclenchement voulu</t>
        </r>
      </text>
    </comment>
    <comment ref="R2" authorId="1" shapeId="0" xr:uid="{00000000-0006-0000-0500-000010000000}">
      <text>
        <r>
          <rPr>
            <b/>
            <sz val="9"/>
            <color indexed="81"/>
            <rFont val="Tahoma"/>
            <family val="2"/>
          </rPr>
          <t>Astiasarain, Paul:</t>
        </r>
        <r>
          <rPr>
            <sz val="9"/>
            <color indexed="81"/>
            <rFont val="Tahoma"/>
            <family val="2"/>
          </rPr>
          <t xml:space="preserve">
NON= OT non relancé si précédent non clôturé
 si supérieur à 2 semaines</t>
        </r>
      </text>
    </comment>
    <comment ref="S2" authorId="0" shapeId="0" xr:uid="{00000000-0006-0000-0500-000011000000}">
      <text>
        <r>
          <rPr>
            <b/>
            <sz val="9"/>
            <color indexed="81"/>
            <rFont val="Tahoma"/>
            <family val="2"/>
          </rPr>
          <t>Chaix, Florian:</t>
        </r>
        <r>
          <rPr>
            <sz val="9"/>
            <color indexed="81"/>
            <rFont val="Tahoma"/>
            <family val="2"/>
          </rPr>
          <t xml:space="preserve">
Date de premier ordonnancement après revu dans fichier</t>
        </r>
      </text>
    </comment>
    <comment ref="T2" authorId="0" shapeId="0" xr:uid="{00000000-0006-0000-0500-000012000000}">
      <text>
        <r>
          <rPr>
            <b/>
            <sz val="9"/>
            <color indexed="81"/>
            <rFont val="Tahoma"/>
            <family val="2"/>
          </rPr>
          <t>Chaix, Florian:</t>
        </r>
        <r>
          <rPr>
            <sz val="9"/>
            <color indexed="81"/>
            <rFont val="Tahoma"/>
            <family val="2"/>
          </rPr>
          <t xml:space="preserve">
Ne pas remplir se fait en automatique avec la mise à jour du fichier de gamme.
=SI([@[DMS_SAP]]="";"";LIEN_HYPERTEXTE([@[Chemin fichier source]];"X"))</t>
        </r>
      </text>
    </comment>
    <comment ref="U2" authorId="0" shapeId="0" xr:uid="{00000000-0006-0000-0500-000013000000}">
      <text>
        <r>
          <rPr>
            <b/>
            <sz val="9"/>
            <color indexed="81"/>
            <rFont val="Tahoma"/>
            <family val="2"/>
          </rPr>
          <t>Chaix, Florian:</t>
        </r>
        <r>
          <rPr>
            <sz val="9"/>
            <color indexed="81"/>
            <rFont val="Tahoma"/>
            <family val="2"/>
          </rPr>
          <t xml:space="preserve">
Ne pas remplir se fait en automatique avec la mise à jour du fichier de gamme.
=SI([@[Date rév.]]="";"";LIEN_HYPERTEXTE([@[Lien document]];"X"))</t>
        </r>
      </text>
    </comment>
    <comment ref="V2" authorId="0" shapeId="0" xr:uid="{00000000-0006-0000-0500-000014000000}">
      <text>
        <r>
          <rPr>
            <b/>
            <sz val="9"/>
            <color indexed="81"/>
            <rFont val="Tahoma"/>
            <family val="2"/>
          </rPr>
          <t xml:space="preserve">Chaix, Florian:
</t>
        </r>
        <r>
          <rPr>
            <sz val="9"/>
            <color indexed="81"/>
            <rFont val="Tahoma"/>
            <family val="2"/>
          </rPr>
          <t>C'est le nom du document à ajouter à la gamme de SAP pour qu'il s'imprime avec l'ordre.</t>
        </r>
        <r>
          <rPr>
            <sz val="9"/>
            <color indexed="81"/>
            <rFont val="Tahoma"/>
            <family val="2"/>
          </rPr>
          <t xml:space="preserve">
</t>
        </r>
        <r>
          <rPr>
            <b/>
            <sz val="9"/>
            <color indexed="81"/>
            <rFont val="Tahoma"/>
            <family val="2"/>
          </rPr>
          <t>Ne pas remplir se fait en automatique avec la mise à jour du fichier de gamme.</t>
        </r>
      </text>
    </comment>
    <comment ref="W2" authorId="0" shapeId="0" xr:uid="{00000000-0006-0000-0500-000015000000}">
      <text>
        <r>
          <rPr>
            <b/>
            <sz val="9"/>
            <color indexed="81"/>
            <rFont val="Tahoma"/>
            <family val="2"/>
          </rPr>
          <t xml:space="preserve">Chaix, Florian:
</t>
        </r>
        <r>
          <rPr>
            <sz val="9"/>
            <color indexed="81"/>
            <rFont val="Tahoma"/>
            <family val="2"/>
          </rPr>
          <t>Formule dans cette colonne / NE PAS TOUCHER
=Chemin_accès!$B$2&amp;[@[Poste Responsable]]&amp;"\"&amp;[@[Localisation / Classement]]&amp;"\"&amp;[@[Poste technique]]&amp;"_"&amp;[@[Poste entretien]]&amp;".pdf"</t>
        </r>
      </text>
    </comment>
    <comment ref="X2" authorId="0" shapeId="0" xr:uid="{00000000-0006-0000-0500-000016000000}">
      <text>
        <r>
          <rPr>
            <b/>
            <sz val="9"/>
            <color indexed="81"/>
            <rFont val="Tahoma"/>
            <family val="2"/>
          </rPr>
          <t>Chaix, Florian:</t>
        </r>
        <r>
          <rPr>
            <sz val="9"/>
            <color indexed="81"/>
            <rFont val="Tahoma"/>
            <family val="2"/>
          </rPr>
          <t xml:space="preserve">
Charge par personne du préventif en heure (sous format 0,5 pour les demi-heure)</t>
        </r>
      </text>
    </comment>
    <comment ref="Y2" authorId="0" shapeId="0" xr:uid="{00000000-0006-0000-0500-000017000000}">
      <text>
        <r>
          <rPr>
            <b/>
            <sz val="9"/>
            <color indexed="81"/>
            <rFont val="Tahoma"/>
            <family val="2"/>
          </rPr>
          <t>Chaix, Florian:</t>
        </r>
        <r>
          <rPr>
            <sz val="9"/>
            <color indexed="81"/>
            <rFont val="Tahoma"/>
            <family val="2"/>
          </rPr>
          <t xml:space="preserve">
Nombre de personnes pour faire le préventif</t>
        </r>
      </text>
    </comment>
    <comment ref="Z2" authorId="0" shapeId="0" xr:uid="{00000000-0006-0000-0500-000018000000}">
      <text>
        <r>
          <rPr>
            <b/>
            <sz val="9"/>
            <color indexed="81"/>
            <rFont val="Tahoma"/>
            <family val="2"/>
          </rPr>
          <t xml:space="preserve">Chaix, Florian:
</t>
        </r>
        <r>
          <rPr>
            <sz val="9"/>
            <color indexed="81"/>
            <rFont val="Tahoma"/>
            <family val="2"/>
          </rPr>
          <t>Formule dans cette colonne / NE PAS TOUCHER
=SI(ET([@Charge]&lt;&gt;0; [@[Nombre intervenants]]&lt;&gt;0;[@[Lien document]]&lt;&gt;0;[@[DMS_SAP]]&lt;&gt;0)=VRAI;"MIS A JOUR";"")</t>
        </r>
      </text>
    </comment>
    <comment ref="AA2" authorId="0" shapeId="0" xr:uid="{00000000-0006-0000-0500-000019000000}">
      <text>
        <r>
          <rPr>
            <b/>
            <sz val="9"/>
            <color indexed="81"/>
            <rFont val="Tahoma"/>
            <family val="2"/>
          </rPr>
          <t>Chaix, Florian:</t>
        </r>
        <r>
          <rPr>
            <sz val="9"/>
            <color indexed="81"/>
            <rFont val="Tahoma"/>
            <family val="2"/>
          </rPr>
          <t xml:space="preserve">
Ne pas remplir se fait en automatique avec la mise à jour du fichier de gamme.</t>
        </r>
      </text>
    </comment>
    <comment ref="AB2" authorId="0" shapeId="0" xr:uid="{00000000-0006-0000-0500-00001A000000}">
      <text>
        <r>
          <rPr>
            <b/>
            <sz val="9"/>
            <color indexed="81"/>
            <rFont val="Tahoma"/>
            <family val="2"/>
          </rPr>
          <t xml:space="preserve">Chaix, Florian:
</t>
        </r>
        <r>
          <rPr>
            <sz val="9"/>
            <color indexed="81"/>
            <rFont val="Tahoma"/>
            <family val="2"/>
          </rPr>
          <t>Formule dans cette colonne / NE PAS TOUCHER
=SI([Date rév.]&lt;&gt;""; JOURS360([Date rév.];AUJOURDHUI());"")</t>
        </r>
      </text>
    </comment>
    <comment ref="AC2" authorId="0" shapeId="0" xr:uid="{00000000-0006-0000-0500-00001B000000}">
      <text>
        <r>
          <rPr>
            <b/>
            <sz val="9"/>
            <color indexed="81"/>
            <rFont val="Tahoma"/>
            <family val="2"/>
          </rPr>
          <t>Chaix, Florian:</t>
        </r>
        <r>
          <rPr>
            <sz val="9"/>
            <color indexed="81"/>
            <rFont val="Tahoma"/>
            <family val="2"/>
          </rPr>
          <t xml:space="preserve">
Formule dans cette colonne / NE PAS TOUCHER
=SIERREUR(INDEX(Chemin_accès!$B$11:$C$22;EQUIV([@Type];Chemin_accès!$C$11:$C$22;0);1);Chemin_accès!$B$11)</t>
        </r>
      </text>
    </comment>
    <comment ref="AD2" authorId="0" shapeId="0" xr:uid="{00000000-0006-0000-0500-00001C000000}">
      <text>
        <r>
          <rPr>
            <b/>
            <sz val="9"/>
            <color indexed="81"/>
            <rFont val="Tahoma"/>
            <family val="2"/>
          </rPr>
          <t>Chaix, Florian:</t>
        </r>
        <r>
          <rPr>
            <sz val="9"/>
            <color indexed="81"/>
            <rFont val="Tahoma"/>
            <family val="2"/>
          </rPr>
          <t xml:space="preserve">
Formule dans cette colonne / NE PAS TOUCHER
=Chemin_accès!$B$8&amp;[@[Localisation / Classement]]&amp;"\"&amp;[@[Poste technique]]&amp;"_"&amp;[@[Poste entretien]]&amp;".xlsm"</t>
        </r>
      </text>
    </comment>
  </commentList>
</comments>
</file>

<file path=xl/sharedStrings.xml><?xml version="1.0" encoding="utf-8"?>
<sst xmlns="http://schemas.openxmlformats.org/spreadsheetml/2006/main" count="1660" uniqueCount="555">
  <si>
    <t>TOUR</t>
  </si>
  <si>
    <t>GR</t>
  </si>
  <si>
    <t>O</t>
  </si>
  <si>
    <t>N</t>
  </si>
  <si>
    <t>LUN</t>
  </si>
  <si>
    <t>JEU</t>
  </si>
  <si>
    <t>MER</t>
  </si>
  <si>
    <t>MAR</t>
  </si>
  <si>
    <t>PROD</t>
  </si>
  <si>
    <t>Nombre total PE recensés</t>
  </si>
  <si>
    <t>Parité semaine</t>
  </si>
  <si>
    <t>Jour</t>
  </si>
  <si>
    <t>Décal.</t>
  </si>
  <si>
    <t>CARTOGRAPHIE DES PE</t>
  </si>
  <si>
    <t>Validation</t>
  </si>
  <si>
    <t>Commentaires</t>
  </si>
  <si>
    <t>vert</t>
  </si>
  <si>
    <t>aiguille</t>
  </si>
  <si>
    <t>rien</t>
  </si>
  <si>
    <t>jaune</t>
  </si>
  <si>
    <t>larg</t>
  </si>
  <si>
    <t>val</t>
  </si>
  <si>
    <t>rouge</t>
  </si>
  <si>
    <t>invi</t>
  </si>
  <si>
    <t>Lien document</t>
  </si>
  <si>
    <t>Charge</t>
  </si>
  <si>
    <t>Nombre intervenants</t>
  </si>
  <si>
    <t>Niveau SAP</t>
  </si>
  <si>
    <t>Poste technique</t>
  </si>
  <si>
    <t>Poste entretien</t>
  </si>
  <si>
    <t>Frequence</t>
  </si>
  <si>
    <t>Type</t>
  </si>
  <si>
    <t>Désignation</t>
  </si>
  <si>
    <t>Criticité</t>
  </si>
  <si>
    <t>1S</t>
  </si>
  <si>
    <t>1A</t>
  </si>
  <si>
    <t>2S</t>
  </si>
  <si>
    <t>type</t>
  </si>
  <si>
    <t>freq</t>
  </si>
  <si>
    <t>2A</t>
  </si>
  <si>
    <t>criticité</t>
  </si>
  <si>
    <t>validation</t>
  </si>
  <si>
    <t>parité</t>
  </si>
  <si>
    <t>Paire</t>
  </si>
  <si>
    <t>Impaire</t>
  </si>
  <si>
    <t>jour</t>
  </si>
  <si>
    <t>VEN</t>
  </si>
  <si>
    <t>SAM</t>
  </si>
  <si>
    <t>DIM</t>
  </si>
  <si>
    <t>3A</t>
  </si>
  <si>
    <t>5A</t>
  </si>
  <si>
    <t>décal.</t>
  </si>
  <si>
    <t>SUPPRIME</t>
  </si>
  <si>
    <t>MISE A JOUR</t>
  </si>
  <si>
    <t>Nombre PE @ Carto valid</t>
  </si>
  <si>
    <t>Nombre total d'heures</t>
  </si>
  <si>
    <t>REVISION</t>
  </si>
  <si>
    <t>Nb jours depuis la dernière rév.</t>
  </si>
  <si>
    <t>Description</t>
  </si>
  <si>
    <t>Date rév.</t>
  </si>
  <si>
    <t>CTRL MEC</t>
  </si>
  <si>
    <t>CTRL ELEC</t>
  </si>
  <si>
    <t>REGL MEC</t>
  </si>
  <si>
    <t>REGL ELEC</t>
  </si>
  <si>
    <t>CHANG MEC</t>
  </si>
  <si>
    <t>gType</t>
  </si>
  <si>
    <t>procedureMVA</t>
  </si>
  <si>
    <t>Procédure SAP</t>
  </si>
  <si>
    <t>Gamme</t>
  </si>
  <si>
    <t>Lien</t>
  </si>
  <si>
    <t>Date de rév</t>
  </si>
  <si>
    <t>Auteur</t>
  </si>
  <si>
    <t>M. Valzolgher</t>
  </si>
  <si>
    <t>MOZ</t>
  </si>
  <si>
    <t>Création</t>
  </si>
  <si>
    <t>Ajout lien vers dossier de gammes usine</t>
  </si>
  <si>
    <t>Date de validation</t>
  </si>
  <si>
    <t>Nombre "MIS A JOUR"</t>
  </si>
  <si>
    <t>H</t>
  </si>
  <si>
    <t>3S</t>
  </si>
  <si>
    <t>4S</t>
  </si>
  <si>
    <t>10S</t>
  </si>
  <si>
    <t>12S</t>
  </si>
  <si>
    <t>20S</t>
  </si>
  <si>
    <t>26S</t>
  </si>
  <si>
    <t>30S</t>
  </si>
  <si>
    <t>52S</t>
  </si>
  <si>
    <t>104S</t>
  </si>
  <si>
    <t>Poste Responsable</t>
  </si>
  <si>
    <t>Plan Entretien</t>
  </si>
  <si>
    <t>FCX</t>
  </si>
  <si>
    <t>Test de données</t>
  </si>
  <si>
    <t>DMS_SAP</t>
  </si>
  <si>
    <t>Statut doc</t>
  </si>
  <si>
    <t>Localisation / Classement</t>
  </si>
  <si>
    <t>Lien Fichier de gamme Source</t>
  </si>
  <si>
    <t>\\stjn.local\trimet\Donnees_Projets\Dms Sap\Maintenance\PlanEntretien\</t>
  </si>
  <si>
    <t>Fichier des gammes modèles pour création du document</t>
  </si>
  <si>
    <t>Modèle gamme</t>
  </si>
  <si>
    <t>Chemin fichier source</t>
  </si>
  <si>
    <t>Gamme en DMS</t>
  </si>
  <si>
    <t>Lien Fichier DMS SAP en PDF</t>
  </si>
  <si>
    <t>Passage en fichier xlsm pour insertion des macro
Modif des tableau de données pour 7.MFIE
Insertion des colonnes supp nécessaires
Modification du modèle de la gamme initial
Extraction des modèles de gammes dans dossier : S:\Commun\planPreventifUsine\Modèle Gamme
Création du bouton avec selection des lignes à créer et modifier
Ajout de l'export en PDF dans le dossier DMS SAP</t>
  </si>
  <si>
    <t>Code traitement (CODET)</t>
  </si>
  <si>
    <t>N° du document (DOKNR)</t>
  </si>
  <si>
    <t>Type du document (DOKAR)</t>
  </si>
  <si>
    <t>Document partiel (DOKTL)</t>
  </si>
  <si>
    <t>Version (DOKVR)</t>
  </si>
  <si>
    <t>Statut Document (STABK)</t>
  </si>
  <si>
    <t>Description (DKTXT)</t>
  </si>
  <si>
    <t>Gestionnaire (DWNAM)</t>
  </si>
  <si>
    <t>Groupe autorisation
(AUTHORITYGROUP)</t>
  </si>
  <si>
    <t>Document DMS supérieur (PRENR)</t>
  </si>
  <si>
    <t>Type document supérieur (PREAR)</t>
  </si>
  <si>
    <t>Document partiel supérieur (PRETL)</t>
  </si>
  <si>
    <t>Version document supérieur (PREVR)</t>
  </si>
  <si>
    <t>Code Application (DAPPL)</t>
  </si>
  <si>
    <t>Original Document (FILEP)</t>
  </si>
  <si>
    <t>Liaison d’objet code article (MATNR)</t>
  </si>
  <si>
    <t>Liaison d’objet Poste techniques (TPLNR)</t>
  </si>
  <si>
    <t>Découpe du fichier par poste responsable</t>
  </si>
  <si>
    <t>Type de préventif</t>
  </si>
  <si>
    <t>Localisation</t>
  </si>
  <si>
    <t>Chemin d'accès des dosssiers DMS SAP Globale</t>
  </si>
  <si>
    <t>Chemin d'accès des fichiers sources (*.xlsm) des gammes d'entretien</t>
  </si>
  <si>
    <t>Chemin d'accès du fichier PeTool (Ce fichier)</t>
  </si>
  <si>
    <t>voir modification pour changement de destination des dossier</t>
  </si>
  <si>
    <t>Modif des chemins d'accès et des liens vers les fichiers de gammes</t>
  </si>
  <si>
    <t>Groupe de Gamme</t>
  </si>
  <si>
    <t>Compteur de Gamme</t>
  </si>
  <si>
    <t>Version</t>
  </si>
  <si>
    <t>Colonne1</t>
  </si>
  <si>
    <t>1.5</t>
  </si>
  <si>
    <t>T130-C</t>
  </si>
  <si>
    <t>TRANBORDEUR ANODE</t>
  </si>
  <si>
    <t>PREV 12S 2MMx3,5 CTRL GEN TRANSBORD_SOL</t>
  </si>
  <si>
    <t>PREV 52S 2MMx3,5 CT_CHGT FLTR TRANSB SOL</t>
  </si>
  <si>
    <t>PREV 4S MSx4_NETTOYAGE TRANSBORDEUR SOL</t>
  </si>
  <si>
    <t>16S</t>
  </si>
  <si>
    <t>PREV 16S 2MMx3,5 CTRL GEN TRANSBORD AERI</t>
  </si>
  <si>
    <t>CONVOYEURS</t>
  </si>
  <si>
    <t>T130-D</t>
  </si>
  <si>
    <t>CFC C1/C7</t>
  </si>
  <si>
    <t>PREV 4S 2MMx3.5 HUILAGE CFC C1_C7</t>
  </si>
  <si>
    <t>PREV 1S 2MMx3.5 CT_HUILAGE CHAINES CATER(inactif)</t>
  </si>
  <si>
    <t>PREV 26S 1MMx4 CTRL_GRAISSAGE CHAINE CFC</t>
  </si>
  <si>
    <t>T130-D120</t>
  </si>
  <si>
    <t>PREV 16S 2MMx3.5 CTRL_CHGT BROSS F_G</t>
  </si>
  <si>
    <t>PREV 26S 2MEx3.5 ENTRETIEN BROSS F_G</t>
  </si>
  <si>
    <t>T130-D190</t>
  </si>
  <si>
    <t>PREV 52S 2MEx1 CTRL REDRESSEUSE_RONDIN_G</t>
  </si>
  <si>
    <t>PREV 52S 2MMx2 VIDANGE GP HYDR REDRESS G</t>
  </si>
  <si>
    <t>T130-D200</t>
  </si>
  <si>
    <t>BIS PREV 1S 2MM CT HEBDO POTEYEUSE_G</t>
  </si>
  <si>
    <t>T130-D205</t>
  </si>
  <si>
    <t>PREV 12S 2MMx4 NETTOYAGE BRULEURS G</t>
  </si>
  <si>
    <t>PREV 1S 2MM CTRL HEBDO BRULEURS_G</t>
  </si>
  <si>
    <t>8S</t>
  </si>
  <si>
    <t>PREV 8S 2MEx4 CT BRULEUR NETTOYAGE_G</t>
  </si>
  <si>
    <t>T130-E</t>
  </si>
  <si>
    <t>CFC C2/C3</t>
  </si>
  <si>
    <t>PREV 4S 2MMx3.5 HUILAGE CHAINE CFC C2_C3</t>
  </si>
  <si>
    <t>PREV 52S 2MEx1.8 NETTOYAGE_CTRL CFC 2_C3</t>
  </si>
  <si>
    <t>T130-F</t>
  </si>
  <si>
    <t>CFC C4/C5/C6</t>
  </si>
  <si>
    <t>PREV 4S 2MMx3.5 HUILAGE CHAINE CFC C5_C6</t>
  </si>
  <si>
    <t>PREV 4S 2MMx3.5 HUILAGE CHAINE CFC4</t>
  </si>
  <si>
    <t>T130-G</t>
  </si>
  <si>
    <t xml:space="preserve">CHARIOT LIBRE CFC </t>
  </si>
  <si>
    <t>PREV 1S MM PALONNIER G</t>
  </si>
  <si>
    <t>T130-J</t>
  </si>
  <si>
    <t>NETTOYAGE ANODE ST JEAN</t>
  </si>
  <si>
    <t>PREV 16S 2MMx3.5 CTRL MANIP SJ</t>
  </si>
  <si>
    <t>PREV 16S 2MMx3.5 CTRL PIQUEUR SJ</t>
  </si>
  <si>
    <t>PREV 52S 2MMx3.5 CT_CHGT FILTRE MANIP SJ</t>
  </si>
  <si>
    <t>PREV 52S 2MMx3.5 CT_CHGT FILTR PIQUEU SJ</t>
  </si>
  <si>
    <t>PREV 104S 1MEx3.5 CHGT RELAIS PIQUEUR SJ</t>
  </si>
  <si>
    <t>T130-K</t>
  </si>
  <si>
    <t>NETTOYAGE ANODE MODANE</t>
  </si>
  <si>
    <t>PREV 16S 2MMx3.5 CTRL  MANIP MO</t>
  </si>
  <si>
    <t>PREV 16S 2MMx3.5 CTRL PIQUEUR MO</t>
  </si>
  <si>
    <t>PREV 52S 2MMx3.5 CT_CHGT FILTRE MANIP MO</t>
  </si>
  <si>
    <t>PREV 52S 2MMx3.5 CT_CHGT FILTR PIQUEU MO</t>
  </si>
  <si>
    <t>PREV 52S 2MMx1,8 CT_CHGT FILTRE_TABLE MO</t>
  </si>
  <si>
    <t>PREV 104S 2MEx1,8 CHGT RELAIS PIQUEUR MO</t>
  </si>
  <si>
    <t>LEVAGE</t>
  </si>
  <si>
    <t>T130-L100</t>
  </si>
  <si>
    <t>LEVAGE SCELLEMENT</t>
  </si>
  <si>
    <t>PREV 26S 2MEx1,8 CTRL PONT S17</t>
  </si>
  <si>
    <t>PREV 26S 2MMx3,5 CTRL PONT S17</t>
  </si>
  <si>
    <t>T130-L110</t>
  </si>
  <si>
    <t>PREV 26S 2MEx1,8 CTRL PONT S18</t>
  </si>
  <si>
    <t>PREV 26S 2MMx3.5 CTRL PONT S18</t>
  </si>
  <si>
    <t>T130-L120</t>
  </si>
  <si>
    <t>PREV 26S 2MEx1,8 CTRL PONT S19</t>
  </si>
  <si>
    <t>PREV 26S 2MMx3.5 CTRL PONT S19</t>
  </si>
  <si>
    <t>T130-L130</t>
  </si>
  <si>
    <t>PREV 26S 2MEx1,8 CTRL PONT S20</t>
  </si>
  <si>
    <t>PREV 26S 2MMx3.5 CTRL PONT S20</t>
  </si>
  <si>
    <t>T130-L140</t>
  </si>
  <si>
    <t>PREV 26S 2MEx1,8 CTRL PONT S34</t>
  </si>
  <si>
    <t>PREV 26S 2MMx3.5 CTRL PONT S34</t>
  </si>
  <si>
    <t>T130-L190</t>
  </si>
  <si>
    <t>PREV 26S 2MEx1,8 CTRL PONT S31</t>
  </si>
  <si>
    <t>PREV 26S 2MMx3.5 CTRL PONT S31</t>
  </si>
  <si>
    <t>PREV 26S 2MMx3.5 CTRL PALAN VERLIND S31(inactif)</t>
  </si>
  <si>
    <t>EVACUATION</t>
  </si>
  <si>
    <t>T130-M</t>
  </si>
  <si>
    <t xml:space="preserve">EVACUATION BAIN SCELLEMENT </t>
  </si>
  <si>
    <t>PREV 52S 1MEx3,5 ENTRETIEN_TEST GERLACH</t>
  </si>
  <si>
    <t xml:space="preserve">PREV 52S 1MEx3,5 CTRL INTENSITE GERLACH </t>
  </si>
  <si>
    <t>PREV 52S 2MMx2 GERLACH_INSPE_BAC_C1B</t>
  </si>
  <si>
    <t>T130-M120</t>
  </si>
  <si>
    <t>T130-M130</t>
  </si>
  <si>
    <t>T130-M140</t>
  </si>
  <si>
    <t>T130-N110</t>
  </si>
  <si>
    <t>PREV 16S 2MMx3.5 CTRL PRESSE A CASSER G</t>
  </si>
  <si>
    <t>PREV 26S 2MEx1.8 CTRL PRESSE A CASSER G</t>
  </si>
  <si>
    <t>PREV 52S 2MMx3.5 CT_FLTR PRES_G_DEB_PRES</t>
  </si>
  <si>
    <t>T130-N150</t>
  </si>
  <si>
    <t>PREV 26S 1MEx3,5 CT_EVAC DECHET CARB_FINE</t>
  </si>
  <si>
    <t>PREV 26S 2MMx3.5 CTRL FLTRE DCHET CARBON</t>
  </si>
  <si>
    <t>PREV 26S 2MMx3.5 CTRL EVAC DCHET CAR_FIN</t>
  </si>
  <si>
    <t>T130-N180</t>
  </si>
  <si>
    <t>PREV 26S 2MMx3.5 CTRL FLTR DCHET_CAR_NEU</t>
  </si>
  <si>
    <t>TRAITEMENTS</t>
  </si>
  <si>
    <t>T130-O</t>
  </si>
  <si>
    <t>TRAITEMENT FONTE</t>
  </si>
  <si>
    <t>PREV 26S 2MEx3.5 CTRL_GEN_DEFONTER F1_F2</t>
  </si>
  <si>
    <t>T130-O120</t>
  </si>
  <si>
    <t>PREV 12S 2MMx3.5 CTRL DEF_G2_TRANSFERT</t>
  </si>
  <si>
    <t>PREV 26S 2MEx3.5 CTRL_GEN_DEFONTER_G1_G2</t>
  </si>
  <si>
    <t>PREV 26S 2MMx3.5 CTRL_CHGT FILTRE DEF_G2</t>
  </si>
  <si>
    <t>T130-O130</t>
  </si>
  <si>
    <t>PREV 12S 2MMx3.5 CTRL_DEF_G1+TRANSFERT</t>
  </si>
  <si>
    <t>PREV 26S 2MMx3.5 CTRL_CHGT FILTRE DEF_G1</t>
  </si>
  <si>
    <t>T130-O140</t>
  </si>
  <si>
    <t>PREV 8S 2MMx3.5 CTRL TAPIS FONT ARC_SNCF</t>
  </si>
  <si>
    <t>PREV 26S  2MEx1 ENTRETIEN TAPIS FONTE</t>
  </si>
  <si>
    <t>T130-O150</t>
  </si>
  <si>
    <t>PREV 52S 2MMx3.5 CTRL FILTR GRENAIL_FONT</t>
  </si>
  <si>
    <t>T130-O170</t>
  </si>
  <si>
    <t>PREV 26S 2MMx3.5 CTRL PALAN GREN S22</t>
  </si>
  <si>
    <t>FOURS</t>
  </si>
  <si>
    <t>T130-P100</t>
  </si>
  <si>
    <t>FUSION FONTE</t>
  </si>
  <si>
    <t>PREV 26S 2MEx3.5 CTRL CRDON_RESIST_CHAUF</t>
  </si>
  <si>
    <t>T130-P120</t>
  </si>
  <si>
    <t>PREV 26S 2MEx1,8 CTRL PONT S23</t>
  </si>
  <si>
    <t>PREV 26S 2MMx3.5 CTRL PONT S23</t>
  </si>
  <si>
    <t>T130-P130</t>
  </si>
  <si>
    <t>PREV 52S 2MMx3.5 CT HYDR_CHGT FILTR 1,5T</t>
  </si>
  <si>
    <t>T130-P170</t>
  </si>
  <si>
    <t>PREV 52S 2MMx3.5 CHGT VANN THERMOS_1,5T</t>
  </si>
  <si>
    <t>T130-P180</t>
  </si>
  <si>
    <t>PREV 4S 2MEx3.5 CTRL PUISSANCE 4T</t>
  </si>
  <si>
    <t>T130-P190</t>
  </si>
  <si>
    <t>T130-P200</t>
  </si>
  <si>
    <t>PREV 52S 2MMx3.5 CHGT VANN THERMOS_2T</t>
  </si>
  <si>
    <t>T130-P210</t>
  </si>
  <si>
    <t>PREV 52S 2MMx3.5 CHGT VANN THERMOS_4T</t>
  </si>
  <si>
    <t>PREV 12S 2MEx3.5 MISE_TERRE FOUR 1,5T 4T</t>
  </si>
  <si>
    <t>MANUTENTIONS</t>
  </si>
  <si>
    <t>T130-Q120</t>
  </si>
  <si>
    <t xml:space="preserve">MANUTENTION FONTE LIQUIDE </t>
  </si>
  <si>
    <t>PREV 4S 2MMx1.5 CTRL CHARIOT BANSS_G</t>
  </si>
  <si>
    <t>PREV 52S 2MMx3.5 CTRL BANSS SECOUR</t>
  </si>
  <si>
    <t>T130-Q130</t>
  </si>
  <si>
    <t>PREV 52S 2MEx3.5 CTRL_BNS_SCOUR_S30_S31</t>
  </si>
  <si>
    <t>T130-R100</t>
  </si>
  <si>
    <t>MANUTENTION ANODE</t>
  </si>
  <si>
    <t>PREV 4S 1MEx2 CTRL ECLAIRAG ANODE TLBEN</t>
  </si>
  <si>
    <t>PREV 52S 2MEx3.5 ENTRETIEN_CTRL_TELEBENN</t>
  </si>
  <si>
    <t>PREV 52S 2MMx3.5 CT_HYD FLTR EJECT_TELEBN</t>
  </si>
  <si>
    <t>PREV 52S 2MMx3.5 CTRL_CHGT FILTR TELEBEN</t>
  </si>
  <si>
    <t>PREV 104S 2MEx7 CHGT BARRETTES SECURITE</t>
  </si>
  <si>
    <t>T130-R110</t>
  </si>
  <si>
    <t>PREV 26S 2MEx7 CTRL_GEN_TABL CONVOYS SOL</t>
  </si>
  <si>
    <t>T130-R120</t>
  </si>
  <si>
    <t>PREV 52S 2MMx3.5 CT_HYD_CHGT FILTR LOT_1</t>
  </si>
  <si>
    <t>PREV 26S 2MMx3.5 CTRL TABLES LOT_1</t>
  </si>
  <si>
    <t>T130-R130</t>
  </si>
  <si>
    <t>PREV 26S 2MMx3.5 CTRL TABLES  LOT_ 2</t>
  </si>
  <si>
    <t>PREV 52S 2MMx3.5 CTRL_HYD_FLTR LOT_2 DP</t>
  </si>
  <si>
    <t>T130-R150</t>
  </si>
  <si>
    <t>PREV 16S 2MMx3.5 CTRL_GEN_CONVOY_FIMEC</t>
  </si>
  <si>
    <t>T130-T101</t>
  </si>
  <si>
    <t xml:space="preserve">SCELLEMENT DES ANODES </t>
  </si>
  <si>
    <t>PREV 26S 2MMx7 CT_GEN_GRAIS_BANC SCLMT_F</t>
  </si>
  <si>
    <t>T130-T110</t>
  </si>
  <si>
    <t>PREV 26S 2MMx7 CT_GEN_GRAIS_BANC SCLMT_G</t>
  </si>
  <si>
    <t>T130-U010</t>
  </si>
  <si>
    <t>NETTOYAGE MEGOTS ANODES</t>
  </si>
  <si>
    <t>PREV 26S 2MEx2 ENTRETIEN_CTRL_GREN_MEGOT</t>
  </si>
  <si>
    <t>PREV 26S 2MMx2 CTRL_GRAISS_GRENAIL_MEGOT</t>
  </si>
  <si>
    <t>PREV 52S 2MMx1,8 CT_CHGT FILTRE_TABLE SJ</t>
  </si>
  <si>
    <t>PREV 52S 2MMx3.5 CHGT BAGUE GUID DEF_G1</t>
  </si>
  <si>
    <t>PREV 52S 2MMx3.5 CHGT BAGUE GUID DEF_G2</t>
  </si>
  <si>
    <t>T130-D100</t>
  </si>
  <si>
    <t>PREV 16S 2MMx3,5 CTRL ASCENSEUR MARIAG F</t>
  </si>
  <si>
    <t>PREV 16S 2MMx3,5 CTRL  HYDR.ASCENSEUR F</t>
  </si>
  <si>
    <t>PREV 52S 2MMx3,5 CHGT.FLTR+VIDAN ASCEN F</t>
  </si>
  <si>
    <t>PREV 4S 1MEx3.5 CONTROLE COMPTEUR</t>
  </si>
  <si>
    <t>T130-B</t>
  </si>
  <si>
    <t>BATIMENT SCELLEMENT_EXT</t>
  </si>
  <si>
    <t>PREV 26S 2MEx3,5 CT ECLAIRAG SECOURS SCLT</t>
  </si>
  <si>
    <t>BATIMENT SCLMT</t>
  </si>
  <si>
    <t>PREV 52S 1MEx2 CONTROLE PARAFOUDRES</t>
  </si>
  <si>
    <t>GRENAILLEUSE</t>
  </si>
  <si>
    <t>OUI</t>
  </si>
  <si>
    <t>PIQUAGES</t>
  </si>
  <si>
    <t>TRANSBORDEUR</t>
  </si>
  <si>
    <t>NON</t>
  </si>
  <si>
    <t>T130-C_34193</t>
  </si>
  <si>
    <t>C</t>
  </si>
  <si>
    <t>T130-C_34308</t>
  </si>
  <si>
    <t>T130-C_34309</t>
  </si>
  <si>
    <t>CTRL HYD</t>
  </si>
  <si>
    <t>T130-C_34195</t>
  </si>
  <si>
    <t>T130-D200_34100</t>
  </si>
  <si>
    <t>T130-C_34196</t>
  </si>
  <si>
    <t>PREV 26S 2MEx3,5 NET_CGT FLTR RFROI_1,5T</t>
  </si>
  <si>
    <t>PREV 52S 2MEx1,8 CTRL_GENERAL_FOUR 2T</t>
  </si>
  <si>
    <t>PREV 26S 2MMx3.5 CTRL_GRAISS_AIGUILLAGE</t>
  </si>
  <si>
    <t>PREV 26S 2MEx2 NET_CHGT_FLTR_1.5T</t>
  </si>
  <si>
    <t>T130-D_34200</t>
  </si>
  <si>
    <t xml:space="preserve">PREV 1S 2MMx3.5 CTRL_HUILAGE CATER </t>
  </si>
  <si>
    <t>T130-C_34194</t>
  </si>
  <si>
    <t>T130-D_34197</t>
  </si>
  <si>
    <t>T130-D_34198</t>
  </si>
  <si>
    <t>T130-D_34201</t>
  </si>
  <si>
    <t>T130-D120_34202</t>
  </si>
  <si>
    <t>T130-D120_34203</t>
  </si>
  <si>
    <t>T130-D190_32204</t>
  </si>
  <si>
    <t>REDRESSEUSE RONDIN</t>
  </si>
  <si>
    <t>ATELIER POTEYAGE</t>
  </si>
  <si>
    <t>T130-D205_34093</t>
  </si>
  <si>
    <t>T130-D205_34092</t>
  </si>
  <si>
    <t>T130-D205_34099</t>
  </si>
  <si>
    <t>T130-E_34208</t>
  </si>
  <si>
    <t>T130-E_34209</t>
  </si>
  <si>
    <t>T130-F_34210</t>
  </si>
  <si>
    <t>T130-F_34211</t>
  </si>
  <si>
    <t>T130-F_34212</t>
  </si>
  <si>
    <t>T130-F_34213</t>
  </si>
  <si>
    <t>T130-G_34214</t>
  </si>
  <si>
    <t>T130-L100_34231</t>
  </si>
  <si>
    <t>T130-L100_34232</t>
  </si>
  <si>
    <t>T130-L110_34233</t>
  </si>
  <si>
    <t>T130-L120_34235</t>
  </si>
  <si>
    <t>T130-L130_34237</t>
  </si>
  <si>
    <t>T130-L140_34239</t>
  </si>
  <si>
    <t>T130-L190_34241</t>
  </si>
  <si>
    <t>T130-L110_34234</t>
  </si>
  <si>
    <t>T130-L120_34236</t>
  </si>
  <si>
    <t>T130-L130_34238</t>
  </si>
  <si>
    <t>T130-L140_34240</t>
  </si>
  <si>
    <t>T130-L190_34242</t>
  </si>
  <si>
    <t>T130-M_34244</t>
  </si>
  <si>
    <t>T130-M_34245</t>
  </si>
  <si>
    <t>T130-M_34247</t>
  </si>
  <si>
    <t>T130-M120_34248</t>
  </si>
  <si>
    <t>T130-M130_34249</t>
  </si>
  <si>
    <t>T130-M140_34251</t>
  </si>
  <si>
    <t>T130-M130_34250</t>
  </si>
  <si>
    <t>T130-N110_34253</t>
  </si>
  <si>
    <t>T130-N110_34254</t>
  </si>
  <si>
    <t>T130-N110_34255</t>
  </si>
  <si>
    <t>T130-N150_34256</t>
  </si>
  <si>
    <t>T130-N150_34257</t>
  </si>
  <si>
    <t>T130-N150_34258</t>
  </si>
  <si>
    <t>T130-O_34260</t>
  </si>
  <si>
    <t>T130-O120_34261</t>
  </si>
  <si>
    <t>T130-O120_34262</t>
  </si>
  <si>
    <t>T130-O120_34263</t>
  </si>
  <si>
    <t>T130-O130_34264</t>
  </si>
  <si>
    <t>T130-O130_34265</t>
  </si>
  <si>
    <t>T130-O140_34266</t>
  </si>
  <si>
    <t>T130-O140_34267</t>
  </si>
  <si>
    <t>T130-O150_34268</t>
  </si>
  <si>
    <t>T130-O150_34269</t>
  </si>
  <si>
    <t>T130-O150_34271</t>
  </si>
  <si>
    <t>T130-O150_34272</t>
  </si>
  <si>
    <t>T130-O170_34273</t>
  </si>
  <si>
    <t>T130-P100_34274</t>
  </si>
  <si>
    <t>T130-P120_34275</t>
  </si>
  <si>
    <t>T130-P120_34276</t>
  </si>
  <si>
    <t>T130-P130_34277</t>
  </si>
  <si>
    <t>T130-P130_34278</t>
  </si>
  <si>
    <t>T130-P170_34279</t>
  </si>
  <si>
    <t>T130-P170_34280</t>
  </si>
  <si>
    <t>T130-P180_34281</t>
  </si>
  <si>
    <t>T130-P180_34282</t>
  </si>
  <si>
    <t>T130-P180_34283</t>
  </si>
  <si>
    <t>T130-P190_34284</t>
  </si>
  <si>
    <t>T130-P200_34285</t>
  </si>
  <si>
    <t>T130-P210_34286</t>
  </si>
  <si>
    <t>T130-P210_34287</t>
  </si>
  <si>
    <t>T130-Q120_34288</t>
  </si>
  <si>
    <t>T130-Q120_34289</t>
  </si>
  <si>
    <t>T130-Q120_34290</t>
  </si>
  <si>
    <t>T130-Q130_34291</t>
  </si>
  <si>
    <t>T130-R100_34292</t>
  </si>
  <si>
    <t>T130-R100_34293</t>
  </si>
  <si>
    <t>T130-R100_34294</t>
  </si>
  <si>
    <t>T130-R100_34295</t>
  </si>
  <si>
    <t>T130-R100_34296</t>
  </si>
  <si>
    <t>T130-R110_34297</t>
  </si>
  <si>
    <t>T130-R120_34298</t>
  </si>
  <si>
    <t>T130-R120_34299</t>
  </si>
  <si>
    <t>T130-R130_34300</t>
  </si>
  <si>
    <t>T130-R130_34301</t>
  </si>
  <si>
    <t>T130-R150_34302</t>
  </si>
  <si>
    <t>T130-T101_34303</t>
  </si>
  <si>
    <t>T130-T110_34304</t>
  </si>
  <si>
    <t>T130-O120_34963</t>
  </si>
  <si>
    <t>T130-O130_34964</t>
  </si>
  <si>
    <t>T130-U010_34305</t>
  </si>
  <si>
    <t>T130-U010_34306</t>
  </si>
  <si>
    <t>T130-U010_34307</t>
  </si>
  <si>
    <t>T130-J_34962</t>
  </si>
  <si>
    <t>T130-J_34215</t>
  </si>
  <si>
    <t>T130-J_34216</t>
  </si>
  <si>
    <t>T130-J_34217</t>
  </si>
  <si>
    <t>T130-J_34218</t>
  </si>
  <si>
    <t>T130-J_34219</t>
  </si>
  <si>
    <t>T130-J_34220</t>
  </si>
  <si>
    <t>T130-J_34221</t>
  </si>
  <si>
    <t>T130-K_34222</t>
  </si>
  <si>
    <t>T130-K_34223</t>
  </si>
  <si>
    <t>T130-K_34224</t>
  </si>
  <si>
    <t>T130-K_34225</t>
  </si>
  <si>
    <t>T130-K_34226</t>
  </si>
  <si>
    <t>T130-K_34227</t>
  </si>
  <si>
    <t>T130-K_34229</t>
  </si>
  <si>
    <t>T130-K_34228</t>
  </si>
  <si>
    <t>ATELIER CATHODE</t>
  </si>
  <si>
    <t>T240</t>
  </si>
  <si>
    <t>PREV 26S 2MMx7 CTRL SCLMT CATHODE</t>
  </si>
  <si>
    <t>CATHODES</t>
  </si>
  <si>
    <t>PREV 52S 2MEx7 CTRL SCLMNT CATHODE</t>
  </si>
  <si>
    <t>PREV 1S 2MMx2 CTRL/APPOINT GR HYDR SCLMT</t>
  </si>
  <si>
    <t>PREV 12S MS STATION MOTRICE TELEBENNE</t>
  </si>
  <si>
    <t>PREV 12S MS CONTRÔLE TELEBENNE</t>
  </si>
  <si>
    <t>PREV 12S MS DEPLACEMENT TELEBENNE</t>
  </si>
  <si>
    <t>PREV 12S MS GRAISSAGE BENNE</t>
  </si>
  <si>
    <t>PREV 4S MS CTRL DECALAGE BENNES VERNIER</t>
  </si>
  <si>
    <t>T130-F_34869</t>
  </si>
  <si>
    <t>T130-F_34870</t>
  </si>
  <si>
    <t>T240_35295</t>
  </si>
  <si>
    <t>T240_35296</t>
  </si>
  <si>
    <t>PREV 52S 2MMx8  CTRL_GRAISS_STAT D'ARRET</t>
  </si>
  <si>
    <t>T130-B_35297</t>
  </si>
  <si>
    <t>T130-F_34875</t>
  </si>
  <si>
    <t>T130-M160</t>
  </si>
  <si>
    <t>T130-M170</t>
  </si>
  <si>
    <t>T130-M180</t>
  </si>
  <si>
    <t>T130-N120</t>
  </si>
  <si>
    <t>PREV 4A MS REMPLACEMENT BOBINE FOUR 4T</t>
  </si>
  <si>
    <t>PREV 4S MS CTRL GERLACH C3</t>
  </si>
  <si>
    <t>PREV 2S MS CTRL GERLACH C2A</t>
  </si>
  <si>
    <t>PREV 2S MS CTRL GERLACH C0A</t>
  </si>
  <si>
    <t>PREV 2S MS CTRL GERLACH C0</t>
  </si>
  <si>
    <t>PREV 4S MS CT/VERIF. CLIMATISEUR SCELL</t>
  </si>
  <si>
    <t>PREV 52S 1MEX2 CT THERMO POST AUTOM/ELEC</t>
  </si>
  <si>
    <t>PREV  GRAISSAGE REDRESSEUSE G</t>
  </si>
  <si>
    <t>PREV 4S 2MMx4 CTRL_GEN REDRESSEUSE_G</t>
  </si>
  <si>
    <t>PREV 12S 2MMx2 CHGMT PALETTE_GREN_MEGOT</t>
  </si>
  <si>
    <t>T130-U010_34800</t>
  </si>
  <si>
    <t>T130-U010_35309</t>
  </si>
  <si>
    <t>PREV 4S 2MMx2 CTRL GEN GRENAILL_MEGOT</t>
  </si>
  <si>
    <t>PREV 26S 2MEx3,5 CONTROLE TRANSB AERIEN</t>
  </si>
  <si>
    <t>PREV 26S 2MEx3,5 CONTRÔLE GEN TRANSB SOL</t>
  </si>
  <si>
    <t>PREV 52S 2MEx1.8 CONTROLE GENERAL CFC 4</t>
  </si>
  <si>
    <t>PREV 52S 2MEx3.5 CONTRÔLE GEN CFC 5_C6</t>
  </si>
  <si>
    <t>PREV 26S 2MEx3.5 CONTROLE PIQUAG SJ</t>
  </si>
  <si>
    <t>4A</t>
  </si>
  <si>
    <t>PREV 52S 2MMx4 CTRL RETOURNEMENT CFC</t>
  </si>
  <si>
    <t>PREV 52S 1MEx3,5 CONTROLE_PUPI_COFF_ 4T</t>
  </si>
  <si>
    <t>PREV 52S 1MEx3.5 CONROLE GEN GREN_FONTE</t>
  </si>
  <si>
    <t>PREV 52S 2MEx1.8 CONTROLE GEN CFC 1_C7</t>
  </si>
  <si>
    <t>Tuto création de gamme</t>
  </si>
  <si>
    <t>PREV 26S 2MEx3.5 CONTROLE_PIQUAGE MODANE</t>
  </si>
  <si>
    <t>PREV 12S 2MMx3.5 GRAISS GRENAILLEUSE FONTE</t>
  </si>
  <si>
    <t>PREV 12S 2MMx3.5 CTRL_GEN GRENAILL FONTE</t>
  </si>
  <si>
    <t>S</t>
  </si>
  <si>
    <t>PREV 12S 2MEx3.5 CTRL BANSS G S24</t>
  </si>
  <si>
    <t>Tuto stratégie de planification</t>
  </si>
  <si>
    <t>Tuto Création d'une gamme dans SAP avec PE Tool</t>
  </si>
  <si>
    <t>PREV 2S MS CTRL C1B_C0A_C2A_C0_C3</t>
  </si>
  <si>
    <t>T130-M_34252</t>
  </si>
  <si>
    <t>PREV 52S 2MMx3.5 CTRL CONV GERLACH C2</t>
  </si>
  <si>
    <t>PREV 26S 2MMx3.5 CTRL_FILTRE GENEVET N°1</t>
  </si>
  <si>
    <t>PREV 52S 2MEx3.5 CONTROLE_FILTR 1_2_NEU</t>
  </si>
  <si>
    <t>PREV 26S 2MMx3.5 CTRL_FILTRE GENEVET N°2</t>
  </si>
  <si>
    <t>T130-B_33641</t>
  </si>
  <si>
    <t>PREV 16S 2MEx2 CT THERMO P/ELEC FOURS</t>
  </si>
  <si>
    <t>T130-B_34965</t>
  </si>
  <si>
    <t>T130-D190_34205</t>
  </si>
  <si>
    <t>T130-D190_34206</t>
  </si>
  <si>
    <t>T130-D190_34207</t>
  </si>
  <si>
    <t>PREV 8S 2MEx2 CHANGEMENT FLTR_4T_1,5T</t>
  </si>
  <si>
    <t>PREV 2S MS CTRL CONV C1B_C0A_C2A_C0_C3</t>
  </si>
  <si>
    <t>T130-M_34246</t>
  </si>
  <si>
    <t>T130-N100</t>
  </si>
  <si>
    <t>TRAITEMENT CARBONE</t>
  </si>
  <si>
    <t>T130-N100_35509</t>
  </si>
  <si>
    <t>T130-N100_35510</t>
  </si>
  <si>
    <t>PREV 52S 2MMx1 CHGT COURROIE TURBINES GREN MEG</t>
  </si>
  <si>
    <t>T130-O150_34270</t>
  </si>
  <si>
    <t>PREV 12S 2MMx2 CHGT PALLET TURBIN GREN FONTE</t>
  </si>
  <si>
    <t>T130-N180_34259</t>
  </si>
  <si>
    <t>OK</t>
  </si>
  <si>
    <t>EVACUATION BAIN SCELLEMENT</t>
  </si>
  <si>
    <t>T130-F_34876</t>
  </si>
  <si>
    <t>T130-B_34966</t>
  </si>
  <si>
    <t>PREV 26S 2MEx3.5 CTRL CONDENSATEUR 4T</t>
  </si>
  <si>
    <t>PREV 26S 2MEx3.5 CTRL CONDENSATEUR 1,5T</t>
  </si>
  <si>
    <t>PREV 26S 2MEx3.5 CTRL PUISSANCE 2T</t>
  </si>
  <si>
    <t>PREV 12S 2MEx3.5 CTRL PUISSANCE 1,5T</t>
  </si>
  <si>
    <t>PREV 52S 2MEx3.5 CTRL_NETTOY TRANSFO 4T</t>
  </si>
  <si>
    <t>PREV 52S 2MEx3.5 CT_NETTOY TRANSFO 1,5T</t>
  </si>
  <si>
    <t>T130-P170_35615</t>
  </si>
  <si>
    <t>T130-P170_35616</t>
  </si>
  <si>
    <t>T130-P170_35617</t>
  </si>
  <si>
    <t>T130-P180_35618</t>
  </si>
  <si>
    <t>T130-P180_35619</t>
  </si>
  <si>
    <t>T130-P190_35620</t>
  </si>
  <si>
    <t>PREV 8S 2MMx3.5 CTRL PRESS A CASSER F</t>
  </si>
  <si>
    <t>PREV 16S 2MEx1.8 CT ELEC PRESS CASSER F</t>
  </si>
  <si>
    <t>PREV 16S 2MMx3.5 CT HYDRAU PRES CASSER F</t>
  </si>
  <si>
    <t>T130-N100_35626</t>
  </si>
  <si>
    <t>PREV 4S 1MMx3.5 CT HYDRAU PRES CASSER F</t>
  </si>
  <si>
    <t>PREV 8S 2MMx3.5 CTRL TABLE_PIQU_SJ</t>
  </si>
  <si>
    <t>PREV 8S 2MMx3.5 CTRL TABLE MO</t>
  </si>
  <si>
    <t>PREV 26S 2MEx3,5 TEST ALARMES SCLMT-FAC</t>
  </si>
  <si>
    <t>T130-P190_35733</t>
  </si>
  <si>
    <t>T130-E110</t>
  </si>
  <si>
    <t>T130-D-E-F</t>
  </si>
  <si>
    <t>PREV 52S 2MMx8  CTRL ROUE DE TENSION C3</t>
  </si>
  <si>
    <t>PREV 26S 2MMx16 CTRL STATIONS ARRETS CFC</t>
  </si>
  <si>
    <t>PREV 26S 2MEx16 CTRL STATIONS ARRETS CFC</t>
  </si>
  <si>
    <t>T130-D-E-F_35791</t>
  </si>
  <si>
    <t>CONVOYEUR CFC C3</t>
  </si>
  <si>
    <t>T130-E110_35790</t>
  </si>
  <si>
    <t>T130-D-E-F_35792</t>
  </si>
  <si>
    <t>\\stjn.local\trimet\Btechnique\Commun\BT Maint SCELLEMENT\205 - Préventifs\PeTool - 7.MSCT.xlsm</t>
  </si>
  <si>
    <t>\\stjn.local\trimet\Btechnique\Commun\BT Maint SCELLEMENT\205 - Préventifs\Gammes 7.MSCT PE Tool\</t>
  </si>
  <si>
    <t>\\stjn.local\trimet\Btechnique\Commun\BT Maint SCELLEMENT\205 - Préventifs\Modèles préventif\GammeDMS_7.MSCT.xlsm</t>
  </si>
  <si>
    <t>PREV 26S MS GRAISSAGE TELEBENNE PYLONES + GARES</t>
  </si>
  <si>
    <t>GRENALLEUSE A MEGOTS</t>
  </si>
  <si>
    <t>A renseigner et à créer (Action de fiab)</t>
  </si>
  <si>
    <t>Changement galets courbe Systématique tous les 2ans</t>
  </si>
  <si>
    <t>FILTRE NEU</t>
  </si>
  <si>
    <t>Changement des roulements tous les 2ans ? Voir préventif de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</si>
</sst>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1"/>
      <color rgb="FFFF0000"/>
      <name val="Calibri"/>
      <family val="2"/>
      <scheme val="minor"/>
    </font>
    <font>
      <sz val="11"/>
      <color theme="0"/>
      <name val="Calibri"/>
      <family val="2"/>
      <scheme val="minor"/>
    </font>
    <font>
      <b/>
      <sz val="9"/>
      <color indexed="81"/>
      <name val="Tahoma"/>
      <family val="2"/>
    </font>
    <font>
      <sz val="9"/>
      <color indexed="81"/>
      <name val="Tahoma"/>
      <family val="2"/>
    </font>
    <font>
      <b/>
      <sz val="10"/>
      <color theme="1"/>
      <name val="Arial"/>
      <family val="2"/>
    </font>
    <font>
      <b/>
      <sz val="11"/>
      <color rgb="FFFF0000"/>
      <name val="Calibri"/>
      <family val="2"/>
      <scheme val="minor"/>
    </font>
    <font>
      <sz val="11"/>
      <color theme="1"/>
      <name val="Calibri"/>
      <family val="2"/>
      <scheme val="minor"/>
    </font>
    <font>
      <sz val="10"/>
      <name val="Arial"/>
      <family val="2"/>
    </font>
    <font>
      <u/>
      <sz val="11"/>
      <name val="Calibri"/>
      <family val="2"/>
      <scheme val="minor"/>
    </font>
    <font>
      <strike/>
      <sz val="11"/>
      <color rgb="FFFF0000"/>
      <name val="Calibri"/>
      <family val="2"/>
      <scheme val="minor"/>
    </font>
    <font>
      <sz val="11"/>
      <color rgb="FF006100"/>
      <name val="Calibri"/>
      <family val="2"/>
      <scheme val="minor"/>
    </font>
    <font>
      <b/>
      <sz val="11"/>
      <name val="Calibri"/>
      <family val="2"/>
      <scheme val="minor"/>
    </font>
    <font>
      <b/>
      <u/>
      <sz val="11"/>
      <color theme="1"/>
      <name val="Calibri"/>
      <family val="2"/>
      <scheme val="minor"/>
    </font>
    <font>
      <sz val="11"/>
      <color rgb="FF000000"/>
      <name val="Calibri"/>
      <family val="2"/>
    </font>
  </fonts>
  <fills count="8">
    <fill>
      <patternFill patternType="none"/>
    </fill>
    <fill>
      <patternFill patternType="gray125"/>
    </fill>
    <fill>
      <patternFill patternType="solid">
        <fgColor rgb="FF00FF00"/>
        <bgColor indexed="64"/>
      </patternFill>
    </fill>
    <fill>
      <patternFill patternType="solid">
        <fgColor theme="2" tint="-0.249977111117893"/>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rgb="FFC6EFCE"/>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0" fontId="1" fillId="0" borderId="0" applyNumberFormat="0" applyFill="0" applyBorder="0" applyAlignment="0" applyProtection="0"/>
    <xf numFmtId="0" fontId="11" fillId="0" borderId="0"/>
    <xf numFmtId="0" fontId="10" fillId="0" borderId="0"/>
    <xf numFmtId="0" fontId="14" fillId="7" borderId="0" applyNumberFormat="0" applyBorder="0" applyAlignment="0" applyProtection="0"/>
  </cellStyleXfs>
  <cellXfs count="95">
    <xf numFmtId="0" fontId="0" fillId="0" borderId="0" xfId="0"/>
    <xf numFmtId="0" fontId="0" fillId="0" borderId="2" xfId="0" applyBorder="1"/>
    <xf numFmtId="0" fontId="0" fillId="0" borderId="3" xfId="0" applyBorder="1"/>
    <xf numFmtId="0" fontId="0" fillId="0" borderId="4" xfId="0" applyBorder="1"/>
    <xf numFmtId="0" fontId="0" fillId="0" borderId="5" xfId="0" applyBorder="1"/>
    <xf numFmtId="0" fontId="0" fillId="0" borderId="12" xfId="0" applyBorder="1"/>
    <xf numFmtId="0" fontId="0" fillId="0" borderId="13" xfId="0" applyBorder="1"/>
    <xf numFmtId="0" fontId="0" fillId="0" borderId="14" xfId="0" applyBorder="1"/>
    <xf numFmtId="14" fontId="0" fillId="0" borderId="2" xfId="0" applyNumberFormat="1" applyBorder="1"/>
    <xf numFmtId="0" fontId="0" fillId="0" borderId="1" xfId="0" applyBorder="1"/>
    <xf numFmtId="0" fontId="1" fillId="0" borderId="1" xfId="1" applyBorder="1"/>
    <xf numFmtId="14" fontId="0" fillId="0" borderId="1" xfId="0" applyNumberFormat="1" applyBorder="1"/>
    <xf numFmtId="0" fontId="0" fillId="0" borderId="1" xfId="0" applyBorder="1" applyAlignment="1">
      <alignment horizontal="center" vertical="center"/>
    </xf>
    <xf numFmtId="0" fontId="0" fillId="0" borderId="6" xfId="0" applyBorder="1" applyAlignment="1">
      <alignment horizontal="left"/>
    </xf>
    <xf numFmtId="0" fontId="0" fillId="0" borderId="1" xfId="0" applyBorder="1" applyAlignment="1">
      <alignment horizontal="left"/>
    </xf>
    <xf numFmtId="0" fontId="0" fillId="0" borderId="15" xfId="0" applyBorder="1" applyAlignment="1">
      <alignment horizontal="center" vertical="center"/>
    </xf>
    <xf numFmtId="0" fontId="0" fillId="0" borderId="0" xfId="0" applyAlignment="1">
      <alignment horizontal="left"/>
    </xf>
    <xf numFmtId="0" fontId="0" fillId="0" borderId="7" xfId="0" applyBorder="1"/>
    <xf numFmtId="0" fontId="0" fillId="0" borderId="8" xfId="0" applyBorder="1"/>
    <xf numFmtId="0" fontId="3" fillId="0" borderId="0" xfId="0" applyFont="1"/>
    <xf numFmtId="0" fontId="5" fillId="0" borderId="0" xfId="0" applyFont="1"/>
    <xf numFmtId="0" fontId="0" fillId="0" borderId="1" xfId="0" applyBorder="1" applyAlignment="1">
      <alignment vertical="top"/>
    </xf>
    <xf numFmtId="0" fontId="1" fillId="0" borderId="1" xfId="1" applyBorder="1" applyAlignment="1">
      <alignment vertical="top"/>
    </xf>
    <xf numFmtId="14" fontId="0" fillId="0" borderId="1" xfId="0" applyNumberFormat="1" applyBorder="1" applyAlignment="1">
      <alignment vertical="top"/>
    </xf>
    <xf numFmtId="0" fontId="0" fillId="0" borderId="1" xfId="0" applyBorder="1" applyAlignment="1">
      <alignment vertical="top" wrapText="1"/>
    </xf>
    <xf numFmtId="0" fontId="2" fillId="0" borderId="0" xfId="0" applyFont="1"/>
    <xf numFmtId="49" fontId="8" fillId="0" borderId="18" xfId="0" applyNumberFormat="1" applyFont="1" applyBorder="1" applyAlignment="1">
      <alignment horizontal="center" vertical="center" wrapText="1"/>
    </xf>
    <xf numFmtId="49" fontId="8" fillId="0" borderId="8" xfId="0" applyNumberFormat="1" applyFont="1" applyBorder="1" applyAlignment="1">
      <alignment horizontal="center" vertical="center" wrapText="1"/>
    </xf>
    <xf numFmtId="0" fontId="9" fillId="4" borderId="0" xfId="0" applyFont="1" applyFill="1"/>
    <xf numFmtId="0" fontId="2" fillId="6" borderId="1" xfId="0" applyFont="1" applyFill="1" applyBorder="1"/>
    <xf numFmtId="0" fontId="0" fillId="6" borderId="1" xfId="0" applyFill="1" applyBorder="1"/>
    <xf numFmtId="0" fontId="2" fillId="3" borderId="10" xfId="0" applyFont="1" applyFill="1" applyBorder="1" applyAlignment="1" applyProtection="1">
      <alignment vertical="center"/>
      <protection locked="0"/>
    </xf>
    <xf numFmtId="0" fontId="2" fillId="3" borderId="10" xfId="0" applyFont="1" applyFill="1" applyBorder="1" applyAlignment="1" applyProtection="1">
      <alignment horizontal="center" vertical="center"/>
      <protection locked="0"/>
    </xf>
    <xf numFmtId="0" fontId="2" fillId="3" borderId="11" xfId="0" applyFont="1" applyFill="1" applyBorder="1" applyAlignment="1" applyProtection="1">
      <alignment vertical="center"/>
      <protection locked="0"/>
    </xf>
    <xf numFmtId="0" fontId="0" fillId="0" borderId="0" xfId="0" applyAlignment="1" applyProtection="1">
      <alignment horizontal="left" vertical="center"/>
      <protection locked="0"/>
    </xf>
    <xf numFmtId="0" fontId="3" fillId="5" borderId="15" xfId="0" applyFont="1" applyFill="1" applyBorder="1" applyAlignment="1" applyProtection="1">
      <alignment horizontal="center" vertical="top" wrapText="1"/>
      <protection locked="0"/>
    </xf>
    <xf numFmtId="0" fontId="3" fillId="3" borderId="15" xfId="0" applyFont="1" applyFill="1" applyBorder="1" applyAlignment="1">
      <alignment horizontal="center" vertical="top" wrapText="1"/>
    </xf>
    <xf numFmtId="0" fontId="3" fillId="3" borderId="15" xfId="0" applyFont="1" applyFill="1" applyBorder="1" applyAlignment="1" applyProtection="1">
      <alignment horizontal="center" vertical="top" wrapText="1"/>
      <protection locked="0"/>
    </xf>
    <xf numFmtId="14" fontId="3" fillId="3" borderId="15" xfId="0" applyNumberFormat="1" applyFont="1" applyFill="1" applyBorder="1" applyAlignment="1" applyProtection="1">
      <alignment horizontal="center" vertical="top" wrapText="1"/>
      <protection locked="0"/>
    </xf>
    <xf numFmtId="0" fontId="3" fillId="2" borderId="15" xfId="0" applyFont="1" applyFill="1" applyBorder="1" applyAlignment="1" applyProtection="1">
      <alignment horizontal="center" vertical="top" wrapText="1"/>
      <protection locked="0"/>
    </xf>
    <xf numFmtId="0" fontId="5" fillId="0" borderId="15" xfId="0" applyFont="1" applyBorder="1" applyAlignment="1" applyProtection="1">
      <alignment horizontal="center" vertical="top" wrapText="1"/>
      <protection locked="0"/>
    </xf>
    <xf numFmtId="0" fontId="5" fillId="0" borderId="16" xfId="0" applyFont="1" applyBorder="1" applyAlignment="1" applyProtection="1">
      <alignment horizontal="center" vertical="top" wrapText="1"/>
      <protection locked="0"/>
    </xf>
    <xf numFmtId="0" fontId="3" fillId="5" borderId="17" xfId="0" applyFont="1" applyFill="1"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3" fillId="0" borderId="1" xfId="0" applyFont="1" applyBorder="1" applyAlignment="1">
      <alignment horizontal="left" vertical="center"/>
    </xf>
    <xf numFmtId="0" fontId="3" fillId="0" borderId="1" xfId="0" applyFont="1" applyBorder="1" applyAlignment="1">
      <alignment horizontal="center"/>
    </xf>
    <xf numFmtId="0" fontId="3" fillId="0" borderId="1" xfId="0" applyFont="1" applyBorder="1" applyAlignment="1" applyProtection="1">
      <alignment horizontal="center" vertical="center"/>
      <protection locked="0"/>
    </xf>
    <xf numFmtId="0" fontId="3" fillId="0" borderId="1" xfId="0" applyFont="1" applyBorder="1" applyAlignment="1" applyProtection="1">
      <alignment horizontal="left" vertical="center"/>
      <protection locked="0"/>
    </xf>
    <xf numFmtId="14" fontId="3" fillId="0" borderId="1" xfId="0" applyNumberFormat="1" applyFont="1" applyBorder="1" applyAlignment="1" applyProtection="1">
      <alignment horizontal="center" vertical="center"/>
      <protection locked="0"/>
    </xf>
    <xf numFmtId="0" fontId="12" fillId="0" borderId="1" xfId="1" applyFont="1" applyFill="1" applyBorder="1" applyAlignment="1" applyProtection="1">
      <alignment horizontal="left" vertical="center"/>
      <protection locked="0"/>
    </xf>
    <xf numFmtId="0" fontId="3" fillId="0" borderId="1" xfId="0" applyFont="1" applyBorder="1" applyAlignment="1">
      <alignment horizontal="center" vertical="center"/>
    </xf>
    <xf numFmtId="0" fontId="12" fillId="0" borderId="1" xfId="1" applyNumberFormat="1" applyFont="1" applyFill="1" applyBorder="1" applyAlignment="1" applyProtection="1">
      <alignment horizontal="left" vertical="center"/>
      <protection locked="0"/>
    </xf>
    <xf numFmtId="0" fontId="13" fillId="0" borderId="1" xfId="0" applyFont="1" applyBorder="1" applyAlignment="1" applyProtection="1">
      <alignment horizontal="left" vertical="center"/>
      <protection locked="0"/>
    </xf>
    <xf numFmtId="0" fontId="13" fillId="0" borderId="1" xfId="0" applyFont="1" applyBorder="1" applyAlignment="1" applyProtection="1">
      <alignment horizontal="center" vertical="center"/>
      <protection locked="0"/>
    </xf>
    <xf numFmtId="0" fontId="0" fillId="0" borderId="0" xfId="0" applyAlignment="1">
      <alignment horizontal="left" vertical="center"/>
    </xf>
    <xf numFmtId="14" fontId="0" fillId="0" borderId="0" xfId="0" applyNumberFormat="1" applyAlignment="1" applyProtection="1">
      <alignment horizontal="center" vertical="center"/>
      <protection locked="0"/>
    </xf>
    <xf numFmtId="0" fontId="3" fillId="0" borderId="0" xfId="0" applyFont="1" applyAlignment="1" applyProtection="1">
      <alignment horizontal="left" vertical="center"/>
      <protection locked="0"/>
    </xf>
    <xf numFmtId="0" fontId="0" fillId="0" borderId="0" xfId="0" applyAlignment="1" applyProtection="1">
      <alignment horizontal="center" vertical="center"/>
      <protection locked="0"/>
    </xf>
    <xf numFmtId="1" fontId="3" fillId="0" borderId="1" xfId="0" applyNumberFormat="1" applyFont="1" applyBorder="1" applyAlignment="1">
      <alignment horizontal="center" vertical="center"/>
    </xf>
    <xf numFmtId="0" fontId="3" fillId="0" borderId="0" xfId="4" applyNumberFormat="1" applyFont="1" applyFill="1" applyAlignment="1">
      <alignment horizontal="left" vertical="center"/>
    </xf>
    <xf numFmtId="0" fontId="15" fillId="3" borderId="10" xfId="0" applyFont="1" applyFill="1" applyBorder="1" applyAlignment="1">
      <alignment vertical="center"/>
    </xf>
    <xf numFmtId="0" fontId="1" fillId="0" borderId="1" xfId="1" applyNumberFormat="1" applyFill="1" applyBorder="1" applyAlignment="1" applyProtection="1">
      <alignment horizontal="center" vertical="center"/>
      <protection locked="0"/>
    </xf>
    <xf numFmtId="49" fontId="8" fillId="0" borderId="13" xfId="0" applyNumberFormat="1" applyFont="1" applyBorder="1" applyAlignment="1">
      <alignment horizontal="center" vertical="center" wrapText="1"/>
    </xf>
    <xf numFmtId="0" fontId="3" fillId="0" borderId="1" xfId="1" applyFont="1" applyFill="1" applyBorder="1" applyAlignment="1" applyProtection="1">
      <alignment horizontal="center" vertical="center"/>
      <protection locked="0"/>
    </xf>
    <xf numFmtId="0" fontId="4" fillId="0" borderId="1" xfId="0" applyFont="1" applyBorder="1" applyAlignment="1" applyProtection="1">
      <alignment horizontal="left" vertical="center"/>
      <protection locked="0"/>
    </xf>
    <xf numFmtId="0" fontId="4" fillId="0" borderId="1" xfId="0" applyFont="1" applyBorder="1" applyAlignment="1" applyProtection="1">
      <alignment horizontal="center" vertical="center"/>
      <protection locked="0"/>
    </xf>
    <xf numFmtId="0" fontId="4" fillId="0" borderId="1" xfId="0" applyFont="1" applyBorder="1" applyAlignment="1">
      <alignment horizontal="center" vertical="center"/>
    </xf>
    <xf numFmtId="0" fontId="13" fillId="0" borderId="1" xfId="0" applyFont="1" applyBorder="1" applyAlignment="1">
      <alignment horizontal="center" vertical="center"/>
    </xf>
    <xf numFmtId="0" fontId="16" fillId="0" borderId="0" xfId="0" applyFont="1"/>
    <xf numFmtId="0" fontId="1" fillId="0" borderId="0" xfId="1"/>
    <xf numFmtId="0" fontId="4" fillId="0" borderId="0" xfId="0" applyFont="1"/>
    <xf numFmtId="17" fontId="4" fillId="0" borderId="0" xfId="0" applyNumberFormat="1" applyFont="1"/>
    <xf numFmtId="14" fontId="4" fillId="0" borderId="0" xfId="0" applyNumberFormat="1" applyFont="1"/>
    <xf numFmtId="0" fontId="0" fillId="0" borderId="1" xfId="0" applyBorder="1" applyProtection="1">
      <protection locked="0"/>
    </xf>
    <xf numFmtId="0" fontId="2" fillId="2" borderId="9"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0" borderId="9"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0" fillId="0" borderId="1" xfId="0" applyBorder="1" applyAlignment="1">
      <alignment horizontal="left"/>
    </xf>
    <xf numFmtId="14" fontId="0" fillId="0" borderId="6" xfId="0" applyNumberFormat="1" applyBorder="1" applyAlignment="1">
      <alignment horizontal="center"/>
    </xf>
    <xf numFmtId="14" fontId="0" fillId="0" borderId="7" xfId="0" applyNumberFormat="1" applyBorder="1" applyAlignment="1">
      <alignment horizontal="center"/>
    </xf>
    <xf numFmtId="14" fontId="0" fillId="0" borderId="8" xfId="0" applyNumberFormat="1" applyBorder="1" applyAlignment="1">
      <alignment horizont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0" fillId="0" borderId="9" xfId="0"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0" fontId="0" fillId="0" borderId="9"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1" xfId="0" applyBorder="1" applyAlignment="1">
      <alignment horizontal="center"/>
    </xf>
    <xf numFmtId="0" fontId="0" fillId="0" borderId="10" xfId="0" applyBorder="1" applyAlignment="1">
      <alignment horizontal="center"/>
    </xf>
    <xf numFmtId="0" fontId="0" fillId="0" borderId="11" xfId="0" applyBorder="1" applyAlignment="1">
      <alignment horizontal="center"/>
    </xf>
  </cellXfs>
  <cellStyles count="5">
    <cellStyle name="Lien hypertexte" xfId="1" builtinId="8"/>
    <cellStyle name="Normal" xfId="0" builtinId="0"/>
    <cellStyle name="Normal 2" xfId="3" xr:uid="{00000000-0005-0000-0000-000002000000}"/>
    <cellStyle name="Normal 3" xfId="2" xr:uid="{00000000-0005-0000-0000-000003000000}"/>
    <cellStyle name="Satisfaisant" xfId="4" builtinId="26"/>
  </cellStyles>
  <dxfs count="61">
    <dxf>
      <numFmt numFmtId="0" formatCode="General"/>
    </dxf>
    <dxf>
      <font>
        <strike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bottom style="medium">
          <color indexed="64"/>
        </bottom>
      </border>
    </dxf>
    <dxf>
      <font>
        <b/>
        <i val="0"/>
        <strike val="0"/>
        <condense val="0"/>
        <extend val="0"/>
        <outline val="0"/>
        <shadow val="0"/>
        <u val="none"/>
        <vertAlign val="baseline"/>
        <sz val="10"/>
        <color theme="1"/>
        <name val="Arial"/>
        <scheme val="none"/>
      </font>
      <numFmt numFmtId="30" formatCode="@"/>
      <alignment horizontal="center" vertical="center" textRotation="0" wrapText="1" indent="0" justifyLastLine="0" shrinkToFit="0" readingOrder="0"/>
    </dxf>
    <dxf>
      <font>
        <strike val="0"/>
        <outline val="0"/>
        <shadow val="0"/>
        <vertAlign val="baseline"/>
        <sz val="11"/>
        <color auto="1"/>
        <name val="Calibri"/>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1"/>
        <color auto="1"/>
        <name val="Calibri"/>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right style="thin">
          <color indexed="64"/>
        </right>
        <top style="thin">
          <color indexed="64"/>
        </top>
        <bottom style="thin">
          <color indexed="64"/>
        </bottom>
      </border>
    </dxf>
    <dxf>
      <font>
        <strike val="0"/>
        <outline val="0"/>
        <shadow val="0"/>
        <vertAlign val="baseline"/>
        <sz val="11"/>
        <color auto="1"/>
        <name val="Calibri"/>
        <scheme val="minor"/>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0000"/>
        </patternFill>
      </fill>
      <alignment horizontal="center" vertical="top" textRotation="0" wrapText="1" indent="0" justifyLastLine="0" shrinkToFit="0" readingOrder="0"/>
      <border diagonalUp="0" diagonalDown="0" outline="0">
        <left style="thin">
          <color indexed="64"/>
        </left>
        <right style="thin">
          <color indexed="64"/>
        </right>
        <top/>
        <bottom/>
      </border>
      <protection locked="0"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s>
  <tableStyles count="0" defaultTableStyle="TableStyleMedium2" defaultPivotStyle="PivotStyleMedium9"/>
  <colors>
    <mruColors>
      <color rgb="FF00FF00"/>
      <color rgb="FFFF00FF"/>
      <color rgb="FFE61EE6"/>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KPI!$AV$9:$AV$11</c:f>
              <c:strCache>
                <c:ptCount val="2"/>
                <c:pt idx="1">
                  <c:v>103,2%</c:v>
                </c:pt>
              </c:strCache>
            </c:strRef>
          </c:cat>
          <c:val>
            <c:numRef>
              <c:f>KPI!$AT$9:$AT$11</c:f>
              <c:numCache>
                <c:formatCode>General</c:formatCode>
                <c:ptCount val="3"/>
                <c:pt idx="0">
                  <c:v>103.19999999999999</c:v>
                </c:pt>
                <c:pt idx="1">
                  <c:v>1</c:v>
                </c:pt>
                <c:pt idx="2">
                  <c:v>95.800000000000011</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KPI!$AR$9:$AR$12</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KPI!$AV$14:$AV$16</c:f>
              <c:strCache>
                <c:ptCount val="2"/>
                <c:pt idx="1">
                  <c:v>89,1%</c:v>
                </c:pt>
              </c:strCache>
            </c:strRef>
          </c:cat>
          <c:val>
            <c:numRef>
              <c:f>KPI!$AT$14:$AT$16</c:f>
              <c:numCache>
                <c:formatCode>General</c:formatCode>
                <c:ptCount val="3"/>
                <c:pt idx="0">
                  <c:v>89.1</c:v>
                </c:pt>
                <c:pt idx="1">
                  <c:v>1</c:v>
                </c:pt>
                <c:pt idx="2">
                  <c:v>109.9</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KPI!$AR$14:$AR$17</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MIS A JOUR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KPI!$AQ$19:$BQ$19</c:f>
              <c:numCache>
                <c:formatCode>mmm\-yy</c:formatCode>
                <c:ptCount val="27"/>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numCache>
            </c:numRef>
          </c:cat>
          <c:val>
            <c:numRef>
              <c:f>KPI!$AQ$21:$BQ$21</c:f>
              <c:numCache>
                <c:formatCode>General</c:formatCode>
                <c:ptCount val="27"/>
                <c:pt idx="0">
                  <c:v>0</c:v>
                </c:pt>
                <c:pt idx="1">
                  <c:v>0</c:v>
                </c:pt>
                <c:pt idx="2">
                  <c:v>0</c:v>
                </c:pt>
                <c:pt idx="3">
                  <c:v>0</c:v>
                </c:pt>
                <c:pt idx="4">
                  <c:v>0</c:v>
                </c:pt>
                <c:pt idx="5">
                  <c:v>0</c:v>
                </c:pt>
                <c:pt idx="6">
                  <c:v>3</c:v>
                </c:pt>
                <c:pt idx="7">
                  <c:v>0</c:v>
                </c:pt>
                <c:pt idx="8">
                  <c:v>35</c:v>
                </c:pt>
                <c:pt idx="9">
                  <c:v>5</c:v>
                </c:pt>
                <c:pt idx="10">
                  <c:v>3</c:v>
                </c:pt>
                <c:pt idx="11">
                  <c:v>4</c:v>
                </c:pt>
                <c:pt idx="12">
                  <c:v>2</c:v>
                </c:pt>
                <c:pt idx="13">
                  <c:v>2</c:v>
                </c:pt>
                <c:pt idx="14">
                  <c:v>0</c:v>
                </c:pt>
                <c:pt idx="15">
                  <c:v>1</c:v>
                </c:pt>
                <c:pt idx="16">
                  <c:v>1</c:v>
                </c:pt>
                <c:pt idx="17">
                  <c:v>2</c:v>
                </c:pt>
                <c:pt idx="18">
                  <c:v>2</c:v>
                </c:pt>
                <c:pt idx="19">
                  <c:v>0</c:v>
                </c:pt>
                <c:pt idx="20">
                  <c:v>0</c:v>
                </c:pt>
                <c:pt idx="21">
                  <c:v>7</c:v>
                </c:pt>
                <c:pt idx="22">
                  <c:v>1</c:v>
                </c:pt>
                <c:pt idx="23">
                  <c:v>1</c:v>
                </c:pt>
                <c:pt idx="24">
                  <c:v>0</c:v>
                </c:pt>
                <c:pt idx="25">
                  <c:v>0</c:v>
                </c:pt>
                <c:pt idx="26">
                  <c:v>2</c:v>
                </c:pt>
              </c:numCache>
            </c:numRef>
          </c:val>
          <c:extLst>
            <c:ext xmlns:c16="http://schemas.microsoft.com/office/drawing/2014/chart" uri="{C3380CC4-5D6E-409C-BE32-E72D297353CC}">
              <c16:uniqueId val="{00000000-D2A3-461C-A471-6138E8CDC86A}"/>
            </c:ext>
          </c:extLst>
        </c:ser>
        <c:dLbls>
          <c:showLegendKey val="0"/>
          <c:showVal val="0"/>
          <c:showCatName val="0"/>
          <c:showSerName val="0"/>
          <c:showPercent val="0"/>
          <c:showBubbleSize val="0"/>
        </c:dLbls>
        <c:gapWidth val="219"/>
        <c:overlap val="-27"/>
        <c:axId val="571986400"/>
        <c:axId val="571986944"/>
      </c:barChart>
      <c:dateAx>
        <c:axId val="571986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1986944"/>
        <c:crosses val="autoZero"/>
        <c:auto val="1"/>
        <c:lblOffset val="100"/>
        <c:baseTimeUnit val="months"/>
        <c:majorUnit val="1"/>
        <c:majorTimeUnit val="months"/>
      </c:dateAx>
      <c:valAx>
        <c:axId val="571986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1986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CARTOGRAPHIE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KPI!$AQ$19:$BQ$19</c:f>
              <c:numCache>
                <c:formatCode>mmm\-yy</c:formatCode>
                <c:ptCount val="27"/>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pt idx="15">
                  <c:v>44927</c:v>
                </c:pt>
                <c:pt idx="16">
                  <c:v>44958</c:v>
                </c:pt>
                <c:pt idx="17">
                  <c:v>44986</c:v>
                </c:pt>
                <c:pt idx="18">
                  <c:v>45017</c:v>
                </c:pt>
                <c:pt idx="19">
                  <c:v>45047</c:v>
                </c:pt>
                <c:pt idx="20">
                  <c:v>45078</c:v>
                </c:pt>
                <c:pt idx="21">
                  <c:v>45108</c:v>
                </c:pt>
                <c:pt idx="22">
                  <c:v>45139</c:v>
                </c:pt>
                <c:pt idx="23">
                  <c:v>45170</c:v>
                </c:pt>
                <c:pt idx="24">
                  <c:v>45200</c:v>
                </c:pt>
                <c:pt idx="25">
                  <c:v>45231</c:v>
                </c:pt>
                <c:pt idx="26">
                  <c:v>45261</c:v>
                </c:pt>
              </c:numCache>
            </c:numRef>
          </c:cat>
          <c:val>
            <c:numRef>
              <c:f>KPI!$AQ$20:$BQ$20</c:f>
              <c:numCache>
                <c:formatCode>General</c:formatCode>
                <c:ptCount val="27"/>
                <c:pt idx="0">
                  <c:v>0</c:v>
                </c:pt>
                <c:pt idx="1">
                  <c:v>120</c:v>
                </c:pt>
                <c:pt idx="2">
                  <c:v>0</c:v>
                </c:pt>
                <c:pt idx="3">
                  <c:v>0</c:v>
                </c:pt>
                <c:pt idx="4">
                  <c:v>0</c:v>
                </c:pt>
                <c:pt idx="5">
                  <c:v>10</c:v>
                </c:pt>
                <c:pt idx="6">
                  <c:v>0</c:v>
                </c:pt>
                <c:pt idx="7">
                  <c:v>0</c:v>
                </c:pt>
                <c:pt idx="8">
                  <c:v>0</c:v>
                </c:pt>
                <c:pt idx="9">
                  <c:v>21</c:v>
                </c:pt>
                <c:pt idx="10">
                  <c:v>0</c:v>
                </c:pt>
                <c:pt idx="11">
                  <c:v>0</c:v>
                </c:pt>
                <c:pt idx="12">
                  <c:v>0</c:v>
                </c:pt>
                <c:pt idx="13">
                  <c:v>0</c:v>
                </c:pt>
                <c:pt idx="14">
                  <c:v>0</c:v>
                </c:pt>
                <c:pt idx="15">
                  <c:v>0</c:v>
                </c:pt>
                <c:pt idx="16">
                  <c:v>0</c:v>
                </c:pt>
                <c:pt idx="17">
                  <c:v>0</c:v>
                </c:pt>
                <c:pt idx="18">
                  <c:v>0</c:v>
                </c:pt>
                <c:pt idx="19">
                  <c:v>0</c:v>
                </c:pt>
                <c:pt idx="20">
                  <c:v>0</c:v>
                </c:pt>
                <c:pt idx="21">
                  <c:v>2</c:v>
                </c:pt>
                <c:pt idx="22">
                  <c:v>0</c:v>
                </c:pt>
                <c:pt idx="23">
                  <c:v>0</c:v>
                </c:pt>
                <c:pt idx="24">
                  <c:v>0</c:v>
                </c:pt>
                <c:pt idx="25">
                  <c:v>0</c:v>
                </c:pt>
                <c:pt idx="26">
                  <c:v>0</c:v>
                </c:pt>
              </c:numCache>
            </c:numRef>
          </c:val>
          <c:extLst>
            <c:ext xmlns:c16="http://schemas.microsoft.com/office/drawing/2014/chart" uri="{C3380CC4-5D6E-409C-BE32-E72D297353CC}">
              <c16:uniqueId val="{00000000-7980-4CDC-9027-1B961C09DBAD}"/>
            </c:ext>
          </c:extLst>
        </c:ser>
        <c:dLbls>
          <c:showLegendKey val="0"/>
          <c:showVal val="0"/>
          <c:showCatName val="0"/>
          <c:showSerName val="0"/>
          <c:showPercent val="0"/>
          <c:showBubbleSize val="0"/>
        </c:dLbls>
        <c:gapWidth val="219"/>
        <c:overlap val="-27"/>
        <c:axId val="571984768"/>
        <c:axId val="571993472"/>
      </c:barChart>
      <c:dateAx>
        <c:axId val="57198476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1993472"/>
        <c:crosses val="autoZero"/>
        <c:auto val="1"/>
        <c:lblOffset val="100"/>
        <c:baseTimeUnit val="months"/>
        <c:majorUnit val="1"/>
        <c:majorTimeUnit val="months"/>
      </c:dateAx>
      <c:valAx>
        <c:axId val="57199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1984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xdr:row>
          <xdr:rowOff>7620</xdr:rowOff>
        </xdr:from>
        <xdr:to>
          <xdr:col>0</xdr:col>
          <xdr:colOff>289560</xdr:colOff>
          <xdr:row>1</xdr:row>
          <xdr:rowOff>182880</xdr:rowOff>
        </xdr:to>
        <xdr:sp macro="" textlink="">
          <xdr:nvSpPr>
            <xdr:cNvPr id="23553" name="Bouton1" hidden="1">
              <a:extLst>
                <a:ext uri="{63B3BB69-23CF-44E3-9099-C40C66FF867C}">
                  <a14:compatExt spid="_x0000_s23553"/>
                </a:ext>
                <a:ext uri="{FF2B5EF4-FFF2-40B4-BE49-F238E27FC236}">
                  <a16:creationId xmlns:a16="http://schemas.microsoft.com/office/drawing/2014/main" id="{00000000-0008-0000-03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xdr:row>
          <xdr:rowOff>7620</xdr:rowOff>
        </xdr:from>
        <xdr:to>
          <xdr:col>0</xdr:col>
          <xdr:colOff>289560</xdr:colOff>
          <xdr:row>7</xdr:row>
          <xdr:rowOff>182880</xdr:rowOff>
        </xdr:to>
        <xdr:sp macro="" textlink="">
          <xdr:nvSpPr>
            <xdr:cNvPr id="23554" name="Bouton1" hidden="1">
              <a:extLst>
                <a:ext uri="{63B3BB69-23CF-44E3-9099-C40C66FF867C}">
                  <a14:compatExt spid="_x0000_s23554"/>
                </a:ext>
                <a:ext uri="{FF2B5EF4-FFF2-40B4-BE49-F238E27FC236}">
                  <a16:creationId xmlns:a16="http://schemas.microsoft.com/office/drawing/2014/main" id="{00000000-0008-0000-03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7620</xdr:rowOff>
        </xdr:from>
        <xdr:to>
          <xdr:col>0</xdr:col>
          <xdr:colOff>289560</xdr:colOff>
          <xdr:row>10</xdr:row>
          <xdr:rowOff>182880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3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7620</xdr:rowOff>
        </xdr:from>
        <xdr:to>
          <xdr:col>0</xdr:col>
          <xdr:colOff>289560</xdr:colOff>
          <xdr:row>11</xdr:row>
          <xdr:rowOff>182880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3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xdr:row>
          <xdr:rowOff>7620</xdr:rowOff>
        </xdr:from>
        <xdr:to>
          <xdr:col>0</xdr:col>
          <xdr:colOff>289560</xdr:colOff>
          <xdr:row>4</xdr:row>
          <xdr:rowOff>182880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3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7620</xdr:rowOff>
        </xdr:from>
        <xdr:to>
          <xdr:col>0</xdr:col>
          <xdr:colOff>289560</xdr:colOff>
          <xdr:row>12</xdr:row>
          <xdr:rowOff>182880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3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7620</xdr:rowOff>
        </xdr:from>
        <xdr:to>
          <xdr:col>0</xdr:col>
          <xdr:colOff>289560</xdr:colOff>
          <xdr:row>13</xdr:row>
          <xdr:rowOff>182880</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0300-000009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xdr:colOff>
          <xdr:row>0</xdr:row>
          <xdr:rowOff>30480</xdr:rowOff>
        </xdr:from>
        <xdr:to>
          <xdr:col>4</xdr:col>
          <xdr:colOff>152400</xdr:colOff>
          <xdr:row>0</xdr:row>
          <xdr:rowOff>487680</xdr:rowOff>
        </xdr:to>
        <xdr:sp macro="" textlink="">
          <xdr:nvSpPr>
            <xdr:cNvPr id="11297" name="Button 33" hidden="1">
              <a:extLst>
                <a:ext uri="{63B3BB69-23CF-44E3-9099-C40C66FF867C}">
                  <a14:compatExt spid="_x0000_s11297"/>
                </a:ext>
                <a:ext uri="{FF2B5EF4-FFF2-40B4-BE49-F238E27FC236}">
                  <a16:creationId xmlns:a16="http://schemas.microsoft.com/office/drawing/2014/main" id="{00000000-0008-0000-0500-00002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des fichiers de gamme DMS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426720</xdr:colOff>
          <xdr:row>0</xdr:row>
          <xdr:rowOff>30480</xdr:rowOff>
        </xdr:from>
        <xdr:to>
          <xdr:col>6</xdr:col>
          <xdr:colOff>1859280</xdr:colOff>
          <xdr:row>0</xdr:row>
          <xdr:rowOff>487680</xdr:rowOff>
        </xdr:to>
        <xdr:sp macro="" textlink="">
          <xdr:nvSpPr>
            <xdr:cNvPr id="11307" name="Button 43" hidden="1">
              <a:extLst>
                <a:ext uri="{63B3BB69-23CF-44E3-9099-C40C66FF867C}">
                  <a14:compatExt spid="_x0000_s11307"/>
                </a:ext>
                <a:ext uri="{FF2B5EF4-FFF2-40B4-BE49-F238E27FC236}">
                  <a16:creationId xmlns:a16="http://schemas.microsoft.com/office/drawing/2014/main" id="{00000000-0008-0000-0500-00002B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 Suppression DMS SAP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2232660</xdr:colOff>
          <xdr:row>0</xdr:row>
          <xdr:rowOff>30480</xdr:rowOff>
        </xdr:from>
        <xdr:to>
          <xdr:col>7</xdr:col>
          <xdr:colOff>236220</xdr:colOff>
          <xdr:row>0</xdr:row>
          <xdr:rowOff>487680</xdr:rowOff>
        </xdr:to>
        <xdr:sp macro="" textlink="">
          <xdr:nvSpPr>
            <xdr:cNvPr id="11338" name="Button 74" hidden="1">
              <a:extLst>
                <a:ext uri="{63B3BB69-23CF-44E3-9099-C40C66FF867C}">
                  <a14:compatExt spid="_x0000_s11338"/>
                </a:ext>
                <a:ext uri="{FF2B5EF4-FFF2-40B4-BE49-F238E27FC236}">
                  <a16:creationId xmlns:a16="http://schemas.microsoft.com/office/drawing/2014/main" id="{00000000-0008-0000-0500-00004A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avancé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0</xdr:row>
          <xdr:rowOff>30480</xdr:rowOff>
        </xdr:from>
        <xdr:to>
          <xdr:col>1</xdr:col>
          <xdr:colOff>236220</xdr:colOff>
          <xdr:row>0</xdr:row>
          <xdr:rowOff>487680</xdr:rowOff>
        </xdr:to>
        <xdr:sp macro="" textlink="">
          <xdr:nvSpPr>
            <xdr:cNvPr id="11369" name="Button 105" hidden="1">
              <a:extLst>
                <a:ext uri="{63B3BB69-23CF-44E3-9099-C40C66FF867C}">
                  <a14:compatExt spid="_x0000_s11369"/>
                </a:ext>
                <a:ext uri="{FF2B5EF4-FFF2-40B4-BE49-F238E27FC236}">
                  <a16:creationId xmlns:a16="http://schemas.microsoft.com/office/drawing/2014/main" id="{00000000-0008-0000-0500-000069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normal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220980</xdr:colOff>
          <xdr:row>0</xdr:row>
          <xdr:rowOff>38100</xdr:rowOff>
        </xdr:from>
        <xdr:to>
          <xdr:col>6</xdr:col>
          <xdr:colOff>365760</xdr:colOff>
          <xdr:row>0</xdr:row>
          <xdr:rowOff>487680</xdr:rowOff>
        </xdr:to>
        <xdr:sp macro="" textlink="">
          <xdr:nvSpPr>
            <xdr:cNvPr id="11377" name="Button 113" hidden="1">
              <a:extLst>
                <a:ext uri="{63B3BB69-23CF-44E3-9099-C40C66FF867C}">
                  <a14:compatExt spid="_x0000_s11377"/>
                </a:ext>
                <a:ext uri="{FF2B5EF4-FFF2-40B4-BE49-F238E27FC236}">
                  <a16:creationId xmlns:a16="http://schemas.microsoft.com/office/drawing/2014/main" id="{00000000-0008-0000-0500-00007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Suppression des fichiers gamme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xdr:rowOff>
    </xdr:from>
    <xdr:to>
      <xdr:col>6</xdr:col>
      <xdr:colOff>0</xdr:colOff>
      <xdr:row>1</xdr:row>
      <xdr:rowOff>148940</xdr:rowOff>
    </xdr:to>
    <xdr:pic>
      <xdr:nvPicPr>
        <xdr:cNvPr id="14" name="Picture 17" descr="Trimet Aluminium Logo Vector Logo - Download Free SVG Icon | Worldvectorlogo">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
          <a:ext cx="1143000" cy="331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xdr:row>
      <xdr:rowOff>0</xdr:rowOff>
    </xdr:from>
    <xdr:to>
      <xdr:col>14</xdr:col>
      <xdr:colOff>0</xdr:colOff>
      <xdr:row>17</xdr:row>
      <xdr:rowOff>0</xdr:rowOff>
    </xdr:to>
    <xdr:graphicFrame macro="">
      <xdr:nvGraphicFramePr>
        <xdr:cNvPr id="6" name="Graphique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8</xdr:row>
      <xdr:rowOff>0</xdr:rowOff>
    </xdr:from>
    <xdr:to>
      <xdr:col>28</xdr:col>
      <xdr:colOff>0</xdr:colOff>
      <xdr:row>17</xdr:row>
      <xdr:rowOff>0</xdr:rowOff>
    </xdr:to>
    <xdr:graphicFrame macro="">
      <xdr:nvGraphicFramePr>
        <xdr:cNvPr id="7" name="Graphique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27</xdr:row>
      <xdr:rowOff>167640</xdr:rowOff>
    </xdr:from>
    <xdr:to>
      <xdr:col>28</xdr:col>
      <xdr:colOff>0</xdr:colOff>
      <xdr:row>37</xdr:row>
      <xdr:rowOff>0</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18</xdr:row>
      <xdr:rowOff>0</xdr:rowOff>
    </xdr:from>
    <xdr:to>
      <xdr:col>28</xdr:col>
      <xdr:colOff>0</xdr:colOff>
      <xdr:row>27</xdr:row>
      <xdr:rowOff>15240</xdr:rowOff>
    </xdr:to>
    <xdr:graphicFrame macro="">
      <xdr:nvGraphicFramePr>
        <xdr:cNvPr id="13" name="Graphique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0.21186</cdr:x>
      <cdr:y>0.78305</cdr:y>
    </cdr:from>
    <cdr:to>
      <cdr:x>0.78308</cdr:x>
      <cdr:y>0.88889</cdr:y>
    </cdr:to>
    <cdr:sp macro="" textlink="">
      <cdr:nvSpPr>
        <cdr:cNvPr id="2" name="ZoneTexte 12"/>
        <cdr:cNvSpPr txBox="1"/>
      </cdr:nvSpPr>
      <cdr:spPr>
        <a:xfrm xmlns:a="http://schemas.openxmlformats.org/drawingml/2006/main">
          <a:off x="484312" y="1288838"/>
          <a:ext cx="1305809" cy="17420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CARTO VALIDE</a:t>
          </a:r>
        </a:p>
      </cdr:txBody>
    </cdr:sp>
  </cdr:relSizeAnchor>
</c:userShapes>
</file>

<file path=xl/drawings/drawing5.xml><?xml version="1.0" encoding="utf-8"?>
<c:userShapes xmlns:c="http://schemas.openxmlformats.org/drawingml/2006/chart">
  <cdr:relSizeAnchor xmlns:cdr="http://schemas.openxmlformats.org/drawingml/2006/chartDrawing">
    <cdr:from>
      <cdr:x>0.21186</cdr:x>
      <cdr:y>0.78305</cdr:y>
    </cdr:from>
    <cdr:to>
      <cdr:x>0.81944</cdr:x>
      <cdr:y>0.88426</cdr:y>
    </cdr:to>
    <cdr:sp macro="" textlink="">
      <cdr:nvSpPr>
        <cdr:cNvPr id="2" name="ZoneTexte 12"/>
        <cdr:cNvSpPr txBox="1"/>
      </cdr:nvSpPr>
      <cdr:spPr>
        <a:xfrm xmlns:a="http://schemas.openxmlformats.org/drawingml/2006/main">
          <a:off x="464939" y="1288838"/>
          <a:ext cx="1333381" cy="16658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MIS A JOUR</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Q:\Dms%20Sap\Maintenance\%23ZAS36\Outils%20de%20gestion%20DMS%20MD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ssier article"/>
      <sheetName val="MDD"/>
      <sheetName val="Listing DMS MDD"/>
      <sheetName val="Outils de gestion DMS MDD"/>
      <sheetName val="list"/>
    </sheetNames>
    <sheetDataSet>
      <sheetData sheetId="0" refreshError="1"/>
      <sheetData sheetId="1"/>
      <sheetData sheetId="2"/>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MS" displayName="DMS" ref="A1:R2" insertRow="1" totalsRowShown="0" headerRowDxfId="11" headerRowBorderDxfId="10">
  <autoFilter ref="A1:R2" xr:uid="{00000000-0009-0000-0100-000002000000}"/>
  <tableColumns count="18">
    <tableColumn id="1" xr3:uid="{00000000-0010-0000-0000-000001000000}" name="Code traitement (CODET)" dataDxfId="9"/>
    <tableColumn id="2" xr3:uid="{00000000-0010-0000-0000-000002000000}" name="N° du document (DOKNR)"/>
    <tableColumn id="3" xr3:uid="{00000000-0010-0000-0000-000003000000}" name="Type du document (DOKAR)" dataDxfId="8"/>
    <tableColumn id="4" xr3:uid="{00000000-0010-0000-0000-000004000000}" name="Document partiel (DOKTL)" dataDxfId="7"/>
    <tableColumn id="5" xr3:uid="{00000000-0010-0000-0000-000005000000}" name="Version (DOKVR)" dataDxfId="6"/>
    <tableColumn id="6" xr3:uid="{00000000-0010-0000-0000-000006000000}" name="Statut Document (STABK)"/>
    <tableColumn id="7" xr3:uid="{00000000-0010-0000-0000-000007000000}" name="Description (DKTXT)" dataDxfId="5"/>
    <tableColumn id="8" xr3:uid="{00000000-0010-0000-0000-000008000000}" name="Gestionnaire (DWNAM)" dataDxfId="4"/>
    <tableColumn id="9" xr3:uid="{00000000-0010-0000-0000-000009000000}" name="Groupe autorisation_x000a_(AUTHORITYGROUP)" dataDxfId="3"/>
    <tableColumn id="10" xr3:uid="{00000000-0010-0000-0000-00000A000000}" name="Document DMS supérieur (PRENR)"/>
    <tableColumn id="11" xr3:uid="{00000000-0010-0000-0000-00000B000000}" name="Type document supérieur (PREAR)"/>
    <tableColumn id="12" xr3:uid="{00000000-0010-0000-0000-00000C000000}" name="Document partiel supérieur (PRETL)"/>
    <tableColumn id="13" xr3:uid="{00000000-0010-0000-0000-00000D000000}" name="Version document supérieur (PREVR)"/>
    <tableColumn id="14" xr3:uid="{00000000-0010-0000-0000-00000E000000}" name="Code Application (DAPPL)" dataDxfId="2"/>
    <tableColumn id="15" xr3:uid="{00000000-0010-0000-0000-00000F000000}" name="Original Document (FILEP)" dataDxfId="1" dataCellStyle="Satisfaisant"/>
    <tableColumn id="16" xr3:uid="{00000000-0010-0000-0000-000010000000}" name="Liaison d’objet code article (MATNR)" dataDxfId="0"/>
    <tableColumn id="17" xr3:uid="{00000000-0010-0000-0000-000011000000}" name="Liaison d’objet Poste techniques (TPLNR)"/>
    <tableColumn id="19" xr3:uid="{00000000-0010-0000-0000-000013000000}" name="Colonne1"/>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au1" displayName="Tableau1" ref="A2:AD1000" totalsRowShown="0" headerRowDxfId="45" dataDxfId="43" headerRowBorderDxfId="44" tableBorderDxfId="42">
  <autoFilter ref="A2:AD1000" xr:uid="{00000000-0009-0000-0100-000001000000}"/>
  <tableColumns count="30">
    <tableColumn id="1" xr3:uid="{00000000-0010-0000-0100-000001000000}" name="Poste Responsable" dataDxfId="41">
      <calculatedColumnFormula>MID(CELL("filename",$A$1),FIND("]",CELL("filename",$A$1))+1,32)</calculatedColumnFormula>
    </tableColumn>
    <tableColumn id="23" xr3:uid="{00000000-0010-0000-0100-000017000000}" name="Test de données" dataDxfId="40" dataCellStyle="Normal">
      <calculatedColumnFormula>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calculatedColumnFormula>
    </tableColumn>
    <tableColumn id="22" xr3:uid="{00000000-0010-0000-0100-000016000000}" name="Statut doc" dataDxfId="39"/>
    <tableColumn id="2" xr3:uid="{00000000-0010-0000-0100-000002000000}" name="Localisation / Classement" dataDxfId="38"/>
    <tableColumn id="28" xr3:uid="{00000000-0010-0000-0100-00001C000000}" name="Gamme en DMS" dataDxfId="37"/>
    <tableColumn id="3" xr3:uid="{00000000-0010-0000-0100-000003000000}" name="Poste technique" dataDxfId="36"/>
    <tableColumn id="4" xr3:uid="{00000000-0010-0000-0100-000004000000}" name="Niveau SAP" dataDxfId="35"/>
    <tableColumn id="5" xr3:uid="{00000000-0010-0000-0100-000005000000}" name="Plan Entretien" dataDxfId="34" dataCellStyle="Normal"/>
    <tableColumn id="6" xr3:uid="{00000000-0010-0000-0100-000006000000}" name="Poste entretien" dataDxfId="33" dataCellStyle="Normal"/>
    <tableColumn id="30" xr3:uid="{00000000-0010-0000-0100-00001E000000}" name="Groupe de Gamme" dataDxfId="32"/>
    <tableColumn id="29" xr3:uid="{00000000-0010-0000-0100-00001D000000}" name="Compteur de Gamme" dataDxfId="31"/>
    <tableColumn id="7" xr3:uid="{00000000-0010-0000-0100-000007000000}" name="Frequence" dataDxfId="30"/>
    <tableColumn id="8" xr3:uid="{00000000-0010-0000-0100-000008000000}" name="Désignation" dataDxfId="29"/>
    <tableColumn id="9" xr3:uid="{00000000-0010-0000-0100-000009000000}" name="Type" dataDxfId="28"/>
    <tableColumn id="10" xr3:uid="{00000000-0010-0000-0100-00000A000000}" name="Criticité" dataDxfId="27"/>
    <tableColumn id="11" xr3:uid="{00000000-0010-0000-0100-00000B000000}" name="Parité semaine" dataDxfId="26"/>
    <tableColumn id="12" xr3:uid="{00000000-0010-0000-0100-00000C000000}" name="Jour" dataDxfId="25"/>
    <tableColumn id="13" xr3:uid="{00000000-0010-0000-0100-00000D000000}" name="Décal." dataDxfId="24"/>
    <tableColumn id="14" xr3:uid="{00000000-0010-0000-0100-00000E000000}" name="Date de validation" dataDxfId="23"/>
    <tableColumn id="25" xr3:uid="{00000000-0010-0000-0100-000019000000}" name="Lien Fichier de gamme Source" dataDxfId="22" dataCellStyle="Lien hypertexte">
      <calculatedColumnFormula>IF(Tableau1[[#This Row],[DMS_SAP]]="","",HYPERLINK(Tableau1[[#This Row],[Chemin fichier source]],"X"))</calculatedColumnFormula>
    </tableColumn>
    <tableColumn id="26" xr3:uid="{00000000-0010-0000-0100-00001A000000}" name="Lien Fichier DMS SAP en PDF" dataDxfId="21" dataCellStyle="Lien hypertexte">
      <calculatedColumnFormula>IF(Tableau1[[#This Row],[Date rév.]]="","",HYPERLINK(Tableau1[[#This Row],[Lien document]],"X"))</calculatedColumnFormula>
    </tableColumn>
    <tableColumn id="15" xr3:uid="{00000000-0010-0000-0100-00000F000000}" name="DMS_SAP" dataDxfId="20"/>
    <tableColumn id="16" xr3:uid="{00000000-0010-0000-0100-000010000000}" name="Lien document" dataDxfId="19" dataCellStyle="Lien hypertexte">
      <calculatedColumnFormula>Chemin_accès!$B$2&amp;Tableau1[[#This Row],[Poste Responsable]]&amp;"\"&amp;Tableau1[[#This Row],[Localisation / Classement]]&amp;"\"&amp;Tableau1[[#This Row],[Poste technique]]&amp;"_"&amp;Tableau1[[#This Row],[Plan Entretien]]&amp;".pdf"</calculatedColumnFormula>
    </tableColumn>
    <tableColumn id="17" xr3:uid="{00000000-0010-0000-0100-000011000000}" name="Charge" dataDxfId="18"/>
    <tableColumn id="18" xr3:uid="{00000000-0010-0000-0100-000012000000}" name="Nombre intervenants" dataDxfId="17"/>
    <tableColumn id="19" xr3:uid="{00000000-0010-0000-0100-000013000000}" name="Validation" dataDxfId="16">
      <calculatedColumnFormula>IF(AND(Tableau1[[#This Row],[Charge]]&lt;&gt;0, Tableau1[[#This Row],[Nombre intervenants]]&lt;&gt;0,Tableau1[[#This Row],[Lien document]]&lt;&gt;0,Tableau1[[#This Row],[DMS_SAP]]&lt;&gt;0)=TRUE,"MIS A JOUR","")</calculatedColumnFormula>
    </tableColumn>
    <tableColumn id="20" xr3:uid="{00000000-0010-0000-0100-000014000000}" name="Date rév." dataDxfId="15"/>
    <tableColumn id="21" xr3:uid="{00000000-0010-0000-0100-000015000000}" name="Nb jours depuis la dernière rév." dataDxfId="14">
      <calculatedColumnFormula>IF(Tableau1[[#This Row],[Date rév.]]&lt;&gt;"", DAYS360(Tableau1[[#This Row],[Date rév.]],TODAY()),"")</calculatedColumnFormula>
    </tableColumn>
    <tableColumn id="24" xr3:uid="{00000000-0010-0000-0100-000018000000}" name="Modèle gamme" dataDxfId="13">
      <calculatedColumnFormula>IFERROR(INDEX(Chemin_accès!$B$11:$C$22,MATCH(Tableau1[[#This Row],[Type]],Chemin_accès!$C$11:$C$22,0),1),Chemin_accès!$B$11)</calculatedColumnFormula>
    </tableColumn>
    <tableColumn id="27" xr3:uid="{00000000-0010-0000-0100-00001B000000}" name="Chemin fichier source" dataDxfId="12">
      <calculatedColumnFormula>Chemin_accès!$B$8&amp;Tableau1[[#This Row],[Localisation / Classement]]&amp;"\"&amp;Tableau1[[#This Row],[Poste technique]]&amp;"_"&amp;Tableau1[[#This Row],[Plan Entretien]]&amp;".xlsm"</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file:///\\stjn.local\Btechnique\Commun\planPreventifUsine\procedureSap.docx" TargetMode="External"/><Relationship Id="rId2" Type="http://schemas.openxmlformats.org/officeDocument/2006/relationships/hyperlink" Target="file:///\\stjn.local\Btechnique\Commun\planPreventifUsine\procedureSap.docx" TargetMode="External"/><Relationship Id="rId1" Type="http://schemas.openxmlformats.org/officeDocument/2006/relationships/hyperlink" Target="file:///\\stjn.local\Btechnique\Commun\planPreventifUsine\procedureSap.docx"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2.xml"/><Relationship Id="rId3" Type="http://schemas.openxmlformats.org/officeDocument/2006/relationships/printerSettings" Target="../printerSettings/printerSettings6.bin"/><Relationship Id="rId7" Type="http://schemas.openxmlformats.org/officeDocument/2006/relationships/vmlDrawing" Target="../drawings/vmlDrawing2.vml"/><Relationship Id="rId12" Type="http://schemas.openxmlformats.org/officeDocument/2006/relationships/ctrlProp" Target="../ctrlProps/ctrlProp1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drawing" Target="../drawings/drawing2.xml"/><Relationship Id="rId11" Type="http://schemas.openxmlformats.org/officeDocument/2006/relationships/ctrlProp" Target="../ctrlProps/ctrlProp11.xml"/><Relationship Id="rId5" Type="http://schemas.openxmlformats.org/officeDocument/2006/relationships/printerSettings" Target="../printerSettings/printerSettings8.bin"/><Relationship Id="rId10" Type="http://schemas.openxmlformats.org/officeDocument/2006/relationships/ctrlProp" Target="../ctrlProps/ctrlProp10.xml"/><Relationship Id="rId4" Type="http://schemas.openxmlformats.org/officeDocument/2006/relationships/printerSettings" Target="../printerSettings/printerSettings7.bin"/><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drawing" Target="../drawings/drawing3.xml"/><Relationship Id="rId5" Type="http://schemas.openxmlformats.org/officeDocument/2006/relationships/printerSettings" Target="../printerSettings/printerSettings13.bin"/><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R2"/>
  <sheetViews>
    <sheetView workbookViewId="0">
      <selection activeCell="A2" sqref="A2"/>
    </sheetView>
  </sheetViews>
  <sheetFormatPr baseColWidth="10" defaultRowHeight="14.4" x14ac:dyDescent="0.3"/>
  <cols>
    <col min="1" max="1" width="6.109375" customWidth="1"/>
    <col min="2" max="2" width="15.44140625" customWidth="1"/>
    <col min="3" max="3" width="6.44140625" customWidth="1"/>
    <col min="4" max="5" width="7.44140625" customWidth="1"/>
    <col min="6" max="6" width="6" customWidth="1"/>
    <col min="7" max="7" width="29.6640625" customWidth="1"/>
    <col min="8" max="8" width="12.44140625" customWidth="1"/>
    <col min="9" max="9" width="7.6640625" customWidth="1"/>
    <col min="10" max="10" width="14" customWidth="1"/>
    <col min="11" max="13" width="5.44140625" customWidth="1"/>
    <col min="15" max="15" width="69.88671875" bestFit="1" customWidth="1"/>
    <col min="16" max="17" width="9.33203125" customWidth="1"/>
  </cols>
  <sheetData>
    <row r="1" spans="1:18" ht="119.4" thickBot="1" x14ac:dyDescent="0.35">
      <c r="A1" s="26" t="s">
        <v>103</v>
      </c>
      <c r="B1" s="27" t="s">
        <v>104</v>
      </c>
      <c r="C1" s="27" t="s">
        <v>105</v>
      </c>
      <c r="D1" s="27" t="s">
        <v>106</v>
      </c>
      <c r="E1" s="27" t="s">
        <v>107</v>
      </c>
      <c r="F1" s="27" t="s">
        <v>108</v>
      </c>
      <c r="G1" s="27" t="s">
        <v>109</v>
      </c>
      <c r="H1" s="27" t="s">
        <v>110</v>
      </c>
      <c r="I1" s="27" t="s">
        <v>111</v>
      </c>
      <c r="J1" s="27" t="s">
        <v>112</v>
      </c>
      <c r="K1" s="27" t="s">
        <v>113</v>
      </c>
      <c r="L1" s="27" t="s">
        <v>114</v>
      </c>
      <c r="M1" s="27" t="s">
        <v>115</v>
      </c>
      <c r="N1" s="27" t="s">
        <v>116</v>
      </c>
      <c r="O1" s="27" t="s">
        <v>117</v>
      </c>
      <c r="P1" s="27" t="s">
        <v>118</v>
      </c>
      <c r="Q1" s="27" t="s">
        <v>119</v>
      </c>
      <c r="R1" s="62" t="s">
        <v>131</v>
      </c>
    </row>
    <row r="2" spans="1:18" x14ac:dyDescent="0.3">
      <c r="O2" s="59"/>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rgb="FFFF99CC"/>
  </sheetPr>
  <dimension ref="A1:D6"/>
  <sheetViews>
    <sheetView workbookViewId="0">
      <selection activeCell="I11" sqref="I11"/>
    </sheetView>
  </sheetViews>
  <sheetFormatPr baseColWidth="10" defaultRowHeight="14.4" x14ac:dyDescent="0.3"/>
  <sheetData>
    <row r="1" spans="1:4" x14ac:dyDescent="0.3">
      <c r="A1" s="68" t="s">
        <v>481</v>
      </c>
    </row>
    <row r="2" spans="1:4" x14ac:dyDescent="0.3">
      <c r="A2" s="69" t="str">
        <f>HYPERLINK("\\stjn.local\trimet\Donnees_Projets\Maintenance\Formation méthodes de maintenance\SAP Maintenance 2022\procédure création de gammes.docx","procédure création de gammes.docx")</f>
        <v>procédure création de gammes.docx</v>
      </c>
    </row>
    <row r="3" spans="1:4" x14ac:dyDescent="0.3">
      <c r="A3" s="68" t="s">
        <v>487</v>
      </c>
    </row>
    <row r="4" spans="1:4" x14ac:dyDescent="0.3">
      <c r="A4" s="69" t="str">
        <f>HYPERLINK("\\stjn.local\trimet\Donnees_Projets\Maintenance\Formation méthodes de maintenance\SAP Maintenance 2022\procédure gestion des stratégies de planification .docx","procédure gestion des stratégies de planification .docx")</f>
        <v>procédure gestion des stratégies de planification .docx</v>
      </c>
    </row>
    <row r="5" spans="1:4" x14ac:dyDescent="0.3">
      <c r="A5" s="68" t="s">
        <v>488</v>
      </c>
      <c r="B5" s="68"/>
      <c r="C5" s="68"/>
      <c r="D5" s="68"/>
    </row>
    <row r="6" spans="1:4" x14ac:dyDescent="0.3">
      <c r="A6" s="69" t="str">
        <f>HYPERLINK("Q:\Maintenance\Formation méthodes de maintenance\SAP Maintenance 2022\Mode Opératoire\Création d'une gamme outils PETool.pptx","Création d'une gamme outils PETool.pptx")</f>
        <v>Création d'une gamme outils PETool.pptx</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tabColor rgb="FF92D050"/>
  </sheetPr>
  <dimension ref="A1:E16"/>
  <sheetViews>
    <sheetView showGridLines="0" workbookViewId="0">
      <selection activeCell="E4" sqref="E4"/>
    </sheetView>
  </sheetViews>
  <sheetFormatPr baseColWidth="10" defaultRowHeight="14.4" x14ac:dyDescent="0.3"/>
  <cols>
    <col min="1" max="1" width="20" customWidth="1"/>
    <col min="2" max="2" width="15.33203125" customWidth="1"/>
    <col min="4" max="4" width="13.109375" bestFit="1" customWidth="1"/>
    <col min="5" max="5" width="91.44140625" customWidth="1"/>
  </cols>
  <sheetData>
    <row r="1" spans="1:5" x14ac:dyDescent="0.3">
      <c r="A1" s="12" t="s">
        <v>67</v>
      </c>
      <c r="B1" s="12" t="s">
        <v>69</v>
      </c>
      <c r="C1" s="12" t="s">
        <v>70</v>
      </c>
      <c r="D1" s="12" t="s">
        <v>71</v>
      </c>
      <c r="E1" s="15" t="s">
        <v>58</v>
      </c>
    </row>
    <row r="2" spans="1:5" x14ac:dyDescent="0.3">
      <c r="A2" s="9" t="s">
        <v>68</v>
      </c>
      <c r="B2" s="10" t="s">
        <v>66</v>
      </c>
      <c r="C2" s="11">
        <v>44474</v>
      </c>
      <c r="D2" s="9" t="s">
        <v>72</v>
      </c>
      <c r="E2" s="14" t="s">
        <v>74</v>
      </c>
    </row>
    <row r="3" spans="1:5" x14ac:dyDescent="0.3">
      <c r="A3" s="9" t="s">
        <v>68</v>
      </c>
      <c r="B3" s="10" t="s">
        <v>66</v>
      </c>
      <c r="C3" s="11">
        <v>44475</v>
      </c>
      <c r="D3" s="9" t="s">
        <v>73</v>
      </c>
      <c r="E3" s="9" t="s">
        <v>75</v>
      </c>
    </row>
    <row r="4" spans="1:5" ht="100.8" x14ac:dyDescent="0.3">
      <c r="A4" s="21" t="s">
        <v>68</v>
      </c>
      <c r="B4" s="22" t="s">
        <v>66</v>
      </c>
      <c r="C4" s="23">
        <v>44489</v>
      </c>
      <c r="D4" s="21" t="s">
        <v>90</v>
      </c>
      <c r="E4" s="24" t="s">
        <v>102</v>
      </c>
    </row>
    <row r="5" spans="1:5" x14ac:dyDescent="0.3">
      <c r="A5" s="9" t="s">
        <v>68</v>
      </c>
      <c r="B5" s="10" t="s">
        <v>66</v>
      </c>
      <c r="C5" s="11">
        <v>44494</v>
      </c>
      <c r="D5" s="9" t="s">
        <v>90</v>
      </c>
      <c r="E5" s="9" t="s">
        <v>120</v>
      </c>
    </row>
    <row r="6" spans="1:5" x14ac:dyDescent="0.3">
      <c r="A6" s="9" t="s">
        <v>68</v>
      </c>
      <c r="B6" s="10" t="s">
        <v>66</v>
      </c>
      <c r="C6" s="11">
        <v>44504</v>
      </c>
      <c r="D6" s="9" t="s">
        <v>90</v>
      </c>
      <c r="E6" s="9" t="s">
        <v>127</v>
      </c>
    </row>
    <row r="7" spans="1:5" x14ac:dyDescent="0.3">
      <c r="A7" s="9"/>
      <c r="B7" s="9"/>
      <c r="C7" s="9"/>
      <c r="D7" s="9"/>
      <c r="E7" s="9"/>
    </row>
    <row r="8" spans="1:5" x14ac:dyDescent="0.3">
      <c r="A8" s="9"/>
      <c r="B8" s="9"/>
      <c r="C8" s="9"/>
      <c r="D8" s="9"/>
      <c r="E8" s="9"/>
    </row>
    <row r="9" spans="1:5" x14ac:dyDescent="0.3">
      <c r="A9" s="9"/>
      <c r="B9" s="9"/>
      <c r="C9" s="9"/>
      <c r="D9" s="9"/>
      <c r="E9" s="9"/>
    </row>
    <row r="10" spans="1:5" x14ac:dyDescent="0.3">
      <c r="A10" s="9"/>
      <c r="B10" s="9"/>
      <c r="C10" s="9"/>
      <c r="D10" s="9"/>
      <c r="E10" s="9"/>
    </row>
    <row r="11" spans="1:5" x14ac:dyDescent="0.3">
      <c r="A11" s="9"/>
      <c r="B11" s="9"/>
      <c r="C11" s="9"/>
      <c r="D11" s="9"/>
      <c r="E11" s="9"/>
    </row>
    <row r="12" spans="1:5" x14ac:dyDescent="0.3">
      <c r="A12" s="9"/>
      <c r="B12" s="9"/>
      <c r="C12" s="9"/>
      <c r="D12" s="9"/>
      <c r="E12" s="9"/>
    </row>
    <row r="13" spans="1:5" x14ac:dyDescent="0.3">
      <c r="A13" s="9"/>
      <c r="B13" s="9"/>
      <c r="C13" s="9"/>
      <c r="D13" s="9"/>
      <c r="E13" s="9"/>
    </row>
    <row r="14" spans="1:5" x14ac:dyDescent="0.3">
      <c r="A14" s="9"/>
      <c r="B14" s="9"/>
      <c r="C14" s="9"/>
      <c r="D14" s="9"/>
      <c r="E14" s="9"/>
    </row>
    <row r="15" spans="1:5" x14ac:dyDescent="0.3">
      <c r="A15" s="9"/>
      <c r="B15" s="9"/>
      <c r="C15" s="9"/>
      <c r="D15" s="9"/>
      <c r="E15" s="9"/>
    </row>
    <row r="16" spans="1:5" x14ac:dyDescent="0.3">
      <c r="A16" s="9"/>
      <c r="B16" s="9"/>
      <c r="C16" s="9"/>
      <c r="D16" s="9"/>
      <c r="E16" s="9"/>
    </row>
  </sheetData>
  <customSheetViews>
    <customSheetView guid="{0EF03FB2-E8B1-47F2-9208-E204933E1F15}" showGridLines="0">
      <selection activeCell="B4" sqref="B4"/>
      <pageMargins left="0.7" right="0.7" top="0.75" bottom="0.75" header="0.3" footer="0.3"/>
    </customSheetView>
    <customSheetView guid="{41F7FD2A-BA5B-4731-A557-2BD58F51B02E}" showGridLines="0">
      <selection activeCell="B4" sqref="B4"/>
      <pageMargins left="0.7" right="0.7" top="0.75" bottom="0.75" header="0.3" footer="0.3"/>
    </customSheetView>
    <customSheetView guid="{850E940B-2428-4553-BF71-40EDCB2E1D07}" showGridLines="0">
      <selection activeCell="B4" sqref="B4"/>
      <pageMargins left="0.7" right="0.7" top="0.75" bottom="0.75" header="0.3" footer="0.3"/>
    </customSheetView>
    <customSheetView guid="{CF0A3741-DD40-423F-97D7-0C00E4DC3A32}" showGridLines="0">
      <selection activeCell="D16" sqref="D16"/>
      <pageMargins left="0.7" right="0.7" top="0.75" bottom="0.75" header="0.3" footer="0.3"/>
    </customSheetView>
  </customSheetViews>
  <hyperlinks>
    <hyperlink ref="B2" r:id="rId1" xr:uid="{00000000-0004-0000-0200-000000000000}"/>
    <hyperlink ref="B3" r:id="rId2" xr:uid="{00000000-0004-0000-0200-000001000000}"/>
    <hyperlink ref="B4" r:id="rId3"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0"/>
  <dimension ref="A1:D22"/>
  <sheetViews>
    <sheetView workbookViewId="0">
      <selection activeCell="B14" sqref="B14"/>
    </sheetView>
  </sheetViews>
  <sheetFormatPr baseColWidth="10" defaultRowHeight="14.4" x14ac:dyDescent="0.3"/>
  <cols>
    <col min="1" max="1" width="4.88671875" customWidth="1"/>
    <col min="2" max="2" width="149" bestFit="1" customWidth="1"/>
    <col min="3" max="3" width="20.6640625" customWidth="1"/>
  </cols>
  <sheetData>
    <row r="1" spans="1:4" x14ac:dyDescent="0.3">
      <c r="A1" s="29" t="s">
        <v>123</v>
      </c>
      <c r="B1" s="30"/>
      <c r="C1" s="29" t="s">
        <v>88</v>
      </c>
      <c r="D1" s="29" t="s">
        <v>130</v>
      </c>
    </row>
    <row r="2" spans="1:4" x14ac:dyDescent="0.3">
      <c r="A2" s="9"/>
      <c r="B2" t="s">
        <v>96</v>
      </c>
      <c r="C2" s="9" t="str">
        <f ca="1">'7.MSCT'!A3</f>
        <v>7.MSCT</v>
      </c>
      <c r="D2" s="9" t="s">
        <v>132</v>
      </c>
    </row>
    <row r="3" spans="1:4" x14ac:dyDescent="0.3">
      <c r="C3" s="25"/>
    </row>
    <row r="4" spans="1:4" x14ac:dyDescent="0.3">
      <c r="A4" s="29" t="s">
        <v>125</v>
      </c>
      <c r="B4" s="30"/>
    </row>
    <row r="5" spans="1:4" x14ac:dyDescent="0.3">
      <c r="A5" s="9"/>
      <c r="B5" t="s">
        <v>546</v>
      </c>
    </row>
    <row r="7" spans="1:4" x14ac:dyDescent="0.3">
      <c r="A7" s="29" t="s">
        <v>124</v>
      </c>
      <c r="B7" s="30"/>
    </row>
    <row r="8" spans="1:4" x14ac:dyDescent="0.3">
      <c r="A8" s="9"/>
      <c r="B8" t="s">
        <v>547</v>
      </c>
      <c r="C8" s="28" t="s">
        <v>126</v>
      </c>
    </row>
    <row r="10" spans="1:4" x14ac:dyDescent="0.3">
      <c r="A10" s="29" t="s">
        <v>97</v>
      </c>
      <c r="B10" s="30"/>
      <c r="C10" s="29" t="s">
        <v>121</v>
      </c>
    </row>
    <row r="11" spans="1:4" x14ac:dyDescent="0.3">
      <c r="A11" s="9"/>
      <c r="B11" t="s">
        <v>548</v>
      </c>
      <c r="C11" s="9"/>
    </row>
    <row r="12" spans="1:4" x14ac:dyDescent="0.3">
      <c r="A12" s="9"/>
      <c r="B12" s="9"/>
      <c r="C12" s="9"/>
    </row>
    <row r="13" spans="1:4" ht="15.75" customHeight="1" x14ac:dyDescent="0.3">
      <c r="A13" s="9"/>
      <c r="B13" s="9"/>
      <c r="C13" s="9"/>
    </row>
    <row r="14" spans="1:4" x14ac:dyDescent="0.3">
      <c r="A14" s="9"/>
      <c r="B14" s="9"/>
      <c r="C14" s="9"/>
    </row>
    <row r="15" spans="1:4" x14ac:dyDescent="0.3">
      <c r="A15" s="9"/>
      <c r="B15" s="9"/>
      <c r="C15" s="9"/>
    </row>
    <row r="16" spans="1:4" x14ac:dyDescent="0.3">
      <c r="A16" s="9"/>
      <c r="B16" s="9"/>
      <c r="C16" s="9"/>
    </row>
    <row r="17" spans="1:3" x14ac:dyDescent="0.3">
      <c r="A17" s="9"/>
      <c r="B17" s="9"/>
      <c r="C17" s="9"/>
    </row>
    <row r="18" spans="1:3" x14ac:dyDescent="0.3">
      <c r="A18" s="9"/>
      <c r="B18" s="9"/>
      <c r="C18" s="9"/>
    </row>
    <row r="19" spans="1:3" x14ac:dyDescent="0.3">
      <c r="A19" s="9"/>
      <c r="B19" s="9"/>
      <c r="C19" s="9"/>
    </row>
    <row r="20" spans="1:3" x14ac:dyDescent="0.3">
      <c r="A20" s="9"/>
      <c r="B20" s="9"/>
      <c r="C20" s="9"/>
    </row>
    <row r="21" spans="1:3" x14ac:dyDescent="0.3">
      <c r="A21" s="9"/>
      <c r="B21" s="9"/>
      <c r="C21" s="9"/>
    </row>
    <row r="22" spans="1:3" x14ac:dyDescent="0.3">
      <c r="A22" s="9"/>
      <c r="B22" s="9"/>
      <c r="C22"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outon1">
              <controlPr defaultSize="0" print="0" autoFill="0" autoPict="0" macro="[0]!Feuil20.CommandButton1">
                <anchor moveWithCells="1" sizeWithCells="1">
                  <from>
                    <xdr:col>0</xdr:col>
                    <xdr:colOff>22860</xdr:colOff>
                    <xdr:row>1</xdr:row>
                    <xdr:rowOff>7620</xdr:rowOff>
                  </from>
                  <to>
                    <xdr:col>0</xdr:col>
                    <xdr:colOff>289560</xdr:colOff>
                    <xdr:row>1</xdr:row>
                    <xdr:rowOff>182880</xdr:rowOff>
                  </to>
                </anchor>
              </controlPr>
            </control>
          </mc:Choice>
        </mc:AlternateContent>
        <mc:AlternateContent xmlns:mc="http://schemas.openxmlformats.org/markup-compatibility/2006">
          <mc:Choice Requires="x14">
            <control shapeId="23554" r:id="rId5" name="Bouton1">
              <controlPr defaultSize="0" print="0" autoFill="0" autoPict="0" macro="[0]!Feuil20.CommandButton3">
                <anchor moveWithCells="1" sizeWithCells="1">
                  <from>
                    <xdr:col>0</xdr:col>
                    <xdr:colOff>22860</xdr:colOff>
                    <xdr:row>7</xdr:row>
                    <xdr:rowOff>7620</xdr:rowOff>
                  </from>
                  <to>
                    <xdr:col>0</xdr:col>
                    <xdr:colOff>289560</xdr:colOff>
                    <xdr:row>7</xdr:row>
                    <xdr:rowOff>182880</xdr:rowOff>
                  </to>
                </anchor>
              </controlPr>
            </control>
          </mc:Choice>
        </mc:AlternateContent>
        <mc:AlternateContent xmlns:mc="http://schemas.openxmlformats.org/markup-compatibility/2006">
          <mc:Choice Requires="x14">
            <control shapeId="23555" r:id="rId6" name="Button 3">
              <controlPr defaultSize="0" print="0" autoFill="0" autoPict="0" macro="[0]!Feuil20.CommandButton4">
                <anchor moveWithCells="1" sizeWithCells="1">
                  <from>
                    <xdr:col>0</xdr:col>
                    <xdr:colOff>22860</xdr:colOff>
                    <xdr:row>10</xdr:row>
                    <xdr:rowOff>7620</xdr:rowOff>
                  </from>
                  <to>
                    <xdr:col>0</xdr:col>
                    <xdr:colOff>289560</xdr:colOff>
                    <xdr:row>10</xdr:row>
                    <xdr:rowOff>182880</xdr:rowOff>
                  </to>
                </anchor>
              </controlPr>
            </control>
          </mc:Choice>
        </mc:AlternateContent>
        <mc:AlternateContent xmlns:mc="http://schemas.openxmlformats.org/markup-compatibility/2006">
          <mc:Choice Requires="x14">
            <control shapeId="23556" r:id="rId7" name="Button 4">
              <controlPr defaultSize="0" print="0" autoFill="0" autoPict="0" macro="[0]!Feuil20.CommandButton5">
                <anchor moveWithCells="1" sizeWithCells="1">
                  <from>
                    <xdr:col>0</xdr:col>
                    <xdr:colOff>22860</xdr:colOff>
                    <xdr:row>11</xdr:row>
                    <xdr:rowOff>7620</xdr:rowOff>
                  </from>
                  <to>
                    <xdr:col>0</xdr:col>
                    <xdr:colOff>289560</xdr:colOff>
                    <xdr:row>11</xdr:row>
                    <xdr:rowOff>182880</xdr:rowOff>
                  </to>
                </anchor>
              </controlPr>
            </control>
          </mc:Choice>
        </mc:AlternateContent>
        <mc:AlternateContent xmlns:mc="http://schemas.openxmlformats.org/markup-compatibility/2006">
          <mc:Choice Requires="x14">
            <control shapeId="23558" r:id="rId8" name="Button 6">
              <controlPr defaultSize="0" print="0" autoFill="0" autoPict="0" macro="[0]!Feuil20.CommandButton2">
                <anchor moveWithCells="1" sizeWithCells="1">
                  <from>
                    <xdr:col>0</xdr:col>
                    <xdr:colOff>22860</xdr:colOff>
                    <xdr:row>4</xdr:row>
                    <xdr:rowOff>7620</xdr:rowOff>
                  </from>
                  <to>
                    <xdr:col>0</xdr:col>
                    <xdr:colOff>289560</xdr:colOff>
                    <xdr:row>4</xdr:row>
                    <xdr:rowOff>182880</xdr:rowOff>
                  </to>
                </anchor>
              </controlPr>
            </control>
          </mc:Choice>
        </mc:AlternateContent>
        <mc:AlternateContent xmlns:mc="http://schemas.openxmlformats.org/markup-compatibility/2006">
          <mc:Choice Requires="x14">
            <control shapeId="23560" r:id="rId9" name="Button 8">
              <controlPr defaultSize="0" print="0" autoFill="0" autoPict="0" macro="[0]!Feuil20.CommandButton6">
                <anchor moveWithCells="1" sizeWithCells="1">
                  <from>
                    <xdr:col>0</xdr:col>
                    <xdr:colOff>22860</xdr:colOff>
                    <xdr:row>12</xdr:row>
                    <xdr:rowOff>7620</xdr:rowOff>
                  </from>
                  <to>
                    <xdr:col>0</xdr:col>
                    <xdr:colOff>289560</xdr:colOff>
                    <xdr:row>12</xdr:row>
                    <xdr:rowOff>182880</xdr:rowOff>
                  </to>
                </anchor>
              </controlPr>
            </control>
          </mc:Choice>
        </mc:AlternateContent>
        <mc:AlternateContent xmlns:mc="http://schemas.openxmlformats.org/markup-compatibility/2006">
          <mc:Choice Requires="x14">
            <control shapeId="23561" r:id="rId10" name="Button 9">
              <controlPr defaultSize="0" print="0" autoFill="0" autoPict="0" macro="[0]!Feuil20.CommandButton7">
                <anchor moveWithCells="1" sizeWithCells="1">
                  <from>
                    <xdr:col>0</xdr:col>
                    <xdr:colOff>22860</xdr:colOff>
                    <xdr:row>13</xdr:row>
                    <xdr:rowOff>7620</xdr:rowOff>
                  </from>
                  <to>
                    <xdr:col>0</xdr:col>
                    <xdr:colOff>289560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00000000}">
          <x14:formula1>
            <xm:f>list!$B$3:$B$11</xm:f>
          </x14:formula1>
          <xm:sqref>C11:C22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9"/>
  <dimension ref="A2:I24"/>
  <sheetViews>
    <sheetView workbookViewId="0">
      <selection activeCell="B9" sqref="B9"/>
    </sheetView>
  </sheetViews>
  <sheetFormatPr baseColWidth="10" defaultRowHeight="14.4" x14ac:dyDescent="0.3"/>
  <cols>
    <col min="8" max="8" width="18.88671875" customWidth="1"/>
    <col min="9" max="9" width="26.6640625" customWidth="1"/>
  </cols>
  <sheetData>
    <row r="2" spans="1:9" x14ac:dyDescent="0.3">
      <c r="A2" t="s">
        <v>38</v>
      </c>
      <c r="B2" t="s">
        <v>37</v>
      </c>
      <c r="C2" t="s">
        <v>40</v>
      </c>
      <c r="D2" t="s">
        <v>42</v>
      </c>
      <c r="E2" t="s">
        <v>45</v>
      </c>
      <c r="F2" t="s">
        <v>51</v>
      </c>
      <c r="G2" t="s">
        <v>41</v>
      </c>
      <c r="H2" t="s">
        <v>65</v>
      </c>
      <c r="I2" t="s">
        <v>122</v>
      </c>
    </row>
    <row r="4" spans="1:9" x14ac:dyDescent="0.3">
      <c r="A4" t="s">
        <v>34</v>
      </c>
      <c r="B4" t="s">
        <v>60</v>
      </c>
      <c r="C4">
        <v>1</v>
      </c>
      <c r="D4" t="s">
        <v>43</v>
      </c>
      <c r="E4" t="s">
        <v>4</v>
      </c>
      <c r="F4" t="s">
        <v>2</v>
      </c>
      <c r="G4" t="s">
        <v>2</v>
      </c>
      <c r="H4" t="s">
        <v>60</v>
      </c>
      <c r="I4" t="s">
        <v>311</v>
      </c>
    </row>
    <row r="5" spans="1:9" x14ac:dyDescent="0.3">
      <c r="A5" t="s">
        <v>36</v>
      </c>
      <c r="B5" t="s">
        <v>61</v>
      </c>
      <c r="C5">
        <v>2</v>
      </c>
      <c r="D5" t="s">
        <v>44</v>
      </c>
      <c r="E5" t="s">
        <v>7</v>
      </c>
      <c r="F5" t="s">
        <v>3</v>
      </c>
      <c r="G5" t="s">
        <v>3</v>
      </c>
      <c r="H5" t="s">
        <v>61</v>
      </c>
      <c r="I5" t="s">
        <v>140</v>
      </c>
    </row>
    <row r="6" spans="1:9" x14ac:dyDescent="0.3">
      <c r="A6" t="s">
        <v>79</v>
      </c>
      <c r="B6" t="s">
        <v>62</v>
      </c>
      <c r="C6">
        <v>3</v>
      </c>
      <c r="E6" t="s">
        <v>6</v>
      </c>
      <c r="G6" t="s">
        <v>52</v>
      </c>
      <c r="H6" t="s">
        <v>62</v>
      </c>
      <c r="I6" t="s">
        <v>310</v>
      </c>
    </row>
    <row r="7" spans="1:9" x14ac:dyDescent="0.3">
      <c r="A7" t="s">
        <v>80</v>
      </c>
      <c r="B7" t="s">
        <v>63</v>
      </c>
      <c r="E7" t="s">
        <v>5</v>
      </c>
      <c r="H7" t="s">
        <v>63</v>
      </c>
      <c r="I7" t="s">
        <v>262</v>
      </c>
    </row>
    <row r="8" spans="1:9" x14ac:dyDescent="0.3">
      <c r="A8" t="s">
        <v>81</v>
      </c>
      <c r="B8" t="s">
        <v>64</v>
      </c>
      <c r="E8" t="s">
        <v>46</v>
      </c>
      <c r="H8" t="s">
        <v>64</v>
      </c>
      <c r="I8" t="s">
        <v>225</v>
      </c>
    </row>
    <row r="9" spans="1:9" x14ac:dyDescent="0.3">
      <c r="A9" t="s">
        <v>82</v>
      </c>
      <c r="B9" t="s">
        <v>1</v>
      </c>
      <c r="E9" t="s">
        <v>47</v>
      </c>
      <c r="H9" t="s">
        <v>0</v>
      </c>
      <c r="I9" t="s">
        <v>243</v>
      </c>
    </row>
    <row r="10" spans="1:9" x14ac:dyDescent="0.3">
      <c r="A10" t="s">
        <v>83</v>
      </c>
      <c r="B10" t="s">
        <v>317</v>
      </c>
      <c r="E10" t="s">
        <v>48</v>
      </c>
      <c r="H10" t="s">
        <v>8</v>
      </c>
      <c r="I10" t="s">
        <v>308</v>
      </c>
    </row>
    <row r="11" spans="1:9" x14ac:dyDescent="0.3">
      <c r="A11" t="s">
        <v>84</v>
      </c>
      <c r="B11" t="s">
        <v>8</v>
      </c>
      <c r="I11" t="s">
        <v>185</v>
      </c>
    </row>
    <row r="12" spans="1:9" x14ac:dyDescent="0.3">
      <c r="A12" t="s">
        <v>85</v>
      </c>
      <c r="B12" t="s">
        <v>0</v>
      </c>
      <c r="I12" t="s">
        <v>206</v>
      </c>
    </row>
    <row r="13" spans="1:9" x14ac:dyDescent="0.3">
      <c r="A13" t="s">
        <v>86</v>
      </c>
      <c r="I13" t="s">
        <v>306</v>
      </c>
    </row>
    <row r="14" spans="1:9" x14ac:dyDescent="0.3">
      <c r="A14" t="s">
        <v>87</v>
      </c>
      <c r="I14" t="s">
        <v>439</v>
      </c>
    </row>
    <row r="15" spans="1:9" x14ac:dyDescent="0.3">
      <c r="A15" t="s">
        <v>138</v>
      </c>
    </row>
    <row r="16" spans="1:9" x14ac:dyDescent="0.3">
      <c r="A16" t="s">
        <v>157</v>
      </c>
    </row>
    <row r="20" spans="1:1" x14ac:dyDescent="0.3">
      <c r="A20" t="s">
        <v>35</v>
      </c>
    </row>
    <row r="21" spans="1:1" x14ac:dyDescent="0.3">
      <c r="A21" t="s">
        <v>39</v>
      </c>
    </row>
    <row r="22" spans="1:1" x14ac:dyDescent="0.3">
      <c r="A22" t="s">
        <v>49</v>
      </c>
    </row>
    <row r="23" spans="1:1" x14ac:dyDescent="0.3">
      <c r="A23" t="s">
        <v>50</v>
      </c>
    </row>
    <row r="24" spans="1:1" x14ac:dyDescent="0.3">
      <c r="A24" t="s">
        <v>476</v>
      </c>
    </row>
  </sheetData>
  <sortState xmlns:xlrd2="http://schemas.microsoft.com/office/spreadsheetml/2017/richdata2" ref="I4:I11">
    <sortCondition ref="I4"/>
  </sortState>
  <customSheetViews>
    <customSheetView guid="{0EF03FB2-E8B1-47F2-9208-E204933E1F15}">
      <selection activeCell="D20" sqref="D20"/>
      <pageMargins left="0.7" right="0.7" top="0.75" bottom="0.75" header="0.3" footer="0.3"/>
    </customSheetView>
    <customSheetView guid="{41F7FD2A-BA5B-4731-A557-2BD58F51B02E}">
      <selection activeCell="D20" sqref="D20"/>
      <pageMargins left="0.7" right="0.7" top="0.75" bottom="0.75" header="0.3" footer="0.3"/>
    </customSheetView>
    <customSheetView guid="{850E940B-2428-4553-BF71-40EDCB2E1D07}">
      <selection activeCell="D20" sqref="D20"/>
      <pageMargins left="0.7" right="0.7" top="0.75" bottom="0.75" header="0.3" footer="0.3"/>
    </customSheetView>
    <customSheetView guid="{CF0A3741-DD40-423F-97D7-0C00E4DC3A32}">
      <selection activeCell="D20" sqref="D20"/>
      <pageMargins left="0.7" right="0.7" top="0.75" bottom="0.75" header="0.3" footer="0.3"/>
    </customSheetView>
  </customSheetView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
    <tabColor rgb="FF00B0F0"/>
    <pageSetUpPr autoPageBreaks="0" fitToPage="1"/>
  </sheetPr>
  <dimension ref="A1:AD1000"/>
  <sheetViews>
    <sheetView tabSelected="1" topLeftCell="D1" zoomScaleNormal="100" workbookViewId="0">
      <pane ySplit="2" topLeftCell="A3" activePane="bottomLeft" state="frozenSplit"/>
      <selection pane="bottomLeft" activeCell="T34" sqref="T34"/>
    </sheetView>
  </sheetViews>
  <sheetFormatPr baseColWidth="10" defaultColWidth="9.109375" defaultRowHeight="14.4" x14ac:dyDescent="0.3"/>
  <cols>
    <col min="1" max="1" width="7.5546875" style="54" hidden="1" customWidth="1"/>
    <col min="2" max="2" width="5" style="54" hidden="1" customWidth="1"/>
    <col min="3" max="3" width="4.109375" style="34" hidden="1" customWidth="1"/>
    <col min="4" max="4" width="20.6640625" style="34" bestFit="1" customWidth="1"/>
    <col min="5" max="5" width="6.44140625" style="34" customWidth="1"/>
    <col min="6" max="6" width="13.6640625" style="34" customWidth="1"/>
    <col min="7" max="7" width="40.33203125" style="34" bestFit="1" customWidth="1"/>
    <col min="8" max="9" width="9.6640625" style="34" customWidth="1"/>
    <col min="10" max="10" width="10.109375" style="34" customWidth="1"/>
    <col min="11" max="11" width="8" style="34" customWidth="1"/>
    <col min="12" max="12" width="7.5546875" style="34" customWidth="1"/>
    <col min="13" max="13" width="57.44140625" style="34" bestFit="1" customWidth="1"/>
    <col min="14" max="14" width="11.88671875" style="34" customWidth="1"/>
    <col min="15" max="15" width="7.6640625" style="34" customWidth="1"/>
    <col min="16" max="16" width="9.6640625" style="34" customWidth="1"/>
    <col min="17" max="17" width="7.5546875" style="34" customWidth="1"/>
    <col min="18" max="18" width="7.44140625" style="34" customWidth="1"/>
    <col min="19" max="19" width="13.33203125" style="55" bestFit="1" customWidth="1"/>
    <col min="20" max="20" width="9.44140625" style="55" customWidth="1"/>
    <col min="21" max="21" width="9" style="34" customWidth="1"/>
    <col min="22" max="22" width="15.5546875" style="34" customWidth="1"/>
    <col min="23" max="23" width="8.44140625" style="56" hidden="1" customWidth="1"/>
    <col min="24" max="25" width="6.109375" style="34" customWidth="1"/>
    <col min="26" max="26" width="12.33203125" style="34" hidden="1" customWidth="1"/>
    <col min="27" max="27" width="11.88671875" style="57" bestFit="1" customWidth="1"/>
    <col min="28" max="28" width="12.33203125" style="57" customWidth="1"/>
    <col min="29" max="29" width="9.6640625" style="34" hidden="1" customWidth="1"/>
    <col min="30" max="30" width="40.44140625" style="34" hidden="1" customWidth="1"/>
    <col min="31" max="38" width="9.109375" style="34"/>
    <col min="39" max="39" width="10.6640625" style="34" bestFit="1" customWidth="1"/>
    <col min="40" max="16384" width="9.109375" style="34"/>
  </cols>
  <sheetData>
    <row r="1" spans="1:30" ht="41.25" customHeight="1" x14ac:dyDescent="0.3">
      <c r="A1" s="60"/>
      <c r="B1" s="31"/>
      <c r="C1" s="31"/>
      <c r="D1" s="31"/>
      <c r="E1" s="31"/>
      <c r="F1" s="31"/>
      <c r="G1" s="31"/>
      <c r="H1" s="31"/>
      <c r="I1" s="31"/>
      <c r="J1" s="31"/>
      <c r="K1" s="31"/>
      <c r="L1" s="31"/>
      <c r="M1" s="32" t="s">
        <v>13</v>
      </c>
      <c r="N1" s="31"/>
      <c r="O1" s="31"/>
      <c r="P1" s="31"/>
      <c r="Q1" s="31"/>
      <c r="R1" s="31"/>
      <c r="S1" s="33"/>
      <c r="T1" s="32"/>
      <c r="U1" s="74" t="s">
        <v>53</v>
      </c>
      <c r="V1" s="75"/>
      <c r="W1" s="75"/>
      <c r="X1" s="75"/>
      <c r="Y1" s="75"/>
      <c r="Z1" s="76"/>
      <c r="AA1" s="77" t="s">
        <v>56</v>
      </c>
      <c r="AB1" s="78"/>
    </row>
    <row r="2" spans="1:30" s="43" customFormat="1" ht="72" x14ac:dyDescent="0.3">
      <c r="A2" s="35" t="s">
        <v>88</v>
      </c>
      <c r="B2" s="35" t="s">
        <v>91</v>
      </c>
      <c r="C2" s="35" t="s">
        <v>93</v>
      </c>
      <c r="D2" s="36" t="s">
        <v>94</v>
      </c>
      <c r="E2" s="36" t="s">
        <v>100</v>
      </c>
      <c r="F2" s="37" t="s">
        <v>28</v>
      </c>
      <c r="G2" s="37" t="s">
        <v>27</v>
      </c>
      <c r="H2" s="37" t="s">
        <v>89</v>
      </c>
      <c r="I2" s="37" t="s">
        <v>29</v>
      </c>
      <c r="J2" s="37" t="s">
        <v>128</v>
      </c>
      <c r="K2" s="37" t="s">
        <v>129</v>
      </c>
      <c r="L2" s="37" t="s">
        <v>30</v>
      </c>
      <c r="M2" s="37" t="s">
        <v>32</v>
      </c>
      <c r="N2" s="37" t="s">
        <v>31</v>
      </c>
      <c r="O2" s="37" t="s">
        <v>33</v>
      </c>
      <c r="P2" s="37" t="s">
        <v>10</v>
      </c>
      <c r="Q2" s="37" t="s">
        <v>11</v>
      </c>
      <c r="R2" s="37" t="s">
        <v>12</v>
      </c>
      <c r="S2" s="38" t="s">
        <v>76</v>
      </c>
      <c r="T2" s="38" t="s">
        <v>95</v>
      </c>
      <c r="U2" s="39" t="s">
        <v>101</v>
      </c>
      <c r="V2" s="39" t="s">
        <v>92</v>
      </c>
      <c r="W2" s="35" t="s">
        <v>24</v>
      </c>
      <c r="X2" s="39" t="s">
        <v>25</v>
      </c>
      <c r="Y2" s="39" t="s">
        <v>26</v>
      </c>
      <c r="Z2" s="35" t="s">
        <v>14</v>
      </c>
      <c r="AA2" s="40" t="s">
        <v>59</v>
      </c>
      <c r="AB2" s="41" t="s">
        <v>57</v>
      </c>
      <c r="AC2" s="42" t="s">
        <v>98</v>
      </c>
      <c r="AD2" s="42" t="s">
        <v>99</v>
      </c>
    </row>
    <row r="3" spans="1:30" x14ac:dyDescent="0.3">
      <c r="A3" s="44" t="str">
        <f t="shared" ref="A3:A66" ca="1" si="0">MID(CELL("filename",$A$1),FIND("]",CELL("filename",$A$1))+1,32)</f>
        <v>7.MSCT</v>
      </c>
      <c r="B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 s="46" t="s">
        <v>314</v>
      </c>
      <c r="D3" s="44" t="s">
        <v>311</v>
      </c>
      <c r="E3" s="44" t="s">
        <v>309</v>
      </c>
      <c r="F3" s="44" t="s">
        <v>133</v>
      </c>
      <c r="G3" s="44" t="s">
        <v>134</v>
      </c>
      <c r="H3" s="50">
        <v>34193</v>
      </c>
      <c r="I3" s="50">
        <v>69041</v>
      </c>
      <c r="J3" s="50">
        <v>522888</v>
      </c>
      <c r="K3" s="50">
        <v>1</v>
      </c>
      <c r="L3" s="46" t="s">
        <v>82</v>
      </c>
      <c r="M3" s="44" t="s">
        <v>135</v>
      </c>
      <c r="N3" s="46" t="s">
        <v>60</v>
      </c>
      <c r="O3" s="46"/>
      <c r="P3" s="47"/>
      <c r="Q3" s="46"/>
      <c r="R3" s="46"/>
      <c r="S3" s="48">
        <v>44529</v>
      </c>
      <c r="T3" s="61" t="str">
        <f>IF(Tableau1[[#This Row],[DMS_SAP]]="","",HYPERLINK(Tableau1[[#This Row],[Chemin fichier source]],"X"))</f>
        <v>X</v>
      </c>
      <c r="U3" s="61" t="str">
        <f ca="1">IF(Tableau1[[#This Row],[Date rév.]]="","",HYPERLINK(Tableau1[[#This Row],[Lien document]],"X"))</f>
        <v>X</v>
      </c>
      <c r="V3" s="47" t="s">
        <v>313</v>
      </c>
      <c r="W3" s="49" t="str">
        <f ca="1">Chemin_accès!$B$2&amp;Tableau1[[#This Row],[Poste Responsable]]&amp;"\"&amp;Tableau1[[#This Row],[Localisation / Classement]]&amp;"\"&amp;Tableau1[[#This Row],[Poste technique]]&amp;"_"&amp;Tableau1[[#This Row],[Plan Entretien]]&amp;".pdf"</f>
        <v>\\stjn.local\trimet\Donnees_Projets\Dms Sap\Maintenance\PlanEntretien\7.MSCT\TRANSBORDEUR\T130-C_34193.pdf</v>
      </c>
      <c r="X3" s="47">
        <v>3.5</v>
      </c>
      <c r="Y3" s="47">
        <v>2</v>
      </c>
      <c r="Z3" s="44" t="str">
        <f ca="1">IF(AND(Tableau1[[#This Row],[Charge]]&lt;&gt;0, Tableau1[[#This Row],[Nombre intervenants]]&lt;&gt;0,Tableau1[[#This Row],[Lien document]]&lt;&gt;0,Tableau1[[#This Row],[DMS_SAP]]&lt;&gt;0)=TRUE,"MIS A JOUR","")</f>
        <v>MIS A JOUR</v>
      </c>
      <c r="AA3" s="48">
        <v>45616</v>
      </c>
      <c r="AB3" s="58">
        <f ca="1">IF(Tableau1[[#This Row],[Date rév.]]&lt;&gt;"", DAYS360(Tableau1[[#This Row],[Date rév.]],TODAY()),"")</f>
        <v>664</v>
      </c>
      <c r="AC3" s="47" t="str">
        <f>IFERROR(INDEX(Chemin_accès!$B$11:$C$22,MATCH(Tableau1[[#This Row],[Type]],Chemin_accès!$C$11:$C$22,0),1),Chemin_accès!$B$11)</f>
        <v>\\stjn.local\trimet\Btechnique\Commun\BT Maint SCELLEMENT\205 - Préventifs\Modèles préventif\GammeDMS_7.MSCT.xlsm</v>
      </c>
      <c r="AD3" s="47" t="str">
        <f>Chemin_accès!$B$8&amp;Tableau1[[#This Row],[Localisation / Classement]]&amp;"\"&amp;Tableau1[[#This Row],[Poste technique]]&amp;"_"&amp;Tableau1[[#This Row],[Plan Entretien]]&amp;".xlsm"</f>
        <v>\\stjn.local\trimet\Btechnique\Commun\BT Maint SCELLEMENT\205 - Préventifs\Gammes 7.MSCT PE Tool\TRANSBORDEUR\T130-C_34193.xlsm</v>
      </c>
    </row>
    <row r="4" spans="1:30" x14ac:dyDescent="0.3">
      <c r="A4" s="44" t="str">
        <f t="shared" ca="1" si="0"/>
        <v>7.MSCT</v>
      </c>
      <c r="B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 s="50" t="s">
        <v>314</v>
      </c>
      <c r="D4" s="44" t="s">
        <v>311</v>
      </c>
      <c r="E4" s="44" t="s">
        <v>309</v>
      </c>
      <c r="F4" s="47" t="s">
        <v>133</v>
      </c>
      <c r="G4" s="47" t="s">
        <v>134</v>
      </c>
      <c r="H4" s="50">
        <v>34308</v>
      </c>
      <c r="I4" s="50">
        <v>69171</v>
      </c>
      <c r="J4" s="50">
        <v>522888</v>
      </c>
      <c r="K4" s="50">
        <v>5</v>
      </c>
      <c r="L4" s="46" t="s">
        <v>84</v>
      </c>
      <c r="M4" s="44" t="s">
        <v>472</v>
      </c>
      <c r="N4" s="46" t="s">
        <v>61</v>
      </c>
      <c r="O4" s="46"/>
      <c r="P4" s="47"/>
      <c r="Q4" s="46"/>
      <c r="R4" s="46"/>
      <c r="S4" s="48">
        <v>44529</v>
      </c>
      <c r="T4" s="61" t="str">
        <f>IF(Tableau1[[#This Row],[DMS_SAP]]="","",HYPERLINK(Tableau1[[#This Row],[Chemin fichier source]],"X"))</f>
        <v>X</v>
      </c>
      <c r="U4" s="61" t="str">
        <f ca="1">IF(Tableau1[[#This Row],[Date rév.]]="","",HYPERLINK(Tableau1[[#This Row],[Lien document]],"X"))</f>
        <v>X</v>
      </c>
      <c r="V4" s="47" t="s">
        <v>315</v>
      </c>
      <c r="W4" s="49" t="str">
        <f ca="1">Chemin_accès!$B$2&amp;Tableau1[[#This Row],[Poste Responsable]]&amp;"\"&amp;Tableau1[[#This Row],[Localisation / Classement]]&amp;"\"&amp;Tableau1[[#This Row],[Poste technique]]&amp;"_"&amp;Tableau1[[#This Row],[Plan Entretien]]&amp;".pdf"</f>
        <v>\\stjn.local\trimet\Donnees_Projets\Dms Sap\Maintenance\PlanEntretien\7.MSCT\TRANSBORDEUR\T130-C_34308.pdf</v>
      </c>
      <c r="X4" s="47">
        <v>3.5</v>
      </c>
      <c r="Y4" s="47">
        <v>2</v>
      </c>
      <c r="Z4" s="44" t="str">
        <f ca="1">IF(AND(Tableau1[[#This Row],[Charge]]&lt;&gt;0, Tableau1[[#This Row],[Nombre intervenants]]&lt;&gt;0,Tableau1[[#This Row],[Lien document]]&lt;&gt;0,Tableau1[[#This Row],[DMS_SAP]]&lt;&gt;0)=TRUE,"MIS A JOUR","")</f>
        <v>MIS A JOUR</v>
      </c>
      <c r="AA4" s="48">
        <v>44678</v>
      </c>
      <c r="AB4" s="58">
        <f ca="1">IF(Tableau1[[#This Row],[Date rév.]]&lt;&gt;"", DAYS360(Tableau1[[#This Row],[Date rév.]],TODAY()),"")</f>
        <v>1587</v>
      </c>
      <c r="AC4" s="47" t="str">
        <f>IFERROR(INDEX(Chemin_accès!$B$11:$C$22,MATCH(Tableau1[[#This Row],[Type]],Chemin_accès!$C$11:$C$22,0),1),Chemin_accès!$B$11)</f>
        <v>\\stjn.local\trimet\Btechnique\Commun\BT Maint SCELLEMENT\205 - Préventifs\Modèles préventif\GammeDMS_7.MSCT.xlsm</v>
      </c>
      <c r="AD4" s="47" t="str">
        <f>Chemin_accès!$B$8&amp;Tableau1[[#This Row],[Localisation / Classement]]&amp;"\"&amp;Tableau1[[#This Row],[Poste technique]]&amp;"_"&amp;Tableau1[[#This Row],[Plan Entretien]]&amp;".xlsm"</f>
        <v>\\stjn.local\trimet\Btechnique\Commun\BT Maint SCELLEMENT\205 - Préventifs\Gammes 7.MSCT PE Tool\TRANSBORDEUR\T130-C_34308.xlsm</v>
      </c>
    </row>
    <row r="5" spans="1:30" x14ac:dyDescent="0.3">
      <c r="A5" s="44" t="str">
        <f t="shared" ca="1" si="0"/>
        <v>7.MSCT</v>
      </c>
      <c r="B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 s="50" t="s">
        <v>314</v>
      </c>
      <c r="D5" s="44" t="s">
        <v>311</v>
      </c>
      <c r="E5" s="44" t="s">
        <v>309</v>
      </c>
      <c r="F5" s="44" t="s">
        <v>133</v>
      </c>
      <c r="G5" s="44" t="s">
        <v>134</v>
      </c>
      <c r="H5" s="50">
        <v>34309</v>
      </c>
      <c r="I5" s="50">
        <v>69172</v>
      </c>
      <c r="J5" s="50">
        <v>522888</v>
      </c>
      <c r="K5" s="50">
        <v>6</v>
      </c>
      <c r="L5" s="46" t="s">
        <v>86</v>
      </c>
      <c r="M5" s="44" t="s">
        <v>136</v>
      </c>
      <c r="N5" s="46" t="s">
        <v>60</v>
      </c>
      <c r="O5" s="46"/>
      <c r="P5" s="47"/>
      <c r="Q5" s="46"/>
      <c r="R5" s="46"/>
      <c r="S5" s="48">
        <v>44529</v>
      </c>
      <c r="T5" s="61" t="str">
        <f>IF(Tableau1[[#This Row],[DMS_SAP]]="","",HYPERLINK(Tableau1[[#This Row],[Chemin fichier source]],"X"))</f>
        <v>X</v>
      </c>
      <c r="U5" s="61" t="str">
        <f ca="1">IF(Tableau1[[#This Row],[Date rév.]]="","",HYPERLINK(Tableau1[[#This Row],[Lien document]],"X"))</f>
        <v>X</v>
      </c>
      <c r="V5" s="47" t="s">
        <v>316</v>
      </c>
      <c r="W5" s="49" t="str">
        <f ca="1">Chemin_accès!$B$2&amp;Tableau1[[#This Row],[Poste Responsable]]&amp;"\"&amp;Tableau1[[#This Row],[Localisation / Classement]]&amp;"\"&amp;Tableau1[[#This Row],[Poste technique]]&amp;"_"&amp;Tableau1[[#This Row],[Plan Entretien]]&amp;".pdf"</f>
        <v>\\stjn.local\trimet\Donnees_Projets\Dms Sap\Maintenance\PlanEntretien\7.MSCT\TRANSBORDEUR\T130-C_34309.pdf</v>
      </c>
      <c r="X5" s="47">
        <v>3.5</v>
      </c>
      <c r="Y5" s="47">
        <v>2</v>
      </c>
      <c r="Z5" s="44" t="str">
        <f ca="1">IF(AND(Tableau1[[#This Row],[Charge]]&lt;&gt;0, Tableau1[[#This Row],[Nombre intervenants]]&lt;&gt;0,Tableau1[[#This Row],[Lien document]]&lt;&gt;0,Tableau1[[#This Row],[DMS_SAP]]&lt;&gt;0)=TRUE,"MIS A JOUR","")</f>
        <v>MIS A JOUR</v>
      </c>
      <c r="AA5" s="48">
        <v>44678</v>
      </c>
      <c r="AB5" s="58">
        <f ca="1">IF(Tableau1[[#This Row],[Date rév.]]&lt;&gt;"", DAYS360(Tableau1[[#This Row],[Date rév.]],TODAY()),"")</f>
        <v>1587</v>
      </c>
      <c r="AC5" s="47" t="str">
        <f>IFERROR(INDEX(Chemin_accès!$B$11:$C$22,MATCH(Tableau1[[#This Row],[Type]],Chemin_accès!$C$11:$C$22,0),1),Chemin_accès!$B$11)</f>
        <v>\\stjn.local\trimet\Btechnique\Commun\BT Maint SCELLEMENT\205 - Préventifs\Modèles préventif\GammeDMS_7.MSCT.xlsm</v>
      </c>
      <c r="AD5" s="47" t="str">
        <f>Chemin_accès!$B$8&amp;Tableau1[[#This Row],[Localisation / Classement]]&amp;"\"&amp;Tableau1[[#This Row],[Poste technique]]&amp;"_"&amp;Tableau1[[#This Row],[Plan Entretien]]&amp;".xlsm"</f>
        <v>\\stjn.local\trimet\Btechnique\Commun\BT Maint SCELLEMENT\205 - Préventifs\Gammes 7.MSCT PE Tool\TRANSBORDEUR\T130-C_34309.xlsm</v>
      </c>
    </row>
    <row r="6" spans="1:30" x14ac:dyDescent="0.3">
      <c r="A6" s="44" t="str">
        <f t="shared" ca="1" si="0"/>
        <v>7.MSCT</v>
      </c>
      <c r="B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 s="50" t="s">
        <v>314</v>
      </c>
      <c r="D6" s="44" t="s">
        <v>311</v>
      </c>
      <c r="E6" s="44" t="s">
        <v>309</v>
      </c>
      <c r="F6" s="44" t="s">
        <v>133</v>
      </c>
      <c r="G6" s="47" t="s">
        <v>134</v>
      </c>
      <c r="H6" s="50">
        <v>34194</v>
      </c>
      <c r="I6" s="50">
        <v>69042</v>
      </c>
      <c r="J6" s="50">
        <v>522888</v>
      </c>
      <c r="K6" s="50">
        <v>4</v>
      </c>
      <c r="L6" s="46" t="s">
        <v>80</v>
      </c>
      <c r="M6" s="44" t="s">
        <v>137</v>
      </c>
      <c r="N6" s="46" t="s">
        <v>60</v>
      </c>
      <c r="O6" s="46"/>
      <c r="P6" s="47"/>
      <c r="Q6" s="46"/>
      <c r="R6" s="46"/>
      <c r="S6" s="48">
        <v>44529</v>
      </c>
      <c r="T6" s="61" t="str">
        <f>IF(Tableau1[[#This Row],[DMS_SAP]]="","",HYPERLINK(Tableau1[[#This Row],[Chemin fichier source]],"X"))</f>
        <v>X</v>
      </c>
      <c r="U6" s="61" t="str">
        <f>IF(Tableau1[[#This Row],[Date rév.]]="","",HYPERLINK(Tableau1[[#This Row],[Lien document]],"X"))</f>
        <v/>
      </c>
      <c r="V6" s="47" t="s">
        <v>327</v>
      </c>
      <c r="W6" s="49" t="str">
        <f ca="1">Chemin_accès!$B$2&amp;Tableau1[[#This Row],[Poste Responsable]]&amp;"\"&amp;Tableau1[[#This Row],[Localisation / Classement]]&amp;"\"&amp;Tableau1[[#This Row],[Poste technique]]&amp;"_"&amp;Tableau1[[#This Row],[Plan Entretien]]&amp;".pdf"</f>
        <v>\\stjn.local\trimet\Donnees_Projets\Dms Sap\Maintenance\PlanEntretien\7.MSCT\TRANSBORDEUR\T130-C_34194.pdf</v>
      </c>
      <c r="X6" s="47">
        <v>3.5</v>
      </c>
      <c r="Y6" s="47">
        <v>2</v>
      </c>
      <c r="Z6" s="44" t="str">
        <f ca="1">IF(AND(Tableau1[[#This Row],[Charge]]&lt;&gt;0, Tableau1[[#This Row],[Nombre intervenants]]&lt;&gt;0,Tableau1[[#This Row],[Lien document]]&lt;&gt;0,Tableau1[[#This Row],[DMS_SAP]]&lt;&gt;0)=TRUE,"MIS A JOUR","")</f>
        <v>MIS A JOUR</v>
      </c>
      <c r="AA6" s="48"/>
      <c r="AB6" s="58" t="str">
        <f ca="1">IF(Tableau1[[#This Row],[Date rév.]]&lt;&gt;"", DAYS360(Tableau1[[#This Row],[Date rév.]],TODAY()),"")</f>
        <v/>
      </c>
      <c r="AC6" s="47" t="str">
        <f>IFERROR(INDEX(Chemin_accès!$B$11:$C$22,MATCH(Tableau1[[#This Row],[Type]],Chemin_accès!$C$11:$C$22,0),1),Chemin_accès!$B$11)</f>
        <v>\\stjn.local\trimet\Btechnique\Commun\BT Maint SCELLEMENT\205 - Préventifs\Modèles préventif\GammeDMS_7.MSCT.xlsm</v>
      </c>
      <c r="AD6" s="47" t="str">
        <f>Chemin_accès!$B$8&amp;Tableau1[[#This Row],[Localisation / Classement]]&amp;"\"&amp;Tableau1[[#This Row],[Poste technique]]&amp;"_"&amp;Tableau1[[#This Row],[Plan Entretien]]&amp;".xlsm"</f>
        <v>\\stjn.local\trimet\Btechnique\Commun\BT Maint SCELLEMENT\205 - Préventifs\Gammes 7.MSCT PE Tool\TRANSBORDEUR\T130-C_34194.xlsm</v>
      </c>
    </row>
    <row r="7" spans="1:30" x14ac:dyDescent="0.3">
      <c r="A7" s="44" t="str">
        <f t="shared" ca="1" si="0"/>
        <v>7.MSCT</v>
      </c>
      <c r="B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 s="50" t="s">
        <v>314</v>
      </c>
      <c r="D7" s="44" t="s">
        <v>311</v>
      </c>
      <c r="E7" s="44" t="s">
        <v>309</v>
      </c>
      <c r="F7" s="47" t="s">
        <v>133</v>
      </c>
      <c r="G7" s="47" t="s">
        <v>134</v>
      </c>
      <c r="H7" s="50">
        <v>34195</v>
      </c>
      <c r="I7" s="50">
        <v>69043</v>
      </c>
      <c r="J7" s="50">
        <v>522888</v>
      </c>
      <c r="K7" s="50">
        <v>2</v>
      </c>
      <c r="L7" s="46" t="s">
        <v>138</v>
      </c>
      <c r="M7" s="44" t="s">
        <v>139</v>
      </c>
      <c r="N7" s="46" t="s">
        <v>60</v>
      </c>
      <c r="O7" s="46"/>
      <c r="P7" s="47"/>
      <c r="Q7" s="46"/>
      <c r="R7" s="46"/>
      <c r="S7" s="48">
        <v>44529</v>
      </c>
      <c r="T7" s="61" t="str">
        <f>IF(Tableau1[[#This Row],[DMS_SAP]]="","",HYPERLINK(Tableau1[[#This Row],[Chemin fichier source]],"X"))</f>
        <v>X</v>
      </c>
      <c r="U7" s="61" t="str">
        <f ca="1">IF(Tableau1[[#This Row],[Date rév.]]="","",HYPERLINK(Tableau1[[#This Row],[Lien document]],"X"))</f>
        <v>X</v>
      </c>
      <c r="V7" s="47" t="s">
        <v>318</v>
      </c>
      <c r="W7" s="49" t="str">
        <f ca="1">Chemin_accès!$B$2&amp;Tableau1[[#This Row],[Poste Responsable]]&amp;"\"&amp;Tableau1[[#This Row],[Localisation / Classement]]&amp;"\"&amp;Tableau1[[#This Row],[Poste technique]]&amp;"_"&amp;Tableau1[[#This Row],[Plan Entretien]]&amp;".pdf"</f>
        <v>\\stjn.local\trimet\Donnees_Projets\Dms Sap\Maintenance\PlanEntretien\7.MSCT\TRANSBORDEUR\T130-C_34195.pdf</v>
      </c>
      <c r="X7" s="47">
        <v>3.5</v>
      </c>
      <c r="Y7" s="47">
        <v>2</v>
      </c>
      <c r="Z7" s="44" t="str">
        <f ca="1">IF(AND(Tableau1[[#This Row],[Charge]]&lt;&gt;0, Tableau1[[#This Row],[Nombre intervenants]]&lt;&gt;0,Tableau1[[#This Row],[Lien document]]&lt;&gt;0,Tableau1[[#This Row],[DMS_SAP]]&lt;&gt;0)=TRUE,"MIS A JOUR","")</f>
        <v>MIS A JOUR</v>
      </c>
      <c r="AA7" s="48">
        <v>44833</v>
      </c>
      <c r="AB7" s="58">
        <f ca="1">IF(Tableau1[[#This Row],[Date rév.]]&lt;&gt;"", DAYS360(Tableau1[[#This Row],[Date rév.]],TODAY()),"")</f>
        <v>1435</v>
      </c>
      <c r="AC7" s="47" t="str">
        <f>IFERROR(INDEX(Chemin_accès!$B$11:$C$22,MATCH(Tableau1[[#This Row],[Type]],Chemin_accès!$C$11:$C$22,0),1),Chemin_accès!$B$11)</f>
        <v>\\stjn.local\trimet\Btechnique\Commun\BT Maint SCELLEMENT\205 - Préventifs\Modèles préventif\GammeDMS_7.MSCT.xlsm</v>
      </c>
      <c r="AD7" s="47" t="str">
        <f>Chemin_accès!$B$8&amp;Tableau1[[#This Row],[Localisation / Classement]]&amp;"\"&amp;Tableau1[[#This Row],[Poste technique]]&amp;"_"&amp;Tableau1[[#This Row],[Plan Entretien]]&amp;".xlsm"</f>
        <v>\\stjn.local\trimet\Btechnique\Commun\BT Maint SCELLEMENT\205 - Préventifs\Gammes 7.MSCT PE Tool\TRANSBORDEUR\T130-C_34195.xlsm</v>
      </c>
    </row>
    <row r="8" spans="1:30" x14ac:dyDescent="0.3">
      <c r="A8" s="44" t="str">
        <f t="shared" ca="1" si="0"/>
        <v>7.MSCT</v>
      </c>
      <c r="B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 s="50" t="s">
        <v>314</v>
      </c>
      <c r="D8" s="44" t="s">
        <v>311</v>
      </c>
      <c r="E8" s="44" t="s">
        <v>309</v>
      </c>
      <c r="F8" s="47" t="s">
        <v>133</v>
      </c>
      <c r="G8" s="47" t="s">
        <v>134</v>
      </c>
      <c r="H8" s="50">
        <v>34196</v>
      </c>
      <c r="I8" s="50">
        <v>69044</v>
      </c>
      <c r="J8" s="50">
        <v>522888</v>
      </c>
      <c r="K8" s="50">
        <v>3</v>
      </c>
      <c r="L8" s="46" t="s">
        <v>84</v>
      </c>
      <c r="M8" s="44" t="s">
        <v>471</v>
      </c>
      <c r="N8" s="46" t="s">
        <v>61</v>
      </c>
      <c r="O8" s="46"/>
      <c r="P8" s="47"/>
      <c r="Q8" s="46"/>
      <c r="R8" s="46"/>
      <c r="S8" s="48">
        <v>44529</v>
      </c>
      <c r="T8" s="61" t="str">
        <f>IF(Tableau1[[#This Row],[DMS_SAP]]="","",HYPERLINK(Tableau1[[#This Row],[Chemin fichier source]],"X"))</f>
        <v>X</v>
      </c>
      <c r="U8" s="61" t="str">
        <f ca="1">IF(Tableau1[[#This Row],[Date rév.]]="","",HYPERLINK(Tableau1[[#This Row],[Lien document]],"X"))</f>
        <v>X</v>
      </c>
      <c r="V8" s="47" t="s">
        <v>320</v>
      </c>
      <c r="W8" s="49" t="str">
        <f ca="1">Chemin_accès!$B$2&amp;Tableau1[[#This Row],[Poste Responsable]]&amp;"\"&amp;Tableau1[[#This Row],[Localisation / Classement]]&amp;"\"&amp;Tableau1[[#This Row],[Poste technique]]&amp;"_"&amp;Tableau1[[#This Row],[Plan Entretien]]&amp;".pdf"</f>
        <v>\\stjn.local\trimet\Donnees_Projets\Dms Sap\Maintenance\PlanEntretien\7.MSCT\TRANSBORDEUR\T130-C_34196.pdf</v>
      </c>
      <c r="X8" s="47">
        <v>3.5</v>
      </c>
      <c r="Y8" s="47">
        <v>2</v>
      </c>
      <c r="Z8" s="44" t="str">
        <f ca="1">IF(AND(Tableau1[[#This Row],[Charge]]&lt;&gt;0, Tableau1[[#This Row],[Nombre intervenants]]&lt;&gt;0,Tableau1[[#This Row],[Lien document]]&lt;&gt;0,Tableau1[[#This Row],[DMS_SAP]]&lt;&gt;0)=TRUE,"MIS A JOUR","")</f>
        <v>MIS A JOUR</v>
      </c>
      <c r="AA8" s="48">
        <v>44833</v>
      </c>
      <c r="AB8" s="58">
        <f ca="1">IF(Tableau1[[#This Row],[Date rév.]]&lt;&gt;"", DAYS360(Tableau1[[#This Row],[Date rév.]],TODAY()),"")</f>
        <v>1435</v>
      </c>
      <c r="AC8" s="47" t="str">
        <f>IFERROR(INDEX(Chemin_accès!$B$11:$C$22,MATCH(Tableau1[[#This Row],[Type]],Chemin_accès!$C$11:$C$22,0),1),Chemin_accès!$B$11)</f>
        <v>\\stjn.local\trimet\Btechnique\Commun\BT Maint SCELLEMENT\205 - Préventifs\Modèles préventif\GammeDMS_7.MSCT.xlsm</v>
      </c>
      <c r="AD8" s="47" t="str">
        <f>Chemin_accès!$B$8&amp;Tableau1[[#This Row],[Localisation / Classement]]&amp;"\"&amp;Tableau1[[#This Row],[Poste technique]]&amp;"_"&amp;Tableau1[[#This Row],[Plan Entretien]]&amp;".xlsm"</f>
        <v>\\stjn.local\trimet\Btechnique\Commun\BT Maint SCELLEMENT\205 - Préventifs\Gammes 7.MSCT PE Tool\TRANSBORDEUR\T130-C_34196.xlsm</v>
      </c>
    </row>
    <row r="9" spans="1:30" x14ac:dyDescent="0.3">
      <c r="A9" s="44" t="str">
        <f t="shared" ca="1" si="0"/>
        <v>7.MSCT</v>
      </c>
      <c r="B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 s="50" t="s">
        <v>314</v>
      </c>
      <c r="D9" s="44" t="s">
        <v>140</v>
      </c>
      <c r="E9" s="44" t="s">
        <v>309</v>
      </c>
      <c r="F9" s="44" t="s">
        <v>141</v>
      </c>
      <c r="G9" s="44" t="s">
        <v>142</v>
      </c>
      <c r="H9" s="50">
        <v>34197</v>
      </c>
      <c r="I9" s="50">
        <v>69045</v>
      </c>
      <c r="J9" s="50">
        <v>522890</v>
      </c>
      <c r="K9" s="50">
        <v>1</v>
      </c>
      <c r="L9" s="46" t="s">
        <v>80</v>
      </c>
      <c r="M9" s="44" t="s">
        <v>143</v>
      </c>
      <c r="N9" s="46" t="s">
        <v>60</v>
      </c>
      <c r="O9" s="46"/>
      <c r="P9" s="47"/>
      <c r="Q9" s="46"/>
      <c r="R9" s="46"/>
      <c r="S9" s="48">
        <v>44529</v>
      </c>
      <c r="T9" s="61" t="str">
        <f>IF(Tableau1[[#This Row],[DMS_SAP]]="","",HYPERLINK(Tableau1[[#This Row],[Chemin fichier source]],"X"))</f>
        <v>X</v>
      </c>
      <c r="U9" s="61" t="str">
        <f ca="1">IF(Tableau1[[#This Row],[Date rév.]]="","",HYPERLINK(Tableau1[[#This Row],[Lien document]],"X"))</f>
        <v>X</v>
      </c>
      <c r="V9" s="47" t="s">
        <v>328</v>
      </c>
      <c r="W9" s="49" t="str">
        <f ca="1">Chemin_accès!$B$2&amp;Tableau1[[#This Row],[Poste Responsable]]&amp;"\"&amp;Tableau1[[#This Row],[Localisation / Classement]]&amp;"\"&amp;Tableau1[[#This Row],[Poste technique]]&amp;"_"&amp;Tableau1[[#This Row],[Plan Entretien]]&amp;".pdf"</f>
        <v>\\stjn.local\trimet\Donnees_Projets\Dms Sap\Maintenance\PlanEntretien\7.MSCT\CONVOYEURS\T130-D_34197.pdf</v>
      </c>
      <c r="X9" s="47">
        <v>3.5</v>
      </c>
      <c r="Y9" s="47">
        <v>2</v>
      </c>
      <c r="Z9" s="44" t="str">
        <f ca="1">IF(AND(Tableau1[[#This Row],[Charge]]&lt;&gt;0, Tableau1[[#This Row],[Nombre intervenants]]&lt;&gt;0,Tableau1[[#This Row],[Lien document]]&lt;&gt;0,Tableau1[[#This Row],[DMS_SAP]]&lt;&gt;0)=TRUE,"MIS A JOUR","")</f>
        <v>MIS A JOUR</v>
      </c>
      <c r="AA9" s="48">
        <v>44833</v>
      </c>
      <c r="AB9" s="58">
        <f ca="1">IF(Tableau1[[#This Row],[Date rév.]]&lt;&gt;"", DAYS360(Tableau1[[#This Row],[Date rév.]],TODAY()),"")</f>
        <v>1435</v>
      </c>
      <c r="AC9" s="47" t="str">
        <f>IFERROR(INDEX(Chemin_accès!$B$11:$C$22,MATCH(Tableau1[[#This Row],[Type]],Chemin_accès!$C$11:$C$22,0),1),Chemin_accès!$B$11)</f>
        <v>\\stjn.local\trimet\Btechnique\Commun\BT Maint SCELLEMENT\205 - Préventifs\Modèles préventif\GammeDMS_7.MSCT.xlsm</v>
      </c>
      <c r="AD9" s="47" t="str">
        <f>Chemin_accès!$B$8&amp;Tableau1[[#This Row],[Localisation / Classement]]&amp;"\"&amp;Tableau1[[#This Row],[Poste technique]]&amp;"_"&amp;Tableau1[[#This Row],[Plan Entretien]]&amp;".xlsm"</f>
        <v>\\stjn.local\trimet\Btechnique\Commun\BT Maint SCELLEMENT\205 - Préventifs\Gammes 7.MSCT PE Tool\CONVOYEURS\T130-D_34197.xlsm</v>
      </c>
    </row>
    <row r="10" spans="1:30" x14ac:dyDescent="0.3">
      <c r="A10" s="44" t="str">
        <f t="shared" ca="1" si="0"/>
        <v>7.MSCT</v>
      </c>
      <c r="B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 s="50" t="s">
        <v>314</v>
      </c>
      <c r="D10" s="44" t="s">
        <v>140</v>
      </c>
      <c r="E10" s="44" t="s">
        <v>309</v>
      </c>
      <c r="F10" s="47" t="s">
        <v>141</v>
      </c>
      <c r="G10" s="47" t="s">
        <v>142</v>
      </c>
      <c r="H10" s="50">
        <v>34198</v>
      </c>
      <c r="I10" s="66">
        <v>69046</v>
      </c>
      <c r="J10" s="50">
        <v>522890</v>
      </c>
      <c r="K10" s="50">
        <v>2</v>
      </c>
      <c r="L10" s="46" t="s">
        <v>86</v>
      </c>
      <c r="M10" s="44" t="s">
        <v>480</v>
      </c>
      <c r="N10" s="46" t="s">
        <v>61</v>
      </c>
      <c r="O10" s="46"/>
      <c r="P10" s="47"/>
      <c r="Q10" s="46"/>
      <c r="R10" s="46"/>
      <c r="S10" s="48">
        <v>44529</v>
      </c>
      <c r="T10" s="61" t="str">
        <f>IF(Tableau1[[#This Row],[DMS_SAP]]="","",HYPERLINK(Tableau1[[#This Row],[Chemin fichier source]],"X"))</f>
        <v>X</v>
      </c>
      <c r="U10" s="61" t="str">
        <f ca="1">IF(Tableau1[[#This Row],[Date rév.]]="","",HYPERLINK(Tableau1[[#This Row],[Lien document]],"X"))</f>
        <v>X</v>
      </c>
      <c r="V10" s="47" t="s">
        <v>329</v>
      </c>
      <c r="W10" s="49" t="str">
        <f ca="1">Chemin_accès!$B$2&amp;Tableau1[[#This Row],[Poste Responsable]]&amp;"\"&amp;Tableau1[[#This Row],[Localisation / Classement]]&amp;"\"&amp;Tableau1[[#This Row],[Poste technique]]&amp;"_"&amp;Tableau1[[#This Row],[Plan Entretien]]&amp;".pdf"</f>
        <v>\\stjn.local\trimet\Donnees_Projets\Dms Sap\Maintenance\PlanEntretien\7.MSCT\CONVOYEURS\T130-D_34198.pdf</v>
      </c>
      <c r="X10" s="47">
        <v>1.75</v>
      </c>
      <c r="Y10" s="47">
        <v>2</v>
      </c>
      <c r="Z10" s="44" t="str">
        <f ca="1">IF(AND(Tableau1[[#This Row],[Charge]]&lt;&gt;0, Tableau1[[#This Row],[Nombre intervenants]]&lt;&gt;0,Tableau1[[#This Row],[Lien document]]&lt;&gt;0,Tableau1[[#This Row],[DMS_SAP]]&lt;&gt;0)=TRUE,"MIS A JOUR","")</f>
        <v>MIS A JOUR</v>
      </c>
      <c r="AA10" s="48">
        <v>44833</v>
      </c>
      <c r="AB10" s="58">
        <f ca="1">IF(Tableau1[[#This Row],[Date rév.]]&lt;&gt;"", DAYS360(Tableau1[[#This Row],[Date rév.]],TODAY()),"")</f>
        <v>1435</v>
      </c>
      <c r="AC10" s="47" t="str">
        <f>IFERROR(INDEX(Chemin_accès!$B$11:$C$22,MATCH(Tableau1[[#This Row],[Type]],Chemin_accès!$C$11:$C$22,0),1),Chemin_accès!$B$11)</f>
        <v>\\stjn.local\trimet\Btechnique\Commun\BT Maint SCELLEMENT\205 - Préventifs\Modèles préventif\GammeDMS_7.MSCT.xlsm</v>
      </c>
      <c r="AD10" s="47" t="str">
        <f>Chemin_accès!$B$8&amp;Tableau1[[#This Row],[Localisation / Classement]]&amp;"\"&amp;Tableau1[[#This Row],[Poste technique]]&amp;"_"&amp;Tableau1[[#This Row],[Plan Entretien]]&amp;".xlsm"</f>
        <v>\\stjn.local\trimet\Btechnique\Commun\BT Maint SCELLEMENT\205 - Préventifs\Gammes 7.MSCT PE Tool\CONVOYEURS\T130-D_34198.xlsm</v>
      </c>
    </row>
    <row r="11" spans="1:30" x14ac:dyDescent="0.3">
      <c r="A11" s="44" t="str">
        <f t="shared" ca="1" si="0"/>
        <v>7.MSCT</v>
      </c>
      <c r="B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1" s="50" t="s">
        <v>485</v>
      </c>
      <c r="D11" s="44" t="s">
        <v>140</v>
      </c>
      <c r="E11" s="44" t="s">
        <v>312</v>
      </c>
      <c r="F11" s="47" t="s">
        <v>141</v>
      </c>
      <c r="G11" s="47" t="s">
        <v>142</v>
      </c>
      <c r="H11" s="50">
        <v>34199</v>
      </c>
      <c r="I11" s="66">
        <v>69047</v>
      </c>
      <c r="J11" s="50">
        <v>522890</v>
      </c>
      <c r="K11" s="50"/>
      <c r="L11" s="46" t="s">
        <v>34</v>
      </c>
      <c r="M11" s="44" t="s">
        <v>144</v>
      </c>
      <c r="N11" s="46" t="s">
        <v>1</v>
      </c>
      <c r="O11" s="46"/>
      <c r="P11" s="47"/>
      <c r="Q11" s="46"/>
      <c r="R11" s="46"/>
      <c r="S11" s="48">
        <v>44529</v>
      </c>
      <c r="T11" s="61" t="str">
        <f>IF(Tableau1[[#This Row],[DMS_SAP]]="","",HYPERLINK(Tableau1[[#This Row],[Chemin fichier source]],"X"))</f>
        <v/>
      </c>
      <c r="U11" s="61" t="str">
        <f>IF(Tableau1[[#This Row],[Date rév.]]="","",HYPERLINK(Tableau1[[#This Row],[Lien document]],"X"))</f>
        <v/>
      </c>
      <c r="V11" s="47"/>
      <c r="W11" s="49" t="str">
        <f ca="1">Chemin_accès!$B$2&amp;Tableau1[[#This Row],[Poste Responsable]]&amp;"\"&amp;Tableau1[[#This Row],[Localisation / Classement]]&amp;"\"&amp;Tableau1[[#This Row],[Poste technique]]&amp;"_"&amp;Tableau1[[#This Row],[Plan Entretien]]&amp;".pdf"</f>
        <v>\\stjn.local\trimet\Donnees_Projets\Dms Sap\Maintenance\PlanEntretien\7.MSCT\CONVOYEURS\T130-D_34199.pdf</v>
      </c>
      <c r="X11" s="47">
        <v>2</v>
      </c>
      <c r="Y11" s="47">
        <v>2</v>
      </c>
      <c r="Z11" s="44" t="str">
        <f ca="1">IF(AND(Tableau1[[#This Row],[Charge]]&lt;&gt;0, Tableau1[[#This Row],[Nombre intervenants]]&lt;&gt;0,Tableau1[[#This Row],[Lien document]]&lt;&gt;0,Tableau1[[#This Row],[DMS_SAP]]&lt;&gt;0)=TRUE,"MIS A JOUR","")</f>
        <v/>
      </c>
      <c r="AA11" s="48"/>
      <c r="AB11" s="58" t="str">
        <f ca="1">IF(Tableau1[[#This Row],[Date rév.]]&lt;&gt;"", DAYS360(Tableau1[[#This Row],[Date rév.]],TODAY()),"")</f>
        <v/>
      </c>
      <c r="AC11" s="47" t="str">
        <f>IFERROR(INDEX(Chemin_accès!$B$11:$C$22,MATCH(Tableau1[[#This Row],[Type]],Chemin_accès!$C$11:$C$22,0),1),Chemin_accès!$B$11)</f>
        <v>\\stjn.local\trimet\Btechnique\Commun\BT Maint SCELLEMENT\205 - Préventifs\Modèles préventif\GammeDMS_7.MSCT.xlsm</v>
      </c>
      <c r="AD11" s="47" t="str">
        <f>Chemin_accès!$B$8&amp;Tableau1[[#This Row],[Localisation / Classement]]&amp;"\"&amp;Tableau1[[#This Row],[Poste technique]]&amp;"_"&amp;Tableau1[[#This Row],[Plan Entretien]]&amp;".xlsm"</f>
        <v>\\stjn.local\trimet\Btechnique\Commun\BT Maint SCELLEMENT\205 - Préventifs\Gammes 7.MSCT PE Tool\CONVOYEURS\T130-D_34199.xlsm</v>
      </c>
    </row>
    <row r="12" spans="1:30" x14ac:dyDescent="0.3">
      <c r="A12" s="44" t="str">
        <f t="shared" ca="1" si="0"/>
        <v>7.MSCT</v>
      </c>
      <c r="B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 s="50" t="s">
        <v>314</v>
      </c>
      <c r="D12" s="44" t="s">
        <v>140</v>
      </c>
      <c r="E12" s="44" t="s">
        <v>309</v>
      </c>
      <c r="F12" s="47" t="s">
        <v>141</v>
      </c>
      <c r="G12" s="47" t="s">
        <v>142</v>
      </c>
      <c r="H12" s="50">
        <v>34200</v>
      </c>
      <c r="I12" s="66">
        <v>69048</v>
      </c>
      <c r="J12" s="50">
        <v>522890</v>
      </c>
      <c r="K12" s="50">
        <v>5</v>
      </c>
      <c r="L12" s="46" t="s">
        <v>34</v>
      </c>
      <c r="M12" s="44" t="s">
        <v>326</v>
      </c>
      <c r="N12" s="46" t="s">
        <v>1</v>
      </c>
      <c r="O12" s="46"/>
      <c r="P12" s="47"/>
      <c r="Q12" s="46"/>
      <c r="R12" s="46"/>
      <c r="S12" s="48">
        <v>44529</v>
      </c>
      <c r="T12" s="61" t="str">
        <f>IF(Tableau1[[#This Row],[DMS_SAP]]="","",HYPERLINK(Tableau1[[#This Row],[Chemin fichier source]],"X"))</f>
        <v>X</v>
      </c>
      <c r="U12" s="61" t="str">
        <f ca="1">IF(Tableau1[[#This Row],[Date rév.]]="","",HYPERLINK(Tableau1[[#This Row],[Lien document]],"X"))</f>
        <v>X</v>
      </c>
      <c r="V12" s="47" t="s">
        <v>325</v>
      </c>
      <c r="W12" s="49" t="str">
        <f ca="1">Chemin_accès!$B$2&amp;Tableau1[[#This Row],[Poste Responsable]]&amp;"\"&amp;Tableau1[[#This Row],[Localisation / Classement]]&amp;"\"&amp;Tableau1[[#This Row],[Poste technique]]&amp;"_"&amp;Tableau1[[#This Row],[Plan Entretien]]&amp;".pdf"</f>
        <v>\\stjn.local\trimet\Donnees_Projets\Dms Sap\Maintenance\PlanEntretien\7.MSCT\CONVOYEURS\T130-D_34200.pdf</v>
      </c>
      <c r="X12" s="47">
        <v>3.5</v>
      </c>
      <c r="Y12" s="47">
        <v>2</v>
      </c>
      <c r="Z12" s="44" t="str">
        <f ca="1">IF(AND(Tableau1[[#This Row],[Charge]]&lt;&gt;0, Tableau1[[#This Row],[Nombre intervenants]]&lt;&gt;0,Tableau1[[#This Row],[Lien document]]&lt;&gt;0,Tableau1[[#This Row],[DMS_SAP]]&lt;&gt;0)=TRUE,"MIS A JOUR","")</f>
        <v>MIS A JOUR</v>
      </c>
      <c r="AA12" s="48">
        <v>45120</v>
      </c>
      <c r="AB12" s="58">
        <f ca="1">IF(Tableau1[[#This Row],[Date rév.]]&lt;&gt;"", DAYS360(Tableau1[[#This Row],[Date rév.]],TODAY()),"")</f>
        <v>1151</v>
      </c>
      <c r="AC12" s="47" t="str">
        <f>IFERROR(INDEX(Chemin_accès!$B$11:$C$22,MATCH(Tableau1[[#This Row],[Type]],Chemin_accès!$C$11:$C$22,0),1),Chemin_accès!$B$11)</f>
        <v>\\stjn.local\trimet\Btechnique\Commun\BT Maint SCELLEMENT\205 - Préventifs\Modèles préventif\GammeDMS_7.MSCT.xlsm</v>
      </c>
      <c r="AD12" s="47" t="str">
        <f>Chemin_accès!$B$8&amp;Tableau1[[#This Row],[Localisation / Classement]]&amp;"\"&amp;Tableau1[[#This Row],[Poste technique]]&amp;"_"&amp;Tableau1[[#This Row],[Plan Entretien]]&amp;".xlsm"</f>
        <v>\\stjn.local\trimet\Btechnique\Commun\BT Maint SCELLEMENT\205 - Préventifs\Gammes 7.MSCT PE Tool\CONVOYEURS\T130-D_34200.xlsm</v>
      </c>
    </row>
    <row r="13" spans="1:30" x14ac:dyDescent="0.3">
      <c r="A13" s="44" t="str">
        <f t="shared" ca="1" si="0"/>
        <v>7.MSCT</v>
      </c>
      <c r="B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 s="50" t="s">
        <v>314</v>
      </c>
      <c r="D13" s="44" t="s">
        <v>140</v>
      </c>
      <c r="E13" s="44" t="s">
        <v>309</v>
      </c>
      <c r="F13" s="47" t="s">
        <v>141</v>
      </c>
      <c r="G13" s="47" t="s">
        <v>142</v>
      </c>
      <c r="H13" s="50">
        <v>34201</v>
      </c>
      <c r="I13" s="66">
        <v>69049</v>
      </c>
      <c r="J13" s="50">
        <v>522890</v>
      </c>
      <c r="K13" s="50">
        <v>6</v>
      </c>
      <c r="L13" s="46" t="s">
        <v>84</v>
      </c>
      <c r="M13" s="44" t="s">
        <v>145</v>
      </c>
      <c r="N13" s="46" t="s">
        <v>1</v>
      </c>
      <c r="O13" s="46"/>
      <c r="P13" s="47"/>
      <c r="Q13" s="46"/>
      <c r="R13" s="46"/>
      <c r="S13" s="48">
        <v>44529</v>
      </c>
      <c r="T13" s="61" t="str">
        <f>IF(Tableau1[[#This Row],[DMS_SAP]]="","",HYPERLINK(Tableau1[[#This Row],[Chemin fichier source]],"X"))</f>
        <v>X</v>
      </c>
      <c r="U13" s="61" t="str">
        <f ca="1">IF(Tableau1[[#This Row],[Date rév.]]="","",HYPERLINK(Tableau1[[#This Row],[Lien document]],"X"))</f>
        <v>X</v>
      </c>
      <c r="V13" s="47" t="s">
        <v>330</v>
      </c>
      <c r="W13" s="49" t="str">
        <f ca="1">Chemin_accès!$B$2&amp;Tableau1[[#This Row],[Poste Responsable]]&amp;"\"&amp;Tableau1[[#This Row],[Localisation / Classement]]&amp;"\"&amp;Tableau1[[#This Row],[Poste technique]]&amp;"_"&amp;Tableau1[[#This Row],[Plan Entretien]]&amp;".pdf"</f>
        <v>\\stjn.local\trimet\Donnees_Projets\Dms Sap\Maintenance\PlanEntretien\7.MSCT\CONVOYEURS\T130-D_34201.pdf</v>
      </c>
      <c r="X13" s="47">
        <v>4</v>
      </c>
      <c r="Y13" s="47">
        <v>1</v>
      </c>
      <c r="Z13" s="44" t="str">
        <f ca="1">IF(AND(Tableau1[[#This Row],[Charge]]&lt;&gt;0, Tableau1[[#This Row],[Nombre intervenants]]&lt;&gt;0,Tableau1[[#This Row],[Lien document]]&lt;&gt;0,Tableau1[[#This Row],[DMS_SAP]]&lt;&gt;0)=TRUE,"MIS A JOUR","")</f>
        <v>MIS A JOUR</v>
      </c>
      <c r="AA13" s="48">
        <v>45127</v>
      </c>
      <c r="AB13" s="58">
        <f ca="1">IF(Tableau1[[#This Row],[Date rév.]]&lt;&gt;"", DAYS360(Tableau1[[#This Row],[Date rév.]],TODAY()),"")</f>
        <v>1144</v>
      </c>
      <c r="AC13" s="47" t="str">
        <f>IFERROR(INDEX(Chemin_accès!$B$11:$C$22,MATCH(Tableau1[[#This Row],[Type]],Chemin_accès!$C$11:$C$22,0),1),Chemin_accès!$B$11)</f>
        <v>\\stjn.local\trimet\Btechnique\Commun\BT Maint SCELLEMENT\205 - Préventifs\Modèles préventif\GammeDMS_7.MSCT.xlsm</v>
      </c>
      <c r="AD13" s="47" t="str">
        <f>Chemin_accès!$B$8&amp;Tableau1[[#This Row],[Localisation / Classement]]&amp;"\"&amp;Tableau1[[#This Row],[Poste technique]]&amp;"_"&amp;Tableau1[[#This Row],[Plan Entretien]]&amp;".xlsm"</f>
        <v>\\stjn.local\trimet\Btechnique\Commun\BT Maint SCELLEMENT\205 - Préventifs\Gammes 7.MSCT PE Tool\CONVOYEURS\T130-D_34201.xlsm</v>
      </c>
    </row>
    <row r="14" spans="1:30" x14ac:dyDescent="0.3">
      <c r="A14" s="44" t="str">
        <f t="shared" ca="1" si="0"/>
        <v>7.MSCT</v>
      </c>
      <c r="B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 s="50" t="s">
        <v>314</v>
      </c>
      <c r="D14" s="44" t="s">
        <v>140</v>
      </c>
      <c r="E14" s="44" t="s">
        <v>309</v>
      </c>
      <c r="F14" s="44" t="s">
        <v>146</v>
      </c>
      <c r="G14" s="44" t="s">
        <v>142</v>
      </c>
      <c r="H14" s="50">
        <v>34202</v>
      </c>
      <c r="I14" s="66">
        <v>69050</v>
      </c>
      <c r="J14" s="50">
        <v>522894</v>
      </c>
      <c r="K14" s="50">
        <v>1</v>
      </c>
      <c r="L14" s="46" t="s">
        <v>138</v>
      </c>
      <c r="M14" s="44" t="s">
        <v>147</v>
      </c>
      <c r="N14" s="46" t="s">
        <v>60</v>
      </c>
      <c r="O14" s="46"/>
      <c r="P14" s="47"/>
      <c r="Q14" s="46"/>
      <c r="R14" s="46"/>
      <c r="S14" s="48">
        <v>44529</v>
      </c>
      <c r="T14" s="61" t="str">
        <f>IF(Tableau1[[#This Row],[DMS_SAP]]="","",HYPERLINK(Tableau1[[#This Row],[Chemin fichier source]],"X"))</f>
        <v>X</v>
      </c>
      <c r="U14" s="61" t="str">
        <f ca="1">IF(Tableau1[[#This Row],[Date rév.]]="","",HYPERLINK(Tableau1[[#This Row],[Lien document]],"X"))</f>
        <v>X</v>
      </c>
      <c r="V14" s="47" t="s">
        <v>331</v>
      </c>
      <c r="W14" s="49" t="str">
        <f ca="1">Chemin_accès!$B$2&amp;Tableau1[[#This Row],[Poste Responsable]]&amp;"\"&amp;Tableau1[[#This Row],[Localisation / Classement]]&amp;"\"&amp;Tableau1[[#This Row],[Poste technique]]&amp;"_"&amp;Tableau1[[#This Row],[Plan Entretien]]&amp;".pdf"</f>
        <v>\\stjn.local\trimet\Donnees_Projets\Dms Sap\Maintenance\PlanEntretien\7.MSCT\CONVOYEURS\T130-D120_34202.pdf</v>
      </c>
      <c r="X14" s="47">
        <v>3.5</v>
      </c>
      <c r="Y14" s="47">
        <v>2</v>
      </c>
      <c r="Z14" s="44" t="str">
        <f ca="1">IF(AND(Tableau1[[#This Row],[Charge]]&lt;&gt;0, Tableau1[[#This Row],[Nombre intervenants]]&lt;&gt;0,Tableau1[[#This Row],[Lien document]]&lt;&gt;0,Tableau1[[#This Row],[DMS_SAP]]&lt;&gt;0)=TRUE,"MIS A JOUR","")</f>
        <v>MIS A JOUR</v>
      </c>
      <c r="AA14" s="48">
        <v>44732</v>
      </c>
      <c r="AB14" s="58">
        <f ca="1">IF(Tableau1[[#This Row],[Date rév.]]&lt;&gt;"", DAYS360(Tableau1[[#This Row],[Date rév.]],TODAY()),"")</f>
        <v>1534</v>
      </c>
      <c r="AC14" s="47" t="str">
        <f>IFERROR(INDEX(Chemin_accès!$B$11:$C$22,MATCH(Tableau1[[#This Row],[Type]],Chemin_accès!$C$11:$C$22,0),1),Chemin_accès!$B$11)</f>
        <v>\\stjn.local\trimet\Btechnique\Commun\BT Maint SCELLEMENT\205 - Préventifs\Modèles préventif\GammeDMS_7.MSCT.xlsm</v>
      </c>
      <c r="AD14" s="47" t="str">
        <f>Chemin_accès!$B$8&amp;Tableau1[[#This Row],[Localisation / Classement]]&amp;"\"&amp;Tableau1[[#This Row],[Poste technique]]&amp;"_"&amp;Tableau1[[#This Row],[Plan Entretien]]&amp;".xlsm"</f>
        <v>\\stjn.local\trimet\Btechnique\Commun\BT Maint SCELLEMENT\205 - Préventifs\Gammes 7.MSCT PE Tool\CONVOYEURS\T130-D120_34202.xlsm</v>
      </c>
    </row>
    <row r="15" spans="1:30" x14ac:dyDescent="0.3">
      <c r="A15" s="44" t="str">
        <f t="shared" ca="1" si="0"/>
        <v>7.MSCT</v>
      </c>
      <c r="B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 s="50" t="s">
        <v>314</v>
      </c>
      <c r="D15" s="44" t="s">
        <v>140</v>
      </c>
      <c r="E15" s="44" t="s">
        <v>309</v>
      </c>
      <c r="F15" s="47" t="s">
        <v>146</v>
      </c>
      <c r="G15" s="47" t="s">
        <v>142</v>
      </c>
      <c r="H15" s="50">
        <v>34203</v>
      </c>
      <c r="I15" s="66">
        <v>69051</v>
      </c>
      <c r="J15" s="50">
        <v>522894</v>
      </c>
      <c r="K15" s="50">
        <v>2</v>
      </c>
      <c r="L15" s="46" t="s">
        <v>84</v>
      </c>
      <c r="M15" s="44" t="s">
        <v>148</v>
      </c>
      <c r="N15" s="46" t="s">
        <v>61</v>
      </c>
      <c r="O15" s="46"/>
      <c r="P15" s="47"/>
      <c r="Q15" s="46"/>
      <c r="R15" s="46"/>
      <c r="S15" s="48">
        <v>44529</v>
      </c>
      <c r="T15" s="61" t="str">
        <f>IF(Tableau1[[#This Row],[DMS_SAP]]="","",HYPERLINK(Tableau1[[#This Row],[Chemin fichier source]],"X"))</f>
        <v>X</v>
      </c>
      <c r="U15" s="61" t="str">
        <f ca="1">IF(Tableau1[[#This Row],[Date rév.]]="","",HYPERLINK(Tableau1[[#This Row],[Lien document]],"X"))</f>
        <v>X</v>
      </c>
      <c r="V15" s="47" t="s">
        <v>332</v>
      </c>
      <c r="W15" s="49" t="str">
        <f ca="1">Chemin_accès!$B$2&amp;Tableau1[[#This Row],[Poste Responsable]]&amp;"\"&amp;Tableau1[[#This Row],[Localisation / Classement]]&amp;"\"&amp;Tableau1[[#This Row],[Poste technique]]&amp;"_"&amp;Tableau1[[#This Row],[Plan Entretien]]&amp;".pdf"</f>
        <v>\\stjn.local\trimet\Donnees_Projets\Dms Sap\Maintenance\PlanEntretien\7.MSCT\CONVOYEURS\T130-D120_34203.pdf</v>
      </c>
      <c r="X15" s="47">
        <v>3.5</v>
      </c>
      <c r="Y15" s="47">
        <v>2</v>
      </c>
      <c r="Z15" s="44" t="str">
        <f ca="1">IF(AND(Tableau1[[#This Row],[Charge]]&lt;&gt;0, Tableau1[[#This Row],[Nombre intervenants]]&lt;&gt;0,Tableau1[[#This Row],[Lien document]]&lt;&gt;0,Tableau1[[#This Row],[DMS_SAP]]&lt;&gt;0)=TRUE,"MIS A JOUR","")</f>
        <v>MIS A JOUR</v>
      </c>
      <c r="AA15" s="48">
        <v>44732</v>
      </c>
      <c r="AB15" s="58">
        <f ca="1">IF(Tableau1[[#This Row],[Date rév.]]&lt;&gt;"", DAYS360(Tableau1[[#This Row],[Date rév.]],TODAY()),"")</f>
        <v>1534</v>
      </c>
      <c r="AC15" s="47" t="str">
        <f>IFERROR(INDEX(Chemin_accès!$B$11:$C$22,MATCH(Tableau1[[#This Row],[Type]],Chemin_accès!$C$11:$C$22,0),1),Chemin_accès!$B$11)</f>
        <v>\\stjn.local\trimet\Btechnique\Commun\BT Maint SCELLEMENT\205 - Préventifs\Modèles préventif\GammeDMS_7.MSCT.xlsm</v>
      </c>
      <c r="AD15" s="47" t="str">
        <f>Chemin_accès!$B$8&amp;Tableau1[[#This Row],[Localisation / Classement]]&amp;"\"&amp;Tableau1[[#This Row],[Poste technique]]&amp;"_"&amp;Tableau1[[#This Row],[Plan Entretien]]&amp;".xlsm"</f>
        <v>\\stjn.local\trimet\Btechnique\Commun\BT Maint SCELLEMENT\205 - Préventifs\Gammes 7.MSCT PE Tool\CONVOYEURS\T130-D120_34203.xlsm</v>
      </c>
    </row>
    <row r="16" spans="1:30" x14ac:dyDescent="0.3">
      <c r="A16" s="44" t="str">
        <f t="shared" ca="1" si="0"/>
        <v>7.MSCT</v>
      </c>
      <c r="B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 s="50" t="s">
        <v>485</v>
      </c>
      <c r="D16" s="44" t="s">
        <v>140</v>
      </c>
      <c r="E16" s="44" t="s">
        <v>312</v>
      </c>
      <c r="F16" s="44" t="s">
        <v>149</v>
      </c>
      <c r="G16" s="44" t="s">
        <v>334</v>
      </c>
      <c r="H16" s="50">
        <v>34204</v>
      </c>
      <c r="I16" s="66">
        <v>69052</v>
      </c>
      <c r="J16" s="50">
        <v>522896</v>
      </c>
      <c r="K16" s="50"/>
      <c r="L16" s="46" t="s">
        <v>80</v>
      </c>
      <c r="M16" s="44" t="s">
        <v>465</v>
      </c>
      <c r="N16" s="46" t="s">
        <v>1</v>
      </c>
      <c r="O16" s="46"/>
      <c r="P16" s="47"/>
      <c r="Q16" s="46"/>
      <c r="R16" s="46"/>
      <c r="S16" s="48">
        <v>44529</v>
      </c>
      <c r="T16" s="61" t="str">
        <f>IF(Tableau1[[#This Row],[DMS_SAP]]="","",HYPERLINK(Tableau1[[#This Row],[Chemin fichier source]],"X"))</f>
        <v>X</v>
      </c>
      <c r="U16" s="61" t="str">
        <f>IF(Tableau1[[#This Row],[Date rév.]]="","",HYPERLINK(Tableau1[[#This Row],[Lien document]],"X"))</f>
        <v/>
      </c>
      <c r="V16" s="47" t="s">
        <v>333</v>
      </c>
      <c r="W16" s="49" t="str">
        <f ca="1">Chemin_accès!$B$2&amp;Tableau1[[#This Row],[Poste Responsable]]&amp;"\"&amp;Tableau1[[#This Row],[Localisation / Classement]]&amp;"\"&amp;Tableau1[[#This Row],[Poste technique]]&amp;"_"&amp;Tableau1[[#This Row],[Plan Entretien]]&amp;".pdf"</f>
        <v>\\stjn.local\trimet\Donnees_Projets\Dms Sap\Maintenance\PlanEntretien\7.MSCT\CONVOYEURS\T130-D190_34204.pdf</v>
      </c>
      <c r="X16" s="47">
        <v>1</v>
      </c>
      <c r="Y16" s="47">
        <v>2</v>
      </c>
      <c r="Z16" s="44" t="str">
        <f ca="1">IF(AND(Tableau1[[#This Row],[Charge]]&lt;&gt;0, Tableau1[[#This Row],[Nombre intervenants]]&lt;&gt;0,Tableau1[[#This Row],[Lien document]]&lt;&gt;0,Tableau1[[#This Row],[DMS_SAP]]&lt;&gt;0)=TRUE,"MIS A JOUR","")</f>
        <v>MIS A JOUR</v>
      </c>
      <c r="AA16" s="48"/>
      <c r="AB16" s="58" t="str">
        <f ca="1">IF(Tableau1[[#This Row],[Date rév.]]&lt;&gt;"", DAYS360(Tableau1[[#This Row],[Date rév.]],TODAY()),"")</f>
        <v/>
      </c>
      <c r="AC16" s="47" t="str">
        <f>IFERROR(INDEX(Chemin_accès!$B$11:$C$22,MATCH(Tableau1[[#This Row],[Type]],Chemin_accès!$C$11:$C$22,0),1),Chemin_accès!$B$11)</f>
        <v>\\stjn.local\trimet\Btechnique\Commun\BT Maint SCELLEMENT\205 - Préventifs\Modèles préventif\GammeDMS_7.MSCT.xlsm</v>
      </c>
      <c r="AD16" s="47" t="str">
        <f>Chemin_accès!$B$8&amp;Tableau1[[#This Row],[Localisation / Classement]]&amp;"\"&amp;Tableau1[[#This Row],[Poste technique]]&amp;"_"&amp;Tableau1[[#This Row],[Plan Entretien]]&amp;".xlsm"</f>
        <v>\\stjn.local\trimet\Btechnique\Commun\BT Maint SCELLEMENT\205 - Préventifs\Gammes 7.MSCT PE Tool\CONVOYEURS\T130-D190_34204.xlsm</v>
      </c>
    </row>
    <row r="17" spans="1:30" x14ac:dyDescent="0.3">
      <c r="A17" s="44" t="str">
        <f t="shared" ca="1" si="0"/>
        <v>7.MSCT</v>
      </c>
      <c r="B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 s="50" t="s">
        <v>314</v>
      </c>
      <c r="D17" s="44" t="s">
        <v>140</v>
      </c>
      <c r="E17" s="44" t="s">
        <v>309</v>
      </c>
      <c r="F17" s="47" t="s">
        <v>149</v>
      </c>
      <c r="G17" s="47" t="s">
        <v>334</v>
      </c>
      <c r="H17" s="50">
        <v>34205</v>
      </c>
      <c r="I17" s="66">
        <v>69053</v>
      </c>
      <c r="J17" s="50">
        <v>522896</v>
      </c>
      <c r="K17" s="50">
        <v>2</v>
      </c>
      <c r="L17" s="46" t="s">
        <v>80</v>
      </c>
      <c r="M17" s="44" t="s">
        <v>466</v>
      </c>
      <c r="N17" s="46" t="s">
        <v>60</v>
      </c>
      <c r="O17" s="46"/>
      <c r="P17" s="47"/>
      <c r="Q17" s="46"/>
      <c r="R17" s="46"/>
      <c r="S17" s="48">
        <v>44529</v>
      </c>
      <c r="T17" s="61" t="str">
        <f>IF(Tableau1[[#This Row],[DMS_SAP]]="","",HYPERLINK(Tableau1[[#This Row],[Chemin fichier source]],"X"))</f>
        <v>X</v>
      </c>
      <c r="U17" s="61" t="str">
        <f ca="1">IF(Tableau1[[#This Row],[Date rév.]]="","",HYPERLINK(Tableau1[[#This Row],[Lien document]],"X"))</f>
        <v>X</v>
      </c>
      <c r="V17" s="47" t="s">
        <v>498</v>
      </c>
      <c r="W17" s="49" t="str">
        <f ca="1">Chemin_accès!$B$2&amp;Tableau1[[#This Row],[Poste Responsable]]&amp;"\"&amp;Tableau1[[#This Row],[Localisation / Classement]]&amp;"\"&amp;Tableau1[[#This Row],[Poste technique]]&amp;"_"&amp;Tableau1[[#This Row],[Plan Entretien]]&amp;".pdf"</f>
        <v>\\stjn.local\trimet\Donnees_Projets\Dms Sap\Maintenance\PlanEntretien\7.MSCT\CONVOYEURS\T130-D190_34205.pdf</v>
      </c>
      <c r="X17" s="47">
        <v>4</v>
      </c>
      <c r="Y17" s="47">
        <v>2</v>
      </c>
      <c r="Z17" s="44" t="str">
        <f ca="1">IF(AND(Tableau1[[#This Row],[Charge]]&lt;&gt;0, Tableau1[[#This Row],[Nombre intervenants]]&lt;&gt;0,Tableau1[[#This Row],[Lien document]]&lt;&gt;0,Tableau1[[#This Row],[DMS_SAP]]&lt;&gt;0)=TRUE,"MIS A JOUR","")</f>
        <v>MIS A JOUR</v>
      </c>
      <c r="AA17" s="48">
        <v>45036</v>
      </c>
      <c r="AB17" s="58">
        <f ca="1">IF(Tableau1[[#This Row],[Date rév.]]&lt;&gt;"", DAYS360(Tableau1[[#This Row],[Date rév.]],TODAY()),"")</f>
        <v>1234</v>
      </c>
      <c r="AC17" s="47" t="str">
        <f>IFERROR(INDEX(Chemin_accès!$B$11:$C$22,MATCH(Tableau1[[#This Row],[Type]],Chemin_accès!$C$11:$C$22,0),1),Chemin_accès!$B$11)</f>
        <v>\\stjn.local\trimet\Btechnique\Commun\BT Maint SCELLEMENT\205 - Préventifs\Modèles préventif\GammeDMS_7.MSCT.xlsm</v>
      </c>
      <c r="AD17" s="47" t="str">
        <f>Chemin_accès!$B$8&amp;Tableau1[[#This Row],[Localisation / Classement]]&amp;"\"&amp;Tableau1[[#This Row],[Poste technique]]&amp;"_"&amp;Tableau1[[#This Row],[Plan Entretien]]&amp;".xlsm"</f>
        <v>\\stjn.local\trimet\Btechnique\Commun\BT Maint SCELLEMENT\205 - Préventifs\Gammes 7.MSCT PE Tool\CONVOYEURS\T130-D190_34205.xlsm</v>
      </c>
    </row>
    <row r="18" spans="1:30" x14ac:dyDescent="0.3">
      <c r="A18" s="44" t="str">
        <f t="shared" ca="1" si="0"/>
        <v>7.MSCT</v>
      </c>
      <c r="B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 s="50" t="s">
        <v>314</v>
      </c>
      <c r="D18" s="44" t="s">
        <v>140</v>
      </c>
      <c r="E18" s="44" t="s">
        <v>309</v>
      </c>
      <c r="F18" s="47" t="s">
        <v>149</v>
      </c>
      <c r="G18" s="47" t="s">
        <v>334</v>
      </c>
      <c r="H18" s="50">
        <v>34206</v>
      </c>
      <c r="I18" s="66">
        <v>69054</v>
      </c>
      <c r="J18" s="50">
        <v>522896</v>
      </c>
      <c r="K18" s="50">
        <v>3</v>
      </c>
      <c r="L18" s="46" t="s">
        <v>86</v>
      </c>
      <c r="M18" s="44" t="s">
        <v>150</v>
      </c>
      <c r="N18" s="46" t="s">
        <v>61</v>
      </c>
      <c r="O18" s="46"/>
      <c r="P18" s="47"/>
      <c r="Q18" s="46"/>
      <c r="R18" s="46"/>
      <c r="S18" s="48">
        <v>44529</v>
      </c>
      <c r="T18" s="61" t="str">
        <f>IF(Tableau1[[#This Row],[DMS_SAP]]="","",HYPERLINK(Tableau1[[#This Row],[Chemin fichier source]],"X"))</f>
        <v>X</v>
      </c>
      <c r="U18" s="61" t="str">
        <f ca="1">IF(Tableau1[[#This Row],[Date rév.]]="","",HYPERLINK(Tableau1[[#This Row],[Lien document]],"X"))</f>
        <v>X</v>
      </c>
      <c r="V18" s="47" t="s">
        <v>499</v>
      </c>
      <c r="W18" s="49" t="str">
        <f ca="1">Chemin_accès!$B$2&amp;Tableau1[[#This Row],[Poste Responsable]]&amp;"\"&amp;Tableau1[[#This Row],[Localisation / Classement]]&amp;"\"&amp;Tableau1[[#This Row],[Poste technique]]&amp;"_"&amp;Tableau1[[#This Row],[Plan Entretien]]&amp;".pdf"</f>
        <v>\\stjn.local\trimet\Donnees_Projets\Dms Sap\Maintenance\PlanEntretien\7.MSCT\CONVOYEURS\T130-D190_34206.pdf</v>
      </c>
      <c r="X18" s="47">
        <v>1</v>
      </c>
      <c r="Y18" s="47">
        <v>2</v>
      </c>
      <c r="Z18" s="44" t="str">
        <f ca="1">IF(AND(Tableau1[[#This Row],[Charge]]&lt;&gt;0, Tableau1[[#This Row],[Nombre intervenants]]&lt;&gt;0,Tableau1[[#This Row],[Lien document]]&lt;&gt;0,Tableau1[[#This Row],[DMS_SAP]]&lt;&gt;0)=TRUE,"MIS A JOUR","")</f>
        <v>MIS A JOUR</v>
      </c>
      <c r="AA18" s="48">
        <v>45036</v>
      </c>
      <c r="AB18" s="58">
        <f ca="1">IF(Tableau1[[#This Row],[Date rév.]]&lt;&gt;"", DAYS360(Tableau1[[#This Row],[Date rév.]],TODAY()),"")</f>
        <v>1234</v>
      </c>
      <c r="AC18" s="47" t="str">
        <f>IFERROR(INDEX(Chemin_accès!$B$11:$C$22,MATCH(Tableau1[[#This Row],[Type]],Chemin_accès!$C$11:$C$22,0),1),Chemin_accès!$B$11)</f>
        <v>\\stjn.local\trimet\Btechnique\Commun\BT Maint SCELLEMENT\205 - Préventifs\Modèles préventif\GammeDMS_7.MSCT.xlsm</v>
      </c>
      <c r="AD18" s="47" t="str">
        <f>Chemin_accès!$B$8&amp;Tableau1[[#This Row],[Localisation / Classement]]&amp;"\"&amp;Tableau1[[#This Row],[Poste technique]]&amp;"_"&amp;Tableau1[[#This Row],[Plan Entretien]]&amp;".xlsm"</f>
        <v>\\stjn.local\trimet\Btechnique\Commun\BT Maint SCELLEMENT\205 - Préventifs\Gammes 7.MSCT PE Tool\CONVOYEURS\T130-D190_34206.xlsm</v>
      </c>
    </row>
    <row r="19" spans="1:30" x14ac:dyDescent="0.3">
      <c r="A19" s="44" t="str">
        <f t="shared" ca="1" si="0"/>
        <v>7.MSCT</v>
      </c>
      <c r="B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 s="46" t="s">
        <v>314</v>
      </c>
      <c r="D19" s="44" t="s">
        <v>140</v>
      </c>
      <c r="E19" s="44" t="s">
        <v>309</v>
      </c>
      <c r="F19" s="47" t="s">
        <v>149</v>
      </c>
      <c r="G19" s="47" t="s">
        <v>334</v>
      </c>
      <c r="H19" s="50">
        <v>34207</v>
      </c>
      <c r="I19" s="66">
        <v>69055</v>
      </c>
      <c r="J19" s="50">
        <v>522896</v>
      </c>
      <c r="K19" s="50">
        <v>4</v>
      </c>
      <c r="L19" s="46" t="s">
        <v>86</v>
      </c>
      <c r="M19" s="44" t="s">
        <v>151</v>
      </c>
      <c r="N19" s="46" t="s">
        <v>64</v>
      </c>
      <c r="O19" s="46"/>
      <c r="P19" s="47"/>
      <c r="Q19" s="46"/>
      <c r="R19" s="46"/>
      <c r="S19" s="48">
        <v>44529</v>
      </c>
      <c r="T19" s="61" t="str">
        <f>IF(Tableau1[[#This Row],[DMS_SAP]]="","",HYPERLINK(Tableau1[[#This Row],[Chemin fichier source]],"X"))</f>
        <v>X</v>
      </c>
      <c r="U19" s="61" t="str">
        <f ca="1">IF(Tableau1[[#This Row],[Date rév.]]="","",HYPERLINK(Tableau1[[#This Row],[Lien document]],"X"))</f>
        <v>X</v>
      </c>
      <c r="V19" s="47" t="s">
        <v>500</v>
      </c>
      <c r="W19" s="49" t="str">
        <f ca="1">Chemin_accès!$B$2&amp;Tableau1[[#This Row],[Poste Responsable]]&amp;"\"&amp;Tableau1[[#This Row],[Localisation / Classement]]&amp;"\"&amp;Tableau1[[#This Row],[Poste technique]]&amp;"_"&amp;Tableau1[[#This Row],[Plan Entretien]]&amp;".pdf"</f>
        <v>\\stjn.local\trimet\Donnees_Projets\Dms Sap\Maintenance\PlanEntretien\7.MSCT\CONVOYEURS\T130-D190_34207.pdf</v>
      </c>
      <c r="X19" s="47">
        <v>2</v>
      </c>
      <c r="Y19" s="47">
        <v>2</v>
      </c>
      <c r="Z19" s="44" t="str">
        <f ca="1">IF(AND(Tableau1[[#This Row],[Charge]]&lt;&gt;0, Tableau1[[#This Row],[Nombre intervenants]]&lt;&gt;0,Tableau1[[#This Row],[Lien document]]&lt;&gt;0,Tableau1[[#This Row],[DMS_SAP]]&lt;&gt;0)=TRUE,"MIS A JOUR","")</f>
        <v>MIS A JOUR</v>
      </c>
      <c r="AA19" s="48">
        <v>45875</v>
      </c>
      <c r="AB19" s="58">
        <f ca="1">IF(Tableau1[[#This Row],[Date rév.]]&lt;&gt;"", DAYS360(Tableau1[[#This Row],[Date rév.]],TODAY()),"")</f>
        <v>408</v>
      </c>
      <c r="AC19" s="47" t="str">
        <f>IFERROR(INDEX(Chemin_accès!$B$11:$C$22,MATCH(Tableau1[[#This Row],[Type]],Chemin_accès!$C$11:$C$22,0),1),Chemin_accès!$B$11)</f>
        <v>\\stjn.local\trimet\Btechnique\Commun\BT Maint SCELLEMENT\205 - Préventifs\Modèles préventif\GammeDMS_7.MSCT.xlsm</v>
      </c>
      <c r="AD19" s="47" t="str">
        <f>Chemin_accès!$B$8&amp;Tableau1[[#This Row],[Localisation / Classement]]&amp;"\"&amp;Tableau1[[#This Row],[Poste technique]]&amp;"_"&amp;Tableau1[[#This Row],[Plan Entretien]]&amp;".xlsm"</f>
        <v>\\stjn.local\trimet\Btechnique\Commun\BT Maint SCELLEMENT\205 - Préventifs\Gammes 7.MSCT PE Tool\CONVOYEURS\T130-D190_34207.xlsm</v>
      </c>
    </row>
    <row r="20" spans="1:30" x14ac:dyDescent="0.3">
      <c r="A20" s="44" t="str">
        <f t="shared" ca="1" si="0"/>
        <v>7.MSCT</v>
      </c>
      <c r="B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 s="46" t="s">
        <v>314</v>
      </c>
      <c r="D20" s="44" t="s">
        <v>140</v>
      </c>
      <c r="E20" s="44" t="s">
        <v>309</v>
      </c>
      <c r="F20" s="47" t="s">
        <v>152</v>
      </c>
      <c r="G20" s="47" t="s">
        <v>335</v>
      </c>
      <c r="H20" s="50">
        <v>34100</v>
      </c>
      <c r="I20" s="66">
        <v>68820</v>
      </c>
      <c r="J20" s="50">
        <v>522820</v>
      </c>
      <c r="K20" s="50">
        <v>1</v>
      </c>
      <c r="L20" s="46" t="s">
        <v>34</v>
      </c>
      <c r="M20" s="44" t="s">
        <v>153</v>
      </c>
      <c r="N20" s="46" t="s">
        <v>60</v>
      </c>
      <c r="O20" s="46"/>
      <c r="P20" s="47"/>
      <c r="Q20" s="46"/>
      <c r="R20" s="46"/>
      <c r="S20" s="48">
        <v>44529</v>
      </c>
      <c r="T20" s="61" t="str">
        <f>IF(Tableau1[[#This Row],[DMS_SAP]]="","",HYPERLINK(Tableau1[[#This Row],[Chemin fichier source]],"X"))</f>
        <v>X</v>
      </c>
      <c r="U20" s="61" t="str">
        <f ca="1">IF(Tableau1[[#This Row],[Date rév.]]="","",HYPERLINK(Tableau1[[#This Row],[Lien document]],"X"))</f>
        <v>X</v>
      </c>
      <c r="V20" s="47" t="s">
        <v>319</v>
      </c>
      <c r="W20" s="49" t="str">
        <f ca="1">Chemin_accès!$B$2&amp;Tableau1[[#This Row],[Poste Responsable]]&amp;"\"&amp;Tableau1[[#This Row],[Localisation / Classement]]&amp;"\"&amp;Tableau1[[#This Row],[Poste technique]]&amp;"_"&amp;Tableau1[[#This Row],[Plan Entretien]]&amp;".pdf"</f>
        <v>\\stjn.local\trimet\Donnees_Projets\Dms Sap\Maintenance\PlanEntretien\7.MSCT\CONVOYEURS\T130-D200_34100.pdf</v>
      </c>
      <c r="X20" s="47">
        <v>1</v>
      </c>
      <c r="Y20" s="47">
        <v>2</v>
      </c>
      <c r="Z20" s="44" t="str">
        <f ca="1">IF(AND(Tableau1[[#This Row],[Charge]]&lt;&gt;0, Tableau1[[#This Row],[Nombre intervenants]]&lt;&gt;0,Tableau1[[#This Row],[Lien document]]&lt;&gt;0,Tableau1[[#This Row],[DMS_SAP]]&lt;&gt;0)=TRUE,"MIS A JOUR","")</f>
        <v>MIS A JOUR</v>
      </c>
      <c r="AA20" s="48">
        <v>44679</v>
      </c>
      <c r="AB20" s="58">
        <f ca="1">IF(Tableau1[[#This Row],[Date rév.]]&lt;&gt;"", DAYS360(Tableau1[[#This Row],[Date rév.]],TODAY()),"")</f>
        <v>1586</v>
      </c>
      <c r="AC20" s="47" t="str">
        <f>IFERROR(INDEX(Chemin_accès!$B$11:$C$22,MATCH(Tableau1[[#This Row],[Type]],Chemin_accès!$C$11:$C$22,0),1),Chemin_accès!$B$11)</f>
        <v>\\stjn.local\trimet\Btechnique\Commun\BT Maint SCELLEMENT\205 - Préventifs\Modèles préventif\GammeDMS_7.MSCT.xlsm</v>
      </c>
      <c r="AD20" s="47" t="str">
        <f>Chemin_accès!$B$8&amp;Tableau1[[#This Row],[Localisation / Classement]]&amp;"\"&amp;Tableau1[[#This Row],[Poste technique]]&amp;"_"&amp;Tableau1[[#This Row],[Plan Entretien]]&amp;".xlsm"</f>
        <v>\\stjn.local\trimet\Btechnique\Commun\BT Maint SCELLEMENT\205 - Préventifs\Gammes 7.MSCT PE Tool\CONVOYEURS\T130-D200_34100.xlsm</v>
      </c>
    </row>
    <row r="21" spans="1:30" x14ac:dyDescent="0.3">
      <c r="A21" s="44" t="str">
        <f t="shared" ca="1" si="0"/>
        <v>7.MSCT</v>
      </c>
      <c r="B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 s="46" t="s">
        <v>314</v>
      </c>
      <c r="D21" s="44" t="s">
        <v>140</v>
      </c>
      <c r="E21" s="44" t="s">
        <v>309</v>
      </c>
      <c r="F21" s="47" t="s">
        <v>154</v>
      </c>
      <c r="G21" s="47" t="s">
        <v>335</v>
      </c>
      <c r="H21" s="50">
        <v>34093</v>
      </c>
      <c r="I21" s="66">
        <v>68813</v>
      </c>
      <c r="J21" s="50">
        <v>522821</v>
      </c>
      <c r="K21" s="50">
        <v>2</v>
      </c>
      <c r="L21" s="46" t="s">
        <v>82</v>
      </c>
      <c r="M21" s="44" t="s">
        <v>155</v>
      </c>
      <c r="N21" s="46" t="s">
        <v>60</v>
      </c>
      <c r="O21" s="46"/>
      <c r="P21" s="47"/>
      <c r="Q21" s="46"/>
      <c r="R21" s="46"/>
      <c r="S21" s="48">
        <v>44529</v>
      </c>
      <c r="T21" s="61" t="str">
        <f>IF(Tableau1[[#This Row],[DMS_SAP]]="","",HYPERLINK(Tableau1[[#This Row],[Chemin fichier source]],"X"))</f>
        <v>X</v>
      </c>
      <c r="U21" s="61" t="str">
        <f ca="1">IF(Tableau1[[#This Row],[Date rév.]]="","",HYPERLINK(Tableau1[[#This Row],[Lien document]],"X"))</f>
        <v>X</v>
      </c>
      <c r="V21" s="47" t="s">
        <v>336</v>
      </c>
      <c r="W21" s="49" t="str">
        <f ca="1">Chemin_accès!$B$2&amp;Tableau1[[#This Row],[Poste Responsable]]&amp;"\"&amp;Tableau1[[#This Row],[Localisation / Classement]]&amp;"\"&amp;Tableau1[[#This Row],[Poste technique]]&amp;"_"&amp;Tableau1[[#This Row],[Plan Entretien]]&amp;".pdf"</f>
        <v>\\stjn.local\trimet\Donnees_Projets\Dms Sap\Maintenance\PlanEntretien\7.MSCT\CONVOYEURS\T130-D205_34093.pdf</v>
      </c>
      <c r="X21" s="47">
        <v>4</v>
      </c>
      <c r="Y21" s="47">
        <v>2</v>
      </c>
      <c r="Z21" s="44" t="str">
        <f ca="1">IF(AND(Tableau1[[#This Row],[Charge]]&lt;&gt;0, Tableau1[[#This Row],[Nombre intervenants]]&lt;&gt;0,Tableau1[[#This Row],[Lien document]]&lt;&gt;0,Tableau1[[#This Row],[DMS_SAP]]&lt;&gt;0)=TRUE,"MIS A JOUR","")</f>
        <v>MIS A JOUR</v>
      </c>
      <c r="AA21" s="48">
        <v>44734</v>
      </c>
      <c r="AB21" s="58">
        <f ca="1">IF(Tableau1[[#This Row],[Date rév.]]&lt;&gt;"", DAYS360(Tableau1[[#This Row],[Date rév.]],TODAY()),"")</f>
        <v>1532</v>
      </c>
      <c r="AC21" s="47" t="str">
        <f>IFERROR(INDEX(Chemin_accès!$B$11:$C$22,MATCH(Tableau1[[#This Row],[Type]],Chemin_accès!$C$11:$C$22,0),1),Chemin_accès!$B$11)</f>
        <v>\\stjn.local\trimet\Btechnique\Commun\BT Maint SCELLEMENT\205 - Préventifs\Modèles préventif\GammeDMS_7.MSCT.xlsm</v>
      </c>
      <c r="AD21" s="47" t="str">
        <f>Chemin_accès!$B$8&amp;Tableau1[[#This Row],[Localisation / Classement]]&amp;"\"&amp;Tableau1[[#This Row],[Poste technique]]&amp;"_"&amp;Tableau1[[#This Row],[Plan Entretien]]&amp;".xlsm"</f>
        <v>\\stjn.local\trimet\Btechnique\Commun\BT Maint SCELLEMENT\205 - Préventifs\Gammes 7.MSCT PE Tool\CONVOYEURS\T130-D205_34093.xlsm</v>
      </c>
    </row>
    <row r="22" spans="1:30" x14ac:dyDescent="0.3">
      <c r="A22" s="44" t="str">
        <f t="shared" ca="1" si="0"/>
        <v>7.MSCT</v>
      </c>
      <c r="B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 s="46" t="s">
        <v>314</v>
      </c>
      <c r="D22" s="44" t="s">
        <v>140</v>
      </c>
      <c r="E22" s="44" t="s">
        <v>309</v>
      </c>
      <c r="F22" s="47" t="s">
        <v>154</v>
      </c>
      <c r="G22" s="47" t="s">
        <v>335</v>
      </c>
      <c r="H22" s="50">
        <v>34092</v>
      </c>
      <c r="I22" s="66">
        <v>68812</v>
      </c>
      <c r="J22" s="50">
        <v>522821</v>
      </c>
      <c r="K22" s="50">
        <v>1</v>
      </c>
      <c r="L22" s="46" t="s">
        <v>34</v>
      </c>
      <c r="M22" s="44" t="s">
        <v>156</v>
      </c>
      <c r="N22" s="46" t="s">
        <v>60</v>
      </c>
      <c r="O22" s="46"/>
      <c r="P22" s="47"/>
      <c r="Q22" s="46"/>
      <c r="R22" s="46"/>
      <c r="S22" s="48">
        <v>44529</v>
      </c>
      <c r="T22" s="61" t="str">
        <f>IF(Tableau1[[#This Row],[DMS_SAP]]="","",HYPERLINK(Tableau1[[#This Row],[Chemin fichier source]],"X"))</f>
        <v>X</v>
      </c>
      <c r="U22" s="61" t="str">
        <f ca="1">IF(Tableau1[[#This Row],[Date rév.]]="","",HYPERLINK(Tableau1[[#This Row],[Lien document]],"X"))</f>
        <v>X</v>
      </c>
      <c r="V22" s="47" t="s">
        <v>337</v>
      </c>
      <c r="W22" s="49" t="str">
        <f ca="1">Chemin_accès!$B$2&amp;Tableau1[[#This Row],[Poste Responsable]]&amp;"\"&amp;Tableau1[[#This Row],[Localisation / Classement]]&amp;"\"&amp;Tableau1[[#This Row],[Poste technique]]&amp;"_"&amp;Tableau1[[#This Row],[Plan Entretien]]&amp;".pdf"</f>
        <v>\\stjn.local\trimet\Donnees_Projets\Dms Sap\Maintenance\PlanEntretien\7.MSCT\CONVOYEURS\T130-D205_34092.pdf</v>
      </c>
      <c r="X22" s="47">
        <v>4</v>
      </c>
      <c r="Y22" s="47">
        <v>2</v>
      </c>
      <c r="Z22" s="44" t="str">
        <f ca="1">IF(AND(Tableau1[[#This Row],[Charge]]&lt;&gt;0, Tableau1[[#This Row],[Nombre intervenants]]&lt;&gt;0,Tableau1[[#This Row],[Lien document]]&lt;&gt;0,Tableau1[[#This Row],[DMS_SAP]]&lt;&gt;0)=TRUE,"MIS A JOUR","")</f>
        <v>MIS A JOUR</v>
      </c>
      <c r="AA22" s="48">
        <v>44734</v>
      </c>
      <c r="AB22" s="58">
        <f ca="1">IF(Tableau1[[#This Row],[Date rév.]]&lt;&gt;"", DAYS360(Tableau1[[#This Row],[Date rév.]],TODAY()),"")</f>
        <v>1532</v>
      </c>
      <c r="AC22" s="47" t="str">
        <f>IFERROR(INDEX(Chemin_accès!$B$11:$C$22,MATCH(Tableau1[[#This Row],[Type]],Chemin_accès!$C$11:$C$22,0),1),Chemin_accès!$B$11)</f>
        <v>\\stjn.local\trimet\Btechnique\Commun\BT Maint SCELLEMENT\205 - Préventifs\Modèles préventif\GammeDMS_7.MSCT.xlsm</v>
      </c>
      <c r="AD22" s="47" t="str">
        <f>Chemin_accès!$B$8&amp;Tableau1[[#This Row],[Localisation / Classement]]&amp;"\"&amp;Tableau1[[#This Row],[Poste technique]]&amp;"_"&amp;Tableau1[[#This Row],[Plan Entretien]]&amp;".xlsm"</f>
        <v>\\stjn.local\trimet\Btechnique\Commun\BT Maint SCELLEMENT\205 - Préventifs\Gammes 7.MSCT PE Tool\CONVOYEURS\T130-D205_34092.xlsm</v>
      </c>
    </row>
    <row r="23" spans="1:30" x14ac:dyDescent="0.3">
      <c r="A23" s="44" t="str">
        <f t="shared" ca="1" si="0"/>
        <v>7.MSCT</v>
      </c>
      <c r="B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 s="46" t="s">
        <v>314</v>
      </c>
      <c r="D23" s="44" t="s">
        <v>140</v>
      </c>
      <c r="E23" s="44" t="s">
        <v>309</v>
      </c>
      <c r="F23" s="47" t="s">
        <v>154</v>
      </c>
      <c r="G23" s="47" t="s">
        <v>335</v>
      </c>
      <c r="H23" s="50">
        <v>34099</v>
      </c>
      <c r="I23" s="66">
        <v>68819</v>
      </c>
      <c r="J23" s="50">
        <v>522821</v>
      </c>
      <c r="K23" s="50">
        <v>3</v>
      </c>
      <c r="L23" s="46" t="s">
        <v>157</v>
      </c>
      <c r="M23" s="44" t="s">
        <v>158</v>
      </c>
      <c r="N23" s="46" t="s">
        <v>61</v>
      </c>
      <c r="O23" s="46"/>
      <c r="P23" s="47"/>
      <c r="Q23" s="46"/>
      <c r="R23" s="46"/>
      <c r="S23" s="48">
        <v>44529</v>
      </c>
      <c r="T23" s="61" t="str">
        <f>IF(Tableau1[[#This Row],[DMS_SAP]]="","",HYPERLINK(Tableau1[[#This Row],[Chemin fichier source]],"X"))</f>
        <v>X</v>
      </c>
      <c r="U23" s="61" t="str">
        <f ca="1">IF(Tableau1[[#This Row],[Date rév.]]="","",HYPERLINK(Tableau1[[#This Row],[Lien document]],"X"))</f>
        <v>X</v>
      </c>
      <c r="V23" s="47" t="s">
        <v>338</v>
      </c>
      <c r="W23" s="49" t="str">
        <f ca="1">Chemin_accès!$B$2&amp;Tableau1[[#This Row],[Poste Responsable]]&amp;"\"&amp;Tableau1[[#This Row],[Localisation / Classement]]&amp;"\"&amp;Tableau1[[#This Row],[Poste technique]]&amp;"_"&amp;Tableau1[[#This Row],[Plan Entretien]]&amp;".pdf"</f>
        <v>\\stjn.local\trimet\Donnees_Projets\Dms Sap\Maintenance\PlanEntretien\7.MSCT\CONVOYEURS\T130-D205_34099.pdf</v>
      </c>
      <c r="X23" s="47">
        <v>1.75</v>
      </c>
      <c r="Y23" s="47">
        <v>2</v>
      </c>
      <c r="Z23" s="44" t="str">
        <f ca="1">IF(AND(Tableau1[[#This Row],[Charge]]&lt;&gt;0, Tableau1[[#This Row],[Nombre intervenants]]&lt;&gt;0,Tableau1[[#This Row],[Lien document]]&lt;&gt;0,Tableau1[[#This Row],[DMS_SAP]]&lt;&gt;0)=TRUE,"MIS A JOUR","")</f>
        <v>MIS A JOUR</v>
      </c>
      <c r="AA23" s="48">
        <v>44734</v>
      </c>
      <c r="AB23" s="58">
        <f ca="1">IF(Tableau1[[#This Row],[Date rév.]]&lt;&gt;"", DAYS360(Tableau1[[#This Row],[Date rév.]],TODAY()),"")</f>
        <v>1532</v>
      </c>
      <c r="AC23" s="47" t="str">
        <f>IFERROR(INDEX(Chemin_accès!$B$11:$C$22,MATCH(Tableau1[[#This Row],[Type]],Chemin_accès!$C$11:$C$22,0),1),Chemin_accès!$B$11)</f>
        <v>\\stjn.local\trimet\Btechnique\Commun\BT Maint SCELLEMENT\205 - Préventifs\Modèles préventif\GammeDMS_7.MSCT.xlsm</v>
      </c>
      <c r="AD23" s="47" t="str">
        <f>Chemin_accès!$B$8&amp;Tableau1[[#This Row],[Localisation / Classement]]&amp;"\"&amp;Tableau1[[#This Row],[Poste technique]]&amp;"_"&amp;Tableau1[[#This Row],[Plan Entretien]]&amp;".xlsm"</f>
        <v>\\stjn.local\trimet\Btechnique\Commun\BT Maint SCELLEMENT\205 - Préventifs\Gammes 7.MSCT PE Tool\CONVOYEURS\T130-D205_34099.xlsm</v>
      </c>
    </row>
    <row r="24" spans="1:30" x14ac:dyDescent="0.3">
      <c r="A24" s="44" t="str">
        <f t="shared" ca="1" si="0"/>
        <v>7.MSCT</v>
      </c>
      <c r="B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 s="46" t="s">
        <v>314</v>
      </c>
      <c r="D24" s="44" t="s">
        <v>140</v>
      </c>
      <c r="E24" s="44" t="s">
        <v>309</v>
      </c>
      <c r="F24" s="44" t="s">
        <v>159</v>
      </c>
      <c r="G24" s="44" t="s">
        <v>160</v>
      </c>
      <c r="H24" s="50">
        <v>34208</v>
      </c>
      <c r="I24" s="66">
        <v>69056</v>
      </c>
      <c r="J24" s="50">
        <v>522897</v>
      </c>
      <c r="K24" s="50">
        <v>1</v>
      </c>
      <c r="L24" s="46" t="s">
        <v>80</v>
      </c>
      <c r="M24" s="44" t="s">
        <v>161</v>
      </c>
      <c r="N24" s="46" t="s">
        <v>1</v>
      </c>
      <c r="O24" s="46"/>
      <c r="P24" s="47"/>
      <c r="Q24" s="46"/>
      <c r="R24" s="46"/>
      <c r="S24" s="48">
        <v>44529</v>
      </c>
      <c r="T24" s="61" t="str">
        <f>IF(Tableau1[[#This Row],[DMS_SAP]]="","",HYPERLINK(Tableau1[[#This Row],[Chemin fichier source]],"X"))</f>
        <v>X</v>
      </c>
      <c r="U24" s="61" t="str">
        <f ca="1">IF(Tableau1[[#This Row],[Date rév.]]="","",HYPERLINK(Tableau1[[#This Row],[Lien document]],"X"))</f>
        <v>X</v>
      </c>
      <c r="V24" s="47" t="s">
        <v>339</v>
      </c>
      <c r="W24" s="49" t="str">
        <f ca="1">Chemin_accès!$B$2&amp;Tableau1[[#This Row],[Poste Responsable]]&amp;"\"&amp;Tableau1[[#This Row],[Localisation / Classement]]&amp;"\"&amp;Tableau1[[#This Row],[Poste technique]]&amp;"_"&amp;Tableau1[[#This Row],[Plan Entretien]]&amp;".pdf"</f>
        <v>\\stjn.local\trimet\Donnees_Projets\Dms Sap\Maintenance\PlanEntretien\7.MSCT\CONVOYEURS\T130-E_34208.pdf</v>
      </c>
      <c r="X24" s="47">
        <v>3.5</v>
      </c>
      <c r="Y24" s="47">
        <v>2</v>
      </c>
      <c r="Z24" s="44" t="str">
        <f ca="1">IF(AND(Tableau1[[#This Row],[Charge]]&lt;&gt;0, Tableau1[[#This Row],[Nombre intervenants]]&lt;&gt;0,Tableau1[[#This Row],[Lien document]]&lt;&gt;0,Tableau1[[#This Row],[DMS_SAP]]&lt;&gt;0)=TRUE,"MIS A JOUR","")</f>
        <v>MIS A JOUR</v>
      </c>
      <c r="AA24" s="48">
        <v>44734</v>
      </c>
      <c r="AB24" s="58">
        <f ca="1">IF(Tableau1[[#This Row],[Date rév.]]&lt;&gt;"", DAYS360(Tableau1[[#This Row],[Date rév.]],TODAY()),"")</f>
        <v>1532</v>
      </c>
      <c r="AC24" s="47" t="str">
        <f>IFERROR(INDEX(Chemin_accès!$B$11:$C$22,MATCH(Tableau1[[#This Row],[Type]],Chemin_accès!$C$11:$C$22,0),1),Chemin_accès!$B$11)</f>
        <v>\\stjn.local\trimet\Btechnique\Commun\BT Maint SCELLEMENT\205 - Préventifs\Modèles préventif\GammeDMS_7.MSCT.xlsm</v>
      </c>
      <c r="AD24" s="47" t="str">
        <f>Chemin_accès!$B$8&amp;Tableau1[[#This Row],[Localisation / Classement]]&amp;"\"&amp;Tableau1[[#This Row],[Poste technique]]&amp;"_"&amp;Tableau1[[#This Row],[Plan Entretien]]&amp;".xlsm"</f>
        <v>\\stjn.local\trimet\Btechnique\Commun\BT Maint SCELLEMENT\205 - Préventifs\Gammes 7.MSCT PE Tool\CONVOYEURS\T130-E_34208.xlsm</v>
      </c>
    </row>
    <row r="25" spans="1:30" x14ac:dyDescent="0.3">
      <c r="A25" s="44" t="str">
        <f t="shared" ca="1" si="0"/>
        <v>7.MSCT</v>
      </c>
      <c r="B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 s="46" t="s">
        <v>314</v>
      </c>
      <c r="D25" s="44" t="s">
        <v>140</v>
      </c>
      <c r="E25" s="44" t="s">
        <v>309</v>
      </c>
      <c r="F25" s="47" t="s">
        <v>159</v>
      </c>
      <c r="G25" s="47" t="s">
        <v>160</v>
      </c>
      <c r="H25" s="50">
        <v>34209</v>
      </c>
      <c r="I25" s="66">
        <v>69057</v>
      </c>
      <c r="J25" s="50">
        <v>522897</v>
      </c>
      <c r="K25" s="50">
        <v>2</v>
      </c>
      <c r="L25" s="46" t="s">
        <v>86</v>
      </c>
      <c r="M25" s="44" t="s">
        <v>162</v>
      </c>
      <c r="N25" s="46" t="s">
        <v>61</v>
      </c>
      <c r="O25" s="46"/>
      <c r="P25" s="47"/>
      <c r="Q25" s="46"/>
      <c r="R25" s="46"/>
      <c r="S25" s="48">
        <v>44529</v>
      </c>
      <c r="T25" s="61" t="str">
        <f>IF(Tableau1[[#This Row],[DMS_SAP]]="","",HYPERLINK(Tableau1[[#This Row],[Chemin fichier source]],"X"))</f>
        <v>X</v>
      </c>
      <c r="U25" s="61" t="str">
        <f ca="1">IF(Tableau1[[#This Row],[Date rév.]]="","",HYPERLINK(Tableau1[[#This Row],[Lien document]],"X"))</f>
        <v>X</v>
      </c>
      <c r="V25" s="47" t="s">
        <v>340</v>
      </c>
      <c r="W25" s="49" t="str">
        <f ca="1">Chemin_accès!$B$2&amp;Tableau1[[#This Row],[Poste Responsable]]&amp;"\"&amp;Tableau1[[#This Row],[Localisation / Classement]]&amp;"\"&amp;Tableau1[[#This Row],[Poste technique]]&amp;"_"&amp;Tableau1[[#This Row],[Plan Entretien]]&amp;".pdf"</f>
        <v>\\stjn.local\trimet\Donnees_Projets\Dms Sap\Maintenance\PlanEntretien\7.MSCT\CONVOYEURS\T130-E_34209.pdf</v>
      </c>
      <c r="X25" s="47">
        <v>1.75</v>
      </c>
      <c r="Y25" s="47">
        <v>2</v>
      </c>
      <c r="Z25" s="44" t="str">
        <f ca="1">IF(AND(Tableau1[[#This Row],[Charge]]&lt;&gt;0, Tableau1[[#This Row],[Nombre intervenants]]&lt;&gt;0,Tableau1[[#This Row],[Lien document]]&lt;&gt;0,Tableau1[[#This Row],[DMS_SAP]]&lt;&gt;0)=TRUE,"MIS A JOUR","")</f>
        <v>MIS A JOUR</v>
      </c>
      <c r="AA25" s="48">
        <v>44734</v>
      </c>
      <c r="AB25" s="58">
        <f ca="1">IF(Tableau1[[#This Row],[Date rév.]]&lt;&gt;"", DAYS360(Tableau1[[#This Row],[Date rév.]],TODAY()),"")</f>
        <v>1532</v>
      </c>
      <c r="AC25" s="47" t="str">
        <f>IFERROR(INDEX(Chemin_accès!$B$11:$C$22,MATCH(Tableau1[[#This Row],[Type]],Chemin_accès!$C$11:$C$22,0),1),Chemin_accès!$B$11)</f>
        <v>\\stjn.local\trimet\Btechnique\Commun\BT Maint SCELLEMENT\205 - Préventifs\Modèles préventif\GammeDMS_7.MSCT.xlsm</v>
      </c>
      <c r="AD25" s="47" t="str">
        <f>Chemin_accès!$B$8&amp;Tableau1[[#This Row],[Localisation / Classement]]&amp;"\"&amp;Tableau1[[#This Row],[Poste technique]]&amp;"_"&amp;Tableau1[[#This Row],[Plan Entretien]]&amp;".xlsm"</f>
        <v>\\stjn.local\trimet\Btechnique\Commun\BT Maint SCELLEMENT\205 - Préventifs\Gammes 7.MSCT PE Tool\CONVOYEURS\T130-E_34209.xlsm</v>
      </c>
    </row>
    <row r="26" spans="1:30" x14ac:dyDescent="0.3">
      <c r="A26" s="44" t="str">
        <f t="shared" ca="1" si="0"/>
        <v>7.MSCT</v>
      </c>
      <c r="B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 s="63" t="s">
        <v>314</v>
      </c>
      <c r="D26" s="44" t="s">
        <v>140</v>
      </c>
      <c r="E26" s="44" t="s">
        <v>309</v>
      </c>
      <c r="F26" s="44" t="s">
        <v>163</v>
      </c>
      <c r="G26" s="44" t="s">
        <v>164</v>
      </c>
      <c r="H26" s="50">
        <v>34210</v>
      </c>
      <c r="I26" s="66">
        <v>69058</v>
      </c>
      <c r="J26" s="50">
        <v>522898</v>
      </c>
      <c r="K26" s="50">
        <v>1</v>
      </c>
      <c r="L26" s="46" t="s">
        <v>80</v>
      </c>
      <c r="M26" s="44" t="s">
        <v>165</v>
      </c>
      <c r="N26" s="46" t="s">
        <v>1</v>
      </c>
      <c r="O26" s="46"/>
      <c r="P26" s="47"/>
      <c r="Q26" s="46"/>
      <c r="R26" s="46"/>
      <c r="S26" s="48">
        <v>44529</v>
      </c>
      <c r="T26" s="61" t="str">
        <f>IF(Tableau1[[#This Row],[DMS_SAP]]="","",HYPERLINK(Tableau1[[#This Row],[Chemin fichier source]],"X"))</f>
        <v>X</v>
      </c>
      <c r="U26" s="61" t="str">
        <f ca="1">IF(Tableau1[[#This Row],[Date rév.]]="","",HYPERLINK(Tableau1[[#This Row],[Lien document]],"X"))</f>
        <v>X</v>
      </c>
      <c r="V26" s="47" t="s">
        <v>341</v>
      </c>
      <c r="W26" s="49" t="str">
        <f ca="1">Chemin_accès!$B$2&amp;Tableau1[[#This Row],[Poste Responsable]]&amp;"\"&amp;Tableau1[[#This Row],[Localisation / Classement]]&amp;"\"&amp;Tableau1[[#This Row],[Poste technique]]&amp;"_"&amp;Tableau1[[#This Row],[Plan Entretien]]&amp;".pdf"</f>
        <v>\\stjn.local\trimet\Donnees_Projets\Dms Sap\Maintenance\PlanEntretien\7.MSCT\CONVOYEURS\T130-F_34210.pdf</v>
      </c>
      <c r="X26" s="47">
        <v>3.5</v>
      </c>
      <c r="Y26" s="47">
        <v>2</v>
      </c>
      <c r="Z26" s="44" t="str">
        <f ca="1">IF(AND(Tableau1[[#This Row],[Charge]]&lt;&gt;0, Tableau1[[#This Row],[Nombre intervenants]]&lt;&gt;0,Tableau1[[#This Row],[Lien document]]&lt;&gt;0,Tableau1[[#This Row],[DMS_SAP]]&lt;&gt;0)=TRUE,"MIS A JOUR","")</f>
        <v>MIS A JOUR</v>
      </c>
      <c r="AA26" s="48">
        <v>44734</v>
      </c>
      <c r="AB26" s="58">
        <f ca="1">IF(Tableau1[[#This Row],[Date rév.]]&lt;&gt;"", DAYS360(Tableau1[[#This Row],[Date rév.]],TODAY()),"")</f>
        <v>1532</v>
      </c>
      <c r="AC26" s="47" t="str">
        <f>IFERROR(INDEX(Chemin_accès!$B$11:$C$22,MATCH(Tableau1[[#This Row],[Type]],Chemin_accès!$C$11:$C$22,0),1),Chemin_accès!$B$11)</f>
        <v>\\stjn.local\trimet\Btechnique\Commun\BT Maint SCELLEMENT\205 - Préventifs\Modèles préventif\GammeDMS_7.MSCT.xlsm</v>
      </c>
      <c r="AD26" s="47" t="str">
        <f>Chemin_accès!$B$8&amp;Tableau1[[#This Row],[Localisation / Classement]]&amp;"\"&amp;Tableau1[[#This Row],[Poste technique]]&amp;"_"&amp;Tableau1[[#This Row],[Plan Entretien]]&amp;".xlsm"</f>
        <v>\\stjn.local\trimet\Btechnique\Commun\BT Maint SCELLEMENT\205 - Préventifs\Gammes 7.MSCT PE Tool\CONVOYEURS\T130-F_34210.xlsm</v>
      </c>
    </row>
    <row r="27" spans="1:30" x14ac:dyDescent="0.3">
      <c r="A27" s="44" t="str">
        <f t="shared" ca="1" si="0"/>
        <v>7.MSCT</v>
      </c>
      <c r="B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 s="63" t="s">
        <v>314</v>
      </c>
      <c r="D27" s="44" t="s">
        <v>140</v>
      </c>
      <c r="E27" s="44" t="s">
        <v>309</v>
      </c>
      <c r="F27" s="47" t="s">
        <v>163</v>
      </c>
      <c r="G27" s="47" t="s">
        <v>164</v>
      </c>
      <c r="H27" s="50">
        <v>34211</v>
      </c>
      <c r="I27" s="66">
        <v>69059</v>
      </c>
      <c r="J27" s="50">
        <v>522898</v>
      </c>
      <c r="K27" s="50">
        <v>2</v>
      </c>
      <c r="L27" s="46" t="s">
        <v>80</v>
      </c>
      <c r="M27" s="44" t="s">
        <v>166</v>
      </c>
      <c r="N27" s="46" t="s">
        <v>1</v>
      </c>
      <c r="O27" s="46"/>
      <c r="P27" s="47"/>
      <c r="Q27" s="46"/>
      <c r="R27" s="46"/>
      <c r="S27" s="48">
        <v>44529</v>
      </c>
      <c r="T27" s="61" t="str">
        <f>IF(Tableau1[[#This Row],[DMS_SAP]]="","",HYPERLINK(Tableau1[[#This Row],[Chemin fichier source]],"X"))</f>
        <v>X</v>
      </c>
      <c r="U27" s="61" t="str">
        <f ca="1">IF(Tableau1[[#This Row],[Date rév.]]="","",HYPERLINK(Tableau1[[#This Row],[Lien document]],"X"))</f>
        <v>X</v>
      </c>
      <c r="V27" s="47" t="s">
        <v>342</v>
      </c>
      <c r="W27" s="49" t="str">
        <f ca="1">Chemin_accès!$B$2&amp;Tableau1[[#This Row],[Poste Responsable]]&amp;"\"&amp;Tableau1[[#This Row],[Localisation / Classement]]&amp;"\"&amp;Tableau1[[#This Row],[Poste technique]]&amp;"_"&amp;Tableau1[[#This Row],[Plan Entretien]]&amp;".pdf"</f>
        <v>\\stjn.local\trimet\Donnees_Projets\Dms Sap\Maintenance\PlanEntretien\7.MSCT\CONVOYEURS\T130-F_34211.pdf</v>
      </c>
      <c r="X27" s="47">
        <v>3.5</v>
      </c>
      <c r="Y27" s="47">
        <v>2</v>
      </c>
      <c r="Z27" s="44" t="str">
        <f ca="1">IF(AND(Tableau1[[#This Row],[Charge]]&lt;&gt;0, Tableau1[[#This Row],[Nombre intervenants]]&lt;&gt;0,Tableau1[[#This Row],[Lien document]]&lt;&gt;0,Tableau1[[#This Row],[DMS_SAP]]&lt;&gt;0)=TRUE,"MIS A JOUR","")</f>
        <v>MIS A JOUR</v>
      </c>
      <c r="AA27" s="48">
        <v>44834</v>
      </c>
      <c r="AB27" s="58">
        <f ca="1">IF(Tableau1[[#This Row],[Date rév.]]&lt;&gt;"", DAYS360(Tableau1[[#This Row],[Date rév.]],TODAY()),"")</f>
        <v>1434</v>
      </c>
      <c r="AC27" s="47" t="str">
        <f>IFERROR(INDEX(Chemin_accès!$B$11:$C$22,MATCH(Tableau1[[#This Row],[Type]],Chemin_accès!$C$11:$C$22,0),1),Chemin_accès!$B$11)</f>
        <v>\\stjn.local\trimet\Btechnique\Commun\BT Maint SCELLEMENT\205 - Préventifs\Modèles préventif\GammeDMS_7.MSCT.xlsm</v>
      </c>
      <c r="AD27" s="47" t="str">
        <f>Chemin_accès!$B$8&amp;Tableau1[[#This Row],[Localisation / Classement]]&amp;"\"&amp;Tableau1[[#This Row],[Poste technique]]&amp;"_"&amp;Tableau1[[#This Row],[Plan Entretien]]&amp;".xlsm"</f>
        <v>\\stjn.local\trimet\Btechnique\Commun\BT Maint SCELLEMENT\205 - Préventifs\Gammes 7.MSCT PE Tool\CONVOYEURS\T130-F_34211.xlsm</v>
      </c>
    </row>
    <row r="28" spans="1:30" x14ac:dyDescent="0.3">
      <c r="A28" s="44" t="str">
        <f t="shared" ca="1" si="0"/>
        <v>7.MSCT</v>
      </c>
      <c r="B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 s="63" t="s">
        <v>314</v>
      </c>
      <c r="D28" s="44" t="s">
        <v>140</v>
      </c>
      <c r="E28" s="44" t="s">
        <v>309</v>
      </c>
      <c r="F28" s="47" t="s">
        <v>163</v>
      </c>
      <c r="G28" s="47" t="s">
        <v>164</v>
      </c>
      <c r="H28" s="50">
        <v>34212</v>
      </c>
      <c r="I28" s="66">
        <v>69060</v>
      </c>
      <c r="J28" s="50">
        <v>522898</v>
      </c>
      <c r="K28" s="50">
        <v>3</v>
      </c>
      <c r="L28" s="46" t="s">
        <v>86</v>
      </c>
      <c r="M28" s="44" t="s">
        <v>473</v>
      </c>
      <c r="N28" s="46" t="s">
        <v>61</v>
      </c>
      <c r="O28" s="46"/>
      <c r="P28" s="47"/>
      <c r="Q28" s="46"/>
      <c r="R28" s="46"/>
      <c r="S28" s="48">
        <v>44529</v>
      </c>
      <c r="T28" s="61" t="str">
        <f>IF(Tableau1[[#This Row],[DMS_SAP]]="","",HYPERLINK(Tableau1[[#This Row],[Chemin fichier source]],"X"))</f>
        <v>X</v>
      </c>
      <c r="U28" s="61" t="str">
        <f ca="1">IF(Tableau1[[#This Row],[Date rév.]]="","",HYPERLINK(Tableau1[[#This Row],[Lien document]],"X"))</f>
        <v>X</v>
      </c>
      <c r="V28" s="47" t="s">
        <v>343</v>
      </c>
      <c r="W28" s="49" t="str">
        <f ca="1">Chemin_accès!$B$2&amp;Tableau1[[#This Row],[Poste Responsable]]&amp;"\"&amp;Tableau1[[#This Row],[Localisation / Classement]]&amp;"\"&amp;Tableau1[[#This Row],[Poste technique]]&amp;"_"&amp;Tableau1[[#This Row],[Plan Entretien]]&amp;".pdf"</f>
        <v>\\stjn.local\trimet\Donnees_Projets\Dms Sap\Maintenance\PlanEntretien\7.MSCT\CONVOYEURS\T130-F_34212.pdf</v>
      </c>
      <c r="X28" s="47">
        <v>1.75</v>
      </c>
      <c r="Y28" s="47">
        <v>2</v>
      </c>
      <c r="Z28" s="44" t="str">
        <f ca="1">IF(AND(Tableau1[[#This Row],[Charge]]&lt;&gt;0, Tableau1[[#This Row],[Nombre intervenants]]&lt;&gt;0,Tableau1[[#This Row],[Lien document]]&lt;&gt;0,Tableau1[[#This Row],[DMS_SAP]]&lt;&gt;0)=TRUE,"MIS A JOUR","")</f>
        <v>MIS A JOUR</v>
      </c>
      <c r="AA28" s="48">
        <v>44734</v>
      </c>
      <c r="AB28" s="58">
        <f ca="1">IF(Tableau1[[#This Row],[Date rév.]]&lt;&gt;"", DAYS360(Tableau1[[#This Row],[Date rév.]],TODAY()),"")</f>
        <v>1532</v>
      </c>
      <c r="AC28" s="47" t="str">
        <f>IFERROR(INDEX(Chemin_accès!$B$11:$C$22,MATCH(Tableau1[[#This Row],[Type]],Chemin_accès!$C$11:$C$22,0),1),Chemin_accès!$B$11)</f>
        <v>\\stjn.local\trimet\Btechnique\Commun\BT Maint SCELLEMENT\205 - Préventifs\Modèles préventif\GammeDMS_7.MSCT.xlsm</v>
      </c>
      <c r="AD28" s="47" t="str">
        <f>Chemin_accès!$B$8&amp;Tableau1[[#This Row],[Localisation / Classement]]&amp;"\"&amp;Tableau1[[#This Row],[Poste technique]]&amp;"_"&amp;Tableau1[[#This Row],[Plan Entretien]]&amp;".xlsm"</f>
        <v>\\stjn.local\trimet\Btechnique\Commun\BT Maint SCELLEMENT\205 - Préventifs\Gammes 7.MSCT PE Tool\CONVOYEURS\T130-F_34212.xlsm</v>
      </c>
    </row>
    <row r="29" spans="1:30" x14ac:dyDescent="0.3">
      <c r="A29" s="44" t="str">
        <f t="shared" ca="1" si="0"/>
        <v>7.MSCT</v>
      </c>
      <c r="B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 s="63" t="s">
        <v>314</v>
      </c>
      <c r="D29" s="44" t="s">
        <v>140</v>
      </c>
      <c r="E29" s="44" t="s">
        <v>309</v>
      </c>
      <c r="F29" s="47" t="s">
        <v>163</v>
      </c>
      <c r="G29" s="47" t="s">
        <v>164</v>
      </c>
      <c r="H29" s="50">
        <v>34213</v>
      </c>
      <c r="I29" s="66">
        <v>69061</v>
      </c>
      <c r="J29" s="50">
        <v>522898</v>
      </c>
      <c r="K29" s="50">
        <v>4</v>
      </c>
      <c r="L29" s="46" t="s">
        <v>86</v>
      </c>
      <c r="M29" s="44" t="s">
        <v>474</v>
      </c>
      <c r="N29" s="46" t="s">
        <v>61</v>
      </c>
      <c r="O29" s="46"/>
      <c r="P29" s="47"/>
      <c r="Q29" s="46"/>
      <c r="R29" s="46"/>
      <c r="S29" s="48">
        <v>44529</v>
      </c>
      <c r="T29" s="61" t="str">
        <f>IF(Tableau1[[#This Row],[DMS_SAP]]="","",HYPERLINK(Tableau1[[#This Row],[Chemin fichier source]],"X"))</f>
        <v>X</v>
      </c>
      <c r="U29" s="61" t="str">
        <f ca="1">IF(Tableau1[[#This Row],[Date rév.]]="","",HYPERLINK(Tableau1[[#This Row],[Lien document]],"X"))</f>
        <v>X</v>
      </c>
      <c r="V29" s="47" t="s">
        <v>344</v>
      </c>
      <c r="W29" s="49" t="str">
        <f ca="1">Chemin_accès!$B$2&amp;Tableau1[[#This Row],[Poste Responsable]]&amp;"\"&amp;Tableau1[[#This Row],[Localisation / Classement]]&amp;"\"&amp;Tableau1[[#This Row],[Poste technique]]&amp;"_"&amp;Tableau1[[#This Row],[Plan Entretien]]&amp;".pdf"</f>
        <v>\\stjn.local\trimet\Donnees_Projets\Dms Sap\Maintenance\PlanEntretien\7.MSCT\CONVOYEURS\T130-F_34213.pdf</v>
      </c>
      <c r="X29" s="47">
        <v>3.5</v>
      </c>
      <c r="Y29" s="47">
        <v>2</v>
      </c>
      <c r="Z29" s="44" t="str">
        <f ca="1">IF(AND(Tableau1[[#This Row],[Charge]]&lt;&gt;0, Tableau1[[#This Row],[Nombre intervenants]]&lt;&gt;0,Tableau1[[#This Row],[Lien document]]&lt;&gt;0,Tableau1[[#This Row],[DMS_SAP]]&lt;&gt;0)=TRUE,"MIS A JOUR","")</f>
        <v>MIS A JOUR</v>
      </c>
      <c r="AA29" s="48">
        <v>44739</v>
      </c>
      <c r="AB29" s="58">
        <f ca="1">IF(Tableau1[[#This Row],[Date rév.]]&lt;&gt;"", DAYS360(Tableau1[[#This Row],[Date rév.]],TODAY()),"")</f>
        <v>1527</v>
      </c>
      <c r="AC29" s="47" t="str">
        <f>IFERROR(INDEX(Chemin_accès!$B$11:$C$22,MATCH(Tableau1[[#This Row],[Type]],Chemin_accès!$C$11:$C$22,0),1),Chemin_accès!$B$11)</f>
        <v>\\stjn.local\trimet\Btechnique\Commun\BT Maint SCELLEMENT\205 - Préventifs\Modèles préventif\GammeDMS_7.MSCT.xlsm</v>
      </c>
      <c r="AD29" s="47" t="str">
        <f>Chemin_accès!$B$8&amp;Tableau1[[#This Row],[Localisation / Classement]]&amp;"\"&amp;Tableau1[[#This Row],[Poste technique]]&amp;"_"&amp;Tableau1[[#This Row],[Plan Entretien]]&amp;".xlsm"</f>
        <v>\\stjn.local\trimet\Btechnique\Commun\BT Maint SCELLEMENT\205 - Préventifs\Gammes 7.MSCT PE Tool\CONVOYEURS\T130-F_34213.xlsm</v>
      </c>
    </row>
    <row r="30" spans="1:30" x14ac:dyDescent="0.3">
      <c r="A30" s="44" t="str">
        <f t="shared" ca="1" si="0"/>
        <v>7.MSCT</v>
      </c>
      <c r="B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 s="63" t="s">
        <v>314</v>
      </c>
      <c r="D30" s="44" t="s">
        <v>140</v>
      </c>
      <c r="E30" s="44" t="s">
        <v>309</v>
      </c>
      <c r="F30" s="44" t="s">
        <v>167</v>
      </c>
      <c r="G30" s="44" t="s">
        <v>168</v>
      </c>
      <c r="H30" s="50">
        <v>34214</v>
      </c>
      <c r="I30" s="66">
        <v>69062</v>
      </c>
      <c r="J30" s="50">
        <v>522899</v>
      </c>
      <c r="K30" s="50">
        <v>1</v>
      </c>
      <c r="L30" s="46" t="s">
        <v>34</v>
      </c>
      <c r="M30" s="44" t="s">
        <v>169</v>
      </c>
      <c r="N30" s="46" t="s">
        <v>60</v>
      </c>
      <c r="O30" s="46"/>
      <c r="P30" s="47"/>
      <c r="Q30" s="46"/>
      <c r="R30" s="46"/>
      <c r="S30" s="48">
        <v>44529</v>
      </c>
      <c r="T30" s="61" t="str">
        <f>IF(Tableau1[[#This Row],[DMS_SAP]]="","",HYPERLINK(Tableau1[[#This Row],[Chemin fichier source]],"X"))</f>
        <v>X</v>
      </c>
      <c r="U30" s="61" t="str">
        <f>IF(Tableau1[[#This Row],[Date rév.]]="","",HYPERLINK(Tableau1[[#This Row],[Lien document]],"X"))</f>
        <v/>
      </c>
      <c r="V30" s="47" t="s">
        <v>345</v>
      </c>
      <c r="W30" s="49" t="str">
        <f ca="1">Chemin_accès!$B$2&amp;Tableau1[[#This Row],[Poste Responsable]]&amp;"\"&amp;Tableau1[[#This Row],[Localisation / Classement]]&amp;"\"&amp;Tableau1[[#This Row],[Poste technique]]&amp;"_"&amp;Tableau1[[#This Row],[Plan Entretien]]&amp;".pdf"</f>
        <v>\\stjn.local\trimet\Donnees_Projets\Dms Sap\Maintenance\PlanEntretien\7.MSCT\CONVOYEURS\T130-G_34214.pdf</v>
      </c>
      <c r="X30" s="47">
        <v>1.75</v>
      </c>
      <c r="Y30" s="47">
        <v>2</v>
      </c>
      <c r="Z30" s="44" t="str">
        <f ca="1">IF(AND(Tableau1[[#This Row],[Charge]]&lt;&gt;0, Tableau1[[#This Row],[Nombre intervenants]]&lt;&gt;0,Tableau1[[#This Row],[Lien document]]&lt;&gt;0,Tableau1[[#This Row],[DMS_SAP]]&lt;&gt;0)=TRUE,"MIS A JOUR","")</f>
        <v>MIS A JOUR</v>
      </c>
      <c r="AA30" s="48"/>
      <c r="AB30" s="58" t="str">
        <f ca="1">IF(Tableau1[[#This Row],[Date rév.]]&lt;&gt;"", DAYS360(Tableau1[[#This Row],[Date rév.]],TODAY()),"")</f>
        <v/>
      </c>
      <c r="AC30" s="47" t="str">
        <f>IFERROR(INDEX(Chemin_accès!$B$11:$C$22,MATCH(Tableau1[[#This Row],[Type]],Chemin_accès!$C$11:$C$22,0),1),Chemin_accès!$B$11)</f>
        <v>\\stjn.local\trimet\Btechnique\Commun\BT Maint SCELLEMENT\205 - Préventifs\Modèles préventif\GammeDMS_7.MSCT.xlsm</v>
      </c>
      <c r="AD30" s="47" t="str">
        <f>Chemin_accès!$B$8&amp;Tableau1[[#This Row],[Localisation / Classement]]&amp;"\"&amp;Tableau1[[#This Row],[Poste technique]]&amp;"_"&amp;Tableau1[[#This Row],[Plan Entretien]]&amp;".xlsm"</f>
        <v>\\stjn.local\trimet\Btechnique\Commun\BT Maint SCELLEMENT\205 - Préventifs\Gammes 7.MSCT PE Tool\CONVOYEURS\T130-G_34214.xlsm</v>
      </c>
    </row>
    <row r="31" spans="1:30" x14ac:dyDescent="0.3">
      <c r="A31" s="44" t="str">
        <f t="shared" ca="1" si="0"/>
        <v>7.MSCT</v>
      </c>
      <c r="B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 s="63" t="s">
        <v>314</v>
      </c>
      <c r="D31" s="44" t="s">
        <v>310</v>
      </c>
      <c r="E31" s="44" t="s">
        <v>309</v>
      </c>
      <c r="F31" s="44" t="s">
        <v>170</v>
      </c>
      <c r="G31" s="44" t="s">
        <v>171</v>
      </c>
      <c r="H31" s="50">
        <v>34215</v>
      </c>
      <c r="I31" s="66">
        <v>69063</v>
      </c>
      <c r="J31" s="50">
        <v>522900</v>
      </c>
      <c r="K31" s="50">
        <v>1</v>
      </c>
      <c r="L31" s="46" t="s">
        <v>138</v>
      </c>
      <c r="M31" s="44" t="s">
        <v>172</v>
      </c>
      <c r="N31" s="46" t="s">
        <v>60</v>
      </c>
      <c r="O31" s="46"/>
      <c r="P31" s="47"/>
      <c r="Q31" s="46"/>
      <c r="R31" s="46"/>
      <c r="S31" s="48">
        <v>44529</v>
      </c>
      <c r="T31" s="61" t="str">
        <f>IF(Tableau1[[#This Row],[DMS_SAP]]="","",HYPERLINK(Tableau1[[#This Row],[Chemin fichier source]],"X"))</f>
        <v>X</v>
      </c>
      <c r="U31" s="61" t="str">
        <f ca="1">IF(Tableau1[[#This Row],[Date rév.]]="","",HYPERLINK(Tableau1[[#This Row],[Lien document]],"X"))</f>
        <v>X</v>
      </c>
      <c r="V31" s="47" t="s">
        <v>421</v>
      </c>
      <c r="W31" s="49" t="str">
        <f ca="1">Chemin_accès!$B$2&amp;Tableau1[[#This Row],[Poste Responsable]]&amp;"\"&amp;Tableau1[[#This Row],[Localisation / Classement]]&amp;"\"&amp;Tableau1[[#This Row],[Poste technique]]&amp;"_"&amp;Tableau1[[#This Row],[Plan Entretien]]&amp;".pdf"</f>
        <v>\\stjn.local\trimet\Donnees_Projets\Dms Sap\Maintenance\PlanEntretien\7.MSCT\PIQUAGES\T130-J_34215.pdf</v>
      </c>
      <c r="X31" s="47">
        <v>3.5</v>
      </c>
      <c r="Y31" s="47">
        <v>2</v>
      </c>
      <c r="Z31" s="44" t="str">
        <f ca="1">IF(AND(Tableau1[[#This Row],[Charge]]&lt;&gt;0, Tableau1[[#This Row],[Nombre intervenants]]&lt;&gt;0,Tableau1[[#This Row],[Lien document]]&lt;&gt;0,Tableau1[[#This Row],[DMS_SAP]]&lt;&gt;0)=TRUE,"MIS A JOUR","")</f>
        <v>MIS A JOUR</v>
      </c>
      <c r="AA31" s="48">
        <v>45401</v>
      </c>
      <c r="AB31" s="58">
        <f ca="1">IF(Tableau1[[#This Row],[Date rév.]]&lt;&gt;"", DAYS360(Tableau1[[#This Row],[Date rév.]],TODAY()),"")</f>
        <v>875</v>
      </c>
      <c r="AC31" s="47" t="str">
        <f>IFERROR(INDEX(Chemin_accès!$B$11:$C$22,MATCH(Tableau1[[#This Row],[Type]],Chemin_accès!$C$11:$C$22,0),1),Chemin_accès!$B$11)</f>
        <v>\\stjn.local\trimet\Btechnique\Commun\BT Maint SCELLEMENT\205 - Préventifs\Modèles préventif\GammeDMS_7.MSCT.xlsm</v>
      </c>
      <c r="AD31" s="47" t="str">
        <f>Chemin_accès!$B$8&amp;Tableau1[[#This Row],[Localisation / Classement]]&amp;"\"&amp;Tableau1[[#This Row],[Poste technique]]&amp;"_"&amp;Tableau1[[#This Row],[Plan Entretien]]&amp;".xlsm"</f>
        <v>\\stjn.local\trimet\Btechnique\Commun\BT Maint SCELLEMENT\205 - Préventifs\Gammes 7.MSCT PE Tool\PIQUAGES\T130-J_34215.xlsm</v>
      </c>
    </row>
    <row r="32" spans="1:30" x14ac:dyDescent="0.3">
      <c r="A32" s="44" t="str">
        <f t="shared" ca="1" si="0"/>
        <v>7.MSCT</v>
      </c>
      <c r="B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 s="63" t="s">
        <v>314</v>
      </c>
      <c r="D32" s="44" t="s">
        <v>310</v>
      </c>
      <c r="E32" s="44" t="s">
        <v>309</v>
      </c>
      <c r="F32" s="47" t="s">
        <v>170</v>
      </c>
      <c r="G32" s="47" t="s">
        <v>171</v>
      </c>
      <c r="H32" s="50">
        <v>34216</v>
      </c>
      <c r="I32" s="66">
        <v>69064</v>
      </c>
      <c r="J32" s="50">
        <v>522900</v>
      </c>
      <c r="K32" s="50">
        <v>2</v>
      </c>
      <c r="L32" s="46" t="s">
        <v>138</v>
      </c>
      <c r="M32" s="44" t="s">
        <v>173</v>
      </c>
      <c r="N32" s="46" t="s">
        <v>60</v>
      </c>
      <c r="O32" s="46"/>
      <c r="P32" s="47"/>
      <c r="Q32" s="46"/>
      <c r="R32" s="46"/>
      <c r="S32" s="48">
        <v>44529</v>
      </c>
      <c r="T32" s="61" t="str">
        <f>IF(Tableau1[[#This Row],[DMS_SAP]]="","",HYPERLINK(Tableau1[[#This Row],[Chemin fichier source]],"X"))</f>
        <v>X</v>
      </c>
      <c r="U32" s="61" t="str">
        <f ca="1">IF(Tableau1[[#This Row],[Date rév.]]="","",HYPERLINK(Tableau1[[#This Row],[Lien document]],"X"))</f>
        <v>X</v>
      </c>
      <c r="V32" s="47" t="s">
        <v>422</v>
      </c>
      <c r="W32" s="49" t="str">
        <f ca="1">Chemin_accès!$B$2&amp;Tableau1[[#This Row],[Poste Responsable]]&amp;"\"&amp;Tableau1[[#This Row],[Localisation / Classement]]&amp;"\"&amp;Tableau1[[#This Row],[Poste technique]]&amp;"_"&amp;Tableau1[[#This Row],[Plan Entretien]]&amp;".pdf"</f>
        <v>\\stjn.local\trimet\Donnees_Projets\Dms Sap\Maintenance\PlanEntretien\7.MSCT\PIQUAGES\T130-J_34216.pdf</v>
      </c>
      <c r="X32" s="47">
        <v>3.5</v>
      </c>
      <c r="Y32" s="47">
        <v>2</v>
      </c>
      <c r="Z32" s="44" t="str">
        <f ca="1">IF(AND(Tableau1[[#This Row],[Charge]]&lt;&gt;0, Tableau1[[#This Row],[Nombre intervenants]]&lt;&gt;0,Tableau1[[#This Row],[Lien document]]&lt;&gt;0,Tableau1[[#This Row],[DMS_SAP]]&lt;&gt;0)=TRUE,"MIS A JOUR","")</f>
        <v>MIS A JOUR</v>
      </c>
      <c r="AA32" s="48">
        <v>44746</v>
      </c>
      <c r="AB32" s="58">
        <f ca="1">IF(Tableau1[[#This Row],[Date rév.]]&lt;&gt;"", DAYS360(Tableau1[[#This Row],[Date rév.]],TODAY()),"")</f>
        <v>1520</v>
      </c>
      <c r="AC32" s="47" t="str">
        <f>IFERROR(INDEX(Chemin_accès!$B$11:$C$22,MATCH(Tableau1[[#This Row],[Type]],Chemin_accès!$C$11:$C$22,0),1),Chemin_accès!$B$11)</f>
        <v>\\stjn.local\trimet\Btechnique\Commun\BT Maint SCELLEMENT\205 - Préventifs\Modèles préventif\GammeDMS_7.MSCT.xlsm</v>
      </c>
      <c r="AD32" s="47" t="str">
        <f>Chemin_accès!$B$8&amp;Tableau1[[#This Row],[Localisation / Classement]]&amp;"\"&amp;Tableau1[[#This Row],[Poste technique]]&amp;"_"&amp;Tableau1[[#This Row],[Plan Entretien]]&amp;".xlsm"</f>
        <v>\\stjn.local\trimet\Btechnique\Commun\BT Maint SCELLEMENT\205 - Préventifs\Gammes 7.MSCT PE Tool\PIQUAGES\T130-J_34216.xlsm</v>
      </c>
    </row>
    <row r="33" spans="1:30" x14ac:dyDescent="0.3">
      <c r="A33" s="44" t="str">
        <f t="shared" ca="1" si="0"/>
        <v>7.MSCT</v>
      </c>
      <c r="B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 s="63" t="s">
        <v>314</v>
      </c>
      <c r="D33" s="44" t="s">
        <v>310</v>
      </c>
      <c r="E33" s="44" t="s">
        <v>309</v>
      </c>
      <c r="F33" s="47" t="s">
        <v>170</v>
      </c>
      <c r="G33" s="47" t="s">
        <v>171</v>
      </c>
      <c r="H33" s="50">
        <v>34217</v>
      </c>
      <c r="I33" s="66">
        <v>69065</v>
      </c>
      <c r="J33" s="50">
        <v>522900</v>
      </c>
      <c r="K33" s="50">
        <v>3</v>
      </c>
      <c r="L33" s="46" t="s">
        <v>157</v>
      </c>
      <c r="M33" s="44" t="s">
        <v>533</v>
      </c>
      <c r="N33" s="46" t="s">
        <v>60</v>
      </c>
      <c r="O33" s="46"/>
      <c r="P33" s="47"/>
      <c r="Q33" s="46"/>
      <c r="R33" s="46"/>
      <c r="S33" s="48">
        <v>44529</v>
      </c>
      <c r="T33" s="61" t="str">
        <f>IF(Tableau1[[#This Row],[DMS_SAP]]="","",HYPERLINK(Tableau1[[#This Row],[Chemin fichier source]],"X"))</f>
        <v>X</v>
      </c>
      <c r="U33" s="61" t="str">
        <f ca="1">IF(Tableau1[[#This Row],[Date rév.]]="","",HYPERLINK(Tableau1[[#This Row],[Lien document]],"X"))</f>
        <v>X</v>
      </c>
      <c r="V33" s="47" t="s">
        <v>423</v>
      </c>
      <c r="W33" s="49" t="str">
        <f ca="1">Chemin_accès!$B$2&amp;Tableau1[[#This Row],[Poste Responsable]]&amp;"\"&amp;Tableau1[[#This Row],[Localisation / Classement]]&amp;"\"&amp;Tableau1[[#This Row],[Poste technique]]&amp;"_"&amp;Tableau1[[#This Row],[Plan Entretien]]&amp;".pdf"</f>
        <v>\\stjn.local\trimet\Donnees_Projets\Dms Sap\Maintenance\PlanEntretien\7.MSCT\PIQUAGES\T130-J_34217.pdf</v>
      </c>
      <c r="X33" s="47">
        <v>3.5</v>
      </c>
      <c r="Y33" s="47">
        <v>2</v>
      </c>
      <c r="Z33" s="44" t="str">
        <f ca="1">IF(AND(Tableau1[[#This Row],[Charge]]&lt;&gt;0, Tableau1[[#This Row],[Nombre intervenants]]&lt;&gt;0,Tableau1[[#This Row],[Lien document]]&lt;&gt;0,Tableau1[[#This Row],[DMS_SAP]]&lt;&gt;0)=TRUE,"MIS A JOUR","")</f>
        <v>MIS A JOUR</v>
      </c>
      <c r="AA33" s="48">
        <v>45373</v>
      </c>
      <c r="AB33" s="58">
        <f ca="1">IF(Tableau1[[#This Row],[Date rév.]]&lt;&gt;"", DAYS360(Tableau1[[#This Row],[Date rév.]],TODAY()),"")</f>
        <v>902</v>
      </c>
      <c r="AC33" s="47" t="str">
        <f>IFERROR(INDEX(Chemin_accès!$B$11:$C$22,MATCH(Tableau1[[#This Row],[Type]],Chemin_accès!$C$11:$C$22,0),1),Chemin_accès!$B$11)</f>
        <v>\\stjn.local\trimet\Btechnique\Commun\BT Maint SCELLEMENT\205 - Préventifs\Modèles préventif\GammeDMS_7.MSCT.xlsm</v>
      </c>
      <c r="AD33" s="47" t="str">
        <f>Chemin_accès!$B$8&amp;Tableau1[[#This Row],[Localisation / Classement]]&amp;"\"&amp;Tableau1[[#This Row],[Poste technique]]&amp;"_"&amp;Tableau1[[#This Row],[Plan Entretien]]&amp;".xlsm"</f>
        <v>\\stjn.local\trimet\Btechnique\Commun\BT Maint SCELLEMENT\205 - Préventifs\Gammes 7.MSCT PE Tool\PIQUAGES\T130-J_34217.xlsm</v>
      </c>
    </row>
    <row r="34" spans="1:30" x14ac:dyDescent="0.3">
      <c r="A34" s="44" t="str">
        <f t="shared" ca="1" si="0"/>
        <v>7.MSCT</v>
      </c>
      <c r="B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 s="63" t="s">
        <v>314</v>
      </c>
      <c r="D34" s="44" t="s">
        <v>310</v>
      </c>
      <c r="E34" s="44" t="s">
        <v>309</v>
      </c>
      <c r="F34" s="47" t="s">
        <v>170</v>
      </c>
      <c r="G34" s="47" t="s">
        <v>171</v>
      </c>
      <c r="H34" s="50">
        <v>34218</v>
      </c>
      <c r="I34" s="66">
        <v>69066</v>
      </c>
      <c r="J34" s="50">
        <v>522900</v>
      </c>
      <c r="K34" s="50">
        <v>4</v>
      </c>
      <c r="L34" s="46" t="s">
        <v>84</v>
      </c>
      <c r="M34" s="44" t="s">
        <v>475</v>
      </c>
      <c r="N34" s="46" t="s">
        <v>61</v>
      </c>
      <c r="O34" s="46"/>
      <c r="P34" s="47"/>
      <c r="Q34" s="46"/>
      <c r="R34" s="46"/>
      <c r="S34" s="48">
        <v>44529</v>
      </c>
      <c r="T34" s="61" t="str">
        <f>IF(Tableau1[[#This Row],[DMS_SAP]]="","",HYPERLINK(Tableau1[[#This Row],[Chemin fichier source]],"X"))</f>
        <v>X</v>
      </c>
      <c r="U34" s="61" t="str">
        <f ca="1">IF(Tableau1[[#This Row],[Date rév.]]="","",HYPERLINK(Tableau1[[#This Row],[Lien document]],"X"))</f>
        <v>X</v>
      </c>
      <c r="V34" s="47" t="s">
        <v>424</v>
      </c>
      <c r="W34" s="49" t="str">
        <f ca="1">Chemin_accès!$B$2&amp;Tableau1[[#This Row],[Poste Responsable]]&amp;"\"&amp;Tableau1[[#This Row],[Localisation / Classement]]&amp;"\"&amp;Tableau1[[#This Row],[Poste technique]]&amp;"_"&amp;Tableau1[[#This Row],[Plan Entretien]]&amp;".pdf"</f>
        <v>\\stjn.local\trimet\Donnees_Projets\Dms Sap\Maintenance\PlanEntretien\7.MSCT\PIQUAGES\T130-J_34218.pdf</v>
      </c>
      <c r="X34" s="47">
        <v>3.5</v>
      </c>
      <c r="Y34" s="47">
        <v>2</v>
      </c>
      <c r="Z34" s="44" t="str">
        <f ca="1">IF(AND(Tableau1[[#This Row],[Charge]]&lt;&gt;0, Tableau1[[#This Row],[Nombre intervenants]]&lt;&gt;0,Tableau1[[#This Row],[Lien document]]&lt;&gt;0,Tableau1[[#This Row],[DMS_SAP]]&lt;&gt;0)=TRUE,"MIS A JOUR","")</f>
        <v>MIS A JOUR</v>
      </c>
      <c r="AA34" s="48">
        <v>46272</v>
      </c>
      <c r="AB34" s="58">
        <f ca="1">IF(Tableau1[[#This Row],[Date rév.]]&lt;&gt;"", DAYS360(Tableau1[[#This Row],[Date rév.]],TODAY()),"")</f>
        <v>17</v>
      </c>
      <c r="AC34" s="47" t="str">
        <f>IFERROR(INDEX(Chemin_accès!$B$11:$C$22,MATCH(Tableau1[[#This Row],[Type]],Chemin_accès!$C$11:$C$22,0),1),Chemin_accès!$B$11)</f>
        <v>\\stjn.local\trimet\Btechnique\Commun\BT Maint SCELLEMENT\205 - Préventifs\Modèles préventif\GammeDMS_7.MSCT.xlsm</v>
      </c>
      <c r="AD34" s="47" t="str">
        <f>Chemin_accès!$B$8&amp;Tableau1[[#This Row],[Localisation / Classement]]&amp;"\"&amp;Tableau1[[#This Row],[Poste technique]]&amp;"_"&amp;Tableau1[[#This Row],[Plan Entretien]]&amp;".xlsm"</f>
        <v>\\stjn.local\trimet\Btechnique\Commun\BT Maint SCELLEMENT\205 - Préventifs\Gammes 7.MSCT PE Tool\PIQUAGES\T130-J_34218.xlsm</v>
      </c>
    </row>
    <row r="35" spans="1:30" x14ac:dyDescent="0.3">
      <c r="A35" s="44" t="str">
        <f t="shared" ca="1" si="0"/>
        <v>7.MSCT</v>
      </c>
      <c r="B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 s="63" t="s">
        <v>314</v>
      </c>
      <c r="D35" s="44" t="s">
        <v>310</v>
      </c>
      <c r="E35" s="44" t="s">
        <v>309</v>
      </c>
      <c r="F35" s="47" t="s">
        <v>170</v>
      </c>
      <c r="G35" s="47" t="s">
        <v>171</v>
      </c>
      <c r="H35" s="50">
        <v>34219</v>
      </c>
      <c r="I35" s="66">
        <v>69067</v>
      </c>
      <c r="J35" s="50">
        <v>522900</v>
      </c>
      <c r="K35" s="50">
        <v>5</v>
      </c>
      <c r="L35" s="46" t="s">
        <v>86</v>
      </c>
      <c r="M35" s="44" t="s">
        <v>174</v>
      </c>
      <c r="N35" s="46" t="s">
        <v>64</v>
      </c>
      <c r="O35" s="46"/>
      <c r="P35" s="47"/>
      <c r="Q35" s="46"/>
      <c r="R35" s="46"/>
      <c r="S35" s="48">
        <v>44529</v>
      </c>
      <c r="T35" s="61" t="str">
        <f>IF(Tableau1[[#This Row],[DMS_SAP]]="","",HYPERLINK(Tableau1[[#This Row],[Chemin fichier source]],"X"))</f>
        <v>X</v>
      </c>
      <c r="U35" s="61" t="str">
        <f ca="1">IF(Tableau1[[#This Row],[Date rév.]]="","",HYPERLINK(Tableau1[[#This Row],[Lien document]],"X"))</f>
        <v>X</v>
      </c>
      <c r="V35" s="47" t="s">
        <v>425</v>
      </c>
      <c r="W35" s="49" t="str">
        <f ca="1">Chemin_accès!$B$2&amp;Tableau1[[#This Row],[Poste Responsable]]&amp;"\"&amp;Tableau1[[#This Row],[Localisation / Classement]]&amp;"\"&amp;Tableau1[[#This Row],[Poste technique]]&amp;"_"&amp;Tableau1[[#This Row],[Plan Entretien]]&amp;".pdf"</f>
        <v>\\stjn.local\trimet\Donnees_Projets\Dms Sap\Maintenance\PlanEntretien\7.MSCT\PIQUAGES\T130-J_34219.pdf</v>
      </c>
      <c r="X35" s="47">
        <v>3.5</v>
      </c>
      <c r="Y35" s="47">
        <v>2</v>
      </c>
      <c r="Z35" s="44" t="str">
        <f ca="1">IF(AND(Tableau1[[#This Row],[Charge]]&lt;&gt;0, Tableau1[[#This Row],[Nombre intervenants]]&lt;&gt;0,Tableau1[[#This Row],[Lien document]]&lt;&gt;0,Tableau1[[#This Row],[DMS_SAP]]&lt;&gt;0)=TRUE,"MIS A JOUR","")</f>
        <v>MIS A JOUR</v>
      </c>
      <c r="AA35" s="48">
        <v>45293</v>
      </c>
      <c r="AB35" s="58">
        <f ca="1">IF(Tableau1[[#This Row],[Date rév.]]&lt;&gt;"", DAYS360(Tableau1[[#This Row],[Date rév.]],TODAY()),"")</f>
        <v>982</v>
      </c>
      <c r="AC35" s="47" t="str">
        <f>IFERROR(INDEX(Chemin_accès!$B$11:$C$22,MATCH(Tableau1[[#This Row],[Type]],Chemin_accès!$C$11:$C$22,0),1),Chemin_accès!$B$11)</f>
        <v>\\stjn.local\trimet\Btechnique\Commun\BT Maint SCELLEMENT\205 - Préventifs\Modèles préventif\GammeDMS_7.MSCT.xlsm</v>
      </c>
      <c r="AD35" s="47" t="str">
        <f>Chemin_accès!$B$8&amp;Tableau1[[#This Row],[Localisation / Classement]]&amp;"\"&amp;Tableau1[[#This Row],[Poste technique]]&amp;"_"&amp;Tableau1[[#This Row],[Plan Entretien]]&amp;".xlsm"</f>
        <v>\\stjn.local\trimet\Btechnique\Commun\BT Maint SCELLEMENT\205 - Préventifs\Gammes 7.MSCT PE Tool\PIQUAGES\T130-J_34219.xlsm</v>
      </c>
    </row>
    <row r="36" spans="1:30" x14ac:dyDescent="0.3">
      <c r="A36" s="44" t="str">
        <f t="shared" ca="1" si="0"/>
        <v>7.MSCT</v>
      </c>
      <c r="B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 s="63" t="s">
        <v>314</v>
      </c>
      <c r="D36" s="44" t="s">
        <v>310</v>
      </c>
      <c r="E36" s="44" t="s">
        <v>309</v>
      </c>
      <c r="F36" s="47" t="s">
        <v>170</v>
      </c>
      <c r="G36" s="47" t="s">
        <v>171</v>
      </c>
      <c r="H36" s="50">
        <v>34220</v>
      </c>
      <c r="I36" s="50">
        <v>69068</v>
      </c>
      <c r="J36" s="50">
        <v>522900</v>
      </c>
      <c r="K36" s="50">
        <v>6</v>
      </c>
      <c r="L36" s="46" t="s">
        <v>86</v>
      </c>
      <c r="M36" s="44" t="s">
        <v>175</v>
      </c>
      <c r="N36" s="46" t="s">
        <v>64</v>
      </c>
      <c r="O36" s="46"/>
      <c r="P36" s="47"/>
      <c r="Q36" s="46"/>
      <c r="R36" s="46"/>
      <c r="S36" s="48">
        <v>44529</v>
      </c>
      <c r="T36" s="61" t="str">
        <f>IF(Tableau1[[#This Row],[DMS_SAP]]="","",HYPERLINK(Tableau1[[#This Row],[Chemin fichier source]],"X"))</f>
        <v>X</v>
      </c>
      <c r="U36" s="61" t="str">
        <f ca="1">IF(Tableau1[[#This Row],[Date rév.]]="","",HYPERLINK(Tableau1[[#This Row],[Lien document]],"X"))</f>
        <v>X</v>
      </c>
      <c r="V36" s="47" t="s">
        <v>426</v>
      </c>
      <c r="W36" s="49" t="str">
        <f ca="1">Chemin_accès!$B$2&amp;Tableau1[[#This Row],[Poste Responsable]]&amp;"\"&amp;Tableau1[[#This Row],[Localisation / Classement]]&amp;"\"&amp;Tableau1[[#This Row],[Poste technique]]&amp;"_"&amp;Tableau1[[#This Row],[Plan Entretien]]&amp;".pdf"</f>
        <v>\\stjn.local\trimet\Donnees_Projets\Dms Sap\Maintenance\PlanEntretien\7.MSCT\PIQUAGES\T130-J_34220.pdf</v>
      </c>
      <c r="X36" s="47">
        <v>3.5</v>
      </c>
      <c r="Y36" s="47">
        <v>2</v>
      </c>
      <c r="Z36" s="44" t="str">
        <f ca="1">IF(AND(Tableau1[[#This Row],[Charge]]&lt;&gt;0, Tableau1[[#This Row],[Nombre intervenants]]&lt;&gt;0,Tableau1[[#This Row],[Lien document]]&lt;&gt;0,Tableau1[[#This Row],[DMS_SAP]]&lt;&gt;0)=TRUE,"MIS A JOUR","")</f>
        <v>MIS A JOUR</v>
      </c>
      <c r="AA36" s="48">
        <v>44746</v>
      </c>
      <c r="AB36" s="58">
        <f ca="1">IF(Tableau1[[#This Row],[Date rév.]]&lt;&gt;"", DAYS360(Tableau1[[#This Row],[Date rév.]],TODAY()),"")</f>
        <v>1520</v>
      </c>
      <c r="AC36" s="47" t="str">
        <f>IFERROR(INDEX(Chemin_accès!$B$11:$C$22,MATCH(Tableau1[[#This Row],[Type]],Chemin_accès!$C$11:$C$22,0),1),Chemin_accès!$B$11)</f>
        <v>\\stjn.local\trimet\Btechnique\Commun\BT Maint SCELLEMENT\205 - Préventifs\Modèles préventif\GammeDMS_7.MSCT.xlsm</v>
      </c>
      <c r="AD36" s="47" t="str">
        <f>Chemin_accès!$B$8&amp;Tableau1[[#This Row],[Localisation / Classement]]&amp;"\"&amp;Tableau1[[#This Row],[Poste technique]]&amp;"_"&amp;Tableau1[[#This Row],[Plan Entretien]]&amp;".xlsm"</f>
        <v>\\stjn.local\trimet\Btechnique\Commun\BT Maint SCELLEMENT\205 - Préventifs\Gammes 7.MSCT PE Tool\PIQUAGES\T130-J_34220.xlsm</v>
      </c>
    </row>
    <row r="37" spans="1:30" x14ac:dyDescent="0.3">
      <c r="A37" s="44" t="str">
        <f t="shared" ca="1" si="0"/>
        <v>7.MSCT</v>
      </c>
      <c r="B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 s="46" t="s">
        <v>485</v>
      </c>
      <c r="D37" s="44" t="s">
        <v>310</v>
      </c>
      <c r="E37" s="44" t="s">
        <v>309</v>
      </c>
      <c r="F37" s="47" t="s">
        <v>170</v>
      </c>
      <c r="G37" s="47" t="s">
        <v>171</v>
      </c>
      <c r="H37" s="50">
        <v>34221</v>
      </c>
      <c r="I37" s="50">
        <v>69069</v>
      </c>
      <c r="J37" s="50">
        <v>522900</v>
      </c>
      <c r="K37" s="50">
        <v>7</v>
      </c>
      <c r="L37" s="46" t="s">
        <v>87</v>
      </c>
      <c r="M37" s="44" t="s">
        <v>176</v>
      </c>
      <c r="N37" s="46" t="s">
        <v>61</v>
      </c>
      <c r="O37" s="46"/>
      <c r="P37" s="47"/>
      <c r="Q37" s="46"/>
      <c r="R37" s="46"/>
      <c r="S37" s="48">
        <v>44529</v>
      </c>
      <c r="T37" s="61" t="str">
        <f>IF(Tableau1[[#This Row],[DMS_SAP]]="","",HYPERLINK(Tableau1[[#This Row],[Chemin fichier source]],"X"))</f>
        <v>X</v>
      </c>
      <c r="U37" s="61" t="str">
        <f ca="1">IF(Tableau1[[#This Row],[Date rév.]]="","",HYPERLINK(Tableau1[[#This Row],[Lien document]],"X"))</f>
        <v>X</v>
      </c>
      <c r="V37" s="47" t="s">
        <v>427</v>
      </c>
      <c r="W37" s="49" t="str">
        <f ca="1">Chemin_accès!$B$2&amp;Tableau1[[#This Row],[Poste Responsable]]&amp;"\"&amp;Tableau1[[#This Row],[Localisation / Classement]]&amp;"\"&amp;Tableau1[[#This Row],[Poste technique]]&amp;"_"&amp;Tableau1[[#This Row],[Plan Entretien]]&amp;".pdf"</f>
        <v>\\stjn.local\trimet\Donnees_Projets\Dms Sap\Maintenance\PlanEntretien\7.MSCT\PIQUAGES\T130-J_34221.pdf</v>
      </c>
      <c r="X37" s="47">
        <v>1.75</v>
      </c>
      <c r="Y37" s="47">
        <v>2</v>
      </c>
      <c r="Z37" s="44" t="str">
        <f ca="1">IF(AND(Tableau1[[#This Row],[Charge]]&lt;&gt;0, Tableau1[[#This Row],[Nombre intervenants]]&lt;&gt;0,Tableau1[[#This Row],[Lien document]]&lt;&gt;0,Tableau1[[#This Row],[DMS_SAP]]&lt;&gt;0)=TRUE,"MIS A JOUR","")</f>
        <v>MIS A JOUR</v>
      </c>
      <c r="AA37" s="48">
        <v>45288</v>
      </c>
      <c r="AB37" s="58">
        <f ca="1">IF(Tableau1[[#This Row],[Date rév.]]&lt;&gt;"", DAYS360(Tableau1[[#This Row],[Date rév.]],TODAY()),"")</f>
        <v>986</v>
      </c>
      <c r="AC37" s="47" t="str">
        <f>IFERROR(INDEX(Chemin_accès!$B$11:$C$22,MATCH(Tableau1[[#This Row],[Type]],Chemin_accès!$C$11:$C$22,0),1),Chemin_accès!$B$11)</f>
        <v>\\stjn.local\trimet\Btechnique\Commun\BT Maint SCELLEMENT\205 - Préventifs\Modèles préventif\GammeDMS_7.MSCT.xlsm</v>
      </c>
      <c r="AD37" s="47" t="str">
        <f>Chemin_accès!$B$8&amp;Tableau1[[#This Row],[Localisation / Classement]]&amp;"\"&amp;Tableau1[[#This Row],[Poste technique]]&amp;"_"&amp;Tableau1[[#This Row],[Plan Entretien]]&amp;".xlsm"</f>
        <v>\\stjn.local\trimet\Btechnique\Commun\BT Maint SCELLEMENT\205 - Préventifs\Gammes 7.MSCT PE Tool\PIQUAGES\T130-J_34221.xlsm</v>
      </c>
    </row>
    <row r="38" spans="1:30" x14ac:dyDescent="0.3">
      <c r="A38" s="44" t="str">
        <f t="shared" ca="1" si="0"/>
        <v>7.MSCT</v>
      </c>
      <c r="B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 s="46" t="s">
        <v>314</v>
      </c>
      <c r="D38" s="44" t="s">
        <v>310</v>
      </c>
      <c r="E38" s="44" t="s">
        <v>309</v>
      </c>
      <c r="F38" s="44" t="s">
        <v>177</v>
      </c>
      <c r="G38" s="44" t="s">
        <v>178</v>
      </c>
      <c r="H38" s="50">
        <v>34222</v>
      </c>
      <c r="I38" s="50">
        <v>69072</v>
      </c>
      <c r="J38" s="50">
        <v>522901</v>
      </c>
      <c r="K38" s="50">
        <v>1</v>
      </c>
      <c r="L38" s="46" t="s">
        <v>138</v>
      </c>
      <c r="M38" s="44" t="s">
        <v>179</v>
      </c>
      <c r="N38" s="46" t="s">
        <v>60</v>
      </c>
      <c r="O38" s="46"/>
      <c r="P38" s="47"/>
      <c r="Q38" s="46"/>
      <c r="R38" s="46"/>
      <c r="S38" s="48">
        <v>44529</v>
      </c>
      <c r="T38" s="61" t="str">
        <f>IF(Tableau1[[#This Row],[DMS_SAP]]="","",HYPERLINK(Tableau1[[#This Row],[Chemin fichier source]],"X"))</f>
        <v>X</v>
      </c>
      <c r="U38" s="61" t="str">
        <f ca="1">IF(Tableau1[[#This Row],[Date rév.]]="","",HYPERLINK(Tableau1[[#This Row],[Lien document]],"X"))</f>
        <v>X</v>
      </c>
      <c r="V38" s="47" t="s">
        <v>428</v>
      </c>
      <c r="W38" s="49" t="str">
        <f ca="1">Chemin_accès!$B$2&amp;Tableau1[[#This Row],[Poste Responsable]]&amp;"\"&amp;Tableau1[[#This Row],[Localisation / Classement]]&amp;"\"&amp;Tableau1[[#This Row],[Poste technique]]&amp;"_"&amp;Tableau1[[#This Row],[Plan Entretien]]&amp;".pdf"</f>
        <v>\\stjn.local\trimet\Donnees_Projets\Dms Sap\Maintenance\PlanEntretien\7.MSCT\PIQUAGES\T130-K_34222.pdf</v>
      </c>
      <c r="X38" s="47">
        <v>3.5</v>
      </c>
      <c r="Y38" s="47">
        <v>2</v>
      </c>
      <c r="Z38" s="44" t="str">
        <f ca="1">IF(AND(Tableau1[[#This Row],[Charge]]&lt;&gt;0, Tableau1[[#This Row],[Nombre intervenants]]&lt;&gt;0,Tableau1[[#This Row],[Lien document]]&lt;&gt;0,Tableau1[[#This Row],[DMS_SAP]]&lt;&gt;0)=TRUE,"MIS A JOUR","")</f>
        <v>MIS A JOUR</v>
      </c>
      <c r="AA38" s="48">
        <v>46085</v>
      </c>
      <c r="AB38" s="58">
        <f ca="1">IF(Tableau1[[#This Row],[Date rév.]]&lt;&gt;"", DAYS360(Tableau1[[#This Row],[Date rév.]],TODAY()),"")</f>
        <v>200</v>
      </c>
      <c r="AC38" s="47" t="str">
        <f>IFERROR(INDEX(Chemin_accès!$B$11:$C$22,MATCH(Tableau1[[#This Row],[Type]],Chemin_accès!$C$11:$C$22,0),1),Chemin_accès!$B$11)</f>
        <v>\\stjn.local\trimet\Btechnique\Commun\BT Maint SCELLEMENT\205 - Préventifs\Modèles préventif\GammeDMS_7.MSCT.xlsm</v>
      </c>
      <c r="AD38" s="47" t="str">
        <f>Chemin_accès!$B$8&amp;Tableau1[[#This Row],[Localisation / Classement]]&amp;"\"&amp;Tableau1[[#This Row],[Poste technique]]&amp;"_"&amp;Tableau1[[#This Row],[Plan Entretien]]&amp;".xlsm"</f>
        <v>\\stjn.local\trimet\Btechnique\Commun\BT Maint SCELLEMENT\205 - Préventifs\Gammes 7.MSCT PE Tool\PIQUAGES\T130-K_34222.xlsm</v>
      </c>
    </row>
    <row r="39" spans="1:30" x14ac:dyDescent="0.3">
      <c r="A39" s="44" t="str">
        <f t="shared" ca="1" si="0"/>
        <v>7.MSCT</v>
      </c>
      <c r="B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 s="63" t="s">
        <v>314</v>
      </c>
      <c r="D39" s="44" t="s">
        <v>310</v>
      </c>
      <c r="E39" s="44" t="s">
        <v>309</v>
      </c>
      <c r="F39" s="47" t="s">
        <v>177</v>
      </c>
      <c r="G39" s="47" t="s">
        <v>178</v>
      </c>
      <c r="H39" s="50">
        <v>34223</v>
      </c>
      <c r="I39" s="50">
        <v>69073</v>
      </c>
      <c r="J39" s="50">
        <v>522901</v>
      </c>
      <c r="K39" s="50">
        <v>2</v>
      </c>
      <c r="L39" s="46" t="s">
        <v>138</v>
      </c>
      <c r="M39" s="44" t="s">
        <v>180</v>
      </c>
      <c r="N39" s="46" t="s">
        <v>60</v>
      </c>
      <c r="O39" s="46"/>
      <c r="P39" s="47"/>
      <c r="Q39" s="46"/>
      <c r="R39" s="46"/>
      <c r="S39" s="48">
        <v>44529</v>
      </c>
      <c r="T39" s="61" t="str">
        <f>IF(Tableau1[[#This Row],[DMS_SAP]]="","",HYPERLINK(Tableau1[[#This Row],[Chemin fichier source]],"X"))</f>
        <v>X</v>
      </c>
      <c r="U39" s="61" t="str">
        <f ca="1">IF(Tableau1[[#This Row],[Date rév.]]="","",HYPERLINK(Tableau1[[#This Row],[Lien document]],"X"))</f>
        <v>X</v>
      </c>
      <c r="V39" s="47" t="s">
        <v>429</v>
      </c>
      <c r="W39" s="49" t="str">
        <f ca="1">Chemin_accès!$B$2&amp;Tableau1[[#This Row],[Poste Responsable]]&amp;"\"&amp;Tableau1[[#This Row],[Localisation / Classement]]&amp;"\"&amp;Tableau1[[#This Row],[Poste technique]]&amp;"_"&amp;Tableau1[[#This Row],[Plan Entretien]]&amp;".pdf"</f>
        <v>\\stjn.local\trimet\Donnees_Projets\Dms Sap\Maintenance\PlanEntretien\7.MSCT\PIQUAGES\T130-K_34223.pdf</v>
      </c>
      <c r="X39" s="47">
        <v>3.5</v>
      </c>
      <c r="Y39" s="47">
        <v>2</v>
      </c>
      <c r="Z39" s="44" t="str">
        <f ca="1">IF(AND(Tableau1[[#This Row],[Charge]]&lt;&gt;0, Tableau1[[#This Row],[Nombre intervenants]]&lt;&gt;0,Tableau1[[#This Row],[Lien document]]&lt;&gt;0,Tableau1[[#This Row],[DMS_SAP]]&lt;&gt;0)=TRUE,"MIS A JOUR","")</f>
        <v>MIS A JOUR</v>
      </c>
      <c r="AA39" s="48">
        <v>45183</v>
      </c>
      <c r="AB39" s="58">
        <f ca="1">IF(Tableau1[[#This Row],[Date rév.]]&lt;&gt;"", DAYS360(Tableau1[[#This Row],[Date rév.]],TODAY()),"")</f>
        <v>1090</v>
      </c>
      <c r="AC39" s="47" t="str">
        <f>IFERROR(INDEX(Chemin_accès!$B$11:$C$22,MATCH(Tableau1[[#This Row],[Type]],Chemin_accès!$C$11:$C$22,0),1),Chemin_accès!$B$11)</f>
        <v>\\stjn.local\trimet\Btechnique\Commun\BT Maint SCELLEMENT\205 - Préventifs\Modèles préventif\GammeDMS_7.MSCT.xlsm</v>
      </c>
      <c r="AD39" s="47" t="str">
        <f>Chemin_accès!$B$8&amp;Tableau1[[#This Row],[Localisation / Classement]]&amp;"\"&amp;Tableau1[[#This Row],[Poste technique]]&amp;"_"&amp;Tableau1[[#This Row],[Plan Entretien]]&amp;".xlsm"</f>
        <v>\\stjn.local\trimet\Btechnique\Commun\BT Maint SCELLEMENT\205 - Préventifs\Gammes 7.MSCT PE Tool\PIQUAGES\T130-K_34223.xlsm</v>
      </c>
    </row>
    <row r="40" spans="1:30" x14ac:dyDescent="0.3">
      <c r="A40" s="44" t="str">
        <f t="shared" ca="1" si="0"/>
        <v>7.MSCT</v>
      </c>
      <c r="B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 s="63" t="s">
        <v>314</v>
      </c>
      <c r="D40" s="44" t="s">
        <v>310</v>
      </c>
      <c r="E40" s="44" t="s">
        <v>309</v>
      </c>
      <c r="F40" s="47" t="s">
        <v>177</v>
      </c>
      <c r="G40" s="47" t="s">
        <v>178</v>
      </c>
      <c r="H40" s="50">
        <v>34224</v>
      </c>
      <c r="I40" s="50">
        <v>69075</v>
      </c>
      <c r="J40" s="50">
        <v>522901</v>
      </c>
      <c r="K40" s="50">
        <v>3</v>
      </c>
      <c r="L40" s="46" t="s">
        <v>157</v>
      </c>
      <c r="M40" s="44" t="s">
        <v>534</v>
      </c>
      <c r="N40" s="46" t="s">
        <v>60</v>
      </c>
      <c r="O40" s="46"/>
      <c r="P40" s="47"/>
      <c r="Q40" s="46"/>
      <c r="R40" s="46"/>
      <c r="S40" s="48">
        <v>44529</v>
      </c>
      <c r="T40" s="61" t="str">
        <f>IF(Tableau1[[#This Row],[DMS_SAP]]="","",HYPERLINK(Tableau1[[#This Row],[Chemin fichier source]],"X"))</f>
        <v>X</v>
      </c>
      <c r="U40" s="61" t="str">
        <f ca="1">IF(Tableau1[[#This Row],[Date rév.]]="","",HYPERLINK(Tableau1[[#This Row],[Lien document]],"X"))</f>
        <v>X</v>
      </c>
      <c r="V40" s="47" t="s">
        <v>430</v>
      </c>
      <c r="W40" s="49" t="str">
        <f ca="1">Chemin_accès!$B$2&amp;Tableau1[[#This Row],[Poste Responsable]]&amp;"\"&amp;Tableau1[[#This Row],[Localisation / Classement]]&amp;"\"&amp;Tableau1[[#This Row],[Poste technique]]&amp;"_"&amp;Tableau1[[#This Row],[Plan Entretien]]&amp;".pdf"</f>
        <v>\\stjn.local\trimet\Donnees_Projets\Dms Sap\Maintenance\PlanEntretien\7.MSCT\PIQUAGES\T130-K_34224.pdf</v>
      </c>
      <c r="X40" s="47">
        <v>3.5</v>
      </c>
      <c r="Y40" s="47">
        <v>2</v>
      </c>
      <c r="Z40" s="44" t="str">
        <f ca="1">IF(AND(Tableau1[[#This Row],[Charge]]&lt;&gt;0, Tableau1[[#This Row],[Nombre intervenants]]&lt;&gt;0,Tableau1[[#This Row],[Lien document]]&lt;&gt;0,Tableau1[[#This Row],[DMS_SAP]]&lt;&gt;0)=TRUE,"MIS A JOUR","")</f>
        <v>MIS A JOUR</v>
      </c>
      <c r="AA40" s="48">
        <v>45373</v>
      </c>
      <c r="AB40" s="58">
        <f ca="1">IF(Tableau1[[#This Row],[Date rév.]]&lt;&gt;"", DAYS360(Tableau1[[#This Row],[Date rév.]],TODAY()),"")</f>
        <v>902</v>
      </c>
      <c r="AC40" s="47" t="str">
        <f>IFERROR(INDEX(Chemin_accès!$B$11:$C$22,MATCH(Tableau1[[#This Row],[Type]],Chemin_accès!$C$11:$C$22,0),1),Chemin_accès!$B$11)</f>
        <v>\\stjn.local\trimet\Btechnique\Commun\BT Maint SCELLEMENT\205 - Préventifs\Modèles préventif\GammeDMS_7.MSCT.xlsm</v>
      </c>
      <c r="AD40" s="47" t="str">
        <f>Chemin_accès!$B$8&amp;Tableau1[[#This Row],[Localisation / Classement]]&amp;"\"&amp;Tableau1[[#This Row],[Poste technique]]&amp;"_"&amp;Tableau1[[#This Row],[Plan Entretien]]&amp;".xlsm"</f>
        <v>\\stjn.local\trimet\Btechnique\Commun\BT Maint SCELLEMENT\205 - Préventifs\Gammes 7.MSCT PE Tool\PIQUAGES\T130-K_34224.xlsm</v>
      </c>
    </row>
    <row r="41" spans="1:30" x14ac:dyDescent="0.3">
      <c r="A41" s="44" t="str">
        <f t="shared" ca="1" si="0"/>
        <v>7.MSCT</v>
      </c>
      <c r="B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 s="63" t="s">
        <v>314</v>
      </c>
      <c r="D41" s="44" t="s">
        <v>310</v>
      </c>
      <c r="E41" s="44" t="s">
        <v>309</v>
      </c>
      <c r="F41" s="47" t="s">
        <v>177</v>
      </c>
      <c r="G41" s="47" t="s">
        <v>178</v>
      </c>
      <c r="H41" s="50">
        <v>34225</v>
      </c>
      <c r="I41" s="50">
        <v>69076</v>
      </c>
      <c r="J41" s="50">
        <v>522901</v>
      </c>
      <c r="K41" s="50">
        <v>4</v>
      </c>
      <c r="L41" s="46" t="s">
        <v>84</v>
      </c>
      <c r="M41" s="44" t="s">
        <v>482</v>
      </c>
      <c r="N41" s="46" t="s">
        <v>61</v>
      </c>
      <c r="O41" s="46"/>
      <c r="P41" s="47"/>
      <c r="Q41" s="46"/>
      <c r="R41" s="46"/>
      <c r="S41" s="48">
        <v>44529</v>
      </c>
      <c r="T41" s="61" t="str">
        <f>IF(Tableau1[[#This Row],[DMS_SAP]]="","",HYPERLINK(Tableau1[[#This Row],[Chemin fichier source]],"X"))</f>
        <v>X</v>
      </c>
      <c r="U41" s="61" t="str">
        <f ca="1">IF(Tableau1[[#This Row],[Date rév.]]="","",HYPERLINK(Tableau1[[#This Row],[Lien document]],"X"))</f>
        <v>X</v>
      </c>
      <c r="V41" s="47" t="s">
        <v>431</v>
      </c>
      <c r="W41" s="49" t="str">
        <f ca="1">Chemin_accès!$B$2&amp;Tableau1[[#This Row],[Poste Responsable]]&amp;"\"&amp;Tableau1[[#This Row],[Localisation / Classement]]&amp;"\"&amp;Tableau1[[#This Row],[Poste technique]]&amp;"_"&amp;Tableau1[[#This Row],[Plan Entretien]]&amp;".pdf"</f>
        <v>\\stjn.local\trimet\Donnees_Projets\Dms Sap\Maintenance\PlanEntretien\7.MSCT\PIQUAGES\T130-K_34225.pdf</v>
      </c>
      <c r="X41" s="47">
        <v>3.5</v>
      </c>
      <c r="Y41" s="47">
        <v>2</v>
      </c>
      <c r="Z41" s="44" t="str">
        <f ca="1">IF(AND(Tableau1[[#This Row],[Charge]]&lt;&gt;0, Tableau1[[#This Row],[Nombre intervenants]]&lt;&gt;0,Tableau1[[#This Row],[Lien document]]&lt;&gt;0,Tableau1[[#This Row],[DMS_SAP]]&lt;&gt;0)=TRUE,"MIS A JOUR","")</f>
        <v>MIS A JOUR</v>
      </c>
      <c r="AA41" s="48">
        <v>44834</v>
      </c>
      <c r="AB41" s="58">
        <f ca="1">IF(Tableau1[[#This Row],[Date rév.]]&lt;&gt;"", DAYS360(Tableau1[[#This Row],[Date rév.]],TODAY()),"")</f>
        <v>1434</v>
      </c>
      <c r="AC41" s="47" t="str">
        <f>IFERROR(INDEX(Chemin_accès!$B$11:$C$22,MATCH(Tableau1[[#This Row],[Type]],Chemin_accès!$C$11:$C$22,0),1),Chemin_accès!$B$11)</f>
        <v>\\stjn.local\trimet\Btechnique\Commun\BT Maint SCELLEMENT\205 - Préventifs\Modèles préventif\GammeDMS_7.MSCT.xlsm</v>
      </c>
      <c r="AD41" s="47" t="str">
        <f>Chemin_accès!$B$8&amp;Tableau1[[#This Row],[Localisation / Classement]]&amp;"\"&amp;Tableau1[[#This Row],[Poste technique]]&amp;"_"&amp;Tableau1[[#This Row],[Plan Entretien]]&amp;".xlsm"</f>
        <v>\\stjn.local\trimet\Btechnique\Commun\BT Maint SCELLEMENT\205 - Préventifs\Gammes 7.MSCT PE Tool\PIQUAGES\T130-K_34225.xlsm</v>
      </c>
    </row>
    <row r="42" spans="1:30" x14ac:dyDescent="0.3">
      <c r="A42" s="44" t="str">
        <f t="shared" ca="1" si="0"/>
        <v>7.MSCT</v>
      </c>
      <c r="B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 s="63" t="s">
        <v>314</v>
      </c>
      <c r="D42" s="44" t="s">
        <v>310</v>
      </c>
      <c r="E42" s="44" t="s">
        <v>309</v>
      </c>
      <c r="F42" s="47" t="s">
        <v>177</v>
      </c>
      <c r="G42" s="47" t="s">
        <v>178</v>
      </c>
      <c r="H42" s="50">
        <v>34226</v>
      </c>
      <c r="I42" s="50">
        <v>69077</v>
      </c>
      <c r="J42" s="50">
        <v>522901</v>
      </c>
      <c r="K42" s="50">
        <v>5</v>
      </c>
      <c r="L42" s="46" t="s">
        <v>86</v>
      </c>
      <c r="M42" s="44" t="s">
        <v>181</v>
      </c>
      <c r="N42" s="46" t="s">
        <v>64</v>
      </c>
      <c r="O42" s="46"/>
      <c r="P42" s="47"/>
      <c r="Q42" s="46"/>
      <c r="R42" s="46"/>
      <c r="S42" s="48">
        <v>44529</v>
      </c>
      <c r="T42" s="61" t="str">
        <f>IF(Tableau1[[#This Row],[DMS_SAP]]="","",HYPERLINK(Tableau1[[#This Row],[Chemin fichier source]],"X"))</f>
        <v>X</v>
      </c>
      <c r="U42" s="61" t="str">
        <f ca="1">IF(Tableau1[[#This Row],[Date rév.]]="","",HYPERLINK(Tableau1[[#This Row],[Lien document]],"X"))</f>
        <v>X</v>
      </c>
      <c r="V42" s="47" t="s">
        <v>432</v>
      </c>
      <c r="W42" s="49" t="str">
        <f ca="1">Chemin_accès!$B$2&amp;Tableau1[[#This Row],[Poste Responsable]]&amp;"\"&amp;Tableau1[[#This Row],[Localisation / Classement]]&amp;"\"&amp;Tableau1[[#This Row],[Poste technique]]&amp;"_"&amp;Tableau1[[#This Row],[Plan Entretien]]&amp;".pdf"</f>
        <v>\\stjn.local\trimet\Donnees_Projets\Dms Sap\Maintenance\PlanEntretien\7.MSCT\PIQUAGES\T130-K_34226.pdf</v>
      </c>
      <c r="X42" s="47">
        <v>3.5</v>
      </c>
      <c r="Y42" s="47">
        <v>2</v>
      </c>
      <c r="Z42" s="44" t="str">
        <f ca="1">IF(AND(Tableau1[[#This Row],[Charge]]&lt;&gt;0, Tableau1[[#This Row],[Nombre intervenants]]&lt;&gt;0,Tableau1[[#This Row],[Lien document]]&lt;&gt;0,Tableau1[[#This Row],[DMS_SAP]]&lt;&gt;0)=TRUE,"MIS A JOUR","")</f>
        <v>MIS A JOUR</v>
      </c>
      <c r="AA42" s="48">
        <v>44834</v>
      </c>
      <c r="AB42" s="58">
        <f ca="1">IF(Tableau1[[#This Row],[Date rév.]]&lt;&gt;"", DAYS360(Tableau1[[#This Row],[Date rév.]],TODAY()),"")</f>
        <v>1434</v>
      </c>
      <c r="AC42" s="47" t="str">
        <f>IFERROR(INDEX(Chemin_accès!$B$11:$C$22,MATCH(Tableau1[[#This Row],[Type]],Chemin_accès!$C$11:$C$22,0),1),Chemin_accès!$B$11)</f>
        <v>\\stjn.local\trimet\Btechnique\Commun\BT Maint SCELLEMENT\205 - Préventifs\Modèles préventif\GammeDMS_7.MSCT.xlsm</v>
      </c>
      <c r="AD42" s="47" t="str">
        <f>Chemin_accès!$B$8&amp;Tableau1[[#This Row],[Localisation / Classement]]&amp;"\"&amp;Tableau1[[#This Row],[Poste technique]]&amp;"_"&amp;Tableau1[[#This Row],[Plan Entretien]]&amp;".xlsm"</f>
        <v>\\stjn.local\trimet\Btechnique\Commun\BT Maint SCELLEMENT\205 - Préventifs\Gammes 7.MSCT PE Tool\PIQUAGES\T130-K_34226.xlsm</v>
      </c>
    </row>
    <row r="43" spans="1:30" x14ac:dyDescent="0.3">
      <c r="A43" s="44" t="str">
        <f t="shared" ca="1" si="0"/>
        <v>7.MSCT</v>
      </c>
      <c r="B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 s="63" t="s">
        <v>314</v>
      </c>
      <c r="D43" s="44" t="s">
        <v>310</v>
      </c>
      <c r="E43" s="44" t="s">
        <v>309</v>
      </c>
      <c r="F43" s="47" t="s">
        <v>177</v>
      </c>
      <c r="G43" s="47" t="s">
        <v>178</v>
      </c>
      <c r="H43" s="50">
        <v>34227</v>
      </c>
      <c r="I43" s="50">
        <v>69078</v>
      </c>
      <c r="J43" s="50">
        <v>522901</v>
      </c>
      <c r="K43" s="50">
        <v>6</v>
      </c>
      <c r="L43" s="46" t="s">
        <v>86</v>
      </c>
      <c r="M43" s="44" t="s">
        <v>182</v>
      </c>
      <c r="N43" s="46" t="s">
        <v>64</v>
      </c>
      <c r="O43" s="46"/>
      <c r="P43" s="47"/>
      <c r="Q43" s="46"/>
      <c r="R43" s="46"/>
      <c r="S43" s="48">
        <v>44529</v>
      </c>
      <c r="T43" s="61" t="str">
        <f>IF(Tableau1[[#This Row],[DMS_SAP]]="","",HYPERLINK(Tableau1[[#This Row],[Chemin fichier source]],"X"))</f>
        <v>X</v>
      </c>
      <c r="U43" s="61" t="str">
        <f ca="1">IF(Tableau1[[#This Row],[Date rév.]]="","",HYPERLINK(Tableau1[[#This Row],[Lien document]],"X"))</f>
        <v>X</v>
      </c>
      <c r="V43" s="47" t="s">
        <v>433</v>
      </c>
      <c r="W43" s="49" t="str">
        <f ca="1">Chemin_accès!$B$2&amp;Tableau1[[#This Row],[Poste Responsable]]&amp;"\"&amp;Tableau1[[#This Row],[Localisation / Classement]]&amp;"\"&amp;Tableau1[[#This Row],[Poste technique]]&amp;"_"&amp;Tableau1[[#This Row],[Plan Entretien]]&amp;".pdf"</f>
        <v>\\stjn.local\trimet\Donnees_Projets\Dms Sap\Maintenance\PlanEntretien\7.MSCT\PIQUAGES\T130-K_34227.pdf</v>
      </c>
      <c r="X43" s="47">
        <v>3.5</v>
      </c>
      <c r="Y43" s="47">
        <v>2</v>
      </c>
      <c r="Z43" s="44" t="str">
        <f ca="1">IF(AND(Tableau1[[#This Row],[Charge]]&lt;&gt;0, Tableau1[[#This Row],[Nombre intervenants]]&lt;&gt;0,Tableau1[[#This Row],[Lien document]]&lt;&gt;0,Tableau1[[#This Row],[DMS_SAP]]&lt;&gt;0)=TRUE,"MIS A JOUR","")</f>
        <v>MIS A JOUR</v>
      </c>
      <c r="AA43" s="48">
        <v>44747</v>
      </c>
      <c r="AB43" s="58">
        <f ca="1">IF(Tableau1[[#This Row],[Date rév.]]&lt;&gt;"", DAYS360(Tableau1[[#This Row],[Date rév.]],TODAY()),"")</f>
        <v>1519</v>
      </c>
      <c r="AC43" s="47" t="str">
        <f>IFERROR(INDEX(Chemin_accès!$B$11:$C$22,MATCH(Tableau1[[#This Row],[Type]],Chemin_accès!$C$11:$C$22,0),1),Chemin_accès!$B$11)</f>
        <v>\\stjn.local\trimet\Btechnique\Commun\BT Maint SCELLEMENT\205 - Préventifs\Modèles préventif\GammeDMS_7.MSCT.xlsm</v>
      </c>
      <c r="AD43" s="47" t="str">
        <f>Chemin_accès!$B$8&amp;Tableau1[[#This Row],[Localisation / Classement]]&amp;"\"&amp;Tableau1[[#This Row],[Poste technique]]&amp;"_"&amp;Tableau1[[#This Row],[Plan Entretien]]&amp;".xlsm"</f>
        <v>\\stjn.local\trimet\Btechnique\Commun\BT Maint SCELLEMENT\205 - Préventifs\Gammes 7.MSCT PE Tool\PIQUAGES\T130-K_34227.xlsm</v>
      </c>
    </row>
    <row r="44" spans="1:30" x14ac:dyDescent="0.3">
      <c r="A44" s="44" t="str">
        <f t="shared" ca="1" si="0"/>
        <v>7.MSCT</v>
      </c>
      <c r="B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 s="63" t="s">
        <v>485</v>
      </c>
      <c r="D44" s="44" t="s">
        <v>310</v>
      </c>
      <c r="E44" s="44" t="s">
        <v>312</v>
      </c>
      <c r="F44" s="47" t="s">
        <v>177</v>
      </c>
      <c r="G44" s="47" t="s">
        <v>178</v>
      </c>
      <c r="H44" s="50">
        <v>34228</v>
      </c>
      <c r="I44" s="50">
        <v>69079</v>
      </c>
      <c r="J44" s="50">
        <v>522901</v>
      </c>
      <c r="K44" s="50">
        <v>7</v>
      </c>
      <c r="L44" s="46" t="s">
        <v>86</v>
      </c>
      <c r="M44" s="44" t="s">
        <v>183</v>
      </c>
      <c r="N44" s="46" t="s">
        <v>64</v>
      </c>
      <c r="O44" s="46"/>
      <c r="P44" s="47"/>
      <c r="Q44" s="46"/>
      <c r="R44" s="46"/>
      <c r="S44" s="48">
        <v>44529</v>
      </c>
      <c r="T44" s="61" t="str">
        <f>IF(Tableau1[[#This Row],[DMS_SAP]]="","",HYPERLINK(Tableau1[[#This Row],[Chemin fichier source]],"X"))</f>
        <v>X</v>
      </c>
      <c r="U44" s="61" t="str">
        <f>IF(Tableau1[[#This Row],[Date rév.]]="","",HYPERLINK(Tableau1[[#This Row],[Lien document]],"X"))</f>
        <v/>
      </c>
      <c r="V44" s="47" t="s">
        <v>435</v>
      </c>
      <c r="W44" s="49" t="str">
        <f ca="1">Chemin_accès!$B$2&amp;Tableau1[[#This Row],[Poste Responsable]]&amp;"\"&amp;Tableau1[[#This Row],[Localisation / Classement]]&amp;"\"&amp;Tableau1[[#This Row],[Poste technique]]&amp;"_"&amp;Tableau1[[#This Row],[Plan Entretien]]&amp;".pdf"</f>
        <v>\\stjn.local\trimet\Donnees_Projets\Dms Sap\Maintenance\PlanEntretien\7.MSCT\PIQUAGES\T130-K_34228.pdf</v>
      </c>
      <c r="X44" s="47">
        <v>3.5</v>
      </c>
      <c r="Y44" s="47">
        <v>2</v>
      </c>
      <c r="Z44" s="44" t="str">
        <f ca="1">IF(AND(Tableau1[[#This Row],[Charge]]&lt;&gt;0, Tableau1[[#This Row],[Nombre intervenants]]&lt;&gt;0,Tableau1[[#This Row],[Lien document]]&lt;&gt;0,Tableau1[[#This Row],[DMS_SAP]]&lt;&gt;0)=TRUE,"MIS A JOUR","")</f>
        <v>MIS A JOUR</v>
      </c>
      <c r="AA44" s="48"/>
      <c r="AB44" s="58" t="str">
        <f ca="1">IF(Tableau1[[#This Row],[Date rév.]]&lt;&gt;"", DAYS360(Tableau1[[#This Row],[Date rév.]],TODAY()),"")</f>
        <v/>
      </c>
      <c r="AC44" s="47" t="str">
        <f>IFERROR(INDEX(Chemin_accès!$B$11:$C$22,MATCH(Tableau1[[#This Row],[Type]],Chemin_accès!$C$11:$C$22,0),1),Chemin_accès!$B$11)</f>
        <v>\\stjn.local\trimet\Btechnique\Commun\BT Maint SCELLEMENT\205 - Préventifs\Modèles préventif\GammeDMS_7.MSCT.xlsm</v>
      </c>
      <c r="AD44" s="47" t="str">
        <f>Chemin_accès!$B$8&amp;Tableau1[[#This Row],[Localisation / Classement]]&amp;"\"&amp;Tableau1[[#This Row],[Poste technique]]&amp;"_"&amp;Tableau1[[#This Row],[Plan Entretien]]&amp;".xlsm"</f>
        <v>\\stjn.local\trimet\Btechnique\Commun\BT Maint SCELLEMENT\205 - Préventifs\Gammes 7.MSCT PE Tool\PIQUAGES\T130-K_34228.xlsm</v>
      </c>
    </row>
    <row r="45" spans="1:30" x14ac:dyDescent="0.3">
      <c r="A45" s="44" t="str">
        <f t="shared" ca="1" si="0"/>
        <v>7.MSCT</v>
      </c>
      <c r="B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 s="63" t="s">
        <v>485</v>
      </c>
      <c r="D45" s="44" t="s">
        <v>310</v>
      </c>
      <c r="E45" s="44" t="s">
        <v>309</v>
      </c>
      <c r="F45" s="47" t="s">
        <v>177</v>
      </c>
      <c r="G45" s="47" t="s">
        <v>178</v>
      </c>
      <c r="H45" s="50">
        <v>34229</v>
      </c>
      <c r="I45" s="50">
        <v>69080</v>
      </c>
      <c r="J45" s="50">
        <v>522901</v>
      </c>
      <c r="K45" s="50">
        <v>8</v>
      </c>
      <c r="L45" s="46" t="s">
        <v>87</v>
      </c>
      <c r="M45" s="44" t="s">
        <v>184</v>
      </c>
      <c r="N45" s="46" t="s">
        <v>61</v>
      </c>
      <c r="O45" s="46"/>
      <c r="P45" s="47"/>
      <c r="Q45" s="46"/>
      <c r="R45" s="46"/>
      <c r="S45" s="48">
        <v>44529</v>
      </c>
      <c r="T45" s="61" t="str">
        <f>IF(Tableau1[[#This Row],[DMS_SAP]]="","",HYPERLINK(Tableau1[[#This Row],[Chemin fichier source]],"X"))</f>
        <v>X</v>
      </c>
      <c r="U45" s="61" t="str">
        <f ca="1">IF(Tableau1[[#This Row],[Date rév.]]="","",HYPERLINK(Tableau1[[#This Row],[Lien document]],"X"))</f>
        <v>X</v>
      </c>
      <c r="V45" s="47" t="s">
        <v>434</v>
      </c>
      <c r="W45" s="49" t="str">
        <f ca="1">Chemin_accès!$B$2&amp;Tableau1[[#This Row],[Poste Responsable]]&amp;"\"&amp;Tableau1[[#This Row],[Localisation / Classement]]&amp;"\"&amp;Tableau1[[#This Row],[Poste technique]]&amp;"_"&amp;Tableau1[[#This Row],[Plan Entretien]]&amp;".pdf"</f>
        <v>\\stjn.local\trimet\Donnees_Projets\Dms Sap\Maintenance\PlanEntretien\7.MSCT\PIQUAGES\T130-K_34229.pdf</v>
      </c>
      <c r="X45" s="47">
        <v>1.75</v>
      </c>
      <c r="Y45" s="47">
        <v>2</v>
      </c>
      <c r="Z45" s="44" t="str">
        <f ca="1">IF(AND(Tableau1[[#This Row],[Charge]]&lt;&gt;0, Tableau1[[#This Row],[Nombre intervenants]]&lt;&gt;0,Tableau1[[#This Row],[Lien document]]&lt;&gt;0,Tableau1[[#This Row],[DMS_SAP]]&lt;&gt;0)=TRUE,"MIS A JOUR","")</f>
        <v>MIS A JOUR</v>
      </c>
      <c r="AA45" s="48">
        <v>44834</v>
      </c>
      <c r="AB45" s="58">
        <f ca="1">IF(Tableau1[[#This Row],[Date rév.]]&lt;&gt;"", DAYS360(Tableau1[[#This Row],[Date rév.]],TODAY()),"")</f>
        <v>1434</v>
      </c>
      <c r="AC45" s="47" t="str">
        <f>IFERROR(INDEX(Chemin_accès!$B$11:$C$22,MATCH(Tableau1[[#This Row],[Type]],Chemin_accès!$C$11:$C$22,0),1),Chemin_accès!$B$11)</f>
        <v>\\stjn.local\trimet\Btechnique\Commun\BT Maint SCELLEMENT\205 - Préventifs\Modèles préventif\GammeDMS_7.MSCT.xlsm</v>
      </c>
      <c r="AD45" s="47" t="str">
        <f>Chemin_accès!$B$8&amp;Tableau1[[#This Row],[Localisation / Classement]]&amp;"\"&amp;Tableau1[[#This Row],[Poste technique]]&amp;"_"&amp;Tableau1[[#This Row],[Plan Entretien]]&amp;".xlsm"</f>
        <v>\\stjn.local\trimet\Btechnique\Commun\BT Maint SCELLEMENT\205 - Préventifs\Gammes 7.MSCT PE Tool\PIQUAGES\T130-K_34229.xlsm</v>
      </c>
    </row>
    <row r="46" spans="1:30" x14ac:dyDescent="0.3">
      <c r="A46" s="44" t="str">
        <f t="shared" ca="1" si="0"/>
        <v>7.MSCT</v>
      </c>
      <c r="B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 s="46" t="s">
        <v>314</v>
      </c>
      <c r="D46" s="44" t="s">
        <v>185</v>
      </c>
      <c r="E46" s="44" t="s">
        <v>309</v>
      </c>
      <c r="F46" s="44" t="s">
        <v>186</v>
      </c>
      <c r="G46" s="44" t="s">
        <v>187</v>
      </c>
      <c r="H46" s="50">
        <v>34231</v>
      </c>
      <c r="I46" s="50">
        <v>69082</v>
      </c>
      <c r="J46" s="50">
        <v>522903</v>
      </c>
      <c r="K46" s="50">
        <v>1</v>
      </c>
      <c r="L46" s="46" t="s">
        <v>84</v>
      </c>
      <c r="M46" s="44" t="s">
        <v>188</v>
      </c>
      <c r="N46" s="46" t="s">
        <v>61</v>
      </c>
      <c r="O46" s="46"/>
      <c r="P46" s="47"/>
      <c r="Q46" s="46"/>
      <c r="R46" s="46"/>
      <c r="S46" s="48">
        <v>44529</v>
      </c>
      <c r="T46" s="61" t="str">
        <f>IF(Tableau1[[#This Row],[DMS_SAP]]="","",HYPERLINK(Tableau1[[#This Row],[Chemin fichier source]],"X"))</f>
        <v>X</v>
      </c>
      <c r="U46" s="61" t="str">
        <f ca="1">IF(Tableau1[[#This Row],[Date rév.]]="","",HYPERLINK(Tableau1[[#This Row],[Lien document]],"X"))</f>
        <v>X</v>
      </c>
      <c r="V46" s="47" t="s">
        <v>346</v>
      </c>
      <c r="W46" s="49" t="str">
        <f ca="1">Chemin_accès!$B$2&amp;Tableau1[[#This Row],[Poste Responsable]]&amp;"\"&amp;Tableau1[[#This Row],[Localisation / Classement]]&amp;"\"&amp;Tableau1[[#This Row],[Poste technique]]&amp;"_"&amp;Tableau1[[#This Row],[Plan Entretien]]&amp;".pdf"</f>
        <v>\\stjn.local\trimet\Donnees_Projets\Dms Sap\Maintenance\PlanEntretien\7.MSCT\LEVAGE\T130-L100_34231.pdf</v>
      </c>
      <c r="X46" s="47">
        <v>1.75</v>
      </c>
      <c r="Y46" s="47">
        <v>2</v>
      </c>
      <c r="Z46" s="44" t="str">
        <f ca="1">IF(AND(Tableau1[[#This Row],[Charge]]&lt;&gt;0, Tableau1[[#This Row],[Nombre intervenants]]&lt;&gt;0,Tableau1[[#This Row],[Lien document]]&lt;&gt;0,Tableau1[[#This Row],[DMS_SAP]]&lt;&gt;0)=TRUE,"MIS A JOUR","")</f>
        <v>MIS A JOUR</v>
      </c>
      <c r="AA46" s="48">
        <v>44735</v>
      </c>
      <c r="AB46" s="58">
        <f ca="1">IF(Tableau1[[#This Row],[Date rév.]]&lt;&gt;"", DAYS360(Tableau1[[#This Row],[Date rév.]],TODAY()),"")</f>
        <v>1531</v>
      </c>
      <c r="AC46" s="47" t="str">
        <f>IFERROR(INDEX(Chemin_accès!$B$11:$C$22,MATCH(Tableau1[[#This Row],[Type]],Chemin_accès!$C$11:$C$22,0),1),Chemin_accès!$B$11)</f>
        <v>\\stjn.local\trimet\Btechnique\Commun\BT Maint SCELLEMENT\205 - Préventifs\Modèles préventif\GammeDMS_7.MSCT.xlsm</v>
      </c>
      <c r="AD46" s="47" t="str">
        <f>Chemin_accès!$B$8&amp;Tableau1[[#This Row],[Localisation / Classement]]&amp;"\"&amp;Tableau1[[#This Row],[Poste technique]]&amp;"_"&amp;Tableau1[[#This Row],[Plan Entretien]]&amp;".xlsm"</f>
        <v>\\stjn.local\trimet\Btechnique\Commun\BT Maint SCELLEMENT\205 - Préventifs\Gammes 7.MSCT PE Tool\LEVAGE\T130-L100_34231.xlsm</v>
      </c>
    </row>
    <row r="47" spans="1:30" x14ac:dyDescent="0.3">
      <c r="A47" s="44" t="str">
        <f t="shared" ca="1" si="0"/>
        <v>7.MSCT</v>
      </c>
      <c r="B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 s="63" t="s">
        <v>314</v>
      </c>
      <c r="D47" s="44" t="s">
        <v>185</v>
      </c>
      <c r="E47" s="44" t="s">
        <v>309</v>
      </c>
      <c r="F47" s="47" t="s">
        <v>186</v>
      </c>
      <c r="G47" s="47" t="s">
        <v>187</v>
      </c>
      <c r="H47" s="50">
        <v>34232</v>
      </c>
      <c r="I47" s="50">
        <v>69083</v>
      </c>
      <c r="J47" s="50">
        <v>522903</v>
      </c>
      <c r="K47" s="50">
        <v>2</v>
      </c>
      <c r="L47" s="46" t="s">
        <v>84</v>
      </c>
      <c r="M47" s="44" t="s">
        <v>189</v>
      </c>
      <c r="N47" s="46" t="s">
        <v>60</v>
      </c>
      <c r="O47" s="46"/>
      <c r="P47" s="47"/>
      <c r="Q47" s="46"/>
      <c r="R47" s="46"/>
      <c r="S47" s="48">
        <v>44529</v>
      </c>
      <c r="T47" s="61" t="str">
        <f>IF(Tableau1[[#This Row],[DMS_SAP]]="","",HYPERLINK(Tableau1[[#This Row],[Chemin fichier source]],"X"))</f>
        <v>X</v>
      </c>
      <c r="U47" s="61" t="str">
        <f ca="1">IF(Tableau1[[#This Row],[Date rév.]]="","",HYPERLINK(Tableau1[[#This Row],[Lien document]],"X"))</f>
        <v>X</v>
      </c>
      <c r="V47" s="47" t="s">
        <v>347</v>
      </c>
      <c r="W47" s="49" t="str">
        <f ca="1">Chemin_accès!$B$2&amp;Tableau1[[#This Row],[Poste Responsable]]&amp;"\"&amp;Tableau1[[#This Row],[Localisation / Classement]]&amp;"\"&amp;Tableau1[[#This Row],[Poste technique]]&amp;"_"&amp;Tableau1[[#This Row],[Plan Entretien]]&amp;".pdf"</f>
        <v>\\stjn.local\trimet\Donnees_Projets\Dms Sap\Maintenance\PlanEntretien\7.MSCT\LEVAGE\T130-L100_34232.pdf</v>
      </c>
      <c r="X47" s="47">
        <v>3.5</v>
      </c>
      <c r="Y47" s="47">
        <v>2</v>
      </c>
      <c r="Z47" s="44" t="str">
        <f ca="1">IF(AND(Tableau1[[#This Row],[Charge]]&lt;&gt;0, Tableau1[[#This Row],[Nombre intervenants]]&lt;&gt;0,Tableau1[[#This Row],[Lien document]]&lt;&gt;0,Tableau1[[#This Row],[DMS_SAP]]&lt;&gt;0)=TRUE,"MIS A JOUR","")</f>
        <v>MIS A JOUR</v>
      </c>
      <c r="AA47" s="48">
        <v>44735</v>
      </c>
      <c r="AB47" s="58">
        <f ca="1">IF(Tableau1[[#This Row],[Date rév.]]&lt;&gt;"", DAYS360(Tableau1[[#This Row],[Date rév.]],TODAY()),"")</f>
        <v>1531</v>
      </c>
      <c r="AC47" s="47" t="str">
        <f>IFERROR(INDEX(Chemin_accès!$B$11:$C$22,MATCH(Tableau1[[#This Row],[Type]],Chemin_accès!$C$11:$C$22,0),1),Chemin_accès!$B$11)</f>
        <v>\\stjn.local\trimet\Btechnique\Commun\BT Maint SCELLEMENT\205 - Préventifs\Modèles préventif\GammeDMS_7.MSCT.xlsm</v>
      </c>
      <c r="AD47" s="47" t="str">
        <f>Chemin_accès!$B$8&amp;Tableau1[[#This Row],[Localisation / Classement]]&amp;"\"&amp;Tableau1[[#This Row],[Poste technique]]&amp;"_"&amp;Tableau1[[#This Row],[Plan Entretien]]&amp;".xlsm"</f>
        <v>\\stjn.local\trimet\Btechnique\Commun\BT Maint SCELLEMENT\205 - Préventifs\Gammes 7.MSCT PE Tool\LEVAGE\T130-L100_34232.xlsm</v>
      </c>
    </row>
    <row r="48" spans="1:30" x14ac:dyDescent="0.3">
      <c r="A48" s="44" t="str">
        <f t="shared" ca="1" si="0"/>
        <v>7.MSCT</v>
      </c>
      <c r="B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 s="46" t="s">
        <v>314</v>
      </c>
      <c r="D48" s="44" t="s">
        <v>185</v>
      </c>
      <c r="E48" s="44" t="s">
        <v>309</v>
      </c>
      <c r="F48" s="47" t="s">
        <v>190</v>
      </c>
      <c r="G48" s="47" t="s">
        <v>187</v>
      </c>
      <c r="H48" s="50">
        <v>34233</v>
      </c>
      <c r="I48" s="50">
        <v>69084</v>
      </c>
      <c r="J48" s="50">
        <v>522904</v>
      </c>
      <c r="K48" s="50">
        <v>1</v>
      </c>
      <c r="L48" s="46" t="s">
        <v>84</v>
      </c>
      <c r="M48" s="44" t="s">
        <v>191</v>
      </c>
      <c r="N48" s="46" t="s">
        <v>61</v>
      </c>
      <c r="O48" s="46"/>
      <c r="P48" s="47"/>
      <c r="Q48" s="46"/>
      <c r="R48" s="46"/>
      <c r="S48" s="48">
        <v>44529</v>
      </c>
      <c r="T48" s="61" t="str">
        <f>IF(Tableau1[[#This Row],[DMS_SAP]]="","",HYPERLINK(Tableau1[[#This Row],[Chemin fichier source]],"X"))</f>
        <v>X</v>
      </c>
      <c r="U48" s="61" t="str">
        <f ca="1">IF(Tableau1[[#This Row],[Date rév.]]="","",HYPERLINK(Tableau1[[#This Row],[Lien document]],"X"))</f>
        <v>X</v>
      </c>
      <c r="V48" s="47" t="s">
        <v>348</v>
      </c>
      <c r="W48" s="49" t="str">
        <f ca="1">Chemin_accès!$B$2&amp;Tableau1[[#This Row],[Poste Responsable]]&amp;"\"&amp;Tableau1[[#This Row],[Localisation / Classement]]&amp;"\"&amp;Tableau1[[#This Row],[Poste technique]]&amp;"_"&amp;Tableau1[[#This Row],[Plan Entretien]]&amp;".pdf"</f>
        <v>\\stjn.local\trimet\Donnees_Projets\Dms Sap\Maintenance\PlanEntretien\7.MSCT\LEVAGE\T130-L110_34233.pdf</v>
      </c>
      <c r="X48" s="47">
        <v>1.75</v>
      </c>
      <c r="Y48" s="47">
        <v>2</v>
      </c>
      <c r="Z48" s="44" t="str">
        <f ca="1">IF(AND(Tableau1[[#This Row],[Charge]]&lt;&gt;0, Tableau1[[#This Row],[Nombre intervenants]]&lt;&gt;0,Tableau1[[#This Row],[Lien document]]&lt;&gt;0,Tableau1[[#This Row],[DMS_SAP]]&lt;&gt;0)=TRUE,"MIS A JOUR","")</f>
        <v>MIS A JOUR</v>
      </c>
      <c r="AA48" s="48">
        <v>45663</v>
      </c>
      <c r="AB48" s="58">
        <f ca="1">IF(Tableau1[[#This Row],[Date rév.]]&lt;&gt;"", DAYS360(Tableau1[[#This Row],[Date rév.]],TODAY()),"")</f>
        <v>618</v>
      </c>
      <c r="AC48" s="47" t="str">
        <f>IFERROR(INDEX(Chemin_accès!$B$11:$C$22,MATCH(Tableau1[[#This Row],[Type]],Chemin_accès!$C$11:$C$22,0),1),Chemin_accès!$B$11)</f>
        <v>\\stjn.local\trimet\Btechnique\Commun\BT Maint SCELLEMENT\205 - Préventifs\Modèles préventif\GammeDMS_7.MSCT.xlsm</v>
      </c>
      <c r="AD48" s="47" t="str">
        <f>Chemin_accès!$B$8&amp;Tableau1[[#This Row],[Localisation / Classement]]&amp;"\"&amp;Tableau1[[#This Row],[Poste technique]]&amp;"_"&amp;Tableau1[[#This Row],[Plan Entretien]]&amp;".xlsm"</f>
        <v>\\stjn.local\trimet\Btechnique\Commun\BT Maint SCELLEMENT\205 - Préventifs\Gammes 7.MSCT PE Tool\LEVAGE\T130-L110_34233.xlsm</v>
      </c>
    </row>
    <row r="49" spans="1:30" x14ac:dyDescent="0.3">
      <c r="A49" s="44" t="str">
        <f t="shared" ca="1" si="0"/>
        <v>7.MSCT</v>
      </c>
      <c r="B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 s="46" t="s">
        <v>314</v>
      </c>
      <c r="D49" s="44" t="s">
        <v>185</v>
      </c>
      <c r="E49" s="44" t="s">
        <v>309</v>
      </c>
      <c r="F49" s="47" t="s">
        <v>190</v>
      </c>
      <c r="G49" s="47" t="s">
        <v>187</v>
      </c>
      <c r="H49" s="50">
        <v>34234</v>
      </c>
      <c r="I49" s="50">
        <v>69085</v>
      </c>
      <c r="J49" s="50">
        <v>522904</v>
      </c>
      <c r="K49" s="50">
        <v>2</v>
      </c>
      <c r="L49" s="46" t="s">
        <v>84</v>
      </c>
      <c r="M49" s="44" t="s">
        <v>192</v>
      </c>
      <c r="N49" s="46" t="s">
        <v>60</v>
      </c>
      <c r="O49" s="46"/>
      <c r="P49" s="47"/>
      <c r="Q49" s="46"/>
      <c r="R49" s="46"/>
      <c r="S49" s="48">
        <v>44529</v>
      </c>
      <c r="T49" s="61" t="str">
        <f>IF(Tableau1[[#This Row],[DMS_SAP]]="","",HYPERLINK(Tableau1[[#This Row],[Chemin fichier source]],"X"))</f>
        <v>X</v>
      </c>
      <c r="U49" s="61" t="str">
        <f ca="1">IF(Tableau1[[#This Row],[Date rév.]]="","",HYPERLINK(Tableau1[[#This Row],[Lien document]],"X"))</f>
        <v>X</v>
      </c>
      <c r="V49" s="47" t="s">
        <v>353</v>
      </c>
      <c r="W49" s="49" t="str">
        <f ca="1">Chemin_accès!$B$2&amp;Tableau1[[#This Row],[Poste Responsable]]&amp;"\"&amp;Tableau1[[#This Row],[Localisation / Classement]]&amp;"\"&amp;Tableau1[[#This Row],[Poste technique]]&amp;"_"&amp;Tableau1[[#This Row],[Plan Entretien]]&amp;".pdf"</f>
        <v>\\stjn.local\trimet\Donnees_Projets\Dms Sap\Maintenance\PlanEntretien\7.MSCT\LEVAGE\T130-L110_34234.pdf</v>
      </c>
      <c r="X49" s="47">
        <v>3.5</v>
      </c>
      <c r="Y49" s="47">
        <v>2</v>
      </c>
      <c r="Z49" s="44" t="str">
        <f ca="1">IF(AND(Tableau1[[#This Row],[Charge]]&lt;&gt;0, Tableau1[[#This Row],[Nombre intervenants]]&lt;&gt;0,Tableau1[[#This Row],[Lien document]]&lt;&gt;0,Tableau1[[#This Row],[DMS_SAP]]&lt;&gt;0)=TRUE,"MIS A JOUR","")</f>
        <v>MIS A JOUR</v>
      </c>
      <c r="AA49" s="48">
        <v>44735</v>
      </c>
      <c r="AB49" s="58">
        <f ca="1">IF(Tableau1[[#This Row],[Date rév.]]&lt;&gt;"", DAYS360(Tableau1[[#This Row],[Date rév.]],TODAY()),"")</f>
        <v>1531</v>
      </c>
      <c r="AC49" s="47" t="str">
        <f>IFERROR(INDEX(Chemin_accès!$B$11:$C$22,MATCH(Tableau1[[#This Row],[Type]],Chemin_accès!$C$11:$C$22,0),1),Chemin_accès!$B$11)</f>
        <v>\\stjn.local\trimet\Btechnique\Commun\BT Maint SCELLEMENT\205 - Préventifs\Modèles préventif\GammeDMS_7.MSCT.xlsm</v>
      </c>
      <c r="AD49" s="47" t="str">
        <f>Chemin_accès!$B$8&amp;Tableau1[[#This Row],[Localisation / Classement]]&amp;"\"&amp;Tableau1[[#This Row],[Poste technique]]&amp;"_"&amp;Tableau1[[#This Row],[Plan Entretien]]&amp;".xlsm"</f>
        <v>\\stjn.local\trimet\Btechnique\Commun\BT Maint SCELLEMENT\205 - Préventifs\Gammes 7.MSCT PE Tool\LEVAGE\T130-L110_34234.xlsm</v>
      </c>
    </row>
    <row r="50" spans="1:30" x14ac:dyDescent="0.3">
      <c r="A50" s="44" t="str">
        <f t="shared" ca="1" si="0"/>
        <v>7.MSCT</v>
      </c>
      <c r="B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 s="46" t="s">
        <v>314</v>
      </c>
      <c r="D50" s="44" t="s">
        <v>185</v>
      </c>
      <c r="E50" s="44" t="s">
        <v>309</v>
      </c>
      <c r="F50" s="47" t="s">
        <v>193</v>
      </c>
      <c r="G50" s="47" t="s">
        <v>187</v>
      </c>
      <c r="H50" s="50">
        <v>34235</v>
      </c>
      <c r="I50" s="50">
        <v>69086</v>
      </c>
      <c r="J50" s="50">
        <v>522905</v>
      </c>
      <c r="K50" s="50">
        <v>1</v>
      </c>
      <c r="L50" s="46" t="s">
        <v>84</v>
      </c>
      <c r="M50" s="44" t="s">
        <v>194</v>
      </c>
      <c r="N50" s="46" t="s">
        <v>61</v>
      </c>
      <c r="O50" s="46"/>
      <c r="P50" s="47"/>
      <c r="Q50" s="46"/>
      <c r="R50" s="46"/>
      <c r="S50" s="48">
        <v>44529</v>
      </c>
      <c r="T50" s="61" t="str">
        <f>IF(Tableau1[[#This Row],[DMS_SAP]]="","",HYPERLINK(Tableau1[[#This Row],[Chemin fichier source]],"X"))</f>
        <v>X</v>
      </c>
      <c r="U50" s="61" t="str">
        <f ca="1">IF(Tableau1[[#This Row],[Date rév.]]="","",HYPERLINK(Tableau1[[#This Row],[Lien document]],"X"))</f>
        <v>X</v>
      </c>
      <c r="V50" s="47" t="s">
        <v>349</v>
      </c>
      <c r="W50" s="49" t="str">
        <f ca="1">Chemin_accès!$B$2&amp;Tableau1[[#This Row],[Poste Responsable]]&amp;"\"&amp;Tableau1[[#This Row],[Localisation / Classement]]&amp;"\"&amp;Tableau1[[#This Row],[Poste technique]]&amp;"_"&amp;Tableau1[[#This Row],[Plan Entretien]]&amp;".pdf"</f>
        <v>\\stjn.local\trimet\Donnees_Projets\Dms Sap\Maintenance\PlanEntretien\7.MSCT\LEVAGE\T130-L120_34235.pdf</v>
      </c>
      <c r="X50" s="47">
        <v>1.75</v>
      </c>
      <c r="Y50" s="47">
        <v>2</v>
      </c>
      <c r="Z50" s="44" t="str">
        <f ca="1">IF(AND(Tableau1[[#This Row],[Charge]]&lt;&gt;0, Tableau1[[#This Row],[Nombre intervenants]]&lt;&gt;0,Tableau1[[#This Row],[Lien document]]&lt;&gt;0,Tableau1[[#This Row],[DMS_SAP]]&lt;&gt;0)=TRUE,"MIS A JOUR","")</f>
        <v>MIS A JOUR</v>
      </c>
      <c r="AA50" s="48">
        <v>44735</v>
      </c>
      <c r="AB50" s="58">
        <f ca="1">IF(Tableau1[[#This Row],[Date rév.]]&lt;&gt;"", DAYS360(Tableau1[[#This Row],[Date rév.]],TODAY()),"")</f>
        <v>1531</v>
      </c>
      <c r="AC50" s="47" t="str">
        <f>IFERROR(INDEX(Chemin_accès!$B$11:$C$22,MATCH(Tableau1[[#This Row],[Type]],Chemin_accès!$C$11:$C$22,0),1),Chemin_accès!$B$11)</f>
        <v>\\stjn.local\trimet\Btechnique\Commun\BT Maint SCELLEMENT\205 - Préventifs\Modèles préventif\GammeDMS_7.MSCT.xlsm</v>
      </c>
      <c r="AD50" s="47" t="str">
        <f>Chemin_accès!$B$8&amp;Tableau1[[#This Row],[Localisation / Classement]]&amp;"\"&amp;Tableau1[[#This Row],[Poste technique]]&amp;"_"&amp;Tableau1[[#This Row],[Plan Entretien]]&amp;".xlsm"</f>
        <v>\\stjn.local\trimet\Btechnique\Commun\BT Maint SCELLEMENT\205 - Préventifs\Gammes 7.MSCT PE Tool\LEVAGE\T130-L120_34235.xlsm</v>
      </c>
    </row>
    <row r="51" spans="1:30" x14ac:dyDescent="0.3">
      <c r="A51" s="44" t="str">
        <f t="shared" ca="1" si="0"/>
        <v>7.MSCT</v>
      </c>
      <c r="B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 s="46" t="s">
        <v>314</v>
      </c>
      <c r="D51" s="44" t="s">
        <v>185</v>
      </c>
      <c r="E51" s="44" t="s">
        <v>309</v>
      </c>
      <c r="F51" s="47" t="s">
        <v>193</v>
      </c>
      <c r="G51" s="47" t="s">
        <v>187</v>
      </c>
      <c r="H51" s="50">
        <v>34236</v>
      </c>
      <c r="I51" s="50">
        <v>69087</v>
      </c>
      <c r="J51" s="50">
        <v>522905</v>
      </c>
      <c r="K51" s="50">
        <v>2</v>
      </c>
      <c r="L51" s="46" t="s">
        <v>84</v>
      </c>
      <c r="M51" s="44" t="s">
        <v>195</v>
      </c>
      <c r="N51" s="46" t="s">
        <v>60</v>
      </c>
      <c r="O51" s="46"/>
      <c r="P51" s="47"/>
      <c r="Q51" s="46"/>
      <c r="R51" s="46"/>
      <c r="S51" s="48">
        <v>44529</v>
      </c>
      <c r="T51" s="61" t="str">
        <f>IF(Tableau1[[#This Row],[DMS_SAP]]="","",HYPERLINK(Tableau1[[#This Row],[Chemin fichier source]],"X"))</f>
        <v>X</v>
      </c>
      <c r="U51" s="61" t="str">
        <f ca="1">IF(Tableau1[[#This Row],[Date rév.]]="","",HYPERLINK(Tableau1[[#This Row],[Lien document]],"X"))</f>
        <v>X</v>
      </c>
      <c r="V51" s="47" t="s">
        <v>354</v>
      </c>
      <c r="W51" s="49" t="str">
        <f ca="1">Chemin_accès!$B$2&amp;Tableau1[[#This Row],[Poste Responsable]]&amp;"\"&amp;Tableau1[[#This Row],[Localisation / Classement]]&amp;"\"&amp;Tableau1[[#This Row],[Poste technique]]&amp;"_"&amp;Tableau1[[#This Row],[Plan Entretien]]&amp;".pdf"</f>
        <v>\\stjn.local\trimet\Donnees_Projets\Dms Sap\Maintenance\PlanEntretien\7.MSCT\LEVAGE\T130-L120_34236.pdf</v>
      </c>
      <c r="X51" s="47">
        <v>3.5</v>
      </c>
      <c r="Y51" s="47">
        <v>2</v>
      </c>
      <c r="Z51" s="44" t="str">
        <f ca="1">IF(AND(Tableau1[[#This Row],[Charge]]&lt;&gt;0, Tableau1[[#This Row],[Nombre intervenants]]&lt;&gt;0,Tableau1[[#This Row],[Lien document]]&lt;&gt;0,Tableau1[[#This Row],[DMS_SAP]]&lt;&gt;0)=TRUE,"MIS A JOUR","")</f>
        <v>MIS A JOUR</v>
      </c>
      <c r="AA51" s="48">
        <v>44792</v>
      </c>
      <c r="AB51" s="58">
        <f ca="1">IF(Tableau1[[#This Row],[Date rév.]]&lt;&gt;"", DAYS360(Tableau1[[#This Row],[Date rév.]],TODAY()),"")</f>
        <v>1475</v>
      </c>
      <c r="AC51" s="47" t="str">
        <f>IFERROR(INDEX(Chemin_accès!$B$11:$C$22,MATCH(Tableau1[[#This Row],[Type]],Chemin_accès!$C$11:$C$22,0),1),Chemin_accès!$B$11)</f>
        <v>\\stjn.local\trimet\Btechnique\Commun\BT Maint SCELLEMENT\205 - Préventifs\Modèles préventif\GammeDMS_7.MSCT.xlsm</v>
      </c>
      <c r="AD51" s="47" t="str">
        <f>Chemin_accès!$B$8&amp;Tableau1[[#This Row],[Localisation / Classement]]&amp;"\"&amp;Tableau1[[#This Row],[Poste technique]]&amp;"_"&amp;Tableau1[[#This Row],[Plan Entretien]]&amp;".xlsm"</f>
        <v>\\stjn.local\trimet\Btechnique\Commun\BT Maint SCELLEMENT\205 - Préventifs\Gammes 7.MSCT PE Tool\LEVAGE\T130-L120_34236.xlsm</v>
      </c>
    </row>
    <row r="52" spans="1:30" x14ac:dyDescent="0.3">
      <c r="A52" s="44" t="str">
        <f t="shared" ca="1" si="0"/>
        <v>7.MSCT</v>
      </c>
      <c r="B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 s="46" t="s">
        <v>314</v>
      </c>
      <c r="D52" s="44" t="s">
        <v>185</v>
      </c>
      <c r="E52" s="44" t="s">
        <v>309</v>
      </c>
      <c r="F52" s="47" t="s">
        <v>196</v>
      </c>
      <c r="G52" s="47" t="s">
        <v>187</v>
      </c>
      <c r="H52" s="50">
        <v>34237</v>
      </c>
      <c r="I52" s="50">
        <v>69088</v>
      </c>
      <c r="J52" s="50">
        <v>522906</v>
      </c>
      <c r="K52" s="50">
        <v>1</v>
      </c>
      <c r="L52" s="46" t="s">
        <v>84</v>
      </c>
      <c r="M52" s="44" t="s">
        <v>197</v>
      </c>
      <c r="N52" s="46" t="s">
        <v>61</v>
      </c>
      <c r="O52" s="46"/>
      <c r="P52" s="47"/>
      <c r="Q52" s="46"/>
      <c r="R52" s="46"/>
      <c r="S52" s="48">
        <v>44529</v>
      </c>
      <c r="T52" s="61" t="str">
        <f>IF(Tableau1[[#This Row],[DMS_SAP]]="","",HYPERLINK(Tableau1[[#This Row],[Chemin fichier source]],"X"))</f>
        <v>X</v>
      </c>
      <c r="U52" s="61" t="str">
        <f ca="1">IF(Tableau1[[#This Row],[Date rév.]]="","",HYPERLINK(Tableau1[[#This Row],[Lien document]],"X"))</f>
        <v>X</v>
      </c>
      <c r="V52" s="47" t="s">
        <v>350</v>
      </c>
      <c r="W52" s="49" t="str">
        <f ca="1">Chemin_accès!$B$2&amp;Tableau1[[#This Row],[Poste Responsable]]&amp;"\"&amp;Tableau1[[#This Row],[Localisation / Classement]]&amp;"\"&amp;Tableau1[[#This Row],[Poste technique]]&amp;"_"&amp;Tableau1[[#This Row],[Plan Entretien]]&amp;".pdf"</f>
        <v>\\stjn.local\trimet\Donnees_Projets\Dms Sap\Maintenance\PlanEntretien\7.MSCT\LEVAGE\T130-L130_34237.pdf</v>
      </c>
      <c r="X52" s="47">
        <v>1.75</v>
      </c>
      <c r="Y52" s="47">
        <v>2</v>
      </c>
      <c r="Z52" s="44" t="str">
        <f ca="1">IF(AND(Tableau1[[#This Row],[Charge]]&lt;&gt;0, Tableau1[[#This Row],[Nombre intervenants]]&lt;&gt;0,Tableau1[[#This Row],[Lien document]]&lt;&gt;0,Tableau1[[#This Row],[DMS_SAP]]&lt;&gt;0)=TRUE,"MIS A JOUR","")</f>
        <v>MIS A JOUR</v>
      </c>
      <c r="AA52" s="48">
        <v>44735</v>
      </c>
      <c r="AB52" s="58">
        <f ca="1">IF(Tableau1[[#This Row],[Date rév.]]&lt;&gt;"", DAYS360(Tableau1[[#This Row],[Date rév.]],TODAY()),"")</f>
        <v>1531</v>
      </c>
      <c r="AC52" s="47" t="str">
        <f>IFERROR(INDEX(Chemin_accès!$B$11:$C$22,MATCH(Tableau1[[#This Row],[Type]],Chemin_accès!$C$11:$C$22,0),1),Chemin_accès!$B$11)</f>
        <v>\\stjn.local\trimet\Btechnique\Commun\BT Maint SCELLEMENT\205 - Préventifs\Modèles préventif\GammeDMS_7.MSCT.xlsm</v>
      </c>
      <c r="AD52" s="47" t="str">
        <f>Chemin_accès!$B$8&amp;Tableau1[[#This Row],[Localisation / Classement]]&amp;"\"&amp;Tableau1[[#This Row],[Poste technique]]&amp;"_"&amp;Tableau1[[#This Row],[Plan Entretien]]&amp;".xlsm"</f>
        <v>\\stjn.local\trimet\Btechnique\Commun\BT Maint SCELLEMENT\205 - Préventifs\Gammes 7.MSCT PE Tool\LEVAGE\T130-L130_34237.xlsm</v>
      </c>
    </row>
    <row r="53" spans="1:30" x14ac:dyDescent="0.3">
      <c r="A53" s="44" t="str">
        <f t="shared" ca="1" si="0"/>
        <v>7.MSCT</v>
      </c>
      <c r="B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 s="46" t="s">
        <v>314</v>
      </c>
      <c r="D53" s="44" t="s">
        <v>185</v>
      </c>
      <c r="E53" s="44" t="s">
        <v>309</v>
      </c>
      <c r="F53" s="47" t="s">
        <v>196</v>
      </c>
      <c r="G53" s="47" t="s">
        <v>187</v>
      </c>
      <c r="H53" s="50">
        <v>34238</v>
      </c>
      <c r="I53" s="50">
        <v>69089</v>
      </c>
      <c r="J53" s="50">
        <v>522906</v>
      </c>
      <c r="K53" s="50">
        <v>2</v>
      </c>
      <c r="L53" s="46" t="s">
        <v>84</v>
      </c>
      <c r="M53" s="44" t="s">
        <v>198</v>
      </c>
      <c r="N53" s="46" t="s">
        <v>60</v>
      </c>
      <c r="O53" s="46"/>
      <c r="P53" s="47"/>
      <c r="Q53" s="46"/>
      <c r="R53" s="46"/>
      <c r="S53" s="48">
        <v>44529</v>
      </c>
      <c r="T53" s="61" t="str">
        <f>IF(Tableau1[[#This Row],[DMS_SAP]]="","",HYPERLINK(Tableau1[[#This Row],[Chemin fichier source]],"X"))</f>
        <v>X</v>
      </c>
      <c r="U53" s="61" t="str">
        <f ca="1">IF(Tableau1[[#This Row],[Date rév.]]="","",HYPERLINK(Tableau1[[#This Row],[Lien document]],"X"))</f>
        <v>X</v>
      </c>
      <c r="V53" s="47" t="s">
        <v>355</v>
      </c>
      <c r="W53" s="49" t="str">
        <f ca="1">Chemin_accès!$B$2&amp;Tableau1[[#This Row],[Poste Responsable]]&amp;"\"&amp;Tableau1[[#This Row],[Localisation / Classement]]&amp;"\"&amp;Tableau1[[#This Row],[Poste technique]]&amp;"_"&amp;Tableau1[[#This Row],[Plan Entretien]]&amp;".pdf"</f>
        <v>\\stjn.local\trimet\Donnees_Projets\Dms Sap\Maintenance\PlanEntretien\7.MSCT\LEVAGE\T130-L130_34238.pdf</v>
      </c>
      <c r="X53" s="47">
        <v>3.5</v>
      </c>
      <c r="Y53" s="47">
        <v>2</v>
      </c>
      <c r="Z53" s="44" t="str">
        <f ca="1">IF(AND(Tableau1[[#This Row],[Charge]]&lt;&gt;0, Tableau1[[#This Row],[Nombre intervenants]]&lt;&gt;0,Tableau1[[#This Row],[Lien document]]&lt;&gt;0,Tableau1[[#This Row],[DMS_SAP]]&lt;&gt;0)=TRUE,"MIS A JOUR","")</f>
        <v>MIS A JOUR</v>
      </c>
      <c r="AA53" s="48">
        <v>44735</v>
      </c>
      <c r="AB53" s="58">
        <f ca="1">IF(Tableau1[[#This Row],[Date rév.]]&lt;&gt;"", DAYS360(Tableau1[[#This Row],[Date rév.]],TODAY()),"")</f>
        <v>1531</v>
      </c>
      <c r="AC53" s="47" t="str">
        <f>IFERROR(INDEX(Chemin_accès!$B$11:$C$22,MATCH(Tableau1[[#This Row],[Type]],Chemin_accès!$C$11:$C$22,0),1),Chemin_accès!$B$11)</f>
        <v>\\stjn.local\trimet\Btechnique\Commun\BT Maint SCELLEMENT\205 - Préventifs\Modèles préventif\GammeDMS_7.MSCT.xlsm</v>
      </c>
      <c r="AD53" s="47" t="str">
        <f>Chemin_accès!$B$8&amp;Tableau1[[#This Row],[Localisation / Classement]]&amp;"\"&amp;Tableau1[[#This Row],[Poste technique]]&amp;"_"&amp;Tableau1[[#This Row],[Plan Entretien]]&amp;".xlsm"</f>
        <v>\\stjn.local\trimet\Btechnique\Commun\BT Maint SCELLEMENT\205 - Préventifs\Gammes 7.MSCT PE Tool\LEVAGE\T130-L130_34238.xlsm</v>
      </c>
    </row>
    <row r="54" spans="1:30" x14ac:dyDescent="0.3">
      <c r="A54" s="44" t="str">
        <f t="shared" ca="1" si="0"/>
        <v>7.MSCT</v>
      </c>
      <c r="B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 s="46" t="s">
        <v>314</v>
      </c>
      <c r="D54" s="44" t="s">
        <v>185</v>
      </c>
      <c r="E54" s="44" t="s">
        <v>309</v>
      </c>
      <c r="F54" s="47" t="s">
        <v>199</v>
      </c>
      <c r="G54" s="47" t="s">
        <v>187</v>
      </c>
      <c r="H54" s="50">
        <v>34239</v>
      </c>
      <c r="I54" s="50">
        <v>69090</v>
      </c>
      <c r="J54" s="50">
        <v>522907</v>
      </c>
      <c r="K54" s="50">
        <v>1</v>
      </c>
      <c r="L54" s="46" t="s">
        <v>84</v>
      </c>
      <c r="M54" s="44" t="s">
        <v>200</v>
      </c>
      <c r="N54" s="46" t="s">
        <v>61</v>
      </c>
      <c r="O54" s="46"/>
      <c r="P54" s="47"/>
      <c r="Q54" s="46"/>
      <c r="R54" s="46"/>
      <c r="S54" s="48">
        <v>44529</v>
      </c>
      <c r="T54" s="61" t="str">
        <f>IF(Tableau1[[#This Row],[DMS_SAP]]="","",HYPERLINK(Tableau1[[#This Row],[Chemin fichier source]],"X"))</f>
        <v>X</v>
      </c>
      <c r="U54" s="61" t="str">
        <f ca="1">IF(Tableau1[[#This Row],[Date rév.]]="","",HYPERLINK(Tableau1[[#This Row],[Lien document]],"X"))</f>
        <v>X</v>
      </c>
      <c r="V54" s="47" t="s">
        <v>351</v>
      </c>
      <c r="W54" s="49" t="str">
        <f ca="1">Chemin_accès!$B$2&amp;Tableau1[[#This Row],[Poste Responsable]]&amp;"\"&amp;Tableau1[[#This Row],[Localisation / Classement]]&amp;"\"&amp;Tableau1[[#This Row],[Poste technique]]&amp;"_"&amp;Tableau1[[#This Row],[Plan Entretien]]&amp;".pdf"</f>
        <v>\\stjn.local\trimet\Donnees_Projets\Dms Sap\Maintenance\PlanEntretien\7.MSCT\LEVAGE\T130-L140_34239.pdf</v>
      </c>
      <c r="X54" s="47">
        <v>1.75</v>
      </c>
      <c r="Y54" s="47">
        <v>2</v>
      </c>
      <c r="Z54" s="44" t="str">
        <f ca="1">IF(AND(Tableau1[[#This Row],[Charge]]&lt;&gt;0, Tableau1[[#This Row],[Nombre intervenants]]&lt;&gt;0,Tableau1[[#This Row],[Lien document]]&lt;&gt;0,Tableau1[[#This Row],[DMS_SAP]]&lt;&gt;0)=TRUE,"MIS A JOUR","")</f>
        <v>MIS A JOUR</v>
      </c>
      <c r="AA54" s="48">
        <v>46106</v>
      </c>
      <c r="AB54" s="58">
        <f ca="1">IF(Tableau1[[#This Row],[Date rév.]]&lt;&gt;"", DAYS360(Tableau1[[#This Row],[Date rév.]],TODAY()),"")</f>
        <v>179</v>
      </c>
      <c r="AC54" s="47" t="str">
        <f>IFERROR(INDEX(Chemin_accès!$B$11:$C$22,MATCH(Tableau1[[#This Row],[Type]],Chemin_accès!$C$11:$C$22,0),1),Chemin_accès!$B$11)</f>
        <v>\\stjn.local\trimet\Btechnique\Commun\BT Maint SCELLEMENT\205 - Préventifs\Modèles préventif\GammeDMS_7.MSCT.xlsm</v>
      </c>
      <c r="AD54" s="47" t="str">
        <f>Chemin_accès!$B$8&amp;Tableau1[[#This Row],[Localisation / Classement]]&amp;"\"&amp;Tableau1[[#This Row],[Poste technique]]&amp;"_"&amp;Tableau1[[#This Row],[Plan Entretien]]&amp;".xlsm"</f>
        <v>\\stjn.local\trimet\Btechnique\Commun\BT Maint SCELLEMENT\205 - Préventifs\Gammes 7.MSCT PE Tool\LEVAGE\T130-L140_34239.xlsm</v>
      </c>
    </row>
    <row r="55" spans="1:30" x14ac:dyDescent="0.3">
      <c r="A55" s="44" t="str">
        <f t="shared" ca="1" si="0"/>
        <v>7.MSCT</v>
      </c>
      <c r="B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 s="46" t="s">
        <v>314</v>
      </c>
      <c r="D55" s="44" t="s">
        <v>185</v>
      </c>
      <c r="E55" s="44" t="s">
        <v>309</v>
      </c>
      <c r="F55" s="47" t="s">
        <v>199</v>
      </c>
      <c r="G55" s="47" t="s">
        <v>187</v>
      </c>
      <c r="H55" s="50">
        <v>34240</v>
      </c>
      <c r="I55" s="50">
        <v>69091</v>
      </c>
      <c r="J55" s="50">
        <v>522907</v>
      </c>
      <c r="K55" s="50">
        <v>2</v>
      </c>
      <c r="L55" s="46" t="s">
        <v>84</v>
      </c>
      <c r="M55" s="44" t="s">
        <v>201</v>
      </c>
      <c r="N55" s="46" t="s">
        <v>60</v>
      </c>
      <c r="O55" s="46"/>
      <c r="P55" s="47"/>
      <c r="Q55" s="46"/>
      <c r="R55" s="46"/>
      <c r="S55" s="48">
        <v>44529</v>
      </c>
      <c r="T55" s="61" t="str">
        <f>IF(Tableau1[[#This Row],[DMS_SAP]]="","",HYPERLINK(Tableau1[[#This Row],[Chemin fichier source]],"X"))</f>
        <v>X</v>
      </c>
      <c r="U55" s="61" t="str">
        <f ca="1">IF(Tableau1[[#This Row],[Date rév.]]="","",HYPERLINK(Tableau1[[#This Row],[Lien document]],"X"))</f>
        <v>X</v>
      </c>
      <c r="V55" s="47" t="s">
        <v>356</v>
      </c>
      <c r="W55" s="49" t="str">
        <f ca="1">Chemin_accès!$B$2&amp;Tableau1[[#This Row],[Poste Responsable]]&amp;"\"&amp;Tableau1[[#This Row],[Localisation / Classement]]&amp;"\"&amp;Tableau1[[#This Row],[Poste technique]]&amp;"_"&amp;Tableau1[[#This Row],[Plan Entretien]]&amp;".pdf"</f>
        <v>\\stjn.local\trimet\Donnees_Projets\Dms Sap\Maintenance\PlanEntretien\7.MSCT\LEVAGE\T130-L140_34240.pdf</v>
      </c>
      <c r="X55" s="47">
        <v>3.5</v>
      </c>
      <c r="Y55" s="47">
        <v>2</v>
      </c>
      <c r="Z55" s="44" t="str">
        <f ca="1">IF(AND(Tableau1[[#This Row],[Charge]]&lt;&gt;0, Tableau1[[#This Row],[Nombre intervenants]]&lt;&gt;0,Tableau1[[#This Row],[Lien document]]&lt;&gt;0,Tableau1[[#This Row],[DMS_SAP]]&lt;&gt;0)=TRUE,"MIS A JOUR","")</f>
        <v>MIS A JOUR</v>
      </c>
      <c r="AA55" s="48">
        <v>44735</v>
      </c>
      <c r="AB55" s="58">
        <f ca="1">IF(Tableau1[[#This Row],[Date rév.]]&lt;&gt;"", DAYS360(Tableau1[[#This Row],[Date rév.]],TODAY()),"")</f>
        <v>1531</v>
      </c>
      <c r="AC55" s="47" t="str">
        <f>IFERROR(INDEX(Chemin_accès!$B$11:$C$22,MATCH(Tableau1[[#This Row],[Type]],Chemin_accès!$C$11:$C$22,0),1),Chemin_accès!$B$11)</f>
        <v>\\stjn.local\trimet\Btechnique\Commun\BT Maint SCELLEMENT\205 - Préventifs\Modèles préventif\GammeDMS_7.MSCT.xlsm</v>
      </c>
      <c r="AD55" s="47" t="str">
        <f>Chemin_accès!$B$8&amp;Tableau1[[#This Row],[Localisation / Classement]]&amp;"\"&amp;Tableau1[[#This Row],[Poste technique]]&amp;"_"&amp;Tableau1[[#This Row],[Plan Entretien]]&amp;".xlsm"</f>
        <v>\\stjn.local\trimet\Btechnique\Commun\BT Maint SCELLEMENT\205 - Préventifs\Gammes 7.MSCT PE Tool\LEVAGE\T130-L140_34240.xlsm</v>
      </c>
    </row>
    <row r="56" spans="1:30" x14ac:dyDescent="0.3">
      <c r="A56" s="44" t="str">
        <f t="shared" ca="1" si="0"/>
        <v>7.MSCT</v>
      </c>
      <c r="B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 s="46" t="s">
        <v>314</v>
      </c>
      <c r="D56" s="44" t="s">
        <v>185</v>
      </c>
      <c r="E56" s="44" t="s">
        <v>309</v>
      </c>
      <c r="F56" s="47" t="s">
        <v>202</v>
      </c>
      <c r="G56" s="47" t="s">
        <v>187</v>
      </c>
      <c r="H56" s="50">
        <v>34241</v>
      </c>
      <c r="I56" s="50">
        <v>69092</v>
      </c>
      <c r="J56" s="50">
        <v>522908</v>
      </c>
      <c r="K56" s="50">
        <v>1</v>
      </c>
      <c r="L56" s="46" t="s">
        <v>84</v>
      </c>
      <c r="M56" s="44" t="s">
        <v>203</v>
      </c>
      <c r="N56" s="46" t="s">
        <v>61</v>
      </c>
      <c r="O56" s="46"/>
      <c r="P56" s="47"/>
      <c r="Q56" s="46"/>
      <c r="R56" s="46"/>
      <c r="S56" s="48">
        <v>44529</v>
      </c>
      <c r="T56" s="61" t="str">
        <f>IF(Tableau1[[#This Row],[DMS_SAP]]="","",HYPERLINK(Tableau1[[#This Row],[Chemin fichier source]],"X"))</f>
        <v>X</v>
      </c>
      <c r="U56" s="61" t="str">
        <f ca="1">IF(Tableau1[[#This Row],[Date rév.]]="","",HYPERLINK(Tableau1[[#This Row],[Lien document]],"X"))</f>
        <v>X</v>
      </c>
      <c r="V56" s="47" t="s">
        <v>352</v>
      </c>
      <c r="W56" s="49" t="str">
        <f ca="1">Chemin_accès!$B$2&amp;Tableau1[[#This Row],[Poste Responsable]]&amp;"\"&amp;Tableau1[[#This Row],[Localisation / Classement]]&amp;"\"&amp;Tableau1[[#This Row],[Poste technique]]&amp;"_"&amp;Tableau1[[#This Row],[Plan Entretien]]&amp;".pdf"</f>
        <v>\\stjn.local\trimet\Donnees_Projets\Dms Sap\Maintenance\PlanEntretien\7.MSCT\LEVAGE\T130-L190_34241.pdf</v>
      </c>
      <c r="X56" s="47">
        <v>1.75</v>
      </c>
      <c r="Y56" s="47">
        <v>2</v>
      </c>
      <c r="Z56" s="44" t="str">
        <f ca="1">IF(AND(Tableau1[[#This Row],[Charge]]&lt;&gt;0, Tableau1[[#This Row],[Nombre intervenants]]&lt;&gt;0,Tableau1[[#This Row],[Lien document]]&lt;&gt;0,Tableau1[[#This Row],[DMS_SAP]]&lt;&gt;0)=TRUE,"MIS A JOUR","")</f>
        <v>MIS A JOUR</v>
      </c>
      <c r="AA56" s="48">
        <v>44868</v>
      </c>
      <c r="AB56" s="58">
        <f ca="1">IF(Tableau1[[#This Row],[Date rév.]]&lt;&gt;"", DAYS360(Tableau1[[#This Row],[Date rév.]],TODAY()),"")</f>
        <v>1401</v>
      </c>
      <c r="AC56" s="47" t="str">
        <f>IFERROR(INDEX(Chemin_accès!$B$11:$C$22,MATCH(Tableau1[[#This Row],[Type]],Chemin_accès!$C$11:$C$22,0),1),Chemin_accès!$B$11)</f>
        <v>\\stjn.local\trimet\Btechnique\Commun\BT Maint SCELLEMENT\205 - Préventifs\Modèles préventif\GammeDMS_7.MSCT.xlsm</v>
      </c>
      <c r="AD56" s="47" t="str">
        <f>Chemin_accès!$B$8&amp;Tableau1[[#This Row],[Localisation / Classement]]&amp;"\"&amp;Tableau1[[#This Row],[Poste technique]]&amp;"_"&amp;Tableau1[[#This Row],[Plan Entretien]]&amp;".xlsm"</f>
        <v>\\stjn.local\trimet\Btechnique\Commun\BT Maint SCELLEMENT\205 - Préventifs\Gammes 7.MSCT PE Tool\LEVAGE\T130-L190_34241.xlsm</v>
      </c>
    </row>
    <row r="57" spans="1:30" x14ac:dyDescent="0.3">
      <c r="A57" s="44" t="str">
        <f t="shared" ca="1" si="0"/>
        <v>7.MSCT</v>
      </c>
      <c r="B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7" s="46" t="s">
        <v>314</v>
      </c>
      <c r="D57" s="44" t="s">
        <v>185</v>
      </c>
      <c r="E57" s="44" t="s">
        <v>309</v>
      </c>
      <c r="F57" s="47" t="s">
        <v>202</v>
      </c>
      <c r="G57" s="47" t="s">
        <v>187</v>
      </c>
      <c r="H57" s="50">
        <v>34242</v>
      </c>
      <c r="I57" s="50">
        <v>69093</v>
      </c>
      <c r="J57" s="50">
        <v>522908</v>
      </c>
      <c r="K57" s="50">
        <v>2</v>
      </c>
      <c r="L57" s="46" t="s">
        <v>84</v>
      </c>
      <c r="M57" s="44" t="s">
        <v>204</v>
      </c>
      <c r="N57" s="46" t="s">
        <v>60</v>
      </c>
      <c r="O57" s="46"/>
      <c r="P57" s="47"/>
      <c r="Q57" s="46"/>
      <c r="R57" s="46"/>
      <c r="S57" s="48">
        <v>44529</v>
      </c>
      <c r="T57" s="61" t="str">
        <f>IF(Tableau1[[#This Row],[DMS_SAP]]="","",HYPERLINK(Tableau1[[#This Row],[Chemin fichier source]],"X"))</f>
        <v>X</v>
      </c>
      <c r="U57" s="61" t="str">
        <f ca="1">IF(Tableau1[[#This Row],[Date rév.]]="","",HYPERLINK(Tableau1[[#This Row],[Lien document]],"X"))</f>
        <v>X</v>
      </c>
      <c r="V57" s="47" t="s">
        <v>357</v>
      </c>
      <c r="W57" s="49" t="str">
        <f ca="1">Chemin_accès!$B$2&amp;Tableau1[[#This Row],[Poste Responsable]]&amp;"\"&amp;Tableau1[[#This Row],[Localisation / Classement]]&amp;"\"&amp;Tableau1[[#This Row],[Poste technique]]&amp;"_"&amp;Tableau1[[#This Row],[Plan Entretien]]&amp;".pdf"</f>
        <v>\\stjn.local\trimet\Donnees_Projets\Dms Sap\Maintenance\PlanEntretien\7.MSCT\LEVAGE\T130-L190_34242.pdf</v>
      </c>
      <c r="X57" s="47">
        <v>3.5</v>
      </c>
      <c r="Y57" s="47">
        <v>2</v>
      </c>
      <c r="Z57" s="44" t="str">
        <f ca="1">IF(AND(Tableau1[[#This Row],[Charge]]&lt;&gt;0, Tableau1[[#This Row],[Nombre intervenants]]&lt;&gt;0,Tableau1[[#This Row],[Lien document]]&lt;&gt;0,Tableau1[[#This Row],[DMS_SAP]]&lt;&gt;0)=TRUE,"MIS A JOUR","")</f>
        <v>MIS A JOUR</v>
      </c>
      <c r="AA57" s="48">
        <v>44735</v>
      </c>
      <c r="AB57" s="58">
        <f ca="1">IF(Tableau1[[#This Row],[Date rév.]]&lt;&gt;"", DAYS360(Tableau1[[#This Row],[Date rév.]],TODAY()),"")</f>
        <v>1531</v>
      </c>
      <c r="AC57" s="47" t="str">
        <f>IFERROR(INDEX(Chemin_accès!$B$11:$C$22,MATCH(Tableau1[[#This Row],[Type]],Chemin_accès!$C$11:$C$22,0),1),Chemin_accès!$B$11)</f>
        <v>\\stjn.local\trimet\Btechnique\Commun\BT Maint SCELLEMENT\205 - Préventifs\Modèles préventif\GammeDMS_7.MSCT.xlsm</v>
      </c>
      <c r="AD57" s="47" t="str">
        <f>Chemin_accès!$B$8&amp;Tableau1[[#This Row],[Localisation / Classement]]&amp;"\"&amp;Tableau1[[#This Row],[Poste technique]]&amp;"_"&amp;Tableau1[[#This Row],[Plan Entretien]]&amp;".xlsm"</f>
        <v>\\stjn.local\trimet\Btechnique\Commun\BT Maint SCELLEMENT\205 - Préventifs\Gammes 7.MSCT PE Tool\LEVAGE\T130-L190_34242.xlsm</v>
      </c>
    </row>
    <row r="58" spans="1:30" x14ac:dyDescent="0.3">
      <c r="A58" s="44" t="str">
        <f t="shared" ca="1" si="0"/>
        <v>7.MSCT</v>
      </c>
      <c r="B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 s="46" t="s">
        <v>485</v>
      </c>
      <c r="D58" s="44" t="s">
        <v>185</v>
      </c>
      <c r="E58" s="44" t="s">
        <v>312</v>
      </c>
      <c r="F58" s="47" t="s">
        <v>202</v>
      </c>
      <c r="G58" s="47" t="s">
        <v>187</v>
      </c>
      <c r="H58" s="50">
        <v>34243</v>
      </c>
      <c r="I58" s="50">
        <v>69094</v>
      </c>
      <c r="J58" s="50">
        <v>522908</v>
      </c>
      <c r="K58" s="50"/>
      <c r="L58" s="46"/>
      <c r="M58" s="44" t="s">
        <v>205</v>
      </c>
      <c r="N58" s="46" t="s">
        <v>60</v>
      </c>
      <c r="O58" s="46"/>
      <c r="P58" s="47"/>
      <c r="Q58" s="46"/>
      <c r="R58" s="46"/>
      <c r="S58" s="48">
        <v>44529</v>
      </c>
      <c r="T58" s="61" t="str">
        <f>IF(Tableau1[[#This Row],[DMS_SAP]]="","",HYPERLINK(Tableau1[[#This Row],[Chemin fichier source]],"X"))</f>
        <v/>
      </c>
      <c r="U58" s="61" t="str">
        <f>IF(Tableau1[[#This Row],[Date rév.]]="","",HYPERLINK(Tableau1[[#This Row],[Lien document]],"X"))</f>
        <v/>
      </c>
      <c r="V58" s="47"/>
      <c r="W58" s="49" t="str">
        <f ca="1">Chemin_accès!$B$2&amp;Tableau1[[#This Row],[Poste Responsable]]&amp;"\"&amp;Tableau1[[#This Row],[Localisation / Classement]]&amp;"\"&amp;Tableau1[[#This Row],[Poste technique]]&amp;"_"&amp;Tableau1[[#This Row],[Plan Entretien]]&amp;".pdf"</f>
        <v>\\stjn.local\trimet\Donnees_Projets\Dms Sap\Maintenance\PlanEntretien\7.MSCT\LEVAGE\T130-L190_34243.pdf</v>
      </c>
      <c r="X58" s="47">
        <v>3.5</v>
      </c>
      <c r="Y58" s="47">
        <v>2</v>
      </c>
      <c r="Z58" s="44" t="str">
        <f ca="1">IF(AND(Tableau1[[#This Row],[Charge]]&lt;&gt;0, Tableau1[[#This Row],[Nombre intervenants]]&lt;&gt;0,Tableau1[[#This Row],[Lien document]]&lt;&gt;0,Tableau1[[#This Row],[DMS_SAP]]&lt;&gt;0)=TRUE,"MIS A JOUR","")</f>
        <v/>
      </c>
      <c r="AA58" s="48"/>
      <c r="AB58" s="58" t="str">
        <f ca="1">IF(Tableau1[[#This Row],[Date rév.]]&lt;&gt;"", DAYS360(Tableau1[[#This Row],[Date rév.]],TODAY()),"")</f>
        <v/>
      </c>
      <c r="AC58" s="47" t="str">
        <f>IFERROR(INDEX(Chemin_accès!$B$11:$C$22,MATCH(Tableau1[[#This Row],[Type]],Chemin_accès!$C$11:$C$22,0),1),Chemin_accès!$B$11)</f>
        <v>\\stjn.local\trimet\Btechnique\Commun\BT Maint SCELLEMENT\205 - Préventifs\Modèles préventif\GammeDMS_7.MSCT.xlsm</v>
      </c>
      <c r="AD58" s="47" t="str">
        <f>Chemin_accès!$B$8&amp;Tableau1[[#This Row],[Localisation / Classement]]&amp;"\"&amp;Tableau1[[#This Row],[Poste technique]]&amp;"_"&amp;Tableau1[[#This Row],[Plan Entretien]]&amp;".xlsm"</f>
        <v>\\stjn.local\trimet\Btechnique\Commun\BT Maint SCELLEMENT\205 - Préventifs\Gammes 7.MSCT PE Tool\LEVAGE\T130-L190_34243.xlsm</v>
      </c>
    </row>
    <row r="59" spans="1:30" x14ac:dyDescent="0.3">
      <c r="A59" s="44" t="str">
        <f t="shared" ca="1" si="0"/>
        <v>7.MSCT</v>
      </c>
      <c r="B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9" s="46" t="s">
        <v>314</v>
      </c>
      <c r="D59" s="44" t="s">
        <v>206</v>
      </c>
      <c r="E59" s="44" t="s">
        <v>309</v>
      </c>
      <c r="F59" s="44" t="s">
        <v>207</v>
      </c>
      <c r="G59" s="44" t="s">
        <v>208</v>
      </c>
      <c r="H59" s="50">
        <v>34244</v>
      </c>
      <c r="I59" s="50">
        <v>69095</v>
      </c>
      <c r="J59" s="50">
        <v>522909</v>
      </c>
      <c r="K59" s="50">
        <v>1</v>
      </c>
      <c r="L59" s="46" t="s">
        <v>86</v>
      </c>
      <c r="M59" s="44" t="s">
        <v>209</v>
      </c>
      <c r="N59" s="46" t="s">
        <v>61</v>
      </c>
      <c r="O59" s="46"/>
      <c r="P59" s="47"/>
      <c r="Q59" s="46"/>
      <c r="R59" s="46"/>
      <c r="S59" s="48">
        <v>44529</v>
      </c>
      <c r="T59" s="61" t="str">
        <f>IF(Tableau1[[#This Row],[DMS_SAP]]="","",HYPERLINK(Tableau1[[#This Row],[Chemin fichier source]],"X"))</f>
        <v>X</v>
      </c>
      <c r="U59" s="61" t="str">
        <f ca="1">IF(Tableau1[[#This Row],[Date rév.]]="","",HYPERLINK(Tableau1[[#This Row],[Lien document]],"X"))</f>
        <v>X</v>
      </c>
      <c r="V59" s="47" t="s">
        <v>358</v>
      </c>
      <c r="W59" s="49" t="str">
        <f ca="1">Chemin_accès!$B$2&amp;Tableau1[[#This Row],[Poste Responsable]]&amp;"\"&amp;Tableau1[[#This Row],[Localisation / Classement]]&amp;"\"&amp;Tableau1[[#This Row],[Poste technique]]&amp;"_"&amp;Tableau1[[#This Row],[Plan Entretien]]&amp;".pdf"</f>
        <v>\\stjn.local\trimet\Donnees_Projets\Dms Sap\Maintenance\PlanEntretien\7.MSCT\EVACUATION\T130-M_34244.pdf</v>
      </c>
      <c r="X59" s="47">
        <v>1.75</v>
      </c>
      <c r="Y59" s="47">
        <v>2</v>
      </c>
      <c r="Z59" s="44" t="str">
        <f ca="1">IF(AND(Tableau1[[#This Row],[Charge]]&lt;&gt;0, Tableau1[[#This Row],[Nombre intervenants]]&lt;&gt;0,Tableau1[[#This Row],[Lien document]]&lt;&gt;0,Tableau1[[#This Row],[DMS_SAP]]&lt;&gt;0)=TRUE,"MIS A JOUR","")</f>
        <v>MIS A JOUR</v>
      </c>
      <c r="AA59" s="48">
        <v>44735</v>
      </c>
      <c r="AB59" s="58">
        <f ca="1">IF(Tableau1[[#This Row],[Date rév.]]&lt;&gt;"", DAYS360(Tableau1[[#This Row],[Date rév.]],TODAY()),"")</f>
        <v>1531</v>
      </c>
      <c r="AC59" s="47" t="str">
        <f>IFERROR(INDEX(Chemin_accès!$B$11:$C$22,MATCH(Tableau1[[#This Row],[Type]],Chemin_accès!$C$11:$C$22,0),1),Chemin_accès!$B$11)</f>
        <v>\\stjn.local\trimet\Btechnique\Commun\BT Maint SCELLEMENT\205 - Préventifs\Modèles préventif\GammeDMS_7.MSCT.xlsm</v>
      </c>
      <c r="AD59" s="47" t="str">
        <f>Chemin_accès!$B$8&amp;Tableau1[[#This Row],[Localisation / Classement]]&amp;"\"&amp;Tableau1[[#This Row],[Poste technique]]&amp;"_"&amp;Tableau1[[#This Row],[Plan Entretien]]&amp;".xlsm"</f>
        <v>\\stjn.local\trimet\Btechnique\Commun\BT Maint SCELLEMENT\205 - Préventifs\Gammes 7.MSCT PE Tool\EVACUATION\T130-M_34244.xlsm</v>
      </c>
    </row>
    <row r="60" spans="1:30" x14ac:dyDescent="0.3">
      <c r="A60" s="44" t="str">
        <f t="shared" ca="1" si="0"/>
        <v>7.MSCT</v>
      </c>
      <c r="B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0" s="63" t="s">
        <v>314</v>
      </c>
      <c r="D60" s="44" t="s">
        <v>206</v>
      </c>
      <c r="E60" s="44" t="s">
        <v>309</v>
      </c>
      <c r="F60" s="47" t="s">
        <v>207</v>
      </c>
      <c r="G60" s="47" t="s">
        <v>208</v>
      </c>
      <c r="H60" s="50">
        <v>34245</v>
      </c>
      <c r="I60" s="50">
        <v>69096</v>
      </c>
      <c r="J60" s="50">
        <v>522909</v>
      </c>
      <c r="K60" s="50">
        <v>2</v>
      </c>
      <c r="L60" s="46" t="s">
        <v>86</v>
      </c>
      <c r="M60" s="44" t="s">
        <v>210</v>
      </c>
      <c r="N60" s="46" t="s">
        <v>61</v>
      </c>
      <c r="O60" s="46"/>
      <c r="P60" s="47"/>
      <c r="Q60" s="46"/>
      <c r="R60" s="46"/>
      <c r="S60" s="48">
        <v>44529</v>
      </c>
      <c r="T60" s="61" t="str">
        <f>IF(Tableau1[[#This Row],[DMS_SAP]]="","",HYPERLINK(Tableau1[[#This Row],[Chemin fichier source]],"X"))</f>
        <v>X</v>
      </c>
      <c r="U60" s="61" t="str">
        <f ca="1">IF(Tableau1[[#This Row],[Date rév.]]="","",HYPERLINK(Tableau1[[#This Row],[Lien document]],"X"))</f>
        <v>X</v>
      </c>
      <c r="V60" s="47" t="s">
        <v>359</v>
      </c>
      <c r="W60" s="49" t="str">
        <f ca="1">Chemin_accès!$B$2&amp;Tableau1[[#This Row],[Poste Responsable]]&amp;"\"&amp;Tableau1[[#This Row],[Localisation / Classement]]&amp;"\"&amp;Tableau1[[#This Row],[Poste technique]]&amp;"_"&amp;Tableau1[[#This Row],[Plan Entretien]]&amp;".pdf"</f>
        <v>\\stjn.local\trimet\Donnees_Projets\Dms Sap\Maintenance\PlanEntretien\7.MSCT\EVACUATION\T130-M_34245.pdf</v>
      </c>
      <c r="X60" s="47">
        <v>2.15</v>
      </c>
      <c r="Y60" s="47">
        <v>2</v>
      </c>
      <c r="Z60" s="44" t="str">
        <f ca="1">IF(AND(Tableau1[[#This Row],[Charge]]&lt;&gt;0, Tableau1[[#This Row],[Nombre intervenants]]&lt;&gt;0,Tableau1[[#This Row],[Lien document]]&lt;&gt;0,Tableau1[[#This Row],[DMS_SAP]]&lt;&gt;0)=TRUE,"MIS A JOUR","")</f>
        <v>MIS A JOUR</v>
      </c>
      <c r="AA60" s="48">
        <v>44735</v>
      </c>
      <c r="AB60" s="58">
        <f ca="1">IF(Tableau1[[#This Row],[Date rév.]]&lt;&gt;"", DAYS360(Tableau1[[#This Row],[Date rév.]],TODAY()),"")</f>
        <v>1531</v>
      </c>
      <c r="AC60" s="47" t="str">
        <f>IFERROR(INDEX(Chemin_accès!$B$11:$C$22,MATCH(Tableau1[[#This Row],[Type]],Chemin_accès!$C$11:$C$22,0),1),Chemin_accès!$B$11)</f>
        <v>\\stjn.local\trimet\Btechnique\Commun\BT Maint SCELLEMENT\205 - Préventifs\Modèles préventif\GammeDMS_7.MSCT.xlsm</v>
      </c>
      <c r="AD60" s="47" t="str">
        <f>Chemin_accès!$B$8&amp;Tableau1[[#This Row],[Localisation / Classement]]&amp;"\"&amp;Tableau1[[#This Row],[Poste technique]]&amp;"_"&amp;Tableau1[[#This Row],[Plan Entretien]]&amp;".xlsm"</f>
        <v>\\stjn.local\trimet\Btechnique\Commun\BT Maint SCELLEMENT\205 - Préventifs\Gammes 7.MSCT PE Tool\EVACUATION\T130-M_34245.xlsm</v>
      </c>
    </row>
    <row r="61" spans="1:30" x14ac:dyDescent="0.3">
      <c r="A61" s="44" t="str">
        <f t="shared" ca="1" si="0"/>
        <v>7.MSCT</v>
      </c>
      <c r="B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1" s="63" t="s">
        <v>314</v>
      </c>
      <c r="D61" s="44" t="s">
        <v>206</v>
      </c>
      <c r="E61" s="44" t="s">
        <v>309</v>
      </c>
      <c r="F61" s="47" t="s">
        <v>207</v>
      </c>
      <c r="G61" s="47" t="s">
        <v>208</v>
      </c>
      <c r="H61" s="50">
        <v>34246</v>
      </c>
      <c r="I61" s="50">
        <v>69097</v>
      </c>
      <c r="J61" s="50">
        <v>522909</v>
      </c>
      <c r="K61" s="50">
        <v>3</v>
      </c>
      <c r="L61" s="46" t="s">
        <v>36</v>
      </c>
      <c r="M61" s="44" t="s">
        <v>502</v>
      </c>
      <c r="N61" s="46" t="s">
        <v>60</v>
      </c>
      <c r="O61" s="46"/>
      <c r="P61" s="47"/>
      <c r="Q61" s="46"/>
      <c r="R61" s="46"/>
      <c r="S61" s="48">
        <v>44529</v>
      </c>
      <c r="T61" s="61" t="str">
        <f>IF(Tableau1[[#This Row],[DMS_SAP]]="","",HYPERLINK(Tableau1[[#This Row],[Chemin fichier source]],"X"))</f>
        <v>X</v>
      </c>
      <c r="U61" s="61" t="str">
        <f>IF(Tableau1[[#This Row],[Date rév.]]="","",HYPERLINK(Tableau1[[#This Row],[Lien document]],"X"))</f>
        <v/>
      </c>
      <c r="V61" s="47" t="s">
        <v>503</v>
      </c>
      <c r="W61" s="49" t="str">
        <f ca="1">Chemin_accès!$B$2&amp;Tableau1[[#This Row],[Poste Responsable]]&amp;"\"&amp;Tableau1[[#This Row],[Localisation / Classement]]&amp;"\"&amp;Tableau1[[#This Row],[Poste technique]]&amp;"_"&amp;Tableau1[[#This Row],[Plan Entretien]]&amp;".pdf"</f>
        <v>\\stjn.local\trimet\Donnees_Projets\Dms Sap\Maintenance\PlanEntretien\7.MSCT\EVACUATION\T130-M_34246.pdf</v>
      </c>
      <c r="X61" s="47">
        <v>2</v>
      </c>
      <c r="Y61" s="47">
        <v>2</v>
      </c>
      <c r="Z61" s="44" t="str">
        <f ca="1">IF(AND(Tableau1[[#This Row],[Charge]]&lt;&gt;0, Tableau1[[#This Row],[Nombre intervenants]]&lt;&gt;0,Tableau1[[#This Row],[Lien document]]&lt;&gt;0,Tableau1[[#This Row],[DMS_SAP]]&lt;&gt;0)=TRUE,"MIS A JOUR","")</f>
        <v>MIS A JOUR</v>
      </c>
      <c r="AA61" s="48"/>
      <c r="AB61" s="58" t="str">
        <f ca="1">IF(Tableau1[[#This Row],[Date rév.]]&lt;&gt;"", DAYS360(Tableau1[[#This Row],[Date rév.]],TODAY()),"")</f>
        <v/>
      </c>
      <c r="AC61" s="47" t="str">
        <f>IFERROR(INDEX(Chemin_accès!$B$11:$C$22,MATCH(Tableau1[[#This Row],[Type]],Chemin_accès!$C$11:$C$22,0),1),Chemin_accès!$B$11)</f>
        <v>\\stjn.local\trimet\Btechnique\Commun\BT Maint SCELLEMENT\205 - Préventifs\Modèles préventif\GammeDMS_7.MSCT.xlsm</v>
      </c>
      <c r="AD61" s="47" t="str">
        <f>Chemin_accès!$B$8&amp;Tableau1[[#This Row],[Localisation / Classement]]&amp;"\"&amp;Tableau1[[#This Row],[Poste technique]]&amp;"_"&amp;Tableau1[[#This Row],[Plan Entretien]]&amp;".xlsm"</f>
        <v>\\stjn.local\trimet\Btechnique\Commun\BT Maint SCELLEMENT\205 - Préventifs\Gammes 7.MSCT PE Tool\EVACUATION\T130-M_34246.xlsm</v>
      </c>
    </row>
    <row r="62" spans="1:30" x14ac:dyDescent="0.3">
      <c r="A62" s="44" t="str">
        <f t="shared" ca="1" si="0"/>
        <v>7.MSCT</v>
      </c>
      <c r="B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2" s="63" t="s">
        <v>314</v>
      </c>
      <c r="D62" s="44" t="s">
        <v>206</v>
      </c>
      <c r="E62" s="44" t="s">
        <v>309</v>
      </c>
      <c r="F62" s="47" t="s">
        <v>207</v>
      </c>
      <c r="G62" s="47" t="s">
        <v>208</v>
      </c>
      <c r="H62" s="50">
        <v>34247</v>
      </c>
      <c r="I62" s="50">
        <v>69098</v>
      </c>
      <c r="J62" s="50">
        <v>522909</v>
      </c>
      <c r="K62" s="50">
        <v>4</v>
      </c>
      <c r="L62" s="46" t="s">
        <v>86</v>
      </c>
      <c r="M62" s="44" t="s">
        <v>211</v>
      </c>
      <c r="N62" s="46" t="s">
        <v>60</v>
      </c>
      <c r="O62" s="46"/>
      <c r="P62" s="47"/>
      <c r="Q62" s="46"/>
      <c r="R62" s="46"/>
      <c r="S62" s="48">
        <v>44529</v>
      </c>
      <c r="T62" s="61" t="str">
        <f>IF(Tableau1[[#This Row],[DMS_SAP]]="","",HYPERLINK(Tableau1[[#This Row],[Chemin fichier source]],"X"))</f>
        <v>X</v>
      </c>
      <c r="U62" s="61" t="str">
        <f ca="1">IF(Tableau1[[#This Row],[Date rév.]]="","",HYPERLINK(Tableau1[[#This Row],[Lien document]],"X"))</f>
        <v>X</v>
      </c>
      <c r="V62" s="47" t="s">
        <v>360</v>
      </c>
      <c r="W62" s="49" t="str">
        <f ca="1">Chemin_accès!$B$2&amp;Tableau1[[#This Row],[Poste Responsable]]&amp;"\"&amp;Tableau1[[#This Row],[Localisation / Classement]]&amp;"\"&amp;Tableau1[[#This Row],[Poste technique]]&amp;"_"&amp;Tableau1[[#This Row],[Plan Entretien]]&amp;".pdf"</f>
        <v>\\stjn.local\trimet\Donnees_Projets\Dms Sap\Maintenance\PlanEntretien\7.MSCT\EVACUATION\T130-M_34247.pdf</v>
      </c>
      <c r="X62" s="47">
        <v>2</v>
      </c>
      <c r="Y62" s="47">
        <v>2</v>
      </c>
      <c r="Z62" s="44" t="str">
        <f ca="1">IF(AND(Tableau1[[#This Row],[Charge]]&lt;&gt;0, Tableau1[[#This Row],[Nombre intervenants]]&lt;&gt;0,Tableau1[[#This Row],[Lien document]]&lt;&gt;0,Tableau1[[#This Row],[DMS_SAP]]&lt;&gt;0)=TRUE,"MIS A JOUR","")</f>
        <v>MIS A JOUR</v>
      </c>
      <c r="AA62" s="48">
        <v>44735</v>
      </c>
      <c r="AB62" s="58">
        <f ca="1">IF(Tableau1[[#This Row],[Date rév.]]&lt;&gt;"", DAYS360(Tableau1[[#This Row],[Date rév.]],TODAY()),"")</f>
        <v>1531</v>
      </c>
      <c r="AC62" s="47" t="str">
        <f>IFERROR(INDEX(Chemin_accès!$B$11:$C$22,MATCH(Tableau1[[#This Row],[Type]],Chemin_accès!$C$11:$C$22,0),1),Chemin_accès!$B$11)</f>
        <v>\\stjn.local\trimet\Btechnique\Commun\BT Maint SCELLEMENT\205 - Préventifs\Modèles préventif\GammeDMS_7.MSCT.xlsm</v>
      </c>
      <c r="AD62" s="47" t="str">
        <f>Chemin_accès!$B$8&amp;Tableau1[[#This Row],[Localisation / Classement]]&amp;"\"&amp;Tableau1[[#This Row],[Poste technique]]&amp;"_"&amp;Tableau1[[#This Row],[Plan Entretien]]&amp;".xlsm"</f>
        <v>\\stjn.local\trimet\Btechnique\Commun\BT Maint SCELLEMENT\205 - Préventifs\Gammes 7.MSCT PE Tool\EVACUATION\T130-M_34247.xlsm</v>
      </c>
    </row>
    <row r="63" spans="1:30" x14ac:dyDescent="0.3">
      <c r="A63" s="44" t="str">
        <f t="shared" ca="1" si="0"/>
        <v>7.MSCT</v>
      </c>
      <c r="B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3" s="46" t="s">
        <v>314</v>
      </c>
      <c r="D63" s="44" t="s">
        <v>206</v>
      </c>
      <c r="E63" s="44" t="s">
        <v>309</v>
      </c>
      <c r="F63" s="47" t="s">
        <v>212</v>
      </c>
      <c r="G63" s="47" t="s">
        <v>208</v>
      </c>
      <c r="H63" s="50">
        <v>34248</v>
      </c>
      <c r="I63" s="50">
        <v>69099</v>
      </c>
      <c r="J63" s="50">
        <v>522910</v>
      </c>
      <c r="K63" s="50">
        <v>1</v>
      </c>
      <c r="L63" s="46" t="s">
        <v>86</v>
      </c>
      <c r="M63" s="44" t="s">
        <v>491</v>
      </c>
      <c r="N63" s="46" t="s">
        <v>60</v>
      </c>
      <c r="O63" s="46"/>
      <c r="P63" s="47"/>
      <c r="Q63" s="46"/>
      <c r="R63" s="46"/>
      <c r="S63" s="48">
        <v>44529</v>
      </c>
      <c r="T63" s="61" t="str">
        <f>IF(Tableau1[[#This Row],[DMS_SAP]]="","",HYPERLINK(Tableau1[[#This Row],[Chemin fichier source]],"X"))</f>
        <v>X</v>
      </c>
      <c r="U63" s="61" t="str">
        <f ca="1">IF(Tableau1[[#This Row],[Date rév.]]="","",HYPERLINK(Tableau1[[#This Row],[Lien document]],"X"))</f>
        <v>X</v>
      </c>
      <c r="V63" s="47" t="s">
        <v>361</v>
      </c>
      <c r="W63" s="49" t="str">
        <f ca="1">Chemin_accès!$B$2&amp;Tableau1[[#This Row],[Poste Responsable]]&amp;"\"&amp;Tableau1[[#This Row],[Localisation / Classement]]&amp;"\"&amp;Tableau1[[#This Row],[Poste technique]]&amp;"_"&amp;Tableau1[[#This Row],[Plan Entretien]]&amp;".pdf"</f>
        <v>\\stjn.local\trimet\Donnees_Projets\Dms Sap\Maintenance\PlanEntretien\7.MSCT\EVACUATION\T130-M120_34248.pdf</v>
      </c>
      <c r="X63" s="47">
        <v>3.5</v>
      </c>
      <c r="Y63" s="47">
        <v>2</v>
      </c>
      <c r="Z63" s="44" t="str">
        <f ca="1">IF(AND(Tableau1[[#This Row],[Charge]]&lt;&gt;0, Tableau1[[#This Row],[Nombre intervenants]]&lt;&gt;0,Tableau1[[#This Row],[Lien document]]&lt;&gt;0,Tableau1[[#This Row],[DMS_SAP]]&lt;&gt;0)=TRUE,"MIS A JOUR","")</f>
        <v>MIS A JOUR</v>
      </c>
      <c r="AA63" s="48">
        <v>45293</v>
      </c>
      <c r="AB63" s="58">
        <f ca="1">IF(Tableau1[[#This Row],[Date rév.]]&lt;&gt;"", DAYS360(Tableau1[[#This Row],[Date rév.]],TODAY()),"")</f>
        <v>982</v>
      </c>
      <c r="AC63" s="47" t="str">
        <f>IFERROR(INDEX(Chemin_accès!$B$11:$C$22,MATCH(Tableau1[[#This Row],[Type]],Chemin_accès!$C$11:$C$22,0),1),Chemin_accès!$B$11)</f>
        <v>\\stjn.local\trimet\Btechnique\Commun\BT Maint SCELLEMENT\205 - Préventifs\Modèles préventif\GammeDMS_7.MSCT.xlsm</v>
      </c>
      <c r="AD63" s="47" t="str">
        <f>Chemin_accès!$B$8&amp;Tableau1[[#This Row],[Localisation / Classement]]&amp;"\"&amp;Tableau1[[#This Row],[Poste technique]]&amp;"_"&amp;Tableau1[[#This Row],[Plan Entretien]]&amp;".xlsm"</f>
        <v>\\stjn.local\trimet\Btechnique\Commun\BT Maint SCELLEMENT\205 - Préventifs\Gammes 7.MSCT PE Tool\EVACUATION\T130-M120_34248.xlsm</v>
      </c>
    </row>
    <row r="64" spans="1:30" x14ac:dyDescent="0.3">
      <c r="A64" s="44" t="str">
        <f t="shared" ca="1" si="0"/>
        <v>7.MSCT</v>
      </c>
      <c r="B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4" s="46" t="s">
        <v>314</v>
      </c>
      <c r="D64" s="44" t="s">
        <v>206</v>
      </c>
      <c r="E64" s="44" t="s">
        <v>309</v>
      </c>
      <c r="F64" s="47" t="s">
        <v>213</v>
      </c>
      <c r="G64" s="47" t="s">
        <v>208</v>
      </c>
      <c r="H64" s="50">
        <v>34249</v>
      </c>
      <c r="I64" s="50">
        <v>69100</v>
      </c>
      <c r="J64" s="50">
        <v>522911</v>
      </c>
      <c r="K64" s="50">
        <v>1</v>
      </c>
      <c r="L64" s="46" t="s">
        <v>84</v>
      </c>
      <c r="M64" s="44" t="s">
        <v>492</v>
      </c>
      <c r="N64" s="46" t="s">
        <v>60</v>
      </c>
      <c r="O64" s="46"/>
      <c r="P64" s="47"/>
      <c r="Q64" s="46"/>
      <c r="R64" s="46"/>
      <c r="S64" s="48">
        <v>44529</v>
      </c>
      <c r="T64" s="61" t="str">
        <f>IF(Tableau1[[#This Row],[DMS_SAP]]="","",HYPERLINK(Tableau1[[#This Row],[Chemin fichier source]],"X"))</f>
        <v>X</v>
      </c>
      <c r="U64" s="61" t="str">
        <f ca="1">IF(Tableau1[[#This Row],[Date rév.]]="","",HYPERLINK(Tableau1[[#This Row],[Lien document]],"X"))</f>
        <v>X</v>
      </c>
      <c r="V64" s="47" t="s">
        <v>362</v>
      </c>
      <c r="W64" s="49" t="str">
        <f ca="1">Chemin_accès!$B$2&amp;Tableau1[[#This Row],[Poste Responsable]]&amp;"\"&amp;Tableau1[[#This Row],[Localisation / Classement]]&amp;"\"&amp;Tableau1[[#This Row],[Poste technique]]&amp;"_"&amp;Tableau1[[#This Row],[Plan Entretien]]&amp;".pdf"</f>
        <v>\\stjn.local\trimet\Donnees_Projets\Dms Sap\Maintenance\PlanEntretien\7.MSCT\EVACUATION\T130-M130_34249.pdf</v>
      </c>
      <c r="X64" s="47">
        <v>3.5</v>
      </c>
      <c r="Y64" s="47">
        <v>2</v>
      </c>
      <c r="Z64" s="44" t="str">
        <f ca="1">IF(AND(Tableau1[[#This Row],[Charge]]&lt;&gt;0, Tableau1[[#This Row],[Nombre intervenants]]&lt;&gt;0,Tableau1[[#This Row],[Lien document]]&lt;&gt;0,Tableau1[[#This Row],[DMS_SAP]]&lt;&gt;0)=TRUE,"MIS A JOUR","")</f>
        <v>MIS A JOUR</v>
      </c>
      <c r="AA64" s="48">
        <v>44865</v>
      </c>
      <c r="AB64" s="58">
        <f ca="1">IF(Tableau1[[#This Row],[Date rév.]]&lt;&gt;"", DAYS360(Tableau1[[#This Row],[Date rév.]],TODAY()),"")</f>
        <v>1404</v>
      </c>
      <c r="AC64" s="47" t="str">
        <f>IFERROR(INDEX(Chemin_accès!$B$11:$C$22,MATCH(Tableau1[[#This Row],[Type]],Chemin_accès!$C$11:$C$22,0),1),Chemin_accès!$B$11)</f>
        <v>\\stjn.local\trimet\Btechnique\Commun\BT Maint SCELLEMENT\205 - Préventifs\Modèles préventif\GammeDMS_7.MSCT.xlsm</v>
      </c>
      <c r="AD64" s="47" t="str">
        <f>Chemin_accès!$B$8&amp;Tableau1[[#This Row],[Localisation / Classement]]&amp;"\"&amp;Tableau1[[#This Row],[Poste technique]]&amp;"_"&amp;Tableau1[[#This Row],[Plan Entretien]]&amp;".xlsm"</f>
        <v>\\stjn.local\trimet\Btechnique\Commun\BT Maint SCELLEMENT\205 - Préventifs\Gammes 7.MSCT PE Tool\EVACUATION\T130-M130_34249.xlsm</v>
      </c>
    </row>
    <row r="65" spans="1:30" x14ac:dyDescent="0.3">
      <c r="A65" s="44" t="str">
        <f t="shared" ca="1" si="0"/>
        <v>7.MSCT</v>
      </c>
      <c r="B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5" s="46" t="s">
        <v>314</v>
      </c>
      <c r="D65" s="44" t="s">
        <v>206</v>
      </c>
      <c r="E65" s="44" t="s">
        <v>309</v>
      </c>
      <c r="F65" s="47" t="s">
        <v>213</v>
      </c>
      <c r="G65" s="47" t="s">
        <v>208</v>
      </c>
      <c r="H65" s="50">
        <v>34250</v>
      </c>
      <c r="I65" s="50">
        <v>69101</v>
      </c>
      <c r="J65" s="50">
        <v>522911</v>
      </c>
      <c r="K65" s="50">
        <v>2</v>
      </c>
      <c r="L65" s="46" t="s">
        <v>86</v>
      </c>
      <c r="M65" s="44" t="s">
        <v>493</v>
      </c>
      <c r="N65" s="46" t="s">
        <v>61</v>
      </c>
      <c r="O65" s="46"/>
      <c r="P65" s="47"/>
      <c r="Q65" s="46"/>
      <c r="R65" s="46"/>
      <c r="S65" s="48">
        <v>44529</v>
      </c>
      <c r="T65" s="61" t="str">
        <f>IF(Tableau1[[#This Row],[DMS_SAP]]="","",HYPERLINK(Tableau1[[#This Row],[Chemin fichier source]],"X"))</f>
        <v>X</v>
      </c>
      <c r="U65" s="61" t="str">
        <f ca="1">IF(Tableau1[[#This Row],[Date rév.]]="","",HYPERLINK(Tableau1[[#This Row],[Lien document]],"X"))</f>
        <v>X</v>
      </c>
      <c r="V65" s="47" t="s">
        <v>364</v>
      </c>
      <c r="W65" s="49" t="str">
        <f ca="1">Chemin_accès!$B$2&amp;Tableau1[[#This Row],[Poste Responsable]]&amp;"\"&amp;Tableau1[[#This Row],[Localisation / Classement]]&amp;"\"&amp;Tableau1[[#This Row],[Poste technique]]&amp;"_"&amp;Tableau1[[#This Row],[Plan Entretien]]&amp;".pdf"</f>
        <v>\\stjn.local\trimet\Donnees_Projets\Dms Sap\Maintenance\PlanEntretien\7.MSCT\EVACUATION\T130-M130_34250.pdf</v>
      </c>
      <c r="X65" s="47">
        <v>3.5</v>
      </c>
      <c r="Y65" s="47">
        <v>2</v>
      </c>
      <c r="Z65" s="44" t="str">
        <f ca="1">IF(AND(Tableau1[[#This Row],[Charge]]&lt;&gt;0, Tableau1[[#This Row],[Nombre intervenants]]&lt;&gt;0,Tableau1[[#This Row],[Lien document]]&lt;&gt;0,Tableau1[[#This Row],[DMS_SAP]]&lt;&gt;0)=TRUE,"MIS A JOUR","")</f>
        <v>MIS A JOUR</v>
      </c>
      <c r="AA65" s="48">
        <v>44792</v>
      </c>
      <c r="AB65" s="58">
        <f ca="1">IF(Tableau1[[#This Row],[Date rév.]]&lt;&gt;"", DAYS360(Tableau1[[#This Row],[Date rév.]],TODAY()),"")</f>
        <v>1475</v>
      </c>
      <c r="AC65" s="47" t="str">
        <f>IFERROR(INDEX(Chemin_accès!$B$11:$C$22,MATCH(Tableau1[[#This Row],[Type]],Chemin_accès!$C$11:$C$22,0),1),Chemin_accès!$B$11)</f>
        <v>\\stjn.local\trimet\Btechnique\Commun\BT Maint SCELLEMENT\205 - Préventifs\Modèles préventif\GammeDMS_7.MSCT.xlsm</v>
      </c>
      <c r="AD65" s="47" t="str">
        <f>Chemin_accès!$B$8&amp;Tableau1[[#This Row],[Localisation / Classement]]&amp;"\"&amp;Tableau1[[#This Row],[Poste technique]]&amp;"_"&amp;Tableau1[[#This Row],[Plan Entretien]]&amp;".xlsm"</f>
        <v>\\stjn.local\trimet\Btechnique\Commun\BT Maint SCELLEMENT\205 - Préventifs\Gammes 7.MSCT PE Tool\EVACUATION\T130-M130_34250.xlsm</v>
      </c>
    </row>
    <row r="66" spans="1:30" x14ac:dyDescent="0.3">
      <c r="A66" s="44" t="str">
        <f t="shared" ca="1" si="0"/>
        <v>7.MSCT</v>
      </c>
      <c r="B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6" s="46" t="s">
        <v>314</v>
      </c>
      <c r="D66" s="44" t="s">
        <v>206</v>
      </c>
      <c r="E66" s="44" t="s">
        <v>309</v>
      </c>
      <c r="F66" s="47" t="s">
        <v>214</v>
      </c>
      <c r="G66" s="47" t="s">
        <v>513</v>
      </c>
      <c r="H66" s="50">
        <v>34251</v>
      </c>
      <c r="I66" s="50">
        <v>69102</v>
      </c>
      <c r="J66" s="50">
        <v>522912</v>
      </c>
      <c r="K66" s="50">
        <v>1</v>
      </c>
      <c r="L66" s="46" t="s">
        <v>84</v>
      </c>
      <c r="M66" s="44" t="s">
        <v>494</v>
      </c>
      <c r="N66" s="46" t="s">
        <v>60</v>
      </c>
      <c r="O66" s="46"/>
      <c r="P66" s="47"/>
      <c r="Q66" s="46"/>
      <c r="R66" s="46"/>
      <c r="S66" s="48">
        <v>44529</v>
      </c>
      <c r="T66" s="61" t="str">
        <f>IF(Tableau1[[#This Row],[DMS_SAP]]="","",HYPERLINK(Tableau1[[#This Row],[Chemin fichier source]],"X"))</f>
        <v>X</v>
      </c>
      <c r="U66" s="61" t="str">
        <f ca="1">IF(Tableau1[[#This Row],[Date rév.]]="","",HYPERLINK(Tableau1[[#This Row],[Lien document]],"X"))</f>
        <v>X</v>
      </c>
      <c r="V66" s="47" t="s">
        <v>363</v>
      </c>
      <c r="W66" s="49" t="str">
        <f ca="1">Chemin_accès!$B$2&amp;Tableau1[[#This Row],[Poste Responsable]]&amp;"\"&amp;Tableau1[[#This Row],[Localisation / Classement]]&amp;"\"&amp;Tableau1[[#This Row],[Poste technique]]&amp;"_"&amp;Tableau1[[#This Row],[Plan Entretien]]&amp;".pdf"</f>
        <v>\\stjn.local\trimet\Donnees_Projets\Dms Sap\Maintenance\PlanEntretien\7.MSCT\EVACUATION\T130-M140_34251.pdf</v>
      </c>
      <c r="X66" s="47">
        <v>3.5</v>
      </c>
      <c r="Y66" s="47">
        <v>2</v>
      </c>
      <c r="Z66" s="44" t="str">
        <f ca="1">IF(AND(Tableau1[[#This Row],[Charge]]&lt;&gt;0, Tableau1[[#This Row],[Nombre intervenants]]&lt;&gt;0,Tableau1[[#This Row],[Lien document]]&lt;&gt;0,Tableau1[[#This Row],[DMS_SAP]]&lt;&gt;0)=TRUE,"MIS A JOUR","")</f>
        <v>MIS A JOUR</v>
      </c>
      <c r="AA66" s="48">
        <v>45485</v>
      </c>
      <c r="AB66" s="58">
        <f ca="1">IF(Tableau1[[#This Row],[Date rév.]]&lt;&gt;"", DAYS360(Tableau1[[#This Row],[Date rév.]],TODAY()),"")</f>
        <v>792</v>
      </c>
      <c r="AC66" s="47" t="str">
        <f>IFERROR(INDEX(Chemin_accès!$B$11:$C$22,MATCH(Tableau1[[#This Row],[Type]],Chemin_accès!$C$11:$C$22,0),1),Chemin_accès!$B$11)</f>
        <v>\\stjn.local\trimet\Btechnique\Commun\BT Maint SCELLEMENT\205 - Préventifs\Modèles préventif\GammeDMS_7.MSCT.xlsm</v>
      </c>
      <c r="AD66" s="47" t="str">
        <f>Chemin_accès!$B$8&amp;Tableau1[[#This Row],[Localisation / Classement]]&amp;"\"&amp;Tableau1[[#This Row],[Poste technique]]&amp;"_"&amp;Tableau1[[#This Row],[Plan Entretien]]&amp;".xlsm"</f>
        <v>\\stjn.local\trimet\Btechnique\Commun\BT Maint SCELLEMENT\205 - Préventifs\Gammes 7.MSCT PE Tool\EVACUATION\T130-M140_34251.xlsm</v>
      </c>
    </row>
    <row r="67" spans="1:30" x14ac:dyDescent="0.3">
      <c r="A67" s="44" t="str">
        <f t="shared" ref="A67:A130" ca="1" si="1">MID(CELL("filename",$A$1),FIND("]",CELL("filename",$A$1))+1,32)</f>
        <v>7.MSCT</v>
      </c>
      <c r="B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7" s="46" t="s">
        <v>485</v>
      </c>
      <c r="D67" s="44" t="s">
        <v>206</v>
      </c>
      <c r="E67" s="44" t="s">
        <v>312</v>
      </c>
      <c r="F67" s="47" t="s">
        <v>207</v>
      </c>
      <c r="G67" s="47" t="s">
        <v>208</v>
      </c>
      <c r="H67" s="50">
        <v>34252</v>
      </c>
      <c r="I67" s="50">
        <v>69103</v>
      </c>
      <c r="J67" s="50">
        <v>522909</v>
      </c>
      <c r="K67" s="50">
        <v>5</v>
      </c>
      <c r="L67" s="46" t="s">
        <v>36</v>
      </c>
      <c r="M67" s="44" t="s">
        <v>489</v>
      </c>
      <c r="N67" s="46" t="s">
        <v>60</v>
      </c>
      <c r="O67" s="46"/>
      <c r="P67" s="47"/>
      <c r="Q67" s="46"/>
      <c r="R67" s="46"/>
      <c r="S67" s="48">
        <v>44529</v>
      </c>
      <c r="T67" s="61" t="str">
        <f>IF(Tableau1[[#This Row],[DMS_SAP]]="","",HYPERLINK(Tableau1[[#This Row],[Chemin fichier source]],"X"))</f>
        <v>X</v>
      </c>
      <c r="U67" s="61" t="str">
        <f>IF(Tableau1[[#This Row],[Date rév.]]="","",HYPERLINK(Tableau1[[#This Row],[Lien document]],"X"))</f>
        <v/>
      </c>
      <c r="V67" s="47" t="s">
        <v>490</v>
      </c>
      <c r="W67" s="49" t="str">
        <f ca="1">Chemin_accès!$B$2&amp;Tableau1[[#This Row],[Poste Responsable]]&amp;"\"&amp;Tableau1[[#This Row],[Localisation / Classement]]&amp;"\"&amp;Tableau1[[#This Row],[Poste technique]]&amp;"_"&amp;Tableau1[[#This Row],[Plan Entretien]]&amp;".pdf"</f>
        <v>\\stjn.local\trimet\Donnees_Projets\Dms Sap\Maintenance\PlanEntretien\7.MSCT\EVACUATION\T130-M_34252.pdf</v>
      </c>
      <c r="X67" s="47">
        <v>2</v>
      </c>
      <c r="Y67" s="47">
        <v>2</v>
      </c>
      <c r="Z67" s="44" t="str">
        <f ca="1">IF(AND(Tableau1[[#This Row],[Charge]]&lt;&gt;0, Tableau1[[#This Row],[Nombre intervenants]]&lt;&gt;0,Tableau1[[#This Row],[Lien document]]&lt;&gt;0,Tableau1[[#This Row],[DMS_SAP]]&lt;&gt;0)=TRUE,"MIS A JOUR","")</f>
        <v>MIS A JOUR</v>
      </c>
      <c r="AA67" s="48"/>
      <c r="AB67" s="58" t="str">
        <f ca="1">IF(Tableau1[[#This Row],[Date rév.]]&lt;&gt;"", DAYS360(Tableau1[[#This Row],[Date rév.]],TODAY()),"")</f>
        <v/>
      </c>
      <c r="AC67" s="47" t="str">
        <f>IFERROR(INDEX(Chemin_accès!$B$11:$C$22,MATCH(Tableau1[[#This Row],[Type]],Chemin_accès!$C$11:$C$22,0),1),Chemin_accès!$B$11)</f>
        <v>\\stjn.local\trimet\Btechnique\Commun\BT Maint SCELLEMENT\205 - Préventifs\Modèles préventif\GammeDMS_7.MSCT.xlsm</v>
      </c>
      <c r="AD67" s="47" t="str">
        <f>Chemin_accès!$B$8&amp;Tableau1[[#This Row],[Localisation / Classement]]&amp;"\"&amp;Tableau1[[#This Row],[Poste technique]]&amp;"_"&amp;Tableau1[[#This Row],[Plan Entretien]]&amp;".xlsm"</f>
        <v>\\stjn.local\trimet\Btechnique\Commun\BT Maint SCELLEMENT\205 - Préventifs\Gammes 7.MSCT PE Tool\EVACUATION\T130-M_34252.xlsm</v>
      </c>
    </row>
    <row r="68" spans="1:30" x14ac:dyDescent="0.3">
      <c r="A68" s="44" t="str">
        <f t="shared" ca="1" si="1"/>
        <v>7.MSCT</v>
      </c>
      <c r="B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8" s="46" t="s">
        <v>314</v>
      </c>
      <c r="D68" s="44" t="s">
        <v>206</v>
      </c>
      <c r="E68" s="44" t="s">
        <v>309</v>
      </c>
      <c r="F68" s="47" t="s">
        <v>215</v>
      </c>
      <c r="G68" s="47" t="s">
        <v>208</v>
      </c>
      <c r="H68" s="50">
        <v>34253</v>
      </c>
      <c r="I68" s="50">
        <v>69104</v>
      </c>
      <c r="J68" s="50">
        <v>522914</v>
      </c>
      <c r="K68" s="50">
        <v>1</v>
      </c>
      <c r="L68" s="46" t="s">
        <v>138</v>
      </c>
      <c r="M68" s="44" t="s">
        <v>216</v>
      </c>
      <c r="N68" s="46" t="s">
        <v>60</v>
      </c>
      <c r="O68" s="46"/>
      <c r="P68" s="47"/>
      <c r="Q68" s="46"/>
      <c r="R68" s="46"/>
      <c r="S68" s="48">
        <v>44529</v>
      </c>
      <c r="T68" s="61" t="str">
        <f>IF(Tableau1[[#This Row],[DMS_SAP]]="","",HYPERLINK(Tableau1[[#This Row],[Chemin fichier source]],"X"))</f>
        <v>X</v>
      </c>
      <c r="U68" s="61" t="str">
        <f ca="1">IF(Tableau1[[#This Row],[Date rév.]]="","",HYPERLINK(Tableau1[[#This Row],[Lien document]],"X"))</f>
        <v>X</v>
      </c>
      <c r="V68" s="47" t="s">
        <v>365</v>
      </c>
      <c r="W68" s="49" t="str">
        <f ca="1">Chemin_accès!$B$2&amp;Tableau1[[#This Row],[Poste Responsable]]&amp;"\"&amp;Tableau1[[#This Row],[Localisation / Classement]]&amp;"\"&amp;Tableau1[[#This Row],[Poste technique]]&amp;"_"&amp;Tableau1[[#This Row],[Plan Entretien]]&amp;".pdf"</f>
        <v>\\stjn.local\trimet\Donnees_Projets\Dms Sap\Maintenance\PlanEntretien\7.MSCT\EVACUATION\T130-N110_34253.pdf</v>
      </c>
      <c r="X68" s="47">
        <v>3.5</v>
      </c>
      <c r="Y68" s="47">
        <v>2</v>
      </c>
      <c r="Z68" s="44" t="str">
        <f ca="1">IF(AND(Tableau1[[#This Row],[Charge]]&lt;&gt;0, Tableau1[[#This Row],[Nombre intervenants]]&lt;&gt;0,Tableau1[[#This Row],[Lien document]]&lt;&gt;0,Tableau1[[#This Row],[DMS_SAP]]&lt;&gt;0)=TRUE,"MIS A JOUR","")</f>
        <v>MIS A JOUR</v>
      </c>
      <c r="AA68" s="48">
        <v>44834</v>
      </c>
      <c r="AB68" s="58">
        <f ca="1">IF(Tableau1[[#This Row],[Date rév.]]&lt;&gt;"", DAYS360(Tableau1[[#This Row],[Date rév.]],TODAY()),"")</f>
        <v>1434</v>
      </c>
      <c r="AC68" s="47" t="str">
        <f>IFERROR(INDEX(Chemin_accès!$B$11:$C$22,MATCH(Tableau1[[#This Row],[Type]],Chemin_accès!$C$11:$C$22,0),1),Chemin_accès!$B$11)</f>
        <v>\\stjn.local\trimet\Btechnique\Commun\BT Maint SCELLEMENT\205 - Préventifs\Modèles préventif\GammeDMS_7.MSCT.xlsm</v>
      </c>
      <c r="AD68" s="47" t="str">
        <f>Chemin_accès!$B$8&amp;Tableau1[[#This Row],[Localisation / Classement]]&amp;"\"&amp;Tableau1[[#This Row],[Poste technique]]&amp;"_"&amp;Tableau1[[#This Row],[Plan Entretien]]&amp;".xlsm"</f>
        <v>\\stjn.local\trimet\Btechnique\Commun\BT Maint SCELLEMENT\205 - Préventifs\Gammes 7.MSCT PE Tool\EVACUATION\T130-N110_34253.xlsm</v>
      </c>
    </row>
    <row r="69" spans="1:30" x14ac:dyDescent="0.3">
      <c r="A69" s="44" t="str">
        <f t="shared" ca="1" si="1"/>
        <v>7.MSCT</v>
      </c>
      <c r="B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9" s="46" t="s">
        <v>314</v>
      </c>
      <c r="D69" s="44" t="s">
        <v>206</v>
      </c>
      <c r="E69" s="44" t="s">
        <v>309</v>
      </c>
      <c r="F69" s="47" t="s">
        <v>215</v>
      </c>
      <c r="G69" s="47" t="s">
        <v>513</v>
      </c>
      <c r="H69" s="50">
        <v>34254</v>
      </c>
      <c r="I69" s="50">
        <v>69105</v>
      </c>
      <c r="J69" s="50">
        <v>522914</v>
      </c>
      <c r="K69" s="50">
        <v>2</v>
      </c>
      <c r="L69" s="46" t="s">
        <v>84</v>
      </c>
      <c r="M69" s="44" t="s">
        <v>217</v>
      </c>
      <c r="N69" s="46" t="s">
        <v>61</v>
      </c>
      <c r="O69" s="46"/>
      <c r="P69" s="47"/>
      <c r="Q69" s="46"/>
      <c r="R69" s="46"/>
      <c r="S69" s="48">
        <v>44529</v>
      </c>
      <c r="T69" s="61" t="str">
        <f>IF(Tableau1[[#This Row],[DMS_SAP]]="","",HYPERLINK(Tableau1[[#This Row],[Chemin fichier source]],"X"))</f>
        <v>X</v>
      </c>
      <c r="U69" s="61" t="str">
        <f ca="1">IF(Tableau1[[#This Row],[Date rév.]]="","",HYPERLINK(Tableau1[[#This Row],[Lien document]],"X"))</f>
        <v>X</v>
      </c>
      <c r="V69" s="47" t="s">
        <v>366</v>
      </c>
      <c r="W69" s="49" t="str">
        <f ca="1">Chemin_accès!$B$2&amp;Tableau1[[#This Row],[Poste Responsable]]&amp;"\"&amp;Tableau1[[#This Row],[Localisation / Classement]]&amp;"\"&amp;Tableau1[[#This Row],[Poste technique]]&amp;"_"&amp;Tableau1[[#This Row],[Plan Entretien]]&amp;".pdf"</f>
        <v>\\stjn.local\trimet\Donnees_Projets\Dms Sap\Maintenance\PlanEntretien\7.MSCT\EVACUATION\T130-N110_34254.pdf</v>
      </c>
      <c r="X69" s="47">
        <v>1.75</v>
      </c>
      <c r="Y69" s="47">
        <v>2</v>
      </c>
      <c r="Z69" s="44" t="str">
        <f ca="1">IF(AND(Tableau1[[#This Row],[Charge]]&lt;&gt;0, Tableau1[[#This Row],[Nombre intervenants]]&lt;&gt;0,Tableau1[[#This Row],[Lien document]]&lt;&gt;0,Tableau1[[#This Row],[DMS_SAP]]&lt;&gt;0)=TRUE,"MIS A JOUR","")</f>
        <v>MIS A JOUR</v>
      </c>
      <c r="AA69" s="48">
        <v>45120</v>
      </c>
      <c r="AB69" s="58">
        <f ca="1">IF(Tableau1[[#This Row],[Date rév.]]&lt;&gt;"", DAYS360(Tableau1[[#This Row],[Date rév.]],TODAY()),"")</f>
        <v>1151</v>
      </c>
      <c r="AC69" s="47" t="str">
        <f>IFERROR(INDEX(Chemin_accès!$B$11:$C$22,MATCH(Tableau1[[#This Row],[Type]],Chemin_accès!$C$11:$C$22,0),1),Chemin_accès!$B$11)</f>
        <v>\\stjn.local\trimet\Btechnique\Commun\BT Maint SCELLEMENT\205 - Préventifs\Modèles préventif\GammeDMS_7.MSCT.xlsm</v>
      </c>
      <c r="AD69" s="47" t="str">
        <f>Chemin_accès!$B$8&amp;Tableau1[[#This Row],[Localisation / Classement]]&amp;"\"&amp;Tableau1[[#This Row],[Poste technique]]&amp;"_"&amp;Tableau1[[#This Row],[Plan Entretien]]&amp;".xlsm"</f>
        <v>\\stjn.local\trimet\Btechnique\Commun\BT Maint SCELLEMENT\205 - Préventifs\Gammes 7.MSCT PE Tool\EVACUATION\T130-N110_34254.xlsm</v>
      </c>
    </row>
    <row r="70" spans="1:30" x14ac:dyDescent="0.3">
      <c r="A70" s="44" t="str">
        <f t="shared" ca="1" si="1"/>
        <v>7.MSCT</v>
      </c>
      <c r="B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0" s="46" t="s">
        <v>314</v>
      </c>
      <c r="D70" s="44" t="s">
        <v>206</v>
      </c>
      <c r="E70" s="44" t="s">
        <v>309</v>
      </c>
      <c r="F70" s="47" t="s">
        <v>215</v>
      </c>
      <c r="G70" s="47" t="s">
        <v>513</v>
      </c>
      <c r="H70" s="50">
        <v>34255</v>
      </c>
      <c r="I70" s="50">
        <v>69106</v>
      </c>
      <c r="J70" s="50">
        <v>522914</v>
      </c>
      <c r="K70" s="50">
        <v>3</v>
      </c>
      <c r="L70" s="46" t="s">
        <v>86</v>
      </c>
      <c r="M70" s="44" t="s">
        <v>218</v>
      </c>
      <c r="N70" s="46" t="s">
        <v>64</v>
      </c>
      <c r="O70" s="46"/>
      <c r="P70" s="47"/>
      <c r="Q70" s="46"/>
      <c r="R70" s="46"/>
      <c r="S70" s="48">
        <v>44529</v>
      </c>
      <c r="T70" s="61" t="str">
        <f>IF(Tableau1[[#This Row],[DMS_SAP]]="","",HYPERLINK(Tableau1[[#This Row],[Chemin fichier source]],"X"))</f>
        <v>X</v>
      </c>
      <c r="U70" s="61" t="str">
        <f ca="1">IF(Tableau1[[#This Row],[Date rév.]]="","",HYPERLINK(Tableau1[[#This Row],[Lien document]],"X"))</f>
        <v>X</v>
      </c>
      <c r="V70" s="47" t="s">
        <v>367</v>
      </c>
      <c r="W70" s="49" t="str">
        <f ca="1">Chemin_accès!$B$2&amp;Tableau1[[#This Row],[Poste Responsable]]&amp;"\"&amp;Tableau1[[#This Row],[Localisation / Classement]]&amp;"\"&amp;Tableau1[[#This Row],[Poste technique]]&amp;"_"&amp;Tableau1[[#This Row],[Plan Entretien]]&amp;".pdf"</f>
        <v>\\stjn.local\trimet\Donnees_Projets\Dms Sap\Maintenance\PlanEntretien\7.MSCT\EVACUATION\T130-N110_34255.pdf</v>
      </c>
      <c r="X70" s="47">
        <v>3.5</v>
      </c>
      <c r="Y70" s="47">
        <v>2</v>
      </c>
      <c r="Z70" s="44" t="str">
        <f ca="1">IF(AND(Tableau1[[#This Row],[Charge]]&lt;&gt;0, Tableau1[[#This Row],[Nombre intervenants]]&lt;&gt;0,Tableau1[[#This Row],[Lien document]]&lt;&gt;0,Tableau1[[#This Row],[DMS_SAP]]&lt;&gt;0)=TRUE,"MIS A JOUR","")</f>
        <v>MIS A JOUR</v>
      </c>
      <c r="AA70" s="48">
        <v>44834</v>
      </c>
      <c r="AB70" s="58">
        <f ca="1">IF(Tableau1[[#This Row],[Date rév.]]&lt;&gt;"", DAYS360(Tableau1[[#This Row],[Date rév.]],TODAY()),"")</f>
        <v>1434</v>
      </c>
      <c r="AC70" s="47" t="str">
        <f>IFERROR(INDEX(Chemin_accès!$B$11:$C$22,MATCH(Tableau1[[#This Row],[Type]],Chemin_accès!$C$11:$C$22,0),1),Chemin_accès!$B$11)</f>
        <v>\\stjn.local\trimet\Btechnique\Commun\BT Maint SCELLEMENT\205 - Préventifs\Modèles préventif\GammeDMS_7.MSCT.xlsm</v>
      </c>
      <c r="AD70" s="47" t="str">
        <f>Chemin_accès!$B$8&amp;Tableau1[[#This Row],[Localisation / Classement]]&amp;"\"&amp;Tableau1[[#This Row],[Poste technique]]&amp;"_"&amp;Tableau1[[#This Row],[Plan Entretien]]&amp;".xlsm"</f>
        <v>\\stjn.local\trimet\Btechnique\Commun\BT Maint SCELLEMENT\205 - Préventifs\Gammes 7.MSCT PE Tool\EVACUATION\T130-N110_34255.xlsm</v>
      </c>
    </row>
    <row r="71" spans="1:30" x14ac:dyDescent="0.3">
      <c r="A71" s="44" t="str">
        <f t="shared" ca="1" si="1"/>
        <v>7.MSCT</v>
      </c>
      <c r="B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1" s="46" t="s">
        <v>314</v>
      </c>
      <c r="D71" s="44" t="s">
        <v>206</v>
      </c>
      <c r="E71" s="44" t="s">
        <v>309</v>
      </c>
      <c r="F71" s="47" t="s">
        <v>219</v>
      </c>
      <c r="G71" s="47" t="s">
        <v>513</v>
      </c>
      <c r="H71" s="50">
        <v>34256</v>
      </c>
      <c r="I71" s="50">
        <v>69107</v>
      </c>
      <c r="J71" s="50">
        <v>522915</v>
      </c>
      <c r="K71" s="50">
        <v>1</v>
      </c>
      <c r="L71" s="46" t="s">
        <v>84</v>
      </c>
      <c r="M71" s="44" t="s">
        <v>220</v>
      </c>
      <c r="N71" s="46" t="s">
        <v>61</v>
      </c>
      <c r="O71" s="46"/>
      <c r="P71" s="47"/>
      <c r="Q71" s="46"/>
      <c r="R71" s="46"/>
      <c r="S71" s="48">
        <v>44529</v>
      </c>
      <c r="T71" s="61" t="str">
        <f>IF(Tableau1[[#This Row],[DMS_SAP]]="","",HYPERLINK(Tableau1[[#This Row],[Chemin fichier source]],"X"))</f>
        <v>X</v>
      </c>
      <c r="U71" s="61" t="str">
        <f ca="1">IF(Tableau1[[#This Row],[Date rév.]]="","",HYPERLINK(Tableau1[[#This Row],[Lien document]],"X"))</f>
        <v>X</v>
      </c>
      <c r="V71" s="47" t="s">
        <v>368</v>
      </c>
      <c r="W71" s="49" t="str">
        <f ca="1">Chemin_accès!$B$2&amp;Tableau1[[#This Row],[Poste Responsable]]&amp;"\"&amp;Tableau1[[#This Row],[Localisation / Classement]]&amp;"\"&amp;Tableau1[[#This Row],[Poste technique]]&amp;"_"&amp;Tableau1[[#This Row],[Plan Entretien]]&amp;".pdf"</f>
        <v>\\stjn.local\trimet\Donnees_Projets\Dms Sap\Maintenance\PlanEntretien\7.MSCT\EVACUATION\T130-N150_34256.pdf</v>
      </c>
      <c r="X71" s="47">
        <v>1.75</v>
      </c>
      <c r="Y71" s="47">
        <v>2</v>
      </c>
      <c r="Z71" s="44" t="str">
        <f ca="1">IF(AND(Tableau1[[#This Row],[Charge]]&lt;&gt;0, Tableau1[[#This Row],[Nombre intervenants]]&lt;&gt;0,Tableau1[[#This Row],[Lien document]]&lt;&gt;0,Tableau1[[#This Row],[DMS_SAP]]&lt;&gt;0)=TRUE,"MIS A JOUR","")</f>
        <v>MIS A JOUR</v>
      </c>
      <c r="AA71" s="48">
        <v>46174</v>
      </c>
      <c r="AB71" s="58">
        <f ca="1">IF(Tableau1[[#This Row],[Date rév.]]&lt;&gt;"", DAYS360(Tableau1[[#This Row],[Date rév.]],TODAY()),"")</f>
        <v>113</v>
      </c>
      <c r="AC71" s="47" t="str">
        <f>IFERROR(INDEX(Chemin_accès!$B$11:$C$22,MATCH(Tableau1[[#This Row],[Type]],Chemin_accès!$C$11:$C$22,0),1),Chemin_accès!$B$11)</f>
        <v>\\stjn.local\trimet\Btechnique\Commun\BT Maint SCELLEMENT\205 - Préventifs\Modèles préventif\GammeDMS_7.MSCT.xlsm</v>
      </c>
      <c r="AD71" s="47" t="str">
        <f>Chemin_accès!$B$8&amp;Tableau1[[#This Row],[Localisation / Classement]]&amp;"\"&amp;Tableau1[[#This Row],[Poste technique]]&amp;"_"&amp;Tableau1[[#This Row],[Plan Entretien]]&amp;".xlsm"</f>
        <v>\\stjn.local\trimet\Btechnique\Commun\BT Maint SCELLEMENT\205 - Préventifs\Gammes 7.MSCT PE Tool\EVACUATION\T130-N150_34256.xlsm</v>
      </c>
    </row>
    <row r="72" spans="1:30" x14ac:dyDescent="0.3">
      <c r="A72" s="44" t="str">
        <f t="shared" ca="1" si="1"/>
        <v>7.MSCT</v>
      </c>
      <c r="B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2" s="46" t="s">
        <v>314</v>
      </c>
      <c r="D72" s="44" t="s">
        <v>206</v>
      </c>
      <c r="E72" s="44" t="s">
        <v>309</v>
      </c>
      <c r="F72" s="47" t="s">
        <v>219</v>
      </c>
      <c r="G72" s="47" t="s">
        <v>513</v>
      </c>
      <c r="H72" s="50">
        <v>34257</v>
      </c>
      <c r="I72" s="50">
        <v>69108</v>
      </c>
      <c r="J72" s="50">
        <v>522915</v>
      </c>
      <c r="K72" s="50">
        <v>2</v>
      </c>
      <c r="L72" s="46" t="s">
        <v>84</v>
      </c>
      <c r="M72" s="44" t="s">
        <v>221</v>
      </c>
      <c r="N72" s="46" t="s">
        <v>60</v>
      </c>
      <c r="O72" s="46"/>
      <c r="P72" s="47"/>
      <c r="Q72" s="46"/>
      <c r="R72" s="46"/>
      <c r="S72" s="48">
        <v>44529</v>
      </c>
      <c r="T72" s="61" t="str">
        <f>IF(Tableau1[[#This Row],[DMS_SAP]]="","",HYPERLINK(Tableau1[[#This Row],[Chemin fichier source]],"X"))</f>
        <v>X</v>
      </c>
      <c r="U72" s="61" t="str">
        <f>IF(Tableau1[[#This Row],[DMS_SAP]]="","",HYPERLINK(Tableau1[[#This Row],[Chemin fichier source]],"X"))</f>
        <v>X</v>
      </c>
      <c r="V72" s="47" t="s">
        <v>369</v>
      </c>
      <c r="W72" s="49" t="str">
        <f ca="1">Chemin_accès!$B$2&amp;Tableau1[[#This Row],[Poste Responsable]]&amp;"\"&amp;Tableau1[[#This Row],[Localisation / Classement]]&amp;"\"&amp;Tableau1[[#This Row],[Poste technique]]&amp;"_"&amp;Tableau1[[#This Row],[Plan Entretien]]&amp;".pdf"</f>
        <v>\\stjn.local\trimet\Donnees_Projets\Dms Sap\Maintenance\PlanEntretien\7.MSCT\EVACUATION\T130-N150_34257.pdf</v>
      </c>
      <c r="X72" s="47">
        <v>3.5</v>
      </c>
      <c r="Y72" s="47">
        <v>2</v>
      </c>
      <c r="Z72" s="44" t="str">
        <f ca="1">IF(AND(Tableau1[[#This Row],[Charge]]&lt;&gt;0, Tableau1[[#This Row],[Nombre intervenants]]&lt;&gt;0,Tableau1[[#This Row],[Lien document]]&lt;&gt;0,Tableau1[[#This Row],[DMS_SAP]]&lt;&gt;0)=TRUE,"MIS A JOUR","")</f>
        <v>MIS A JOUR</v>
      </c>
      <c r="AA72" s="48">
        <v>45951</v>
      </c>
      <c r="AB72" s="58">
        <f ca="1">IF(Tableau1[[#This Row],[Date rév.]]&lt;&gt;"", DAYS360(Tableau1[[#This Row],[Date rév.]],TODAY()),"")</f>
        <v>333</v>
      </c>
      <c r="AC72" s="47" t="str">
        <f>IFERROR(INDEX(Chemin_accès!$B$11:$C$22,MATCH(Tableau1[[#This Row],[Type]],Chemin_accès!$C$11:$C$22,0),1),Chemin_accès!$B$11)</f>
        <v>\\stjn.local\trimet\Btechnique\Commun\BT Maint SCELLEMENT\205 - Préventifs\Modèles préventif\GammeDMS_7.MSCT.xlsm</v>
      </c>
      <c r="AD72" s="47" t="str">
        <f>Chemin_accès!$B$8&amp;Tableau1[[#This Row],[Localisation / Classement]]&amp;"\"&amp;Tableau1[[#This Row],[Poste technique]]&amp;"_"&amp;Tableau1[[#This Row],[Plan Entretien]]&amp;".xlsm"</f>
        <v>\\stjn.local\trimet\Btechnique\Commun\BT Maint SCELLEMENT\205 - Préventifs\Gammes 7.MSCT PE Tool\EVACUATION\T130-N150_34257.xlsm</v>
      </c>
    </row>
    <row r="73" spans="1:30" x14ac:dyDescent="0.3">
      <c r="A73" s="44" t="str">
        <f t="shared" ca="1" si="1"/>
        <v>7.MSCT</v>
      </c>
      <c r="B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3" s="46" t="s">
        <v>314</v>
      </c>
      <c r="D73" s="44" t="s">
        <v>206</v>
      </c>
      <c r="E73" s="44" t="s">
        <v>309</v>
      </c>
      <c r="F73" s="47" t="s">
        <v>219</v>
      </c>
      <c r="G73" s="47" t="s">
        <v>513</v>
      </c>
      <c r="H73" s="50">
        <v>34258</v>
      </c>
      <c r="I73" s="50">
        <v>69109</v>
      </c>
      <c r="J73" s="50">
        <v>522915</v>
      </c>
      <c r="K73" s="50">
        <v>3</v>
      </c>
      <c r="L73" s="46" t="s">
        <v>84</v>
      </c>
      <c r="M73" s="44" t="s">
        <v>222</v>
      </c>
      <c r="N73" s="46" t="s">
        <v>60</v>
      </c>
      <c r="O73" s="46"/>
      <c r="P73" s="47"/>
      <c r="Q73" s="46"/>
      <c r="R73" s="46"/>
      <c r="S73" s="48">
        <v>44529</v>
      </c>
      <c r="T73" s="61" t="str">
        <f>IF(Tableau1[[#This Row],[DMS_SAP]]="","",HYPERLINK(Tableau1[[#This Row],[Chemin fichier source]],"X"))</f>
        <v>X</v>
      </c>
      <c r="U73" s="61" t="str">
        <f ca="1">IF(Tableau1[[#This Row],[Date rév.]]="","",HYPERLINK(Tableau1[[#This Row],[Lien document]],"X"))</f>
        <v>X</v>
      </c>
      <c r="V73" s="47" t="s">
        <v>370</v>
      </c>
      <c r="W73" s="49" t="str">
        <f ca="1">Chemin_accès!$B$2&amp;Tableau1[[#This Row],[Poste Responsable]]&amp;"\"&amp;Tableau1[[#This Row],[Localisation / Classement]]&amp;"\"&amp;Tableau1[[#This Row],[Poste technique]]&amp;"_"&amp;Tableau1[[#This Row],[Plan Entretien]]&amp;".pdf"</f>
        <v>\\stjn.local\trimet\Donnees_Projets\Dms Sap\Maintenance\PlanEntretien\7.MSCT\EVACUATION\T130-N150_34258.pdf</v>
      </c>
      <c r="X73" s="47">
        <v>3.5</v>
      </c>
      <c r="Y73" s="47">
        <v>2</v>
      </c>
      <c r="Z73" s="44" t="str">
        <f ca="1">IF(AND(Tableau1[[#This Row],[Charge]]&lt;&gt;0, Tableau1[[#This Row],[Nombre intervenants]]&lt;&gt;0,Tableau1[[#This Row],[Lien document]]&lt;&gt;0,Tableau1[[#This Row],[DMS_SAP]]&lt;&gt;0)=TRUE,"MIS A JOUR","")</f>
        <v>MIS A JOUR</v>
      </c>
      <c r="AA73" s="48">
        <v>44979</v>
      </c>
      <c r="AB73" s="58">
        <f ca="1">IF(Tableau1[[#This Row],[Date rév.]]&lt;&gt;"", DAYS360(Tableau1[[#This Row],[Date rév.]],TODAY()),"")</f>
        <v>1292</v>
      </c>
      <c r="AC73" s="47" t="str">
        <f>IFERROR(INDEX(Chemin_accès!$B$11:$C$22,MATCH(Tableau1[[#This Row],[Type]],Chemin_accès!$C$11:$C$22,0),1),Chemin_accès!$B$11)</f>
        <v>\\stjn.local\trimet\Btechnique\Commun\BT Maint SCELLEMENT\205 - Préventifs\Modèles préventif\GammeDMS_7.MSCT.xlsm</v>
      </c>
      <c r="AD73" s="47" t="str">
        <f>Chemin_accès!$B$8&amp;Tableau1[[#This Row],[Localisation / Classement]]&amp;"\"&amp;Tableau1[[#This Row],[Poste technique]]&amp;"_"&amp;Tableau1[[#This Row],[Plan Entretien]]&amp;".xlsm"</f>
        <v>\\stjn.local\trimet\Btechnique\Commun\BT Maint SCELLEMENT\205 - Préventifs\Gammes 7.MSCT PE Tool\EVACUATION\T130-N150_34258.xlsm</v>
      </c>
    </row>
    <row r="74" spans="1:30" x14ac:dyDescent="0.3">
      <c r="A74" s="44" t="str">
        <f t="shared" ca="1" si="1"/>
        <v>7.MSCT</v>
      </c>
      <c r="B74" s="45"/>
      <c r="C74" s="46" t="s">
        <v>314</v>
      </c>
      <c r="D74" s="44" t="s">
        <v>206</v>
      </c>
      <c r="E74" s="44" t="s">
        <v>309</v>
      </c>
      <c r="F74" s="47" t="s">
        <v>223</v>
      </c>
      <c r="G74" s="47" t="s">
        <v>513</v>
      </c>
      <c r="H74" s="50">
        <v>34259</v>
      </c>
      <c r="I74" s="50">
        <v>69110</v>
      </c>
      <c r="J74" s="50">
        <v>522916</v>
      </c>
      <c r="K74" s="50">
        <v>1</v>
      </c>
      <c r="L74" s="46" t="s">
        <v>84</v>
      </c>
      <c r="M74" s="44" t="s">
        <v>224</v>
      </c>
      <c r="N74" s="46" t="s">
        <v>60</v>
      </c>
      <c r="O74" s="46"/>
      <c r="P74" s="47"/>
      <c r="Q74" s="46"/>
      <c r="R74" s="46"/>
      <c r="S74" s="48">
        <v>44529</v>
      </c>
      <c r="T74" s="61" t="str">
        <f>IF(Tableau1[[#This Row],[DMS_SAP]]="","",HYPERLINK(Tableau1[[#This Row],[Chemin fichier source]],"X"))</f>
        <v>X</v>
      </c>
      <c r="U74" s="61" t="str">
        <f ca="1">IF(Tableau1[[#This Row],[Date rév.]]="","",HYPERLINK(Tableau1[[#This Row],[Lien document]],"X"))</f>
        <v>X</v>
      </c>
      <c r="V74" s="47" t="s">
        <v>511</v>
      </c>
      <c r="W74" s="49" t="str">
        <f ca="1">Chemin_accès!$B$2&amp;Tableau1[[#This Row],[Poste Responsable]]&amp;"\"&amp;Tableau1[[#This Row],[Localisation / Classement]]&amp;"\"&amp;Tableau1[[#This Row],[Poste technique]]&amp;"_"&amp;Tableau1[[#This Row],[Plan Entretien]]&amp;".pdf"</f>
        <v>\\stjn.local\trimet\Donnees_Projets\Dms Sap\Maintenance\PlanEntretien\7.MSCT\EVACUATION\T130-N180_34259.pdf</v>
      </c>
      <c r="X74" s="47">
        <v>3.5</v>
      </c>
      <c r="Y74" s="47">
        <v>2</v>
      </c>
      <c r="Z74" s="44" t="str">
        <f ca="1">IF(AND(Tableau1[[#This Row],[Charge]]&lt;&gt;0, Tableau1[[#This Row],[Nombre intervenants]]&lt;&gt;0,Tableau1[[#This Row],[Lien document]]&lt;&gt;0,Tableau1[[#This Row],[DMS_SAP]]&lt;&gt;0)=TRUE,"MIS A JOUR","")</f>
        <v>MIS A JOUR</v>
      </c>
      <c r="AA74" s="48">
        <v>44732</v>
      </c>
      <c r="AB74" s="58">
        <f ca="1">IF(Tableau1[[#This Row],[Date rév.]]&lt;&gt;"", DAYS360(Tableau1[[#This Row],[Date rév.]],TODAY()),"")</f>
        <v>1534</v>
      </c>
      <c r="AC74" s="47" t="str">
        <f>IFERROR(INDEX(Chemin_accès!$B$11:$C$22,MATCH(Tableau1[[#This Row],[Type]],Chemin_accès!$C$11:$C$22,0),1),Chemin_accès!$B$11)</f>
        <v>\\stjn.local\trimet\Btechnique\Commun\BT Maint SCELLEMENT\205 - Préventifs\Modèles préventif\GammeDMS_7.MSCT.xlsm</v>
      </c>
      <c r="AD74" s="47" t="str">
        <f>Chemin_accès!$B$8&amp;Tableau1[[#This Row],[Localisation / Classement]]&amp;"\"&amp;Tableau1[[#This Row],[Poste technique]]&amp;"_"&amp;Tableau1[[#This Row],[Plan Entretien]]&amp;".xlsm"</f>
        <v>\\stjn.local\trimet\Btechnique\Commun\BT Maint SCELLEMENT\205 - Préventifs\Gammes 7.MSCT PE Tool\EVACUATION\T130-N180_34259.xlsm</v>
      </c>
    </row>
    <row r="75" spans="1:30" x14ac:dyDescent="0.3">
      <c r="A75" s="44" t="str">
        <f t="shared" ca="1" si="1"/>
        <v>7.MSCT</v>
      </c>
      <c r="B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5" s="46" t="s">
        <v>314</v>
      </c>
      <c r="D75" s="44" t="s">
        <v>225</v>
      </c>
      <c r="E75" s="44" t="s">
        <v>309</v>
      </c>
      <c r="F75" s="44" t="s">
        <v>226</v>
      </c>
      <c r="G75" s="44" t="s">
        <v>227</v>
      </c>
      <c r="H75" s="50">
        <v>34260</v>
      </c>
      <c r="I75" s="50">
        <v>69111</v>
      </c>
      <c r="J75" s="50">
        <v>522917</v>
      </c>
      <c r="K75" s="50">
        <v>1</v>
      </c>
      <c r="L75" s="46" t="s">
        <v>84</v>
      </c>
      <c r="M75" s="44" t="s">
        <v>228</v>
      </c>
      <c r="N75" s="46" t="s">
        <v>61</v>
      </c>
      <c r="O75" s="46"/>
      <c r="P75" s="47"/>
      <c r="Q75" s="46"/>
      <c r="R75" s="46"/>
      <c r="S75" s="48">
        <v>44529</v>
      </c>
      <c r="T75" s="61" t="str">
        <f>IF(Tableau1[[#This Row],[DMS_SAP]]="","",HYPERLINK(Tableau1[[#This Row],[Chemin fichier source]],"X"))</f>
        <v>X</v>
      </c>
      <c r="U75" s="61" t="str">
        <f ca="1">IF(Tableau1[[#This Row],[Date rév.]]="","",HYPERLINK(Tableau1[[#This Row],[Lien document]],"X"))</f>
        <v>X</v>
      </c>
      <c r="V75" s="47" t="s">
        <v>371</v>
      </c>
      <c r="W75" s="49" t="str">
        <f ca="1">Chemin_accès!$B$2&amp;Tableau1[[#This Row],[Poste Responsable]]&amp;"\"&amp;Tableau1[[#This Row],[Localisation / Classement]]&amp;"\"&amp;Tableau1[[#This Row],[Poste technique]]&amp;"_"&amp;Tableau1[[#This Row],[Plan Entretien]]&amp;".pdf"</f>
        <v>\\stjn.local\trimet\Donnees_Projets\Dms Sap\Maintenance\PlanEntretien\7.MSCT\TRAITEMENTS\T130-O_34260.pdf</v>
      </c>
      <c r="X75" s="47">
        <v>3.5</v>
      </c>
      <c r="Y75" s="47">
        <v>2</v>
      </c>
      <c r="Z75" s="44" t="str">
        <f ca="1">IF(AND(Tableau1[[#This Row],[Charge]]&lt;&gt;0, Tableau1[[#This Row],[Nombre intervenants]]&lt;&gt;0,Tableau1[[#This Row],[Lien document]]&lt;&gt;0,Tableau1[[#This Row],[DMS_SAP]]&lt;&gt;0)=TRUE,"MIS A JOUR","")</f>
        <v>MIS A JOUR</v>
      </c>
      <c r="AA75" s="48">
        <v>44736</v>
      </c>
      <c r="AB75" s="58">
        <f ca="1">IF(Tableau1[[#This Row],[Date rév.]]&lt;&gt;"", DAYS360(Tableau1[[#This Row],[Date rév.]],TODAY()),"")</f>
        <v>1530</v>
      </c>
      <c r="AC75" s="47" t="str">
        <f>IFERROR(INDEX(Chemin_accès!$B$11:$C$22,MATCH(Tableau1[[#This Row],[Type]],Chemin_accès!$C$11:$C$22,0),1),Chemin_accès!$B$11)</f>
        <v>\\stjn.local\trimet\Btechnique\Commun\BT Maint SCELLEMENT\205 - Préventifs\Modèles préventif\GammeDMS_7.MSCT.xlsm</v>
      </c>
      <c r="AD75" s="47" t="str">
        <f>Chemin_accès!$B$8&amp;Tableau1[[#This Row],[Localisation / Classement]]&amp;"\"&amp;Tableau1[[#This Row],[Poste technique]]&amp;"_"&amp;Tableau1[[#This Row],[Plan Entretien]]&amp;".xlsm"</f>
        <v>\\stjn.local\trimet\Btechnique\Commun\BT Maint SCELLEMENT\205 - Préventifs\Gammes 7.MSCT PE Tool\TRAITEMENTS\T130-O_34260.xlsm</v>
      </c>
    </row>
    <row r="76" spans="1:30" x14ac:dyDescent="0.3">
      <c r="A76" s="44" t="str">
        <f t="shared" ca="1" si="1"/>
        <v>7.MSCT</v>
      </c>
      <c r="B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6" s="46" t="s">
        <v>314</v>
      </c>
      <c r="D76" s="44" t="s">
        <v>225</v>
      </c>
      <c r="E76" s="44" t="s">
        <v>309</v>
      </c>
      <c r="F76" s="47" t="s">
        <v>229</v>
      </c>
      <c r="G76" s="47" t="s">
        <v>227</v>
      </c>
      <c r="H76" s="50">
        <v>34261</v>
      </c>
      <c r="I76" s="50">
        <v>69112</v>
      </c>
      <c r="J76" s="50">
        <v>522918</v>
      </c>
      <c r="K76" s="50">
        <v>1</v>
      </c>
      <c r="L76" s="46" t="s">
        <v>82</v>
      </c>
      <c r="M76" s="44" t="s">
        <v>230</v>
      </c>
      <c r="N76" s="46" t="s">
        <v>60</v>
      </c>
      <c r="O76" s="46"/>
      <c r="P76" s="47"/>
      <c r="Q76" s="46"/>
      <c r="R76" s="46"/>
      <c r="S76" s="48">
        <v>44529</v>
      </c>
      <c r="T76" s="61" t="str">
        <f>IF(Tableau1[[#This Row],[DMS_SAP]]="","",HYPERLINK(Tableau1[[#This Row],[Chemin fichier source]],"X"))</f>
        <v>X</v>
      </c>
      <c r="U76" s="61" t="str">
        <f ca="1">IF(Tableau1[[#This Row],[Date rév.]]="","",HYPERLINK(Tableau1[[#This Row],[Lien document]],"X"))</f>
        <v>X</v>
      </c>
      <c r="V76" s="47" t="s">
        <v>372</v>
      </c>
      <c r="W76" s="49" t="str">
        <f ca="1">Chemin_accès!$B$2&amp;Tableau1[[#This Row],[Poste Responsable]]&amp;"\"&amp;Tableau1[[#This Row],[Localisation / Classement]]&amp;"\"&amp;Tableau1[[#This Row],[Poste technique]]&amp;"_"&amp;Tableau1[[#This Row],[Plan Entretien]]&amp;".pdf"</f>
        <v>\\stjn.local\trimet\Donnees_Projets\Dms Sap\Maintenance\PlanEntretien\7.MSCT\TRAITEMENTS\T130-O120_34261.pdf</v>
      </c>
      <c r="X76" s="47">
        <v>3.5</v>
      </c>
      <c r="Y76" s="47">
        <v>2</v>
      </c>
      <c r="Z76" s="44" t="str">
        <f ca="1">IF(AND(Tableau1[[#This Row],[Charge]]&lt;&gt;0, Tableau1[[#This Row],[Nombre intervenants]]&lt;&gt;0,Tableau1[[#This Row],[Lien document]]&lt;&gt;0,Tableau1[[#This Row],[DMS_SAP]]&lt;&gt;0)=TRUE,"MIS A JOUR","")</f>
        <v>MIS A JOUR</v>
      </c>
      <c r="AA76" s="48">
        <v>44739</v>
      </c>
      <c r="AB76" s="58">
        <f ca="1">IF(Tableau1[[#This Row],[Date rév.]]&lt;&gt;"", DAYS360(Tableau1[[#This Row],[Date rév.]],TODAY()),"")</f>
        <v>1527</v>
      </c>
      <c r="AC76" s="47" t="str">
        <f>IFERROR(INDEX(Chemin_accès!$B$11:$C$22,MATCH(Tableau1[[#This Row],[Type]],Chemin_accès!$C$11:$C$22,0),1),Chemin_accès!$B$11)</f>
        <v>\\stjn.local\trimet\Btechnique\Commun\BT Maint SCELLEMENT\205 - Préventifs\Modèles préventif\GammeDMS_7.MSCT.xlsm</v>
      </c>
      <c r="AD76" s="47" t="str">
        <f>Chemin_accès!$B$8&amp;Tableau1[[#This Row],[Localisation / Classement]]&amp;"\"&amp;Tableau1[[#This Row],[Poste technique]]&amp;"_"&amp;Tableau1[[#This Row],[Plan Entretien]]&amp;".xlsm"</f>
        <v>\\stjn.local\trimet\Btechnique\Commun\BT Maint SCELLEMENT\205 - Préventifs\Gammes 7.MSCT PE Tool\TRAITEMENTS\T130-O120_34261.xlsm</v>
      </c>
    </row>
    <row r="77" spans="1:30" x14ac:dyDescent="0.3">
      <c r="A77" s="44" t="str">
        <f t="shared" ca="1" si="1"/>
        <v>7.MSCT</v>
      </c>
      <c r="B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7" s="46" t="s">
        <v>314</v>
      </c>
      <c r="D77" s="44" t="s">
        <v>225</v>
      </c>
      <c r="E77" s="44" t="s">
        <v>309</v>
      </c>
      <c r="F77" s="47" t="s">
        <v>229</v>
      </c>
      <c r="G77" s="47" t="s">
        <v>227</v>
      </c>
      <c r="H77" s="50">
        <v>34262</v>
      </c>
      <c r="I77" s="50">
        <v>69113</v>
      </c>
      <c r="J77" s="50">
        <v>522918</v>
      </c>
      <c r="K77" s="50">
        <v>2</v>
      </c>
      <c r="L77" s="46" t="s">
        <v>84</v>
      </c>
      <c r="M77" s="44" t="s">
        <v>231</v>
      </c>
      <c r="N77" s="46" t="s">
        <v>61</v>
      </c>
      <c r="O77" s="46"/>
      <c r="P77" s="47"/>
      <c r="Q77" s="46"/>
      <c r="R77" s="46"/>
      <c r="S77" s="48">
        <v>44529</v>
      </c>
      <c r="T77" s="61" t="str">
        <f>IF(Tableau1[[#This Row],[DMS_SAP]]="","",HYPERLINK(Tableau1[[#This Row],[Chemin fichier source]],"X"))</f>
        <v>X</v>
      </c>
      <c r="U77" s="61" t="str">
        <f ca="1">IF(Tableau1[[#This Row],[Date rév.]]="","",HYPERLINK(Tableau1[[#This Row],[Lien document]],"X"))</f>
        <v>X</v>
      </c>
      <c r="V77" s="47" t="s">
        <v>373</v>
      </c>
      <c r="W77" s="49" t="str">
        <f ca="1">Chemin_accès!$B$2&amp;Tableau1[[#This Row],[Poste Responsable]]&amp;"\"&amp;Tableau1[[#This Row],[Localisation / Classement]]&amp;"\"&amp;Tableau1[[#This Row],[Poste technique]]&amp;"_"&amp;Tableau1[[#This Row],[Plan Entretien]]&amp;".pdf"</f>
        <v>\\stjn.local\trimet\Donnees_Projets\Dms Sap\Maintenance\PlanEntretien\7.MSCT\TRAITEMENTS\T130-O120_34262.pdf</v>
      </c>
      <c r="X77" s="47">
        <v>3.5</v>
      </c>
      <c r="Y77" s="47">
        <v>2</v>
      </c>
      <c r="Z77" s="44" t="str">
        <f ca="1">IF(AND(Tableau1[[#This Row],[Charge]]&lt;&gt;0, Tableau1[[#This Row],[Nombre intervenants]]&lt;&gt;0,Tableau1[[#This Row],[Lien document]]&lt;&gt;0,Tableau1[[#This Row],[DMS_SAP]]&lt;&gt;0)=TRUE,"MIS A JOUR","")</f>
        <v>MIS A JOUR</v>
      </c>
      <c r="AA77" s="48">
        <v>45372</v>
      </c>
      <c r="AB77" s="58">
        <f ca="1">IF(Tableau1[[#This Row],[Date rév.]]&lt;&gt;"", DAYS360(Tableau1[[#This Row],[Date rév.]],TODAY()),"")</f>
        <v>903</v>
      </c>
      <c r="AC77" s="47" t="str">
        <f>IFERROR(INDEX(Chemin_accès!$B$11:$C$22,MATCH(Tableau1[[#This Row],[Type]],Chemin_accès!$C$11:$C$22,0),1),Chemin_accès!$B$11)</f>
        <v>\\stjn.local\trimet\Btechnique\Commun\BT Maint SCELLEMENT\205 - Préventifs\Modèles préventif\GammeDMS_7.MSCT.xlsm</v>
      </c>
      <c r="AD77" s="47" t="str">
        <f>Chemin_accès!$B$8&amp;Tableau1[[#This Row],[Localisation / Classement]]&amp;"\"&amp;Tableau1[[#This Row],[Poste technique]]&amp;"_"&amp;Tableau1[[#This Row],[Plan Entretien]]&amp;".xlsm"</f>
        <v>\\stjn.local\trimet\Btechnique\Commun\BT Maint SCELLEMENT\205 - Préventifs\Gammes 7.MSCT PE Tool\TRAITEMENTS\T130-O120_34262.xlsm</v>
      </c>
    </row>
    <row r="78" spans="1:30" x14ac:dyDescent="0.3">
      <c r="A78" s="44" t="str">
        <f t="shared" ca="1" si="1"/>
        <v>7.MSCT</v>
      </c>
      <c r="B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8" s="46" t="s">
        <v>314</v>
      </c>
      <c r="D78" s="44" t="s">
        <v>225</v>
      </c>
      <c r="E78" s="44" t="s">
        <v>309</v>
      </c>
      <c r="F78" s="47" t="s">
        <v>229</v>
      </c>
      <c r="G78" s="47" t="s">
        <v>227</v>
      </c>
      <c r="H78" s="50">
        <v>34263</v>
      </c>
      <c r="I78" s="50">
        <v>69114</v>
      </c>
      <c r="J78" s="50">
        <v>522918</v>
      </c>
      <c r="K78" s="50">
        <v>3</v>
      </c>
      <c r="L78" s="46" t="s">
        <v>84</v>
      </c>
      <c r="M78" s="44" t="s">
        <v>232</v>
      </c>
      <c r="N78" s="46" t="s">
        <v>64</v>
      </c>
      <c r="O78" s="46"/>
      <c r="P78" s="47"/>
      <c r="Q78" s="46"/>
      <c r="R78" s="46"/>
      <c r="S78" s="48">
        <v>44529</v>
      </c>
      <c r="T78" s="61" t="str">
        <f>IF(Tableau1[[#This Row],[DMS_SAP]]="","",HYPERLINK(Tableau1[[#This Row],[Chemin fichier source]],"X"))</f>
        <v>X</v>
      </c>
      <c r="U78" s="61" t="str">
        <f ca="1">IF(Tableau1[[#This Row],[Date rév.]]="","",HYPERLINK(Tableau1[[#This Row],[Lien document]],"X"))</f>
        <v>X</v>
      </c>
      <c r="V78" s="47" t="s">
        <v>374</v>
      </c>
      <c r="W78" s="49" t="str">
        <f ca="1">Chemin_accès!$B$2&amp;Tableau1[[#This Row],[Poste Responsable]]&amp;"\"&amp;Tableau1[[#This Row],[Localisation / Classement]]&amp;"\"&amp;Tableau1[[#This Row],[Poste technique]]&amp;"_"&amp;Tableau1[[#This Row],[Plan Entretien]]&amp;".pdf"</f>
        <v>\\stjn.local\trimet\Donnees_Projets\Dms Sap\Maintenance\PlanEntretien\7.MSCT\TRAITEMENTS\T130-O120_34263.pdf</v>
      </c>
      <c r="X78" s="47">
        <v>3.5</v>
      </c>
      <c r="Y78" s="47">
        <v>2</v>
      </c>
      <c r="Z78" s="44" t="str">
        <f ca="1">IF(AND(Tableau1[[#This Row],[Charge]]&lt;&gt;0, Tableau1[[#This Row],[Nombre intervenants]]&lt;&gt;0,Tableau1[[#This Row],[Lien document]]&lt;&gt;0,Tableau1[[#This Row],[DMS_SAP]]&lt;&gt;0)=TRUE,"MIS A JOUR","")</f>
        <v>MIS A JOUR</v>
      </c>
      <c r="AA78" s="48">
        <v>45293</v>
      </c>
      <c r="AB78" s="58">
        <f ca="1">IF(Tableau1[[#This Row],[Date rév.]]&lt;&gt;"", DAYS360(Tableau1[[#This Row],[Date rév.]],TODAY()),"")</f>
        <v>982</v>
      </c>
      <c r="AC78" s="47" t="str">
        <f>IFERROR(INDEX(Chemin_accès!$B$11:$C$22,MATCH(Tableau1[[#This Row],[Type]],Chemin_accès!$C$11:$C$22,0),1),Chemin_accès!$B$11)</f>
        <v>\\stjn.local\trimet\Btechnique\Commun\BT Maint SCELLEMENT\205 - Préventifs\Modèles préventif\GammeDMS_7.MSCT.xlsm</v>
      </c>
      <c r="AD78" s="47" t="str">
        <f>Chemin_accès!$B$8&amp;Tableau1[[#This Row],[Localisation / Classement]]&amp;"\"&amp;Tableau1[[#This Row],[Poste technique]]&amp;"_"&amp;Tableau1[[#This Row],[Plan Entretien]]&amp;".xlsm"</f>
        <v>\\stjn.local\trimet\Btechnique\Commun\BT Maint SCELLEMENT\205 - Préventifs\Gammes 7.MSCT PE Tool\TRAITEMENTS\T130-O120_34263.xlsm</v>
      </c>
    </row>
    <row r="79" spans="1:30" x14ac:dyDescent="0.3">
      <c r="A79" s="44" t="str">
        <f t="shared" ca="1" si="1"/>
        <v>7.MSCT</v>
      </c>
      <c r="B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9" s="46" t="s">
        <v>314</v>
      </c>
      <c r="D79" s="44" t="s">
        <v>225</v>
      </c>
      <c r="E79" s="44" t="s">
        <v>309</v>
      </c>
      <c r="F79" s="47" t="s">
        <v>233</v>
      </c>
      <c r="G79" s="47" t="s">
        <v>227</v>
      </c>
      <c r="H79" s="50">
        <v>34264</v>
      </c>
      <c r="I79" s="50">
        <v>69115</v>
      </c>
      <c r="J79" s="50">
        <v>522919</v>
      </c>
      <c r="K79" s="50">
        <v>1</v>
      </c>
      <c r="L79" s="46" t="s">
        <v>82</v>
      </c>
      <c r="M79" s="44" t="s">
        <v>234</v>
      </c>
      <c r="N79" s="46" t="s">
        <v>60</v>
      </c>
      <c r="O79" s="46"/>
      <c r="P79" s="47"/>
      <c r="Q79" s="46"/>
      <c r="R79" s="46"/>
      <c r="S79" s="48">
        <v>44529</v>
      </c>
      <c r="T79" s="61" t="str">
        <f>IF(Tableau1[[#This Row],[DMS_SAP]]="","",HYPERLINK(Tableau1[[#This Row],[Chemin fichier source]],"X"))</f>
        <v>X</v>
      </c>
      <c r="U79" s="61" t="str">
        <f ca="1">IF(Tableau1[[#This Row],[Date rév.]]="","",HYPERLINK(Tableau1[[#This Row],[Lien document]],"X"))</f>
        <v>X</v>
      </c>
      <c r="V79" s="47" t="s">
        <v>375</v>
      </c>
      <c r="W79" s="49" t="str">
        <f ca="1">Chemin_accès!$B$2&amp;Tableau1[[#This Row],[Poste Responsable]]&amp;"\"&amp;Tableau1[[#This Row],[Localisation / Classement]]&amp;"\"&amp;Tableau1[[#This Row],[Poste technique]]&amp;"_"&amp;Tableau1[[#This Row],[Plan Entretien]]&amp;".pdf"</f>
        <v>\\stjn.local\trimet\Donnees_Projets\Dms Sap\Maintenance\PlanEntretien\7.MSCT\TRAITEMENTS\T130-O130_34264.pdf</v>
      </c>
      <c r="X79" s="47">
        <v>3.5</v>
      </c>
      <c r="Y79" s="47">
        <v>2</v>
      </c>
      <c r="Z79" s="44" t="str">
        <f ca="1">IF(AND(Tableau1[[#This Row],[Charge]]&lt;&gt;0, Tableau1[[#This Row],[Nombre intervenants]]&lt;&gt;0,Tableau1[[#This Row],[Lien document]]&lt;&gt;0,Tableau1[[#This Row],[DMS_SAP]]&lt;&gt;0)=TRUE,"MIS A JOUR","")</f>
        <v>MIS A JOUR</v>
      </c>
      <c r="AA79" s="48">
        <v>45127</v>
      </c>
      <c r="AB79" s="58">
        <f ca="1">IF(Tableau1[[#This Row],[Date rév.]]&lt;&gt;"", DAYS360(Tableau1[[#This Row],[Date rév.]],TODAY()),"")</f>
        <v>1144</v>
      </c>
      <c r="AC79" s="47" t="str">
        <f>IFERROR(INDEX(Chemin_accès!$B$11:$C$22,MATCH(Tableau1[[#This Row],[Type]],Chemin_accès!$C$11:$C$22,0),1),Chemin_accès!$B$11)</f>
        <v>\\stjn.local\trimet\Btechnique\Commun\BT Maint SCELLEMENT\205 - Préventifs\Modèles préventif\GammeDMS_7.MSCT.xlsm</v>
      </c>
      <c r="AD79" s="47" t="str">
        <f>Chemin_accès!$B$8&amp;Tableau1[[#This Row],[Localisation / Classement]]&amp;"\"&amp;Tableau1[[#This Row],[Poste technique]]&amp;"_"&amp;Tableau1[[#This Row],[Plan Entretien]]&amp;".xlsm"</f>
        <v>\\stjn.local\trimet\Btechnique\Commun\BT Maint SCELLEMENT\205 - Préventifs\Gammes 7.MSCT PE Tool\TRAITEMENTS\T130-O130_34264.xlsm</v>
      </c>
    </row>
    <row r="80" spans="1:30" x14ac:dyDescent="0.3">
      <c r="A80" s="44" t="str">
        <f t="shared" ca="1" si="1"/>
        <v>7.MSCT</v>
      </c>
      <c r="B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0" s="46" t="s">
        <v>314</v>
      </c>
      <c r="D80" s="44" t="s">
        <v>225</v>
      </c>
      <c r="E80" s="44" t="s">
        <v>309</v>
      </c>
      <c r="F80" s="47" t="s">
        <v>233</v>
      </c>
      <c r="G80" s="47" t="s">
        <v>227</v>
      </c>
      <c r="H80" s="50">
        <v>34265</v>
      </c>
      <c r="I80" s="50">
        <v>69116</v>
      </c>
      <c r="J80" s="50">
        <v>522919</v>
      </c>
      <c r="K80" s="50">
        <v>2</v>
      </c>
      <c r="L80" s="46" t="s">
        <v>84</v>
      </c>
      <c r="M80" s="44" t="s">
        <v>235</v>
      </c>
      <c r="N80" s="46" t="s">
        <v>64</v>
      </c>
      <c r="O80" s="46"/>
      <c r="P80" s="47"/>
      <c r="Q80" s="46"/>
      <c r="R80" s="46"/>
      <c r="S80" s="48">
        <v>44529</v>
      </c>
      <c r="T80" s="61" t="str">
        <f>IF(Tableau1[[#This Row],[DMS_SAP]]="","",HYPERLINK(Tableau1[[#This Row],[Chemin fichier source]],"X"))</f>
        <v>X</v>
      </c>
      <c r="U80" s="61" t="str">
        <f ca="1">IF(Tableau1[[#This Row],[Date rév.]]="","",HYPERLINK(Tableau1[[#This Row],[Lien document]],"X"))</f>
        <v>X</v>
      </c>
      <c r="V80" s="47" t="s">
        <v>376</v>
      </c>
      <c r="W80" s="49" t="str">
        <f ca="1">Chemin_accès!$B$2&amp;Tableau1[[#This Row],[Poste Responsable]]&amp;"\"&amp;Tableau1[[#This Row],[Localisation / Classement]]&amp;"\"&amp;Tableau1[[#This Row],[Poste technique]]&amp;"_"&amp;Tableau1[[#This Row],[Plan Entretien]]&amp;".pdf"</f>
        <v>\\stjn.local\trimet\Donnees_Projets\Dms Sap\Maintenance\PlanEntretien\7.MSCT\TRAITEMENTS\T130-O130_34265.pdf</v>
      </c>
      <c r="X80" s="47">
        <v>3.5</v>
      </c>
      <c r="Y80" s="47">
        <v>2</v>
      </c>
      <c r="Z80" s="44" t="str">
        <f ca="1">IF(AND(Tableau1[[#This Row],[Charge]]&lt;&gt;0, Tableau1[[#This Row],[Nombre intervenants]]&lt;&gt;0,Tableau1[[#This Row],[Lien document]]&lt;&gt;0,Tableau1[[#This Row],[DMS_SAP]]&lt;&gt;0)=TRUE,"MIS A JOUR","")</f>
        <v>MIS A JOUR</v>
      </c>
      <c r="AA80" s="48">
        <v>45875</v>
      </c>
      <c r="AB80" s="58">
        <f ca="1">IF(Tableau1[[#This Row],[Date rév.]]&lt;&gt;"", DAYS360(Tableau1[[#This Row],[Date rév.]],TODAY()),"")</f>
        <v>408</v>
      </c>
      <c r="AC80" s="47" t="str">
        <f>IFERROR(INDEX(Chemin_accès!$B$11:$C$22,MATCH(Tableau1[[#This Row],[Type]],Chemin_accès!$C$11:$C$22,0),1),Chemin_accès!$B$11)</f>
        <v>\\stjn.local\trimet\Btechnique\Commun\BT Maint SCELLEMENT\205 - Préventifs\Modèles préventif\GammeDMS_7.MSCT.xlsm</v>
      </c>
      <c r="AD80" s="47" t="str">
        <f>Chemin_accès!$B$8&amp;Tableau1[[#This Row],[Localisation / Classement]]&amp;"\"&amp;Tableau1[[#This Row],[Poste technique]]&amp;"_"&amp;Tableau1[[#This Row],[Plan Entretien]]&amp;".xlsm"</f>
        <v>\\stjn.local\trimet\Btechnique\Commun\BT Maint SCELLEMENT\205 - Préventifs\Gammes 7.MSCT PE Tool\TRAITEMENTS\T130-O130_34265.xlsm</v>
      </c>
    </row>
    <row r="81" spans="1:30" x14ac:dyDescent="0.3">
      <c r="A81" s="44" t="str">
        <f t="shared" ca="1" si="1"/>
        <v>7.MSCT</v>
      </c>
      <c r="B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1" s="46" t="s">
        <v>314</v>
      </c>
      <c r="D81" s="44" t="s">
        <v>225</v>
      </c>
      <c r="E81" s="44" t="s">
        <v>309</v>
      </c>
      <c r="F81" s="47" t="s">
        <v>236</v>
      </c>
      <c r="G81" s="47" t="s">
        <v>227</v>
      </c>
      <c r="H81" s="50">
        <v>34266</v>
      </c>
      <c r="I81" s="50">
        <v>69117</v>
      </c>
      <c r="J81" s="50">
        <v>522920</v>
      </c>
      <c r="K81" s="50">
        <v>1</v>
      </c>
      <c r="L81" s="46" t="s">
        <v>157</v>
      </c>
      <c r="M81" s="44" t="s">
        <v>237</v>
      </c>
      <c r="N81" s="46" t="s">
        <v>60</v>
      </c>
      <c r="O81" s="46"/>
      <c r="P81" s="47"/>
      <c r="Q81" s="46"/>
      <c r="R81" s="46"/>
      <c r="S81" s="48">
        <v>44529</v>
      </c>
      <c r="T81" s="61" t="str">
        <f>IF(Tableau1[[#This Row],[DMS_SAP]]="","",HYPERLINK(Tableau1[[#This Row],[Chemin fichier source]],"X"))</f>
        <v>X</v>
      </c>
      <c r="U81" s="61" t="str">
        <f ca="1">IF(Tableau1[[#This Row],[Date rév.]]="","",HYPERLINK(Tableau1[[#This Row],[Lien document]],"X"))</f>
        <v>X</v>
      </c>
      <c r="V81" s="47" t="s">
        <v>377</v>
      </c>
      <c r="W81" s="49" t="str">
        <f ca="1">Chemin_accès!$B$2&amp;Tableau1[[#This Row],[Poste Responsable]]&amp;"\"&amp;Tableau1[[#This Row],[Localisation / Classement]]&amp;"\"&amp;Tableau1[[#This Row],[Poste technique]]&amp;"_"&amp;Tableau1[[#This Row],[Plan Entretien]]&amp;".pdf"</f>
        <v>\\stjn.local\trimet\Donnees_Projets\Dms Sap\Maintenance\PlanEntretien\7.MSCT\TRAITEMENTS\T130-O140_34266.pdf</v>
      </c>
      <c r="X81" s="47">
        <v>3.5</v>
      </c>
      <c r="Y81" s="47">
        <v>2</v>
      </c>
      <c r="Z81" s="44" t="str">
        <f ca="1">IF(AND(Tableau1[[#This Row],[Charge]]&lt;&gt;0, Tableau1[[#This Row],[Nombre intervenants]]&lt;&gt;0,Tableau1[[#This Row],[Lien document]]&lt;&gt;0,Tableau1[[#This Row],[DMS_SAP]]&lt;&gt;0)=TRUE,"MIS A JOUR","")</f>
        <v>MIS A JOUR</v>
      </c>
      <c r="AA81" s="48">
        <v>44834</v>
      </c>
      <c r="AB81" s="58">
        <f ca="1">IF(Tableau1[[#This Row],[Date rév.]]&lt;&gt;"", DAYS360(Tableau1[[#This Row],[Date rév.]],TODAY()),"")</f>
        <v>1434</v>
      </c>
      <c r="AC81" s="47" t="str">
        <f>IFERROR(INDEX(Chemin_accès!$B$11:$C$22,MATCH(Tableau1[[#This Row],[Type]],Chemin_accès!$C$11:$C$22,0),1),Chemin_accès!$B$11)</f>
        <v>\\stjn.local\trimet\Btechnique\Commun\BT Maint SCELLEMENT\205 - Préventifs\Modèles préventif\GammeDMS_7.MSCT.xlsm</v>
      </c>
      <c r="AD81" s="47" t="str">
        <f>Chemin_accès!$B$8&amp;Tableau1[[#This Row],[Localisation / Classement]]&amp;"\"&amp;Tableau1[[#This Row],[Poste technique]]&amp;"_"&amp;Tableau1[[#This Row],[Plan Entretien]]&amp;".xlsm"</f>
        <v>\\stjn.local\trimet\Btechnique\Commun\BT Maint SCELLEMENT\205 - Préventifs\Gammes 7.MSCT PE Tool\TRAITEMENTS\T130-O140_34266.xlsm</v>
      </c>
    </row>
    <row r="82" spans="1:30" x14ac:dyDescent="0.3">
      <c r="A82" s="44" t="str">
        <f t="shared" ca="1" si="1"/>
        <v>7.MSCT</v>
      </c>
      <c r="B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2" s="46" t="s">
        <v>314</v>
      </c>
      <c r="D82" s="44" t="s">
        <v>225</v>
      </c>
      <c r="E82" s="44" t="s">
        <v>309</v>
      </c>
      <c r="F82" s="47" t="s">
        <v>236</v>
      </c>
      <c r="G82" s="47" t="s">
        <v>227</v>
      </c>
      <c r="H82" s="50">
        <v>34267</v>
      </c>
      <c r="I82" s="50">
        <v>69118</v>
      </c>
      <c r="J82" s="50">
        <v>522920</v>
      </c>
      <c r="K82" s="50">
        <v>2</v>
      </c>
      <c r="L82" s="46" t="s">
        <v>84</v>
      </c>
      <c r="M82" s="44" t="s">
        <v>238</v>
      </c>
      <c r="N82" s="46" t="s">
        <v>61</v>
      </c>
      <c r="O82" s="46"/>
      <c r="P82" s="47"/>
      <c r="Q82" s="46"/>
      <c r="R82" s="46"/>
      <c r="S82" s="48">
        <v>44529</v>
      </c>
      <c r="T82" s="61" t="str">
        <f>IF(Tableau1[[#This Row],[DMS_SAP]]="","",HYPERLINK(Tableau1[[#This Row],[Chemin fichier source]],"X"))</f>
        <v>X</v>
      </c>
      <c r="U82" s="61" t="str">
        <f ca="1">IF(Tableau1[[#This Row],[Date rév.]]="","",HYPERLINK(Tableau1[[#This Row],[Lien document]],"X"))</f>
        <v>X</v>
      </c>
      <c r="V82" s="47" t="s">
        <v>378</v>
      </c>
      <c r="W82" s="49" t="str">
        <f ca="1">Chemin_accès!$B$2&amp;Tableau1[[#This Row],[Poste Responsable]]&amp;"\"&amp;Tableau1[[#This Row],[Localisation / Classement]]&amp;"\"&amp;Tableau1[[#This Row],[Poste technique]]&amp;"_"&amp;Tableau1[[#This Row],[Plan Entretien]]&amp;".pdf"</f>
        <v>\\stjn.local\trimet\Donnees_Projets\Dms Sap\Maintenance\PlanEntretien\7.MSCT\TRAITEMENTS\T130-O140_34267.pdf</v>
      </c>
      <c r="X82" s="47">
        <v>1</v>
      </c>
      <c r="Y82" s="47">
        <v>2</v>
      </c>
      <c r="Z82" s="44" t="str">
        <f ca="1">IF(AND(Tableau1[[#This Row],[Charge]]&lt;&gt;0, Tableau1[[#This Row],[Nombre intervenants]]&lt;&gt;0,Tableau1[[#This Row],[Lien document]]&lt;&gt;0,Tableau1[[#This Row],[DMS_SAP]]&lt;&gt;0)=TRUE,"MIS A JOUR","")</f>
        <v>MIS A JOUR</v>
      </c>
      <c r="AA82" s="48">
        <v>44739</v>
      </c>
      <c r="AB82" s="58">
        <f ca="1">IF(Tableau1[[#This Row],[Date rév.]]&lt;&gt;"", DAYS360(Tableau1[[#This Row],[Date rév.]],TODAY()),"")</f>
        <v>1527</v>
      </c>
      <c r="AC82" s="47" t="str">
        <f>IFERROR(INDEX(Chemin_accès!$B$11:$C$22,MATCH(Tableau1[[#This Row],[Type]],Chemin_accès!$C$11:$C$22,0),1),Chemin_accès!$B$11)</f>
        <v>\\stjn.local\trimet\Btechnique\Commun\BT Maint SCELLEMENT\205 - Préventifs\Modèles préventif\GammeDMS_7.MSCT.xlsm</v>
      </c>
      <c r="AD82" s="47" t="str">
        <f>Chemin_accès!$B$8&amp;Tableau1[[#This Row],[Localisation / Classement]]&amp;"\"&amp;Tableau1[[#This Row],[Poste technique]]&amp;"_"&amp;Tableau1[[#This Row],[Plan Entretien]]&amp;".xlsm"</f>
        <v>\\stjn.local\trimet\Btechnique\Commun\BT Maint SCELLEMENT\205 - Préventifs\Gammes 7.MSCT PE Tool\TRAITEMENTS\T130-O140_34267.xlsm</v>
      </c>
    </row>
    <row r="83" spans="1:30" x14ac:dyDescent="0.3">
      <c r="A83" s="44" t="str">
        <f t="shared" ca="1" si="1"/>
        <v>7.MSCT</v>
      </c>
      <c r="B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3" s="46" t="s">
        <v>314</v>
      </c>
      <c r="D83" s="44" t="s">
        <v>225</v>
      </c>
      <c r="E83" s="44" t="s">
        <v>309</v>
      </c>
      <c r="F83" s="47" t="s">
        <v>239</v>
      </c>
      <c r="G83" s="47" t="s">
        <v>227</v>
      </c>
      <c r="H83" s="50">
        <v>34268</v>
      </c>
      <c r="I83" s="50">
        <v>69119</v>
      </c>
      <c r="J83" s="50">
        <v>522921</v>
      </c>
      <c r="K83" s="50">
        <v>1</v>
      </c>
      <c r="L83" s="46" t="s">
        <v>82</v>
      </c>
      <c r="M83" s="44" t="s">
        <v>484</v>
      </c>
      <c r="N83" s="46" t="s">
        <v>60</v>
      </c>
      <c r="O83" s="46"/>
      <c r="P83" s="47"/>
      <c r="Q83" s="46"/>
      <c r="R83" s="46"/>
      <c r="S83" s="48">
        <v>44529</v>
      </c>
      <c r="T83" s="61" t="str">
        <f>IF(Tableau1[[#This Row],[DMS_SAP]]="","",HYPERLINK(Tableau1[[#This Row],[Chemin fichier source]],"X"))</f>
        <v>X</v>
      </c>
      <c r="U83" s="61" t="str">
        <f ca="1">IF(Tableau1[[#This Row],[Date rév.]]="","",HYPERLINK(Tableau1[[#This Row],[Lien document]],"X"))</f>
        <v>X</v>
      </c>
      <c r="V83" s="47" t="s">
        <v>379</v>
      </c>
      <c r="W83" s="49" t="str">
        <f ca="1">Chemin_accès!$B$2&amp;Tableau1[[#This Row],[Poste Responsable]]&amp;"\"&amp;Tableau1[[#This Row],[Localisation / Classement]]&amp;"\"&amp;Tableau1[[#This Row],[Poste technique]]&amp;"_"&amp;Tableau1[[#This Row],[Plan Entretien]]&amp;".pdf"</f>
        <v>\\stjn.local\trimet\Donnees_Projets\Dms Sap\Maintenance\PlanEntretien\7.MSCT\TRAITEMENTS\T130-O150_34268.pdf</v>
      </c>
      <c r="X83" s="47">
        <v>3.5</v>
      </c>
      <c r="Y83" s="47">
        <v>2</v>
      </c>
      <c r="Z83" s="44" t="str">
        <f ca="1">IF(AND(Tableau1[[#This Row],[Charge]]&lt;&gt;0, Tableau1[[#This Row],[Nombre intervenants]]&lt;&gt;0,Tableau1[[#This Row],[Lien document]]&lt;&gt;0,Tableau1[[#This Row],[DMS_SAP]]&lt;&gt;0)=TRUE,"MIS A JOUR","")</f>
        <v>MIS A JOUR</v>
      </c>
      <c r="AA83" s="48">
        <v>44865</v>
      </c>
      <c r="AB83" s="58">
        <f ca="1">IF(Tableau1[[#This Row],[Date rév.]]&lt;&gt;"", DAYS360(Tableau1[[#This Row],[Date rév.]],TODAY()),"")</f>
        <v>1404</v>
      </c>
      <c r="AC83" s="47" t="str">
        <f>IFERROR(INDEX(Chemin_accès!$B$11:$C$22,MATCH(Tableau1[[#This Row],[Type]],Chemin_accès!$C$11:$C$22,0),1),Chemin_accès!$B$11)</f>
        <v>\\stjn.local\trimet\Btechnique\Commun\BT Maint SCELLEMENT\205 - Préventifs\Modèles préventif\GammeDMS_7.MSCT.xlsm</v>
      </c>
      <c r="AD83" s="47" t="str">
        <f>Chemin_accès!$B$8&amp;Tableau1[[#This Row],[Localisation / Classement]]&amp;"\"&amp;Tableau1[[#This Row],[Poste technique]]&amp;"_"&amp;Tableau1[[#This Row],[Plan Entretien]]&amp;".xlsm"</f>
        <v>\\stjn.local\trimet\Btechnique\Commun\BT Maint SCELLEMENT\205 - Préventifs\Gammes 7.MSCT PE Tool\TRAITEMENTS\T130-O150_34268.xlsm</v>
      </c>
    </row>
    <row r="84" spans="1:30" x14ac:dyDescent="0.3">
      <c r="A84" s="44" t="str">
        <f t="shared" ca="1" si="1"/>
        <v>7.MSCT</v>
      </c>
      <c r="B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4" s="46" t="s">
        <v>314</v>
      </c>
      <c r="D84" s="44" t="s">
        <v>225</v>
      </c>
      <c r="E84" s="44" t="s">
        <v>309</v>
      </c>
      <c r="F84" s="47" t="s">
        <v>239</v>
      </c>
      <c r="G84" s="47" t="s">
        <v>227</v>
      </c>
      <c r="H84" s="50">
        <v>34269</v>
      </c>
      <c r="I84" s="50">
        <v>69120</v>
      </c>
      <c r="J84" s="50">
        <v>522921</v>
      </c>
      <c r="K84" s="50">
        <v>2</v>
      </c>
      <c r="L84" s="46" t="s">
        <v>82</v>
      </c>
      <c r="M84" s="44" t="s">
        <v>483</v>
      </c>
      <c r="N84" s="46" t="s">
        <v>1</v>
      </c>
      <c r="O84" s="46"/>
      <c r="P84" s="47"/>
      <c r="Q84" s="46"/>
      <c r="R84" s="46"/>
      <c r="S84" s="48">
        <v>44529</v>
      </c>
      <c r="T84" s="61" t="str">
        <f>IF(Tableau1[[#This Row],[DMS_SAP]]="","",HYPERLINK(Tableau1[[#This Row],[Chemin fichier source]],"X"))</f>
        <v>X</v>
      </c>
      <c r="U84" s="61" t="str">
        <f ca="1">IF(Tableau1[[#This Row],[Date rév.]]="","",HYPERLINK(Tableau1[[#This Row],[Lien document]],"X"))</f>
        <v>X</v>
      </c>
      <c r="V84" s="47" t="s">
        <v>380</v>
      </c>
      <c r="W84" s="49" t="str">
        <f ca="1">Chemin_accès!$B$2&amp;Tableau1[[#This Row],[Poste Responsable]]&amp;"\"&amp;Tableau1[[#This Row],[Localisation / Classement]]&amp;"\"&amp;Tableau1[[#This Row],[Poste technique]]&amp;"_"&amp;Tableau1[[#This Row],[Plan Entretien]]&amp;".pdf"</f>
        <v>\\stjn.local\trimet\Donnees_Projets\Dms Sap\Maintenance\PlanEntretien\7.MSCT\TRAITEMENTS\T130-O150_34269.pdf</v>
      </c>
      <c r="X84" s="47">
        <v>3.5</v>
      </c>
      <c r="Y84" s="47">
        <v>2</v>
      </c>
      <c r="Z84" s="44" t="str">
        <f ca="1">IF(AND(Tableau1[[#This Row],[Charge]]&lt;&gt;0, Tableau1[[#This Row],[Nombre intervenants]]&lt;&gt;0,Tableau1[[#This Row],[Lien document]]&lt;&gt;0,Tableau1[[#This Row],[DMS_SAP]]&lt;&gt;0)=TRUE,"MIS A JOUR","")</f>
        <v>MIS A JOUR</v>
      </c>
      <c r="AA84" s="48">
        <v>44865</v>
      </c>
      <c r="AB84" s="58">
        <f ca="1">IF(Tableau1[[#This Row],[Date rév.]]&lt;&gt;"", DAYS360(Tableau1[[#This Row],[Date rév.]],TODAY()),"")</f>
        <v>1404</v>
      </c>
      <c r="AC84" s="47" t="str">
        <f>IFERROR(INDEX(Chemin_accès!$B$11:$C$22,MATCH(Tableau1[[#This Row],[Type]],Chemin_accès!$C$11:$C$22,0),1),Chemin_accès!$B$11)</f>
        <v>\\stjn.local\trimet\Btechnique\Commun\BT Maint SCELLEMENT\205 - Préventifs\Modèles préventif\GammeDMS_7.MSCT.xlsm</v>
      </c>
      <c r="AD84" s="47" t="str">
        <f>Chemin_accès!$B$8&amp;Tableau1[[#This Row],[Localisation / Classement]]&amp;"\"&amp;Tableau1[[#This Row],[Poste technique]]&amp;"_"&amp;Tableau1[[#This Row],[Plan Entretien]]&amp;".xlsm"</f>
        <v>\\stjn.local\trimet\Btechnique\Commun\BT Maint SCELLEMENT\205 - Préventifs\Gammes 7.MSCT PE Tool\TRAITEMENTS\T130-O150_34269.xlsm</v>
      </c>
    </row>
    <row r="85" spans="1:30" x14ac:dyDescent="0.3">
      <c r="A85" s="44" t="str">
        <f t="shared" ca="1" si="1"/>
        <v>7.MSCT</v>
      </c>
      <c r="B85" s="45" t="s">
        <v>512</v>
      </c>
      <c r="C85" s="46" t="s">
        <v>314</v>
      </c>
      <c r="D85" s="44" t="s">
        <v>225</v>
      </c>
      <c r="E85" s="44" t="s">
        <v>309</v>
      </c>
      <c r="F85" s="47" t="s">
        <v>239</v>
      </c>
      <c r="G85" s="47" t="s">
        <v>227</v>
      </c>
      <c r="H85" s="50">
        <v>34270</v>
      </c>
      <c r="I85" s="50">
        <v>69121</v>
      </c>
      <c r="J85" s="50">
        <v>522921</v>
      </c>
      <c r="K85" s="50">
        <v>3</v>
      </c>
      <c r="L85" s="46" t="s">
        <v>82</v>
      </c>
      <c r="M85" s="44" t="s">
        <v>510</v>
      </c>
      <c r="N85" s="46" t="s">
        <v>60</v>
      </c>
      <c r="O85" s="46"/>
      <c r="P85" s="47"/>
      <c r="Q85" s="46"/>
      <c r="R85" s="46"/>
      <c r="S85" s="48">
        <v>44529</v>
      </c>
      <c r="T85" s="61" t="str">
        <f>IF(Tableau1[[#This Row],[DMS_SAP]]="","",HYPERLINK(Tableau1[[#This Row],[Chemin fichier source]],"X"))</f>
        <v>X</v>
      </c>
      <c r="U85" s="61" t="str">
        <f ca="1">IF(Tableau1[[#This Row],[Date rév.]]="","",HYPERLINK(Tableau1[[#This Row],[Lien document]],"X"))</f>
        <v>X</v>
      </c>
      <c r="V85" s="47" t="s">
        <v>509</v>
      </c>
      <c r="W85" s="49" t="str">
        <f ca="1">Chemin_accès!$B$2&amp;Tableau1[[#This Row],[Poste Responsable]]&amp;"\"&amp;Tableau1[[#This Row],[Localisation / Classement]]&amp;"\"&amp;Tableau1[[#This Row],[Poste technique]]&amp;"_"&amp;Tableau1[[#This Row],[Plan Entretien]]&amp;".pdf"</f>
        <v>\\stjn.local\trimet\Donnees_Projets\Dms Sap\Maintenance\PlanEntretien\7.MSCT\TRAITEMENTS\T130-O150_34270.pdf</v>
      </c>
      <c r="X85" s="47">
        <v>2</v>
      </c>
      <c r="Y85" s="47">
        <v>2</v>
      </c>
      <c r="Z85" s="44" t="str">
        <f ca="1">IF(AND(Tableau1[[#This Row],[Charge]]&lt;&gt;0, Tableau1[[#This Row],[Nombre intervenants]]&lt;&gt;0,Tableau1[[#This Row],[Lien document]]&lt;&gt;0,Tableau1[[#This Row],[DMS_SAP]]&lt;&gt;0)=TRUE,"MIS A JOUR","")</f>
        <v>MIS A JOUR</v>
      </c>
      <c r="AA85" s="48">
        <v>45133</v>
      </c>
      <c r="AB85" s="58">
        <f ca="1">IF(Tableau1[[#This Row],[Date rév.]]&lt;&gt;"", DAYS360(Tableau1[[#This Row],[Date rév.]],TODAY()),"")</f>
        <v>1138</v>
      </c>
      <c r="AC85" s="47" t="str">
        <f>IFERROR(INDEX(Chemin_accès!$B$11:$C$22,MATCH(Tableau1[[#This Row],[Type]],Chemin_accès!$C$11:$C$22,0),1),Chemin_accès!$B$11)</f>
        <v>\\stjn.local\trimet\Btechnique\Commun\BT Maint SCELLEMENT\205 - Préventifs\Modèles préventif\GammeDMS_7.MSCT.xlsm</v>
      </c>
      <c r="AD85" s="47" t="str">
        <f>Chemin_accès!$B$8&amp;Tableau1[[#This Row],[Localisation / Classement]]&amp;"\"&amp;Tableau1[[#This Row],[Poste technique]]&amp;"_"&amp;Tableau1[[#This Row],[Plan Entretien]]&amp;".xlsm"</f>
        <v>\\stjn.local\trimet\Btechnique\Commun\BT Maint SCELLEMENT\205 - Préventifs\Gammes 7.MSCT PE Tool\TRAITEMENTS\T130-O150_34270.xlsm</v>
      </c>
    </row>
    <row r="86" spans="1:30" x14ac:dyDescent="0.3">
      <c r="A86" s="44" t="str">
        <f t="shared" ca="1" si="1"/>
        <v>7.MSCT</v>
      </c>
      <c r="B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6" s="46" t="s">
        <v>314</v>
      </c>
      <c r="D86" s="44" t="s">
        <v>225</v>
      </c>
      <c r="E86" s="44" t="s">
        <v>309</v>
      </c>
      <c r="F86" s="47" t="s">
        <v>239</v>
      </c>
      <c r="G86" s="47" t="s">
        <v>227</v>
      </c>
      <c r="H86" s="50">
        <v>34271</v>
      </c>
      <c r="I86" s="50">
        <v>69122</v>
      </c>
      <c r="J86" s="50">
        <v>522921</v>
      </c>
      <c r="K86" s="50">
        <v>4</v>
      </c>
      <c r="L86" s="46" t="s">
        <v>86</v>
      </c>
      <c r="M86" s="44" t="s">
        <v>479</v>
      </c>
      <c r="N86" s="46" t="s">
        <v>61</v>
      </c>
      <c r="O86" s="46"/>
      <c r="P86" s="47"/>
      <c r="Q86" s="46"/>
      <c r="R86" s="46"/>
      <c r="S86" s="48">
        <v>44529</v>
      </c>
      <c r="T86" s="61" t="str">
        <f>IF(Tableau1[[#This Row],[DMS_SAP]]="","",HYPERLINK(Tableau1[[#This Row],[Chemin fichier source]],"X"))</f>
        <v>X</v>
      </c>
      <c r="U86" s="61" t="str">
        <f ca="1">IF(Tableau1[[#This Row],[Date rév.]]="","",HYPERLINK(Tableau1[[#This Row],[Lien document]],"X"))</f>
        <v>X</v>
      </c>
      <c r="V86" s="47" t="s">
        <v>381</v>
      </c>
      <c r="W86" s="49" t="str">
        <f ca="1">Chemin_accès!$B$2&amp;Tableau1[[#This Row],[Poste Responsable]]&amp;"\"&amp;Tableau1[[#This Row],[Localisation / Classement]]&amp;"\"&amp;Tableau1[[#This Row],[Poste technique]]&amp;"_"&amp;Tableau1[[#This Row],[Plan Entretien]]&amp;".pdf"</f>
        <v>\\stjn.local\trimet\Donnees_Projets\Dms Sap\Maintenance\PlanEntretien\7.MSCT\TRAITEMENTS\T130-O150_34271.pdf</v>
      </c>
      <c r="X86" s="47">
        <v>3.5</v>
      </c>
      <c r="Y86" s="47">
        <v>2</v>
      </c>
      <c r="Z86" s="44" t="str">
        <f ca="1">IF(AND(Tableau1[[#This Row],[Charge]]&lt;&gt;0, Tableau1[[#This Row],[Nombre intervenants]]&lt;&gt;0,Tableau1[[#This Row],[Lien document]]&lt;&gt;0,Tableau1[[#This Row],[DMS_SAP]]&lt;&gt;0)=TRUE,"MIS A JOUR","")</f>
        <v>MIS A JOUR</v>
      </c>
      <c r="AA86" s="48">
        <v>45286</v>
      </c>
      <c r="AB86" s="58">
        <f ca="1">IF(Tableau1[[#This Row],[Date rév.]]&lt;&gt;"", DAYS360(Tableau1[[#This Row],[Date rév.]],TODAY()),"")</f>
        <v>988</v>
      </c>
      <c r="AC86" s="47" t="str">
        <f>IFERROR(INDEX(Chemin_accès!$B$11:$C$22,MATCH(Tableau1[[#This Row],[Type]],Chemin_accès!$C$11:$C$22,0),1),Chemin_accès!$B$11)</f>
        <v>\\stjn.local\trimet\Btechnique\Commun\BT Maint SCELLEMENT\205 - Préventifs\Modèles préventif\GammeDMS_7.MSCT.xlsm</v>
      </c>
      <c r="AD86" s="47" t="str">
        <f>Chemin_accès!$B$8&amp;Tableau1[[#This Row],[Localisation / Classement]]&amp;"\"&amp;Tableau1[[#This Row],[Poste technique]]&amp;"_"&amp;Tableau1[[#This Row],[Plan Entretien]]&amp;".xlsm"</f>
        <v>\\stjn.local\trimet\Btechnique\Commun\BT Maint SCELLEMENT\205 - Préventifs\Gammes 7.MSCT PE Tool\TRAITEMENTS\T130-O150_34271.xlsm</v>
      </c>
    </row>
    <row r="87" spans="1:30" x14ac:dyDescent="0.3">
      <c r="A87" s="44" t="str">
        <f t="shared" ca="1" si="1"/>
        <v>7.MSCT</v>
      </c>
      <c r="B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7" s="46" t="s">
        <v>314</v>
      </c>
      <c r="D87" s="44" t="s">
        <v>225</v>
      </c>
      <c r="E87" s="44" t="s">
        <v>309</v>
      </c>
      <c r="F87" s="47" t="s">
        <v>239</v>
      </c>
      <c r="G87" s="47" t="s">
        <v>227</v>
      </c>
      <c r="H87" s="50">
        <v>34272</v>
      </c>
      <c r="I87" s="50">
        <v>69123</v>
      </c>
      <c r="J87" s="50">
        <v>522921</v>
      </c>
      <c r="K87" s="50">
        <v>5</v>
      </c>
      <c r="L87" s="46" t="s">
        <v>86</v>
      </c>
      <c r="M87" s="44" t="s">
        <v>240</v>
      </c>
      <c r="N87" s="46" t="s">
        <v>64</v>
      </c>
      <c r="O87" s="46"/>
      <c r="P87" s="47"/>
      <c r="Q87" s="46"/>
      <c r="R87" s="46"/>
      <c r="S87" s="48">
        <v>44529</v>
      </c>
      <c r="T87" s="61" t="str">
        <f>IF(Tableau1[[#This Row],[DMS_SAP]]="","",HYPERLINK(Tableau1[[#This Row],[Chemin fichier source]],"X"))</f>
        <v>X</v>
      </c>
      <c r="U87" s="61" t="str">
        <f ca="1">IF(Tableau1[[#This Row],[Date rév.]]="","",HYPERLINK(Tableau1[[#This Row],[Lien document]],"X"))</f>
        <v>X</v>
      </c>
      <c r="V87" s="47" t="s">
        <v>382</v>
      </c>
      <c r="W87" s="49" t="str">
        <f ca="1">Chemin_accès!$B$2&amp;Tableau1[[#This Row],[Poste Responsable]]&amp;"\"&amp;Tableau1[[#This Row],[Localisation / Classement]]&amp;"\"&amp;Tableau1[[#This Row],[Poste technique]]&amp;"_"&amp;Tableau1[[#This Row],[Plan Entretien]]&amp;".pdf"</f>
        <v>\\stjn.local\trimet\Donnees_Projets\Dms Sap\Maintenance\PlanEntretien\7.MSCT\TRAITEMENTS\T130-O150_34272.pdf</v>
      </c>
      <c r="X87" s="47">
        <v>3.5</v>
      </c>
      <c r="Y87" s="47">
        <v>2</v>
      </c>
      <c r="Z87" s="44" t="str">
        <f ca="1">IF(AND(Tableau1[[#This Row],[Charge]]&lt;&gt;0, Tableau1[[#This Row],[Nombre intervenants]]&lt;&gt;0,Tableau1[[#This Row],[Lien document]]&lt;&gt;0,Tableau1[[#This Row],[DMS_SAP]]&lt;&gt;0)=TRUE,"MIS A JOUR","")</f>
        <v>MIS A JOUR</v>
      </c>
      <c r="AA87" s="48">
        <v>44739</v>
      </c>
      <c r="AB87" s="58">
        <f ca="1">IF(Tableau1[[#This Row],[Date rév.]]&lt;&gt;"", DAYS360(Tableau1[[#This Row],[Date rév.]],TODAY()),"")</f>
        <v>1527</v>
      </c>
      <c r="AC87" s="47" t="str">
        <f>IFERROR(INDEX(Chemin_accès!$B$11:$C$22,MATCH(Tableau1[[#This Row],[Type]],Chemin_accès!$C$11:$C$22,0),1),Chemin_accès!$B$11)</f>
        <v>\\stjn.local\trimet\Btechnique\Commun\BT Maint SCELLEMENT\205 - Préventifs\Modèles préventif\GammeDMS_7.MSCT.xlsm</v>
      </c>
      <c r="AD87" s="47" t="str">
        <f>Chemin_accès!$B$8&amp;Tableau1[[#This Row],[Localisation / Classement]]&amp;"\"&amp;Tableau1[[#This Row],[Poste technique]]&amp;"_"&amp;Tableau1[[#This Row],[Plan Entretien]]&amp;".xlsm"</f>
        <v>\\stjn.local\trimet\Btechnique\Commun\BT Maint SCELLEMENT\205 - Préventifs\Gammes 7.MSCT PE Tool\TRAITEMENTS\T130-O150_34272.xlsm</v>
      </c>
    </row>
    <row r="88" spans="1:30" x14ac:dyDescent="0.3">
      <c r="A88" s="44" t="str">
        <f t="shared" ca="1" si="1"/>
        <v>7.MSCT</v>
      </c>
      <c r="B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8" s="46" t="s">
        <v>314</v>
      </c>
      <c r="D88" s="44" t="s">
        <v>225</v>
      </c>
      <c r="E88" s="44" t="s">
        <v>309</v>
      </c>
      <c r="F88" s="47" t="s">
        <v>241</v>
      </c>
      <c r="G88" s="47" t="s">
        <v>227</v>
      </c>
      <c r="H88" s="50">
        <v>34273</v>
      </c>
      <c r="I88" s="50">
        <v>69124</v>
      </c>
      <c r="J88" s="50">
        <v>522922</v>
      </c>
      <c r="K88" s="50">
        <v>1</v>
      </c>
      <c r="L88" s="46" t="s">
        <v>84</v>
      </c>
      <c r="M88" s="44" t="s">
        <v>242</v>
      </c>
      <c r="N88" s="46" t="s">
        <v>60</v>
      </c>
      <c r="O88" s="46"/>
      <c r="P88" s="47"/>
      <c r="Q88" s="46"/>
      <c r="R88" s="46"/>
      <c r="S88" s="48">
        <v>44529</v>
      </c>
      <c r="T88" s="61" t="str">
        <f>IF(Tableau1[[#This Row],[DMS_SAP]]="","",HYPERLINK(Tableau1[[#This Row],[Chemin fichier source]],"X"))</f>
        <v>X</v>
      </c>
      <c r="U88" s="61" t="str">
        <f ca="1">IF(Tableau1[[#This Row],[Date rév.]]="","",HYPERLINK(Tableau1[[#This Row],[Lien document]],"X"))</f>
        <v>X</v>
      </c>
      <c r="V88" s="47" t="s">
        <v>383</v>
      </c>
      <c r="W88" s="49" t="str">
        <f ca="1">Chemin_accès!$B$2&amp;Tableau1[[#This Row],[Poste Responsable]]&amp;"\"&amp;Tableau1[[#This Row],[Localisation / Classement]]&amp;"\"&amp;Tableau1[[#This Row],[Poste technique]]&amp;"_"&amp;Tableau1[[#This Row],[Plan Entretien]]&amp;".pdf"</f>
        <v>\\stjn.local\trimet\Donnees_Projets\Dms Sap\Maintenance\PlanEntretien\7.MSCT\TRAITEMENTS\T130-O170_34273.pdf</v>
      </c>
      <c r="X88" s="47">
        <v>3.5</v>
      </c>
      <c r="Y88" s="47">
        <v>2</v>
      </c>
      <c r="Z88" s="44" t="str">
        <f ca="1">IF(AND(Tableau1[[#This Row],[Charge]]&lt;&gt;0, Tableau1[[#This Row],[Nombre intervenants]]&lt;&gt;0,Tableau1[[#This Row],[Lien document]]&lt;&gt;0,Tableau1[[#This Row],[DMS_SAP]]&lt;&gt;0)=TRUE,"MIS A JOUR","")</f>
        <v>MIS A JOUR</v>
      </c>
      <c r="AA88" s="48">
        <v>44739</v>
      </c>
      <c r="AB88" s="58">
        <f ca="1">IF(Tableau1[[#This Row],[Date rév.]]&lt;&gt;"", DAYS360(Tableau1[[#This Row],[Date rév.]],TODAY()),"")</f>
        <v>1527</v>
      </c>
      <c r="AC88" s="47" t="str">
        <f>IFERROR(INDEX(Chemin_accès!$B$11:$C$22,MATCH(Tableau1[[#This Row],[Type]],Chemin_accès!$C$11:$C$22,0),1),Chemin_accès!$B$11)</f>
        <v>\\stjn.local\trimet\Btechnique\Commun\BT Maint SCELLEMENT\205 - Préventifs\Modèles préventif\GammeDMS_7.MSCT.xlsm</v>
      </c>
      <c r="AD88" s="47" t="str">
        <f>Chemin_accès!$B$8&amp;Tableau1[[#This Row],[Localisation / Classement]]&amp;"\"&amp;Tableau1[[#This Row],[Poste technique]]&amp;"_"&amp;Tableau1[[#This Row],[Plan Entretien]]&amp;".xlsm"</f>
        <v>\\stjn.local\trimet\Btechnique\Commun\BT Maint SCELLEMENT\205 - Préventifs\Gammes 7.MSCT PE Tool\TRAITEMENTS\T130-O170_34273.xlsm</v>
      </c>
    </row>
    <row r="89" spans="1:30" x14ac:dyDescent="0.3">
      <c r="A89" s="44" t="str">
        <f t="shared" ca="1" si="1"/>
        <v>7.MSCT</v>
      </c>
      <c r="B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9" s="63" t="s">
        <v>314</v>
      </c>
      <c r="D89" s="44" t="s">
        <v>243</v>
      </c>
      <c r="E89" s="44" t="s">
        <v>309</v>
      </c>
      <c r="F89" s="44" t="s">
        <v>244</v>
      </c>
      <c r="G89" s="44" t="s">
        <v>245</v>
      </c>
      <c r="H89" s="50">
        <v>34274</v>
      </c>
      <c r="I89" s="50">
        <v>69125</v>
      </c>
      <c r="J89" s="50">
        <v>522923</v>
      </c>
      <c r="K89" s="50">
        <v>1</v>
      </c>
      <c r="L89" s="46" t="s">
        <v>84</v>
      </c>
      <c r="M89" s="44" t="s">
        <v>246</v>
      </c>
      <c r="N89" s="46" t="s">
        <v>61</v>
      </c>
      <c r="O89" s="46"/>
      <c r="P89" s="47"/>
      <c r="Q89" s="46"/>
      <c r="R89" s="46"/>
      <c r="S89" s="48">
        <v>44529</v>
      </c>
      <c r="T89" s="61" t="str">
        <f>IF(Tableau1[[#This Row],[DMS_SAP]]="","",HYPERLINK(Tableau1[[#This Row],[Chemin fichier source]],"X"))</f>
        <v>X</v>
      </c>
      <c r="U89" s="61" t="str">
        <f ca="1">IF(Tableau1[[#This Row],[Date rév.]]="","",HYPERLINK(Tableau1[[#This Row],[Lien document]],"X"))</f>
        <v>X</v>
      </c>
      <c r="V89" s="47" t="s">
        <v>384</v>
      </c>
      <c r="W89" s="49" t="str">
        <f ca="1">Chemin_accès!$B$2&amp;Tableau1[[#This Row],[Poste Responsable]]&amp;"\"&amp;Tableau1[[#This Row],[Localisation / Classement]]&amp;"\"&amp;Tableau1[[#This Row],[Poste technique]]&amp;"_"&amp;Tableau1[[#This Row],[Plan Entretien]]&amp;".pdf"</f>
        <v>\\stjn.local\trimet\Donnees_Projets\Dms Sap\Maintenance\PlanEntretien\7.MSCT\FOURS\T130-P100_34274.pdf</v>
      </c>
      <c r="X89" s="47">
        <v>3.5</v>
      </c>
      <c r="Y89" s="47">
        <v>2</v>
      </c>
      <c r="Z89" s="44" t="str">
        <f ca="1">IF(AND(Tableau1[[#This Row],[Charge]]&lt;&gt;0, Tableau1[[#This Row],[Nombre intervenants]]&lt;&gt;0,Tableau1[[#This Row],[Lien document]]&lt;&gt;0,Tableau1[[#This Row],[DMS_SAP]]&lt;&gt;0)=TRUE,"MIS A JOUR","")</f>
        <v>MIS A JOUR</v>
      </c>
      <c r="AA89" s="48">
        <v>44848</v>
      </c>
      <c r="AB89" s="58">
        <f ca="1">IF(Tableau1[[#This Row],[Date rév.]]&lt;&gt;"", DAYS360(Tableau1[[#This Row],[Date rév.]],TODAY()),"")</f>
        <v>1420</v>
      </c>
      <c r="AC89" s="47" t="str">
        <f>IFERROR(INDEX(Chemin_accès!$B$11:$C$22,MATCH(Tableau1[[#This Row],[Type]],Chemin_accès!$C$11:$C$22,0),1),Chemin_accès!$B$11)</f>
        <v>\\stjn.local\trimet\Btechnique\Commun\BT Maint SCELLEMENT\205 - Préventifs\Modèles préventif\GammeDMS_7.MSCT.xlsm</v>
      </c>
      <c r="AD89" s="47" t="str">
        <f>Chemin_accès!$B$8&amp;Tableau1[[#This Row],[Localisation / Classement]]&amp;"\"&amp;Tableau1[[#This Row],[Poste technique]]&amp;"_"&amp;Tableau1[[#This Row],[Plan Entretien]]&amp;".xlsm"</f>
        <v>\\stjn.local\trimet\Btechnique\Commun\BT Maint SCELLEMENT\205 - Préventifs\Gammes 7.MSCT PE Tool\FOURS\T130-P100_34274.xlsm</v>
      </c>
    </row>
    <row r="90" spans="1:30" x14ac:dyDescent="0.3">
      <c r="A90" s="44" t="str">
        <f t="shared" ca="1" si="1"/>
        <v>7.MSCT</v>
      </c>
      <c r="B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0" s="46" t="s">
        <v>314</v>
      </c>
      <c r="D90" s="44" t="s">
        <v>185</v>
      </c>
      <c r="E90" s="44" t="s">
        <v>309</v>
      </c>
      <c r="F90" s="47" t="s">
        <v>247</v>
      </c>
      <c r="G90" s="47" t="s">
        <v>245</v>
      </c>
      <c r="H90" s="50">
        <v>34275</v>
      </c>
      <c r="I90" s="50">
        <v>69126</v>
      </c>
      <c r="J90" s="50">
        <v>522924</v>
      </c>
      <c r="K90" s="50">
        <v>1</v>
      </c>
      <c r="L90" s="46" t="s">
        <v>84</v>
      </c>
      <c r="M90" s="44" t="s">
        <v>248</v>
      </c>
      <c r="N90" s="46" t="s">
        <v>61</v>
      </c>
      <c r="O90" s="46"/>
      <c r="P90" s="47"/>
      <c r="Q90" s="46"/>
      <c r="R90" s="46"/>
      <c r="S90" s="48">
        <v>44529</v>
      </c>
      <c r="T90" s="61" t="str">
        <f>IF(Tableau1[[#This Row],[DMS_SAP]]="","",HYPERLINK(Tableau1[[#This Row],[Chemin fichier source]],"X"))</f>
        <v>X</v>
      </c>
      <c r="U90" s="61" t="str">
        <f ca="1">IF(Tableau1[[#This Row],[Date rév.]]="","",HYPERLINK(Tableau1[[#This Row],[Lien document]],"X"))</f>
        <v>X</v>
      </c>
      <c r="V90" s="47" t="s">
        <v>385</v>
      </c>
      <c r="W90" s="49" t="str">
        <f ca="1">Chemin_accès!$B$2&amp;Tableau1[[#This Row],[Poste Responsable]]&amp;"\"&amp;Tableau1[[#This Row],[Localisation / Classement]]&amp;"\"&amp;Tableau1[[#This Row],[Poste technique]]&amp;"_"&amp;Tableau1[[#This Row],[Plan Entretien]]&amp;".pdf"</f>
        <v>\\stjn.local\trimet\Donnees_Projets\Dms Sap\Maintenance\PlanEntretien\7.MSCT\LEVAGE\T130-P120_34275.pdf</v>
      </c>
      <c r="X90" s="47">
        <v>3.5</v>
      </c>
      <c r="Y90" s="47">
        <v>2</v>
      </c>
      <c r="Z90" s="44" t="str">
        <f ca="1">IF(AND(Tableau1[[#This Row],[Charge]]&lt;&gt;0, Tableau1[[#This Row],[Nombre intervenants]]&lt;&gt;0,Tableau1[[#This Row],[Lien document]]&lt;&gt;0,Tableau1[[#This Row],[DMS_SAP]]&lt;&gt;0)=TRUE,"MIS A JOUR","")</f>
        <v>MIS A JOUR</v>
      </c>
      <c r="AA90" s="48">
        <v>44740</v>
      </c>
      <c r="AB90" s="58">
        <f ca="1">IF(Tableau1[[#This Row],[Date rév.]]&lt;&gt;"", DAYS360(Tableau1[[#This Row],[Date rév.]],TODAY()),"")</f>
        <v>1526</v>
      </c>
      <c r="AC90" s="47" t="str">
        <f>IFERROR(INDEX(Chemin_accès!$B$11:$C$22,MATCH(Tableau1[[#This Row],[Type]],Chemin_accès!$C$11:$C$22,0),1),Chemin_accès!$B$11)</f>
        <v>\\stjn.local\trimet\Btechnique\Commun\BT Maint SCELLEMENT\205 - Préventifs\Modèles préventif\GammeDMS_7.MSCT.xlsm</v>
      </c>
      <c r="AD90" s="47" t="str">
        <f>Chemin_accès!$B$8&amp;Tableau1[[#This Row],[Localisation / Classement]]&amp;"\"&amp;Tableau1[[#This Row],[Poste technique]]&amp;"_"&amp;Tableau1[[#This Row],[Plan Entretien]]&amp;".xlsm"</f>
        <v>\\stjn.local\trimet\Btechnique\Commun\BT Maint SCELLEMENT\205 - Préventifs\Gammes 7.MSCT PE Tool\LEVAGE\T130-P120_34275.xlsm</v>
      </c>
    </row>
    <row r="91" spans="1:30" x14ac:dyDescent="0.3">
      <c r="A91" s="44" t="str">
        <f t="shared" ca="1" si="1"/>
        <v>7.MSCT</v>
      </c>
      <c r="B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1" s="46" t="s">
        <v>314</v>
      </c>
      <c r="D91" s="44" t="s">
        <v>185</v>
      </c>
      <c r="E91" s="44" t="s">
        <v>309</v>
      </c>
      <c r="F91" s="47" t="s">
        <v>247</v>
      </c>
      <c r="G91" s="47" t="s">
        <v>245</v>
      </c>
      <c r="H91" s="50">
        <v>34276</v>
      </c>
      <c r="I91" s="50">
        <v>69127</v>
      </c>
      <c r="J91" s="50">
        <v>522924</v>
      </c>
      <c r="K91" s="50">
        <v>2</v>
      </c>
      <c r="L91" s="46" t="s">
        <v>84</v>
      </c>
      <c r="M91" s="44" t="s">
        <v>249</v>
      </c>
      <c r="N91" s="46" t="s">
        <v>60</v>
      </c>
      <c r="O91" s="46"/>
      <c r="P91" s="47"/>
      <c r="Q91" s="46"/>
      <c r="R91" s="46"/>
      <c r="S91" s="48">
        <v>44529</v>
      </c>
      <c r="T91" s="61" t="str">
        <f>IF(Tableau1[[#This Row],[DMS_SAP]]="","",HYPERLINK(Tableau1[[#This Row],[Chemin fichier source]],"X"))</f>
        <v>X</v>
      </c>
      <c r="U91" s="61" t="str">
        <f ca="1">IF(Tableau1[[#This Row],[Date rév.]]="","",HYPERLINK(Tableau1[[#This Row],[Lien document]],"X"))</f>
        <v>X</v>
      </c>
      <c r="V91" s="47" t="s">
        <v>386</v>
      </c>
      <c r="W91" s="49" t="str">
        <f ca="1">Chemin_accès!$B$2&amp;Tableau1[[#This Row],[Poste Responsable]]&amp;"\"&amp;Tableau1[[#This Row],[Localisation / Classement]]&amp;"\"&amp;Tableau1[[#This Row],[Poste technique]]&amp;"_"&amp;Tableau1[[#This Row],[Plan Entretien]]&amp;".pdf"</f>
        <v>\\stjn.local\trimet\Donnees_Projets\Dms Sap\Maintenance\PlanEntretien\7.MSCT\LEVAGE\T130-P120_34276.pdf</v>
      </c>
      <c r="X91" s="47">
        <v>3.5</v>
      </c>
      <c r="Y91" s="47">
        <v>2</v>
      </c>
      <c r="Z91" s="44" t="str">
        <f ca="1">IF(AND(Tableau1[[#This Row],[Charge]]&lt;&gt;0, Tableau1[[#This Row],[Nombre intervenants]]&lt;&gt;0,Tableau1[[#This Row],[Lien document]]&lt;&gt;0,Tableau1[[#This Row],[DMS_SAP]]&lt;&gt;0)=TRUE,"MIS A JOUR","")</f>
        <v>MIS A JOUR</v>
      </c>
      <c r="AA91" s="48">
        <v>44846</v>
      </c>
      <c r="AB91" s="58">
        <f ca="1">IF(Tableau1[[#This Row],[Date rév.]]&lt;&gt;"", DAYS360(Tableau1[[#This Row],[Date rév.]],TODAY()),"")</f>
        <v>1422</v>
      </c>
      <c r="AC91" s="47" t="str">
        <f>IFERROR(INDEX(Chemin_accès!$B$11:$C$22,MATCH(Tableau1[[#This Row],[Type]],Chemin_accès!$C$11:$C$22,0),1),Chemin_accès!$B$11)</f>
        <v>\\stjn.local\trimet\Btechnique\Commun\BT Maint SCELLEMENT\205 - Préventifs\Modèles préventif\GammeDMS_7.MSCT.xlsm</v>
      </c>
      <c r="AD91" s="47" t="str">
        <f>Chemin_accès!$B$8&amp;Tableau1[[#This Row],[Localisation / Classement]]&amp;"\"&amp;Tableau1[[#This Row],[Poste technique]]&amp;"_"&amp;Tableau1[[#This Row],[Plan Entretien]]&amp;".xlsm"</f>
        <v>\\stjn.local\trimet\Btechnique\Commun\BT Maint SCELLEMENT\205 - Préventifs\Gammes 7.MSCT PE Tool\LEVAGE\T130-P120_34276.xlsm</v>
      </c>
    </row>
    <row r="92" spans="1:30" x14ac:dyDescent="0.3">
      <c r="A92" s="44" t="str">
        <f t="shared" ca="1" si="1"/>
        <v>7.MSCT</v>
      </c>
      <c r="B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2" s="46" t="s">
        <v>485</v>
      </c>
      <c r="D92" s="44" t="s">
        <v>243</v>
      </c>
      <c r="E92" s="44" t="s">
        <v>309</v>
      </c>
      <c r="F92" s="47" t="s">
        <v>250</v>
      </c>
      <c r="G92" s="47" t="s">
        <v>245</v>
      </c>
      <c r="H92" s="50">
        <v>34277</v>
      </c>
      <c r="I92" s="50">
        <v>69128</v>
      </c>
      <c r="J92" s="50">
        <v>522925</v>
      </c>
      <c r="K92" s="50">
        <v>1</v>
      </c>
      <c r="L92" s="46" t="s">
        <v>84</v>
      </c>
      <c r="M92" s="44" t="s">
        <v>324</v>
      </c>
      <c r="N92" s="46" t="s">
        <v>61</v>
      </c>
      <c r="O92" s="46"/>
      <c r="P92" s="47"/>
      <c r="Q92" s="46"/>
      <c r="R92" s="46"/>
      <c r="S92" s="48">
        <v>44529</v>
      </c>
      <c r="T92" s="61" t="str">
        <f>IF(Tableau1[[#This Row],[DMS_SAP]]="","",HYPERLINK(Tableau1[[#This Row],[Chemin fichier source]],"X"))</f>
        <v>X</v>
      </c>
      <c r="U92" s="61" t="str">
        <f ca="1">IF(Tableau1[[#This Row],[Date rév.]]="","",HYPERLINK(Tableau1[[#This Row],[Lien document]],"X"))</f>
        <v>X</v>
      </c>
      <c r="V92" s="47" t="s">
        <v>387</v>
      </c>
      <c r="W92" s="49" t="str">
        <f ca="1">Chemin_accès!$B$2&amp;Tableau1[[#This Row],[Poste Responsable]]&amp;"\"&amp;Tableau1[[#This Row],[Localisation / Classement]]&amp;"\"&amp;Tableau1[[#This Row],[Poste technique]]&amp;"_"&amp;Tableau1[[#This Row],[Plan Entretien]]&amp;".pdf"</f>
        <v>\\stjn.local\trimet\Donnees_Projets\Dms Sap\Maintenance\PlanEntretien\7.MSCT\FOURS\T130-P130_34277.pdf</v>
      </c>
      <c r="X92" s="47">
        <v>2</v>
      </c>
      <c r="Y92" s="47">
        <v>2</v>
      </c>
      <c r="Z92" s="44" t="str">
        <f ca="1">IF(AND(Tableau1[[#This Row],[Charge]]&lt;&gt;0, Tableau1[[#This Row],[Nombre intervenants]]&lt;&gt;0,Tableau1[[#This Row],[Lien document]]&lt;&gt;0,Tableau1[[#This Row],[DMS_SAP]]&lt;&gt;0)=TRUE,"MIS A JOUR","")</f>
        <v>MIS A JOUR</v>
      </c>
      <c r="AA92" s="48">
        <v>44740</v>
      </c>
      <c r="AB92" s="58">
        <f ca="1">IF(Tableau1[[#This Row],[Date rév.]]&lt;&gt;"", DAYS360(Tableau1[[#This Row],[Date rév.]],TODAY()),"")</f>
        <v>1526</v>
      </c>
      <c r="AC92" s="47" t="str">
        <f>IFERROR(INDEX(Chemin_accès!$B$11:$C$22,MATCH(Tableau1[[#This Row],[Type]],Chemin_accès!$C$11:$C$22,0),1),Chemin_accès!$B$11)</f>
        <v>\\stjn.local\trimet\Btechnique\Commun\BT Maint SCELLEMENT\205 - Préventifs\Modèles préventif\GammeDMS_7.MSCT.xlsm</v>
      </c>
      <c r="AD92" s="47" t="str">
        <f>Chemin_accès!$B$8&amp;Tableau1[[#This Row],[Localisation / Classement]]&amp;"\"&amp;Tableau1[[#This Row],[Poste technique]]&amp;"_"&amp;Tableau1[[#This Row],[Plan Entretien]]&amp;".xlsm"</f>
        <v>\\stjn.local\trimet\Btechnique\Commun\BT Maint SCELLEMENT\205 - Préventifs\Gammes 7.MSCT PE Tool\FOURS\T130-P130_34277.xlsm</v>
      </c>
    </row>
    <row r="93" spans="1:30" x14ac:dyDescent="0.3">
      <c r="A93" s="44" t="str">
        <f t="shared" ca="1" si="1"/>
        <v>7.MSCT</v>
      </c>
      <c r="B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3" s="46" t="s">
        <v>314</v>
      </c>
      <c r="D93" s="44" t="s">
        <v>243</v>
      </c>
      <c r="E93" s="44" t="s">
        <v>309</v>
      </c>
      <c r="F93" s="47" t="s">
        <v>250</v>
      </c>
      <c r="G93" s="47" t="s">
        <v>245</v>
      </c>
      <c r="H93" s="50">
        <v>34278</v>
      </c>
      <c r="I93" s="50">
        <v>69129</v>
      </c>
      <c r="J93" s="50">
        <v>522925</v>
      </c>
      <c r="K93" s="50">
        <v>2</v>
      </c>
      <c r="L93" s="46" t="s">
        <v>86</v>
      </c>
      <c r="M93" s="44" t="s">
        <v>251</v>
      </c>
      <c r="N93" s="46" t="s">
        <v>64</v>
      </c>
      <c r="O93" s="46"/>
      <c r="P93" s="47"/>
      <c r="Q93" s="46"/>
      <c r="R93" s="46"/>
      <c r="S93" s="48">
        <v>44529</v>
      </c>
      <c r="T93" s="61" t="str">
        <f>IF(Tableau1[[#This Row],[DMS_SAP]]="","",HYPERLINK(Tableau1[[#This Row],[Chemin fichier source]],"X"))</f>
        <v>X</v>
      </c>
      <c r="U93" s="61" t="str">
        <f ca="1">IF(Tableau1[[#This Row],[Date rév.]]="","",HYPERLINK(Tableau1[[#This Row],[Lien document]],"X"))</f>
        <v>X</v>
      </c>
      <c r="V93" s="47" t="s">
        <v>388</v>
      </c>
      <c r="W93" s="49" t="str">
        <f ca="1">Chemin_accès!$B$2&amp;Tableau1[[#This Row],[Poste Responsable]]&amp;"\"&amp;Tableau1[[#This Row],[Localisation / Classement]]&amp;"\"&amp;Tableau1[[#This Row],[Poste technique]]&amp;"_"&amp;Tableau1[[#This Row],[Plan Entretien]]&amp;".pdf"</f>
        <v>\\stjn.local\trimet\Donnees_Projets\Dms Sap\Maintenance\PlanEntretien\7.MSCT\FOURS\T130-P130_34278.pdf</v>
      </c>
      <c r="X93" s="47">
        <v>3.5</v>
      </c>
      <c r="Y93" s="47">
        <v>2</v>
      </c>
      <c r="Z93" s="44" t="str">
        <f ca="1">IF(AND(Tableau1[[#This Row],[Charge]]&lt;&gt;0, Tableau1[[#This Row],[Nombre intervenants]]&lt;&gt;0,Tableau1[[#This Row],[Lien document]]&lt;&gt;0,Tableau1[[#This Row],[DMS_SAP]]&lt;&gt;0)=TRUE,"MIS A JOUR","")</f>
        <v>MIS A JOUR</v>
      </c>
      <c r="AA93" s="48">
        <v>45293</v>
      </c>
      <c r="AB93" s="58">
        <f ca="1">IF(Tableau1[[#This Row],[Date rév.]]&lt;&gt;"", DAYS360(Tableau1[[#This Row],[Date rév.]],TODAY()),"")</f>
        <v>982</v>
      </c>
      <c r="AC93" s="47" t="str">
        <f>IFERROR(INDEX(Chemin_accès!$B$11:$C$22,MATCH(Tableau1[[#This Row],[Type]],Chemin_accès!$C$11:$C$22,0),1),Chemin_accès!$B$11)</f>
        <v>\\stjn.local\trimet\Btechnique\Commun\BT Maint SCELLEMENT\205 - Préventifs\Modèles préventif\GammeDMS_7.MSCT.xlsm</v>
      </c>
      <c r="AD93" s="47" t="str">
        <f>Chemin_accès!$B$8&amp;Tableau1[[#This Row],[Localisation / Classement]]&amp;"\"&amp;Tableau1[[#This Row],[Poste technique]]&amp;"_"&amp;Tableau1[[#This Row],[Plan Entretien]]&amp;".xlsm"</f>
        <v>\\stjn.local\trimet\Btechnique\Commun\BT Maint SCELLEMENT\205 - Préventifs\Gammes 7.MSCT PE Tool\FOURS\T130-P130_34278.xlsm</v>
      </c>
    </row>
    <row r="94" spans="1:30" x14ac:dyDescent="0.3">
      <c r="A94" s="44" t="str">
        <f t="shared" ca="1" si="1"/>
        <v>7.MSCT</v>
      </c>
      <c r="B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4" s="46" t="s">
        <v>485</v>
      </c>
      <c r="D94" s="44" t="s">
        <v>243</v>
      </c>
      <c r="E94" s="44" t="s">
        <v>309</v>
      </c>
      <c r="F94" s="47" t="s">
        <v>252</v>
      </c>
      <c r="G94" s="47" t="s">
        <v>245</v>
      </c>
      <c r="H94" s="50">
        <v>34279</v>
      </c>
      <c r="I94" s="50">
        <v>69130</v>
      </c>
      <c r="J94" s="50">
        <v>522926</v>
      </c>
      <c r="K94" s="50">
        <v>1</v>
      </c>
      <c r="L94" s="46" t="s">
        <v>84</v>
      </c>
      <c r="M94" s="44" t="s">
        <v>321</v>
      </c>
      <c r="N94" s="46" t="s">
        <v>61</v>
      </c>
      <c r="O94" s="46"/>
      <c r="P94" s="47"/>
      <c r="Q94" s="46"/>
      <c r="R94" s="46"/>
      <c r="S94" s="48">
        <v>44529</v>
      </c>
      <c r="T94" s="61" t="str">
        <f>IF(Tableau1[[#This Row],[DMS_SAP]]="","",HYPERLINK(Tableau1[[#This Row],[Chemin fichier source]],"X"))</f>
        <v>X</v>
      </c>
      <c r="U94" s="61" t="str">
        <f ca="1">IF(Tableau1[[#This Row],[Date rév.]]="","",HYPERLINK(Tableau1[[#This Row],[Lien document]],"X"))</f>
        <v>X</v>
      </c>
      <c r="V94" s="47" t="s">
        <v>389</v>
      </c>
      <c r="W94" s="49" t="str">
        <f ca="1">Chemin_accès!$B$2&amp;Tableau1[[#This Row],[Poste Responsable]]&amp;"\"&amp;Tableau1[[#This Row],[Localisation / Classement]]&amp;"\"&amp;Tableau1[[#This Row],[Poste technique]]&amp;"_"&amp;Tableau1[[#This Row],[Plan Entretien]]&amp;".pdf"</f>
        <v>\\stjn.local\trimet\Donnees_Projets\Dms Sap\Maintenance\PlanEntretien\7.MSCT\FOURS\T130-P170_34279.pdf</v>
      </c>
      <c r="X94" s="47">
        <v>3.5</v>
      </c>
      <c r="Y94" s="47">
        <v>2</v>
      </c>
      <c r="Z94" s="44" t="str">
        <f ca="1">IF(AND(Tableau1[[#This Row],[Charge]]&lt;&gt;0, Tableau1[[#This Row],[Nombre intervenants]]&lt;&gt;0,Tableau1[[#This Row],[Lien document]]&lt;&gt;0,Tableau1[[#This Row],[DMS_SAP]]&lt;&gt;0)=TRUE,"MIS A JOUR","")</f>
        <v>MIS A JOUR</v>
      </c>
      <c r="AA94" s="48">
        <v>44741</v>
      </c>
      <c r="AB94" s="58">
        <f ca="1">IF(Tableau1[[#This Row],[Date rév.]]&lt;&gt;"", DAYS360(Tableau1[[#This Row],[Date rév.]],TODAY()),"")</f>
        <v>1525</v>
      </c>
      <c r="AC94" s="47" t="str">
        <f>IFERROR(INDEX(Chemin_accès!$B$11:$C$22,MATCH(Tableau1[[#This Row],[Type]],Chemin_accès!$C$11:$C$22,0),1),Chemin_accès!$B$11)</f>
        <v>\\stjn.local\trimet\Btechnique\Commun\BT Maint SCELLEMENT\205 - Préventifs\Modèles préventif\GammeDMS_7.MSCT.xlsm</v>
      </c>
      <c r="AD94" s="47" t="str">
        <f>Chemin_accès!$B$8&amp;Tableau1[[#This Row],[Localisation / Classement]]&amp;"\"&amp;Tableau1[[#This Row],[Poste technique]]&amp;"_"&amp;Tableau1[[#This Row],[Plan Entretien]]&amp;".xlsm"</f>
        <v>\\stjn.local\trimet\Btechnique\Commun\BT Maint SCELLEMENT\205 - Préventifs\Gammes 7.MSCT PE Tool\FOURS\T130-P170_34279.xlsm</v>
      </c>
    </row>
    <row r="95" spans="1:30" x14ac:dyDescent="0.3">
      <c r="A95" s="44" t="str">
        <f t="shared" ca="1" si="1"/>
        <v>7.MSCT</v>
      </c>
      <c r="B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5" s="46" t="s">
        <v>314</v>
      </c>
      <c r="D95" s="44" t="s">
        <v>243</v>
      </c>
      <c r="E95" s="44" t="s">
        <v>309</v>
      </c>
      <c r="F95" s="47" t="s">
        <v>252</v>
      </c>
      <c r="G95" s="47" t="s">
        <v>245</v>
      </c>
      <c r="H95" s="50">
        <v>34280</v>
      </c>
      <c r="I95" s="50">
        <v>69131</v>
      </c>
      <c r="J95" s="50">
        <v>522926</v>
      </c>
      <c r="K95" s="50">
        <v>2</v>
      </c>
      <c r="L95" s="46" t="s">
        <v>86</v>
      </c>
      <c r="M95" s="44" t="s">
        <v>253</v>
      </c>
      <c r="N95" s="46" t="s">
        <v>64</v>
      </c>
      <c r="O95" s="46"/>
      <c r="P95" s="47"/>
      <c r="Q95" s="46"/>
      <c r="R95" s="46"/>
      <c r="S95" s="48">
        <v>44529</v>
      </c>
      <c r="T95" s="61" t="str">
        <f>IF(Tableau1[[#This Row],[DMS_SAP]]="","",HYPERLINK(Tableau1[[#This Row],[Chemin fichier source]],"X"))</f>
        <v>X</v>
      </c>
      <c r="U95" s="61" t="str">
        <f ca="1">IF(Tableau1[[#This Row],[Date rév.]]="","",HYPERLINK(Tableau1[[#This Row],[Lien document]],"X"))</f>
        <v>X</v>
      </c>
      <c r="V95" s="47" t="s">
        <v>390</v>
      </c>
      <c r="W95" s="49" t="str">
        <f ca="1">Chemin_accès!$B$2&amp;Tableau1[[#This Row],[Poste Responsable]]&amp;"\"&amp;Tableau1[[#This Row],[Localisation / Classement]]&amp;"\"&amp;Tableau1[[#This Row],[Poste technique]]&amp;"_"&amp;Tableau1[[#This Row],[Plan Entretien]]&amp;".pdf"</f>
        <v>\\stjn.local\trimet\Donnees_Projets\Dms Sap\Maintenance\PlanEntretien\7.MSCT\FOURS\T130-P170_34280.pdf</v>
      </c>
      <c r="X95" s="47">
        <v>3.5</v>
      </c>
      <c r="Y95" s="47">
        <v>2</v>
      </c>
      <c r="Z95" s="44" t="str">
        <f ca="1">IF(AND(Tableau1[[#This Row],[Charge]]&lt;&gt;0, Tableau1[[#This Row],[Nombre intervenants]]&lt;&gt;0,Tableau1[[#This Row],[Lien document]]&lt;&gt;0,Tableau1[[#This Row],[DMS_SAP]]&lt;&gt;0)=TRUE,"MIS A JOUR","")</f>
        <v>MIS A JOUR</v>
      </c>
      <c r="AA95" s="48">
        <v>44741</v>
      </c>
      <c r="AB95" s="58">
        <f ca="1">IF(Tableau1[[#This Row],[Date rév.]]&lt;&gt;"", DAYS360(Tableau1[[#This Row],[Date rév.]],TODAY()),"")</f>
        <v>1525</v>
      </c>
      <c r="AC95" s="47" t="str">
        <f>IFERROR(INDEX(Chemin_accès!$B$11:$C$22,MATCH(Tableau1[[#This Row],[Type]],Chemin_accès!$C$11:$C$22,0),1),Chemin_accès!$B$11)</f>
        <v>\\stjn.local\trimet\Btechnique\Commun\BT Maint SCELLEMENT\205 - Préventifs\Modèles préventif\GammeDMS_7.MSCT.xlsm</v>
      </c>
      <c r="AD95" s="47" t="str">
        <f>Chemin_accès!$B$8&amp;Tableau1[[#This Row],[Localisation / Classement]]&amp;"\"&amp;Tableau1[[#This Row],[Poste technique]]&amp;"_"&amp;Tableau1[[#This Row],[Plan Entretien]]&amp;".xlsm"</f>
        <v>\\stjn.local\trimet\Btechnique\Commun\BT Maint SCELLEMENT\205 - Préventifs\Gammes 7.MSCT PE Tool\FOURS\T130-P170_34280.xlsm</v>
      </c>
    </row>
    <row r="96" spans="1:30" x14ac:dyDescent="0.3">
      <c r="A96" s="44" t="str">
        <f t="shared" ca="1" si="1"/>
        <v>7.MSCT</v>
      </c>
      <c r="B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6" s="46" t="s">
        <v>314</v>
      </c>
      <c r="D96" s="44" t="s">
        <v>243</v>
      </c>
      <c r="E96" s="44" t="s">
        <v>309</v>
      </c>
      <c r="F96" s="47" t="s">
        <v>254</v>
      </c>
      <c r="G96" s="47" t="s">
        <v>245</v>
      </c>
      <c r="H96" s="50">
        <v>34281</v>
      </c>
      <c r="I96" s="50">
        <v>69132</v>
      </c>
      <c r="J96" s="50">
        <v>522927</v>
      </c>
      <c r="K96" s="50">
        <v>1</v>
      </c>
      <c r="L96" s="46" t="s">
        <v>80</v>
      </c>
      <c r="M96" s="44" t="s">
        <v>255</v>
      </c>
      <c r="N96" s="46" t="s">
        <v>61</v>
      </c>
      <c r="O96" s="46"/>
      <c r="P96" s="47"/>
      <c r="Q96" s="46"/>
      <c r="R96" s="46"/>
      <c r="S96" s="48">
        <v>44529</v>
      </c>
      <c r="T96" s="61" t="str">
        <f>IF(Tableau1[[#This Row],[DMS_SAP]]="","",HYPERLINK(Tableau1[[#This Row],[Chemin fichier source]],"X"))</f>
        <v>X</v>
      </c>
      <c r="U96" s="61" t="str">
        <f ca="1">IF(Tableau1[[#This Row],[Date rév.]]="","",HYPERLINK(Tableau1[[#This Row],[Lien document]],"X"))</f>
        <v>X</v>
      </c>
      <c r="V96" s="47" t="s">
        <v>391</v>
      </c>
      <c r="W96" s="49" t="str">
        <f ca="1">Chemin_accès!$B$2&amp;Tableau1[[#This Row],[Poste Responsable]]&amp;"\"&amp;Tableau1[[#This Row],[Localisation / Classement]]&amp;"\"&amp;Tableau1[[#This Row],[Poste technique]]&amp;"_"&amp;Tableau1[[#This Row],[Plan Entretien]]&amp;".pdf"</f>
        <v>\\stjn.local\trimet\Donnees_Projets\Dms Sap\Maintenance\PlanEntretien\7.MSCT\FOURS\T130-P180_34281.pdf</v>
      </c>
      <c r="X96" s="47">
        <v>3.5</v>
      </c>
      <c r="Y96" s="47">
        <v>2</v>
      </c>
      <c r="Z96" s="44" t="str">
        <f ca="1">IF(AND(Tableau1[[#This Row],[Charge]]&lt;&gt;0, Tableau1[[#This Row],[Nombre intervenants]]&lt;&gt;0,Tableau1[[#This Row],[Lien document]]&lt;&gt;0,Tableau1[[#This Row],[DMS_SAP]]&lt;&gt;0)=TRUE,"MIS A JOUR","")</f>
        <v>MIS A JOUR</v>
      </c>
      <c r="AA96" s="48">
        <v>46174</v>
      </c>
      <c r="AB96" s="58">
        <f ca="1">IF(Tableau1[[#This Row],[Date rév.]]&lt;&gt;"", DAYS360(Tableau1[[#This Row],[Date rév.]],TODAY()),"")</f>
        <v>113</v>
      </c>
      <c r="AC96" s="47" t="str">
        <f>IFERROR(INDEX(Chemin_accès!$B$11:$C$22,MATCH(Tableau1[[#This Row],[Type]],Chemin_accès!$C$11:$C$22,0),1),Chemin_accès!$B$11)</f>
        <v>\\stjn.local\trimet\Btechnique\Commun\BT Maint SCELLEMENT\205 - Préventifs\Modèles préventif\GammeDMS_7.MSCT.xlsm</v>
      </c>
      <c r="AD96" s="47" t="str">
        <f>Chemin_accès!$B$8&amp;Tableau1[[#This Row],[Localisation / Classement]]&amp;"\"&amp;Tableau1[[#This Row],[Poste technique]]&amp;"_"&amp;Tableau1[[#This Row],[Plan Entretien]]&amp;".xlsm"</f>
        <v>\\stjn.local\trimet\Btechnique\Commun\BT Maint SCELLEMENT\205 - Préventifs\Gammes 7.MSCT PE Tool\FOURS\T130-P180_34281.xlsm</v>
      </c>
    </row>
    <row r="97" spans="1:30" x14ac:dyDescent="0.3">
      <c r="A97" s="44" t="str">
        <f t="shared" ca="1" si="1"/>
        <v>7.MSCT</v>
      </c>
      <c r="B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7" s="46" t="s">
        <v>314</v>
      </c>
      <c r="D97" s="44" t="s">
        <v>243</v>
      </c>
      <c r="E97" s="44" t="s">
        <v>309</v>
      </c>
      <c r="F97" s="47" t="s">
        <v>254</v>
      </c>
      <c r="G97" s="47" t="s">
        <v>245</v>
      </c>
      <c r="H97" s="50">
        <v>34282</v>
      </c>
      <c r="I97" s="50">
        <v>69133</v>
      </c>
      <c r="J97" s="50">
        <v>522927</v>
      </c>
      <c r="K97" s="50">
        <v>2</v>
      </c>
      <c r="L97" s="46" t="s">
        <v>157</v>
      </c>
      <c r="M97" s="44" t="s">
        <v>501</v>
      </c>
      <c r="N97" s="46" t="s">
        <v>61</v>
      </c>
      <c r="O97" s="46"/>
      <c r="P97" s="47"/>
      <c r="Q97" s="46"/>
      <c r="R97" s="46"/>
      <c r="S97" s="48">
        <v>44529</v>
      </c>
      <c r="T97" s="61" t="str">
        <f>IF(Tableau1[[#This Row],[DMS_SAP]]="","",HYPERLINK(Tableau1[[#This Row],[Chemin fichier source]],"X"))</f>
        <v>X</v>
      </c>
      <c r="U97" s="61" t="str">
        <f ca="1">IF(Tableau1[[#This Row],[Date rév.]]="","",HYPERLINK(Tableau1[[#This Row],[Lien document]],"X"))</f>
        <v>X</v>
      </c>
      <c r="V97" s="47" t="s">
        <v>392</v>
      </c>
      <c r="W97" s="49" t="str">
        <f ca="1">Chemin_accès!$B$2&amp;Tableau1[[#This Row],[Poste Responsable]]&amp;"\"&amp;Tableau1[[#This Row],[Localisation / Classement]]&amp;"\"&amp;Tableau1[[#This Row],[Poste technique]]&amp;"_"&amp;Tableau1[[#This Row],[Plan Entretien]]&amp;".pdf"</f>
        <v>\\stjn.local\trimet\Donnees_Projets\Dms Sap\Maintenance\PlanEntretien\7.MSCT\FOURS\T130-P180_34282.pdf</v>
      </c>
      <c r="X97" s="47">
        <v>4</v>
      </c>
      <c r="Y97" s="47">
        <v>2</v>
      </c>
      <c r="Z97" s="44" t="str">
        <f ca="1">IF(AND(Tableau1[[#This Row],[Charge]]&lt;&gt;0, Tableau1[[#This Row],[Nombre intervenants]]&lt;&gt;0,Tableau1[[#This Row],[Lien document]]&lt;&gt;0,Tableau1[[#This Row],[DMS_SAP]]&lt;&gt;0)=TRUE,"MIS A JOUR","")</f>
        <v>MIS A JOUR</v>
      </c>
      <c r="AA97" s="48">
        <v>46149</v>
      </c>
      <c r="AB97" s="58">
        <f ca="1">IF(Tableau1[[#This Row],[Date rév.]]&lt;&gt;"", DAYS360(Tableau1[[#This Row],[Date rév.]],TODAY()),"")</f>
        <v>137</v>
      </c>
      <c r="AC97" s="47" t="str">
        <f>IFERROR(INDEX(Chemin_accès!$B$11:$C$22,MATCH(Tableau1[[#This Row],[Type]],Chemin_accès!$C$11:$C$22,0),1),Chemin_accès!$B$11)</f>
        <v>\\stjn.local\trimet\Btechnique\Commun\BT Maint SCELLEMENT\205 - Préventifs\Modèles préventif\GammeDMS_7.MSCT.xlsm</v>
      </c>
      <c r="AD97" s="47" t="str">
        <f>Chemin_accès!$B$8&amp;Tableau1[[#This Row],[Localisation / Classement]]&amp;"\"&amp;Tableau1[[#This Row],[Poste technique]]&amp;"_"&amp;Tableau1[[#This Row],[Plan Entretien]]&amp;".xlsm"</f>
        <v>\\stjn.local\trimet\Btechnique\Commun\BT Maint SCELLEMENT\205 - Préventifs\Gammes 7.MSCT PE Tool\FOURS\T130-P180_34282.xlsm</v>
      </c>
    </row>
    <row r="98" spans="1:30" x14ac:dyDescent="0.3">
      <c r="A98" s="44" t="str">
        <f t="shared" ca="1" si="1"/>
        <v>7.MSCT</v>
      </c>
      <c r="B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8" s="46" t="s">
        <v>314</v>
      </c>
      <c r="D98" s="44" t="s">
        <v>243</v>
      </c>
      <c r="E98" s="44" t="s">
        <v>309</v>
      </c>
      <c r="F98" s="47" t="s">
        <v>254</v>
      </c>
      <c r="G98" s="47" t="s">
        <v>245</v>
      </c>
      <c r="H98" s="50">
        <v>34283</v>
      </c>
      <c r="I98" s="50">
        <v>69134</v>
      </c>
      <c r="J98" s="50">
        <v>522927</v>
      </c>
      <c r="K98" s="50">
        <v>3</v>
      </c>
      <c r="L98" s="46" t="s">
        <v>86</v>
      </c>
      <c r="M98" s="44" t="s">
        <v>478</v>
      </c>
      <c r="N98" s="46" t="s">
        <v>61</v>
      </c>
      <c r="O98" s="46"/>
      <c r="P98" s="47"/>
      <c r="Q98" s="46"/>
      <c r="R98" s="46"/>
      <c r="S98" s="48">
        <v>44529</v>
      </c>
      <c r="T98" s="61" t="str">
        <f>IF(Tableau1[[#This Row],[DMS_SAP]]="","",HYPERLINK(Tableau1[[#This Row],[Chemin fichier source]],"X"))</f>
        <v>X</v>
      </c>
      <c r="U98" s="61" t="str">
        <f ca="1">IF(Tableau1[[#This Row],[Date rév.]]="","",HYPERLINK(Tableau1[[#This Row],[Lien document]],"X"))</f>
        <v>X</v>
      </c>
      <c r="V98" s="47" t="s">
        <v>393</v>
      </c>
      <c r="W98" s="49" t="str">
        <f ca="1">Chemin_accès!$B$2&amp;Tableau1[[#This Row],[Poste Responsable]]&amp;"\"&amp;Tableau1[[#This Row],[Localisation / Classement]]&amp;"\"&amp;Tableau1[[#This Row],[Poste technique]]&amp;"_"&amp;Tableau1[[#This Row],[Plan Entretien]]&amp;".pdf"</f>
        <v>\\stjn.local\trimet\Donnees_Projets\Dms Sap\Maintenance\PlanEntretien\7.MSCT\FOURS\T130-P180_34283.pdf</v>
      </c>
      <c r="X98" s="47">
        <v>1.75</v>
      </c>
      <c r="Y98" s="47">
        <v>2</v>
      </c>
      <c r="Z98" s="44" t="str">
        <f ca="1">IF(AND(Tableau1[[#This Row],[Charge]]&lt;&gt;0, Tableau1[[#This Row],[Nombre intervenants]]&lt;&gt;0,Tableau1[[#This Row],[Lien document]]&lt;&gt;0,Tableau1[[#This Row],[DMS_SAP]]&lt;&gt;0)=TRUE,"MIS A JOUR","")</f>
        <v>MIS A JOUR</v>
      </c>
      <c r="AA98" s="48">
        <v>44741</v>
      </c>
      <c r="AB98" s="58">
        <f ca="1">IF(Tableau1[[#This Row],[Date rév.]]&lt;&gt;"", DAYS360(Tableau1[[#This Row],[Date rév.]],TODAY()),"")</f>
        <v>1525</v>
      </c>
      <c r="AC98" s="47" t="str">
        <f>IFERROR(INDEX(Chemin_accès!$B$11:$C$22,MATCH(Tableau1[[#This Row],[Type]],Chemin_accès!$C$11:$C$22,0),1),Chemin_accès!$B$11)</f>
        <v>\\stjn.local\trimet\Btechnique\Commun\BT Maint SCELLEMENT\205 - Préventifs\Modèles préventif\GammeDMS_7.MSCT.xlsm</v>
      </c>
      <c r="AD98" s="47" t="str">
        <f>Chemin_accès!$B$8&amp;Tableau1[[#This Row],[Localisation / Classement]]&amp;"\"&amp;Tableau1[[#This Row],[Poste technique]]&amp;"_"&amp;Tableau1[[#This Row],[Plan Entretien]]&amp;".xlsm"</f>
        <v>\\stjn.local\trimet\Btechnique\Commun\BT Maint SCELLEMENT\205 - Préventifs\Gammes 7.MSCT PE Tool\FOURS\T130-P180_34283.xlsm</v>
      </c>
    </row>
    <row r="99" spans="1:30" x14ac:dyDescent="0.3">
      <c r="A99" s="44" t="str">
        <f t="shared" ca="1" si="1"/>
        <v>7.MSCT</v>
      </c>
      <c r="B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9" s="46" t="s">
        <v>314</v>
      </c>
      <c r="D99" s="44" t="s">
        <v>243</v>
      </c>
      <c r="E99" s="44" t="s">
        <v>309</v>
      </c>
      <c r="F99" s="47" t="s">
        <v>256</v>
      </c>
      <c r="G99" s="47" t="s">
        <v>245</v>
      </c>
      <c r="H99" s="50">
        <v>34284</v>
      </c>
      <c r="I99" s="50">
        <v>69135</v>
      </c>
      <c r="J99" s="50">
        <v>522928</v>
      </c>
      <c r="K99" s="50">
        <v>1</v>
      </c>
      <c r="L99" s="46" t="s">
        <v>86</v>
      </c>
      <c r="M99" s="44" t="s">
        <v>322</v>
      </c>
      <c r="N99" s="46" t="s">
        <v>61</v>
      </c>
      <c r="O99" s="46"/>
      <c r="P99" s="47"/>
      <c r="Q99" s="46"/>
      <c r="R99" s="46"/>
      <c r="S99" s="48">
        <v>44529</v>
      </c>
      <c r="T99" s="61" t="str">
        <f>IF(Tableau1[[#This Row],[DMS_SAP]]="","",HYPERLINK(Tableau1[[#This Row],[Chemin fichier source]],"X"))</f>
        <v>X</v>
      </c>
      <c r="U99" s="61" t="str">
        <f ca="1">IF(Tableau1[[#This Row],[Date rév.]]="","",HYPERLINK(Tableau1[[#This Row],[Lien document]],"X"))</f>
        <v>X</v>
      </c>
      <c r="V99" s="47" t="s">
        <v>394</v>
      </c>
      <c r="W99" s="49" t="str">
        <f ca="1">Chemin_accès!$B$2&amp;Tableau1[[#This Row],[Poste Responsable]]&amp;"\"&amp;Tableau1[[#This Row],[Localisation / Classement]]&amp;"\"&amp;Tableau1[[#This Row],[Poste technique]]&amp;"_"&amp;Tableau1[[#This Row],[Plan Entretien]]&amp;".pdf"</f>
        <v>\\stjn.local\trimet\Donnees_Projets\Dms Sap\Maintenance\PlanEntretien\7.MSCT\FOURS\T130-P190_34284.pdf</v>
      </c>
      <c r="X99" s="47">
        <v>1.75</v>
      </c>
      <c r="Y99" s="47">
        <v>2</v>
      </c>
      <c r="Z99" s="44" t="str">
        <f ca="1">IF(AND(Tableau1[[#This Row],[Charge]]&lt;&gt;0, Tableau1[[#This Row],[Nombre intervenants]]&lt;&gt;0,Tableau1[[#This Row],[Lien document]]&lt;&gt;0,Tableau1[[#This Row],[DMS_SAP]]&lt;&gt;0)=TRUE,"MIS A JOUR","")</f>
        <v>MIS A JOUR</v>
      </c>
      <c r="AA99" s="48">
        <v>45078</v>
      </c>
      <c r="AB99" s="58">
        <f ca="1">IF(Tableau1[[#This Row],[Date rév.]]&lt;&gt;"", DAYS360(Tableau1[[#This Row],[Date rév.]],TODAY()),"")</f>
        <v>1193</v>
      </c>
      <c r="AC99" s="47" t="str">
        <f>IFERROR(INDEX(Chemin_accès!$B$11:$C$22,MATCH(Tableau1[[#This Row],[Type]],Chemin_accès!$C$11:$C$22,0),1),Chemin_accès!$B$11)</f>
        <v>\\stjn.local\trimet\Btechnique\Commun\BT Maint SCELLEMENT\205 - Préventifs\Modèles préventif\GammeDMS_7.MSCT.xlsm</v>
      </c>
      <c r="AD99" s="47" t="str">
        <f>Chemin_accès!$B$8&amp;Tableau1[[#This Row],[Localisation / Classement]]&amp;"\"&amp;Tableau1[[#This Row],[Poste technique]]&amp;"_"&amp;Tableau1[[#This Row],[Plan Entretien]]&amp;".xlsm"</f>
        <v>\\stjn.local\trimet\Btechnique\Commun\BT Maint SCELLEMENT\205 - Préventifs\Gammes 7.MSCT PE Tool\FOURS\T130-P190_34284.xlsm</v>
      </c>
    </row>
    <row r="100" spans="1:30" x14ac:dyDescent="0.3">
      <c r="A100" s="44" t="str">
        <f t="shared" ca="1" si="1"/>
        <v>7.MSCT</v>
      </c>
      <c r="B1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0" s="46" t="s">
        <v>314</v>
      </c>
      <c r="D100" s="44" t="s">
        <v>243</v>
      </c>
      <c r="E100" s="44" t="s">
        <v>309</v>
      </c>
      <c r="F100" s="47" t="s">
        <v>257</v>
      </c>
      <c r="G100" s="47" t="s">
        <v>245</v>
      </c>
      <c r="H100" s="50">
        <v>34285</v>
      </c>
      <c r="I100" s="50">
        <v>69136</v>
      </c>
      <c r="J100" s="50">
        <v>522929</v>
      </c>
      <c r="K100" s="50">
        <v>1</v>
      </c>
      <c r="L100" s="46" t="s">
        <v>86</v>
      </c>
      <c r="M100" s="44" t="s">
        <v>258</v>
      </c>
      <c r="N100" s="46" t="s">
        <v>60</v>
      </c>
      <c r="O100" s="46"/>
      <c r="P100" s="47"/>
      <c r="Q100" s="46"/>
      <c r="R100" s="46"/>
      <c r="S100" s="48">
        <v>44529</v>
      </c>
      <c r="T100" s="61" t="str">
        <f>IF(Tableau1[[#This Row],[DMS_SAP]]="","",HYPERLINK(Tableau1[[#This Row],[Chemin fichier source]],"X"))</f>
        <v>X</v>
      </c>
      <c r="U100" s="61" t="str">
        <f>IF(Tableau1[[#This Row],[Date rév.]]="","",HYPERLINK(Tableau1[[#This Row],[Lien document]],"X"))</f>
        <v/>
      </c>
      <c r="V100" s="47" t="s">
        <v>395</v>
      </c>
      <c r="W100" s="49" t="str">
        <f ca="1">Chemin_accès!$B$2&amp;Tableau1[[#This Row],[Poste Responsable]]&amp;"\"&amp;Tableau1[[#This Row],[Localisation / Classement]]&amp;"\"&amp;Tableau1[[#This Row],[Poste technique]]&amp;"_"&amp;Tableau1[[#This Row],[Plan Entretien]]&amp;".pdf"</f>
        <v>\\stjn.local\trimet\Donnees_Projets\Dms Sap\Maintenance\PlanEntretien\7.MSCT\FOURS\T130-P200_34285.pdf</v>
      </c>
      <c r="X100" s="47">
        <v>3.5</v>
      </c>
      <c r="Y100" s="47">
        <v>2</v>
      </c>
      <c r="Z100" s="44" t="str">
        <f ca="1">IF(AND(Tableau1[[#This Row],[Charge]]&lt;&gt;0, Tableau1[[#This Row],[Nombre intervenants]]&lt;&gt;0,Tableau1[[#This Row],[Lien document]]&lt;&gt;0,Tableau1[[#This Row],[DMS_SAP]]&lt;&gt;0)=TRUE,"MIS A JOUR","")</f>
        <v>MIS A JOUR</v>
      </c>
      <c r="AA100" s="48"/>
      <c r="AB100" s="58" t="str">
        <f ca="1">IF(Tableau1[[#This Row],[Date rév.]]&lt;&gt;"", DAYS360(Tableau1[[#This Row],[Date rév.]],TODAY()),"")</f>
        <v/>
      </c>
      <c r="AC100" s="47" t="str">
        <f>IFERROR(INDEX(Chemin_accès!$B$11:$C$22,MATCH(Tableau1[[#This Row],[Type]],Chemin_accès!$C$11:$C$22,0),1),Chemin_accès!$B$11)</f>
        <v>\\stjn.local\trimet\Btechnique\Commun\BT Maint SCELLEMENT\205 - Préventifs\Modèles préventif\GammeDMS_7.MSCT.xlsm</v>
      </c>
      <c r="AD100" s="47" t="str">
        <f>Chemin_accès!$B$8&amp;Tableau1[[#This Row],[Localisation / Classement]]&amp;"\"&amp;Tableau1[[#This Row],[Poste technique]]&amp;"_"&amp;Tableau1[[#This Row],[Plan Entretien]]&amp;".xlsm"</f>
        <v>\\stjn.local\trimet\Btechnique\Commun\BT Maint SCELLEMENT\205 - Préventifs\Gammes 7.MSCT PE Tool\FOURS\T130-P200_34285.xlsm</v>
      </c>
    </row>
    <row r="101" spans="1:30" x14ac:dyDescent="0.3">
      <c r="A101" s="44" t="str">
        <f t="shared" ca="1" si="1"/>
        <v>7.MSCT</v>
      </c>
      <c r="B1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1" s="46" t="s">
        <v>314</v>
      </c>
      <c r="D101" s="44" t="s">
        <v>243</v>
      </c>
      <c r="E101" s="44" t="s">
        <v>309</v>
      </c>
      <c r="F101" s="47" t="s">
        <v>259</v>
      </c>
      <c r="G101" s="47" t="s">
        <v>245</v>
      </c>
      <c r="H101" s="50">
        <v>34286</v>
      </c>
      <c r="I101" s="50">
        <v>69137</v>
      </c>
      <c r="J101" s="50">
        <v>522930</v>
      </c>
      <c r="K101" s="50">
        <v>1</v>
      </c>
      <c r="L101" s="46" t="s">
        <v>86</v>
      </c>
      <c r="M101" s="44" t="s">
        <v>260</v>
      </c>
      <c r="N101" s="46" t="s">
        <v>60</v>
      </c>
      <c r="O101" s="46"/>
      <c r="P101" s="47"/>
      <c r="Q101" s="46"/>
      <c r="R101" s="46"/>
      <c r="S101" s="48">
        <v>44529</v>
      </c>
      <c r="T101" s="61" t="str">
        <f>IF(Tableau1[[#This Row],[DMS_SAP]]="","",HYPERLINK(Tableau1[[#This Row],[Chemin fichier source]],"X"))</f>
        <v>X</v>
      </c>
      <c r="U101" s="61" t="str">
        <f ca="1">IF(Tableau1[[#This Row],[Date rév.]]="","",HYPERLINK(Tableau1[[#This Row],[Lien document]],"X"))</f>
        <v>X</v>
      </c>
      <c r="V101" s="47" t="s">
        <v>396</v>
      </c>
      <c r="W101" s="49" t="str">
        <f ca="1">Chemin_accès!$B$2&amp;Tableau1[[#This Row],[Poste Responsable]]&amp;"\"&amp;Tableau1[[#This Row],[Localisation / Classement]]&amp;"\"&amp;Tableau1[[#This Row],[Poste technique]]&amp;"_"&amp;Tableau1[[#This Row],[Plan Entretien]]&amp;".pdf"</f>
        <v>\\stjn.local\trimet\Donnees_Projets\Dms Sap\Maintenance\PlanEntretien\7.MSCT\FOURS\T130-P210_34286.pdf</v>
      </c>
      <c r="X101" s="47">
        <v>3.5</v>
      </c>
      <c r="Y101" s="47">
        <v>2</v>
      </c>
      <c r="Z101" s="44" t="str">
        <f ca="1">IF(AND(Tableau1[[#This Row],[Charge]]&lt;&gt;0, Tableau1[[#This Row],[Nombre intervenants]]&lt;&gt;0,Tableau1[[#This Row],[Lien document]]&lt;&gt;0,Tableau1[[#This Row],[DMS_SAP]]&lt;&gt;0)=TRUE,"MIS A JOUR","")</f>
        <v>MIS A JOUR</v>
      </c>
      <c r="AA101" s="48">
        <v>44741</v>
      </c>
      <c r="AB101" s="58">
        <f ca="1">IF(Tableau1[[#This Row],[Date rév.]]&lt;&gt;"", DAYS360(Tableau1[[#This Row],[Date rév.]],TODAY()),"")</f>
        <v>1525</v>
      </c>
      <c r="AC101" s="47" t="str">
        <f>IFERROR(INDEX(Chemin_accès!$B$11:$C$22,MATCH(Tableau1[[#This Row],[Type]],Chemin_accès!$C$11:$C$22,0),1),Chemin_accès!$B$11)</f>
        <v>\\stjn.local\trimet\Btechnique\Commun\BT Maint SCELLEMENT\205 - Préventifs\Modèles préventif\GammeDMS_7.MSCT.xlsm</v>
      </c>
      <c r="AD101" s="47" t="str">
        <f>Chemin_accès!$B$8&amp;Tableau1[[#This Row],[Localisation / Classement]]&amp;"\"&amp;Tableau1[[#This Row],[Poste technique]]&amp;"_"&amp;Tableau1[[#This Row],[Plan Entretien]]&amp;".xlsm"</f>
        <v>\\stjn.local\trimet\Btechnique\Commun\BT Maint SCELLEMENT\205 - Préventifs\Gammes 7.MSCT PE Tool\FOURS\T130-P210_34286.xlsm</v>
      </c>
    </row>
    <row r="102" spans="1:30" x14ac:dyDescent="0.3">
      <c r="A102" s="44" t="str">
        <f t="shared" ca="1" si="1"/>
        <v>7.MSCT</v>
      </c>
      <c r="B1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2" s="46" t="s">
        <v>314</v>
      </c>
      <c r="D102" s="44" t="s">
        <v>243</v>
      </c>
      <c r="E102" s="44" t="s">
        <v>309</v>
      </c>
      <c r="F102" s="47" t="s">
        <v>259</v>
      </c>
      <c r="G102" s="47" t="s">
        <v>245</v>
      </c>
      <c r="H102" s="50">
        <v>34287</v>
      </c>
      <c r="I102" s="50">
        <v>69138</v>
      </c>
      <c r="J102" s="50">
        <v>522930</v>
      </c>
      <c r="K102" s="50">
        <v>2</v>
      </c>
      <c r="L102" s="46" t="s">
        <v>82</v>
      </c>
      <c r="M102" s="44" t="s">
        <v>261</v>
      </c>
      <c r="N102" s="46" t="s">
        <v>61</v>
      </c>
      <c r="O102" s="46"/>
      <c r="P102" s="47"/>
      <c r="Q102" s="46"/>
      <c r="R102" s="46"/>
      <c r="S102" s="48">
        <v>44529</v>
      </c>
      <c r="T102" s="61" t="str">
        <f>IF(Tableau1[[#This Row],[DMS_SAP]]="","",HYPERLINK(Tableau1[[#This Row],[Chemin fichier source]],"X"))</f>
        <v>X</v>
      </c>
      <c r="U102" s="61" t="str">
        <f ca="1">IF(Tableau1[[#This Row],[Date rév.]]="","",HYPERLINK(Tableau1[[#This Row],[Lien document]],"X"))</f>
        <v>X</v>
      </c>
      <c r="V102" s="47" t="s">
        <v>397</v>
      </c>
      <c r="W102" s="49" t="str">
        <f ca="1">Chemin_accès!$B$2&amp;Tableau1[[#This Row],[Poste Responsable]]&amp;"\"&amp;Tableau1[[#This Row],[Localisation / Classement]]&amp;"\"&amp;Tableau1[[#This Row],[Poste technique]]&amp;"_"&amp;Tableau1[[#This Row],[Plan Entretien]]&amp;".pdf"</f>
        <v>\\stjn.local\trimet\Donnees_Projets\Dms Sap\Maintenance\PlanEntretien\7.MSCT\FOURS\T130-P210_34287.pdf</v>
      </c>
      <c r="X102" s="47">
        <v>3.5</v>
      </c>
      <c r="Y102" s="47">
        <v>2</v>
      </c>
      <c r="Z102" s="44" t="str">
        <f ca="1">IF(AND(Tableau1[[#This Row],[Charge]]&lt;&gt;0, Tableau1[[#This Row],[Nombre intervenants]]&lt;&gt;0,Tableau1[[#This Row],[Lien document]]&lt;&gt;0,Tableau1[[#This Row],[DMS_SAP]]&lt;&gt;0)=TRUE,"MIS A JOUR","")</f>
        <v>MIS A JOUR</v>
      </c>
      <c r="AA102" s="48">
        <v>44834</v>
      </c>
      <c r="AB102" s="58">
        <f ca="1">IF(Tableau1[[#This Row],[Date rév.]]&lt;&gt;"", DAYS360(Tableau1[[#This Row],[Date rév.]],TODAY()),"")</f>
        <v>1434</v>
      </c>
      <c r="AC102" s="47" t="str">
        <f>IFERROR(INDEX(Chemin_accès!$B$11:$C$22,MATCH(Tableau1[[#This Row],[Type]],Chemin_accès!$C$11:$C$22,0),1),Chemin_accès!$B$11)</f>
        <v>\\stjn.local\trimet\Btechnique\Commun\BT Maint SCELLEMENT\205 - Préventifs\Modèles préventif\GammeDMS_7.MSCT.xlsm</v>
      </c>
      <c r="AD102" s="47" t="str">
        <f>Chemin_accès!$B$8&amp;Tableau1[[#This Row],[Localisation / Classement]]&amp;"\"&amp;Tableau1[[#This Row],[Poste technique]]&amp;"_"&amp;Tableau1[[#This Row],[Plan Entretien]]&amp;".xlsm"</f>
        <v>\\stjn.local\trimet\Btechnique\Commun\BT Maint SCELLEMENT\205 - Préventifs\Gammes 7.MSCT PE Tool\FOURS\T130-P210_34287.xlsm</v>
      </c>
    </row>
    <row r="103" spans="1:30" x14ac:dyDescent="0.3">
      <c r="A103" s="44" t="str">
        <f t="shared" ca="1" si="1"/>
        <v>7.MSCT</v>
      </c>
      <c r="B1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3" s="46" t="s">
        <v>314</v>
      </c>
      <c r="D103" s="44" t="s">
        <v>262</v>
      </c>
      <c r="E103" s="44" t="s">
        <v>309</v>
      </c>
      <c r="F103" s="44" t="s">
        <v>263</v>
      </c>
      <c r="G103" s="44" t="s">
        <v>264</v>
      </c>
      <c r="H103" s="50">
        <v>34288</v>
      </c>
      <c r="I103" s="50">
        <v>69139</v>
      </c>
      <c r="J103" s="50">
        <v>522931</v>
      </c>
      <c r="K103" s="50">
        <v>1</v>
      </c>
      <c r="L103" s="46" t="s">
        <v>80</v>
      </c>
      <c r="M103" s="44" t="s">
        <v>265</v>
      </c>
      <c r="N103" s="46" t="s">
        <v>60</v>
      </c>
      <c r="O103" s="46"/>
      <c r="P103" s="47"/>
      <c r="Q103" s="46"/>
      <c r="R103" s="46"/>
      <c r="S103" s="48">
        <v>44529</v>
      </c>
      <c r="T103" s="61" t="str">
        <f>IF(Tableau1[[#This Row],[DMS_SAP]]="","",HYPERLINK(Tableau1[[#This Row],[Chemin fichier source]],"X"))</f>
        <v>X</v>
      </c>
      <c r="U103" s="61" t="str">
        <f ca="1">IF(Tableau1[[#This Row],[Date rév.]]="","",HYPERLINK(Tableau1[[#This Row],[Lien document]],"X"))</f>
        <v>X</v>
      </c>
      <c r="V103" s="47" t="s">
        <v>398</v>
      </c>
      <c r="W103" s="49" t="str">
        <f ca="1">Chemin_accès!$B$2&amp;Tableau1[[#This Row],[Poste Responsable]]&amp;"\"&amp;Tableau1[[#This Row],[Localisation / Classement]]&amp;"\"&amp;Tableau1[[#This Row],[Poste technique]]&amp;"_"&amp;Tableau1[[#This Row],[Plan Entretien]]&amp;".pdf"</f>
        <v>\\stjn.local\trimet\Donnees_Projets\Dms Sap\Maintenance\PlanEntretien\7.MSCT\MANUTENTIONS\T130-Q120_34288.pdf</v>
      </c>
      <c r="X103" s="47">
        <v>1.75</v>
      </c>
      <c r="Y103" s="47">
        <v>2</v>
      </c>
      <c r="Z103" s="44" t="str">
        <f ca="1">IF(AND(Tableau1[[#This Row],[Charge]]&lt;&gt;0, Tableau1[[#This Row],[Nombre intervenants]]&lt;&gt;0,Tableau1[[#This Row],[Lien document]]&lt;&gt;0,Tableau1[[#This Row],[DMS_SAP]]&lt;&gt;0)=TRUE,"MIS A JOUR","")</f>
        <v>MIS A JOUR</v>
      </c>
      <c r="AA103" s="48">
        <v>44741</v>
      </c>
      <c r="AB103" s="58">
        <f ca="1">IF(Tableau1[[#This Row],[Date rév.]]&lt;&gt;"", DAYS360(Tableau1[[#This Row],[Date rév.]],TODAY()),"")</f>
        <v>1525</v>
      </c>
      <c r="AC103" s="47" t="str">
        <f>IFERROR(INDEX(Chemin_accès!$B$11:$C$22,MATCH(Tableau1[[#This Row],[Type]],Chemin_accès!$C$11:$C$22,0),1),Chemin_accès!$B$11)</f>
        <v>\\stjn.local\trimet\Btechnique\Commun\BT Maint SCELLEMENT\205 - Préventifs\Modèles préventif\GammeDMS_7.MSCT.xlsm</v>
      </c>
      <c r="AD103" s="47" t="str">
        <f>Chemin_accès!$B$8&amp;Tableau1[[#This Row],[Localisation / Classement]]&amp;"\"&amp;Tableau1[[#This Row],[Poste technique]]&amp;"_"&amp;Tableau1[[#This Row],[Plan Entretien]]&amp;".xlsm"</f>
        <v>\\stjn.local\trimet\Btechnique\Commun\BT Maint SCELLEMENT\205 - Préventifs\Gammes 7.MSCT PE Tool\MANUTENTIONS\T130-Q120_34288.xlsm</v>
      </c>
    </row>
    <row r="104" spans="1:30" x14ac:dyDescent="0.3">
      <c r="A104" s="44" t="str">
        <f t="shared" ca="1" si="1"/>
        <v>7.MSCT</v>
      </c>
      <c r="B1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4" s="46" t="s">
        <v>314</v>
      </c>
      <c r="D104" s="44" t="s">
        <v>262</v>
      </c>
      <c r="E104" s="44" t="s">
        <v>309</v>
      </c>
      <c r="F104" s="47" t="s">
        <v>263</v>
      </c>
      <c r="G104" s="47" t="s">
        <v>264</v>
      </c>
      <c r="H104" s="50">
        <v>34289</v>
      </c>
      <c r="I104" s="50">
        <v>69140</v>
      </c>
      <c r="J104" s="50">
        <v>522931</v>
      </c>
      <c r="K104" s="50">
        <v>2</v>
      </c>
      <c r="L104" s="46" t="s">
        <v>82</v>
      </c>
      <c r="M104" s="44" t="s">
        <v>486</v>
      </c>
      <c r="N104" s="46" t="s">
        <v>61</v>
      </c>
      <c r="O104" s="46"/>
      <c r="P104" s="47"/>
      <c r="Q104" s="46"/>
      <c r="R104" s="46"/>
      <c r="S104" s="48">
        <v>44529</v>
      </c>
      <c r="T104" s="61" t="str">
        <f>IF(Tableau1[[#This Row],[DMS_SAP]]="","",HYPERLINK(Tableau1[[#This Row],[Chemin fichier source]],"X"))</f>
        <v>X</v>
      </c>
      <c r="U104" s="61" t="str">
        <f ca="1">IF(Tableau1[[#This Row],[Date rév.]]="","",HYPERLINK(Tableau1[[#This Row],[Lien document]],"X"))</f>
        <v>X</v>
      </c>
      <c r="V104" s="47" t="s">
        <v>399</v>
      </c>
      <c r="W104" s="49" t="str">
        <f ca="1">Chemin_accès!$B$2&amp;Tableau1[[#This Row],[Poste Responsable]]&amp;"\"&amp;Tableau1[[#This Row],[Localisation / Classement]]&amp;"\"&amp;Tableau1[[#This Row],[Poste technique]]&amp;"_"&amp;Tableau1[[#This Row],[Plan Entretien]]&amp;".pdf"</f>
        <v>\\stjn.local\trimet\Donnees_Projets\Dms Sap\Maintenance\PlanEntretien\7.MSCT\MANUTENTIONS\T130-Q120_34289.pdf</v>
      </c>
      <c r="X104" s="47">
        <v>3.5</v>
      </c>
      <c r="Y104" s="47">
        <v>2</v>
      </c>
      <c r="Z104" s="44" t="str">
        <f ca="1">IF(AND(Tableau1[[#This Row],[Charge]]&lt;&gt;0, Tableau1[[#This Row],[Nombre intervenants]]&lt;&gt;0,Tableau1[[#This Row],[Lien document]]&lt;&gt;0,Tableau1[[#This Row],[DMS_SAP]]&lt;&gt;0)=TRUE,"MIS A JOUR","")</f>
        <v>MIS A JOUR</v>
      </c>
      <c r="AA104" s="48">
        <v>44889</v>
      </c>
      <c r="AB104" s="58">
        <f ca="1">IF(Tableau1[[#This Row],[Date rév.]]&lt;&gt;"", DAYS360(Tableau1[[#This Row],[Date rév.]],TODAY()),"")</f>
        <v>1380</v>
      </c>
      <c r="AC104" s="47" t="str">
        <f>IFERROR(INDEX(Chemin_accès!$B$11:$C$22,MATCH(Tableau1[[#This Row],[Type]],Chemin_accès!$C$11:$C$22,0),1),Chemin_accès!$B$11)</f>
        <v>\\stjn.local\trimet\Btechnique\Commun\BT Maint SCELLEMENT\205 - Préventifs\Modèles préventif\GammeDMS_7.MSCT.xlsm</v>
      </c>
      <c r="AD104" s="47" t="str">
        <f>Chemin_accès!$B$8&amp;Tableau1[[#This Row],[Localisation / Classement]]&amp;"\"&amp;Tableau1[[#This Row],[Poste technique]]&amp;"_"&amp;Tableau1[[#This Row],[Plan Entretien]]&amp;".xlsm"</f>
        <v>\\stjn.local\trimet\Btechnique\Commun\BT Maint SCELLEMENT\205 - Préventifs\Gammes 7.MSCT PE Tool\MANUTENTIONS\T130-Q120_34289.xlsm</v>
      </c>
    </row>
    <row r="105" spans="1:30" x14ac:dyDescent="0.3">
      <c r="A105" s="44" t="str">
        <f t="shared" ca="1" si="1"/>
        <v>7.MSCT</v>
      </c>
      <c r="B1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5" s="46" t="s">
        <v>314</v>
      </c>
      <c r="D105" s="44" t="s">
        <v>262</v>
      </c>
      <c r="E105" s="44" t="s">
        <v>309</v>
      </c>
      <c r="F105" s="47" t="s">
        <v>263</v>
      </c>
      <c r="G105" s="47" t="s">
        <v>264</v>
      </c>
      <c r="H105" s="50">
        <v>34290</v>
      </c>
      <c r="I105" s="50">
        <v>69141</v>
      </c>
      <c r="J105" s="50">
        <v>522931</v>
      </c>
      <c r="K105" s="50">
        <v>3</v>
      </c>
      <c r="L105" s="46" t="s">
        <v>86</v>
      </c>
      <c r="M105" s="44" t="s">
        <v>266</v>
      </c>
      <c r="N105" s="46" t="s">
        <v>60</v>
      </c>
      <c r="O105" s="46"/>
      <c r="P105" s="47"/>
      <c r="Q105" s="46"/>
      <c r="R105" s="46"/>
      <c r="S105" s="48">
        <v>44529</v>
      </c>
      <c r="T105" s="61" t="str">
        <f>IF(Tableau1[[#This Row],[DMS_SAP]]="","",HYPERLINK(Tableau1[[#This Row],[Chemin fichier source]],"X"))</f>
        <v>X</v>
      </c>
      <c r="U105" s="61" t="str">
        <f ca="1">IF(Tableau1[[#This Row],[Date rév.]]="","",HYPERLINK(Tableau1[[#This Row],[Lien document]],"X"))</f>
        <v>X</v>
      </c>
      <c r="V105" s="47" t="s">
        <v>400</v>
      </c>
      <c r="W105" s="49" t="str">
        <f ca="1">Chemin_accès!$B$2&amp;Tableau1[[#This Row],[Poste Responsable]]&amp;"\"&amp;Tableau1[[#This Row],[Localisation / Classement]]&amp;"\"&amp;Tableau1[[#This Row],[Poste technique]]&amp;"_"&amp;Tableau1[[#This Row],[Plan Entretien]]&amp;".pdf"</f>
        <v>\\stjn.local\trimet\Donnees_Projets\Dms Sap\Maintenance\PlanEntretien\7.MSCT\MANUTENTIONS\T130-Q120_34290.pdf</v>
      </c>
      <c r="X105" s="47">
        <v>3.5</v>
      </c>
      <c r="Y105" s="47">
        <v>2</v>
      </c>
      <c r="Z105" s="44" t="str">
        <f ca="1">IF(AND(Tableau1[[#This Row],[Charge]]&lt;&gt;0, Tableau1[[#This Row],[Nombre intervenants]]&lt;&gt;0,Tableau1[[#This Row],[Lien document]]&lt;&gt;0,Tableau1[[#This Row],[DMS_SAP]]&lt;&gt;0)=TRUE,"MIS A JOUR","")</f>
        <v>MIS A JOUR</v>
      </c>
      <c r="AA105" s="48">
        <v>44741</v>
      </c>
      <c r="AB105" s="58">
        <f ca="1">IF(Tableau1[[#This Row],[Date rév.]]&lt;&gt;"", DAYS360(Tableau1[[#This Row],[Date rév.]],TODAY()),"")</f>
        <v>1525</v>
      </c>
      <c r="AC105" s="47" t="str">
        <f>IFERROR(INDEX(Chemin_accès!$B$11:$C$22,MATCH(Tableau1[[#This Row],[Type]],Chemin_accès!$C$11:$C$22,0),1),Chemin_accès!$B$11)</f>
        <v>\\stjn.local\trimet\Btechnique\Commun\BT Maint SCELLEMENT\205 - Préventifs\Modèles préventif\GammeDMS_7.MSCT.xlsm</v>
      </c>
      <c r="AD105" s="47" t="str">
        <f>Chemin_accès!$B$8&amp;Tableau1[[#This Row],[Localisation / Classement]]&amp;"\"&amp;Tableau1[[#This Row],[Poste technique]]&amp;"_"&amp;Tableau1[[#This Row],[Plan Entretien]]&amp;".xlsm"</f>
        <v>\\stjn.local\trimet\Btechnique\Commun\BT Maint SCELLEMENT\205 - Préventifs\Gammes 7.MSCT PE Tool\MANUTENTIONS\T130-Q120_34290.xlsm</v>
      </c>
    </row>
    <row r="106" spans="1:30" x14ac:dyDescent="0.3">
      <c r="A106" s="44" t="str">
        <f t="shared" ca="1" si="1"/>
        <v>7.MSCT</v>
      </c>
      <c r="B1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6" s="46" t="s">
        <v>314</v>
      </c>
      <c r="D106" s="44" t="s">
        <v>262</v>
      </c>
      <c r="E106" s="44" t="s">
        <v>309</v>
      </c>
      <c r="F106" s="47" t="s">
        <v>267</v>
      </c>
      <c r="G106" s="47" t="s">
        <v>264</v>
      </c>
      <c r="H106" s="50">
        <v>34291</v>
      </c>
      <c r="I106" s="50">
        <v>69142</v>
      </c>
      <c r="J106" s="50">
        <v>522932</v>
      </c>
      <c r="K106" s="50">
        <v>1</v>
      </c>
      <c r="L106" s="46" t="s">
        <v>86</v>
      </c>
      <c r="M106" s="44" t="s">
        <v>268</v>
      </c>
      <c r="N106" s="46" t="s">
        <v>61</v>
      </c>
      <c r="O106" s="46"/>
      <c r="P106" s="47"/>
      <c r="Q106" s="46"/>
      <c r="R106" s="46"/>
      <c r="S106" s="48">
        <v>44529</v>
      </c>
      <c r="T106" s="61" t="str">
        <f>IF(Tableau1[[#This Row],[DMS_SAP]]="","",HYPERLINK(Tableau1[[#This Row],[Chemin fichier source]],"X"))</f>
        <v>X</v>
      </c>
      <c r="U106" s="61" t="str">
        <f ca="1">IF(Tableau1[[#This Row],[Date rév.]]="","",HYPERLINK(Tableau1[[#This Row],[Lien document]],"X"))</f>
        <v>X</v>
      </c>
      <c r="V106" s="47" t="s">
        <v>401</v>
      </c>
      <c r="W106" s="49" t="str">
        <f ca="1">Chemin_accès!$B$2&amp;Tableau1[[#This Row],[Poste Responsable]]&amp;"\"&amp;Tableau1[[#This Row],[Localisation / Classement]]&amp;"\"&amp;Tableau1[[#This Row],[Poste technique]]&amp;"_"&amp;Tableau1[[#This Row],[Plan Entretien]]&amp;".pdf"</f>
        <v>\\stjn.local\trimet\Donnees_Projets\Dms Sap\Maintenance\PlanEntretien\7.MSCT\MANUTENTIONS\T130-Q130_34291.pdf</v>
      </c>
      <c r="X106" s="47">
        <v>3.5</v>
      </c>
      <c r="Y106" s="47">
        <v>2</v>
      </c>
      <c r="Z106" s="44" t="str">
        <f ca="1">IF(AND(Tableau1[[#This Row],[Charge]]&lt;&gt;0, Tableau1[[#This Row],[Nombre intervenants]]&lt;&gt;0,Tableau1[[#This Row],[Lien document]]&lt;&gt;0,Tableau1[[#This Row],[DMS_SAP]]&lt;&gt;0)=TRUE,"MIS A JOUR","")</f>
        <v>MIS A JOUR</v>
      </c>
      <c r="AA106" s="48">
        <v>44743</v>
      </c>
      <c r="AB106" s="58">
        <f ca="1">IF(Tableau1[[#This Row],[Date rév.]]&lt;&gt;"", DAYS360(Tableau1[[#This Row],[Date rév.]],TODAY()),"")</f>
        <v>1523</v>
      </c>
      <c r="AC106" s="47" t="str">
        <f>IFERROR(INDEX(Chemin_accès!$B$11:$C$22,MATCH(Tableau1[[#This Row],[Type]],Chemin_accès!$C$11:$C$22,0),1),Chemin_accès!$B$11)</f>
        <v>\\stjn.local\trimet\Btechnique\Commun\BT Maint SCELLEMENT\205 - Préventifs\Modèles préventif\GammeDMS_7.MSCT.xlsm</v>
      </c>
      <c r="AD106" s="47" t="str">
        <f>Chemin_accès!$B$8&amp;Tableau1[[#This Row],[Localisation / Classement]]&amp;"\"&amp;Tableau1[[#This Row],[Poste technique]]&amp;"_"&amp;Tableau1[[#This Row],[Plan Entretien]]&amp;".xlsm"</f>
        <v>\\stjn.local\trimet\Btechnique\Commun\BT Maint SCELLEMENT\205 - Préventifs\Gammes 7.MSCT PE Tool\MANUTENTIONS\T130-Q130_34291.xlsm</v>
      </c>
    </row>
    <row r="107" spans="1:30" x14ac:dyDescent="0.3">
      <c r="A107" s="44" t="str">
        <f t="shared" ca="1" si="1"/>
        <v>7.MSCT</v>
      </c>
      <c r="B1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7" s="46" t="s">
        <v>314</v>
      </c>
      <c r="D107" s="44" t="s">
        <v>262</v>
      </c>
      <c r="E107" s="44" t="s">
        <v>309</v>
      </c>
      <c r="F107" s="44" t="s">
        <v>269</v>
      </c>
      <c r="G107" s="44" t="s">
        <v>270</v>
      </c>
      <c r="H107" s="50">
        <v>34292</v>
      </c>
      <c r="I107" s="50">
        <v>69143</v>
      </c>
      <c r="J107" s="50">
        <v>522933</v>
      </c>
      <c r="K107" s="50">
        <v>1</v>
      </c>
      <c r="L107" s="46" t="s">
        <v>80</v>
      </c>
      <c r="M107" s="44" t="s">
        <v>271</v>
      </c>
      <c r="N107" s="46" t="s">
        <v>61</v>
      </c>
      <c r="O107" s="46"/>
      <c r="P107" s="47"/>
      <c r="Q107" s="46"/>
      <c r="R107" s="46"/>
      <c r="S107" s="48">
        <v>44529</v>
      </c>
      <c r="T107" s="61" t="str">
        <f>IF(Tableau1[[#This Row],[DMS_SAP]]="","",HYPERLINK(Tableau1[[#This Row],[Chemin fichier source]],"X"))</f>
        <v>X</v>
      </c>
      <c r="U107" s="61" t="str">
        <f ca="1">IF(Tableau1[[#This Row],[Date rév.]]="","",HYPERLINK(Tableau1[[#This Row],[Lien document]],"X"))</f>
        <v>X</v>
      </c>
      <c r="V107" s="47" t="s">
        <v>402</v>
      </c>
      <c r="W107" s="49" t="str">
        <f ca="1">Chemin_accès!$B$2&amp;Tableau1[[#This Row],[Poste Responsable]]&amp;"\"&amp;Tableau1[[#This Row],[Localisation / Classement]]&amp;"\"&amp;Tableau1[[#This Row],[Poste technique]]&amp;"_"&amp;Tableau1[[#This Row],[Plan Entretien]]&amp;".pdf"</f>
        <v>\\stjn.local\trimet\Donnees_Projets\Dms Sap\Maintenance\PlanEntretien\7.MSCT\MANUTENTIONS\T130-R100_34292.pdf</v>
      </c>
      <c r="X107" s="47">
        <v>2</v>
      </c>
      <c r="Y107" s="47">
        <v>1</v>
      </c>
      <c r="Z107" s="44" t="str">
        <f ca="1">IF(AND(Tableau1[[#This Row],[Charge]]&lt;&gt;0, Tableau1[[#This Row],[Nombre intervenants]]&lt;&gt;0,Tableau1[[#This Row],[Lien document]]&lt;&gt;0,Tableau1[[#This Row],[DMS_SAP]]&lt;&gt;0)=TRUE,"MIS A JOUR","")</f>
        <v>MIS A JOUR</v>
      </c>
      <c r="AA107" s="48">
        <v>46174</v>
      </c>
      <c r="AB107" s="58">
        <f ca="1">IF(Tableau1[[#This Row],[Date rév.]]&lt;&gt;"", DAYS360(Tableau1[[#This Row],[Date rév.]],TODAY()),"")</f>
        <v>113</v>
      </c>
      <c r="AC107" s="47" t="str">
        <f>IFERROR(INDEX(Chemin_accès!$B$11:$C$22,MATCH(Tableau1[[#This Row],[Type]],Chemin_accès!$C$11:$C$22,0),1),Chemin_accès!$B$11)</f>
        <v>\\stjn.local\trimet\Btechnique\Commun\BT Maint SCELLEMENT\205 - Préventifs\Modèles préventif\GammeDMS_7.MSCT.xlsm</v>
      </c>
      <c r="AD107" s="47" t="str">
        <f>Chemin_accès!$B$8&amp;Tableau1[[#This Row],[Localisation / Classement]]&amp;"\"&amp;Tableau1[[#This Row],[Poste technique]]&amp;"_"&amp;Tableau1[[#This Row],[Plan Entretien]]&amp;".xlsm"</f>
        <v>\\stjn.local\trimet\Btechnique\Commun\BT Maint SCELLEMENT\205 - Préventifs\Gammes 7.MSCT PE Tool\MANUTENTIONS\T130-R100_34292.xlsm</v>
      </c>
    </row>
    <row r="108" spans="1:30" x14ac:dyDescent="0.3">
      <c r="A108" s="44" t="str">
        <f t="shared" ca="1" si="1"/>
        <v>7.MSCT</v>
      </c>
      <c r="B1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8" s="46" t="s">
        <v>314</v>
      </c>
      <c r="D108" s="44" t="s">
        <v>262</v>
      </c>
      <c r="E108" s="44" t="s">
        <v>309</v>
      </c>
      <c r="F108" s="47" t="s">
        <v>269</v>
      </c>
      <c r="G108" s="47" t="s">
        <v>270</v>
      </c>
      <c r="H108" s="50">
        <v>34293</v>
      </c>
      <c r="I108" s="50">
        <v>69144</v>
      </c>
      <c r="J108" s="50">
        <v>522933</v>
      </c>
      <c r="K108" s="50">
        <v>2</v>
      </c>
      <c r="L108" s="46" t="s">
        <v>86</v>
      </c>
      <c r="M108" s="44" t="s">
        <v>272</v>
      </c>
      <c r="N108" s="46" t="s">
        <v>61</v>
      </c>
      <c r="O108" s="46"/>
      <c r="P108" s="47"/>
      <c r="Q108" s="46"/>
      <c r="R108" s="46"/>
      <c r="S108" s="48">
        <v>44529</v>
      </c>
      <c r="T108" s="61" t="str">
        <f>IF(Tableau1[[#This Row],[DMS_SAP]]="","",HYPERLINK(Tableau1[[#This Row],[Chemin fichier source]],"X"))</f>
        <v>X</v>
      </c>
      <c r="U108" s="61" t="str">
        <f ca="1">IF(Tableau1[[#This Row],[Date rév.]]="","",HYPERLINK(Tableau1[[#This Row],[Lien document]],"X"))</f>
        <v>X</v>
      </c>
      <c r="V108" s="47" t="s">
        <v>403</v>
      </c>
      <c r="W108" s="49" t="str">
        <f ca="1">Chemin_accès!$B$2&amp;Tableau1[[#This Row],[Poste Responsable]]&amp;"\"&amp;Tableau1[[#This Row],[Localisation / Classement]]&amp;"\"&amp;Tableau1[[#This Row],[Poste technique]]&amp;"_"&amp;Tableau1[[#This Row],[Plan Entretien]]&amp;".pdf"</f>
        <v>\\stjn.local\trimet\Donnees_Projets\Dms Sap\Maintenance\PlanEntretien\7.MSCT\MANUTENTIONS\T130-R100_34293.pdf</v>
      </c>
      <c r="X108" s="47">
        <v>3.5</v>
      </c>
      <c r="Y108" s="47">
        <v>2</v>
      </c>
      <c r="Z108" s="44" t="str">
        <f ca="1">IF(AND(Tableau1[[#This Row],[Charge]]&lt;&gt;0, Tableau1[[#This Row],[Nombre intervenants]]&lt;&gt;0,Tableau1[[#This Row],[Lien document]]&lt;&gt;0,Tableau1[[#This Row],[DMS_SAP]]&lt;&gt;0)=TRUE,"MIS A JOUR","")</f>
        <v>MIS A JOUR</v>
      </c>
      <c r="AA108" s="48">
        <v>44743</v>
      </c>
      <c r="AB108" s="58">
        <f ca="1">IF(Tableau1[[#This Row],[Date rév.]]&lt;&gt;"", DAYS360(Tableau1[[#This Row],[Date rév.]],TODAY()),"")</f>
        <v>1523</v>
      </c>
      <c r="AC108" s="47" t="str">
        <f>IFERROR(INDEX(Chemin_accès!$B$11:$C$22,MATCH(Tableau1[[#This Row],[Type]],Chemin_accès!$C$11:$C$22,0),1),Chemin_accès!$B$11)</f>
        <v>\\stjn.local\trimet\Btechnique\Commun\BT Maint SCELLEMENT\205 - Préventifs\Modèles préventif\GammeDMS_7.MSCT.xlsm</v>
      </c>
      <c r="AD108" s="47" t="str">
        <f>Chemin_accès!$B$8&amp;Tableau1[[#This Row],[Localisation / Classement]]&amp;"\"&amp;Tableau1[[#This Row],[Poste technique]]&amp;"_"&amp;Tableau1[[#This Row],[Plan Entretien]]&amp;".xlsm"</f>
        <v>\\stjn.local\trimet\Btechnique\Commun\BT Maint SCELLEMENT\205 - Préventifs\Gammes 7.MSCT PE Tool\MANUTENTIONS\T130-R100_34293.xlsm</v>
      </c>
    </row>
    <row r="109" spans="1:30" x14ac:dyDescent="0.3">
      <c r="A109" s="44" t="str">
        <f t="shared" ca="1" si="1"/>
        <v>7.MSCT</v>
      </c>
      <c r="B1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9" s="46" t="s">
        <v>314</v>
      </c>
      <c r="D109" s="44" t="s">
        <v>262</v>
      </c>
      <c r="E109" s="44" t="s">
        <v>309</v>
      </c>
      <c r="F109" s="47" t="s">
        <v>269</v>
      </c>
      <c r="G109" s="47" t="s">
        <v>270</v>
      </c>
      <c r="H109" s="50">
        <v>34294</v>
      </c>
      <c r="I109" s="50">
        <v>69145</v>
      </c>
      <c r="J109" s="50">
        <v>522933</v>
      </c>
      <c r="K109" s="50">
        <v>3</v>
      </c>
      <c r="L109" s="46" t="s">
        <v>86</v>
      </c>
      <c r="M109" s="44" t="s">
        <v>273</v>
      </c>
      <c r="N109" s="46" t="s">
        <v>64</v>
      </c>
      <c r="O109" s="46"/>
      <c r="P109" s="47"/>
      <c r="Q109" s="46"/>
      <c r="R109" s="46"/>
      <c r="S109" s="48">
        <v>44529</v>
      </c>
      <c r="T109" s="61" t="str">
        <f>IF(Tableau1[[#This Row],[DMS_SAP]]="","",HYPERLINK(Tableau1[[#This Row],[Chemin fichier source]],"X"))</f>
        <v>X</v>
      </c>
      <c r="U109" s="61" t="str">
        <f ca="1">IF(Tableau1[[#This Row],[Date rév.]]="","",HYPERLINK(Tableau1[[#This Row],[Lien document]],"X"))</f>
        <v>X</v>
      </c>
      <c r="V109" s="47" t="s">
        <v>404</v>
      </c>
      <c r="W109" s="49" t="str">
        <f ca="1">Chemin_accès!$B$2&amp;Tableau1[[#This Row],[Poste Responsable]]&amp;"\"&amp;Tableau1[[#This Row],[Localisation / Classement]]&amp;"\"&amp;Tableau1[[#This Row],[Poste technique]]&amp;"_"&amp;Tableau1[[#This Row],[Plan Entretien]]&amp;".pdf"</f>
        <v>\\stjn.local\trimet\Donnees_Projets\Dms Sap\Maintenance\PlanEntretien\7.MSCT\MANUTENTIONS\T130-R100_34294.pdf</v>
      </c>
      <c r="X109" s="47">
        <v>3.5</v>
      </c>
      <c r="Y109" s="47">
        <v>2</v>
      </c>
      <c r="Z109" s="44" t="str">
        <f ca="1">IF(AND(Tableau1[[#This Row],[Charge]]&lt;&gt;0, Tableau1[[#This Row],[Nombre intervenants]]&lt;&gt;0,Tableau1[[#This Row],[Lien document]]&lt;&gt;0,Tableau1[[#This Row],[DMS_SAP]]&lt;&gt;0)=TRUE,"MIS A JOUR","")</f>
        <v>MIS A JOUR</v>
      </c>
      <c r="AA109" s="48">
        <v>44936</v>
      </c>
      <c r="AB109" s="58">
        <f ca="1">IF(Tableau1[[#This Row],[Date rév.]]&lt;&gt;"", DAYS360(Tableau1[[#This Row],[Date rév.]],TODAY()),"")</f>
        <v>1334</v>
      </c>
      <c r="AC109" s="47" t="str">
        <f>IFERROR(INDEX(Chemin_accès!$B$11:$C$22,MATCH(Tableau1[[#This Row],[Type]],Chemin_accès!$C$11:$C$22,0),1),Chemin_accès!$B$11)</f>
        <v>\\stjn.local\trimet\Btechnique\Commun\BT Maint SCELLEMENT\205 - Préventifs\Modèles préventif\GammeDMS_7.MSCT.xlsm</v>
      </c>
      <c r="AD109" s="47" t="str">
        <f>Chemin_accès!$B$8&amp;Tableau1[[#This Row],[Localisation / Classement]]&amp;"\"&amp;Tableau1[[#This Row],[Poste technique]]&amp;"_"&amp;Tableau1[[#This Row],[Plan Entretien]]&amp;".xlsm"</f>
        <v>\\stjn.local\trimet\Btechnique\Commun\BT Maint SCELLEMENT\205 - Préventifs\Gammes 7.MSCT PE Tool\MANUTENTIONS\T130-R100_34294.xlsm</v>
      </c>
    </row>
    <row r="110" spans="1:30" x14ac:dyDescent="0.3">
      <c r="A110" s="44" t="str">
        <f t="shared" ca="1" si="1"/>
        <v>7.MSCT</v>
      </c>
      <c r="B1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0" s="46" t="s">
        <v>314</v>
      </c>
      <c r="D110" s="44" t="s">
        <v>262</v>
      </c>
      <c r="E110" s="44" t="s">
        <v>309</v>
      </c>
      <c r="F110" s="47" t="s">
        <v>269</v>
      </c>
      <c r="G110" s="47" t="s">
        <v>270</v>
      </c>
      <c r="H110" s="50">
        <v>34295</v>
      </c>
      <c r="I110" s="50">
        <v>69146</v>
      </c>
      <c r="J110" s="50">
        <v>522933</v>
      </c>
      <c r="K110" s="50">
        <v>4</v>
      </c>
      <c r="L110" s="46" t="s">
        <v>86</v>
      </c>
      <c r="M110" s="44" t="s">
        <v>274</v>
      </c>
      <c r="N110" s="46" t="s">
        <v>64</v>
      </c>
      <c r="O110" s="46"/>
      <c r="P110" s="47"/>
      <c r="Q110" s="46"/>
      <c r="R110" s="46"/>
      <c r="S110" s="48">
        <v>44529</v>
      </c>
      <c r="T110" s="61" t="str">
        <f>IF(Tableau1[[#This Row],[DMS_SAP]]="","",HYPERLINK(Tableau1[[#This Row],[Chemin fichier source]],"X"))</f>
        <v>X</v>
      </c>
      <c r="U110" s="61" t="str">
        <f ca="1">IF(Tableau1[[#This Row],[Date rév.]]="","",HYPERLINK(Tableau1[[#This Row],[Lien document]],"X"))</f>
        <v>X</v>
      </c>
      <c r="V110" s="47" t="s">
        <v>405</v>
      </c>
      <c r="W110" s="49" t="str">
        <f ca="1">Chemin_accès!$B$2&amp;Tableau1[[#This Row],[Poste Responsable]]&amp;"\"&amp;Tableau1[[#This Row],[Localisation / Classement]]&amp;"\"&amp;Tableau1[[#This Row],[Poste technique]]&amp;"_"&amp;Tableau1[[#This Row],[Plan Entretien]]&amp;".pdf"</f>
        <v>\\stjn.local\trimet\Donnees_Projets\Dms Sap\Maintenance\PlanEntretien\7.MSCT\MANUTENTIONS\T130-R100_34295.pdf</v>
      </c>
      <c r="X110" s="47">
        <v>3.5</v>
      </c>
      <c r="Y110" s="47">
        <v>2</v>
      </c>
      <c r="Z110" s="44" t="str">
        <f ca="1">IF(AND(Tableau1[[#This Row],[Charge]]&lt;&gt;0, Tableau1[[#This Row],[Nombre intervenants]]&lt;&gt;0,Tableau1[[#This Row],[Lien document]]&lt;&gt;0,Tableau1[[#This Row],[DMS_SAP]]&lt;&gt;0)=TRUE,"MIS A JOUR","")</f>
        <v>MIS A JOUR</v>
      </c>
      <c r="AA110" s="48">
        <v>46174</v>
      </c>
      <c r="AB110" s="58">
        <f ca="1">IF(Tableau1[[#This Row],[Date rév.]]&lt;&gt;"", DAYS360(Tableau1[[#This Row],[Date rév.]],TODAY()),"")</f>
        <v>113</v>
      </c>
      <c r="AC110" s="47" t="str">
        <f>IFERROR(INDEX(Chemin_accès!$B$11:$C$22,MATCH(Tableau1[[#This Row],[Type]],Chemin_accès!$C$11:$C$22,0),1),Chemin_accès!$B$11)</f>
        <v>\\stjn.local\trimet\Btechnique\Commun\BT Maint SCELLEMENT\205 - Préventifs\Modèles préventif\GammeDMS_7.MSCT.xlsm</v>
      </c>
      <c r="AD110" s="47" t="str">
        <f>Chemin_accès!$B$8&amp;Tableau1[[#This Row],[Localisation / Classement]]&amp;"\"&amp;Tableau1[[#This Row],[Poste technique]]&amp;"_"&amp;Tableau1[[#This Row],[Plan Entretien]]&amp;".xlsm"</f>
        <v>\\stjn.local\trimet\Btechnique\Commun\BT Maint SCELLEMENT\205 - Préventifs\Gammes 7.MSCT PE Tool\MANUTENTIONS\T130-R100_34295.xlsm</v>
      </c>
    </row>
    <row r="111" spans="1:30" x14ac:dyDescent="0.3">
      <c r="A111" s="44" t="str">
        <f t="shared" ca="1" si="1"/>
        <v>7.MSCT</v>
      </c>
      <c r="B1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1" s="46" t="s">
        <v>314</v>
      </c>
      <c r="D111" s="44" t="s">
        <v>262</v>
      </c>
      <c r="E111" s="44" t="s">
        <v>309</v>
      </c>
      <c r="F111" s="47" t="s">
        <v>269</v>
      </c>
      <c r="G111" s="47" t="s">
        <v>270</v>
      </c>
      <c r="H111" s="50">
        <v>34296</v>
      </c>
      <c r="I111" s="50">
        <v>69147</v>
      </c>
      <c r="J111" s="50">
        <v>522933</v>
      </c>
      <c r="K111" s="50">
        <v>5</v>
      </c>
      <c r="L111" s="46" t="s">
        <v>87</v>
      </c>
      <c r="M111" s="44" t="s">
        <v>275</v>
      </c>
      <c r="N111" s="46" t="s">
        <v>63</v>
      </c>
      <c r="O111" s="46"/>
      <c r="P111" s="47"/>
      <c r="Q111" s="46"/>
      <c r="R111" s="46"/>
      <c r="S111" s="48">
        <v>44529</v>
      </c>
      <c r="T111" s="61" t="str">
        <f>IF(Tableau1[[#This Row],[DMS_SAP]]="","",HYPERLINK(Tableau1[[#This Row],[Chemin fichier source]],"X"))</f>
        <v>X</v>
      </c>
      <c r="U111" s="61" t="str">
        <f ca="1">IF(Tableau1[[#This Row],[Date rév.]]="","",HYPERLINK(Tableau1[[#This Row],[Lien document]],"X"))</f>
        <v>X</v>
      </c>
      <c r="V111" s="47" t="s">
        <v>406</v>
      </c>
      <c r="W111" s="49" t="str">
        <f ca="1">Chemin_accès!$B$2&amp;Tableau1[[#This Row],[Poste Responsable]]&amp;"\"&amp;Tableau1[[#This Row],[Localisation / Classement]]&amp;"\"&amp;Tableau1[[#This Row],[Poste technique]]&amp;"_"&amp;Tableau1[[#This Row],[Plan Entretien]]&amp;".pdf"</f>
        <v>\\stjn.local\trimet\Donnees_Projets\Dms Sap\Maintenance\PlanEntretien\7.MSCT\MANUTENTIONS\T130-R100_34296.pdf</v>
      </c>
      <c r="X111" s="47">
        <v>7</v>
      </c>
      <c r="Y111" s="47">
        <v>2</v>
      </c>
      <c r="Z111" s="44" t="str">
        <f ca="1">IF(AND(Tableau1[[#This Row],[Charge]]&lt;&gt;0, Tableau1[[#This Row],[Nombre intervenants]]&lt;&gt;0,Tableau1[[#This Row],[Lien document]]&lt;&gt;0,Tableau1[[#This Row],[DMS_SAP]]&lt;&gt;0)=TRUE,"MIS A JOUR","")</f>
        <v>MIS A JOUR</v>
      </c>
      <c r="AA111" s="48">
        <v>44743</v>
      </c>
      <c r="AB111" s="58">
        <f ca="1">IF(Tableau1[[#This Row],[Date rév.]]&lt;&gt;"", DAYS360(Tableau1[[#This Row],[Date rév.]],TODAY()),"")</f>
        <v>1523</v>
      </c>
      <c r="AC111" s="47" t="str">
        <f>IFERROR(INDEX(Chemin_accès!$B$11:$C$22,MATCH(Tableau1[[#This Row],[Type]],Chemin_accès!$C$11:$C$22,0),1),Chemin_accès!$B$11)</f>
        <v>\\stjn.local\trimet\Btechnique\Commun\BT Maint SCELLEMENT\205 - Préventifs\Modèles préventif\GammeDMS_7.MSCT.xlsm</v>
      </c>
      <c r="AD111" s="47" t="str">
        <f>Chemin_accès!$B$8&amp;Tableau1[[#This Row],[Localisation / Classement]]&amp;"\"&amp;Tableau1[[#This Row],[Poste technique]]&amp;"_"&amp;Tableau1[[#This Row],[Plan Entretien]]&amp;".xlsm"</f>
        <v>\\stjn.local\trimet\Btechnique\Commun\BT Maint SCELLEMENT\205 - Préventifs\Gammes 7.MSCT PE Tool\MANUTENTIONS\T130-R100_34296.xlsm</v>
      </c>
    </row>
    <row r="112" spans="1:30" x14ac:dyDescent="0.3">
      <c r="A112" s="44" t="str">
        <f t="shared" ca="1" si="1"/>
        <v>7.MSCT</v>
      </c>
      <c r="B1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2" s="63" t="s">
        <v>314</v>
      </c>
      <c r="D112" s="44" t="s">
        <v>262</v>
      </c>
      <c r="E112" s="44" t="s">
        <v>309</v>
      </c>
      <c r="F112" s="47" t="s">
        <v>276</v>
      </c>
      <c r="G112" s="47" t="s">
        <v>270</v>
      </c>
      <c r="H112" s="50">
        <v>34297</v>
      </c>
      <c r="I112" s="50">
        <v>69148</v>
      </c>
      <c r="J112" s="50">
        <v>522934</v>
      </c>
      <c r="K112" s="50">
        <v>1</v>
      </c>
      <c r="L112" s="46" t="s">
        <v>84</v>
      </c>
      <c r="M112" s="44" t="s">
        <v>277</v>
      </c>
      <c r="N112" s="46" t="s">
        <v>61</v>
      </c>
      <c r="O112" s="46"/>
      <c r="P112" s="47"/>
      <c r="Q112" s="46"/>
      <c r="R112" s="46"/>
      <c r="S112" s="48">
        <v>44529</v>
      </c>
      <c r="T112" s="61" t="str">
        <f>IF(Tableau1[[#This Row],[DMS_SAP]]="","",HYPERLINK(Tableau1[[#This Row],[Chemin fichier source]],"X"))</f>
        <v>X</v>
      </c>
      <c r="U112" s="61" t="str">
        <f ca="1">IF(Tableau1[[#This Row],[Date rév.]]="","",HYPERLINK(Tableau1[[#This Row],[Lien document]],"X"))</f>
        <v>X</v>
      </c>
      <c r="V112" s="47" t="s">
        <v>407</v>
      </c>
      <c r="W112" s="49" t="str">
        <f ca="1">Chemin_accès!$B$2&amp;Tableau1[[#This Row],[Poste Responsable]]&amp;"\"&amp;Tableau1[[#This Row],[Localisation / Classement]]&amp;"\"&amp;Tableau1[[#This Row],[Poste technique]]&amp;"_"&amp;Tableau1[[#This Row],[Plan Entretien]]&amp;".pdf"</f>
        <v>\\stjn.local\trimet\Donnees_Projets\Dms Sap\Maintenance\PlanEntretien\7.MSCT\MANUTENTIONS\T130-R110_34297.pdf</v>
      </c>
      <c r="X112" s="47">
        <v>7</v>
      </c>
      <c r="Y112" s="47">
        <v>2</v>
      </c>
      <c r="Z112" s="44" t="str">
        <f ca="1">IF(AND(Tableau1[[#This Row],[Charge]]&lt;&gt;0, Tableau1[[#This Row],[Nombre intervenants]]&lt;&gt;0,Tableau1[[#This Row],[Lien document]]&lt;&gt;0,Tableau1[[#This Row],[DMS_SAP]]&lt;&gt;0)=TRUE,"MIS A JOUR","")</f>
        <v>MIS A JOUR</v>
      </c>
      <c r="AA112" s="48">
        <v>44743</v>
      </c>
      <c r="AB112" s="58">
        <f ca="1">IF(Tableau1[[#This Row],[Date rév.]]&lt;&gt;"", DAYS360(Tableau1[[#This Row],[Date rév.]],TODAY()),"")</f>
        <v>1523</v>
      </c>
      <c r="AC112" s="47" t="str">
        <f>IFERROR(INDEX(Chemin_accès!$B$11:$C$22,MATCH(Tableau1[[#This Row],[Type]],Chemin_accès!$C$11:$C$22,0),1),Chemin_accès!$B$11)</f>
        <v>\\stjn.local\trimet\Btechnique\Commun\BT Maint SCELLEMENT\205 - Préventifs\Modèles préventif\GammeDMS_7.MSCT.xlsm</v>
      </c>
      <c r="AD112" s="47" t="str">
        <f>Chemin_accès!$B$8&amp;Tableau1[[#This Row],[Localisation / Classement]]&amp;"\"&amp;Tableau1[[#This Row],[Poste technique]]&amp;"_"&amp;Tableau1[[#This Row],[Plan Entretien]]&amp;".xlsm"</f>
        <v>\\stjn.local\trimet\Btechnique\Commun\BT Maint SCELLEMENT\205 - Préventifs\Gammes 7.MSCT PE Tool\MANUTENTIONS\T130-R110_34297.xlsm</v>
      </c>
    </row>
    <row r="113" spans="1:30" x14ac:dyDescent="0.3">
      <c r="A113" s="44" t="str">
        <f t="shared" ca="1" si="1"/>
        <v>7.MSCT</v>
      </c>
      <c r="B1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3" s="63" t="s">
        <v>314</v>
      </c>
      <c r="D113" s="44" t="s">
        <v>262</v>
      </c>
      <c r="E113" s="44" t="s">
        <v>309</v>
      </c>
      <c r="F113" s="47" t="s">
        <v>278</v>
      </c>
      <c r="G113" s="47" t="s">
        <v>270</v>
      </c>
      <c r="H113" s="50">
        <v>34298</v>
      </c>
      <c r="I113" s="50">
        <v>69149</v>
      </c>
      <c r="J113" s="50">
        <v>522935</v>
      </c>
      <c r="K113" s="50">
        <v>1</v>
      </c>
      <c r="L113" s="46" t="s">
        <v>86</v>
      </c>
      <c r="M113" s="44" t="s">
        <v>279</v>
      </c>
      <c r="N113" s="46" t="s">
        <v>64</v>
      </c>
      <c r="O113" s="46"/>
      <c r="P113" s="47"/>
      <c r="Q113" s="46"/>
      <c r="R113" s="46"/>
      <c r="S113" s="48">
        <v>44529</v>
      </c>
      <c r="T113" s="61" t="str">
        <f>IF(Tableau1[[#This Row],[DMS_SAP]]="","",HYPERLINK(Tableau1[[#This Row],[Chemin fichier source]],"X"))</f>
        <v>X</v>
      </c>
      <c r="U113" s="61" t="str">
        <f ca="1">IF(Tableau1[[#This Row],[Date rév.]]="","",HYPERLINK(Tableau1[[#This Row],[Lien document]],"X"))</f>
        <v>X</v>
      </c>
      <c r="V113" s="47" t="s">
        <v>408</v>
      </c>
      <c r="W113" s="49" t="str">
        <f ca="1">Chemin_accès!$B$2&amp;Tableau1[[#This Row],[Poste Responsable]]&amp;"\"&amp;Tableau1[[#This Row],[Localisation / Classement]]&amp;"\"&amp;Tableau1[[#This Row],[Poste technique]]&amp;"_"&amp;Tableau1[[#This Row],[Plan Entretien]]&amp;".pdf"</f>
        <v>\\stjn.local\trimet\Donnees_Projets\Dms Sap\Maintenance\PlanEntretien\7.MSCT\MANUTENTIONS\T130-R120_34298.pdf</v>
      </c>
      <c r="X113" s="47">
        <v>3.5</v>
      </c>
      <c r="Y113" s="47">
        <v>2</v>
      </c>
      <c r="Z113" s="44" t="str">
        <f ca="1">IF(AND(Tableau1[[#This Row],[Charge]]&lt;&gt;0, Tableau1[[#This Row],[Nombre intervenants]]&lt;&gt;0,Tableau1[[#This Row],[Lien document]]&lt;&gt;0,Tableau1[[#This Row],[DMS_SAP]]&lt;&gt;0)=TRUE,"MIS A JOUR","")</f>
        <v>MIS A JOUR</v>
      </c>
      <c r="AA113" s="48">
        <v>44743</v>
      </c>
      <c r="AB113" s="58">
        <f ca="1">IF(Tableau1[[#This Row],[Date rév.]]&lt;&gt;"", DAYS360(Tableau1[[#This Row],[Date rév.]],TODAY()),"")</f>
        <v>1523</v>
      </c>
      <c r="AC113" s="47" t="str">
        <f>IFERROR(INDEX(Chemin_accès!$B$11:$C$22,MATCH(Tableau1[[#This Row],[Type]],Chemin_accès!$C$11:$C$22,0),1),Chemin_accès!$B$11)</f>
        <v>\\stjn.local\trimet\Btechnique\Commun\BT Maint SCELLEMENT\205 - Préventifs\Modèles préventif\GammeDMS_7.MSCT.xlsm</v>
      </c>
      <c r="AD113" s="47" t="str">
        <f>Chemin_accès!$B$8&amp;Tableau1[[#This Row],[Localisation / Classement]]&amp;"\"&amp;Tableau1[[#This Row],[Poste technique]]&amp;"_"&amp;Tableau1[[#This Row],[Plan Entretien]]&amp;".xlsm"</f>
        <v>\\stjn.local\trimet\Btechnique\Commun\BT Maint SCELLEMENT\205 - Préventifs\Gammes 7.MSCT PE Tool\MANUTENTIONS\T130-R120_34298.xlsm</v>
      </c>
    </row>
    <row r="114" spans="1:30" x14ac:dyDescent="0.3">
      <c r="A114" s="44" t="str">
        <f t="shared" ca="1" si="1"/>
        <v>7.MSCT</v>
      </c>
      <c r="B1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4" s="63" t="s">
        <v>314</v>
      </c>
      <c r="D114" s="44" t="s">
        <v>262</v>
      </c>
      <c r="E114" s="44" t="s">
        <v>309</v>
      </c>
      <c r="F114" s="47" t="s">
        <v>278</v>
      </c>
      <c r="G114" s="47" t="s">
        <v>270</v>
      </c>
      <c r="H114" s="50">
        <v>34299</v>
      </c>
      <c r="I114" s="50">
        <v>69150</v>
      </c>
      <c r="J114" s="50">
        <v>522935</v>
      </c>
      <c r="K114" s="50">
        <v>2</v>
      </c>
      <c r="L114" s="46" t="s">
        <v>84</v>
      </c>
      <c r="M114" s="44" t="s">
        <v>280</v>
      </c>
      <c r="N114" s="46" t="s">
        <v>60</v>
      </c>
      <c r="O114" s="46"/>
      <c r="P114" s="47"/>
      <c r="Q114" s="46"/>
      <c r="R114" s="46"/>
      <c r="S114" s="48">
        <v>44529</v>
      </c>
      <c r="T114" s="61" t="str">
        <f>IF(Tableau1[[#This Row],[DMS_SAP]]="","",HYPERLINK(Tableau1[[#This Row],[Chemin fichier source]],"X"))</f>
        <v>X</v>
      </c>
      <c r="U114" s="61" t="str">
        <f ca="1">IF(Tableau1[[#This Row],[Date rév.]]="","",HYPERLINK(Tableau1[[#This Row],[Lien document]],"X"))</f>
        <v>X</v>
      </c>
      <c r="V114" s="47" t="s">
        <v>409</v>
      </c>
      <c r="W114" s="49" t="str">
        <f ca="1">Chemin_accès!$B$2&amp;Tableau1[[#This Row],[Poste Responsable]]&amp;"\"&amp;Tableau1[[#This Row],[Localisation / Classement]]&amp;"\"&amp;Tableau1[[#This Row],[Poste technique]]&amp;"_"&amp;Tableau1[[#This Row],[Plan Entretien]]&amp;".pdf"</f>
        <v>\\stjn.local\trimet\Donnees_Projets\Dms Sap\Maintenance\PlanEntretien\7.MSCT\MANUTENTIONS\T130-R120_34299.pdf</v>
      </c>
      <c r="X114" s="47">
        <v>3.5</v>
      </c>
      <c r="Y114" s="47">
        <v>2</v>
      </c>
      <c r="Z114" s="44" t="str">
        <f ca="1">IF(AND(Tableau1[[#This Row],[Charge]]&lt;&gt;0, Tableau1[[#This Row],[Nombre intervenants]]&lt;&gt;0,Tableau1[[#This Row],[Lien document]]&lt;&gt;0,Tableau1[[#This Row],[DMS_SAP]]&lt;&gt;0)=TRUE,"MIS A JOUR","")</f>
        <v>MIS A JOUR</v>
      </c>
      <c r="AA114" s="48">
        <v>44743</v>
      </c>
      <c r="AB114" s="58">
        <f ca="1">IF(Tableau1[[#This Row],[Date rév.]]&lt;&gt;"", DAYS360(Tableau1[[#This Row],[Date rév.]],TODAY()),"")</f>
        <v>1523</v>
      </c>
      <c r="AC114" s="47" t="str">
        <f>IFERROR(INDEX(Chemin_accès!$B$11:$C$22,MATCH(Tableau1[[#This Row],[Type]],Chemin_accès!$C$11:$C$22,0),1),Chemin_accès!$B$11)</f>
        <v>\\stjn.local\trimet\Btechnique\Commun\BT Maint SCELLEMENT\205 - Préventifs\Modèles préventif\GammeDMS_7.MSCT.xlsm</v>
      </c>
      <c r="AD114" s="47" t="str">
        <f>Chemin_accès!$B$8&amp;Tableau1[[#This Row],[Localisation / Classement]]&amp;"\"&amp;Tableau1[[#This Row],[Poste technique]]&amp;"_"&amp;Tableau1[[#This Row],[Plan Entretien]]&amp;".xlsm"</f>
        <v>\\stjn.local\trimet\Btechnique\Commun\BT Maint SCELLEMENT\205 - Préventifs\Gammes 7.MSCT PE Tool\MANUTENTIONS\T130-R120_34299.xlsm</v>
      </c>
    </row>
    <row r="115" spans="1:30" x14ac:dyDescent="0.3">
      <c r="A115" s="44" t="str">
        <f t="shared" ca="1" si="1"/>
        <v>7.MSCT</v>
      </c>
      <c r="B1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5" s="46" t="s">
        <v>314</v>
      </c>
      <c r="D115" s="44" t="s">
        <v>262</v>
      </c>
      <c r="E115" s="44" t="s">
        <v>309</v>
      </c>
      <c r="F115" s="47" t="s">
        <v>281</v>
      </c>
      <c r="G115" s="47" t="s">
        <v>270</v>
      </c>
      <c r="H115" s="50">
        <v>34300</v>
      </c>
      <c r="I115" s="50">
        <v>69151</v>
      </c>
      <c r="J115" s="50">
        <v>522936</v>
      </c>
      <c r="K115" s="50">
        <v>1</v>
      </c>
      <c r="L115" s="46" t="s">
        <v>84</v>
      </c>
      <c r="M115" s="44" t="s">
        <v>282</v>
      </c>
      <c r="N115" s="46" t="s">
        <v>60</v>
      </c>
      <c r="O115" s="46"/>
      <c r="P115" s="47"/>
      <c r="Q115" s="46"/>
      <c r="R115" s="46"/>
      <c r="S115" s="48">
        <v>44529</v>
      </c>
      <c r="T115" s="61" t="str">
        <f>IF(Tableau1[[#This Row],[DMS_SAP]]="","",HYPERLINK(Tableau1[[#This Row],[Chemin fichier source]],"X"))</f>
        <v>X</v>
      </c>
      <c r="U115" s="61" t="str">
        <f ca="1">IF(Tableau1[[#This Row],[Date rév.]]="","",HYPERLINK(Tableau1[[#This Row],[Lien document]],"X"))</f>
        <v>X</v>
      </c>
      <c r="V115" s="47" t="s">
        <v>410</v>
      </c>
      <c r="W115" s="49" t="str">
        <f ca="1">Chemin_accès!$B$2&amp;Tableau1[[#This Row],[Poste Responsable]]&amp;"\"&amp;Tableau1[[#This Row],[Localisation / Classement]]&amp;"\"&amp;Tableau1[[#This Row],[Poste technique]]&amp;"_"&amp;Tableau1[[#This Row],[Plan Entretien]]&amp;".pdf"</f>
        <v>\\stjn.local\trimet\Donnees_Projets\Dms Sap\Maintenance\PlanEntretien\7.MSCT\MANUTENTIONS\T130-R130_34300.pdf</v>
      </c>
      <c r="X115" s="47">
        <v>3.5</v>
      </c>
      <c r="Y115" s="47">
        <v>2</v>
      </c>
      <c r="Z115" s="44" t="str">
        <f ca="1">IF(AND(Tableau1[[#This Row],[Charge]]&lt;&gt;0, Tableau1[[#This Row],[Nombre intervenants]]&lt;&gt;0,Tableau1[[#This Row],[Lien document]]&lt;&gt;0,Tableau1[[#This Row],[DMS_SAP]]&lt;&gt;0)=TRUE,"MIS A JOUR","")</f>
        <v>MIS A JOUR</v>
      </c>
      <c r="AA115" s="48">
        <v>44743</v>
      </c>
      <c r="AB115" s="58">
        <f ca="1">IF(Tableau1[[#This Row],[Date rév.]]&lt;&gt;"", DAYS360(Tableau1[[#This Row],[Date rév.]],TODAY()),"")</f>
        <v>1523</v>
      </c>
      <c r="AC115" s="47" t="str">
        <f>IFERROR(INDEX(Chemin_accès!$B$11:$C$22,MATCH(Tableau1[[#This Row],[Type]],Chemin_accès!$C$11:$C$22,0),1),Chemin_accès!$B$11)</f>
        <v>\\stjn.local\trimet\Btechnique\Commun\BT Maint SCELLEMENT\205 - Préventifs\Modèles préventif\GammeDMS_7.MSCT.xlsm</v>
      </c>
      <c r="AD115" s="47" t="str">
        <f>Chemin_accès!$B$8&amp;Tableau1[[#This Row],[Localisation / Classement]]&amp;"\"&amp;Tableau1[[#This Row],[Poste technique]]&amp;"_"&amp;Tableau1[[#This Row],[Plan Entretien]]&amp;".xlsm"</f>
        <v>\\stjn.local\trimet\Btechnique\Commun\BT Maint SCELLEMENT\205 - Préventifs\Gammes 7.MSCT PE Tool\MANUTENTIONS\T130-R130_34300.xlsm</v>
      </c>
    </row>
    <row r="116" spans="1:30" x14ac:dyDescent="0.3">
      <c r="A116" s="44" t="str">
        <f t="shared" ca="1" si="1"/>
        <v>7.MSCT</v>
      </c>
      <c r="B1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6" s="46" t="s">
        <v>314</v>
      </c>
      <c r="D116" s="44" t="s">
        <v>262</v>
      </c>
      <c r="E116" s="44" t="s">
        <v>309</v>
      </c>
      <c r="F116" s="47" t="s">
        <v>281</v>
      </c>
      <c r="G116" s="47" t="s">
        <v>270</v>
      </c>
      <c r="H116" s="50">
        <v>34301</v>
      </c>
      <c r="I116" s="50">
        <v>69152</v>
      </c>
      <c r="J116" s="50">
        <v>522936</v>
      </c>
      <c r="K116" s="50">
        <v>2</v>
      </c>
      <c r="L116" s="46" t="s">
        <v>86</v>
      </c>
      <c r="M116" s="44" t="s">
        <v>283</v>
      </c>
      <c r="N116" s="46" t="s">
        <v>64</v>
      </c>
      <c r="O116" s="46"/>
      <c r="P116" s="47"/>
      <c r="Q116" s="46"/>
      <c r="R116" s="46"/>
      <c r="S116" s="48">
        <v>44529</v>
      </c>
      <c r="T116" s="61" t="str">
        <f>IF(Tableau1[[#This Row],[DMS_SAP]]="","",HYPERLINK(Tableau1[[#This Row],[Chemin fichier source]],"X"))</f>
        <v>X</v>
      </c>
      <c r="U116" s="61" t="str">
        <f ca="1">IF(Tableau1[[#This Row],[Date rév.]]="","",HYPERLINK(Tableau1[[#This Row],[Lien document]],"X"))</f>
        <v>X</v>
      </c>
      <c r="V116" s="47" t="s">
        <v>411</v>
      </c>
      <c r="W116" s="49" t="str">
        <f ca="1">Chemin_accès!$B$2&amp;Tableau1[[#This Row],[Poste Responsable]]&amp;"\"&amp;Tableau1[[#This Row],[Localisation / Classement]]&amp;"\"&amp;Tableau1[[#This Row],[Poste technique]]&amp;"_"&amp;Tableau1[[#This Row],[Plan Entretien]]&amp;".pdf"</f>
        <v>\\stjn.local\trimet\Donnees_Projets\Dms Sap\Maintenance\PlanEntretien\7.MSCT\MANUTENTIONS\T130-R130_34301.pdf</v>
      </c>
      <c r="X116" s="47">
        <v>3.5</v>
      </c>
      <c r="Y116" s="47">
        <v>2</v>
      </c>
      <c r="Z116" s="44" t="str">
        <f ca="1">IF(AND(Tableau1[[#This Row],[Charge]]&lt;&gt;0, Tableau1[[#This Row],[Nombre intervenants]]&lt;&gt;0,Tableau1[[#This Row],[Lien document]]&lt;&gt;0,Tableau1[[#This Row],[DMS_SAP]]&lt;&gt;0)=TRUE,"MIS A JOUR","")</f>
        <v>MIS A JOUR</v>
      </c>
      <c r="AA116" s="48">
        <v>44743</v>
      </c>
      <c r="AB116" s="58">
        <f ca="1">IF(Tableau1[[#This Row],[Date rév.]]&lt;&gt;"", DAYS360(Tableau1[[#This Row],[Date rév.]],TODAY()),"")</f>
        <v>1523</v>
      </c>
      <c r="AC116" s="47" t="str">
        <f>IFERROR(INDEX(Chemin_accès!$B$11:$C$22,MATCH(Tableau1[[#This Row],[Type]],Chemin_accès!$C$11:$C$22,0),1),Chemin_accès!$B$11)</f>
        <v>\\stjn.local\trimet\Btechnique\Commun\BT Maint SCELLEMENT\205 - Préventifs\Modèles préventif\GammeDMS_7.MSCT.xlsm</v>
      </c>
      <c r="AD116" s="47" t="str">
        <f>Chemin_accès!$B$8&amp;Tableau1[[#This Row],[Localisation / Classement]]&amp;"\"&amp;Tableau1[[#This Row],[Poste technique]]&amp;"_"&amp;Tableau1[[#This Row],[Plan Entretien]]&amp;".xlsm"</f>
        <v>\\stjn.local\trimet\Btechnique\Commun\BT Maint SCELLEMENT\205 - Préventifs\Gammes 7.MSCT PE Tool\MANUTENTIONS\T130-R130_34301.xlsm</v>
      </c>
    </row>
    <row r="117" spans="1:30" x14ac:dyDescent="0.3">
      <c r="A117" s="44" t="str">
        <f t="shared" ca="1" si="1"/>
        <v>7.MSCT</v>
      </c>
      <c r="B1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7" s="46" t="s">
        <v>314</v>
      </c>
      <c r="D117" s="44" t="s">
        <v>262</v>
      </c>
      <c r="E117" s="44" t="s">
        <v>309</v>
      </c>
      <c r="F117" s="47" t="s">
        <v>284</v>
      </c>
      <c r="G117" s="47" t="s">
        <v>270</v>
      </c>
      <c r="H117" s="50">
        <v>34302</v>
      </c>
      <c r="I117" s="50">
        <v>69153</v>
      </c>
      <c r="J117" s="50">
        <v>522937</v>
      </c>
      <c r="K117" s="50">
        <v>1</v>
      </c>
      <c r="L117" s="46" t="s">
        <v>138</v>
      </c>
      <c r="M117" s="44" t="s">
        <v>285</v>
      </c>
      <c r="N117" s="46" t="s">
        <v>60</v>
      </c>
      <c r="O117" s="46"/>
      <c r="P117" s="47"/>
      <c r="Q117" s="46"/>
      <c r="R117" s="46"/>
      <c r="S117" s="48">
        <v>44529</v>
      </c>
      <c r="T117" s="61" t="str">
        <f>IF(Tableau1[[#This Row],[DMS_SAP]]="","",HYPERLINK(Tableau1[[#This Row],[Chemin fichier source]],"X"))</f>
        <v>X</v>
      </c>
      <c r="U117" s="61" t="str">
        <f ca="1">IF(Tableau1[[#This Row],[Date rév.]]="","",HYPERLINK(Tableau1[[#This Row],[Lien document]],"X"))</f>
        <v>X</v>
      </c>
      <c r="V117" s="47" t="s">
        <v>412</v>
      </c>
      <c r="W117" s="49" t="str">
        <f ca="1">Chemin_accès!$B$2&amp;Tableau1[[#This Row],[Poste Responsable]]&amp;"\"&amp;Tableau1[[#This Row],[Localisation / Classement]]&amp;"\"&amp;Tableau1[[#This Row],[Poste technique]]&amp;"_"&amp;Tableau1[[#This Row],[Plan Entretien]]&amp;".pdf"</f>
        <v>\\stjn.local\trimet\Donnees_Projets\Dms Sap\Maintenance\PlanEntretien\7.MSCT\MANUTENTIONS\T130-R150_34302.pdf</v>
      </c>
      <c r="X117" s="47">
        <v>3.5</v>
      </c>
      <c r="Y117" s="47">
        <v>2</v>
      </c>
      <c r="Z117" s="44" t="str">
        <f ca="1">IF(AND(Tableau1[[#This Row],[Charge]]&lt;&gt;0, Tableau1[[#This Row],[Nombre intervenants]]&lt;&gt;0,Tableau1[[#This Row],[Lien document]]&lt;&gt;0,Tableau1[[#This Row],[DMS_SAP]]&lt;&gt;0)=TRUE,"MIS A JOUR","")</f>
        <v>MIS A JOUR</v>
      </c>
      <c r="AA117" s="48">
        <v>44834</v>
      </c>
      <c r="AB117" s="58">
        <f ca="1">IF(Tableau1[[#This Row],[Date rév.]]&lt;&gt;"", DAYS360(Tableau1[[#This Row],[Date rév.]],TODAY()),"")</f>
        <v>1434</v>
      </c>
      <c r="AC117" s="47" t="str">
        <f>IFERROR(INDEX(Chemin_accès!$B$11:$C$22,MATCH(Tableau1[[#This Row],[Type]],Chemin_accès!$C$11:$C$22,0),1),Chemin_accès!$B$11)</f>
        <v>\\stjn.local\trimet\Btechnique\Commun\BT Maint SCELLEMENT\205 - Préventifs\Modèles préventif\GammeDMS_7.MSCT.xlsm</v>
      </c>
      <c r="AD117" s="47" t="str">
        <f>Chemin_accès!$B$8&amp;Tableau1[[#This Row],[Localisation / Classement]]&amp;"\"&amp;Tableau1[[#This Row],[Poste technique]]&amp;"_"&amp;Tableau1[[#This Row],[Plan Entretien]]&amp;".xlsm"</f>
        <v>\\stjn.local\trimet\Btechnique\Commun\BT Maint SCELLEMENT\205 - Préventifs\Gammes 7.MSCT PE Tool\MANUTENTIONS\T130-R150_34302.xlsm</v>
      </c>
    </row>
    <row r="118" spans="1:30" x14ac:dyDescent="0.3">
      <c r="A118" s="44" t="str">
        <f t="shared" ca="1" si="1"/>
        <v>7.MSCT</v>
      </c>
      <c r="B1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8" s="46" t="s">
        <v>314</v>
      </c>
      <c r="D118" s="44" t="s">
        <v>262</v>
      </c>
      <c r="E118" s="44" t="s">
        <v>309</v>
      </c>
      <c r="F118" s="44" t="s">
        <v>286</v>
      </c>
      <c r="G118" s="44" t="s">
        <v>287</v>
      </c>
      <c r="H118" s="50">
        <v>34303</v>
      </c>
      <c r="I118" s="50">
        <v>69154</v>
      </c>
      <c r="J118" s="50">
        <v>522938</v>
      </c>
      <c r="K118" s="50">
        <v>1</v>
      </c>
      <c r="L118" s="46" t="s">
        <v>84</v>
      </c>
      <c r="M118" s="44" t="s">
        <v>288</v>
      </c>
      <c r="N118" s="46" t="s">
        <v>60</v>
      </c>
      <c r="O118" s="46"/>
      <c r="P118" s="47"/>
      <c r="Q118" s="46"/>
      <c r="R118" s="46"/>
      <c r="S118" s="48">
        <v>44529</v>
      </c>
      <c r="T118" s="61" t="str">
        <f>IF(Tableau1[[#This Row],[DMS_SAP]]="","",HYPERLINK(Tableau1[[#This Row],[Chemin fichier source]],"X"))</f>
        <v>X</v>
      </c>
      <c r="U118" s="61" t="str">
        <f ca="1">IF(Tableau1[[#This Row],[Date rév.]]="","",HYPERLINK(Tableau1[[#This Row],[Lien document]],"X"))</f>
        <v>X</v>
      </c>
      <c r="V118" s="47" t="s">
        <v>413</v>
      </c>
      <c r="W118" s="49" t="str">
        <f ca="1">Chemin_accès!$B$2&amp;Tableau1[[#This Row],[Poste Responsable]]&amp;"\"&amp;Tableau1[[#This Row],[Localisation / Classement]]&amp;"\"&amp;Tableau1[[#This Row],[Poste technique]]&amp;"_"&amp;Tableau1[[#This Row],[Plan Entretien]]&amp;".pdf"</f>
        <v>\\stjn.local\trimet\Donnees_Projets\Dms Sap\Maintenance\PlanEntretien\7.MSCT\MANUTENTIONS\T130-T101_34303.pdf</v>
      </c>
      <c r="X118" s="47">
        <v>7</v>
      </c>
      <c r="Y118" s="47">
        <v>2</v>
      </c>
      <c r="Z118" s="44" t="str">
        <f ca="1">IF(AND(Tableau1[[#This Row],[Charge]]&lt;&gt;0, Tableau1[[#This Row],[Nombre intervenants]]&lt;&gt;0,Tableau1[[#This Row],[Lien document]]&lt;&gt;0,Tableau1[[#This Row],[DMS_SAP]]&lt;&gt;0)=TRUE,"MIS A JOUR","")</f>
        <v>MIS A JOUR</v>
      </c>
      <c r="AA118" s="48">
        <v>44743</v>
      </c>
      <c r="AB118" s="58">
        <f ca="1">IF(Tableau1[[#This Row],[Date rév.]]&lt;&gt;"", DAYS360(Tableau1[[#This Row],[Date rév.]],TODAY()),"")</f>
        <v>1523</v>
      </c>
      <c r="AC118" s="47" t="str">
        <f>IFERROR(INDEX(Chemin_accès!$B$11:$C$22,MATCH(Tableau1[[#This Row],[Type]],Chemin_accès!$C$11:$C$22,0),1),Chemin_accès!$B$11)</f>
        <v>\\stjn.local\trimet\Btechnique\Commun\BT Maint SCELLEMENT\205 - Préventifs\Modèles préventif\GammeDMS_7.MSCT.xlsm</v>
      </c>
      <c r="AD118" s="47" t="str">
        <f>Chemin_accès!$B$8&amp;Tableau1[[#This Row],[Localisation / Classement]]&amp;"\"&amp;Tableau1[[#This Row],[Poste technique]]&amp;"_"&amp;Tableau1[[#This Row],[Plan Entretien]]&amp;".xlsm"</f>
        <v>\\stjn.local\trimet\Btechnique\Commun\BT Maint SCELLEMENT\205 - Préventifs\Gammes 7.MSCT PE Tool\MANUTENTIONS\T130-T101_34303.xlsm</v>
      </c>
    </row>
    <row r="119" spans="1:30" x14ac:dyDescent="0.3">
      <c r="A119" s="44" t="str">
        <f t="shared" ca="1" si="1"/>
        <v>7.MSCT</v>
      </c>
      <c r="B1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9" s="46" t="s">
        <v>314</v>
      </c>
      <c r="D119" s="44" t="s">
        <v>262</v>
      </c>
      <c r="E119" s="44" t="s">
        <v>309</v>
      </c>
      <c r="F119" s="47" t="s">
        <v>289</v>
      </c>
      <c r="G119" s="47" t="s">
        <v>287</v>
      </c>
      <c r="H119" s="50">
        <v>34304</v>
      </c>
      <c r="I119" s="50">
        <v>69155</v>
      </c>
      <c r="J119" s="50">
        <v>522939</v>
      </c>
      <c r="K119" s="50">
        <v>1</v>
      </c>
      <c r="L119" s="46" t="s">
        <v>84</v>
      </c>
      <c r="M119" s="44" t="s">
        <v>290</v>
      </c>
      <c r="N119" s="46" t="s">
        <v>60</v>
      </c>
      <c r="O119" s="46"/>
      <c r="P119" s="47"/>
      <c r="Q119" s="46"/>
      <c r="R119" s="46"/>
      <c r="S119" s="48">
        <v>44529</v>
      </c>
      <c r="T119" s="61" t="str">
        <f>IF(Tableau1[[#This Row],[DMS_SAP]]="","",HYPERLINK(Tableau1[[#This Row],[Chemin fichier source]],"X"))</f>
        <v>X</v>
      </c>
      <c r="U119" s="61" t="str">
        <f ca="1">IF(Tableau1[[#This Row],[Date rév.]]="","",HYPERLINK(Tableau1[[#This Row],[Lien document]],"X"))</f>
        <v>X</v>
      </c>
      <c r="V119" s="47" t="s">
        <v>414</v>
      </c>
      <c r="W119" s="49" t="str">
        <f ca="1">Chemin_accès!$B$2&amp;Tableau1[[#This Row],[Poste Responsable]]&amp;"\"&amp;Tableau1[[#This Row],[Localisation / Classement]]&amp;"\"&amp;Tableau1[[#This Row],[Poste technique]]&amp;"_"&amp;Tableau1[[#This Row],[Plan Entretien]]&amp;".pdf"</f>
        <v>\\stjn.local\trimet\Donnees_Projets\Dms Sap\Maintenance\PlanEntretien\7.MSCT\MANUTENTIONS\T130-T110_34304.pdf</v>
      </c>
      <c r="X119" s="47">
        <v>3.5</v>
      </c>
      <c r="Y119" s="47">
        <v>2</v>
      </c>
      <c r="Z119" s="44" t="str">
        <f ca="1">IF(AND(Tableau1[[#This Row],[Charge]]&lt;&gt;0, Tableau1[[#This Row],[Nombre intervenants]]&lt;&gt;0,Tableau1[[#This Row],[Lien document]]&lt;&gt;0,Tableau1[[#This Row],[DMS_SAP]]&lt;&gt;0)=TRUE,"MIS A JOUR","")</f>
        <v>MIS A JOUR</v>
      </c>
      <c r="AA119" s="48">
        <v>44743</v>
      </c>
      <c r="AB119" s="58">
        <f ca="1">IF(Tableau1[[#This Row],[Date rév.]]&lt;&gt;"", DAYS360(Tableau1[[#This Row],[Date rév.]],TODAY()),"")</f>
        <v>1523</v>
      </c>
      <c r="AC119" s="47" t="str">
        <f>IFERROR(INDEX(Chemin_accès!$B$11:$C$22,MATCH(Tableau1[[#This Row],[Type]],Chemin_accès!$C$11:$C$22,0),1),Chemin_accès!$B$11)</f>
        <v>\\stjn.local\trimet\Btechnique\Commun\BT Maint SCELLEMENT\205 - Préventifs\Modèles préventif\GammeDMS_7.MSCT.xlsm</v>
      </c>
      <c r="AD119" s="47" t="str">
        <f>Chemin_accès!$B$8&amp;Tableau1[[#This Row],[Localisation / Classement]]&amp;"\"&amp;Tableau1[[#This Row],[Poste technique]]&amp;"_"&amp;Tableau1[[#This Row],[Plan Entretien]]&amp;".xlsm"</f>
        <v>\\stjn.local\trimet\Btechnique\Commun\BT Maint SCELLEMENT\205 - Préventifs\Gammes 7.MSCT PE Tool\MANUTENTIONS\T130-T110_34304.xlsm</v>
      </c>
    </row>
    <row r="120" spans="1:30" x14ac:dyDescent="0.3">
      <c r="A120" s="44" t="str">
        <f t="shared" ca="1" si="1"/>
        <v>7.MSCT</v>
      </c>
      <c r="B1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0" s="46" t="s">
        <v>314</v>
      </c>
      <c r="D120" s="44" t="s">
        <v>225</v>
      </c>
      <c r="E120" s="44" t="s">
        <v>309</v>
      </c>
      <c r="F120" s="44" t="s">
        <v>291</v>
      </c>
      <c r="G120" s="44" t="s">
        <v>292</v>
      </c>
      <c r="H120" s="50">
        <v>34305</v>
      </c>
      <c r="I120" s="50">
        <v>69156</v>
      </c>
      <c r="J120" s="50">
        <v>522940</v>
      </c>
      <c r="K120" s="50">
        <v>1</v>
      </c>
      <c r="L120" s="46" t="s">
        <v>80</v>
      </c>
      <c r="M120" s="44" t="s">
        <v>470</v>
      </c>
      <c r="N120" s="46" t="s">
        <v>60</v>
      </c>
      <c r="O120" s="46"/>
      <c r="P120" s="47"/>
      <c r="Q120" s="46"/>
      <c r="R120" s="46"/>
      <c r="S120" s="48">
        <v>44529</v>
      </c>
      <c r="T120" s="61" t="str">
        <f>IF(Tableau1[[#This Row],[DMS_SAP]]="","",HYPERLINK(Tableau1[[#This Row],[Chemin fichier source]],"X"))</f>
        <v>X</v>
      </c>
      <c r="U120" s="61" t="str">
        <f ca="1">IF(Tableau1[[#This Row],[Date rév.]]="","",HYPERLINK(Tableau1[[#This Row],[Lien document]],"X"))</f>
        <v>X</v>
      </c>
      <c r="V120" s="47" t="s">
        <v>417</v>
      </c>
      <c r="W120" s="49" t="str">
        <f ca="1">Chemin_accès!$B$2&amp;Tableau1[[#This Row],[Poste Responsable]]&amp;"\"&amp;Tableau1[[#This Row],[Localisation / Classement]]&amp;"\"&amp;Tableau1[[#This Row],[Poste technique]]&amp;"_"&amp;Tableau1[[#This Row],[Plan Entretien]]&amp;".pdf"</f>
        <v>\\stjn.local\trimet\Donnees_Projets\Dms Sap\Maintenance\PlanEntretien\7.MSCT\TRAITEMENTS\T130-U010_34305.pdf</v>
      </c>
      <c r="X120" s="47">
        <v>2</v>
      </c>
      <c r="Y120" s="47">
        <v>2</v>
      </c>
      <c r="Z120" s="44" t="str">
        <f ca="1">IF(AND(Tableau1[[#This Row],[Charge]]&lt;&gt;0, Tableau1[[#This Row],[Nombre intervenants]]&lt;&gt;0,Tableau1[[#This Row],[Lien document]]&lt;&gt;0,Tableau1[[#This Row],[DMS_SAP]]&lt;&gt;0)=TRUE,"MIS A JOUR","")</f>
        <v>MIS A JOUR</v>
      </c>
      <c r="AA120" s="48">
        <v>45505</v>
      </c>
      <c r="AB120" s="58">
        <f ca="1">IF(Tableau1[[#This Row],[Date rév.]]&lt;&gt;"", DAYS360(Tableau1[[#This Row],[Date rév.]],TODAY()),"")</f>
        <v>773</v>
      </c>
      <c r="AC120" s="47" t="str">
        <f>IFERROR(INDEX(Chemin_accès!$B$11:$C$22,MATCH(Tableau1[[#This Row],[Type]],Chemin_accès!$C$11:$C$22,0),1),Chemin_accès!$B$11)</f>
        <v>\\stjn.local\trimet\Btechnique\Commun\BT Maint SCELLEMENT\205 - Préventifs\Modèles préventif\GammeDMS_7.MSCT.xlsm</v>
      </c>
      <c r="AD120" s="47" t="str">
        <f>Chemin_accès!$B$8&amp;Tableau1[[#This Row],[Localisation / Classement]]&amp;"\"&amp;Tableau1[[#This Row],[Poste technique]]&amp;"_"&amp;Tableau1[[#This Row],[Plan Entretien]]&amp;".xlsm"</f>
        <v>\\stjn.local\trimet\Btechnique\Commun\BT Maint SCELLEMENT\205 - Préventifs\Gammes 7.MSCT PE Tool\TRAITEMENTS\T130-U010_34305.xlsm</v>
      </c>
    </row>
    <row r="121" spans="1:30" x14ac:dyDescent="0.3">
      <c r="A121" s="44" t="str">
        <f t="shared" ca="1" si="1"/>
        <v>7.MSCT</v>
      </c>
      <c r="B1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1" s="46" t="s">
        <v>314</v>
      </c>
      <c r="D121" s="44" t="s">
        <v>225</v>
      </c>
      <c r="E121" s="44" t="s">
        <v>309</v>
      </c>
      <c r="F121" s="47" t="s">
        <v>291</v>
      </c>
      <c r="G121" s="47" t="s">
        <v>292</v>
      </c>
      <c r="H121" s="50">
        <v>34306</v>
      </c>
      <c r="I121" s="50">
        <v>69157</v>
      </c>
      <c r="J121" s="50">
        <v>522940</v>
      </c>
      <c r="K121" s="50">
        <v>2</v>
      </c>
      <c r="L121" s="46" t="s">
        <v>84</v>
      </c>
      <c r="M121" s="44" t="s">
        <v>293</v>
      </c>
      <c r="N121" s="46" t="s">
        <v>61</v>
      </c>
      <c r="O121" s="46"/>
      <c r="P121" s="47"/>
      <c r="Q121" s="46"/>
      <c r="R121" s="46"/>
      <c r="S121" s="48">
        <v>44529</v>
      </c>
      <c r="T121" s="61" t="str">
        <f>IF(Tableau1[[#This Row],[DMS_SAP]]="","",HYPERLINK(Tableau1[[#This Row],[Chemin fichier source]],"X"))</f>
        <v>X</v>
      </c>
      <c r="U121" s="61" t="str">
        <f ca="1">IF(Tableau1[[#This Row],[Date rév.]]="","",HYPERLINK(Tableau1[[#This Row],[Lien document]],"X"))</f>
        <v>X</v>
      </c>
      <c r="V121" s="47" t="s">
        <v>418</v>
      </c>
      <c r="W121" s="49" t="str">
        <f ca="1">Chemin_accès!$B$2&amp;Tableau1[[#This Row],[Poste Responsable]]&amp;"\"&amp;Tableau1[[#This Row],[Localisation / Classement]]&amp;"\"&amp;Tableau1[[#This Row],[Poste technique]]&amp;"_"&amp;Tableau1[[#This Row],[Plan Entretien]]&amp;".pdf"</f>
        <v>\\stjn.local\trimet\Donnees_Projets\Dms Sap\Maintenance\PlanEntretien\7.MSCT\TRAITEMENTS\T130-U010_34306.pdf</v>
      </c>
      <c r="X121" s="47">
        <v>2</v>
      </c>
      <c r="Y121" s="47">
        <v>2</v>
      </c>
      <c r="Z121" s="44" t="str">
        <f ca="1">IF(AND(Tableau1[[#This Row],[Charge]]&lt;&gt;0, Tableau1[[#This Row],[Nombre intervenants]]&lt;&gt;0,Tableau1[[#This Row],[Lien document]]&lt;&gt;0,Tableau1[[#This Row],[DMS_SAP]]&lt;&gt;0)=TRUE,"MIS A JOUR","")</f>
        <v>MIS A JOUR</v>
      </c>
      <c r="AA121" s="48">
        <v>44743</v>
      </c>
      <c r="AB121" s="58">
        <f ca="1">IF(Tableau1[[#This Row],[Date rév.]]&lt;&gt;"", DAYS360(Tableau1[[#This Row],[Date rév.]],TODAY()),"")</f>
        <v>1523</v>
      </c>
      <c r="AC121" s="47" t="str">
        <f>IFERROR(INDEX(Chemin_accès!$B$11:$C$22,MATCH(Tableau1[[#This Row],[Type]],Chemin_accès!$C$11:$C$22,0),1),Chemin_accès!$B$11)</f>
        <v>\\stjn.local\trimet\Btechnique\Commun\BT Maint SCELLEMENT\205 - Préventifs\Modèles préventif\GammeDMS_7.MSCT.xlsm</v>
      </c>
      <c r="AD121" s="47" t="str">
        <f>Chemin_accès!$B$8&amp;Tableau1[[#This Row],[Localisation / Classement]]&amp;"\"&amp;Tableau1[[#This Row],[Poste technique]]&amp;"_"&amp;Tableau1[[#This Row],[Plan Entretien]]&amp;".xlsm"</f>
        <v>\\stjn.local\trimet\Btechnique\Commun\BT Maint SCELLEMENT\205 - Préventifs\Gammes 7.MSCT PE Tool\TRAITEMENTS\T130-U010_34306.xlsm</v>
      </c>
    </row>
    <row r="122" spans="1:30" x14ac:dyDescent="0.3">
      <c r="A122" s="44" t="str">
        <f t="shared" ca="1" si="1"/>
        <v>7.MSCT</v>
      </c>
      <c r="B1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2" s="46" t="s">
        <v>314</v>
      </c>
      <c r="D122" s="44" t="s">
        <v>225</v>
      </c>
      <c r="E122" s="44" t="s">
        <v>309</v>
      </c>
      <c r="F122" s="47" t="s">
        <v>291</v>
      </c>
      <c r="G122" s="47" t="s">
        <v>292</v>
      </c>
      <c r="H122" s="50">
        <v>34307</v>
      </c>
      <c r="I122" s="50">
        <v>69158</v>
      </c>
      <c r="J122" s="50">
        <v>522940</v>
      </c>
      <c r="K122" s="50">
        <v>3</v>
      </c>
      <c r="L122" s="46" t="s">
        <v>84</v>
      </c>
      <c r="M122" s="44" t="s">
        <v>294</v>
      </c>
      <c r="N122" s="46" t="s">
        <v>1</v>
      </c>
      <c r="O122" s="46"/>
      <c r="P122" s="47"/>
      <c r="Q122" s="46"/>
      <c r="R122" s="46"/>
      <c r="S122" s="48">
        <v>44529</v>
      </c>
      <c r="T122" s="61" t="str">
        <f>IF(Tableau1[[#This Row],[DMS_SAP]]="","",HYPERLINK(Tableau1[[#This Row],[Chemin fichier source]],"X"))</f>
        <v>X</v>
      </c>
      <c r="U122" s="61" t="str">
        <f ca="1">IF(Tableau1[[#This Row],[Date rév.]]="","",HYPERLINK(Tableau1[[#This Row],[Lien document]],"X"))</f>
        <v>X</v>
      </c>
      <c r="V122" s="47" t="s">
        <v>419</v>
      </c>
      <c r="W122" s="49" t="str">
        <f ca="1">Chemin_accès!$B$2&amp;Tableau1[[#This Row],[Poste Responsable]]&amp;"\"&amp;Tableau1[[#This Row],[Localisation / Classement]]&amp;"\"&amp;Tableau1[[#This Row],[Poste technique]]&amp;"_"&amp;Tableau1[[#This Row],[Plan Entretien]]&amp;".pdf"</f>
        <v>\\stjn.local\trimet\Donnees_Projets\Dms Sap\Maintenance\PlanEntretien\7.MSCT\TRAITEMENTS\T130-U010_34307.pdf</v>
      </c>
      <c r="X122" s="47">
        <v>2</v>
      </c>
      <c r="Y122" s="47">
        <v>2</v>
      </c>
      <c r="Z122" s="44" t="str">
        <f ca="1">IF(AND(Tableau1[[#This Row],[Charge]]&lt;&gt;0, Tableau1[[#This Row],[Nombre intervenants]]&lt;&gt;0,Tableau1[[#This Row],[Lien document]]&lt;&gt;0,Tableau1[[#This Row],[DMS_SAP]]&lt;&gt;0)=TRUE,"MIS A JOUR","")</f>
        <v>MIS A JOUR</v>
      </c>
      <c r="AA122" s="48">
        <v>44789</v>
      </c>
      <c r="AB122" s="58">
        <f ca="1">IF(Tableau1[[#This Row],[Date rév.]]&lt;&gt;"", DAYS360(Tableau1[[#This Row],[Date rév.]],TODAY()),"")</f>
        <v>1478</v>
      </c>
      <c r="AC122" s="47" t="str">
        <f>IFERROR(INDEX(Chemin_accès!$B$11:$C$22,MATCH(Tableau1[[#This Row],[Type]],Chemin_accès!$C$11:$C$22,0),1),Chemin_accès!$B$11)</f>
        <v>\\stjn.local\trimet\Btechnique\Commun\BT Maint SCELLEMENT\205 - Préventifs\Modèles préventif\GammeDMS_7.MSCT.xlsm</v>
      </c>
      <c r="AD122" s="47" t="str">
        <f>Chemin_accès!$B$8&amp;Tableau1[[#This Row],[Localisation / Classement]]&amp;"\"&amp;Tableau1[[#This Row],[Poste technique]]&amp;"_"&amp;Tableau1[[#This Row],[Plan Entretien]]&amp;".xlsm"</f>
        <v>\\stjn.local\trimet\Btechnique\Commun\BT Maint SCELLEMENT\205 - Préventifs\Gammes 7.MSCT PE Tool\TRAITEMENTS\T130-U010_34307.xlsm</v>
      </c>
    </row>
    <row r="123" spans="1:30" x14ac:dyDescent="0.3">
      <c r="A123" s="44" t="str">
        <f t="shared" ca="1" si="1"/>
        <v>7.MSCT</v>
      </c>
      <c r="B1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3" s="46" t="s">
        <v>314</v>
      </c>
      <c r="D123" s="44" t="s">
        <v>310</v>
      </c>
      <c r="E123" s="44" t="s">
        <v>309</v>
      </c>
      <c r="F123" s="47" t="s">
        <v>170</v>
      </c>
      <c r="G123" s="47" t="s">
        <v>171</v>
      </c>
      <c r="H123" s="50">
        <v>34962</v>
      </c>
      <c r="I123" s="50">
        <v>69847</v>
      </c>
      <c r="J123" s="50">
        <v>522900</v>
      </c>
      <c r="K123" s="50">
        <v>8</v>
      </c>
      <c r="L123" s="46" t="s">
        <v>86</v>
      </c>
      <c r="M123" s="47" t="s">
        <v>295</v>
      </c>
      <c r="N123" s="46" t="s">
        <v>60</v>
      </c>
      <c r="O123" s="46"/>
      <c r="P123" s="47"/>
      <c r="Q123" s="46"/>
      <c r="R123" s="46"/>
      <c r="S123" s="48">
        <v>44637</v>
      </c>
      <c r="T123" s="61" t="str">
        <f>IF(Tableau1[[#This Row],[DMS_SAP]]="","",HYPERLINK(Tableau1[[#This Row],[Chemin fichier source]],"X"))</f>
        <v>X</v>
      </c>
      <c r="U123" s="61" t="str">
        <f ca="1">IF(Tableau1[[#This Row],[Date rév.]]="","",HYPERLINK(Tableau1[[#This Row],[Lien document]],"X"))</f>
        <v>X</v>
      </c>
      <c r="V123" s="47" t="s">
        <v>420</v>
      </c>
      <c r="W123" s="49" t="str">
        <f ca="1">Chemin_accès!$B$2&amp;Tableau1[[#This Row],[Poste Responsable]]&amp;"\"&amp;Tableau1[[#This Row],[Localisation / Classement]]&amp;"\"&amp;Tableau1[[#This Row],[Poste technique]]&amp;"_"&amp;Tableau1[[#This Row],[Plan Entretien]]&amp;".pdf"</f>
        <v>\\stjn.local\trimet\Donnees_Projets\Dms Sap\Maintenance\PlanEntretien\7.MSCT\PIQUAGES\T130-J_34962.pdf</v>
      </c>
      <c r="X123" s="47">
        <v>1.75</v>
      </c>
      <c r="Y123" s="47">
        <v>2</v>
      </c>
      <c r="Z123" s="44" t="str">
        <f ca="1">IF(AND(Tableau1[[#This Row],[Charge]]&lt;&gt;0, Tableau1[[#This Row],[Nombre intervenants]]&lt;&gt;0,Tableau1[[#This Row],[Lien document]]&lt;&gt;0,Tableau1[[#This Row],[DMS_SAP]]&lt;&gt;0)=TRUE,"MIS A JOUR","")</f>
        <v>MIS A JOUR</v>
      </c>
      <c r="AA123" s="48">
        <v>44743</v>
      </c>
      <c r="AB123" s="58">
        <f ca="1">IF(Tableau1[[#This Row],[Date rév.]]&lt;&gt;"", DAYS360(Tableau1[[#This Row],[Date rév.]],TODAY()),"")</f>
        <v>1523</v>
      </c>
      <c r="AC123" s="47" t="str">
        <f>IFERROR(INDEX(Chemin_accès!$B$11:$C$22,MATCH(Tableau1[[#This Row],[Type]],Chemin_accès!$C$11:$C$22,0),1),Chemin_accès!$B$11)</f>
        <v>\\stjn.local\trimet\Btechnique\Commun\BT Maint SCELLEMENT\205 - Préventifs\Modèles préventif\GammeDMS_7.MSCT.xlsm</v>
      </c>
      <c r="AD123" s="47" t="str">
        <f>Chemin_accès!$B$8&amp;Tableau1[[#This Row],[Localisation / Classement]]&amp;"\"&amp;Tableau1[[#This Row],[Poste technique]]&amp;"_"&amp;Tableau1[[#This Row],[Plan Entretien]]&amp;".xlsm"</f>
        <v>\\stjn.local\trimet\Btechnique\Commun\BT Maint SCELLEMENT\205 - Préventifs\Gammes 7.MSCT PE Tool\PIQUAGES\T130-J_34962.xlsm</v>
      </c>
    </row>
    <row r="124" spans="1:30" x14ac:dyDescent="0.3">
      <c r="A124" s="44" t="str">
        <f t="shared" ca="1" si="1"/>
        <v>7.MSCT</v>
      </c>
      <c r="B1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4" s="46" t="s">
        <v>314</v>
      </c>
      <c r="D124" s="44" t="s">
        <v>225</v>
      </c>
      <c r="E124" s="44" t="s">
        <v>309</v>
      </c>
      <c r="F124" s="47" t="s">
        <v>229</v>
      </c>
      <c r="G124" s="47" t="s">
        <v>227</v>
      </c>
      <c r="H124" s="50">
        <v>34963</v>
      </c>
      <c r="I124" s="50">
        <v>69848</v>
      </c>
      <c r="J124" s="50">
        <v>522918</v>
      </c>
      <c r="K124" s="50">
        <v>4</v>
      </c>
      <c r="L124" s="46" t="s">
        <v>86</v>
      </c>
      <c r="M124" s="47" t="s">
        <v>296</v>
      </c>
      <c r="N124" s="46" t="s">
        <v>60</v>
      </c>
      <c r="O124" s="46"/>
      <c r="P124" s="47"/>
      <c r="Q124" s="46"/>
      <c r="R124" s="46"/>
      <c r="S124" s="48">
        <v>44637</v>
      </c>
      <c r="T124" s="61" t="str">
        <f>IF(Tableau1[[#This Row],[DMS_SAP]]="","",HYPERLINK(Tableau1[[#This Row],[Chemin fichier source]],"X"))</f>
        <v>X</v>
      </c>
      <c r="U124" s="61" t="str">
        <f ca="1">IF(Tableau1[[#This Row],[Date rév.]]="","",HYPERLINK(Tableau1[[#This Row],[Lien document]],"X"))</f>
        <v>X</v>
      </c>
      <c r="V124" s="47" t="s">
        <v>415</v>
      </c>
      <c r="W124" s="49" t="str">
        <f ca="1">Chemin_accès!$B$2&amp;Tableau1[[#This Row],[Poste Responsable]]&amp;"\"&amp;Tableau1[[#This Row],[Localisation / Classement]]&amp;"\"&amp;Tableau1[[#This Row],[Poste technique]]&amp;"_"&amp;Tableau1[[#This Row],[Plan Entretien]]&amp;".pdf"</f>
        <v>\\stjn.local\trimet\Donnees_Projets\Dms Sap\Maintenance\PlanEntretien\7.MSCT\TRAITEMENTS\T130-O120_34963.pdf</v>
      </c>
      <c r="X124" s="47">
        <v>3.5</v>
      </c>
      <c r="Y124" s="47">
        <v>2</v>
      </c>
      <c r="Z124" s="44" t="str">
        <f ca="1">IF(AND(Tableau1[[#This Row],[Charge]]&lt;&gt;0, Tableau1[[#This Row],[Nombre intervenants]]&lt;&gt;0,Tableau1[[#This Row],[Lien document]]&lt;&gt;0,Tableau1[[#This Row],[DMS_SAP]]&lt;&gt;0)=TRUE,"MIS A JOUR","")</f>
        <v>MIS A JOUR</v>
      </c>
      <c r="AA124" s="48">
        <v>44743</v>
      </c>
      <c r="AB124" s="58">
        <f ca="1">IF(Tableau1[[#This Row],[Date rév.]]&lt;&gt;"", DAYS360(Tableau1[[#This Row],[Date rév.]],TODAY()),"")</f>
        <v>1523</v>
      </c>
      <c r="AC124" s="47" t="str">
        <f>IFERROR(INDEX(Chemin_accès!$B$11:$C$22,MATCH(Tableau1[[#This Row],[Type]],Chemin_accès!$C$11:$C$22,0),1),Chemin_accès!$B$11)</f>
        <v>\\stjn.local\trimet\Btechnique\Commun\BT Maint SCELLEMENT\205 - Préventifs\Modèles préventif\GammeDMS_7.MSCT.xlsm</v>
      </c>
      <c r="AD124" s="47" t="str">
        <f>Chemin_accès!$B$8&amp;Tableau1[[#This Row],[Localisation / Classement]]&amp;"\"&amp;Tableau1[[#This Row],[Poste technique]]&amp;"_"&amp;Tableau1[[#This Row],[Plan Entretien]]&amp;".xlsm"</f>
        <v>\\stjn.local\trimet\Btechnique\Commun\BT Maint SCELLEMENT\205 - Préventifs\Gammes 7.MSCT PE Tool\TRAITEMENTS\T130-O120_34963.xlsm</v>
      </c>
    </row>
    <row r="125" spans="1:30" x14ac:dyDescent="0.3">
      <c r="A125" s="44" t="str">
        <f t="shared" ca="1" si="1"/>
        <v>7.MSCT</v>
      </c>
      <c r="B1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5" s="46" t="s">
        <v>314</v>
      </c>
      <c r="D125" s="44" t="s">
        <v>225</v>
      </c>
      <c r="E125" s="44" t="s">
        <v>309</v>
      </c>
      <c r="F125" s="47" t="s">
        <v>233</v>
      </c>
      <c r="G125" s="47" t="s">
        <v>227</v>
      </c>
      <c r="H125" s="50">
        <v>34964</v>
      </c>
      <c r="I125" s="50">
        <v>69849</v>
      </c>
      <c r="J125" s="50">
        <v>522919</v>
      </c>
      <c r="K125" s="50">
        <v>3</v>
      </c>
      <c r="L125" s="46" t="s">
        <v>86</v>
      </c>
      <c r="M125" s="47" t="s">
        <v>297</v>
      </c>
      <c r="N125" s="46" t="s">
        <v>60</v>
      </c>
      <c r="O125" s="46"/>
      <c r="P125" s="47"/>
      <c r="Q125" s="46"/>
      <c r="R125" s="46"/>
      <c r="S125" s="48">
        <v>44637</v>
      </c>
      <c r="T125" s="61" t="str">
        <f>IF(Tableau1[[#This Row],[DMS_SAP]]="","",HYPERLINK(Tableau1[[#This Row],[Chemin fichier source]],"X"))</f>
        <v>X</v>
      </c>
      <c r="U125" s="61" t="str">
        <f ca="1">IF(Tableau1[[#This Row],[Date rév.]]="","",HYPERLINK(Tableau1[[#This Row],[Lien document]],"X"))</f>
        <v>X</v>
      </c>
      <c r="V125" s="47" t="s">
        <v>416</v>
      </c>
      <c r="W125" s="49" t="str">
        <f ca="1">Chemin_accès!$B$2&amp;Tableau1[[#This Row],[Poste Responsable]]&amp;"\"&amp;Tableau1[[#This Row],[Localisation / Classement]]&amp;"\"&amp;Tableau1[[#This Row],[Poste technique]]&amp;"_"&amp;Tableau1[[#This Row],[Plan Entretien]]&amp;".pdf"</f>
        <v>\\stjn.local\trimet\Donnees_Projets\Dms Sap\Maintenance\PlanEntretien\7.MSCT\TRAITEMENTS\T130-O130_34964.pdf</v>
      </c>
      <c r="X125" s="47">
        <v>3.5</v>
      </c>
      <c r="Y125" s="47">
        <v>2</v>
      </c>
      <c r="Z125" s="44" t="str">
        <f ca="1">IF(AND(Tableau1[[#This Row],[Charge]]&lt;&gt;0, Tableau1[[#This Row],[Nombre intervenants]]&lt;&gt;0,Tableau1[[#This Row],[Lien document]]&lt;&gt;0,Tableau1[[#This Row],[DMS_SAP]]&lt;&gt;0)=TRUE,"MIS A JOUR","")</f>
        <v>MIS A JOUR</v>
      </c>
      <c r="AA125" s="48">
        <v>44743</v>
      </c>
      <c r="AB125" s="58">
        <f ca="1">IF(Tableau1[[#This Row],[Date rév.]]&lt;&gt;"", DAYS360(Tableau1[[#This Row],[Date rév.]],TODAY()),"")</f>
        <v>1523</v>
      </c>
      <c r="AC125" s="47" t="str">
        <f>IFERROR(INDEX(Chemin_accès!$B$11:$C$22,MATCH(Tableau1[[#This Row],[Type]],Chemin_accès!$C$11:$C$22,0),1),Chemin_accès!$B$11)</f>
        <v>\\stjn.local\trimet\Btechnique\Commun\BT Maint SCELLEMENT\205 - Préventifs\Modèles préventif\GammeDMS_7.MSCT.xlsm</v>
      </c>
      <c r="AD125" s="47" t="str">
        <f>Chemin_accès!$B$8&amp;Tableau1[[#This Row],[Localisation / Classement]]&amp;"\"&amp;Tableau1[[#This Row],[Poste technique]]&amp;"_"&amp;Tableau1[[#This Row],[Plan Entretien]]&amp;".xlsm"</f>
        <v>\\stjn.local\trimet\Btechnique\Commun\BT Maint SCELLEMENT\205 - Préventifs\Gammes 7.MSCT PE Tool\TRAITEMENTS\T130-O130_34964.xlsm</v>
      </c>
    </row>
    <row r="126" spans="1:30" x14ac:dyDescent="0.3">
      <c r="A126" s="44" t="str">
        <f t="shared" ca="1" si="1"/>
        <v>7.MSCT</v>
      </c>
      <c r="B1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6" s="46"/>
      <c r="D126" s="44" t="s">
        <v>140</v>
      </c>
      <c r="E126" s="44" t="s">
        <v>312</v>
      </c>
      <c r="F126" s="47" t="s">
        <v>298</v>
      </c>
      <c r="G126" s="47" t="s">
        <v>142</v>
      </c>
      <c r="H126" s="50">
        <v>34872</v>
      </c>
      <c r="I126" s="50">
        <v>69756</v>
      </c>
      <c r="J126" s="50">
        <v>522890</v>
      </c>
      <c r="K126" s="50">
        <v>7</v>
      </c>
      <c r="L126" s="46" t="s">
        <v>138</v>
      </c>
      <c r="M126" s="47" t="s">
        <v>299</v>
      </c>
      <c r="N126" s="46" t="s">
        <v>60</v>
      </c>
      <c r="O126" s="46"/>
      <c r="P126" s="47"/>
      <c r="Q126" s="46"/>
      <c r="R126" s="46"/>
      <c r="S126" s="48">
        <v>44637</v>
      </c>
      <c r="T126" s="61" t="str">
        <f>IF(Tableau1[[#This Row],[DMS_SAP]]="","",HYPERLINK(Tableau1[[#This Row],[Chemin fichier source]],"X"))</f>
        <v/>
      </c>
      <c r="U126" s="61" t="str">
        <f>IF(Tableau1[[#This Row],[Date rév.]]="","",HYPERLINK(Tableau1[[#This Row],[Lien document]],"X"))</f>
        <v/>
      </c>
      <c r="V126" s="47"/>
      <c r="W126" s="49" t="str">
        <f ca="1">Chemin_accès!$B$2&amp;Tableau1[[#This Row],[Poste Responsable]]&amp;"\"&amp;Tableau1[[#This Row],[Localisation / Classement]]&amp;"\"&amp;Tableau1[[#This Row],[Poste technique]]&amp;"_"&amp;Tableau1[[#This Row],[Plan Entretien]]&amp;".pdf"</f>
        <v>\\stjn.local\trimet\Donnees_Projets\Dms Sap\Maintenance\PlanEntretien\7.MSCT\CONVOYEURS\T130-D100_34872.pdf</v>
      </c>
      <c r="X126" s="47">
        <v>3.5</v>
      </c>
      <c r="Y126" s="47">
        <v>2</v>
      </c>
      <c r="Z126" s="44" t="str">
        <f ca="1">IF(AND(Tableau1[[#This Row],[Charge]]&lt;&gt;0, Tableau1[[#This Row],[Nombre intervenants]]&lt;&gt;0,Tableau1[[#This Row],[Lien document]]&lt;&gt;0,Tableau1[[#This Row],[DMS_SAP]]&lt;&gt;0)=TRUE,"MIS A JOUR","")</f>
        <v/>
      </c>
      <c r="AA126" s="48"/>
      <c r="AB126" s="58" t="str">
        <f ca="1">IF(Tableau1[[#This Row],[Date rév.]]&lt;&gt;"", DAYS360(Tableau1[[#This Row],[Date rév.]],TODAY()),"")</f>
        <v/>
      </c>
      <c r="AC126" s="47" t="str">
        <f>IFERROR(INDEX(Chemin_accès!$B$11:$C$22,MATCH(Tableau1[[#This Row],[Type]],Chemin_accès!$C$11:$C$22,0),1),Chemin_accès!$B$11)</f>
        <v>\\stjn.local\trimet\Btechnique\Commun\BT Maint SCELLEMENT\205 - Préventifs\Modèles préventif\GammeDMS_7.MSCT.xlsm</v>
      </c>
      <c r="AD126" s="47" t="str">
        <f>Chemin_accès!$B$8&amp;Tableau1[[#This Row],[Localisation / Classement]]&amp;"\"&amp;Tableau1[[#This Row],[Poste technique]]&amp;"_"&amp;Tableau1[[#This Row],[Plan Entretien]]&amp;".xlsm"</f>
        <v>\\stjn.local\trimet\Btechnique\Commun\BT Maint SCELLEMENT\205 - Préventifs\Gammes 7.MSCT PE Tool\CONVOYEURS\T130-D100_34872.xlsm</v>
      </c>
    </row>
    <row r="127" spans="1:30" x14ac:dyDescent="0.3">
      <c r="A127" s="44" t="str">
        <f t="shared" ca="1" si="1"/>
        <v>7.MSCT</v>
      </c>
      <c r="B1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7" s="46"/>
      <c r="D127" s="44" t="s">
        <v>140</v>
      </c>
      <c r="E127" s="44" t="s">
        <v>312</v>
      </c>
      <c r="F127" s="47" t="s">
        <v>298</v>
      </c>
      <c r="G127" s="47" t="s">
        <v>142</v>
      </c>
      <c r="H127" s="50">
        <v>34873</v>
      </c>
      <c r="I127" s="50">
        <v>69757</v>
      </c>
      <c r="J127" s="50">
        <v>522890</v>
      </c>
      <c r="K127" s="50">
        <v>8</v>
      </c>
      <c r="L127" s="46" t="s">
        <v>138</v>
      </c>
      <c r="M127" s="47" t="s">
        <v>300</v>
      </c>
      <c r="N127" s="46" t="s">
        <v>60</v>
      </c>
      <c r="O127" s="46"/>
      <c r="P127" s="47"/>
      <c r="Q127" s="46"/>
      <c r="R127" s="46"/>
      <c r="S127" s="48">
        <v>44637</v>
      </c>
      <c r="T127" s="61" t="str">
        <f>IF(Tableau1[[#This Row],[DMS_SAP]]="","",HYPERLINK(Tableau1[[#This Row],[Chemin fichier source]],"X"))</f>
        <v/>
      </c>
      <c r="U127" s="61" t="str">
        <f>IF(Tableau1[[#This Row],[Date rév.]]="","",HYPERLINK(Tableau1[[#This Row],[Lien document]],"X"))</f>
        <v/>
      </c>
      <c r="V127" s="47"/>
      <c r="W127" s="49" t="str">
        <f ca="1">Chemin_accès!$B$2&amp;Tableau1[[#This Row],[Poste Responsable]]&amp;"\"&amp;Tableau1[[#This Row],[Localisation / Classement]]&amp;"\"&amp;Tableau1[[#This Row],[Poste technique]]&amp;"_"&amp;Tableau1[[#This Row],[Plan Entretien]]&amp;".pdf"</f>
        <v>\\stjn.local\trimet\Donnees_Projets\Dms Sap\Maintenance\PlanEntretien\7.MSCT\CONVOYEURS\T130-D100_34873.pdf</v>
      </c>
      <c r="X127" s="47">
        <v>3.5</v>
      </c>
      <c r="Y127" s="47">
        <v>2</v>
      </c>
      <c r="Z127" s="44" t="str">
        <f ca="1">IF(AND(Tableau1[[#This Row],[Charge]]&lt;&gt;0, Tableau1[[#This Row],[Nombre intervenants]]&lt;&gt;0,Tableau1[[#This Row],[Lien document]]&lt;&gt;0,Tableau1[[#This Row],[DMS_SAP]]&lt;&gt;0)=TRUE,"MIS A JOUR","")</f>
        <v/>
      </c>
      <c r="AA127" s="48"/>
      <c r="AB127" s="58" t="str">
        <f ca="1">IF(Tableau1[[#This Row],[Date rév.]]&lt;&gt;"", DAYS360(Tableau1[[#This Row],[Date rév.]],TODAY()),"")</f>
        <v/>
      </c>
      <c r="AC127" s="47" t="str">
        <f>IFERROR(INDEX(Chemin_accès!$B$11:$C$22,MATCH(Tableau1[[#This Row],[Type]],Chemin_accès!$C$11:$C$22,0),1),Chemin_accès!$B$11)</f>
        <v>\\stjn.local\trimet\Btechnique\Commun\BT Maint SCELLEMENT\205 - Préventifs\Modèles préventif\GammeDMS_7.MSCT.xlsm</v>
      </c>
      <c r="AD127" s="47" t="str">
        <f>Chemin_accès!$B$8&amp;Tableau1[[#This Row],[Localisation / Classement]]&amp;"\"&amp;Tableau1[[#This Row],[Poste technique]]&amp;"_"&amp;Tableau1[[#This Row],[Plan Entretien]]&amp;".xlsm"</f>
        <v>\\stjn.local\trimet\Btechnique\Commun\BT Maint SCELLEMENT\205 - Préventifs\Gammes 7.MSCT PE Tool\CONVOYEURS\T130-D100_34873.xlsm</v>
      </c>
    </row>
    <row r="128" spans="1:30" x14ac:dyDescent="0.3">
      <c r="A128" s="44" t="str">
        <f t="shared" ca="1" si="1"/>
        <v>7.MSCT</v>
      </c>
      <c r="B1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8" s="46"/>
      <c r="D128" s="44" t="s">
        <v>140</v>
      </c>
      <c r="E128" s="44" t="s">
        <v>312</v>
      </c>
      <c r="F128" s="47" t="s">
        <v>298</v>
      </c>
      <c r="G128" s="47" t="s">
        <v>142</v>
      </c>
      <c r="H128" s="50">
        <v>34874</v>
      </c>
      <c r="I128" s="50">
        <v>69758</v>
      </c>
      <c r="J128" s="50">
        <v>522890</v>
      </c>
      <c r="K128" s="50">
        <v>9</v>
      </c>
      <c r="L128" s="46" t="s">
        <v>86</v>
      </c>
      <c r="M128" s="47" t="s">
        <v>301</v>
      </c>
      <c r="N128" s="46" t="s">
        <v>60</v>
      </c>
      <c r="O128" s="46"/>
      <c r="P128" s="47"/>
      <c r="Q128" s="46"/>
      <c r="R128" s="46"/>
      <c r="S128" s="48">
        <v>44637</v>
      </c>
      <c r="T128" s="61" t="str">
        <f>IF(Tableau1[[#This Row],[DMS_SAP]]="","",HYPERLINK(Tableau1[[#This Row],[Chemin fichier source]],"X"))</f>
        <v/>
      </c>
      <c r="U128" s="61" t="str">
        <f>IF(Tableau1[[#This Row],[Date rév.]]="","",HYPERLINK(Tableau1[[#This Row],[Lien document]],"X"))</f>
        <v/>
      </c>
      <c r="V128" s="47"/>
      <c r="W128" s="49" t="str">
        <f ca="1">Chemin_accès!$B$2&amp;Tableau1[[#This Row],[Poste Responsable]]&amp;"\"&amp;Tableau1[[#This Row],[Localisation / Classement]]&amp;"\"&amp;Tableau1[[#This Row],[Poste technique]]&amp;"_"&amp;Tableau1[[#This Row],[Plan Entretien]]&amp;".pdf"</f>
        <v>\\stjn.local\trimet\Donnees_Projets\Dms Sap\Maintenance\PlanEntretien\7.MSCT\CONVOYEURS\T130-D100_34874.pdf</v>
      </c>
      <c r="X128" s="47">
        <v>3.5</v>
      </c>
      <c r="Y128" s="47">
        <v>2</v>
      </c>
      <c r="Z128" s="44" t="str">
        <f ca="1">IF(AND(Tableau1[[#This Row],[Charge]]&lt;&gt;0, Tableau1[[#This Row],[Nombre intervenants]]&lt;&gt;0,Tableau1[[#This Row],[Lien document]]&lt;&gt;0,Tableau1[[#This Row],[DMS_SAP]]&lt;&gt;0)=TRUE,"MIS A JOUR","")</f>
        <v/>
      </c>
      <c r="AA128" s="48"/>
      <c r="AB128" s="58" t="str">
        <f ca="1">IF(Tableau1[[#This Row],[Date rév.]]&lt;&gt;"", DAYS360(Tableau1[[#This Row],[Date rév.]],TODAY()),"")</f>
        <v/>
      </c>
      <c r="AC128" s="47" t="str">
        <f>IFERROR(INDEX(Chemin_accès!$B$11:$C$22,MATCH(Tableau1[[#This Row],[Type]],Chemin_accès!$C$11:$C$22,0),1),Chemin_accès!$B$11)</f>
        <v>\\stjn.local\trimet\Btechnique\Commun\BT Maint SCELLEMENT\205 - Préventifs\Modèles préventif\GammeDMS_7.MSCT.xlsm</v>
      </c>
      <c r="AD128" s="47" t="str">
        <f>Chemin_accès!$B$8&amp;Tableau1[[#This Row],[Localisation / Classement]]&amp;"\"&amp;Tableau1[[#This Row],[Poste technique]]&amp;"_"&amp;Tableau1[[#This Row],[Plan Entretien]]&amp;".xlsm"</f>
        <v>\\stjn.local\trimet\Btechnique\Commun\BT Maint SCELLEMENT\205 - Préventifs\Gammes 7.MSCT PE Tool\CONVOYEURS\T130-D100_34874.xlsm</v>
      </c>
    </row>
    <row r="129" spans="1:30" x14ac:dyDescent="0.3">
      <c r="A129" s="44" t="str">
        <f t="shared" ca="1" si="1"/>
        <v>7.MSCT</v>
      </c>
      <c r="B1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9" s="46" t="s">
        <v>314</v>
      </c>
      <c r="D129" s="44" t="s">
        <v>140</v>
      </c>
      <c r="E129" s="44" t="s">
        <v>309</v>
      </c>
      <c r="F129" s="47" t="s">
        <v>163</v>
      </c>
      <c r="G129" s="47" t="s">
        <v>164</v>
      </c>
      <c r="H129" s="50">
        <v>34869</v>
      </c>
      <c r="I129" s="50">
        <v>69753</v>
      </c>
      <c r="J129" s="50">
        <v>522898</v>
      </c>
      <c r="K129" s="50">
        <v>5</v>
      </c>
      <c r="L129" s="46" t="s">
        <v>80</v>
      </c>
      <c r="M129" s="47" t="s">
        <v>302</v>
      </c>
      <c r="N129" s="46" t="s">
        <v>61</v>
      </c>
      <c r="O129" s="46"/>
      <c r="P129" s="47"/>
      <c r="Q129" s="46"/>
      <c r="R129" s="46"/>
      <c r="S129" s="48">
        <v>44637</v>
      </c>
      <c r="T129" s="61" t="str">
        <f>IF(Tableau1[[#This Row],[DMS_SAP]]="","",HYPERLINK(Tableau1[[#This Row],[Chemin fichier source]],"X"))</f>
        <v>X</v>
      </c>
      <c r="U129" s="61" t="str">
        <f ca="1">IF(Tableau1[[#This Row],[Date rév.]]="","",HYPERLINK(Tableau1[[#This Row],[Lien document]],"X"))</f>
        <v>X</v>
      </c>
      <c r="V129" s="47" t="s">
        <v>447</v>
      </c>
      <c r="W129" s="49" t="str">
        <f ca="1">Chemin_accès!$B$2&amp;Tableau1[[#This Row],[Poste Responsable]]&amp;"\"&amp;Tableau1[[#This Row],[Localisation / Classement]]&amp;"\"&amp;Tableau1[[#This Row],[Poste technique]]&amp;"_"&amp;Tableau1[[#This Row],[Plan Entretien]]&amp;".pdf"</f>
        <v>\\stjn.local\trimet\Donnees_Projets\Dms Sap\Maintenance\PlanEntretien\7.MSCT\CONVOYEURS\T130-F_34869.pdf</v>
      </c>
      <c r="X129" s="47">
        <v>3.5</v>
      </c>
      <c r="Y129" s="47">
        <v>1</v>
      </c>
      <c r="Z129" s="44" t="str">
        <f ca="1">IF(AND(Tableau1[[#This Row],[Charge]]&lt;&gt;0, Tableau1[[#This Row],[Nombre intervenants]]&lt;&gt;0,Tableau1[[#This Row],[Lien document]]&lt;&gt;0,Tableau1[[#This Row],[DMS_SAP]]&lt;&gt;0)=TRUE,"MIS A JOUR","")</f>
        <v>MIS A JOUR</v>
      </c>
      <c r="AA129" s="48">
        <v>45992</v>
      </c>
      <c r="AB129" s="58">
        <f ca="1">IF(Tableau1[[#This Row],[Date rév.]]&lt;&gt;"", DAYS360(Tableau1[[#This Row],[Date rév.]],TODAY()),"")</f>
        <v>293</v>
      </c>
      <c r="AC129" s="47" t="str">
        <f>IFERROR(INDEX(Chemin_accès!$B$11:$C$22,MATCH(Tableau1[[#This Row],[Type]],Chemin_accès!$C$11:$C$22,0),1),Chemin_accès!$B$11)</f>
        <v>\\stjn.local\trimet\Btechnique\Commun\BT Maint SCELLEMENT\205 - Préventifs\Modèles préventif\GammeDMS_7.MSCT.xlsm</v>
      </c>
      <c r="AD129" s="47" t="str">
        <f>Chemin_accès!$B$8&amp;Tableau1[[#This Row],[Localisation / Classement]]&amp;"\"&amp;Tableau1[[#This Row],[Poste technique]]&amp;"_"&amp;Tableau1[[#This Row],[Plan Entretien]]&amp;".xlsm"</f>
        <v>\\stjn.local\trimet\Btechnique\Commun\BT Maint SCELLEMENT\205 - Préventifs\Gammes 7.MSCT PE Tool\CONVOYEURS\T130-F_34869.xlsm</v>
      </c>
    </row>
    <row r="130" spans="1:30" x14ac:dyDescent="0.3">
      <c r="A130" s="44" t="str">
        <f t="shared" ca="1" si="1"/>
        <v>7.MSCT</v>
      </c>
      <c r="B1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0" s="46" t="s">
        <v>314</v>
      </c>
      <c r="D130" s="44" t="s">
        <v>140</v>
      </c>
      <c r="E130" s="44" t="s">
        <v>309</v>
      </c>
      <c r="F130" s="47" t="s">
        <v>163</v>
      </c>
      <c r="G130" s="47" t="s">
        <v>164</v>
      </c>
      <c r="H130" s="50">
        <v>34870</v>
      </c>
      <c r="I130" s="50">
        <v>69754</v>
      </c>
      <c r="J130" s="50">
        <v>522898</v>
      </c>
      <c r="K130" s="50">
        <v>6</v>
      </c>
      <c r="L130" s="46" t="s">
        <v>84</v>
      </c>
      <c r="M130" s="47" t="s">
        <v>323</v>
      </c>
      <c r="N130" s="46" t="s">
        <v>1</v>
      </c>
      <c r="O130" s="46"/>
      <c r="P130" s="47"/>
      <c r="Q130" s="46"/>
      <c r="R130" s="46"/>
      <c r="S130" s="48">
        <v>44637</v>
      </c>
      <c r="T130" s="61" t="str">
        <f>IF(Tableau1[[#This Row],[DMS_SAP]]="","",HYPERLINK(Tableau1[[#This Row],[Chemin fichier source]],"X"))</f>
        <v>X</v>
      </c>
      <c r="U130" s="61" t="str">
        <f ca="1">IF(Tableau1[[#This Row],[Date rév.]]="","",HYPERLINK(Tableau1[[#This Row],[Lien document]],"X"))</f>
        <v>X</v>
      </c>
      <c r="V130" s="47" t="s">
        <v>448</v>
      </c>
      <c r="W130" s="49" t="str">
        <f ca="1">Chemin_accès!$B$2&amp;Tableau1[[#This Row],[Poste Responsable]]&amp;"\"&amp;Tableau1[[#This Row],[Localisation / Classement]]&amp;"\"&amp;Tableau1[[#This Row],[Poste technique]]&amp;"_"&amp;Tableau1[[#This Row],[Plan Entretien]]&amp;".pdf"</f>
        <v>\\stjn.local\trimet\Donnees_Projets\Dms Sap\Maintenance\PlanEntretien\7.MSCT\CONVOYEURS\T130-F_34870.pdf</v>
      </c>
      <c r="X130" s="47">
        <v>1.75</v>
      </c>
      <c r="Y130" s="47">
        <v>2</v>
      </c>
      <c r="Z130" s="44" t="str">
        <f ca="1">IF(AND(Tableau1[[#This Row],[Charge]]&lt;&gt;0, Tableau1[[#This Row],[Nombre intervenants]]&lt;&gt;0,Tableau1[[#This Row],[Lien document]]&lt;&gt;0,Tableau1[[#This Row],[DMS_SAP]]&lt;&gt;0)=TRUE,"MIS A JOUR","")</f>
        <v>MIS A JOUR</v>
      </c>
      <c r="AA130" s="48">
        <v>44750</v>
      </c>
      <c r="AB130" s="58">
        <f ca="1">IF(Tableau1[[#This Row],[Date rév.]]&lt;&gt;"", DAYS360(Tableau1[[#This Row],[Date rév.]],TODAY()),"")</f>
        <v>1516</v>
      </c>
      <c r="AC130" s="47" t="str">
        <f>IFERROR(INDEX(Chemin_accès!$B$11:$C$22,MATCH(Tableau1[[#This Row],[Type]],Chemin_accès!$C$11:$C$22,0),1),Chemin_accès!$B$11)</f>
        <v>\\stjn.local\trimet\Btechnique\Commun\BT Maint SCELLEMENT\205 - Préventifs\Modèles préventif\GammeDMS_7.MSCT.xlsm</v>
      </c>
      <c r="AD130" s="47" t="str">
        <f>Chemin_accès!$B$8&amp;Tableau1[[#This Row],[Localisation / Classement]]&amp;"\"&amp;Tableau1[[#This Row],[Poste technique]]&amp;"_"&amp;Tableau1[[#This Row],[Plan Entretien]]&amp;".xlsm"</f>
        <v>\\stjn.local\trimet\Btechnique\Commun\BT Maint SCELLEMENT\205 - Préventifs\Gammes 7.MSCT PE Tool\CONVOYEURS\T130-F_34870.xlsm</v>
      </c>
    </row>
    <row r="131" spans="1:30" x14ac:dyDescent="0.3">
      <c r="A131" s="44" t="str">
        <f t="shared" ref="A131:A193" ca="1" si="2">MID(CELL("filename",$A$1),FIND("]",CELL("filename",$A$1))+1,32)</f>
        <v>7.MSCT</v>
      </c>
      <c r="B1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1" s="46"/>
      <c r="D131" s="44" t="s">
        <v>140</v>
      </c>
      <c r="E131" s="44" t="s">
        <v>309</v>
      </c>
      <c r="F131" s="47" t="s">
        <v>303</v>
      </c>
      <c r="G131" s="47" t="s">
        <v>304</v>
      </c>
      <c r="H131" s="50">
        <v>34967</v>
      </c>
      <c r="I131" s="50">
        <v>69852</v>
      </c>
      <c r="J131" s="50">
        <v>523096</v>
      </c>
      <c r="K131" s="50">
        <v>3</v>
      </c>
      <c r="L131" s="46" t="s">
        <v>86</v>
      </c>
      <c r="M131" s="47" t="s">
        <v>305</v>
      </c>
      <c r="N131" s="46" t="s">
        <v>61</v>
      </c>
      <c r="O131" s="46"/>
      <c r="P131" s="47"/>
      <c r="Q131" s="46"/>
      <c r="R131" s="46"/>
      <c r="S131" s="48">
        <v>44637</v>
      </c>
      <c r="T131" s="61" t="str">
        <f>IF(Tableau1[[#This Row],[DMS_SAP]]="","",HYPERLINK(Tableau1[[#This Row],[Chemin fichier source]],"X"))</f>
        <v/>
      </c>
      <c r="U131" s="61" t="str">
        <f>IF(Tableau1[[#This Row],[Date rév.]]="","",HYPERLINK(Tableau1[[#This Row],[Lien document]],"X"))</f>
        <v/>
      </c>
      <c r="V131" s="47"/>
      <c r="W131" s="49" t="str">
        <f ca="1">Chemin_accès!$B$2&amp;Tableau1[[#This Row],[Poste Responsable]]&amp;"\"&amp;Tableau1[[#This Row],[Localisation / Classement]]&amp;"\"&amp;Tableau1[[#This Row],[Poste technique]]&amp;"_"&amp;Tableau1[[#This Row],[Plan Entretien]]&amp;".pdf"</f>
        <v>\\stjn.local\trimet\Donnees_Projets\Dms Sap\Maintenance\PlanEntretien\7.MSCT\CONVOYEURS\T130-B_34967.pdf</v>
      </c>
      <c r="X131" s="47">
        <v>3.5</v>
      </c>
      <c r="Y131" s="47">
        <v>2</v>
      </c>
      <c r="Z131" s="44" t="str">
        <f ca="1">IF(AND(Tableau1[[#This Row],[Charge]]&lt;&gt;0, Tableau1[[#This Row],[Nombre intervenants]]&lt;&gt;0,Tableau1[[#This Row],[Lien document]]&lt;&gt;0,Tableau1[[#This Row],[DMS_SAP]]&lt;&gt;0)=TRUE,"MIS A JOUR","")</f>
        <v/>
      </c>
      <c r="AA131" s="48"/>
      <c r="AB131" s="58" t="str">
        <f ca="1">IF(Tableau1[[#This Row],[Date rév.]]&lt;&gt;"", DAYS360(Tableau1[[#This Row],[Date rév.]],TODAY()),"")</f>
        <v/>
      </c>
      <c r="AC131" s="47" t="str">
        <f>IFERROR(INDEX(Chemin_accès!$B$11:$C$22,MATCH(Tableau1[[#This Row],[Type]],Chemin_accès!$C$11:$C$22,0),1),Chemin_accès!$B$11)</f>
        <v>\\stjn.local\trimet\Btechnique\Commun\BT Maint SCELLEMENT\205 - Préventifs\Modèles préventif\GammeDMS_7.MSCT.xlsm</v>
      </c>
      <c r="AD131" s="47" t="str">
        <f>Chemin_accès!$B$8&amp;Tableau1[[#This Row],[Localisation / Classement]]&amp;"\"&amp;Tableau1[[#This Row],[Poste technique]]&amp;"_"&amp;Tableau1[[#This Row],[Plan Entretien]]&amp;".xlsm"</f>
        <v>\\stjn.local\trimet\Btechnique\Commun\BT Maint SCELLEMENT\205 - Préventifs\Gammes 7.MSCT PE Tool\CONVOYEURS\T130-B_34967.xlsm</v>
      </c>
    </row>
    <row r="132" spans="1:30" x14ac:dyDescent="0.3">
      <c r="A132" s="44" t="str">
        <f t="shared" ca="1" si="2"/>
        <v>7.MSCT</v>
      </c>
      <c r="B1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2" s="46" t="s">
        <v>314</v>
      </c>
      <c r="D132" s="44" t="s">
        <v>306</v>
      </c>
      <c r="E132" s="44" t="s">
        <v>309</v>
      </c>
      <c r="F132" s="47" t="s">
        <v>303</v>
      </c>
      <c r="G132" s="47" t="s">
        <v>304</v>
      </c>
      <c r="H132" s="50">
        <v>34966</v>
      </c>
      <c r="I132" s="50">
        <v>69851</v>
      </c>
      <c r="J132" s="50">
        <v>523096</v>
      </c>
      <c r="K132" s="50">
        <v>4</v>
      </c>
      <c r="L132" s="46" t="s">
        <v>86</v>
      </c>
      <c r="M132" s="47" t="s">
        <v>307</v>
      </c>
      <c r="N132" s="46" t="s">
        <v>61</v>
      </c>
      <c r="O132" s="46"/>
      <c r="P132" s="47"/>
      <c r="Q132" s="46"/>
      <c r="R132" s="46"/>
      <c r="S132" s="48">
        <v>44637</v>
      </c>
      <c r="T132" s="61" t="str">
        <f>IF(Tableau1[[#This Row],[DMS_SAP]]="","",HYPERLINK(Tableau1[[#This Row],[Chemin fichier source]],"X"))</f>
        <v>X</v>
      </c>
      <c r="U132" s="61" t="str">
        <f ca="1">IF(Tableau1[[#This Row],[Date rév.]]="","",HYPERLINK(Tableau1[[#This Row],[Lien document]],"X"))</f>
        <v>X</v>
      </c>
      <c r="V132" s="47" t="s">
        <v>515</v>
      </c>
      <c r="W132" s="49" t="str">
        <f ca="1">Chemin_accès!$B$2&amp;Tableau1[[#This Row],[Poste Responsable]]&amp;"\"&amp;Tableau1[[#This Row],[Localisation / Classement]]&amp;"\"&amp;Tableau1[[#This Row],[Poste technique]]&amp;"_"&amp;Tableau1[[#This Row],[Plan Entretien]]&amp;".pdf"</f>
        <v>\\stjn.local\trimet\Donnees_Projets\Dms Sap\Maintenance\PlanEntretien\7.MSCT\BATIMENT SCLMT\T130-B_34966.pdf</v>
      </c>
      <c r="X132" s="47">
        <v>2</v>
      </c>
      <c r="Y132" s="47">
        <v>1</v>
      </c>
      <c r="Z132" s="44" t="str">
        <f ca="1">IF(AND(Tableau1[[#This Row],[Charge]]&lt;&gt;0, Tableau1[[#This Row],[Nombre intervenants]]&lt;&gt;0,Tableau1[[#This Row],[Lien document]]&lt;&gt;0,Tableau1[[#This Row],[DMS_SAP]]&lt;&gt;0)=TRUE,"MIS A JOUR","")</f>
        <v>MIS A JOUR</v>
      </c>
      <c r="AA132" s="48">
        <v>46191</v>
      </c>
      <c r="AB132" s="58">
        <f ca="1">IF(Tableau1[[#This Row],[Date rév.]]&lt;&gt;"", DAYS360(Tableau1[[#This Row],[Date rév.]],TODAY()),"")</f>
        <v>96</v>
      </c>
      <c r="AC132" s="47" t="str">
        <f>IFERROR(INDEX(Chemin_accès!$B$11:$C$22,MATCH(Tableau1[[#This Row],[Type]],Chemin_accès!$C$11:$C$22,0),1),Chemin_accès!$B$11)</f>
        <v>\\stjn.local\trimet\Btechnique\Commun\BT Maint SCELLEMENT\205 - Préventifs\Modèles préventif\GammeDMS_7.MSCT.xlsm</v>
      </c>
      <c r="AD132" s="47" t="str">
        <f>Chemin_accès!$B$8&amp;Tableau1[[#This Row],[Localisation / Classement]]&amp;"\"&amp;Tableau1[[#This Row],[Poste technique]]&amp;"_"&amp;Tableau1[[#This Row],[Plan Entretien]]&amp;".xlsm"</f>
        <v>\\stjn.local\trimet\Btechnique\Commun\BT Maint SCELLEMENT\205 - Préventifs\Gammes 7.MSCT PE Tool\BATIMENT SCLMT\T130-B_34966.xlsm</v>
      </c>
    </row>
    <row r="133" spans="1:30" x14ac:dyDescent="0.3">
      <c r="A133" s="44" t="str">
        <f t="shared" ca="1" si="2"/>
        <v>7.MSCT</v>
      </c>
      <c r="B1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3" s="46" t="s">
        <v>314</v>
      </c>
      <c r="D133" s="44" t="s">
        <v>306</v>
      </c>
      <c r="E133" s="44" t="s">
        <v>309</v>
      </c>
      <c r="F133" s="47" t="s">
        <v>303</v>
      </c>
      <c r="G133" s="47" t="s">
        <v>304</v>
      </c>
      <c r="H133" s="50">
        <v>35297</v>
      </c>
      <c r="I133" s="50">
        <v>70189</v>
      </c>
      <c r="J133" s="50">
        <v>523096</v>
      </c>
      <c r="K133" s="50">
        <v>5</v>
      </c>
      <c r="L133" s="46" t="s">
        <v>34</v>
      </c>
      <c r="M133" s="47" t="s">
        <v>441</v>
      </c>
      <c r="N133" s="46" t="s">
        <v>1</v>
      </c>
      <c r="O133" s="46"/>
      <c r="P133" s="47"/>
      <c r="Q133" s="46"/>
      <c r="R133" s="46"/>
      <c r="S133" s="48">
        <v>44749</v>
      </c>
      <c r="T133" s="61" t="str">
        <f>IF(Tableau1[[#This Row],[DMS_SAP]]="","",HYPERLINK(Tableau1[[#This Row],[Chemin fichier source]],"X"))</f>
        <v>X</v>
      </c>
      <c r="U133" s="61" t="str">
        <f ca="1">IF(Tableau1[[#This Row],[Date rév.]]="","",HYPERLINK(Tableau1[[#This Row],[Lien document]],"X"))</f>
        <v>X</v>
      </c>
      <c r="V133" s="47" t="s">
        <v>452</v>
      </c>
      <c r="W133" s="49" t="str">
        <f ca="1">Chemin_accès!$B$2&amp;Tableau1[[#This Row],[Poste Responsable]]&amp;"\"&amp;Tableau1[[#This Row],[Localisation / Classement]]&amp;"\"&amp;Tableau1[[#This Row],[Poste technique]]&amp;"_"&amp;Tableau1[[#This Row],[Plan Entretien]]&amp;".pdf"</f>
        <v>\\stjn.local\trimet\Donnees_Projets\Dms Sap\Maintenance\PlanEntretien\7.MSCT\BATIMENT SCLMT\T130-B_35297.pdf</v>
      </c>
      <c r="X133" s="47">
        <v>2</v>
      </c>
      <c r="Y133" s="47">
        <v>2</v>
      </c>
      <c r="Z133" s="44" t="str">
        <f ca="1">IF(AND(Tableau1[[#This Row],[Charge]]&lt;&gt;0, Tableau1[[#This Row],[Nombre intervenants]]&lt;&gt;0,Tableau1[[#This Row],[Lien document]]&lt;&gt;0,Tableau1[[#This Row],[DMS_SAP]]&lt;&gt;0)=TRUE,"MIS A JOUR","")</f>
        <v>MIS A JOUR</v>
      </c>
      <c r="AA133" s="48">
        <v>45842</v>
      </c>
      <c r="AB133" s="58">
        <f ca="1">IF(Tableau1[[#This Row],[Date rév.]]&lt;&gt;"", DAYS360(Tableau1[[#This Row],[Date rév.]],TODAY()),"")</f>
        <v>440</v>
      </c>
      <c r="AC133" s="47" t="str">
        <f>IFERROR(INDEX(Chemin_accès!$B$11:$C$22,MATCH(Tableau1[[#This Row],[Type]],Chemin_accès!$C$11:$C$22,0),1),Chemin_accès!$B$11)</f>
        <v>\\stjn.local\trimet\Btechnique\Commun\BT Maint SCELLEMENT\205 - Préventifs\Modèles préventif\GammeDMS_7.MSCT.xlsm</v>
      </c>
      <c r="AD133" s="47" t="str">
        <f>Chemin_accès!$B$8&amp;Tableau1[[#This Row],[Localisation / Classement]]&amp;"\"&amp;Tableau1[[#This Row],[Poste technique]]&amp;"_"&amp;Tableau1[[#This Row],[Plan Entretien]]&amp;".xlsm"</f>
        <v>\\stjn.local\trimet\Btechnique\Commun\BT Maint SCELLEMENT\205 - Préventifs\Gammes 7.MSCT PE Tool\BATIMENT SCLMT\T130-B_35297.xlsm</v>
      </c>
    </row>
    <row r="134" spans="1:30" x14ac:dyDescent="0.3">
      <c r="A134" s="44" t="str">
        <f t="shared" ca="1" si="2"/>
        <v>7.MSCT</v>
      </c>
      <c r="B1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4" s="46" t="s">
        <v>314</v>
      </c>
      <c r="D134" s="44" t="s">
        <v>439</v>
      </c>
      <c r="E134" s="44" t="s">
        <v>309</v>
      </c>
      <c r="F134" s="47" t="s">
        <v>437</v>
      </c>
      <c r="G134" s="47" t="s">
        <v>436</v>
      </c>
      <c r="H134" s="50">
        <v>35295</v>
      </c>
      <c r="I134" s="50">
        <v>70187</v>
      </c>
      <c r="J134" s="50">
        <v>523168</v>
      </c>
      <c r="K134" s="50">
        <v>1</v>
      </c>
      <c r="L134" s="46" t="s">
        <v>86</v>
      </c>
      <c r="M134" s="47" t="s">
        <v>440</v>
      </c>
      <c r="N134" s="46" t="s">
        <v>61</v>
      </c>
      <c r="O134" s="46"/>
      <c r="P134" s="47"/>
      <c r="Q134" s="46"/>
      <c r="R134" s="46"/>
      <c r="S134" s="48">
        <v>44749</v>
      </c>
      <c r="T134" s="61" t="str">
        <f>IF(Tableau1[[#This Row],[DMS_SAP]]="","",HYPERLINK(Tableau1[[#This Row],[Chemin fichier source]],"X"))</f>
        <v>X</v>
      </c>
      <c r="U134" s="61" t="str">
        <f ca="1">IF(Tableau1[[#This Row],[Date rév.]]="","",HYPERLINK(Tableau1[[#This Row],[Lien document]],"X"))</f>
        <v>X</v>
      </c>
      <c r="V134" s="47" t="s">
        <v>449</v>
      </c>
      <c r="W134" s="49" t="str">
        <f ca="1">Chemin_accès!$B$2&amp;Tableau1[[#This Row],[Poste Responsable]]&amp;"\"&amp;Tableau1[[#This Row],[Localisation / Classement]]&amp;"\"&amp;Tableau1[[#This Row],[Poste technique]]&amp;"_"&amp;Tableau1[[#This Row],[Plan Entretien]]&amp;".pdf"</f>
        <v>\\stjn.local\trimet\Donnees_Projets\Dms Sap\Maintenance\PlanEntretien\7.MSCT\CATHODES\T240_35295.pdf</v>
      </c>
      <c r="X134" s="47">
        <v>3.5</v>
      </c>
      <c r="Y134" s="47">
        <v>2</v>
      </c>
      <c r="Z134" s="44" t="str">
        <f ca="1">IF(AND(Tableau1[[#This Row],[Charge]]&lt;&gt;0, Tableau1[[#This Row],[Nombre intervenants]]&lt;&gt;0,Tableau1[[#This Row],[Lien document]]&lt;&gt;0,Tableau1[[#This Row],[DMS_SAP]]&lt;&gt;0)=TRUE,"MIS A JOUR","")</f>
        <v>MIS A JOUR</v>
      </c>
      <c r="AA134" s="48">
        <v>46085</v>
      </c>
      <c r="AB134" s="58">
        <f ca="1">IF(Tableau1[[#This Row],[Date rév.]]&lt;&gt;"", DAYS360(Tableau1[[#This Row],[Date rév.]],TODAY()),"")</f>
        <v>200</v>
      </c>
      <c r="AC134" s="47" t="str">
        <f>IFERROR(INDEX(Chemin_accès!$B$11:$C$22,MATCH(Tableau1[[#This Row],[Type]],Chemin_accès!$C$11:$C$22,0),1),Chemin_accès!$B$11)</f>
        <v>\\stjn.local\trimet\Btechnique\Commun\BT Maint SCELLEMENT\205 - Préventifs\Modèles préventif\GammeDMS_7.MSCT.xlsm</v>
      </c>
      <c r="AD134" s="47" t="str">
        <f>Chemin_accès!$B$8&amp;Tableau1[[#This Row],[Localisation / Classement]]&amp;"\"&amp;Tableau1[[#This Row],[Poste technique]]&amp;"_"&amp;Tableau1[[#This Row],[Plan Entretien]]&amp;".xlsm"</f>
        <v>\\stjn.local\trimet\Btechnique\Commun\BT Maint SCELLEMENT\205 - Préventifs\Gammes 7.MSCT PE Tool\CATHODES\T240_35295.xlsm</v>
      </c>
    </row>
    <row r="135" spans="1:30" x14ac:dyDescent="0.3">
      <c r="A135" s="44" t="str">
        <f t="shared" ca="1" si="2"/>
        <v>7.MSCT</v>
      </c>
      <c r="B135" s="45" t="s">
        <v>512</v>
      </c>
      <c r="C135" s="46" t="s">
        <v>314</v>
      </c>
      <c r="D135" s="44" t="s">
        <v>439</v>
      </c>
      <c r="E135" s="44" t="s">
        <v>309</v>
      </c>
      <c r="F135" s="47" t="s">
        <v>437</v>
      </c>
      <c r="G135" s="47" t="s">
        <v>436</v>
      </c>
      <c r="H135" s="50">
        <v>35296</v>
      </c>
      <c r="I135" s="50">
        <v>70188</v>
      </c>
      <c r="J135" s="50">
        <v>523168</v>
      </c>
      <c r="K135" s="50">
        <v>2</v>
      </c>
      <c r="L135" s="46" t="s">
        <v>84</v>
      </c>
      <c r="M135" s="47" t="s">
        <v>438</v>
      </c>
      <c r="N135" s="46" t="s">
        <v>60</v>
      </c>
      <c r="O135" s="46"/>
      <c r="P135" s="47"/>
      <c r="Q135" s="46"/>
      <c r="R135" s="46"/>
      <c r="S135" s="48">
        <v>44749</v>
      </c>
      <c r="T135" s="61" t="str">
        <f>IF(Tableau1[[#This Row],[DMS_SAP]]="","",HYPERLINK(Tableau1[[#This Row],[Chemin fichier source]],"X"))</f>
        <v>X</v>
      </c>
      <c r="U135" s="61" t="str">
        <f ca="1">IF(Tableau1[[#This Row],[Date rév.]]="","",HYPERLINK(Tableau1[[#This Row],[Lien document]],"X"))</f>
        <v>X</v>
      </c>
      <c r="V135" s="47" t="s">
        <v>450</v>
      </c>
      <c r="W135" s="49" t="str">
        <f ca="1">Chemin_accès!$B$2&amp;Tableau1[[#This Row],[Poste Responsable]]&amp;"\"&amp;Tableau1[[#This Row],[Localisation / Classement]]&amp;"\"&amp;Tableau1[[#This Row],[Poste technique]]&amp;"_"&amp;Tableau1[[#This Row],[Plan Entretien]]&amp;".pdf"</f>
        <v>\\stjn.local\trimet\Donnees_Projets\Dms Sap\Maintenance\PlanEntretien\7.MSCT\CATHODES\T240_35296.pdf</v>
      </c>
      <c r="X135" s="47">
        <v>3.5</v>
      </c>
      <c r="Y135" s="47">
        <v>2</v>
      </c>
      <c r="Z135" s="44" t="str">
        <f ca="1">IF(AND(Tableau1[[#This Row],[Charge]]&lt;&gt;0, Tableau1[[#This Row],[Nombre intervenants]]&lt;&gt;0,Tableau1[[#This Row],[Lien document]]&lt;&gt;0,Tableau1[[#This Row],[DMS_SAP]]&lt;&gt;0)=TRUE,"MIS A JOUR","")</f>
        <v>MIS A JOUR</v>
      </c>
      <c r="AA135" s="48">
        <v>45134</v>
      </c>
      <c r="AB135" s="58">
        <f ca="1">IF(Tableau1[[#This Row],[Date rév.]]&lt;&gt;"", DAYS360(Tableau1[[#This Row],[Date rév.]],TODAY()),"")</f>
        <v>1137</v>
      </c>
      <c r="AC135" s="47" t="str">
        <f>IFERROR(INDEX(Chemin_accès!$B$11:$C$22,MATCH(Tableau1[[#This Row],[Type]],Chemin_accès!$C$11:$C$22,0),1),Chemin_accès!$B$11)</f>
        <v>\\stjn.local\trimet\Btechnique\Commun\BT Maint SCELLEMENT\205 - Préventifs\Modèles préventif\GammeDMS_7.MSCT.xlsm</v>
      </c>
      <c r="AD135" s="47" t="str">
        <f>Chemin_accès!$B$8&amp;Tableau1[[#This Row],[Localisation / Classement]]&amp;"\"&amp;Tableau1[[#This Row],[Poste technique]]&amp;"_"&amp;Tableau1[[#This Row],[Plan Entretien]]&amp;".xlsm"</f>
        <v>\\stjn.local\trimet\Btechnique\Commun\BT Maint SCELLEMENT\205 - Préventifs\Gammes 7.MSCT PE Tool\CATHODES\T240_35296.xlsm</v>
      </c>
    </row>
    <row r="136" spans="1:30" x14ac:dyDescent="0.3">
      <c r="A136" s="44" t="str">
        <f t="shared" ca="1" si="2"/>
        <v>7.MSCT</v>
      </c>
      <c r="B1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6" s="46"/>
      <c r="D136" s="44" t="s">
        <v>262</v>
      </c>
      <c r="E136" s="44" t="s">
        <v>309</v>
      </c>
      <c r="F136" s="47" t="s">
        <v>269</v>
      </c>
      <c r="G136" s="47" t="s">
        <v>270</v>
      </c>
      <c r="H136" s="9">
        <v>35298</v>
      </c>
      <c r="I136" s="9">
        <v>70190</v>
      </c>
      <c r="J136" s="50">
        <v>522933</v>
      </c>
      <c r="K136" s="50">
        <v>8</v>
      </c>
      <c r="L136" s="46" t="s">
        <v>84</v>
      </c>
      <c r="M136" s="73" t="s">
        <v>442</v>
      </c>
      <c r="N136" s="46" t="s">
        <v>60</v>
      </c>
      <c r="O136" s="46"/>
      <c r="P136" s="47"/>
      <c r="Q136" s="46"/>
      <c r="R136" s="46"/>
      <c r="S136" s="48">
        <v>44750</v>
      </c>
      <c r="T136" s="61" t="str">
        <f>IF(Tableau1[[#This Row],[DMS_SAP]]="","",HYPERLINK(Tableau1[[#This Row],[Chemin fichier source]],"X"))</f>
        <v/>
      </c>
      <c r="U136" s="61" t="str">
        <f>IF(Tableau1[[#This Row],[Date rév.]]="","",HYPERLINK(Tableau1[[#This Row],[Lien document]],"X"))</f>
        <v/>
      </c>
      <c r="V136" s="47"/>
      <c r="W136" s="49" t="str">
        <f ca="1">Chemin_accès!$B$2&amp;Tableau1[[#This Row],[Poste Responsable]]&amp;"\"&amp;Tableau1[[#This Row],[Localisation / Classement]]&amp;"\"&amp;Tableau1[[#This Row],[Poste technique]]&amp;"_"&amp;Tableau1[[#This Row],[Plan Entretien]]&amp;".pdf"</f>
        <v>\\stjn.local\trimet\Donnees_Projets\Dms Sap\Maintenance\PlanEntretien\7.MSCT\MANUTENTIONS\T130-R100_35298.pdf</v>
      </c>
      <c r="X136" s="47">
        <v>2</v>
      </c>
      <c r="Y136" s="47">
        <v>2</v>
      </c>
      <c r="Z136" s="44" t="str">
        <f ca="1">IF(AND(Tableau1[[#This Row],[Charge]]&lt;&gt;0, Tableau1[[#This Row],[Nombre intervenants]]&lt;&gt;0,Tableau1[[#This Row],[Lien document]]&lt;&gt;0,Tableau1[[#This Row],[DMS_SAP]]&lt;&gt;0)=TRUE,"MIS A JOUR","")</f>
        <v/>
      </c>
      <c r="AA136" s="48"/>
      <c r="AB136" s="58" t="str">
        <f ca="1">IF(Tableau1[[#This Row],[Date rév.]]&lt;&gt;"", DAYS360(Tableau1[[#This Row],[Date rév.]],TODAY()),"")</f>
        <v/>
      </c>
      <c r="AC136" s="47" t="str">
        <f>IFERROR(INDEX(Chemin_accès!$B$11:$C$22,MATCH(Tableau1[[#This Row],[Type]],Chemin_accès!$C$11:$C$22,0),1),Chemin_accès!$B$11)</f>
        <v>\\stjn.local\trimet\Btechnique\Commun\BT Maint SCELLEMENT\205 - Préventifs\Modèles préventif\GammeDMS_7.MSCT.xlsm</v>
      </c>
      <c r="AD136" s="47" t="str">
        <f>Chemin_accès!$B$8&amp;Tableau1[[#This Row],[Localisation / Classement]]&amp;"\"&amp;Tableau1[[#This Row],[Poste technique]]&amp;"_"&amp;Tableau1[[#This Row],[Plan Entretien]]&amp;".xlsm"</f>
        <v>\\stjn.local\trimet\Btechnique\Commun\BT Maint SCELLEMENT\205 - Préventifs\Gammes 7.MSCT PE Tool\MANUTENTIONS\T130-R100_35298.xlsm</v>
      </c>
    </row>
    <row r="137" spans="1:30" x14ac:dyDescent="0.3">
      <c r="A137" s="44" t="str">
        <f t="shared" ca="1" si="2"/>
        <v>7.MSCT</v>
      </c>
      <c r="B1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7" s="46"/>
      <c r="D137" s="44" t="s">
        <v>262</v>
      </c>
      <c r="E137" s="44" t="s">
        <v>309</v>
      </c>
      <c r="F137" s="47" t="s">
        <v>269</v>
      </c>
      <c r="G137" s="47" t="s">
        <v>270</v>
      </c>
      <c r="H137" s="9">
        <v>35299</v>
      </c>
      <c r="I137" s="9">
        <v>70191</v>
      </c>
      <c r="J137" s="50">
        <v>522933</v>
      </c>
      <c r="K137" s="50">
        <v>9</v>
      </c>
      <c r="L137" s="46" t="s">
        <v>82</v>
      </c>
      <c r="M137" s="73" t="s">
        <v>443</v>
      </c>
      <c r="N137" s="46" t="s">
        <v>60</v>
      </c>
      <c r="O137" s="46"/>
      <c r="P137" s="47"/>
      <c r="Q137" s="46"/>
      <c r="R137" s="46"/>
      <c r="S137" s="48">
        <v>44750</v>
      </c>
      <c r="T137" s="61" t="str">
        <f>IF(Tableau1[[#This Row],[DMS_SAP]]="","",HYPERLINK(Tableau1[[#This Row],[Chemin fichier source]],"X"))</f>
        <v/>
      </c>
      <c r="U137" s="61" t="str">
        <f>IF(Tableau1[[#This Row],[Date rév.]]="","",HYPERLINK(Tableau1[[#This Row],[Lien document]],"X"))</f>
        <v/>
      </c>
      <c r="V137" s="47"/>
      <c r="W137" s="49" t="str">
        <f ca="1">Chemin_accès!$B$2&amp;Tableau1[[#This Row],[Poste Responsable]]&amp;"\"&amp;Tableau1[[#This Row],[Localisation / Classement]]&amp;"\"&amp;Tableau1[[#This Row],[Poste technique]]&amp;"_"&amp;Tableau1[[#This Row],[Plan Entretien]]&amp;".pdf"</f>
        <v>\\stjn.local\trimet\Donnees_Projets\Dms Sap\Maintenance\PlanEntretien\7.MSCT\MANUTENTIONS\T130-R100_35299.pdf</v>
      </c>
      <c r="X137" s="47">
        <v>2</v>
      </c>
      <c r="Y137" s="47">
        <v>2</v>
      </c>
      <c r="Z137" s="44" t="str">
        <f ca="1">IF(AND(Tableau1[[#This Row],[Charge]]&lt;&gt;0, Tableau1[[#This Row],[Nombre intervenants]]&lt;&gt;0,Tableau1[[#This Row],[Lien document]]&lt;&gt;0,Tableau1[[#This Row],[DMS_SAP]]&lt;&gt;0)=TRUE,"MIS A JOUR","")</f>
        <v/>
      </c>
      <c r="AA137" s="48"/>
      <c r="AB137" s="58" t="str">
        <f ca="1">IF(Tableau1[[#This Row],[Date rév.]]&lt;&gt;"", DAYS360(Tableau1[[#This Row],[Date rév.]],TODAY()),"")</f>
        <v/>
      </c>
      <c r="AC137" s="47" t="str">
        <f>IFERROR(INDEX(Chemin_accès!$B$11:$C$22,MATCH(Tableau1[[#This Row],[Type]],Chemin_accès!$C$11:$C$22,0),1),Chemin_accès!$B$11)</f>
        <v>\\stjn.local\trimet\Btechnique\Commun\BT Maint SCELLEMENT\205 - Préventifs\Modèles préventif\GammeDMS_7.MSCT.xlsm</v>
      </c>
      <c r="AD137" s="47" t="str">
        <f>Chemin_accès!$B$8&amp;Tableau1[[#This Row],[Localisation / Classement]]&amp;"\"&amp;Tableau1[[#This Row],[Poste technique]]&amp;"_"&amp;Tableau1[[#This Row],[Plan Entretien]]&amp;".xlsm"</f>
        <v>\\stjn.local\trimet\Btechnique\Commun\BT Maint SCELLEMENT\205 - Préventifs\Gammes 7.MSCT PE Tool\MANUTENTIONS\T130-R100_35299.xlsm</v>
      </c>
    </row>
    <row r="138" spans="1:30" x14ac:dyDescent="0.3">
      <c r="A138" s="44" t="str">
        <f t="shared" ca="1" si="2"/>
        <v>7.MSCT</v>
      </c>
      <c r="B1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8" s="46" t="s">
        <v>485</v>
      </c>
      <c r="D138" s="44" t="s">
        <v>262</v>
      </c>
      <c r="E138" s="44" t="s">
        <v>309</v>
      </c>
      <c r="F138" s="47" t="s">
        <v>269</v>
      </c>
      <c r="G138" s="47" t="s">
        <v>270</v>
      </c>
      <c r="H138" s="9">
        <v>35300</v>
      </c>
      <c r="I138" s="9">
        <v>70192</v>
      </c>
      <c r="J138" s="50">
        <v>522933</v>
      </c>
      <c r="K138" s="50">
        <v>10</v>
      </c>
      <c r="L138" s="46" t="s">
        <v>82</v>
      </c>
      <c r="M138" s="73" t="s">
        <v>444</v>
      </c>
      <c r="N138" s="46" t="s">
        <v>60</v>
      </c>
      <c r="O138" s="46"/>
      <c r="P138" s="47"/>
      <c r="Q138" s="46"/>
      <c r="R138" s="46"/>
      <c r="S138" s="48">
        <v>44750</v>
      </c>
      <c r="T138" s="61" t="str">
        <f>IF(Tableau1[[#This Row],[DMS_SAP]]="","",HYPERLINK(Tableau1[[#This Row],[Chemin fichier source]],"X"))</f>
        <v/>
      </c>
      <c r="U138" s="61" t="str">
        <f>IF(Tableau1[[#This Row],[Date rév.]]="","",HYPERLINK(Tableau1[[#This Row],[Lien document]],"X"))</f>
        <v/>
      </c>
      <c r="V138" s="47"/>
      <c r="W138" s="49" t="str">
        <f ca="1">Chemin_accès!$B$2&amp;Tableau1[[#This Row],[Poste Responsable]]&amp;"\"&amp;Tableau1[[#This Row],[Localisation / Classement]]&amp;"\"&amp;Tableau1[[#This Row],[Poste technique]]&amp;"_"&amp;Tableau1[[#This Row],[Plan Entretien]]&amp;".pdf"</f>
        <v>\\stjn.local\trimet\Donnees_Projets\Dms Sap\Maintenance\PlanEntretien\7.MSCT\MANUTENTIONS\T130-R100_35300.pdf</v>
      </c>
      <c r="X138" s="47">
        <v>2</v>
      </c>
      <c r="Y138" s="47">
        <v>2</v>
      </c>
      <c r="Z138" s="44" t="str">
        <f ca="1">IF(AND(Tableau1[[#This Row],[Charge]]&lt;&gt;0, Tableau1[[#This Row],[Nombre intervenants]]&lt;&gt;0,Tableau1[[#This Row],[Lien document]]&lt;&gt;0,Tableau1[[#This Row],[DMS_SAP]]&lt;&gt;0)=TRUE,"MIS A JOUR","")</f>
        <v/>
      </c>
      <c r="AA138" s="48"/>
      <c r="AB138" s="58" t="str">
        <f ca="1">IF(Tableau1[[#This Row],[Date rév.]]&lt;&gt;"", DAYS360(Tableau1[[#This Row],[Date rév.]],TODAY()),"")</f>
        <v/>
      </c>
      <c r="AC138" s="47" t="str">
        <f>IFERROR(INDEX(Chemin_accès!$B$11:$C$22,MATCH(Tableau1[[#This Row],[Type]],Chemin_accès!$C$11:$C$22,0),1),Chemin_accès!$B$11)</f>
        <v>\\stjn.local\trimet\Btechnique\Commun\BT Maint SCELLEMENT\205 - Préventifs\Modèles préventif\GammeDMS_7.MSCT.xlsm</v>
      </c>
      <c r="AD138" s="47" t="str">
        <f>Chemin_accès!$B$8&amp;Tableau1[[#This Row],[Localisation / Classement]]&amp;"\"&amp;Tableau1[[#This Row],[Poste technique]]&amp;"_"&amp;Tableau1[[#This Row],[Plan Entretien]]&amp;".xlsm"</f>
        <v>\\stjn.local\trimet\Btechnique\Commun\BT Maint SCELLEMENT\205 - Préventifs\Gammes 7.MSCT PE Tool\MANUTENTIONS\T130-R100_35300.xlsm</v>
      </c>
    </row>
    <row r="139" spans="1:30" x14ac:dyDescent="0.3">
      <c r="A139" s="44" t="str">
        <f t="shared" ca="1" si="2"/>
        <v>7.MSCT</v>
      </c>
      <c r="B1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9" s="46"/>
      <c r="D139" s="44" t="s">
        <v>262</v>
      </c>
      <c r="E139" s="44" t="s">
        <v>309</v>
      </c>
      <c r="F139" s="47" t="s">
        <v>269</v>
      </c>
      <c r="G139" s="47" t="s">
        <v>270</v>
      </c>
      <c r="H139" s="9">
        <v>35301</v>
      </c>
      <c r="I139" s="9">
        <v>70193</v>
      </c>
      <c r="J139" s="50">
        <v>522933</v>
      </c>
      <c r="K139" s="50">
        <v>11</v>
      </c>
      <c r="L139" s="46" t="s">
        <v>82</v>
      </c>
      <c r="M139" s="73" t="s">
        <v>445</v>
      </c>
      <c r="N139" s="46" t="s">
        <v>60</v>
      </c>
      <c r="O139" s="46"/>
      <c r="P139" s="47"/>
      <c r="Q139" s="46"/>
      <c r="R139" s="46"/>
      <c r="S139" s="48">
        <v>44750</v>
      </c>
      <c r="T139" s="61" t="str">
        <f>IF(Tableau1[[#This Row],[DMS_SAP]]="","",HYPERLINK(Tableau1[[#This Row],[Chemin fichier source]],"X"))</f>
        <v/>
      </c>
      <c r="U139" s="61" t="str">
        <f>IF(Tableau1[[#This Row],[Date rév.]]="","",HYPERLINK(Tableau1[[#This Row],[Lien document]],"X"))</f>
        <v/>
      </c>
      <c r="V139" s="47"/>
      <c r="W139" s="49" t="str">
        <f ca="1">Chemin_accès!$B$2&amp;Tableau1[[#This Row],[Poste Responsable]]&amp;"\"&amp;Tableau1[[#This Row],[Localisation / Classement]]&amp;"\"&amp;Tableau1[[#This Row],[Poste technique]]&amp;"_"&amp;Tableau1[[#This Row],[Plan Entretien]]&amp;".pdf"</f>
        <v>\\stjn.local\trimet\Donnees_Projets\Dms Sap\Maintenance\PlanEntretien\7.MSCT\MANUTENTIONS\T130-R100_35301.pdf</v>
      </c>
      <c r="X139" s="47">
        <v>2</v>
      </c>
      <c r="Y139" s="47">
        <v>2</v>
      </c>
      <c r="Z139" s="44" t="str">
        <f ca="1">IF(AND(Tableau1[[#This Row],[Charge]]&lt;&gt;0, Tableau1[[#This Row],[Nombre intervenants]]&lt;&gt;0,Tableau1[[#This Row],[Lien document]]&lt;&gt;0,Tableau1[[#This Row],[DMS_SAP]]&lt;&gt;0)=TRUE,"MIS A JOUR","")</f>
        <v/>
      </c>
      <c r="AA139" s="48"/>
      <c r="AB139" s="58" t="str">
        <f ca="1">IF(Tableau1[[#This Row],[Date rév.]]&lt;&gt;"", DAYS360(Tableau1[[#This Row],[Date rév.]],TODAY()),"")</f>
        <v/>
      </c>
      <c r="AC139" s="47" t="str">
        <f>IFERROR(INDEX(Chemin_accès!$B$11:$C$22,MATCH(Tableau1[[#This Row],[Type]],Chemin_accès!$C$11:$C$22,0),1),Chemin_accès!$B$11)</f>
        <v>\\stjn.local\trimet\Btechnique\Commun\BT Maint SCELLEMENT\205 - Préventifs\Modèles préventif\GammeDMS_7.MSCT.xlsm</v>
      </c>
      <c r="AD139" s="47" t="str">
        <f>Chemin_accès!$B$8&amp;Tableau1[[#This Row],[Localisation / Classement]]&amp;"\"&amp;Tableau1[[#This Row],[Poste technique]]&amp;"_"&amp;Tableau1[[#This Row],[Plan Entretien]]&amp;".xlsm"</f>
        <v>\\stjn.local\trimet\Btechnique\Commun\BT Maint SCELLEMENT\205 - Préventifs\Gammes 7.MSCT PE Tool\MANUTENTIONS\T130-R100_35301.xlsm</v>
      </c>
    </row>
    <row r="140" spans="1:30" x14ac:dyDescent="0.3">
      <c r="A140" s="44" t="str">
        <f t="shared" ca="1" si="2"/>
        <v>7.MSCT</v>
      </c>
      <c r="B1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0" s="46"/>
      <c r="D140" s="44" t="s">
        <v>262</v>
      </c>
      <c r="E140" s="44" t="s">
        <v>309</v>
      </c>
      <c r="F140" s="47" t="s">
        <v>269</v>
      </c>
      <c r="G140" s="47" t="s">
        <v>270</v>
      </c>
      <c r="H140" s="9">
        <v>35302</v>
      </c>
      <c r="I140" s="9">
        <v>70194</v>
      </c>
      <c r="J140" s="50">
        <v>522933</v>
      </c>
      <c r="K140" s="50">
        <v>12</v>
      </c>
      <c r="L140" s="46" t="s">
        <v>84</v>
      </c>
      <c r="M140" s="73" t="s">
        <v>549</v>
      </c>
      <c r="N140" s="46" t="s">
        <v>1</v>
      </c>
      <c r="O140" s="46"/>
      <c r="P140" s="47"/>
      <c r="Q140" s="46"/>
      <c r="R140" s="46"/>
      <c r="S140" s="48">
        <v>44750</v>
      </c>
      <c r="T140" s="61" t="str">
        <f>IF(Tableau1[[#This Row],[DMS_SAP]]="","",HYPERLINK(Tableau1[[#This Row],[Chemin fichier source]],"X"))</f>
        <v/>
      </c>
      <c r="U140" s="61" t="str">
        <f>IF(Tableau1[[#This Row],[Date rév.]]="","",HYPERLINK(Tableau1[[#This Row],[Lien document]],"X"))</f>
        <v/>
      </c>
      <c r="V140" s="47"/>
      <c r="W140" s="49" t="str">
        <f ca="1">Chemin_accès!$B$2&amp;Tableau1[[#This Row],[Poste Responsable]]&amp;"\"&amp;Tableau1[[#This Row],[Localisation / Classement]]&amp;"\"&amp;Tableau1[[#This Row],[Poste technique]]&amp;"_"&amp;Tableau1[[#This Row],[Plan Entretien]]&amp;".pdf"</f>
        <v>\\stjn.local\trimet\Donnees_Projets\Dms Sap\Maintenance\PlanEntretien\7.MSCT\MANUTENTIONS\T130-R100_35302.pdf</v>
      </c>
      <c r="X140" s="47">
        <v>2</v>
      </c>
      <c r="Y140" s="47">
        <v>2</v>
      </c>
      <c r="Z140" s="44" t="str">
        <f ca="1">IF(AND(Tableau1[[#This Row],[Charge]]&lt;&gt;0, Tableau1[[#This Row],[Nombre intervenants]]&lt;&gt;0,Tableau1[[#This Row],[Lien document]]&lt;&gt;0,Tableau1[[#This Row],[DMS_SAP]]&lt;&gt;0)=TRUE,"MIS A JOUR","")</f>
        <v/>
      </c>
      <c r="AA140" s="48"/>
      <c r="AB140" s="58" t="str">
        <f ca="1">IF(Tableau1[[#This Row],[Date rév.]]&lt;&gt;"", DAYS360(Tableau1[[#This Row],[Date rév.]],TODAY()),"")</f>
        <v/>
      </c>
      <c r="AC140" s="47" t="str">
        <f>IFERROR(INDEX(Chemin_accès!$B$11:$C$22,MATCH(Tableau1[[#This Row],[Type]],Chemin_accès!$C$11:$C$22,0),1),Chemin_accès!$B$11)</f>
        <v>\\stjn.local\trimet\Btechnique\Commun\BT Maint SCELLEMENT\205 - Préventifs\Modèles préventif\GammeDMS_7.MSCT.xlsm</v>
      </c>
      <c r="AD140" s="47" t="str">
        <f>Chemin_accès!$B$8&amp;Tableau1[[#This Row],[Localisation / Classement]]&amp;"\"&amp;Tableau1[[#This Row],[Poste technique]]&amp;"_"&amp;Tableau1[[#This Row],[Plan Entretien]]&amp;".xlsm"</f>
        <v>\\stjn.local\trimet\Btechnique\Commun\BT Maint SCELLEMENT\205 - Préventifs\Gammes 7.MSCT PE Tool\MANUTENTIONS\T130-R100_35302.xlsm</v>
      </c>
    </row>
    <row r="141" spans="1:30" x14ac:dyDescent="0.3">
      <c r="A141" s="44" t="str">
        <f t="shared" ca="1" si="2"/>
        <v>7.MSCT</v>
      </c>
      <c r="B1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1" s="46"/>
      <c r="D141" s="44" t="s">
        <v>262</v>
      </c>
      <c r="E141" s="44" t="s">
        <v>309</v>
      </c>
      <c r="F141" s="47" t="s">
        <v>269</v>
      </c>
      <c r="G141" s="47" t="s">
        <v>270</v>
      </c>
      <c r="H141" s="9">
        <v>35303</v>
      </c>
      <c r="I141" s="9">
        <v>70195</v>
      </c>
      <c r="J141" s="50">
        <v>522933</v>
      </c>
      <c r="K141" s="50">
        <v>13</v>
      </c>
      <c r="L141" s="46" t="s">
        <v>80</v>
      </c>
      <c r="M141" s="73" t="s">
        <v>446</v>
      </c>
      <c r="N141" s="46" t="s">
        <v>60</v>
      </c>
      <c r="O141" s="46"/>
      <c r="P141" s="47"/>
      <c r="Q141" s="46"/>
      <c r="R141" s="46"/>
      <c r="S141" s="48">
        <v>44750</v>
      </c>
      <c r="T141" s="61" t="str">
        <f>IF(Tableau1[[#This Row],[DMS_SAP]]="","",HYPERLINK(Tableau1[[#This Row],[Chemin fichier source]],"X"))</f>
        <v/>
      </c>
      <c r="U141" s="61" t="str">
        <f>IF(Tableau1[[#This Row],[Date rév.]]="","",HYPERLINK(Tableau1[[#This Row],[Lien document]],"X"))</f>
        <v/>
      </c>
      <c r="V141" s="47"/>
      <c r="W141" s="49" t="str">
        <f ca="1">Chemin_accès!$B$2&amp;Tableau1[[#This Row],[Poste Responsable]]&amp;"\"&amp;Tableau1[[#This Row],[Localisation / Classement]]&amp;"\"&amp;Tableau1[[#This Row],[Poste technique]]&amp;"_"&amp;Tableau1[[#This Row],[Plan Entretien]]&amp;".pdf"</f>
        <v>\\stjn.local\trimet\Donnees_Projets\Dms Sap\Maintenance\PlanEntretien\7.MSCT\MANUTENTIONS\T130-R100_35303.pdf</v>
      </c>
      <c r="X141" s="47">
        <v>2</v>
      </c>
      <c r="Y141" s="47">
        <v>2</v>
      </c>
      <c r="Z141" s="44" t="str">
        <f ca="1">IF(AND(Tableau1[[#This Row],[Charge]]&lt;&gt;0, Tableau1[[#This Row],[Nombre intervenants]]&lt;&gt;0,Tableau1[[#This Row],[Lien document]]&lt;&gt;0,Tableau1[[#This Row],[DMS_SAP]]&lt;&gt;0)=TRUE,"MIS A JOUR","")</f>
        <v/>
      </c>
      <c r="AA141" s="48"/>
      <c r="AB141" s="58" t="str">
        <f ca="1">IF(Tableau1[[#This Row],[Date rév.]]&lt;&gt;"", DAYS360(Tableau1[[#This Row],[Date rév.]],TODAY()),"")</f>
        <v/>
      </c>
      <c r="AC141" s="47" t="str">
        <f>IFERROR(INDEX(Chemin_accès!$B$11:$C$22,MATCH(Tableau1[[#This Row],[Type]],Chemin_accès!$C$11:$C$22,0),1),Chemin_accès!$B$11)</f>
        <v>\\stjn.local\trimet\Btechnique\Commun\BT Maint SCELLEMENT\205 - Préventifs\Modèles préventif\GammeDMS_7.MSCT.xlsm</v>
      </c>
      <c r="AD141" s="47" t="str">
        <f>Chemin_accès!$B$8&amp;Tableau1[[#This Row],[Localisation / Classement]]&amp;"\"&amp;Tableau1[[#This Row],[Poste technique]]&amp;"_"&amp;Tableau1[[#This Row],[Plan Entretien]]&amp;".xlsm"</f>
        <v>\\stjn.local\trimet\Btechnique\Commun\BT Maint SCELLEMENT\205 - Préventifs\Gammes 7.MSCT PE Tool\MANUTENTIONS\T130-R100_35303.xlsm</v>
      </c>
    </row>
    <row r="142" spans="1:30" x14ac:dyDescent="0.3">
      <c r="A142" s="44" t="str">
        <f t="shared" ca="1" si="2"/>
        <v>7.MSCT</v>
      </c>
      <c r="B1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2" s="46" t="s">
        <v>314</v>
      </c>
      <c r="D142" s="44" t="s">
        <v>140</v>
      </c>
      <c r="E142" s="44" t="s">
        <v>309</v>
      </c>
      <c r="F142" s="47" t="s">
        <v>163</v>
      </c>
      <c r="G142" s="47" t="s">
        <v>164</v>
      </c>
      <c r="H142" s="50">
        <v>34875</v>
      </c>
      <c r="I142" s="50">
        <v>69759</v>
      </c>
      <c r="J142" s="50">
        <v>522898</v>
      </c>
      <c r="K142" s="50">
        <v>8</v>
      </c>
      <c r="L142" s="46" t="s">
        <v>86</v>
      </c>
      <c r="M142" s="47" t="s">
        <v>451</v>
      </c>
      <c r="N142" s="46" t="s">
        <v>1</v>
      </c>
      <c r="O142" s="46"/>
      <c r="P142" s="47"/>
      <c r="Q142" s="46"/>
      <c r="R142" s="46"/>
      <c r="S142" s="48">
        <v>44750</v>
      </c>
      <c r="T142" s="61" t="str">
        <f>IF(Tableau1[[#This Row],[DMS_SAP]]="","",HYPERLINK(Tableau1[[#This Row],[Chemin fichier source]],"X"))</f>
        <v>X</v>
      </c>
      <c r="U142" s="61" t="str">
        <f ca="1">IF(Tableau1[[#This Row],[Date rév.]]="","",HYPERLINK(Tableau1[[#This Row],[Lien document]],"X"))</f>
        <v>X</v>
      </c>
      <c r="V142" s="47" t="s">
        <v>453</v>
      </c>
      <c r="W142" s="49" t="str">
        <f ca="1">Chemin_accès!$B$2&amp;Tableau1[[#This Row],[Poste Responsable]]&amp;"\"&amp;Tableau1[[#This Row],[Localisation / Classement]]&amp;"\"&amp;Tableau1[[#This Row],[Poste technique]]&amp;"_"&amp;Tableau1[[#This Row],[Plan Entretien]]&amp;".pdf"</f>
        <v>\\stjn.local\trimet\Donnees_Projets\Dms Sap\Maintenance\PlanEntretien\7.MSCT\CONVOYEURS\T130-F_34875.pdf</v>
      </c>
      <c r="X142" s="47">
        <v>4</v>
      </c>
      <c r="Y142" s="47">
        <v>2</v>
      </c>
      <c r="Z142" s="44" t="str">
        <f ca="1">IF(AND(Tableau1[[#This Row],[Charge]]&lt;&gt;0, Tableau1[[#This Row],[Nombre intervenants]]&lt;&gt;0,Tableau1[[#This Row],[Lien document]]&lt;&gt;0,Tableau1[[#This Row],[DMS_SAP]]&lt;&gt;0)=TRUE,"MIS A JOUR","")</f>
        <v>MIS A JOUR</v>
      </c>
      <c r="AA142" s="48">
        <v>46139</v>
      </c>
      <c r="AB142" s="58">
        <f ca="1">IF(Tableau1[[#This Row],[Date rév.]]&lt;&gt;"", DAYS360(Tableau1[[#This Row],[Date rév.]],TODAY()),"")</f>
        <v>147</v>
      </c>
      <c r="AC142" s="47" t="str">
        <f>IFERROR(INDEX(Chemin_accès!$B$11:$C$22,MATCH(Tableau1[[#This Row],[Type]],Chemin_accès!$C$11:$C$22,0),1),Chemin_accès!$B$11)</f>
        <v>\\stjn.local\trimet\Btechnique\Commun\BT Maint SCELLEMENT\205 - Préventifs\Modèles préventif\GammeDMS_7.MSCT.xlsm</v>
      </c>
      <c r="AD142" s="47" t="str">
        <f>Chemin_accès!$B$8&amp;Tableau1[[#This Row],[Localisation / Classement]]&amp;"\"&amp;Tableau1[[#This Row],[Poste technique]]&amp;"_"&amp;Tableau1[[#This Row],[Plan Entretien]]&amp;".xlsm"</f>
        <v>\\stjn.local\trimet\Btechnique\Commun\BT Maint SCELLEMENT\205 - Préventifs\Gammes 7.MSCT PE Tool\CONVOYEURS\T130-F_34875.xlsm</v>
      </c>
    </row>
    <row r="143" spans="1:30" x14ac:dyDescent="0.3">
      <c r="A143" s="44" t="str">
        <f t="shared" ca="1" si="2"/>
        <v>7.MSCT</v>
      </c>
      <c r="B1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3" s="46" t="s">
        <v>314</v>
      </c>
      <c r="D143" s="44" t="s">
        <v>140</v>
      </c>
      <c r="E143" s="44" t="s">
        <v>309</v>
      </c>
      <c r="F143" s="47" t="s">
        <v>163</v>
      </c>
      <c r="G143" s="47" t="s">
        <v>164</v>
      </c>
      <c r="H143" s="12">
        <v>34876</v>
      </c>
      <c r="I143" s="12">
        <v>69760</v>
      </c>
      <c r="J143" s="50">
        <v>522898</v>
      </c>
      <c r="K143" s="50">
        <v>9</v>
      </c>
      <c r="L143" s="46" t="s">
        <v>86</v>
      </c>
      <c r="M143" s="47" t="s">
        <v>477</v>
      </c>
      <c r="N143" s="46" t="s">
        <v>62</v>
      </c>
      <c r="O143" s="46"/>
      <c r="P143" s="47"/>
      <c r="Q143" s="46"/>
      <c r="R143" s="46"/>
      <c r="S143" s="48">
        <v>44744</v>
      </c>
      <c r="T143" s="61" t="str">
        <f>IF(Tableau1[[#This Row],[DMS_SAP]]="","",HYPERLINK(Tableau1[[#This Row],[Chemin fichier source]],"X"))</f>
        <v>X</v>
      </c>
      <c r="U143" s="61" t="str">
        <f ca="1">IF(Tableau1[[#This Row],[Date rév.]]="","",HYPERLINK(Tableau1[[#This Row],[Lien document]],"X"))</f>
        <v>X</v>
      </c>
      <c r="V143" s="47" t="s">
        <v>514</v>
      </c>
      <c r="W143" s="49" t="str">
        <f ca="1">Chemin_accès!$B$2&amp;Tableau1[[#This Row],[Poste Responsable]]&amp;"\"&amp;Tableau1[[#This Row],[Localisation / Classement]]&amp;"\"&amp;Tableau1[[#This Row],[Poste technique]]&amp;"_"&amp;Tableau1[[#This Row],[Plan Entretien]]&amp;".pdf"</f>
        <v>\\stjn.local\trimet\Donnees_Projets\Dms Sap\Maintenance\PlanEntretien\7.MSCT\CONVOYEURS\T130-F_34876.pdf</v>
      </c>
      <c r="X143" s="47">
        <v>4</v>
      </c>
      <c r="Y143" s="47">
        <v>2</v>
      </c>
      <c r="Z143" s="44" t="str">
        <f ca="1">IF(AND(Tableau1[[#This Row],[Charge]]&lt;&gt;0, Tableau1[[#This Row],[Nombre intervenants]]&lt;&gt;0,Tableau1[[#This Row],[Lien document]]&lt;&gt;0,Tableau1[[#This Row],[DMS_SAP]]&lt;&gt;0)=TRUE,"MIS A JOUR","")</f>
        <v>MIS A JOUR</v>
      </c>
      <c r="AA143" s="48">
        <v>45140</v>
      </c>
      <c r="AB143" s="58">
        <f ca="1">IF(Tableau1[[#This Row],[Date rév.]]&lt;&gt;"", DAYS360(Tableau1[[#This Row],[Date rév.]],TODAY()),"")</f>
        <v>1132</v>
      </c>
      <c r="AC143" s="47" t="str">
        <f>IFERROR(INDEX(Chemin_accès!$B$11:$C$22,MATCH(Tableau1[[#This Row],[Type]],Chemin_accès!$C$11:$C$22,0),1),Chemin_accès!$B$11)</f>
        <v>\\stjn.local\trimet\Btechnique\Commun\BT Maint SCELLEMENT\205 - Préventifs\Modèles préventif\GammeDMS_7.MSCT.xlsm</v>
      </c>
      <c r="AD143" s="47" t="str">
        <f>Chemin_accès!$B$8&amp;Tableau1[[#This Row],[Localisation / Classement]]&amp;"\"&amp;Tableau1[[#This Row],[Poste technique]]&amp;"_"&amp;Tableau1[[#This Row],[Plan Entretien]]&amp;".xlsm"</f>
        <v>\\stjn.local\trimet\Btechnique\Commun\BT Maint SCELLEMENT\205 - Préventifs\Gammes 7.MSCT PE Tool\CONVOYEURS\T130-F_34876.xlsm</v>
      </c>
    </row>
    <row r="144" spans="1:30" x14ac:dyDescent="0.3">
      <c r="A144" s="44" t="str">
        <f t="shared" ca="1" si="2"/>
        <v>7.MSCT</v>
      </c>
      <c r="B1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4" s="46"/>
      <c r="D144" s="44" t="s">
        <v>206</v>
      </c>
      <c r="E144" s="44" t="s">
        <v>312</v>
      </c>
      <c r="F144" s="47" t="s">
        <v>457</v>
      </c>
      <c r="G144" s="47" t="s">
        <v>208</v>
      </c>
      <c r="H144" s="12">
        <v>33638</v>
      </c>
      <c r="I144" s="12">
        <v>67793</v>
      </c>
      <c r="J144" s="50">
        <v>523170</v>
      </c>
      <c r="K144" s="50">
        <v>1</v>
      </c>
      <c r="L144" s="46" t="s">
        <v>80</v>
      </c>
      <c r="M144" s="47" t="s">
        <v>459</v>
      </c>
      <c r="N144" s="46" t="s">
        <v>60</v>
      </c>
      <c r="O144" s="46"/>
      <c r="P144" s="47"/>
      <c r="Q144" s="46"/>
      <c r="R144" s="46"/>
      <c r="S144" s="48">
        <v>44750</v>
      </c>
      <c r="T144" s="61" t="str">
        <f>IF(Tableau1[[#This Row],[DMS_SAP]]="","",HYPERLINK(Tableau1[[#This Row],[Chemin fichier source]],"X"))</f>
        <v/>
      </c>
      <c r="U144" s="61" t="str">
        <f>IF(Tableau1[[#This Row],[Date rév.]]="","",HYPERLINK(Tableau1[[#This Row],[Lien document]],"X"))</f>
        <v/>
      </c>
      <c r="V144" s="47"/>
      <c r="W144" s="49" t="str">
        <f ca="1">Chemin_accès!$B$2&amp;Tableau1[[#This Row],[Poste Responsable]]&amp;"\"&amp;Tableau1[[#This Row],[Localisation / Classement]]&amp;"\"&amp;Tableau1[[#This Row],[Poste technique]]&amp;"_"&amp;Tableau1[[#This Row],[Plan Entretien]]&amp;".pdf"</f>
        <v>\\stjn.local\trimet\Donnees_Projets\Dms Sap\Maintenance\PlanEntretien\7.MSCT\EVACUATION\T130-N120_33638.pdf</v>
      </c>
      <c r="X144" s="47">
        <v>2</v>
      </c>
      <c r="Y144" s="47">
        <v>2</v>
      </c>
      <c r="Z144" s="44" t="str">
        <f ca="1">IF(AND(Tableau1[[#This Row],[Charge]]&lt;&gt;0, Tableau1[[#This Row],[Nombre intervenants]]&lt;&gt;0,Tableau1[[#This Row],[Lien document]]&lt;&gt;0,Tableau1[[#This Row],[DMS_SAP]]&lt;&gt;0)=TRUE,"MIS A JOUR","")</f>
        <v/>
      </c>
      <c r="AA144" s="48"/>
      <c r="AB144" s="58" t="str">
        <f ca="1">IF(Tableau1[[#This Row],[Date rév.]]&lt;&gt;"", DAYS360(Tableau1[[#This Row],[Date rév.]],TODAY()),"")</f>
        <v/>
      </c>
      <c r="AC144" s="47" t="str">
        <f>IFERROR(INDEX(Chemin_accès!$B$11:$C$22,MATCH(Tableau1[[#This Row],[Type]],Chemin_accès!$C$11:$C$22,0),1),Chemin_accès!$B$11)</f>
        <v>\\stjn.local\trimet\Btechnique\Commun\BT Maint SCELLEMENT\205 - Préventifs\Modèles préventif\GammeDMS_7.MSCT.xlsm</v>
      </c>
      <c r="AD144" s="47" t="str">
        <f>Chemin_accès!$B$8&amp;Tableau1[[#This Row],[Localisation / Classement]]&amp;"\"&amp;Tableau1[[#This Row],[Poste technique]]&amp;"_"&amp;Tableau1[[#This Row],[Plan Entretien]]&amp;".xlsm"</f>
        <v>\\stjn.local\trimet\Btechnique\Commun\BT Maint SCELLEMENT\205 - Préventifs\Gammes 7.MSCT PE Tool\EVACUATION\T130-N120_33638.xlsm</v>
      </c>
    </row>
    <row r="145" spans="1:30" x14ac:dyDescent="0.3">
      <c r="A145" s="44" t="str">
        <f t="shared" ca="1" si="2"/>
        <v>7.MSCT</v>
      </c>
      <c r="B1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5" s="46"/>
      <c r="D145" s="44" t="s">
        <v>206</v>
      </c>
      <c r="E145" s="44" t="s">
        <v>312</v>
      </c>
      <c r="F145" s="47" t="s">
        <v>455</v>
      </c>
      <c r="G145" s="47" t="s">
        <v>208</v>
      </c>
      <c r="H145" s="12">
        <v>35304</v>
      </c>
      <c r="I145" s="12">
        <v>70196</v>
      </c>
      <c r="J145" s="50">
        <v>523171</v>
      </c>
      <c r="K145" s="50">
        <v>1</v>
      </c>
      <c r="L145" s="46" t="s">
        <v>36</v>
      </c>
      <c r="M145" s="47" t="s">
        <v>460</v>
      </c>
      <c r="N145" s="46" t="s">
        <v>60</v>
      </c>
      <c r="O145" s="46"/>
      <c r="P145" s="47"/>
      <c r="Q145" s="46"/>
      <c r="R145" s="46"/>
      <c r="S145" s="48">
        <v>44750</v>
      </c>
      <c r="T145" s="61" t="str">
        <f>IF(Tableau1[[#This Row],[DMS_SAP]]="","",HYPERLINK(Tableau1[[#This Row],[Chemin fichier source]],"X"))</f>
        <v/>
      </c>
      <c r="U145" s="61" t="str">
        <f>IF(Tableau1[[#This Row],[Date rév.]]="","",HYPERLINK(Tableau1[[#This Row],[Lien document]],"X"))</f>
        <v/>
      </c>
      <c r="V145" s="47"/>
      <c r="W145" s="49" t="str">
        <f ca="1">Chemin_accès!$B$2&amp;Tableau1[[#This Row],[Poste Responsable]]&amp;"\"&amp;Tableau1[[#This Row],[Localisation / Classement]]&amp;"\"&amp;Tableau1[[#This Row],[Poste technique]]&amp;"_"&amp;Tableau1[[#This Row],[Plan Entretien]]&amp;".pdf"</f>
        <v>\\stjn.local\trimet\Donnees_Projets\Dms Sap\Maintenance\PlanEntretien\7.MSCT\EVACUATION\T130-M170_35304.pdf</v>
      </c>
      <c r="X145" s="47">
        <v>2</v>
      </c>
      <c r="Y145" s="47">
        <v>2</v>
      </c>
      <c r="Z145" s="44" t="str">
        <f ca="1">IF(AND(Tableau1[[#This Row],[Charge]]&lt;&gt;0, Tableau1[[#This Row],[Nombre intervenants]]&lt;&gt;0,Tableau1[[#This Row],[Lien document]]&lt;&gt;0,Tableau1[[#This Row],[DMS_SAP]]&lt;&gt;0)=TRUE,"MIS A JOUR","")</f>
        <v/>
      </c>
      <c r="AA145" s="48"/>
      <c r="AB145" s="58" t="str">
        <f ca="1">IF(Tableau1[[#This Row],[Date rév.]]&lt;&gt;"", DAYS360(Tableau1[[#This Row],[Date rév.]],TODAY()),"")</f>
        <v/>
      </c>
      <c r="AC145" s="47" t="str">
        <f>IFERROR(INDEX(Chemin_accès!$B$11:$C$22,MATCH(Tableau1[[#This Row],[Type]],Chemin_accès!$C$11:$C$22,0),1),Chemin_accès!$B$11)</f>
        <v>\\stjn.local\trimet\Btechnique\Commun\BT Maint SCELLEMENT\205 - Préventifs\Modèles préventif\GammeDMS_7.MSCT.xlsm</v>
      </c>
      <c r="AD145" s="47" t="str">
        <f>Chemin_accès!$B$8&amp;Tableau1[[#This Row],[Localisation / Classement]]&amp;"\"&amp;Tableau1[[#This Row],[Poste technique]]&amp;"_"&amp;Tableau1[[#This Row],[Plan Entretien]]&amp;".xlsm"</f>
        <v>\\stjn.local\trimet\Btechnique\Commun\BT Maint SCELLEMENT\205 - Préventifs\Gammes 7.MSCT PE Tool\EVACUATION\T130-M170_35304.xlsm</v>
      </c>
    </row>
    <row r="146" spans="1:30" x14ac:dyDescent="0.3">
      <c r="A146" s="44" t="str">
        <f t="shared" ca="1" si="2"/>
        <v>7.MSCT</v>
      </c>
      <c r="B1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6" s="46"/>
      <c r="D146" s="44" t="s">
        <v>206</v>
      </c>
      <c r="E146" s="44" t="s">
        <v>312</v>
      </c>
      <c r="F146" s="47" t="s">
        <v>454</v>
      </c>
      <c r="G146" s="47" t="s">
        <v>208</v>
      </c>
      <c r="H146" s="12">
        <v>35305</v>
      </c>
      <c r="I146" s="12">
        <v>70197</v>
      </c>
      <c r="J146" s="50">
        <v>523172</v>
      </c>
      <c r="K146" s="50">
        <v>1</v>
      </c>
      <c r="L146" s="46" t="s">
        <v>36</v>
      </c>
      <c r="M146" s="47" t="s">
        <v>461</v>
      </c>
      <c r="N146" s="46" t="s">
        <v>60</v>
      </c>
      <c r="O146" s="46"/>
      <c r="P146" s="47"/>
      <c r="Q146" s="46"/>
      <c r="R146" s="46"/>
      <c r="S146" s="48">
        <v>44750</v>
      </c>
      <c r="T146" s="61" t="str">
        <f>IF(Tableau1[[#This Row],[DMS_SAP]]="","",HYPERLINK(Tableau1[[#This Row],[Chemin fichier source]],"X"))</f>
        <v/>
      </c>
      <c r="U146" s="61" t="str">
        <f>IF(Tableau1[[#This Row],[Date rév.]]="","",HYPERLINK(Tableau1[[#This Row],[Lien document]],"X"))</f>
        <v/>
      </c>
      <c r="V146" s="47"/>
      <c r="W146" s="49" t="str">
        <f ca="1">Chemin_accès!$B$2&amp;Tableau1[[#This Row],[Poste Responsable]]&amp;"\"&amp;Tableau1[[#This Row],[Localisation / Classement]]&amp;"\"&amp;Tableau1[[#This Row],[Poste technique]]&amp;"_"&amp;Tableau1[[#This Row],[Plan Entretien]]&amp;".pdf"</f>
        <v>\\stjn.local\trimet\Donnees_Projets\Dms Sap\Maintenance\PlanEntretien\7.MSCT\EVACUATION\T130-M160_35305.pdf</v>
      </c>
      <c r="X146" s="47">
        <v>2</v>
      </c>
      <c r="Y146" s="47">
        <v>2</v>
      </c>
      <c r="Z146" s="44" t="str">
        <f ca="1">IF(AND(Tableau1[[#This Row],[Charge]]&lt;&gt;0, Tableau1[[#This Row],[Nombre intervenants]]&lt;&gt;0,Tableau1[[#This Row],[Lien document]]&lt;&gt;0,Tableau1[[#This Row],[DMS_SAP]]&lt;&gt;0)=TRUE,"MIS A JOUR","")</f>
        <v/>
      </c>
      <c r="AA146" s="48"/>
      <c r="AB146" s="58" t="str">
        <f ca="1">IF(Tableau1[[#This Row],[Date rév.]]&lt;&gt;"", DAYS360(Tableau1[[#This Row],[Date rév.]],TODAY()),"")</f>
        <v/>
      </c>
      <c r="AC146" s="47" t="str">
        <f>IFERROR(INDEX(Chemin_accès!$B$11:$C$22,MATCH(Tableau1[[#This Row],[Type]],Chemin_accès!$C$11:$C$22,0),1),Chemin_accès!$B$11)</f>
        <v>\\stjn.local\trimet\Btechnique\Commun\BT Maint SCELLEMENT\205 - Préventifs\Modèles préventif\GammeDMS_7.MSCT.xlsm</v>
      </c>
      <c r="AD146" s="47" t="str">
        <f>Chemin_accès!$B$8&amp;Tableau1[[#This Row],[Localisation / Classement]]&amp;"\"&amp;Tableau1[[#This Row],[Poste technique]]&amp;"_"&amp;Tableau1[[#This Row],[Plan Entretien]]&amp;".xlsm"</f>
        <v>\\stjn.local\trimet\Btechnique\Commun\BT Maint SCELLEMENT\205 - Préventifs\Gammes 7.MSCT PE Tool\EVACUATION\T130-M160_35305.xlsm</v>
      </c>
    </row>
    <row r="147" spans="1:30" x14ac:dyDescent="0.3">
      <c r="A147" s="44" t="str">
        <f t="shared" ca="1" si="2"/>
        <v>7.MSCT</v>
      </c>
      <c r="B1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7" s="46"/>
      <c r="D147" s="44" t="s">
        <v>206</v>
      </c>
      <c r="E147" s="44" t="s">
        <v>312</v>
      </c>
      <c r="F147" s="47" t="s">
        <v>456</v>
      </c>
      <c r="G147" s="47" t="s">
        <v>208</v>
      </c>
      <c r="H147" s="12">
        <v>35306</v>
      </c>
      <c r="I147" s="12">
        <v>70198</v>
      </c>
      <c r="J147" s="50">
        <v>523173</v>
      </c>
      <c r="K147" s="50">
        <v>1</v>
      </c>
      <c r="L147" s="46" t="s">
        <v>80</v>
      </c>
      <c r="M147" s="47" t="s">
        <v>462</v>
      </c>
      <c r="N147" s="46" t="s">
        <v>60</v>
      </c>
      <c r="O147" s="46"/>
      <c r="P147" s="47"/>
      <c r="Q147" s="46"/>
      <c r="R147" s="46"/>
      <c r="S147" s="48">
        <v>44750</v>
      </c>
      <c r="T147" s="61" t="str">
        <f>IF(Tableau1[[#This Row],[DMS_SAP]]="","",HYPERLINK(Tableau1[[#This Row],[Chemin fichier source]],"X"))</f>
        <v/>
      </c>
      <c r="U147" s="61" t="str">
        <f>IF(Tableau1[[#This Row],[Date rév.]]="","",HYPERLINK(Tableau1[[#This Row],[Lien document]],"X"))</f>
        <v/>
      </c>
      <c r="V147" s="47"/>
      <c r="W147" s="49" t="str">
        <f ca="1">Chemin_accès!$B$2&amp;Tableau1[[#This Row],[Poste Responsable]]&amp;"\"&amp;Tableau1[[#This Row],[Localisation / Classement]]&amp;"\"&amp;Tableau1[[#This Row],[Poste technique]]&amp;"_"&amp;Tableau1[[#This Row],[Plan Entretien]]&amp;".pdf"</f>
        <v>\\stjn.local\trimet\Donnees_Projets\Dms Sap\Maintenance\PlanEntretien\7.MSCT\EVACUATION\T130-M180_35306.pdf</v>
      </c>
      <c r="X147" s="47">
        <v>2</v>
      </c>
      <c r="Y147" s="47">
        <v>2</v>
      </c>
      <c r="Z147" s="44" t="str">
        <f ca="1">IF(AND(Tableau1[[#This Row],[Charge]]&lt;&gt;0, Tableau1[[#This Row],[Nombre intervenants]]&lt;&gt;0,Tableau1[[#This Row],[Lien document]]&lt;&gt;0,Tableau1[[#This Row],[DMS_SAP]]&lt;&gt;0)=TRUE,"MIS A JOUR","")</f>
        <v/>
      </c>
      <c r="AA147" s="48"/>
      <c r="AB147" s="58" t="str">
        <f ca="1">IF(Tableau1[[#This Row],[Date rév.]]&lt;&gt;"", DAYS360(Tableau1[[#This Row],[Date rév.]],TODAY()),"")</f>
        <v/>
      </c>
      <c r="AC147" s="47" t="str">
        <f>IFERROR(INDEX(Chemin_accès!$B$11:$C$22,MATCH(Tableau1[[#This Row],[Type]],Chemin_accès!$C$11:$C$22,0),1),Chemin_accès!$B$11)</f>
        <v>\\stjn.local\trimet\Btechnique\Commun\BT Maint SCELLEMENT\205 - Préventifs\Modèles préventif\GammeDMS_7.MSCT.xlsm</v>
      </c>
      <c r="AD147" s="47" t="str">
        <f>Chemin_accès!$B$8&amp;Tableau1[[#This Row],[Localisation / Classement]]&amp;"\"&amp;Tableau1[[#This Row],[Poste technique]]&amp;"_"&amp;Tableau1[[#This Row],[Plan Entretien]]&amp;".xlsm"</f>
        <v>\\stjn.local\trimet\Btechnique\Commun\BT Maint SCELLEMENT\205 - Préventifs\Gammes 7.MSCT PE Tool\EVACUATION\T130-M180_35306.xlsm</v>
      </c>
    </row>
    <row r="148" spans="1:30" x14ac:dyDescent="0.3">
      <c r="A148" s="44" t="str">
        <f t="shared" ca="1" si="2"/>
        <v>7.MSCT</v>
      </c>
      <c r="B1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8" s="46"/>
      <c r="D148" s="44" t="s">
        <v>243</v>
      </c>
      <c r="E148" s="44" t="s">
        <v>309</v>
      </c>
      <c r="F148" s="47" t="s">
        <v>254</v>
      </c>
      <c r="G148" s="47" t="s">
        <v>245</v>
      </c>
      <c r="H148" s="12">
        <v>33891</v>
      </c>
      <c r="I148" s="12">
        <v>68361</v>
      </c>
      <c r="J148" s="50">
        <v>522927</v>
      </c>
      <c r="K148" s="50">
        <v>4</v>
      </c>
      <c r="L148" s="46" t="s">
        <v>476</v>
      </c>
      <c r="M148" s="47" t="s">
        <v>458</v>
      </c>
      <c r="N148" s="46" t="s">
        <v>64</v>
      </c>
      <c r="O148" s="46"/>
      <c r="P148" s="47"/>
      <c r="Q148" s="46"/>
      <c r="R148" s="46"/>
      <c r="S148" s="48">
        <v>44750</v>
      </c>
      <c r="T148" s="61" t="str">
        <f>IF(Tableau1[[#This Row],[DMS_SAP]]="","",HYPERLINK(Tableau1[[#This Row],[Chemin fichier source]],"X"))</f>
        <v/>
      </c>
      <c r="U148" s="61" t="str">
        <f>IF(Tableau1[[#This Row],[Date rév.]]="","",HYPERLINK(Tableau1[[#This Row],[Lien document]],"X"))</f>
        <v/>
      </c>
      <c r="V148" s="47"/>
      <c r="W148" s="49" t="str">
        <f ca="1">Chemin_accès!$B$2&amp;Tableau1[[#This Row],[Poste Responsable]]&amp;"\"&amp;Tableau1[[#This Row],[Localisation / Classement]]&amp;"\"&amp;Tableau1[[#This Row],[Poste technique]]&amp;"_"&amp;Tableau1[[#This Row],[Plan Entretien]]&amp;".pdf"</f>
        <v>\\stjn.local\trimet\Donnees_Projets\Dms Sap\Maintenance\PlanEntretien\7.MSCT\FOURS\T130-P180_33891.pdf</v>
      </c>
      <c r="X148" s="47"/>
      <c r="Y148" s="47"/>
      <c r="Z148" s="44" t="str">
        <f ca="1">IF(AND(Tableau1[[#This Row],[Charge]]&lt;&gt;0, Tableau1[[#This Row],[Nombre intervenants]]&lt;&gt;0,Tableau1[[#This Row],[Lien document]]&lt;&gt;0,Tableau1[[#This Row],[DMS_SAP]]&lt;&gt;0)=TRUE,"MIS A JOUR","")</f>
        <v/>
      </c>
      <c r="AA148" s="48"/>
      <c r="AB148" s="58" t="str">
        <f ca="1">IF(Tableau1[[#This Row],[Date rév.]]&lt;&gt;"", DAYS360(Tableau1[[#This Row],[Date rév.]],TODAY()),"")</f>
        <v/>
      </c>
      <c r="AC148" s="47" t="str">
        <f>IFERROR(INDEX(Chemin_accès!$B$11:$C$22,MATCH(Tableau1[[#This Row],[Type]],Chemin_accès!$C$11:$C$22,0),1),Chemin_accès!$B$11)</f>
        <v>\\stjn.local\trimet\Btechnique\Commun\BT Maint SCELLEMENT\205 - Préventifs\Modèles préventif\GammeDMS_7.MSCT.xlsm</v>
      </c>
      <c r="AD148" s="47" t="str">
        <f>Chemin_accès!$B$8&amp;Tableau1[[#This Row],[Localisation / Classement]]&amp;"\"&amp;Tableau1[[#This Row],[Poste technique]]&amp;"_"&amp;Tableau1[[#This Row],[Plan Entretien]]&amp;".xlsm"</f>
        <v>\\stjn.local\trimet\Btechnique\Commun\BT Maint SCELLEMENT\205 - Préventifs\Gammes 7.MSCT PE Tool\FOURS\T130-P180_33891.xlsm</v>
      </c>
    </row>
    <row r="149" spans="1:30" x14ac:dyDescent="0.3">
      <c r="A149" s="44" t="str">
        <f t="shared" ca="1" si="2"/>
        <v>7.MSCT</v>
      </c>
      <c r="B1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9" s="46"/>
      <c r="D149" s="44" t="s">
        <v>306</v>
      </c>
      <c r="E149" s="44" t="s">
        <v>309</v>
      </c>
      <c r="F149" s="47" t="s">
        <v>303</v>
      </c>
      <c r="G149" s="47" t="s">
        <v>304</v>
      </c>
      <c r="H149" s="12">
        <v>33544</v>
      </c>
      <c r="I149" s="12">
        <v>66997</v>
      </c>
      <c r="J149" s="50">
        <v>523096</v>
      </c>
      <c r="K149" s="50">
        <v>6</v>
      </c>
      <c r="L149" s="46" t="s">
        <v>80</v>
      </c>
      <c r="M149" s="47" t="s">
        <v>463</v>
      </c>
      <c r="N149" s="46" t="s">
        <v>60</v>
      </c>
      <c r="O149" s="46"/>
      <c r="P149" s="47"/>
      <c r="Q149" s="46"/>
      <c r="R149" s="46"/>
      <c r="S149" s="48">
        <v>44750</v>
      </c>
      <c r="T149" s="61" t="str">
        <f>IF(Tableau1[[#This Row],[DMS_SAP]]="","",HYPERLINK(Tableau1[[#This Row],[Chemin fichier source]],"X"))</f>
        <v/>
      </c>
      <c r="U149" s="61" t="str">
        <f>IF(Tableau1[[#This Row],[Date rév.]]="","",HYPERLINK(Tableau1[[#This Row],[Lien document]],"X"))</f>
        <v/>
      </c>
      <c r="V149" s="47"/>
      <c r="W149" s="49" t="str">
        <f ca="1">Chemin_accès!$B$2&amp;Tableau1[[#This Row],[Poste Responsable]]&amp;"\"&amp;Tableau1[[#This Row],[Localisation / Classement]]&amp;"\"&amp;Tableau1[[#This Row],[Poste technique]]&amp;"_"&amp;Tableau1[[#This Row],[Plan Entretien]]&amp;".pdf"</f>
        <v>\\stjn.local\trimet\Donnees_Projets\Dms Sap\Maintenance\PlanEntretien\7.MSCT\BATIMENT SCLMT\T130-B_33544.pdf</v>
      </c>
      <c r="X149" s="47">
        <v>2</v>
      </c>
      <c r="Y149" s="47">
        <v>2</v>
      </c>
      <c r="Z149" s="44" t="str">
        <f ca="1">IF(AND(Tableau1[[#This Row],[Charge]]&lt;&gt;0, Tableau1[[#This Row],[Nombre intervenants]]&lt;&gt;0,Tableau1[[#This Row],[Lien document]]&lt;&gt;0,Tableau1[[#This Row],[DMS_SAP]]&lt;&gt;0)=TRUE,"MIS A JOUR","")</f>
        <v/>
      </c>
      <c r="AA149" s="48"/>
      <c r="AB149" s="58" t="str">
        <f ca="1">IF(Tableau1[[#This Row],[Date rév.]]&lt;&gt;"", DAYS360(Tableau1[[#This Row],[Date rév.]],TODAY()),"")</f>
        <v/>
      </c>
      <c r="AC149" s="47" t="str">
        <f>IFERROR(INDEX(Chemin_accès!$B$11:$C$22,MATCH(Tableau1[[#This Row],[Type]],Chemin_accès!$C$11:$C$22,0),1),Chemin_accès!$B$11)</f>
        <v>\\stjn.local\trimet\Btechnique\Commun\BT Maint SCELLEMENT\205 - Préventifs\Modèles préventif\GammeDMS_7.MSCT.xlsm</v>
      </c>
      <c r="AD149" s="47" t="str">
        <f>Chemin_accès!$B$8&amp;Tableau1[[#This Row],[Localisation / Classement]]&amp;"\"&amp;Tableau1[[#This Row],[Poste technique]]&amp;"_"&amp;Tableau1[[#This Row],[Plan Entretien]]&amp;".xlsm"</f>
        <v>\\stjn.local\trimet\Btechnique\Commun\BT Maint SCELLEMENT\205 - Préventifs\Gammes 7.MSCT PE Tool\BATIMENT SCLMT\T130-B_33544.xlsm</v>
      </c>
    </row>
    <row r="150" spans="1:30" x14ac:dyDescent="0.3">
      <c r="A150" s="44" t="str">
        <f t="shared" ca="1" si="2"/>
        <v>7.MSCT</v>
      </c>
      <c r="B1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0" s="46" t="s">
        <v>314</v>
      </c>
      <c r="D150" s="44" t="s">
        <v>306</v>
      </c>
      <c r="E150" s="44" t="s">
        <v>309</v>
      </c>
      <c r="F150" s="47" t="s">
        <v>303</v>
      </c>
      <c r="G150" s="47" t="s">
        <v>304</v>
      </c>
      <c r="H150" s="12">
        <v>33641</v>
      </c>
      <c r="I150" s="12">
        <v>67669</v>
      </c>
      <c r="J150" s="50">
        <v>523096</v>
      </c>
      <c r="K150" s="50">
        <v>7</v>
      </c>
      <c r="L150" s="46" t="s">
        <v>86</v>
      </c>
      <c r="M150" s="47" t="s">
        <v>464</v>
      </c>
      <c r="N150" s="46" t="s">
        <v>61</v>
      </c>
      <c r="O150" s="46"/>
      <c r="P150" s="47"/>
      <c r="Q150" s="46"/>
      <c r="R150" s="46"/>
      <c r="S150" s="48">
        <v>44750</v>
      </c>
      <c r="T150" s="61" t="str">
        <f>IF(Tableau1[[#This Row],[DMS_SAP]]="","",HYPERLINK(Tableau1[[#This Row],[Chemin fichier source]],"X"))</f>
        <v>X</v>
      </c>
      <c r="U150" s="61" t="str">
        <f ca="1">IF(Tableau1[[#This Row],[Date rév.]]="","",HYPERLINK(Tableau1[[#This Row],[Lien document]],"X"))</f>
        <v>X</v>
      </c>
      <c r="V150" s="47" t="s">
        <v>495</v>
      </c>
      <c r="W150" s="49" t="str">
        <f ca="1">Chemin_accès!$B$2&amp;Tableau1[[#This Row],[Poste Responsable]]&amp;"\"&amp;Tableau1[[#This Row],[Localisation / Classement]]&amp;"\"&amp;Tableau1[[#This Row],[Poste technique]]&amp;"_"&amp;Tableau1[[#This Row],[Plan Entretien]]&amp;".pdf"</f>
        <v>\\stjn.local\trimet\Donnees_Projets\Dms Sap\Maintenance\PlanEntretien\7.MSCT\BATIMENT SCLMT\T130-B_33641.pdf</v>
      </c>
      <c r="X150" s="47">
        <v>2</v>
      </c>
      <c r="Y150" s="47">
        <v>1</v>
      </c>
      <c r="Z150" s="44" t="str">
        <f ca="1">IF(AND(Tableau1[[#This Row],[Charge]]&lt;&gt;0, Tableau1[[#This Row],[Nombre intervenants]]&lt;&gt;0,Tableau1[[#This Row],[Lien document]]&lt;&gt;0,Tableau1[[#This Row],[DMS_SAP]]&lt;&gt;0)=TRUE,"MIS A JOUR","")</f>
        <v>MIS A JOUR</v>
      </c>
      <c r="AA150" s="48">
        <v>44998</v>
      </c>
      <c r="AB150" s="58">
        <f ca="1">IF(Tableau1[[#This Row],[Date rév.]]&lt;&gt;"", DAYS360(Tableau1[[#This Row],[Date rév.]],TODAY()),"")</f>
        <v>1271</v>
      </c>
      <c r="AC150" s="47" t="str">
        <f>IFERROR(INDEX(Chemin_accès!$B$11:$C$22,MATCH(Tableau1[[#This Row],[Type]],Chemin_accès!$C$11:$C$22,0),1),Chemin_accès!$B$11)</f>
        <v>\\stjn.local\trimet\Btechnique\Commun\BT Maint SCELLEMENT\205 - Préventifs\Modèles préventif\GammeDMS_7.MSCT.xlsm</v>
      </c>
      <c r="AD150" s="47" t="str">
        <f>Chemin_accès!$B$8&amp;Tableau1[[#This Row],[Localisation / Classement]]&amp;"\"&amp;Tableau1[[#This Row],[Poste technique]]&amp;"_"&amp;Tableau1[[#This Row],[Plan Entretien]]&amp;".xlsm"</f>
        <v>\\stjn.local\trimet\Btechnique\Commun\BT Maint SCELLEMENT\205 - Préventifs\Gammes 7.MSCT PE Tool\BATIMENT SCLMT\T130-B_33641.xlsm</v>
      </c>
    </row>
    <row r="151" spans="1:30" x14ac:dyDescent="0.3">
      <c r="A151" s="44" t="str">
        <f t="shared" ca="1" si="2"/>
        <v>7.MSCT</v>
      </c>
      <c r="B1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1" s="46" t="s">
        <v>314</v>
      </c>
      <c r="D151" s="44" t="s">
        <v>225</v>
      </c>
      <c r="E151" s="44" t="s">
        <v>309</v>
      </c>
      <c r="F151" s="47" t="s">
        <v>291</v>
      </c>
      <c r="G151" s="47" t="s">
        <v>292</v>
      </c>
      <c r="H151" s="12">
        <v>34800</v>
      </c>
      <c r="I151" s="12">
        <v>69684</v>
      </c>
      <c r="J151" s="50">
        <v>522940</v>
      </c>
      <c r="K151" s="50">
        <v>4</v>
      </c>
      <c r="L151" s="46" t="s">
        <v>82</v>
      </c>
      <c r="M151" s="47" t="s">
        <v>467</v>
      </c>
      <c r="N151" s="46" t="s">
        <v>64</v>
      </c>
      <c r="O151" s="46"/>
      <c r="P151" s="47"/>
      <c r="Q151" s="46"/>
      <c r="R151" s="46"/>
      <c r="S151" s="48">
        <v>44760</v>
      </c>
      <c r="T151" s="61" t="str">
        <f>IF(Tableau1[[#This Row],[DMS_SAP]]="","",HYPERLINK(Tableau1[[#This Row],[Chemin fichier source]],"X"))</f>
        <v>X</v>
      </c>
      <c r="U151" s="61" t="str">
        <f ca="1">IF(Tableau1[[#This Row],[Date rév.]]="","",HYPERLINK(Tableau1[[#This Row],[Lien document]],"X"))</f>
        <v>X</v>
      </c>
      <c r="V151" s="47" t="s">
        <v>468</v>
      </c>
      <c r="W151" s="51" t="str">
        <f ca="1">Chemin_accès!$B$2&amp;Tableau1[[#This Row],[Poste Responsable]]&amp;"\"&amp;Tableau1[[#This Row],[Localisation / Classement]]&amp;"\"&amp;Tableau1[[#This Row],[Poste technique]]&amp;"_"&amp;Tableau1[[#This Row],[Plan Entretien]]&amp;".pdf"</f>
        <v>\\stjn.local\trimet\Donnees_Projets\Dms Sap\Maintenance\PlanEntretien\7.MSCT\TRAITEMENTS\T130-U010_34800.pdf</v>
      </c>
      <c r="X151" s="47">
        <v>2</v>
      </c>
      <c r="Y151" s="47">
        <v>2</v>
      </c>
      <c r="Z151" s="44" t="str">
        <f ca="1">IF(AND(Tableau1[[#This Row],[Charge]]&lt;&gt;0, Tableau1[[#This Row],[Nombre intervenants]]&lt;&gt;0,Tableau1[[#This Row],[Lien document]]&lt;&gt;0,Tableau1[[#This Row],[DMS_SAP]]&lt;&gt;0)=TRUE,"MIS A JOUR","")</f>
        <v>MIS A JOUR</v>
      </c>
      <c r="AA151" s="48">
        <v>44760</v>
      </c>
      <c r="AB151" s="58">
        <f ca="1">IF(Tableau1[[#This Row],[Date rév.]]&lt;&gt;"", DAYS360(Tableau1[[#This Row],[Date rév.]],TODAY()),"")</f>
        <v>1506</v>
      </c>
      <c r="AC151" s="47" t="str">
        <f>IFERROR(INDEX(Chemin_accès!$B$11:$C$22,MATCH(Tableau1[[#This Row],[Type]],Chemin_accès!$C$11:$C$22,0),1),Chemin_accès!$B$11)</f>
        <v>\\stjn.local\trimet\Btechnique\Commun\BT Maint SCELLEMENT\205 - Préventifs\Modèles préventif\GammeDMS_7.MSCT.xlsm</v>
      </c>
      <c r="AD151" s="47" t="str">
        <f>Chemin_accès!$B$8&amp;Tableau1[[#This Row],[Localisation / Classement]]&amp;"\"&amp;Tableau1[[#This Row],[Poste technique]]&amp;"_"&amp;Tableau1[[#This Row],[Plan Entretien]]&amp;".xlsm"</f>
        <v>\\stjn.local\trimet\Btechnique\Commun\BT Maint SCELLEMENT\205 - Préventifs\Gammes 7.MSCT PE Tool\TRAITEMENTS\T130-U010_34800.xlsm</v>
      </c>
    </row>
    <row r="152" spans="1:30" x14ac:dyDescent="0.3">
      <c r="A152" s="44" t="str">
        <f t="shared" ca="1" si="2"/>
        <v>7.MSCT</v>
      </c>
      <c r="B1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2" s="46" t="s">
        <v>314</v>
      </c>
      <c r="D152" s="44" t="s">
        <v>225</v>
      </c>
      <c r="E152" s="44" t="s">
        <v>309</v>
      </c>
      <c r="F152" s="47" t="s">
        <v>291</v>
      </c>
      <c r="G152" s="47" t="s">
        <v>292</v>
      </c>
      <c r="H152" s="12">
        <v>35309</v>
      </c>
      <c r="I152" s="12">
        <v>70201</v>
      </c>
      <c r="J152" s="50">
        <v>522940</v>
      </c>
      <c r="K152" s="50">
        <v>5</v>
      </c>
      <c r="L152" s="46" t="s">
        <v>86</v>
      </c>
      <c r="M152" s="47" t="s">
        <v>508</v>
      </c>
      <c r="N152" s="46" t="s">
        <v>64</v>
      </c>
      <c r="O152" s="46"/>
      <c r="P152" s="47"/>
      <c r="Q152" s="46"/>
      <c r="R152" s="46"/>
      <c r="S152" s="48">
        <v>44761</v>
      </c>
      <c r="T152" s="61" t="str">
        <f>IF(Tableau1[[#This Row],[DMS_SAP]]="","",HYPERLINK(Tableau1[[#This Row],[Chemin fichier source]],"X"))</f>
        <v>X</v>
      </c>
      <c r="U152" s="61" t="str">
        <f ca="1">IF(Tableau1[[#This Row],[Date rév.]]="","",HYPERLINK(Tableau1[[#This Row],[Lien document]],"X"))</f>
        <v>X</v>
      </c>
      <c r="V152" s="47" t="s">
        <v>469</v>
      </c>
      <c r="W152" s="51" t="str">
        <f ca="1">Chemin_accès!$B$2&amp;Tableau1[[#This Row],[Poste Responsable]]&amp;"\"&amp;Tableau1[[#This Row],[Localisation / Classement]]&amp;"\"&amp;Tableau1[[#This Row],[Poste technique]]&amp;"_"&amp;Tableau1[[#This Row],[Plan Entretien]]&amp;".pdf"</f>
        <v>\\stjn.local\trimet\Donnees_Projets\Dms Sap\Maintenance\PlanEntretien\7.MSCT\TRAITEMENTS\T130-U010_35309.pdf</v>
      </c>
      <c r="X152" s="47">
        <v>1</v>
      </c>
      <c r="Y152" s="47">
        <v>2</v>
      </c>
      <c r="Z152" s="44" t="str">
        <f ca="1">IF(AND(Tableau1[[#This Row],[Charge]]&lt;&gt;0, Tableau1[[#This Row],[Nombre intervenants]]&lt;&gt;0,Tableau1[[#This Row],[Lien document]]&lt;&gt;0,Tableau1[[#This Row],[DMS_SAP]]&lt;&gt;0)=TRUE,"MIS A JOUR","")</f>
        <v>MIS A JOUR</v>
      </c>
      <c r="AA152" s="48">
        <v>45132</v>
      </c>
      <c r="AB152" s="58">
        <f ca="1">IF(Tableau1[[#This Row],[Date rév.]]&lt;&gt;"", DAYS360(Tableau1[[#This Row],[Date rév.]],TODAY()),"")</f>
        <v>1139</v>
      </c>
      <c r="AC152" s="47" t="str">
        <f>IFERROR(INDEX(Chemin_accès!$B$11:$C$22,MATCH(Tableau1[[#This Row],[Type]],Chemin_accès!$C$11:$C$22,0),1),Chemin_accès!$B$11)</f>
        <v>\\stjn.local\trimet\Btechnique\Commun\BT Maint SCELLEMENT\205 - Préventifs\Modèles préventif\GammeDMS_7.MSCT.xlsm</v>
      </c>
      <c r="AD152" s="47" t="str">
        <f>Chemin_accès!$B$8&amp;Tableau1[[#This Row],[Localisation / Classement]]&amp;"\"&amp;Tableau1[[#This Row],[Poste technique]]&amp;"_"&amp;Tableau1[[#This Row],[Plan Entretien]]&amp;".xlsm"</f>
        <v>\\stjn.local\trimet\Btechnique\Commun\BT Maint SCELLEMENT\205 - Préventifs\Gammes 7.MSCT PE Tool\TRAITEMENTS\T130-U010_35309.xlsm</v>
      </c>
    </row>
    <row r="153" spans="1:30" x14ac:dyDescent="0.3">
      <c r="A153" s="44" t="str">
        <f t="shared" ca="1" si="2"/>
        <v>7.MSCT</v>
      </c>
      <c r="B1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3" s="46" t="s">
        <v>314</v>
      </c>
      <c r="D153" s="44" t="s">
        <v>306</v>
      </c>
      <c r="E153" s="44" t="s">
        <v>309</v>
      </c>
      <c r="F153" s="47" t="s">
        <v>303</v>
      </c>
      <c r="G153" s="47" t="s">
        <v>304</v>
      </c>
      <c r="H153" s="12">
        <v>34965</v>
      </c>
      <c r="I153" s="12">
        <v>69850</v>
      </c>
      <c r="J153" s="50">
        <v>523096</v>
      </c>
      <c r="K153" s="50">
        <v>2</v>
      </c>
      <c r="L153" s="46" t="s">
        <v>138</v>
      </c>
      <c r="M153" s="47" t="s">
        <v>496</v>
      </c>
      <c r="N153" s="46" t="s">
        <v>61</v>
      </c>
      <c r="O153" s="46"/>
      <c r="P153" s="47"/>
      <c r="Q153" s="46"/>
      <c r="R153" s="46"/>
      <c r="S153" s="48">
        <v>44761</v>
      </c>
      <c r="T153" s="61" t="str">
        <f>IF(Tableau1[[#This Row],[DMS_SAP]]="","",HYPERLINK(Tableau1[[#This Row],[Chemin fichier source]],"X"))</f>
        <v>X</v>
      </c>
      <c r="U153" s="61" t="str">
        <f ca="1">IF(Tableau1[[#This Row],[Date rév.]]="","",HYPERLINK(Tableau1[[#This Row],[Lien document]],"X"))</f>
        <v>X</v>
      </c>
      <c r="V153" s="47" t="s">
        <v>497</v>
      </c>
      <c r="W153" s="51" t="str">
        <f ca="1">Chemin_accès!$B$2&amp;Tableau1[[#This Row],[Poste Responsable]]&amp;"\"&amp;Tableau1[[#This Row],[Localisation / Classement]]&amp;"\"&amp;Tableau1[[#This Row],[Poste technique]]&amp;"_"&amp;Tableau1[[#This Row],[Plan Entretien]]&amp;".pdf"</f>
        <v>\\stjn.local\trimet\Donnees_Projets\Dms Sap\Maintenance\PlanEntretien\7.MSCT\BATIMENT SCLMT\T130-B_34965.pdf</v>
      </c>
      <c r="X153" s="47">
        <v>2</v>
      </c>
      <c r="Y153" s="47">
        <v>2</v>
      </c>
      <c r="Z153" s="44" t="str">
        <f ca="1">IF(AND(Tableau1[[#This Row],[Charge]]&lt;&gt;0, Tableau1[[#This Row],[Nombre intervenants]]&lt;&gt;0,Tableau1[[#This Row],[Lien document]]&lt;&gt;0,Tableau1[[#This Row],[DMS_SAP]]&lt;&gt;0)=TRUE,"MIS A JOUR","")</f>
        <v>MIS A JOUR</v>
      </c>
      <c r="AA153" s="48">
        <v>45000</v>
      </c>
      <c r="AB153" s="58">
        <f ca="1">IF(Tableau1[[#This Row],[Date rév.]]&lt;&gt;"", DAYS360(Tableau1[[#This Row],[Date rév.]],TODAY()),"")</f>
        <v>1269</v>
      </c>
      <c r="AC153" s="47" t="str">
        <f>IFERROR(INDEX(Chemin_accès!$B$11:$C$22,MATCH(Tableau1[[#This Row],[Type]],Chemin_accès!$C$11:$C$22,0),1),Chemin_accès!$B$11)</f>
        <v>\\stjn.local\trimet\Btechnique\Commun\BT Maint SCELLEMENT\205 - Préventifs\Modèles préventif\GammeDMS_7.MSCT.xlsm</v>
      </c>
      <c r="AD153" s="47" t="str">
        <f>Chemin_accès!$B$8&amp;Tableau1[[#This Row],[Localisation / Classement]]&amp;"\"&amp;Tableau1[[#This Row],[Poste technique]]&amp;"_"&amp;Tableau1[[#This Row],[Plan Entretien]]&amp;".xlsm"</f>
        <v>\\stjn.local\trimet\Btechnique\Commun\BT Maint SCELLEMENT\205 - Préventifs\Gammes 7.MSCT PE Tool\BATIMENT SCLMT\T130-B_34965.xlsm</v>
      </c>
    </row>
    <row r="154" spans="1:30" x14ac:dyDescent="0.3">
      <c r="A154" s="44" t="str">
        <f t="shared" ca="1" si="2"/>
        <v>7.MSCT</v>
      </c>
      <c r="B1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4" s="46" t="s">
        <v>314</v>
      </c>
      <c r="D154" s="44" t="s">
        <v>206</v>
      </c>
      <c r="E154" s="44" t="s">
        <v>309</v>
      </c>
      <c r="F154" s="47" t="s">
        <v>504</v>
      </c>
      <c r="G154" s="47" t="s">
        <v>505</v>
      </c>
      <c r="H154" s="12">
        <v>35509</v>
      </c>
      <c r="I154" s="12">
        <v>70409</v>
      </c>
      <c r="J154" s="50">
        <v>523222</v>
      </c>
      <c r="K154" s="50">
        <v>1</v>
      </c>
      <c r="L154" s="46" t="s">
        <v>157</v>
      </c>
      <c r="M154" s="47" t="s">
        <v>528</v>
      </c>
      <c r="N154" s="46" t="s">
        <v>62</v>
      </c>
      <c r="O154" s="46"/>
      <c r="P154" s="47"/>
      <c r="Q154" s="46"/>
      <c r="R154" s="46"/>
      <c r="S154" s="48">
        <v>45120</v>
      </c>
      <c r="T154" s="61" t="str">
        <f>IF(Tableau1[[#This Row],[DMS_SAP]]="","",HYPERLINK(Tableau1[[#This Row],[Chemin fichier source]],"X"))</f>
        <v>X</v>
      </c>
      <c r="U154" s="61" t="str">
        <f ca="1">IF(Tableau1[[#This Row],[Date rév.]]="","",HYPERLINK(Tableau1[[#This Row],[Lien document]],"X"))</f>
        <v>X</v>
      </c>
      <c r="V154" s="47" t="s">
        <v>506</v>
      </c>
      <c r="W154" s="49" t="str">
        <f ca="1">Chemin_accès!$B$2&amp;Tableau1[[#This Row],[Poste Responsable]]&amp;"\"&amp;Tableau1[[#This Row],[Localisation / Classement]]&amp;"\"&amp;Tableau1[[#This Row],[Poste technique]]&amp;"_"&amp;Tableau1[[#This Row],[Plan Entretien]]&amp;".pdf"</f>
        <v>\\stjn.local\trimet\Donnees_Projets\Dms Sap\Maintenance\PlanEntretien\7.MSCT\EVACUATION\T130-N100_35509.pdf</v>
      </c>
      <c r="X154" s="47">
        <v>3.5</v>
      </c>
      <c r="Y154" s="47">
        <v>2</v>
      </c>
      <c r="Z154" s="44" t="str">
        <f ca="1">IF(AND(Tableau1[[#This Row],[Charge]]&lt;&gt;0, Tableau1[[#This Row],[Nombre intervenants]]&lt;&gt;0,Tableau1[[#This Row],[Lien document]]&lt;&gt;0,Tableau1[[#This Row],[DMS_SAP]]&lt;&gt;0)=TRUE,"MIS A JOUR","")</f>
        <v>MIS A JOUR</v>
      </c>
      <c r="AA154" s="48">
        <v>45373</v>
      </c>
      <c r="AB154" s="58">
        <f ca="1">IF(Tableau1[[#This Row],[Date rév.]]&lt;&gt;"", DAYS360(Tableau1[[#This Row],[Date rév.]],TODAY()),"")</f>
        <v>902</v>
      </c>
      <c r="AC154" s="47" t="str">
        <f>IFERROR(INDEX(Chemin_accès!$B$11:$C$22,MATCH(Tableau1[[#This Row],[Type]],Chemin_accès!$C$11:$C$22,0),1),Chemin_accès!$B$11)</f>
        <v>\\stjn.local\trimet\Btechnique\Commun\BT Maint SCELLEMENT\205 - Préventifs\Modèles préventif\GammeDMS_7.MSCT.xlsm</v>
      </c>
      <c r="AD154" s="47" t="str">
        <f>Chemin_accès!$B$8&amp;Tableau1[[#This Row],[Localisation / Classement]]&amp;"\"&amp;Tableau1[[#This Row],[Poste technique]]&amp;"_"&amp;Tableau1[[#This Row],[Plan Entretien]]&amp;".xlsm"</f>
        <v>\\stjn.local\trimet\Btechnique\Commun\BT Maint SCELLEMENT\205 - Préventifs\Gammes 7.MSCT PE Tool\EVACUATION\T130-N100_35509.xlsm</v>
      </c>
    </row>
    <row r="155" spans="1:30" x14ac:dyDescent="0.3">
      <c r="A155" s="44" t="str">
        <f t="shared" ca="1" si="2"/>
        <v>7.MSCT</v>
      </c>
      <c r="B1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5" s="46" t="s">
        <v>314</v>
      </c>
      <c r="D155" s="44" t="s">
        <v>206</v>
      </c>
      <c r="E155" s="44" t="s">
        <v>309</v>
      </c>
      <c r="F155" s="47" t="s">
        <v>504</v>
      </c>
      <c r="G155" s="47" t="s">
        <v>505</v>
      </c>
      <c r="H155" s="12">
        <v>35510</v>
      </c>
      <c r="I155" s="12">
        <v>70410</v>
      </c>
      <c r="J155" s="50">
        <v>523222</v>
      </c>
      <c r="K155" s="50">
        <v>2</v>
      </c>
      <c r="L155" s="46" t="s">
        <v>138</v>
      </c>
      <c r="M155" s="47" t="s">
        <v>529</v>
      </c>
      <c r="N155" s="46" t="s">
        <v>61</v>
      </c>
      <c r="O155" s="46"/>
      <c r="P155" s="47"/>
      <c r="Q155" s="46"/>
      <c r="R155" s="46"/>
      <c r="S155" s="48">
        <v>45120</v>
      </c>
      <c r="T155" s="61" t="str">
        <f>IF(Tableau1[[#This Row],[DMS_SAP]]="","",HYPERLINK(Tableau1[[#This Row],[Chemin fichier source]],"X"))</f>
        <v>X</v>
      </c>
      <c r="U155" s="61" t="str">
        <f ca="1">IF(Tableau1[[#This Row],[Date rév.]]="","",HYPERLINK(Tableau1[[#This Row],[Lien document]],"X"))</f>
        <v>X</v>
      </c>
      <c r="V155" s="47" t="s">
        <v>507</v>
      </c>
      <c r="W155" s="49" t="str">
        <f ca="1">Chemin_accès!$B$2&amp;Tableau1[[#This Row],[Poste Responsable]]&amp;"\"&amp;Tableau1[[#This Row],[Localisation / Classement]]&amp;"\"&amp;Tableau1[[#This Row],[Poste technique]]&amp;"_"&amp;Tableau1[[#This Row],[Plan Entretien]]&amp;".pdf"</f>
        <v>\\stjn.local\trimet\Donnees_Projets\Dms Sap\Maintenance\PlanEntretien\7.MSCT\EVACUATION\T130-N100_35510.pdf</v>
      </c>
      <c r="X155" s="47">
        <v>1.8</v>
      </c>
      <c r="Y155" s="47">
        <v>2</v>
      </c>
      <c r="Z155" s="44" t="str">
        <f ca="1">IF(AND(Tableau1[[#This Row],[Charge]]&lt;&gt;0, Tableau1[[#This Row],[Nombre intervenants]]&lt;&gt;0,Tableau1[[#This Row],[Lien document]]&lt;&gt;0,Tableau1[[#This Row],[DMS_SAP]]&lt;&gt;0)=TRUE,"MIS A JOUR","")</f>
        <v>MIS A JOUR</v>
      </c>
      <c r="AA155" s="48">
        <v>45373</v>
      </c>
      <c r="AB155" s="58">
        <f ca="1">IF(Tableau1[[#This Row],[Date rév.]]&lt;&gt;"", DAYS360(Tableau1[[#This Row],[Date rév.]],TODAY()),"")</f>
        <v>902</v>
      </c>
      <c r="AC155" s="47" t="str">
        <f>IFERROR(INDEX(Chemin_accès!$B$11:$C$22,MATCH(Tableau1[[#This Row],[Type]],Chemin_accès!$C$11:$C$22,0),1),Chemin_accès!$B$11)</f>
        <v>\\stjn.local\trimet\Btechnique\Commun\BT Maint SCELLEMENT\205 - Préventifs\Modèles préventif\GammeDMS_7.MSCT.xlsm</v>
      </c>
      <c r="AD155" s="47" t="str">
        <f>Chemin_accès!$B$8&amp;Tableau1[[#This Row],[Localisation / Classement]]&amp;"\"&amp;Tableau1[[#This Row],[Poste technique]]&amp;"_"&amp;Tableau1[[#This Row],[Plan Entretien]]&amp;".xlsm"</f>
        <v>\\stjn.local\trimet\Btechnique\Commun\BT Maint SCELLEMENT\205 - Préventifs\Gammes 7.MSCT PE Tool\EVACUATION\T130-N100_35510.xlsm</v>
      </c>
    </row>
    <row r="156" spans="1:30" x14ac:dyDescent="0.3">
      <c r="A156" s="44" t="str">
        <f t="shared" ca="1" si="2"/>
        <v>7.MSCT</v>
      </c>
      <c r="B1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6" s="63" t="s">
        <v>314</v>
      </c>
      <c r="D156" s="44" t="s">
        <v>243</v>
      </c>
      <c r="E156" s="44" t="s">
        <v>309</v>
      </c>
      <c r="F156" s="47" t="s">
        <v>252</v>
      </c>
      <c r="G156" s="47" t="s">
        <v>245</v>
      </c>
      <c r="H156" s="12">
        <v>35615</v>
      </c>
      <c r="I156" s="12">
        <v>70521</v>
      </c>
      <c r="J156" s="50">
        <v>522926</v>
      </c>
      <c r="K156" s="50">
        <v>3</v>
      </c>
      <c r="L156" s="46" t="s">
        <v>82</v>
      </c>
      <c r="M156" s="47" t="s">
        <v>519</v>
      </c>
      <c r="N156" s="46" t="s">
        <v>63</v>
      </c>
      <c r="O156" s="46"/>
      <c r="P156" s="47"/>
      <c r="Q156" s="46"/>
      <c r="R156" s="46"/>
      <c r="S156" s="48">
        <v>45371</v>
      </c>
      <c r="T156" s="61" t="str">
        <f>IF(Tableau1[[#This Row],[DMS_SAP]]="","",HYPERLINK(Tableau1[[#This Row],[Chemin fichier source]],"X"))</f>
        <v>X</v>
      </c>
      <c r="U156" s="61" t="str">
        <f ca="1">IF(Tableau1[[#This Row],[Date rév.]]="","",HYPERLINK(Tableau1[[#This Row],[Lien document]],"X"))</f>
        <v>X</v>
      </c>
      <c r="V156" s="47" t="s">
        <v>522</v>
      </c>
      <c r="W156" s="49" t="str">
        <f ca="1">Chemin_accès!$B$2&amp;Tableau1[[#This Row],[Poste Responsable]]&amp;"\"&amp;Tableau1[[#This Row],[Localisation / Classement]]&amp;"\"&amp;Tableau1[[#This Row],[Poste technique]]&amp;"_"&amp;Tableau1[[#This Row],[Plan Entretien]]&amp;".pdf"</f>
        <v>\\stjn.local\trimet\Donnees_Projets\Dms Sap\Maintenance\PlanEntretien\7.MSCT\FOURS\T130-P170_35615.pdf</v>
      </c>
      <c r="X156" s="47">
        <v>3.5</v>
      </c>
      <c r="Y156" s="47">
        <v>2</v>
      </c>
      <c r="Z156" s="44" t="str">
        <f ca="1">IF(AND(Tableau1[[#This Row],[Charge]]&lt;&gt;0, Tableau1[[#This Row],[Nombre intervenants]]&lt;&gt;0,Tableau1[[#This Row],[Lien document]]&lt;&gt;0,Tableau1[[#This Row],[DMS_SAP]]&lt;&gt;0)=TRUE,"MIS A JOUR","")</f>
        <v>MIS A JOUR</v>
      </c>
      <c r="AA156" s="48">
        <v>45726</v>
      </c>
      <c r="AB156" s="58">
        <f ca="1">IF(Tableau1[[#This Row],[Date rév.]]&lt;&gt;"", DAYS360(Tableau1[[#This Row],[Date rév.]],TODAY()),"")</f>
        <v>554</v>
      </c>
      <c r="AC156" s="47" t="str">
        <f>IFERROR(INDEX(Chemin_accès!$B$11:$C$22,MATCH(Tableau1[[#This Row],[Type]],Chemin_accès!$C$11:$C$22,0),1),Chemin_accès!$B$11)</f>
        <v>\\stjn.local\trimet\Btechnique\Commun\BT Maint SCELLEMENT\205 - Préventifs\Modèles préventif\GammeDMS_7.MSCT.xlsm</v>
      </c>
      <c r="AD156" s="47" t="str">
        <f>Chemin_accès!$B$8&amp;Tableau1[[#This Row],[Localisation / Classement]]&amp;"\"&amp;Tableau1[[#This Row],[Poste technique]]&amp;"_"&amp;Tableau1[[#This Row],[Plan Entretien]]&amp;".xlsm"</f>
        <v>\\stjn.local\trimet\Btechnique\Commun\BT Maint SCELLEMENT\205 - Préventifs\Gammes 7.MSCT PE Tool\FOURS\T130-P170_35615.xlsm</v>
      </c>
    </row>
    <row r="157" spans="1:30" x14ac:dyDescent="0.3">
      <c r="A157" s="44" t="str">
        <f t="shared" ca="1" si="2"/>
        <v>7.MSCT</v>
      </c>
      <c r="B1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7" s="46" t="s">
        <v>314</v>
      </c>
      <c r="D157" s="44" t="s">
        <v>243</v>
      </c>
      <c r="E157" s="44" t="s">
        <v>309</v>
      </c>
      <c r="F157" s="47" t="s">
        <v>252</v>
      </c>
      <c r="G157" s="47" t="s">
        <v>245</v>
      </c>
      <c r="H157" s="12">
        <v>35616</v>
      </c>
      <c r="I157" s="12">
        <v>70522</v>
      </c>
      <c r="J157" s="50">
        <v>522926</v>
      </c>
      <c r="K157" s="50">
        <v>4</v>
      </c>
      <c r="L157" s="46" t="s">
        <v>84</v>
      </c>
      <c r="M157" s="47" t="s">
        <v>517</v>
      </c>
      <c r="N157" s="46" t="s">
        <v>63</v>
      </c>
      <c r="O157" s="46"/>
      <c r="P157" s="47"/>
      <c r="Q157" s="46"/>
      <c r="R157" s="46"/>
      <c r="S157" s="48">
        <v>45371</v>
      </c>
      <c r="T157" s="61" t="str">
        <f>IF(Tableau1[[#This Row],[DMS_SAP]]="","",HYPERLINK(Tableau1[[#This Row],[Chemin fichier source]],"X"))</f>
        <v>X</v>
      </c>
      <c r="U157" s="61" t="str">
        <f ca="1">IF(Tableau1[[#This Row],[Date rév.]]="","",HYPERLINK(Tableau1[[#This Row],[Lien document]],"X"))</f>
        <v>X</v>
      </c>
      <c r="V157" s="47" t="s">
        <v>523</v>
      </c>
      <c r="W157" s="49" t="str">
        <f ca="1">Chemin_accès!$B$2&amp;Tableau1[[#This Row],[Poste Responsable]]&amp;"\"&amp;Tableau1[[#This Row],[Localisation / Classement]]&amp;"\"&amp;Tableau1[[#This Row],[Poste technique]]&amp;"_"&amp;Tableau1[[#This Row],[Plan Entretien]]&amp;".pdf"</f>
        <v>\\stjn.local\trimet\Donnees_Projets\Dms Sap\Maintenance\PlanEntretien\7.MSCT\FOURS\T130-P170_35616.pdf</v>
      </c>
      <c r="X157" s="47">
        <v>3.5</v>
      </c>
      <c r="Y157" s="47">
        <v>2</v>
      </c>
      <c r="Z157" s="44" t="str">
        <f ca="1">IF(AND(Tableau1[[#This Row],[Charge]]&lt;&gt;0, Tableau1[[#This Row],[Nombre intervenants]]&lt;&gt;0,Tableau1[[#This Row],[Lien document]]&lt;&gt;0,Tableau1[[#This Row],[DMS_SAP]]&lt;&gt;0)=TRUE,"MIS A JOUR","")</f>
        <v>MIS A JOUR</v>
      </c>
      <c r="AA157" s="48">
        <v>45623</v>
      </c>
      <c r="AB157" s="58">
        <f ca="1">IF(Tableau1[[#This Row],[Date rév.]]&lt;&gt;"", DAYS360(Tableau1[[#This Row],[Date rév.]],TODAY()),"")</f>
        <v>657</v>
      </c>
      <c r="AC157" s="47" t="str">
        <f>IFERROR(INDEX(Chemin_accès!$B$11:$C$22,MATCH(Tableau1[[#This Row],[Type]],Chemin_accès!$C$11:$C$22,0),1),Chemin_accès!$B$11)</f>
        <v>\\stjn.local\trimet\Btechnique\Commun\BT Maint SCELLEMENT\205 - Préventifs\Modèles préventif\GammeDMS_7.MSCT.xlsm</v>
      </c>
      <c r="AD157" s="47" t="str">
        <f>Chemin_accès!$B$8&amp;Tableau1[[#This Row],[Localisation / Classement]]&amp;"\"&amp;Tableau1[[#This Row],[Poste technique]]&amp;"_"&amp;Tableau1[[#This Row],[Plan Entretien]]&amp;".xlsm"</f>
        <v>\\stjn.local\trimet\Btechnique\Commun\BT Maint SCELLEMENT\205 - Préventifs\Gammes 7.MSCT PE Tool\FOURS\T130-P170_35616.xlsm</v>
      </c>
    </row>
    <row r="158" spans="1:30" x14ac:dyDescent="0.3">
      <c r="A158" s="44" t="str">
        <f t="shared" ca="1" si="2"/>
        <v>7.MSCT</v>
      </c>
      <c r="B1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8" s="46" t="s">
        <v>314</v>
      </c>
      <c r="D158" s="44" t="s">
        <v>243</v>
      </c>
      <c r="E158" s="44" t="s">
        <v>309</v>
      </c>
      <c r="F158" s="47" t="s">
        <v>252</v>
      </c>
      <c r="G158" s="47" t="s">
        <v>245</v>
      </c>
      <c r="H158" s="12">
        <v>35617</v>
      </c>
      <c r="I158" s="12">
        <v>70523</v>
      </c>
      <c r="J158" s="50">
        <v>522926</v>
      </c>
      <c r="K158" s="50">
        <v>5</v>
      </c>
      <c r="L158" s="46" t="s">
        <v>86</v>
      </c>
      <c r="M158" s="47" t="s">
        <v>521</v>
      </c>
      <c r="N158" s="46" t="s">
        <v>61</v>
      </c>
      <c r="O158" s="46"/>
      <c r="P158" s="47"/>
      <c r="Q158" s="46"/>
      <c r="R158" s="46"/>
      <c r="S158" s="48">
        <v>45371</v>
      </c>
      <c r="T158" s="61" t="str">
        <f>IF(Tableau1[[#This Row],[DMS_SAP]]="","",HYPERLINK(Tableau1[[#This Row],[Chemin fichier source]],"X"))</f>
        <v>X</v>
      </c>
      <c r="U158" s="61" t="str">
        <f ca="1">IF(Tableau1[[#This Row],[Date rév.]]="","",HYPERLINK(Tableau1[[#This Row],[Lien document]],"X"))</f>
        <v>X</v>
      </c>
      <c r="V158" s="47" t="s">
        <v>524</v>
      </c>
      <c r="W158" s="49" t="str">
        <f ca="1">Chemin_accès!$B$2&amp;Tableau1[[#This Row],[Poste Responsable]]&amp;"\"&amp;Tableau1[[#This Row],[Localisation / Classement]]&amp;"\"&amp;Tableau1[[#This Row],[Poste technique]]&amp;"_"&amp;Tableau1[[#This Row],[Plan Entretien]]&amp;".pdf"</f>
        <v>\\stjn.local\trimet\Donnees_Projets\Dms Sap\Maintenance\PlanEntretien\7.MSCT\FOURS\T130-P170_35617.pdf</v>
      </c>
      <c r="X158" s="47">
        <v>3.5</v>
      </c>
      <c r="Y158" s="47">
        <v>2</v>
      </c>
      <c r="Z158" s="44" t="str">
        <f ca="1">IF(AND(Tableau1[[#This Row],[Charge]]&lt;&gt;0, Tableau1[[#This Row],[Nombre intervenants]]&lt;&gt;0,Tableau1[[#This Row],[Lien document]]&lt;&gt;0,Tableau1[[#This Row],[DMS_SAP]]&lt;&gt;0)=TRUE,"MIS A JOUR","")</f>
        <v>MIS A JOUR</v>
      </c>
      <c r="AA158" s="48">
        <v>45629</v>
      </c>
      <c r="AB158" s="58">
        <f ca="1">IF(Tableau1[[#This Row],[Date rév.]]&lt;&gt;"", DAYS360(Tableau1[[#This Row],[Date rév.]],TODAY()),"")</f>
        <v>651</v>
      </c>
      <c r="AC158" s="47" t="str">
        <f>IFERROR(INDEX(Chemin_accès!$B$11:$C$22,MATCH(Tableau1[[#This Row],[Type]],Chemin_accès!$C$11:$C$22,0),1),Chemin_accès!$B$11)</f>
        <v>\\stjn.local\trimet\Btechnique\Commun\BT Maint SCELLEMENT\205 - Préventifs\Modèles préventif\GammeDMS_7.MSCT.xlsm</v>
      </c>
      <c r="AD158" s="47" t="str">
        <f>Chemin_accès!$B$8&amp;Tableau1[[#This Row],[Localisation / Classement]]&amp;"\"&amp;Tableau1[[#This Row],[Poste technique]]&amp;"_"&amp;Tableau1[[#This Row],[Plan Entretien]]&amp;".xlsm"</f>
        <v>\\stjn.local\trimet\Btechnique\Commun\BT Maint SCELLEMENT\205 - Préventifs\Gammes 7.MSCT PE Tool\FOURS\T130-P170_35617.xlsm</v>
      </c>
    </row>
    <row r="159" spans="1:30" x14ac:dyDescent="0.3">
      <c r="A159" s="44" t="str">
        <f t="shared" ca="1" si="2"/>
        <v>7.MSCT</v>
      </c>
      <c r="B1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9" s="46" t="s">
        <v>314</v>
      </c>
      <c r="D159" s="44" t="s">
        <v>243</v>
      </c>
      <c r="E159" s="44" t="s">
        <v>309</v>
      </c>
      <c r="F159" s="47" t="s">
        <v>254</v>
      </c>
      <c r="G159" s="47" t="s">
        <v>245</v>
      </c>
      <c r="H159" s="12">
        <v>35618</v>
      </c>
      <c r="I159" s="12">
        <v>70524</v>
      </c>
      <c r="J159" s="50">
        <v>522927</v>
      </c>
      <c r="K159" s="50">
        <v>5</v>
      </c>
      <c r="L159" s="46" t="s">
        <v>86</v>
      </c>
      <c r="M159" s="47" t="s">
        <v>520</v>
      </c>
      <c r="N159" s="46" t="s">
        <v>61</v>
      </c>
      <c r="O159" s="46"/>
      <c r="P159" s="47"/>
      <c r="Q159" s="46"/>
      <c r="R159" s="46"/>
      <c r="S159" s="48">
        <v>45371</v>
      </c>
      <c r="T159" s="61" t="str">
        <f>IF(Tableau1[[#This Row],[DMS_SAP]]="","",HYPERLINK(Tableau1[[#This Row],[Chemin fichier source]],"X"))</f>
        <v>X</v>
      </c>
      <c r="U159" s="61" t="str">
        <f ca="1">IF(Tableau1[[#This Row],[Date rév.]]="","",HYPERLINK(Tableau1[[#This Row],[Lien document]],"X"))</f>
        <v>X</v>
      </c>
      <c r="V159" s="47" t="s">
        <v>525</v>
      </c>
      <c r="W159" s="49" t="str">
        <f ca="1">Chemin_accès!$B$2&amp;Tableau1[[#This Row],[Poste Responsable]]&amp;"\"&amp;Tableau1[[#This Row],[Localisation / Classement]]&amp;"\"&amp;Tableau1[[#This Row],[Poste technique]]&amp;"_"&amp;Tableau1[[#This Row],[Plan Entretien]]&amp;".pdf"</f>
        <v>\\stjn.local\trimet\Donnees_Projets\Dms Sap\Maintenance\PlanEntretien\7.MSCT\FOURS\T130-P180_35618.pdf</v>
      </c>
      <c r="X159" s="47">
        <v>3.5</v>
      </c>
      <c r="Y159" s="47">
        <v>2</v>
      </c>
      <c r="Z159" s="44" t="str">
        <f ca="1">IF(AND(Tableau1[[#This Row],[Charge]]&lt;&gt;0, Tableau1[[#This Row],[Nombre intervenants]]&lt;&gt;0,Tableau1[[#This Row],[Lien document]]&lt;&gt;0,Tableau1[[#This Row],[DMS_SAP]]&lt;&gt;0)=TRUE,"MIS A JOUR","")</f>
        <v>MIS A JOUR</v>
      </c>
      <c r="AA159" s="48">
        <v>45371</v>
      </c>
      <c r="AB159" s="58">
        <f ca="1">IF(Tableau1[[#This Row],[Date rév.]]&lt;&gt;"", DAYS360(Tableau1[[#This Row],[Date rév.]],TODAY()),"")</f>
        <v>904</v>
      </c>
      <c r="AC159" s="47" t="str">
        <f>IFERROR(INDEX(Chemin_accès!$B$11:$C$22,MATCH(Tableau1[[#This Row],[Type]],Chemin_accès!$C$11:$C$22,0),1),Chemin_accès!$B$11)</f>
        <v>\\stjn.local\trimet\Btechnique\Commun\BT Maint SCELLEMENT\205 - Préventifs\Modèles préventif\GammeDMS_7.MSCT.xlsm</v>
      </c>
      <c r="AD159" s="47" t="str">
        <f>Chemin_accès!$B$8&amp;Tableau1[[#This Row],[Localisation / Classement]]&amp;"\"&amp;Tableau1[[#This Row],[Poste technique]]&amp;"_"&amp;Tableau1[[#This Row],[Plan Entretien]]&amp;".xlsm"</f>
        <v>\\stjn.local\trimet\Btechnique\Commun\BT Maint SCELLEMENT\205 - Préventifs\Gammes 7.MSCT PE Tool\FOURS\T130-P180_35618.xlsm</v>
      </c>
    </row>
    <row r="160" spans="1:30" x14ac:dyDescent="0.3">
      <c r="A160" s="44" t="str">
        <f t="shared" ca="1" si="2"/>
        <v>7.MSCT</v>
      </c>
      <c r="B1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0" s="46" t="s">
        <v>314</v>
      </c>
      <c r="D160" s="44" t="s">
        <v>243</v>
      </c>
      <c r="E160" s="44" t="s">
        <v>309</v>
      </c>
      <c r="F160" s="47" t="s">
        <v>254</v>
      </c>
      <c r="G160" s="47" t="s">
        <v>245</v>
      </c>
      <c r="H160" s="12">
        <v>35619</v>
      </c>
      <c r="I160" s="12">
        <v>70525</v>
      </c>
      <c r="J160" s="50">
        <v>522927</v>
      </c>
      <c r="K160" s="50">
        <v>6</v>
      </c>
      <c r="L160" s="46" t="s">
        <v>84</v>
      </c>
      <c r="M160" s="47" t="s">
        <v>516</v>
      </c>
      <c r="N160" s="46" t="s">
        <v>63</v>
      </c>
      <c r="O160" s="46"/>
      <c r="P160" s="47"/>
      <c r="Q160" s="46"/>
      <c r="R160" s="46"/>
      <c r="S160" s="48">
        <v>45371</v>
      </c>
      <c r="T160" s="61" t="str">
        <f>IF(Tableau1[[#This Row],[DMS_SAP]]="","",HYPERLINK(Tableau1[[#This Row],[Chemin fichier source]],"X"))</f>
        <v>X</v>
      </c>
      <c r="U160" s="61" t="str">
        <f ca="1">IF(Tableau1[[#This Row],[Date rév.]]="","",HYPERLINK(Tableau1[[#This Row],[Lien document]],"X"))</f>
        <v>X</v>
      </c>
      <c r="V160" s="47" t="s">
        <v>526</v>
      </c>
      <c r="W160" s="49" t="str">
        <f ca="1">Chemin_accès!$B$2&amp;Tableau1[[#This Row],[Poste Responsable]]&amp;"\"&amp;Tableau1[[#This Row],[Localisation / Classement]]&amp;"\"&amp;Tableau1[[#This Row],[Poste technique]]&amp;"_"&amp;Tableau1[[#This Row],[Plan Entretien]]&amp;".pdf"</f>
        <v>\\stjn.local\trimet\Donnees_Projets\Dms Sap\Maintenance\PlanEntretien\7.MSCT\FOURS\T130-P180_35619.pdf</v>
      </c>
      <c r="X160" s="47">
        <v>3.5</v>
      </c>
      <c r="Y160" s="47">
        <v>2</v>
      </c>
      <c r="Z160" s="44" t="str">
        <f ca="1">IF(AND(Tableau1[[#This Row],[Charge]]&lt;&gt;0, Tableau1[[#This Row],[Nombre intervenants]]&lt;&gt;0,Tableau1[[#This Row],[Lien document]]&lt;&gt;0,Tableau1[[#This Row],[DMS_SAP]]&lt;&gt;0)=TRUE,"MIS A JOUR","")</f>
        <v>MIS A JOUR</v>
      </c>
      <c r="AA160" s="48">
        <v>45608</v>
      </c>
      <c r="AB160" s="58">
        <f ca="1">IF(Tableau1[[#This Row],[Date rév.]]&lt;&gt;"", DAYS360(Tableau1[[#This Row],[Date rév.]],TODAY()),"")</f>
        <v>672</v>
      </c>
      <c r="AC160" s="47" t="str">
        <f>IFERROR(INDEX(Chemin_accès!$B$11:$C$22,MATCH(Tableau1[[#This Row],[Type]],Chemin_accès!$C$11:$C$22,0),1),Chemin_accès!$B$11)</f>
        <v>\\stjn.local\trimet\Btechnique\Commun\BT Maint SCELLEMENT\205 - Préventifs\Modèles préventif\GammeDMS_7.MSCT.xlsm</v>
      </c>
      <c r="AD160" s="47" t="str">
        <f>Chemin_accès!$B$8&amp;Tableau1[[#This Row],[Localisation / Classement]]&amp;"\"&amp;Tableau1[[#This Row],[Poste technique]]&amp;"_"&amp;Tableau1[[#This Row],[Plan Entretien]]&amp;".xlsm"</f>
        <v>\\stjn.local\trimet\Btechnique\Commun\BT Maint SCELLEMENT\205 - Préventifs\Gammes 7.MSCT PE Tool\FOURS\T130-P180_35619.xlsm</v>
      </c>
    </row>
    <row r="161" spans="1:30" x14ac:dyDescent="0.3">
      <c r="A161" s="44" t="str">
        <f t="shared" ca="1" si="2"/>
        <v>7.MSCT</v>
      </c>
      <c r="B1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1" s="46" t="s">
        <v>314</v>
      </c>
      <c r="D161" s="44" t="s">
        <v>243</v>
      </c>
      <c r="E161" s="44" t="s">
        <v>309</v>
      </c>
      <c r="F161" s="47" t="s">
        <v>256</v>
      </c>
      <c r="G161" s="47" t="s">
        <v>245</v>
      </c>
      <c r="H161" s="12">
        <v>35620</v>
      </c>
      <c r="I161" s="12">
        <v>70526</v>
      </c>
      <c r="J161" s="50">
        <v>522928</v>
      </c>
      <c r="K161" s="50">
        <v>2</v>
      </c>
      <c r="L161" s="46" t="s">
        <v>84</v>
      </c>
      <c r="M161" s="47" t="s">
        <v>518</v>
      </c>
      <c r="N161" s="46" t="s">
        <v>63</v>
      </c>
      <c r="O161" s="46"/>
      <c r="P161" s="47"/>
      <c r="Q161" s="46"/>
      <c r="R161" s="46"/>
      <c r="S161" s="48">
        <v>45371</v>
      </c>
      <c r="T161" s="61" t="str">
        <f>IF(Tableau1[[#This Row],[DMS_SAP]]="","",HYPERLINK(Tableau1[[#This Row],[Chemin fichier source]],"X"))</f>
        <v>X</v>
      </c>
      <c r="U161" s="61" t="str">
        <f ca="1">IF(Tableau1[[#This Row],[Date rév.]]="","",HYPERLINK(Tableau1[[#This Row],[Lien document]],"X"))</f>
        <v>X</v>
      </c>
      <c r="V161" s="47" t="s">
        <v>527</v>
      </c>
      <c r="W161" s="49" t="str">
        <f ca="1">Chemin_accès!$B$2&amp;Tableau1[[#This Row],[Poste Responsable]]&amp;"\"&amp;Tableau1[[#This Row],[Localisation / Classement]]&amp;"\"&amp;Tableau1[[#This Row],[Poste technique]]&amp;"_"&amp;Tableau1[[#This Row],[Plan Entretien]]&amp;".pdf"</f>
        <v>\\stjn.local\trimet\Donnees_Projets\Dms Sap\Maintenance\PlanEntretien\7.MSCT\FOURS\T130-P190_35620.pdf</v>
      </c>
      <c r="X161" s="47">
        <v>3.5</v>
      </c>
      <c r="Y161" s="47">
        <v>2</v>
      </c>
      <c r="Z161" s="44" t="str">
        <f ca="1">IF(AND(Tableau1[[#This Row],[Charge]]&lt;&gt;0, Tableau1[[#This Row],[Nombre intervenants]]&lt;&gt;0,Tableau1[[#This Row],[Lien document]]&lt;&gt;0,Tableau1[[#This Row],[DMS_SAP]]&lt;&gt;0)=TRUE,"MIS A JOUR","")</f>
        <v>MIS A JOUR</v>
      </c>
      <c r="AA161" s="48">
        <v>45371</v>
      </c>
      <c r="AB161" s="58">
        <f ca="1">IF(Tableau1[[#This Row],[Date rév.]]&lt;&gt;"", DAYS360(Tableau1[[#This Row],[Date rév.]],TODAY()),"")</f>
        <v>904</v>
      </c>
      <c r="AC161" s="47" t="str">
        <f>IFERROR(INDEX(Chemin_accès!$B$11:$C$22,MATCH(Tableau1[[#This Row],[Type]],Chemin_accès!$C$11:$C$22,0),1),Chemin_accès!$B$11)</f>
        <v>\\stjn.local\trimet\Btechnique\Commun\BT Maint SCELLEMENT\205 - Préventifs\Modèles préventif\GammeDMS_7.MSCT.xlsm</v>
      </c>
      <c r="AD161" s="47" t="str">
        <f>Chemin_accès!$B$8&amp;Tableau1[[#This Row],[Localisation / Classement]]&amp;"\"&amp;Tableau1[[#This Row],[Poste technique]]&amp;"_"&amp;Tableau1[[#This Row],[Plan Entretien]]&amp;".xlsm"</f>
        <v>\\stjn.local\trimet\Btechnique\Commun\BT Maint SCELLEMENT\205 - Préventifs\Gammes 7.MSCT PE Tool\FOURS\T130-P190_35620.xlsm</v>
      </c>
    </row>
    <row r="162" spans="1:30" x14ac:dyDescent="0.3">
      <c r="A162" s="44" t="str">
        <f t="shared" ca="1" si="2"/>
        <v>7.MSCT</v>
      </c>
      <c r="B1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2" s="46" t="s">
        <v>314</v>
      </c>
      <c r="D162" s="44" t="s">
        <v>225</v>
      </c>
      <c r="E162" s="44" t="s">
        <v>309</v>
      </c>
      <c r="F162" s="47" t="s">
        <v>504</v>
      </c>
      <c r="G162" s="47" t="s">
        <v>505</v>
      </c>
      <c r="H162" s="12">
        <v>35626</v>
      </c>
      <c r="I162" s="12">
        <v>70532</v>
      </c>
      <c r="J162" s="50">
        <v>523222</v>
      </c>
      <c r="K162" s="50">
        <v>3</v>
      </c>
      <c r="L162" s="46" t="s">
        <v>138</v>
      </c>
      <c r="M162" s="47" t="s">
        <v>530</v>
      </c>
      <c r="N162" s="46" t="s">
        <v>1</v>
      </c>
      <c r="O162" s="46"/>
      <c r="P162" s="47"/>
      <c r="Q162" s="46"/>
      <c r="R162" s="46"/>
      <c r="S162" s="48">
        <v>45373</v>
      </c>
      <c r="T162" s="61" t="str">
        <f>IF(Tableau1[[#This Row],[DMS_SAP]]="","",HYPERLINK(Tableau1[[#This Row],[Chemin fichier source]],"X"))</f>
        <v>X</v>
      </c>
      <c r="U162" s="61" t="str">
        <f ca="1">IF(Tableau1[[#This Row],[Date rév.]]="","",HYPERLINK(Tableau1[[#This Row],[Lien document]],"X"))</f>
        <v>X</v>
      </c>
      <c r="V162" s="47" t="s">
        <v>531</v>
      </c>
      <c r="W162" s="49" t="str">
        <f ca="1">Chemin_accès!$B$2&amp;Tableau1[[#This Row],[Poste Responsable]]&amp;"\"&amp;Tableau1[[#This Row],[Localisation / Classement]]&amp;"\"&amp;Tableau1[[#This Row],[Poste technique]]&amp;"_"&amp;Tableau1[[#This Row],[Plan Entretien]]&amp;".pdf"</f>
        <v>\\stjn.local\trimet\Donnees_Projets\Dms Sap\Maintenance\PlanEntretien\7.MSCT\TRAITEMENTS\T130-N100_35626.pdf</v>
      </c>
      <c r="X162" s="47">
        <v>3.5</v>
      </c>
      <c r="Y162" s="47">
        <v>2</v>
      </c>
      <c r="Z162" s="44" t="str">
        <f ca="1">IF(AND(Tableau1[[#This Row],[Charge]]&lt;&gt;0, Tableau1[[#This Row],[Nombre intervenants]]&lt;&gt;0,Tableau1[[#This Row],[Lien document]]&lt;&gt;0,Tableau1[[#This Row],[DMS_SAP]]&lt;&gt;0)=TRUE,"MIS A JOUR","")</f>
        <v>MIS A JOUR</v>
      </c>
      <c r="AA162" s="48">
        <v>45373</v>
      </c>
      <c r="AB162" s="58">
        <f ca="1">IF(Tableau1[[#This Row],[Date rév.]]&lt;&gt;"", DAYS360(Tableau1[[#This Row],[Date rév.]],TODAY()),"")</f>
        <v>902</v>
      </c>
      <c r="AC162" s="47" t="str">
        <f>IFERROR(INDEX(Chemin_accès!$B$11:$C$22,MATCH(Tableau1[[#This Row],[Type]],Chemin_accès!$C$11:$C$22,0),1),Chemin_accès!$B$11)</f>
        <v>\\stjn.local\trimet\Btechnique\Commun\BT Maint SCELLEMENT\205 - Préventifs\Modèles préventif\GammeDMS_7.MSCT.xlsm</v>
      </c>
      <c r="AD162" s="47" t="str">
        <f>Chemin_accès!$B$8&amp;Tableau1[[#This Row],[Localisation / Classement]]&amp;"\"&amp;Tableau1[[#This Row],[Poste technique]]&amp;"_"&amp;Tableau1[[#This Row],[Plan Entretien]]&amp;".xlsm"</f>
        <v>\\stjn.local\trimet\Btechnique\Commun\BT Maint SCELLEMENT\205 - Préventifs\Gammes 7.MSCT PE Tool\TRAITEMENTS\T130-N100_35626.xlsm</v>
      </c>
    </row>
    <row r="163" spans="1:30" x14ac:dyDescent="0.3">
      <c r="A163" s="44" t="str">
        <f t="shared" ca="1" si="2"/>
        <v>7.MSCT</v>
      </c>
      <c r="B1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3" s="46" t="s">
        <v>485</v>
      </c>
      <c r="D163" s="44" t="s">
        <v>225</v>
      </c>
      <c r="E163" s="44" t="s">
        <v>312</v>
      </c>
      <c r="F163" s="47" t="s">
        <v>504</v>
      </c>
      <c r="G163" s="47" t="s">
        <v>505</v>
      </c>
      <c r="H163" s="12"/>
      <c r="I163" s="12"/>
      <c r="J163" s="50">
        <v>523222</v>
      </c>
      <c r="K163" s="50">
        <v>4</v>
      </c>
      <c r="L163" s="46" t="s">
        <v>80</v>
      </c>
      <c r="M163" s="47" t="s">
        <v>532</v>
      </c>
      <c r="N163" s="46" t="s">
        <v>1</v>
      </c>
      <c r="O163" s="46"/>
      <c r="P163" s="47"/>
      <c r="Q163" s="46"/>
      <c r="R163" s="46"/>
      <c r="S163" s="48"/>
      <c r="T163" s="61" t="str">
        <f>IF(Tableau1[[#This Row],[DMS_SAP]]="","",HYPERLINK(Tableau1[[#This Row],[Chemin fichier source]],"X"))</f>
        <v/>
      </c>
      <c r="U163" s="61" t="str">
        <f>IF(Tableau1[[#This Row],[Date rév.]]="","",HYPERLINK(Tableau1[[#This Row],[Lien document]],"X"))</f>
        <v/>
      </c>
      <c r="V163" s="47"/>
      <c r="W163" s="49" t="str">
        <f ca="1">Chemin_accès!$B$2&amp;Tableau1[[#This Row],[Poste Responsable]]&amp;"\"&amp;Tableau1[[#This Row],[Localisation / Classement]]&amp;"\"&amp;Tableau1[[#This Row],[Poste technique]]&amp;"_"&amp;Tableau1[[#This Row],[Plan Entretien]]&amp;".pdf"</f>
        <v>\\stjn.local\trimet\Donnees_Projets\Dms Sap\Maintenance\PlanEntretien\7.MSCT\TRAITEMENTS\T130-N100_.pdf</v>
      </c>
      <c r="X163" s="47"/>
      <c r="Y163" s="47"/>
      <c r="Z163" s="44" t="str">
        <f ca="1">IF(AND(Tableau1[[#This Row],[Charge]]&lt;&gt;0, Tableau1[[#This Row],[Nombre intervenants]]&lt;&gt;0,Tableau1[[#This Row],[Lien document]]&lt;&gt;0,Tableau1[[#This Row],[DMS_SAP]]&lt;&gt;0)=TRUE,"MIS A JOUR","")</f>
        <v/>
      </c>
      <c r="AA163" s="48"/>
      <c r="AB163" s="58" t="str">
        <f ca="1">IF(Tableau1[[#This Row],[Date rév.]]&lt;&gt;"", DAYS360(Tableau1[[#This Row],[Date rév.]],TODAY()),"")</f>
        <v/>
      </c>
      <c r="AC163" s="47" t="str">
        <f>IFERROR(INDEX(Chemin_accès!$B$11:$C$22,MATCH(Tableau1[[#This Row],[Type]],Chemin_accès!$C$11:$C$22,0),1),Chemin_accès!$B$11)</f>
        <v>\\stjn.local\trimet\Btechnique\Commun\BT Maint SCELLEMENT\205 - Préventifs\Modèles préventif\GammeDMS_7.MSCT.xlsm</v>
      </c>
      <c r="AD163" s="47" t="str">
        <f>Chemin_accès!$B$8&amp;Tableau1[[#This Row],[Localisation / Classement]]&amp;"\"&amp;Tableau1[[#This Row],[Poste technique]]&amp;"_"&amp;Tableau1[[#This Row],[Plan Entretien]]&amp;".xlsm"</f>
        <v>\\stjn.local\trimet\Btechnique\Commun\BT Maint SCELLEMENT\205 - Préventifs\Gammes 7.MSCT PE Tool\TRAITEMENTS\T130-N100_.xlsm</v>
      </c>
    </row>
    <row r="164" spans="1:30" x14ac:dyDescent="0.3">
      <c r="A164" s="44" t="str">
        <f t="shared" ca="1" si="2"/>
        <v>7.MSCT</v>
      </c>
      <c r="B1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4" s="46" t="s">
        <v>314</v>
      </c>
      <c r="D164" s="44" t="s">
        <v>225</v>
      </c>
      <c r="E164" s="44" t="s">
        <v>309</v>
      </c>
      <c r="F164" s="47" t="s">
        <v>256</v>
      </c>
      <c r="G164" s="47" t="s">
        <v>245</v>
      </c>
      <c r="H164" s="12">
        <v>35733</v>
      </c>
      <c r="I164" s="12">
        <v>70639</v>
      </c>
      <c r="J164" s="50">
        <v>522928</v>
      </c>
      <c r="K164" s="50">
        <v>3</v>
      </c>
      <c r="L164" s="46" t="s">
        <v>84</v>
      </c>
      <c r="M164" s="47" t="s">
        <v>535</v>
      </c>
      <c r="N164" s="46" t="s">
        <v>61</v>
      </c>
      <c r="O164" s="46"/>
      <c r="P164" s="47"/>
      <c r="Q164" s="46"/>
      <c r="R164" s="46"/>
      <c r="S164" s="48">
        <v>45517</v>
      </c>
      <c r="T164" s="61" t="str">
        <f>IF(Tableau1[[#This Row],[DMS_SAP]]="","",HYPERLINK(Tableau1[[#This Row],[Chemin fichier source]],"X"))</f>
        <v>X</v>
      </c>
      <c r="U164" s="61" t="str">
        <f ca="1">IF(Tableau1[[#This Row],[Date rév.]]="","",HYPERLINK(Tableau1[[#This Row],[Lien document]],"X"))</f>
        <v>X</v>
      </c>
      <c r="V164" s="47" t="s">
        <v>536</v>
      </c>
      <c r="W164" s="49" t="str">
        <f ca="1">Chemin_accès!$B$2&amp;Tableau1[[#This Row],[Poste Responsable]]&amp;"\"&amp;Tableau1[[#This Row],[Localisation / Classement]]&amp;"\"&amp;Tableau1[[#This Row],[Poste technique]]&amp;"_"&amp;Tableau1[[#This Row],[Plan Entretien]]&amp;".pdf"</f>
        <v>\\stjn.local\trimet\Donnees_Projets\Dms Sap\Maintenance\PlanEntretien\7.MSCT\TRAITEMENTS\T130-P190_35733.pdf</v>
      </c>
      <c r="X164" s="47">
        <v>3.5</v>
      </c>
      <c r="Y164" s="47">
        <v>2</v>
      </c>
      <c r="Z164" s="44" t="str">
        <f ca="1">IF(AND(Tableau1[[#This Row],[Charge]]&lt;&gt;0, Tableau1[[#This Row],[Nombre intervenants]]&lt;&gt;0,Tableau1[[#This Row],[Lien document]]&lt;&gt;0,Tableau1[[#This Row],[DMS_SAP]]&lt;&gt;0)=TRUE,"MIS A JOUR","")</f>
        <v>MIS A JOUR</v>
      </c>
      <c r="AA164" s="48">
        <v>45517</v>
      </c>
      <c r="AB164" s="58">
        <f ca="1">IF(Tableau1[[#This Row],[Date rév.]]&lt;&gt;"", DAYS360(Tableau1[[#This Row],[Date rév.]],TODAY()),"")</f>
        <v>761</v>
      </c>
      <c r="AC164" s="47" t="str">
        <f>IFERROR(INDEX(Chemin_accès!$B$11:$C$22,MATCH(Tableau1[[#This Row],[Type]],Chemin_accès!$C$11:$C$22,0),1),Chemin_accès!$B$11)</f>
        <v>\\stjn.local\trimet\Btechnique\Commun\BT Maint SCELLEMENT\205 - Préventifs\Modèles préventif\GammeDMS_7.MSCT.xlsm</v>
      </c>
      <c r="AD164" s="47" t="str">
        <f>Chemin_accès!$B$8&amp;Tableau1[[#This Row],[Localisation / Classement]]&amp;"\"&amp;Tableau1[[#This Row],[Poste technique]]&amp;"_"&amp;Tableau1[[#This Row],[Plan Entretien]]&amp;".xlsm"</f>
        <v>\\stjn.local\trimet\Btechnique\Commun\BT Maint SCELLEMENT\205 - Préventifs\Gammes 7.MSCT PE Tool\TRAITEMENTS\T130-P190_35733.xlsm</v>
      </c>
    </row>
    <row r="165" spans="1:30" x14ac:dyDescent="0.3">
      <c r="A165" s="44" t="str">
        <f t="shared" ca="1" si="2"/>
        <v>7.MSCT</v>
      </c>
      <c r="B1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5" s="46" t="s">
        <v>314</v>
      </c>
      <c r="D165" s="44" t="s">
        <v>140</v>
      </c>
      <c r="E165" s="44" t="s">
        <v>309</v>
      </c>
      <c r="F165" s="47" t="s">
        <v>537</v>
      </c>
      <c r="G165" s="47" t="s">
        <v>543</v>
      </c>
      <c r="H165" s="12">
        <v>35790</v>
      </c>
      <c r="I165" s="12">
        <v>70696</v>
      </c>
      <c r="J165" s="50">
        <v>523323</v>
      </c>
      <c r="K165" s="50">
        <v>1</v>
      </c>
      <c r="L165" s="46" t="s">
        <v>86</v>
      </c>
      <c r="M165" s="47" t="s">
        <v>539</v>
      </c>
      <c r="N165" s="46" t="s">
        <v>60</v>
      </c>
      <c r="O165" s="46"/>
      <c r="P165" s="47"/>
      <c r="Q165" s="46"/>
      <c r="R165" s="46"/>
      <c r="S165" s="48">
        <v>45730</v>
      </c>
      <c r="T165" s="61"/>
      <c r="U165" s="61"/>
      <c r="V165" s="47" t="s">
        <v>544</v>
      </c>
      <c r="W165" s="49" t="str">
        <f ca="1">Chemin_accès!$B$2&amp;Tableau1[[#This Row],[Poste Responsable]]&amp;"\"&amp;Tableau1[[#This Row],[Localisation / Classement]]&amp;"\"&amp;Tableau1[[#This Row],[Poste technique]]&amp;"_"&amp;Tableau1[[#This Row],[Plan Entretien]]&amp;".pdf"</f>
        <v>\\stjn.local\trimet\Donnees_Projets\Dms Sap\Maintenance\PlanEntretien\7.MSCT\CONVOYEURS\T130-E110_35790.pdf</v>
      </c>
      <c r="X165" s="47">
        <v>8</v>
      </c>
      <c r="Y165" s="47">
        <v>2</v>
      </c>
      <c r="Z165" s="44" t="str">
        <f ca="1">IF(AND(Tableau1[[#This Row],[Charge]]&lt;&gt;0, Tableau1[[#This Row],[Nombre intervenants]]&lt;&gt;0,Tableau1[[#This Row],[Lien document]]&lt;&gt;0,Tableau1[[#This Row],[DMS_SAP]]&lt;&gt;0)=TRUE,"MIS A JOUR","")</f>
        <v>MIS A JOUR</v>
      </c>
      <c r="AA165" s="48"/>
      <c r="AB165" s="58" t="str">
        <f ca="1">IF(Tableau1[[#This Row],[Date rév.]]&lt;&gt;"", DAYS360(Tableau1[[#This Row],[Date rév.]],TODAY()),"")</f>
        <v/>
      </c>
      <c r="AC165" s="47" t="str">
        <f>IFERROR(INDEX(Chemin_accès!$B$11:$C$22,MATCH(Tableau1[[#This Row],[Type]],Chemin_accès!$C$11:$C$22,0),1),Chemin_accès!$B$11)</f>
        <v>\\stjn.local\trimet\Btechnique\Commun\BT Maint SCELLEMENT\205 - Préventifs\Modèles préventif\GammeDMS_7.MSCT.xlsm</v>
      </c>
      <c r="AD165" s="47" t="str">
        <f>Chemin_accès!$B$8&amp;Tableau1[[#This Row],[Localisation / Classement]]&amp;"\"&amp;Tableau1[[#This Row],[Poste technique]]&amp;"_"&amp;Tableau1[[#This Row],[Plan Entretien]]&amp;".xlsm"</f>
        <v>\\stjn.local\trimet\Btechnique\Commun\BT Maint SCELLEMENT\205 - Préventifs\Gammes 7.MSCT PE Tool\CONVOYEURS\T130-E110_35790.xlsm</v>
      </c>
    </row>
    <row r="166" spans="1:30" x14ac:dyDescent="0.3">
      <c r="A166" s="44" t="str">
        <f t="shared" ca="1" si="2"/>
        <v>7.MSCT</v>
      </c>
      <c r="B1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6" s="46" t="s">
        <v>314</v>
      </c>
      <c r="D166" s="44" t="s">
        <v>140</v>
      </c>
      <c r="E166" s="44" t="s">
        <v>309</v>
      </c>
      <c r="F166" s="47" t="s">
        <v>538</v>
      </c>
      <c r="G166" s="47" t="s">
        <v>140</v>
      </c>
      <c r="H166" s="12">
        <v>35791</v>
      </c>
      <c r="I166" s="12">
        <v>70697</v>
      </c>
      <c r="J166" s="50">
        <v>522890</v>
      </c>
      <c r="K166" s="50">
        <v>10</v>
      </c>
      <c r="L166" s="46" t="s">
        <v>84</v>
      </c>
      <c r="M166" s="47" t="s">
        <v>540</v>
      </c>
      <c r="N166" s="46" t="s">
        <v>60</v>
      </c>
      <c r="O166" s="46"/>
      <c r="P166" s="47"/>
      <c r="Q166" s="46"/>
      <c r="R166" s="46"/>
      <c r="S166" s="48">
        <v>45730</v>
      </c>
      <c r="T166" s="61" t="str">
        <f>IF(Tableau1[[#This Row],[DMS_SAP]]="","",HYPERLINK(Tableau1[[#This Row],[Chemin fichier source]],"X"))</f>
        <v>X</v>
      </c>
      <c r="U166" s="61" t="str">
        <f>IF(Tableau1[[#This Row],[Date rév.]]="","",HYPERLINK(Tableau1[[#This Row],[Lien document]],"X"))</f>
        <v/>
      </c>
      <c r="V166" s="47" t="s">
        <v>542</v>
      </c>
      <c r="W166" s="49" t="str">
        <f ca="1">Chemin_accès!$B$2&amp;Tableau1[[#This Row],[Poste Responsable]]&amp;"\"&amp;Tableau1[[#This Row],[Localisation / Classement]]&amp;"\"&amp;Tableau1[[#This Row],[Poste technique]]&amp;"_"&amp;Tableau1[[#This Row],[Plan Entretien]]&amp;".pdf"</f>
        <v>\\stjn.local\trimet\Donnees_Projets\Dms Sap\Maintenance\PlanEntretien\7.MSCT\CONVOYEURS\T130-D-E-F_35791.pdf</v>
      </c>
      <c r="X166" s="47">
        <v>16</v>
      </c>
      <c r="Y166" s="47">
        <v>2</v>
      </c>
      <c r="Z166" s="44" t="str">
        <f ca="1">IF(AND(Tableau1[[#This Row],[Charge]]&lt;&gt;0, Tableau1[[#This Row],[Nombre intervenants]]&lt;&gt;0,Tableau1[[#This Row],[Lien document]]&lt;&gt;0,Tableau1[[#This Row],[DMS_SAP]]&lt;&gt;0)=TRUE,"MIS A JOUR","")</f>
        <v>MIS A JOUR</v>
      </c>
      <c r="AA166" s="48"/>
      <c r="AB166" s="58" t="str">
        <f ca="1">IF(Tableau1[[#This Row],[Date rév.]]&lt;&gt;"", DAYS360(Tableau1[[#This Row],[Date rév.]],TODAY()),"")</f>
        <v/>
      </c>
      <c r="AC166" s="47" t="str">
        <f>IFERROR(INDEX(Chemin_accès!$B$11:$C$22,MATCH(Tableau1[[#This Row],[Type]],Chemin_accès!$C$11:$C$22,0),1),Chemin_accès!$B$11)</f>
        <v>\\stjn.local\trimet\Btechnique\Commun\BT Maint SCELLEMENT\205 - Préventifs\Modèles préventif\GammeDMS_7.MSCT.xlsm</v>
      </c>
      <c r="AD166" s="47" t="str">
        <f>Chemin_accès!$B$8&amp;Tableau1[[#This Row],[Localisation / Classement]]&amp;"\"&amp;Tableau1[[#This Row],[Poste technique]]&amp;"_"&amp;Tableau1[[#This Row],[Plan Entretien]]&amp;".xlsm"</f>
        <v>\\stjn.local\trimet\Btechnique\Commun\BT Maint SCELLEMENT\205 - Préventifs\Gammes 7.MSCT PE Tool\CONVOYEURS\T130-D-E-F_35791.xlsm</v>
      </c>
    </row>
    <row r="167" spans="1:30" x14ac:dyDescent="0.3">
      <c r="A167" s="44" t="str">
        <f t="shared" ca="1" si="2"/>
        <v>7.MSCT</v>
      </c>
      <c r="B1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7" s="46" t="s">
        <v>314</v>
      </c>
      <c r="D167" s="44" t="s">
        <v>140</v>
      </c>
      <c r="E167" s="44" t="s">
        <v>309</v>
      </c>
      <c r="F167" s="47" t="s">
        <v>538</v>
      </c>
      <c r="G167" s="47" t="s">
        <v>140</v>
      </c>
      <c r="H167" s="12">
        <v>35792</v>
      </c>
      <c r="I167" s="12">
        <v>70698</v>
      </c>
      <c r="J167" s="50">
        <v>522890</v>
      </c>
      <c r="K167" s="50">
        <v>11</v>
      </c>
      <c r="L167" s="46" t="s">
        <v>84</v>
      </c>
      <c r="M167" s="47" t="s">
        <v>541</v>
      </c>
      <c r="N167" s="46" t="s">
        <v>61</v>
      </c>
      <c r="O167" s="46"/>
      <c r="P167" s="47"/>
      <c r="Q167" s="46"/>
      <c r="R167" s="46"/>
      <c r="S167" s="48">
        <v>45730</v>
      </c>
      <c r="T167" s="61" t="str">
        <f>IF(Tableau1[[#This Row],[DMS_SAP]]="","",HYPERLINK(Tableau1[[#This Row],[Chemin fichier source]],"X"))</f>
        <v>X</v>
      </c>
      <c r="U167" s="61" t="str">
        <f>IF(Tableau1[[#This Row],[Date rév.]]="","",HYPERLINK(Tableau1[[#This Row],[Lien document]],"X"))</f>
        <v/>
      </c>
      <c r="V167" s="47" t="s">
        <v>545</v>
      </c>
      <c r="W167" s="49" t="str">
        <f ca="1">Chemin_accès!$B$2&amp;Tableau1[[#This Row],[Poste Responsable]]&amp;"\"&amp;Tableau1[[#This Row],[Localisation / Classement]]&amp;"\"&amp;Tableau1[[#This Row],[Poste technique]]&amp;"_"&amp;Tableau1[[#This Row],[Plan Entretien]]&amp;".pdf"</f>
        <v>\\stjn.local\trimet\Donnees_Projets\Dms Sap\Maintenance\PlanEntretien\7.MSCT\CONVOYEURS\T130-D-E-F_35792.pdf</v>
      </c>
      <c r="X167" s="47">
        <v>16</v>
      </c>
      <c r="Y167" s="47">
        <v>2</v>
      </c>
      <c r="Z167" s="44" t="str">
        <f ca="1">IF(AND(Tableau1[[#This Row],[Charge]]&lt;&gt;0, Tableau1[[#This Row],[Nombre intervenants]]&lt;&gt;0,Tableau1[[#This Row],[Lien document]]&lt;&gt;0,Tableau1[[#This Row],[DMS_SAP]]&lt;&gt;0)=TRUE,"MIS A JOUR","")</f>
        <v>MIS A JOUR</v>
      </c>
      <c r="AA167" s="48"/>
      <c r="AB167" s="58" t="str">
        <f ca="1">IF(Tableau1[[#This Row],[Date rév.]]&lt;&gt;"", DAYS360(Tableau1[[#This Row],[Date rév.]],TODAY()),"")</f>
        <v/>
      </c>
      <c r="AC167" s="47" t="str">
        <f>IFERROR(INDEX(Chemin_accès!$B$11:$C$22,MATCH(Tableau1[[#This Row],[Type]],Chemin_accès!$C$11:$C$22,0),1),Chemin_accès!$B$11)</f>
        <v>\\stjn.local\trimet\Btechnique\Commun\BT Maint SCELLEMENT\205 - Préventifs\Modèles préventif\GammeDMS_7.MSCT.xlsm</v>
      </c>
      <c r="AD167" s="47" t="str">
        <f>Chemin_accès!$B$8&amp;Tableau1[[#This Row],[Localisation / Classement]]&amp;"\"&amp;Tableau1[[#This Row],[Poste technique]]&amp;"_"&amp;Tableau1[[#This Row],[Plan Entretien]]&amp;".xlsm"</f>
        <v>\\stjn.local\trimet\Btechnique\Commun\BT Maint SCELLEMENT\205 - Préventifs\Gammes 7.MSCT PE Tool\CONVOYEURS\T130-D-E-F_35792.xlsm</v>
      </c>
    </row>
    <row r="168" spans="1:30" x14ac:dyDescent="0.3">
      <c r="A168" s="44" t="str">
        <f t="shared" ca="1" si="2"/>
        <v>7.MSCT</v>
      </c>
      <c r="B1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8" s="46"/>
      <c r="D168" s="44" t="s">
        <v>308</v>
      </c>
      <c r="E168" s="44" t="s">
        <v>309</v>
      </c>
      <c r="F168" s="47" t="s">
        <v>291</v>
      </c>
      <c r="G168" s="47" t="s">
        <v>550</v>
      </c>
      <c r="H168" s="12"/>
      <c r="I168" s="12"/>
      <c r="J168" s="50"/>
      <c r="K168" s="50"/>
      <c r="L168" s="46"/>
      <c r="M168" s="47" t="s">
        <v>551</v>
      </c>
      <c r="N168" s="46"/>
      <c r="O168" s="46"/>
      <c r="P168" s="47"/>
      <c r="Q168" s="46"/>
      <c r="R168" s="46"/>
      <c r="S168" s="48"/>
      <c r="T168" s="61" t="str">
        <f>IF(Tableau1[[#This Row],[DMS_SAP]]="","",HYPERLINK(Tableau1[[#This Row],[Chemin fichier source]],"X"))</f>
        <v/>
      </c>
      <c r="U168" s="61" t="str">
        <f>IF(Tableau1[[#This Row],[Date rév.]]="","",HYPERLINK(Tableau1[[#This Row],[Lien document]],"X"))</f>
        <v/>
      </c>
      <c r="V168" s="47"/>
      <c r="W168" s="49" t="str">
        <f ca="1">Chemin_accès!$B$2&amp;Tableau1[[#This Row],[Poste Responsable]]&amp;"\"&amp;Tableau1[[#This Row],[Localisation / Classement]]&amp;"\"&amp;Tableau1[[#This Row],[Poste technique]]&amp;"_"&amp;Tableau1[[#This Row],[Plan Entretien]]&amp;".pdf"</f>
        <v>\\stjn.local\trimet\Donnees_Projets\Dms Sap\Maintenance\PlanEntretien\7.MSCT\GRENAILLEUSE\T130-U010_.pdf</v>
      </c>
      <c r="X168" s="47"/>
      <c r="Y168" s="47"/>
      <c r="Z168" s="44" t="str">
        <f ca="1">IF(AND(Tableau1[[#This Row],[Charge]]&lt;&gt;0, Tableau1[[#This Row],[Nombre intervenants]]&lt;&gt;0,Tableau1[[#This Row],[Lien document]]&lt;&gt;0,Tableau1[[#This Row],[DMS_SAP]]&lt;&gt;0)=TRUE,"MIS A JOUR","")</f>
        <v/>
      </c>
      <c r="AA168" s="48"/>
      <c r="AB168" s="58" t="str">
        <f ca="1">IF(Tableau1[[#This Row],[Date rév.]]&lt;&gt;"", DAYS360(Tableau1[[#This Row],[Date rév.]],TODAY()),"")</f>
        <v/>
      </c>
      <c r="AC168" s="47" t="str">
        <f>IFERROR(INDEX(Chemin_accès!$B$11:$C$22,MATCH(Tableau1[[#This Row],[Type]],Chemin_accès!$C$11:$C$22,0),1),Chemin_accès!$B$11)</f>
        <v>\\stjn.local\trimet\Btechnique\Commun\BT Maint SCELLEMENT\205 - Préventifs\Modèles préventif\GammeDMS_7.MSCT.xlsm</v>
      </c>
      <c r="AD168" s="47" t="str">
        <f>Chemin_accès!$B$8&amp;Tableau1[[#This Row],[Localisation / Classement]]&amp;"\"&amp;Tableau1[[#This Row],[Poste technique]]&amp;"_"&amp;Tableau1[[#This Row],[Plan Entretien]]&amp;".xlsm"</f>
        <v>\\stjn.local\trimet\Btechnique\Commun\BT Maint SCELLEMENT\205 - Préventifs\Gammes 7.MSCT PE Tool\GRENAILLEUSE\T130-U010_.xlsm</v>
      </c>
    </row>
    <row r="169" spans="1:30" x14ac:dyDescent="0.3">
      <c r="A169" s="44" t="str">
        <f t="shared" ca="1" si="2"/>
        <v>7.MSCT</v>
      </c>
      <c r="B1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69" s="63"/>
      <c r="D169" s="44" t="s">
        <v>140</v>
      </c>
      <c r="E169" s="44" t="s">
        <v>309</v>
      </c>
      <c r="F169" s="47" t="s">
        <v>163</v>
      </c>
      <c r="G169" s="47" t="s">
        <v>164</v>
      </c>
      <c r="H169" s="12"/>
      <c r="I169" s="12"/>
      <c r="J169" s="50"/>
      <c r="K169" s="50"/>
      <c r="L169" s="46"/>
      <c r="M169" s="47" t="s">
        <v>552</v>
      </c>
      <c r="N169" s="46"/>
      <c r="O169" s="46"/>
      <c r="P169" s="47"/>
      <c r="Q169" s="46"/>
      <c r="R169" s="46"/>
      <c r="S169" s="48"/>
      <c r="T169" s="61" t="str">
        <f>IF(Tableau1[[#This Row],[DMS_SAP]]="","",HYPERLINK(Tableau1[[#This Row],[Chemin fichier source]],"X"))</f>
        <v/>
      </c>
      <c r="U169" s="61" t="str">
        <f>IF(Tableau1[[#This Row],[Date rév.]]="","",HYPERLINK(Tableau1[[#This Row],[Lien document]],"X"))</f>
        <v/>
      </c>
      <c r="V169" s="47"/>
      <c r="W169" s="49" t="str">
        <f ca="1">Chemin_accès!$B$2&amp;Tableau1[[#This Row],[Poste Responsable]]&amp;"\"&amp;Tableau1[[#This Row],[Localisation / Classement]]&amp;"\"&amp;Tableau1[[#This Row],[Poste technique]]&amp;"_"&amp;Tableau1[[#This Row],[Plan Entretien]]&amp;".pdf"</f>
        <v>\\stjn.local\trimet\Donnees_Projets\Dms Sap\Maintenance\PlanEntretien\7.MSCT\CONVOYEURS\T130-F_.pdf</v>
      </c>
      <c r="X169" s="47"/>
      <c r="Y169" s="47"/>
      <c r="Z169" s="44" t="str">
        <f ca="1">IF(AND(Tableau1[[#This Row],[Charge]]&lt;&gt;0, Tableau1[[#This Row],[Nombre intervenants]]&lt;&gt;0,Tableau1[[#This Row],[Lien document]]&lt;&gt;0,Tableau1[[#This Row],[DMS_SAP]]&lt;&gt;0)=TRUE,"MIS A JOUR","")</f>
        <v/>
      </c>
      <c r="AA169" s="48"/>
      <c r="AB169" s="58" t="str">
        <f ca="1">IF(Tableau1[[#This Row],[Date rév.]]&lt;&gt;"", DAYS360(Tableau1[[#This Row],[Date rév.]],TODAY()),"")</f>
        <v/>
      </c>
      <c r="AC169" s="47" t="str">
        <f>IFERROR(INDEX(Chemin_accès!$B$11:$C$22,MATCH(Tableau1[[#This Row],[Type]],Chemin_accès!$C$11:$C$22,0),1),Chemin_accès!$B$11)</f>
        <v>\\stjn.local\trimet\Btechnique\Commun\BT Maint SCELLEMENT\205 - Préventifs\Modèles préventif\GammeDMS_7.MSCT.xlsm</v>
      </c>
      <c r="AD169" s="47" t="str">
        <f>Chemin_accès!$B$8&amp;Tableau1[[#This Row],[Localisation / Classement]]&amp;"\"&amp;Tableau1[[#This Row],[Poste technique]]&amp;"_"&amp;Tableau1[[#This Row],[Plan Entretien]]&amp;".xlsm"</f>
        <v>\\stjn.local\trimet\Btechnique\Commun\BT Maint SCELLEMENT\205 - Préventifs\Gammes 7.MSCT PE Tool\CONVOYEURS\T130-F_.xlsm</v>
      </c>
    </row>
    <row r="170" spans="1:30" x14ac:dyDescent="0.3">
      <c r="A170" s="44" t="str">
        <f t="shared" ca="1" si="2"/>
        <v>7.MSCT</v>
      </c>
      <c r="B1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0" s="63"/>
      <c r="D170" s="44" t="s">
        <v>140</v>
      </c>
      <c r="E170" s="44" t="s">
        <v>309</v>
      </c>
      <c r="F170" s="47" t="s">
        <v>298</v>
      </c>
      <c r="G170" s="47" t="s">
        <v>142</v>
      </c>
      <c r="H170" s="12"/>
      <c r="I170" s="12"/>
      <c r="J170" s="50"/>
      <c r="K170" s="50"/>
      <c r="L170" s="46"/>
      <c r="M170" s="47" t="s">
        <v>552</v>
      </c>
      <c r="N170" s="46"/>
      <c r="O170" s="46"/>
      <c r="P170" s="47"/>
      <c r="Q170" s="46"/>
      <c r="R170" s="46"/>
      <c r="S170" s="48"/>
      <c r="T170" s="61" t="str">
        <f>IF(Tableau1[[#This Row],[DMS_SAP]]="","",HYPERLINK(Tableau1[[#This Row],[Chemin fichier source]],"X"))</f>
        <v/>
      </c>
      <c r="U170" s="61" t="str">
        <f>IF(Tableau1[[#This Row],[Date rév.]]="","",HYPERLINK(Tableau1[[#This Row],[Lien document]],"X"))</f>
        <v/>
      </c>
      <c r="V170" s="47"/>
      <c r="W170" s="49" t="str">
        <f ca="1">Chemin_accès!$B$2&amp;Tableau1[[#This Row],[Poste Responsable]]&amp;"\"&amp;Tableau1[[#This Row],[Localisation / Classement]]&amp;"\"&amp;Tableau1[[#This Row],[Poste technique]]&amp;"_"&amp;Tableau1[[#This Row],[Plan Entretien]]&amp;".pdf"</f>
        <v>\\stjn.local\trimet\Donnees_Projets\Dms Sap\Maintenance\PlanEntretien\7.MSCT\CONVOYEURS\T130-D100_.pdf</v>
      </c>
      <c r="X170" s="47"/>
      <c r="Y170" s="47"/>
      <c r="Z170" s="44" t="str">
        <f ca="1">IF(AND(Tableau1[[#This Row],[Charge]]&lt;&gt;0, Tableau1[[#This Row],[Nombre intervenants]]&lt;&gt;0,Tableau1[[#This Row],[Lien document]]&lt;&gt;0,Tableau1[[#This Row],[DMS_SAP]]&lt;&gt;0)=TRUE,"MIS A JOUR","")</f>
        <v/>
      </c>
      <c r="AA170" s="48"/>
      <c r="AB170" s="58" t="str">
        <f ca="1">IF(Tableau1[[#This Row],[Date rév.]]&lt;&gt;"", DAYS360(Tableau1[[#This Row],[Date rév.]],TODAY()),"")</f>
        <v/>
      </c>
      <c r="AC170" s="47" t="str">
        <f>IFERROR(INDEX(Chemin_accès!$B$11:$C$22,MATCH(Tableau1[[#This Row],[Type]],Chemin_accès!$C$11:$C$22,0),1),Chemin_accès!$B$11)</f>
        <v>\\stjn.local\trimet\Btechnique\Commun\BT Maint SCELLEMENT\205 - Préventifs\Modèles préventif\GammeDMS_7.MSCT.xlsm</v>
      </c>
      <c r="AD170" s="47" t="str">
        <f>Chemin_accès!$B$8&amp;Tableau1[[#This Row],[Localisation / Classement]]&amp;"\"&amp;Tableau1[[#This Row],[Poste technique]]&amp;"_"&amp;Tableau1[[#This Row],[Plan Entretien]]&amp;".xlsm"</f>
        <v>\\stjn.local\trimet\Btechnique\Commun\BT Maint SCELLEMENT\205 - Préventifs\Gammes 7.MSCT PE Tool\CONVOYEURS\T130-D100_.xlsm</v>
      </c>
    </row>
    <row r="171" spans="1:30" x14ac:dyDescent="0.3">
      <c r="A171" s="44" t="str">
        <f t="shared" ca="1" si="2"/>
        <v>7.MSCT</v>
      </c>
      <c r="B1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1" s="63"/>
      <c r="D171" s="44" t="s">
        <v>140</v>
      </c>
      <c r="E171" s="44" t="s">
        <v>309</v>
      </c>
      <c r="F171" s="47" t="s">
        <v>159</v>
      </c>
      <c r="G171" s="47" t="s">
        <v>160</v>
      </c>
      <c r="H171" s="50"/>
      <c r="I171" s="50"/>
      <c r="J171" s="50"/>
      <c r="K171" s="50"/>
      <c r="L171" s="46"/>
      <c r="M171" s="47" t="s">
        <v>552</v>
      </c>
      <c r="N171" s="46"/>
      <c r="O171" s="46"/>
      <c r="P171" s="47"/>
      <c r="Q171" s="46"/>
      <c r="R171" s="46"/>
      <c r="S171" s="48"/>
      <c r="T171" s="61" t="str">
        <f>IF(Tableau1[[#This Row],[DMS_SAP]]="","",HYPERLINK(Tableau1[[#This Row],[Chemin fichier source]],"X"))</f>
        <v/>
      </c>
      <c r="U171" s="61" t="str">
        <f>IF(Tableau1[[#This Row],[Date rév.]]="","",HYPERLINK(Tableau1[[#This Row],[Lien document]],"X"))</f>
        <v/>
      </c>
      <c r="V171" s="47"/>
      <c r="W171" s="49" t="str">
        <f ca="1">Chemin_accès!$B$2&amp;Tableau1[[#This Row],[Poste Responsable]]&amp;"\"&amp;Tableau1[[#This Row],[Localisation / Classement]]&amp;"\"&amp;Tableau1[[#This Row],[Poste technique]]&amp;"_"&amp;Tableau1[[#This Row],[Plan Entretien]]&amp;".pdf"</f>
        <v>\\stjn.local\trimet\Donnees_Projets\Dms Sap\Maintenance\PlanEntretien\7.MSCT\CONVOYEURS\T130-E_.pdf</v>
      </c>
      <c r="X171" s="47"/>
      <c r="Y171" s="47"/>
      <c r="Z171" s="44" t="str">
        <f ca="1">IF(AND(Tableau1[[#This Row],[Charge]]&lt;&gt;0, Tableau1[[#This Row],[Nombre intervenants]]&lt;&gt;0,Tableau1[[#This Row],[Lien document]]&lt;&gt;0,Tableau1[[#This Row],[DMS_SAP]]&lt;&gt;0)=TRUE,"MIS A JOUR","")</f>
        <v/>
      </c>
      <c r="AA171" s="48"/>
      <c r="AB171" s="58" t="str">
        <f ca="1">IF(Tableau1[[#This Row],[Date rév.]]&lt;&gt;"", DAYS360(Tableau1[[#This Row],[Date rév.]],TODAY()),"")</f>
        <v/>
      </c>
      <c r="AC171" s="47" t="str">
        <f>IFERROR(INDEX(Chemin_accès!$B$11:$C$22,MATCH(Tableau1[[#This Row],[Type]],Chemin_accès!$C$11:$C$22,0),1),Chemin_accès!$B$11)</f>
        <v>\\stjn.local\trimet\Btechnique\Commun\BT Maint SCELLEMENT\205 - Préventifs\Modèles préventif\GammeDMS_7.MSCT.xlsm</v>
      </c>
      <c r="AD171" s="47" t="str">
        <f>Chemin_accès!$B$8&amp;Tableau1[[#This Row],[Localisation / Classement]]&amp;"\"&amp;Tableau1[[#This Row],[Poste technique]]&amp;"_"&amp;Tableau1[[#This Row],[Plan Entretien]]&amp;".xlsm"</f>
        <v>\\stjn.local\trimet\Btechnique\Commun\BT Maint SCELLEMENT\205 - Préventifs\Gammes 7.MSCT PE Tool\CONVOYEURS\T130-E_.xlsm</v>
      </c>
    </row>
    <row r="172" spans="1:30" x14ac:dyDescent="0.3">
      <c r="A172" s="44" t="str">
        <f t="shared" ca="1" si="2"/>
        <v>7.MSCT</v>
      </c>
      <c r="B1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2" s="46"/>
      <c r="D172" s="44"/>
      <c r="E172" s="44"/>
      <c r="F172" s="47"/>
      <c r="G172" s="47" t="s">
        <v>553</v>
      </c>
      <c r="H172" s="50"/>
      <c r="I172" s="50"/>
      <c r="J172" s="50"/>
      <c r="K172" s="50"/>
      <c r="L172" s="46"/>
      <c r="M172" s="47" t="s">
        <v>554</v>
      </c>
      <c r="N172" s="46"/>
      <c r="O172" s="46"/>
      <c r="P172" s="47"/>
      <c r="Q172" s="46"/>
      <c r="R172" s="46"/>
      <c r="S172" s="48"/>
      <c r="T172" s="61" t="str">
        <f>IF(Tableau1[[#This Row],[DMS_SAP]]="","",HYPERLINK(Tableau1[[#This Row],[Chemin fichier source]],"X"))</f>
        <v/>
      </c>
      <c r="U172" s="61" t="str">
        <f>IF(Tableau1[[#This Row],[Date rév.]]="","",HYPERLINK(Tableau1[[#This Row],[Lien document]],"X"))</f>
        <v/>
      </c>
      <c r="V172" s="47"/>
      <c r="W172" s="49" t="str">
        <f ca="1">Chemin_accès!$B$2&amp;Tableau1[[#This Row],[Poste Responsable]]&amp;"\"&amp;Tableau1[[#This Row],[Localisation / Classement]]&amp;"\"&amp;Tableau1[[#This Row],[Poste technique]]&amp;"_"&amp;Tableau1[[#This Row],[Plan Entretien]]&amp;".pdf"</f>
        <v>\\stjn.local\trimet\Donnees_Projets\Dms Sap\Maintenance\PlanEntretien\7.MSCT\\_.pdf</v>
      </c>
      <c r="X172" s="47"/>
      <c r="Y172" s="47"/>
      <c r="Z172" s="44" t="str">
        <f ca="1">IF(AND(Tableau1[[#This Row],[Charge]]&lt;&gt;0, Tableau1[[#This Row],[Nombre intervenants]]&lt;&gt;0,Tableau1[[#This Row],[Lien document]]&lt;&gt;0,Tableau1[[#This Row],[DMS_SAP]]&lt;&gt;0)=TRUE,"MIS A JOUR","")</f>
        <v/>
      </c>
      <c r="AA172" s="48"/>
      <c r="AB172" s="58" t="str">
        <f ca="1">IF(Tableau1[[#This Row],[Date rév.]]&lt;&gt;"", DAYS360(Tableau1[[#This Row],[Date rév.]],TODAY()),"")</f>
        <v/>
      </c>
      <c r="AC172" s="47" t="str">
        <f>IFERROR(INDEX(Chemin_accès!$B$11:$C$22,MATCH(Tableau1[[#This Row],[Type]],Chemin_accès!$C$11:$C$22,0),1),Chemin_accès!$B$11)</f>
        <v>\\stjn.local\trimet\Btechnique\Commun\BT Maint SCELLEMENT\205 - Préventifs\Modèles préventif\GammeDMS_7.MSCT.xlsm</v>
      </c>
      <c r="AD172" s="47" t="str">
        <f>Chemin_accès!$B$8&amp;Tableau1[[#This Row],[Localisation / Classement]]&amp;"\"&amp;Tableau1[[#This Row],[Poste technique]]&amp;"_"&amp;Tableau1[[#This Row],[Plan Entretien]]&amp;".xlsm"</f>
        <v>\\stjn.local\trimet\Btechnique\Commun\BT Maint SCELLEMENT\205 - Préventifs\Gammes 7.MSCT PE Tool\\_.xlsm</v>
      </c>
    </row>
    <row r="173" spans="1:30" x14ac:dyDescent="0.3">
      <c r="A173" s="44" t="str">
        <f t="shared" ca="1" si="2"/>
        <v>7.MSCT</v>
      </c>
      <c r="B1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3" s="46"/>
      <c r="D173" s="44"/>
      <c r="E173" s="44"/>
      <c r="F173" s="47"/>
      <c r="G173" s="47"/>
      <c r="H173" s="50"/>
      <c r="I173" s="50"/>
      <c r="J173" s="50"/>
      <c r="K173" s="50"/>
      <c r="L173" s="46"/>
      <c r="M173" s="47"/>
      <c r="N173" s="46"/>
      <c r="O173" s="46"/>
      <c r="P173" s="47"/>
      <c r="Q173" s="46"/>
      <c r="R173" s="46"/>
      <c r="S173" s="48"/>
      <c r="T173" s="61" t="str">
        <f>IF(Tableau1[[#This Row],[DMS_SAP]]="","",HYPERLINK(Tableau1[[#This Row],[Chemin fichier source]],"X"))</f>
        <v/>
      </c>
      <c r="U173" s="61" t="str">
        <f>IF(Tableau1[[#This Row],[Date rév.]]="","",HYPERLINK(Tableau1[[#This Row],[Lien document]],"X"))</f>
        <v/>
      </c>
      <c r="V173" s="47"/>
      <c r="W173" s="49" t="str">
        <f ca="1">Chemin_accès!$B$2&amp;Tableau1[[#This Row],[Poste Responsable]]&amp;"\"&amp;Tableau1[[#This Row],[Localisation / Classement]]&amp;"\"&amp;Tableau1[[#This Row],[Poste technique]]&amp;"_"&amp;Tableau1[[#This Row],[Plan Entretien]]&amp;".pdf"</f>
        <v>\\stjn.local\trimet\Donnees_Projets\Dms Sap\Maintenance\PlanEntretien\7.MSCT\\_.pdf</v>
      </c>
      <c r="X173" s="47"/>
      <c r="Y173" s="47"/>
      <c r="Z173" s="44" t="str">
        <f ca="1">IF(AND(Tableau1[[#This Row],[Charge]]&lt;&gt;0, Tableau1[[#This Row],[Nombre intervenants]]&lt;&gt;0,Tableau1[[#This Row],[Lien document]]&lt;&gt;0,Tableau1[[#This Row],[DMS_SAP]]&lt;&gt;0)=TRUE,"MIS A JOUR","")</f>
        <v/>
      </c>
      <c r="AA173" s="48"/>
      <c r="AB173" s="58" t="str">
        <f ca="1">IF(Tableau1[[#This Row],[Date rév.]]&lt;&gt;"", DAYS360(Tableau1[[#This Row],[Date rév.]],TODAY()),"")</f>
        <v/>
      </c>
      <c r="AC173" s="47" t="str">
        <f>IFERROR(INDEX(Chemin_accès!$B$11:$C$22,MATCH(Tableau1[[#This Row],[Type]],Chemin_accès!$C$11:$C$22,0),1),Chemin_accès!$B$11)</f>
        <v>\\stjn.local\trimet\Btechnique\Commun\BT Maint SCELLEMENT\205 - Préventifs\Modèles préventif\GammeDMS_7.MSCT.xlsm</v>
      </c>
      <c r="AD173" s="47" t="str">
        <f>Chemin_accès!$B$8&amp;Tableau1[[#This Row],[Localisation / Classement]]&amp;"\"&amp;Tableau1[[#This Row],[Poste technique]]&amp;"_"&amp;Tableau1[[#This Row],[Plan Entretien]]&amp;".xlsm"</f>
        <v>\\stjn.local\trimet\Btechnique\Commun\BT Maint SCELLEMENT\205 - Préventifs\Gammes 7.MSCT PE Tool\\_.xlsm</v>
      </c>
    </row>
    <row r="174" spans="1:30" x14ac:dyDescent="0.3">
      <c r="A174" s="44" t="str">
        <f t="shared" ca="1" si="2"/>
        <v>7.MSCT</v>
      </c>
      <c r="B1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4" s="46"/>
      <c r="D174" s="44"/>
      <c r="E174" s="44"/>
      <c r="F174" s="47"/>
      <c r="G174" s="47"/>
      <c r="H174" s="50"/>
      <c r="I174" s="50"/>
      <c r="J174" s="50"/>
      <c r="K174" s="50"/>
      <c r="L174" s="46"/>
      <c r="M174" s="47"/>
      <c r="N174" s="46"/>
      <c r="O174" s="46"/>
      <c r="P174" s="47"/>
      <c r="Q174" s="46"/>
      <c r="R174" s="46"/>
      <c r="S174" s="48"/>
      <c r="T174" s="61" t="str">
        <f>IF(Tableau1[[#This Row],[DMS_SAP]]="","",HYPERLINK(Tableau1[[#This Row],[Chemin fichier source]],"X"))</f>
        <v/>
      </c>
      <c r="U174" s="61" t="str">
        <f>IF(Tableau1[[#This Row],[Date rév.]]="","",HYPERLINK(Tableau1[[#This Row],[Lien document]],"X"))</f>
        <v/>
      </c>
      <c r="V174" s="47"/>
      <c r="W174" s="49" t="str">
        <f ca="1">Chemin_accès!$B$2&amp;Tableau1[[#This Row],[Poste Responsable]]&amp;"\"&amp;Tableau1[[#This Row],[Localisation / Classement]]&amp;"\"&amp;Tableau1[[#This Row],[Poste technique]]&amp;"_"&amp;Tableau1[[#This Row],[Plan Entretien]]&amp;".pdf"</f>
        <v>\\stjn.local\trimet\Donnees_Projets\Dms Sap\Maintenance\PlanEntretien\7.MSCT\\_.pdf</v>
      </c>
      <c r="X174" s="47"/>
      <c r="Y174" s="47"/>
      <c r="Z174" s="44" t="str">
        <f ca="1">IF(AND(Tableau1[[#This Row],[Charge]]&lt;&gt;0, Tableau1[[#This Row],[Nombre intervenants]]&lt;&gt;0,Tableau1[[#This Row],[Lien document]]&lt;&gt;0,Tableau1[[#This Row],[DMS_SAP]]&lt;&gt;0)=TRUE,"MIS A JOUR","")</f>
        <v/>
      </c>
      <c r="AA174" s="48"/>
      <c r="AB174" s="58" t="str">
        <f ca="1">IF(Tableau1[[#This Row],[Date rév.]]&lt;&gt;"", DAYS360(Tableau1[[#This Row],[Date rév.]],TODAY()),"")</f>
        <v/>
      </c>
      <c r="AC174" s="47" t="str">
        <f>IFERROR(INDEX(Chemin_accès!$B$11:$C$22,MATCH(Tableau1[[#This Row],[Type]],Chemin_accès!$C$11:$C$22,0),1),Chemin_accès!$B$11)</f>
        <v>\\stjn.local\trimet\Btechnique\Commun\BT Maint SCELLEMENT\205 - Préventifs\Modèles préventif\GammeDMS_7.MSCT.xlsm</v>
      </c>
      <c r="AD174" s="47" t="str">
        <f>Chemin_accès!$B$8&amp;Tableau1[[#This Row],[Localisation / Classement]]&amp;"\"&amp;Tableau1[[#This Row],[Poste technique]]&amp;"_"&amp;Tableau1[[#This Row],[Plan Entretien]]&amp;".xlsm"</f>
        <v>\\stjn.local\trimet\Btechnique\Commun\BT Maint SCELLEMENT\205 - Préventifs\Gammes 7.MSCT PE Tool\\_.xlsm</v>
      </c>
    </row>
    <row r="175" spans="1:30" x14ac:dyDescent="0.3">
      <c r="A175" s="44" t="str">
        <f t="shared" ca="1" si="2"/>
        <v>7.MSCT</v>
      </c>
      <c r="B1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5" s="46"/>
      <c r="D175" s="44"/>
      <c r="E175" s="44"/>
      <c r="F175" s="47"/>
      <c r="G175" s="47"/>
      <c r="H175" s="50"/>
      <c r="I175" s="50"/>
      <c r="J175" s="50"/>
      <c r="K175" s="50"/>
      <c r="L175" s="46"/>
      <c r="M175" s="47"/>
      <c r="N175" s="46"/>
      <c r="O175" s="46"/>
      <c r="P175" s="47"/>
      <c r="Q175" s="46"/>
      <c r="R175" s="46"/>
      <c r="S175" s="48"/>
      <c r="T175" s="61" t="str">
        <f>IF(Tableau1[[#This Row],[DMS_SAP]]="","",HYPERLINK(Tableau1[[#This Row],[Chemin fichier source]],"X"))</f>
        <v/>
      </c>
      <c r="U175" s="61" t="str">
        <f>IF(Tableau1[[#This Row],[Date rév.]]="","",HYPERLINK(Tableau1[[#This Row],[Lien document]],"X"))</f>
        <v/>
      </c>
      <c r="V175" s="47"/>
      <c r="W175" s="49" t="str">
        <f ca="1">Chemin_accès!$B$2&amp;Tableau1[[#This Row],[Poste Responsable]]&amp;"\"&amp;Tableau1[[#This Row],[Localisation / Classement]]&amp;"\"&amp;Tableau1[[#This Row],[Poste technique]]&amp;"_"&amp;Tableau1[[#This Row],[Plan Entretien]]&amp;".pdf"</f>
        <v>\\stjn.local\trimet\Donnees_Projets\Dms Sap\Maintenance\PlanEntretien\7.MSCT\\_.pdf</v>
      </c>
      <c r="X175" s="47"/>
      <c r="Y175" s="47"/>
      <c r="Z175" s="44" t="str">
        <f ca="1">IF(AND(Tableau1[[#This Row],[Charge]]&lt;&gt;0, Tableau1[[#This Row],[Nombre intervenants]]&lt;&gt;0,Tableau1[[#This Row],[Lien document]]&lt;&gt;0,Tableau1[[#This Row],[DMS_SAP]]&lt;&gt;0)=TRUE,"MIS A JOUR","")</f>
        <v/>
      </c>
      <c r="AA175" s="48"/>
      <c r="AB175" s="58" t="str">
        <f ca="1">IF(Tableau1[[#This Row],[Date rév.]]&lt;&gt;"", DAYS360(Tableau1[[#This Row],[Date rév.]],TODAY()),"")</f>
        <v/>
      </c>
      <c r="AC175" s="47" t="str">
        <f>IFERROR(INDEX(Chemin_accès!$B$11:$C$22,MATCH(Tableau1[[#This Row],[Type]],Chemin_accès!$C$11:$C$22,0),1),Chemin_accès!$B$11)</f>
        <v>\\stjn.local\trimet\Btechnique\Commun\BT Maint SCELLEMENT\205 - Préventifs\Modèles préventif\GammeDMS_7.MSCT.xlsm</v>
      </c>
      <c r="AD175" s="47" t="str">
        <f>Chemin_accès!$B$8&amp;Tableau1[[#This Row],[Localisation / Classement]]&amp;"\"&amp;Tableau1[[#This Row],[Poste technique]]&amp;"_"&amp;Tableau1[[#This Row],[Plan Entretien]]&amp;".xlsm"</f>
        <v>\\stjn.local\trimet\Btechnique\Commun\BT Maint SCELLEMENT\205 - Préventifs\Gammes 7.MSCT PE Tool\\_.xlsm</v>
      </c>
    </row>
    <row r="176" spans="1:30" x14ac:dyDescent="0.3">
      <c r="A176" s="44" t="str">
        <f t="shared" ca="1" si="2"/>
        <v>7.MSCT</v>
      </c>
      <c r="B1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6" s="46"/>
      <c r="D176" s="44"/>
      <c r="E176" s="44"/>
      <c r="F176" s="47"/>
      <c r="G176" s="47"/>
      <c r="H176" s="50"/>
      <c r="I176" s="50"/>
      <c r="J176" s="50"/>
      <c r="K176" s="50"/>
      <c r="L176" s="46"/>
      <c r="M176" s="47"/>
      <c r="N176" s="46"/>
      <c r="O176" s="46"/>
      <c r="P176" s="47"/>
      <c r="Q176" s="46"/>
      <c r="R176" s="46"/>
      <c r="S176" s="48"/>
      <c r="T176" s="61" t="str">
        <f>IF(Tableau1[[#This Row],[DMS_SAP]]="","",HYPERLINK(Tableau1[[#This Row],[Chemin fichier source]],"X"))</f>
        <v/>
      </c>
      <c r="U176" s="61" t="str">
        <f>IF(Tableau1[[#This Row],[Date rév.]]="","",HYPERLINK(Tableau1[[#This Row],[Lien document]],"X"))</f>
        <v/>
      </c>
      <c r="V176" s="47"/>
      <c r="W176" s="49" t="str">
        <f ca="1">Chemin_accès!$B$2&amp;Tableau1[[#This Row],[Poste Responsable]]&amp;"\"&amp;Tableau1[[#This Row],[Localisation / Classement]]&amp;"\"&amp;Tableau1[[#This Row],[Poste technique]]&amp;"_"&amp;Tableau1[[#This Row],[Plan Entretien]]&amp;".pdf"</f>
        <v>\\stjn.local\trimet\Donnees_Projets\Dms Sap\Maintenance\PlanEntretien\7.MSCT\\_.pdf</v>
      </c>
      <c r="X176" s="47"/>
      <c r="Y176" s="47"/>
      <c r="Z176" s="44" t="str">
        <f ca="1">IF(AND(Tableau1[[#This Row],[Charge]]&lt;&gt;0, Tableau1[[#This Row],[Nombre intervenants]]&lt;&gt;0,Tableau1[[#This Row],[Lien document]]&lt;&gt;0,Tableau1[[#This Row],[DMS_SAP]]&lt;&gt;0)=TRUE,"MIS A JOUR","")</f>
        <v/>
      </c>
      <c r="AA176" s="48"/>
      <c r="AB176" s="58" t="str">
        <f ca="1">IF(Tableau1[[#This Row],[Date rév.]]&lt;&gt;"", DAYS360(Tableau1[[#This Row],[Date rév.]],TODAY()),"")</f>
        <v/>
      </c>
      <c r="AC176" s="47" t="str">
        <f>IFERROR(INDEX(Chemin_accès!$B$11:$C$22,MATCH(Tableau1[[#This Row],[Type]],Chemin_accès!$C$11:$C$22,0),1),Chemin_accès!$B$11)</f>
        <v>\\stjn.local\trimet\Btechnique\Commun\BT Maint SCELLEMENT\205 - Préventifs\Modèles préventif\GammeDMS_7.MSCT.xlsm</v>
      </c>
      <c r="AD176" s="47" t="str">
        <f>Chemin_accès!$B$8&amp;Tableau1[[#This Row],[Localisation / Classement]]&amp;"\"&amp;Tableau1[[#This Row],[Poste technique]]&amp;"_"&amp;Tableau1[[#This Row],[Plan Entretien]]&amp;".xlsm"</f>
        <v>\\stjn.local\trimet\Btechnique\Commun\BT Maint SCELLEMENT\205 - Préventifs\Gammes 7.MSCT PE Tool\\_.xlsm</v>
      </c>
    </row>
    <row r="177" spans="1:30" x14ac:dyDescent="0.3">
      <c r="A177" s="44" t="str">
        <f t="shared" ca="1" si="2"/>
        <v>7.MSCT</v>
      </c>
      <c r="B1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7" s="46"/>
      <c r="D177" s="44"/>
      <c r="E177" s="44"/>
      <c r="F177" s="47"/>
      <c r="G177" s="47"/>
      <c r="H177" s="50"/>
      <c r="I177" s="50"/>
      <c r="J177" s="50"/>
      <c r="K177" s="50"/>
      <c r="L177" s="46"/>
      <c r="M177" s="47"/>
      <c r="N177" s="46"/>
      <c r="O177" s="46"/>
      <c r="P177" s="47"/>
      <c r="Q177" s="46"/>
      <c r="R177" s="46"/>
      <c r="S177" s="48"/>
      <c r="T177" s="61" t="str">
        <f>IF(Tableau1[[#This Row],[DMS_SAP]]="","",HYPERLINK(Tableau1[[#This Row],[Chemin fichier source]],"X"))</f>
        <v/>
      </c>
      <c r="U177" s="61" t="str">
        <f>IF(Tableau1[[#This Row],[Date rév.]]="","",HYPERLINK(Tableau1[[#This Row],[Lien document]],"X"))</f>
        <v/>
      </c>
      <c r="V177" s="47"/>
      <c r="W177" s="49" t="str">
        <f ca="1">Chemin_accès!$B$2&amp;Tableau1[[#This Row],[Poste Responsable]]&amp;"\"&amp;Tableau1[[#This Row],[Localisation / Classement]]&amp;"\"&amp;Tableau1[[#This Row],[Poste technique]]&amp;"_"&amp;Tableau1[[#This Row],[Plan Entretien]]&amp;".pdf"</f>
        <v>\\stjn.local\trimet\Donnees_Projets\Dms Sap\Maintenance\PlanEntretien\7.MSCT\\_.pdf</v>
      </c>
      <c r="X177" s="47"/>
      <c r="Y177" s="47"/>
      <c r="Z177" s="44" t="str">
        <f ca="1">IF(AND(Tableau1[[#This Row],[Charge]]&lt;&gt;0, Tableau1[[#This Row],[Nombre intervenants]]&lt;&gt;0,Tableau1[[#This Row],[Lien document]]&lt;&gt;0,Tableau1[[#This Row],[DMS_SAP]]&lt;&gt;0)=TRUE,"MIS A JOUR","")</f>
        <v/>
      </c>
      <c r="AA177" s="48"/>
      <c r="AB177" s="58" t="str">
        <f ca="1">IF(Tableau1[[#This Row],[Date rév.]]&lt;&gt;"", DAYS360(Tableau1[[#This Row],[Date rév.]],TODAY()),"")</f>
        <v/>
      </c>
      <c r="AC177" s="47" t="str">
        <f>IFERROR(INDEX(Chemin_accès!$B$11:$C$22,MATCH(Tableau1[[#This Row],[Type]],Chemin_accès!$C$11:$C$22,0),1),Chemin_accès!$B$11)</f>
        <v>\\stjn.local\trimet\Btechnique\Commun\BT Maint SCELLEMENT\205 - Préventifs\Modèles préventif\GammeDMS_7.MSCT.xlsm</v>
      </c>
      <c r="AD177" s="47" t="str">
        <f>Chemin_accès!$B$8&amp;Tableau1[[#This Row],[Localisation / Classement]]&amp;"\"&amp;Tableau1[[#This Row],[Poste technique]]&amp;"_"&amp;Tableau1[[#This Row],[Plan Entretien]]&amp;".xlsm"</f>
        <v>\\stjn.local\trimet\Btechnique\Commun\BT Maint SCELLEMENT\205 - Préventifs\Gammes 7.MSCT PE Tool\\_.xlsm</v>
      </c>
    </row>
    <row r="178" spans="1:30" x14ac:dyDescent="0.3">
      <c r="A178" s="44" t="str">
        <f t="shared" ca="1" si="2"/>
        <v>7.MSCT</v>
      </c>
      <c r="B1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8" s="46"/>
      <c r="D178" s="44"/>
      <c r="E178" s="44"/>
      <c r="F178" s="47"/>
      <c r="G178" s="47"/>
      <c r="H178" s="50"/>
      <c r="I178" s="50"/>
      <c r="J178" s="50"/>
      <c r="K178" s="50"/>
      <c r="L178" s="46"/>
      <c r="M178" s="47"/>
      <c r="N178" s="46"/>
      <c r="O178" s="46"/>
      <c r="P178" s="47"/>
      <c r="Q178" s="46"/>
      <c r="R178" s="46"/>
      <c r="S178" s="48"/>
      <c r="T178" s="61" t="str">
        <f>IF(Tableau1[[#This Row],[DMS_SAP]]="","",HYPERLINK(Tableau1[[#This Row],[Chemin fichier source]],"X"))</f>
        <v/>
      </c>
      <c r="U178" s="61" t="str">
        <f>IF(Tableau1[[#This Row],[Date rév.]]="","",HYPERLINK(Tableau1[[#This Row],[Lien document]],"X"))</f>
        <v/>
      </c>
      <c r="V178" s="47"/>
      <c r="W178" s="49" t="str">
        <f ca="1">Chemin_accès!$B$2&amp;Tableau1[[#This Row],[Poste Responsable]]&amp;"\"&amp;Tableau1[[#This Row],[Localisation / Classement]]&amp;"\"&amp;Tableau1[[#This Row],[Poste technique]]&amp;"_"&amp;Tableau1[[#This Row],[Plan Entretien]]&amp;".pdf"</f>
        <v>\\stjn.local\trimet\Donnees_Projets\Dms Sap\Maintenance\PlanEntretien\7.MSCT\\_.pdf</v>
      </c>
      <c r="X178" s="47"/>
      <c r="Y178" s="47"/>
      <c r="Z178" s="44" t="str">
        <f ca="1">IF(AND(Tableau1[[#This Row],[Charge]]&lt;&gt;0, Tableau1[[#This Row],[Nombre intervenants]]&lt;&gt;0,Tableau1[[#This Row],[Lien document]]&lt;&gt;0,Tableau1[[#This Row],[DMS_SAP]]&lt;&gt;0)=TRUE,"MIS A JOUR","")</f>
        <v/>
      </c>
      <c r="AA178" s="48"/>
      <c r="AB178" s="58" t="str">
        <f ca="1">IF(Tableau1[[#This Row],[Date rév.]]&lt;&gt;"", DAYS360(Tableau1[[#This Row],[Date rév.]],TODAY()),"")</f>
        <v/>
      </c>
      <c r="AC178" s="47" t="str">
        <f>IFERROR(INDEX(Chemin_accès!$B$11:$C$22,MATCH(Tableau1[[#This Row],[Type]],Chemin_accès!$C$11:$C$22,0),1),Chemin_accès!$B$11)</f>
        <v>\\stjn.local\trimet\Btechnique\Commun\BT Maint SCELLEMENT\205 - Préventifs\Modèles préventif\GammeDMS_7.MSCT.xlsm</v>
      </c>
      <c r="AD178" s="47" t="str">
        <f>Chemin_accès!$B$8&amp;Tableau1[[#This Row],[Localisation / Classement]]&amp;"\"&amp;Tableau1[[#This Row],[Poste technique]]&amp;"_"&amp;Tableau1[[#This Row],[Plan Entretien]]&amp;".xlsm"</f>
        <v>\\stjn.local\trimet\Btechnique\Commun\BT Maint SCELLEMENT\205 - Préventifs\Gammes 7.MSCT PE Tool\\_.xlsm</v>
      </c>
    </row>
    <row r="179" spans="1:30" x14ac:dyDescent="0.3">
      <c r="A179" s="44" t="str">
        <f t="shared" ca="1" si="2"/>
        <v>7.MSCT</v>
      </c>
      <c r="B1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79" s="46"/>
      <c r="D179" s="44"/>
      <c r="E179" s="44"/>
      <c r="F179" s="47"/>
      <c r="G179" s="47"/>
      <c r="H179" s="50"/>
      <c r="I179" s="50"/>
      <c r="J179" s="50"/>
      <c r="K179" s="50"/>
      <c r="L179" s="46"/>
      <c r="M179" s="47"/>
      <c r="N179" s="46"/>
      <c r="O179" s="46"/>
      <c r="P179" s="47"/>
      <c r="Q179" s="46"/>
      <c r="R179" s="46"/>
      <c r="S179" s="48"/>
      <c r="T179" s="61" t="str">
        <f>IF(Tableau1[[#This Row],[DMS_SAP]]="","",HYPERLINK(Tableau1[[#This Row],[Chemin fichier source]],"X"))</f>
        <v/>
      </c>
      <c r="U179" s="61" t="str">
        <f>IF(Tableau1[[#This Row],[Date rév.]]="","",HYPERLINK(Tableau1[[#This Row],[Lien document]],"X"))</f>
        <v/>
      </c>
      <c r="V179" s="47"/>
      <c r="W179" s="49" t="str">
        <f ca="1">Chemin_accès!$B$2&amp;Tableau1[[#This Row],[Poste Responsable]]&amp;"\"&amp;Tableau1[[#This Row],[Localisation / Classement]]&amp;"\"&amp;Tableau1[[#This Row],[Poste technique]]&amp;"_"&amp;Tableau1[[#This Row],[Plan Entretien]]&amp;".pdf"</f>
        <v>\\stjn.local\trimet\Donnees_Projets\Dms Sap\Maintenance\PlanEntretien\7.MSCT\\_.pdf</v>
      </c>
      <c r="X179" s="47"/>
      <c r="Y179" s="47"/>
      <c r="Z179" s="44" t="str">
        <f ca="1">IF(AND(Tableau1[[#This Row],[Charge]]&lt;&gt;0, Tableau1[[#This Row],[Nombre intervenants]]&lt;&gt;0,Tableau1[[#This Row],[Lien document]]&lt;&gt;0,Tableau1[[#This Row],[DMS_SAP]]&lt;&gt;0)=TRUE,"MIS A JOUR","")</f>
        <v/>
      </c>
      <c r="AA179" s="48"/>
      <c r="AB179" s="58" t="str">
        <f ca="1">IF(Tableau1[[#This Row],[Date rév.]]&lt;&gt;"", DAYS360(Tableau1[[#This Row],[Date rév.]],TODAY()),"")</f>
        <v/>
      </c>
      <c r="AC179" s="47" t="str">
        <f>IFERROR(INDEX(Chemin_accès!$B$11:$C$22,MATCH(Tableau1[[#This Row],[Type]],Chemin_accès!$C$11:$C$22,0),1),Chemin_accès!$B$11)</f>
        <v>\\stjn.local\trimet\Btechnique\Commun\BT Maint SCELLEMENT\205 - Préventifs\Modèles préventif\GammeDMS_7.MSCT.xlsm</v>
      </c>
      <c r="AD179" s="47" t="str">
        <f>Chemin_accès!$B$8&amp;Tableau1[[#This Row],[Localisation / Classement]]&amp;"\"&amp;Tableau1[[#This Row],[Poste technique]]&amp;"_"&amp;Tableau1[[#This Row],[Plan Entretien]]&amp;".xlsm"</f>
        <v>\\stjn.local\trimet\Btechnique\Commun\BT Maint SCELLEMENT\205 - Préventifs\Gammes 7.MSCT PE Tool\\_.xlsm</v>
      </c>
    </row>
    <row r="180" spans="1:30" x14ac:dyDescent="0.3">
      <c r="A180" s="44" t="str">
        <f t="shared" ca="1" si="2"/>
        <v>7.MSCT</v>
      </c>
      <c r="B1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0" s="46"/>
      <c r="D180" s="44"/>
      <c r="E180" s="44"/>
      <c r="F180" s="47"/>
      <c r="G180" s="47"/>
      <c r="H180" s="50"/>
      <c r="I180" s="50"/>
      <c r="J180" s="50"/>
      <c r="K180" s="50"/>
      <c r="L180" s="46"/>
      <c r="M180" s="47"/>
      <c r="N180" s="46"/>
      <c r="O180" s="46"/>
      <c r="P180" s="47"/>
      <c r="Q180" s="46"/>
      <c r="R180" s="46"/>
      <c r="S180" s="48"/>
      <c r="T180" s="61" t="str">
        <f>IF(Tableau1[[#This Row],[DMS_SAP]]="","",HYPERLINK(Tableau1[[#This Row],[Chemin fichier source]],"X"))</f>
        <v/>
      </c>
      <c r="U180" s="61" t="str">
        <f>IF(Tableau1[[#This Row],[Date rév.]]="","",HYPERLINK(Tableau1[[#This Row],[Lien document]],"X"))</f>
        <v/>
      </c>
      <c r="V180" s="47"/>
      <c r="W180" s="49" t="str">
        <f ca="1">Chemin_accès!$B$2&amp;Tableau1[[#This Row],[Poste Responsable]]&amp;"\"&amp;Tableau1[[#This Row],[Localisation / Classement]]&amp;"\"&amp;Tableau1[[#This Row],[Poste technique]]&amp;"_"&amp;Tableau1[[#This Row],[Plan Entretien]]&amp;".pdf"</f>
        <v>\\stjn.local\trimet\Donnees_Projets\Dms Sap\Maintenance\PlanEntretien\7.MSCT\\_.pdf</v>
      </c>
      <c r="X180" s="47"/>
      <c r="Y180" s="47"/>
      <c r="Z180" s="44" t="str">
        <f ca="1">IF(AND(Tableau1[[#This Row],[Charge]]&lt;&gt;0, Tableau1[[#This Row],[Nombre intervenants]]&lt;&gt;0,Tableau1[[#This Row],[Lien document]]&lt;&gt;0,Tableau1[[#This Row],[DMS_SAP]]&lt;&gt;0)=TRUE,"MIS A JOUR","")</f>
        <v/>
      </c>
      <c r="AA180" s="48"/>
      <c r="AB180" s="58" t="str">
        <f ca="1">IF(Tableau1[[#This Row],[Date rév.]]&lt;&gt;"", DAYS360(Tableau1[[#This Row],[Date rév.]],TODAY()),"")</f>
        <v/>
      </c>
      <c r="AC180" s="47" t="str">
        <f>IFERROR(INDEX(Chemin_accès!$B$11:$C$22,MATCH(Tableau1[[#This Row],[Type]],Chemin_accès!$C$11:$C$22,0),1),Chemin_accès!$B$11)</f>
        <v>\\stjn.local\trimet\Btechnique\Commun\BT Maint SCELLEMENT\205 - Préventifs\Modèles préventif\GammeDMS_7.MSCT.xlsm</v>
      </c>
      <c r="AD180" s="47" t="str">
        <f>Chemin_accès!$B$8&amp;Tableau1[[#This Row],[Localisation / Classement]]&amp;"\"&amp;Tableau1[[#This Row],[Poste technique]]&amp;"_"&amp;Tableau1[[#This Row],[Plan Entretien]]&amp;".xlsm"</f>
        <v>\\stjn.local\trimet\Btechnique\Commun\BT Maint SCELLEMENT\205 - Préventifs\Gammes 7.MSCT PE Tool\\_.xlsm</v>
      </c>
    </row>
    <row r="181" spans="1:30" x14ac:dyDescent="0.3">
      <c r="A181" s="44" t="str">
        <f t="shared" ca="1" si="2"/>
        <v>7.MSCT</v>
      </c>
      <c r="B1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1" s="46"/>
      <c r="D181" s="44"/>
      <c r="E181" s="44"/>
      <c r="F181" s="47"/>
      <c r="G181" s="47"/>
      <c r="H181" s="50"/>
      <c r="I181" s="50"/>
      <c r="J181" s="50"/>
      <c r="K181" s="50"/>
      <c r="L181" s="46"/>
      <c r="M181" s="47"/>
      <c r="N181" s="46"/>
      <c r="O181" s="46"/>
      <c r="P181" s="47"/>
      <c r="Q181" s="46"/>
      <c r="R181" s="46"/>
      <c r="S181" s="48"/>
      <c r="T181" s="61" t="str">
        <f>IF(Tableau1[[#This Row],[DMS_SAP]]="","",HYPERLINK(Tableau1[[#This Row],[Chemin fichier source]],"X"))</f>
        <v/>
      </c>
      <c r="U181" s="61" t="str">
        <f>IF(Tableau1[[#This Row],[Date rév.]]="","",HYPERLINK(Tableau1[[#This Row],[Lien document]],"X"))</f>
        <v/>
      </c>
      <c r="V181" s="47"/>
      <c r="W181" s="49" t="str">
        <f ca="1">Chemin_accès!$B$2&amp;Tableau1[[#This Row],[Poste Responsable]]&amp;"\"&amp;Tableau1[[#This Row],[Localisation / Classement]]&amp;"\"&amp;Tableau1[[#This Row],[Poste technique]]&amp;"_"&amp;Tableau1[[#This Row],[Plan Entretien]]&amp;".pdf"</f>
        <v>\\stjn.local\trimet\Donnees_Projets\Dms Sap\Maintenance\PlanEntretien\7.MSCT\\_.pdf</v>
      </c>
      <c r="X181" s="47"/>
      <c r="Y181" s="47"/>
      <c r="Z181" s="44" t="str">
        <f ca="1">IF(AND(Tableau1[[#This Row],[Charge]]&lt;&gt;0, Tableau1[[#This Row],[Nombre intervenants]]&lt;&gt;0,Tableau1[[#This Row],[Lien document]]&lt;&gt;0,Tableau1[[#This Row],[DMS_SAP]]&lt;&gt;0)=TRUE,"MIS A JOUR","")</f>
        <v/>
      </c>
      <c r="AA181" s="48"/>
      <c r="AB181" s="58" t="str">
        <f ca="1">IF(Tableau1[[#This Row],[Date rév.]]&lt;&gt;"", DAYS360(Tableau1[[#This Row],[Date rév.]],TODAY()),"")</f>
        <v/>
      </c>
      <c r="AC181" s="47" t="str">
        <f>IFERROR(INDEX(Chemin_accès!$B$11:$C$22,MATCH(Tableau1[[#This Row],[Type]],Chemin_accès!$C$11:$C$22,0),1),Chemin_accès!$B$11)</f>
        <v>\\stjn.local\trimet\Btechnique\Commun\BT Maint SCELLEMENT\205 - Préventifs\Modèles préventif\GammeDMS_7.MSCT.xlsm</v>
      </c>
      <c r="AD181" s="47" t="str">
        <f>Chemin_accès!$B$8&amp;Tableau1[[#This Row],[Localisation / Classement]]&amp;"\"&amp;Tableau1[[#This Row],[Poste technique]]&amp;"_"&amp;Tableau1[[#This Row],[Plan Entretien]]&amp;".xlsm"</f>
        <v>\\stjn.local\trimet\Btechnique\Commun\BT Maint SCELLEMENT\205 - Préventifs\Gammes 7.MSCT PE Tool\\_.xlsm</v>
      </c>
    </row>
    <row r="182" spans="1:30" x14ac:dyDescent="0.3">
      <c r="A182" s="44" t="str">
        <f t="shared" ca="1" si="2"/>
        <v>7.MSCT</v>
      </c>
      <c r="B1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2" s="46"/>
      <c r="D182" s="44"/>
      <c r="E182" s="44"/>
      <c r="F182" s="47"/>
      <c r="G182" s="47"/>
      <c r="H182" s="50"/>
      <c r="I182" s="50"/>
      <c r="J182" s="50"/>
      <c r="K182" s="50"/>
      <c r="L182" s="46"/>
      <c r="M182" s="47"/>
      <c r="N182" s="46"/>
      <c r="O182" s="46"/>
      <c r="P182" s="47"/>
      <c r="Q182" s="46"/>
      <c r="R182" s="46"/>
      <c r="S182" s="48"/>
      <c r="T182" s="61" t="str">
        <f>IF(Tableau1[[#This Row],[DMS_SAP]]="","",HYPERLINK(Tableau1[[#This Row],[Chemin fichier source]],"X"))</f>
        <v/>
      </c>
      <c r="U182" s="61" t="str">
        <f>IF(Tableau1[[#This Row],[Date rév.]]="","",HYPERLINK(Tableau1[[#This Row],[Lien document]],"X"))</f>
        <v/>
      </c>
      <c r="V182" s="47"/>
      <c r="W182" s="49" t="str">
        <f ca="1">Chemin_accès!$B$2&amp;Tableau1[[#This Row],[Poste Responsable]]&amp;"\"&amp;Tableau1[[#This Row],[Localisation / Classement]]&amp;"\"&amp;Tableau1[[#This Row],[Poste technique]]&amp;"_"&amp;Tableau1[[#This Row],[Plan Entretien]]&amp;".pdf"</f>
        <v>\\stjn.local\trimet\Donnees_Projets\Dms Sap\Maintenance\PlanEntretien\7.MSCT\\_.pdf</v>
      </c>
      <c r="X182" s="47"/>
      <c r="Y182" s="47"/>
      <c r="Z182" s="44" t="str">
        <f ca="1">IF(AND(Tableau1[[#This Row],[Charge]]&lt;&gt;0, Tableau1[[#This Row],[Nombre intervenants]]&lt;&gt;0,Tableau1[[#This Row],[Lien document]]&lt;&gt;0,Tableau1[[#This Row],[DMS_SAP]]&lt;&gt;0)=TRUE,"MIS A JOUR","")</f>
        <v/>
      </c>
      <c r="AA182" s="48"/>
      <c r="AB182" s="58" t="str">
        <f ca="1">IF(Tableau1[[#This Row],[Date rév.]]&lt;&gt;"", DAYS360(Tableau1[[#This Row],[Date rév.]],TODAY()),"")</f>
        <v/>
      </c>
      <c r="AC182" s="47" t="str">
        <f>IFERROR(INDEX(Chemin_accès!$B$11:$C$22,MATCH(Tableau1[[#This Row],[Type]],Chemin_accès!$C$11:$C$22,0),1),Chemin_accès!$B$11)</f>
        <v>\\stjn.local\trimet\Btechnique\Commun\BT Maint SCELLEMENT\205 - Préventifs\Modèles préventif\GammeDMS_7.MSCT.xlsm</v>
      </c>
      <c r="AD182" s="47" t="str">
        <f>Chemin_accès!$B$8&amp;Tableau1[[#This Row],[Localisation / Classement]]&amp;"\"&amp;Tableau1[[#This Row],[Poste technique]]&amp;"_"&amp;Tableau1[[#This Row],[Plan Entretien]]&amp;".xlsm"</f>
        <v>\\stjn.local\trimet\Btechnique\Commun\BT Maint SCELLEMENT\205 - Préventifs\Gammes 7.MSCT PE Tool\\_.xlsm</v>
      </c>
    </row>
    <row r="183" spans="1:30" x14ac:dyDescent="0.3">
      <c r="A183" s="44" t="str">
        <f t="shared" ca="1" si="2"/>
        <v>7.MSCT</v>
      </c>
      <c r="B1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3" s="46"/>
      <c r="D183" s="44"/>
      <c r="E183" s="44"/>
      <c r="F183" s="47"/>
      <c r="G183" s="47"/>
      <c r="H183" s="50"/>
      <c r="I183" s="50"/>
      <c r="J183" s="50"/>
      <c r="K183" s="50"/>
      <c r="L183" s="46"/>
      <c r="M183" s="47"/>
      <c r="N183" s="46"/>
      <c r="O183" s="46"/>
      <c r="P183" s="47"/>
      <c r="Q183" s="46"/>
      <c r="R183" s="46"/>
      <c r="S183" s="48"/>
      <c r="T183" s="61" t="str">
        <f>IF(Tableau1[[#This Row],[DMS_SAP]]="","",HYPERLINK(Tableau1[[#This Row],[Chemin fichier source]],"X"))</f>
        <v/>
      </c>
      <c r="U183" s="61" t="str">
        <f>IF(Tableau1[[#This Row],[Date rév.]]="","",HYPERLINK(Tableau1[[#This Row],[Lien document]],"X"))</f>
        <v/>
      </c>
      <c r="V183" s="47"/>
      <c r="W183" s="49" t="str">
        <f ca="1">Chemin_accès!$B$2&amp;Tableau1[[#This Row],[Poste Responsable]]&amp;"\"&amp;Tableau1[[#This Row],[Localisation / Classement]]&amp;"\"&amp;Tableau1[[#This Row],[Poste technique]]&amp;"_"&amp;Tableau1[[#This Row],[Plan Entretien]]&amp;".pdf"</f>
        <v>\\stjn.local\trimet\Donnees_Projets\Dms Sap\Maintenance\PlanEntretien\7.MSCT\\_.pdf</v>
      </c>
      <c r="X183" s="47"/>
      <c r="Y183" s="47"/>
      <c r="Z183" s="44" t="str">
        <f ca="1">IF(AND(Tableau1[[#This Row],[Charge]]&lt;&gt;0, Tableau1[[#This Row],[Nombre intervenants]]&lt;&gt;0,Tableau1[[#This Row],[Lien document]]&lt;&gt;0,Tableau1[[#This Row],[DMS_SAP]]&lt;&gt;0)=TRUE,"MIS A JOUR","")</f>
        <v/>
      </c>
      <c r="AA183" s="48"/>
      <c r="AB183" s="58" t="str">
        <f ca="1">IF(Tableau1[[#This Row],[Date rév.]]&lt;&gt;"", DAYS360(Tableau1[[#This Row],[Date rév.]],TODAY()),"")</f>
        <v/>
      </c>
      <c r="AC183" s="47" t="str">
        <f>IFERROR(INDEX(Chemin_accès!$B$11:$C$22,MATCH(Tableau1[[#This Row],[Type]],Chemin_accès!$C$11:$C$22,0),1),Chemin_accès!$B$11)</f>
        <v>\\stjn.local\trimet\Btechnique\Commun\BT Maint SCELLEMENT\205 - Préventifs\Modèles préventif\GammeDMS_7.MSCT.xlsm</v>
      </c>
      <c r="AD183" s="47" t="str">
        <f>Chemin_accès!$B$8&amp;Tableau1[[#This Row],[Localisation / Classement]]&amp;"\"&amp;Tableau1[[#This Row],[Poste technique]]&amp;"_"&amp;Tableau1[[#This Row],[Plan Entretien]]&amp;".xlsm"</f>
        <v>\\stjn.local\trimet\Btechnique\Commun\BT Maint SCELLEMENT\205 - Préventifs\Gammes 7.MSCT PE Tool\\_.xlsm</v>
      </c>
    </row>
    <row r="184" spans="1:30" x14ac:dyDescent="0.3">
      <c r="A184" s="44" t="str">
        <f t="shared" ca="1" si="2"/>
        <v>7.MSCT</v>
      </c>
      <c r="B1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4" s="46"/>
      <c r="D184" s="44"/>
      <c r="E184" s="44"/>
      <c r="F184" s="47"/>
      <c r="G184" s="47"/>
      <c r="H184" s="50"/>
      <c r="I184" s="50"/>
      <c r="J184" s="50"/>
      <c r="K184" s="50"/>
      <c r="L184" s="46"/>
      <c r="M184" s="47"/>
      <c r="N184" s="46"/>
      <c r="O184" s="46"/>
      <c r="P184" s="47"/>
      <c r="Q184" s="46"/>
      <c r="R184" s="46"/>
      <c r="S184" s="48"/>
      <c r="T184" s="61" t="str">
        <f>IF(Tableau1[[#This Row],[DMS_SAP]]="","",HYPERLINK(Tableau1[[#This Row],[Chemin fichier source]],"X"))</f>
        <v/>
      </c>
      <c r="U184" s="61" t="str">
        <f>IF(Tableau1[[#This Row],[Date rév.]]="","",HYPERLINK(Tableau1[[#This Row],[Lien document]],"X"))</f>
        <v/>
      </c>
      <c r="V184" s="47"/>
      <c r="W184" s="49" t="str">
        <f ca="1">Chemin_accès!$B$2&amp;Tableau1[[#This Row],[Poste Responsable]]&amp;"\"&amp;Tableau1[[#This Row],[Localisation / Classement]]&amp;"\"&amp;Tableau1[[#This Row],[Poste technique]]&amp;"_"&amp;Tableau1[[#This Row],[Plan Entretien]]&amp;".pdf"</f>
        <v>\\stjn.local\trimet\Donnees_Projets\Dms Sap\Maintenance\PlanEntretien\7.MSCT\\_.pdf</v>
      </c>
      <c r="X184" s="47"/>
      <c r="Y184" s="47"/>
      <c r="Z184" s="44" t="str">
        <f ca="1">IF(AND(Tableau1[[#This Row],[Charge]]&lt;&gt;0, Tableau1[[#This Row],[Nombre intervenants]]&lt;&gt;0,Tableau1[[#This Row],[Lien document]]&lt;&gt;0,Tableau1[[#This Row],[DMS_SAP]]&lt;&gt;0)=TRUE,"MIS A JOUR","")</f>
        <v/>
      </c>
      <c r="AA184" s="48"/>
      <c r="AB184" s="58" t="str">
        <f ca="1">IF(Tableau1[[#This Row],[Date rév.]]&lt;&gt;"", DAYS360(Tableau1[[#This Row],[Date rév.]],TODAY()),"")</f>
        <v/>
      </c>
      <c r="AC184" s="47" t="str">
        <f>IFERROR(INDEX(Chemin_accès!$B$11:$C$22,MATCH(Tableau1[[#This Row],[Type]],Chemin_accès!$C$11:$C$22,0),1),Chemin_accès!$B$11)</f>
        <v>\\stjn.local\trimet\Btechnique\Commun\BT Maint SCELLEMENT\205 - Préventifs\Modèles préventif\GammeDMS_7.MSCT.xlsm</v>
      </c>
      <c r="AD184" s="47" t="str">
        <f>Chemin_accès!$B$8&amp;Tableau1[[#This Row],[Localisation / Classement]]&amp;"\"&amp;Tableau1[[#This Row],[Poste technique]]&amp;"_"&amp;Tableau1[[#This Row],[Plan Entretien]]&amp;".xlsm"</f>
        <v>\\stjn.local\trimet\Btechnique\Commun\BT Maint SCELLEMENT\205 - Préventifs\Gammes 7.MSCT PE Tool\\_.xlsm</v>
      </c>
    </row>
    <row r="185" spans="1:30" x14ac:dyDescent="0.3">
      <c r="A185" s="44" t="str">
        <f t="shared" ca="1" si="2"/>
        <v>7.MSCT</v>
      </c>
      <c r="B1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5" s="46"/>
      <c r="D185" s="44"/>
      <c r="E185" s="44"/>
      <c r="F185" s="47"/>
      <c r="G185" s="47"/>
      <c r="H185" s="50"/>
      <c r="I185" s="50"/>
      <c r="J185" s="50"/>
      <c r="K185" s="50"/>
      <c r="L185" s="46"/>
      <c r="M185" s="47"/>
      <c r="N185" s="46"/>
      <c r="O185" s="46"/>
      <c r="P185" s="47"/>
      <c r="Q185" s="46"/>
      <c r="R185" s="46"/>
      <c r="S185" s="48"/>
      <c r="T185" s="61" t="str">
        <f>IF(Tableau1[[#This Row],[DMS_SAP]]="","",HYPERLINK(Tableau1[[#This Row],[Chemin fichier source]],"X"))</f>
        <v/>
      </c>
      <c r="U185" s="61" t="str">
        <f>IF(Tableau1[[#This Row],[Date rév.]]="","",HYPERLINK(Tableau1[[#This Row],[Lien document]],"X"))</f>
        <v/>
      </c>
      <c r="V185" s="47"/>
      <c r="W185" s="49" t="str">
        <f ca="1">Chemin_accès!$B$2&amp;Tableau1[[#This Row],[Poste Responsable]]&amp;"\"&amp;Tableau1[[#This Row],[Localisation / Classement]]&amp;"\"&amp;Tableau1[[#This Row],[Poste technique]]&amp;"_"&amp;Tableau1[[#This Row],[Plan Entretien]]&amp;".pdf"</f>
        <v>\\stjn.local\trimet\Donnees_Projets\Dms Sap\Maintenance\PlanEntretien\7.MSCT\\_.pdf</v>
      </c>
      <c r="X185" s="47"/>
      <c r="Y185" s="47"/>
      <c r="Z185" s="44" t="str">
        <f ca="1">IF(AND(Tableau1[[#This Row],[Charge]]&lt;&gt;0, Tableau1[[#This Row],[Nombre intervenants]]&lt;&gt;0,Tableau1[[#This Row],[Lien document]]&lt;&gt;0,Tableau1[[#This Row],[DMS_SAP]]&lt;&gt;0)=TRUE,"MIS A JOUR","")</f>
        <v/>
      </c>
      <c r="AA185" s="48"/>
      <c r="AB185" s="58" t="str">
        <f ca="1">IF(Tableau1[[#This Row],[Date rév.]]&lt;&gt;"", DAYS360(Tableau1[[#This Row],[Date rév.]],TODAY()),"")</f>
        <v/>
      </c>
      <c r="AC185" s="47" t="str">
        <f>IFERROR(INDEX(Chemin_accès!$B$11:$C$22,MATCH(Tableau1[[#This Row],[Type]],Chemin_accès!$C$11:$C$22,0),1),Chemin_accès!$B$11)</f>
        <v>\\stjn.local\trimet\Btechnique\Commun\BT Maint SCELLEMENT\205 - Préventifs\Modèles préventif\GammeDMS_7.MSCT.xlsm</v>
      </c>
      <c r="AD185" s="47" t="str">
        <f>Chemin_accès!$B$8&amp;Tableau1[[#This Row],[Localisation / Classement]]&amp;"\"&amp;Tableau1[[#This Row],[Poste technique]]&amp;"_"&amp;Tableau1[[#This Row],[Plan Entretien]]&amp;".xlsm"</f>
        <v>\\stjn.local\trimet\Btechnique\Commun\BT Maint SCELLEMENT\205 - Préventifs\Gammes 7.MSCT PE Tool\\_.xlsm</v>
      </c>
    </row>
    <row r="186" spans="1:30" x14ac:dyDescent="0.3">
      <c r="A186" s="44" t="str">
        <f t="shared" ca="1" si="2"/>
        <v>7.MSCT</v>
      </c>
      <c r="B1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6" s="46"/>
      <c r="D186" s="44"/>
      <c r="E186" s="44"/>
      <c r="F186" s="47"/>
      <c r="G186" s="47"/>
      <c r="H186" s="50"/>
      <c r="I186" s="50"/>
      <c r="J186" s="50"/>
      <c r="K186" s="50"/>
      <c r="L186" s="46"/>
      <c r="M186" s="47"/>
      <c r="N186" s="46"/>
      <c r="O186" s="46"/>
      <c r="P186" s="47"/>
      <c r="Q186" s="46"/>
      <c r="R186" s="46"/>
      <c r="S186" s="48"/>
      <c r="T186" s="61" t="str">
        <f>IF(Tableau1[[#This Row],[DMS_SAP]]="","",HYPERLINK(Tableau1[[#This Row],[Chemin fichier source]],"X"))</f>
        <v/>
      </c>
      <c r="U186" s="61" t="str">
        <f>IF(Tableau1[[#This Row],[Date rév.]]="","",HYPERLINK(Tableau1[[#This Row],[Lien document]],"X"))</f>
        <v/>
      </c>
      <c r="V186" s="47"/>
      <c r="W186" s="49" t="str">
        <f ca="1">Chemin_accès!$B$2&amp;Tableau1[[#This Row],[Poste Responsable]]&amp;"\"&amp;Tableau1[[#This Row],[Localisation / Classement]]&amp;"\"&amp;Tableau1[[#This Row],[Poste technique]]&amp;"_"&amp;Tableau1[[#This Row],[Plan Entretien]]&amp;".pdf"</f>
        <v>\\stjn.local\trimet\Donnees_Projets\Dms Sap\Maintenance\PlanEntretien\7.MSCT\\_.pdf</v>
      </c>
      <c r="X186" s="47"/>
      <c r="Y186" s="47"/>
      <c r="Z186" s="44" t="str">
        <f ca="1">IF(AND(Tableau1[[#This Row],[Charge]]&lt;&gt;0, Tableau1[[#This Row],[Nombre intervenants]]&lt;&gt;0,Tableau1[[#This Row],[Lien document]]&lt;&gt;0,Tableau1[[#This Row],[DMS_SAP]]&lt;&gt;0)=TRUE,"MIS A JOUR","")</f>
        <v/>
      </c>
      <c r="AA186" s="48"/>
      <c r="AB186" s="58" t="str">
        <f ca="1">IF(Tableau1[[#This Row],[Date rév.]]&lt;&gt;"", DAYS360(Tableau1[[#This Row],[Date rév.]],TODAY()),"")</f>
        <v/>
      </c>
      <c r="AC186" s="47" t="str">
        <f>IFERROR(INDEX(Chemin_accès!$B$11:$C$22,MATCH(Tableau1[[#This Row],[Type]],Chemin_accès!$C$11:$C$22,0),1),Chemin_accès!$B$11)</f>
        <v>\\stjn.local\trimet\Btechnique\Commun\BT Maint SCELLEMENT\205 - Préventifs\Modèles préventif\GammeDMS_7.MSCT.xlsm</v>
      </c>
      <c r="AD186" s="47" t="str">
        <f>Chemin_accès!$B$8&amp;Tableau1[[#This Row],[Localisation / Classement]]&amp;"\"&amp;Tableau1[[#This Row],[Poste technique]]&amp;"_"&amp;Tableau1[[#This Row],[Plan Entretien]]&amp;".xlsm"</f>
        <v>\\stjn.local\trimet\Btechnique\Commun\BT Maint SCELLEMENT\205 - Préventifs\Gammes 7.MSCT PE Tool\\_.xlsm</v>
      </c>
    </row>
    <row r="187" spans="1:30" x14ac:dyDescent="0.3">
      <c r="A187" s="44" t="str">
        <f t="shared" ca="1" si="2"/>
        <v>7.MSCT</v>
      </c>
      <c r="B1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7" s="46"/>
      <c r="D187" s="44"/>
      <c r="E187" s="44"/>
      <c r="F187" s="47"/>
      <c r="G187" s="47"/>
      <c r="H187" s="50"/>
      <c r="I187" s="50"/>
      <c r="J187" s="50"/>
      <c r="K187" s="50"/>
      <c r="L187" s="46"/>
      <c r="M187" s="47"/>
      <c r="N187" s="46"/>
      <c r="O187" s="46"/>
      <c r="P187" s="47"/>
      <c r="Q187" s="46"/>
      <c r="R187" s="46"/>
      <c r="S187" s="48"/>
      <c r="T187" s="61" t="str">
        <f>IF(Tableau1[[#This Row],[DMS_SAP]]="","",HYPERLINK(Tableau1[[#This Row],[Chemin fichier source]],"X"))</f>
        <v/>
      </c>
      <c r="U187" s="61" t="str">
        <f>IF(Tableau1[[#This Row],[Date rév.]]="","",HYPERLINK(Tableau1[[#This Row],[Lien document]],"X"))</f>
        <v/>
      </c>
      <c r="V187" s="47"/>
      <c r="W187" s="49" t="str">
        <f ca="1">Chemin_accès!$B$2&amp;Tableau1[[#This Row],[Poste Responsable]]&amp;"\"&amp;Tableau1[[#This Row],[Localisation / Classement]]&amp;"\"&amp;Tableau1[[#This Row],[Poste technique]]&amp;"_"&amp;Tableau1[[#This Row],[Plan Entretien]]&amp;".pdf"</f>
        <v>\\stjn.local\trimet\Donnees_Projets\Dms Sap\Maintenance\PlanEntretien\7.MSCT\\_.pdf</v>
      </c>
      <c r="X187" s="47"/>
      <c r="Y187" s="47"/>
      <c r="Z187" s="44" t="str">
        <f ca="1">IF(AND(Tableau1[[#This Row],[Charge]]&lt;&gt;0, Tableau1[[#This Row],[Nombre intervenants]]&lt;&gt;0,Tableau1[[#This Row],[Lien document]]&lt;&gt;0,Tableau1[[#This Row],[DMS_SAP]]&lt;&gt;0)=TRUE,"MIS A JOUR","")</f>
        <v/>
      </c>
      <c r="AA187" s="48"/>
      <c r="AB187" s="58" t="str">
        <f ca="1">IF(Tableau1[[#This Row],[Date rév.]]&lt;&gt;"", DAYS360(Tableau1[[#This Row],[Date rév.]],TODAY()),"")</f>
        <v/>
      </c>
      <c r="AC187" s="47" t="str">
        <f>IFERROR(INDEX(Chemin_accès!$B$11:$C$22,MATCH(Tableau1[[#This Row],[Type]],Chemin_accès!$C$11:$C$22,0),1),Chemin_accès!$B$11)</f>
        <v>\\stjn.local\trimet\Btechnique\Commun\BT Maint SCELLEMENT\205 - Préventifs\Modèles préventif\GammeDMS_7.MSCT.xlsm</v>
      </c>
      <c r="AD187" s="47" t="str">
        <f>Chemin_accès!$B$8&amp;Tableau1[[#This Row],[Localisation / Classement]]&amp;"\"&amp;Tableau1[[#This Row],[Poste technique]]&amp;"_"&amp;Tableau1[[#This Row],[Plan Entretien]]&amp;".xlsm"</f>
        <v>\\stjn.local\trimet\Btechnique\Commun\BT Maint SCELLEMENT\205 - Préventifs\Gammes 7.MSCT PE Tool\\_.xlsm</v>
      </c>
    </row>
    <row r="188" spans="1:30" x14ac:dyDescent="0.3">
      <c r="A188" s="44" t="str">
        <f t="shared" ca="1" si="2"/>
        <v>7.MSCT</v>
      </c>
      <c r="B1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8" s="46"/>
      <c r="D188" s="44"/>
      <c r="E188" s="44"/>
      <c r="F188" s="47"/>
      <c r="G188" s="47"/>
      <c r="H188" s="50"/>
      <c r="I188" s="50"/>
      <c r="J188" s="50"/>
      <c r="K188" s="50"/>
      <c r="L188" s="46"/>
      <c r="M188" s="47"/>
      <c r="N188" s="46"/>
      <c r="O188" s="46"/>
      <c r="P188" s="47"/>
      <c r="Q188" s="46"/>
      <c r="R188" s="46"/>
      <c r="S188" s="48"/>
      <c r="T188" s="61" t="str">
        <f>IF(Tableau1[[#This Row],[DMS_SAP]]="","",HYPERLINK(Tableau1[[#This Row],[Chemin fichier source]],"X"))</f>
        <v/>
      </c>
      <c r="U188" s="61" t="str">
        <f>IF(Tableau1[[#This Row],[Date rév.]]="","",HYPERLINK(Tableau1[[#This Row],[Lien document]],"X"))</f>
        <v/>
      </c>
      <c r="V188" s="47"/>
      <c r="W188" s="49" t="str">
        <f ca="1">Chemin_accès!$B$2&amp;Tableau1[[#This Row],[Poste Responsable]]&amp;"\"&amp;Tableau1[[#This Row],[Localisation / Classement]]&amp;"\"&amp;Tableau1[[#This Row],[Poste technique]]&amp;"_"&amp;Tableau1[[#This Row],[Plan Entretien]]&amp;".pdf"</f>
        <v>\\stjn.local\trimet\Donnees_Projets\Dms Sap\Maintenance\PlanEntretien\7.MSCT\\_.pdf</v>
      </c>
      <c r="X188" s="47"/>
      <c r="Y188" s="47"/>
      <c r="Z188" s="44" t="str">
        <f ca="1">IF(AND(Tableau1[[#This Row],[Charge]]&lt;&gt;0, Tableau1[[#This Row],[Nombre intervenants]]&lt;&gt;0,Tableau1[[#This Row],[Lien document]]&lt;&gt;0,Tableau1[[#This Row],[DMS_SAP]]&lt;&gt;0)=TRUE,"MIS A JOUR","")</f>
        <v/>
      </c>
      <c r="AA188" s="48"/>
      <c r="AB188" s="58" t="str">
        <f ca="1">IF(Tableau1[[#This Row],[Date rév.]]&lt;&gt;"", DAYS360(Tableau1[[#This Row],[Date rév.]],TODAY()),"")</f>
        <v/>
      </c>
      <c r="AC188" s="47" t="str">
        <f>IFERROR(INDEX(Chemin_accès!$B$11:$C$22,MATCH(Tableau1[[#This Row],[Type]],Chemin_accès!$C$11:$C$22,0),1),Chemin_accès!$B$11)</f>
        <v>\\stjn.local\trimet\Btechnique\Commun\BT Maint SCELLEMENT\205 - Préventifs\Modèles préventif\GammeDMS_7.MSCT.xlsm</v>
      </c>
      <c r="AD188" s="47" t="str">
        <f>Chemin_accès!$B$8&amp;Tableau1[[#This Row],[Localisation / Classement]]&amp;"\"&amp;Tableau1[[#This Row],[Poste technique]]&amp;"_"&amp;Tableau1[[#This Row],[Plan Entretien]]&amp;".xlsm"</f>
        <v>\\stjn.local\trimet\Btechnique\Commun\BT Maint SCELLEMENT\205 - Préventifs\Gammes 7.MSCT PE Tool\\_.xlsm</v>
      </c>
    </row>
    <row r="189" spans="1:30" x14ac:dyDescent="0.3">
      <c r="A189" s="44" t="str">
        <f t="shared" ca="1" si="2"/>
        <v>7.MSCT</v>
      </c>
      <c r="B1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89" s="46"/>
      <c r="D189" s="44"/>
      <c r="E189" s="44"/>
      <c r="F189" s="47"/>
      <c r="G189" s="47"/>
      <c r="H189" s="50"/>
      <c r="I189" s="50"/>
      <c r="J189" s="50"/>
      <c r="K189" s="50"/>
      <c r="L189" s="46"/>
      <c r="M189" s="47"/>
      <c r="N189" s="46"/>
      <c r="O189" s="46"/>
      <c r="P189" s="47"/>
      <c r="Q189" s="46"/>
      <c r="R189" s="46"/>
      <c r="S189" s="48"/>
      <c r="T189" s="61" t="str">
        <f>IF(Tableau1[[#This Row],[DMS_SAP]]="","",HYPERLINK(Tableau1[[#This Row],[Chemin fichier source]],"X"))</f>
        <v/>
      </c>
      <c r="U189" s="61" t="str">
        <f>IF(Tableau1[[#This Row],[Date rév.]]="","",HYPERLINK(Tableau1[[#This Row],[Lien document]],"X"))</f>
        <v/>
      </c>
      <c r="V189" s="47"/>
      <c r="W189" s="49" t="str">
        <f ca="1">Chemin_accès!$B$2&amp;Tableau1[[#This Row],[Poste Responsable]]&amp;"\"&amp;Tableau1[[#This Row],[Localisation / Classement]]&amp;"\"&amp;Tableau1[[#This Row],[Poste technique]]&amp;"_"&amp;Tableau1[[#This Row],[Plan Entretien]]&amp;".pdf"</f>
        <v>\\stjn.local\trimet\Donnees_Projets\Dms Sap\Maintenance\PlanEntretien\7.MSCT\\_.pdf</v>
      </c>
      <c r="X189" s="47"/>
      <c r="Y189" s="47"/>
      <c r="Z189" s="44" t="str">
        <f ca="1">IF(AND(Tableau1[[#This Row],[Charge]]&lt;&gt;0, Tableau1[[#This Row],[Nombre intervenants]]&lt;&gt;0,Tableau1[[#This Row],[Lien document]]&lt;&gt;0,Tableau1[[#This Row],[DMS_SAP]]&lt;&gt;0)=TRUE,"MIS A JOUR","")</f>
        <v/>
      </c>
      <c r="AA189" s="48"/>
      <c r="AB189" s="58" t="str">
        <f ca="1">IF(Tableau1[[#This Row],[Date rév.]]&lt;&gt;"", DAYS360(Tableau1[[#This Row],[Date rév.]],TODAY()),"")</f>
        <v/>
      </c>
      <c r="AC189" s="47" t="str">
        <f>IFERROR(INDEX(Chemin_accès!$B$11:$C$22,MATCH(Tableau1[[#This Row],[Type]],Chemin_accès!$C$11:$C$22,0),1),Chemin_accès!$B$11)</f>
        <v>\\stjn.local\trimet\Btechnique\Commun\BT Maint SCELLEMENT\205 - Préventifs\Modèles préventif\GammeDMS_7.MSCT.xlsm</v>
      </c>
      <c r="AD189" s="47" t="str">
        <f>Chemin_accès!$B$8&amp;Tableau1[[#This Row],[Localisation / Classement]]&amp;"\"&amp;Tableau1[[#This Row],[Poste technique]]&amp;"_"&amp;Tableau1[[#This Row],[Plan Entretien]]&amp;".xlsm"</f>
        <v>\\stjn.local\trimet\Btechnique\Commun\BT Maint SCELLEMENT\205 - Préventifs\Gammes 7.MSCT PE Tool\\_.xlsm</v>
      </c>
    </row>
    <row r="190" spans="1:30" x14ac:dyDescent="0.3">
      <c r="A190" s="44" t="str">
        <f t="shared" ca="1" si="2"/>
        <v>7.MSCT</v>
      </c>
      <c r="B1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0" s="46"/>
      <c r="D190" s="44"/>
      <c r="E190" s="44"/>
      <c r="F190" s="47"/>
      <c r="G190" s="47"/>
      <c r="H190" s="50"/>
      <c r="I190" s="50"/>
      <c r="J190" s="50"/>
      <c r="K190" s="50"/>
      <c r="L190" s="46"/>
      <c r="M190" s="47"/>
      <c r="N190" s="46"/>
      <c r="O190" s="46"/>
      <c r="P190" s="47"/>
      <c r="Q190" s="46"/>
      <c r="R190" s="46"/>
      <c r="S190" s="48"/>
      <c r="T190" s="61" t="str">
        <f>IF(Tableau1[[#This Row],[DMS_SAP]]="","",HYPERLINK(Tableau1[[#This Row],[Chemin fichier source]],"X"))</f>
        <v/>
      </c>
      <c r="U190" s="61" t="str">
        <f>IF(Tableau1[[#This Row],[Date rév.]]="","",HYPERLINK(Tableau1[[#This Row],[Lien document]],"X"))</f>
        <v/>
      </c>
      <c r="V190" s="47"/>
      <c r="W190" s="49" t="str">
        <f ca="1">Chemin_accès!$B$2&amp;Tableau1[[#This Row],[Poste Responsable]]&amp;"\"&amp;Tableau1[[#This Row],[Localisation / Classement]]&amp;"\"&amp;Tableau1[[#This Row],[Poste technique]]&amp;"_"&amp;Tableau1[[#This Row],[Plan Entretien]]&amp;".pdf"</f>
        <v>\\stjn.local\trimet\Donnees_Projets\Dms Sap\Maintenance\PlanEntretien\7.MSCT\\_.pdf</v>
      </c>
      <c r="X190" s="47"/>
      <c r="Y190" s="47"/>
      <c r="Z190" s="44" t="str">
        <f ca="1">IF(AND(Tableau1[[#This Row],[Charge]]&lt;&gt;0, Tableau1[[#This Row],[Nombre intervenants]]&lt;&gt;0,Tableau1[[#This Row],[Lien document]]&lt;&gt;0,Tableau1[[#This Row],[DMS_SAP]]&lt;&gt;0)=TRUE,"MIS A JOUR","")</f>
        <v/>
      </c>
      <c r="AA190" s="48"/>
      <c r="AB190" s="58" t="str">
        <f ca="1">IF(Tableau1[[#This Row],[Date rév.]]&lt;&gt;"", DAYS360(Tableau1[[#This Row],[Date rév.]],TODAY()),"")</f>
        <v/>
      </c>
      <c r="AC190" s="47" t="str">
        <f>IFERROR(INDEX(Chemin_accès!$B$11:$C$22,MATCH(Tableau1[[#This Row],[Type]],Chemin_accès!$C$11:$C$22,0),1),Chemin_accès!$B$11)</f>
        <v>\\stjn.local\trimet\Btechnique\Commun\BT Maint SCELLEMENT\205 - Préventifs\Modèles préventif\GammeDMS_7.MSCT.xlsm</v>
      </c>
      <c r="AD190" s="47" t="str">
        <f>Chemin_accès!$B$8&amp;Tableau1[[#This Row],[Localisation / Classement]]&amp;"\"&amp;Tableau1[[#This Row],[Poste technique]]&amp;"_"&amp;Tableau1[[#This Row],[Plan Entretien]]&amp;".xlsm"</f>
        <v>\\stjn.local\trimet\Btechnique\Commun\BT Maint SCELLEMENT\205 - Préventifs\Gammes 7.MSCT PE Tool\\_.xlsm</v>
      </c>
    </row>
    <row r="191" spans="1:30" x14ac:dyDescent="0.3">
      <c r="A191" s="44" t="str">
        <f t="shared" ca="1" si="2"/>
        <v>7.MSCT</v>
      </c>
      <c r="B1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1" s="46"/>
      <c r="D191" s="44"/>
      <c r="E191" s="44"/>
      <c r="F191" s="47"/>
      <c r="G191" s="47"/>
      <c r="H191" s="50"/>
      <c r="I191" s="50"/>
      <c r="J191" s="50"/>
      <c r="K191" s="50"/>
      <c r="L191" s="46"/>
      <c r="M191" s="47"/>
      <c r="N191" s="46"/>
      <c r="O191" s="46"/>
      <c r="P191" s="47"/>
      <c r="Q191" s="46"/>
      <c r="R191" s="46"/>
      <c r="S191" s="48"/>
      <c r="T191" s="61" t="str">
        <f>IF(Tableau1[[#This Row],[DMS_SAP]]="","",HYPERLINK(Tableau1[[#This Row],[Chemin fichier source]],"X"))</f>
        <v/>
      </c>
      <c r="U191" s="61" t="str">
        <f>IF(Tableau1[[#This Row],[Date rév.]]="","",HYPERLINK(Tableau1[[#This Row],[Lien document]],"X"))</f>
        <v/>
      </c>
      <c r="V191" s="47"/>
      <c r="W191" s="49" t="str">
        <f ca="1">Chemin_accès!$B$2&amp;Tableau1[[#This Row],[Poste Responsable]]&amp;"\"&amp;Tableau1[[#This Row],[Localisation / Classement]]&amp;"\"&amp;Tableau1[[#This Row],[Poste technique]]&amp;"_"&amp;Tableau1[[#This Row],[Plan Entretien]]&amp;".pdf"</f>
        <v>\\stjn.local\trimet\Donnees_Projets\Dms Sap\Maintenance\PlanEntretien\7.MSCT\\_.pdf</v>
      </c>
      <c r="X191" s="47"/>
      <c r="Y191" s="47"/>
      <c r="Z191" s="44" t="str">
        <f ca="1">IF(AND(Tableau1[[#This Row],[Charge]]&lt;&gt;0, Tableau1[[#This Row],[Nombre intervenants]]&lt;&gt;0,Tableau1[[#This Row],[Lien document]]&lt;&gt;0,Tableau1[[#This Row],[DMS_SAP]]&lt;&gt;0)=TRUE,"MIS A JOUR","")</f>
        <v/>
      </c>
      <c r="AA191" s="48"/>
      <c r="AB191" s="58" t="str">
        <f ca="1">IF(Tableau1[[#This Row],[Date rév.]]&lt;&gt;"", DAYS360(Tableau1[[#This Row],[Date rév.]],TODAY()),"")</f>
        <v/>
      </c>
      <c r="AC191" s="47" t="str">
        <f>IFERROR(INDEX(Chemin_accès!$B$11:$C$22,MATCH(Tableau1[[#This Row],[Type]],Chemin_accès!$C$11:$C$22,0),1),Chemin_accès!$B$11)</f>
        <v>\\stjn.local\trimet\Btechnique\Commun\BT Maint SCELLEMENT\205 - Préventifs\Modèles préventif\GammeDMS_7.MSCT.xlsm</v>
      </c>
      <c r="AD191" s="47" t="str">
        <f>Chemin_accès!$B$8&amp;Tableau1[[#This Row],[Localisation / Classement]]&amp;"\"&amp;Tableau1[[#This Row],[Poste technique]]&amp;"_"&amp;Tableau1[[#This Row],[Plan Entretien]]&amp;".xlsm"</f>
        <v>\\stjn.local\trimet\Btechnique\Commun\BT Maint SCELLEMENT\205 - Préventifs\Gammes 7.MSCT PE Tool\\_.xlsm</v>
      </c>
    </row>
    <row r="192" spans="1:30" x14ac:dyDescent="0.3">
      <c r="A192" s="44" t="str">
        <f t="shared" ca="1" si="2"/>
        <v>7.MSCT</v>
      </c>
      <c r="B1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2" s="46"/>
      <c r="D192" s="44"/>
      <c r="E192" s="44"/>
      <c r="F192" s="47"/>
      <c r="G192" s="47"/>
      <c r="H192" s="50"/>
      <c r="I192" s="50"/>
      <c r="J192" s="50"/>
      <c r="K192" s="50"/>
      <c r="L192" s="46"/>
      <c r="M192" s="47"/>
      <c r="N192" s="46"/>
      <c r="O192" s="46"/>
      <c r="P192" s="47"/>
      <c r="Q192" s="46"/>
      <c r="R192" s="46"/>
      <c r="S192" s="48"/>
      <c r="T192" s="61" t="str">
        <f>IF(Tableau1[[#This Row],[DMS_SAP]]="","",HYPERLINK(Tableau1[[#This Row],[Chemin fichier source]],"X"))</f>
        <v/>
      </c>
      <c r="U192" s="61" t="str">
        <f>IF(Tableau1[[#This Row],[Date rév.]]="","",HYPERLINK(Tableau1[[#This Row],[Lien document]],"X"))</f>
        <v/>
      </c>
      <c r="V192" s="47"/>
      <c r="W192" s="49" t="str">
        <f ca="1">Chemin_accès!$B$2&amp;Tableau1[[#This Row],[Poste Responsable]]&amp;"\"&amp;Tableau1[[#This Row],[Localisation / Classement]]&amp;"\"&amp;Tableau1[[#This Row],[Poste technique]]&amp;"_"&amp;Tableau1[[#This Row],[Plan Entretien]]&amp;".pdf"</f>
        <v>\\stjn.local\trimet\Donnees_Projets\Dms Sap\Maintenance\PlanEntretien\7.MSCT\\_.pdf</v>
      </c>
      <c r="X192" s="47"/>
      <c r="Y192" s="47"/>
      <c r="Z192" s="44" t="str">
        <f ca="1">IF(AND(Tableau1[[#This Row],[Charge]]&lt;&gt;0, Tableau1[[#This Row],[Nombre intervenants]]&lt;&gt;0,Tableau1[[#This Row],[Lien document]]&lt;&gt;0,Tableau1[[#This Row],[DMS_SAP]]&lt;&gt;0)=TRUE,"MIS A JOUR","")</f>
        <v/>
      </c>
      <c r="AA192" s="48"/>
      <c r="AB192" s="58" t="str">
        <f ca="1">IF(Tableau1[[#This Row],[Date rév.]]&lt;&gt;"", DAYS360(Tableau1[[#This Row],[Date rév.]],TODAY()),"")</f>
        <v/>
      </c>
      <c r="AC192" s="47" t="str">
        <f>IFERROR(INDEX(Chemin_accès!$B$11:$C$22,MATCH(Tableau1[[#This Row],[Type]],Chemin_accès!$C$11:$C$22,0),1),Chemin_accès!$B$11)</f>
        <v>\\stjn.local\trimet\Btechnique\Commun\BT Maint SCELLEMENT\205 - Préventifs\Modèles préventif\GammeDMS_7.MSCT.xlsm</v>
      </c>
      <c r="AD192" s="47" t="str">
        <f>Chemin_accès!$B$8&amp;Tableau1[[#This Row],[Localisation / Classement]]&amp;"\"&amp;Tableau1[[#This Row],[Poste technique]]&amp;"_"&amp;Tableau1[[#This Row],[Plan Entretien]]&amp;".xlsm"</f>
        <v>\\stjn.local\trimet\Btechnique\Commun\BT Maint SCELLEMENT\205 - Préventifs\Gammes 7.MSCT PE Tool\\_.xlsm</v>
      </c>
    </row>
    <row r="193" spans="1:30" x14ac:dyDescent="0.3">
      <c r="A193" s="44" t="str">
        <f t="shared" ca="1" si="2"/>
        <v>7.MSCT</v>
      </c>
      <c r="B1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3" s="46"/>
      <c r="D193" s="44"/>
      <c r="E193" s="44"/>
      <c r="F193" s="47"/>
      <c r="G193" s="47"/>
      <c r="H193" s="50"/>
      <c r="I193" s="50"/>
      <c r="J193" s="50"/>
      <c r="K193" s="50"/>
      <c r="L193" s="46"/>
      <c r="M193" s="47"/>
      <c r="N193" s="46"/>
      <c r="O193" s="46"/>
      <c r="P193" s="47"/>
      <c r="Q193" s="46"/>
      <c r="R193" s="46"/>
      <c r="S193" s="48"/>
      <c r="T193" s="61" t="str">
        <f>IF(Tableau1[[#This Row],[DMS_SAP]]="","",HYPERLINK(Tableau1[[#This Row],[Chemin fichier source]],"X"))</f>
        <v/>
      </c>
      <c r="U193" s="61" t="str">
        <f>IF(Tableau1[[#This Row],[Date rév.]]="","",HYPERLINK(Tableau1[[#This Row],[Lien document]],"X"))</f>
        <v/>
      </c>
      <c r="V193" s="47"/>
      <c r="W193" s="49" t="str">
        <f ca="1">Chemin_accès!$B$2&amp;Tableau1[[#This Row],[Poste Responsable]]&amp;"\"&amp;Tableau1[[#This Row],[Localisation / Classement]]&amp;"\"&amp;Tableau1[[#This Row],[Poste technique]]&amp;"_"&amp;Tableau1[[#This Row],[Plan Entretien]]&amp;".pdf"</f>
        <v>\\stjn.local\trimet\Donnees_Projets\Dms Sap\Maintenance\PlanEntretien\7.MSCT\\_.pdf</v>
      </c>
      <c r="X193" s="47"/>
      <c r="Y193" s="47"/>
      <c r="Z193" s="44" t="str">
        <f ca="1">IF(AND(Tableau1[[#This Row],[Charge]]&lt;&gt;0, Tableau1[[#This Row],[Nombre intervenants]]&lt;&gt;0,Tableau1[[#This Row],[Lien document]]&lt;&gt;0,Tableau1[[#This Row],[DMS_SAP]]&lt;&gt;0)=TRUE,"MIS A JOUR","")</f>
        <v/>
      </c>
      <c r="AA193" s="48"/>
      <c r="AB193" s="58" t="str">
        <f ca="1">IF(Tableau1[[#This Row],[Date rév.]]&lt;&gt;"", DAYS360(Tableau1[[#This Row],[Date rév.]],TODAY()),"")</f>
        <v/>
      </c>
      <c r="AC193" s="47" t="str">
        <f>IFERROR(INDEX(Chemin_accès!$B$11:$C$22,MATCH(Tableau1[[#This Row],[Type]],Chemin_accès!$C$11:$C$22,0),1),Chemin_accès!$B$11)</f>
        <v>\\stjn.local\trimet\Btechnique\Commun\BT Maint SCELLEMENT\205 - Préventifs\Modèles préventif\GammeDMS_7.MSCT.xlsm</v>
      </c>
      <c r="AD193" s="47" t="str">
        <f>Chemin_accès!$B$8&amp;Tableau1[[#This Row],[Localisation / Classement]]&amp;"\"&amp;Tableau1[[#This Row],[Poste technique]]&amp;"_"&amp;Tableau1[[#This Row],[Plan Entretien]]&amp;".xlsm"</f>
        <v>\\stjn.local\trimet\Btechnique\Commun\BT Maint SCELLEMENT\205 - Préventifs\Gammes 7.MSCT PE Tool\\_.xlsm</v>
      </c>
    </row>
    <row r="194" spans="1:30" x14ac:dyDescent="0.3">
      <c r="A194" s="44" t="str">
        <f t="shared" ref="A194:A257" ca="1" si="3">MID(CELL("filename",$A$1),FIND("]",CELL("filename",$A$1))+1,32)</f>
        <v>7.MSCT</v>
      </c>
      <c r="B1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4" s="46"/>
      <c r="D194" s="44"/>
      <c r="E194" s="44"/>
      <c r="F194" s="47"/>
      <c r="G194" s="47"/>
      <c r="H194" s="50"/>
      <c r="I194" s="50"/>
      <c r="J194" s="50"/>
      <c r="K194" s="50"/>
      <c r="L194" s="46"/>
      <c r="M194" s="47"/>
      <c r="N194" s="46"/>
      <c r="O194" s="46"/>
      <c r="P194" s="47"/>
      <c r="Q194" s="46"/>
      <c r="R194" s="46"/>
      <c r="S194" s="48"/>
      <c r="T194" s="61" t="str">
        <f>IF(Tableau1[[#This Row],[DMS_SAP]]="","",HYPERLINK(Tableau1[[#This Row],[Chemin fichier source]],"X"))</f>
        <v/>
      </c>
      <c r="U194" s="61" t="str">
        <f>IF(Tableau1[[#This Row],[Date rév.]]="","",HYPERLINK(Tableau1[[#This Row],[Lien document]],"X"))</f>
        <v/>
      </c>
      <c r="V194" s="47"/>
      <c r="W194" s="49" t="str">
        <f ca="1">Chemin_accès!$B$2&amp;Tableau1[[#This Row],[Poste Responsable]]&amp;"\"&amp;Tableau1[[#This Row],[Localisation / Classement]]&amp;"\"&amp;Tableau1[[#This Row],[Poste technique]]&amp;"_"&amp;Tableau1[[#This Row],[Plan Entretien]]&amp;".pdf"</f>
        <v>\\stjn.local\trimet\Donnees_Projets\Dms Sap\Maintenance\PlanEntretien\7.MSCT\\_.pdf</v>
      </c>
      <c r="X194" s="47"/>
      <c r="Y194" s="47"/>
      <c r="Z194" s="44" t="str">
        <f ca="1">IF(AND(Tableau1[[#This Row],[Charge]]&lt;&gt;0, Tableau1[[#This Row],[Nombre intervenants]]&lt;&gt;0,Tableau1[[#This Row],[Lien document]]&lt;&gt;0,Tableau1[[#This Row],[DMS_SAP]]&lt;&gt;0)=TRUE,"MIS A JOUR","")</f>
        <v/>
      </c>
      <c r="AA194" s="48"/>
      <c r="AB194" s="58" t="str">
        <f ca="1">IF(Tableau1[[#This Row],[Date rév.]]&lt;&gt;"", DAYS360(Tableau1[[#This Row],[Date rév.]],TODAY()),"")</f>
        <v/>
      </c>
      <c r="AC194" s="47" t="str">
        <f>IFERROR(INDEX(Chemin_accès!$B$11:$C$22,MATCH(Tableau1[[#This Row],[Type]],Chemin_accès!$C$11:$C$22,0),1),Chemin_accès!$B$11)</f>
        <v>\\stjn.local\trimet\Btechnique\Commun\BT Maint SCELLEMENT\205 - Préventifs\Modèles préventif\GammeDMS_7.MSCT.xlsm</v>
      </c>
      <c r="AD194" s="47" t="str">
        <f>Chemin_accès!$B$8&amp;Tableau1[[#This Row],[Localisation / Classement]]&amp;"\"&amp;Tableau1[[#This Row],[Poste technique]]&amp;"_"&amp;Tableau1[[#This Row],[Plan Entretien]]&amp;".xlsm"</f>
        <v>\\stjn.local\trimet\Btechnique\Commun\BT Maint SCELLEMENT\205 - Préventifs\Gammes 7.MSCT PE Tool\\_.xlsm</v>
      </c>
    </row>
    <row r="195" spans="1:30" x14ac:dyDescent="0.3">
      <c r="A195" s="44" t="str">
        <f t="shared" ca="1" si="3"/>
        <v>7.MSCT</v>
      </c>
      <c r="B1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5" s="46"/>
      <c r="D195" s="44"/>
      <c r="E195" s="44"/>
      <c r="F195" s="47"/>
      <c r="G195" s="47"/>
      <c r="H195" s="50"/>
      <c r="I195" s="50"/>
      <c r="J195" s="50"/>
      <c r="K195" s="50"/>
      <c r="L195" s="46"/>
      <c r="M195" s="47"/>
      <c r="N195" s="46"/>
      <c r="O195" s="46"/>
      <c r="P195" s="47"/>
      <c r="Q195" s="46"/>
      <c r="R195" s="46"/>
      <c r="S195" s="48"/>
      <c r="T195" s="61" t="str">
        <f>IF(Tableau1[[#This Row],[DMS_SAP]]="","",HYPERLINK(Tableau1[[#This Row],[Chemin fichier source]],"X"))</f>
        <v/>
      </c>
      <c r="U195" s="61" t="str">
        <f>IF(Tableau1[[#This Row],[Date rév.]]="","",HYPERLINK(Tableau1[[#This Row],[Lien document]],"X"))</f>
        <v/>
      </c>
      <c r="V195" s="47"/>
      <c r="W195" s="49" t="str">
        <f ca="1">Chemin_accès!$B$2&amp;Tableau1[[#This Row],[Poste Responsable]]&amp;"\"&amp;Tableau1[[#This Row],[Localisation / Classement]]&amp;"\"&amp;Tableau1[[#This Row],[Poste technique]]&amp;"_"&amp;Tableau1[[#This Row],[Plan Entretien]]&amp;".pdf"</f>
        <v>\\stjn.local\trimet\Donnees_Projets\Dms Sap\Maintenance\PlanEntretien\7.MSCT\\_.pdf</v>
      </c>
      <c r="X195" s="47"/>
      <c r="Y195" s="47"/>
      <c r="Z195" s="44" t="str">
        <f ca="1">IF(AND(Tableau1[[#This Row],[Charge]]&lt;&gt;0, Tableau1[[#This Row],[Nombre intervenants]]&lt;&gt;0,Tableau1[[#This Row],[Lien document]]&lt;&gt;0,Tableau1[[#This Row],[DMS_SAP]]&lt;&gt;0)=TRUE,"MIS A JOUR","")</f>
        <v/>
      </c>
      <c r="AA195" s="48"/>
      <c r="AB195" s="58" t="str">
        <f ca="1">IF(Tableau1[[#This Row],[Date rév.]]&lt;&gt;"", DAYS360(Tableau1[[#This Row],[Date rév.]],TODAY()),"")</f>
        <v/>
      </c>
      <c r="AC195" s="47" t="str">
        <f>IFERROR(INDEX(Chemin_accès!$B$11:$C$22,MATCH(Tableau1[[#This Row],[Type]],Chemin_accès!$C$11:$C$22,0),1),Chemin_accès!$B$11)</f>
        <v>\\stjn.local\trimet\Btechnique\Commun\BT Maint SCELLEMENT\205 - Préventifs\Modèles préventif\GammeDMS_7.MSCT.xlsm</v>
      </c>
      <c r="AD195" s="47" t="str">
        <f>Chemin_accès!$B$8&amp;Tableau1[[#This Row],[Localisation / Classement]]&amp;"\"&amp;Tableau1[[#This Row],[Poste technique]]&amp;"_"&amp;Tableau1[[#This Row],[Plan Entretien]]&amp;".xlsm"</f>
        <v>\\stjn.local\trimet\Btechnique\Commun\BT Maint SCELLEMENT\205 - Préventifs\Gammes 7.MSCT PE Tool\\_.xlsm</v>
      </c>
    </row>
    <row r="196" spans="1:30" x14ac:dyDescent="0.3">
      <c r="A196" s="44" t="str">
        <f t="shared" ca="1" si="3"/>
        <v>7.MSCT</v>
      </c>
      <c r="B1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6" s="46"/>
      <c r="D196" s="44"/>
      <c r="E196" s="44"/>
      <c r="F196" s="47"/>
      <c r="G196" s="47"/>
      <c r="H196" s="50"/>
      <c r="I196" s="50"/>
      <c r="J196" s="50"/>
      <c r="K196" s="50"/>
      <c r="L196" s="46"/>
      <c r="M196" s="47"/>
      <c r="N196" s="46"/>
      <c r="O196" s="46"/>
      <c r="P196" s="47"/>
      <c r="Q196" s="46"/>
      <c r="R196" s="46"/>
      <c r="S196" s="48"/>
      <c r="T196" s="61" t="str">
        <f>IF(Tableau1[[#This Row],[DMS_SAP]]="","",HYPERLINK(Tableau1[[#This Row],[Chemin fichier source]],"X"))</f>
        <v/>
      </c>
      <c r="U196" s="61" t="str">
        <f>IF(Tableau1[[#This Row],[Date rév.]]="","",HYPERLINK(Tableau1[[#This Row],[Lien document]],"X"))</f>
        <v/>
      </c>
      <c r="V196" s="47"/>
      <c r="W196" s="49" t="str">
        <f ca="1">Chemin_accès!$B$2&amp;Tableau1[[#This Row],[Poste Responsable]]&amp;"\"&amp;Tableau1[[#This Row],[Localisation / Classement]]&amp;"\"&amp;Tableau1[[#This Row],[Poste technique]]&amp;"_"&amp;Tableau1[[#This Row],[Plan Entretien]]&amp;".pdf"</f>
        <v>\\stjn.local\trimet\Donnees_Projets\Dms Sap\Maintenance\PlanEntretien\7.MSCT\\_.pdf</v>
      </c>
      <c r="X196" s="47"/>
      <c r="Y196" s="47"/>
      <c r="Z196" s="44" t="str">
        <f ca="1">IF(AND(Tableau1[[#This Row],[Charge]]&lt;&gt;0, Tableau1[[#This Row],[Nombre intervenants]]&lt;&gt;0,Tableau1[[#This Row],[Lien document]]&lt;&gt;0,Tableau1[[#This Row],[DMS_SAP]]&lt;&gt;0)=TRUE,"MIS A JOUR","")</f>
        <v/>
      </c>
      <c r="AA196" s="48"/>
      <c r="AB196" s="58" t="str">
        <f ca="1">IF(Tableau1[[#This Row],[Date rév.]]&lt;&gt;"", DAYS360(Tableau1[[#This Row],[Date rév.]],TODAY()),"")</f>
        <v/>
      </c>
      <c r="AC196" s="47" t="str">
        <f>IFERROR(INDEX(Chemin_accès!$B$11:$C$22,MATCH(Tableau1[[#This Row],[Type]],Chemin_accès!$C$11:$C$22,0),1),Chemin_accès!$B$11)</f>
        <v>\\stjn.local\trimet\Btechnique\Commun\BT Maint SCELLEMENT\205 - Préventifs\Modèles préventif\GammeDMS_7.MSCT.xlsm</v>
      </c>
      <c r="AD196" s="47" t="str">
        <f>Chemin_accès!$B$8&amp;Tableau1[[#This Row],[Localisation / Classement]]&amp;"\"&amp;Tableau1[[#This Row],[Poste technique]]&amp;"_"&amp;Tableau1[[#This Row],[Plan Entretien]]&amp;".xlsm"</f>
        <v>\\stjn.local\trimet\Btechnique\Commun\BT Maint SCELLEMENT\205 - Préventifs\Gammes 7.MSCT PE Tool\\_.xlsm</v>
      </c>
    </row>
    <row r="197" spans="1:30" x14ac:dyDescent="0.3">
      <c r="A197" s="44" t="str">
        <f t="shared" ca="1" si="3"/>
        <v>7.MSCT</v>
      </c>
      <c r="B1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7" s="46"/>
      <c r="D197" s="44"/>
      <c r="E197" s="44"/>
      <c r="F197" s="47"/>
      <c r="G197" s="47"/>
      <c r="H197" s="50"/>
      <c r="I197" s="50"/>
      <c r="J197" s="50"/>
      <c r="K197" s="50"/>
      <c r="L197" s="46"/>
      <c r="M197" s="47"/>
      <c r="N197" s="46"/>
      <c r="O197" s="46"/>
      <c r="P197" s="47"/>
      <c r="Q197" s="46"/>
      <c r="R197" s="46"/>
      <c r="S197" s="48"/>
      <c r="T197" s="61" t="str">
        <f>IF(Tableau1[[#This Row],[DMS_SAP]]="","",HYPERLINK(Tableau1[[#This Row],[Chemin fichier source]],"X"))</f>
        <v/>
      </c>
      <c r="U197" s="61" t="str">
        <f>IF(Tableau1[[#This Row],[Date rév.]]="","",HYPERLINK(Tableau1[[#This Row],[Lien document]],"X"))</f>
        <v/>
      </c>
      <c r="V197" s="47"/>
      <c r="W197" s="51" t="str">
        <f ca="1">Chemin_accès!$B$2&amp;Tableau1[[#This Row],[Poste Responsable]]&amp;"\"&amp;Tableau1[[#This Row],[Localisation / Classement]]&amp;"\"&amp;Tableau1[[#This Row],[Poste technique]]&amp;"_"&amp;Tableau1[[#This Row],[Plan Entretien]]&amp;".pdf"</f>
        <v>\\stjn.local\trimet\Donnees_Projets\Dms Sap\Maintenance\PlanEntretien\7.MSCT\\_.pdf</v>
      </c>
      <c r="X197" s="47"/>
      <c r="Y197" s="47"/>
      <c r="Z197" s="44" t="str">
        <f ca="1">IF(AND(Tableau1[[#This Row],[Charge]]&lt;&gt;0, Tableau1[[#This Row],[Nombre intervenants]]&lt;&gt;0,Tableau1[[#This Row],[Lien document]]&lt;&gt;0,Tableau1[[#This Row],[DMS_SAP]]&lt;&gt;0)=TRUE,"MIS A JOUR","")</f>
        <v/>
      </c>
      <c r="AA197" s="48"/>
      <c r="AB197" s="58" t="str">
        <f ca="1">IF(Tableau1[[#This Row],[Date rév.]]&lt;&gt;"", DAYS360(Tableau1[[#This Row],[Date rév.]],TODAY()),"")</f>
        <v/>
      </c>
      <c r="AC197" s="47" t="str">
        <f>IFERROR(INDEX(Chemin_accès!$B$11:$C$22,MATCH(Tableau1[[#This Row],[Type]],Chemin_accès!$C$11:$C$22,0),1),Chemin_accès!$B$11)</f>
        <v>\\stjn.local\trimet\Btechnique\Commun\BT Maint SCELLEMENT\205 - Préventifs\Modèles préventif\GammeDMS_7.MSCT.xlsm</v>
      </c>
      <c r="AD197" s="47" t="str">
        <f>Chemin_accès!$B$8&amp;Tableau1[[#This Row],[Localisation / Classement]]&amp;"\"&amp;Tableau1[[#This Row],[Poste technique]]&amp;"_"&amp;Tableau1[[#This Row],[Plan Entretien]]&amp;".xlsm"</f>
        <v>\\stjn.local\trimet\Btechnique\Commun\BT Maint SCELLEMENT\205 - Préventifs\Gammes 7.MSCT PE Tool\\_.xlsm</v>
      </c>
    </row>
    <row r="198" spans="1:30" x14ac:dyDescent="0.3">
      <c r="A198" s="44" t="str">
        <f t="shared" ca="1" si="3"/>
        <v>7.MSCT</v>
      </c>
      <c r="B1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8" s="46"/>
      <c r="D198" s="44"/>
      <c r="E198" s="44"/>
      <c r="F198" s="47"/>
      <c r="G198" s="47"/>
      <c r="H198" s="50"/>
      <c r="I198" s="50"/>
      <c r="J198" s="50"/>
      <c r="K198" s="50"/>
      <c r="L198" s="46"/>
      <c r="M198" s="47"/>
      <c r="N198" s="46"/>
      <c r="O198" s="46"/>
      <c r="P198" s="47"/>
      <c r="Q198" s="46"/>
      <c r="R198" s="46"/>
      <c r="S198" s="48"/>
      <c r="T198" s="61" t="str">
        <f>IF(Tableau1[[#This Row],[DMS_SAP]]="","",HYPERLINK(Tableau1[[#This Row],[Chemin fichier source]],"X"))</f>
        <v/>
      </c>
      <c r="U198" s="61" t="str">
        <f>IF(Tableau1[[#This Row],[Date rév.]]="","",HYPERLINK(Tableau1[[#This Row],[Lien document]],"X"))</f>
        <v/>
      </c>
      <c r="V198" s="47"/>
      <c r="W198" s="49" t="str">
        <f ca="1">Chemin_accès!$B$2&amp;Tableau1[[#This Row],[Poste Responsable]]&amp;"\"&amp;Tableau1[[#This Row],[Localisation / Classement]]&amp;"\"&amp;Tableau1[[#This Row],[Poste technique]]&amp;"_"&amp;Tableau1[[#This Row],[Plan Entretien]]&amp;".pdf"</f>
        <v>\\stjn.local\trimet\Donnees_Projets\Dms Sap\Maintenance\PlanEntretien\7.MSCT\\_.pdf</v>
      </c>
      <c r="X198" s="47"/>
      <c r="Y198" s="47"/>
      <c r="Z198" s="44" t="str">
        <f ca="1">IF(AND(Tableau1[[#This Row],[Charge]]&lt;&gt;0, Tableau1[[#This Row],[Nombre intervenants]]&lt;&gt;0,Tableau1[[#This Row],[Lien document]]&lt;&gt;0,Tableau1[[#This Row],[DMS_SAP]]&lt;&gt;0)=TRUE,"MIS A JOUR","")</f>
        <v/>
      </c>
      <c r="AA198" s="48"/>
      <c r="AB198" s="58" t="str">
        <f ca="1">IF(Tableau1[[#This Row],[Date rév.]]&lt;&gt;"", DAYS360(Tableau1[[#This Row],[Date rév.]],TODAY()),"")</f>
        <v/>
      </c>
      <c r="AC198" s="47" t="str">
        <f>IFERROR(INDEX(Chemin_accès!$B$11:$C$22,MATCH(Tableau1[[#This Row],[Type]],Chemin_accès!$C$11:$C$22,0),1),Chemin_accès!$B$11)</f>
        <v>\\stjn.local\trimet\Btechnique\Commun\BT Maint SCELLEMENT\205 - Préventifs\Modèles préventif\GammeDMS_7.MSCT.xlsm</v>
      </c>
      <c r="AD198" s="47" t="str">
        <f>Chemin_accès!$B$8&amp;Tableau1[[#This Row],[Localisation / Classement]]&amp;"\"&amp;Tableau1[[#This Row],[Poste technique]]&amp;"_"&amp;Tableau1[[#This Row],[Plan Entretien]]&amp;".xlsm"</f>
        <v>\\stjn.local\trimet\Btechnique\Commun\BT Maint SCELLEMENT\205 - Préventifs\Gammes 7.MSCT PE Tool\\_.xlsm</v>
      </c>
    </row>
    <row r="199" spans="1:30" x14ac:dyDescent="0.3">
      <c r="A199" s="44" t="str">
        <f t="shared" ca="1" si="3"/>
        <v>7.MSCT</v>
      </c>
      <c r="B1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99" s="46"/>
      <c r="D199" s="44"/>
      <c r="E199" s="44"/>
      <c r="F199" s="47"/>
      <c r="G199" s="47"/>
      <c r="H199" s="50"/>
      <c r="I199" s="50"/>
      <c r="J199" s="50"/>
      <c r="K199" s="50"/>
      <c r="L199" s="46"/>
      <c r="M199" s="47"/>
      <c r="N199" s="46"/>
      <c r="O199" s="46"/>
      <c r="P199" s="47"/>
      <c r="Q199" s="46"/>
      <c r="R199" s="46"/>
      <c r="S199" s="48"/>
      <c r="T199" s="61" t="str">
        <f>IF(Tableau1[[#This Row],[DMS_SAP]]="","",HYPERLINK(Tableau1[[#This Row],[Chemin fichier source]],"X"))</f>
        <v/>
      </c>
      <c r="U199" s="61" t="str">
        <f>IF(Tableau1[[#This Row],[Date rév.]]="","",HYPERLINK(Tableau1[[#This Row],[Lien document]],"X"))</f>
        <v/>
      </c>
      <c r="V199" s="47"/>
      <c r="W199" s="49" t="str">
        <f ca="1">Chemin_accès!$B$2&amp;Tableau1[[#This Row],[Poste Responsable]]&amp;"\"&amp;Tableau1[[#This Row],[Localisation / Classement]]&amp;"\"&amp;Tableau1[[#This Row],[Poste technique]]&amp;"_"&amp;Tableau1[[#This Row],[Plan Entretien]]&amp;".pdf"</f>
        <v>\\stjn.local\trimet\Donnees_Projets\Dms Sap\Maintenance\PlanEntretien\7.MSCT\\_.pdf</v>
      </c>
      <c r="X199" s="47"/>
      <c r="Y199" s="47"/>
      <c r="Z199" s="44" t="str">
        <f ca="1">IF(AND(Tableau1[[#This Row],[Charge]]&lt;&gt;0, Tableau1[[#This Row],[Nombre intervenants]]&lt;&gt;0,Tableau1[[#This Row],[Lien document]]&lt;&gt;0,Tableau1[[#This Row],[DMS_SAP]]&lt;&gt;0)=TRUE,"MIS A JOUR","")</f>
        <v/>
      </c>
      <c r="AA199" s="48"/>
      <c r="AB199" s="58" t="str">
        <f ca="1">IF(Tableau1[[#This Row],[Date rév.]]&lt;&gt;"", DAYS360(Tableau1[[#This Row],[Date rév.]],TODAY()),"")</f>
        <v/>
      </c>
      <c r="AC199" s="47" t="str">
        <f>IFERROR(INDEX(Chemin_accès!$B$11:$C$22,MATCH(Tableau1[[#This Row],[Type]],Chemin_accès!$C$11:$C$22,0),1),Chemin_accès!$B$11)</f>
        <v>\\stjn.local\trimet\Btechnique\Commun\BT Maint SCELLEMENT\205 - Préventifs\Modèles préventif\GammeDMS_7.MSCT.xlsm</v>
      </c>
      <c r="AD199" s="47" t="str">
        <f>Chemin_accès!$B$8&amp;Tableau1[[#This Row],[Localisation / Classement]]&amp;"\"&amp;Tableau1[[#This Row],[Poste technique]]&amp;"_"&amp;Tableau1[[#This Row],[Plan Entretien]]&amp;".xlsm"</f>
        <v>\\stjn.local\trimet\Btechnique\Commun\BT Maint SCELLEMENT\205 - Préventifs\Gammes 7.MSCT PE Tool\\_.xlsm</v>
      </c>
    </row>
    <row r="200" spans="1:30" x14ac:dyDescent="0.3">
      <c r="A200" s="44" t="str">
        <f t="shared" ca="1" si="3"/>
        <v>7.MSCT</v>
      </c>
      <c r="B2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0" s="46"/>
      <c r="D200" s="44"/>
      <c r="E200" s="44"/>
      <c r="F200" s="47"/>
      <c r="G200" s="47"/>
      <c r="H200" s="50"/>
      <c r="I200" s="50"/>
      <c r="J200" s="50"/>
      <c r="K200" s="50"/>
      <c r="L200" s="46"/>
      <c r="M200" s="47"/>
      <c r="N200" s="46"/>
      <c r="O200" s="46"/>
      <c r="P200" s="47"/>
      <c r="Q200" s="46"/>
      <c r="R200" s="46"/>
      <c r="S200" s="48"/>
      <c r="T200" s="61" t="str">
        <f>IF(Tableau1[[#This Row],[DMS_SAP]]="","",HYPERLINK(Tableau1[[#This Row],[Chemin fichier source]],"X"))</f>
        <v/>
      </c>
      <c r="U200" s="61" t="str">
        <f>IF(Tableau1[[#This Row],[Date rév.]]="","",HYPERLINK(Tableau1[[#This Row],[Lien document]],"X"))</f>
        <v/>
      </c>
      <c r="V200" s="47"/>
      <c r="W200" s="49" t="str">
        <f ca="1">Chemin_accès!$B$2&amp;Tableau1[[#This Row],[Poste Responsable]]&amp;"\"&amp;Tableau1[[#This Row],[Localisation / Classement]]&amp;"\"&amp;Tableau1[[#This Row],[Poste technique]]&amp;"_"&amp;Tableau1[[#This Row],[Plan Entretien]]&amp;".pdf"</f>
        <v>\\stjn.local\trimet\Donnees_Projets\Dms Sap\Maintenance\PlanEntretien\7.MSCT\\_.pdf</v>
      </c>
      <c r="X200" s="47"/>
      <c r="Y200" s="47"/>
      <c r="Z200" s="44" t="str">
        <f ca="1">IF(AND(Tableau1[[#This Row],[Charge]]&lt;&gt;0, Tableau1[[#This Row],[Nombre intervenants]]&lt;&gt;0,Tableau1[[#This Row],[Lien document]]&lt;&gt;0,Tableau1[[#This Row],[DMS_SAP]]&lt;&gt;0)=TRUE,"MIS A JOUR","")</f>
        <v/>
      </c>
      <c r="AA200" s="48"/>
      <c r="AB200" s="58" t="str">
        <f ca="1">IF(Tableau1[[#This Row],[Date rév.]]&lt;&gt;"", DAYS360(Tableau1[[#This Row],[Date rév.]],TODAY()),"")</f>
        <v/>
      </c>
      <c r="AC200" s="47" t="str">
        <f>IFERROR(INDEX(Chemin_accès!$B$11:$C$22,MATCH(Tableau1[[#This Row],[Type]],Chemin_accès!$C$11:$C$22,0),1),Chemin_accès!$B$11)</f>
        <v>\\stjn.local\trimet\Btechnique\Commun\BT Maint SCELLEMENT\205 - Préventifs\Modèles préventif\GammeDMS_7.MSCT.xlsm</v>
      </c>
      <c r="AD200" s="47" t="str">
        <f>Chemin_accès!$B$8&amp;Tableau1[[#This Row],[Localisation / Classement]]&amp;"\"&amp;Tableau1[[#This Row],[Poste technique]]&amp;"_"&amp;Tableau1[[#This Row],[Plan Entretien]]&amp;".xlsm"</f>
        <v>\\stjn.local\trimet\Btechnique\Commun\BT Maint SCELLEMENT\205 - Préventifs\Gammes 7.MSCT PE Tool\\_.xlsm</v>
      </c>
    </row>
    <row r="201" spans="1:30" x14ac:dyDescent="0.3">
      <c r="A201" s="44" t="str">
        <f t="shared" ca="1" si="3"/>
        <v>7.MSCT</v>
      </c>
      <c r="B2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1" s="46"/>
      <c r="D201" s="44"/>
      <c r="E201" s="44"/>
      <c r="F201" s="47"/>
      <c r="G201" s="47"/>
      <c r="H201" s="50"/>
      <c r="I201" s="50"/>
      <c r="J201" s="50"/>
      <c r="K201" s="50"/>
      <c r="L201" s="46"/>
      <c r="M201" s="47"/>
      <c r="N201" s="46"/>
      <c r="O201" s="46"/>
      <c r="P201" s="47"/>
      <c r="Q201" s="46"/>
      <c r="R201" s="46"/>
      <c r="S201" s="48"/>
      <c r="T201" s="61" t="str">
        <f>IF(Tableau1[[#This Row],[DMS_SAP]]="","",HYPERLINK(Tableau1[[#This Row],[Chemin fichier source]],"X"))</f>
        <v/>
      </c>
      <c r="U201" s="61" t="str">
        <f>IF(Tableau1[[#This Row],[Date rév.]]="","",HYPERLINK(Tableau1[[#This Row],[Lien document]],"X"))</f>
        <v/>
      </c>
      <c r="V201" s="47"/>
      <c r="W201" s="49" t="str">
        <f ca="1">Chemin_accès!$B$2&amp;Tableau1[[#This Row],[Poste Responsable]]&amp;"\"&amp;Tableau1[[#This Row],[Localisation / Classement]]&amp;"\"&amp;Tableau1[[#This Row],[Poste technique]]&amp;"_"&amp;Tableau1[[#This Row],[Plan Entretien]]&amp;".pdf"</f>
        <v>\\stjn.local\trimet\Donnees_Projets\Dms Sap\Maintenance\PlanEntretien\7.MSCT\\_.pdf</v>
      </c>
      <c r="X201" s="47"/>
      <c r="Y201" s="47"/>
      <c r="Z201" s="44" t="str">
        <f ca="1">IF(AND(Tableau1[[#This Row],[Charge]]&lt;&gt;0, Tableau1[[#This Row],[Nombre intervenants]]&lt;&gt;0,Tableau1[[#This Row],[Lien document]]&lt;&gt;0,Tableau1[[#This Row],[DMS_SAP]]&lt;&gt;0)=TRUE,"MIS A JOUR","")</f>
        <v/>
      </c>
      <c r="AA201" s="48"/>
      <c r="AB201" s="58" t="str">
        <f ca="1">IF(Tableau1[[#This Row],[Date rév.]]&lt;&gt;"", DAYS360(Tableau1[[#This Row],[Date rév.]],TODAY()),"")</f>
        <v/>
      </c>
      <c r="AC201" s="47" t="str">
        <f>IFERROR(INDEX(Chemin_accès!$B$11:$C$22,MATCH(Tableau1[[#This Row],[Type]],Chemin_accès!$C$11:$C$22,0),1),Chemin_accès!$B$11)</f>
        <v>\\stjn.local\trimet\Btechnique\Commun\BT Maint SCELLEMENT\205 - Préventifs\Modèles préventif\GammeDMS_7.MSCT.xlsm</v>
      </c>
      <c r="AD201" s="47" t="str">
        <f>Chemin_accès!$B$8&amp;Tableau1[[#This Row],[Localisation / Classement]]&amp;"\"&amp;Tableau1[[#This Row],[Poste technique]]&amp;"_"&amp;Tableau1[[#This Row],[Plan Entretien]]&amp;".xlsm"</f>
        <v>\\stjn.local\trimet\Btechnique\Commun\BT Maint SCELLEMENT\205 - Préventifs\Gammes 7.MSCT PE Tool\\_.xlsm</v>
      </c>
    </row>
    <row r="202" spans="1:30" x14ac:dyDescent="0.3">
      <c r="A202" s="44" t="str">
        <f t="shared" ca="1" si="3"/>
        <v>7.MSCT</v>
      </c>
      <c r="B2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2" s="46"/>
      <c r="D202" s="44"/>
      <c r="E202" s="44"/>
      <c r="F202" s="47"/>
      <c r="G202" s="47"/>
      <c r="H202" s="50"/>
      <c r="I202" s="50"/>
      <c r="J202" s="50"/>
      <c r="K202" s="50"/>
      <c r="L202" s="46"/>
      <c r="M202" s="47"/>
      <c r="N202" s="46"/>
      <c r="O202" s="46"/>
      <c r="P202" s="47"/>
      <c r="Q202" s="46"/>
      <c r="R202" s="46"/>
      <c r="S202" s="48"/>
      <c r="T202" s="61" t="str">
        <f>IF(Tableau1[[#This Row],[DMS_SAP]]="","",HYPERLINK(Tableau1[[#This Row],[Chemin fichier source]],"X"))</f>
        <v/>
      </c>
      <c r="U202" s="61" t="str">
        <f>IF(Tableau1[[#This Row],[Date rév.]]="","",HYPERLINK(Tableau1[[#This Row],[Lien document]],"X"))</f>
        <v/>
      </c>
      <c r="V202" s="47"/>
      <c r="W202" s="49" t="str">
        <f ca="1">Chemin_accès!$B$2&amp;Tableau1[[#This Row],[Poste Responsable]]&amp;"\"&amp;Tableau1[[#This Row],[Localisation / Classement]]&amp;"\"&amp;Tableau1[[#This Row],[Poste technique]]&amp;"_"&amp;Tableau1[[#This Row],[Plan Entretien]]&amp;".pdf"</f>
        <v>\\stjn.local\trimet\Donnees_Projets\Dms Sap\Maintenance\PlanEntretien\7.MSCT\\_.pdf</v>
      </c>
      <c r="X202" s="47"/>
      <c r="Y202" s="47"/>
      <c r="Z202" s="44" t="str">
        <f ca="1">IF(AND(Tableau1[[#This Row],[Charge]]&lt;&gt;0, Tableau1[[#This Row],[Nombre intervenants]]&lt;&gt;0,Tableau1[[#This Row],[Lien document]]&lt;&gt;0,Tableau1[[#This Row],[DMS_SAP]]&lt;&gt;0)=TRUE,"MIS A JOUR","")</f>
        <v/>
      </c>
      <c r="AA202" s="48"/>
      <c r="AB202" s="58" t="str">
        <f ca="1">IF(Tableau1[[#This Row],[Date rév.]]&lt;&gt;"", DAYS360(Tableau1[[#This Row],[Date rév.]],TODAY()),"")</f>
        <v/>
      </c>
      <c r="AC202" s="47" t="str">
        <f>IFERROR(INDEX(Chemin_accès!$B$11:$C$22,MATCH(Tableau1[[#This Row],[Type]],Chemin_accès!$C$11:$C$22,0),1),Chemin_accès!$B$11)</f>
        <v>\\stjn.local\trimet\Btechnique\Commun\BT Maint SCELLEMENT\205 - Préventifs\Modèles préventif\GammeDMS_7.MSCT.xlsm</v>
      </c>
      <c r="AD202" s="47" t="str">
        <f>Chemin_accès!$B$8&amp;Tableau1[[#This Row],[Localisation / Classement]]&amp;"\"&amp;Tableau1[[#This Row],[Poste technique]]&amp;"_"&amp;Tableau1[[#This Row],[Plan Entretien]]&amp;".xlsm"</f>
        <v>\\stjn.local\trimet\Btechnique\Commun\BT Maint SCELLEMENT\205 - Préventifs\Gammes 7.MSCT PE Tool\\_.xlsm</v>
      </c>
    </row>
    <row r="203" spans="1:30" x14ac:dyDescent="0.3">
      <c r="A203" s="44" t="str">
        <f t="shared" ca="1" si="3"/>
        <v>7.MSCT</v>
      </c>
      <c r="B2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3" s="63"/>
      <c r="D203" s="44"/>
      <c r="E203" s="44"/>
      <c r="F203" s="47"/>
      <c r="G203" s="47"/>
      <c r="H203" s="50"/>
      <c r="I203" s="50"/>
      <c r="J203" s="50"/>
      <c r="K203" s="50"/>
      <c r="L203" s="46"/>
      <c r="M203" s="47"/>
      <c r="N203" s="46"/>
      <c r="O203" s="46"/>
      <c r="P203" s="47"/>
      <c r="Q203" s="46"/>
      <c r="R203" s="46"/>
      <c r="S203" s="48"/>
      <c r="T203" s="61" t="str">
        <f>IF(Tableau1[[#This Row],[DMS_SAP]]="","",HYPERLINK(Tableau1[[#This Row],[Chemin fichier source]],"X"))</f>
        <v/>
      </c>
      <c r="U203" s="61" t="str">
        <f>IF(Tableau1[[#This Row],[Date rév.]]="","",HYPERLINK(Tableau1[[#This Row],[Lien document]],"X"))</f>
        <v/>
      </c>
      <c r="V203" s="47"/>
      <c r="W203" s="49" t="str">
        <f ca="1">Chemin_accès!$B$2&amp;Tableau1[[#This Row],[Poste Responsable]]&amp;"\"&amp;Tableau1[[#This Row],[Localisation / Classement]]&amp;"\"&amp;Tableau1[[#This Row],[Poste technique]]&amp;"_"&amp;Tableau1[[#This Row],[Plan Entretien]]&amp;".pdf"</f>
        <v>\\stjn.local\trimet\Donnees_Projets\Dms Sap\Maintenance\PlanEntretien\7.MSCT\\_.pdf</v>
      </c>
      <c r="X203" s="47"/>
      <c r="Y203" s="47"/>
      <c r="Z203" s="44" t="str">
        <f ca="1">IF(AND(Tableau1[[#This Row],[Charge]]&lt;&gt;0, Tableau1[[#This Row],[Nombre intervenants]]&lt;&gt;0,Tableau1[[#This Row],[Lien document]]&lt;&gt;0,Tableau1[[#This Row],[DMS_SAP]]&lt;&gt;0)=TRUE,"MIS A JOUR","")</f>
        <v/>
      </c>
      <c r="AA203" s="48"/>
      <c r="AB203" s="58" t="str">
        <f ca="1">IF(Tableau1[[#This Row],[Date rév.]]&lt;&gt;"", DAYS360(Tableau1[[#This Row],[Date rév.]],TODAY()),"")</f>
        <v/>
      </c>
      <c r="AC203" s="47" t="str">
        <f>IFERROR(INDEX(Chemin_accès!$B$11:$C$22,MATCH(Tableau1[[#This Row],[Type]],Chemin_accès!$C$11:$C$22,0),1),Chemin_accès!$B$11)</f>
        <v>\\stjn.local\trimet\Btechnique\Commun\BT Maint SCELLEMENT\205 - Préventifs\Modèles préventif\GammeDMS_7.MSCT.xlsm</v>
      </c>
      <c r="AD203" s="47" t="str">
        <f>Chemin_accès!$B$8&amp;Tableau1[[#This Row],[Localisation / Classement]]&amp;"\"&amp;Tableau1[[#This Row],[Poste technique]]&amp;"_"&amp;Tableau1[[#This Row],[Plan Entretien]]&amp;".xlsm"</f>
        <v>\\stjn.local\trimet\Btechnique\Commun\BT Maint SCELLEMENT\205 - Préventifs\Gammes 7.MSCT PE Tool\\_.xlsm</v>
      </c>
    </row>
    <row r="204" spans="1:30" x14ac:dyDescent="0.3">
      <c r="A204" s="44" t="str">
        <f t="shared" ca="1" si="3"/>
        <v>7.MSCT</v>
      </c>
      <c r="B2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4" s="46"/>
      <c r="D204" s="44"/>
      <c r="E204" s="44"/>
      <c r="F204" s="47"/>
      <c r="G204" s="47"/>
      <c r="H204" s="50"/>
      <c r="I204" s="50"/>
      <c r="J204" s="50"/>
      <c r="K204" s="50"/>
      <c r="L204" s="46"/>
      <c r="M204" s="47"/>
      <c r="N204" s="46"/>
      <c r="O204" s="46"/>
      <c r="P204" s="47"/>
      <c r="Q204" s="46"/>
      <c r="R204" s="46"/>
      <c r="S204" s="48"/>
      <c r="T204" s="61" t="str">
        <f>IF(Tableau1[[#This Row],[DMS_SAP]]="","",HYPERLINK(Tableau1[[#This Row],[Chemin fichier source]],"X"))</f>
        <v/>
      </c>
      <c r="U204" s="61" t="str">
        <f>IF(Tableau1[[#This Row],[Date rév.]]="","",HYPERLINK(Tableau1[[#This Row],[Lien document]],"X"))</f>
        <v/>
      </c>
      <c r="V204" s="47"/>
      <c r="W204" s="49" t="str">
        <f ca="1">Chemin_accès!$B$2&amp;Tableau1[[#This Row],[Poste Responsable]]&amp;"\"&amp;Tableau1[[#This Row],[Localisation / Classement]]&amp;"\"&amp;Tableau1[[#This Row],[Poste technique]]&amp;"_"&amp;Tableau1[[#This Row],[Plan Entretien]]&amp;".pdf"</f>
        <v>\\stjn.local\trimet\Donnees_Projets\Dms Sap\Maintenance\PlanEntretien\7.MSCT\\_.pdf</v>
      </c>
      <c r="X204" s="47"/>
      <c r="Y204" s="47"/>
      <c r="Z204" s="44" t="str">
        <f ca="1">IF(AND(Tableau1[[#This Row],[Charge]]&lt;&gt;0, Tableau1[[#This Row],[Nombre intervenants]]&lt;&gt;0,Tableau1[[#This Row],[Lien document]]&lt;&gt;0,Tableau1[[#This Row],[DMS_SAP]]&lt;&gt;0)=TRUE,"MIS A JOUR","")</f>
        <v/>
      </c>
      <c r="AA204" s="48"/>
      <c r="AB204" s="58" t="str">
        <f ca="1">IF(Tableau1[[#This Row],[Date rév.]]&lt;&gt;"", DAYS360(Tableau1[[#This Row],[Date rév.]],TODAY()),"")</f>
        <v/>
      </c>
      <c r="AC204" s="47" t="str">
        <f>IFERROR(INDEX(Chemin_accès!$B$11:$C$22,MATCH(Tableau1[[#This Row],[Type]],Chemin_accès!$C$11:$C$22,0),1),Chemin_accès!$B$11)</f>
        <v>\\stjn.local\trimet\Btechnique\Commun\BT Maint SCELLEMENT\205 - Préventifs\Modèles préventif\GammeDMS_7.MSCT.xlsm</v>
      </c>
      <c r="AD204" s="47" t="str">
        <f>Chemin_accès!$B$8&amp;Tableau1[[#This Row],[Localisation / Classement]]&amp;"\"&amp;Tableau1[[#This Row],[Poste technique]]&amp;"_"&amp;Tableau1[[#This Row],[Plan Entretien]]&amp;".xlsm"</f>
        <v>\\stjn.local\trimet\Btechnique\Commun\BT Maint SCELLEMENT\205 - Préventifs\Gammes 7.MSCT PE Tool\\_.xlsm</v>
      </c>
    </row>
    <row r="205" spans="1:30" x14ac:dyDescent="0.3">
      <c r="A205" s="44" t="str">
        <f t="shared" ca="1" si="3"/>
        <v>7.MSCT</v>
      </c>
      <c r="B2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5" s="46"/>
      <c r="D205" s="44"/>
      <c r="E205" s="44"/>
      <c r="F205" s="47"/>
      <c r="G205" s="47"/>
      <c r="H205" s="50"/>
      <c r="I205" s="50"/>
      <c r="J205" s="50"/>
      <c r="K205" s="50"/>
      <c r="L205" s="46"/>
      <c r="M205" s="47"/>
      <c r="N205" s="46"/>
      <c r="O205" s="46"/>
      <c r="P205" s="47"/>
      <c r="Q205" s="46"/>
      <c r="R205" s="46"/>
      <c r="S205" s="48"/>
      <c r="T205" s="61" t="str">
        <f>IF(Tableau1[[#This Row],[DMS_SAP]]="","",HYPERLINK(Tableau1[[#This Row],[Chemin fichier source]],"X"))</f>
        <v/>
      </c>
      <c r="U205" s="61" t="str">
        <f>IF(Tableau1[[#This Row],[Date rév.]]="","",HYPERLINK(Tableau1[[#This Row],[Lien document]],"X"))</f>
        <v/>
      </c>
      <c r="V205" s="47"/>
      <c r="W205" s="49" t="str">
        <f ca="1">Chemin_accès!$B$2&amp;Tableau1[[#This Row],[Poste Responsable]]&amp;"\"&amp;Tableau1[[#This Row],[Localisation / Classement]]&amp;"\"&amp;Tableau1[[#This Row],[Poste technique]]&amp;"_"&amp;Tableau1[[#This Row],[Plan Entretien]]&amp;".pdf"</f>
        <v>\\stjn.local\trimet\Donnees_Projets\Dms Sap\Maintenance\PlanEntretien\7.MSCT\\_.pdf</v>
      </c>
      <c r="X205" s="47"/>
      <c r="Y205" s="47"/>
      <c r="Z205" s="44" t="str">
        <f ca="1">IF(AND(Tableau1[[#This Row],[Charge]]&lt;&gt;0, Tableau1[[#This Row],[Nombre intervenants]]&lt;&gt;0,Tableau1[[#This Row],[Lien document]]&lt;&gt;0,Tableau1[[#This Row],[DMS_SAP]]&lt;&gt;0)=TRUE,"MIS A JOUR","")</f>
        <v/>
      </c>
      <c r="AA205" s="48"/>
      <c r="AB205" s="58" t="str">
        <f ca="1">IF(Tableau1[[#This Row],[Date rév.]]&lt;&gt;"", DAYS360(Tableau1[[#This Row],[Date rév.]],TODAY()),"")</f>
        <v/>
      </c>
      <c r="AC205" s="47" t="str">
        <f>IFERROR(INDEX(Chemin_accès!$B$11:$C$22,MATCH(Tableau1[[#This Row],[Type]],Chemin_accès!$C$11:$C$22,0),1),Chemin_accès!$B$11)</f>
        <v>\\stjn.local\trimet\Btechnique\Commun\BT Maint SCELLEMENT\205 - Préventifs\Modèles préventif\GammeDMS_7.MSCT.xlsm</v>
      </c>
      <c r="AD205" s="47" t="str">
        <f>Chemin_accès!$B$8&amp;Tableau1[[#This Row],[Localisation / Classement]]&amp;"\"&amp;Tableau1[[#This Row],[Poste technique]]&amp;"_"&amp;Tableau1[[#This Row],[Plan Entretien]]&amp;".xlsm"</f>
        <v>\\stjn.local\trimet\Btechnique\Commun\BT Maint SCELLEMENT\205 - Préventifs\Gammes 7.MSCT PE Tool\\_.xlsm</v>
      </c>
    </row>
    <row r="206" spans="1:30" x14ac:dyDescent="0.3">
      <c r="A206" s="44" t="str">
        <f t="shared" ca="1" si="3"/>
        <v>7.MSCT</v>
      </c>
      <c r="B2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6" s="46"/>
      <c r="D206" s="44"/>
      <c r="E206" s="44"/>
      <c r="F206" s="47"/>
      <c r="G206" s="47"/>
      <c r="H206" s="50"/>
      <c r="I206" s="50"/>
      <c r="J206" s="50"/>
      <c r="K206" s="50"/>
      <c r="L206" s="46"/>
      <c r="M206" s="47"/>
      <c r="N206" s="46"/>
      <c r="O206" s="46"/>
      <c r="P206" s="47"/>
      <c r="Q206" s="46"/>
      <c r="R206" s="46"/>
      <c r="S206" s="48"/>
      <c r="T206" s="61" t="str">
        <f>IF(Tableau1[[#This Row],[DMS_SAP]]="","",HYPERLINK(Tableau1[[#This Row],[Chemin fichier source]],"X"))</f>
        <v/>
      </c>
      <c r="U206" s="61" t="str">
        <f>IF(Tableau1[[#This Row],[Date rév.]]="","",HYPERLINK(Tableau1[[#This Row],[Lien document]],"X"))</f>
        <v/>
      </c>
      <c r="V206" s="47"/>
      <c r="W206" s="49" t="str">
        <f ca="1">Chemin_accès!$B$2&amp;Tableau1[[#This Row],[Poste Responsable]]&amp;"\"&amp;Tableau1[[#This Row],[Localisation / Classement]]&amp;"\"&amp;Tableau1[[#This Row],[Poste technique]]&amp;"_"&amp;Tableau1[[#This Row],[Plan Entretien]]&amp;".pdf"</f>
        <v>\\stjn.local\trimet\Donnees_Projets\Dms Sap\Maintenance\PlanEntretien\7.MSCT\\_.pdf</v>
      </c>
      <c r="X206" s="47"/>
      <c r="Y206" s="47"/>
      <c r="Z206" s="44" t="str">
        <f ca="1">IF(AND(Tableau1[[#This Row],[Charge]]&lt;&gt;0, Tableau1[[#This Row],[Nombre intervenants]]&lt;&gt;0,Tableau1[[#This Row],[Lien document]]&lt;&gt;0,Tableau1[[#This Row],[DMS_SAP]]&lt;&gt;0)=TRUE,"MIS A JOUR","")</f>
        <v/>
      </c>
      <c r="AA206" s="48"/>
      <c r="AB206" s="58" t="str">
        <f ca="1">IF(Tableau1[[#This Row],[Date rév.]]&lt;&gt;"", DAYS360(Tableau1[[#This Row],[Date rév.]],TODAY()),"")</f>
        <v/>
      </c>
      <c r="AC206" s="47" t="str">
        <f>IFERROR(INDEX(Chemin_accès!$B$11:$C$22,MATCH(Tableau1[[#This Row],[Type]],Chemin_accès!$C$11:$C$22,0),1),Chemin_accès!$B$11)</f>
        <v>\\stjn.local\trimet\Btechnique\Commun\BT Maint SCELLEMENT\205 - Préventifs\Modèles préventif\GammeDMS_7.MSCT.xlsm</v>
      </c>
      <c r="AD206" s="47" t="str">
        <f>Chemin_accès!$B$8&amp;Tableau1[[#This Row],[Localisation / Classement]]&amp;"\"&amp;Tableau1[[#This Row],[Poste technique]]&amp;"_"&amp;Tableau1[[#This Row],[Plan Entretien]]&amp;".xlsm"</f>
        <v>\\stjn.local\trimet\Btechnique\Commun\BT Maint SCELLEMENT\205 - Préventifs\Gammes 7.MSCT PE Tool\\_.xlsm</v>
      </c>
    </row>
    <row r="207" spans="1:30" x14ac:dyDescent="0.3">
      <c r="A207" s="44" t="str">
        <f t="shared" ca="1" si="3"/>
        <v>7.MSCT</v>
      </c>
      <c r="B2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7" s="46"/>
      <c r="D207" s="44"/>
      <c r="E207" s="44"/>
      <c r="F207" s="47"/>
      <c r="G207" s="47"/>
      <c r="H207" s="50"/>
      <c r="I207" s="50"/>
      <c r="J207" s="50"/>
      <c r="K207" s="50"/>
      <c r="L207" s="46"/>
      <c r="M207" s="47"/>
      <c r="N207" s="46"/>
      <c r="O207" s="46"/>
      <c r="P207" s="47"/>
      <c r="Q207" s="46"/>
      <c r="R207" s="46"/>
      <c r="S207" s="48"/>
      <c r="T207" s="61" t="str">
        <f>IF(Tableau1[[#This Row],[DMS_SAP]]="","",HYPERLINK(Tableau1[[#This Row],[Chemin fichier source]],"X"))</f>
        <v/>
      </c>
      <c r="U207" s="61" t="str">
        <f>IF(Tableau1[[#This Row],[Date rév.]]="","",HYPERLINK(Tableau1[[#This Row],[Lien document]],"X"))</f>
        <v/>
      </c>
      <c r="V207" s="47"/>
      <c r="W207" s="49" t="str">
        <f ca="1">Chemin_accès!$B$2&amp;Tableau1[[#This Row],[Poste Responsable]]&amp;"\"&amp;Tableau1[[#This Row],[Localisation / Classement]]&amp;"\"&amp;Tableau1[[#This Row],[Poste technique]]&amp;"_"&amp;Tableau1[[#This Row],[Plan Entretien]]&amp;".pdf"</f>
        <v>\\stjn.local\trimet\Donnees_Projets\Dms Sap\Maintenance\PlanEntretien\7.MSCT\\_.pdf</v>
      </c>
      <c r="X207" s="47"/>
      <c r="Y207" s="47"/>
      <c r="Z207" s="44" t="str">
        <f ca="1">IF(AND(Tableau1[[#This Row],[Charge]]&lt;&gt;0, Tableau1[[#This Row],[Nombre intervenants]]&lt;&gt;0,Tableau1[[#This Row],[Lien document]]&lt;&gt;0,Tableau1[[#This Row],[DMS_SAP]]&lt;&gt;0)=TRUE,"MIS A JOUR","")</f>
        <v/>
      </c>
      <c r="AA207" s="48"/>
      <c r="AB207" s="58" t="str">
        <f ca="1">IF(Tableau1[[#This Row],[Date rév.]]&lt;&gt;"", DAYS360(Tableau1[[#This Row],[Date rév.]],TODAY()),"")</f>
        <v/>
      </c>
      <c r="AC207" s="47" t="str">
        <f>IFERROR(INDEX(Chemin_accès!$B$11:$C$22,MATCH(Tableau1[[#This Row],[Type]],Chemin_accès!$C$11:$C$22,0),1),Chemin_accès!$B$11)</f>
        <v>\\stjn.local\trimet\Btechnique\Commun\BT Maint SCELLEMENT\205 - Préventifs\Modèles préventif\GammeDMS_7.MSCT.xlsm</v>
      </c>
      <c r="AD207" s="47" t="str">
        <f>Chemin_accès!$B$8&amp;Tableau1[[#This Row],[Localisation / Classement]]&amp;"\"&amp;Tableau1[[#This Row],[Poste technique]]&amp;"_"&amp;Tableau1[[#This Row],[Plan Entretien]]&amp;".xlsm"</f>
        <v>\\stjn.local\trimet\Btechnique\Commun\BT Maint SCELLEMENT\205 - Préventifs\Gammes 7.MSCT PE Tool\\_.xlsm</v>
      </c>
    </row>
    <row r="208" spans="1:30" x14ac:dyDescent="0.3">
      <c r="A208" s="44" t="str">
        <f t="shared" ca="1" si="3"/>
        <v>7.MSCT</v>
      </c>
      <c r="B2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8" s="46"/>
      <c r="D208" s="44"/>
      <c r="E208" s="44"/>
      <c r="F208" s="47"/>
      <c r="G208" s="47"/>
      <c r="H208" s="50"/>
      <c r="I208" s="50"/>
      <c r="J208" s="50"/>
      <c r="K208" s="50"/>
      <c r="L208" s="46"/>
      <c r="M208" s="47"/>
      <c r="N208" s="46"/>
      <c r="O208" s="46"/>
      <c r="P208" s="47"/>
      <c r="Q208" s="46"/>
      <c r="R208" s="46"/>
      <c r="S208" s="48"/>
      <c r="T208" s="61" t="str">
        <f>IF(Tableau1[[#This Row],[DMS_SAP]]="","",HYPERLINK(Tableau1[[#This Row],[Chemin fichier source]],"X"))</f>
        <v/>
      </c>
      <c r="U208" s="61" t="str">
        <f>IF(Tableau1[[#This Row],[Date rév.]]="","",HYPERLINK(Tableau1[[#This Row],[Lien document]],"X"))</f>
        <v/>
      </c>
      <c r="V208" s="47"/>
      <c r="W208" s="49" t="str">
        <f ca="1">Chemin_accès!$B$2&amp;Tableau1[[#This Row],[Poste Responsable]]&amp;"\"&amp;Tableau1[[#This Row],[Localisation / Classement]]&amp;"\"&amp;Tableau1[[#This Row],[Poste technique]]&amp;"_"&amp;Tableau1[[#This Row],[Plan Entretien]]&amp;".pdf"</f>
        <v>\\stjn.local\trimet\Donnees_Projets\Dms Sap\Maintenance\PlanEntretien\7.MSCT\\_.pdf</v>
      </c>
      <c r="X208" s="47"/>
      <c r="Y208" s="47"/>
      <c r="Z208" s="44" t="str">
        <f ca="1">IF(AND(Tableau1[[#This Row],[Charge]]&lt;&gt;0, Tableau1[[#This Row],[Nombre intervenants]]&lt;&gt;0,Tableau1[[#This Row],[Lien document]]&lt;&gt;0,Tableau1[[#This Row],[DMS_SAP]]&lt;&gt;0)=TRUE,"MIS A JOUR","")</f>
        <v/>
      </c>
      <c r="AA208" s="48"/>
      <c r="AB208" s="58" t="str">
        <f ca="1">IF(Tableau1[[#This Row],[Date rév.]]&lt;&gt;"", DAYS360(Tableau1[[#This Row],[Date rév.]],TODAY()),"")</f>
        <v/>
      </c>
      <c r="AC208" s="47" t="str">
        <f>IFERROR(INDEX(Chemin_accès!$B$11:$C$22,MATCH(Tableau1[[#This Row],[Type]],Chemin_accès!$C$11:$C$22,0),1),Chemin_accès!$B$11)</f>
        <v>\\stjn.local\trimet\Btechnique\Commun\BT Maint SCELLEMENT\205 - Préventifs\Modèles préventif\GammeDMS_7.MSCT.xlsm</v>
      </c>
      <c r="AD208" s="47" t="str">
        <f>Chemin_accès!$B$8&amp;Tableau1[[#This Row],[Localisation / Classement]]&amp;"\"&amp;Tableau1[[#This Row],[Poste technique]]&amp;"_"&amp;Tableau1[[#This Row],[Plan Entretien]]&amp;".xlsm"</f>
        <v>\\stjn.local\trimet\Btechnique\Commun\BT Maint SCELLEMENT\205 - Préventifs\Gammes 7.MSCT PE Tool\\_.xlsm</v>
      </c>
    </row>
    <row r="209" spans="1:30" x14ac:dyDescent="0.3">
      <c r="A209" s="44" t="str">
        <f t="shared" ca="1" si="3"/>
        <v>7.MSCT</v>
      </c>
      <c r="B2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09" s="46"/>
      <c r="D209" s="44"/>
      <c r="E209" s="44"/>
      <c r="F209" s="47"/>
      <c r="G209" s="47"/>
      <c r="H209" s="50"/>
      <c r="I209" s="50"/>
      <c r="J209" s="50"/>
      <c r="K209" s="50"/>
      <c r="L209" s="46"/>
      <c r="M209" s="47"/>
      <c r="N209" s="46"/>
      <c r="O209" s="46"/>
      <c r="P209" s="47"/>
      <c r="Q209" s="46"/>
      <c r="R209" s="46"/>
      <c r="S209" s="48"/>
      <c r="T209" s="61" t="str">
        <f>IF(Tableau1[[#This Row],[DMS_SAP]]="","",HYPERLINK(Tableau1[[#This Row],[Chemin fichier source]],"X"))</f>
        <v/>
      </c>
      <c r="U209" s="61" t="str">
        <f>IF(Tableau1[[#This Row],[Date rév.]]="","",HYPERLINK(Tableau1[[#This Row],[Lien document]],"X"))</f>
        <v/>
      </c>
      <c r="V209" s="47"/>
      <c r="W209" s="49" t="str">
        <f ca="1">Chemin_accès!$B$2&amp;Tableau1[[#This Row],[Poste Responsable]]&amp;"\"&amp;Tableau1[[#This Row],[Localisation / Classement]]&amp;"\"&amp;Tableau1[[#This Row],[Poste technique]]&amp;"_"&amp;Tableau1[[#This Row],[Plan Entretien]]&amp;".pdf"</f>
        <v>\\stjn.local\trimet\Donnees_Projets\Dms Sap\Maintenance\PlanEntretien\7.MSCT\\_.pdf</v>
      </c>
      <c r="X209" s="47"/>
      <c r="Y209" s="47"/>
      <c r="Z209" s="44" t="str">
        <f ca="1">IF(AND(Tableau1[[#This Row],[Charge]]&lt;&gt;0, Tableau1[[#This Row],[Nombre intervenants]]&lt;&gt;0,Tableau1[[#This Row],[Lien document]]&lt;&gt;0,Tableau1[[#This Row],[DMS_SAP]]&lt;&gt;0)=TRUE,"MIS A JOUR","")</f>
        <v/>
      </c>
      <c r="AA209" s="48"/>
      <c r="AB209" s="58" t="str">
        <f ca="1">IF(Tableau1[[#This Row],[Date rév.]]&lt;&gt;"", DAYS360(Tableau1[[#This Row],[Date rév.]],TODAY()),"")</f>
        <v/>
      </c>
      <c r="AC209" s="47" t="str">
        <f>IFERROR(INDEX(Chemin_accès!$B$11:$C$22,MATCH(Tableau1[[#This Row],[Type]],Chemin_accès!$C$11:$C$22,0),1),Chemin_accès!$B$11)</f>
        <v>\\stjn.local\trimet\Btechnique\Commun\BT Maint SCELLEMENT\205 - Préventifs\Modèles préventif\GammeDMS_7.MSCT.xlsm</v>
      </c>
      <c r="AD209" s="47" t="str">
        <f>Chemin_accès!$B$8&amp;Tableau1[[#This Row],[Localisation / Classement]]&amp;"\"&amp;Tableau1[[#This Row],[Poste technique]]&amp;"_"&amp;Tableau1[[#This Row],[Plan Entretien]]&amp;".xlsm"</f>
        <v>\\stjn.local\trimet\Btechnique\Commun\BT Maint SCELLEMENT\205 - Préventifs\Gammes 7.MSCT PE Tool\\_.xlsm</v>
      </c>
    </row>
    <row r="210" spans="1:30" x14ac:dyDescent="0.3">
      <c r="A210" s="44" t="str">
        <f t="shared" ca="1" si="3"/>
        <v>7.MSCT</v>
      </c>
      <c r="B2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0" s="46"/>
      <c r="D210" s="44"/>
      <c r="E210" s="44"/>
      <c r="F210" s="47"/>
      <c r="G210" s="47"/>
      <c r="H210" s="50"/>
      <c r="I210" s="50"/>
      <c r="J210" s="50"/>
      <c r="K210" s="50"/>
      <c r="L210" s="46"/>
      <c r="M210" s="47"/>
      <c r="N210" s="46"/>
      <c r="O210" s="46"/>
      <c r="P210" s="47"/>
      <c r="Q210" s="46"/>
      <c r="R210" s="46"/>
      <c r="S210" s="48"/>
      <c r="T210" s="61" t="str">
        <f>IF(Tableau1[[#This Row],[DMS_SAP]]="","",HYPERLINK(Tableau1[[#This Row],[Chemin fichier source]],"X"))</f>
        <v/>
      </c>
      <c r="U210" s="61" t="str">
        <f>IF(Tableau1[[#This Row],[Date rév.]]="","",HYPERLINK(Tableau1[[#This Row],[Lien document]],"X"))</f>
        <v/>
      </c>
      <c r="V210" s="47"/>
      <c r="W210" s="49" t="str">
        <f ca="1">Chemin_accès!$B$2&amp;Tableau1[[#This Row],[Poste Responsable]]&amp;"\"&amp;Tableau1[[#This Row],[Localisation / Classement]]&amp;"\"&amp;Tableau1[[#This Row],[Poste technique]]&amp;"_"&amp;Tableau1[[#This Row],[Plan Entretien]]&amp;".pdf"</f>
        <v>\\stjn.local\trimet\Donnees_Projets\Dms Sap\Maintenance\PlanEntretien\7.MSCT\\_.pdf</v>
      </c>
      <c r="X210" s="47"/>
      <c r="Y210" s="47"/>
      <c r="Z210" s="44" t="str">
        <f ca="1">IF(AND(Tableau1[[#This Row],[Charge]]&lt;&gt;0, Tableau1[[#This Row],[Nombre intervenants]]&lt;&gt;0,Tableau1[[#This Row],[Lien document]]&lt;&gt;0,Tableau1[[#This Row],[DMS_SAP]]&lt;&gt;0)=TRUE,"MIS A JOUR","")</f>
        <v/>
      </c>
      <c r="AA210" s="48"/>
      <c r="AB210" s="58" t="str">
        <f ca="1">IF(Tableau1[[#This Row],[Date rév.]]&lt;&gt;"", DAYS360(Tableau1[[#This Row],[Date rév.]],TODAY()),"")</f>
        <v/>
      </c>
      <c r="AC210" s="47" t="str">
        <f>IFERROR(INDEX(Chemin_accès!$B$11:$C$22,MATCH(Tableau1[[#This Row],[Type]],Chemin_accès!$C$11:$C$22,0),1),Chemin_accès!$B$11)</f>
        <v>\\stjn.local\trimet\Btechnique\Commun\BT Maint SCELLEMENT\205 - Préventifs\Modèles préventif\GammeDMS_7.MSCT.xlsm</v>
      </c>
      <c r="AD210" s="47" t="str">
        <f>Chemin_accès!$B$8&amp;Tableau1[[#This Row],[Localisation / Classement]]&amp;"\"&amp;Tableau1[[#This Row],[Poste technique]]&amp;"_"&amp;Tableau1[[#This Row],[Plan Entretien]]&amp;".xlsm"</f>
        <v>\\stjn.local\trimet\Btechnique\Commun\BT Maint SCELLEMENT\205 - Préventifs\Gammes 7.MSCT PE Tool\\_.xlsm</v>
      </c>
    </row>
    <row r="211" spans="1:30" x14ac:dyDescent="0.3">
      <c r="A211" s="44" t="str">
        <f t="shared" ca="1" si="3"/>
        <v>7.MSCT</v>
      </c>
      <c r="B2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1" s="46"/>
      <c r="D211" s="44"/>
      <c r="E211" s="44"/>
      <c r="F211" s="47"/>
      <c r="G211" s="47"/>
      <c r="H211" s="50"/>
      <c r="I211" s="50"/>
      <c r="J211" s="50"/>
      <c r="K211" s="50"/>
      <c r="L211" s="46"/>
      <c r="M211" s="47"/>
      <c r="N211" s="46"/>
      <c r="O211" s="46"/>
      <c r="P211" s="47"/>
      <c r="Q211" s="46"/>
      <c r="R211" s="46"/>
      <c r="S211" s="48"/>
      <c r="T211" s="61" t="str">
        <f>IF(Tableau1[[#This Row],[DMS_SAP]]="","",HYPERLINK(Tableau1[[#This Row],[Chemin fichier source]],"X"))</f>
        <v/>
      </c>
      <c r="U211" s="61" t="str">
        <f>IF(Tableau1[[#This Row],[Date rév.]]="","",HYPERLINK(Tableau1[[#This Row],[Lien document]],"X"))</f>
        <v/>
      </c>
      <c r="V211" s="47"/>
      <c r="W211" s="49" t="str">
        <f ca="1">Chemin_accès!$B$2&amp;Tableau1[[#This Row],[Poste Responsable]]&amp;"\"&amp;Tableau1[[#This Row],[Localisation / Classement]]&amp;"\"&amp;Tableau1[[#This Row],[Poste technique]]&amp;"_"&amp;Tableau1[[#This Row],[Plan Entretien]]&amp;".pdf"</f>
        <v>\\stjn.local\trimet\Donnees_Projets\Dms Sap\Maintenance\PlanEntretien\7.MSCT\\_.pdf</v>
      </c>
      <c r="X211" s="47"/>
      <c r="Y211" s="47"/>
      <c r="Z211" s="44" t="str">
        <f ca="1">IF(AND(Tableau1[[#This Row],[Charge]]&lt;&gt;0, Tableau1[[#This Row],[Nombre intervenants]]&lt;&gt;0,Tableau1[[#This Row],[Lien document]]&lt;&gt;0,Tableau1[[#This Row],[DMS_SAP]]&lt;&gt;0)=TRUE,"MIS A JOUR","")</f>
        <v/>
      </c>
      <c r="AA211" s="48"/>
      <c r="AB211" s="58" t="str">
        <f ca="1">IF(Tableau1[[#This Row],[Date rév.]]&lt;&gt;"", DAYS360(Tableau1[[#This Row],[Date rév.]],TODAY()),"")</f>
        <v/>
      </c>
      <c r="AC211" s="47" t="str">
        <f>IFERROR(INDEX(Chemin_accès!$B$11:$C$22,MATCH(Tableau1[[#This Row],[Type]],Chemin_accès!$C$11:$C$22,0),1),Chemin_accès!$B$11)</f>
        <v>\\stjn.local\trimet\Btechnique\Commun\BT Maint SCELLEMENT\205 - Préventifs\Modèles préventif\GammeDMS_7.MSCT.xlsm</v>
      </c>
      <c r="AD211" s="47" t="str">
        <f>Chemin_accès!$B$8&amp;Tableau1[[#This Row],[Localisation / Classement]]&amp;"\"&amp;Tableau1[[#This Row],[Poste technique]]&amp;"_"&amp;Tableau1[[#This Row],[Plan Entretien]]&amp;".xlsm"</f>
        <v>\\stjn.local\trimet\Btechnique\Commun\BT Maint SCELLEMENT\205 - Préventifs\Gammes 7.MSCT PE Tool\\_.xlsm</v>
      </c>
    </row>
    <row r="212" spans="1:30" x14ac:dyDescent="0.3">
      <c r="A212" s="44" t="str">
        <f t="shared" ca="1" si="3"/>
        <v>7.MSCT</v>
      </c>
      <c r="B2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2" s="46"/>
      <c r="D212" s="44"/>
      <c r="E212" s="44"/>
      <c r="F212" s="47"/>
      <c r="G212" s="47"/>
      <c r="H212" s="50"/>
      <c r="I212" s="50"/>
      <c r="J212" s="50"/>
      <c r="K212" s="50"/>
      <c r="L212" s="46"/>
      <c r="M212" s="47"/>
      <c r="N212" s="46"/>
      <c r="O212" s="46"/>
      <c r="P212" s="47"/>
      <c r="Q212" s="46"/>
      <c r="R212" s="46"/>
      <c r="S212" s="48"/>
      <c r="T212" s="61" t="str">
        <f>IF(Tableau1[[#This Row],[DMS_SAP]]="","",HYPERLINK(Tableau1[[#This Row],[Chemin fichier source]],"X"))</f>
        <v/>
      </c>
      <c r="U212" s="61" t="str">
        <f>IF(Tableau1[[#This Row],[Date rév.]]="","",HYPERLINK(Tableau1[[#This Row],[Lien document]],"X"))</f>
        <v/>
      </c>
      <c r="V212" s="47"/>
      <c r="W212" s="49" t="str">
        <f ca="1">Chemin_accès!$B$2&amp;Tableau1[[#This Row],[Poste Responsable]]&amp;"\"&amp;Tableau1[[#This Row],[Localisation / Classement]]&amp;"\"&amp;Tableau1[[#This Row],[Poste technique]]&amp;"_"&amp;Tableau1[[#This Row],[Plan Entretien]]&amp;".pdf"</f>
        <v>\\stjn.local\trimet\Donnees_Projets\Dms Sap\Maintenance\PlanEntretien\7.MSCT\\_.pdf</v>
      </c>
      <c r="X212" s="47"/>
      <c r="Y212" s="47"/>
      <c r="Z212" s="44" t="str">
        <f ca="1">IF(AND(Tableau1[[#This Row],[Charge]]&lt;&gt;0, Tableau1[[#This Row],[Nombre intervenants]]&lt;&gt;0,Tableau1[[#This Row],[Lien document]]&lt;&gt;0,Tableau1[[#This Row],[DMS_SAP]]&lt;&gt;0)=TRUE,"MIS A JOUR","")</f>
        <v/>
      </c>
      <c r="AA212" s="48"/>
      <c r="AB212" s="58" t="str">
        <f ca="1">IF(Tableau1[[#This Row],[Date rév.]]&lt;&gt;"", DAYS360(Tableau1[[#This Row],[Date rév.]],TODAY()),"")</f>
        <v/>
      </c>
      <c r="AC212" s="47" t="str">
        <f>IFERROR(INDEX(Chemin_accès!$B$11:$C$22,MATCH(Tableau1[[#This Row],[Type]],Chemin_accès!$C$11:$C$22,0),1),Chemin_accès!$B$11)</f>
        <v>\\stjn.local\trimet\Btechnique\Commun\BT Maint SCELLEMENT\205 - Préventifs\Modèles préventif\GammeDMS_7.MSCT.xlsm</v>
      </c>
      <c r="AD212" s="47" t="str">
        <f>Chemin_accès!$B$8&amp;Tableau1[[#This Row],[Localisation / Classement]]&amp;"\"&amp;Tableau1[[#This Row],[Poste technique]]&amp;"_"&amp;Tableau1[[#This Row],[Plan Entretien]]&amp;".xlsm"</f>
        <v>\\stjn.local\trimet\Btechnique\Commun\BT Maint SCELLEMENT\205 - Préventifs\Gammes 7.MSCT PE Tool\\_.xlsm</v>
      </c>
    </row>
    <row r="213" spans="1:30" x14ac:dyDescent="0.3">
      <c r="A213" s="44" t="str">
        <f t="shared" ca="1" si="3"/>
        <v>7.MSCT</v>
      </c>
      <c r="B2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3" s="46"/>
      <c r="D213" s="44"/>
      <c r="E213" s="44"/>
      <c r="F213" s="47"/>
      <c r="G213" s="47"/>
      <c r="H213" s="50"/>
      <c r="I213" s="50"/>
      <c r="J213" s="50"/>
      <c r="K213" s="50"/>
      <c r="L213" s="46"/>
      <c r="M213" s="47"/>
      <c r="N213" s="46"/>
      <c r="O213" s="46"/>
      <c r="P213" s="47"/>
      <c r="Q213" s="46"/>
      <c r="R213" s="46"/>
      <c r="S213" s="48"/>
      <c r="T213" s="61" t="str">
        <f>IF(Tableau1[[#This Row],[DMS_SAP]]="","",HYPERLINK(Tableau1[[#This Row],[Chemin fichier source]],"X"))</f>
        <v/>
      </c>
      <c r="U213" s="61" t="str">
        <f>IF(Tableau1[[#This Row],[Date rév.]]="","",HYPERLINK(Tableau1[[#This Row],[Lien document]],"X"))</f>
        <v/>
      </c>
      <c r="V213" s="47"/>
      <c r="W213" s="49" t="str">
        <f ca="1">Chemin_accès!$B$2&amp;Tableau1[[#This Row],[Poste Responsable]]&amp;"\"&amp;Tableau1[[#This Row],[Localisation / Classement]]&amp;"\"&amp;Tableau1[[#This Row],[Poste technique]]&amp;"_"&amp;Tableau1[[#This Row],[Plan Entretien]]&amp;".pdf"</f>
        <v>\\stjn.local\trimet\Donnees_Projets\Dms Sap\Maintenance\PlanEntretien\7.MSCT\\_.pdf</v>
      </c>
      <c r="X213" s="47"/>
      <c r="Y213" s="47"/>
      <c r="Z213" s="44" t="str">
        <f ca="1">IF(AND(Tableau1[[#This Row],[Charge]]&lt;&gt;0, Tableau1[[#This Row],[Nombre intervenants]]&lt;&gt;0,Tableau1[[#This Row],[Lien document]]&lt;&gt;0,Tableau1[[#This Row],[DMS_SAP]]&lt;&gt;0)=TRUE,"MIS A JOUR","")</f>
        <v/>
      </c>
      <c r="AA213" s="48"/>
      <c r="AB213" s="58" t="str">
        <f ca="1">IF(Tableau1[[#This Row],[Date rév.]]&lt;&gt;"", DAYS360(Tableau1[[#This Row],[Date rév.]],TODAY()),"")</f>
        <v/>
      </c>
      <c r="AC213" s="47" t="str">
        <f>IFERROR(INDEX(Chemin_accès!$B$11:$C$22,MATCH(Tableau1[[#This Row],[Type]],Chemin_accès!$C$11:$C$22,0),1),Chemin_accès!$B$11)</f>
        <v>\\stjn.local\trimet\Btechnique\Commun\BT Maint SCELLEMENT\205 - Préventifs\Modèles préventif\GammeDMS_7.MSCT.xlsm</v>
      </c>
      <c r="AD213" s="47" t="str">
        <f>Chemin_accès!$B$8&amp;Tableau1[[#This Row],[Localisation / Classement]]&amp;"\"&amp;Tableau1[[#This Row],[Poste technique]]&amp;"_"&amp;Tableau1[[#This Row],[Plan Entretien]]&amp;".xlsm"</f>
        <v>\\stjn.local\trimet\Btechnique\Commun\BT Maint SCELLEMENT\205 - Préventifs\Gammes 7.MSCT PE Tool\\_.xlsm</v>
      </c>
    </row>
    <row r="214" spans="1:30" x14ac:dyDescent="0.3">
      <c r="A214" s="44" t="str">
        <f t="shared" ca="1" si="3"/>
        <v>7.MSCT</v>
      </c>
      <c r="B2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4" s="46"/>
      <c r="D214" s="44"/>
      <c r="E214" s="44"/>
      <c r="F214" s="47"/>
      <c r="G214" s="47"/>
      <c r="H214" s="50"/>
      <c r="I214" s="50"/>
      <c r="J214" s="50"/>
      <c r="K214" s="50"/>
      <c r="L214" s="46"/>
      <c r="M214" s="47"/>
      <c r="N214" s="46"/>
      <c r="O214" s="46"/>
      <c r="P214" s="47"/>
      <c r="Q214" s="46"/>
      <c r="R214" s="46"/>
      <c r="S214" s="48"/>
      <c r="T214" s="61" t="str">
        <f>IF(Tableau1[[#This Row],[DMS_SAP]]="","",HYPERLINK(Tableau1[[#This Row],[Chemin fichier source]],"X"))</f>
        <v/>
      </c>
      <c r="U214" s="61" t="str">
        <f>IF(Tableau1[[#This Row],[Date rév.]]="","",HYPERLINK(Tableau1[[#This Row],[Lien document]],"X"))</f>
        <v/>
      </c>
      <c r="V214" s="47"/>
      <c r="W214" s="49" t="str">
        <f ca="1">Chemin_accès!$B$2&amp;Tableau1[[#This Row],[Poste Responsable]]&amp;"\"&amp;Tableau1[[#This Row],[Localisation / Classement]]&amp;"\"&amp;Tableau1[[#This Row],[Poste technique]]&amp;"_"&amp;Tableau1[[#This Row],[Plan Entretien]]&amp;".pdf"</f>
        <v>\\stjn.local\trimet\Donnees_Projets\Dms Sap\Maintenance\PlanEntretien\7.MSCT\\_.pdf</v>
      </c>
      <c r="X214" s="47"/>
      <c r="Y214" s="47"/>
      <c r="Z214" s="44" t="str">
        <f ca="1">IF(AND(Tableau1[[#This Row],[Charge]]&lt;&gt;0, Tableau1[[#This Row],[Nombre intervenants]]&lt;&gt;0,Tableau1[[#This Row],[Lien document]]&lt;&gt;0,Tableau1[[#This Row],[DMS_SAP]]&lt;&gt;0)=TRUE,"MIS A JOUR","")</f>
        <v/>
      </c>
      <c r="AA214" s="48"/>
      <c r="AB214" s="58" t="str">
        <f ca="1">IF(Tableau1[[#This Row],[Date rév.]]&lt;&gt;"", DAYS360(Tableau1[[#This Row],[Date rév.]],TODAY()),"")</f>
        <v/>
      </c>
      <c r="AC214" s="47" t="str">
        <f>IFERROR(INDEX(Chemin_accès!$B$11:$C$22,MATCH(Tableau1[[#This Row],[Type]],Chemin_accès!$C$11:$C$22,0),1),Chemin_accès!$B$11)</f>
        <v>\\stjn.local\trimet\Btechnique\Commun\BT Maint SCELLEMENT\205 - Préventifs\Modèles préventif\GammeDMS_7.MSCT.xlsm</v>
      </c>
      <c r="AD214" s="47" t="str">
        <f>Chemin_accès!$B$8&amp;Tableau1[[#This Row],[Localisation / Classement]]&amp;"\"&amp;Tableau1[[#This Row],[Poste technique]]&amp;"_"&amp;Tableau1[[#This Row],[Plan Entretien]]&amp;".xlsm"</f>
        <v>\\stjn.local\trimet\Btechnique\Commun\BT Maint SCELLEMENT\205 - Préventifs\Gammes 7.MSCT PE Tool\\_.xlsm</v>
      </c>
    </row>
    <row r="215" spans="1:30" x14ac:dyDescent="0.3">
      <c r="A215" s="44" t="str">
        <f t="shared" ca="1" si="3"/>
        <v>7.MSCT</v>
      </c>
      <c r="B2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5" s="63"/>
      <c r="D215" s="44"/>
      <c r="E215" s="44"/>
      <c r="F215" s="47"/>
      <c r="G215" s="47"/>
      <c r="H215" s="50"/>
      <c r="I215" s="50"/>
      <c r="J215" s="50"/>
      <c r="K215" s="50"/>
      <c r="L215" s="46"/>
      <c r="M215" s="47"/>
      <c r="N215" s="46"/>
      <c r="O215" s="46"/>
      <c r="P215" s="47"/>
      <c r="Q215" s="46"/>
      <c r="R215" s="46"/>
      <c r="S215" s="48"/>
      <c r="T215" s="61" t="str">
        <f>IF(Tableau1[[#This Row],[DMS_SAP]]="","",HYPERLINK(Tableau1[[#This Row],[Chemin fichier source]],"X"))</f>
        <v/>
      </c>
      <c r="U215" s="61" t="str">
        <f>IF(Tableau1[[#This Row],[Date rév.]]="","",HYPERLINK(Tableau1[[#This Row],[Lien document]],"X"))</f>
        <v/>
      </c>
      <c r="V215" s="47"/>
      <c r="W215" s="49" t="str">
        <f ca="1">Chemin_accès!$B$2&amp;Tableau1[[#This Row],[Poste Responsable]]&amp;"\"&amp;Tableau1[[#This Row],[Localisation / Classement]]&amp;"\"&amp;Tableau1[[#This Row],[Poste technique]]&amp;"_"&amp;Tableau1[[#This Row],[Plan Entretien]]&amp;".pdf"</f>
        <v>\\stjn.local\trimet\Donnees_Projets\Dms Sap\Maintenance\PlanEntretien\7.MSCT\\_.pdf</v>
      </c>
      <c r="X215" s="47"/>
      <c r="Y215" s="47"/>
      <c r="Z215" s="44" t="str">
        <f ca="1">IF(AND(Tableau1[[#This Row],[Charge]]&lt;&gt;0, Tableau1[[#This Row],[Nombre intervenants]]&lt;&gt;0,Tableau1[[#This Row],[Lien document]]&lt;&gt;0,Tableau1[[#This Row],[DMS_SAP]]&lt;&gt;0)=TRUE,"MIS A JOUR","")</f>
        <v/>
      </c>
      <c r="AA215" s="48"/>
      <c r="AB215" s="58" t="str">
        <f ca="1">IF(Tableau1[[#This Row],[Date rév.]]&lt;&gt;"", DAYS360(Tableau1[[#This Row],[Date rév.]],TODAY()),"")</f>
        <v/>
      </c>
      <c r="AC215" s="47" t="str">
        <f>IFERROR(INDEX(Chemin_accès!$B$11:$C$22,MATCH(Tableau1[[#This Row],[Type]],Chemin_accès!$C$11:$C$22,0),1),Chemin_accès!$B$11)</f>
        <v>\\stjn.local\trimet\Btechnique\Commun\BT Maint SCELLEMENT\205 - Préventifs\Modèles préventif\GammeDMS_7.MSCT.xlsm</v>
      </c>
      <c r="AD215" s="47" t="str">
        <f>Chemin_accès!$B$8&amp;Tableau1[[#This Row],[Localisation / Classement]]&amp;"\"&amp;Tableau1[[#This Row],[Poste technique]]&amp;"_"&amp;Tableau1[[#This Row],[Plan Entretien]]&amp;".xlsm"</f>
        <v>\\stjn.local\trimet\Btechnique\Commun\BT Maint SCELLEMENT\205 - Préventifs\Gammes 7.MSCT PE Tool\\_.xlsm</v>
      </c>
    </row>
    <row r="216" spans="1:30" x14ac:dyDescent="0.3">
      <c r="A216" s="44" t="str">
        <f t="shared" ca="1" si="3"/>
        <v>7.MSCT</v>
      </c>
      <c r="B2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6" s="63"/>
      <c r="D216" s="44"/>
      <c r="E216" s="44"/>
      <c r="F216" s="47"/>
      <c r="G216" s="47"/>
      <c r="H216" s="50"/>
      <c r="I216" s="50"/>
      <c r="J216" s="50"/>
      <c r="K216" s="50"/>
      <c r="L216" s="46"/>
      <c r="M216" s="47"/>
      <c r="N216" s="46"/>
      <c r="O216" s="46"/>
      <c r="P216" s="47"/>
      <c r="Q216" s="46"/>
      <c r="R216" s="46"/>
      <c r="S216" s="48"/>
      <c r="T216" s="61" t="str">
        <f>IF(Tableau1[[#This Row],[DMS_SAP]]="","",HYPERLINK(Tableau1[[#This Row],[Chemin fichier source]],"X"))</f>
        <v/>
      </c>
      <c r="U216" s="61" t="str">
        <f>IF(Tableau1[[#This Row],[Date rév.]]="","",HYPERLINK(Tableau1[[#This Row],[Lien document]],"X"))</f>
        <v/>
      </c>
      <c r="V216" s="47"/>
      <c r="W216" s="49" t="str">
        <f ca="1">Chemin_accès!$B$2&amp;Tableau1[[#This Row],[Poste Responsable]]&amp;"\"&amp;Tableau1[[#This Row],[Localisation / Classement]]&amp;"\"&amp;Tableau1[[#This Row],[Poste technique]]&amp;"_"&amp;Tableau1[[#This Row],[Plan Entretien]]&amp;".pdf"</f>
        <v>\\stjn.local\trimet\Donnees_Projets\Dms Sap\Maintenance\PlanEntretien\7.MSCT\\_.pdf</v>
      </c>
      <c r="X216" s="47"/>
      <c r="Y216" s="47"/>
      <c r="Z216" s="44" t="str">
        <f ca="1">IF(AND(Tableau1[[#This Row],[Charge]]&lt;&gt;0, Tableau1[[#This Row],[Nombre intervenants]]&lt;&gt;0,Tableau1[[#This Row],[Lien document]]&lt;&gt;0,Tableau1[[#This Row],[DMS_SAP]]&lt;&gt;0)=TRUE,"MIS A JOUR","")</f>
        <v/>
      </c>
      <c r="AA216" s="48"/>
      <c r="AB216" s="58" t="str">
        <f ca="1">IF(Tableau1[[#This Row],[Date rév.]]&lt;&gt;"", DAYS360(Tableau1[[#This Row],[Date rév.]],TODAY()),"")</f>
        <v/>
      </c>
      <c r="AC216" s="47" t="str">
        <f>IFERROR(INDEX(Chemin_accès!$B$11:$C$22,MATCH(Tableau1[[#This Row],[Type]],Chemin_accès!$C$11:$C$22,0),1),Chemin_accès!$B$11)</f>
        <v>\\stjn.local\trimet\Btechnique\Commun\BT Maint SCELLEMENT\205 - Préventifs\Modèles préventif\GammeDMS_7.MSCT.xlsm</v>
      </c>
      <c r="AD216" s="47" t="str">
        <f>Chemin_accès!$B$8&amp;Tableau1[[#This Row],[Localisation / Classement]]&amp;"\"&amp;Tableau1[[#This Row],[Poste technique]]&amp;"_"&amp;Tableau1[[#This Row],[Plan Entretien]]&amp;".xlsm"</f>
        <v>\\stjn.local\trimet\Btechnique\Commun\BT Maint SCELLEMENT\205 - Préventifs\Gammes 7.MSCT PE Tool\\_.xlsm</v>
      </c>
    </row>
    <row r="217" spans="1:30" x14ac:dyDescent="0.3">
      <c r="A217" s="44" t="str">
        <f t="shared" ca="1" si="3"/>
        <v>7.MSCT</v>
      </c>
      <c r="B2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7" s="63"/>
      <c r="D217" s="44"/>
      <c r="E217" s="44"/>
      <c r="F217" s="47"/>
      <c r="G217" s="47"/>
      <c r="H217" s="50"/>
      <c r="I217" s="50"/>
      <c r="J217" s="50"/>
      <c r="K217" s="50"/>
      <c r="L217" s="46"/>
      <c r="M217" s="47"/>
      <c r="N217" s="46"/>
      <c r="O217" s="46"/>
      <c r="P217" s="47"/>
      <c r="Q217" s="46"/>
      <c r="R217" s="46"/>
      <c r="S217" s="48"/>
      <c r="T217" s="61" t="str">
        <f>IF(Tableau1[[#This Row],[DMS_SAP]]="","",HYPERLINK(Tableau1[[#This Row],[Chemin fichier source]],"X"))</f>
        <v/>
      </c>
      <c r="U217" s="61" t="str">
        <f>IF(Tableau1[[#This Row],[Date rév.]]="","",HYPERLINK(Tableau1[[#This Row],[Lien document]],"X"))</f>
        <v/>
      </c>
      <c r="V217" s="47"/>
      <c r="W217" s="49" t="str">
        <f ca="1">Chemin_accès!$B$2&amp;Tableau1[[#This Row],[Poste Responsable]]&amp;"\"&amp;Tableau1[[#This Row],[Localisation / Classement]]&amp;"\"&amp;Tableau1[[#This Row],[Poste technique]]&amp;"_"&amp;Tableau1[[#This Row],[Plan Entretien]]&amp;".pdf"</f>
        <v>\\stjn.local\trimet\Donnees_Projets\Dms Sap\Maintenance\PlanEntretien\7.MSCT\\_.pdf</v>
      </c>
      <c r="X217" s="47"/>
      <c r="Y217" s="47"/>
      <c r="Z217" s="44" t="str">
        <f ca="1">IF(AND(Tableau1[[#This Row],[Charge]]&lt;&gt;0, Tableau1[[#This Row],[Nombre intervenants]]&lt;&gt;0,Tableau1[[#This Row],[Lien document]]&lt;&gt;0,Tableau1[[#This Row],[DMS_SAP]]&lt;&gt;0)=TRUE,"MIS A JOUR","")</f>
        <v/>
      </c>
      <c r="AA217" s="48"/>
      <c r="AB217" s="58" t="str">
        <f ca="1">IF(Tableau1[[#This Row],[Date rév.]]&lt;&gt;"", DAYS360(Tableau1[[#This Row],[Date rév.]],TODAY()),"")</f>
        <v/>
      </c>
      <c r="AC217" s="47" t="str">
        <f>IFERROR(INDEX(Chemin_accès!$B$11:$C$22,MATCH(Tableau1[[#This Row],[Type]],Chemin_accès!$C$11:$C$22,0),1),Chemin_accès!$B$11)</f>
        <v>\\stjn.local\trimet\Btechnique\Commun\BT Maint SCELLEMENT\205 - Préventifs\Modèles préventif\GammeDMS_7.MSCT.xlsm</v>
      </c>
      <c r="AD217" s="47" t="str">
        <f>Chemin_accès!$B$8&amp;Tableau1[[#This Row],[Localisation / Classement]]&amp;"\"&amp;Tableau1[[#This Row],[Poste technique]]&amp;"_"&amp;Tableau1[[#This Row],[Plan Entretien]]&amp;".xlsm"</f>
        <v>\\stjn.local\trimet\Btechnique\Commun\BT Maint SCELLEMENT\205 - Préventifs\Gammes 7.MSCT PE Tool\\_.xlsm</v>
      </c>
    </row>
    <row r="218" spans="1:30" x14ac:dyDescent="0.3">
      <c r="A218" s="44" t="str">
        <f t="shared" ca="1" si="3"/>
        <v>7.MSCT</v>
      </c>
      <c r="B2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8" s="63"/>
      <c r="D218" s="44"/>
      <c r="E218" s="44"/>
      <c r="F218" s="47"/>
      <c r="G218" s="47"/>
      <c r="H218" s="50"/>
      <c r="I218" s="50"/>
      <c r="J218" s="50"/>
      <c r="K218" s="50"/>
      <c r="L218" s="46"/>
      <c r="M218" s="47"/>
      <c r="N218" s="46"/>
      <c r="O218" s="46"/>
      <c r="P218" s="47"/>
      <c r="Q218" s="46"/>
      <c r="R218" s="46"/>
      <c r="S218" s="48"/>
      <c r="T218" s="61" t="str">
        <f>IF(Tableau1[[#This Row],[DMS_SAP]]="","",HYPERLINK(Tableau1[[#This Row],[Chemin fichier source]],"X"))</f>
        <v/>
      </c>
      <c r="U218" s="61" t="str">
        <f>IF(Tableau1[[#This Row],[Date rév.]]="","",HYPERLINK(Tableau1[[#This Row],[Lien document]],"X"))</f>
        <v/>
      </c>
      <c r="V218" s="47"/>
      <c r="W218" s="49" t="str">
        <f ca="1">Chemin_accès!$B$2&amp;Tableau1[[#This Row],[Poste Responsable]]&amp;"\"&amp;Tableau1[[#This Row],[Localisation / Classement]]&amp;"\"&amp;Tableau1[[#This Row],[Poste technique]]&amp;"_"&amp;Tableau1[[#This Row],[Plan Entretien]]&amp;".pdf"</f>
        <v>\\stjn.local\trimet\Donnees_Projets\Dms Sap\Maintenance\PlanEntretien\7.MSCT\\_.pdf</v>
      </c>
      <c r="X218" s="47"/>
      <c r="Y218" s="47"/>
      <c r="Z218" s="44" t="str">
        <f ca="1">IF(AND(Tableau1[[#This Row],[Charge]]&lt;&gt;0, Tableau1[[#This Row],[Nombre intervenants]]&lt;&gt;0,Tableau1[[#This Row],[Lien document]]&lt;&gt;0,Tableau1[[#This Row],[DMS_SAP]]&lt;&gt;0)=TRUE,"MIS A JOUR","")</f>
        <v/>
      </c>
      <c r="AA218" s="48"/>
      <c r="AB218" s="58" t="str">
        <f ca="1">IF(Tableau1[[#This Row],[Date rév.]]&lt;&gt;"", DAYS360(Tableau1[[#This Row],[Date rév.]],TODAY()),"")</f>
        <v/>
      </c>
      <c r="AC218" s="47" t="str">
        <f>IFERROR(INDEX(Chemin_accès!$B$11:$C$22,MATCH(Tableau1[[#This Row],[Type]],Chemin_accès!$C$11:$C$22,0),1),Chemin_accès!$B$11)</f>
        <v>\\stjn.local\trimet\Btechnique\Commun\BT Maint SCELLEMENT\205 - Préventifs\Modèles préventif\GammeDMS_7.MSCT.xlsm</v>
      </c>
      <c r="AD218" s="47" t="str">
        <f>Chemin_accès!$B$8&amp;Tableau1[[#This Row],[Localisation / Classement]]&amp;"\"&amp;Tableau1[[#This Row],[Poste technique]]&amp;"_"&amp;Tableau1[[#This Row],[Plan Entretien]]&amp;".xlsm"</f>
        <v>\\stjn.local\trimet\Btechnique\Commun\BT Maint SCELLEMENT\205 - Préventifs\Gammes 7.MSCT PE Tool\\_.xlsm</v>
      </c>
    </row>
    <row r="219" spans="1:30" x14ac:dyDescent="0.3">
      <c r="A219" s="44" t="str">
        <f t="shared" ca="1" si="3"/>
        <v>7.MSCT</v>
      </c>
      <c r="B2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19" s="46"/>
      <c r="D219" s="44"/>
      <c r="E219" s="44"/>
      <c r="F219" s="47"/>
      <c r="G219" s="47"/>
      <c r="H219" s="50"/>
      <c r="I219" s="50"/>
      <c r="J219" s="50"/>
      <c r="K219" s="50"/>
      <c r="L219" s="46"/>
      <c r="M219" s="47"/>
      <c r="N219" s="46"/>
      <c r="O219" s="46"/>
      <c r="P219" s="47"/>
      <c r="Q219" s="46"/>
      <c r="R219" s="46"/>
      <c r="S219" s="48"/>
      <c r="T219" s="61" t="str">
        <f>IF(Tableau1[[#This Row],[DMS_SAP]]="","",HYPERLINK(Tableau1[[#This Row],[Chemin fichier source]],"X"))</f>
        <v/>
      </c>
      <c r="U219" s="61" t="str">
        <f>IF(Tableau1[[#This Row],[Date rév.]]="","",HYPERLINK(Tableau1[[#This Row],[Lien document]],"X"))</f>
        <v/>
      </c>
      <c r="V219" s="47"/>
      <c r="W219" s="49" t="str">
        <f ca="1">Chemin_accès!$B$2&amp;Tableau1[[#This Row],[Poste Responsable]]&amp;"\"&amp;Tableau1[[#This Row],[Localisation / Classement]]&amp;"\"&amp;Tableau1[[#This Row],[Poste technique]]&amp;"_"&amp;Tableau1[[#This Row],[Plan Entretien]]&amp;".pdf"</f>
        <v>\\stjn.local\trimet\Donnees_Projets\Dms Sap\Maintenance\PlanEntretien\7.MSCT\\_.pdf</v>
      </c>
      <c r="X219" s="47"/>
      <c r="Y219" s="47"/>
      <c r="Z219" s="44" t="str">
        <f ca="1">IF(AND(Tableau1[[#This Row],[Charge]]&lt;&gt;0, Tableau1[[#This Row],[Nombre intervenants]]&lt;&gt;0,Tableau1[[#This Row],[Lien document]]&lt;&gt;0,Tableau1[[#This Row],[DMS_SAP]]&lt;&gt;0)=TRUE,"MIS A JOUR","")</f>
        <v/>
      </c>
      <c r="AA219" s="48"/>
      <c r="AB219" s="58" t="str">
        <f ca="1">IF(Tableau1[[#This Row],[Date rév.]]&lt;&gt;"", DAYS360(Tableau1[[#This Row],[Date rév.]],TODAY()),"")</f>
        <v/>
      </c>
      <c r="AC219" s="47" t="str">
        <f>IFERROR(INDEX(Chemin_accès!$B$11:$C$22,MATCH(Tableau1[[#This Row],[Type]],Chemin_accès!$C$11:$C$22,0),1),Chemin_accès!$B$11)</f>
        <v>\\stjn.local\trimet\Btechnique\Commun\BT Maint SCELLEMENT\205 - Préventifs\Modèles préventif\GammeDMS_7.MSCT.xlsm</v>
      </c>
      <c r="AD219" s="47" t="str">
        <f>Chemin_accès!$B$8&amp;Tableau1[[#This Row],[Localisation / Classement]]&amp;"\"&amp;Tableau1[[#This Row],[Poste technique]]&amp;"_"&amp;Tableau1[[#This Row],[Plan Entretien]]&amp;".xlsm"</f>
        <v>\\stjn.local\trimet\Btechnique\Commun\BT Maint SCELLEMENT\205 - Préventifs\Gammes 7.MSCT PE Tool\\_.xlsm</v>
      </c>
    </row>
    <row r="220" spans="1:30" x14ac:dyDescent="0.3">
      <c r="A220" s="44" t="str">
        <f t="shared" ca="1" si="3"/>
        <v>7.MSCT</v>
      </c>
      <c r="B2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0" s="46"/>
      <c r="D220" s="44"/>
      <c r="E220" s="44"/>
      <c r="F220" s="47"/>
      <c r="G220" s="47"/>
      <c r="H220" s="50"/>
      <c r="I220" s="50"/>
      <c r="J220" s="50"/>
      <c r="K220" s="50"/>
      <c r="L220" s="46"/>
      <c r="M220" s="47"/>
      <c r="N220" s="46"/>
      <c r="O220" s="46"/>
      <c r="P220" s="47"/>
      <c r="Q220" s="46"/>
      <c r="R220" s="46"/>
      <c r="S220" s="48"/>
      <c r="T220" s="61" t="str">
        <f>IF(Tableau1[[#This Row],[DMS_SAP]]="","",HYPERLINK(Tableau1[[#This Row],[Chemin fichier source]],"X"))</f>
        <v/>
      </c>
      <c r="U220" s="61" t="str">
        <f>IF(Tableau1[[#This Row],[Date rév.]]="","",HYPERLINK(Tableau1[[#This Row],[Lien document]],"X"))</f>
        <v/>
      </c>
      <c r="V220" s="47"/>
      <c r="W220" s="49" t="str">
        <f ca="1">Chemin_accès!$B$2&amp;Tableau1[[#This Row],[Poste Responsable]]&amp;"\"&amp;Tableau1[[#This Row],[Localisation / Classement]]&amp;"\"&amp;Tableau1[[#This Row],[Poste technique]]&amp;"_"&amp;Tableau1[[#This Row],[Plan Entretien]]&amp;".pdf"</f>
        <v>\\stjn.local\trimet\Donnees_Projets\Dms Sap\Maintenance\PlanEntretien\7.MSCT\\_.pdf</v>
      </c>
      <c r="X220" s="47"/>
      <c r="Y220" s="47"/>
      <c r="Z220" s="44" t="str">
        <f ca="1">IF(AND(Tableau1[[#This Row],[Charge]]&lt;&gt;0, Tableau1[[#This Row],[Nombre intervenants]]&lt;&gt;0,Tableau1[[#This Row],[Lien document]]&lt;&gt;0,Tableau1[[#This Row],[DMS_SAP]]&lt;&gt;0)=TRUE,"MIS A JOUR","")</f>
        <v/>
      </c>
      <c r="AA220" s="48"/>
      <c r="AB220" s="58" t="str">
        <f ca="1">IF(Tableau1[[#This Row],[Date rév.]]&lt;&gt;"", DAYS360(Tableau1[[#This Row],[Date rév.]],TODAY()),"")</f>
        <v/>
      </c>
      <c r="AC220" s="47" t="str">
        <f>IFERROR(INDEX(Chemin_accès!$B$11:$C$22,MATCH(Tableau1[[#This Row],[Type]],Chemin_accès!$C$11:$C$22,0),1),Chemin_accès!$B$11)</f>
        <v>\\stjn.local\trimet\Btechnique\Commun\BT Maint SCELLEMENT\205 - Préventifs\Modèles préventif\GammeDMS_7.MSCT.xlsm</v>
      </c>
      <c r="AD220" s="47" t="str">
        <f>Chemin_accès!$B$8&amp;Tableau1[[#This Row],[Localisation / Classement]]&amp;"\"&amp;Tableau1[[#This Row],[Poste technique]]&amp;"_"&amp;Tableau1[[#This Row],[Plan Entretien]]&amp;".xlsm"</f>
        <v>\\stjn.local\trimet\Btechnique\Commun\BT Maint SCELLEMENT\205 - Préventifs\Gammes 7.MSCT PE Tool\\_.xlsm</v>
      </c>
    </row>
    <row r="221" spans="1:30" x14ac:dyDescent="0.3">
      <c r="A221" s="44" t="str">
        <f t="shared" ca="1" si="3"/>
        <v>7.MSCT</v>
      </c>
      <c r="B2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1" s="46"/>
      <c r="D221" s="44"/>
      <c r="E221" s="44"/>
      <c r="F221" s="47"/>
      <c r="G221" s="47"/>
      <c r="H221" s="50"/>
      <c r="I221" s="50"/>
      <c r="J221" s="50"/>
      <c r="K221" s="50"/>
      <c r="L221" s="46"/>
      <c r="M221" s="47"/>
      <c r="N221" s="46"/>
      <c r="O221" s="46"/>
      <c r="P221" s="47"/>
      <c r="Q221" s="46"/>
      <c r="R221" s="46"/>
      <c r="S221" s="48"/>
      <c r="T221" s="61" t="str">
        <f>IF(Tableau1[[#This Row],[DMS_SAP]]="","",HYPERLINK(Tableau1[[#This Row],[Chemin fichier source]],"X"))</f>
        <v/>
      </c>
      <c r="U221" s="61" t="str">
        <f>IF(Tableau1[[#This Row],[Date rév.]]="","",HYPERLINK(Tableau1[[#This Row],[Lien document]],"X"))</f>
        <v/>
      </c>
      <c r="V221" s="47"/>
      <c r="W221" s="49" t="str">
        <f ca="1">Chemin_accès!$B$2&amp;Tableau1[[#This Row],[Poste Responsable]]&amp;"\"&amp;Tableau1[[#This Row],[Localisation / Classement]]&amp;"\"&amp;Tableau1[[#This Row],[Poste technique]]&amp;"_"&amp;Tableau1[[#This Row],[Plan Entretien]]&amp;".pdf"</f>
        <v>\\stjn.local\trimet\Donnees_Projets\Dms Sap\Maintenance\PlanEntretien\7.MSCT\\_.pdf</v>
      </c>
      <c r="X221" s="47"/>
      <c r="Y221" s="47"/>
      <c r="Z221" s="44" t="str">
        <f ca="1">IF(AND(Tableau1[[#This Row],[Charge]]&lt;&gt;0, Tableau1[[#This Row],[Nombre intervenants]]&lt;&gt;0,Tableau1[[#This Row],[Lien document]]&lt;&gt;0,Tableau1[[#This Row],[DMS_SAP]]&lt;&gt;0)=TRUE,"MIS A JOUR","")</f>
        <v/>
      </c>
      <c r="AA221" s="48"/>
      <c r="AB221" s="58" t="str">
        <f ca="1">IF(Tableau1[[#This Row],[Date rév.]]&lt;&gt;"", DAYS360(Tableau1[[#This Row],[Date rév.]],TODAY()),"")</f>
        <v/>
      </c>
      <c r="AC221" s="47" t="str">
        <f>IFERROR(INDEX(Chemin_accès!$B$11:$C$22,MATCH(Tableau1[[#This Row],[Type]],Chemin_accès!$C$11:$C$22,0),1),Chemin_accès!$B$11)</f>
        <v>\\stjn.local\trimet\Btechnique\Commun\BT Maint SCELLEMENT\205 - Préventifs\Modèles préventif\GammeDMS_7.MSCT.xlsm</v>
      </c>
      <c r="AD221" s="47" t="str">
        <f>Chemin_accès!$B$8&amp;Tableau1[[#This Row],[Localisation / Classement]]&amp;"\"&amp;Tableau1[[#This Row],[Poste technique]]&amp;"_"&amp;Tableau1[[#This Row],[Plan Entretien]]&amp;".xlsm"</f>
        <v>\\stjn.local\trimet\Btechnique\Commun\BT Maint SCELLEMENT\205 - Préventifs\Gammes 7.MSCT PE Tool\\_.xlsm</v>
      </c>
    </row>
    <row r="222" spans="1:30" x14ac:dyDescent="0.3">
      <c r="A222" s="44" t="str">
        <f t="shared" ca="1" si="3"/>
        <v>7.MSCT</v>
      </c>
      <c r="B2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2" s="46"/>
      <c r="D222" s="44"/>
      <c r="E222" s="44"/>
      <c r="F222" s="47"/>
      <c r="G222" s="47"/>
      <c r="H222" s="50"/>
      <c r="I222" s="50"/>
      <c r="J222" s="50"/>
      <c r="K222" s="50"/>
      <c r="L222" s="46"/>
      <c r="M222" s="47"/>
      <c r="N222" s="46"/>
      <c r="O222" s="46"/>
      <c r="P222" s="47"/>
      <c r="Q222" s="46"/>
      <c r="R222" s="46"/>
      <c r="S222" s="48"/>
      <c r="T222" s="61" t="str">
        <f>IF(Tableau1[[#This Row],[DMS_SAP]]="","",HYPERLINK(Tableau1[[#This Row],[Chemin fichier source]],"X"))</f>
        <v/>
      </c>
      <c r="U222" s="61" t="str">
        <f>IF(Tableau1[[#This Row],[Date rév.]]="","",HYPERLINK(Tableau1[[#This Row],[Lien document]],"X"))</f>
        <v/>
      </c>
      <c r="V222" s="47"/>
      <c r="W222" s="49" t="str">
        <f ca="1">Chemin_accès!$B$2&amp;Tableau1[[#This Row],[Poste Responsable]]&amp;"\"&amp;Tableau1[[#This Row],[Localisation / Classement]]&amp;"\"&amp;Tableau1[[#This Row],[Poste technique]]&amp;"_"&amp;Tableau1[[#This Row],[Plan Entretien]]&amp;".pdf"</f>
        <v>\\stjn.local\trimet\Donnees_Projets\Dms Sap\Maintenance\PlanEntretien\7.MSCT\\_.pdf</v>
      </c>
      <c r="X222" s="47"/>
      <c r="Y222" s="47"/>
      <c r="Z222" s="44" t="str">
        <f ca="1">IF(AND(Tableau1[[#This Row],[Charge]]&lt;&gt;0, Tableau1[[#This Row],[Nombre intervenants]]&lt;&gt;0,Tableau1[[#This Row],[Lien document]]&lt;&gt;0,Tableau1[[#This Row],[DMS_SAP]]&lt;&gt;0)=TRUE,"MIS A JOUR","")</f>
        <v/>
      </c>
      <c r="AA222" s="48"/>
      <c r="AB222" s="58" t="str">
        <f ca="1">IF(Tableau1[[#This Row],[Date rév.]]&lt;&gt;"", DAYS360(Tableau1[[#This Row],[Date rév.]],TODAY()),"")</f>
        <v/>
      </c>
      <c r="AC222" s="47" t="str">
        <f>IFERROR(INDEX(Chemin_accès!$B$11:$C$22,MATCH(Tableau1[[#This Row],[Type]],Chemin_accès!$C$11:$C$22,0),1),Chemin_accès!$B$11)</f>
        <v>\\stjn.local\trimet\Btechnique\Commun\BT Maint SCELLEMENT\205 - Préventifs\Modèles préventif\GammeDMS_7.MSCT.xlsm</v>
      </c>
      <c r="AD222" s="47" t="str">
        <f>Chemin_accès!$B$8&amp;Tableau1[[#This Row],[Localisation / Classement]]&amp;"\"&amp;Tableau1[[#This Row],[Poste technique]]&amp;"_"&amp;Tableau1[[#This Row],[Plan Entretien]]&amp;".xlsm"</f>
        <v>\\stjn.local\trimet\Btechnique\Commun\BT Maint SCELLEMENT\205 - Préventifs\Gammes 7.MSCT PE Tool\\_.xlsm</v>
      </c>
    </row>
    <row r="223" spans="1:30" x14ac:dyDescent="0.3">
      <c r="A223" s="44" t="str">
        <f t="shared" ca="1" si="3"/>
        <v>7.MSCT</v>
      </c>
      <c r="B2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3" s="46"/>
      <c r="D223" s="44"/>
      <c r="E223" s="44"/>
      <c r="F223" s="47"/>
      <c r="G223" s="47"/>
      <c r="H223" s="50"/>
      <c r="I223" s="50"/>
      <c r="J223" s="50"/>
      <c r="K223" s="50"/>
      <c r="L223" s="46"/>
      <c r="M223" s="47"/>
      <c r="N223" s="46"/>
      <c r="O223" s="46"/>
      <c r="P223" s="47"/>
      <c r="Q223" s="46"/>
      <c r="R223" s="46"/>
      <c r="S223" s="48"/>
      <c r="T223" s="61" t="str">
        <f>IF(Tableau1[[#This Row],[DMS_SAP]]="","",HYPERLINK(Tableau1[[#This Row],[Chemin fichier source]],"X"))</f>
        <v/>
      </c>
      <c r="U223" s="61" t="str">
        <f>IF(Tableau1[[#This Row],[Date rév.]]="","",HYPERLINK(Tableau1[[#This Row],[Lien document]],"X"))</f>
        <v/>
      </c>
      <c r="V223" s="47"/>
      <c r="W223" s="49" t="str">
        <f ca="1">Chemin_accès!$B$2&amp;Tableau1[[#This Row],[Poste Responsable]]&amp;"\"&amp;Tableau1[[#This Row],[Localisation / Classement]]&amp;"\"&amp;Tableau1[[#This Row],[Poste technique]]&amp;"_"&amp;Tableau1[[#This Row],[Plan Entretien]]&amp;".pdf"</f>
        <v>\\stjn.local\trimet\Donnees_Projets\Dms Sap\Maintenance\PlanEntretien\7.MSCT\\_.pdf</v>
      </c>
      <c r="X223" s="47"/>
      <c r="Y223" s="47"/>
      <c r="Z223" s="44" t="str">
        <f ca="1">IF(AND(Tableau1[[#This Row],[Charge]]&lt;&gt;0, Tableau1[[#This Row],[Nombre intervenants]]&lt;&gt;0,Tableau1[[#This Row],[Lien document]]&lt;&gt;0,Tableau1[[#This Row],[DMS_SAP]]&lt;&gt;0)=TRUE,"MIS A JOUR","")</f>
        <v/>
      </c>
      <c r="AA223" s="48"/>
      <c r="AB223" s="58" t="str">
        <f ca="1">IF(Tableau1[[#This Row],[Date rév.]]&lt;&gt;"", DAYS360(Tableau1[[#This Row],[Date rév.]],TODAY()),"")</f>
        <v/>
      </c>
      <c r="AC223" s="47" t="str">
        <f>IFERROR(INDEX(Chemin_accès!$B$11:$C$22,MATCH(Tableau1[[#This Row],[Type]],Chemin_accès!$C$11:$C$22,0),1),Chemin_accès!$B$11)</f>
        <v>\\stjn.local\trimet\Btechnique\Commun\BT Maint SCELLEMENT\205 - Préventifs\Modèles préventif\GammeDMS_7.MSCT.xlsm</v>
      </c>
      <c r="AD223" s="47" t="str">
        <f>Chemin_accès!$B$8&amp;Tableau1[[#This Row],[Localisation / Classement]]&amp;"\"&amp;Tableau1[[#This Row],[Poste technique]]&amp;"_"&amp;Tableau1[[#This Row],[Plan Entretien]]&amp;".xlsm"</f>
        <v>\\stjn.local\trimet\Btechnique\Commun\BT Maint SCELLEMENT\205 - Préventifs\Gammes 7.MSCT PE Tool\\_.xlsm</v>
      </c>
    </row>
    <row r="224" spans="1:30" x14ac:dyDescent="0.3">
      <c r="A224" s="44" t="str">
        <f t="shared" ca="1" si="3"/>
        <v>7.MSCT</v>
      </c>
      <c r="B2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4" s="46"/>
      <c r="D224" s="44"/>
      <c r="E224" s="44"/>
      <c r="F224" s="47"/>
      <c r="G224" s="47"/>
      <c r="H224" s="50"/>
      <c r="I224" s="50"/>
      <c r="J224" s="50"/>
      <c r="K224" s="50"/>
      <c r="L224" s="46"/>
      <c r="M224" s="47"/>
      <c r="N224" s="46"/>
      <c r="O224" s="46"/>
      <c r="P224" s="47"/>
      <c r="Q224" s="46"/>
      <c r="R224" s="46"/>
      <c r="S224" s="48"/>
      <c r="T224" s="61" t="str">
        <f>IF(Tableau1[[#This Row],[DMS_SAP]]="","",HYPERLINK(Tableau1[[#This Row],[Chemin fichier source]],"X"))</f>
        <v/>
      </c>
      <c r="U224" s="61" t="str">
        <f>IF(Tableau1[[#This Row],[Date rév.]]="","",HYPERLINK(Tableau1[[#This Row],[Lien document]],"X"))</f>
        <v/>
      </c>
      <c r="V224" s="47"/>
      <c r="W224" s="49" t="str">
        <f ca="1">Chemin_accès!$B$2&amp;Tableau1[[#This Row],[Poste Responsable]]&amp;"\"&amp;Tableau1[[#This Row],[Localisation / Classement]]&amp;"\"&amp;Tableau1[[#This Row],[Poste technique]]&amp;"_"&amp;Tableau1[[#This Row],[Plan Entretien]]&amp;".pdf"</f>
        <v>\\stjn.local\trimet\Donnees_Projets\Dms Sap\Maintenance\PlanEntretien\7.MSCT\\_.pdf</v>
      </c>
      <c r="X224" s="47"/>
      <c r="Y224" s="47"/>
      <c r="Z224" s="44" t="str">
        <f ca="1">IF(AND(Tableau1[[#This Row],[Charge]]&lt;&gt;0, Tableau1[[#This Row],[Nombre intervenants]]&lt;&gt;0,Tableau1[[#This Row],[Lien document]]&lt;&gt;0,Tableau1[[#This Row],[DMS_SAP]]&lt;&gt;0)=TRUE,"MIS A JOUR","")</f>
        <v/>
      </c>
      <c r="AA224" s="48"/>
      <c r="AB224" s="58" t="str">
        <f ca="1">IF(Tableau1[[#This Row],[Date rév.]]&lt;&gt;"", DAYS360(Tableau1[[#This Row],[Date rév.]],TODAY()),"")</f>
        <v/>
      </c>
      <c r="AC224" s="47" t="str">
        <f>IFERROR(INDEX(Chemin_accès!$B$11:$C$22,MATCH(Tableau1[[#This Row],[Type]],Chemin_accès!$C$11:$C$22,0),1),Chemin_accès!$B$11)</f>
        <v>\\stjn.local\trimet\Btechnique\Commun\BT Maint SCELLEMENT\205 - Préventifs\Modèles préventif\GammeDMS_7.MSCT.xlsm</v>
      </c>
      <c r="AD224" s="47" t="str">
        <f>Chemin_accès!$B$8&amp;Tableau1[[#This Row],[Localisation / Classement]]&amp;"\"&amp;Tableau1[[#This Row],[Poste technique]]&amp;"_"&amp;Tableau1[[#This Row],[Plan Entretien]]&amp;".xlsm"</f>
        <v>\\stjn.local\trimet\Btechnique\Commun\BT Maint SCELLEMENT\205 - Préventifs\Gammes 7.MSCT PE Tool\\_.xlsm</v>
      </c>
    </row>
    <row r="225" spans="1:30" x14ac:dyDescent="0.3">
      <c r="A225" s="44" t="str">
        <f t="shared" ca="1" si="3"/>
        <v>7.MSCT</v>
      </c>
      <c r="B2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5" s="46"/>
      <c r="D225" s="44"/>
      <c r="E225" s="44"/>
      <c r="F225" s="47"/>
      <c r="G225" s="47"/>
      <c r="H225" s="50"/>
      <c r="I225" s="50"/>
      <c r="J225" s="50"/>
      <c r="K225" s="50"/>
      <c r="L225" s="46"/>
      <c r="M225" s="47"/>
      <c r="N225" s="46"/>
      <c r="O225" s="46"/>
      <c r="P225" s="47"/>
      <c r="Q225" s="46"/>
      <c r="R225" s="46"/>
      <c r="S225" s="48"/>
      <c r="T225" s="61" t="str">
        <f>IF(Tableau1[[#This Row],[DMS_SAP]]="","",HYPERLINK(Tableau1[[#This Row],[Chemin fichier source]],"X"))</f>
        <v/>
      </c>
      <c r="U225" s="61" t="str">
        <f>IF(Tableau1[[#This Row],[Date rév.]]="","",HYPERLINK(Tableau1[[#This Row],[Lien document]],"X"))</f>
        <v/>
      </c>
      <c r="V225" s="47"/>
      <c r="W225" s="49" t="str">
        <f ca="1">Chemin_accès!$B$2&amp;Tableau1[[#This Row],[Poste Responsable]]&amp;"\"&amp;Tableau1[[#This Row],[Localisation / Classement]]&amp;"\"&amp;Tableau1[[#This Row],[Poste technique]]&amp;"_"&amp;Tableau1[[#This Row],[Plan Entretien]]&amp;".pdf"</f>
        <v>\\stjn.local\trimet\Donnees_Projets\Dms Sap\Maintenance\PlanEntretien\7.MSCT\\_.pdf</v>
      </c>
      <c r="X225" s="47"/>
      <c r="Y225" s="47"/>
      <c r="Z225" s="44" t="str">
        <f ca="1">IF(AND(Tableau1[[#This Row],[Charge]]&lt;&gt;0, Tableau1[[#This Row],[Nombre intervenants]]&lt;&gt;0,Tableau1[[#This Row],[Lien document]]&lt;&gt;0,Tableau1[[#This Row],[DMS_SAP]]&lt;&gt;0)=TRUE,"MIS A JOUR","")</f>
        <v/>
      </c>
      <c r="AA225" s="48"/>
      <c r="AB225" s="58" t="str">
        <f ca="1">IF(Tableau1[[#This Row],[Date rév.]]&lt;&gt;"", DAYS360(Tableau1[[#This Row],[Date rév.]],TODAY()),"")</f>
        <v/>
      </c>
      <c r="AC225" s="47" t="str">
        <f>IFERROR(INDEX(Chemin_accès!$B$11:$C$22,MATCH(Tableau1[[#This Row],[Type]],Chemin_accès!$C$11:$C$22,0),1),Chemin_accès!$B$11)</f>
        <v>\\stjn.local\trimet\Btechnique\Commun\BT Maint SCELLEMENT\205 - Préventifs\Modèles préventif\GammeDMS_7.MSCT.xlsm</v>
      </c>
      <c r="AD225" s="47" t="str">
        <f>Chemin_accès!$B$8&amp;Tableau1[[#This Row],[Localisation / Classement]]&amp;"\"&amp;Tableau1[[#This Row],[Poste technique]]&amp;"_"&amp;Tableau1[[#This Row],[Plan Entretien]]&amp;".xlsm"</f>
        <v>\\stjn.local\trimet\Btechnique\Commun\BT Maint SCELLEMENT\205 - Préventifs\Gammes 7.MSCT PE Tool\\_.xlsm</v>
      </c>
    </row>
    <row r="226" spans="1:30" x14ac:dyDescent="0.3">
      <c r="A226" s="44" t="str">
        <f t="shared" ca="1" si="3"/>
        <v>7.MSCT</v>
      </c>
      <c r="B2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6" s="46"/>
      <c r="D226" s="44"/>
      <c r="E226" s="44"/>
      <c r="F226" s="47"/>
      <c r="G226" s="47"/>
      <c r="H226" s="50"/>
      <c r="I226" s="50"/>
      <c r="J226" s="50"/>
      <c r="K226" s="50"/>
      <c r="L226" s="46"/>
      <c r="M226" s="47"/>
      <c r="N226" s="46"/>
      <c r="O226" s="46"/>
      <c r="P226" s="47"/>
      <c r="Q226" s="46"/>
      <c r="R226" s="46"/>
      <c r="S226" s="48"/>
      <c r="T226" s="61" t="str">
        <f>IF(Tableau1[[#This Row],[DMS_SAP]]="","",HYPERLINK(Tableau1[[#This Row],[Chemin fichier source]],"X"))</f>
        <v/>
      </c>
      <c r="U226" s="61" t="str">
        <f>IF(Tableau1[[#This Row],[Date rév.]]="","",HYPERLINK(Tableau1[[#This Row],[Lien document]],"X"))</f>
        <v/>
      </c>
      <c r="V226" s="47"/>
      <c r="W226" s="49" t="str">
        <f ca="1">Chemin_accès!$B$2&amp;Tableau1[[#This Row],[Poste Responsable]]&amp;"\"&amp;Tableau1[[#This Row],[Localisation / Classement]]&amp;"\"&amp;Tableau1[[#This Row],[Poste technique]]&amp;"_"&amp;Tableau1[[#This Row],[Plan Entretien]]&amp;".pdf"</f>
        <v>\\stjn.local\trimet\Donnees_Projets\Dms Sap\Maintenance\PlanEntretien\7.MSCT\\_.pdf</v>
      </c>
      <c r="X226" s="47"/>
      <c r="Y226" s="47"/>
      <c r="Z226" s="44" t="str">
        <f ca="1">IF(AND(Tableau1[[#This Row],[Charge]]&lt;&gt;0, Tableau1[[#This Row],[Nombre intervenants]]&lt;&gt;0,Tableau1[[#This Row],[Lien document]]&lt;&gt;0,Tableau1[[#This Row],[DMS_SAP]]&lt;&gt;0)=TRUE,"MIS A JOUR","")</f>
        <v/>
      </c>
      <c r="AA226" s="48"/>
      <c r="AB226" s="58" t="str">
        <f ca="1">IF(Tableau1[[#This Row],[Date rév.]]&lt;&gt;"", DAYS360(Tableau1[[#This Row],[Date rév.]],TODAY()),"")</f>
        <v/>
      </c>
      <c r="AC226" s="47" t="str">
        <f>IFERROR(INDEX(Chemin_accès!$B$11:$C$22,MATCH(Tableau1[[#This Row],[Type]],Chemin_accès!$C$11:$C$22,0),1),Chemin_accès!$B$11)</f>
        <v>\\stjn.local\trimet\Btechnique\Commun\BT Maint SCELLEMENT\205 - Préventifs\Modèles préventif\GammeDMS_7.MSCT.xlsm</v>
      </c>
      <c r="AD226" s="47" t="str">
        <f>Chemin_accès!$B$8&amp;Tableau1[[#This Row],[Localisation / Classement]]&amp;"\"&amp;Tableau1[[#This Row],[Poste technique]]&amp;"_"&amp;Tableau1[[#This Row],[Plan Entretien]]&amp;".xlsm"</f>
        <v>\\stjn.local\trimet\Btechnique\Commun\BT Maint SCELLEMENT\205 - Préventifs\Gammes 7.MSCT PE Tool\\_.xlsm</v>
      </c>
    </row>
    <row r="227" spans="1:30" x14ac:dyDescent="0.3">
      <c r="A227" s="44" t="str">
        <f t="shared" ca="1" si="3"/>
        <v>7.MSCT</v>
      </c>
      <c r="B2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7" s="46"/>
      <c r="D227" s="44"/>
      <c r="E227" s="44"/>
      <c r="F227" s="47"/>
      <c r="G227" s="47"/>
      <c r="H227" s="50"/>
      <c r="I227" s="50"/>
      <c r="J227" s="50"/>
      <c r="K227" s="50"/>
      <c r="L227" s="46"/>
      <c r="M227" s="47"/>
      <c r="N227" s="46"/>
      <c r="O227" s="46"/>
      <c r="P227" s="47"/>
      <c r="Q227" s="46"/>
      <c r="R227" s="46"/>
      <c r="S227" s="48"/>
      <c r="T227" s="61" t="str">
        <f>IF(Tableau1[[#This Row],[DMS_SAP]]="","",HYPERLINK(Tableau1[[#This Row],[Chemin fichier source]],"X"))</f>
        <v/>
      </c>
      <c r="U227" s="61" t="str">
        <f>IF(Tableau1[[#This Row],[Date rév.]]="","",HYPERLINK(Tableau1[[#This Row],[Lien document]],"X"))</f>
        <v/>
      </c>
      <c r="V227" s="47"/>
      <c r="W227" s="49" t="str">
        <f ca="1">Chemin_accès!$B$2&amp;Tableau1[[#This Row],[Poste Responsable]]&amp;"\"&amp;Tableau1[[#This Row],[Localisation / Classement]]&amp;"\"&amp;Tableau1[[#This Row],[Poste technique]]&amp;"_"&amp;Tableau1[[#This Row],[Plan Entretien]]&amp;".pdf"</f>
        <v>\\stjn.local\trimet\Donnees_Projets\Dms Sap\Maintenance\PlanEntretien\7.MSCT\\_.pdf</v>
      </c>
      <c r="X227" s="47"/>
      <c r="Y227" s="47"/>
      <c r="Z227" s="44" t="str">
        <f ca="1">IF(AND(Tableau1[[#This Row],[Charge]]&lt;&gt;0, Tableau1[[#This Row],[Nombre intervenants]]&lt;&gt;0,Tableau1[[#This Row],[Lien document]]&lt;&gt;0,Tableau1[[#This Row],[DMS_SAP]]&lt;&gt;0)=TRUE,"MIS A JOUR","")</f>
        <v/>
      </c>
      <c r="AA227" s="48"/>
      <c r="AB227" s="58" t="str">
        <f ca="1">IF(Tableau1[[#This Row],[Date rév.]]&lt;&gt;"", DAYS360(Tableau1[[#This Row],[Date rév.]],TODAY()),"")</f>
        <v/>
      </c>
      <c r="AC227" s="47" t="str">
        <f>IFERROR(INDEX(Chemin_accès!$B$11:$C$22,MATCH(Tableau1[[#This Row],[Type]],Chemin_accès!$C$11:$C$22,0),1),Chemin_accès!$B$11)</f>
        <v>\\stjn.local\trimet\Btechnique\Commun\BT Maint SCELLEMENT\205 - Préventifs\Modèles préventif\GammeDMS_7.MSCT.xlsm</v>
      </c>
      <c r="AD227" s="47" t="str">
        <f>Chemin_accès!$B$8&amp;Tableau1[[#This Row],[Localisation / Classement]]&amp;"\"&amp;Tableau1[[#This Row],[Poste technique]]&amp;"_"&amp;Tableau1[[#This Row],[Plan Entretien]]&amp;".xlsm"</f>
        <v>\\stjn.local\trimet\Btechnique\Commun\BT Maint SCELLEMENT\205 - Préventifs\Gammes 7.MSCT PE Tool\\_.xlsm</v>
      </c>
    </row>
    <row r="228" spans="1:30" x14ac:dyDescent="0.3">
      <c r="A228" s="44" t="str">
        <f t="shared" ca="1" si="3"/>
        <v>7.MSCT</v>
      </c>
      <c r="B2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8" s="46"/>
      <c r="D228" s="44"/>
      <c r="E228" s="44"/>
      <c r="F228" s="47"/>
      <c r="G228" s="47"/>
      <c r="H228" s="50"/>
      <c r="I228" s="50"/>
      <c r="J228" s="50"/>
      <c r="K228" s="50"/>
      <c r="L228" s="46"/>
      <c r="M228" s="47"/>
      <c r="N228" s="46"/>
      <c r="O228" s="46"/>
      <c r="P228" s="47"/>
      <c r="Q228" s="46"/>
      <c r="R228" s="46"/>
      <c r="S228" s="48"/>
      <c r="T228" s="61" t="str">
        <f>IF(Tableau1[[#This Row],[DMS_SAP]]="","",HYPERLINK(Tableau1[[#This Row],[Chemin fichier source]],"X"))</f>
        <v/>
      </c>
      <c r="U228" s="61" t="str">
        <f>IF(Tableau1[[#This Row],[Date rév.]]="","",HYPERLINK(Tableau1[[#This Row],[Lien document]],"X"))</f>
        <v/>
      </c>
      <c r="V228" s="47"/>
      <c r="W228" s="49" t="str">
        <f ca="1">Chemin_accès!$B$2&amp;Tableau1[[#This Row],[Poste Responsable]]&amp;"\"&amp;Tableau1[[#This Row],[Localisation / Classement]]&amp;"\"&amp;Tableau1[[#This Row],[Poste technique]]&amp;"_"&amp;Tableau1[[#This Row],[Plan Entretien]]&amp;".pdf"</f>
        <v>\\stjn.local\trimet\Donnees_Projets\Dms Sap\Maintenance\PlanEntretien\7.MSCT\\_.pdf</v>
      </c>
      <c r="X228" s="47"/>
      <c r="Y228" s="47"/>
      <c r="Z228" s="44" t="str">
        <f ca="1">IF(AND(Tableau1[[#This Row],[Charge]]&lt;&gt;0, Tableau1[[#This Row],[Nombre intervenants]]&lt;&gt;0,Tableau1[[#This Row],[Lien document]]&lt;&gt;0,Tableau1[[#This Row],[DMS_SAP]]&lt;&gt;0)=TRUE,"MIS A JOUR","")</f>
        <v/>
      </c>
      <c r="AA228" s="48"/>
      <c r="AB228" s="58" t="str">
        <f ca="1">IF(Tableau1[[#This Row],[Date rév.]]&lt;&gt;"", DAYS360(Tableau1[[#This Row],[Date rév.]],TODAY()),"")</f>
        <v/>
      </c>
      <c r="AC228" s="47" t="str">
        <f>IFERROR(INDEX(Chemin_accès!$B$11:$C$22,MATCH(Tableau1[[#This Row],[Type]],Chemin_accès!$C$11:$C$22,0),1),Chemin_accès!$B$11)</f>
        <v>\\stjn.local\trimet\Btechnique\Commun\BT Maint SCELLEMENT\205 - Préventifs\Modèles préventif\GammeDMS_7.MSCT.xlsm</v>
      </c>
      <c r="AD228" s="47" t="str">
        <f>Chemin_accès!$B$8&amp;Tableau1[[#This Row],[Localisation / Classement]]&amp;"\"&amp;Tableau1[[#This Row],[Poste technique]]&amp;"_"&amp;Tableau1[[#This Row],[Plan Entretien]]&amp;".xlsm"</f>
        <v>\\stjn.local\trimet\Btechnique\Commun\BT Maint SCELLEMENT\205 - Préventifs\Gammes 7.MSCT PE Tool\\_.xlsm</v>
      </c>
    </row>
    <row r="229" spans="1:30" x14ac:dyDescent="0.3">
      <c r="A229" s="44" t="str">
        <f t="shared" ca="1" si="3"/>
        <v>7.MSCT</v>
      </c>
      <c r="B2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29" s="46"/>
      <c r="D229" s="44"/>
      <c r="E229" s="44"/>
      <c r="F229" s="47"/>
      <c r="G229" s="47"/>
      <c r="H229" s="50"/>
      <c r="I229" s="50"/>
      <c r="J229" s="50"/>
      <c r="K229" s="50"/>
      <c r="L229" s="46"/>
      <c r="M229" s="47"/>
      <c r="N229" s="46"/>
      <c r="O229" s="46"/>
      <c r="P229" s="47"/>
      <c r="Q229" s="46"/>
      <c r="R229" s="46"/>
      <c r="S229" s="48"/>
      <c r="T229" s="61" t="str">
        <f>IF(Tableau1[[#This Row],[DMS_SAP]]="","",HYPERLINK(Tableau1[[#This Row],[Chemin fichier source]],"X"))</f>
        <v/>
      </c>
      <c r="U229" s="61" t="str">
        <f>IF(Tableau1[[#This Row],[Date rév.]]="","",HYPERLINK(Tableau1[[#This Row],[Lien document]],"X"))</f>
        <v/>
      </c>
      <c r="V229" s="47"/>
      <c r="W229" s="49" t="str">
        <f ca="1">Chemin_accès!$B$2&amp;Tableau1[[#This Row],[Poste Responsable]]&amp;"\"&amp;Tableau1[[#This Row],[Localisation / Classement]]&amp;"\"&amp;Tableau1[[#This Row],[Poste technique]]&amp;"_"&amp;Tableau1[[#This Row],[Plan Entretien]]&amp;".pdf"</f>
        <v>\\stjn.local\trimet\Donnees_Projets\Dms Sap\Maintenance\PlanEntretien\7.MSCT\\_.pdf</v>
      </c>
      <c r="X229" s="47"/>
      <c r="Y229" s="47"/>
      <c r="Z229" s="44" t="str">
        <f ca="1">IF(AND(Tableau1[[#This Row],[Charge]]&lt;&gt;0, Tableau1[[#This Row],[Nombre intervenants]]&lt;&gt;0,Tableau1[[#This Row],[Lien document]]&lt;&gt;0,Tableau1[[#This Row],[DMS_SAP]]&lt;&gt;0)=TRUE,"MIS A JOUR","")</f>
        <v/>
      </c>
      <c r="AA229" s="48"/>
      <c r="AB229" s="58" t="str">
        <f ca="1">IF(Tableau1[[#This Row],[Date rév.]]&lt;&gt;"", DAYS360(Tableau1[[#This Row],[Date rév.]],TODAY()),"")</f>
        <v/>
      </c>
      <c r="AC229" s="47" t="str">
        <f>IFERROR(INDEX(Chemin_accès!$B$11:$C$22,MATCH(Tableau1[[#This Row],[Type]],Chemin_accès!$C$11:$C$22,0),1),Chemin_accès!$B$11)</f>
        <v>\\stjn.local\trimet\Btechnique\Commun\BT Maint SCELLEMENT\205 - Préventifs\Modèles préventif\GammeDMS_7.MSCT.xlsm</v>
      </c>
      <c r="AD229" s="47" t="str">
        <f>Chemin_accès!$B$8&amp;Tableau1[[#This Row],[Localisation / Classement]]&amp;"\"&amp;Tableau1[[#This Row],[Poste technique]]&amp;"_"&amp;Tableau1[[#This Row],[Plan Entretien]]&amp;".xlsm"</f>
        <v>\\stjn.local\trimet\Btechnique\Commun\BT Maint SCELLEMENT\205 - Préventifs\Gammes 7.MSCT PE Tool\\_.xlsm</v>
      </c>
    </row>
    <row r="230" spans="1:30" x14ac:dyDescent="0.3">
      <c r="A230" s="44" t="str">
        <f t="shared" ca="1" si="3"/>
        <v>7.MSCT</v>
      </c>
      <c r="B2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0" s="46"/>
      <c r="D230" s="44"/>
      <c r="E230" s="44"/>
      <c r="F230" s="47"/>
      <c r="G230" s="47"/>
      <c r="H230" s="50"/>
      <c r="I230" s="50"/>
      <c r="J230" s="50"/>
      <c r="K230" s="50"/>
      <c r="L230" s="46"/>
      <c r="M230" s="47"/>
      <c r="N230" s="46"/>
      <c r="O230" s="46"/>
      <c r="P230" s="47"/>
      <c r="Q230" s="46"/>
      <c r="R230" s="46"/>
      <c r="S230" s="48"/>
      <c r="T230" s="61" t="str">
        <f>IF(Tableau1[[#This Row],[DMS_SAP]]="","",HYPERLINK(Tableau1[[#This Row],[Chemin fichier source]],"X"))</f>
        <v/>
      </c>
      <c r="U230" s="61" t="str">
        <f>IF(Tableau1[[#This Row],[Date rév.]]="","",HYPERLINK(Tableau1[[#This Row],[Lien document]],"X"))</f>
        <v/>
      </c>
      <c r="V230" s="47"/>
      <c r="W230" s="49" t="str">
        <f ca="1">Chemin_accès!$B$2&amp;Tableau1[[#This Row],[Poste Responsable]]&amp;"\"&amp;Tableau1[[#This Row],[Localisation / Classement]]&amp;"\"&amp;Tableau1[[#This Row],[Poste technique]]&amp;"_"&amp;Tableau1[[#This Row],[Plan Entretien]]&amp;".pdf"</f>
        <v>\\stjn.local\trimet\Donnees_Projets\Dms Sap\Maintenance\PlanEntretien\7.MSCT\\_.pdf</v>
      </c>
      <c r="X230" s="47"/>
      <c r="Y230" s="47"/>
      <c r="Z230" s="44" t="str">
        <f ca="1">IF(AND(Tableau1[[#This Row],[Charge]]&lt;&gt;0, Tableau1[[#This Row],[Nombre intervenants]]&lt;&gt;0,Tableau1[[#This Row],[Lien document]]&lt;&gt;0,Tableau1[[#This Row],[DMS_SAP]]&lt;&gt;0)=TRUE,"MIS A JOUR","")</f>
        <v/>
      </c>
      <c r="AA230" s="48"/>
      <c r="AB230" s="58" t="str">
        <f ca="1">IF(Tableau1[[#This Row],[Date rév.]]&lt;&gt;"", DAYS360(Tableau1[[#This Row],[Date rév.]],TODAY()),"")</f>
        <v/>
      </c>
      <c r="AC230" s="47" t="str">
        <f>IFERROR(INDEX(Chemin_accès!$B$11:$C$22,MATCH(Tableau1[[#This Row],[Type]],Chemin_accès!$C$11:$C$22,0),1),Chemin_accès!$B$11)</f>
        <v>\\stjn.local\trimet\Btechnique\Commun\BT Maint SCELLEMENT\205 - Préventifs\Modèles préventif\GammeDMS_7.MSCT.xlsm</v>
      </c>
      <c r="AD230" s="47" t="str">
        <f>Chemin_accès!$B$8&amp;Tableau1[[#This Row],[Localisation / Classement]]&amp;"\"&amp;Tableau1[[#This Row],[Poste technique]]&amp;"_"&amp;Tableau1[[#This Row],[Plan Entretien]]&amp;".xlsm"</f>
        <v>\\stjn.local\trimet\Btechnique\Commun\BT Maint SCELLEMENT\205 - Préventifs\Gammes 7.MSCT PE Tool\\_.xlsm</v>
      </c>
    </row>
    <row r="231" spans="1:30" x14ac:dyDescent="0.3">
      <c r="A231" s="44" t="str">
        <f t="shared" ca="1" si="3"/>
        <v>7.MSCT</v>
      </c>
      <c r="B2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1" s="46"/>
      <c r="D231" s="44"/>
      <c r="E231" s="44"/>
      <c r="F231" s="47"/>
      <c r="G231" s="47"/>
      <c r="H231" s="50"/>
      <c r="I231" s="50"/>
      <c r="J231" s="50"/>
      <c r="K231" s="50"/>
      <c r="L231" s="46"/>
      <c r="M231" s="47"/>
      <c r="N231" s="46"/>
      <c r="O231" s="46"/>
      <c r="P231" s="47"/>
      <c r="Q231" s="46"/>
      <c r="R231" s="46"/>
      <c r="S231" s="48"/>
      <c r="T231" s="61" t="str">
        <f>IF(Tableau1[[#This Row],[DMS_SAP]]="","",HYPERLINK(Tableau1[[#This Row],[Chemin fichier source]],"X"))</f>
        <v/>
      </c>
      <c r="U231" s="61" t="str">
        <f>IF(Tableau1[[#This Row],[Date rév.]]="","",HYPERLINK(Tableau1[[#This Row],[Lien document]],"X"))</f>
        <v/>
      </c>
      <c r="V231" s="47"/>
      <c r="W231" s="49" t="str">
        <f ca="1">Chemin_accès!$B$2&amp;Tableau1[[#This Row],[Poste Responsable]]&amp;"\"&amp;Tableau1[[#This Row],[Localisation / Classement]]&amp;"\"&amp;Tableau1[[#This Row],[Poste technique]]&amp;"_"&amp;Tableau1[[#This Row],[Plan Entretien]]&amp;".pdf"</f>
        <v>\\stjn.local\trimet\Donnees_Projets\Dms Sap\Maintenance\PlanEntretien\7.MSCT\\_.pdf</v>
      </c>
      <c r="X231" s="47"/>
      <c r="Y231" s="47"/>
      <c r="Z231" s="44" t="str">
        <f ca="1">IF(AND(Tableau1[[#This Row],[Charge]]&lt;&gt;0, Tableau1[[#This Row],[Nombre intervenants]]&lt;&gt;0,Tableau1[[#This Row],[Lien document]]&lt;&gt;0,Tableau1[[#This Row],[DMS_SAP]]&lt;&gt;0)=TRUE,"MIS A JOUR","")</f>
        <v/>
      </c>
      <c r="AA231" s="48"/>
      <c r="AB231" s="58" t="str">
        <f ca="1">IF(Tableau1[[#This Row],[Date rév.]]&lt;&gt;"", DAYS360(Tableau1[[#This Row],[Date rév.]],TODAY()),"")</f>
        <v/>
      </c>
      <c r="AC231" s="47" t="str">
        <f>IFERROR(INDEX(Chemin_accès!$B$11:$C$22,MATCH(Tableau1[[#This Row],[Type]],Chemin_accès!$C$11:$C$22,0),1),Chemin_accès!$B$11)</f>
        <v>\\stjn.local\trimet\Btechnique\Commun\BT Maint SCELLEMENT\205 - Préventifs\Modèles préventif\GammeDMS_7.MSCT.xlsm</v>
      </c>
      <c r="AD231" s="47" t="str">
        <f>Chemin_accès!$B$8&amp;Tableau1[[#This Row],[Localisation / Classement]]&amp;"\"&amp;Tableau1[[#This Row],[Poste technique]]&amp;"_"&amp;Tableau1[[#This Row],[Plan Entretien]]&amp;".xlsm"</f>
        <v>\\stjn.local\trimet\Btechnique\Commun\BT Maint SCELLEMENT\205 - Préventifs\Gammes 7.MSCT PE Tool\\_.xlsm</v>
      </c>
    </row>
    <row r="232" spans="1:30" x14ac:dyDescent="0.3">
      <c r="A232" s="44" t="str">
        <f t="shared" ca="1" si="3"/>
        <v>7.MSCT</v>
      </c>
      <c r="B2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2" s="46"/>
      <c r="D232" s="44"/>
      <c r="E232" s="44"/>
      <c r="F232" s="47"/>
      <c r="G232" s="47"/>
      <c r="H232" s="50"/>
      <c r="I232" s="50"/>
      <c r="J232" s="50"/>
      <c r="K232" s="50"/>
      <c r="L232" s="46"/>
      <c r="M232" s="47"/>
      <c r="N232" s="46"/>
      <c r="O232" s="46"/>
      <c r="P232" s="47"/>
      <c r="Q232" s="46"/>
      <c r="R232" s="46"/>
      <c r="S232" s="48"/>
      <c r="T232" s="61" t="str">
        <f>IF(Tableau1[[#This Row],[DMS_SAP]]="","",HYPERLINK(Tableau1[[#This Row],[Chemin fichier source]],"X"))</f>
        <v/>
      </c>
      <c r="U232" s="61" t="str">
        <f>IF(Tableau1[[#This Row],[Date rév.]]="","",HYPERLINK(Tableau1[[#This Row],[Lien document]],"X"))</f>
        <v/>
      </c>
      <c r="V232" s="47"/>
      <c r="W232" s="49" t="str">
        <f ca="1">Chemin_accès!$B$2&amp;Tableau1[[#This Row],[Poste Responsable]]&amp;"\"&amp;Tableau1[[#This Row],[Localisation / Classement]]&amp;"\"&amp;Tableau1[[#This Row],[Poste technique]]&amp;"_"&amp;Tableau1[[#This Row],[Plan Entretien]]&amp;".pdf"</f>
        <v>\\stjn.local\trimet\Donnees_Projets\Dms Sap\Maintenance\PlanEntretien\7.MSCT\\_.pdf</v>
      </c>
      <c r="X232" s="47"/>
      <c r="Y232" s="47"/>
      <c r="Z232" s="44" t="str">
        <f ca="1">IF(AND(Tableau1[[#This Row],[Charge]]&lt;&gt;0, Tableau1[[#This Row],[Nombre intervenants]]&lt;&gt;0,Tableau1[[#This Row],[Lien document]]&lt;&gt;0,Tableau1[[#This Row],[DMS_SAP]]&lt;&gt;0)=TRUE,"MIS A JOUR","")</f>
        <v/>
      </c>
      <c r="AA232" s="48"/>
      <c r="AB232" s="58" t="str">
        <f ca="1">IF(Tableau1[[#This Row],[Date rév.]]&lt;&gt;"", DAYS360(Tableau1[[#This Row],[Date rév.]],TODAY()),"")</f>
        <v/>
      </c>
      <c r="AC232" s="47" t="str">
        <f>IFERROR(INDEX(Chemin_accès!$B$11:$C$22,MATCH(Tableau1[[#This Row],[Type]],Chemin_accès!$C$11:$C$22,0),1),Chemin_accès!$B$11)</f>
        <v>\\stjn.local\trimet\Btechnique\Commun\BT Maint SCELLEMENT\205 - Préventifs\Modèles préventif\GammeDMS_7.MSCT.xlsm</v>
      </c>
      <c r="AD232" s="47" t="str">
        <f>Chemin_accès!$B$8&amp;Tableau1[[#This Row],[Localisation / Classement]]&amp;"\"&amp;Tableau1[[#This Row],[Poste technique]]&amp;"_"&amp;Tableau1[[#This Row],[Plan Entretien]]&amp;".xlsm"</f>
        <v>\\stjn.local\trimet\Btechnique\Commun\BT Maint SCELLEMENT\205 - Préventifs\Gammes 7.MSCT PE Tool\\_.xlsm</v>
      </c>
    </row>
    <row r="233" spans="1:30" x14ac:dyDescent="0.3">
      <c r="A233" s="44" t="str">
        <f t="shared" ca="1" si="3"/>
        <v>7.MSCT</v>
      </c>
      <c r="B2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3" s="46"/>
      <c r="D233" s="44"/>
      <c r="E233" s="44"/>
      <c r="F233" s="47"/>
      <c r="G233" s="47"/>
      <c r="H233" s="50"/>
      <c r="I233" s="50"/>
      <c r="J233" s="50"/>
      <c r="K233" s="50"/>
      <c r="L233" s="46"/>
      <c r="M233" s="47"/>
      <c r="N233" s="46"/>
      <c r="O233" s="46"/>
      <c r="P233" s="47"/>
      <c r="Q233" s="46"/>
      <c r="R233" s="46"/>
      <c r="S233" s="48"/>
      <c r="T233" s="61" t="str">
        <f>IF(Tableau1[[#This Row],[DMS_SAP]]="","",HYPERLINK(Tableau1[[#This Row],[Chemin fichier source]],"X"))</f>
        <v/>
      </c>
      <c r="U233" s="61" t="str">
        <f>IF(Tableau1[[#This Row],[Date rév.]]="","",HYPERLINK(Tableau1[[#This Row],[Lien document]],"X"))</f>
        <v/>
      </c>
      <c r="V233" s="47"/>
      <c r="W233" s="49" t="str">
        <f ca="1">Chemin_accès!$B$2&amp;Tableau1[[#This Row],[Poste Responsable]]&amp;"\"&amp;Tableau1[[#This Row],[Localisation / Classement]]&amp;"\"&amp;Tableau1[[#This Row],[Poste technique]]&amp;"_"&amp;Tableau1[[#This Row],[Plan Entretien]]&amp;".pdf"</f>
        <v>\\stjn.local\trimet\Donnees_Projets\Dms Sap\Maintenance\PlanEntretien\7.MSCT\\_.pdf</v>
      </c>
      <c r="X233" s="47"/>
      <c r="Y233" s="47"/>
      <c r="Z233" s="44" t="str">
        <f ca="1">IF(AND(Tableau1[[#This Row],[Charge]]&lt;&gt;0, Tableau1[[#This Row],[Nombre intervenants]]&lt;&gt;0,Tableau1[[#This Row],[Lien document]]&lt;&gt;0,Tableau1[[#This Row],[DMS_SAP]]&lt;&gt;0)=TRUE,"MIS A JOUR","")</f>
        <v/>
      </c>
      <c r="AA233" s="48"/>
      <c r="AB233" s="58" t="str">
        <f ca="1">IF(Tableau1[[#This Row],[Date rév.]]&lt;&gt;"", DAYS360(Tableau1[[#This Row],[Date rév.]],TODAY()),"")</f>
        <v/>
      </c>
      <c r="AC233" s="47" t="str">
        <f>IFERROR(INDEX(Chemin_accès!$B$11:$C$22,MATCH(Tableau1[[#This Row],[Type]],Chemin_accès!$C$11:$C$22,0),1),Chemin_accès!$B$11)</f>
        <v>\\stjn.local\trimet\Btechnique\Commun\BT Maint SCELLEMENT\205 - Préventifs\Modèles préventif\GammeDMS_7.MSCT.xlsm</v>
      </c>
      <c r="AD233" s="47" t="str">
        <f>Chemin_accès!$B$8&amp;Tableau1[[#This Row],[Localisation / Classement]]&amp;"\"&amp;Tableau1[[#This Row],[Poste technique]]&amp;"_"&amp;Tableau1[[#This Row],[Plan Entretien]]&amp;".xlsm"</f>
        <v>\\stjn.local\trimet\Btechnique\Commun\BT Maint SCELLEMENT\205 - Préventifs\Gammes 7.MSCT PE Tool\\_.xlsm</v>
      </c>
    </row>
    <row r="234" spans="1:30" x14ac:dyDescent="0.3">
      <c r="A234" s="44" t="str">
        <f t="shared" ca="1" si="3"/>
        <v>7.MSCT</v>
      </c>
      <c r="B2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4" s="46"/>
      <c r="D234" s="44"/>
      <c r="E234" s="44"/>
      <c r="F234" s="47"/>
      <c r="G234" s="47"/>
      <c r="H234" s="50"/>
      <c r="I234" s="50"/>
      <c r="J234" s="50"/>
      <c r="K234" s="50"/>
      <c r="L234" s="46"/>
      <c r="M234" s="47"/>
      <c r="N234" s="46"/>
      <c r="O234" s="46"/>
      <c r="P234" s="47"/>
      <c r="Q234" s="46"/>
      <c r="R234" s="46"/>
      <c r="S234" s="48"/>
      <c r="T234" s="61" t="str">
        <f>IF(Tableau1[[#This Row],[DMS_SAP]]="","",HYPERLINK(Tableau1[[#This Row],[Chemin fichier source]],"X"))</f>
        <v/>
      </c>
      <c r="U234" s="61" t="str">
        <f>IF(Tableau1[[#This Row],[Date rév.]]="","",HYPERLINK(Tableau1[[#This Row],[Lien document]],"X"))</f>
        <v/>
      </c>
      <c r="V234" s="47"/>
      <c r="W234" s="49" t="str">
        <f ca="1">Chemin_accès!$B$2&amp;Tableau1[[#This Row],[Poste Responsable]]&amp;"\"&amp;Tableau1[[#This Row],[Localisation / Classement]]&amp;"\"&amp;Tableau1[[#This Row],[Poste technique]]&amp;"_"&amp;Tableau1[[#This Row],[Plan Entretien]]&amp;".pdf"</f>
        <v>\\stjn.local\trimet\Donnees_Projets\Dms Sap\Maintenance\PlanEntretien\7.MSCT\\_.pdf</v>
      </c>
      <c r="X234" s="47"/>
      <c r="Y234" s="47"/>
      <c r="Z234" s="44" t="str">
        <f ca="1">IF(AND(Tableau1[[#This Row],[Charge]]&lt;&gt;0, Tableau1[[#This Row],[Nombre intervenants]]&lt;&gt;0,Tableau1[[#This Row],[Lien document]]&lt;&gt;0,Tableau1[[#This Row],[DMS_SAP]]&lt;&gt;0)=TRUE,"MIS A JOUR","")</f>
        <v/>
      </c>
      <c r="AA234" s="48"/>
      <c r="AB234" s="58" t="str">
        <f ca="1">IF(Tableau1[[#This Row],[Date rév.]]&lt;&gt;"", DAYS360(Tableau1[[#This Row],[Date rév.]],TODAY()),"")</f>
        <v/>
      </c>
      <c r="AC234" s="47" t="str">
        <f>IFERROR(INDEX(Chemin_accès!$B$11:$C$22,MATCH(Tableau1[[#This Row],[Type]],Chemin_accès!$C$11:$C$22,0),1),Chemin_accès!$B$11)</f>
        <v>\\stjn.local\trimet\Btechnique\Commun\BT Maint SCELLEMENT\205 - Préventifs\Modèles préventif\GammeDMS_7.MSCT.xlsm</v>
      </c>
      <c r="AD234" s="47" t="str">
        <f>Chemin_accès!$B$8&amp;Tableau1[[#This Row],[Localisation / Classement]]&amp;"\"&amp;Tableau1[[#This Row],[Poste technique]]&amp;"_"&amp;Tableau1[[#This Row],[Plan Entretien]]&amp;".xlsm"</f>
        <v>\\stjn.local\trimet\Btechnique\Commun\BT Maint SCELLEMENT\205 - Préventifs\Gammes 7.MSCT PE Tool\\_.xlsm</v>
      </c>
    </row>
    <row r="235" spans="1:30" x14ac:dyDescent="0.3">
      <c r="A235" s="44" t="str">
        <f t="shared" ca="1" si="3"/>
        <v>7.MSCT</v>
      </c>
      <c r="B2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5" s="46"/>
      <c r="D235" s="44"/>
      <c r="E235" s="44"/>
      <c r="F235" s="47"/>
      <c r="G235" s="47"/>
      <c r="H235" s="50"/>
      <c r="I235" s="50"/>
      <c r="J235" s="50"/>
      <c r="K235" s="50"/>
      <c r="L235" s="46"/>
      <c r="M235" s="47"/>
      <c r="N235" s="46"/>
      <c r="O235" s="46"/>
      <c r="P235" s="47"/>
      <c r="Q235" s="46"/>
      <c r="R235" s="46"/>
      <c r="S235" s="48"/>
      <c r="T235" s="61" t="str">
        <f>IF(Tableau1[[#This Row],[DMS_SAP]]="","",HYPERLINK(Tableau1[[#This Row],[Chemin fichier source]],"X"))</f>
        <v/>
      </c>
      <c r="U235" s="61" t="str">
        <f>IF(Tableau1[[#This Row],[Date rév.]]="","",HYPERLINK(Tableau1[[#This Row],[Lien document]],"X"))</f>
        <v/>
      </c>
      <c r="V235" s="47"/>
      <c r="W235" s="49" t="str">
        <f ca="1">Chemin_accès!$B$2&amp;Tableau1[[#This Row],[Poste Responsable]]&amp;"\"&amp;Tableau1[[#This Row],[Localisation / Classement]]&amp;"\"&amp;Tableau1[[#This Row],[Poste technique]]&amp;"_"&amp;Tableau1[[#This Row],[Plan Entretien]]&amp;".pdf"</f>
        <v>\\stjn.local\trimet\Donnees_Projets\Dms Sap\Maintenance\PlanEntretien\7.MSCT\\_.pdf</v>
      </c>
      <c r="X235" s="47"/>
      <c r="Y235" s="47"/>
      <c r="Z235" s="44" t="str">
        <f ca="1">IF(AND(Tableau1[[#This Row],[Charge]]&lt;&gt;0, Tableau1[[#This Row],[Nombre intervenants]]&lt;&gt;0,Tableau1[[#This Row],[Lien document]]&lt;&gt;0,Tableau1[[#This Row],[DMS_SAP]]&lt;&gt;0)=TRUE,"MIS A JOUR","")</f>
        <v/>
      </c>
      <c r="AA235" s="48"/>
      <c r="AB235" s="58" t="str">
        <f ca="1">IF(Tableau1[[#This Row],[Date rév.]]&lt;&gt;"", DAYS360(Tableau1[[#This Row],[Date rév.]],TODAY()),"")</f>
        <v/>
      </c>
      <c r="AC235" s="47" t="str">
        <f>IFERROR(INDEX(Chemin_accès!$B$11:$C$22,MATCH(Tableau1[[#This Row],[Type]],Chemin_accès!$C$11:$C$22,0),1),Chemin_accès!$B$11)</f>
        <v>\\stjn.local\trimet\Btechnique\Commun\BT Maint SCELLEMENT\205 - Préventifs\Modèles préventif\GammeDMS_7.MSCT.xlsm</v>
      </c>
      <c r="AD235" s="47" t="str">
        <f>Chemin_accès!$B$8&amp;Tableau1[[#This Row],[Localisation / Classement]]&amp;"\"&amp;Tableau1[[#This Row],[Poste technique]]&amp;"_"&amp;Tableau1[[#This Row],[Plan Entretien]]&amp;".xlsm"</f>
        <v>\\stjn.local\trimet\Btechnique\Commun\BT Maint SCELLEMENT\205 - Préventifs\Gammes 7.MSCT PE Tool\\_.xlsm</v>
      </c>
    </row>
    <row r="236" spans="1:30" x14ac:dyDescent="0.3">
      <c r="A236" s="44" t="str">
        <f t="shared" ca="1" si="3"/>
        <v>7.MSCT</v>
      </c>
      <c r="B2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6" s="46"/>
      <c r="D236" s="44"/>
      <c r="E236" s="44"/>
      <c r="F236" s="47"/>
      <c r="G236" s="47"/>
      <c r="H236" s="50"/>
      <c r="I236" s="50"/>
      <c r="J236" s="50"/>
      <c r="K236" s="50"/>
      <c r="L236" s="46"/>
      <c r="M236" s="47"/>
      <c r="N236" s="46"/>
      <c r="O236" s="46"/>
      <c r="P236" s="47"/>
      <c r="Q236" s="46"/>
      <c r="R236" s="46"/>
      <c r="S236" s="48"/>
      <c r="T236" s="61" t="str">
        <f>IF(Tableau1[[#This Row],[DMS_SAP]]="","",HYPERLINK(Tableau1[[#This Row],[Chemin fichier source]],"X"))</f>
        <v/>
      </c>
      <c r="U236" s="61" t="str">
        <f>IF(Tableau1[[#This Row],[Date rév.]]="","",HYPERLINK(Tableau1[[#This Row],[Lien document]],"X"))</f>
        <v/>
      </c>
      <c r="V236" s="47"/>
      <c r="W236" s="49" t="str">
        <f ca="1">Chemin_accès!$B$2&amp;Tableau1[[#This Row],[Poste Responsable]]&amp;"\"&amp;Tableau1[[#This Row],[Localisation / Classement]]&amp;"\"&amp;Tableau1[[#This Row],[Poste technique]]&amp;"_"&amp;Tableau1[[#This Row],[Plan Entretien]]&amp;".pdf"</f>
        <v>\\stjn.local\trimet\Donnees_Projets\Dms Sap\Maintenance\PlanEntretien\7.MSCT\\_.pdf</v>
      </c>
      <c r="X236" s="47"/>
      <c r="Y236" s="47"/>
      <c r="Z236" s="44" t="str">
        <f ca="1">IF(AND(Tableau1[[#This Row],[Charge]]&lt;&gt;0, Tableau1[[#This Row],[Nombre intervenants]]&lt;&gt;0,Tableau1[[#This Row],[Lien document]]&lt;&gt;0,Tableau1[[#This Row],[DMS_SAP]]&lt;&gt;0)=TRUE,"MIS A JOUR","")</f>
        <v/>
      </c>
      <c r="AA236" s="48"/>
      <c r="AB236" s="58" t="str">
        <f ca="1">IF(Tableau1[[#This Row],[Date rév.]]&lt;&gt;"", DAYS360(Tableau1[[#This Row],[Date rév.]],TODAY()),"")</f>
        <v/>
      </c>
      <c r="AC236" s="47" t="str">
        <f>IFERROR(INDEX(Chemin_accès!$B$11:$C$22,MATCH(Tableau1[[#This Row],[Type]],Chemin_accès!$C$11:$C$22,0),1),Chemin_accès!$B$11)</f>
        <v>\\stjn.local\trimet\Btechnique\Commun\BT Maint SCELLEMENT\205 - Préventifs\Modèles préventif\GammeDMS_7.MSCT.xlsm</v>
      </c>
      <c r="AD236" s="47" t="str">
        <f>Chemin_accès!$B$8&amp;Tableau1[[#This Row],[Localisation / Classement]]&amp;"\"&amp;Tableau1[[#This Row],[Poste technique]]&amp;"_"&amp;Tableau1[[#This Row],[Plan Entretien]]&amp;".xlsm"</f>
        <v>\\stjn.local\trimet\Btechnique\Commun\BT Maint SCELLEMENT\205 - Préventifs\Gammes 7.MSCT PE Tool\\_.xlsm</v>
      </c>
    </row>
    <row r="237" spans="1:30" x14ac:dyDescent="0.3">
      <c r="A237" s="44" t="str">
        <f t="shared" ca="1" si="3"/>
        <v>7.MSCT</v>
      </c>
      <c r="B2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7" s="46"/>
      <c r="D237" s="44"/>
      <c r="E237" s="44"/>
      <c r="F237" s="47"/>
      <c r="G237" s="47"/>
      <c r="H237" s="50"/>
      <c r="I237" s="50"/>
      <c r="J237" s="50"/>
      <c r="K237" s="50"/>
      <c r="L237" s="46"/>
      <c r="M237" s="47"/>
      <c r="N237" s="46"/>
      <c r="O237" s="46"/>
      <c r="P237" s="47"/>
      <c r="Q237" s="46"/>
      <c r="R237" s="46"/>
      <c r="S237" s="48"/>
      <c r="T237" s="61" t="str">
        <f>IF(Tableau1[[#This Row],[DMS_SAP]]="","",HYPERLINK(Tableau1[[#This Row],[Chemin fichier source]],"X"))</f>
        <v/>
      </c>
      <c r="U237" s="61" t="str">
        <f>IF(Tableau1[[#This Row],[Date rév.]]="","",HYPERLINK(Tableau1[[#This Row],[Lien document]],"X"))</f>
        <v/>
      </c>
      <c r="V237" s="47"/>
      <c r="W237" s="49" t="str">
        <f ca="1">Chemin_accès!$B$2&amp;Tableau1[[#This Row],[Poste Responsable]]&amp;"\"&amp;Tableau1[[#This Row],[Localisation / Classement]]&amp;"\"&amp;Tableau1[[#This Row],[Poste technique]]&amp;"_"&amp;Tableau1[[#This Row],[Plan Entretien]]&amp;".pdf"</f>
        <v>\\stjn.local\trimet\Donnees_Projets\Dms Sap\Maintenance\PlanEntretien\7.MSCT\\_.pdf</v>
      </c>
      <c r="X237" s="47"/>
      <c r="Y237" s="47"/>
      <c r="Z237" s="44" t="str">
        <f ca="1">IF(AND(Tableau1[[#This Row],[Charge]]&lt;&gt;0, Tableau1[[#This Row],[Nombre intervenants]]&lt;&gt;0,Tableau1[[#This Row],[Lien document]]&lt;&gt;0,Tableau1[[#This Row],[DMS_SAP]]&lt;&gt;0)=TRUE,"MIS A JOUR","")</f>
        <v/>
      </c>
      <c r="AA237" s="48"/>
      <c r="AB237" s="58" t="str">
        <f ca="1">IF(Tableau1[[#This Row],[Date rév.]]&lt;&gt;"", DAYS360(Tableau1[[#This Row],[Date rév.]],TODAY()),"")</f>
        <v/>
      </c>
      <c r="AC237" s="47" t="str">
        <f>IFERROR(INDEX(Chemin_accès!$B$11:$C$22,MATCH(Tableau1[[#This Row],[Type]],Chemin_accès!$C$11:$C$22,0),1),Chemin_accès!$B$11)</f>
        <v>\\stjn.local\trimet\Btechnique\Commun\BT Maint SCELLEMENT\205 - Préventifs\Modèles préventif\GammeDMS_7.MSCT.xlsm</v>
      </c>
      <c r="AD237" s="47" t="str">
        <f>Chemin_accès!$B$8&amp;Tableau1[[#This Row],[Localisation / Classement]]&amp;"\"&amp;Tableau1[[#This Row],[Poste technique]]&amp;"_"&amp;Tableau1[[#This Row],[Plan Entretien]]&amp;".xlsm"</f>
        <v>\\stjn.local\trimet\Btechnique\Commun\BT Maint SCELLEMENT\205 - Préventifs\Gammes 7.MSCT PE Tool\\_.xlsm</v>
      </c>
    </row>
    <row r="238" spans="1:30" x14ac:dyDescent="0.3">
      <c r="A238" s="44" t="str">
        <f t="shared" ca="1" si="3"/>
        <v>7.MSCT</v>
      </c>
      <c r="B2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8" s="46"/>
      <c r="D238" s="44"/>
      <c r="E238" s="44"/>
      <c r="F238" s="47"/>
      <c r="G238" s="47"/>
      <c r="H238" s="50"/>
      <c r="I238" s="50"/>
      <c r="J238" s="50"/>
      <c r="K238" s="50"/>
      <c r="L238" s="46"/>
      <c r="M238" s="47"/>
      <c r="N238" s="46"/>
      <c r="O238" s="46"/>
      <c r="P238" s="47"/>
      <c r="Q238" s="46"/>
      <c r="R238" s="46"/>
      <c r="S238" s="48"/>
      <c r="T238" s="61" t="str">
        <f>IF(Tableau1[[#This Row],[DMS_SAP]]="","",HYPERLINK(Tableau1[[#This Row],[Chemin fichier source]],"X"))</f>
        <v/>
      </c>
      <c r="U238" s="61" t="str">
        <f>IF(Tableau1[[#This Row],[Date rév.]]="","",HYPERLINK(Tableau1[[#This Row],[Lien document]],"X"))</f>
        <v/>
      </c>
      <c r="V238" s="47"/>
      <c r="W238" s="49" t="str">
        <f ca="1">Chemin_accès!$B$2&amp;Tableau1[[#This Row],[Poste Responsable]]&amp;"\"&amp;Tableau1[[#This Row],[Localisation / Classement]]&amp;"\"&amp;Tableau1[[#This Row],[Poste technique]]&amp;"_"&amp;Tableau1[[#This Row],[Plan Entretien]]&amp;".pdf"</f>
        <v>\\stjn.local\trimet\Donnees_Projets\Dms Sap\Maintenance\PlanEntretien\7.MSCT\\_.pdf</v>
      </c>
      <c r="X238" s="47"/>
      <c r="Y238" s="47"/>
      <c r="Z238" s="44" t="str">
        <f ca="1">IF(AND(Tableau1[[#This Row],[Charge]]&lt;&gt;0, Tableau1[[#This Row],[Nombre intervenants]]&lt;&gt;0,Tableau1[[#This Row],[Lien document]]&lt;&gt;0,Tableau1[[#This Row],[DMS_SAP]]&lt;&gt;0)=TRUE,"MIS A JOUR","")</f>
        <v/>
      </c>
      <c r="AA238" s="48"/>
      <c r="AB238" s="58" t="str">
        <f ca="1">IF(Tableau1[[#This Row],[Date rév.]]&lt;&gt;"", DAYS360(Tableau1[[#This Row],[Date rév.]],TODAY()),"")</f>
        <v/>
      </c>
      <c r="AC238" s="47" t="str">
        <f>IFERROR(INDEX(Chemin_accès!$B$11:$C$22,MATCH(Tableau1[[#This Row],[Type]],Chemin_accès!$C$11:$C$22,0),1),Chemin_accès!$B$11)</f>
        <v>\\stjn.local\trimet\Btechnique\Commun\BT Maint SCELLEMENT\205 - Préventifs\Modèles préventif\GammeDMS_7.MSCT.xlsm</v>
      </c>
      <c r="AD238" s="47" t="str">
        <f>Chemin_accès!$B$8&amp;Tableau1[[#This Row],[Localisation / Classement]]&amp;"\"&amp;Tableau1[[#This Row],[Poste technique]]&amp;"_"&amp;Tableau1[[#This Row],[Plan Entretien]]&amp;".xlsm"</f>
        <v>\\stjn.local\trimet\Btechnique\Commun\BT Maint SCELLEMENT\205 - Préventifs\Gammes 7.MSCT PE Tool\\_.xlsm</v>
      </c>
    </row>
    <row r="239" spans="1:30" x14ac:dyDescent="0.3">
      <c r="A239" s="44" t="str">
        <f t="shared" ca="1" si="3"/>
        <v>7.MSCT</v>
      </c>
      <c r="B2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9" s="46"/>
      <c r="D239" s="44"/>
      <c r="E239" s="44"/>
      <c r="F239" s="47"/>
      <c r="G239" s="47"/>
      <c r="H239" s="50"/>
      <c r="I239" s="50"/>
      <c r="J239" s="50"/>
      <c r="K239" s="50"/>
      <c r="L239" s="46"/>
      <c r="M239" s="47"/>
      <c r="N239" s="46"/>
      <c r="O239" s="46"/>
      <c r="P239" s="47"/>
      <c r="Q239" s="46"/>
      <c r="R239" s="46"/>
      <c r="S239" s="48"/>
      <c r="T239" s="61" t="str">
        <f>IF(Tableau1[[#This Row],[DMS_SAP]]="","",HYPERLINK(Tableau1[[#This Row],[Chemin fichier source]],"X"))</f>
        <v/>
      </c>
      <c r="U239" s="61" t="str">
        <f>IF(Tableau1[[#This Row],[Date rév.]]="","",HYPERLINK(Tableau1[[#This Row],[Lien document]],"X"))</f>
        <v/>
      </c>
      <c r="V239" s="47"/>
      <c r="W239" s="49" t="str">
        <f ca="1">Chemin_accès!$B$2&amp;Tableau1[[#This Row],[Poste Responsable]]&amp;"\"&amp;Tableau1[[#This Row],[Localisation / Classement]]&amp;"\"&amp;Tableau1[[#This Row],[Poste technique]]&amp;"_"&amp;Tableau1[[#This Row],[Plan Entretien]]&amp;".pdf"</f>
        <v>\\stjn.local\trimet\Donnees_Projets\Dms Sap\Maintenance\PlanEntretien\7.MSCT\\_.pdf</v>
      </c>
      <c r="X239" s="47"/>
      <c r="Y239" s="47"/>
      <c r="Z239" s="44" t="str">
        <f ca="1">IF(AND(Tableau1[[#This Row],[Charge]]&lt;&gt;0, Tableau1[[#This Row],[Nombre intervenants]]&lt;&gt;0,Tableau1[[#This Row],[Lien document]]&lt;&gt;0,Tableau1[[#This Row],[DMS_SAP]]&lt;&gt;0)=TRUE,"MIS A JOUR","")</f>
        <v/>
      </c>
      <c r="AA239" s="48"/>
      <c r="AB239" s="58" t="str">
        <f ca="1">IF(Tableau1[[#This Row],[Date rév.]]&lt;&gt;"", DAYS360(Tableau1[[#This Row],[Date rév.]],TODAY()),"")</f>
        <v/>
      </c>
      <c r="AC239" s="47" t="str">
        <f>IFERROR(INDEX(Chemin_accès!$B$11:$C$22,MATCH(Tableau1[[#This Row],[Type]],Chemin_accès!$C$11:$C$22,0),1),Chemin_accès!$B$11)</f>
        <v>\\stjn.local\trimet\Btechnique\Commun\BT Maint SCELLEMENT\205 - Préventifs\Modèles préventif\GammeDMS_7.MSCT.xlsm</v>
      </c>
      <c r="AD239" s="47" t="str">
        <f>Chemin_accès!$B$8&amp;Tableau1[[#This Row],[Localisation / Classement]]&amp;"\"&amp;Tableau1[[#This Row],[Poste technique]]&amp;"_"&amp;Tableau1[[#This Row],[Plan Entretien]]&amp;".xlsm"</f>
        <v>\\stjn.local\trimet\Btechnique\Commun\BT Maint SCELLEMENT\205 - Préventifs\Gammes 7.MSCT PE Tool\\_.xlsm</v>
      </c>
    </row>
    <row r="240" spans="1:30" x14ac:dyDescent="0.3">
      <c r="A240" s="44" t="str">
        <f t="shared" ca="1" si="3"/>
        <v>7.MSCT</v>
      </c>
      <c r="B2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0" s="46"/>
      <c r="D240" s="44"/>
      <c r="E240" s="44"/>
      <c r="F240" s="47"/>
      <c r="G240" s="47"/>
      <c r="H240" s="50"/>
      <c r="I240" s="50"/>
      <c r="J240" s="50"/>
      <c r="K240" s="50"/>
      <c r="L240" s="46"/>
      <c r="M240" s="47"/>
      <c r="N240" s="46"/>
      <c r="O240" s="46"/>
      <c r="P240" s="47"/>
      <c r="Q240" s="46"/>
      <c r="R240" s="46"/>
      <c r="S240" s="48"/>
      <c r="T240" s="61" t="str">
        <f>IF(Tableau1[[#This Row],[DMS_SAP]]="","",HYPERLINK(Tableau1[[#This Row],[Chemin fichier source]],"X"))</f>
        <v/>
      </c>
      <c r="U240" s="61" t="str">
        <f>IF(Tableau1[[#This Row],[Date rév.]]="","",HYPERLINK(Tableau1[[#This Row],[Lien document]],"X"))</f>
        <v/>
      </c>
      <c r="V240" s="47"/>
      <c r="W240" s="49" t="str">
        <f ca="1">Chemin_accès!$B$2&amp;Tableau1[[#This Row],[Poste Responsable]]&amp;"\"&amp;Tableau1[[#This Row],[Localisation / Classement]]&amp;"\"&amp;Tableau1[[#This Row],[Poste technique]]&amp;"_"&amp;Tableau1[[#This Row],[Plan Entretien]]&amp;".pdf"</f>
        <v>\\stjn.local\trimet\Donnees_Projets\Dms Sap\Maintenance\PlanEntretien\7.MSCT\\_.pdf</v>
      </c>
      <c r="X240" s="47"/>
      <c r="Y240" s="47"/>
      <c r="Z240" s="44" t="str">
        <f ca="1">IF(AND(Tableau1[[#This Row],[Charge]]&lt;&gt;0, Tableau1[[#This Row],[Nombre intervenants]]&lt;&gt;0,Tableau1[[#This Row],[Lien document]]&lt;&gt;0,Tableau1[[#This Row],[DMS_SAP]]&lt;&gt;0)=TRUE,"MIS A JOUR","")</f>
        <v/>
      </c>
      <c r="AA240" s="48"/>
      <c r="AB240" s="58" t="str">
        <f ca="1">IF(Tableau1[[#This Row],[Date rév.]]&lt;&gt;"", DAYS360(Tableau1[[#This Row],[Date rév.]],TODAY()),"")</f>
        <v/>
      </c>
      <c r="AC240" s="47" t="str">
        <f>IFERROR(INDEX(Chemin_accès!$B$11:$C$22,MATCH(Tableau1[[#This Row],[Type]],Chemin_accès!$C$11:$C$22,0),1),Chemin_accès!$B$11)</f>
        <v>\\stjn.local\trimet\Btechnique\Commun\BT Maint SCELLEMENT\205 - Préventifs\Modèles préventif\GammeDMS_7.MSCT.xlsm</v>
      </c>
      <c r="AD240" s="47" t="str">
        <f>Chemin_accès!$B$8&amp;Tableau1[[#This Row],[Localisation / Classement]]&amp;"\"&amp;Tableau1[[#This Row],[Poste technique]]&amp;"_"&amp;Tableau1[[#This Row],[Plan Entretien]]&amp;".xlsm"</f>
        <v>\\stjn.local\trimet\Btechnique\Commun\BT Maint SCELLEMENT\205 - Préventifs\Gammes 7.MSCT PE Tool\\_.xlsm</v>
      </c>
    </row>
    <row r="241" spans="1:30" x14ac:dyDescent="0.3">
      <c r="A241" s="44" t="str">
        <f t="shared" ca="1" si="3"/>
        <v>7.MSCT</v>
      </c>
      <c r="B2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1" s="46"/>
      <c r="D241" s="44"/>
      <c r="E241" s="44"/>
      <c r="F241" s="47"/>
      <c r="G241" s="47"/>
      <c r="H241" s="50"/>
      <c r="I241" s="50"/>
      <c r="J241" s="50"/>
      <c r="K241" s="50"/>
      <c r="L241" s="46"/>
      <c r="M241" s="47"/>
      <c r="N241" s="46"/>
      <c r="O241" s="46"/>
      <c r="P241" s="47"/>
      <c r="Q241" s="46"/>
      <c r="R241" s="46"/>
      <c r="S241" s="48"/>
      <c r="T241" s="61" t="str">
        <f>IF(Tableau1[[#This Row],[DMS_SAP]]="","",HYPERLINK(Tableau1[[#This Row],[Chemin fichier source]],"X"))</f>
        <v/>
      </c>
      <c r="U241" s="61" t="str">
        <f>IF(Tableau1[[#This Row],[Date rév.]]="","",HYPERLINK(Tableau1[[#This Row],[Lien document]],"X"))</f>
        <v/>
      </c>
      <c r="V241" s="47"/>
      <c r="W241" s="49" t="str">
        <f ca="1">Chemin_accès!$B$2&amp;Tableau1[[#This Row],[Poste Responsable]]&amp;"\"&amp;Tableau1[[#This Row],[Localisation / Classement]]&amp;"\"&amp;Tableau1[[#This Row],[Poste technique]]&amp;"_"&amp;Tableau1[[#This Row],[Plan Entretien]]&amp;".pdf"</f>
        <v>\\stjn.local\trimet\Donnees_Projets\Dms Sap\Maintenance\PlanEntretien\7.MSCT\\_.pdf</v>
      </c>
      <c r="X241" s="47"/>
      <c r="Y241" s="47"/>
      <c r="Z241" s="44" t="str">
        <f ca="1">IF(AND(Tableau1[[#This Row],[Charge]]&lt;&gt;0, Tableau1[[#This Row],[Nombre intervenants]]&lt;&gt;0,Tableau1[[#This Row],[Lien document]]&lt;&gt;0,Tableau1[[#This Row],[DMS_SAP]]&lt;&gt;0)=TRUE,"MIS A JOUR","")</f>
        <v/>
      </c>
      <c r="AA241" s="48"/>
      <c r="AB241" s="58" t="str">
        <f ca="1">IF(Tableau1[[#This Row],[Date rév.]]&lt;&gt;"", DAYS360(Tableau1[[#This Row],[Date rév.]],TODAY()),"")</f>
        <v/>
      </c>
      <c r="AC241" s="47" t="str">
        <f>IFERROR(INDEX(Chemin_accès!$B$11:$C$22,MATCH(Tableau1[[#This Row],[Type]],Chemin_accès!$C$11:$C$22,0),1),Chemin_accès!$B$11)</f>
        <v>\\stjn.local\trimet\Btechnique\Commun\BT Maint SCELLEMENT\205 - Préventifs\Modèles préventif\GammeDMS_7.MSCT.xlsm</v>
      </c>
      <c r="AD241" s="47" t="str">
        <f>Chemin_accès!$B$8&amp;Tableau1[[#This Row],[Localisation / Classement]]&amp;"\"&amp;Tableau1[[#This Row],[Poste technique]]&amp;"_"&amp;Tableau1[[#This Row],[Plan Entretien]]&amp;".xlsm"</f>
        <v>\\stjn.local\trimet\Btechnique\Commun\BT Maint SCELLEMENT\205 - Préventifs\Gammes 7.MSCT PE Tool\\_.xlsm</v>
      </c>
    </row>
    <row r="242" spans="1:30" x14ac:dyDescent="0.3">
      <c r="A242" s="44" t="str">
        <f t="shared" ca="1" si="3"/>
        <v>7.MSCT</v>
      </c>
      <c r="B2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2" s="46"/>
      <c r="D242" s="44"/>
      <c r="E242" s="44"/>
      <c r="F242" s="47"/>
      <c r="G242" s="47"/>
      <c r="H242" s="50"/>
      <c r="I242" s="50"/>
      <c r="J242" s="50"/>
      <c r="K242" s="50"/>
      <c r="L242" s="46"/>
      <c r="M242" s="47"/>
      <c r="N242" s="46"/>
      <c r="O242" s="46"/>
      <c r="P242" s="47"/>
      <c r="Q242" s="46"/>
      <c r="R242" s="46"/>
      <c r="S242" s="48"/>
      <c r="T242" s="61" t="str">
        <f>IF(Tableau1[[#This Row],[DMS_SAP]]="","",HYPERLINK(Tableau1[[#This Row],[Chemin fichier source]],"X"))</f>
        <v/>
      </c>
      <c r="U242" s="61" t="str">
        <f>IF(Tableau1[[#This Row],[Date rév.]]="","",HYPERLINK(Tableau1[[#This Row],[Lien document]],"X"))</f>
        <v/>
      </c>
      <c r="V242" s="47"/>
      <c r="W242" s="49" t="str">
        <f ca="1">Chemin_accès!$B$2&amp;Tableau1[[#This Row],[Poste Responsable]]&amp;"\"&amp;Tableau1[[#This Row],[Localisation / Classement]]&amp;"\"&amp;Tableau1[[#This Row],[Poste technique]]&amp;"_"&amp;Tableau1[[#This Row],[Plan Entretien]]&amp;".pdf"</f>
        <v>\\stjn.local\trimet\Donnees_Projets\Dms Sap\Maintenance\PlanEntretien\7.MSCT\\_.pdf</v>
      </c>
      <c r="X242" s="47"/>
      <c r="Y242" s="47"/>
      <c r="Z242" s="44" t="str">
        <f ca="1">IF(AND(Tableau1[[#This Row],[Charge]]&lt;&gt;0, Tableau1[[#This Row],[Nombre intervenants]]&lt;&gt;0,Tableau1[[#This Row],[Lien document]]&lt;&gt;0,Tableau1[[#This Row],[DMS_SAP]]&lt;&gt;0)=TRUE,"MIS A JOUR","")</f>
        <v/>
      </c>
      <c r="AA242" s="48"/>
      <c r="AB242" s="58" t="str">
        <f ca="1">IF(Tableau1[[#This Row],[Date rév.]]&lt;&gt;"", DAYS360(Tableau1[[#This Row],[Date rév.]],TODAY()),"")</f>
        <v/>
      </c>
      <c r="AC242" s="47" t="str">
        <f>IFERROR(INDEX(Chemin_accès!$B$11:$C$22,MATCH(Tableau1[[#This Row],[Type]],Chemin_accès!$C$11:$C$22,0),1),Chemin_accès!$B$11)</f>
        <v>\\stjn.local\trimet\Btechnique\Commun\BT Maint SCELLEMENT\205 - Préventifs\Modèles préventif\GammeDMS_7.MSCT.xlsm</v>
      </c>
      <c r="AD242" s="47" t="str">
        <f>Chemin_accès!$B$8&amp;Tableau1[[#This Row],[Localisation / Classement]]&amp;"\"&amp;Tableau1[[#This Row],[Poste technique]]&amp;"_"&amp;Tableau1[[#This Row],[Plan Entretien]]&amp;".xlsm"</f>
        <v>\\stjn.local\trimet\Btechnique\Commun\BT Maint SCELLEMENT\205 - Préventifs\Gammes 7.MSCT PE Tool\\_.xlsm</v>
      </c>
    </row>
    <row r="243" spans="1:30" x14ac:dyDescent="0.3">
      <c r="A243" s="44" t="str">
        <f t="shared" ca="1" si="3"/>
        <v>7.MSCT</v>
      </c>
      <c r="B2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3" s="46"/>
      <c r="D243" s="44"/>
      <c r="E243" s="44"/>
      <c r="F243" s="47"/>
      <c r="G243" s="47"/>
      <c r="H243" s="50"/>
      <c r="I243" s="50"/>
      <c r="J243" s="50"/>
      <c r="K243" s="50"/>
      <c r="L243" s="46"/>
      <c r="M243" s="47"/>
      <c r="N243" s="46"/>
      <c r="O243" s="46"/>
      <c r="P243" s="47"/>
      <c r="Q243" s="46"/>
      <c r="R243" s="46"/>
      <c r="S243" s="48"/>
      <c r="T243" s="61" t="str">
        <f>IF(Tableau1[[#This Row],[DMS_SAP]]="","",HYPERLINK(Tableau1[[#This Row],[Chemin fichier source]],"X"))</f>
        <v/>
      </c>
      <c r="U243" s="61" t="str">
        <f>IF(Tableau1[[#This Row],[Date rév.]]="","",HYPERLINK(Tableau1[[#This Row],[Lien document]],"X"))</f>
        <v/>
      </c>
      <c r="V243" s="47"/>
      <c r="W243" s="49" t="str">
        <f ca="1">Chemin_accès!$B$2&amp;Tableau1[[#This Row],[Poste Responsable]]&amp;"\"&amp;Tableau1[[#This Row],[Localisation / Classement]]&amp;"\"&amp;Tableau1[[#This Row],[Poste technique]]&amp;"_"&amp;Tableau1[[#This Row],[Plan Entretien]]&amp;".pdf"</f>
        <v>\\stjn.local\trimet\Donnees_Projets\Dms Sap\Maintenance\PlanEntretien\7.MSCT\\_.pdf</v>
      </c>
      <c r="X243" s="47"/>
      <c r="Y243" s="47"/>
      <c r="Z243" s="44" t="str">
        <f ca="1">IF(AND(Tableau1[[#This Row],[Charge]]&lt;&gt;0, Tableau1[[#This Row],[Nombre intervenants]]&lt;&gt;0,Tableau1[[#This Row],[Lien document]]&lt;&gt;0,Tableau1[[#This Row],[DMS_SAP]]&lt;&gt;0)=TRUE,"MIS A JOUR","")</f>
        <v/>
      </c>
      <c r="AA243" s="48"/>
      <c r="AB243" s="58" t="str">
        <f ca="1">IF(Tableau1[[#This Row],[Date rév.]]&lt;&gt;"", DAYS360(Tableau1[[#This Row],[Date rév.]],TODAY()),"")</f>
        <v/>
      </c>
      <c r="AC243" s="47" t="str">
        <f>IFERROR(INDEX(Chemin_accès!$B$11:$C$22,MATCH(Tableau1[[#This Row],[Type]],Chemin_accès!$C$11:$C$22,0),1),Chemin_accès!$B$11)</f>
        <v>\\stjn.local\trimet\Btechnique\Commun\BT Maint SCELLEMENT\205 - Préventifs\Modèles préventif\GammeDMS_7.MSCT.xlsm</v>
      </c>
      <c r="AD243" s="47" t="str">
        <f>Chemin_accès!$B$8&amp;Tableau1[[#This Row],[Localisation / Classement]]&amp;"\"&amp;Tableau1[[#This Row],[Poste technique]]&amp;"_"&amp;Tableau1[[#This Row],[Plan Entretien]]&amp;".xlsm"</f>
        <v>\\stjn.local\trimet\Btechnique\Commun\BT Maint SCELLEMENT\205 - Préventifs\Gammes 7.MSCT PE Tool\\_.xlsm</v>
      </c>
    </row>
    <row r="244" spans="1:30" x14ac:dyDescent="0.3">
      <c r="A244" s="44" t="str">
        <f t="shared" ca="1" si="3"/>
        <v>7.MSCT</v>
      </c>
      <c r="B2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4" s="46"/>
      <c r="D244" s="44"/>
      <c r="E244" s="44"/>
      <c r="F244" s="47"/>
      <c r="G244" s="47"/>
      <c r="H244" s="50"/>
      <c r="I244" s="50"/>
      <c r="J244" s="50"/>
      <c r="K244" s="50"/>
      <c r="L244" s="46"/>
      <c r="M244" s="47"/>
      <c r="N244" s="46"/>
      <c r="O244" s="46"/>
      <c r="P244" s="47"/>
      <c r="Q244" s="46"/>
      <c r="R244" s="46"/>
      <c r="S244" s="48"/>
      <c r="T244" s="61" t="str">
        <f>IF(Tableau1[[#This Row],[DMS_SAP]]="","",HYPERLINK(Tableau1[[#This Row],[Chemin fichier source]],"X"))</f>
        <v/>
      </c>
      <c r="U244" s="61" t="str">
        <f>IF(Tableau1[[#This Row],[Date rév.]]="","",HYPERLINK(Tableau1[[#This Row],[Lien document]],"X"))</f>
        <v/>
      </c>
      <c r="V244" s="47"/>
      <c r="W244" s="49" t="str">
        <f ca="1">Chemin_accès!$B$2&amp;Tableau1[[#This Row],[Poste Responsable]]&amp;"\"&amp;Tableau1[[#This Row],[Localisation / Classement]]&amp;"\"&amp;Tableau1[[#This Row],[Poste technique]]&amp;"_"&amp;Tableau1[[#This Row],[Plan Entretien]]&amp;".pdf"</f>
        <v>\\stjn.local\trimet\Donnees_Projets\Dms Sap\Maintenance\PlanEntretien\7.MSCT\\_.pdf</v>
      </c>
      <c r="X244" s="47"/>
      <c r="Y244" s="47"/>
      <c r="Z244" s="44" t="str">
        <f ca="1">IF(AND(Tableau1[[#This Row],[Charge]]&lt;&gt;0, Tableau1[[#This Row],[Nombre intervenants]]&lt;&gt;0,Tableau1[[#This Row],[Lien document]]&lt;&gt;0,Tableau1[[#This Row],[DMS_SAP]]&lt;&gt;0)=TRUE,"MIS A JOUR","")</f>
        <v/>
      </c>
      <c r="AA244" s="48"/>
      <c r="AB244" s="58" t="str">
        <f ca="1">IF(Tableau1[[#This Row],[Date rév.]]&lt;&gt;"", DAYS360(Tableau1[[#This Row],[Date rév.]],TODAY()),"")</f>
        <v/>
      </c>
      <c r="AC244" s="47" t="str">
        <f>IFERROR(INDEX(Chemin_accès!$B$11:$C$22,MATCH(Tableau1[[#This Row],[Type]],Chemin_accès!$C$11:$C$22,0),1),Chemin_accès!$B$11)</f>
        <v>\\stjn.local\trimet\Btechnique\Commun\BT Maint SCELLEMENT\205 - Préventifs\Modèles préventif\GammeDMS_7.MSCT.xlsm</v>
      </c>
      <c r="AD244" s="47" t="str">
        <f>Chemin_accès!$B$8&amp;Tableau1[[#This Row],[Localisation / Classement]]&amp;"\"&amp;Tableau1[[#This Row],[Poste technique]]&amp;"_"&amp;Tableau1[[#This Row],[Plan Entretien]]&amp;".xlsm"</f>
        <v>\\stjn.local\trimet\Btechnique\Commun\BT Maint SCELLEMENT\205 - Préventifs\Gammes 7.MSCT PE Tool\\_.xlsm</v>
      </c>
    </row>
    <row r="245" spans="1:30" x14ac:dyDescent="0.3">
      <c r="A245" s="44" t="str">
        <f t="shared" ca="1" si="3"/>
        <v>7.MSCT</v>
      </c>
      <c r="B2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5" s="46"/>
      <c r="D245" s="44"/>
      <c r="E245" s="44"/>
      <c r="F245" s="47"/>
      <c r="G245" s="47"/>
      <c r="H245" s="50"/>
      <c r="I245" s="50"/>
      <c r="J245" s="50"/>
      <c r="K245" s="50"/>
      <c r="L245" s="46"/>
      <c r="M245" s="47"/>
      <c r="N245" s="46"/>
      <c r="O245" s="46"/>
      <c r="P245" s="47"/>
      <c r="Q245" s="46"/>
      <c r="R245" s="46"/>
      <c r="S245" s="48"/>
      <c r="T245" s="61" t="str">
        <f>IF(Tableau1[[#This Row],[DMS_SAP]]="","",HYPERLINK(Tableau1[[#This Row],[Chemin fichier source]],"X"))</f>
        <v/>
      </c>
      <c r="U245" s="61" t="str">
        <f>IF(Tableau1[[#This Row],[Date rév.]]="","",HYPERLINK(Tableau1[[#This Row],[Lien document]],"X"))</f>
        <v/>
      </c>
      <c r="V245" s="47"/>
      <c r="W245" s="49" t="str">
        <f ca="1">Chemin_accès!$B$2&amp;Tableau1[[#This Row],[Poste Responsable]]&amp;"\"&amp;Tableau1[[#This Row],[Localisation / Classement]]&amp;"\"&amp;Tableau1[[#This Row],[Poste technique]]&amp;"_"&amp;Tableau1[[#This Row],[Plan Entretien]]&amp;".pdf"</f>
        <v>\\stjn.local\trimet\Donnees_Projets\Dms Sap\Maintenance\PlanEntretien\7.MSCT\\_.pdf</v>
      </c>
      <c r="X245" s="47"/>
      <c r="Y245" s="47"/>
      <c r="Z245" s="44" t="str">
        <f ca="1">IF(AND(Tableau1[[#This Row],[Charge]]&lt;&gt;0, Tableau1[[#This Row],[Nombre intervenants]]&lt;&gt;0,Tableau1[[#This Row],[Lien document]]&lt;&gt;0,Tableau1[[#This Row],[DMS_SAP]]&lt;&gt;0)=TRUE,"MIS A JOUR","")</f>
        <v/>
      </c>
      <c r="AA245" s="48"/>
      <c r="AB245" s="58" t="str">
        <f ca="1">IF(Tableau1[[#This Row],[Date rév.]]&lt;&gt;"", DAYS360(Tableau1[[#This Row],[Date rév.]],TODAY()),"")</f>
        <v/>
      </c>
      <c r="AC245" s="47" t="str">
        <f>IFERROR(INDEX(Chemin_accès!$B$11:$C$22,MATCH(Tableau1[[#This Row],[Type]],Chemin_accès!$C$11:$C$22,0),1),Chemin_accès!$B$11)</f>
        <v>\\stjn.local\trimet\Btechnique\Commun\BT Maint SCELLEMENT\205 - Préventifs\Modèles préventif\GammeDMS_7.MSCT.xlsm</v>
      </c>
      <c r="AD245" s="47" t="str">
        <f>Chemin_accès!$B$8&amp;Tableau1[[#This Row],[Localisation / Classement]]&amp;"\"&amp;Tableau1[[#This Row],[Poste technique]]&amp;"_"&amp;Tableau1[[#This Row],[Plan Entretien]]&amp;".xlsm"</f>
        <v>\\stjn.local\trimet\Btechnique\Commun\BT Maint SCELLEMENT\205 - Préventifs\Gammes 7.MSCT PE Tool\\_.xlsm</v>
      </c>
    </row>
    <row r="246" spans="1:30" x14ac:dyDescent="0.3">
      <c r="A246" s="44" t="str">
        <f t="shared" ca="1" si="3"/>
        <v>7.MSCT</v>
      </c>
      <c r="B2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6" s="46"/>
      <c r="D246" s="44"/>
      <c r="E246" s="44"/>
      <c r="F246" s="47"/>
      <c r="G246" s="47"/>
      <c r="H246" s="50"/>
      <c r="I246" s="50"/>
      <c r="J246" s="50"/>
      <c r="K246" s="50"/>
      <c r="L246" s="46"/>
      <c r="M246" s="47"/>
      <c r="N246" s="46"/>
      <c r="O246" s="46"/>
      <c r="P246" s="47"/>
      <c r="Q246" s="46"/>
      <c r="R246" s="46"/>
      <c r="S246" s="48"/>
      <c r="T246" s="61" t="str">
        <f>IF(Tableau1[[#This Row],[DMS_SAP]]="","",HYPERLINK(Tableau1[[#This Row],[Chemin fichier source]],"X"))</f>
        <v/>
      </c>
      <c r="U246" s="61" t="str">
        <f>IF(Tableau1[[#This Row],[Date rév.]]="","",HYPERLINK(Tableau1[[#This Row],[Lien document]],"X"))</f>
        <v/>
      </c>
      <c r="V246" s="47"/>
      <c r="W246" s="49" t="str">
        <f ca="1">Chemin_accès!$B$2&amp;Tableau1[[#This Row],[Poste Responsable]]&amp;"\"&amp;Tableau1[[#This Row],[Localisation / Classement]]&amp;"\"&amp;Tableau1[[#This Row],[Poste technique]]&amp;"_"&amp;Tableau1[[#This Row],[Plan Entretien]]&amp;".pdf"</f>
        <v>\\stjn.local\trimet\Donnees_Projets\Dms Sap\Maintenance\PlanEntretien\7.MSCT\\_.pdf</v>
      </c>
      <c r="X246" s="47"/>
      <c r="Y246" s="47"/>
      <c r="Z246" s="44" t="str">
        <f ca="1">IF(AND(Tableau1[[#This Row],[Charge]]&lt;&gt;0, Tableau1[[#This Row],[Nombre intervenants]]&lt;&gt;0,Tableau1[[#This Row],[Lien document]]&lt;&gt;0,Tableau1[[#This Row],[DMS_SAP]]&lt;&gt;0)=TRUE,"MIS A JOUR","")</f>
        <v/>
      </c>
      <c r="AA246" s="48"/>
      <c r="AB246" s="58" t="str">
        <f ca="1">IF(Tableau1[[#This Row],[Date rév.]]&lt;&gt;"", DAYS360(Tableau1[[#This Row],[Date rév.]],TODAY()),"")</f>
        <v/>
      </c>
      <c r="AC246" s="47" t="str">
        <f>IFERROR(INDEX(Chemin_accès!$B$11:$C$22,MATCH(Tableau1[[#This Row],[Type]],Chemin_accès!$C$11:$C$22,0),1),Chemin_accès!$B$11)</f>
        <v>\\stjn.local\trimet\Btechnique\Commun\BT Maint SCELLEMENT\205 - Préventifs\Modèles préventif\GammeDMS_7.MSCT.xlsm</v>
      </c>
      <c r="AD246" s="47" t="str">
        <f>Chemin_accès!$B$8&amp;Tableau1[[#This Row],[Localisation / Classement]]&amp;"\"&amp;Tableau1[[#This Row],[Poste technique]]&amp;"_"&amp;Tableau1[[#This Row],[Plan Entretien]]&amp;".xlsm"</f>
        <v>\\stjn.local\trimet\Btechnique\Commun\BT Maint SCELLEMENT\205 - Préventifs\Gammes 7.MSCT PE Tool\\_.xlsm</v>
      </c>
    </row>
    <row r="247" spans="1:30" x14ac:dyDescent="0.3">
      <c r="A247" s="44" t="str">
        <f t="shared" ca="1" si="3"/>
        <v>7.MSCT</v>
      </c>
      <c r="B2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7" s="46"/>
      <c r="D247" s="44"/>
      <c r="E247" s="44"/>
      <c r="F247" s="47"/>
      <c r="G247" s="47"/>
      <c r="H247" s="50"/>
      <c r="I247" s="50"/>
      <c r="J247" s="50"/>
      <c r="K247" s="50"/>
      <c r="L247" s="46"/>
      <c r="M247" s="47"/>
      <c r="N247" s="46"/>
      <c r="O247" s="46"/>
      <c r="P247" s="47"/>
      <c r="Q247" s="46"/>
      <c r="R247" s="46"/>
      <c r="S247" s="48"/>
      <c r="T247" s="61" t="str">
        <f>IF(Tableau1[[#This Row],[DMS_SAP]]="","",HYPERLINK(Tableau1[[#This Row],[Chemin fichier source]],"X"))</f>
        <v/>
      </c>
      <c r="U247" s="61" t="str">
        <f>IF(Tableau1[[#This Row],[Date rév.]]="","",HYPERLINK(Tableau1[[#This Row],[Lien document]],"X"))</f>
        <v/>
      </c>
      <c r="V247" s="47"/>
      <c r="W247" s="49" t="str">
        <f ca="1">Chemin_accès!$B$2&amp;Tableau1[[#This Row],[Poste Responsable]]&amp;"\"&amp;Tableau1[[#This Row],[Localisation / Classement]]&amp;"\"&amp;Tableau1[[#This Row],[Poste technique]]&amp;"_"&amp;Tableau1[[#This Row],[Plan Entretien]]&amp;".pdf"</f>
        <v>\\stjn.local\trimet\Donnees_Projets\Dms Sap\Maintenance\PlanEntretien\7.MSCT\\_.pdf</v>
      </c>
      <c r="X247" s="47"/>
      <c r="Y247" s="47"/>
      <c r="Z247" s="44" t="str">
        <f ca="1">IF(AND(Tableau1[[#This Row],[Charge]]&lt;&gt;0, Tableau1[[#This Row],[Nombre intervenants]]&lt;&gt;0,Tableau1[[#This Row],[Lien document]]&lt;&gt;0,Tableau1[[#This Row],[DMS_SAP]]&lt;&gt;0)=TRUE,"MIS A JOUR","")</f>
        <v/>
      </c>
      <c r="AA247" s="48"/>
      <c r="AB247" s="58" t="str">
        <f ca="1">IF(Tableau1[[#This Row],[Date rév.]]&lt;&gt;"", DAYS360(Tableau1[[#This Row],[Date rév.]],TODAY()),"")</f>
        <v/>
      </c>
      <c r="AC247" s="47" t="str">
        <f>IFERROR(INDEX(Chemin_accès!$B$11:$C$22,MATCH(Tableau1[[#This Row],[Type]],Chemin_accès!$C$11:$C$22,0),1),Chemin_accès!$B$11)</f>
        <v>\\stjn.local\trimet\Btechnique\Commun\BT Maint SCELLEMENT\205 - Préventifs\Modèles préventif\GammeDMS_7.MSCT.xlsm</v>
      </c>
      <c r="AD247" s="47" t="str">
        <f>Chemin_accès!$B$8&amp;Tableau1[[#This Row],[Localisation / Classement]]&amp;"\"&amp;Tableau1[[#This Row],[Poste technique]]&amp;"_"&amp;Tableau1[[#This Row],[Plan Entretien]]&amp;".xlsm"</f>
        <v>\\stjn.local\trimet\Btechnique\Commun\BT Maint SCELLEMENT\205 - Préventifs\Gammes 7.MSCT PE Tool\\_.xlsm</v>
      </c>
    </row>
    <row r="248" spans="1:30" x14ac:dyDescent="0.3">
      <c r="A248" s="44" t="str">
        <f t="shared" ca="1" si="3"/>
        <v>7.MSCT</v>
      </c>
      <c r="B2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8" s="46"/>
      <c r="D248" s="44"/>
      <c r="E248" s="44"/>
      <c r="F248" s="47"/>
      <c r="G248" s="47"/>
      <c r="H248" s="50"/>
      <c r="I248" s="50"/>
      <c r="J248" s="50"/>
      <c r="K248" s="50"/>
      <c r="L248" s="46"/>
      <c r="M248" s="47"/>
      <c r="N248" s="46"/>
      <c r="O248" s="46"/>
      <c r="P248" s="47"/>
      <c r="Q248" s="46"/>
      <c r="R248" s="46"/>
      <c r="S248" s="48"/>
      <c r="T248" s="61" t="str">
        <f>IF(Tableau1[[#This Row],[DMS_SAP]]="","",HYPERLINK(Tableau1[[#This Row],[Chemin fichier source]],"X"))</f>
        <v/>
      </c>
      <c r="U248" s="61" t="str">
        <f>IF(Tableau1[[#This Row],[Date rév.]]="","",HYPERLINK(Tableau1[[#This Row],[Lien document]],"X"))</f>
        <v/>
      </c>
      <c r="V248" s="47"/>
      <c r="W248" s="49" t="str">
        <f ca="1">Chemin_accès!$B$2&amp;Tableau1[[#This Row],[Poste Responsable]]&amp;"\"&amp;Tableau1[[#This Row],[Localisation / Classement]]&amp;"\"&amp;Tableau1[[#This Row],[Poste technique]]&amp;"_"&amp;Tableau1[[#This Row],[Plan Entretien]]&amp;".pdf"</f>
        <v>\\stjn.local\trimet\Donnees_Projets\Dms Sap\Maintenance\PlanEntretien\7.MSCT\\_.pdf</v>
      </c>
      <c r="X248" s="47"/>
      <c r="Y248" s="47"/>
      <c r="Z248" s="44" t="str">
        <f ca="1">IF(AND(Tableau1[[#This Row],[Charge]]&lt;&gt;0, Tableau1[[#This Row],[Nombre intervenants]]&lt;&gt;0,Tableau1[[#This Row],[Lien document]]&lt;&gt;0,Tableau1[[#This Row],[DMS_SAP]]&lt;&gt;0)=TRUE,"MIS A JOUR","")</f>
        <v/>
      </c>
      <c r="AA248" s="48"/>
      <c r="AB248" s="58" t="str">
        <f ca="1">IF(Tableau1[[#This Row],[Date rév.]]&lt;&gt;"", DAYS360(Tableau1[[#This Row],[Date rév.]],TODAY()),"")</f>
        <v/>
      </c>
      <c r="AC248" s="47" t="str">
        <f>IFERROR(INDEX(Chemin_accès!$B$11:$C$22,MATCH(Tableau1[[#This Row],[Type]],Chemin_accès!$C$11:$C$22,0),1),Chemin_accès!$B$11)</f>
        <v>\\stjn.local\trimet\Btechnique\Commun\BT Maint SCELLEMENT\205 - Préventifs\Modèles préventif\GammeDMS_7.MSCT.xlsm</v>
      </c>
      <c r="AD248" s="47" t="str">
        <f>Chemin_accès!$B$8&amp;Tableau1[[#This Row],[Localisation / Classement]]&amp;"\"&amp;Tableau1[[#This Row],[Poste technique]]&amp;"_"&amp;Tableau1[[#This Row],[Plan Entretien]]&amp;".xlsm"</f>
        <v>\\stjn.local\trimet\Btechnique\Commun\BT Maint SCELLEMENT\205 - Préventifs\Gammes 7.MSCT PE Tool\\_.xlsm</v>
      </c>
    </row>
    <row r="249" spans="1:30" x14ac:dyDescent="0.3">
      <c r="A249" s="44" t="str">
        <f t="shared" ca="1" si="3"/>
        <v>7.MSCT</v>
      </c>
      <c r="B2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49" s="46"/>
      <c r="D249" s="44"/>
      <c r="E249" s="44"/>
      <c r="F249" s="47"/>
      <c r="G249" s="47"/>
      <c r="H249" s="50"/>
      <c r="I249" s="50"/>
      <c r="J249" s="50"/>
      <c r="K249" s="50"/>
      <c r="L249" s="46"/>
      <c r="M249" s="47"/>
      <c r="N249" s="46"/>
      <c r="O249" s="46"/>
      <c r="P249" s="47"/>
      <c r="Q249" s="46"/>
      <c r="R249" s="46"/>
      <c r="S249" s="48"/>
      <c r="T249" s="61" t="str">
        <f>IF(Tableau1[[#This Row],[DMS_SAP]]="","",HYPERLINK(Tableau1[[#This Row],[Chemin fichier source]],"X"))</f>
        <v/>
      </c>
      <c r="U249" s="61" t="str">
        <f>IF(Tableau1[[#This Row],[Date rév.]]="","",HYPERLINK(Tableau1[[#This Row],[Lien document]],"X"))</f>
        <v/>
      </c>
      <c r="V249" s="47"/>
      <c r="W249" s="49" t="str">
        <f ca="1">Chemin_accès!$B$2&amp;Tableau1[[#This Row],[Poste Responsable]]&amp;"\"&amp;Tableau1[[#This Row],[Localisation / Classement]]&amp;"\"&amp;Tableau1[[#This Row],[Poste technique]]&amp;"_"&amp;Tableau1[[#This Row],[Plan Entretien]]&amp;".pdf"</f>
        <v>\\stjn.local\trimet\Donnees_Projets\Dms Sap\Maintenance\PlanEntretien\7.MSCT\\_.pdf</v>
      </c>
      <c r="X249" s="47"/>
      <c r="Y249" s="47"/>
      <c r="Z249" s="44" t="str">
        <f ca="1">IF(AND(Tableau1[[#This Row],[Charge]]&lt;&gt;0, Tableau1[[#This Row],[Nombre intervenants]]&lt;&gt;0,Tableau1[[#This Row],[Lien document]]&lt;&gt;0,Tableau1[[#This Row],[DMS_SAP]]&lt;&gt;0)=TRUE,"MIS A JOUR","")</f>
        <v/>
      </c>
      <c r="AA249" s="48"/>
      <c r="AB249" s="58" t="str">
        <f ca="1">IF(Tableau1[[#This Row],[Date rév.]]&lt;&gt;"", DAYS360(Tableau1[[#This Row],[Date rév.]],TODAY()),"")</f>
        <v/>
      </c>
      <c r="AC249" s="47" t="str">
        <f>IFERROR(INDEX(Chemin_accès!$B$11:$C$22,MATCH(Tableau1[[#This Row],[Type]],Chemin_accès!$C$11:$C$22,0),1),Chemin_accès!$B$11)</f>
        <v>\\stjn.local\trimet\Btechnique\Commun\BT Maint SCELLEMENT\205 - Préventifs\Modèles préventif\GammeDMS_7.MSCT.xlsm</v>
      </c>
      <c r="AD249" s="47" t="str">
        <f>Chemin_accès!$B$8&amp;Tableau1[[#This Row],[Localisation / Classement]]&amp;"\"&amp;Tableau1[[#This Row],[Poste technique]]&amp;"_"&amp;Tableau1[[#This Row],[Plan Entretien]]&amp;".xlsm"</f>
        <v>\\stjn.local\trimet\Btechnique\Commun\BT Maint SCELLEMENT\205 - Préventifs\Gammes 7.MSCT PE Tool\\_.xlsm</v>
      </c>
    </row>
    <row r="250" spans="1:30" x14ac:dyDescent="0.3">
      <c r="A250" s="44" t="str">
        <f t="shared" ca="1" si="3"/>
        <v>7.MSCT</v>
      </c>
      <c r="B2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0" s="46"/>
      <c r="D250" s="44"/>
      <c r="E250" s="44"/>
      <c r="F250" s="47"/>
      <c r="G250" s="47"/>
      <c r="H250" s="50"/>
      <c r="I250" s="50"/>
      <c r="J250" s="50"/>
      <c r="K250" s="50"/>
      <c r="L250" s="46"/>
      <c r="M250" s="47"/>
      <c r="N250" s="46"/>
      <c r="O250" s="46"/>
      <c r="P250" s="47"/>
      <c r="Q250" s="46"/>
      <c r="R250" s="46"/>
      <c r="S250" s="48"/>
      <c r="T250" s="61" t="str">
        <f>IF(Tableau1[[#This Row],[DMS_SAP]]="","",HYPERLINK(Tableau1[[#This Row],[Chemin fichier source]],"X"))</f>
        <v/>
      </c>
      <c r="U250" s="61" t="str">
        <f>IF(Tableau1[[#This Row],[Date rév.]]="","",HYPERLINK(Tableau1[[#This Row],[Lien document]],"X"))</f>
        <v/>
      </c>
      <c r="V250" s="47"/>
      <c r="W250" s="49" t="str">
        <f ca="1">Chemin_accès!$B$2&amp;Tableau1[[#This Row],[Poste Responsable]]&amp;"\"&amp;Tableau1[[#This Row],[Localisation / Classement]]&amp;"\"&amp;Tableau1[[#This Row],[Poste technique]]&amp;"_"&amp;Tableau1[[#This Row],[Plan Entretien]]&amp;".pdf"</f>
        <v>\\stjn.local\trimet\Donnees_Projets\Dms Sap\Maintenance\PlanEntretien\7.MSCT\\_.pdf</v>
      </c>
      <c r="X250" s="47"/>
      <c r="Y250" s="47"/>
      <c r="Z250" s="44" t="str">
        <f ca="1">IF(AND(Tableau1[[#This Row],[Charge]]&lt;&gt;0, Tableau1[[#This Row],[Nombre intervenants]]&lt;&gt;0,Tableau1[[#This Row],[Lien document]]&lt;&gt;0,Tableau1[[#This Row],[DMS_SAP]]&lt;&gt;0)=TRUE,"MIS A JOUR","")</f>
        <v/>
      </c>
      <c r="AA250" s="48"/>
      <c r="AB250" s="58" t="str">
        <f ca="1">IF(Tableau1[[#This Row],[Date rév.]]&lt;&gt;"", DAYS360(Tableau1[[#This Row],[Date rév.]],TODAY()),"")</f>
        <v/>
      </c>
      <c r="AC250" s="47" t="str">
        <f>IFERROR(INDEX(Chemin_accès!$B$11:$C$22,MATCH(Tableau1[[#This Row],[Type]],Chemin_accès!$C$11:$C$22,0),1),Chemin_accès!$B$11)</f>
        <v>\\stjn.local\trimet\Btechnique\Commun\BT Maint SCELLEMENT\205 - Préventifs\Modèles préventif\GammeDMS_7.MSCT.xlsm</v>
      </c>
      <c r="AD250" s="47" t="str">
        <f>Chemin_accès!$B$8&amp;Tableau1[[#This Row],[Localisation / Classement]]&amp;"\"&amp;Tableau1[[#This Row],[Poste technique]]&amp;"_"&amp;Tableau1[[#This Row],[Plan Entretien]]&amp;".xlsm"</f>
        <v>\\stjn.local\trimet\Btechnique\Commun\BT Maint SCELLEMENT\205 - Préventifs\Gammes 7.MSCT PE Tool\\_.xlsm</v>
      </c>
    </row>
    <row r="251" spans="1:30" x14ac:dyDescent="0.3">
      <c r="A251" s="44" t="str">
        <f t="shared" ca="1" si="3"/>
        <v>7.MSCT</v>
      </c>
      <c r="B2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1" s="46"/>
      <c r="D251" s="44"/>
      <c r="E251" s="44"/>
      <c r="F251" s="47"/>
      <c r="G251" s="47"/>
      <c r="H251" s="50"/>
      <c r="I251" s="50"/>
      <c r="J251" s="50"/>
      <c r="K251" s="50"/>
      <c r="L251" s="46"/>
      <c r="M251" s="47"/>
      <c r="N251" s="46"/>
      <c r="O251" s="46"/>
      <c r="P251" s="47"/>
      <c r="Q251" s="46"/>
      <c r="R251" s="46"/>
      <c r="S251" s="48"/>
      <c r="T251" s="61" t="str">
        <f>IF(Tableau1[[#This Row],[DMS_SAP]]="","",HYPERLINK(Tableau1[[#This Row],[Chemin fichier source]],"X"))</f>
        <v/>
      </c>
      <c r="U251" s="61" t="str">
        <f>IF(Tableau1[[#This Row],[Date rév.]]="","",HYPERLINK(Tableau1[[#This Row],[Lien document]],"X"))</f>
        <v/>
      </c>
      <c r="V251" s="47"/>
      <c r="W251" s="49" t="str">
        <f ca="1">Chemin_accès!$B$2&amp;Tableau1[[#This Row],[Poste Responsable]]&amp;"\"&amp;Tableau1[[#This Row],[Localisation / Classement]]&amp;"\"&amp;Tableau1[[#This Row],[Poste technique]]&amp;"_"&amp;Tableau1[[#This Row],[Plan Entretien]]&amp;".pdf"</f>
        <v>\\stjn.local\trimet\Donnees_Projets\Dms Sap\Maintenance\PlanEntretien\7.MSCT\\_.pdf</v>
      </c>
      <c r="X251" s="47"/>
      <c r="Y251" s="47"/>
      <c r="Z251" s="44" t="str">
        <f ca="1">IF(AND(Tableau1[[#This Row],[Charge]]&lt;&gt;0, Tableau1[[#This Row],[Nombre intervenants]]&lt;&gt;0,Tableau1[[#This Row],[Lien document]]&lt;&gt;0,Tableau1[[#This Row],[DMS_SAP]]&lt;&gt;0)=TRUE,"MIS A JOUR","")</f>
        <v/>
      </c>
      <c r="AA251" s="48"/>
      <c r="AB251" s="58" t="str">
        <f ca="1">IF(Tableau1[[#This Row],[Date rév.]]&lt;&gt;"", DAYS360(Tableau1[[#This Row],[Date rév.]],TODAY()),"")</f>
        <v/>
      </c>
      <c r="AC251" s="47" t="str">
        <f>IFERROR(INDEX(Chemin_accès!$B$11:$C$22,MATCH(Tableau1[[#This Row],[Type]],Chemin_accès!$C$11:$C$22,0),1),Chemin_accès!$B$11)</f>
        <v>\\stjn.local\trimet\Btechnique\Commun\BT Maint SCELLEMENT\205 - Préventifs\Modèles préventif\GammeDMS_7.MSCT.xlsm</v>
      </c>
      <c r="AD251" s="47" t="str">
        <f>Chemin_accès!$B$8&amp;Tableau1[[#This Row],[Localisation / Classement]]&amp;"\"&amp;Tableau1[[#This Row],[Poste technique]]&amp;"_"&amp;Tableau1[[#This Row],[Plan Entretien]]&amp;".xlsm"</f>
        <v>\\stjn.local\trimet\Btechnique\Commun\BT Maint SCELLEMENT\205 - Préventifs\Gammes 7.MSCT PE Tool\\_.xlsm</v>
      </c>
    </row>
    <row r="252" spans="1:30" x14ac:dyDescent="0.3">
      <c r="A252" s="44" t="str">
        <f t="shared" ca="1" si="3"/>
        <v>7.MSCT</v>
      </c>
      <c r="B2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2" s="46"/>
      <c r="D252" s="44"/>
      <c r="E252" s="44"/>
      <c r="F252" s="47"/>
      <c r="G252" s="47"/>
      <c r="H252" s="50"/>
      <c r="I252" s="50"/>
      <c r="J252" s="50"/>
      <c r="K252" s="50"/>
      <c r="L252" s="46"/>
      <c r="M252" s="47"/>
      <c r="N252" s="46"/>
      <c r="O252" s="46"/>
      <c r="P252" s="47"/>
      <c r="Q252" s="46"/>
      <c r="R252" s="46"/>
      <c r="S252" s="48"/>
      <c r="T252" s="61" t="str">
        <f>IF(Tableau1[[#This Row],[DMS_SAP]]="","",HYPERLINK(Tableau1[[#This Row],[Chemin fichier source]],"X"))</f>
        <v/>
      </c>
      <c r="U252" s="61" t="str">
        <f>IF(Tableau1[[#This Row],[Date rév.]]="","",HYPERLINK(Tableau1[[#This Row],[Lien document]],"X"))</f>
        <v/>
      </c>
      <c r="V252" s="47"/>
      <c r="W252" s="49" t="str">
        <f ca="1">Chemin_accès!$B$2&amp;Tableau1[[#This Row],[Poste Responsable]]&amp;"\"&amp;Tableau1[[#This Row],[Localisation / Classement]]&amp;"\"&amp;Tableau1[[#This Row],[Poste technique]]&amp;"_"&amp;Tableau1[[#This Row],[Plan Entretien]]&amp;".pdf"</f>
        <v>\\stjn.local\trimet\Donnees_Projets\Dms Sap\Maintenance\PlanEntretien\7.MSCT\\_.pdf</v>
      </c>
      <c r="X252" s="47"/>
      <c r="Y252" s="47"/>
      <c r="Z252" s="44" t="str">
        <f ca="1">IF(AND(Tableau1[[#This Row],[Charge]]&lt;&gt;0, Tableau1[[#This Row],[Nombre intervenants]]&lt;&gt;0,Tableau1[[#This Row],[Lien document]]&lt;&gt;0,Tableau1[[#This Row],[DMS_SAP]]&lt;&gt;0)=TRUE,"MIS A JOUR","")</f>
        <v/>
      </c>
      <c r="AA252" s="48"/>
      <c r="AB252" s="58" t="str">
        <f ca="1">IF(Tableau1[[#This Row],[Date rév.]]&lt;&gt;"", DAYS360(Tableau1[[#This Row],[Date rév.]],TODAY()),"")</f>
        <v/>
      </c>
      <c r="AC252" s="47" t="str">
        <f>IFERROR(INDEX(Chemin_accès!$B$11:$C$22,MATCH(Tableau1[[#This Row],[Type]],Chemin_accès!$C$11:$C$22,0),1),Chemin_accès!$B$11)</f>
        <v>\\stjn.local\trimet\Btechnique\Commun\BT Maint SCELLEMENT\205 - Préventifs\Modèles préventif\GammeDMS_7.MSCT.xlsm</v>
      </c>
      <c r="AD252" s="47" t="str">
        <f>Chemin_accès!$B$8&amp;Tableau1[[#This Row],[Localisation / Classement]]&amp;"\"&amp;Tableau1[[#This Row],[Poste technique]]&amp;"_"&amp;Tableau1[[#This Row],[Plan Entretien]]&amp;".xlsm"</f>
        <v>\\stjn.local\trimet\Btechnique\Commun\BT Maint SCELLEMENT\205 - Préventifs\Gammes 7.MSCT PE Tool\\_.xlsm</v>
      </c>
    </row>
    <row r="253" spans="1:30" x14ac:dyDescent="0.3">
      <c r="A253" s="44" t="str">
        <f t="shared" ca="1" si="3"/>
        <v>7.MSCT</v>
      </c>
      <c r="B2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3" s="46"/>
      <c r="D253" s="44"/>
      <c r="E253" s="44"/>
      <c r="F253" s="47"/>
      <c r="G253" s="47"/>
      <c r="H253" s="50"/>
      <c r="I253" s="50"/>
      <c r="J253" s="50"/>
      <c r="K253" s="50"/>
      <c r="L253" s="46"/>
      <c r="M253" s="47"/>
      <c r="N253" s="46"/>
      <c r="O253" s="46"/>
      <c r="P253" s="47"/>
      <c r="Q253" s="46"/>
      <c r="R253" s="46"/>
      <c r="S253" s="48"/>
      <c r="T253" s="61" t="str">
        <f>IF(Tableau1[[#This Row],[DMS_SAP]]="","",HYPERLINK(Tableau1[[#This Row],[Chemin fichier source]],"X"))</f>
        <v/>
      </c>
      <c r="U253" s="61" t="str">
        <f>IF(Tableau1[[#This Row],[Date rév.]]="","",HYPERLINK(Tableau1[[#This Row],[Lien document]],"X"))</f>
        <v/>
      </c>
      <c r="V253" s="47"/>
      <c r="W253" s="49" t="str">
        <f ca="1">Chemin_accès!$B$2&amp;Tableau1[[#This Row],[Poste Responsable]]&amp;"\"&amp;Tableau1[[#This Row],[Localisation / Classement]]&amp;"\"&amp;Tableau1[[#This Row],[Poste technique]]&amp;"_"&amp;Tableau1[[#This Row],[Plan Entretien]]&amp;".pdf"</f>
        <v>\\stjn.local\trimet\Donnees_Projets\Dms Sap\Maintenance\PlanEntretien\7.MSCT\\_.pdf</v>
      </c>
      <c r="X253" s="47"/>
      <c r="Y253" s="47"/>
      <c r="Z253" s="44" t="str">
        <f ca="1">IF(AND(Tableau1[[#This Row],[Charge]]&lt;&gt;0, Tableau1[[#This Row],[Nombre intervenants]]&lt;&gt;0,Tableau1[[#This Row],[Lien document]]&lt;&gt;0,Tableau1[[#This Row],[DMS_SAP]]&lt;&gt;0)=TRUE,"MIS A JOUR","")</f>
        <v/>
      </c>
      <c r="AA253" s="48"/>
      <c r="AB253" s="58" t="str">
        <f ca="1">IF(Tableau1[[#This Row],[Date rév.]]&lt;&gt;"", DAYS360(Tableau1[[#This Row],[Date rév.]],TODAY()),"")</f>
        <v/>
      </c>
      <c r="AC253" s="47" t="str">
        <f>IFERROR(INDEX(Chemin_accès!$B$11:$C$22,MATCH(Tableau1[[#This Row],[Type]],Chemin_accès!$C$11:$C$22,0),1),Chemin_accès!$B$11)</f>
        <v>\\stjn.local\trimet\Btechnique\Commun\BT Maint SCELLEMENT\205 - Préventifs\Modèles préventif\GammeDMS_7.MSCT.xlsm</v>
      </c>
      <c r="AD253" s="47" t="str">
        <f>Chemin_accès!$B$8&amp;Tableau1[[#This Row],[Localisation / Classement]]&amp;"\"&amp;Tableau1[[#This Row],[Poste technique]]&amp;"_"&amp;Tableau1[[#This Row],[Plan Entretien]]&amp;".xlsm"</f>
        <v>\\stjn.local\trimet\Btechnique\Commun\BT Maint SCELLEMENT\205 - Préventifs\Gammes 7.MSCT PE Tool\\_.xlsm</v>
      </c>
    </row>
    <row r="254" spans="1:30" x14ac:dyDescent="0.3">
      <c r="A254" s="44" t="str">
        <f t="shared" ca="1" si="3"/>
        <v>7.MSCT</v>
      </c>
      <c r="B2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4" s="46"/>
      <c r="D254" s="44"/>
      <c r="E254" s="44"/>
      <c r="F254" s="47"/>
      <c r="G254" s="47"/>
      <c r="H254" s="50"/>
      <c r="I254" s="50"/>
      <c r="J254" s="50"/>
      <c r="K254" s="50"/>
      <c r="L254" s="46"/>
      <c r="M254" s="47"/>
      <c r="N254" s="46"/>
      <c r="O254" s="46"/>
      <c r="P254" s="47"/>
      <c r="Q254" s="46"/>
      <c r="R254" s="46"/>
      <c r="S254" s="48"/>
      <c r="T254" s="61" t="str">
        <f>IF(Tableau1[[#This Row],[DMS_SAP]]="","",HYPERLINK(Tableau1[[#This Row],[Chemin fichier source]],"X"))</f>
        <v/>
      </c>
      <c r="U254" s="61" t="str">
        <f>IF(Tableau1[[#This Row],[Date rév.]]="","",HYPERLINK(Tableau1[[#This Row],[Lien document]],"X"))</f>
        <v/>
      </c>
      <c r="V254" s="47"/>
      <c r="W254" s="49" t="str">
        <f ca="1">Chemin_accès!$B$2&amp;Tableau1[[#This Row],[Poste Responsable]]&amp;"\"&amp;Tableau1[[#This Row],[Localisation / Classement]]&amp;"\"&amp;Tableau1[[#This Row],[Poste technique]]&amp;"_"&amp;Tableau1[[#This Row],[Plan Entretien]]&amp;".pdf"</f>
        <v>\\stjn.local\trimet\Donnees_Projets\Dms Sap\Maintenance\PlanEntretien\7.MSCT\\_.pdf</v>
      </c>
      <c r="X254" s="47"/>
      <c r="Y254" s="47"/>
      <c r="Z254" s="44" t="str">
        <f ca="1">IF(AND(Tableau1[[#This Row],[Charge]]&lt;&gt;0, Tableau1[[#This Row],[Nombre intervenants]]&lt;&gt;0,Tableau1[[#This Row],[Lien document]]&lt;&gt;0,Tableau1[[#This Row],[DMS_SAP]]&lt;&gt;0)=TRUE,"MIS A JOUR","")</f>
        <v/>
      </c>
      <c r="AA254" s="48"/>
      <c r="AB254" s="58" t="str">
        <f ca="1">IF(Tableau1[[#This Row],[Date rév.]]&lt;&gt;"", DAYS360(Tableau1[[#This Row],[Date rév.]],TODAY()),"")</f>
        <v/>
      </c>
      <c r="AC254" s="47" t="str">
        <f>IFERROR(INDEX(Chemin_accès!$B$11:$C$22,MATCH(Tableau1[[#This Row],[Type]],Chemin_accès!$C$11:$C$22,0),1),Chemin_accès!$B$11)</f>
        <v>\\stjn.local\trimet\Btechnique\Commun\BT Maint SCELLEMENT\205 - Préventifs\Modèles préventif\GammeDMS_7.MSCT.xlsm</v>
      </c>
      <c r="AD254" s="47" t="str">
        <f>Chemin_accès!$B$8&amp;Tableau1[[#This Row],[Localisation / Classement]]&amp;"\"&amp;Tableau1[[#This Row],[Poste technique]]&amp;"_"&amp;Tableau1[[#This Row],[Plan Entretien]]&amp;".xlsm"</f>
        <v>\\stjn.local\trimet\Btechnique\Commun\BT Maint SCELLEMENT\205 - Préventifs\Gammes 7.MSCT PE Tool\\_.xlsm</v>
      </c>
    </row>
    <row r="255" spans="1:30" x14ac:dyDescent="0.3">
      <c r="A255" s="44" t="str">
        <f t="shared" ca="1" si="3"/>
        <v>7.MSCT</v>
      </c>
      <c r="B2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5" s="46"/>
      <c r="D255" s="44"/>
      <c r="E255" s="44"/>
      <c r="F255" s="47"/>
      <c r="G255" s="47"/>
      <c r="H255" s="50"/>
      <c r="I255" s="50"/>
      <c r="J255" s="50"/>
      <c r="K255" s="50"/>
      <c r="L255" s="46"/>
      <c r="M255" s="47"/>
      <c r="N255" s="46"/>
      <c r="O255" s="46"/>
      <c r="P255" s="47"/>
      <c r="Q255" s="46"/>
      <c r="R255" s="46"/>
      <c r="S255" s="48"/>
      <c r="T255" s="61" t="str">
        <f>IF(Tableau1[[#This Row],[DMS_SAP]]="","",HYPERLINK(Tableau1[[#This Row],[Chemin fichier source]],"X"))</f>
        <v/>
      </c>
      <c r="U255" s="61" t="str">
        <f>IF(Tableau1[[#This Row],[Date rév.]]="","",HYPERLINK(Tableau1[[#This Row],[Lien document]],"X"))</f>
        <v/>
      </c>
      <c r="V255" s="47"/>
      <c r="W255" s="49" t="str">
        <f ca="1">Chemin_accès!$B$2&amp;Tableau1[[#This Row],[Poste Responsable]]&amp;"\"&amp;Tableau1[[#This Row],[Localisation / Classement]]&amp;"\"&amp;Tableau1[[#This Row],[Poste technique]]&amp;"_"&amp;Tableau1[[#This Row],[Plan Entretien]]&amp;".pdf"</f>
        <v>\\stjn.local\trimet\Donnees_Projets\Dms Sap\Maintenance\PlanEntretien\7.MSCT\\_.pdf</v>
      </c>
      <c r="X255" s="47"/>
      <c r="Y255" s="47"/>
      <c r="Z255" s="44" t="str">
        <f ca="1">IF(AND(Tableau1[[#This Row],[Charge]]&lt;&gt;0, Tableau1[[#This Row],[Nombre intervenants]]&lt;&gt;0,Tableau1[[#This Row],[Lien document]]&lt;&gt;0,Tableau1[[#This Row],[DMS_SAP]]&lt;&gt;0)=TRUE,"MIS A JOUR","")</f>
        <v/>
      </c>
      <c r="AA255" s="48"/>
      <c r="AB255" s="58" t="str">
        <f ca="1">IF(Tableau1[[#This Row],[Date rév.]]&lt;&gt;"", DAYS360(Tableau1[[#This Row],[Date rév.]],TODAY()),"")</f>
        <v/>
      </c>
      <c r="AC255" s="47" t="str">
        <f>IFERROR(INDEX(Chemin_accès!$B$11:$C$22,MATCH(Tableau1[[#This Row],[Type]],Chemin_accès!$C$11:$C$22,0),1),Chemin_accès!$B$11)</f>
        <v>\\stjn.local\trimet\Btechnique\Commun\BT Maint SCELLEMENT\205 - Préventifs\Modèles préventif\GammeDMS_7.MSCT.xlsm</v>
      </c>
      <c r="AD255" s="47" t="str">
        <f>Chemin_accès!$B$8&amp;Tableau1[[#This Row],[Localisation / Classement]]&amp;"\"&amp;Tableau1[[#This Row],[Poste technique]]&amp;"_"&amp;Tableau1[[#This Row],[Plan Entretien]]&amp;".xlsm"</f>
        <v>\\stjn.local\trimet\Btechnique\Commun\BT Maint SCELLEMENT\205 - Préventifs\Gammes 7.MSCT PE Tool\\_.xlsm</v>
      </c>
    </row>
    <row r="256" spans="1:30" x14ac:dyDescent="0.3">
      <c r="A256" s="44" t="str">
        <f t="shared" ca="1" si="3"/>
        <v>7.MSCT</v>
      </c>
      <c r="B2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6" s="46"/>
      <c r="D256" s="44"/>
      <c r="E256" s="44"/>
      <c r="F256" s="47"/>
      <c r="G256" s="47"/>
      <c r="H256" s="50"/>
      <c r="I256" s="50"/>
      <c r="J256" s="50"/>
      <c r="K256" s="50"/>
      <c r="L256" s="46"/>
      <c r="M256" s="47"/>
      <c r="N256" s="46"/>
      <c r="O256" s="46"/>
      <c r="P256" s="47"/>
      <c r="Q256" s="46"/>
      <c r="R256" s="46"/>
      <c r="S256" s="48"/>
      <c r="T256" s="61" t="str">
        <f>IF(Tableau1[[#This Row],[DMS_SAP]]="","",HYPERLINK(Tableau1[[#This Row],[Chemin fichier source]],"X"))</f>
        <v/>
      </c>
      <c r="U256" s="61" t="str">
        <f>IF(Tableau1[[#This Row],[Date rév.]]="","",HYPERLINK(Tableau1[[#This Row],[Lien document]],"X"))</f>
        <v/>
      </c>
      <c r="V256" s="47"/>
      <c r="W256" s="49" t="str">
        <f ca="1">Chemin_accès!$B$2&amp;Tableau1[[#This Row],[Poste Responsable]]&amp;"\"&amp;Tableau1[[#This Row],[Localisation / Classement]]&amp;"\"&amp;Tableau1[[#This Row],[Poste technique]]&amp;"_"&amp;Tableau1[[#This Row],[Plan Entretien]]&amp;".pdf"</f>
        <v>\\stjn.local\trimet\Donnees_Projets\Dms Sap\Maintenance\PlanEntretien\7.MSCT\\_.pdf</v>
      </c>
      <c r="X256" s="47"/>
      <c r="Y256" s="47"/>
      <c r="Z256" s="44" t="str">
        <f ca="1">IF(AND(Tableau1[[#This Row],[Charge]]&lt;&gt;0, Tableau1[[#This Row],[Nombre intervenants]]&lt;&gt;0,Tableau1[[#This Row],[Lien document]]&lt;&gt;0,Tableau1[[#This Row],[DMS_SAP]]&lt;&gt;0)=TRUE,"MIS A JOUR","")</f>
        <v/>
      </c>
      <c r="AA256" s="48"/>
      <c r="AB256" s="58" t="str">
        <f ca="1">IF(Tableau1[[#This Row],[Date rév.]]&lt;&gt;"", DAYS360(Tableau1[[#This Row],[Date rév.]],TODAY()),"")</f>
        <v/>
      </c>
      <c r="AC256" s="47" t="str">
        <f>IFERROR(INDEX(Chemin_accès!$B$11:$C$22,MATCH(Tableau1[[#This Row],[Type]],Chemin_accès!$C$11:$C$22,0),1),Chemin_accès!$B$11)</f>
        <v>\\stjn.local\trimet\Btechnique\Commun\BT Maint SCELLEMENT\205 - Préventifs\Modèles préventif\GammeDMS_7.MSCT.xlsm</v>
      </c>
      <c r="AD256" s="47" t="str">
        <f>Chemin_accès!$B$8&amp;Tableau1[[#This Row],[Localisation / Classement]]&amp;"\"&amp;Tableau1[[#This Row],[Poste technique]]&amp;"_"&amp;Tableau1[[#This Row],[Plan Entretien]]&amp;".xlsm"</f>
        <v>\\stjn.local\trimet\Btechnique\Commun\BT Maint SCELLEMENT\205 - Préventifs\Gammes 7.MSCT PE Tool\\_.xlsm</v>
      </c>
    </row>
    <row r="257" spans="1:30" x14ac:dyDescent="0.3">
      <c r="A257" s="44" t="str">
        <f t="shared" ca="1" si="3"/>
        <v>7.MSCT</v>
      </c>
      <c r="B2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7" s="46"/>
      <c r="D257" s="44"/>
      <c r="E257" s="44"/>
      <c r="F257" s="47"/>
      <c r="G257" s="47"/>
      <c r="H257" s="50"/>
      <c r="I257" s="50"/>
      <c r="J257" s="50"/>
      <c r="K257" s="50"/>
      <c r="L257" s="46"/>
      <c r="M257" s="47"/>
      <c r="N257" s="46"/>
      <c r="O257" s="46"/>
      <c r="P257" s="47"/>
      <c r="Q257" s="46"/>
      <c r="R257" s="46"/>
      <c r="S257" s="48"/>
      <c r="T257" s="61" t="str">
        <f>IF(Tableau1[[#This Row],[DMS_SAP]]="","",HYPERLINK(Tableau1[[#This Row],[Chemin fichier source]],"X"))</f>
        <v/>
      </c>
      <c r="U257" s="61" t="str">
        <f>IF(Tableau1[[#This Row],[Date rév.]]="","",HYPERLINK(Tableau1[[#This Row],[Lien document]],"X"))</f>
        <v/>
      </c>
      <c r="V257" s="47"/>
      <c r="W257" s="51" t="str">
        <f ca="1">Chemin_accès!$B$2&amp;Tableau1[[#This Row],[Poste Responsable]]&amp;"\"&amp;Tableau1[[#This Row],[Localisation / Classement]]&amp;"\"&amp;Tableau1[[#This Row],[Poste technique]]&amp;"_"&amp;Tableau1[[#This Row],[Plan Entretien]]&amp;".pdf"</f>
        <v>\\stjn.local\trimet\Donnees_Projets\Dms Sap\Maintenance\PlanEntretien\7.MSCT\\_.pdf</v>
      </c>
      <c r="X257" s="47"/>
      <c r="Y257" s="47"/>
      <c r="Z257" s="44" t="str">
        <f ca="1">IF(AND(Tableau1[[#This Row],[Charge]]&lt;&gt;0, Tableau1[[#This Row],[Nombre intervenants]]&lt;&gt;0,Tableau1[[#This Row],[Lien document]]&lt;&gt;0,Tableau1[[#This Row],[DMS_SAP]]&lt;&gt;0)=TRUE,"MIS A JOUR","")</f>
        <v/>
      </c>
      <c r="AA257" s="48"/>
      <c r="AB257" s="58" t="str">
        <f ca="1">IF(Tableau1[[#This Row],[Date rév.]]&lt;&gt;"", DAYS360(Tableau1[[#This Row],[Date rév.]],TODAY()),"")</f>
        <v/>
      </c>
      <c r="AC257" s="47" t="str">
        <f>IFERROR(INDEX(Chemin_accès!$B$11:$C$22,MATCH(Tableau1[[#This Row],[Type]],Chemin_accès!$C$11:$C$22,0),1),Chemin_accès!$B$11)</f>
        <v>\\stjn.local\trimet\Btechnique\Commun\BT Maint SCELLEMENT\205 - Préventifs\Modèles préventif\GammeDMS_7.MSCT.xlsm</v>
      </c>
      <c r="AD257" s="47" t="str">
        <f>Chemin_accès!$B$8&amp;Tableau1[[#This Row],[Localisation / Classement]]&amp;"\"&amp;Tableau1[[#This Row],[Poste technique]]&amp;"_"&amp;Tableau1[[#This Row],[Plan Entretien]]&amp;".xlsm"</f>
        <v>\\stjn.local\trimet\Btechnique\Commun\BT Maint SCELLEMENT\205 - Préventifs\Gammes 7.MSCT PE Tool\\_.xlsm</v>
      </c>
    </row>
    <row r="258" spans="1:30" x14ac:dyDescent="0.3">
      <c r="A258" s="44" t="str">
        <f t="shared" ref="A258:A321" ca="1" si="4">MID(CELL("filename",$A$1),FIND("]",CELL("filename",$A$1))+1,32)</f>
        <v>7.MSCT</v>
      </c>
      <c r="B2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8" s="46"/>
      <c r="D258" s="44"/>
      <c r="E258" s="44"/>
      <c r="F258" s="47"/>
      <c r="G258" s="47"/>
      <c r="H258" s="50"/>
      <c r="I258" s="50"/>
      <c r="J258" s="50"/>
      <c r="K258" s="50"/>
      <c r="L258" s="46"/>
      <c r="M258" s="47"/>
      <c r="N258" s="46"/>
      <c r="O258" s="46"/>
      <c r="P258" s="47"/>
      <c r="Q258" s="46"/>
      <c r="R258" s="46"/>
      <c r="S258" s="48"/>
      <c r="T258" s="61" t="str">
        <f>IF(Tableau1[[#This Row],[DMS_SAP]]="","",HYPERLINK(Tableau1[[#This Row],[Chemin fichier source]],"X"))</f>
        <v/>
      </c>
      <c r="U258" s="61" t="str">
        <f>IF(Tableau1[[#This Row],[Date rév.]]="","",HYPERLINK(Tableau1[[#This Row],[Lien document]],"X"))</f>
        <v/>
      </c>
      <c r="V258" s="47"/>
      <c r="W258" s="51" t="str">
        <f ca="1">Chemin_accès!$B$2&amp;Tableau1[[#This Row],[Poste Responsable]]&amp;"\"&amp;Tableau1[[#This Row],[Localisation / Classement]]&amp;"\"&amp;Tableau1[[#This Row],[Poste technique]]&amp;"_"&amp;Tableau1[[#This Row],[Plan Entretien]]&amp;".pdf"</f>
        <v>\\stjn.local\trimet\Donnees_Projets\Dms Sap\Maintenance\PlanEntretien\7.MSCT\\_.pdf</v>
      </c>
      <c r="X258" s="47"/>
      <c r="Y258" s="47"/>
      <c r="Z258" s="44" t="str">
        <f ca="1">IF(AND(Tableau1[[#This Row],[Charge]]&lt;&gt;0, Tableau1[[#This Row],[Nombre intervenants]]&lt;&gt;0,Tableau1[[#This Row],[Lien document]]&lt;&gt;0,Tableau1[[#This Row],[DMS_SAP]]&lt;&gt;0)=TRUE,"MIS A JOUR","")</f>
        <v/>
      </c>
      <c r="AA258" s="48"/>
      <c r="AB258" s="58" t="str">
        <f ca="1">IF(Tableau1[[#This Row],[Date rév.]]&lt;&gt;"", DAYS360(Tableau1[[#This Row],[Date rév.]],TODAY()),"")</f>
        <v/>
      </c>
      <c r="AC258" s="47" t="str">
        <f>IFERROR(INDEX(Chemin_accès!$B$11:$C$22,MATCH(Tableau1[[#This Row],[Type]],Chemin_accès!$C$11:$C$22,0),1),Chemin_accès!$B$11)</f>
        <v>\\stjn.local\trimet\Btechnique\Commun\BT Maint SCELLEMENT\205 - Préventifs\Modèles préventif\GammeDMS_7.MSCT.xlsm</v>
      </c>
      <c r="AD258" s="47" t="str">
        <f>Chemin_accès!$B$8&amp;Tableau1[[#This Row],[Localisation / Classement]]&amp;"\"&amp;Tableau1[[#This Row],[Poste technique]]&amp;"_"&amp;Tableau1[[#This Row],[Plan Entretien]]&amp;".xlsm"</f>
        <v>\\stjn.local\trimet\Btechnique\Commun\BT Maint SCELLEMENT\205 - Préventifs\Gammes 7.MSCT PE Tool\\_.xlsm</v>
      </c>
    </row>
    <row r="259" spans="1:30" x14ac:dyDescent="0.3">
      <c r="A259" s="44" t="str">
        <f t="shared" ca="1" si="4"/>
        <v>7.MSCT</v>
      </c>
      <c r="B2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59" s="46"/>
      <c r="D259" s="44"/>
      <c r="E259" s="44"/>
      <c r="F259" s="47"/>
      <c r="G259" s="47"/>
      <c r="H259" s="50"/>
      <c r="I259" s="50"/>
      <c r="J259" s="50"/>
      <c r="K259" s="50"/>
      <c r="L259" s="46"/>
      <c r="M259" s="47"/>
      <c r="N259" s="46"/>
      <c r="O259" s="46"/>
      <c r="P259" s="47"/>
      <c r="Q259" s="46"/>
      <c r="R259" s="46"/>
      <c r="S259" s="48"/>
      <c r="T259" s="61" t="str">
        <f>IF(Tableau1[[#This Row],[DMS_SAP]]="","",HYPERLINK(Tableau1[[#This Row],[Chemin fichier source]],"X"))</f>
        <v/>
      </c>
      <c r="U259" s="61" t="str">
        <f>IF(Tableau1[[#This Row],[Date rév.]]="","",HYPERLINK(Tableau1[[#This Row],[Lien document]],"X"))</f>
        <v/>
      </c>
      <c r="V259" s="47"/>
      <c r="W259" s="51" t="str">
        <f ca="1">Chemin_accès!$B$2&amp;Tableau1[[#This Row],[Poste Responsable]]&amp;"\"&amp;Tableau1[[#This Row],[Localisation / Classement]]&amp;"\"&amp;Tableau1[[#This Row],[Poste technique]]&amp;"_"&amp;Tableau1[[#This Row],[Plan Entretien]]&amp;".pdf"</f>
        <v>\\stjn.local\trimet\Donnees_Projets\Dms Sap\Maintenance\PlanEntretien\7.MSCT\\_.pdf</v>
      </c>
      <c r="X259" s="47"/>
      <c r="Y259" s="47"/>
      <c r="Z259" s="44" t="str">
        <f ca="1">IF(AND(Tableau1[[#This Row],[Charge]]&lt;&gt;0, Tableau1[[#This Row],[Nombre intervenants]]&lt;&gt;0,Tableau1[[#This Row],[Lien document]]&lt;&gt;0,Tableau1[[#This Row],[DMS_SAP]]&lt;&gt;0)=TRUE,"MIS A JOUR","")</f>
        <v/>
      </c>
      <c r="AA259" s="48"/>
      <c r="AB259" s="58" t="str">
        <f ca="1">IF(Tableau1[[#This Row],[Date rév.]]&lt;&gt;"", DAYS360(Tableau1[[#This Row],[Date rév.]],TODAY()),"")</f>
        <v/>
      </c>
      <c r="AC259" s="47" t="str">
        <f>IFERROR(INDEX(Chemin_accès!$B$11:$C$22,MATCH(Tableau1[[#This Row],[Type]],Chemin_accès!$C$11:$C$22,0),1),Chemin_accès!$B$11)</f>
        <v>\\stjn.local\trimet\Btechnique\Commun\BT Maint SCELLEMENT\205 - Préventifs\Modèles préventif\GammeDMS_7.MSCT.xlsm</v>
      </c>
      <c r="AD259" s="47" t="str">
        <f>Chemin_accès!$B$8&amp;Tableau1[[#This Row],[Localisation / Classement]]&amp;"\"&amp;Tableau1[[#This Row],[Poste technique]]&amp;"_"&amp;Tableau1[[#This Row],[Plan Entretien]]&amp;".xlsm"</f>
        <v>\\stjn.local\trimet\Btechnique\Commun\BT Maint SCELLEMENT\205 - Préventifs\Gammes 7.MSCT PE Tool\\_.xlsm</v>
      </c>
    </row>
    <row r="260" spans="1:30" x14ac:dyDescent="0.3">
      <c r="A260" s="44" t="str">
        <f t="shared" ca="1" si="4"/>
        <v>7.MSCT</v>
      </c>
      <c r="B2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0" s="46"/>
      <c r="D260" s="44"/>
      <c r="E260" s="44"/>
      <c r="F260" s="47"/>
      <c r="G260" s="47"/>
      <c r="H260" s="50"/>
      <c r="I260" s="50"/>
      <c r="J260" s="50"/>
      <c r="K260" s="50"/>
      <c r="L260" s="46"/>
      <c r="M260" s="47"/>
      <c r="N260" s="46"/>
      <c r="O260" s="46"/>
      <c r="P260" s="47"/>
      <c r="Q260" s="46"/>
      <c r="R260" s="46"/>
      <c r="S260" s="48"/>
      <c r="T260" s="61" t="str">
        <f>IF(Tableau1[[#This Row],[DMS_SAP]]="","",HYPERLINK(Tableau1[[#This Row],[Chemin fichier source]],"X"))</f>
        <v/>
      </c>
      <c r="U260" s="61" t="str">
        <f>IF(Tableau1[[#This Row],[Date rév.]]="","",HYPERLINK(Tableau1[[#This Row],[Lien document]],"X"))</f>
        <v/>
      </c>
      <c r="V260" s="47"/>
      <c r="W260" s="49" t="str">
        <f ca="1">Chemin_accès!$B$2&amp;Tableau1[[#This Row],[Poste Responsable]]&amp;"\"&amp;Tableau1[[#This Row],[Localisation / Classement]]&amp;"\"&amp;Tableau1[[#This Row],[Poste technique]]&amp;"_"&amp;Tableau1[[#This Row],[Plan Entretien]]&amp;".pdf"</f>
        <v>\\stjn.local\trimet\Donnees_Projets\Dms Sap\Maintenance\PlanEntretien\7.MSCT\\_.pdf</v>
      </c>
      <c r="X260" s="47"/>
      <c r="Y260" s="47"/>
      <c r="Z260" s="44" t="str">
        <f ca="1">IF(AND(Tableau1[[#This Row],[Charge]]&lt;&gt;0, Tableau1[[#This Row],[Nombre intervenants]]&lt;&gt;0,Tableau1[[#This Row],[Lien document]]&lt;&gt;0,Tableau1[[#This Row],[DMS_SAP]]&lt;&gt;0)=TRUE,"MIS A JOUR","")</f>
        <v/>
      </c>
      <c r="AA260" s="48"/>
      <c r="AB260" s="58" t="str">
        <f ca="1">IF(Tableau1[[#This Row],[Date rév.]]&lt;&gt;"", DAYS360(Tableau1[[#This Row],[Date rév.]],TODAY()),"")</f>
        <v/>
      </c>
      <c r="AC260" s="47" t="str">
        <f>IFERROR(INDEX(Chemin_accès!$B$11:$C$22,MATCH(Tableau1[[#This Row],[Type]],Chemin_accès!$C$11:$C$22,0),1),Chemin_accès!$B$11)</f>
        <v>\\stjn.local\trimet\Btechnique\Commun\BT Maint SCELLEMENT\205 - Préventifs\Modèles préventif\GammeDMS_7.MSCT.xlsm</v>
      </c>
      <c r="AD260" s="47" t="str">
        <f>Chemin_accès!$B$8&amp;Tableau1[[#This Row],[Localisation / Classement]]&amp;"\"&amp;Tableau1[[#This Row],[Poste technique]]&amp;"_"&amp;Tableau1[[#This Row],[Plan Entretien]]&amp;".xlsm"</f>
        <v>\\stjn.local\trimet\Btechnique\Commun\BT Maint SCELLEMENT\205 - Préventifs\Gammes 7.MSCT PE Tool\\_.xlsm</v>
      </c>
    </row>
    <row r="261" spans="1:30" x14ac:dyDescent="0.3">
      <c r="A261" s="44" t="str">
        <f t="shared" ca="1" si="4"/>
        <v>7.MSCT</v>
      </c>
      <c r="B2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1" s="46"/>
      <c r="D261" s="44"/>
      <c r="E261" s="44"/>
      <c r="F261" s="47"/>
      <c r="G261" s="47"/>
      <c r="H261" s="50"/>
      <c r="I261" s="50"/>
      <c r="J261" s="50"/>
      <c r="K261" s="50"/>
      <c r="L261" s="46"/>
      <c r="M261" s="47"/>
      <c r="N261" s="46"/>
      <c r="O261" s="46"/>
      <c r="P261" s="47"/>
      <c r="Q261" s="46"/>
      <c r="R261" s="46"/>
      <c r="S261" s="48"/>
      <c r="T261" s="61" t="str">
        <f>IF(Tableau1[[#This Row],[DMS_SAP]]="","",HYPERLINK(Tableau1[[#This Row],[Chemin fichier source]],"X"))</f>
        <v/>
      </c>
      <c r="U261" s="61" t="str">
        <f>IF(Tableau1[[#This Row],[Date rév.]]="","",HYPERLINK(Tableau1[[#This Row],[Lien document]],"X"))</f>
        <v/>
      </c>
      <c r="V261" s="47"/>
      <c r="W261" s="51" t="str">
        <f ca="1">Chemin_accès!$B$2&amp;Tableau1[[#This Row],[Poste Responsable]]&amp;"\"&amp;Tableau1[[#This Row],[Localisation / Classement]]&amp;"\"&amp;Tableau1[[#This Row],[Poste technique]]&amp;"_"&amp;Tableau1[[#This Row],[Plan Entretien]]&amp;".pdf"</f>
        <v>\\stjn.local\trimet\Donnees_Projets\Dms Sap\Maintenance\PlanEntretien\7.MSCT\\_.pdf</v>
      </c>
      <c r="X261" s="47"/>
      <c r="Y261" s="47"/>
      <c r="Z261" s="44" t="str">
        <f ca="1">IF(AND(Tableau1[[#This Row],[Charge]]&lt;&gt;0, Tableau1[[#This Row],[Nombre intervenants]]&lt;&gt;0,Tableau1[[#This Row],[Lien document]]&lt;&gt;0,Tableau1[[#This Row],[DMS_SAP]]&lt;&gt;0)=TRUE,"MIS A JOUR","")</f>
        <v/>
      </c>
      <c r="AA261" s="48"/>
      <c r="AB261" s="58" t="str">
        <f ca="1">IF(Tableau1[[#This Row],[Date rév.]]&lt;&gt;"", DAYS360(Tableau1[[#This Row],[Date rév.]],TODAY()),"")</f>
        <v/>
      </c>
      <c r="AC261" s="47" t="str">
        <f>IFERROR(INDEX(Chemin_accès!$B$11:$C$22,MATCH(Tableau1[[#This Row],[Type]],Chemin_accès!$C$11:$C$22,0),1),Chemin_accès!$B$11)</f>
        <v>\\stjn.local\trimet\Btechnique\Commun\BT Maint SCELLEMENT\205 - Préventifs\Modèles préventif\GammeDMS_7.MSCT.xlsm</v>
      </c>
      <c r="AD261" s="47" t="str">
        <f>Chemin_accès!$B$8&amp;Tableau1[[#This Row],[Localisation / Classement]]&amp;"\"&amp;Tableau1[[#This Row],[Poste technique]]&amp;"_"&amp;Tableau1[[#This Row],[Plan Entretien]]&amp;".xlsm"</f>
        <v>\\stjn.local\trimet\Btechnique\Commun\BT Maint SCELLEMENT\205 - Préventifs\Gammes 7.MSCT PE Tool\\_.xlsm</v>
      </c>
    </row>
    <row r="262" spans="1:30" x14ac:dyDescent="0.3">
      <c r="A262" s="44" t="str">
        <f t="shared" ca="1" si="4"/>
        <v>7.MSCT</v>
      </c>
      <c r="B2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2" s="63"/>
      <c r="D262" s="44"/>
      <c r="E262" s="44"/>
      <c r="F262" s="47"/>
      <c r="G262" s="47"/>
      <c r="H262" s="50"/>
      <c r="I262" s="50"/>
      <c r="J262" s="50"/>
      <c r="K262" s="50"/>
      <c r="L262" s="46"/>
      <c r="M262" s="47"/>
      <c r="N262" s="46"/>
      <c r="O262" s="46"/>
      <c r="P262" s="47"/>
      <c r="Q262" s="46"/>
      <c r="R262" s="46"/>
      <c r="S262" s="48"/>
      <c r="T262" s="61" t="str">
        <f>IF(Tableau1[[#This Row],[DMS_SAP]]="","",HYPERLINK(Tableau1[[#This Row],[Chemin fichier source]],"X"))</f>
        <v/>
      </c>
      <c r="U262" s="61" t="str">
        <f>IF(Tableau1[[#This Row],[Date rév.]]="","",HYPERLINK(Tableau1[[#This Row],[Lien document]],"X"))</f>
        <v/>
      </c>
      <c r="V262" s="47"/>
      <c r="W262" s="49" t="str">
        <f ca="1">Chemin_accès!$B$2&amp;Tableau1[[#This Row],[Poste Responsable]]&amp;"\"&amp;Tableau1[[#This Row],[Localisation / Classement]]&amp;"\"&amp;Tableau1[[#This Row],[Poste technique]]&amp;"_"&amp;Tableau1[[#This Row],[Plan Entretien]]&amp;".pdf"</f>
        <v>\\stjn.local\trimet\Donnees_Projets\Dms Sap\Maintenance\PlanEntretien\7.MSCT\\_.pdf</v>
      </c>
      <c r="X262" s="47"/>
      <c r="Y262" s="47"/>
      <c r="Z262" s="44" t="str">
        <f ca="1">IF(AND(Tableau1[[#This Row],[Charge]]&lt;&gt;0, Tableau1[[#This Row],[Nombre intervenants]]&lt;&gt;0,Tableau1[[#This Row],[Lien document]]&lt;&gt;0,Tableau1[[#This Row],[DMS_SAP]]&lt;&gt;0)=TRUE,"MIS A JOUR","")</f>
        <v/>
      </c>
      <c r="AA262" s="48"/>
      <c r="AB262" s="58" t="str">
        <f ca="1">IF(Tableau1[[#This Row],[Date rév.]]&lt;&gt;"", DAYS360(Tableau1[[#This Row],[Date rév.]],TODAY()),"")</f>
        <v/>
      </c>
      <c r="AC262" s="47" t="str">
        <f>IFERROR(INDEX(Chemin_accès!$B$11:$C$22,MATCH(Tableau1[[#This Row],[Type]],Chemin_accès!$C$11:$C$22,0),1),Chemin_accès!$B$11)</f>
        <v>\\stjn.local\trimet\Btechnique\Commun\BT Maint SCELLEMENT\205 - Préventifs\Modèles préventif\GammeDMS_7.MSCT.xlsm</v>
      </c>
      <c r="AD262" s="47" t="str">
        <f>Chemin_accès!$B$8&amp;Tableau1[[#This Row],[Localisation / Classement]]&amp;"\"&amp;Tableau1[[#This Row],[Poste technique]]&amp;"_"&amp;Tableau1[[#This Row],[Plan Entretien]]&amp;".xlsm"</f>
        <v>\\stjn.local\trimet\Btechnique\Commun\BT Maint SCELLEMENT\205 - Préventifs\Gammes 7.MSCT PE Tool\\_.xlsm</v>
      </c>
    </row>
    <row r="263" spans="1:30" x14ac:dyDescent="0.3">
      <c r="A263" s="44" t="str">
        <f t="shared" ca="1" si="4"/>
        <v>7.MSCT</v>
      </c>
      <c r="B2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3" s="46"/>
      <c r="D263" s="44"/>
      <c r="E263" s="44"/>
      <c r="F263" s="47"/>
      <c r="G263" s="47"/>
      <c r="H263" s="50"/>
      <c r="I263" s="50"/>
      <c r="J263" s="50"/>
      <c r="K263" s="50"/>
      <c r="L263" s="46"/>
      <c r="M263" s="47"/>
      <c r="N263" s="46"/>
      <c r="O263" s="46"/>
      <c r="P263" s="47"/>
      <c r="Q263" s="46"/>
      <c r="R263" s="46"/>
      <c r="S263" s="48"/>
      <c r="T263" s="61" t="str">
        <f>IF(Tableau1[[#This Row],[DMS_SAP]]="","",HYPERLINK(Tableau1[[#This Row],[Chemin fichier source]],"X"))</f>
        <v/>
      </c>
      <c r="U263" s="61" t="str">
        <f>IF(Tableau1[[#This Row],[Date rév.]]="","",HYPERLINK(Tableau1[[#This Row],[Lien document]],"X"))</f>
        <v/>
      </c>
      <c r="V263" s="47"/>
      <c r="W263" s="49" t="str">
        <f ca="1">Chemin_accès!$B$2&amp;Tableau1[[#This Row],[Poste Responsable]]&amp;"\"&amp;Tableau1[[#This Row],[Localisation / Classement]]&amp;"\"&amp;Tableau1[[#This Row],[Poste technique]]&amp;"_"&amp;Tableau1[[#This Row],[Plan Entretien]]&amp;".pdf"</f>
        <v>\\stjn.local\trimet\Donnees_Projets\Dms Sap\Maintenance\PlanEntretien\7.MSCT\\_.pdf</v>
      </c>
      <c r="X263" s="47"/>
      <c r="Y263" s="47"/>
      <c r="Z263" s="44" t="str">
        <f ca="1">IF(AND(Tableau1[[#This Row],[Charge]]&lt;&gt;0, Tableau1[[#This Row],[Nombre intervenants]]&lt;&gt;0,Tableau1[[#This Row],[Lien document]]&lt;&gt;0,Tableau1[[#This Row],[DMS_SAP]]&lt;&gt;0)=TRUE,"MIS A JOUR","")</f>
        <v/>
      </c>
      <c r="AA263" s="48"/>
      <c r="AB263" s="58" t="str">
        <f ca="1">IF(Tableau1[[#This Row],[Date rév.]]&lt;&gt;"", DAYS360(Tableau1[[#This Row],[Date rév.]],TODAY()),"")</f>
        <v/>
      </c>
      <c r="AC263" s="47" t="str">
        <f>IFERROR(INDEX(Chemin_accès!$B$11:$C$22,MATCH(Tableau1[[#This Row],[Type]],Chemin_accès!$C$11:$C$22,0),1),Chemin_accès!$B$11)</f>
        <v>\\stjn.local\trimet\Btechnique\Commun\BT Maint SCELLEMENT\205 - Préventifs\Modèles préventif\GammeDMS_7.MSCT.xlsm</v>
      </c>
      <c r="AD263" s="47" t="str">
        <f>Chemin_accès!$B$8&amp;Tableau1[[#This Row],[Localisation / Classement]]&amp;"\"&amp;Tableau1[[#This Row],[Poste technique]]&amp;"_"&amp;Tableau1[[#This Row],[Plan Entretien]]&amp;".xlsm"</f>
        <v>\\stjn.local\trimet\Btechnique\Commun\BT Maint SCELLEMENT\205 - Préventifs\Gammes 7.MSCT PE Tool\\_.xlsm</v>
      </c>
    </row>
    <row r="264" spans="1:30" x14ac:dyDescent="0.3">
      <c r="A264" s="44" t="str">
        <f t="shared" ca="1" si="4"/>
        <v>7.MSCT</v>
      </c>
      <c r="B2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4" s="46"/>
      <c r="D264" s="44"/>
      <c r="E264" s="44"/>
      <c r="F264" s="47"/>
      <c r="G264" s="47"/>
      <c r="H264" s="50"/>
      <c r="I264" s="50"/>
      <c r="J264" s="50"/>
      <c r="K264" s="50"/>
      <c r="L264" s="46"/>
      <c r="M264" s="47"/>
      <c r="N264" s="46"/>
      <c r="O264" s="46"/>
      <c r="P264" s="47"/>
      <c r="Q264" s="46"/>
      <c r="R264" s="46"/>
      <c r="S264" s="48"/>
      <c r="T264" s="61" t="str">
        <f>IF(Tableau1[[#This Row],[DMS_SAP]]="","",HYPERLINK(Tableau1[[#This Row],[Chemin fichier source]],"X"))</f>
        <v/>
      </c>
      <c r="U264" s="61" t="str">
        <f>IF(Tableau1[[#This Row],[Date rév.]]="","",HYPERLINK(Tableau1[[#This Row],[Lien document]],"X"))</f>
        <v/>
      </c>
      <c r="V264" s="47"/>
      <c r="W264" s="49" t="str">
        <f ca="1">Chemin_accès!$B$2&amp;Tableau1[[#This Row],[Poste Responsable]]&amp;"\"&amp;Tableau1[[#This Row],[Localisation / Classement]]&amp;"\"&amp;Tableau1[[#This Row],[Poste technique]]&amp;"_"&amp;Tableau1[[#This Row],[Plan Entretien]]&amp;".pdf"</f>
        <v>\\stjn.local\trimet\Donnees_Projets\Dms Sap\Maintenance\PlanEntretien\7.MSCT\\_.pdf</v>
      </c>
      <c r="X264" s="47"/>
      <c r="Y264" s="47"/>
      <c r="Z264" s="44" t="str">
        <f ca="1">IF(AND(Tableau1[[#This Row],[Charge]]&lt;&gt;0, Tableau1[[#This Row],[Nombre intervenants]]&lt;&gt;0,Tableau1[[#This Row],[Lien document]]&lt;&gt;0,Tableau1[[#This Row],[DMS_SAP]]&lt;&gt;0)=TRUE,"MIS A JOUR","")</f>
        <v/>
      </c>
      <c r="AA264" s="48"/>
      <c r="AB264" s="58" t="str">
        <f ca="1">IF(Tableau1[[#This Row],[Date rév.]]&lt;&gt;"", DAYS360(Tableau1[[#This Row],[Date rév.]],TODAY()),"")</f>
        <v/>
      </c>
      <c r="AC264" s="47" t="str">
        <f>IFERROR(INDEX(Chemin_accès!$B$11:$C$22,MATCH(Tableau1[[#This Row],[Type]],Chemin_accès!$C$11:$C$22,0),1),Chemin_accès!$B$11)</f>
        <v>\\stjn.local\trimet\Btechnique\Commun\BT Maint SCELLEMENT\205 - Préventifs\Modèles préventif\GammeDMS_7.MSCT.xlsm</v>
      </c>
      <c r="AD264" s="47" t="str">
        <f>Chemin_accès!$B$8&amp;Tableau1[[#This Row],[Localisation / Classement]]&amp;"\"&amp;Tableau1[[#This Row],[Poste technique]]&amp;"_"&amp;Tableau1[[#This Row],[Plan Entretien]]&amp;".xlsm"</f>
        <v>\\stjn.local\trimet\Btechnique\Commun\BT Maint SCELLEMENT\205 - Préventifs\Gammes 7.MSCT PE Tool\\_.xlsm</v>
      </c>
    </row>
    <row r="265" spans="1:30" x14ac:dyDescent="0.3">
      <c r="A265" s="44" t="str">
        <f t="shared" ca="1" si="4"/>
        <v>7.MSCT</v>
      </c>
      <c r="B2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5" s="46"/>
      <c r="D265" s="44"/>
      <c r="E265" s="44"/>
      <c r="F265" s="47"/>
      <c r="G265" s="47"/>
      <c r="H265" s="50"/>
      <c r="I265" s="50"/>
      <c r="J265" s="50"/>
      <c r="K265" s="50"/>
      <c r="L265" s="46"/>
      <c r="M265" s="47"/>
      <c r="N265" s="46"/>
      <c r="O265" s="46"/>
      <c r="P265" s="47"/>
      <c r="Q265" s="46"/>
      <c r="R265" s="46"/>
      <c r="S265" s="48"/>
      <c r="T265" s="61" t="str">
        <f>IF(Tableau1[[#This Row],[DMS_SAP]]="","",HYPERLINK(Tableau1[[#This Row],[Chemin fichier source]],"X"))</f>
        <v/>
      </c>
      <c r="U265" s="61" t="str">
        <f>IF(Tableau1[[#This Row],[Date rév.]]="","",HYPERLINK(Tableau1[[#This Row],[Lien document]],"X"))</f>
        <v/>
      </c>
      <c r="V265" s="47"/>
      <c r="W265" s="49" t="str">
        <f ca="1">Chemin_accès!$B$2&amp;Tableau1[[#This Row],[Poste Responsable]]&amp;"\"&amp;Tableau1[[#This Row],[Localisation / Classement]]&amp;"\"&amp;Tableau1[[#This Row],[Poste technique]]&amp;"_"&amp;Tableau1[[#This Row],[Plan Entretien]]&amp;".pdf"</f>
        <v>\\stjn.local\trimet\Donnees_Projets\Dms Sap\Maintenance\PlanEntretien\7.MSCT\\_.pdf</v>
      </c>
      <c r="X265" s="47"/>
      <c r="Y265" s="47"/>
      <c r="Z265" s="44" t="str">
        <f ca="1">IF(AND(Tableau1[[#This Row],[Charge]]&lt;&gt;0, Tableau1[[#This Row],[Nombre intervenants]]&lt;&gt;0,Tableau1[[#This Row],[Lien document]]&lt;&gt;0,Tableau1[[#This Row],[DMS_SAP]]&lt;&gt;0)=TRUE,"MIS A JOUR","")</f>
        <v/>
      </c>
      <c r="AA265" s="48"/>
      <c r="AB265" s="58" t="str">
        <f ca="1">IF(Tableau1[[#This Row],[Date rév.]]&lt;&gt;"", DAYS360(Tableau1[[#This Row],[Date rév.]],TODAY()),"")</f>
        <v/>
      </c>
      <c r="AC265" s="47" t="str">
        <f>IFERROR(INDEX(Chemin_accès!$B$11:$C$22,MATCH(Tableau1[[#This Row],[Type]],Chemin_accès!$C$11:$C$22,0),1),Chemin_accès!$B$11)</f>
        <v>\\stjn.local\trimet\Btechnique\Commun\BT Maint SCELLEMENT\205 - Préventifs\Modèles préventif\GammeDMS_7.MSCT.xlsm</v>
      </c>
      <c r="AD265" s="47" t="str">
        <f>Chemin_accès!$B$8&amp;Tableau1[[#This Row],[Localisation / Classement]]&amp;"\"&amp;Tableau1[[#This Row],[Poste technique]]&amp;"_"&amp;Tableau1[[#This Row],[Plan Entretien]]&amp;".xlsm"</f>
        <v>\\stjn.local\trimet\Btechnique\Commun\BT Maint SCELLEMENT\205 - Préventifs\Gammes 7.MSCT PE Tool\\_.xlsm</v>
      </c>
    </row>
    <row r="266" spans="1:30" x14ac:dyDescent="0.3">
      <c r="A266" s="44" t="str">
        <f t="shared" ca="1" si="4"/>
        <v>7.MSCT</v>
      </c>
      <c r="B2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6" s="46"/>
      <c r="D266" s="44"/>
      <c r="E266" s="44"/>
      <c r="F266" s="47"/>
      <c r="G266" s="47"/>
      <c r="H266" s="50"/>
      <c r="I266" s="50"/>
      <c r="J266" s="50"/>
      <c r="K266" s="50"/>
      <c r="L266" s="46"/>
      <c r="M266" s="47"/>
      <c r="N266" s="46"/>
      <c r="O266" s="46"/>
      <c r="P266" s="47"/>
      <c r="Q266" s="46"/>
      <c r="R266" s="46"/>
      <c r="S266" s="48"/>
      <c r="T266" s="61" t="str">
        <f>IF(Tableau1[[#This Row],[DMS_SAP]]="","",HYPERLINK(Tableau1[[#This Row],[Chemin fichier source]],"X"))</f>
        <v/>
      </c>
      <c r="U266" s="61" t="str">
        <f>IF(Tableau1[[#This Row],[Date rév.]]="","",HYPERLINK(Tableau1[[#This Row],[Lien document]],"X"))</f>
        <v/>
      </c>
      <c r="V266" s="47"/>
      <c r="W266" s="49" t="str">
        <f ca="1">Chemin_accès!$B$2&amp;Tableau1[[#This Row],[Poste Responsable]]&amp;"\"&amp;Tableau1[[#This Row],[Localisation / Classement]]&amp;"\"&amp;Tableau1[[#This Row],[Poste technique]]&amp;"_"&amp;Tableau1[[#This Row],[Plan Entretien]]&amp;".pdf"</f>
        <v>\\stjn.local\trimet\Donnees_Projets\Dms Sap\Maintenance\PlanEntretien\7.MSCT\\_.pdf</v>
      </c>
      <c r="X266" s="47"/>
      <c r="Y266" s="47"/>
      <c r="Z266" s="44" t="str">
        <f ca="1">IF(AND(Tableau1[[#This Row],[Charge]]&lt;&gt;0, Tableau1[[#This Row],[Nombre intervenants]]&lt;&gt;0,Tableau1[[#This Row],[Lien document]]&lt;&gt;0,Tableau1[[#This Row],[DMS_SAP]]&lt;&gt;0)=TRUE,"MIS A JOUR","")</f>
        <v/>
      </c>
      <c r="AA266" s="48"/>
      <c r="AB266" s="58" t="str">
        <f ca="1">IF(Tableau1[[#This Row],[Date rév.]]&lt;&gt;"", DAYS360(Tableau1[[#This Row],[Date rév.]],TODAY()),"")</f>
        <v/>
      </c>
      <c r="AC266" s="47" t="str">
        <f>IFERROR(INDEX(Chemin_accès!$B$11:$C$22,MATCH(Tableau1[[#This Row],[Type]],Chemin_accès!$C$11:$C$22,0),1),Chemin_accès!$B$11)</f>
        <v>\\stjn.local\trimet\Btechnique\Commun\BT Maint SCELLEMENT\205 - Préventifs\Modèles préventif\GammeDMS_7.MSCT.xlsm</v>
      </c>
      <c r="AD266" s="47" t="str">
        <f>Chemin_accès!$B$8&amp;Tableau1[[#This Row],[Localisation / Classement]]&amp;"\"&amp;Tableau1[[#This Row],[Poste technique]]&amp;"_"&amp;Tableau1[[#This Row],[Plan Entretien]]&amp;".xlsm"</f>
        <v>\\stjn.local\trimet\Btechnique\Commun\BT Maint SCELLEMENT\205 - Préventifs\Gammes 7.MSCT PE Tool\\_.xlsm</v>
      </c>
    </row>
    <row r="267" spans="1:30" x14ac:dyDescent="0.3">
      <c r="A267" s="44" t="str">
        <f t="shared" ca="1" si="4"/>
        <v>7.MSCT</v>
      </c>
      <c r="B2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7" s="46"/>
      <c r="D267" s="44"/>
      <c r="E267" s="44"/>
      <c r="F267" s="47"/>
      <c r="G267" s="47"/>
      <c r="H267" s="50"/>
      <c r="I267" s="50"/>
      <c r="J267" s="50"/>
      <c r="K267" s="50"/>
      <c r="L267" s="46"/>
      <c r="M267" s="47"/>
      <c r="N267" s="46"/>
      <c r="O267" s="46"/>
      <c r="P267" s="47"/>
      <c r="Q267" s="46"/>
      <c r="R267" s="46"/>
      <c r="S267" s="48"/>
      <c r="T267" s="61" t="str">
        <f>IF(Tableau1[[#This Row],[DMS_SAP]]="","",HYPERLINK(Tableau1[[#This Row],[Chemin fichier source]],"X"))</f>
        <v/>
      </c>
      <c r="U267" s="61" t="str">
        <f>IF(Tableau1[[#This Row],[Date rév.]]="","",HYPERLINK(Tableau1[[#This Row],[Lien document]],"X"))</f>
        <v/>
      </c>
      <c r="V267" s="47"/>
      <c r="W267" s="49" t="str">
        <f ca="1">Chemin_accès!$B$2&amp;Tableau1[[#This Row],[Poste Responsable]]&amp;"\"&amp;Tableau1[[#This Row],[Localisation / Classement]]&amp;"\"&amp;Tableau1[[#This Row],[Poste technique]]&amp;"_"&amp;Tableau1[[#This Row],[Plan Entretien]]&amp;".pdf"</f>
        <v>\\stjn.local\trimet\Donnees_Projets\Dms Sap\Maintenance\PlanEntretien\7.MSCT\\_.pdf</v>
      </c>
      <c r="X267" s="47"/>
      <c r="Y267" s="47"/>
      <c r="Z267" s="44" t="str">
        <f ca="1">IF(AND(Tableau1[[#This Row],[Charge]]&lt;&gt;0, Tableau1[[#This Row],[Nombre intervenants]]&lt;&gt;0,Tableau1[[#This Row],[Lien document]]&lt;&gt;0,Tableau1[[#This Row],[DMS_SAP]]&lt;&gt;0)=TRUE,"MIS A JOUR","")</f>
        <v/>
      </c>
      <c r="AA267" s="48"/>
      <c r="AB267" s="58" t="str">
        <f ca="1">IF(Tableau1[[#This Row],[Date rév.]]&lt;&gt;"", DAYS360(Tableau1[[#This Row],[Date rév.]],TODAY()),"")</f>
        <v/>
      </c>
      <c r="AC267" s="47" t="str">
        <f>IFERROR(INDEX(Chemin_accès!$B$11:$C$22,MATCH(Tableau1[[#This Row],[Type]],Chemin_accès!$C$11:$C$22,0),1),Chemin_accès!$B$11)</f>
        <v>\\stjn.local\trimet\Btechnique\Commun\BT Maint SCELLEMENT\205 - Préventifs\Modèles préventif\GammeDMS_7.MSCT.xlsm</v>
      </c>
      <c r="AD267" s="47" t="str">
        <f>Chemin_accès!$B$8&amp;Tableau1[[#This Row],[Localisation / Classement]]&amp;"\"&amp;Tableau1[[#This Row],[Poste technique]]&amp;"_"&amp;Tableau1[[#This Row],[Plan Entretien]]&amp;".xlsm"</f>
        <v>\\stjn.local\trimet\Btechnique\Commun\BT Maint SCELLEMENT\205 - Préventifs\Gammes 7.MSCT PE Tool\\_.xlsm</v>
      </c>
    </row>
    <row r="268" spans="1:30" x14ac:dyDescent="0.3">
      <c r="A268" s="44" t="str">
        <f t="shared" ca="1" si="4"/>
        <v>7.MSCT</v>
      </c>
      <c r="B2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8" s="46"/>
      <c r="D268" s="44"/>
      <c r="E268" s="44"/>
      <c r="F268" s="47"/>
      <c r="G268" s="47"/>
      <c r="H268" s="50"/>
      <c r="I268" s="50"/>
      <c r="J268" s="50"/>
      <c r="K268" s="50"/>
      <c r="L268" s="46"/>
      <c r="M268" s="47"/>
      <c r="N268" s="46"/>
      <c r="O268" s="46"/>
      <c r="P268" s="47"/>
      <c r="Q268" s="46"/>
      <c r="R268" s="46"/>
      <c r="S268" s="48"/>
      <c r="T268" s="61" t="str">
        <f>IF(Tableau1[[#This Row],[DMS_SAP]]="","",HYPERLINK(Tableau1[[#This Row],[Chemin fichier source]],"X"))</f>
        <v/>
      </c>
      <c r="U268" s="61" t="str">
        <f>IF(Tableau1[[#This Row],[Date rév.]]="","",HYPERLINK(Tableau1[[#This Row],[Lien document]],"X"))</f>
        <v/>
      </c>
      <c r="V268" s="47"/>
      <c r="W268" s="49" t="str">
        <f ca="1">Chemin_accès!$B$2&amp;Tableau1[[#This Row],[Poste Responsable]]&amp;"\"&amp;Tableau1[[#This Row],[Localisation / Classement]]&amp;"\"&amp;Tableau1[[#This Row],[Poste technique]]&amp;"_"&amp;Tableau1[[#This Row],[Plan Entretien]]&amp;".pdf"</f>
        <v>\\stjn.local\trimet\Donnees_Projets\Dms Sap\Maintenance\PlanEntretien\7.MSCT\\_.pdf</v>
      </c>
      <c r="X268" s="47"/>
      <c r="Y268" s="47"/>
      <c r="Z268" s="44" t="str">
        <f ca="1">IF(AND(Tableau1[[#This Row],[Charge]]&lt;&gt;0, Tableau1[[#This Row],[Nombre intervenants]]&lt;&gt;0,Tableau1[[#This Row],[Lien document]]&lt;&gt;0,Tableau1[[#This Row],[DMS_SAP]]&lt;&gt;0)=TRUE,"MIS A JOUR","")</f>
        <v/>
      </c>
      <c r="AA268" s="48"/>
      <c r="AB268" s="58" t="str">
        <f ca="1">IF(Tableau1[[#This Row],[Date rév.]]&lt;&gt;"", DAYS360(Tableau1[[#This Row],[Date rév.]],TODAY()),"")</f>
        <v/>
      </c>
      <c r="AC268" s="47" t="str">
        <f>IFERROR(INDEX(Chemin_accès!$B$11:$C$22,MATCH(Tableau1[[#This Row],[Type]],Chemin_accès!$C$11:$C$22,0),1),Chemin_accès!$B$11)</f>
        <v>\\stjn.local\trimet\Btechnique\Commun\BT Maint SCELLEMENT\205 - Préventifs\Modèles préventif\GammeDMS_7.MSCT.xlsm</v>
      </c>
      <c r="AD268" s="47" t="str">
        <f>Chemin_accès!$B$8&amp;Tableau1[[#This Row],[Localisation / Classement]]&amp;"\"&amp;Tableau1[[#This Row],[Poste technique]]&amp;"_"&amp;Tableau1[[#This Row],[Plan Entretien]]&amp;".xlsm"</f>
        <v>\\stjn.local\trimet\Btechnique\Commun\BT Maint SCELLEMENT\205 - Préventifs\Gammes 7.MSCT PE Tool\\_.xlsm</v>
      </c>
    </row>
    <row r="269" spans="1:30" x14ac:dyDescent="0.3">
      <c r="A269" s="44" t="str">
        <f t="shared" ca="1" si="4"/>
        <v>7.MSCT</v>
      </c>
      <c r="B2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69" s="46"/>
      <c r="D269" s="44"/>
      <c r="E269" s="44"/>
      <c r="F269" s="47"/>
      <c r="G269" s="47"/>
      <c r="H269" s="50"/>
      <c r="I269" s="50"/>
      <c r="J269" s="50"/>
      <c r="K269" s="50"/>
      <c r="L269" s="46"/>
      <c r="M269" s="47"/>
      <c r="N269" s="46"/>
      <c r="O269" s="46"/>
      <c r="P269" s="47"/>
      <c r="Q269" s="46"/>
      <c r="R269" s="46"/>
      <c r="S269" s="48"/>
      <c r="T269" s="61" t="str">
        <f>IF(Tableau1[[#This Row],[DMS_SAP]]="","",HYPERLINK(Tableau1[[#This Row],[Chemin fichier source]],"X"))</f>
        <v/>
      </c>
      <c r="U269" s="61" t="str">
        <f>IF(Tableau1[[#This Row],[Date rév.]]="","",HYPERLINK(Tableau1[[#This Row],[Lien document]],"X"))</f>
        <v/>
      </c>
      <c r="V269" s="47"/>
      <c r="W269" s="49" t="str">
        <f ca="1">Chemin_accès!$B$2&amp;Tableau1[[#This Row],[Poste Responsable]]&amp;"\"&amp;Tableau1[[#This Row],[Localisation / Classement]]&amp;"\"&amp;Tableau1[[#This Row],[Poste technique]]&amp;"_"&amp;Tableau1[[#This Row],[Plan Entretien]]&amp;".pdf"</f>
        <v>\\stjn.local\trimet\Donnees_Projets\Dms Sap\Maintenance\PlanEntretien\7.MSCT\\_.pdf</v>
      </c>
      <c r="X269" s="47"/>
      <c r="Y269" s="47"/>
      <c r="Z269" s="44" t="str">
        <f ca="1">IF(AND(Tableau1[[#This Row],[Charge]]&lt;&gt;0, Tableau1[[#This Row],[Nombre intervenants]]&lt;&gt;0,Tableau1[[#This Row],[Lien document]]&lt;&gt;0,Tableau1[[#This Row],[DMS_SAP]]&lt;&gt;0)=TRUE,"MIS A JOUR","")</f>
        <v/>
      </c>
      <c r="AA269" s="48"/>
      <c r="AB269" s="58" t="str">
        <f ca="1">IF(Tableau1[[#This Row],[Date rév.]]&lt;&gt;"", DAYS360(Tableau1[[#This Row],[Date rév.]],TODAY()),"")</f>
        <v/>
      </c>
      <c r="AC269" s="47" t="str">
        <f>IFERROR(INDEX(Chemin_accès!$B$11:$C$22,MATCH(Tableau1[[#This Row],[Type]],Chemin_accès!$C$11:$C$22,0),1),Chemin_accès!$B$11)</f>
        <v>\\stjn.local\trimet\Btechnique\Commun\BT Maint SCELLEMENT\205 - Préventifs\Modèles préventif\GammeDMS_7.MSCT.xlsm</v>
      </c>
      <c r="AD269" s="47" t="str">
        <f>Chemin_accès!$B$8&amp;Tableau1[[#This Row],[Localisation / Classement]]&amp;"\"&amp;Tableau1[[#This Row],[Poste technique]]&amp;"_"&amp;Tableau1[[#This Row],[Plan Entretien]]&amp;".xlsm"</f>
        <v>\\stjn.local\trimet\Btechnique\Commun\BT Maint SCELLEMENT\205 - Préventifs\Gammes 7.MSCT PE Tool\\_.xlsm</v>
      </c>
    </row>
    <row r="270" spans="1:30" x14ac:dyDescent="0.3">
      <c r="A270" s="44" t="str">
        <f t="shared" ca="1" si="4"/>
        <v>7.MSCT</v>
      </c>
      <c r="B2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0" s="46"/>
      <c r="D270" s="44"/>
      <c r="E270" s="44"/>
      <c r="F270" s="47"/>
      <c r="G270" s="47"/>
      <c r="H270" s="50"/>
      <c r="I270" s="50"/>
      <c r="J270" s="50"/>
      <c r="K270" s="50"/>
      <c r="L270" s="46"/>
      <c r="M270" s="47"/>
      <c r="N270" s="46"/>
      <c r="O270" s="46"/>
      <c r="P270" s="47"/>
      <c r="Q270" s="46"/>
      <c r="R270" s="46"/>
      <c r="S270" s="48"/>
      <c r="T270" s="61" t="str">
        <f>IF(Tableau1[[#This Row],[DMS_SAP]]="","",HYPERLINK(Tableau1[[#This Row],[Chemin fichier source]],"X"))</f>
        <v/>
      </c>
      <c r="U270" s="61" t="str">
        <f>IF(Tableau1[[#This Row],[Date rév.]]="","",HYPERLINK(Tableau1[[#This Row],[Lien document]],"X"))</f>
        <v/>
      </c>
      <c r="V270" s="47"/>
      <c r="W270" s="49" t="str">
        <f ca="1">Chemin_accès!$B$2&amp;Tableau1[[#This Row],[Poste Responsable]]&amp;"\"&amp;Tableau1[[#This Row],[Localisation / Classement]]&amp;"\"&amp;Tableau1[[#This Row],[Poste technique]]&amp;"_"&amp;Tableau1[[#This Row],[Plan Entretien]]&amp;".pdf"</f>
        <v>\\stjn.local\trimet\Donnees_Projets\Dms Sap\Maintenance\PlanEntretien\7.MSCT\\_.pdf</v>
      </c>
      <c r="X270" s="47"/>
      <c r="Y270" s="47"/>
      <c r="Z270" s="44" t="str">
        <f ca="1">IF(AND(Tableau1[[#This Row],[Charge]]&lt;&gt;0, Tableau1[[#This Row],[Nombre intervenants]]&lt;&gt;0,Tableau1[[#This Row],[Lien document]]&lt;&gt;0,Tableau1[[#This Row],[DMS_SAP]]&lt;&gt;0)=TRUE,"MIS A JOUR","")</f>
        <v/>
      </c>
      <c r="AA270" s="48"/>
      <c r="AB270" s="58" t="str">
        <f ca="1">IF(Tableau1[[#This Row],[Date rév.]]&lt;&gt;"", DAYS360(Tableau1[[#This Row],[Date rév.]],TODAY()),"")</f>
        <v/>
      </c>
      <c r="AC270" s="47" t="str">
        <f>IFERROR(INDEX(Chemin_accès!$B$11:$C$22,MATCH(Tableau1[[#This Row],[Type]],Chemin_accès!$C$11:$C$22,0),1),Chemin_accès!$B$11)</f>
        <v>\\stjn.local\trimet\Btechnique\Commun\BT Maint SCELLEMENT\205 - Préventifs\Modèles préventif\GammeDMS_7.MSCT.xlsm</v>
      </c>
      <c r="AD270" s="47" t="str">
        <f>Chemin_accès!$B$8&amp;Tableau1[[#This Row],[Localisation / Classement]]&amp;"\"&amp;Tableau1[[#This Row],[Poste technique]]&amp;"_"&amp;Tableau1[[#This Row],[Plan Entretien]]&amp;".xlsm"</f>
        <v>\\stjn.local\trimet\Btechnique\Commun\BT Maint SCELLEMENT\205 - Préventifs\Gammes 7.MSCT PE Tool\\_.xlsm</v>
      </c>
    </row>
    <row r="271" spans="1:30" x14ac:dyDescent="0.3">
      <c r="A271" s="44" t="str">
        <f t="shared" ca="1" si="4"/>
        <v>7.MSCT</v>
      </c>
      <c r="B2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1" s="46"/>
      <c r="D271" s="44"/>
      <c r="E271" s="44"/>
      <c r="F271" s="47"/>
      <c r="G271" s="47"/>
      <c r="H271" s="50"/>
      <c r="I271" s="50"/>
      <c r="J271" s="50"/>
      <c r="K271" s="50"/>
      <c r="L271" s="46"/>
      <c r="M271" s="47"/>
      <c r="N271" s="46"/>
      <c r="O271" s="46"/>
      <c r="P271" s="47"/>
      <c r="Q271" s="46"/>
      <c r="R271" s="46"/>
      <c r="S271" s="48"/>
      <c r="T271" s="61" t="str">
        <f>IF(Tableau1[[#This Row],[DMS_SAP]]="","",HYPERLINK(Tableau1[[#This Row],[Chemin fichier source]],"X"))</f>
        <v/>
      </c>
      <c r="U271" s="61" t="str">
        <f>IF(Tableau1[[#This Row],[Date rév.]]="","",HYPERLINK(Tableau1[[#This Row],[Lien document]],"X"))</f>
        <v/>
      </c>
      <c r="V271" s="47"/>
      <c r="W271" s="49" t="str">
        <f ca="1">Chemin_accès!$B$2&amp;Tableau1[[#This Row],[Poste Responsable]]&amp;"\"&amp;Tableau1[[#This Row],[Localisation / Classement]]&amp;"\"&amp;Tableau1[[#This Row],[Poste technique]]&amp;"_"&amp;Tableau1[[#This Row],[Plan Entretien]]&amp;".pdf"</f>
        <v>\\stjn.local\trimet\Donnees_Projets\Dms Sap\Maintenance\PlanEntretien\7.MSCT\\_.pdf</v>
      </c>
      <c r="X271" s="47"/>
      <c r="Y271" s="47"/>
      <c r="Z271" s="44" t="str">
        <f ca="1">IF(AND(Tableau1[[#This Row],[Charge]]&lt;&gt;0, Tableau1[[#This Row],[Nombre intervenants]]&lt;&gt;0,Tableau1[[#This Row],[Lien document]]&lt;&gt;0,Tableau1[[#This Row],[DMS_SAP]]&lt;&gt;0)=TRUE,"MIS A JOUR","")</f>
        <v/>
      </c>
      <c r="AA271" s="48"/>
      <c r="AB271" s="58" t="str">
        <f ca="1">IF(Tableau1[[#This Row],[Date rév.]]&lt;&gt;"", DAYS360(Tableau1[[#This Row],[Date rév.]],TODAY()),"")</f>
        <v/>
      </c>
      <c r="AC271" s="47" t="str">
        <f>IFERROR(INDEX(Chemin_accès!$B$11:$C$22,MATCH(Tableau1[[#This Row],[Type]],Chemin_accès!$C$11:$C$22,0),1),Chemin_accès!$B$11)</f>
        <v>\\stjn.local\trimet\Btechnique\Commun\BT Maint SCELLEMENT\205 - Préventifs\Modèles préventif\GammeDMS_7.MSCT.xlsm</v>
      </c>
      <c r="AD271" s="47" t="str">
        <f>Chemin_accès!$B$8&amp;Tableau1[[#This Row],[Localisation / Classement]]&amp;"\"&amp;Tableau1[[#This Row],[Poste technique]]&amp;"_"&amp;Tableau1[[#This Row],[Plan Entretien]]&amp;".xlsm"</f>
        <v>\\stjn.local\trimet\Btechnique\Commun\BT Maint SCELLEMENT\205 - Préventifs\Gammes 7.MSCT PE Tool\\_.xlsm</v>
      </c>
    </row>
    <row r="272" spans="1:30" x14ac:dyDescent="0.3">
      <c r="A272" s="44" t="str">
        <f t="shared" ca="1" si="4"/>
        <v>7.MSCT</v>
      </c>
      <c r="B2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2" s="46"/>
      <c r="D272" s="44"/>
      <c r="E272" s="44"/>
      <c r="F272" s="47"/>
      <c r="G272" s="47"/>
      <c r="H272" s="50"/>
      <c r="I272" s="50"/>
      <c r="J272" s="50"/>
      <c r="K272" s="50"/>
      <c r="L272" s="46"/>
      <c r="M272" s="47"/>
      <c r="N272" s="46"/>
      <c r="O272" s="46"/>
      <c r="P272" s="47"/>
      <c r="Q272" s="46"/>
      <c r="R272" s="46"/>
      <c r="S272" s="48"/>
      <c r="T272" s="61" t="str">
        <f>IF(Tableau1[[#This Row],[DMS_SAP]]="","",HYPERLINK(Tableau1[[#This Row],[Chemin fichier source]],"X"))</f>
        <v/>
      </c>
      <c r="U272" s="61" t="str">
        <f>IF(Tableau1[[#This Row],[Date rév.]]="","",HYPERLINK(Tableau1[[#This Row],[Lien document]],"X"))</f>
        <v/>
      </c>
      <c r="V272" s="47"/>
      <c r="W272" s="49" t="str">
        <f ca="1">Chemin_accès!$B$2&amp;Tableau1[[#This Row],[Poste Responsable]]&amp;"\"&amp;Tableau1[[#This Row],[Localisation / Classement]]&amp;"\"&amp;Tableau1[[#This Row],[Poste technique]]&amp;"_"&amp;Tableau1[[#This Row],[Plan Entretien]]&amp;".pdf"</f>
        <v>\\stjn.local\trimet\Donnees_Projets\Dms Sap\Maintenance\PlanEntretien\7.MSCT\\_.pdf</v>
      </c>
      <c r="X272" s="47"/>
      <c r="Y272" s="47"/>
      <c r="Z272" s="44" t="str">
        <f ca="1">IF(AND(Tableau1[[#This Row],[Charge]]&lt;&gt;0, Tableau1[[#This Row],[Nombre intervenants]]&lt;&gt;0,Tableau1[[#This Row],[Lien document]]&lt;&gt;0,Tableau1[[#This Row],[DMS_SAP]]&lt;&gt;0)=TRUE,"MIS A JOUR","")</f>
        <v/>
      </c>
      <c r="AA272" s="48"/>
      <c r="AB272" s="58" t="str">
        <f ca="1">IF(Tableau1[[#This Row],[Date rév.]]&lt;&gt;"", DAYS360(Tableau1[[#This Row],[Date rév.]],TODAY()),"")</f>
        <v/>
      </c>
      <c r="AC272" s="47" t="str">
        <f>IFERROR(INDEX(Chemin_accès!$B$11:$C$22,MATCH(Tableau1[[#This Row],[Type]],Chemin_accès!$C$11:$C$22,0),1),Chemin_accès!$B$11)</f>
        <v>\\stjn.local\trimet\Btechnique\Commun\BT Maint SCELLEMENT\205 - Préventifs\Modèles préventif\GammeDMS_7.MSCT.xlsm</v>
      </c>
      <c r="AD272" s="47" t="str">
        <f>Chemin_accès!$B$8&amp;Tableau1[[#This Row],[Localisation / Classement]]&amp;"\"&amp;Tableau1[[#This Row],[Poste technique]]&amp;"_"&amp;Tableau1[[#This Row],[Plan Entretien]]&amp;".xlsm"</f>
        <v>\\stjn.local\trimet\Btechnique\Commun\BT Maint SCELLEMENT\205 - Préventifs\Gammes 7.MSCT PE Tool\\_.xlsm</v>
      </c>
    </row>
    <row r="273" spans="1:30" x14ac:dyDescent="0.3">
      <c r="A273" s="44" t="str">
        <f t="shared" ca="1" si="4"/>
        <v>7.MSCT</v>
      </c>
      <c r="B2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3" s="46"/>
      <c r="D273" s="44"/>
      <c r="E273" s="44"/>
      <c r="F273" s="47"/>
      <c r="G273" s="47"/>
      <c r="H273" s="50"/>
      <c r="I273" s="50"/>
      <c r="J273" s="50"/>
      <c r="K273" s="50"/>
      <c r="L273" s="46"/>
      <c r="M273" s="47"/>
      <c r="N273" s="46"/>
      <c r="O273" s="46"/>
      <c r="P273" s="47"/>
      <c r="Q273" s="46"/>
      <c r="R273" s="46"/>
      <c r="S273" s="48"/>
      <c r="T273" s="61" t="str">
        <f>IF(Tableau1[[#This Row],[DMS_SAP]]="","",HYPERLINK(Tableau1[[#This Row],[Chemin fichier source]],"X"))</f>
        <v/>
      </c>
      <c r="U273" s="61" t="str">
        <f>IF(Tableau1[[#This Row],[Date rév.]]="","",HYPERLINK(Tableau1[[#This Row],[Lien document]],"X"))</f>
        <v/>
      </c>
      <c r="V273" s="47"/>
      <c r="W273" s="49" t="str">
        <f ca="1">Chemin_accès!$B$2&amp;Tableau1[[#This Row],[Poste Responsable]]&amp;"\"&amp;Tableau1[[#This Row],[Localisation / Classement]]&amp;"\"&amp;Tableau1[[#This Row],[Poste technique]]&amp;"_"&amp;Tableau1[[#This Row],[Plan Entretien]]&amp;".pdf"</f>
        <v>\\stjn.local\trimet\Donnees_Projets\Dms Sap\Maintenance\PlanEntretien\7.MSCT\\_.pdf</v>
      </c>
      <c r="X273" s="47"/>
      <c r="Y273" s="47"/>
      <c r="Z273" s="44" t="str">
        <f ca="1">IF(AND(Tableau1[[#This Row],[Charge]]&lt;&gt;0, Tableau1[[#This Row],[Nombre intervenants]]&lt;&gt;0,Tableau1[[#This Row],[Lien document]]&lt;&gt;0,Tableau1[[#This Row],[DMS_SAP]]&lt;&gt;0)=TRUE,"MIS A JOUR","")</f>
        <v/>
      </c>
      <c r="AA273" s="48"/>
      <c r="AB273" s="58" t="str">
        <f ca="1">IF(Tableau1[[#This Row],[Date rév.]]&lt;&gt;"", DAYS360(Tableau1[[#This Row],[Date rév.]],TODAY()),"")</f>
        <v/>
      </c>
      <c r="AC273" s="47" t="str">
        <f>IFERROR(INDEX(Chemin_accès!$B$11:$C$22,MATCH(Tableau1[[#This Row],[Type]],Chemin_accès!$C$11:$C$22,0),1),Chemin_accès!$B$11)</f>
        <v>\\stjn.local\trimet\Btechnique\Commun\BT Maint SCELLEMENT\205 - Préventifs\Modèles préventif\GammeDMS_7.MSCT.xlsm</v>
      </c>
      <c r="AD273" s="47" t="str">
        <f>Chemin_accès!$B$8&amp;Tableau1[[#This Row],[Localisation / Classement]]&amp;"\"&amp;Tableau1[[#This Row],[Poste technique]]&amp;"_"&amp;Tableau1[[#This Row],[Plan Entretien]]&amp;".xlsm"</f>
        <v>\\stjn.local\trimet\Btechnique\Commun\BT Maint SCELLEMENT\205 - Préventifs\Gammes 7.MSCT PE Tool\\_.xlsm</v>
      </c>
    </row>
    <row r="274" spans="1:30" x14ac:dyDescent="0.3">
      <c r="A274" s="44" t="str">
        <f t="shared" ca="1" si="4"/>
        <v>7.MSCT</v>
      </c>
      <c r="B2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4" s="46"/>
      <c r="D274" s="44"/>
      <c r="E274" s="44"/>
      <c r="F274" s="47"/>
      <c r="G274" s="47"/>
      <c r="H274" s="50"/>
      <c r="I274" s="50"/>
      <c r="J274" s="50"/>
      <c r="K274" s="50"/>
      <c r="L274" s="46"/>
      <c r="M274" s="47"/>
      <c r="N274" s="46"/>
      <c r="O274" s="46"/>
      <c r="P274" s="47"/>
      <c r="Q274" s="46"/>
      <c r="R274" s="46"/>
      <c r="S274" s="48"/>
      <c r="T274" s="61" t="str">
        <f>IF(Tableau1[[#This Row],[DMS_SAP]]="","",HYPERLINK(Tableau1[[#This Row],[Chemin fichier source]],"X"))</f>
        <v/>
      </c>
      <c r="U274" s="61" t="str">
        <f>IF(Tableau1[[#This Row],[Date rév.]]="","",HYPERLINK(Tableau1[[#This Row],[Lien document]],"X"))</f>
        <v/>
      </c>
      <c r="V274" s="47"/>
      <c r="W274" s="49" t="str">
        <f ca="1">Chemin_accès!$B$2&amp;Tableau1[[#This Row],[Poste Responsable]]&amp;"\"&amp;Tableau1[[#This Row],[Localisation / Classement]]&amp;"\"&amp;Tableau1[[#This Row],[Poste technique]]&amp;"_"&amp;Tableau1[[#This Row],[Plan Entretien]]&amp;".pdf"</f>
        <v>\\stjn.local\trimet\Donnees_Projets\Dms Sap\Maintenance\PlanEntretien\7.MSCT\\_.pdf</v>
      </c>
      <c r="X274" s="47"/>
      <c r="Y274" s="47"/>
      <c r="Z274" s="44" t="str">
        <f ca="1">IF(AND(Tableau1[[#This Row],[Charge]]&lt;&gt;0, Tableau1[[#This Row],[Nombre intervenants]]&lt;&gt;0,Tableau1[[#This Row],[Lien document]]&lt;&gt;0,Tableau1[[#This Row],[DMS_SAP]]&lt;&gt;0)=TRUE,"MIS A JOUR","")</f>
        <v/>
      </c>
      <c r="AA274" s="48"/>
      <c r="AB274" s="58" t="str">
        <f ca="1">IF(Tableau1[[#This Row],[Date rév.]]&lt;&gt;"", DAYS360(Tableau1[[#This Row],[Date rév.]],TODAY()),"")</f>
        <v/>
      </c>
      <c r="AC274" s="47" t="str">
        <f>IFERROR(INDEX(Chemin_accès!$B$11:$C$22,MATCH(Tableau1[[#This Row],[Type]],Chemin_accès!$C$11:$C$22,0),1),Chemin_accès!$B$11)</f>
        <v>\\stjn.local\trimet\Btechnique\Commun\BT Maint SCELLEMENT\205 - Préventifs\Modèles préventif\GammeDMS_7.MSCT.xlsm</v>
      </c>
      <c r="AD274" s="47" t="str">
        <f>Chemin_accès!$B$8&amp;Tableau1[[#This Row],[Localisation / Classement]]&amp;"\"&amp;Tableau1[[#This Row],[Poste technique]]&amp;"_"&amp;Tableau1[[#This Row],[Plan Entretien]]&amp;".xlsm"</f>
        <v>\\stjn.local\trimet\Btechnique\Commun\BT Maint SCELLEMENT\205 - Préventifs\Gammes 7.MSCT PE Tool\\_.xlsm</v>
      </c>
    </row>
    <row r="275" spans="1:30" x14ac:dyDescent="0.3">
      <c r="A275" s="44" t="str">
        <f t="shared" ca="1" si="4"/>
        <v>7.MSCT</v>
      </c>
      <c r="B2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5" s="46"/>
      <c r="D275" s="44"/>
      <c r="E275" s="44"/>
      <c r="F275" s="47"/>
      <c r="G275" s="47"/>
      <c r="H275" s="50"/>
      <c r="I275" s="50"/>
      <c r="J275" s="50"/>
      <c r="K275" s="50"/>
      <c r="L275" s="46"/>
      <c r="M275" s="47"/>
      <c r="N275" s="46"/>
      <c r="O275" s="46"/>
      <c r="P275" s="47"/>
      <c r="Q275" s="46"/>
      <c r="R275" s="46"/>
      <c r="S275" s="48"/>
      <c r="T275" s="61" t="str">
        <f>IF(Tableau1[[#This Row],[DMS_SAP]]="","",HYPERLINK(Tableau1[[#This Row],[Chemin fichier source]],"X"))</f>
        <v/>
      </c>
      <c r="U275" s="61" t="str">
        <f>IF(Tableau1[[#This Row],[Date rév.]]="","",HYPERLINK(Tableau1[[#This Row],[Lien document]],"X"))</f>
        <v/>
      </c>
      <c r="V275" s="47"/>
      <c r="W275" s="49" t="str">
        <f ca="1">Chemin_accès!$B$2&amp;Tableau1[[#This Row],[Poste Responsable]]&amp;"\"&amp;Tableau1[[#This Row],[Localisation / Classement]]&amp;"\"&amp;Tableau1[[#This Row],[Poste technique]]&amp;"_"&amp;Tableau1[[#This Row],[Plan Entretien]]&amp;".pdf"</f>
        <v>\\stjn.local\trimet\Donnees_Projets\Dms Sap\Maintenance\PlanEntretien\7.MSCT\\_.pdf</v>
      </c>
      <c r="X275" s="47"/>
      <c r="Y275" s="47"/>
      <c r="Z275" s="44" t="str">
        <f ca="1">IF(AND(Tableau1[[#This Row],[Charge]]&lt;&gt;0, Tableau1[[#This Row],[Nombre intervenants]]&lt;&gt;0,Tableau1[[#This Row],[Lien document]]&lt;&gt;0,Tableau1[[#This Row],[DMS_SAP]]&lt;&gt;0)=TRUE,"MIS A JOUR","")</f>
        <v/>
      </c>
      <c r="AA275" s="48"/>
      <c r="AB275" s="58" t="str">
        <f ca="1">IF(Tableau1[[#This Row],[Date rév.]]&lt;&gt;"", DAYS360(Tableau1[[#This Row],[Date rév.]],TODAY()),"")</f>
        <v/>
      </c>
      <c r="AC275" s="47" t="str">
        <f>IFERROR(INDEX(Chemin_accès!$B$11:$C$22,MATCH(Tableau1[[#This Row],[Type]],Chemin_accès!$C$11:$C$22,0),1),Chemin_accès!$B$11)</f>
        <v>\\stjn.local\trimet\Btechnique\Commun\BT Maint SCELLEMENT\205 - Préventifs\Modèles préventif\GammeDMS_7.MSCT.xlsm</v>
      </c>
      <c r="AD275" s="47" t="str">
        <f>Chemin_accès!$B$8&amp;Tableau1[[#This Row],[Localisation / Classement]]&amp;"\"&amp;Tableau1[[#This Row],[Poste technique]]&amp;"_"&amp;Tableau1[[#This Row],[Plan Entretien]]&amp;".xlsm"</f>
        <v>\\stjn.local\trimet\Btechnique\Commun\BT Maint SCELLEMENT\205 - Préventifs\Gammes 7.MSCT PE Tool\\_.xlsm</v>
      </c>
    </row>
    <row r="276" spans="1:30" x14ac:dyDescent="0.3">
      <c r="A276" s="44" t="str">
        <f t="shared" ca="1" si="4"/>
        <v>7.MSCT</v>
      </c>
      <c r="B2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6" s="46"/>
      <c r="D276" s="44"/>
      <c r="E276" s="44"/>
      <c r="F276" s="47"/>
      <c r="G276" s="47"/>
      <c r="H276" s="50"/>
      <c r="I276" s="50"/>
      <c r="J276" s="50"/>
      <c r="K276" s="50"/>
      <c r="L276" s="46"/>
      <c r="M276" s="47"/>
      <c r="N276" s="46"/>
      <c r="O276" s="46"/>
      <c r="P276" s="47"/>
      <c r="Q276" s="46"/>
      <c r="R276" s="46"/>
      <c r="S276" s="48"/>
      <c r="T276" s="61" t="str">
        <f>IF(Tableau1[[#This Row],[DMS_SAP]]="","",HYPERLINK(Tableau1[[#This Row],[Chemin fichier source]],"X"))</f>
        <v/>
      </c>
      <c r="U276" s="61" t="str">
        <f>IF(Tableau1[[#This Row],[Date rév.]]="","",HYPERLINK(Tableau1[[#This Row],[Lien document]],"X"))</f>
        <v/>
      </c>
      <c r="V276" s="47"/>
      <c r="W276" s="49" t="str">
        <f ca="1">Chemin_accès!$B$2&amp;Tableau1[[#This Row],[Poste Responsable]]&amp;"\"&amp;Tableau1[[#This Row],[Localisation / Classement]]&amp;"\"&amp;Tableau1[[#This Row],[Poste technique]]&amp;"_"&amp;Tableau1[[#This Row],[Plan Entretien]]&amp;".pdf"</f>
        <v>\\stjn.local\trimet\Donnees_Projets\Dms Sap\Maintenance\PlanEntretien\7.MSCT\\_.pdf</v>
      </c>
      <c r="X276" s="47"/>
      <c r="Y276" s="47"/>
      <c r="Z276" s="44" t="str">
        <f ca="1">IF(AND(Tableau1[[#This Row],[Charge]]&lt;&gt;0, Tableau1[[#This Row],[Nombre intervenants]]&lt;&gt;0,Tableau1[[#This Row],[Lien document]]&lt;&gt;0,Tableau1[[#This Row],[DMS_SAP]]&lt;&gt;0)=TRUE,"MIS A JOUR","")</f>
        <v/>
      </c>
      <c r="AA276" s="48"/>
      <c r="AB276" s="58" t="str">
        <f ca="1">IF(Tableau1[[#This Row],[Date rév.]]&lt;&gt;"", DAYS360(Tableau1[[#This Row],[Date rév.]],TODAY()),"")</f>
        <v/>
      </c>
      <c r="AC276" s="47" t="str">
        <f>IFERROR(INDEX(Chemin_accès!$B$11:$C$22,MATCH(Tableau1[[#This Row],[Type]],Chemin_accès!$C$11:$C$22,0),1),Chemin_accès!$B$11)</f>
        <v>\\stjn.local\trimet\Btechnique\Commun\BT Maint SCELLEMENT\205 - Préventifs\Modèles préventif\GammeDMS_7.MSCT.xlsm</v>
      </c>
      <c r="AD276" s="47" t="str">
        <f>Chemin_accès!$B$8&amp;Tableau1[[#This Row],[Localisation / Classement]]&amp;"\"&amp;Tableau1[[#This Row],[Poste technique]]&amp;"_"&amp;Tableau1[[#This Row],[Plan Entretien]]&amp;".xlsm"</f>
        <v>\\stjn.local\trimet\Btechnique\Commun\BT Maint SCELLEMENT\205 - Préventifs\Gammes 7.MSCT PE Tool\\_.xlsm</v>
      </c>
    </row>
    <row r="277" spans="1:30" x14ac:dyDescent="0.3">
      <c r="A277" s="44" t="str">
        <f t="shared" ca="1" si="4"/>
        <v>7.MSCT</v>
      </c>
      <c r="B2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7" s="46"/>
      <c r="D277" s="44"/>
      <c r="E277" s="44"/>
      <c r="F277" s="47"/>
      <c r="G277" s="47"/>
      <c r="H277" s="50"/>
      <c r="I277" s="50"/>
      <c r="J277" s="50"/>
      <c r="K277" s="50"/>
      <c r="L277" s="46"/>
      <c r="M277" s="47"/>
      <c r="N277" s="46"/>
      <c r="O277" s="46"/>
      <c r="P277" s="47"/>
      <c r="Q277" s="46"/>
      <c r="R277" s="46"/>
      <c r="S277" s="48"/>
      <c r="T277" s="61" t="str">
        <f>IF(Tableau1[[#This Row],[DMS_SAP]]="","",HYPERLINK(Tableau1[[#This Row],[Chemin fichier source]],"X"))</f>
        <v/>
      </c>
      <c r="U277" s="61" t="str">
        <f>IF(Tableau1[[#This Row],[Date rév.]]="","",HYPERLINK(Tableau1[[#This Row],[Lien document]],"X"))</f>
        <v/>
      </c>
      <c r="V277" s="47"/>
      <c r="W277" s="49" t="str">
        <f ca="1">Chemin_accès!$B$2&amp;Tableau1[[#This Row],[Poste Responsable]]&amp;"\"&amp;Tableau1[[#This Row],[Localisation / Classement]]&amp;"\"&amp;Tableau1[[#This Row],[Poste technique]]&amp;"_"&amp;Tableau1[[#This Row],[Plan Entretien]]&amp;".pdf"</f>
        <v>\\stjn.local\trimet\Donnees_Projets\Dms Sap\Maintenance\PlanEntretien\7.MSCT\\_.pdf</v>
      </c>
      <c r="X277" s="47"/>
      <c r="Y277" s="47"/>
      <c r="Z277" s="44" t="str">
        <f ca="1">IF(AND(Tableau1[[#This Row],[Charge]]&lt;&gt;0, Tableau1[[#This Row],[Nombre intervenants]]&lt;&gt;0,Tableau1[[#This Row],[Lien document]]&lt;&gt;0,Tableau1[[#This Row],[DMS_SAP]]&lt;&gt;0)=TRUE,"MIS A JOUR","")</f>
        <v/>
      </c>
      <c r="AA277" s="48"/>
      <c r="AB277" s="58" t="str">
        <f ca="1">IF(Tableau1[[#This Row],[Date rév.]]&lt;&gt;"", DAYS360(Tableau1[[#This Row],[Date rév.]],TODAY()),"")</f>
        <v/>
      </c>
      <c r="AC277" s="47" t="str">
        <f>IFERROR(INDEX(Chemin_accès!$B$11:$C$22,MATCH(Tableau1[[#This Row],[Type]],Chemin_accès!$C$11:$C$22,0),1),Chemin_accès!$B$11)</f>
        <v>\\stjn.local\trimet\Btechnique\Commun\BT Maint SCELLEMENT\205 - Préventifs\Modèles préventif\GammeDMS_7.MSCT.xlsm</v>
      </c>
      <c r="AD277" s="47" t="str">
        <f>Chemin_accès!$B$8&amp;Tableau1[[#This Row],[Localisation / Classement]]&amp;"\"&amp;Tableau1[[#This Row],[Poste technique]]&amp;"_"&amp;Tableau1[[#This Row],[Plan Entretien]]&amp;".xlsm"</f>
        <v>\\stjn.local\trimet\Btechnique\Commun\BT Maint SCELLEMENT\205 - Préventifs\Gammes 7.MSCT PE Tool\\_.xlsm</v>
      </c>
    </row>
    <row r="278" spans="1:30" x14ac:dyDescent="0.3">
      <c r="A278" s="44" t="str">
        <f t="shared" ca="1" si="4"/>
        <v>7.MSCT</v>
      </c>
      <c r="B2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8" s="46"/>
      <c r="D278" s="44"/>
      <c r="E278" s="44"/>
      <c r="F278" s="47"/>
      <c r="G278" s="47"/>
      <c r="H278" s="50"/>
      <c r="I278" s="50"/>
      <c r="J278" s="50"/>
      <c r="K278" s="50"/>
      <c r="L278" s="46"/>
      <c r="M278" s="47"/>
      <c r="N278" s="46"/>
      <c r="O278" s="46"/>
      <c r="P278" s="47"/>
      <c r="Q278" s="46"/>
      <c r="R278" s="46"/>
      <c r="S278" s="48"/>
      <c r="T278" s="61" t="str">
        <f>IF(Tableau1[[#This Row],[DMS_SAP]]="","",HYPERLINK(Tableau1[[#This Row],[Chemin fichier source]],"X"))</f>
        <v/>
      </c>
      <c r="U278" s="61" t="str">
        <f>IF(Tableau1[[#This Row],[Date rév.]]="","",HYPERLINK(Tableau1[[#This Row],[Lien document]],"X"))</f>
        <v/>
      </c>
      <c r="V278" s="47"/>
      <c r="W278" s="49" t="str">
        <f ca="1">Chemin_accès!$B$2&amp;Tableau1[[#This Row],[Poste Responsable]]&amp;"\"&amp;Tableau1[[#This Row],[Localisation / Classement]]&amp;"\"&amp;Tableau1[[#This Row],[Poste technique]]&amp;"_"&amp;Tableau1[[#This Row],[Plan Entretien]]&amp;".pdf"</f>
        <v>\\stjn.local\trimet\Donnees_Projets\Dms Sap\Maintenance\PlanEntretien\7.MSCT\\_.pdf</v>
      </c>
      <c r="X278" s="47"/>
      <c r="Y278" s="47"/>
      <c r="Z278" s="44" t="str">
        <f ca="1">IF(AND(Tableau1[[#This Row],[Charge]]&lt;&gt;0, Tableau1[[#This Row],[Nombre intervenants]]&lt;&gt;0,Tableau1[[#This Row],[Lien document]]&lt;&gt;0,Tableau1[[#This Row],[DMS_SAP]]&lt;&gt;0)=TRUE,"MIS A JOUR","")</f>
        <v/>
      </c>
      <c r="AA278" s="48"/>
      <c r="AB278" s="58" t="str">
        <f ca="1">IF(Tableau1[[#This Row],[Date rév.]]&lt;&gt;"", DAYS360(Tableau1[[#This Row],[Date rév.]],TODAY()),"")</f>
        <v/>
      </c>
      <c r="AC278" s="47" t="str">
        <f>IFERROR(INDEX(Chemin_accès!$B$11:$C$22,MATCH(Tableau1[[#This Row],[Type]],Chemin_accès!$C$11:$C$22,0),1),Chemin_accès!$B$11)</f>
        <v>\\stjn.local\trimet\Btechnique\Commun\BT Maint SCELLEMENT\205 - Préventifs\Modèles préventif\GammeDMS_7.MSCT.xlsm</v>
      </c>
      <c r="AD278" s="47" t="str">
        <f>Chemin_accès!$B$8&amp;Tableau1[[#This Row],[Localisation / Classement]]&amp;"\"&amp;Tableau1[[#This Row],[Poste technique]]&amp;"_"&amp;Tableau1[[#This Row],[Plan Entretien]]&amp;".xlsm"</f>
        <v>\\stjn.local\trimet\Btechnique\Commun\BT Maint SCELLEMENT\205 - Préventifs\Gammes 7.MSCT PE Tool\\_.xlsm</v>
      </c>
    </row>
    <row r="279" spans="1:30" x14ac:dyDescent="0.3">
      <c r="A279" s="44" t="str">
        <f t="shared" ca="1" si="4"/>
        <v>7.MSCT</v>
      </c>
      <c r="B2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79" s="46"/>
      <c r="D279" s="44"/>
      <c r="E279" s="44"/>
      <c r="F279" s="47"/>
      <c r="G279" s="47"/>
      <c r="H279" s="50"/>
      <c r="I279" s="50"/>
      <c r="J279" s="50"/>
      <c r="K279" s="50"/>
      <c r="L279" s="46"/>
      <c r="M279" s="47"/>
      <c r="N279" s="46"/>
      <c r="O279" s="46"/>
      <c r="P279" s="47"/>
      <c r="Q279" s="46"/>
      <c r="R279" s="46"/>
      <c r="S279" s="48"/>
      <c r="T279" s="61" t="str">
        <f>IF(Tableau1[[#This Row],[DMS_SAP]]="","",HYPERLINK(Tableau1[[#This Row],[Chemin fichier source]],"X"))</f>
        <v/>
      </c>
      <c r="U279" s="61" t="str">
        <f>IF(Tableau1[[#This Row],[Date rév.]]="","",HYPERLINK(Tableau1[[#This Row],[Lien document]],"X"))</f>
        <v/>
      </c>
      <c r="V279" s="47"/>
      <c r="W279" s="49" t="str">
        <f ca="1">Chemin_accès!$B$2&amp;Tableau1[[#This Row],[Poste Responsable]]&amp;"\"&amp;Tableau1[[#This Row],[Localisation / Classement]]&amp;"\"&amp;Tableau1[[#This Row],[Poste technique]]&amp;"_"&amp;Tableau1[[#This Row],[Plan Entretien]]&amp;".pdf"</f>
        <v>\\stjn.local\trimet\Donnees_Projets\Dms Sap\Maintenance\PlanEntretien\7.MSCT\\_.pdf</v>
      </c>
      <c r="X279" s="47"/>
      <c r="Y279" s="47"/>
      <c r="Z279" s="44" t="str">
        <f ca="1">IF(AND(Tableau1[[#This Row],[Charge]]&lt;&gt;0, Tableau1[[#This Row],[Nombre intervenants]]&lt;&gt;0,Tableau1[[#This Row],[Lien document]]&lt;&gt;0,Tableau1[[#This Row],[DMS_SAP]]&lt;&gt;0)=TRUE,"MIS A JOUR","")</f>
        <v/>
      </c>
      <c r="AA279" s="48"/>
      <c r="AB279" s="58" t="str">
        <f ca="1">IF(Tableau1[[#This Row],[Date rév.]]&lt;&gt;"", DAYS360(Tableau1[[#This Row],[Date rév.]],TODAY()),"")</f>
        <v/>
      </c>
      <c r="AC279" s="47" t="str">
        <f>IFERROR(INDEX(Chemin_accès!$B$11:$C$22,MATCH(Tableau1[[#This Row],[Type]],Chemin_accès!$C$11:$C$22,0),1),Chemin_accès!$B$11)</f>
        <v>\\stjn.local\trimet\Btechnique\Commun\BT Maint SCELLEMENT\205 - Préventifs\Modèles préventif\GammeDMS_7.MSCT.xlsm</v>
      </c>
      <c r="AD279" s="47" t="str">
        <f>Chemin_accès!$B$8&amp;Tableau1[[#This Row],[Localisation / Classement]]&amp;"\"&amp;Tableau1[[#This Row],[Poste technique]]&amp;"_"&amp;Tableau1[[#This Row],[Plan Entretien]]&amp;".xlsm"</f>
        <v>\\stjn.local\trimet\Btechnique\Commun\BT Maint SCELLEMENT\205 - Préventifs\Gammes 7.MSCT PE Tool\\_.xlsm</v>
      </c>
    </row>
    <row r="280" spans="1:30" x14ac:dyDescent="0.3">
      <c r="A280" s="44" t="str">
        <f t="shared" ca="1" si="4"/>
        <v>7.MSCT</v>
      </c>
      <c r="B2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0" s="46"/>
      <c r="D280" s="44"/>
      <c r="E280" s="44"/>
      <c r="F280" s="47"/>
      <c r="G280" s="47"/>
      <c r="H280" s="50"/>
      <c r="I280" s="50"/>
      <c r="J280" s="50"/>
      <c r="K280" s="50"/>
      <c r="L280" s="46"/>
      <c r="M280" s="47"/>
      <c r="N280" s="46"/>
      <c r="O280" s="46"/>
      <c r="P280" s="47"/>
      <c r="Q280" s="46"/>
      <c r="R280" s="46"/>
      <c r="S280" s="48"/>
      <c r="T280" s="61" t="str">
        <f>IF(Tableau1[[#This Row],[DMS_SAP]]="","",HYPERLINK(Tableau1[[#This Row],[Chemin fichier source]],"X"))</f>
        <v/>
      </c>
      <c r="U280" s="61" t="str">
        <f>IF(Tableau1[[#This Row],[Date rév.]]="","",HYPERLINK(Tableau1[[#This Row],[Lien document]],"X"))</f>
        <v/>
      </c>
      <c r="V280" s="47"/>
      <c r="W280" s="49" t="str">
        <f ca="1">Chemin_accès!$B$2&amp;Tableau1[[#This Row],[Poste Responsable]]&amp;"\"&amp;Tableau1[[#This Row],[Localisation / Classement]]&amp;"\"&amp;Tableau1[[#This Row],[Poste technique]]&amp;"_"&amp;Tableau1[[#This Row],[Plan Entretien]]&amp;".pdf"</f>
        <v>\\stjn.local\trimet\Donnees_Projets\Dms Sap\Maintenance\PlanEntretien\7.MSCT\\_.pdf</v>
      </c>
      <c r="X280" s="47"/>
      <c r="Y280" s="47"/>
      <c r="Z280" s="44" t="str">
        <f ca="1">IF(AND(Tableau1[[#This Row],[Charge]]&lt;&gt;0, Tableau1[[#This Row],[Nombre intervenants]]&lt;&gt;0,Tableau1[[#This Row],[Lien document]]&lt;&gt;0,Tableau1[[#This Row],[DMS_SAP]]&lt;&gt;0)=TRUE,"MIS A JOUR","")</f>
        <v/>
      </c>
      <c r="AA280" s="48"/>
      <c r="AB280" s="58" t="str">
        <f ca="1">IF(Tableau1[[#This Row],[Date rév.]]&lt;&gt;"", DAYS360(Tableau1[[#This Row],[Date rév.]],TODAY()),"")</f>
        <v/>
      </c>
      <c r="AC280" s="47" t="str">
        <f>IFERROR(INDEX(Chemin_accès!$B$11:$C$22,MATCH(Tableau1[[#This Row],[Type]],Chemin_accès!$C$11:$C$22,0),1),Chemin_accès!$B$11)</f>
        <v>\\stjn.local\trimet\Btechnique\Commun\BT Maint SCELLEMENT\205 - Préventifs\Modèles préventif\GammeDMS_7.MSCT.xlsm</v>
      </c>
      <c r="AD280" s="47" t="str">
        <f>Chemin_accès!$B$8&amp;Tableau1[[#This Row],[Localisation / Classement]]&amp;"\"&amp;Tableau1[[#This Row],[Poste technique]]&amp;"_"&amp;Tableau1[[#This Row],[Plan Entretien]]&amp;".xlsm"</f>
        <v>\\stjn.local\trimet\Btechnique\Commun\BT Maint SCELLEMENT\205 - Préventifs\Gammes 7.MSCT PE Tool\\_.xlsm</v>
      </c>
    </row>
    <row r="281" spans="1:30" x14ac:dyDescent="0.3">
      <c r="A281" s="44" t="str">
        <f t="shared" ca="1" si="4"/>
        <v>7.MSCT</v>
      </c>
      <c r="B2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1" s="46"/>
      <c r="D281" s="44"/>
      <c r="E281" s="44"/>
      <c r="F281" s="47"/>
      <c r="G281" s="47"/>
      <c r="H281" s="50"/>
      <c r="I281" s="50"/>
      <c r="J281" s="50"/>
      <c r="K281" s="50"/>
      <c r="L281" s="46"/>
      <c r="M281" s="47"/>
      <c r="N281" s="46"/>
      <c r="O281" s="46"/>
      <c r="P281" s="47"/>
      <c r="Q281" s="46"/>
      <c r="R281" s="46"/>
      <c r="S281" s="48"/>
      <c r="T281" s="61" t="str">
        <f>IF(Tableau1[[#This Row],[DMS_SAP]]="","",HYPERLINK(Tableau1[[#This Row],[Chemin fichier source]],"X"))</f>
        <v/>
      </c>
      <c r="U281" s="61" t="str">
        <f>IF(Tableau1[[#This Row],[Date rév.]]="","",HYPERLINK(Tableau1[[#This Row],[Lien document]],"X"))</f>
        <v/>
      </c>
      <c r="V281" s="47"/>
      <c r="W281" s="49" t="str">
        <f ca="1">Chemin_accès!$B$2&amp;Tableau1[[#This Row],[Poste Responsable]]&amp;"\"&amp;Tableau1[[#This Row],[Localisation / Classement]]&amp;"\"&amp;Tableau1[[#This Row],[Poste technique]]&amp;"_"&amp;Tableau1[[#This Row],[Plan Entretien]]&amp;".pdf"</f>
        <v>\\stjn.local\trimet\Donnees_Projets\Dms Sap\Maintenance\PlanEntretien\7.MSCT\\_.pdf</v>
      </c>
      <c r="X281" s="47"/>
      <c r="Y281" s="47"/>
      <c r="Z281" s="44" t="str">
        <f ca="1">IF(AND(Tableau1[[#This Row],[Charge]]&lt;&gt;0, Tableau1[[#This Row],[Nombre intervenants]]&lt;&gt;0,Tableau1[[#This Row],[Lien document]]&lt;&gt;0,Tableau1[[#This Row],[DMS_SAP]]&lt;&gt;0)=TRUE,"MIS A JOUR","")</f>
        <v/>
      </c>
      <c r="AA281" s="48"/>
      <c r="AB281" s="58" t="str">
        <f ca="1">IF(Tableau1[[#This Row],[Date rév.]]&lt;&gt;"", DAYS360(Tableau1[[#This Row],[Date rév.]],TODAY()),"")</f>
        <v/>
      </c>
      <c r="AC281" s="47" t="str">
        <f>IFERROR(INDEX(Chemin_accès!$B$11:$C$22,MATCH(Tableau1[[#This Row],[Type]],Chemin_accès!$C$11:$C$22,0),1),Chemin_accès!$B$11)</f>
        <v>\\stjn.local\trimet\Btechnique\Commun\BT Maint SCELLEMENT\205 - Préventifs\Modèles préventif\GammeDMS_7.MSCT.xlsm</v>
      </c>
      <c r="AD281" s="47" t="str">
        <f>Chemin_accès!$B$8&amp;Tableau1[[#This Row],[Localisation / Classement]]&amp;"\"&amp;Tableau1[[#This Row],[Poste technique]]&amp;"_"&amp;Tableau1[[#This Row],[Plan Entretien]]&amp;".xlsm"</f>
        <v>\\stjn.local\trimet\Btechnique\Commun\BT Maint SCELLEMENT\205 - Préventifs\Gammes 7.MSCT PE Tool\\_.xlsm</v>
      </c>
    </row>
    <row r="282" spans="1:30" x14ac:dyDescent="0.3">
      <c r="A282" s="44" t="str">
        <f t="shared" ca="1" si="4"/>
        <v>7.MSCT</v>
      </c>
      <c r="B2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2" s="46"/>
      <c r="D282" s="44"/>
      <c r="E282" s="44"/>
      <c r="F282" s="47"/>
      <c r="G282" s="47"/>
      <c r="H282" s="50"/>
      <c r="I282" s="50"/>
      <c r="J282" s="50"/>
      <c r="K282" s="50"/>
      <c r="L282" s="46"/>
      <c r="M282" s="47"/>
      <c r="N282" s="46"/>
      <c r="O282" s="46"/>
      <c r="P282" s="47"/>
      <c r="Q282" s="46"/>
      <c r="R282" s="46"/>
      <c r="S282" s="48"/>
      <c r="T282" s="61" t="str">
        <f>IF(Tableau1[[#This Row],[DMS_SAP]]="","",HYPERLINK(Tableau1[[#This Row],[Chemin fichier source]],"X"))</f>
        <v/>
      </c>
      <c r="U282" s="61" t="str">
        <f>IF(Tableau1[[#This Row],[Date rév.]]="","",HYPERLINK(Tableau1[[#This Row],[Lien document]],"X"))</f>
        <v/>
      </c>
      <c r="V282" s="47"/>
      <c r="W282" s="49" t="str">
        <f ca="1">Chemin_accès!$B$2&amp;Tableau1[[#This Row],[Poste Responsable]]&amp;"\"&amp;Tableau1[[#This Row],[Localisation / Classement]]&amp;"\"&amp;Tableau1[[#This Row],[Poste technique]]&amp;"_"&amp;Tableau1[[#This Row],[Plan Entretien]]&amp;".pdf"</f>
        <v>\\stjn.local\trimet\Donnees_Projets\Dms Sap\Maintenance\PlanEntretien\7.MSCT\\_.pdf</v>
      </c>
      <c r="X282" s="47"/>
      <c r="Y282" s="47"/>
      <c r="Z282" s="44" t="str">
        <f ca="1">IF(AND(Tableau1[[#This Row],[Charge]]&lt;&gt;0, Tableau1[[#This Row],[Nombre intervenants]]&lt;&gt;0,Tableau1[[#This Row],[Lien document]]&lt;&gt;0,Tableau1[[#This Row],[DMS_SAP]]&lt;&gt;0)=TRUE,"MIS A JOUR","")</f>
        <v/>
      </c>
      <c r="AA282" s="48"/>
      <c r="AB282" s="58" t="str">
        <f ca="1">IF(Tableau1[[#This Row],[Date rév.]]&lt;&gt;"", DAYS360(Tableau1[[#This Row],[Date rév.]],TODAY()),"")</f>
        <v/>
      </c>
      <c r="AC282" s="47" t="str">
        <f>IFERROR(INDEX(Chemin_accès!$B$11:$C$22,MATCH(Tableau1[[#This Row],[Type]],Chemin_accès!$C$11:$C$22,0),1),Chemin_accès!$B$11)</f>
        <v>\\stjn.local\trimet\Btechnique\Commun\BT Maint SCELLEMENT\205 - Préventifs\Modèles préventif\GammeDMS_7.MSCT.xlsm</v>
      </c>
      <c r="AD282" s="47" t="str">
        <f>Chemin_accès!$B$8&amp;Tableau1[[#This Row],[Localisation / Classement]]&amp;"\"&amp;Tableau1[[#This Row],[Poste technique]]&amp;"_"&amp;Tableau1[[#This Row],[Plan Entretien]]&amp;".xlsm"</f>
        <v>\\stjn.local\trimet\Btechnique\Commun\BT Maint SCELLEMENT\205 - Préventifs\Gammes 7.MSCT PE Tool\\_.xlsm</v>
      </c>
    </row>
    <row r="283" spans="1:30" x14ac:dyDescent="0.3">
      <c r="A283" s="44" t="str">
        <f t="shared" ca="1" si="4"/>
        <v>7.MSCT</v>
      </c>
      <c r="B2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3" s="46"/>
      <c r="D283" s="44"/>
      <c r="E283" s="44"/>
      <c r="F283" s="47"/>
      <c r="G283" s="47"/>
      <c r="H283" s="50"/>
      <c r="I283" s="50"/>
      <c r="J283" s="50"/>
      <c r="K283" s="50"/>
      <c r="L283" s="46"/>
      <c r="M283" s="47"/>
      <c r="N283" s="46"/>
      <c r="O283" s="46"/>
      <c r="P283" s="47"/>
      <c r="Q283" s="46"/>
      <c r="R283" s="46"/>
      <c r="S283" s="48"/>
      <c r="T283" s="61" t="str">
        <f>IF(Tableau1[[#This Row],[DMS_SAP]]="","",HYPERLINK(Tableau1[[#This Row],[Chemin fichier source]],"X"))</f>
        <v/>
      </c>
      <c r="U283" s="61" t="str">
        <f>IF(Tableau1[[#This Row],[Date rév.]]="","",HYPERLINK(Tableau1[[#This Row],[Lien document]],"X"))</f>
        <v/>
      </c>
      <c r="V283" s="47"/>
      <c r="W283" s="49" t="str">
        <f ca="1">Chemin_accès!$B$2&amp;Tableau1[[#This Row],[Poste Responsable]]&amp;"\"&amp;Tableau1[[#This Row],[Localisation / Classement]]&amp;"\"&amp;Tableau1[[#This Row],[Poste technique]]&amp;"_"&amp;Tableau1[[#This Row],[Plan Entretien]]&amp;".pdf"</f>
        <v>\\stjn.local\trimet\Donnees_Projets\Dms Sap\Maintenance\PlanEntretien\7.MSCT\\_.pdf</v>
      </c>
      <c r="X283" s="47"/>
      <c r="Y283" s="47"/>
      <c r="Z283" s="44" t="str">
        <f ca="1">IF(AND(Tableau1[[#This Row],[Charge]]&lt;&gt;0, Tableau1[[#This Row],[Nombre intervenants]]&lt;&gt;0,Tableau1[[#This Row],[Lien document]]&lt;&gt;0,Tableau1[[#This Row],[DMS_SAP]]&lt;&gt;0)=TRUE,"MIS A JOUR","")</f>
        <v/>
      </c>
      <c r="AA283" s="48"/>
      <c r="AB283" s="58" t="str">
        <f ca="1">IF(Tableau1[[#This Row],[Date rév.]]&lt;&gt;"", DAYS360(Tableau1[[#This Row],[Date rév.]],TODAY()),"")</f>
        <v/>
      </c>
      <c r="AC283" s="47" t="str">
        <f>IFERROR(INDEX(Chemin_accès!$B$11:$C$22,MATCH(Tableau1[[#This Row],[Type]],Chemin_accès!$C$11:$C$22,0),1),Chemin_accès!$B$11)</f>
        <v>\\stjn.local\trimet\Btechnique\Commun\BT Maint SCELLEMENT\205 - Préventifs\Modèles préventif\GammeDMS_7.MSCT.xlsm</v>
      </c>
      <c r="AD283" s="47" t="str">
        <f>Chemin_accès!$B$8&amp;Tableau1[[#This Row],[Localisation / Classement]]&amp;"\"&amp;Tableau1[[#This Row],[Poste technique]]&amp;"_"&amp;Tableau1[[#This Row],[Plan Entretien]]&amp;".xlsm"</f>
        <v>\\stjn.local\trimet\Btechnique\Commun\BT Maint SCELLEMENT\205 - Préventifs\Gammes 7.MSCT PE Tool\\_.xlsm</v>
      </c>
    </row>
    <row r="284" spans="1:30" x14ac:dyDescent="0.3">
      <c r="A284" s="44" t="str">
        <f t="shared" ca="1" si="4"/>
        <v>7.MSCT</v>
      </c>
      <c r="B2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4" s="46"/>
      <c r="D284" s="44"/>
      <c r="E284" s="44"/>
      <c r="F284" s="47"/>
      <c r="G284" s="47"/>
      <c r="H284" s="50"/>
      <c r="I284" s="50"/>
      <c r="J284" s="50"/>
      <c r="K284" s="50"/>
      <c r="L284" s="46"/>
      <c r="M284" s="47"/>
      <c r="N284" s="46"/>
      <c r="O284" s="46"/>
      <c r="P284" s="47"/>
      <c r="Q284" s="46"/>
      <c r="R284" s="46"/>
      <c r="S284" s="48"/>
      <c r="T284" s="61" t="str">
        <f>IF(Tableau1[[#This Row],[DMS_SAP]]="","",HYPERLINK(Tableau1[[#This Row],[Chemin fichier source]],"X"))</f>
        <v/>
      </c>
      <c r="U284" s="61" t="str">
        <f>IF(Tableau1[[#This Row],[Date rév.]]="","",HYPERLINK(Tableau1[[#This Row],[Lien document]],"X"))</f>
        <v/>
      </c>
      <c r="V284" s="47"/>
      <c r="W284" s="49" t="str">
        <f ca="1">Chemin_accès!$B$2&amp;Tableau1[[#This Row],[Poste Responsable]]&amp;"\"&amp;Tableau1[[#This Row],[Localisation / Classement]]&amp;"\"&amp;Tableau1[[#This Row],[Poste technique]]&amp;"_"&amp;Tableau1[[#This Row],[Plan Entretien]]&amp;".pdf"</f>
        <v>\\stjn.local\trimet\Donnees_Projets\Dms Sap\Maintenance\PlanEntretien\7.MSCT\\_.pdf</v>
      </c>
      <c r="X284" s="47"/>
      <c r="Y284" s="47"/>
      <c r="Z284" s="44" t="str">
        <f ca="1">IF(AND(Tableau1[[#This Row],[Charge]]&lt;&gt;0, Tableau1[[#This Row],[Nombre intervenants]]&lt;&gt;0,Tableau1[[#This Row],[Lien document]]&lt;&gt;0,Tableau1[[#This Row],[DMS_SAP]]&lt;&gt;0)=TRUE,"MIS A JOUR","")</f>
        <v/>
      </c>
      <c r="AA284" s="48"/>
      <c r="AB284" s="58" t="str">
        <f ca="1">IF(Tableau1[[#This Row],[Date rév.]]&lt;&gt;"", DAYS360(Tableau1[[#This Row],[Date rév.]],TODAY()),"")</f>
        <v/>
      </c>
      <c r="AC284" s="47" t="str">
        <f>IFERROR(INDEX(Chemin_accès!$B$11:$C$22,MATCH(Tableau1[[#This Row],[Type]],Chemin_accès!$C$11:$C$22,0),1),Chemin_accès!$B$11)</f>
        <v>\\stjn.local\trimet\Btechnique\Commun\BT Maint SCELLEMENT\205 - Préventifs\Modèles préventif\GammeDMS_7.MSCT.xlsm</v>
      </c>
      <c r="AD284" s="47" t="str">
        <f>Chemin_accès!$B$8&amp;Tableau1[[#This Row],[Localisation / Classement]]&amp;"\"&amp;Tableau1[[#This Row],[Poste technique]]&amp;"_"&amp;Tableau1[[#This Row],[Plan Entretien]]&amp;".xlsm"</f>
        <v>\\stjn.local\trimet\Btechnique\Commun\BT Maint SCELLEMENT\205 - Préventifs\Gammes 7.MSCT PE Tool\\_.xlsm</v>
      </c>
    </row>
    <row r="285" spans="1:30" x14ac:dyDescent="0.3">
      <c r="A285" s="44" t="str">
        <f t="shared" ca="1" si="4"/>
        <v>7.MSCT</v>
      </c>
      <c r="B2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5" s="46"/>
      <c r="D285" s="44"/>
      <c r="E285" s="44"/>
      <c r="F285" s="47"/>
      <c r="G285" s="47"/>
      <c r="H285" s="50"/>
      <c r="I285" s="50"/>
      <c r="J285" s="50"/>
      <c r="K285" s="50"/>
      <c r="L285" s="46"/>
      <c r="M285" s="47"/>
      <c r="N285" s="46"/>
      <c r="O285" s="46"/>
      <c r="P285" s="47"/>
      <c r="Q285" s="46"/>
      <c r="R285" s="46"/>
      <c r="S285" s="48"/>
      <c r="T285" s="61" t="str">
        <f>IF(Tableau1[[#This Row],[DMS_SAP]]="","",HYPERLINK(Tableau1[[#This Row],[Chemin fichier source]],"X"))</f>
        <v/>
      </c>
      <c r="U285" s="61" t="str">
        <f>IF(Tableau1[[#This Row],[Date rév.]]="","",HYPERLINK(Tableau1[[#This Row],[Lien document]],"X"))</f>
        <v/>
      </c>
      <c r="V285" s="47"/>
      <c r="W285" s="49" t="str">
        <f ca="1">Chemin_accès!$B$2&amp;Tableau1[[#This Row],[Poste Responsable]]&amp;"\"&amp;Tableau1[[#This Row],[Localisation / Classement]]&amp;"\"&amp;Tableau1[[#This Row],[Poste technique]]&amp;"_"&amp;Tableau1[[#This Row],[Plan Entretien]]&amp;".pdf"</f>
        <v>\\stjn.local\trimet\Donnees_Projets\Dms Sap\Maintenance\PlanEntretien\7.MSCT\\_.pdf</v>
      </c>
      <c r="X285" s="47"/>
      <c r="Y285" s="47"/>
      <c r="Z285" s="44" t="str">
        <f ca="1">IF(AND(Tableau1[[#This Row],[Charge]]&lt;&gt;0, Tableau1[[#This Row],[Nombre intervenants]]&lt;&gt;0,Tableau1[[#This Row],[Lien document]]&lt;&gt;0,Tableau1[[#This Row],[DMS_SAP]]&lt;&gt;0)=TRUE,"MIS A JOUR","")</f>
        <v/>
      </c>
      <c r="AA285" s="48"/>
      <c r="AB285" s="58" t="str">
        <f ca="1">IF(Tableau1[[#This Row],[Date rév.]]&lt;&gt;"", DAYS360(Tableau1[[#This Row],[Date rév.]],TODAY()),"")</f>
        <v/>
      </c>
      <c r="AC285" s="47" t="str">
        <f>IFERROR(INDEX(Chemin_accès!$B$11:$C$22,MATCH(Tableau1[[#This Row],[Type]],Chemin_accès!$C$11:$C$22,0),1),Chemin_accès!$B$11)</f>
        <v>\\stjn.local\trimet\Btechnique\Commun\BT Maint SCELLEMENT\205 - Préventifs\Modèles préventif\GammeDMS_7.MSCT.xlsm</v>
      </c>
      <c r="AD285" s="47" t="str">
        <f>Chemin_accès!$B$8&amp;Tableau1[[#This Row],[Localisation / Classement]]&amp;"\"&amp;Tableau1[[#This Row],[Poste technique]]&amp;"_"&amp;Tableau1[[#This Row],[Plan Entretien]]&amp;".xlsm"</f>
        <v>\\stjn.local\trimet\Btechnique\Commun\BT Maint SCELLEMENT\205 - Préventifs\Gammes 7.MSCT PE Tool\\_.xlsm</v>
      </c>
    </row>
    <row r="286" spans="1:30" x14ac:dyDescent="0.3">
      <c r="A286" s="44" t="str">
        <f t="shared" ca="1" si="4"/>
        <v>7.MSCT</v>
      </c>
      <c r="B2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6" s="46"/>
      <c r="D286" s="44"/>
      <c r="E286" s="44"/>
      <c r="F286" s="47"/>
      <c r="G286" s="47"/>
      <c r="H286" s="50"/>
      <c r="I286" s="50"/>
      <c r="J286" s="50"/>
      <c r="K286" s="50"/>
      <c r="L286" s="46"/>
      <c r="M286" s="47"/>
      <c r="N286" s="46"/>
      <c r="O286" s="46"/>
      <c r="P286" s="47"/>
      <c r="Q286" s="46"/>
      <c r="R286" s="46"/>
      <c r="S286" s="48"/>
      <c r="T286" s="61" t="str">
        <f>IF(Tableau1[[#This Row],[DMS_SAP]]="","",HYPERLINK(Tableau1[[#This Row],[Chemin fichier source]],"X"))</f>
        <v/>
      </c>
      <c r="U286" s="61" t="str">
        <f>IF(Tableau1[[#This Row],[Date rév.]]="","",HYPERLINK(Tableau1[[#This Row],[Lien document]],"X"))</f>
        <v/>
      </c>
      <c r="V286" s="47"/>
      <c r="W286" s="49" t="str">
        <f ca="1">Chemin_accès!$B$2&amp;Tableau1[[#This Row],[Poste Responsable]]&amp;"\"&amp;Tableau1[[#This Row],[Localisation / Classement]]&amp;"\"&amp;Tableau1[[#This Row],[Poste technique]]&amp;"_"&amp;Tableau1[[#This Row],[Plan Entretien]]&amp;".pdf"</f>
        <v>\\stjn.local\trimet\Donnees_Projets\Dms Sap\Maintenance\PlanEntretien\7.MSCT\\_.pdf</v>
      </c>
      <c r="X286" s="47"/>
      <c r="Y286" s="47"/>
      <c r="Z286" s="44" t="str">
        <f ca="1">IF(AND(Tableau1[[#This Row],[Charge]]&lt;&gt;0, Tableau1[[#This Row],[Nombre intervenants]]&lt;&gt;0,Tableau1[[#This Row],[Lien document]]&lt;&gt;0,Tableau1[[#This Row],[DMS_SAP]]&lt;&gt;0)=TRUE,"MIS A JOUR","")</f>
        <v/>
      </c>
      <c r="AA286" s="48"/>
      <c r="AB286" s="58" t="str">
        <f ca="1">IF(Tableau1[[#This Row],[Date rév.]]&lt;&gt;"", DAYS360(Tableau1[[#This Row],[Date rév.]],TODAY()),"")</f>
        <v/>
      </c>
      <c r="AC286" s="47" t="str">
        <f>IFERROR(INDEX(Chemin_accès!$B$11:$C$22,MATCH(Tableau1[[#This Row],[Type]],Chemin_accès!$C$11:$C$22,0),1),Chemin_accès!$B$11)</f>
        <v>\\stjn.local\trimet\Btechnique\Commun\BT Maint SCELLEMENT\205 - Préventifs\Modèles préventif\GammeDMS_7.MSCT.xlsm</v>
      </c>
      <c r="AD286" s="47" t="str">
        <f>Chemin_accès!$B$8&amp;Tableau1[[#This Row],[Localisation / Classement]]&amp;"\"&amp;Tableau1[[#This Row],[Poste technique]]&amp;"_"&amp;Tableau1[[#This Row],[Plan Entretien]]&amp;".xlsm"</f>
        <v>\\stjn.local\trimet\Btechnique\Commun\BT Maint SCELLEMENT\205 - Préventifs\Gammes 7.MSCT PE Tool\\_.xlsm</v>
      </c>
    </row>
    <row r="287" spans="1:30" x14ac:dyDescent="0.3">
      <c r="A287" s="44" t="str">
        <f t="shared" ca="1" si="4"/>
        <v>7.MSCT</v>
      </c>
      <c r="B2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7" s="46"/>
      <c r="D287" s="44"/>
      <c r="E287" s="44"/>
      <c r="F287" s="47"/>
      <c r="G287" s="47"/>
      <c r="H287" s="50"/>
      <c r="I287" s="50"/>
      <c r="J287" s="50"/>
      <c r="K287" s="50"/>
      <c r="L287" s="46"/>
      <c r="M287" s="47"/>
      <c r="N287" s="46"/>
      <c r="O287" s="46"/>
      <c r="P287" s="47"/>
      <c r="Q287" s="46"/>
      <c r="R287" s="46"/>
      <c r="S287" s="48"/>
      <c r="T287" s="61" t="str">
        <f>IF(Tableau1[[#This Row],[DMS_SAP]]="","",HYPERLINK(Tableau1[[#This Row],[Chemin fichier source]],"X"))</f>
        <v/>
      </c>
      <c r="U287" s="61" t="str">
        <f>IF(Tableau1[[#This Row],[Date rév.]]="","",HYPERLINK(Tableau1[[#This Row],[Lien document]],"X"))</f>
        <v/>
      </c>
      <c r="V287" s="47"/>
      <c r="W287" s="49" t="str">
        <f ca="1">Chemin_accès!$B$2&amp;Tableau1[[#This Row],[Poste Responsable]]&amp;"\"&amp;Tableau1[[#This Row],[Localisation / Classement]]&amp;"\"&amp;Tableau1[[#This Row],[Poste technique]]&amp;"_"&amp;Tableau1[[#This Row],[Plan Entretien]]&amp;".pdf"</f>
        <v>\\stjn.local\trimet\Donnees_Projets\Dms Sap\Maintenance\PlanEntretien\7.MSCT\\_.pdf</v>
      </c>
      <c r="X287" s="47"/>
      <c r="Y287" s="47"/>
      <c r="Z287" s="44" t="str">
        <f ca="1">IF(AND(Tableau1[[#This Row],[Charge]]&lt;&gt;0, Tableau1[[#This Row],[Nombre intervenants]]&lt;&gt;0,Tableau1[[#This Row],[Lien document]]&lt;&gt;0,Tableau1[[#This Row],[DMS_SAP]]&lt;&gt;0)=TRUE,"MIS A JOUR","")</f>
        <v/>
      </c>
      <c r="AA287" s="48"/>
      <c r="AB287" s="58" t="str">
        <f ca="1">IF(Tableau1[[#This Row],[Date rév.]]&lt;&gt;"", DAYS360(Tableau1[[#This Row],[Date rév.]],TODAY()),"")</f>
        <v/>
      </c>
      <c r="AC287" s="47" t="str">
        <f>IFERROR(INDEX(Chemin_accès!$B$11:$C$22,MATCH(Tableau1[[#This Row],[Type]],Chemin_accès!$C$11:$C$22,0),1),Chemin_accès!$B$11)</f>
        <v>\\stjn.local\trimet\Btechnique\Commun\BT Maint SCELLEMENT\205 - Préventifs\Modèles préventif\GammeDMS_7.MSCT.xlsm</v>
      </c>
      <c r="AD287" s="47" t="str">
        <f>Chemin_accès!$B$8&amp;Tableau1[[#This Row],[Localisation / Classement]]&amp;"\"&amp;Tableau1[[#This Row],[Poste technique]]&amp;"_"&amp;Tableau1[[#This Row],[Plan Entretien]]&amp;".xlsm"</f>
        <v>\\stjn.local\trimet\Btechnique\Commun\BT Maint SCELLEMENT\205 - Préventifs\Gammes 7.MSCT PE Tool\\_.xlsm</v>
      </c>
    </row>
    <row r="288" spans="1:30" x14ac:dyDescent="0.3">
      <c r="A288" s="44" t="str">
        <f t="shared" ca="1" si="4"/>
        <v>7.MSCT</v>
      </c>
      <c r="B2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8" s="46"/>
      <c r="D288" s="44"/>
      <c r="E288" s="44"/>
      <c r="F288" s="47"/>
      <c r="G288" s="47"/>
      <c r="H288" s="50"/>
      <c r="I288" s="50"/>
      <c r="J288" s="50"/>
      <c r="K288" s="50"/>
      <c r="L288" s="46"/>
      <c r="M288" s="47"/>
      <c r="N288" s="46"/>
      <c r="O288" s="46"/>
      <c r="P288" s="47"/>
      <c r="Q288" s="46"/>
      <c r="R288" s="46"/>
      <c r="S288" s="48"/>
      <c r="T288" s="61" t="str">
        <f>IF(Tableau1[[#This Row],[DMS_SAP]]="","",HYPERLINK(Tableau1[[#This Row],[Chemin fichier source]],"X"))</f>
        <v/>
      </c>
      <c r="U288" s="61" t="str">
        <f>IF(Tableau1[[#This Row],[Date rév.]]="","",HYPERLINK(Tableau1[[#This Row],[Lien document]],"X"))</f>
        <v/>
      </c>
      <c r="V288" s="47"/>
      <c r="W288" s="49" t="str">
        <f ca="1">Chemin_accès!$B$2&amp;Tableau1[[#This Row],[Poste Responsable]]&amp;"\"&amp;Tableau1[[#This Row],[Localisation / Classement]]&amp;"\"&amp;Tableau1[[#This Row],[Poste technique]]&amp;"_"&amp;Tableau1[[#This Row],[Plan Entretien]]&amp;".pdf"</f>
        <v>\\stjn.local\trimet\Donnees_Projets\Dms Sap\Maintenance\PlanEntretien\7.MSCT\\_.pdf</v>
      </c>
      <c r="X288" s="47"/>
      <c r="Y288" s="47"/>
      <c r="Z288" s="44" t="str">
        <f ca="1">IF(AND(Tableau1[[#This Row],[Charge]]&lt;&gt;0, Tableau1[[#This Row],[Nombre intervenants]]&lt;&gt;0,Tableau1[[#This Row],[Lien document]]&lt;&gt;0,Tableau1[[#This Row],[DMS_SAP]]&lt;&gt;0)=TRUE,"MIS A JOUR","")</f>
        <v/>
      </c>
      <c r="AA288" s="48"/>
      <c r="AB288" s="58" t="str">
        <f ca="1">IF(Tableau1[[#This Row],[Date rév.]]&lt;&gt;"", DAYS360(Tableau1[[#This Row],[Date rév.]],TODAY()),"")</f>
        <v/>
      </c>
      <c r="AC288" s="47" t="str">
        <f>IFERROR(INDEX(Chemin_accès!$B$11:$C$22,MATCH(Tableau1[[#This Row],[Type]],Chemin_accès!$C$11:$C$22,0),1),Chemin_accès!$B$11)</f>
        <v>\\stjn.local\trimet\Btechnique\Commun\BT Maint SCELLEMENT\205 - Préventifs\Modèles préventif\GammeDMS_7.MSCT.xlsm</v>
      </c>
      <c r="AD288" s="47" t="str">
        <f>Chemin_accès!$B$8&amp;Tableau1[[#This Row],[Localisation / Classement]]&amp;"\"&amp;Tableau1[[#This Row],[Poste technique]]&amp;"_"&amp;Tableau1[[#This Row],[Plan Entretien]]&amp;".xlsm"</f>
        <v>\\stjn.local\trimet\Btechnique\Commun\BT Maint SCELLEMENT\205 - Préventifs\Gammes 7.MSCT PE Tool\\_.xlsm</v>
      </c>
    </row>
    <row r="289" spans="1:30" x14ac:dyDescent="0.3">
      <c r="A289" s="44" t="str">
        <f t="shared" ca="1" si="4"/>
        <v>7.MSCT</v>
      </c>
      <c r="B2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9" s="46"/>
      <c r="D289" s="44"/>
      <c r="E289" s="44"/>
      <c r="F289" s="47"/>
      <c r="G289" s="47"/>
      <c r="H289" s="50"/>
      <c r="I289" s="50"/>
      <c r="J289" s="50"/>
      <c r="K289" s="50"/>
      <c r="L289" s="46"/>
      <c r="M289" s="47"/>
      <c r="N289" s="46"/>
      <c r="O289" s="46"/>
      <c r="P289" s="47"/>
      <c r="Q289" s="46"/>
      <c r="R289" s="46"/>
      <c r="S289" s="48"/>
      <c r="T289" s="61" t="str">
        <f>IF(Tableau1[[#This Row],[DMS_SAP]]="","",HYPERLINK(Tableau1[[#This Row],[Chemin fichier source]],"X"))</f>
        <v/>
      </c>
      <c r="U289" s="61" t="str">
        <f>IF(Tableau1[[#This Row],[Date rév.]]="","",HYPERLINK(Tableau1[[#This Row],[Lien document]],"X"))</f>
        <v/>
      </c>
      <c r="V289" s="47"/>
      <c r="W289" s="49" t="str">
        <f ca="1">Chemin_accès!$B$2&amp;Tableau1[[#This Row],[Poste Responsable]]&amp;"\"&amp;Tableau1[[#This Row],[Localisation / Classement]]&amp;"\"&amp;Tableau1[[#This Row],[Poste technique]]&amp;"_"&amp;Tableau1[[#This Row],[Plan Entretien]]&amp;".pdf"</f>
        <v>\\stjn.local\trimet\Donnees_Projets\Dms Sap\Maintenance\PlanEntretien\7.MSCT\\_.pdf</v>
      </c>
      <c r="X289" s="47"/>
      <c r="Y289" s="47"/>
      <c r="Z289" s="44" t="str">
        <f ca="1">IF(AND(Tableau1[[#This Row],[Charge]]&lt;&gt;0, Tableau1[[#This Row],[Nombre intervenants]]&lt;&gt;0,Tableau1[[#This Row],[Lien document]]&lt;&gt;0,Tableau1[[#This Row],[DMS_SAP]]&lt;&gt;0)=TRUE,"MIS A JOUR","")</f>
        <v/>
      </c>
      <c r="AA289" s="48"/>
      <c r="AB289" s="58" t="str">
        <f ca="1">IF(Tableau1[[#This Row],[Date rév.]]&lt;&gt;"", DAYS360(Tableau1[[#This Row],[Date rév.]],TODAY()),"")</f>
        <v/>
      </c>
      <c r="AC289" s="47" t="str">
        <f>IFERROR(INDEX(Chemin_accès!$B$11:$C$22,MATCH(Tableau1[[#This Row],[Type]],Chemin_accès!$C$11:$C$22,0),1),Chemin_accès!$B$11)</f>
        <v>\\stjn.local\trimet\Btechnique\Commun\BT Maint SCELLEMENT\205 - Préventifs\Modèles préventif\GammeDMS_7.MSCT.xlsm</v>
      </c>
      <c r="AD289" s="47" t="str">
        <f>Chemin_accès!$B$8&amp;Tableau1[[#This Row],[Localisation / Classement]]&amp;"\"&amp;Tableau1[[#This Row],[Poste technique]]&amp;"_"&amp;Tableau1[[#This Row],[Plan Entretien]]&amp;".xlsm"</f>
        <v>\\stjn.local\trimet\Btechnique\Commun\BT Maint SCELLEMENT\205 - Préventifs\Gammes 7.MSCT PE Tool\\_.xlsm</v>
      </c>
    </row>
    <row r="290" spans="1:30" x14ac:dyDescent="0.3">
      <c r="A290" s="44" t="str">
        <f t="shared" ca="1" si="4"/>
        <v>7.MSCT</v>
      </c>
      <c r="B2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0" s="46"/>
      <c r="D290" s="44"/>
      <c r="E290" s="44"/>
      <c r="F290" s="47"/>
      <c r="G290" s="47"/>
      <c r="H290" s="50"/>
      <c r="I290" s="50"/>
      <c r="J290" s="50"/>
      <c r="K290" s="50"/>
      <c r="L290" s="46"/>
      <c r="M290" s="47"/>
      <c r="N290" s="46"/>
      <c r="O290" s="46"/>
      <c r="P290" s="47"/>
      <c r="Q290" s="46"/>
      <c r="R290" s="46"/>
      <c r="S290" s="48"/>
      <c r="T290" s="61" t="str">
        <f>IF(Tableau1[[#This Row],[DMS_SAP]]="","",HYPERLINK(Tableau1[[#This Row],[Chemin fichier source]],"X"))</f>
        <v/>
      </c>
      <c r="U290" s="61" t="str">
        <f>IF(Tableau1[[#This Row],[Date rév.]]="","",HYPERLINK(Tableau1[[#This Row],[Lien document]],"X"))</f>
        <v/>
      </c>
      <c r="V290" s="47"/>
      <c r="W290" s="49" t="str">
        <f ca="1">Chemin_accès!$B$2&amp;Tableau1[[#This Row],[Poste Responsable]]&amp;"\"&amp;Tableau1[[#This Row],[Localisation / Classement]]&amp;"\"&amp;Tableau1[[#This Row],[Poste technique]]&amp;"_"&amp;Tableau1[[#This Row],[Plan Entretien]]&amp;".pdf"</f>
        <v>\\stjn.local\trimet\Donnees_Projets\Dms Sap\Maintenance\PlanEntretien\7.MSCT\\_.pdf</v>
      </c>
      <c r="X290" s="47"/>
      <c r="Y290" s="47"/>
      <c r="Z290" s="44" t="str">
        <f ca="1">IF(AND(Tableau1[[#This Row],[Charge]]&lt;&gt;0, Tableau1[[#This Row],[Nombre intervenants]]&lt;&gt;0,Tableau1[[#This Row],[Lien document]]&lt;&gt;0,Tableau1[[#This Row],[DMS_SAP]]&lt;&gt;0)=TRUE,"MIS A JOUR","")</f>
        <v/>
      </c>
      <c r="AA290" s="48"/>
      <c r="AB290" s="58" t="str">
        <f ca="1">IF(Tableau1[[#This Row],[Date rév.]]&lt;&gt;"", DAYS360(Tableau1[[#This Row],[Date rév.]],TODAY()),"")</f>
        <v/>
      </c>
      <c r="AC290" s="47" t="str">
        <f>IFERROR(INDEX(Chemin_accès!$B$11:$C$22,MATCH(Tableau1[[#This Row],[Type]],Chemin_accès!$C$11:$C$22,0),1),Chemin_accès!$B$11)</f>
        <v>\\stjn.local\trimet\Btechnique\Commun\BT Maint SCELLEMENT\205 - Préventifs\Modèles préventif\GammeDMS_7.MSCT.xlsm</v>
      </c>
      <c r="AD290" s="47" t="str">
        <f>Chemin_accès!$B$8&amp;Tableau1[[#This Row],[Localisation / Classement]]&amp;"\"&amp;Tableau1[[#This Row],[Poste technique]]&amp;"_"&amp;Tableau1[[#This Row],[Plan Entretien]]&amp;".xlsm"</f>
        <v>\\stjn.local\trimet\Btechnique\Commun\BT Maint SCELLEMENT\205 - Préventifs\Gammes 7.MSCT PE Tool\\_.xlsm</v>
      </c>
    </row>
    <row r="291" spans="1:30" x14ac:dyDescent="0.3">
      <c r="A291" s="44" t="str">
        <f t="shared" ca="1" si="4"/>
        <v>7.MSCT</v>
      </c>
      <c r="B2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1" s="46"/>
      <c r="D291" s="44"/>
      <c r="E291" s="44"/>
      <c r="F291" s="47"/>
      <c r="G291" s="47"/>
      <c r="H291" s="50"/>
      <c r="I291" s="50"/>
      <c r="J291" s="50"/>
      <c r="K291" s="50"/>
      <c r="L291" s="46"/>
      <c r="M291" s="47"/>
      <c r="N291" s="46"/>
      <c r="O291" s="46"/>
      <c r="P291" s="47"/>
      <c r="Q291" s="46"/>
      <c r="R291" s="46"/>
      <c r="S291" s="48"/>
      <c r="T291" s="61" t="str">
        <f>IF(Tableau1[[#This Row],[DMS_SAP]]="","",HYPERLINK(Tableau1[[#This Row],[Chemin fichier source]],"X"))</f>
        <v/>
      </c>
      <c r="U291" s="61" t="str">
        <f>IF(Tableau1[[#This Row],[Date rév.]]="","",HYPERLINK(Tableau1[[#This Row],[Lien document]],"X"))</f>
        <v/>
      </c>
      <c r="V291" s="47"/>
      <c r="W291" s="49" t="str">
        <f ca="1">Chemin_accès!$B$2&amp;Tableau1[[#This Row],[Poste Responsable]]&amp;"\"&amp;Tableau1[[#This Row],[Localisation / Classement]]&amp;"\"&amp;Tableau1[[#This Row],[Poste technique]]&amp;"_"&amp;Tableau1[[#This Row],[Plan Entretien]]&amp;".pdf"</f>
        <v>\\stjn.local\trimet\Donnees_Projets\Dms Sap\Maintenance\PlanEntretien\7.MSCT\\_.pdf</v>
      </c>
      <c r="X291" s="47"/>
      <c r="Y291" s="47"/>
      <c r="Z291" s="44" t="str">
        <f ca="1">IF(AND(Tableau1[[#This Row],[Charge]]&lt;&gt;0, Tableau1[[#This Row],[Nombre intervenants]]&lt;&gt;0,Tableau1[[#This Row],[Lien document]]&lt;&gt;0,Tableau1[[#This Row],[DMS_SAP]]&lt;&gt;0)=TRUE,"MIS A JOUR","")</f>
        <v/>
      </c>
      <c r="AA291" s="48"/>
      <c r="AB291" s="58" t="str">
        <f ca="1">IF(Tableau1[[#This Row],[Date rév.]]&lt;&gt;"", DAYS360(Tableau1[[#This Row],[Date rév.]],TODAY()),"")</f>
        <v/>
      </c>
      <c r="AC291" s="47" t="str">
        <f>IFERROR(INDEX(Chemin_accès!$B$11:$C$22,MATCH(Tableau1[[#This Row],[Type]],Chemin_accès!$C$11:$C$22,0),1),Chemin_accès!$B$11)</f>
        <v>\\stjn.local\trimet\Btechnique\Commun\BT Maint SCELLEMENT\205 - Préventifs\Modèles préventif\GammeDMS_7.MSCT.xlsm</v>
      </c>
      <c r="AD291" s="47" t="str">
        <f>Chemin_accès!$B$8&amp;Tableau1[[#This Row],[Localisation / Classement]]&amp;"\"&amp;Tableau1[[#This Row],[Poste technique]]&amp;"_"&amp;Tableau1[[#This Row],[Plan Entretien]]&amp;".xlsm"</f>
        <v>\\stjn.local\trimet\Btechnique\Commun\BT Maint SCELLEMENT\205 - Préventifs\Gammes 7.MSCT PE Tool\\_.xlsm</v>
      </c>
    </row>
    <row r="292" spans="1:30" x14ac:dyDescent="0.3">
      <c r="A292" s="44" t="str">
        <f t="shared" ca="1" si="4"/>
        <v>7.MSCT</v>
      </c>
      <c r="B2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2" s="46"/>
      <c r="D292" s="44"/>
      <c r="E292" s="44"/>
      <c r="F292" s="47"/>
      <c r="G292" s="47"/>
      <c r="H292" s="50"/>
      <c r="I292" s="50"/>
      <c r="J292" s="50"/>
      <c r="K292" s="50"/>
      <c r="L292" s="46"/>
      <c r="M292" s="47"/>
      <c r="N292" s="46"/>
      <c r="O292" s="46"/>
      <c r="P292" s="47"/>
      <c r="Q292" s="46"/>
      <c r="R292" s="46"/>
      <c r="S292" s="48"/>
      <c r="T292" s="61" t="str">
        <f>IF(Tableau1[[#This Row],[DMS_SAP]]="","",HYPERLINK(Tableau1[[#This Row],[Chemin fichier source]],"X"))</f>
        <v/>
      </c>
      <c r="U292" s="61" t="str">
        <f>IF(Tableau1[[#This Row],[Date rév.]]="","",HYPERLINK(Tableau1[[#This Row],[Lien document]],"X"))</f>
        <v/>
      </c>
      <c r="V292" s="47"/>
      <c r="W292" s="49" t="str">
        <f ca="1">Chemin_accès!$B$2&amp;Tableau1[[#This Row],[Poste Responsable]]&amp;"\"&amp;Tableau1[[#This Row],[Localisation / Classement]]&amp;"\"&amp;Tableau1[[#This Row],[Poste technique]]&amp;"_"&amp;Tableau1[[#This Row],[Plan Entretien]]&amp;".pdf"</f>
        <v>\\stjn.local\trimet\Donnees_Projets\Dms Sap\Maintenance\PlanEntretien\7.MSCT\\_.pdf</v>
      </c>
      <c r="X292" s="47"/>
      <c r="Y292" s="47"/>
      <c r="Z292" s="44" t="str">
        <f ca="1">IF(AND(Tableau1[[#This Row],[Charge]]&lt;&gt;0, Tableau1[[#This Row],[Nombre intervenants]]&lt;&gt;0,Tableau1[[#This Row],[Lien document]]&lt;&gt;0,Tableau1[[#This Row],[DMS_SAP]]&lt;&gt;0)=TRUE,"MIS A JOUR","")</f>
        <v/>
      </c>
      <c r="AA292" s="48"/>
      <c r="AB292" s="58" t="str">
        <f ca="1">IF(Tableau1[[#This Row],[Date rév.]]&lt;&gt;"", DAYS360(Tableau1[[#This Row],[Date rév.]],TODAY()),"")</f>
        <v/>
      </c>
      <c r="AC292" s="47" t="str">
        <f>IFERROR(INDEX(Chemin_accès!$B$11:$C$22,MATCH(Tableau1[[#This Row],[Type]],Chemin_accès!$C$11:$C$22,0),1),Chemin_accès!$B$11)</f>
        <v>\\stjn.local\trimet\Btechnique\Commun\BT Maint SCELLEMENT\205 - Préventifs\Modèles préventif\GammeDMS_7.MSCT.xlsm</v>
      </c>
      <c r="AD292" s="47" t="str">
        <f>Chemin_accès!$B$8&amp;Tableau1[[#This Row],[Localisation / Classement]]&amp;"\"&amp;Tableau1[[#This Row],[Poste technique]]&amp;"_"&amp;Tableau1[[#This Row],[Plan Entretien]]&amp;".xlsm"</f>
        <v>\\stjn.local\trimet\Btechnique\Commun\BT Maint SCELLEMENT\205 - Préventifs\Gammes 7.MSCT PE Tool\\_.xlsm</v>
      </c>
    </row>
    <row r="293" spans="1:30" x14ac:dyDescent="0.3">
      <c r="A293" s="44" t="str">
        <f t="shared" ca="1" si="4"/>
        <v>7.MSCT</v>
      </c>
      <c r="B2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3" s="46"/>
      <c r="D293" s="44"/>
      <c r="E293" s="44"/>
      <c r="F293" s="47"/>
      <c r="G293" s="47"/>
      <c r="H293" s="50"/>
      <c r="I293" s="50"/>
      <c r="J293" s="50"/>
      <c r="K293" s="50"/>
      <c r="L293" s="46"/>
      <c r="M293" s="47"/>
      <c r="N293" s="46"/>
      <c r="O293" s="46"/>
      <c r="P293" s="47"/>
      <c r="Q293" s="46"/>
      <c r="R293" s="46"/>
      <c r="S293" s="48"/>
      <c r="T293" s="61" t="str">
        <f>IF(Tableau1[[#This Row],[DMS_SAP]]="","",HYPERLINK(Tableau1[[#This Row],[Chemin fichier source]],"X"))</f>
        <v/>
      </c>
      <c r="U293" s="61" t="str">
        <f>IF(Tableau1[[#This Row],[Date rév.]]="","",HYPERLINK(Tableau1[[#This Row],[Lien document]],"X"))</f>
        <v/>
      </c>
      <c r="V293" s="47"/>
      <c r="W293" s="49" t="str">
        <f ca="1">Chemin_accès!$B$2&amp;Tableau1[[#This Row],[Poste Responsable]]&amp;"\"&amp;Tableau1[[#This Row],[Localisation / Classement]]&amp;"\"&amp;Tableau1[[#This Row],[Poste technique]]&amp;"_"&amp;Tableau1[[#This Row],[Plan Entretien]]&amp;".pdf"</f>
        <v>\\stjn.local\trimet\Donnees_Projets\Dms Sap\Maintenance\PlanEntretien\7.MSCT\\_.pdf</v>
      </c>
      <c r="X293" s="47"/>
      <c r="Y293" s="47"/>
      <c r="Z293" s="44" t="str">
        <f ca="1">IF(AND(Tableau1[[#This Row],[Charge]]&lt;&gt;0, Tableau1[[#This Row],[Nombre intervenants]]&lt;&gt;0,Tableau1[[#This Row],[Lien document]]&lt;&gt;0,Tableau1[[#This Row],[DMS_SAP]]&lt;&gt;0)=TRUE,"MIS A JOUR","")</f>
        <v/>
      </c>
      <c r="AA293" s="48"/>
      <c r="AB293" s="58" t="str">
        <f ca="1">IF(Tableau1[[#This Row],[Date rév.]]&lt;&gt;"", DAYS360(Tableau1[[#This Row],[Date rév.]],TODAY()),"")</f>
        <v/>
      </c>
      <c r="AC293" s="47" t="str">
        <f>IFERROR(INDEX(Chemin_accès!$B$11:$C$22,MATCH(Tableau1[[#This Row],[Type]],Chemin_accès!$C$11:$C$22,0),1),Chemin_accès!$B$11)</f>
        <v>\\stjn.local\trimet\Btechnique\Commun\BT Maint SCELLEMENT\205 - Préventifs\Modèles préventif\GammeDMS_7.MSCT.xlsm</v>
      </c>
      <c r="AD293" s="47" t="str">
        <f>Chemin_accès!$B$8&amp;Tableau1[[#This Row],[Localisation / Classement]]&amp;"\"&amp;Tableau1[[#This Row],[Poste technique]]&amp;"_"&amp;Tableau1[[#This Row],[Plan Entretien]]&amp;".xlsm"</f>
        <v>\\stjn.local\trimet\Btechnique\Commun\BT Maint SCELLEMENT\205 - Préventifs\Gammes 7.MSCT PE Tool\\_.xlsm</v>
      </c>
    </row>
    <row r="294" spans="1:30" x14ac:dyDescent="0.3">
      <c r="A294" s="44" t="str">
        <f t="shared" ca="1" si="4"/>
        <v>7.MSCT</v>
      </c>
      <c r="B2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4" s="46"/>
      <c r="D294" s="44"/>
      <c r="E294" s="44"/>
      <c r="F294" s="47"/>
      <c r="G294" s="47"/>
      <c r="H294" s="50"/>
      <c r="I294" s="50"/>
      <c r="J294" s="50"/>
      <c r="K294" s="50"/>
      <c r="L294" s="46"/>
      <c r="M294" s="47"/>
      <c r="N294" s="46"/>
      <c r="O294" s="46"/>
      <c r="P294" s="47"/>
      <c r="Q294" s="46"/>
      <c r="R294" s="46"/>
      <c r="S294" s="48"/>
      <c r="T294" s="61" t="str">
        <f>IF(Tableau1[[#This Row],[DMS_SAP]]="","",HYPERLINK(Tableau1[[#This Row],[Chemin fichier source]],"X"))</f>
        <v/>
      </c>
      <c r="U294" s="61" t="str">
        <f>IF(Tableau1[[#This Row],[Date rév.]]="","",HYPERLINK(Tableau1[[#This Row],[Lien document]],"X"))</f>
        <v/>
      </c>
      <c r="V294" s="47"/>
      <c r="W294" s="49" t="str">
        <f ca="1">Chemin_accès!$B$2&amp;Tableau1[[#This Row],[Poste Responsable]]&amp;"\"&amp;Tableau1[[#This Row],[Localisation / Classement]]&amp;"\"&amp;Tableau1[[#This Row],[Poste technique]]&amp;"_"&amp;Tableau1[[#This Row],[Plan Entretien]]&amp;".pdf"</f>
        <v>\\stjn.local\trimet\Donnees_Projets\Dms Sap\Maintenance\PlanEntretien\7.MSCT\\_.pdf</v>
      </c>
      <c r="X294" s="47"/>
      <c r="Y294" s="47"/>
      <c r="Z294" s="44" t="str">
        <f ca="1">IF(AND(Tableau1[[#This Row],[Charge]]&lt;&gt;0, Tableau1[[#This Row],[Nombre intervenants]]&lt;&gt;0,Tableau1[[#This Row],[Lien document]]&lt;&gt;0,Tableau1[[#This Row],[DMS_SAP]]&lt;&gt;0)=TRUE,"MIS A JOUR","")</f>
        <v/>
      </c>
      <c r="AA294" s="48"/>
      <c r="AB294" s="58" t="str">
        <f ca="1">IF(Tableau1[[#This Row],[Date rév.]]&lt;&gt;"", DAYS360(Tableau1[[#This Row],[Date rév.]],TODAY()),"")</f>
        <v/>
      </c>
      <c r="AC294" s="47" t="str">
        <f>IFERROR(INDEX(Chemin_accès!$B$11:$C$22,MATCH(Tableau1[[#This Row],[Type]],Chemin_accès!$C$11:$C$22,0),1),Chemin_accès!$B$11)</f>
        <v>\\stjn.local\trimet\Btechnique\Commun\BT Maint SCELLEMENT\205 - Préventifs\Modèles préventif\GammeDMS_7.MSCT.xlsm</v>
      </c>
      <c r="AD294" s="47" t="str">
        <f>Chemin_accès!$B$8&amp;Tableau1[[#This Row],[Localisation / Classement]]&amp;"\"&amp;Tableau1[[#This Row],[Poste technique]]&amp;"_"&amp;Tableau1[[#This Row],[Plan Entretien]]&amp;".xlsm"</f>
        <v>\\stjn.local\trimet\Btechnique\Commun\BT Maint SCELLEMENT\205 - Préventifs\Gammes 7.MSCT PE Tool\\_.xlsm</v>
      </c>
    </row>
    <row r="295" spans="1:30" x14ac:dyDescent="0.3">
      <c r="A295" s="44" t="str">
        <f t="shared" ca="1" si="4"/>
        <v>7.MSCT</v>
      </c>
      <c r="B2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5" s="46"/>
      <c r="D295" s="44"/>
      <c r="E295" s="44"/>
      <c r="F295" s="47"/>
      <c r="G295" s="47"/>
      <c r="H295" s="50"/>
      <c r="I295" s="50"/>
      <c r="J295" s="50"/>
      <c r="K295" s="50"/>
      <c r="L295" s="46"/>
      <c r="M295" s="47"/>
      <c r="N295" s="46"/>
      <c r="O295" s="46"/>
      <c r="P295" s="47"/>
      <c r="Q295" s="46"/>
      <c r="R295" s="46"/>
      <c r="S295" s="48"/>
      <c r="T295" s="61" t="str">
        <f>IF(Tableau1[[#This Row],[DMS_SAP]]="","",HYPERLINK(Tableau1[[#This Row],[Chemin fichier source]],"X"))</f>
        <v/>
      </c>
      <c r="U295" s="61" t="str">
        <f>IF(Tableau1[[#This Row],[Date rév.]]="","",HYPERLINK(Tableau1[[#This Row],[Lien document]],"X"))</f>
        <v/>
      </c>
      <c r="V295" s="47"/>
      <c r="W295" s="49" t="str">
        <f ca="1">Chemin_accès!$B$2&amp;Tableau1[[#This Row],[Poste Responsable]]&amp;"\"&amp;Tableau1[[#This Row],[Localisation / Classement]]&amp;"\"&amp;Tableau1[[#This Row],[Poste technique]]&amp;"_"&amp;Tableau1[[#This Row],[Plan Entretien]]&amp;".pdf"</f>
        <v>\\stjn.local\trimet\Donnees_Projets\Dms Sap\Maintenance\PlanEntretien\7.MSCT\\_.pdf</v>
      </c>
      <c r="X295" s="47"/>
      <c r="Y295" s="47"/>
      <c r="Z295" s="44" t="str">
        <f ca="1">IF(AND(Tableau1[[#This Row],[Charge]]&lt;&gt;0, Tableau1[[#This Row],[Nombre intervenants]]&lt;&gt;0,Tableau1[[#This Row],[Lien document]]&lt;&gt;0,Tableau1[[#This Row],[DMS_SAP]]&lt;&gt;0)=TRUE,"MIS A JOUR","")</f>
        <v/>
      </c>
      <c r="AA295" s="48"/>
      <c r="AB295" s="58" t="str">
        <f ca="1">IF(Tableau1[[#This Row],[Date rév.]]&lt;&gt;"", DAYS360(Tableau1[[#This Row],[Date rév.]],TODAY()),"")</f>
        <v/>
      </c>
      <c r="AC295" s="47" t="str">
        <f>IFERROR(INDEX(Chemin_accès!$B$11:$C$22,MATCH(Tableau1[[#This Row],[Type]],Chemin_accès!$C$11:$C$22,0),1),Chemin_accès!$B$11)</f>
        <v>\\stjn.local\trimet\Btechnique\Commun\BT Maint SCELLEMENT\205 - Préventifs\Modèles préventif\GammeDMS_7.MSCT.xlsm</v>
      </c>
      <c r="AD295" s="47" t="str">
        <f>Chemin_accès!$B$8&amp;Tableau1[[#This Row],[Localisation / Classement]]&amp;"\"&amp;Tableau1[[#This Row],[Poste technique]]&amp;"_"&amp;Tableau1[[#This Row],[Plan Entretien]]&amp;".xlsm"</f>
        <v>\\stjn.local\trimet\Btechnique\Commun\BT Maint SCELLEMENT\205 - Préventifs\Gammes 7.MSCT PE Tool\\_.xlsm</v>
      </c>
    </row>
    <row r="296" spans="1:30" x14ac:dyDescent="0.3">
      <c r="A296" s="44" t="str">
        <f t="shared" ca="1" si="4"/>
        <v>7.MSCT</v>
      </c>
      <c r="B2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6" s="46"/>
      <c r="D296" s="44"/>
      <c r="E296" s="44"/>
      <c r="F296" s="47"/>
      <c r="G296" s="47"/>
      <c r="H296" s="50"/>
      <c r="I296" s="50"/>
      <c r="J296" s="50"/>
      <c r="K296" s="50"/>
      <c r="L296" s="46"/>
      <c r="M296" s="47"/>
      <c r="N296" s="46"/>
      <c r="O296" s="46"/>
      <c r="P296" s="47"/>
      <c r="Q296" s="46"/>
      <c r="R296" s="46"/>
      <c r="S296" s="48"/>
      <c r="T296" s="61" t="str">
        <f>IF(Tableau1[[#This Row],[DMS_SAP]]="","",HYPERLINK(Tableau1[[#This Row],[Chemin fichier source]],"X"))</f>
        <v/>
      </c>
      <c r="U296" s="61" t="str">
        <f>IF(Tableau1[[#This Row],[Date rév.]]="","",HYPERLINK(Tableau1[[#This Row],[Lien document]],"X"))</f>
        <v/>
      </c>
      <c r="V296" s="47"/>
      <c r="W296" s="49" t="str">
        <f ca="1">Chemin_accès!$B$2&amp;Tableau1[[#This Row],[Poste Responsable]]&amp;"\"&amp;Tableau1[[#This Row],[Localisation / Classement]]&amp;"\"&amp;Tableau1[[#This Row],[Poste technique]]&amp;"_"&amp;Tableau1[[#This Row],[Plan Entretien]]&amp;".pdf"</f>
        <v>\\stjn.local\trimet\Donnees_Projets\Dms Sap\Maintenance\PlanEntretien\7.MSCT\\_.pdf</v>
      </c>
      <c r="X296" s="47"/>
      <c r="Y296" s="47"/>
      <c r="Z296" s="44" t="str">
        <f ca="1">IF(AND(Tableau1[[#This Row],[Charge]]&lt;&gt;0, Tableau1[[#This Row],[Nombre intervenants]]&lt;&gt;0,Tableau1[[#This Row],[Lien document]]&lt;&gt;0,Tableau1[[#This Row],[DMS_SAP]]&lt;&gt;0)=TRUE,"MIS A JOUR","")</f>
        <v/>
      </c>
      <c r="AA296" s="48"/>
      <c r="AB296" s="58" t="str">
        <f ca="1">IF(Tableau1[[#This Row],[Date rév.]]&lt;&gt;"", DAYS360(Tableau1[[#This Row],[Date rév.]],TODAY()),"")</f>
        <v/>
      </c>
      <c r="AC296" s="47" t="str">
        <f>IFERROR(INDEX(Chemin_accès!$B$11:$C$22,MATCH(Tableau1[[#This Row],[Type]],Chemin_accès!$C$11:$C$22,0),1),Chemin_accès!$B$11)</f>
        <v>\\stjn.local\trimet\Btechnique\Commun\BT Maint SCELLEMENT\205 - Préventifs\Modèles préventif\GammeDMS_7.MSCT.xlsm</v>
      </c>
      <c r="AD296" s="47" t="str">
        <f>Chemin_accès!$B$8&amp;Tableau1[[#This Row],[Localisation / Classement]]&amp;"\"&amp;Tableau1[[#This Row],[Poste technique]]&amp;"_"&amp;Tableau1[[#This Row],[Plan Entretien]]&amp;".xlsm"</f>
        <v>\\stjn.local\trimet\Btechnique\Commun\BT Maint SCELLEMENT\205 - Préventifs\Gammes 7.MSCT PE Tool\\_.xlsm</v>
      </c>
    </row>
    <row r="297" spans="1:30" x14ac:dyDescent="0.3">
      <c r="A297" s="44" t="str">
        <f t="shared" ca="1" si="4"/>
        <v>7.MSCT</v>
      </c>
      <c r="B2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7" s="63"/>
      <c r="D297" s="44"/>
      <c r="E297" s="44"/>
      <c r="F297" s="47"/>
      <c r="G297" s="47"/>
      <c r="H297" s="50"/>
      <c r="I297" s="50"/>
      <c r="J297" s="50"/>
      <c r="K297" s="50"/>
      <c r="L297" s="46"/>
      <c r="M297" s="47"/>
      <c r="N297" s="46"/>
      <c r="O297" s="46"/>
      <c r="P297" s="47"/>
      <c r="Q297" s="46"/>
      <c r="R297" s="46"/>
      <c r="S297" s="48"/>
      <c r="T297" s="61" t="str">
        <f>IF(Tableau1[[#This Row],[DMS_SAP]]="","",HYPERLINK(Tableau1[[#This Row],[Chemin fichier source]],"X"))</f>
        <v/>
      </c>
      <c r="U297" s="61" t="str">
        <f>IF(Tableau1[[#This Row],[Date rév.]]="","",HYPERLINK(Tableau1[[#This Row],[Lien document]],"X"))</f>
        <v/>
      </c>
      <c r="V297" s="47"/>
      <c r="W297" s="49" t="str">
        <f ca="1">Chemin_accès!$B$2&amp;Tableau1[[#This Row],[Poste Responsable]]&amp;"\"&amp;Tableau1[[#This Row],[Localisation / Classement]]&amp;"\"&amp;Tableau1[[#This Row],[Poste technique]]&amp;"_"&amp;Tableau1[[#This Row],[Plan Entretien]]&amp;".pdf"</f>
        <v>\\stjn.local\trimet\Donnees_Projets\Dms Sap\Maintenance\PlanEntretien\7.MSCT\\_.pdf</v>
      </c>
      <c r="X297" s="47"/>
      <c r="Y297" s="47"/>
      <c r="Z297" s="44" t="str">
        <f ca="1">IF(AND(Tableau1[[#This Row],[Charge]]&lt;&gt;0, Tableau1[[#This Row],[Nombre intervenants]]&lt;&gt;0,Tableau1[[#This Row],[Lien document]]&lt;&gt;0,Tableau1[[#This Row],[DMS_SAP]]&lt;&gt;0)=TRUE,"MIS A JOUR","")</f>
        <v/>
      </c>
      <c r="AA297" s="48"/>
      <c r="AB297" s="58" t="str">
        <f ca="1">IF(Tableau1[[#This Row],[Date rév.]]&lt;&gt;"", DAYS360(Tableau1[[#This Row],[Date rév.]],TODAY()),"")</f>
        <v/>
      </c>
      <c r="AC297" s="47" t="str">
        <f>IFERROR(INDEX(Chemin_accès!$B$11:$C$22,MATCH(Tableau1[[#This Row],[Type]],Chemin_accès!$C$11:$C$22,0),1),Chemin_accès!$B$11)</f>
        <v>\\stjn.local\trimet\Btechnique\Commun\BT Maint SCELLEMENT\205 - Préventifs\Modèles préventif\GammeDMS_7.MSCT.xlsm</v>
      </c>
      <c r="AD297" s="47" t="str">
        <f>Chemin_accès!$B$8&amp;Tableau1[[#This Row],[Localisation / Classement]]&amp;"\"&amp;Tableau1[[#This Row],[Poste technique]]&amp;"_"&amp;Tableau1[[#This Row],[Plan Entretien]]&amp;".xlsm"</f>
        <v>\\stjn.local\trimet\Btechnique\Commun\BT Maint SCELLEMENT\205 - Préventifs\Gammes 7.MSCT PE Tool\\_.xlsm</v>
      </c>
    </row>
    <row r="298" spans="1:30" x14ac:dyDescent="0.3">
      <c r="A298" s="44" t="str">
        <f t="shared" ca="1" si="4"/>
        <v>7.MSCT</v>
      </c>
      <c r="B2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8" s="46"/>
      <c r="D298" s="44"/>
      <c r="E298" s="44"/>
      <c r="F298" s="47"/>
      <c r="G298" s="47"/>
      <c r="H298" s="50"/>
      <c r="I298" s="50"/>
      <c r="J298" s="50"/>
      <c r="K298" s="50"/>
      <c r="L298" s="46"/>
      <c r="M298" s="47"/>
      <c r="N298" s="46"/>
      <c r="O298" s="46"/>
      <c r="P298" s="47"/>
      <c r="Q298" s="46"/>
      <c r="R298" s="46"/>
      <c r="S298" s="48"/>
      <c r="T298" s="61" t="str">
        <f>IF(Tableau1[[#This Row],[DMS_SAP]]="","",HYPERLINK(Tableau1[[#This Row],[Chemin fichier source]],"X"))</f>
        <v/>
      </c>
      <c r="U298" s="61" t="str">
        <f>IF(Tableau1[[#This Row],[Date rév.]]="","",HYPERLINK(Tableau1[[#This Row],[Lien document]],"X"))</f>
        <v/>
      </c>
      <c r="V298" s="47"/>
      <c r="W298" s="49" t="str">
        <f ca="1">Chemin_accès!$B$2&amp;Tableau1[[#This Row],[Poste Responsable]]&amp;"\"&amp;Tableau1[[#This Row],[Localisation / Classement]]&amp;"\"&amp;Tableau1[[#This Row],[Poste technique]]&amp;"_"&amp;Tableau1[[#This Row],[Plan Entretien]]&amp;".pdf"</f>
        <v>\\stjn.local\trimet\Donnees_Projets\Dms Sap\Maintenance\PlanEntretien\7.MSCT\\_.pdf</v>
      </c>
      <c r="X298" s="47"/>
      <c r="Y298" s="47"/>
      <c r="Z298" s="44" t="str">
        <f ca="1">IF(AND(Tableau1[[#This Row],[Charge]]&lt;&gt;0, Tableau1[[#This Row],[Nombre intervenants]]&lt;&gt;0,Tableau1[[#This Row],[Lien document]]&lt;&gt;0,Tableau1[[#This Row],[DMS_SAP]]&lt;&gt;0)=TRUE,"MIS A JOUR","")</f>
        <v/>
      </c>
      <c r="AA298" s="48"/>
      <c r="AB298" s="58" t="str">
        <f ca="1">IF(Tableau1[[#This Row],[Date rév.]]&lt;&gt;"", DAYS360(Tableau1[[#This Row],[Date rév.]],TODAY()),"")</f>
        <v/>
      </c>
      <c r="AC298" s="47" t="str">
        <f>IFERROR(INDEX(Chemin_accès!$B$11:$C$22,MATCH(Tableau1[[#This Row],[Type]],Chemin_accès!$C$11:$C$22,0),1),Chemin_accès!$B$11)</f>
        <v>\\stjn.local\trimet\Btechnique\Commun\BT Maint SCELLEMENT\205 - Préventifs\Modèles préventif\GammeDMS_7.MSCT.xlsm</v>
      </c>
      <c r="AD298" s="47" t="str">
        <f>Chemin_accès!$B$8&amp;Tableau1[[#This Row],[Localisation / Classement]]&amp;"\"&amp;Tableau1[[#This Row],[Poste technique]]&amp;"_"&amp;Tableau1[[#This Row],[Plan Entretien]]&amp;".xlsm"</f>
        <v>\\stjn.local\trimet\Btechnique\Commun\BT Maint SCELLEMENT\205 - Préventifs\Gammes 7.MSCT PE Tool\\_.xlsm</v>
      </c>
    </row>
    <row r="299" spans="1:30" x14ac:dyDescent="0.3">
      <c r="A299" s="44" t="str">
        <f t="shared" ca="1" si="4"/>
        <v>7.MSCT</v>
      </c>
      <c r="B2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9" s="46"/>
      <c r="D299" s="44"/>
      <c r="E299" s="44"/>
      <c r="F299" s="47"/>
      <c r="G299" s="47"/>
      <c r="H299" s="50"/>
      <c r="I299" s="50"/>
      <c r="J299" s="50"/>
      <c r="K299" s="50"/>
      <c r="L299" s="46"/>
      <c r="M299" s="47"/>
      <c r="N299" s="46"/>
      <c r="O299" s="46"/>
      <c r="P299" s="47"/>
      <c r="Q299" s="46"/>
      <c r="R299" s="46"/>
      <c r="S299" s="48"/>
      <c r="T299" s="61" t="str">
        <f>IF(Tableau1[[#This Row],[DMS_SAP]]="","",HYPERLINK(Tableau1[[#This Row],[Chemin fichier source]],"X"))</f>
        <v/>
      </c>
      <c r="U299" s="61" t="str">
        <f>IF(Tableau1[[#This Row],[Date rév.]]="","",HYPERLINK(Tableau1[[#This Row],[Lien document]],"X"))</f>
        <v/>
      </c>
      <c r="V299" s="47"/>
      <c r="W299" s="49" t="str">
        <f ca="1">Chemin_accès!$B$2&amp;Tableau1[[#This Row],[Poste Responsable]]&amp;"\"&amp;Tableau1[[#This Row],[Localisation / Classement]]&amp;"\"&amp;Tableau1[[#This Row],[Poste technique]]&amp;"_"&amp;Tableau1[[#This Row],[Plan Entretien]]&amp;".pdf"</f>
        <v>\\stjn.local\trimet\Donnees_Projets\Dms Sap\Maintenance\PlanEntretien\7.MSCT\\_.pdf</v>
      </c>
      <c r="X299" s="47"/>
      <c r="Y299" s="47"/>
      <c r="Z299" s="44" t="str">
        <f ca="1">IF(AND(Tableau1[[#This Row],[Charge]]&lt;&gt;0, Tableau1[[#This Row],[Nombre intervenants]]&lt;&gt;0,Tableau1[[#This Row],[Lien document]]&lt;&gt;0,Tableau1[[#This Row],[DMS_SAP]]&lt;&gt;0)=TRUE,"MIS A JOUR","")</f>
        <v/>
      </c>
      <c r="AA299" s="48"/>
      <c r="AB299" s="58" t="str">
        <f ca="1">IF(Tableau1[[#This Row],[Date rév.]]&lt;&gt;"", DAYS360(Tableau1[[#This Row],[Date rév.]],TODAY()),"")</f>
        <v/>
      </c>
      <c r="AC299" s="47" t="str">
        <f>IFERROR(INDEX(Chemin_accès!$B$11:$C$22,MATCH(Tableau1[[#This Row],[Type]],Chemin_accès!$C$11:$C$22,0),1),Chemin_accès!$B$11)</f>
        <v>\\stjn.local\trimet\Btechnique\Commun\BT Maint SCELLEMENT\205 - Préventifs\Modèles préventif\GammeDMS_7.MSCT.xlsm</v>
      </c>
      <c r="AD299" s="47" t="str">
        <f>Chemin_accès!$B$8&amp;Tableau1[[#This Row],[Localisation / Classement]]&amp;"\"&amp;Tableau1[[#This Row],[Poste technique]]&amp;"_"&amp;Tableau1[[#This Row],[Plan Entretien]]&amp;".xlsm"</f>
        <v>\\stjn.local\trimet\Btechnique\Commun\BT Maint SCELLEMENT\205 - Préventifs\Gammes 7.MSCT PE Tool\\_.xlsm</v>
      </c>
    </row>
    <row r="300" spans="1:30" x14ac:dyDescent="0.3">
      <c r="A300" s="44" t="str">
        <f t="shared" ca="1" si="4"/>
        <v>7.MSCT</v>
      </c>
      <c r="B3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0" s="46"/>
      <c r="D300" s="44"/>
      <c r="E300" s="44"/>
      <c r="F300" s="47"/>
      <c r="G300" s="47"/>
      <c r="H300" s="50"/>
      <c r="I300" s="50"/>
      <c r="J300" s="50"/>
      <c r="K300" s="50"/>
      <c r="L300" s="46"/>
      <c r="M300" s="47"/>
      <c r="N300" s="46"/>
      <c r="O300" s="46"/>
      <c r="P300" s="47"/>
      <c r="Q300" s="46"/>
      <c r="R300" s="46"/>
      <c r="S300" s="48"/>
      <c r="T300" s="61" t="str">
        <f>IF(Tableau1[[#This Row],[DMS_SAP]]="","",HYPERLINK(Tableau1[[#This Row],[Chemin fichier source]],"X"))</f>
        <v/>
      </c>
      <c r="U300" s="61" t="str">
        <f>IF(Tableau1[[#This Row],[Date rév.]]="","",HYPERLINK(Tableau1[[#This Row],[Lien document]],"X"))</f>
        <v/>
      </c>
      <c r="V300" s="47"/>
      <c r="W300" s="49" t="str">
        <f ca="1">Chemin_accès!$B$2&amp;Tableau1[[#This Row],[Poste Responsable]]&amp;"\"&amp;Tableau1[[#This Row],[Localisation / Classement]]&amp;"\"&amp;Tableau1[[#This Row],[Poste technique]]&amp;"_"&amp;Tableau1[[#This Row],[Plan Entretien]]&amp;".pdf"</f>
        <v>\\stjn.local\trimet\Donnees_Projets\Dms Sap\Maintenance\PlanEntretien\7.MSCT\\_.pdf</v>
      </c>
      <c r="X300" s="47"/>
      <c r="Y300" s="47"/>
      <c r="Z300" s="44" t="str">
        <f ca="1">IF(AND(Tableau1[[#This Row],[Charge]]&lt;&gt;0, Tableau1[[#This Row],[Nombre intervenants]]&lt;&gt;0,Tableau1[[#This Row],[Lien document]]&lt;&gt;0,Tableau1[[#This Row],[DMS_SAP]]&lt;&gt;0)=TRUE,"MIS A JOUR","")</f>
        <v/>
      </c>
      <c r="AA300" s="48"/>
      <c r="AB300" s="58" t="str">
        <f ca="1">IF(Tableau1[[#This Row],[Date rév.]]&lt;&gt;"", DAYS360(Tableau1[[#This Row],[Date rév.]],TODAY()),"")</f>
        <v/>
      </c>
      <c r="AC300" s="47" t="str">
        <f>IFERROR(INDEX(Chemin_accès!$B$11:$C$22,MATCH(Tableau1[[#This Row],[Type]],Chemin_accès!$C$11:$C$22,0),1),Chemin_accès!$B$11)</f>
        <v>\\stjn.local\trimet\Btechnique\Commun\BT Maint SCELLEMENT\205 - Préventifs\Modèles préventif\GammeDMS_7.MSCT.xlsm</v>
      </c>
      <c r="AD300" s="47" t="str">
        <f>Chemin_accès!$B$8&amp;Tableau1[[#This Row],[Localisation / Classement]]&amp;"\"&amp;Tableau1[[#This Row],[Poste technique]]&amp;"_"&amp;Tableau1[[#This Row],[Plan Entretien]]&amp;".xlsm"</f>
        <v>\\stjn.local\trimet\Btechnique\Commun\BT Maint SCELLEMENT\205 - Préventifs\Gammes 7.MSCT PE Tool\\_.xlsm</v>
      </c>
    </row>
    <row r="301" spans="1:30" x14ac:dyDescent="0.3">
      <c r="A301" s="44" t="str">
        <f t="shared" ca="1" si="4"/>
        <v>7.MSCT</v>
      </c>
      <c r="B3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1" s="46"/>
      <c r="D301" s="44"/>
      <c r="E301" s="44"/>
      <c r="F301" s="47"/>
      <c r="G301" s="47"/>
      <c r="H301" s="50"/>
      <c r="I301" s="50"/>
      <c r="J301" s="50"/>
      <c r="K301" s="50"/>
      <c r="L301" s="46"/>
      <c r="M301" s="47"/>
      <c r="N301" s="46"/>
      <c r="O301" s="46"/>
      <c r="P301" s="47"/>
      <c r="Q301" s="46"/>
      <c r="R301" s="46"/>
      <c r="S301" s="48"/>
      <c r="T301" s="61" t="str">
        <f>IF(Tableau1[[#This Row],[DMS_SAP]]="","",HYPERLINK(Tableau1[[#This Row],[Chemin fichier source]],"X"))</f>
        <v/>
      </c>
      <c r="U301" s="61" t="str">
        <f>IF(Tableau1[[#This Row],[Date rév.]]="","",HYPERLINK(Tableau1[[#This Row],[Lien document]],"X"))</f>
        <v/>
      </c>
      <c r="V301" s="47"/>
      <c r="W301" s="49" t="str">
        <f ca="1">Chemin_accès!$B$2&amp;Tableau1[[#This Row],[Poste Responsable]]&amp;"\"&amp;Tableau1[[#This Row],[Localisation / Classement]]&amp;"\"&amp;Tableau1[[#This Row],[Poste technique]]&amp;"_"&amp;Tableau1[[#This Row],[Plan Entretien]]&amp;".pdf"</f>
        <v>\\stjn.local\trimet\Donnees_Projets\Dms Sap\Maintenance\PlanEntretien\7.MSCT\\_.pdf</v>
      </c>
      <c r="X301" s="47"/>
      <c r="Y301" s="47"/>
      <c r="Z301" s="44" t="str">
        <f ca="1">IF(AND(Tableau1[[#This Row],[Charge]]&lt;&gt;0, Tableau1[[#This Row],[Nombre intervenants]]&lt;&gt;0,Tableau1[[#This Row],[Lien document]]&lt;&gt;0,Tableau1[[#This Row],[DMS_SAP]]&lt;&gt;0)=TRUE,"MIS A JOUR","")</f>
        <v/>
      </c>
      <c r="AA301" s="48"/>
      <c r="AB301" s="58" t="str">
        <f ca="1">IF(Tableau1[[#This Row],[Date rév.]]&lt;&gt;"", DAYS360(Tableau1[[#This Row],[Date rév.]],TODAY()),"")</f>
        <v/>
      </c>
      <c r="AC301" s="47" t="str">
        <f>IFERROR(INDEX(Chemin_accès!$B$11:$C$22,MATCH(Tableau1[[#This Row],[Type]],Chemin_accès!$C$11:$C$22,0),1),Chemin_accès!$B$11)</f>
        <v>\\stjn.local\trimet\Btechnique\Commun\BT Maint SCELLEMENT\205 - Préventifs\Modèles préventif\GammeDMS_7.MSCT.xlsm</v>
      </c>
      <c r="AD301" s="47" t="str">
        <f>Chemin_accès!$B$8&amp;Tableau1[[#This Row],[Localisation / Classement]]&amp;"\"&amp;Tableau1[[#This Row],[Poste technique]]&amp;"_"&amp;Tableau1[[#This Row],[Plan Entretien]]&amp;".xlsm"</f>
        <v>\\stjn.local\trimet\Btechnique\Commun\BT Maint SCELLEMENT\205 - Préventifs\Gammes 7.MSCT PE Tool\\_.xlsm</v>
      </c>
    </row>
    <row r="302" spans="1:30" x14ac:dyDescent="0.3">
      <c r="A302" s="44" t="str">
        <f t="shared" ca="1" si="4"/>
        <v>7.MSCT</v>
      </c>
      <c r="B3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2" s="46"/>
      <c r="D302" s="44"/>
      <c r="E302" s="44"/>
      <c r="F302" s="47"/>
      <c r="G302" s="47"/>
      <c r="H302" s="50"/>
      <c r="I302" s="50"/>
      <c r="J302" s="50"/>
      <c r="K302" s="50"/>
      <c r="L302" s="46"/>
      <c r="M302" s="47"/>
      <c r="N302" s="46"/>
      <c r="O302" s="46"/>
      <c r="P302" s="47"/>
      <c r="Q302" s="46"/>
      <c r="R302" s="46"/>
      <c r="S302" s="48"/>
      <c r="T302" s="61" t="str">
        <f>IF(Tableau1[[#This Row],[DMS_SAP]]="","",HYPERLINK(Tableau1[[#This Row],[Chemin fichier source]],"X"))</f>
        <v/>
      </c>
      <c r="U302" s="61" t="str">
        <f>IF(Tableau1[[#This Row],[Date rév.]]="","",HYPERLINK(Tableau1[[#This Row],[Lien document]],"X"))</f>
        <v/>
      </c>
      <c r="V302" s="47"/>
      <c r="W302" s="49" t="str">
        <f ca="1">Chemin_accès!$B$2&amp;Tableau1[[#This Row],[Poste Responsable]]&amp;"\"&amp;Tableau1[[#This Row],[Localisation / Classement]]&amp;"\"&amp;Tableau1[[#This Row],[Poste technique]]&amp;"_"&amp;Tableau1[[#This Row],[Plan Entretien]]&amp;".pdf"</f>
        <v>\\stjn.local\trimet\Donnees_Projets\Dms Sap\Maintenance\PlanEntretien\7.MSCT\\_.pdf</v>
      </c>
      <c r="X302" s="47"/>
      <c r="Y302" s="47"/>
      <c r="Z302" s="44" t="str">
        <f ca="1">IF(AND(Tableau1[[#This Row],[Charge]]&lt;&gt;0, Tableau1[[#This Row],[Nombre intervenants]]&lt;&gt;0,Tableau1[[#This Row],[Lien document]]&lt;&gt;0,Tableau1[[#This Row],[DMS_SAP]]&lt;&gt;0)=TRUE,"MIS A JOUR","")</f>
        <v/>
      </c>
      <c r="AA302" s="48"/>
      <c r="AB302" s="58" t="str">
        <f ca="1">IF(Tableau1[[#This Row],[Date rév.]]&lt;&gt;"", DAYS360(Tableau1[[#This Row],[Date rév.]],TODAY()),"")</f>
        <v/>
      </c>
      <c r="AC302" s="47" t="str">
        <f>IFERROR(INDEX(Chemin_accès!$B$11:$C$22,MATCH(Tableau1[[#This Row],[Type]],Chemin_accès!$C$11:$C$22,0),1),Chemin_accès!$B$11)</f>
        <v>\\stjn.local\trimet\Btechnique\Commun\BT Maint SCELLEMENT\205 - Préventifs\Modèles préventif\GammeDMS_7.MSCT.xlsm</v>
      </c>
      <c r="AD302" s="47" t="str">
        <f>Chemin_accès!$B$8&amp;Tableau1[[#This Row],[Localisation / Classement]]&amp;"\"&amp;Tableau1[[#This Row],[Poste technique]]&amp;"_"&amp;Tableau1[[#This Row],[Plan Entretien]]&amp;".xlsm"</f>
        <v>\\stjn.local\trimet\Btechnique\Commun\BT Maint SCELLEMENT\205 - Préventifs\Gammes 7.MSCT PE Tool\\_.xlsm</v>
      </c>
    </row>
    <row r="303" spans="1:30" x14ac:dyDescent="0.3">
      <c r="A303" s="44" t="str">
        <f t="shared" ca="1" si="4"/>
        <v>7.MSCT</v>
      </c>
      <c r="B3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3" s="46"/>
      <c r="D303" s="44"/>
      <c r="E303" s="44"/>
      <c r="F303" s="47"/>
      <c r="G303" s="47"/>
      <c r="H303" s="50"/>
      <c r="I303" s="50"/>
      <c r="J303" s="50"/>
      <c r="K303" s="50"/>
      <c r="L303" s="46"/>
      <c r="M303" s="47"/>
      <c r="N303" s="46"/>
      <c r="O303" s="46"/>
      <c r="P303" s="47"/>
      <c r="Q303" s="46"/>
      <c r="R303" s="46"/>
      <c r="S303" s="48"/>
      <c r="T303" s="61" t="str">
        <f>IF(Tableau1[[#This Row],[DMS_SAP]]="","",HYPERLINK(Tableau1[[#This Row],[Chemin fichier source]],"X"))</f>
        <v/>
      </c>
      <c r="U303" s="61" t="str">
        <f>IF(Tableau1[[#This Row],[Date rév.]]="","",HYPERLINK(Tableau1[[#This Row],[Lien document]],"X"))</f>
        <v/>
      </c>
      <c r="V303" s="47"/>
      <c r="W303" s="49" t="str">
        <f ca="1">Chemin_accès!$B$2&amp;Tableau1[[#This Row],[Poste Responsable]]&amp;"\"&amp;Tableau1[[#This Row],[Localisation / Classement]]&amp;"\"&amp;Tableau1[[#This Row],[Poste technique]]&amp;"_"&amp;Tableau1[[#This Row],[Plan Entretien]]&amp;".pdf"</f>
        <v>\\stjn.local\trimet\Donnees_Projets\Dms Sap\Maintenance\PlanEntretien\7.MSCT\\_.pdf</v>
      </c>
      <c r="X303" s="47"/>
      <c r="Y303" s="47"/>
      <c r="Z303" s="44" t="str">
        <f ca="1">IF(AND(Tableau1[[#This Row],[Charge]]&lt;&gt;0, Tableau1[[#This Row],[Nombre intervenants]]&lt;&gt;0,Tableau1[[#This Row],[Lien document]]&lt;&gt;0,Tableau1[[#This Row],[DMS_SAP]]&lt;&gt;0)=TRUE,"MIS A JOUR","")</f>
        <v/>
      </c>
      <c r="AA303" s="48"/>
      <c r="AB303" s="58" t="str">
        <f ca="1">IF(Tableau1[[#This Row],[Date rév.]]&lt;&gt;"", DAYS360(Tableau1[[#This Row],[Date rév.]],TODAY()),"")</f>
        <v/>
      </c>
      <c r="AC303" s="47" t="str">
        <f>IFERROR(INDEX(Chemin_accès!$B$11:$C$22,MATCH(Tableau1[[#This Row],[Type]],Chemin_accès!$C$11:$C$22,0),1),Chemin_accès!$B$11)</f>
        <v>\\stjn.local\trimet\Btechnique\Commun\BT Maint SCELLEMENT\205 - Préventifs\Modèles préventif\GammeDMS_7.MSCT.xlsm</v>
      </c>
      <c r="AD303" s="47" t="str">
        <f>Chemin_accès!$B$8&amp;Tableau1[[#This Row],[Localisation / Classement]]&amp;"\"&amp;Tableau1[[#This Row],[Poste technique]]&amp;"_"&amp;Tableau1[[#This Row],[Plan Entretien]]&amp;".xlsm"</f>
        <v>\\stjn.local\trimet\Btechnique\Commun\BT Maint SCELLEMENT\205 - Préventifs\Gammes 7.MSCT PE Tool\\_.xlsm</v>
      </c>
    </row>
    <row r="304" spans="1:30" x14ac:dyDescent="0.3">
      <c r="A304" s="44" t="str">
        <f t="shared" ca="1" si="4"/>
        <v>7.MSCT</v>
      </c>
      <c r="B3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4" s="46"/>
      <c r="D304" s="44"/>
      <c r="E304" s="44"/>
      <c r="F304" s="47"/>
      <c r="G304" s="47"/>
      <c r="H304" s="50"/>
      <c r="I304" s="50"/>
      <c r="J304" s="50"/>
      <c r="K304" s="50"/>
      <c r="L304" s="46"/>
      <c r="M304" s="47"/>
      <c r="N304" s="46"/>
      <c r="O304" s="46"/>
      <c r="P304" s="47"/>
      <c r="Q304" s="46"/>
      <c r="R304" s="46"/>
      <c r="S304" s="48"/>
      <c r="T304" s="61" t="str">
        <f>IF(Tableau1[[#This Row],[DMS_SAP]]="","",HYPERLINK(Tableau1[[#This Row],[Chemin fichier source]],"X"))</f>
        <v/>
      </c>
      <c r="U304" s="61" t="str">
        <f>IF(Tableau1[[#This Row],[Date rév.]]="","",HYPERLINK(Tableau1[[#This Row],[Lien document]],"X"))</f>
        <v/>
      </c>
      <c r="V304" s="47"/>
      <c r="W304" s="49" t="str">
        <f ca="1">Chemin_accès!$B$2&amp;Tableau1[[#This Row],[Poste Responsable]]&amp;"\"&amp;Tableau1[[#This Row],[Localisation / Classement]]&amp;"\"&amp;Tableau1[[#This Row],[Poste technique]]&amp;"_"&amp;Tableau1[[#This Row],[Plan Entretien]]&amp;".pdf"</f>
        <v>\\stjn.local\trimet\Donnees_Projets\Dms Sap\Maintenance\PlanEntretien\7.MSCT\\_.pdf</v>
      </c>
      <c r="X304" s="47"/>
      <c r="Y304" s="47"/>
      <c r="Z304" s="44" t="str">
        <f ca="1">IF(AND(Tableau1[[#This Row],[Charge]]&lt;&gt;0, Tableau1[[#This Row],[Nombre intervenants]]&lt;&gt;0,Tableau1[[#This Row],[Lien document]]&lt;&gt;0,Tableau1[[#This Row],[DMS_SAP]]&lt;&gt;0)=TRUE,"MIS A JOUR","")</f>
        <v/>
      </c>
      <c r="AA304" s="48"/>
      <c r="AB304" s="58" t="str">
        <f ca="1">IF(Tableau1[[#This Row],[Date rév.]]&lt;&gt;"", DAYS360(Tableau1[[#This Row],[Date rév.]],TODAY()),"")</f>
        <v/>
      </c>
      <c r="AC304" s="47" t="str">
        <f>IFERROR(INDEX(Chemin_accès!$B$11:$C$22,MATCH(Tableau1[[#This Row],[Type]],Chemin_accès!$C$11:$C$22,0),1),Chemin_accès!$B$11)</f>
        <v>\\stjn.local\trimet\Btechnique\Commun\BT Maint SCELLEMENT\205 - Préventifs\Modèles préventif\GammeDMS_7.MSCT.xlsm</v>
      </c>
      <c r="AD304" s="47" t="str">
        <f>Chemin_accès!$B$8&amp;Tableau1[[#This Row],[Localisation / Classement]]&amp;"\"&amp;Tableau1[[#This Row],[Poste technique]]&amp;"_"&amp;Tableau1[[#This Row],[Plan Entretien]]&amp;".xlsm"</f>
        <v>\\stjn.local\trimet\Btechnique\Commun\BT Maint SCELLEMENT\205 - Préventifs\Gammes 7.MSCT PE Tool\\_.xlsm</v>
      </c>
    </row>
    <row r="305" spans="1:30" x14ac:dyDescent="0.3">
      <c r="A305" s="44" t="str">
        <f t="shared" ca="1" si="4"/>
        <v>7.MSCT</v>
      </c>
      <c r="B3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5" s="46"/>
      <c r="D305" s="44"/>
      <c r="E305" s="44"/>
      <c r="F305" s="47"/>
      <c r="G305" s="47"/>
      <c r="H305" s="50"/>
      <c r="I305" s="50"/>
      <c r="J305" s="50"/>
      <c r="K305" s="50"/>
      <c r="L305" s="46"/>
      <c r="M305" s="47"/>
      <c r="N305" s="46"/>
      <c r="O305" s="46"/>
      <c r="P305" s="47"/>
      <c r="Q305" s="46"/>
      <c r="R305" s="46"/>
      <c r="S305" s="48"/>
      <c r="T305" s="61" t="str">
        <f>IF(Tableau1[[#This Row],[DMS_SAP]]="","",HYPERLINK(Tableau1[[#This Row],[Chemin fichier source]],"X"))</f>
        <v/>
      </c>
      <c r="U305" s="61" t="str">
        <f>IF(Tableau1[[#This Row],[Date rév.]]="","",HYPERLINK(Tableau1[[#This Row],[Lien document]],"X"))</f>
        <v/>
      </c>
      <c r="V305" s="47"/>
      <c r="W305" s="49" t="str">
        <f ca="1">Chemin_accès!$B$2&amp;Tableau1[[#This Row],[Poste Responsable]]&amp;"\"&amp;Tableau1[[#This Row],[Localisation / Classement]]&amp;"\"&amp;Tableau1[[#This Row],[Poste technique]]&amp;"_"&amp;Tableau1[[#This Row],[Plan Entretien]]&amp;".pdf"</f>
        <v>\\stjn.local\trimet\Donnees_Projets\Dms Sap\Maintenance\PlanEntretien\7.MSCT\\_.pdf</v>
      </c>
      <c r="X305" s="47"/>
      <c r="Y305" s="47"/>
      <c r="Z305" s="44" t="str">
        <f ca="1">IF(AND(Tableau1[[#This Row],[Charge]]&lt;&gt;0, Tableau1[[#This Row],[Nombre intervenants]]&lt;&gt;0,Tableau1[[#This Row],[Lien document]]&lt;&gt;0,Tableau1[[#This Row],[DMS_SAP]]&lt;&gt;0)=TRUE,"MIS A JOUR","")</f>
        <v/>
      </c>
      <c r="AA305" s="48"/>
      <c r="AB305" s="58" t="str">
        <f ca="1">IF(Tableau1[[#This Row],[Date rév.]]&lt;&gt;"", DAYS360(Tableau1[[#This Row],[Date rév.]],TODAY()),"")</f>
        <v/>
      </c>
      <c r="AC305" s="47" t="str">
        <f>IFERROR(INDEX(Chemin_accès!$B$11:$C$22,MATCH(Tableau1[[#This Row],[Type]],Chemin_accès!$C$11:$C$22,0),1),Chemin_accès!$B$11)</f>
        <v>\\stjn.local\trimet\Btechnique\Commun\BT Maint SCELLEMENT\205 - Préventifs\Modèles préventif\GammeDMS_7.MSCT.xlsm</v>
      </c>
      <c r="AD305" s="47" t="str">
        <f>Chemin_accès!$B$8&amp;Tableau1[[#This Row],[Localisation / Classement]]&amp;"\"&amp;Tableau1[[#This Row],[Poste technique]]&amp;"_"&amp;Tableau1[[#This Row],[Plan Entretien]]&amp;".xlsm"</f>
        <v>\\stjn.local\trimet\Btechnique\Commun\BT Maint SCELLEMENT\205 - Préventifs\Gammes 7.MSCT PE Tool\\_.xlsm</v>
      </c>
    </row>
    <row r="306" spans="1:30" x14ac:dyDescent="0.3">
      <c r="A306" s="44" t="str">
        <f t="shared" ca="1" si="4"/>
        <v>7.MSCT</v>
      </c>
      <c r="B3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6" s="46"/>
      <c r="D306" s="44"/>
      <c r="E306" s="44"/>
      <c r="F306" s="47"/>
      <c r="G306" s="47"/>
      <c r="H306" s="50"/>
      <c r="I306" s="50"/>
      <c r="J306" s="50"/>
      <c r="K306" s="50"/>
      <c r="L306" s="46"/>
      <c r="M306" s="47"/>
      <c r="N306" s="46"/>
      <c r="O306" s="46"/>
      <c r="P306" s="47"/>
      <c r="Q306" s="46"/>
      <c r="R306" s="46"/>
      <c r="S306" s="48"/>
      <c r="T306" s="61" t="str">
        <f>IF(Tableau1[[#This Row],[DMS_SAP]]="","",HYPERLINK(Tableau1[[#This Row],[Chemin fichier source]],"X"))</f>
        <v/>
      </c>
      <c r="U306" s="61" t="str">
        <f>IF(Tableau1[[#This Row],[Date rév.]]="","",HYPERLINK(Tableau1[[#This Row],[Lien document]],"X"))</f>
        <v/>
      </c>
      <c r="V306" s="47"/>
      <c r="W306" s="49" t="str">
        <f ca="1">Chemin_accès!$B$2&amp;Tableau1[[#This Row],[Poste Responsable]]&amp;"\"&amp;Tableau1[[#This Row],[Localisation / Classement]]&amp;"\"&amp;Tableau1[[#This Row],[Poste technique]]&amp;"_"&amp;Tableau1[[#This Row],[Plan Entretien]]&amp;".pdf"</f>
        <v>\\stjn.local\trimet\Donnees_Projets\Dms Sap\Maintenance\PlanEntretien\7.MSCT\\_.pdf</v>
      </c>
      <c r="X306" s="47"/>
      <c r="Y306" s="47"/>
      <c r="Z306" s="44" t="str">
        <f ca="1">IF(AND(Tableau1[[#This Row],[Charge]]&lt;&gt;0, Tableau1[[#This Row],[Nombre intervenants]]&lt;&gt;0,Tableau1[[#This Row],[Lien document]]&lt;&gt;0,Tableau1[[#This Row],[DMS_SAP]]&lt;&gt;0)=TRUE,"MIS A JOUR","")</f>
        <v/>
      </c>
      <c r="AA306" s="48"/>
      <c r="AB306" s="58" t="str">
        <f ca="1">IF(Tableau1[[#This Row],[Date rév.]]&lt;&gt;"", DAYS360(Tableau1[[#This Row],[Date rév.]],TODAY()),"")</f>
        <v/>
      </c>
      <c r="AC306" s="47" t="str">
        <f>IFERROR(INDEX(Chemin_accès!$B$11:$C$22,MATCH(Tableau1[[#This Row],[Type]],Chemin_accès!$C$11:$C$22,0),1),Chemin_accès!$B$11)</f>
        <v>\\stjn.local\trimet\Btechnique\Commun\BT Maint SCELLEMENT\205 - Préventifs\Modèles préventif\GammeDMS_7.MSCT.xlsm</v>
      </c>
      <c r="AD306" s="47" t="str">
        <f>Chemin_accès!$B$8&amp;Tableau1[[#This Row],[Localisation / Classement]]&amp;"\"&amp;Tableau1[[#This Row],[Poste technique]]&amp;"_"&amp;Tableau1[[#This Row],[Plan Entretien]]&amp;".xlsm"</f>
        <v>\\stjn.local\trimet\Btechnique\Commun\BT Maint SCELLEMENT\205 - Préventifs\Gammes 7.MSCT PE Tool\\_.xlsm</v>
      </c>
    </row>
    <row r="307" spans="1:30" x14ac:dyDescent="0.3">
      <c r="A307" s="44" t="str">
        <f t="shared" ca="1" si="4"/>
        <v>7.MSCT</v>
      </c>
      <c r="B3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7" s="46"/>
      <c r="D307" s="44"/>
      <c r="E307" s="44"/>
      <c r="F307" s="47"/>
      <c r="G307" s="47"/>
      <c r="H307" s="50"/>
      <c r="I307" s="50"/>
      <c r="J307" s="50"/>
      <c r="K307" s="50"/>
      <c r="L307" s="46"/>
      <c r="M307" s="47"/>
      <c r="N307" s="46"/>
      <c r="O307" s="46"/>
      <c r="P307" s="47"/>
      <c r="Q307" s="46"/>
      <c r="R307" s="46"/>
      <c r="S307" s="48"/>
      <c r="T307" s="61" t="str">
        <f>IF(Tableau1[[#This Row],[DMS_SAP]]="","",HYPERLINK(Tableau1[[#This Row],[Chemin fichier source]],"X"))</f>
        <v/>
      </c>
      <c r="U307" s="61" t="str">
        <f>IF(Tableau1[[#This Row],[Date rév.]]="","",HYPERLINK(Tableau1[[#This Row],[Lien document]],"X"))</f>
        <v/>
      </c>
      <c r="V307" s="47"/>
      <c r="W307" s="49" t="str">
        <f ca="1">Chemin_accès!$B$2&amp;Tableau1[[#This Row],[Poste Responsable]]&amp;"\"&amp;Tableau1[[#This Row],[Localisation / Classement]]&amp;"\"&amp;Tableau1[[#This Row],[Poste technique]]&amp;"_"&amp;Tableau1[[#This Row],[Plan Entretien]]&amp;".pdf"</f>
        <v>\\stjn.local\trimet\Donnees_Projets\Dms Sap\Maintenance\PlanEntretien\7.MSCT\\_.pdf</v>
      </c>
      <c r="X307" s="47"/>
      <c r="Y307" s="47"/>
      <c r="Z307" s="44" t="str">
        <f ca="1">IF(AND(Tableau1[[#This Row],[Charge]]&lt;&gt;0, Tableau1[[#This Row],[Nombre intervenants]]&lt;&gt;0,Tableau1[[#This Row],[Lien document]]&lt;&gt;0,Tableau1[[#This Row],[DMS_SAP]]&lt;&gt;0)=TRUE,"MIS A JOUR","")</f>
        <v/>
      </c>
      <c r="AA307" s="48"/>
      <c r="AB307" s="58" t="str">
        <f ca="1">IF(Tableau1[[#This Row],[Date rév.]]&lt;&gt;"", DAYS360(Tableau1[[#This Row],[Date rév.]],TODAY()),"")</f>
        <v/>
      </c>
      <c r="AC307" s="47" t="str">
        <f>IFERROR(INDEX(Chemin_accès!$B$11:$C$22,MATCH(Tableau1[[#This Row],[Type]],Chemin_accès!$C$11:$C$22,0),1),Chemin_accès!$B$11)</f>
        <v>\\stjn.local\trimet\Btechnique\Commun\BT Maint SCELLEMENT\205 - Préventifs\Modèles préventif\GammeDMS_7.MSCT.xlsm</v>
      </c>
      <c r="AD307" s="47" t="str">
        <f>Chemin_accès!$B$8&amp;Tableau1[[#This Row],[Localisation / Classement]]&amp;"\"&amp;Tableau1[[#This Row],[Poste technique]]&amp;"_"&amp;Tableau1[[#This Row],[Plan Entretien]]&amp;".xlsm"</f>
        <v>\\stjn.local\trimet\Btechnique\Commun\BT Maint SCELLEMENT\205 - Préventifs\Gammes 7.MSCT PE Tool\\_.xlsm</v>
      </c>
    </row>
    <row r="308" spans="1:30" x14ac:dyDescent="0.3">
      <c r="A308" s="44" t="str">
        <f t="shared" ca="1" si="4"/>
        <v>7.MSCT</v>
      </c>
      <c r="B3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8" s="46"/>
      <c r="D308" s="44"/>
      <c r="E308" s="44"/>
      <c r="F308" s="47"/>
      <c r="G308" s="47"/>
      <c r="H308" s="50"/>
      <c r="I308" s="50"/>
      <c r="J308" s="50"/>
      <c r="K308" s="50"/>
      <c r="L308" s="46"/>
      <c r="M308" s="47"/>
      <c r="N308" s="46"/>
      <c r="O308" s="46"/>
      <c r="P308" s="47"/>
      <c r="Q308" s="46"/>
      <c r="R308" s="46"/>
      <c r="S308" s="48"/>
      <c r="T308" s="61" t="str">
        <f>IF(Tableau1[[#This Row],[DMS_SAP]]="","",HYPERLINK(Tableau1[[#This Row],[Chemin fichier source]],"X"))</f>
        <v/>
      </c>
      <c r="U308" s="61" t="str">
        <f>IF(Tableau1[[#This Row],[Date rév.]]="","",HYPERLINK(Tableau1[[#This Row],[Lien document]],"X"))</f>
        <v/>
      </c>
      <c r="V308" s="47"/>
      <c r="W308" s="49" t="str">
        <f ca="1">Chemin_accès!$B$2&amp;Tableau1[[#This Row],[Poste Responsable]]&amp;"\"&amp;Tableau1[[#This Row],[Localisation / Classement]]&amp;"\"&amp;Tableau1[[#This Row],[Poste technique]]&amp;"_"&amp;Tableau1[[#This Row],[Plan Entretien]]&amp;".pdf"</f>
        <v>\\stjn.local\trimet\Donnees_Projets\Dms Sap\Maintenance\PlanEntretien\7.MSCT\\_.pdf</v>
      </c>
      <c r="X308" s="47"/>
      <c r="Y308" s="47"/>
      <c r="Z308" s="44" t="str">
        <f ca="1">IF(AND(Tableau1[[#This Row],[Charge]]&lt;&gt;0, Tableau1[[#This Row],[Nombre intervenants]]&lt;&gt;0,Tableau1[[#This Row],[Lien document]]&lt;&gt;0,Tableau1[[#This Row],[DMS_SAP]]&lt;&gt;0)=TRUE,"MIS A JOUR","")</f>
        <v/>
      </c>
      <c r="AA308" s="48"/>
      <c r="AB308" s="58" t="str">
        <f ca="1">IF(Tableau1[[#This Row],[Date rév.]]&lt;&gt;"", DAYS360(Tableau1[[#This Row],[Date rév.]],TODAY()),"")</f>
        <v/>
      </c>
      <c r="AC308" s="47" t="str">
        <f>IFERROR(INDEX(Chemin_accès!$B$11:$C$22,MATCH(Tableau1[[#This Row],[Type]],Chemin_accès!$C$11:$C$22,0),1),Chemin_accès!$B$11)</f>
        <v>\\stjn.local\trimet\Btechnique\Commun\BT Maint SCELLEMENT\205 - Préventifs\Modèles préventif\GammeDMS_7.MSCT.xlsm</v>
      </c>
      <c r="AD308" s="47" t="str">
        <f>Chemin_accès!$B$8&amp;Tableau1[[#This Row],[Localisation / Classement]]&amp;"\"&amp;Tableau1[[#This Row],[Poste technique]]&amp;"_"&amp;Tableau1[[#This Row],[Plan Entretien]]&amp;".xlsm"</f>
        <v>\\stjn.local\trimet\Btechnique\Commun\BT Maint SCELLEMENT\205 - Préventifs\Gammes 7.MSCT PE Tool\\_.xlsm</v>
      </c>
    </row>
    <row r="309" spans="1:30" x14ac:dyDescent="0.3">
      <c r="A309" s="44" t="str">
        <f t="shared" ca="1" si="4"/>
        <v>7.MSCT</v>
      </c>
      <c r="B3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09" s="46"/>
      <c r="D309" s="44"/>
      <c r="E309" s="44"/>
      <c r="F309" s="47"/>
      <c r="G309" s="47"/>
      <c r="H309" s="50"/>
      <c r="I309" s="50"/>
      <c r="J309" s="50"/>
      <c r="K309" s="50"/>
      <c r="L309" s="46"/>
      <c r="M309" s="47"/>
      <c r="N309" s="46"/>
      <c r="O309" s="46"/>
      <c r="P309" s="47"/>
      <c r="Q309" s="46"/>
      <c r="R309" s="46"/>
      <c r="S309" s="48"/>
      <c r="T309" s="61" t="str">
        <f>IF(Tableau1[[#This Row],[DMS_SAP]]="","",HYPERLINK(Tableau1[[#This Row],[Chemin fichier source]],"X"))</f>
        <v/>
      </c>
      <c r="U309" s="61" t="str">
        <f>IF(Tableau1[[#This Row],[Date rév.]]="","",HYPERLINK(Tableau1[[#This Row],[Lien document]],"X"))</f>
        <v/>
      </c>
      <c r="V309" s="47"/>
      <c r="W309" s="49" t="str">
        <f ca="1">Chemin_accès!$B$2&amp;Tableau1[[#This Row],[Poste Responsable]]&amp;"\"&amp;Tableau1[[#This Row],[Localisation / Classement]]&amp;"\"&amp;Tableau1[[#This Row],[Poste technique]]&amp;"_"&amp;Tableau1[[#This Row],[Plan Entretien]]&amp;".pdf"</f>
        <v>\\stjn.local\trimet\Donnees_Projets\Dms Sap\Maintenance\PlanEntretien\7.MSCT\\_.pdf</v>
      </c>
      <c r="X309" s="47"/>
      <c r="Y309" s="47"/>
      <c r="Z309" s="44" t="str">
        <f ca="1">IF(AND(Tableau1[[#This Row],[Charge]]&lt;&gt;0, Tableau1[[#This Row],[Nombre intervenants]]&lt;&gt;0,Tableau1[[#This Row],[Lien document]]&lt;&gt;0,Tableau1[[#This Row],[DMS_SAP]]&lt;&gt;0)=TRUE,"MIS A JOUR","")</f>
        <v/>
      </c>
      <c r="AA309" s="48"/>
      <c r="AB309" s="58" t="str">
        <f ca="1">IF(Tableau1[[#This Row],[Date rév.]]&lt;&gt;"", DAYS360(Tableau1[[#This Row],[Date rév.]],TODAY()),"")</f>
        <v/>
      </c>
      <c r="AC309" s="47" t="str">
        <f>IFERROR(INDEX(Chemin_accès!$B$11:$C$22,MATCH(Tableau1[[#This Row],[Type]],Chemin_accès!$C$11:$C$22,0),1),Chemin_accès!$B$11)</f>
        <v>\\stjn.local\trimet\Btechnique\Commun\BT Maint SCELLEMENT\205 - Préventifs\Modèles préventif\GammeDMS_7.MSCT.xlsm</v>
      </c>
      <c r="AD309" s="47" t="str">
        <f>Chemin_accès!$B$8&amp;Tableau1[[#This Row],[Localisation / Classement]]&amp;"\"&amp;Tableau1[[#This Row],[Poste technique]]&amp;"_"&amp;Tableau1[[#This Row],[Plan Entretien]]&amp;".xlsm"</f>
        <v>\\stjn.local\trimet\Btechnique\Commun\BT Maint SCELLEMENT\205 - Préventifs\Gammes 7.MSCT PE Tool\\_.xlsm</v>
      </c>
    </row>
    <row r="310" spans="1:30" x14ac:dyDescent="0.3">
      <c r="A310" s="44" t="str">
        <f t="shared" ca="1" si="4"/>
        <v>7.MSCT</v>
      </c>
      <c r="B3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0" s="46"/>
      <c r="D310" s="44"/>
      <c r="E310" s="44"/>
      <c r="F310" s="47"/>
      <c r="G310" s="47"/>
      <c r="H310" s="50"/>
      <c r="I310" s="50"/>
      <c r="J310" s="50"/>
      <c r="K310" s="50"/>
      <c r="L310" s="46"/>
      <c r="M310" s="47"/>
      <c r="N310" s="46"/>
      <c r="O310" s="46"/>
      <c r="P310" s="47"/>
      <c r="Q310" s="46"/>
      <c r="R310" s="46"/>
      <c r="S310" s="48"/>
      <c r="T310" s="61" t="str">
        <f>IF(Tableau1[[#This Row],[DMS_SAP]]="","",HYPERLINK(Tableau1[[#This Row],[Chemin fichier source]],"X"))</f>
        <v/>
      </c>
      <c r="U310" s="61" t="str">
        <f>IF(Tableau1[[#This Row],[Date rév.]]="","",HYPERLINK(Tableau1[[#This Row],[Lien document]],"X"))</f>
        <v/>
      </c>
      <c r="V310" s="47"/>
      <c r="W310" s="49" t="str">
        <f ca="1">Chemin_accès!$B$2&amp;Tableau1[[#This Row],[Poste Responsable]]&amp;"\"&amp;Tableau1[[#This Row],[Localisation / Classement]]&amp;"\"&amp;Tableau1[[#This Row],[Poste technique]]&amp;"_"&amp;Tableau1[[#This Row],[Plan Entretien]]&amp;".pdf"</f>
        <v>\\stjn.local\trimet\Donnees_Projets\Dms Sap\Maintenance\PlanEntretien\7.MSCT\\_.pdf</v>
      </c>
      <c r="X310" s="47"/>
      <c r="Y310" s="47"/>
      <c r="Z310" s="44" t="str">
        <f ca="1">IF(AND(Tableau1[[#This Row],[Charge]]&lt;&gt;0, Tableau1[[#This Row],[Nombre intervenants]]&lt;&gt;0,Tableau1[[#This Row],[Lien document]]&lt;&gt;0,Tableau1[[#This Row],[DMS_SAP]]&lt;&gt;0)=TRUE,"MIS A JOUR","")</f>
        <v/>
      </c>
      <c r="AA310" s="48"/>
      <c r="AB310" s="58" t="str">
        <f ca="1">IF(Tableau1[[#This Row],[Date rév.]]&lt;&gt;"", DAYS360(Tableau1[[#This Row],[Date rév.]],TODAY()),"")</f>
        <v/>
      </c>
      <c r="AC310" s="47" t="str">
        <f>IFERROR(INDEX(Chemin_accès!$B$11:$C$22,MATCH(Tableau1[[#This Row],[Type]],Chemin_accès!$C$11:$C$22,0),1),Chemin_accès!$B$11)</f>
        <v>\\stjn.local\trimet\Btechnique\Commun\BT Maint SCELLEMENT\205 - Préventifs\Modèles préventif\GammeDMS_7.MSCT.xlsm</v>
      </c>
      <c r="AD310" s="47" t="str">
        <f>Chemin_accès!$B$8&amp;Tableau1[[#This Row],[Localisation / Classement]]&amp;"\"&amp;Tableau1[[#This Row],[Poste technique]]&amp;"_"&amp;Tableau1[[#This Row],[Plan Entretien]]&amp;".xlsm"</f>
        <v>\\stjn.local\trimet\Btechnique\Commun\BT Maint SCELLEMENT\205 - Préventifs\Gammes 7.MSCT PE Tool\\_.xlsm</v>
      </c>
    </row>
    <row r="311" spans="1:30" x14ac:dyDescent="0.3">
      <c r="A311" s="44" t="str">
        <f t="shared" ca="1" si="4"/>
        <v>7.MSCT</v>
      </c>
      <c r="B3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1" s="46"/>
      <c r="D311" s="44"/>
      <c r="E311" s="44"/>
      <c r="F311" s="47"/>
      <c r="G311" s="47"/>
      <c r="H311" s="50"/>
      <c r="I311" s="50"/>
      <c r="J311" s="50"/>
      <c r="K311" s="50"/>
      <c r="L311" s="46"/>
      <c r="M311" s="47"/>
      <c r="N311" s="46"/>
      <c r="O311" s="46"/>
      <c r="P311" s="47"/>
      <c r="Q311" s="46"/>
      <c r="R311" s="46"/>
      <c r="S311" s="48"/>
      <c r="T311" s="61" t="str">
        <f>IF(Tableau1[[#This Row],[DMS_SAP]]="","",HYPERLINK(Tableau1[[#This Row],[Chemin fichier source]],"X"))</f>
        <v/>
      </c>
      <c r="U311" s="61" t="str">
        <f>IF(Tableau1[[#This Row],[Date rév.]]="","",HYPERLINK(Tableau1[[#This Row],[Lien document]],"X"))</f>
        <v/>
      </c>
      <c r="V311" s="47"/>
      <c r="W311" s="49" t="str">
        <f ca="1">Chemin_accès!$B$2&amp;Tableau1[[#This Row],[Poste Responsable]]&amp;"\"&amp;Tableau1[[#This Row],[Localisation / Classement]]&amp;"\"&amp;Tableau1[[#This Row],[Poste technique]]&amp;"_"&amp;Tableau1[[#This Row],[Plan Entretien]]&amp;".pdf"</f>
        <v>\\stjn.local\trimet\Donnees_Projets\Dms Sap\Maintenance\PlanEntretien\7.MSCT\\_.pdf</v>
      </c>
      <c r="X311" s="47"/>
      <c r="Y311" s="47"/>
      <c r="Z311" s="44" t="str">
        <f ca="1">IF(AND(Tableau1[[#This Row],[Charge]]&lt;&gt;0, Tableau1[[#This Row],[Nombre intervenants]]&lt;&gt;0,Tableau1[[#This Row],[Lien document]]&lt;&gt;0,Tableau1[[#This Row],[DMS_SAP]]&lt;&gt;0)=TRUE,"MIS A JOUR","")</f>
        <v/>
      </c>
      <c r="AA311" s="48"/>
      <c r="AB311" s="58" t="str">
        <f ca="1">IF(Tableau1[[#This Row],[Date rév.]]&lt;&gt;"", DAYS360(Tableau1[[#This Row],[Date rév.]],TODAY()),"")</f>
        <v/>
      </c>
      <c r="AC311" s="47" t="str">
        <f>IFERROR(INDEX(Chemin_accès!$B$11:$C$22,MATCH(Tableau1[[#This Row],[Type]],Chemin_accès!$C$11:$C$22,0),1),Chemin_accès!$B$11)</f>
        <v>\\stjn.local\trimet\Btechnique\Commun\BT Maint SCELLEMENT\205 - Préventifs\Modèles préventif\GammeDMS_7.MSCT.xlsm</v>
      </c>
      <c r="AD311" s="47" t="str">
        <f>Chemin_accès!$B$8&amp;Tableau1[[#This Row],[Localisation / Classement]]&amp;"\"&amp;Tableau1[[#This Row],[Poste technique]]&amp;"_"&amp;Tableau1[[#This Row],[Plan Entretien]]&amp;".xlsm"</f>
        <v>\\stjn.local\trimet\Btechnique\Commun\BT Maint SCELLEMENT\205 - Préventifs\Gammes 7.MSCT PE Tool\\_.xlsm</v>
      </c>
    </row>
    <row r="312" spans="1:30" x14ac:dyDescent="0.3">
      <c r="A312" s="44" t="str">
        <f t="shared" ca="1" si="4"/>
        <v>7.MSCT</v>
      </c>
      <c r="B3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2" s="46"/>
      <c r="D312" s="44"/>
      <c r="E312" s="44"/>
      <c r="F312" s="47"/>
      <c r="G312" s="47"/>
      <c r="H312" s="50"/>
      <c r="I312" s="50"/>
      <c r="J312" s="50"/>
      <c r="K312" s="50"/>
      <c r="L312" s="46"/>
      <c r="M312" s="47"/>
      <c r="N312" s="46"/>
      <c r="O312" s="46"/>
      <c r="P312" s="47"/>
      <c r="Q312" s="46"/>
      <c r="R312" s="46"/>
      <c r="S312" s="48"/>
      <c r="T312" s="61" t="str">
        <f>IF(Tableau1[[#This Row],[DMS_SAP]]="","",HYPERLINK(Tableau1[[#This Row],[Chemin fichier source]],"X"))</f>
        <v/>
      </c>
      <c r="U312" s="61" t="str">
        <f>IF(Tableau1[[#This Row],[Date rév.]]="","",HYPERLINK(Tableau1[[#This Row],[Lien document]],"X"))</f>
        <v/>
      </c>
      <c r="V312" s="47"/>
      <c r="W312" s="49" t="str">
        <f ca="1">Chemin_accès!$B$2&amp;Tableau1[[#This Row],[Poste Responsable]]&amp;"\"&amp;Tableau1[[#This Row],[Localisation / Classement]]&amp;"\"&amp;Tableau1[[#This Row],[Poste technique]]&amp;"_"&amp;Tableau1[[#This Row],[Plan Entretien]]&amp;".pdf"</f>
        <v>\\stjn.local\trimet\Donnees_Projets\Dms Sap\Maintenance\PlanEntretien\7.MSCT\\_.pdf</v>
      </c>
      <c r="X312" s="47"/>
      <c r="Y312" s="47"/>
      <c r="Z312" s="44" t="str">
        <f ca="1">IF(AND(Tableau1[[#This Row],[Charge]]&lt;&gt;0, Tableau1[[#This Row],[Nombre intervenants]]&lt;&gt;0,Tableau1[[#This Row],[Lien document]]&lt;&gt;0,Tableau1[[#This Row],[DMS_SAP]]&lt;&gt;0)=TRUE,"MIS A JOUR","")</f>
        <v/>
      </c>
      <c r="AA312" s="48"/>
      <c r="AB312" s="58" t="str">
        <f ca="1">IF(Tableau1[[#This Row],[Date rév.]]&lt;&gt;"", DAYS360(Tableau1[[#This Row],[Date rév.]],TODAY()),"")</f>
        <v/>
      </c>
      <c r="AC312" s="47" t="str">
        <f>IFERROR(INDEX(Chemin_accès!$B$11:$C$22,MATCH(Tableau1[[#This Row],[Type]],Chemin_accès!$C$11:$C$22,0),1),Chemin_accès!$B$11)</f>
        <v>\\stjn.local\trimet\Btechnique\Commun\BT Maint SCELLEMENT\205 - Préventifs\Modèles préventif\GammeDMS_7.MSCT.xlsm</v>
      </c>
      <c r="AD312" s="47" t="str">
        <f>Chemin_accès!$B$8&amp;Tableau1[[#This Row],[Localisation / Classement]]&amp;"\"&amp;Tableau1[[#This Row],[Poste technique]]&amp;"_"&amp;Tableau1[[#This Row],[Plan Entretien]]&amp;".xlsm"</f>
        <v>\\stjn.local\trimet\Btechnique\Commun\BT Maint SCELLEMENT\205 - Préventifs\Gammes 7.MSCT PE Tool\\_.xlsm</v>
      </c>
    </row>
    <row r="313" spans="1:30" x14ac:dyDescent="0.3">
      <c r="A313" s="44" t="str">
        <f t="shared" ca="1" si="4"/>
        <v>7.MSCT</v>
      </c>
      <c r="B3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3" s="46"/>
      <c r="D313" s="44"/>
      <c r="E313" s="44"/>
      <c r="F313" s="47"/>
      <c r="G313" s="47"/>
      <c r="H313" s="50"/>
      <c r="I313" s="50"/>
      <c r="J313" s="50"/>
      <c r="K313" s="50"/>
      <c r="L313" s="46"/>
      <c r="M313" s="47"/>
      <c r="N313" s="46"/>
      <c r="O313" s="46"/>
      <c r="P313" s="47"/>
      <c r="Q313" s="46"/>
      <c r="R313" s="46"/>
      <c r="S313" s="48"/>
      <c r="T313" s="61" t="str">
        <f>IF(Tableau1[[#This Row],[DMS_SAP]]="","",HYPERLINK(Tableau1[[#This Row],[Chemin fichier source]],"X"))</f>
        <v/>
      </c>
      <c r="U313" s="61" t="str">
        <f>IF(Tableau1[[#This Row],[Date rév.]]="","",HYPERLINK(Tableau1[[#This Row],[Lien document]],"X"))</f>
        <v/>
      </c>
      <c r="V313" s="47"/>
      <c r="W313" s="49" t="str">
        <f ca="1">Chemin_accès!$B$2&amp;Tableau1[[#This Row],[Poste Responsable]]&amp;"\"&amp;Tableau1[[#This Row],[Localisation / Classement]]&amp;"\"&amp;Tableau1[[#This Row],[Poste technique]]&amp;"_"&amp;Tableau1[[#This Row],[Plan Entretien]]&amp;".pdf"</f>
        <v>\\stjn.local\trimet\Donnees_Projets\Dms Sap\Maintenance\PlanEntretien\7.MSCT\\_.pdf</v>
      </c>
      <c r="X313" s="47"/>
      <c r="Y313" s="47"/>
      <c r="Z313" s="44" t="str">
        <f ca="1">IF(AND(Tableau1[[#This Row],[Charge]]&lt;&gt;0, Tableau1[[#This Row],[Nombre intervenants]]&lt;&gt;0,Tableau1[[#This Row],[Lien document]]&lt;&gt;0,Tableau1[[#This Row],[DMS_SAP]]&lt;&gt;0)=TRUE,"MIS A JOUR","")</f>
        <v/>
      </c>
      <c r="AA313" s="48"/>
      <c r="AB313" s="58" t="str">
        <f ca="1">IF(Tableau1[[#This Row],[Date rév.]]&lt;&gt;"", DAYS360(Tableau1[[#This Row],[Date rév.]],TODAY()),"")</f>
        <v/>
      </c>
      <c r="AC313" s="47" t="str">
        <f>IFERROR(INDEX(Chemin_accès!$B$11:$C$22,MATCH(Tableau1[[#This Row],[Type]],Chemin_accès!$C$11:$C$22,0),1),Chemin_accès!$B$11)</f>
        <v>\\stjn.local\trimet\Btechnique\Commun\BT Maint SCELLEMENT\205 - Préventifs\Modèles préventif\GammeDMS_7.MSCT.xlsm</v>
      </c>
      <c r="AD313" s="47" t="str">
        <f>Chemin_accès!$B$8&amp;Tableau1[[#This Row],[Localisation / Classement]]&amp;"\"&amp;Tableau1[[#This Row],[Poste technique]]&amp;"_"&amp;Tableau1[[#This Row],[Plan Entretien]]&amp;".xlsm"</f>
        <v>\\stjn.local\trimet\Btechnique\Commun\BT Maint SCELLEMENT\205 - Préventifs\Gammes 7.MSCT PE Tool\\_.xlsm</v>
      </c>
    </row>
    <row r="314" spans="1:30" x14ac:dyDescent="0.3">
      <c r="A314" s="44" t="str">
        <f t="shared" ca="1" si="4"/>
        <v>7.MSCT</v>
      </c>
      <c r="B3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4" s="46"/>
      <c r="D314" s="44"/>
      <c r="E314" s="44"/>
      <c r="F314" s="47"/>
      <c r="G314" s="47"/>
      <c r="H314" s="50"/>
      <c r="I314" s="50"/>
      <c r="J314" s="50"/>
      <c r="K314" s="50"/>
      <c r="L314" s="46"/>
      <c r="M314" s="47"/>
      <c r="N314" s="46"/>
      <c r="O314" s="46"/>
      <c r="P314" s="47"/>
      <c r="Q314" s="46"/>
      <c r="R314" s="46"/>
      <c r="S314" s="48"/>
      <c r="T314" s="61" t="str">
        <f>IF(Tableau1[[#This Row],[DMS_SAP]]="","",HYPERLINK(Tableau1[[#This Row],[Chemin fichier source]],"X"))</f>
        <v/>
      </c>
      <c r="U314" s="61" t="str">
        <f>IF(Tableau1[[#This Row],[Date rév.]]="","",HYPERLINK(Tableau1[[#This Row],[Lien document]],"X"))</f>
        <v/>
      </c>
      <c r="V314" s="47"/>
      <c r="W314" s="49" t="str">
        <f ca="1">Chemin_accès!$B$2&amp;Tableau1[[#This Row],[Poste Responsable]]&amp;"\"&amp;Tableau1[[#This Row],[Localisation / Classement]]&amp;"\"&amp;Tableau1[[#This Row],[Poste technique]]&amp;"_"&amp;Tableau1[[#This Row],[Plan Entretien]]&amp;".pdf"</f>
        <v>\\stjn.local\trimet\Donnees_Projets\Dms Sap\Maintenance\PlanEntretien\7.MSCT\\_.pdf</v>
      </c>
      <c r="X314" s="47"/>
      <c r="Y314" s="47"/>
      <c r="Z314" s="44" t="str">
        <f ca="1">IF(AND(Tableau1[[#This Row],[Charge]]&lt;&gt;0, Tableau1[[#This Row],[Nombre intervenants]]&lt;&gt;0,Tableau1[[#This Row],[Lien document]]&lt;&gt;0,Tableau1[[#This Row],[DMS_SAP]]&lt;&gt;0)=TRUE,"MIS A JOUR","")</f>
        <v/>
      </c>
      <c r="AA314" s="48"/>
      <c r="AB314" s="58" t="str">
        <f ca="1">IF(Tableau1[[#This Row],[Date rév.]]&lt;&gt;"", DAYS360(Tableau1[[#This Row],[Date rév.]],TODAY()),"")</f>
        <v/>
      </c>
      <c r="AC314" s="47" t="str">
        <f>IFERROR(INDEX(Chemin_accès!$B$11:$C$22,MATCH(Tableau1[[#This Row],[Type]],Chemin_accès!$C$11:$C$22,0),1),Chemin_accès!$B$11)</f>
        <v>\\stjn.local\trimet\Btechnique\Commun\BT Maint SCELLEMENT\205 - Préventifs\Modèles préventif\GammeDMS_7.MSCT.xlsm</v>
      </c>
      <c r="AD314" s="47" t="str">
        <f>Chemin_accès!$B$8&amp;Tableau1[[#This Row],[Localisation / Classement]]&amp;"\"&amp;Tableau1[[#This Row],[Poste technique]]&amp;"_"&amp;Tableau1[[#This Row],[Plan Entretien]]&amp;".xlsm"</f>
        <v>\\stjn.local\trimet\Btechnique\Commun\BT Maint SCELLEMENT\205 - Préventifs\Gammes 7.MSCT PE Tool\\_.xlsm</v>
      </c>
    </row>
    <row r="315" spans="1:30" x14ac:dyDescent="0.3">
      <c r="A315" s="44" t="str">
        <f t="shared" ca="1" si="4"/>
        <v>7.MSCT</v>
      </c>
      <c r="B3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5" s="46"/>
      <c r="D315" s="44"/>
      <c r="E315" s="44"/>
      <c r="F315" s="47"/>
      <c r="G315" s="47"/>
      <c r="H315" s="50"/>
      <c r="I315" s="50"/>
      <c r="J315" s="50"/>
      <c r="K315" s="50"/>
      <c r="L315" s="46"/>
      <c r="M315" s="47"/>
      <c r="N315" s="46"/>
      <c r="O315" s="46"/>
      <c r="P315" s="47"/>
      <c r="Q315" s="46"/>
      <c r="R315" s="46"/>
      <c r="S315" s="48"/>
      <c r="T315" s="61" t="str">
        <f>IF(Tableau1[[#This Row],[DMS_SAP]]="","",HYPERLINK(Tableau1[[#This Row],[Chemin fichier source]],"X"))</f>
        <v/>
      </c>
      <c r="U315" s="61" t="str">
        <f>IF(Tableau1[[#This Row],[Date rév.]]="","",HYPERLINK(Tableau1[[#This Row],[Lien document]],"X"))</f>
        <v/>
      </c>
      <c r="V315" s="47"/>
      <c r="W315" s="49" t="str">
        <f ca="1">Chemin_accès!$B$2&amp;Tableau1[[#This Row],[Poste Responsable]]&amp;"\"&amp;Tableau1[[#This Row],[Localisation / Classement]]&amp;"\"&amp;Tableau1[[#This Row],[Poste technique]]&amp;"_"&amp;Tableau1[[#This Row],[Plan Entretien]]&amp;".pdf"</f>
        <v>\\stjn.local\trimet\Donnees_Projets\Dms Sap\Maintenance\PlanEntretien\7.MSCT\\_.pdf</v>
      </c>
      <c r="X315" s="47"/>
      <c r="Y315" s="47"/>
      <c r="Z315" s="44" t="str">
        <f ca="1">IF(AND(Tableau1[[#This Row],[Charge]]&lt;&gt;0, Tableau1[[#This Row],[Nombre intervenants]]&lt;&gt;0,Tableau1[[#This Row],[Lien document]]&lt;&gt;0,Tableau1[[#This Row],[DMS_SAP]]&lt;&gt;0)=TRUE,"MIS A JOUR","")</f>
        <v/>
      </c>
      <c r="AA315" s="48"/>
      <c r="AB315" s="58" t="str">
        <f ca="1">IF(Tableau1[[#This Row],[Date rév.]]&lt;&gt;"", DAYS360(Tableau1[[#This Row],[Date rév.]],TODAY()),"")</f>
        <v/>
      </c>
      <c r="AC315" s="47" t="str">
        <f>IFERROR(INDEX(Chemin_accès!$B$11:$C$22,MATCH(Tableau1[[#This Row],[Type]],Chemin_accès!$C$11:$C$22,0),1),Chemin_accès!$B$11)</f>
        <v>\\stjn.local\trimet\Btechnique\Commun\BT Maint SCELLEMENT\205 - Préventifs\Modèles préventif\GammeDMS_7.MSCT.xlsm</v>
      </c>
      <c r="AD315" s="47" t="str">
        <f>Chemin_accès!$B$8&amp;Tableau1[[#This Row],[Localisation / Classement]]&amp;"\"&amp;Tableau1[[#This Row],[Poste technique]]&amp;"_"&amp;Tableau1[[#This Row],[Plan Entretien]]&amp;".xlsm"</f>
        <v>\\stjn.local\trimet\Btechnique\Commun\BT Maint SCELLEMENT\205 - Préventifs\Gammes 7.MSCT PE Tool\\_.xlsm</v>
      </c>
    </row>
    <row r="316" spans="1:30" x14ac:dyDescent="0.3">
      <c r="A316" s="44" t="str">
        <f t="shared" ca="1" si="4"/>
        <v>7.MSCT</v>
      </c>
      <c r="B3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6" s="46"/>
      <c r="D316" s="44"/>
      <c r="E316" s="44"/>
      <c r="F316" s="47"/>
      <c r="G316" s="47"/>
      <c r="H316" s="50"/>
      <c r="I316" s="50"/>
      <c r="J316" s="50"/>
      <c r="K316" s="50"/>
      <c r="L316" s="46"/>
      <c r="M316" s="47"/>
      <c r="N316" s="46"/>
      <c r="O316" s="46"/>
      <c r="P316" s="47"/>
      <c r="Q316" s="46"/>
      <c r="R316" s="46"/>
      <c r="S316" s="48"/>
      <c r="T316" s="61" t="str">
        <f>IF(Tableau1[[#This Row],[DMS_SAP]]="","",HYPERLINK(Tableau1[[#This Row],[Chemin fichier source]],"X"))</f>
        <v/>
      </c>
      <c r="U316" s="61" t="str">
        <f>IF(Tableau1[[#This Row],[Date rév.]]="","",HYPERLINK(Tableau1[[#This Row],[Lien document]],"X"))</f>
        <v/>
      </c>
      <c r="V316" s="47"/>
      <c r="W316" s="49" t="str">
        <f ca="1">Chemin_accès!$B$2&amp;Tableau1[[#This Row],[Poste Responsable]]&amp;"\"&amp;Tableau1[[#This Row],[Localisation / Classement]]&amp;"\"&amp;Tableau1[[#This Row],[Poste technique]]&amp;"_"&amp;Tableau1[[#This Row],[Plan Entretien]]&amp;".pdf"</f>
        <v>\\stjn.local\trimet\Donnees_Projets\Dms Sap\Maintenance\PlanEntretien\7.MSCT\\_.pdf</v>
      </c>
      <c r="X316" s="47"/>
      <c r="Y316" s="47"/>
      <c r="Z316" s="44" t="str">
        <f ca="1">IF(AND(Tableau1[[#This Row],[Charge]]&lt;&gt;0, Tableau1[[#This Row],[Nombre intervenants]]&lt;&gt;0,Tableau1[[#This Row],[Lien document]]&lt;&gt;0,Tableau1[[#This Row],[DMS_SAP]]&lt;&gt;0)=TRUE,"MIS A JOUR","")</f>
        <v/>
      </c>
      <c r="AA316" s="48"/>
      <c r="AB316" s="58" t="str">
        <f ca="1">IF(Tableau1[[#This Row],[Date rév.]]&lt;&gt;"", DAYS360(Tableau1[[#This Row],[Date rév.]],TODAY()),"")</f>
        <v/>
      </c>
      <c r="AC316" s="47" t="str">
        <f>IFERROR(INDEX(Chemin_accès!$B$11:$C$22,MATCH(Tableau1[[#This Row],[Type]],Chemin_accès!$C$11:$C$22,0),1),Chemin_accès!$B$11)</f>
        <v>\\stjn.local\trimet\Btechnique\Commun\BT Maint SCELLEMENT\205 - Préventifs\Modèles préventif\GammeDMS_7.MSCT.xlsm</v>
      </c>
      <c r="AD316" s="47" t="str">
        <f>Chemin_accès!$B$8&amp;Tableau1[[#This Row],[Localisation / Classement]]&amp;"\"&amp;Tableau1[[#This Row],[Poste technique]]&amp;"_"&amp;Tableau1[[#This Row],[Plan Entretien]]&amp;".xlsm"</f>
        <v>\\stjn.local\trimet\Btechnique\Commun\BT Maint SCELLEMENT\205 - Préventifs\Gammes 7.MSCT PE Tool\\_.xlsm</v>
      </c>
    </row>
    <row r="317" spans="1:30" x14ac:dyDescent="0.3">
      <c r="A317" s="44" t="str">
        <f t="shared" ca="1" si="4"/>
        <v>7.MSCT</v>
      </c>
      <c r="B3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7" s="46"/>
      <c r="D317" s="44"/>
      <c r="E317" s="44"/>
      <c r="F317" s="47"/>
      <c r="G317" s="47"/>
      <c r="H317" s="50"/>
      <c r="I317" s="50"/>
      <c r="J317" s="50"/>
      <c r="K317" s="50"/>
      <c r="L317" s="46"/>
      <c r="M317" s="47"/>
      <c r="N317" s="46"/>
      <c r="O317" s="46"/>
      <c r="P317" s="47"/>
      <c r="Q317" s="46"/>
      <c r="R317" s="46"/>
      <c r="S317" s="48"/>
      <c r="T317" s="61" t="str">
        <f>IF(Tableau1[[#This Row],[DMS_SAP]]="","",HYPERLINK(Tableau1[[#This Row],[Chemin fichier source]],"X"))</f>
        <v/>
      </c>
      <c r="U317" s="61" t="str">
        <f>IF(Tableau1[[#This Row],[Date rév.]]="","",HYPERLINK(Tableau1[[#This Row],[Lien document]],"X"))</f>
        <v/>
      </c>
      <c r="V317" s="47"/>
      <c r="W317" s="49" t="str">
        <f ca="1">Chemin_accès!$B$2&amp;Tableau1[[#This Row],[Poste Responsable]]&amp;"\"&amp;Tableau1[[#This Row],[Localisation / Classement]]&amp;"\"&amp;Tableau1[[#This Row],[Poste technique]]&amp;"_"&amp;Tableau1[[#This Row],[Plan Entretien]]&amp;".pdf"</f>
        <v>\\stjn.local\trimet\Donnees_Projets\Dms Sap\Maintenance\PlanEntretien\7.MSCT\\_.pdf</v>
      </c>
      <c r="X317" s="47"/>
      <c r="Y317" s="47"/>
      <c r="Z317" s="44" t="str">
        <f ca="1">IF(AND(Tableau1[[#This Row],[Charge]]&lt;&gt;0, Tableau1[[#This Row],[Nombre intervenants]]&lt;&gt;0,Tableau1[[#This Row],[Lien document]]&lt;&gt;0,Tableau1[[#This Row],[DMS_SAP]]&lt;&gt;0)=TRUE,"MIS A JOUR","")</f>
        <v/>
      </c>
      <c r="AA317" s="48"/>
      <c r="AB317" s="58" t="str">
        <f ca="1">IF(Tableau1[[#This Row],[Date rév.]]&lt;&gt;"", DAYS360(Tableau1[[#This Row],[Date rév.]],TODAY()),"")</f>
        <v/>
      </c>
      <c r="AC317" s="47" t="str">
        <f>IFERROR(INDEX(Chemin_accès!$B$11:$C$22,MATCH(Tableau1[[#This Row],[Type]],Chemin_accès!$C$11:$C$22,0),1),Chemin_accès!$B$11)</f>
        <v>\\stjn.local\trimet\Btechnique\Commun\BT Maint SCELLEMENT\205 - Préventifs\Modèles préventif\GammeDMS_7.MSCT.xlsm</v>
      </c>
      <c r="AD317" s="47" t="str">
        <f>Chemin_accès!$B$8&amp;Tableau1[[#This Row],[Localisation / Classement]]&amp;"\"&amp;Tableau1[[#This Row],[Poste technique]]&amp;"_"&amp;Tableau1[[#This Row],[Plan Entretien]]&amp;".xlsm"</f>
        <v>\\stjn.local\trimet\Btechnique\Commun\BT Maint SCELLEMENT\205 - Préventifs\Gammes 7.MSCT PE Tool\\_.xlsm</v>
      </c>
    </row>
    <row r="318" spans="1:30" x14ac:dyDescent="0.3">
      <c r="A318" s="44" t="str">
        <f t="shared" ca="1" si="4"/>
        <v>7.MSCT</v>
      </c>
      <c r="B3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8" s="46"/>
      <c r="D318" s="44"/>
      <c r="E318" s="44"/>
      <c r="F318" s="47"/>
      <c r="G318" s="47"/>
      <c r="H318" s="50"/>
      <c r="I318" s="50"/>
      <c r="J318" s="50"/>
      <c r="K318" s="50"/>
      <c r="L318" s="46"/>
      <c r="M318" s="47"/>
      <c r="N318" s="46"/>
      <c r="O318" s="46"/>
      <c r="P318" s="47"/>
      <c r="Q318" s="46"/>
      <c r="R318" s="46"/>
      <c r="S318" s="48"/>
      <c r="T318" s="61" t="str">
        <f>IF(Tableau1[[#This Row],[DMS_SAP]]="","",HYPERLINK(Tableau1[[#This Row],[Chemin fichier source]],"X"))</f>
        <v/>
      </c>
      <c r="U318" s="61" t="str">
        <f>IF(Tableau1[[#This Row],[Date rév.]]="","",HYPERLINK(Tableau1[[#This Row],[Lien document]],"X"))</f>
        <v/>
      </c>
      <c r="V318" s="47"/>
      <c r="W318" s="49" t="str">
        <f ca="1">Chemin_accès!$B$2&amp;Tableau1[[#This Row],[Poste Responsable]]&amp;"\"&amp;Tableau1[[#This Row],[Localisation / Classement]]&amp;"\"&amp;Tableau1[[#This Row],[Poste technique]]&amp;"_"&amp;Tableau1[[#This Row],[Plan Entretien]]&amp;".pdf"</f>
        <v>\\stjn.local\trimet\Donnees_Projets\Dms Sap\Maintenance\PlanEntretien\7.MSCT\\_.pdf</v>
      </c>
      <c r="X318" s="47"/>
      <c r="Y318" s="47"/>
      <c r="Z318" s="44" t="str">
        <f ca="1">IF(AND(Tableau1[[#This Row],[Charge]]&lt;&gt;0, Tableau1[[#This Row],[Nombre intervenants]]&lt;&gt;0,Tableau1[[#This Row],[Lien document]]&lt;&gt;0,Tableau1[[#This Row],[DMS_SAP]]&lt;&gt;0)=TRUE,"MIS A JOUR","")</f>
        <v/>
      </c>
      <c r="AA318" s="48"/>
      <c r="AB318" s="58" t="str">
        <f ca="1">IF(Tableau1[[#This Row],[Date rév.]]&lt;&gt;"", DAYS360(Tableau1[[#This Row],[Date rév.]],TODAY()),"")</f>
        <v/>
      </c>
      <c r="AC318" s="47" t="str">
        <f>IFERROR(INDEX(Chemin_accès!$B$11:$C$22,MATCH(Tableau1[[#This Row],[Type]],Chemin_accès!$C$11:$C$22,0),1),Chemin_accès!$B$11)</f>
        <v>\\stjn.local\trimet\Btechnique\Commun\BT Maint SCELLEMENT\205 - Préventifs\Modèles préventif\GammeDMS_7.MSCT.xlsm</v>
      </c>
      <c r="AD318" s="47" t="str">
        <f>Chemin_accès!$B$8&amp;Tableau1[[#This Row],[Localisation / Classement]]&amp;"\"&amp;Tableau1[[#This Row],[Poste technique]]&amp;"_"&amp;Tableau1[[#This Row],[Plan Entretien]]&amp;".xlsm"</f>
        <v>\\stjn.local\trimet\Btechnique\Commun\BT Maint SCELLEMENT\205 - Préventifs\Gammes 7.MSCT PE Tool\\_.xlsm</v>
      </c>
    </row>
    <row r="319" spans="1:30" x14ac:dyDescent="0.3">
      <c r="A319" s="44" t="str">
        <f t="shared" ca="1" si="4"/>
        <v>7.MSCT</v>
      </c>
      <c r="B3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19" s="46"/>
      <c r="D319" s="44"/>
      <c r="E319" s="44"/>
      <c r="F319" s="47"/>
      <c r="G319" s="47"/>
      <c r="H319" s="50"/>
      <c r="I319" s="50"/>
      <c r="J319" s="50"/>
      <c r="K319" s="50"/>
      <c r="L319" s="46"/>
      <c r="M319" s="47"/>
      <c r="N319" s="46"/>
      <c r="O319" s="46"/>
      <c r="P319" s="47"/>
      <c r="Q319" s="46"/>
      <c r="R319" s="46"/>
      <c r="S319" s="48"/>
      <c r="T319" s="61" t="str">
        <f>IF(Tableau1[[#This Row],[DMS_SAP]]="","",HYPERLINK(Tableau1[[#This Row],[Chemin fichier source]],"X"))</f>
        <v/>
      </c>
      <c r="U319" s="61" t="str">
        <f>IF(Tableau1[[#This Row],[Date rév.]]="","",HYPERLINK(Tableau1[[#This Row],[Lien document]],"X"))</f>
        <v/>
      </c>
      <c r="V319" s="47"/>
      <c r="W319" s="49" t="str">
        <f ca="1">Chemin_accès!$B$2&amp;Tableau1[[#This Row],[Poste Responsable]]&amp;"\"&amp;Tableau1[[#This Row],[Localisation / Classement]]&amp;"\"&amp;Tableau1[[#This Row],[Poste technique]]&amp;"_"&amp;Tableau1[[#This Row],[Plan Entretien]]&amp;".pdf"</f>
        <v>\\stjn.local\trimet\Donnees_Projets\Dms Sap\Maintenance\PlanEntretien\7.MSCT\\_.pdf</v>
      </c>
      <c r="X319" s="47"/>
      <c r="Y319" s="47"/>
      <c r="Z319" s="44" t="str">
        <f ca="1">IF(AND(Tableau1[[#This Row],[Charge]]&lt;&gt;0, Tableau1[[#This Row],[Nombre intervenants]]&lt;&gt;0,Tableau1[[#This Row],[Lien document]]&lt;&gt;0,Tableau1[[#This Row],[DMS_SAP]]&lt;&gt;0)=TRUE,"MIS A JOUR","")</f>
        <v/>
      </c>
      <c r="AA319" s="48"/>
      <c r="AB319" s="58" t="str">
        <f ca="1">IF(Tableau1[[#This Row],[Date rév.]]&lt;&gt;"", DAYS360(Tableau1[[#This Row],[Date rév.]],TODAY()),"")</f>
        <v/>
      </c>
      <c r="AC319" s="47" t="str">
        <f>IFERROR(INDEX(Chemin_accès!$B$11:$C$22,MATCH(Tableau1[[#This Row],[Type]],Chemin_accès!$C$11:$C$22,0),1),Chemin_accès!$B$11)</f>
        <v>\\stjn.local\trimet\Btechnique\Commun\BT Maint SCELLEMENT\205 - Préventifs\Modèles préventif\GammeDMS_7.MSCT.xlsm</v>
      </c>
      <c r="AD319" s="47" t="str">
        <f>Chemin_accès!$B$8&amp;Tableau1[[#This Row],[Localisation / Classement]]&amp;"\"&amp;Tableau1[[#This Row],[Poste technique]]&amp;"_"&amp;Tableau1[[#This Row],[Plan Entretien]]&amp;".xlsm"</f>
        <v>\\stjn.local\trimet\Btechnique\Commun\BT Maint SCELLEMENT\205 - Préventifs\Gammes 7.MSCT PE Tool\\_.xlsm</v>
      </c>
    </row>
    <row r="320" spans="1:30" x14ac:dyDescent="0.3">
      <c r="A320" s="44" t="str">
        <f t="shared" ca="1" si="4"/>
        <v>7.MSCT</v>
      </c>
      <c r="B3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0" s="46"/>
      <c r="D320" s="44"/>
      <c r="E320" s="44"/>
      <c r="F320" s="47"/>
      <c r="G320" s="47"/>
      <c r="H320" s="50"/>
      <c r="I320" s="50"/>
      <c r="J320" s="50"/>
      <c r="K320" s="50"/>
      <c r="L320" s="46"/>
      <c r="M320" s="47"/>
      <c r="N320" s="46"/>
      <c r="O320" s="46"/>
      <c r="P320" s="47"/>
      <c r="Q320" s="46"/>
      <c r="R320" s="46"/>
      <c r="S320" s="48"/>
      <c r="T320" s="61" t="str">
        <f>IF(Tableau1[[#This Row],[DMS_SAP]]="","",HYPERLINK(Tableau1[[#This Row],[Chemin fichier source]],"X"))</f>
        <v/>
      </c>
      <c r="U320" s="61" t="str">
        <f>IF(Tableau1[[#This Row],[Date rév.]]="","",HYPERLINK(Tableau1[[#This Row],[Lien document]],"X"))</f>
        <v/>
      </c>
      <c r="V320" s="47"/>
      <c r="W320" s="49" t="str">
        <f ca="1">Chemin_accès!$B$2&amp;Tableau1[[#This Row],[Poste Responsable]]&amp;"\"&amp;Tableau1[[#This Row],[Localisation / Classement]]&amp;"\"&amp;Tableau1[[#This Row],[Poste technique]]&amp;"_"&amp;Tableau1[[#This Row],[Plan Entretien]]&amp;".pdf"</f>
        <v>\\stjn.local\trimet\Donnees_Projets\Dms Sap\Maintenance\PlanEntretien\7.MSCT\\_.pdf</v>
      </c>
      <c r="X320" s="47"/>
      <c r="Y320" s="47"/>
      <c r="Z320" s="44" t="str">
        <f ca="1">IF(AND(Tableau1[[#This Row],[Charge]]&lt;&gt;0, Tableau1[[#This Row],[Nombre intervenants]]&lt;&gt;0,Tableau1[[#This Row],[Lien document]]&lt;&gt;0,Tableau1[[#This Row],[DMS_SAP]]&lt;&gt;0)=TRUE,"MIS A JOUR","")</f>
        <v/>
      </c>
      <c r="AA320" s="48"/>
      <c r="AB320" s="58" t="str">
        <f ca="1">IF(Tableau1[[#This Row],[Date rév.]]&lt;&gt;"", DAYS360(Tableau1[[#This Row],[Date rév.]],TODAY()),"")</f>
        <v/>
      </c>
      <c r="AC320" s="47" t="str">
        <f>IFERROR(INDEX(Chemin_accès!$B$11:$C$22,MATCH(Tableau1[[#This Row],[Type]],Chemin_accès!$C$11:$C$22,0),1),Chemin_accès!$B$11)</f>
        <v>\\stjn.local\trimet\Btechnique\Commun\BT Maint SCELLEMENT\205 - Préventifs\Modèles préventif\GammeDMS_7.MSCT.xlsm</v>
      </c>
      <c r="AD320" s="47" t="str">
        <f>Chemin_accès!$B$8&amp;Tableau1[[#This Row],[Localisation / Classement]]&amp;"\"&amp;Tableau1[[#This Row],[Poste technique]]&amp;"_"&amp;Tableau1[[#This Row],[Plan Entretien]]&amp;".xlsm"</f>
        <v>\\stjn.local\trimet\Btechnique\Commun\BT Maint SCELLEMENT\205 - Préventifs\Gammes 7.MSCT PE Tool\\_.xlsm</v>
      </c>
    </row>
    <row r="321" spans="1:30" x14ac:dyDescent="0.3">
      <c r="A321" s="44" t="str">
        <f t="shared" ca="1" si="4"/>
        <v>7.MSCT</v>
      </c>
      <c r="B3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1" s="46"/>
      <c r="D321" s="44"/>
      <c r="E321" s="44"/>
      <c r="F321" s="47"/>
      <c r="G321" s="47"/>
      <c r="H321" s="50"/>
      <c r="I321" s="50"/>
      <c r="J321" s="50"/>
      <c r="K321" s="50"/>
      <c r="L321" s="46"/>
      <c r="M321" s="47"/>
      <c r="N321" s="46"/>
      <c r="O321" s="46"/>
      <c r="P321" s="47"/>
      <c r="Q321" s="46"/>
      <c r="R321" s="46"/>
      <c r="S321" s="48"/>
      <c r="T321" s="61" t="str">
        <f>IF(Tableau1[[#This Row],[DMS_SAP]]="","",HYPERLINK(Tableau1[[#This Row],[Chemin fichier source]],"X"))</f>
        <v/>
      </c>
      <c r="U321" s="61" t="str">
        <f>IF(Tableau1[[#This Row],[Date rév.]]="","",HYPERLINK(Tableau1[[#This Row],[Lien document]],"X"))</f>
        <v/>
      </c>
      <c r="V321" s="47"/>
      <c r="W321" s="49" t="str">
        <f ca="1">Chemin_accès!$B$2&amp;Tableau1[[#This Row],[Poste Responsable]]&amp;"\"&amp;Tableau1[[#This Row],[Localisation / Classement]]&amp;"\"&amp;Tableau1[[#This Row],[Poste technique]]&amp;"_"&amp;Tableau1[[#This Row],[Plan Entretien]]&amp;".pdf"</f>
        <v>\\stjn.local\trimet\Donnees_Projets\Dms Sap\Maintenance\PlanEntretien\7.MSCT\\_.pdf</v>
      </c>
      <c r="X321" s="47"/>
      <c r="Y321" s="47"/>
      <c r="Z321" s="44" t="str">
        <f ca="1">IF(AND(Tableau1[[#This Row],[Charge]]&lt;&gt;0, Tableau1[[#This Row],[Nombre intervenants]]&lt;&gt;0,Tableau1[[#This Row],[Lien document]]&lt;&gt;0,Tableau1[[#This Row],[DMS_SAP]]&lt;&gt;0)=TRUE,"MIS A JOUR","")</f>
        <v/>
      </c>
      <c r="AA321" s="48"/>
      <c r="AB321" s="58" t="str">
        <f ca="1">IF(Tableau1[[#This Row],[Date rév.]]&lt;&gt;"", DAYS360(Tableau1[[#This Row],[Date rév.]],TODAY()),"")</f>
        <v/>
      </c>
      <c r="AC321" s="47" t="str">
        <f>IFERROR(INDEX(Chemin_accès!$B$11:$C$22,MATCH(Tableau1[[#This Row],[Type]],Chemin_accès!$C$11:$C$22,0),1),Chemin_accès!$B$11)</f>
        <v>\\stjn.local\trimet\Btechnique\Commun\BT Maint SCELLEMENT\205 - Préventifs\Modèles préventif\GammeDMS_7.MSCT.xlsm</v>
      </c>
      <c r="AD321" s="47" t="str">
        <f>Chemin_accès!$B$8&amp;Tableau1[[#This Row],[Localisation / Classement]]&amp;"\"&amp;Tableau1[[#This Row],[Poste technique]]&amp;"_"&amp;Tableau1[[#This Row],[Plan Entretien]]&amp;".xlsm"</f>
        <v>\\stjn.local\trimet\Btechnique\Commun\BT Maint SCELLEMENT\205 - Préventifs\Gammes 7.MSCT PE Tool\\_.xlsm</v>
      </c>
    </row>
    <row r="322" spans="1:30" x14ac:dyDescent="0.3">
      <c r="A322" s="44" t="str">
        <f t="shared" ref="A322:A385" ca="1" si="5">MID(CELL("filename",$A$1),FIND("]",CELL("filename",$A$1))+1,32)</f>
        <v>7.MSCT</v>
      </c>
      <c r="B3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2" s="46"/>
      <c r="D322" s="44"/>
      <c r="E322" s="44"/>
      <c r="F322" s="47"/>
      <c r="G322" s="47"/>
      <c r="H322" s="50"/>
      <c r="I322" s="50"/>
      <c r="J322" s="50"/>
      <c r="K322" s="50"/>
      <c r="L322" s="46"/>
      <c r="M322" s="47"/>
      <c r="N322" s="46"/>
      <c r="O322" s="46"/>
      <c r="P322" s="47"/>
      <c r="Q322" s="46"/>
      <c r="R322" s="46"/>
      <c r="S322" s="48"/>
      <c r="T322" s="61" t="str">
        <f>IF(Tableau1[[#This Row],[DMS_SAP]]="","",HYPERLINK(Tableau1[[#This Row],[Chemin fichier source]],"X"))</f>
        <v/>
      </c>
      <c r="U322" s="61" t="str">
        <f>IF(Tableau1[[#This Row],[Date rév.]]="","",HYPERLINK(Tableau1[[#This Row],[Lien document]],"X"))</f>
        <v/>
      </c>
      <c r="V322" s="47"/>
      <c r="W322" s="49" t="str">
        <f ca="1">Chemin_accès!$B$2&amp;Tableau1[[#This Row],[Poste Responsable]]&amp;"\"&amp;Tableau1[[#This Row],[Localisation / Classement]]&amp;"\"&amp;Tableau1[[#This Row],[Poste technique]]&amp;"_"&amp;Tableau1[[#This Row],[Plan Entretien]]&amp;".pdf"</f>
        <v>\\stjn.local\trimet\Donnees_Projets\Dms Sap\Maintenance\PlanEntretien\7.MSCT\\_.pdf</v>
      </c>
      <c r="X322" s="47"/>
      <c r="Y322" s="47"/>
      <c r="Z322" s="44" t="str">
        <f ca="1">IF(AND(Tableau1[[#This Row],[Charge]]&lt;&gt;0, Tableau1[[#This Row],[Nombre intervenants]]&lt;&gt;0,Tableau1[[#This Row],[Lien document]]&lt;&gt;0,Tableau1[[#This Row],[DMS_SAP]]&lt;&gt;0)=TRUE,"MIS A JOUR","")</f>
        <v/>
      </c>
      <c r="AA322" s="48"/>
      <c r="AB322" s="58" t="str">
        <f ca="1">IF(Tableau1[[#This Row],[Date rév.]]&lt;&gt;"", DAYS360(Tableau1[[#This Row],[Date rév.]],TODAY()),"")</f>
        <v/>
      </c>
      <c r="AC322" s="47" t="str">
        <f>IFERROR(INDEX(Chemin_accès!$B$11:$C$22,MATCH(Tableau1[[#This Row],[Type]],Chemin_accès!$C$11:$C$22,0),1),Chemin_accès!$B$11)</f>
        <v>\\stjn.local\trimet\Btechnique\Commun\BT Maint SCELLEMENT\205 - Préventifs\Modèles préventif\GammeDMS_7.MSCT.xlsm</v>
      </c>
      <c r="AD322" s="47" t="str">
        <f>Chemin_accès!$B$8&amp;Tableau1[[#This Row],[Localisation / Classement]]&amp;"\"&amp;Tableau1[[#This Row],[Poste technique]]&amp;"_"&amp;Tableau1[[#This Row],[Plan Entretien]]&amp;".xlsm"</f>
        <v>\\stjn.local\trimet\Btechnique\Commun\BT Maint SCELLEMENT\205 - Préventifs\Gammes 7.MSCT PE Tool\\_.xlsm</v>
      </c>
    </row>
    <row r="323" spans="1:30" x14ac:dyDescent="0.3">
      <c r="A323" s="44" t="str">
        <f t="shared" ca="1" si="5"/>
        <v>7.MSCT</v>
      </c>
      <c r="B3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3" s="46"/>
      <c r="D323" s="44"/>
      <c r="E323" s="44"/>
      <c r="F323" s="47"/>
      <c r="G323" s="47"/>
      <c r="H323" s="50"/>
      <c r="I323" s="50"/>
      <c r="J323" s="50"/>
      <c r="K323" s="50"/>
      <c r="L323" s="46"/>
      <c r="M323" s="47"/>
      <c r="N323" s="46"/>
      <c r="O323" s="46"/>
      <c r="P323" s="47"/>
      <c r="Q323" s="46"/>
      <c r="R323" s="46"/>
      <c r="S323" s="48"/>
      <c r="T323" s="61" t="str">
        <f>IF(Tableau1[[#This Row],[DMS_SAP]]="","",HYPERLINK(Tableau1[[#This Row],[Chemin fichier source]],"X"))</f>
        <v/>
      </c>
      <c r="U323" s="61" t="str">
        <f>IF(Tableau1[[#This Row],[Date rév.]]="","",HYPERLINK(Tableau1[[#This Row],[Lien document]],"X"))</f>
        <v/>
      </c>
      <c r="V323" s="47"/>
      <c r="W323" s="49" t="str">
        <f ca="1">Chemin_accès!$B$2&amp;Tableau1[[#This Row],[Poste Responsable]]&amp;"\"&amp;Tableau1[[#This Row],[Localisation / Classement]]&amp;"\"&amp;Tableau1[[#This Row],[Poste technique]]&amp;"_"&amp;Tableau1[[#This Row],[Plan Entretien]]&amp;".pdf"</f>
        <v>\\stjn.local\trimet\Donnees_Projets\Dms Sap\Maintenance\PlanEntretien\7.MSCT\\_.pdf</v>
      </c>
      <c r="X323" s="47"/>
      <c r="Y323" s="47"/>
      <c r="Z323" s="44" t="str">
        <f ca="1">IF(AND(Tableau1[[#This Row],[Charge]]&lt;&gt;0, Tableau1[[#This Row],[Nombre intervenants]]&lt;&gt;0,Tableau1[[#This Row],[Lien document]]&lt;&gt;0,Tableau1[[#This Row],[DMS_SAP]]&lt;&gt;0)=TRUE,"MIS A JOUR","")</f>
        <v/>
      </c>
      <c r="AA323" s="48"/>
      <c r="AB323" s="58" t="str">
        <f ca="1">IF(Tableau1[[#This Row],[Date rév.]]&lt;&gt;"", DAYS360(Tableau1[[#This Row],[Date rév.]],TODAY()),"")</f>
        <v/>
      </c>
      <c r="AC323" s="47" t="str">
        <f>IFERROR(INDEX(Chemin_accès!$B$11:$C$22,MATCH(Tableau1[[#This Row],[Type]],Chemin_accès!$C$11:$C$22,0),1),Chemin_accès!$B$11)</f>
        <v>\\stjn.local\trimet\Btechnique\Commun\BT Maint SCELLEMENT\205 - Préventifs\Modèles préventif\GammeDMS_7.MSCT.xlsm</v>
      </c>
      <c r="AD323" s="47" t="str">
        <f>Chemin_accès!$B$8&amp;Tableau1[[#This Row],[Localisation / Classement]]&amp;"\"&amp;Tableau1[[#This Row],[Poste technique]]&amp;"_"&amp;Tableau1[[#This Row],[Plan Entretien]]&amp;".xlsm"</f>
        <v>\\stjn.local\trimet\Btechnique\Commun\BT Maint SCELLEMENT\205 - Préventifs\Gammes 7.MSCT PE Tool\\_.xlsm</v>
      </c>
    </row>
    <row r="324" spans="1:30" x14ac:dyDescent="0.3">
      <c r="A324" s="44" t="str">
        <f t="shared" ca="1" si="5"/>
        <v>7.MSCT</v>
      </c>
      <c r="B3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4" s="46"/>
      <c r="D324" s="44"/>
      <c r="E324" s="44"/>
      <c r="F324" s="47"/>
      <c r="G324" s="47"/>
      <c r="H324" s="50"/>
      <c r="I324" s="50"/>
      <c r="J324" s="50"/>
      <c r="K324" s="50"/>
      <c r="L324" s="46"/>
      <c r="M324" s="47"/>
      <c r="N324" s="46"/>
      <c r="O324" s="46"/>
      <c r="P324" s="47"/>
      <c r="Q324" s="46"/>
      <c r="R324" s="46"/>
      <c r="S324" s="48"/>
      <c r="T324" s="61" t="str">
        <f>IF(Tableau1[[#This Row],[DMS_SAP]]="","",HYPERLINK(Tableau1[[#This Row],[Chemin fichier source]],"X"))</f>
        <v/>
      </c>
      <c r="U324" s="61" t="str">
        <f>IF(Tableau1[[#This Row],[Date rév.]]="","",HYPERLINK(Tableau1[[#This Row],[Lien document]],"X"))</f>
        <v/>
      </c>
      <c r="V324" s="47"/>
      <c r="W324" s="49" t="str">
        <f ca="1">Chemin_accès!$B$2&amp;Tableau1[[#This Row],[Poste Responsable]]&amp;"\"&amp;Tableau1[[#This Row],[Localisation / Classement]]&amp;"\"&amp;Tableau1[[#This Row],[Poste technique]]&amp;"_"&amp;Tableau1[[#This Row],[Plan Entretien]]&amp;".pdf"</f>
        <v>\\stjn.local\trimet\Donnees_Projets\Dms Sap\Maintenance\PlanEntretien\7.MSCT\\_.pdf</v>
      </c>
      <c r="X324" s="47"/>
      <c r="Y324" s="47"/>
      <c r="Z324" s="44" t="str">
        <f ca="1">IF(AND(Tableau1[[#This Row],[Charge]]&lt;&gt;0, Tableau1[[#This Row],[Nombre intervenants]]&lt;&gt;0,Tableau1[[#This Row],[Lien document]]&lt;&gt;0,Tableau1[[#This Row],[DMS_SAP]]&lt;&gt;0)=TRUE,"MIS A JOUR","")</f>
        <v/>
      </c>
      <c r="AA324" s="48"/>
      <c r="AB324" s="58" t="str">
        <f ca="1">IF(Tableau1[[#This Row],[Date rév.]]&lt;&gt;"", DAYS360(Tableau1[[#This Row],[Date rév.]],TODAY()),"")</f>
        <v/>
      </c>
      <c r="AC324" s="47" t="str">
        <f>IFERROR(INDEX(Chemin_accès!$B$11:$C$22,MATCH(Tableau1[[#This Row],[Type]],Chemin_accès!$C$11:$C$22,0),1),Chemin_accès!$B$11)</f>
        <v>\\stjn.local\trimet\Btechnique\Commun\BT Maint SCELLEMENT\205 - Préventifs\Modèles préventif\GammeDMS_7.MSCT.xlsm</v>
      </c>
      <c r="AD324" s="47" t="str">
        <f>Chemin_accès!$B$8&amp;Tableau1[[#This Row],[Localisation / Classement]]&amp;"\"&amp;Tableau1[[#This Row],[Poste technique]]&amp;"_"&amp;Tableau1[[#This Row],[Plan Entretien]]&amp;".xlsm"</f>
        <v>\\stjn.local\trimet\Btechnique\Commun\BT Maint SCELLEMENT\205 - Préventifs\Gammes 7.MSCT PE Tool\\_.xlsm</v>
      </c>
    </row>
    <row r="325" spans="1:30" x14ac:dyDescent="0.3">
      <c r="A325" s="44" t="str">
        <f t="shared" ca="1" si="5"/>
        <v>7.MSCT</v>
      </c>
      <c r="B3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5" s="46"/>
      <c r="D325" s="44"/>
      <c r="E325" s="44"/>
      <c r="F325" s="47"/>
      <c r="G325" s="47"/>
      <c r="H325" s="50"/>
      <c r="I325" s="50"/>
      <c r="J325" s="50"/>
      <c r="K325" s="50"/>
      <c r="L325" s="46"/>
      <c r="M325" s="47"/>
      <c r="N325" s="46"/>
      <c r="O325" s="46"/>
      <c r="P325" s="47"/>
      <c r="Q325" s="46"/>
      <c r="R325" s="46"/>
      <c r="S325" s="48"/>
      <c r="T325" s="61" t="str">
        <f>IF(Tableau1[[#This Row],[DMS_SAP]]="","",HYPERLINK(Tableau1[[#This Row],[Chemin fichier source]],"X"))</f>
        <v/>
      </c>
      <c r="U325" s="61" t="str">
        <f>IF(Tableau1[[#This Row],[Date rév.]]="","",HYPERLINK(Tableau1[[#This Row],[Lien document]],"X"))</f>
        <v/>
      </c>
      <c r="V325" s="47"/>
      <c r="W325" s="49" t="str">
        <f ca="1">Chemin_accès!$B$2&amp;Tableau1[[#This Row],[Poste Responsable]]&amp;"\"&amp;Tableau1[[#This Row],[Localisation / Classement]]&amp;"\"&amp;Tableau1[[#This Row],[Poste technique]]&amp;"_"&amp;Tableau1[[#This Row],[Plan Entretien]]&amp;".pdf"</f>
        <v>\\stjn.local\trimet\Donnees_Projets\Dms Sap\Maintenance\PlanEntretien\7.MSCT\\_.pdf</v>
      </c>
      <c r="X325" s="47"/>
      <c r="Y325" s="47"/>
      <c r="Z325" s="44" t="str">
        <f ca="1">IF(AND(Tableau1[[#This Row],[Charge]]&lt;&gt;0, Tableau1[[#This Row],[Nombre intervenants]]&lt;&gt;0,Tableau1[[#This Row],[Lien document]]&lt;&gt;0,Tableau1[[#This Row],[DMS_SAP]]&lt;&gt;0)=TRUE,"MIS A JOUR","")</f>
        <v/>
      </c>
      <c r="AA325" s="48"/>
      <c r="AB325" s="58" t="str">
        <f ca="1">IF(Tableau1[[#This Row],[Date rév.]]&lt;&gt;"", DAYS360(Tableau1[[#This Row],[Date rév.]],TODAY()),"")</f>
        <v/>
      </c>
      <c r="AC325" s="47" t="str">
        <f>IFERROR(INDEX(Chemin_accès!$B$11:$C$22,MATCH(Tableau1[[#This Row],[Type]],Chemin_accès!$C$11:$C$22,0),1),Chemin_accès!$B$11)</f>
        <v>\\stjn.local\trimet\Btechnique\Commun\BT Maint SCELLEMENT\205 - Préventifs\Modèles préventif\GammeDMS_7.MSCT.xlsm</v>
      </c>
      <c r="AD325" s="47" t="str">
        <f>Chemin_accès!$B$8&amp;Tableau1[[#This Row],[Localisation / Classement]]&amp;"\"&amp;Tableau1[[#This Row],[Poste technique]]&amp;"_"&amp;Tableau1[[#This Row],[Plan Entretien]]&amp;".xlsm"</f>
        <v>\\stjn.local\trimet\Btechnique\Commun\BT Maint SCELLEMENT\205 - Préventifs\Gammes 7.MSCT PE Tool\\_.xlsm</v>
      </c>
    </row>
    <row r="326" spans="1:30" x14ac:dyDescent="0.3">
      <c r="A326" s="44" t="str">
        <f t="shared" ca="1" si="5"/>
        <v>7.MSCT</v>
      </c>
      <c r="B3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6" s="46"/>
      <c r="D326" s="44"/>
      <c r="E326" s="44"/>
      <c r="F326" s="47"/>
      <c r="G326" s="47"/>
      <c r="H326" s="50"/>
      <c r="I326" s="50"/>
      <c r="J326" s="50"/>
      <c r="K326" s="50"/>
      <c r="L326" s="46"/>
      <c r="M326" s="47"/>
      <c r="N326" s="46"/>
      <c r="O326" s="46"/>
      <c r="P326" s="47"/>
      <c r="Q326" s="46"/>
      <c r="R326" s="46"/>
      <c r="S326" s="48"/>
      <c r="T326" s="61" t="str">
        <f>IF(Tableau1[[#This Row],[DMS_SAP]]="","",HYPERLINK(Tableau1[[#This Row],[Chemin fichier source]],"X"))</f>
        <v/>
      </c>
      <c r="U326" s="61" t="str">
        <f>IF(Tableau1[[#This Row],[Date rév.]]="","",HYPERLINK(Tableau1[[#This Row],[Lien document]],"X"))</f>
        <v/>
      </c>
      <c r="V326" s="47"/>
      <c r="W326" s="49" t="str">
        <f ca="1">Chemin_accès!$B$2&amp;Tableau1[[#This Row],[Poste Responsable]]&amp;"\"&amp;Tableau1[[#This Row],[Localisation / Classement]]&amp;"\"&amp;Tableau1[[#This Row],[Poste technique]]&amp;"_"&amp;Tableau1[[#This Row],[Plan Entretien]]&amp;".pdf"</f>
        <v>\\stjn.local\trimet\Donnees_Projets\Dms Sap\Maintenance\PlanEntretien\7.MSCT\\_.pdf</v>
      </c>
      <c r="X326" s="47"/>
      <c r="Y326" s="47"/>
      <c r="Z326" s="44" t="str">
        <f ca="1">IF(AND(Tableau1[[#This Row],[Charge]]&lt;&gt;0, Tableau1[[#This Row],[Nombre intervenants]]&lt;&gt;0,Tableau1[[#This Row],[Lien document]]&lt;&gt;0,Tableau1[[#This Row],[DMS_SAP]]&lt;&gt;0)=TRUE,"MIS A JOUR","")</f>
        <v/>
      </c>
      <c r="AA326" s="48"/>
      <c r="AB326" s="58" t="str">
        <f ca="1">IF(Tableau1[[#This Row],[Date rév.]]&lt;&gt;"", DAYS360(Tableau1[[#This Row],[Date rév.]],TODAY()),"")</f>
        <v/>
      </c>
      <c r="AC326" s="47" t="str">
        <f>IFERROR(INDEX(Chemin_accès!$B$11:$C$22,MATCH(Tableau1[[#This Row],[Type]],Chemin_accès!$C$11:$C$22,0),1),Chemin_accès!$B$11)</f>
        <v>\\stjn.local\trimet\Btechnique\Commun\BT Maint SCELLEMENT\205 - Préventifs\Modèles préventif\GammeDMS_7.MSCT.xlsm</v>
      </c>
      <c r="AD326" s="47" t="str">
        <f>Chemin_accès!$B$8&amp;Tableau1[[#This Row],[Localisation / Classement]]&amp;"\"&amp;Tableau1[[#This Row],[Poste technique]]&amp;"_"&amp;Tableau1[[#This Row],[Plan Entretien]]&amp;".xlsm"</f>
        <v>\\stjn.local\trimet\Btechnique\Commun\BT Maint SCELLEMENT\205 - Préventifs\Gammes 7.MSCT PE Tool\\_.xlsm</v>
      </c>
    </row>
    <row r="327" spans="1:30" x14ac:dyDescent="0.3">
      <c r="A327" s="44" t="str">
        <f t="shared" ca="1" si="5"/>
        <v>7.MSCT</v>
      </c>
      <c r="B3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7" s="46"/>
      <c r="D327" s="44"/>
      <c r="E327" s="44"/>
      <c r="F327" s="47"/>
      <c r="G327" s="47"/>
      <c r="H327" s="50"/>
      <c r="I327" s="50"/>
      <c r="J327" s="50"/>
      <c r="K327" s="50"/>
      <c r="L327" s="46"/>
      <c r="M327" s="47"/>
      <c r="N327" s="46"/>
      <c r="O327" s="46"/>
      <c r="P327" s="47"/>
      <c r="Q327" s="46"/>
      <c r="R327" s="46"/>
      <c r="S327" s="48"/>
      <c r="T327" s="61" t="str">
        <f>IF(Tableau1[[#This Row],[DMS_SAP]]="","",HYPERLINK(Tableau1[[#This Row],[Chemin fichier source]],"X"))</f>
        <v/>
      </c>
      <c r="U327" s="61" t="str">
        <f>IF(Tableau1[[#This Row],[Date rév.]]="","",HYPERLINK(Tableau1[[#This Row],[Lien document]],"X"))</f>
        <v/>
      </c>
      <c r="V327" s="47"/>
      <c r="W327" s="49" t="str">
        <f ca="1">Chemin_accès!$B$2&amp;Tableau1[[#This Row],[Poste Responsable]]&amp;"\"&amp;Tableau1[[#This Row],[Localisation / Classement]]&amp;"\"&amp;Tableau1[[#This Row],[Poste technique]]&amp;"_"&amp;Tableau1[[#This Row],[Plan Entretien]]&amp;".pdf"</f>
        <v>\\stjn.local\trimet\Donnees_Projets\Dms Sap\Maintenance\PlanEntretien\7.MSCT\\_.pdf</v>
      </c>
      <c r="X327" s="47"/>
      <c r="Y327" s="47"/>
      <c r="Z327" s="44" t="str">
        <f ca="1">IF(AND(Tableau1[[#This Row],[Charge]]&lt;&gt;0, Tableau1[[#This Row],[Nombre intervenants]]&lt;&gt;0,Tableau1[[#This Row],[Lien document]]&lt;&gt;0,Tableau1[[#This Row],[DMS_SAP]]&lt;&gt;0)=TRUE,"MIS A JOUR","")</f>
        <v/>
      </c>
      <c r="AA327" s="48"/>
      <c r="AB327" s="58" t="str">
        <f ca="1">IF(Tableau1[[#This Row],[Date rév.]]&lt;&gt;"", DAYS360(Tableau1[[#This Row],[Date rév.]],TODAY()),"")</f>
        <v/>
      </c>
      <c r="AC327" s="47" t="str">
        <f>IFERROR(INDEX(Chemin_accès!$B$11:$C$22,MATCH(Tableau1[[#This Row],[Type]],Chemin_accès!$C$11:$C$22,0),1),Chemin_accès!$B$11)</f>
        <v>\\stjn.local\trimet\Btechnique\Commun\BT Maint SCELLEMENT\205 - Préventifs\Modèles préventif\GammeDMS_7.MSCT.xlsm</v>
      </c>
      <c r="AD327" s="47" t="str">
        <f>Chemin_accès!$B$8&amp;Tableau1[[#This Row],[Localisation / Classement]]&amp;"\"&amp;Tableau1[[#This Row],[Poste technique]]&amp;"_"&amp;Tableau1[[#This Row],[Plan Entretien]]&amp;".xlsm"</f>
        <v>\\stjn.local\trimet\Btechnique\Commun\BT Maint SCELLEMENT\205 - Préventifs\Gammes 7.MSCT PE Tool\\_.xlsm</v>
      </c>
    </row>
    <row r="328" spans="1:30" x14ac:dyDescent="0.3">
      <c r="A328" s="44" t="str">
        <f t="shared" ca="1" si="5"/>
        <v>7.MSCT</v>
      </c>
      <c r="B3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8" s="46"/>
      <c r="D328" s="44"/>
      <c r="E328" s="44"/>
      <c r="F328" s="47"/>
      <c r="G328" s="47"/>
      <c r="H328" s="50"/>
      <c r="I328" s="50"/>
      <c r="J328" s="50"/>
      <c r="K328" s="50"/>
      <c r="L328" s="46"/>
      <c r="M328" s="47"/>
      <c r="N328" s="46"/>
      <c r="O328" s="46"/>
      <c r="P328" s="47"/>
      <c r="Q328" s="46"/>
      <c r="R328" s="46"/>
      <c r="S328" s="48"/>
      <c r="T328" s="61" t="str">
        <f>IF(Tableau1[[#This Row],[DMS_SAP]]="","",HYPERLINK(Tableau1[[#This Row],[Chemin fichier source]],"X"))</f>
        <v/>
      </c>
      <c r="U328" s="61" t="str">
        <f>IF(Tableau1[[#This Row],[Date rév.]]="","",HYPERLINK(Tableau1[[#This Row],[Lien document]],"X"))</f>
        <v/>
      </c>
      <c r="V328" s="47"/>
      <c r="W328" s="49" t="str">
        <f ca="1">Chemin_accès!$B$2&amp;Tableau1[[#This Row],[Poste Responsable]]&amp;"\"&amp;Tableau1[[#This Row],[Localisation / Classement]]&amp;"\"&amp;Tableau1[[#This Row],[Poste technique]]&amp;"_"&amp;Tableau1[[#This Row],[Plan Entretien]]&amp;".pdf"</f>
        <v>\\stjn.local\trimet\Donnees_Projets\Dms Sap\Maintenance\PlanEntretien\7.MSCT\\_.pdf</v>
      </c>
      <c r="X328" s="47"/>
      <c r="Y328" s="47"/>
      <c r="Z328" s="44" t="str">
        <f ca="1">IF(AND(Tableau1[[#This Row],[Charge]]&lt;&gt;0, Tableau1[[#This Row],[Nombre intervenants]]&lt;&gt;0,Tableau1[[#This Row],[Lien document]]&lt;&gt;0,Tableau1[[#This Row],[DMS_SAP]]&lt;&gt;0)=TRUE,"MIS A JOUR","")</f>
        <v/>
      </c>
      <c r="AA328" s="48"/>
      <c r="AB328" s="58" t="str">
        <f ca="1">IF(Tableau1[[#This Row],[Date rév.]]&lt;&gt;"", DAYS360(Tableau1[[#This Row],[Date rév.]],TODAY()),"")</f>
        <v/>
      </c>
      <c r="AC328" s="47" t="str">
        <f>IFERROR(INDEX(Chemin_accès!$B$11:$C$22,MATCH(Tableau1[[#This Row],[Type]],Chemin_accès!$C$11:$C$22,0),1),Chemin_accès!$B$11)</f>
        <v>\\stjn.local\trimet\Btechnique\Commun\BT Maint SCELLEMENT\205 - Préventifs\Modèles préventif\GammeDMS_7.MSCT.xlsm</v>
      </c>
      <c r="AD328" s="47" t="str">
        <f>Chemin_accès!$B$8&amp;Tableau1[[#This Row],[Localisation / Classement]]&amp;"\"&amp;Tableau1[[#This Row],[Poste technique]]&amp;"_"&amp;Tableau1[[#This Row],[Plan Entretien]]&amp;".xlsm"</f>
        <v>\\stjn.local\trimet\Btechnique\Commun\BT Maint SCELLEMENT\205 - Préventifs\Gammes 7.MSCT PE Tool\\_.xlsm</v>
      </c>
    </row>
    <row r="329" spans="1:30" x14ac:dyDescent="0.3">
      <c r="A329" s="44" t="str">
        <f t="shared" ca="1" si="5"/>
        <v>7.MSCT</v>
      </c>
      <c r="B3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9" s="46"/>
      <c r="D329" s="44"/>
      <c r="E329" s="44"/>
      <c r="F329" s="47"/>
      <c r="G329" s="47"/>
      <c r="H329" s="50"/>
      <c r="I329" s="50"/>
      <c r="J329" s="50"/>
      <c r="K329" s="50"/>
      <c r="L329" s="46"/>
      <c r="M329" s="47"/>
      <c r="N329" s="46"/>
      <c r="O329" s="46"/>
      <c r="P329" s="47"/>
      <c r="Q329" s="46"/>
      <c r="R329" s="46"/>
      <c r="S329" s="48"/>
      <c r="T329" s="61" t="str">
        <f>IF(Tableau1[[#This Row],[DMS_SAP]]="","",HYPERLINK(Tableau1[[#This Row],[Chemin fichier source]],"X"))</f>
        <v/>
      </c>
      <c r="U329" s="61" t="str">
        <f>IF(Tableau1[[#This Row],[Date rév.]]="","",HYPERLINK(Tableau1[[#This Row],[Lien document]],"X"))</f>
        <v/>
      </c>
      <c r="V329" s="47"/>
      <c r="W329" s="49" t="str">
        <f ca="1">Chemin_accès!$B$2&amp;Tableau1[[#This Row],[Poste Responsable]]&amp;"\"&amp;Tableau1[[#This Row],[Localisation / Classement]]&amp;"\"&amp;Tableau1[[#This Row],[Poste technique]]&amp;"_"&amp;Tableau1[[#This Row],[Plan Entretien]]&amp;".pdf"</f>
        <v>\\stjn.local\trimet\Donnees_Projets\Dms Sap\Maintenance\PlanEntretien\7.MSCT\\_.pdf</v>
      </c>
      <c r="X329" s="47"/>
      <c r="Y329" s="47"/>
      <c r="Z329" s="44" t="str">
        <f ca="1">IF(AND(Tableau1[[#This Row],[Charge]]&lt;&gt;0, Tableau1[[#This Row],[Nombre intervenants]]&lt;&gt;0,Tableau1[[#This Row],[Lien document]]&lt;&gt;0,Tableau1[[#This Row],[DMS_SAP]]&lt;&gt;0)=TRUE,"MIS A JOUR","")</f>
        <v/>
      </c>
      <c r="AA329" s="48"/>
      <c r="AB329" s="58" t="str">
        <f ca="1">IF(Tableau1[[#This Row],[Date rév.]]&lt;&gt;"", DAYS360(Tableau1[[#This Row],[Date rév.]],TODAY()),"")</f>
        <v/>
      </c>
      <c r="AC329" s="47" t="str">
        <f>IFERROR(INDEX(Chemin_accès!$B$11:$C$22,MATCH(Tableau1[[#This Row],[Type]],Chemin_accès!$C$11:$C$22,0),1),Chemin_accès!$B$11)</f>
        <v>\\stjn.local\trimet\Btechnique\Commun\BT Maint SCELLEMENT\205 - Préventifs\Modèles préventif\GammeDMS_7.MSCT.xlsm</v>
      </c>
      <c r="AD329" s="47" t="str">
        <f>Chemin_accès!$B$8&amp;Tableau1[[#This Row],[Localisation / Classement]]&amp;"\"&amp;Tableau1[[#This Row],[Poste technique]]&amp;"_"&amp;Tableau1[[#This Row],[Plan Entretien]]&amp;".xlsm"</f>
        <v>\\stjn.local\trimet\Btechnique\Commun\BT Maint SCELLEMENT\205 - Préventifs\Gammes 7.MSCT PE Tool\\_.xlsm</v>
      </c>
    </row>
    <row r="330" spans="1:30" x14ac:dyDescent="0.3">
      <c r="A330" s="44" t="str">
        <f t="shared" ca="1" si="5"/>
        <v>7.MSCT</v>
      </c>
      <c r="B3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0" s="46"/>
      <c r="D330" s="44"/>
      <c r="E330" s="44"/>
      <c r="F330" s="47"/>
      <c r="G330" s="47"/>
      <c r="H330" s="50"/>
      <c r="I330" s="50"/>
      <c r="J330" s="50"/>
      <c r="K330" s="50"/>
      <c r="L330" s="46"/>
      <c r="M330" s="47"/>
      <c r="N330" s="46"/>
      <c r="O330" s="46"/>
      <c r="P330" s="47"/>
      <c r="Q330" s="46"/>
      <c r="R330" s="46"/>
      <c r="S330" s="48"/>
      <c r="T330" s="61" t="str">
        <f>IF(Tableau1[[#This Row],[DMS_SAP]]="","",HYPERLINK(Tableau1[[#This Row],[Chemin fichier source]],"X"))</f>
        <v/>
      </c>
      <c r="U330" s="61" t="str">
        <f>IF(Tableau1[[#This Row],[Date rév.]]="","",HYPERLINK(Tableau1[[#This Row],[Lien document]],"X"))</f>
        <v/>
      </c>
      <c r="V330" s="47"/>
      <c r="W330" s="49" t="str">
        <f ca="1">Chemin_accès!$B$2&amp;Tableau1[[#This Row],[Poste Responsable]]&amp;"\"&amp;Tableau1[[#This Row],[Localisation / Classement]]&amp;"\"&amp;Tableau1[[#This Row],[Poste technique]]&amp;"_"&amp;Tableau1[[#This Row],[Plan Entretien]]&amp;".pdf"</f>
        <v>\\stjn.local\trimet\Donnees_Projets\Dms Sap\Maintenance\PlanEntretien\7.MSCT\\_.pdf</v>
      </c>
      <c r="X330" s="47"/>
      <c r="Y330" s="47"/>
      <c r="Z330" s="44" t="str">
        <f ca="1">IF(AND(Tableau1[[#This Row],[Charge]]&lt;&gt;0, Tableau1[[#This Row],[Nombre intervenants]]&lt;&gt;0,Tableau1[[#This Row],[Lien document]]&lt;&gt;0,Tableau1[[#This Row],[DMS_SAP]]&lt;&gt;0)=TRUE,"MIS A JOUR","")</f>
        <v/>
      </c>
      <c r="AA330" s="48"/>
      <c r="AB330" s="58" t="str">
        <f ca="1">IF(Tableau1[[#This Row],[Date rév.]]&lt;&gt;"", DAYS360(Tableau1[[#This Row],[Date rév.]],TODAY()),"")</f>
        <v/>
      </c>
      <c r="AC330" s="47" t="str">
        <f>IFERROR(INDEX(Chemin_accès!$B$11:$C$22,MATCH(Tableau1[[#This Row],[Type]],Chemin_accès!$C$11:$C$22,0),1),Chemin_accès!$B$11)</f>
        <v>\\stjn.local\trimet\Btechnique\Commun\BT Maint SCELLEMENT\205 - Préventifs\Modèles préventif\GammeDMS_7.MSCT.xlsm</v>
      </c>
      <c r="AD330" s="47" t="str">
        <f>Chemin_accès!$B$8&amp;Tableau1[[#This Row],[Localisation / Classement]]&amp;"\"&amp;Tableau1[[#This Row],[Poste technique]]&amp;"_"&amp;Tableau1[[#This Row],[Plan Entretien]]&amp;".xlsm"</f>
        <v>\\stjn.local\trimet\Btechnique\Commun\BT Maint SCELLEMENT\205 - Préventifs\Gammes 7.MSCT PE Tool\\_.xlsm</v>
      </c>
    </row>
    <row r="331" spans="1:30" x14ac:dyDescent="0.3">
      <c r="A331" s="44" t="str">
        <f t="shared" ca="1" si="5"/>
        <v>7.MSCT</v>
      </c>
      <c r="B3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1" s="46"/>
      <c r="D331" s="44"/>
      <c r="E331" s="44"/>
      <c r="F331" s="47"/>
      <c r="G331" s="47"/>
      <c r="H331" s="50"/>
      <c r="I331" s="50"/>
      <c r="J331" s="50"/>
      <c r="K331" s="50"/>
      <c r="L331" s="46"/>
      <c r="M331" s="47"/>
      <c r="N331" s="46"/>
      <c r="O331" s="46"/>
      <c r="P331" s="47"/>
      <c r="Q331" s="46"/>
      <c r="R331" s="46"/>
      <c r="S331" s="48"/>
      <c r="T331" s="61" t="str">
        <f>IF(Tableau1[[#This Row],[DMS_SAP]]="","",HYPERLINK(Tableau1[[#This Row],[Chemin fichier source]],"X"))</f>
        <v/>
      </c>
      <c r="U331" s="61" t="str">
        <f>IF(Tableau1[[#This Row],[Date rév.]]="","",HYPERLINK(Tableau1[[#This Row],[Lien document]],"X"))</f>
        <v/>
      </c>
      <c r="V331" s="47"/>
      <c r="W331" s="49" t="str">
        <f ca="1">Chemin_accès!$B$2&amp;Tableau1[[#This Row],[Poste Responsable]]&amp;"\"&amp;Tableau1[[#This Row],[Localisation / Classement]]&amp;"\"&amp;Tableau1[[#This Row],[Poste technique]]&amp;"_"&amp;Tableau1[[#This Row],[Plan Entretien]]&amp;".pdf"</f>
        <v>\\stjn.local\trimet\Donnees_Projets\Dms Sap\Maintenance\PlanEntretien\7.MSCT\\_.pdf</v>
      </c>
      <c r="X331" s="47"/>
      <c r="Y331" s="47"/>
      <c r="Z331" s="44" t="str">
        <f ca="1">IF(AND(Tableau1[[#This Row],[Charge]]&lt;&gt;0, Tableau1[[#This Row],[Nombre intervenants]]&lt;&gt;0,Tableau1[[#This Row],[Lien document]]&lt;&gt;0,Tableau1[[#This Row],[DMS_SAP]]&lt;&gt;0)=TRUE,"MIS A JOUR","")</f>
        <v/>
      </c>
      <c r="AA331" s="48"/>
      <c r="AB331" s="58" t="str">
        <f ca="1">IF(Tableau1[[#This Row],[Date rév.]]&lt;&gt;"", DAYS360(Tableau1[[#This Row],[Date rév.]],TODAY()),"")</f>
        <v/>
      </c>
      <c r="AC331" s="47" t="str">
        <f>IFERROR(INDEX(Chemin_accès!$B$11:$C$22,MATCH(Tableau1[[#This Row],[Type]],Chemin_accès!$C$11:$C$22,0),1),Chemin_accès!$B$11)</f>
        <v>\\stjn.local\trimet\Btechnique\Commun\BT Maint SCELLEMENT\205 - Préventifs\Modèles préventif\GammeDMS_7.MSCT.xlsm</v>
      </c>
      <c r="AD331" s="47" t="str">
        <f>Chemin_accès!$B$8&amp;Tableau1[[#This Row],[Localisation / Classement]]&amp;"\"&amp;Tableau1[[#This Row],[Poste technique]]&amp;"_"&amp;Tableau1[[#This Row],[Plan Entretien]]&amp;".xlsm"</f>
        <v>\\stjn.local\trimet\Btechnique\Commun\BT Maint SCELLEMENT\205 - Préventifs\Gammes 7.MSCT PE Tool\\_.xlsm</v>
      </c>
    </row>
    <row r="332" spans="1:30" x14ac:dyDescent="0.3">
      <c r="A332" s="44" t="str">
        <f t="shared" ca="1" si="5"/>
        <v>7.MSCT</v>
      </c>
      <c r="B3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2" s="46"/>
      <c r="D332" s="44"/>
      <c r="E332" s="44"/>
      <c r="F332" s="47"/>
      <c r="G332" s="47"/>
      <c r="H332" s="50"/>
      <c r="I332" s="50"/>
      <c r="J332" s="50"/>
      <c r="K332" s="50"/>
      <c r="L332" s="46"/>
      <c r="M332" s="47"/>
      <c r="N332" s="46"/>
      <c r="O332" s="46"/>
      <c r="P332" s="47"/>
      <c r="Q332" s="46"/>
      <c r="R332" s="46"/>
      <c r="S332" s="48"/>
      <c r="T332" s="61" t="str">
        <f>IF(Tableau1[[#This Row],[DMS_SAP]]="","",HYPERLINK(Tableau1[[#This Row],[Chemin fichier source]],"X"))</f>
        <v/>
      </c>
      <c r="U332" s="61" t="str">
        <f>IF(Tableau1[[#This Row],[Date rév.]]="","",HYPERLINK(Tableau1[[#This Row],[Lien document]],"X"))</f>
        <v/>
      </c>
      <c r="V332" s="47"/>
      <c r="W332" s="49" t="str">
        <f ca="1">Chemin_accès!$B$2&amp;Tableau1[[#This Row],[Poste Responsable]]&amp;"\"&amp;Tableau1[[#This Row],[Localisation / Classement]]&amp;"\"&amp;Tableau1[[#This Row],[Poste technique]]&amp;"_"&amp;Tableau1[[#This Row],[Plan Entretien]]&amp;".pdf"</f>
        <v>\\stjn.local\trimet\Donnees_Projets\Dms Sap\Maintenance\PlanEntretien\7.MSCT\\_.pdf</v>
      </c>
      <c r="X332" s="47"/>
      <c r="Y332" s="47"/>
      <c r="Z332" s="44" t="str">
        <f ca="1">IF(AND(Tableau1[[#This Row],[Charge]]&lt;&gt;0, Tableau1[[#This Row],[Nombre intervenants]]&lt;&gt;0,Tableau1[[#This Row],[Lien document]]&lt;&gt;0,Tableau1[[#This Row],[DMS_SAP]]&lt;&gt;0)=TRUE,"MIS A JOUR","")</f>
        <v/>
      </c>
      <c r="AA332" s="48"/>
      <c r="AB332" s="58" t="str">
        <f ca="1">IF(Tableau1[[#This Row],[Date rév.]]&lt;&gt;"", DAYS360(Tableau1[[#This Row],[Date rév.]],TODAY()),"")</f>
        <v/>
      </c>
      <c r="AC332" s="47" t="str">
        <f>IFERROR(INDEX(Chemin_accès!$B$11:$C$22,MATCH(Tableau1[[#This Row],[Type]],Chemin_accès!$C$11:$C$22,0),1),Chemin_accès!$B$11)</f>
        <v>\\stjn.local\trimet\Btechnique\Commun\BT Maint SCELLEMENT\205 - Préventifs\Modèles préventif\GammeDMS_7.MSCT.xlsm</v>
      </c>
      <c r="AD332" s="47" t="str">
        <f>Chemin_accès!$B$8&amp;Tableau1[[#This Row],[Localisation / Classement]]&amp;"\"&amp;Tableau1[[#This Row],[Poste technique]]&amp;"_"&amp;Tableau1[[#This Row],[Plan Entretien]]&amp;".xlsm"</f>
        <v>\\stjn.local\trimet\Btechnique\Commun\BT Maint SCELLEMENT\205 - Préventifs\Gammes 7.MSCT PE Tool\\_.xlsm</v>
      </c>
    </row>
    <row r="333" spans="1:30" x14ac:dyDescent="0.3">
      <c r="A333" s="44" t="str">
        <f t="shared" ca="1" si="5"/>
        <v>7.MSCT</v>
      </c>
      <c r="B3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3" s="46"/>
      <c r="D333" s="44"/>
      <c r="E333" s="44"/>
      <c r="F333" s="47"/>
      <c r="G333" s="47"/>
      <c r="H333" s="50"/>
      <c r="I333" s="50"/>
      <c r="J333" s="50"/>
      <c r="K333" s="50"/>
      <c r="L333" s="46"/>
      <c r="M333" s="47"/>
      <c r="N333" s="46"/>
      <c r="O333" s="46"/>
      <c r="P333" s="47"/>
      <c r="Q333" s="46"/>
      <c r="R333" s="46"/>
      <c r="S333" s="48"/>
      <c r="T333" s="61" t="str">
        <f>IF(Tableau1[[#This Row],[DMS_SAP]]="","",HYPERLINK(Tableau1[[#This Row],[Chemin fichier source]],"X"))</f>
        <v/>
      </c>
      <c r="U333" s="61" t="str">
        <f>IF(Tableau1[[#This Row],[Date rév.]]="","",HYPERLINK(Tableau1[[#This Row],[Lien document]],"X"))</f>
        <v/>
      </c>
      <c r="V333" s="47"/>
      <c r="W333" s="49" t="str">
        <f ca="1">Chemin_accès!$B$2&amp;Tableau1[[#This Row],[Poste Responsable]]&amp;"\"&amp;Tableau1[[#This Row],[Localisation / Classement]]&amp;"\"&amp;Tableau1[[#This Row],[Poste technique]]&amp;"_"&amp;Tableau1[[#This Row],[Plan Entretien]]&amp;".pdf"</f>
        <v>\\stjn.local\trimet\Donnees_Projets\Dms Sap\Maintenance\PlanEntretien\7.MSCT\\_.pdf</v>
      </c>
      <c r="X333" s="47"/>
      <c r="Y333" s="47"/>
      <c r="Z333" s="44" t="str">
        <f ca="1">IF(AND(Tableau1[[#This Row],[Charge]]&lt;&gt;0, Tableau1[[#This Row],[Nombre intervenants]]&lt;&gt;0,Tableau1[[#This Row],[Lien document]]&lt;&gt;0,Tableau1[[#This Row],[DMS_SAP]]&lt;&gt;0)=TRUE,"MIS A JOUR","")</f>
        <v/>
      </c>
      <c r="AA333" s="48"/>
      <c r="AB333" s="58" t="str">
        <f ca="1">IF(Tableau1[[#This Row],[Date rév.]]&lt;&gt;"", DAYS360(Tableau1[[#This Row],[Date rév.]],TODAY()),"")</f>
        <v/>
      </c>
      <c r="AC333" s="47" t="str">
        <f>IFERROR(INDEX(Chemin_accès!$B$11:$C$22,MATCH(Tableau1[[#This Row],[Type]],Chemin_accès!$C$11:$C$22,0),1),Chemin_accès!$B$11)</f>
        <v>\\stjn.local\trimet\Btechnique\Commun\BT Maint SCELLEMENT\205 - Préventifs\Modèles préventif\GammeDMS_7.MSCT.xlsm</v>
      </c>
      <c r="AD333" s="47" t="str">
        <f>Chemin_accès!$B$8&amp;Tableau1[[#This Row],[Localisation / Classement]]&amp;"\"&amp;Tableau1[[#This Row],[Poste technique]]&amp;"_"&amp;Tableau1[[#This Row],[Plan Entretien]]&amp;".xlsm"</f>
        <v>\\stjn.local\trimet\Btechnique\Commun\BT Maint SCELLEMENT\205 - Préventifs\Gammes 7.MSCT PE Tool\\_.xlsm</v>
      </c>
    </row>
    <row r="334" spans="1:30" x14ac:dyDescent="0.3">
      <c r="A334" s="44" t="str">
        <f t="shared" ca="1" si="5"/>
        <v>7.MSCT</v>
      </c>
      <c r="B3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4" s="46"/>
      <c r="D334" s="44"/>
      <c r="E334" s="44"/>
      <c r="F334" s="47"/>
      <c r="G334" s="47"/>
      <c r="H334" s="50"/>
      <c r="I334" s="50"/>
      <c r="J334" s="50"/>
      <c r="K334" s="50"/>
      <c r="L334" s="46"/>
      <c r="M334" s="47"/>
      <c r="N334" s="46"/>
      <c r="O334" s="46"/>
      <c r="P334" s="47"/>
      <c r="Q334" s="46"/>
      <c r="R334" s="46"/>
      <c r="S334" s="48"/>
      <c r="T334" s="61" t="str">
        <f>IF(Tableau1[[#This Row],[DMS_SAP]]="","",HYPERLINK(Tableau1[[#This Row],[Chemin fichier source]],"X"))</f>
        <v/>
      </c>
      <c r="U334" s="61" t="str">
        <f>IF(Tableau1[[#This Row],[Date rév.]]="","",HYPERLINK(Tableau1[[#This Row],[Lien document]],"X"))</f>
        <v/>
      </c>
      <c r="V334" s="47"/>
      <c r="W334" s="49" t="str">
        <f ca="1">Chemin_accès!$B$2&amp;Tableau1[[#This Row],[Poste Responsable]]&amp;"\"&amp;Tableau1[[#This Row],[Localisation / Classement]]&amp;"\"&amp;Tableau1[[#This Row],[Poste technique]]&amp;"_"&amp;Tableau1[[#This Row],[Plan Entretien]]&amp;".pdf"</f>
        <v>\\stjn.local\trimet\Donnees_Projets\Dms Sap\Maintenance\PlanEntretien\7.MSCT\\_.pdf</v>
      </c>
      <c r="X334" s="47"/>
      <c r="Y334" s="47"/>
      <c r="Z334" s="44" t="str">
        <f ca="1">IF(AND(Tableau1[[#This Row],[Charge]]&lt;&gt;0, Tableau1[[#This Row],[Nombre intervenants]]&lt;&gt;0,Tableau1[[#This Row],[Lien document]]&lt;&gt;0,Tableau1[[#This Row],[DMS_SAP]]&lt;&gt;0)=TRUE,"MIS A JOUR","")</f>
        <v/>
      </c>
      <c r="AA334" s="48"/>
      <c r="AB334" s="58" t="str">
        <f ca="1">IF(Tableau1[[#This Row],[Date rév.]]&lt;&gt;"", DAYS360(Tableau1[[#This Row],[Date rév.]],TODAY()),"")</f>
        <v/>
      </c>
      <c r="AC334" s="47" t="str">
        <f>IFERROR(INDEX(Chemin_accès!$B$11:$C$22,MATCH(Tableau1[[#This Row],[Type]],Chemin_accès!$C$11:$C$22,0),1),Chemin_accès!$B$11)</f>
        <v>\\stjn.local\trimet\Btechnique\Commun\BT Maint SCELLEMENT\205 - Préventifs\Modèles préventif\GammeDMS_7.MSCT.xlsm</v>
      </c>
      <c r="AD334" s="47" t="str">
        <f>Chemin_accès!$B$8&amp;Tableau1[[#This Row],[Localisation / Classement]]&amp;"\"&amp;Tableau1[[#This Row],[Poste technique]]&amp;"_"&amp;Tableau1[[#This Row],[Plan Entretien]]&amp;".xlsm"</f>
        <v>\\stjn.local\trimet\Btechnique\Commun\BT Maint SCELLEMENT\205 - Préventifs\Gammes 7.MSCT PE Tool\\_.xlsm</v>
      </c>
    </row>
    <row r="335" spans="1:30" x14ac:dyDescent="0.3">
      <c r="A335" s="44" t="str">
        <f t="shared" ca="1" si="5"/>
        <v>7.MSCT</v>
      </c>
      <c r="B3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5" s="46"/>
      <c r="D335" s="44"/>
      <c r="E335" s="44"/>
      <c r="F335" s="47"/>
      <c r="G335" s="47"/>
      <c r="H335" s="50"/>
      <c r="I335" s="50"/>
      <c r="J335" s="50"/>
      <c r="K335" s="50"/>
      <c r="L335" s="46"/>
      <c r="M335" s="47"/>
      <c r="N335" s="46"/>
      <c r="O335" s="46"/>
      <c r="P335" s="47"/>
      <c r="Q335" s="46"/>
      <c r="R335" s="46"/>
      <c r="S335" s="48"/>
      <c r="T335" s="61" t="str">
        <f>IF(Tableau1[[#This Row],[DMS_SAP]]="","",HYPERLINK(Tableau1[[#This Row],[Chemin fichier source]],"X"))</f>
        <v/>
      </c>
      <c r="U335" s="61" t="str">
        <f>IF(Tableau1[[#This Row],[Date rév.]]="","",HYPERLINK(Tableau1[[#This Row],[Lien document]],"X"))</f>
        <v/>
      </c>
      <c r="V335" s="47"/>
      <c r="W335" s="49" t="str">
        <f ca="1">Chemin_accès!$B$2&amp;Tableau1[[#This Row],[Poste Responsable]]&amp;"\"&amp;Tableau1[[#This Row],[Localisation / Classement]]&amp;"\"&amp;Tableau1[[#This Row],[Poste technique]]&amp;"_"&amp;Tableau1[[#This Row],[Plan Entretien]]&amp;".pdf"</f>
        <v>\\stjn.local\trimet\Donnees_Projets\Dms Sap\Maintenance\PlanEntretien\7.MSCT\\_.pdf</v>
      </c>
      <c r="X335" s="47"/>
      <c r="Y335" s="47"/>
      <c r="Z335" s="44" t="str">
        <f ca="1">IF(AND(Tableau1[[#This Row],[Charge]]&lt;&gt;0, Tableau1[[#This Row],[Nombre intervenants]]&lt;&gt;0,Tableau1[[#This Row],[Lien document]]&lt;&gt;0,Tableau1[[#This Row],[DMS_SAP]]&lt;&gt;0)=TRUE,"MIS A JOUR","")</f>
        <v/>
      </c>
      <c r="AA335" s="48"/>
      <c r="AB335" s="58" t="str">
        <f ca="1">IF(Tableau1[[#This Row],[Date rév.]]&lt;&gt;"", DAYS360(Tableau1[[#This Row],[Date rév.]],TODAY()),"")</f>
        <v/>
      </c>
      <c r="AC335" s="47" t="str">
        <f>IFERROR(INDEX(Chemin_accès!$B$11:$C$22,MATCH(Tableau1[[#This Row],[Type]],Chemin_accès!$C$11:$C$22,0),1),Chemin_accès!$B$11)</f>
        <v>\\stjn.local\trimet\Btechnique\Commun\BT Maint SCELLEMENT\205 - Préventifs\Modèles préventif\GammeDMS_7.MSCT.xlsm</v>
      </c>
      <c r="AD335" s="47" t="str">
        <f>Chemin_accès!$B$8&amp;Tableau1[[#This Row],[Localisation / Classement]]&amp;"\"&amp;Tableau1[[#This Row],[Poste technique]]&amp;"_"&amp;Tableau1[[#This Row],[Plan Entretien]]&amp;".xlsm"</f>
        <v>\\stjn.local\trimet\Btechnique\Commun\BT Maint SCELLEMENT\205 - Préventifs\Gammes 7.MSCT PE Tool\\_.xlsm</v>
      </c>
    </row>
    <row r="336" spans="1:30" x14ac:dyDescent="0.3">
      <c r="A336" s="44" t="str">
        <f t="shared" ca="1" si="5"/>
        <v>7.MSCT</v>
      </c>
      <c r="B3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6" s="46"/>
      <c r="D336" s="44"/>
      <c r="E336" s="44"/>
      <c r="F336" s="47"/>
      <c r="G336" s="47"/>
      <c r="H336" s="50"/>
      <c r="I336" s="50"/>
      <c r="J336" s="50"/>
      <c r="K336" s="50"/>
      <c r="L336" s="46"/>
      <c r="M336" s="47"/>
      <c r="N336" s="46"/>
      <c r="O336" s="46"/>
      <c r="P336" s="47"/>
      <c r="Q336" s="46"/>
      <c r="R336" s="46"/>
      <c r="S336" s="48"/>
      <c r="T336" s="61" t="str">
        <f>IF(Tableau1[[#This Row],[DMS_SAP]]="","",HYPERLINK(Tableau1[[#This Row],[Chemin fichier source]],"X"))</f>
        <v/>
      </c>
      <c r="U336" s="61" t="str">
        <f>IF(Tableau1[[#This Row],[Date rév.]]="","",HYPERLINK(Tableau1[[#This Row],[Lien document]],"X"))</f>
        <v/>
      </c>
      <c r="V336" s="47"/>
      <c r="W336" s="49" t="str">
        <f ca="1">Chemin_accès!$B$2&amp;Tableau1[[#This Row],[Poste Responsable]]&amp;"\"&amp;Tableau1[[#This Row],[Localisation / Classement]]&amp;"\"&amp;Tableau1[[#This Row],[Poste technique]]&amp;"_"&amp;Tableau1[[#This Row],[Plan Entretien]]&amp;".pdf"</f>
        <v>\\stjn.local\trimet\Donnees_Projets\Dms Sap\Maintenance\PlanEntretien\7.MSCT\\_.pdf</v>
      </c>
      <c r="X336" s="47"/>
      <c r="Y336" s="47"/>
      <c r="Z336" s="44" t="str">
        <f ca="1">IF(AND(Tableau1[[#This Row],[Charge]]&lt;&gt;0, Tableau1[[#This Row],[Nombre intervenants]]&lt;&gt;0,Tableau1[[#This Row],[Lien document]]&lt;&gt;0,Tableau1[[#This Row],[DMS_SAP]]&lt;&gt;0)=TRUE,"MIS A JOUR","")</f>
        <v/>
      </c>
      <c r="AA336" s="48"/>
      <c r="AB336" s="58" t="str">
        <f ca="1">IF(Tableau1[[#This Row],[Date rév.]]&lt;&gt;"", DAYS360(Tableau1[[#This Row],[Date rév.]],TODAY()),"")</f>
        <v/>
      </c>
      <c r="AC336" s="47" t="str">
        <f>IFERROR(INDEX(Chemin_accès!$B$11:$C$22,MATCH(Tableau1[[#This Row],[Type]],Chemin_accès!$C$11:$C$22,0),1),Chemin_accès!$B$11)</f>
        <v>\\stjn.local\trimet\Btechnique\Commun\BT Maint SCELLEMENT\205 - Préventifs\Modèles préventif\GammeDMS_7.MSCT.xlsm</v>
      </c>
      <c r="AD336" s="47" t="str">
        <f>Chemin_accès!$B$8&amp;Tableau1[[#This Row],[Localisation / Classement]]&amp;"\"&amp;Tableau1[[#This Row],[Poste technique]]&amp;"_"&amp;Tableau1[[#This Row],[Plan Entretien]]&amp;".xlsm"</f>
        <v>\\stjn.local\trimet\Btechnique\Commun\BT Maint SCELLEMENT\205 - Préventifs\Gammes 7.MSCT PE Tool\\_.xlsm</v>
      </c>
    </row>
    <row r="337" spans="1:30" x14ac:dyDescent="0.3">
      <c r="A337" s="44" t="str">
        <f t="shared" ca="1" si="5"/>
        <v>7.MSCT</v>
      </c>
      <c r="B3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7" s="46"/>
      <c r="D337" s="44"/>
      <c r="E337" s="44"/>
      <c r="F337" s="47"/>
      <c r="G337" s="47"/>
      <c r="H337" s="50"/>
      <c r="I337" s="50"/>
      <c r="J337" s="50"/>
      <c r="K337" s="50"/>
      <c r="L337" s="46"/>
      <c r="M337" s="47"/>
      <c r="N337" s="46"/>
      <c r="O337" s="46"/>
      <c r="P337" s="47"/>
      <c r="Q337" s="46"/>
      <c r="R337" s="46"/>
      <c r="S337" s="48"/>
      <c r="T337" s="61" t="str">
        <f>IF(Tableau1[[#This Row],[DMS_SAP]]="","",HYPERLINK(Tableau1[[#This Row],[Chemin fichier source]],"X"))</f>
        <v/>
      </c>
      <c r="U337" s="61" t="str">
        <f>IF(Tableau1[[#This Row],[Date rév.]]="","",HYPERLINK(Tableau1[[#This Row],[Lien document]],"X"))</f>
        <v/>
      </c>
      <c r="V337" s="47"/>
      <c r="W337" s="49" t="str">
        <f ca="1">Chemin_accès!$B$2&amp;Tableau1[[#This Row],[Poste Responsable]]&amp;"\"&amp;Tableau1[[#This Row],[Localisation / Classement]]&amp;"\"&amp;Tableau1[[#This Row],[Poste technique]]&amp;"_"&amp;Tableau1[[#This Row],[Plan Entretien]]&amp;".pdf"</f>
        <v>\\stjn.local\trimet\Donnees_Projets\Dms Sap\Maintenance\PlanEntretien\7.MSCT\\_.pdf</v>
      </c>
      <c r="X337" s="47"/>
      <c r="Y337" s="47"/>
      <c r="Z337" s="44" t="str">
        <f ca="1">IF(AND(Tableau1[[#This Row],[Charge]]&lt;&gt;0, Tableau1[[#This Row],[Nombre intervenants]]&lt;&gt;0,Tableau1[[#This Row],[Lien document]]&lt;&gt;0,Tableau1[[#This Row],[DMS_SAP]]&lt;&gt;0)=TRUE,"MIS A JOUR","")</f>
        <v/>
      </c>
      <c r="AA337" s="48"/>
      <c r="AB337" s="58" t="str">
        <f ca="1">IF(Tableau1[[#This Row],[Date rév.]]&lt;&gt;"", DAYS360(Tableau1[[#This Row],[Date rév.]],TODAY()),"")</f>
        <v/>
      </c>
      <c r="AC337" s="47" t="str">
        <f>IFERROR(INDEX(Chemin_accès!$B$11:$C$22,MATCH(Tableau1[[#This Row],[Type]],Chemin_accès!$C$11:$C$22,0),1),Chemin_accès!$B$11)</f>
        <v>\\stjn.local\trimet\Btechnique\Commun\BT Maint SCELLEMENT\205 - Préventifs\Modèles préventif\GammeDMS_7.MSCT.xlsm</v>
      </c>
      <c r="AD337" s="47" t="str">
        <f>Chemin_accès!$B$8&amp;Tableau1[[#This Row],[Localisation / Classement]]&amp;"\"&amp;Tableau1[[#This Row],[Poste technique]]&amp;"_"&amp;Tableau1[[#This Row],[Plan Entretien]]&amp;".xlsm"</f>
        <v>\\stjn.local\trimet\Btechnique\Commun\BT Maint SCELLEMENT\205 - Préventifs\Gammes 7.MSCT PE Tool\\_.xlsm</v>
      </c>
    </row>
    <row r="338" spans="1:30" x14ac:dyDescent="0.3">
      <c r="A338" s="44" t="str">
        <f t="shared" ca="1" si="5"/>
        <v>7.MSCT</v>
      </c>
      <c r="B3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8" s="46"/>
      <c r="D338" s="44"/>
      <c r="E338" s="44"/>
      <c r="F338" s="47"/>
      <c r="G338" s="47"/>
      <c r="H338" s="50"/>
      <c r="I338" s="50"/>
      <c r="J338" s="50"/>
      <c r="K338" s="50"/>
      <c r="L338" s="46"/>
      <c r="M338" s="47"/>
      <c r="N338" s="46"/>
      <c r="O338" s="46"/>
      <c r="P338" s="47"/>
      <c r="Q338" s="46"/>
      <c r="R338" s="46"/>
      <c r="S338" s="48"/>
      <c r="T338" s="61" t="str">
        <f>IF(Tableau1[[#This Row],[DMS_SAP]]="","",HYPERLINK(Tableau1[[#This Row],[Chemin fichier source]],"X"))</f>
        <v/>
      </c>
      <c r="U338" s="61" t="str">
        <f>IF(Tableau1[[#This Row],[Date rév.]]="","",HYPERLINK(Tableau1[[#This Row],[Lien document]],"X"))</f>
        <v/>
      </c>
      <c r="V338" s="47"/>
      <c r="W338" s="49" t="str">
        <f ca="1">Chemin_accès!$B$2&amp;Tableau1[[#This Row],[Poste Responsable]]&amp;"\"&amp;Tableau1[[#This Row],[Localisation / Classement]]&amp;"\"&amp;Tableau1[[#This Row],[Poste technique]]&amp;"_"&amp;Tableau1[[#This Row],[Plan Entretien]]&amp;".pdf"</f>
        <v>\\stjn.local\trimet\Donnees_Projets\Dms Sap\Maintenance\PlanEntretien\7.MSCT\\_.pdf</v>
      </c>
      <c r="X338" s="47"/>
      <c r="Y338" s="47"/>
      <c r="Z338" s="44" t="str">
        <f ca="1">IF(AND(Tableau1[[#This Row],[Charge]]&lt;&gt;0, Tableau1[[#This Row],[Nombre intervenants]]&lt;&gt;0,Tableau1[[#This Row],[Lien document]]&lt;&gt;0,Tableau1[[#This Row],[DMS_SAP]]&lt;&gt;0)=TRUE,"MIS A JOUR","")</f>
        <v/>
      </c>
      <c r="AA338" s="48"/>
      <c r="AB338" s="58" t="str">
        <f ca="1">IF(Tableau1[[#This Row],[Date rév.]]&lt;&gt;"", DAYS360(Tableau1[[#This Row],[Date rév.]],TODAY()),"")</f>
        <v/>
      </c>
      <c r="AC338" s="47" t="str">
        <f>IFERROR(INDEX(Chemin_accès!$B$11:$C$22,MATCH(Tableau1[[#This Row],[Type]],Chemin_accès!$C$11:$C$22,0),1),Chemin_accès!$B$11)</f>
        <v>\\stjn.local\trimet\Btechnique\Commun\BT Maint SCELLEMENT\205 - Préventifs\Modèles préventif\GammeDMS_7.MSCT.xlsm</v>
      </c>
      <c r="AD338" s="47" t="str">
        <f>Chemin_accès!$B$8&amp;Tableau1[[#This Row],[Localisation / Classement]]&amp;"\"&amp;Tableau1[[#This Row],[Poste technique]]&amp;"_"&amp;Tableau1[[#This Row],[Plan Entretien]]&amp;".xlsm"</f>
        <v>\\stjn.local\trimet\Btechnique\Commun\BT Maint SCELLEMENT\205 - Préventifs\Gammes 7.MSCT PE Tool\\_.xlsm</v>
      </c>
    </row>
    <row r="339" spans="1:30" x14ac:dyDescent="0.3">
      <c r="A339" s="44" t="str">
        <f t="shared" ca="1" si="5"/>
        <v>7.MSCT</v>
      </c>
      <c r="B3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39" s="46"/>
      <c r="D339" s="44"/>
      <c r="E339" s="44"/>
      <c r="F339" s="47"/>
      <c r="G339" s="47"/>
      <c r="H339" s="50"/>
      <c r="I339" s="50"/>
      <c r="J339" s="50"/>
      <c r="K339" s="50"/>
      <c r="L339" s="46"/>
      <c r="M339" s="47"/>
      <c r="N339" s="46"/>
      <c r="O339" s="46"/>
      <c r="P339" s="47"/>
      <c r="Q339" s="46"/>
      <c r="R339" s="46"/>
      <c r="S339" s="48"/>
      <c r="T339" s="61" t="str">
        <f>IF(Tableau1[[#This Row],[DMS_SAP]]="","",HYPERLINK(Tableau1[[#This Row],[Chemin fichier source]],"X"))</f>
        <v/>
      </c>
      <c r="U339" s="61" t="str">
        <f>IF(Tableau1[[#This Row],[Date rév.]]="","",HYPERLINK(Tableau1[[#This Row],[Lien document]],"X"))</f>
        <v/>
      </c>
      <c r="V339" s="47"/>
      <c r="W339" s="49" t="str">
        <f ca="1">Chemin_accès!$B$2&amp;Tableau1[[#This Row],[Poste Responsable]]&amp;"\"&amp;Tableau1[[#This Row],[Localisation / Classement]]&amp;"\"&amp;Tableau1[[#This Row],[Poste technique]]&amp;"_"&amp;Tableau1[[#This Row],[Plan Entretien]]&amp;".pdf"</f>
        <v>\\stjn.local\trimet\Donnees_Projets\Dms Sap\Maintenance\PlanEntretien\7.MSCT\\_.pdf</v>
      </c>
      <c r="X339" s="47"/>
      <c r="Y339" s="47"/>
      <c r="Z339" s="44" t="str">
        <f ca="1">IF(AND(Tableau1[[#This Row],[Charge]]&lt;&gt;0, Tableau1[[#This Row],[Nombre intervenants]]&lt;&gt;0,Tableau1[[#This Row],[Lien document]]&lt;&gt;0,Tableau1[[#This Row],[DMS_SAP]]&lt;&gt;0)=TRUE,"MIS A JOUR","")</f>
        <v/>
      </c>
      <c r="AA339" s="48"/>
      <c r="AB339" s="58" t="str">
        <f ca="1">IF(Tableau1[[#This Row],[Date rév.]]&lt;&gt;"", DAYS360(Tableau1[[#This Row],[Date rév.]],TODAY()),"")</f>
        <v/>
      </c>
      <c r="AC339" s="47" t="str">
        <f>IFERROR(INDEX(Chemin_accès!$B$11:$C$22,MATCH(Tableau1[[#This Row],[Type]],Chemin_accès!$C$11:$C$22,0),1),Chemin_accès!$B$11)</f>
        <v>\\stjn.local\trimet\Btechnique\Commun\BT Maint SCELLEMENT\205 - Préventifs\Modèles préventif\GammeDMS_7.MSCT.xlsm</v>
      </c>
      <c r="AD339" s="47" t="str">
        <f>Chemin_accès!$B$8&amp;Tableau1[[#This Row],[Localisation / Classement]]&amp;"\"&amp;Tableau1[[#This Row],[Poste technique]]&amp;"_"&amp;Tableau1[[#This Row],[Plan Entretien]]&amp;".xlsm"</f>
        <v>\\stjn.local\trimet\Btechnique\Commun\BT Maint SCELLEMENT\205 - Préventifs\Gammes 7.MSCT PE Tool\\_.xlsm</v>
      </c>
    </row>
    <row r="340" spans="1:30" x14ac:dyDescent="0.3">
      <c r="A340" s="44" t="str">
        <f t="shared" ca="1" si="5"/>
        <v>7.MSCT</v>
      </c>
      <c r="B3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0" s="46"/>
      <c r="D340" s="44"/>
      <c r="E340" s="44"/>
      <c r="F340" s="47"/>
      <c r="G340" s="47"/>
      <c r="H340" s="50"/>
      <c r="I340" s="50"/>
      <c r="J340" s="50"/>
      <c r="K340" s="50"/>
      <c r="L340" s="46"/>
      <c r="M340" s="47"/>
      <c r="N340" s="46"/>
      <c r="O340" s="46"/>
      <c r="P340" s="47"/>
      <c r="Q340" s="46"/>
      <c r="R340" s="46"/>
      <c r="S340" s="48"/>
      <c r="T340" s="61" t="str">
        <f>IF(Tableau1[[#This Row],[DMS_SAP]]="","",HYPERLINK(Tableau1[[#This Row],[Chemin fichier source]],"X"))</f>
        <v/>
      </c>
      <c r="U340" s="61" t="str">
        <f>IF(Tableau1[[#This Row],[Date rév.]]="","",HYPERLINK(Tableau1[[#This Row],[Lien document]],"X"))</f>
        <v/>
      </c>
      <c r="V340" s="47"/>
      <c r="W340" s="49" t="str">
        <f ca="1">Chemin_accès!$B$2&amp;Tableau1[[#This Row],[Poste Responsable]]&amp;"\"&amp;Tableau1[[#This Row],[Localisation / Classement]]&amp;"\"&amp;Tableau1[[#This Row],[Poste technique]]&amp;"_"&amp;Tableau1[[#This Row],[Plan Entretien]]&amp;".pdf"</f>
        <v>\\stjn.local\trimet\Donnees_Projets\Dms Sap\Maintenance\PlanEntretien\7.MSCT\\_.pdf</v>
      </c>
      <c r="X340" s="47"/>
      <c r="Y340" s="47"/>
      <c r="Z340" s="44" t="str">
        <f ca="1">IF(AND(Tableau1[[#This Row],[Charge]]&lt;&gt;0, Tableau1[[#This Row],[Nombre intervenants]]&lt;&gt;0,Tableau1[[#This Row],[Lien document]]&lt;&gt;0,Tableau1[[#This Row],[DMS_SAP]]&lt;&gt;0)=TRUE,"MIS A JOUR","")</f>
        <v/>
      </c>
      <c r="AA340" s="48"/>
      <c r="AB340" s="58" t="str">
        <f ca="1">IF(Tableau1[[#This Row],[Date rév.]]&lt;&gt;"", DAYS360(Tableau1[[#This Row],[Date rév.]],TODAY()),"")</f>
        <v/>
      </c>
      <c r="AC340" s="47" t="str">
        <f>IFERROR(INDEX(Chemin_accès!$B$11:$C$22,MATCH(Tableau1[[#This Row],[Type]],Chemin_accès!$C$11:$C$22,0),1),Chemin_accès!$B$11)</f>
        <v>\\stjn.local\trimet\Btechnique\Commun\BT Maint SCELLEMENT\205 - Préventifs\Modèles préventif\GammeDMS_7.MSCT.xlsm</v>
      </c>
      <c r="AD340" s="47" t="str">
        <f>Chemin_accès!$B$8&amp;Tableau1[[#This Row],[Localisation / Classement]]&amp;"\"&amp;Tableau1[[#This Row],[Poste technique]]&amp;"_"&amp;Tableau1[[#This Row],[Plan Entretien]]&amp;".xlsm"</f>
        <v>\\stjn.local\trimet\Btechnique\Commun\BT Maint SCELLEMENT\205 - Préventifs\Gammes 7.MSCT PE Tool\\_.xlsm</v>
      </c>
    </row>
    <row r="341" spans="1:30" x14ac:dyDescent="0.3">
      <c r="A341" s="44" t="str">
        <f t="shared" ca="1" si="5"/>
        <v>7.MSCT</v>
      </c>
      <c r="B3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1" s="46"/>
      <c r="D341" s="44"/>
      <c r="E341" s="44"/>
      <c r="F341" s="47"/>
      <c r="G341" s="47"/>
      <c r="H341" s="50"/>
      <c r="I341" s="50"/>
      <c r="J341" s="50"/>
      <c r="K341" s="50"/>
      <c r="L341" s="46"/>
      <c r="M341" s="47"/>
      <c r="N341" s="46"/>
      <c r="O341" s="46"/>
      <c r="P341" s="47"/>
      <c r="Q341" s="46"/>
      <c r="R341" s="46"/>
      <c r="S341" s="48"/>
      <c r="T341" s="61" t="str">
        <f>IF(Tableau1[[#This Row],[DMS_SAP]]="","",HYPERLINK(Tableau1[[#This Row],[Chemin fichier source]],"X"))</f>
        <v/>
      </c>
      <c r="U341" s="61" t="str">
        <f>IF(Tableau1[[#This Row],[Date rév.]]="","",HYPERLINK(Tableau1[[#This Row],[Lien document]],"X"))</f>
        <v/>
      </c>
      <c r="V341" s="47"/>
      <c r="W341" s="49" t="str">
        <f ca="1">Chemin_accès!$B$2&amp;Tableau1[[#This Row],[Poste Responsable]]&amp;"\"&amp;Tableau1[[#This Row],[Localisation / Classement]]&amp;"\"&amp;Tableau1[[#This Row],[Poste technique]]&amp;"_"&amp;Tableau1[[#This Row],[Plan Entretien]]&amp;".pdf"</f>
        <v>\\stjn.local\trimet\Donnees_Projets\Dms Sap\Maintenance\PlanEntretien\7.MSCT\\_.pdf</v>
      </c>
      <c r="X341" s="47"/>
      <c r="Y341" s="47"/>
      <c r="Z341" s="44" t="str">
        <f ca="1">IF(AND(Tableau1[[#This Row],[Charge]]&lt;&gt;0, Tableau1[[#This Row],[Nombre intervenants]]&lt;&gt;0,Tableau1[[#This Row],[Lien document]]&lt;&gt;0,Tableau1[[#This Row],[DMS_SAP]]&lt;&gt;0)=TRUE,"MIS A JOUR","")</f>
        <v/>
      </c>
      <c r="AA341" s="48"/>
      <c r="AB341" s="58" t="str">
        <f ca="1">IF(Tableau1[[#This Row],[Date rév.]]&lt;&gt;"", DAYS360(Tableau1[[#This Row],[Date rév.]],TODAY()),"")</f>
        <v/>
      </c>
      <c r="AC341" s="47" t="str">
        <f>IFERROR(INDEX(Chemin_accès!$B$11:$C$22,MATCH(Tableau1[[#This Row],[Type]],Chemin_accès!$C$11:$C$22,0),1),Chemin_accès!$B$11)</f>
        <v>\\stjn.local\trimet\Btechnique\Commun\BT Maint SCELLEMENT\205 - Préventifs\Modèles préventif\GammeDMS_7.MSCT.xlsm</v>
      </c>
      <c r="AD341" s="47" t="str">
        <f>Chemin_accès!$B$8&amp;Tableau1[[#This Row],[Localisation / Classement]]&amp;"\"&amp;Tableau1[[#This Row],[Poste technique]]&amp;"_"&amp;Tableau1[[#This Row],[Plan Entretien]]&amp;".xlsm"</f>
        <v>\\stjn.local\trimet\Btechnique\Commun\BT Maint SCELLEMENT\205 - Préventifs\Gammes 7.MSCT PE Tool\\_.xlsm</v>
      </c>
    </row>
    <row r="342" spans="1:30" x14ac:dyDescent="0.3">
      <c r="A342" s="44" t="str">
        <f t="shared" ca="1" si="5"/>
        <v>7.MSCT</v>
      </c>
      <c r="B3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2" s="46"/>
      <c r="D342" s="44"/>
      <c r="E342" s="44"/>
      <c r="F342" s="47"/>
      <c r="G342" s="47"/>
      <c r="H342" s="50"/>
      <c r="I342" s="50"/>
      <c r="J342" s="50"/>
      <c r="K342" s="50"/>
      <c r="L342" s="46"/>
      <c r="M342" s="47"/>
      <c r="N342" s="46"/>
      <c r="O342" s="46"/>
      <c r="P342" s="47"/>
      <c r="Q342" s="46"/>
      <c r="R342" s="46"/>
      <c r="S342" s="48"/>
      <c r="T342" s="61" t="str">
        <f>IF(Tableau1[[#This Row],[DMS_SAP]]="","",HYPERLINK(Tableau1[[#This Row],[Chemin fichier source]],"X"))</f>
        <v/>
      </c>
      <c r="U342" s="61" t="str">
        <f>IF(Tableau1[[#This Row],[Date rév.]]="","",HYPERLINK(Tableau1[[#This Row],[Lien document]],"X"))</f>
        <v/>
      </c>
      <c r="V342" s="47"/>
      <c r="W342" s="49" t="str">
        <f ca="1">Chemin_accès!$B$2&amp;Tableau1[[#This Row],[Poste Responsable]]&amp;"\"&amp;Tableau1[[#This Row],[Localisation / Classement]]&amp;"\"&amp;Tableau1[[#This Row],[Poste technique]]&amp;"_"&amp;Tableau1[[#This Row],[Plan Entretien]]&amp;".pdf"</f>
        <v>\\stjn.local\trimet\Donnees_Projets\Dms Sap\Maintenance\PlanEntretien\7.MSCT\\_.pdf</v>
      </c>
      <c r="X342" s="47"/>
      <c r="Y342" s="47"/>
      <c r="Z342" s="44" t="str">
        <f ca="1">IF(AND(Tableau1[[#This Row],[Charge]]&lt;&gt;0, Tableau1[[#This Row],[Nombre intervenants]]&lt;&gt;0,Tableau1[[#This Row],[Lien document]]&lt;&gt;0,Tableau1[[#This Row],[DMS_SAP]]&lt;&gt;0)=TRUE,"MIS A JOUR","")</f>
        <v/>
      </c>
      <c r="AA342" s="48"/>
      <c r="AB342" s="58" t="str">
        <f ca="1">IF(Tableau1[[#This Row],[Date rév.]]&lt;&gt;"", DAYS360(Tableau1[[#This Row],[Date rév.]],TODAY()),"")</f>
        <v/>
      </c>
      <c r="AC342" s="47" t="str">
        <f>IFERROR(INDEX(Chemin_accès!$B$11:$C$22,MATCH(Tableau1[[#This Row],[Type]],Chemin_accès!$C$11:$C$22,0),1),Chemin_accès!$B$11)</f>
        <v>\\stjn.local\trimet\Btechnique\Commun\BT Maint SCELLEMENT\205 - Préventifs\Modèles préventif\GammeDMS_7.MSCT.xlsm</v>
      </c>
      <c r="AD342" s="47" t="str">
        <f>Chemin_accès!$B$8&amp;Tableau1[[#This Row],[Localisation / Classement]]&amp;"\"&amp;Tableau1[[#This Row],[Poste technique]]&amp;"_"&amp;Tableau1[[#This Row],[Plan Entretien]]&amp;".xlsm"</f>
        <v>\\stjn.local\trimet\Btechnique\Commun\BT Maint SCELLEMENT\205 - Préventifs\Gammes 7.MSCT PE Tool\\_.xlsm</v>
      </c>
    </row>
    <row r="343" spans="1:30" x14ac:dyDescent="0.3">
      <c r="A343" s="44" t="str">
        <f t="shared" ca="1" si="5"/>
        <v>7.MSCT</v>
      </c>
      <c r="B3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3" s="46"/>
      <c r="D343" s="44"/>
      <c r="E343" s="44"/>
      <c r="F343" s="47"/>
      <c r="G343" s="47"/>
      <c r="H343" s="50"/>
      <c r="I343" s="50"/>
      <c r="J343" s="50"/>
      <c r="K343" s="50"/>
      <c r="L343" s="46"/>
      <c r="M343" s="47"/>
      <c r="N343" s="46"/>
      <c r="O343" s="46"/>
      <c r="P343" s="47"/>
      <c r="Q343" s="46"/>
      <c r="R343" s="46"/>
      <c r="S343" s="48"/>
      <c r="T343" s="61" t="str">
        <f>IF(Tableau1[[#This Row],[DMS_SAP]]="","",HYPERLINK(Tableau1[[#This Row],[Chemin fichier source]],"X"))</f>
        <v/>
      </c>
      <c r="U343" s="61" t="str">
        <f>IF(Tableau1[[#This Row],[Date rév.]]="","",HYPERLINK(Tableau1[[#This Row],[Lien document]],"X"))</f>
        <v/>
      </c>
      <c r="V343" s="47"/>
      <c r="W343" s="49" t="str">
        <f ca="1">Chemin_accès!$B$2&amp;Tableau1[[#This Row],[Poste Responsable]]&amp;"\"&amp;Tableau1[[#This Row],[Localisation / Classement]]&amp;"\"&amp;Tableau1[[#This Row],[Poste technique]]&amp;"_"&amp;Tableau1[[#This Row],[Plan Entretien]]&amp;".pdf"</f>
        <v>\\stjn.local\trimet\Donnees_Projets\Dms Sap\Maintenance\PlanEntretien\7.MSCT\\_.pdf</v>
      </c>
      <c r="X343" s="47"/>
      <c r="Y343" s="47"/>
      <c r="Z343" s="44" t="str">
        <f ca="1">IF(AND(Tableau1[[#This Row],[Charge]]&lt;&gt;0, Tableau1[[#This Row],[Nombre intervenants]]&lt;&gt;0,Tableau1[[#This Row],[Lien document]]&lt;&gt;0,Tableau1[[#This Row],[DMS_SAP]]&lt;&gt;0)=TRUE,"MIS A JOUR","")</f>
        <v/>
      </c>
      <c r="AA343" s="48"/>
      <c r="AB343" s="58" t="str">
        <f ca="1">IF(Tableau1[[#This Row],[Date rév.]]&lt;&gt;"", DAYS360(Tableau1[[#This Row],[Date rév.]],TODAY()),"")</f>
        <v/>
      </c>
      <c r="AC343" s="47" t="str">
        <f>IFERROR(INDEX(Chemin_accès!$B$11:$C$22,MATCH(Tableau1[[#This Row],[Type]],Chemin_accès!$C$11:$C$22,0),1),Chemin_accès!$B$11)</f>
        <v>\\stjn.local\trimet\Btechnique\Commun\BT Maint SCELLEMENT\205 - Préventifs\Modèles préventif\GammeDMS_7.MSCT.xlsm</v>
      </c>
      <c r="AD343" s="47" t="str">
        <f>Chemin_accès!$B$8&amp;Tableau1[[#This Row],[Localisation / Classement]]&amp;"\"&amp;Tableau1[[#This Row],[Poste technique]]&amp;"_"&amp;Tableau1[[#This Row],[Plan Entretien]]&amp;".xlsm"</f>
        <v>\\stjn.local\trimet\Btechnique\Commun\BT Maint SCELLEMENT\205 - Préventifs\Gammes 7.MSCT PE Tool\\_.xlsm</v>
      </c>
    </row>
    <row r="344" spans="1:30" x14ac:dyDescent="0.3">
      <c r="A344" s="44" t="str">
        <f t="shared" ca="1" si="5"/>
        <v>7.MSCT</v>
      </c>
      <c r="B3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4" s="46"/>
      <c r="D344" s="44"/>
      <c r="E344" s="44"/>
      <c r="F344" s="47"/>
      <c r="G344" s="47"/>
      <c r="H344" s="50"/>
      <c r="I344" s="50"/>
      <c r="J344" s="50"/>
      <c r="K344" s="50"/>
      <c r="L344" s="46"/>
      <c r="M344" s="47"/>
      <c r="N344" s="46"/>
      <c r="O344" s="46"/>
      <c r="P344" s="47"/>
      <c r="Q344" s="46"/>
      <c r="R344" s="46"/>
      <c r="S344" s="48"/>
      <c r="T344" s="61" t="str">
        <f>IF(Tableau1[[#This Row],[DMS_SAP]]="","",HYPERLINK(Tableau1[[#This Row],[Chemin fichier source]],"X"))</f>
        <v/>
      </c>
      <c r="U344" s="61" t="str">
        <f>IF(Tableau1[[#This Row],[Date rév.]]="","",HYPERLINK(Tableau1[[#This Row],[Lien document]],"X"))</f>
        <v/>
      </c>
      <c r="V344" s="47"/>
      <c r="W344" s="49" t="str">
        <f ca="1">Chemin_accès!$B$2&amp;Tableau1[[#This Row],[Poste Responsable]]&amp;"\"&amp;Tableau1[[#This Row],[Localisation / Classement]]&amp;"\"&amp;Tableau1[[#This Row],[Poste technique]]&amp;"_"&amp;Tableau1[[#This Row],[Plan Entretien]]&amp;".pdf"</f>
        <v>\\stjn.local\trimet\Donnees_Projets\Dms Sap\Maintenance\PlanEntretien\7.MSCT\\_.pdf</v>
      </c>
      <c r="X344" s="47"/>
      <c r="Y344" s="47"/>
      <c r="Z344" s="44" t="str">
        <f ca="1">IF(AND(Tableau1[[#This Row],[Charge]]&lt;&gt;0, Tableau1[[#This Row],[Nombre intervenants]]&lt;&gt;0,Tableau1[[#This Row],[Lien document]]&lt;&gt;0,Tableau1[[#This Row],[DMS_SAP]]&lt;&gt;0)=TRUE,"MIS A JOUR","")</f>
        <v/>
      </c>
      <c r="AA344" s="48"/>
      <c r="AB344" s="58" t="str">
        <f ca="1">IF(Tableau1[[#This Row],[Date rév.]]&lt;&gt;"", DAYS360(Tableau1[[#This Row],[Date rév.]],TODAY()),"")</f>
        <v/>
      </c>
      <c r="AC344" s="47" t="str">
        <f>IFERROR(INDEX(Chemin_accès!$B$11:$C$22,MATCH(Tableau1[[#This Row],[Type]],Chemin_accès!$C$11:$C$22,0),1),Chemin_accès!$B$11)</f>
        <v>\\stjn.local\trimet\Btechnique\Commun\BT Maint SCELLEMENT\205 - Préventifs\Modèles préventif\GammeDMS_7.MSCT.xlsm</v>
      </c>
      <c r="AD344" s="47" t="str">
        <f>Chemin_accès!$B$8&amp;Tableau1[[#This Row],[Localisation / Classement]]&amp;"\"&amp;Tableau1[[#This Row],[Poste technique]]&amp;"_"&amp;Tableau1[[#This Row],[Plan Entretien]]&amp;".xlsm"</f>
        <v>\\stjn.local\trimet\Btechnique\Commun\BT Maint SCELLEMENT\205 - Préventifs\Gammes 7.MSCT PE Tool\\_.xlsm</v>
      </c>
    </row>
    <row r="345" spans="1:30" x14ac:dyDescent="0.3">
      <c r="A345" s="44" t="str">
        <f t="shared" ca="1" si="5"/>
        <v>7.MSCT</v>
      </c>
      <c r="B3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5" s="46"/>
      <c r="D345" s="44"/>
      <c r="E345" s="44"/>
      <c r="F345" s="47"/>
      <c r="G345" s="47"/>
      <c r="H345" s="50"/>
      <c r="I345" s="50"/>
      <c r="J345" s="50"/>
      <c r="K345" s="50"/>
      <c r="L345" s="46"/>
      <c r="M345" s="47"/>
      <c r="N345" s="46"/>
      <c r="O345" s="46"/>
      <c r="P345" s="47"/>
      <c r="Q345" s="46"/>
      <c r="R345" s="46"/>
      <c r="S345" s="48"/>
      <c r="T345" s="61" t="str">
        <f>IF(Tableau1[[#This Row],[DMS_SAP]]="","",HYPERLINK(Tableau1[[#This Row],[Chemin fichier source]],"X"))</f>
        <v/>
      </c>
      <c r="U345" s="61" t="str">
        <f>IF(Tableau1[[#This Row],[Date rév.]]="","",HYPERLINK(Tableau1[[#This Row],[Lien document]],"X"))</f>
        <v/>
      </c>
      <c r="V345" s="47"/>
      <c r="W345" s="49" t="str">
        <f ca="1">Chemin_accès!$B$2&amp;Tableau1[[#This Row],[Poste Responsable]]&amp;"\"&amp;Tableau1[[#This Row],[Localisation / Classement]]&amp;"\"&amp;Tableau1[[#This Row],[Poste technique]]&amp;"_"&amp;Tableau1[[#This Row],[Plan Entretien]]&amp;".pdf"</f>
        <v>\\stjn.local\trimet\Donnees_Projets\Dms Sap\Maintenance\PlanEntretien\7.MSCT\\_.pdf</v>
      </c>
      <c r="X345" s="47"/>
      <c r="Y345" s="47"/>
      <c r="Z345" s="44" t="str">
        <f ca="1">IF(AND(Tableau1[[#This Row],[Charge]]&lt;&gt;0, Tableau1[[#This Row],[Nombre intervenants]]&lt;&gt;0,Tableau1[[#This Row],[Lien document]]&lt;&gt;0,Tableau1[[#This Row],[DMS_SAP]]&lt;&gt;0)=TRUE,"MIS A JOUR","")</f>
        <v/>
      </c>
      <c r="AA345" s="48"/>
      <c r="AB345" s="58" t="str">
        <f ca="1">IF(Tableau1[[#This Row],[Date rév.]]&lt;&gt;"", DAYS360(Tableau1[[#This Row],[Date rév.]],TODAY()),"")</f>
        <v/>
      </c>
      <c r="AC345" s="47" t="str">
        <f>IFERROR(INDEX(Chemin_accès!$B$11:$C$22,MATCH(Tableau1[[#This Row],[Type]],Chemin_accès!$C$11:$C$22,0),1),Chemin_accès!$B$11)</f>
        <v>\\stjn.local\trimet\Btechnique\Commun\BT Maint SCELLEMENT\205 - Préventifs\Modèles préventif\GammeDMS_7.MSCT.xlsm</v>
      </c>
      <c r="AD345" s="47" t="str">
        <f>Chemin_accès!$B$8&amp;Tableau1[[#This Row],[Localisation / Classement]]&amp;"\"&amp;Tableau1[[#This Row],[Poste technique]]&amp;"_"&amp;Tableau1[[#This Row],[Plan Entretien]]&amp;".xlsm"</f>
        <v>\\stjn.local\trimet\Btechnique\Commun\BT Maint SCELLEMENT\205 - Préventifs\Gammes 7.MSCT PE Tool\\_.xlsm</v>
      </c>
    </row>
    <row r="346" spans="1:30" x14ac:dyDescent="0.3">
      <c r="A346" s="44" t="str">
        <f t="shared" ca="1" si="5"/>
        <v>7.MSCT</v>
      </c>
      <c r="B3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6" s="46"/>
      <c r="D346" s="44"/>
      <c r="E346" s="44"/>
      <c r="F346" s="47"/>
      <c r="G346" s="47"/>
      <c r="H346" s="50"/>
      <c r="I346" s="50"/>
      <c r="J346" s="50"/>
      <c r="K346" s="50"/>
      <c r="L346" s="46"/>
      <c r="M346" s="47"/>
      <c r="N346" s="46"/>
      <c r="O346" s="46"/>
      <c r="P346" s="47"/>
      <c r="Q346" s="46"/>
      <c r="R346" s="46"/>
      <c r="S346" s="48"/>
      <c r="T346" s="61" t="str">
        <f>IF(Tableau1[[#This Row],[DMS_SAP]]="","",HYPERLINK(Tableau1[[#This Row],[Chemin fichier source]],"X"))</f>
        <v/>
      </c>
      <c r="U346" s="61" t="str">
        <f>IF(Tableau1[[#This Row],[Date rév.]]="","",HYPERLINK(Tableau1[[#This Row],[Lien document]],"X"))</f>
        <v/>
      </c>
      <c r="V346" s="47"/>
      <c r="W346" s="49" t="str">
        <f ca="1">Chemin_accès!$B$2&amp;Tableau1[[#This Row],[Poste Responsable]]&amp;"\"&amp;Tableau1[[#This Row],[Localisation / Classement]]&amp;"\"&amp;Tableau1[[#This Row],[Poste technique]]&amp;"_"&amp;Tableau1[[#This Row],[Plan Entretien]]&amp;".pdf"</f>
        <v>\\stjn.local\trimet\Donnees_Projets\Dms Sap\Maintenance\PlanEntretien\7.MSCT\\_.pdf</v>
      </c>
      <c r="X346" s="47"/>
      <c r="Y346" s="47"/>
      <c r="Z346" s="44" t="str">
        <f ca="1">IF(AND(Tableau1[[#This Row],[Charge]]&lt;&gt;0, Tableau1[[#This Row],[Nombre intervenants]]&lt;&gt;0,Tableau1[[#This Row],[Lien document]]&lt;&gt;0,Tableau1[[#This Row],[DMS_SAP]]&lt;&gt;0)=TRUE,"MIS A JOUR","")</f>
        <v/>
      </c>
      <c r="AA346" s="48"/>
      <c r="AB346" s="58" t="str">
        <f ca="1">IF(Tableau1[[#This Row],[Date rév.]]&lt;&gt;"", DAYS360(Tableau1[[#This Row],[Date rév.]],TODAY()),"")</f>
        <v/>
      </c>
      <c r="AC346" s="47" t="str">
        <f>IFERROR(INDEX(Chemin_accès!$B$11:$C$22,MATCH(Tableau1[[#This Row],[Type]],Chemin_accès!$C$11:$C$22,0),1),Chemin_accès!$B$11)</f>
        <v>\\stjn.local\trimet\Btechnique\Commun\BT Maint SCELLEMENT\205 - Préventifs\Modèles préventif\GammeDMS_7.MSCT.xlsm</v>
      </c>
      <c r="AD346" s="47" t="str">
        <f>Chemin_accès!$B$8&amp;Tableau1[[#This Row],[Localisation / Classement]]&amp;"\"&amp;Tableau1[[#This Row],[Poste technique]]&amp;"_"&amp;Tableau1[[#This Row],[Plan Entretien]]&amp;".xlsm"</f>
        <v>\\stjn.local\trimet\Btechnique\Commun\BT Maint SCELLEMENT\205 - Préventifs\Gammes 7.MSCT PE Tool\\_.xlsm</v>
      </c>
    </row>
    <row r="347" spans="1:30" x14ac:dyDescent="0.3">
      <c r="A347" s="44" t="str">
        <f t="shared" ca="1" si="5"/>
        <v>7.MSCT</v>
      </c>
      <c r="B3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7" s="46"/>
      <c r="D347" s="44"/>
      <c r="E347" s="44"/>
      <c r="F347" s="47"/>
      <c r="G347" s="47"/>
      <c r="H347" s="50"/>
      <c r="I347" s="50"/>
      <c r="J347" s="50"/>
      <c r="K347" s="50"/>
      <c r="L347" s="46"/>
      <c r="M347" s="47"/>
      <c r="N347" s="46"/>
      <c r="O347" s="46"/>
      <c r="P347" s="47"/>
      <c r="Q347" s="46"/>
      <c r="R347" s="46"/>
      <c r="S347" s="48"/>
      <c r="T347" s="61" t="str">
        <f>IF(Tableau1[[#This Row],[DMS_SAP]]="","",HYPERLINK(Tableau1[[#This Row],[Chemin fichier source]],"X"))</f>
        <v/>
      </c>
      <c r="U347" s="61" t="str">
        <f>IF(Tableau1[[#This Row],[Date rév.]]="","",HYPERLINK(Tableau1[[#This Row],[Lien document]],"X"))</f>
        <v/>
      </c>
      <c r="V347" s="47"/>
      <c r="W347" s="49" t="str">
        <f ca="1">Chemin_accès!$B$2&amp;Tableau1[[#This Row],[Poste Responsable]]&amp;"\"&amp;Tableau1[[#This Row],[Localisation / Classement]]&amp;"\"&amp;Tableau1[[#This Row],[Poste technique]]&amp;"_"&amp;Tableau1[[#This Row],[Plan Entretien]]&amp;".pdf"</f>
        <v>\\stjn.local\trimet\Donnees_Projets\Dms Sap\Maintenance\PlanEntretien\7.MSCT\\_.pdf</v>
      </c>
      <c r="X347" s="47"/>
      <c r="Y347" s="47"/>
      <c r="Z347" s="44" t="str">
        <f ca="1">IF(AND(Tableau1[[#This Row],[Charge]]&lt;&gt;0, Tableau1[[#This Row],[Nombre intervenants]]&lt;&gt;0,Tableau1[[#This Row],[Lien document]]&lt;&gt;0,Tableau1[[#This Row],[DMS_SAP]]&lt;&gt;0)=TRUE,"MIS A JOUR","")</f>
        <v/>
      </c>
      <c r="AA347" s="48"/>
      <c r="AB347" s="58" t="str">
        <f ca="1">IF(Tableau1[[#This Row],[Date rév.]]&lt;&gt;"", DAYS360(Tableau1[[#This Row],[Date rév.]],TODAY()),"")</f>
        <v/>
      </c>
      <c r="AC347" s="47" t="str">
        <f>IFERROR(INDEX(Chemin_accès!$B$11:$C$22,MATCH(Tableau1[[#This Row],[Type]],Chemin_accès!$C$11:$C$22,0),1),Chemin_accès!$B$11)</f>
        <v>\\stjn.local\trimet\Btechnique\Commun\BT Maint SCELLEMENT\205 - Préventifs\Modèles préventif\GammeDMS_7.MSCT.xlsm</v>
      </c>
      <c r="AD347" s="47" t="str">
        <f>Chemin_accès!$B$8&amp;Tableau1[[#This Row],[Localisation / Classement]]&amp;"\"&amp;Tableau1[[#This Row],[Poste technique]]&amp;"_"&amp;Tableau1[[#This Row],[Plan Entretien]]&amp;".xlsm"</f>
        <v>\\stjn.local\trimet\Btechnique\Commun\BT Maint SCELLEMENT\205 - Préventifs\Gammes 7.MSCT PE Tool\\_.xlsm</v>
      </c>
    </row>
    <row r="348" spans="1:30" x14ac:dyDescent="0.3">
      <c r="A348" s="44" t="str">
        <f t="shared" ca="1" si="5"/>
        <v>7.MSCT</v>
      </c>
      <c r="B3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8" s="46"/>
      <c r="D348" s="44"/>
      <c r="E348" s="44"/>
      <c r="F348" s="47"/>
      <c r="G348" s="47"/>
      <c r="H348" s="50"/>
      <c r="I348" s="50"/>
      <c r="J348" s="50"/>
      <c r="K348" s="50"/>
      <c r="L348" s="46"/>
      <c r="M348" s="47"/>
      <c r="N348" s="46"/>
      <c r="O348" s="46"/>
      <c r="P348" s="47"/>
      <c r="Q348" s="46"/>
      <c r="R348" s="46"/>
      <c r="S348" s="48"/>
      <c r="T348" s="61" t="str">
        <f>IF(Tableau1[[#This Row],[DMS_SAP]]="","",HYPERLINK(Tableau1[[#This Row],[Chemin fichier source]],"X"))</f>
        <v/>
      </c>
      <c r="U348" s="61" t="str">
        <f>IF(Tableau1[[#This Row],[Date rév.]]="","",HYPERLINK(Tableau1[[#This Row],[Lien document]],"X"))</f>
        <v/>
      </c>
      <c r="V348" s="47"/>
      <c r="W348" s="49" t="str">
        <f ca="1">Chemin_accès!$B$2&amp;Tableau1[[#This Row],[Poste Responsable]]&amp;"\"&amp;Tableau1[[#This Row],[Localisation / Classement]]&amp;"\"&amp;Tableau1[[#This Row],[Poste technique]]&amp;"_"&amp;Tableau1[[#This Row],[Plan Entretien]]&amp;".pdf"</f>
        <v>\\stjn.local\trimet\Donnees_Projets\Dms Sap\Maintenance\PlanEntretien\7.MSCT\\_.pdf</v>
      </c>
      <c r="X348" s="47"/>
      <c r="Y348" s="47"/>
      <c r="Z348" s="44" t="str">
        <f ca="1">IF(AND(Tableau1[[#This Row],[Charge]]&lt;&gt;0, Tableau1[[#This Row],[Nombre intervenants]]&lt;&gt;0,Tableau1[[#This Row],[Lien document]]&lt;&gt;0,Tableau1[[#This Row],[DMS_SAP]]&lt;&gt;0)=TRUE,"MIS A JOUR","")</f>
        <v/>
      </c>
      <c r="AA348" s="48"/>
      <c r="AB348" s="58" t="str">
        <f ca="1">IF(Tableau1[[#This Row],[Date rév.]]&lt;&gt;"", DAYS360(Tableau1[[#This Row],[Date rév.]],TODAY()),"")</f>
        <v/>
      </c>
      <c r="AC348" s="47" t="str">
        <f>IFERROR(INDEX(Chemin_accès!$B$11:$C$22,MATCH(Tableau1[[#This Row],[Type]],Chemin_accès!$C$11:$C$22,0),1),Chemin_accès!$B$11)</f>
        <v>\\stjn.local\trimet\Btechnique\Commun\BT Maint SCELLEMENT\205 - Préventifs\Modèles préventif\GammeDMS_7.MSCT.xlsm</v>
      </c>
      <c r="AD348" s="47" t="str">
        <f>Chemin_accès!$B$8&amp;Tableau1[[#This Row],[Localisation / Classement]]&amp;"\"&amp;Tableau1[[#This Row],[Poste technique]]&amp;"_"&amp;Tableau1[[#This Row],[Plan Entretien]]&amp;".xlsm"</f>
        <v>\\stjn.local\trimet\Btechnique\Commun\BT Maint SCELLEMENT\205 - Préventifs\Gammes 7.MSCT PE Tool\\_.xlsm</v>
      </c>
    </row>
    <row r="349" spans="1:30" x14ac:dyDescent="0.3">
      <c r="A349" s="44" t="str">
        <f t="shared" ca="1" si="5"/>
        <v>7.MSCT</v>
      </c>
      <c r="B3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9" s="46"/>
      <c r="D349" s="44"/>
      <c r="E349" s="44"/>
      <c r="F349" s="47"/>
      <c r="G349" s="47"/>
      <c r="H349" s="50"/>
      <c r="I349" s="50"/>
      <c r="J349" s="50"/>
      <c r="K349" s="50"/>
      <c r="L349" s="46"/>
      <c r="M349" s="47"/>
      <c r="N349" s="46"/>
      <c r="O349" s="46"/>
      <c r="P349" s="47"/>
      <c r="Q349" s="46"/>
      <c r="R349" s="46"/>
      <c r="S349" s="48"/>
      <c r="T349" s="61" t="str">
        <f>IF(Tableau1[[#This Row],[DMS_SAP]]="","",HYPERLINK(Tableau1[[#This Row],[Chemin fichier source]],"X"))</f>
        <v/>
      </c>
      <c r="U349" s="61" t="str">
        <f>IF(Tableau1[[#This Row],[Date rév.]]="","",HYPERLINK(Tableau1[[#This Row],[Lien document]],"X"))</f>
        <v/>
      </c>
      <c r="V349" s="47"/>
      <c r="W349" s="49" t="str">
        <f ca="1">Chemin_accès!$B$2&amp;Tableau1[[#This Row],[Poste Responsable]]&amp;"\"&amp;Tableau1[[#This Row],[Localisation / Classement]]&amp;"\"&amp;Tableau1[[#This Row],[Poste technique]]&amp;"_"&amp;Tableau1[[#This Row],[Plan Entretien]]&amp;".pdf"</f>
        <v>\\stjn.local\trimet\Donnees_Projets\Dms Sap\Maintenance\PlanEntretien\7.MSCT\\_.pdf</v>
      </c>
      <c r="X349" s="47"/>
      <c r="Y349" s="47"/>
      <c r="Z349" s="44" t="str">
        <f ca="1">IF(AND(Tableau1[[#This Row],[Charge]]&lt;&gt;0, Tableau1[[#This Row],[Nombre intervenants]]&lt;&gt;0,Tableau1[[#This Row],[Lien document]]&lt;&gt;0,Tableau1[[#This Row],[DMS_SAP]]&lt;&gt;0)=TRUE,"MIS A JOUR","")</f>
        <v/>
      </c>
      <c r="AA349" s="48"/>
      <c r="AB349" s="58" t="str">
        <f ca="1">IF(Tableau1[[#This Row],[Date rév.]]&lt;&gt;"", DAYS360(Tableau1[[#This Row],[Date rév.]],TODAY()),"")</f>
        <v/>
      </c>
      <c r="AC349" s="47" t="str">
        <f>IFERROR(INDEX(Chemin_accès!$B$11:$C$22,MATCH(Tableau1[[#This Row],[Type]],Chemin_accès!$C$11:$C$22,0),1),Chemin_accès!$B$11)</f>
        <v>\\stjn.local\trimet\Btechnique\Commun\BT Maint SCELLEMENT\205 - Préventifs\Modèles préventif\GammeDMS_7.MSCT.xlsm</v>
      </c>
      <c r="AD349" s="47" t="str">
        <f>Chemin_accès!$B$8&amp;Tableau1[[#This Row],[Localisation / Classement]]&amp;"\"&amp;Tableau1[[#This Row],[Poste technique]]&amp;"_"&amp;Tableau1[[#This Row],[Plan Entretien]]&amp;".xlsm"</f>
        <v>\\stjn.local\trimet\Btechnique\Commun\BT Maint SCELLEMENT\205 - Préventifs\Gammes 7.MSCT PE Tool\\_.xlsm</v>
      </c>
    </row>
    <row r="350" spans="1:30" x14ac:dyDescent="0.3">
      <c r="A350" s="44" t="str">
        <f t="shared" ca="1" si="5"/>
        <v>7.MSCT</v>
      </c>
      <c r="B3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0" s="46"/>
      <c r="D350" s="44"/>
      <c r="E350" s="44"/>
      <c r="F350" s="47"/>
      <c r="G350" s="47"/>
      <c r="H350" s="50"/>
      <c r="I350" s="50"/>
      <c r="J350" s="50"/>
      <c r="K350" s="50"/>
      <c r="L350" s="46"/>
      <c r="M350" s="47"/>
      <c r="N350" s="46"/>
      <c r="O350" s="46"/>
      <c r="P350" s="47"/>
      <c r="Q350" s="46"/>
      <c r="R350" s="46"/>
      <c r="S350" s="48"/>
      <c r="T350" s="61" t="str">
        <f>IF(Tableau1[[#This Row],[DMS_SAP]]="","",HYPERLINK(Tableau1[[#This Row],[Chemin fichier source]],"X"))</f>
        <v/>
      </c>
      <c r="U350" s="61" t="str">
        <f>IF(Tableau1[[#This Row],[Date rév.]]="","",HYPERLINK(Tableau1[[#This Row],[Lien document]],"X"))</f>
        <v/>
      </c>
      <c r="V350" s="47"/>
      <c r="W350" s="49" t="str">
        <f ca="1">Chemin_accès!$B$2&amp;Tableau1[[#This Row],[Poste Responsable]]&amp;"\"&amp;Tableau1[[#This Row],[Localisation / Classement]]&amp;"\"&amp;Tableau1[[#This Row],[Poste technique]]&amp;"_"&amp;Tableau1[[#This Row],[Plan Entretien]]&amp;".pdf"</f>
        <v>\\stjn.local\trimet\Donnees_Projets\Dms Sap\Maintenance\PlanEntretien\7.MSCT\\_.pdf</v>
      </c>
      <c r="X350" s="47"/>
      <c r="Y350" s="47"/>
      <c r="Z350" s="44" t="str">
        <f ca="1">IF(AND(Tableau1[[#This Row],[Charge]]&lt;&gt;0, Tableau1[[#This Row],[Nombre intervenants]]&lt;&gt;0,Tableau1[[#This Row],[Lien document]]&lt;&gt;0,Tableau1[[#This Row],[DMS_SAP]]&lt;&gt;0)=TRUE,"MIS A JOUR","")</f>
        <v/>
      </c>
      <c r="AA350" s="48"/>
      <c r="AB350" s="58" t="str">
        <f ca="1">IF(Tableau1[[#This Row],[Date rév.]]&lt;&gt;"", DAYS360(Tableau1[[#This Row],[Date rév.]],TODAY()),"")</f>
        <v/>
      </c>
      <c r="AC350" s="47" t="str">
        <f>IFERROR(INDEX(Chemin_accès!$B$11:$C$22,MATCH(Tableau1[[#This Row],[Type]],Chemin_accès!$C$11:$C$22,0),1),Chemin_accès!$B$11)</f>
        <v>\\stjn.local\trimet\Btechnique\Commun\BT Maint SCELLEMENT\205 - Préventifs\Modèles préventif\GammeDMS_7.MSCT.xlsm</v>
      </c>
      <c r="AD350" s="47" t="str">
        <f>Chemin_accès!$B$8&amp;Tableau1[[#This Row],[Localisation / Classement]]&amp;"\"&amp;Tableau1[[#This Row],[Poste technique]]&amp;"_"&amp;Tableau1[[#This Row],[Plan Entretien]]&amp;".xlsm"</f>
        <v>\\stjn.local\trimet\Btechnique\Commun\BT Maint SCELLEMENT\205 - Préventifs\Gammes 7.MSCT PE Tool\\_.xlsm</v>
      </c>
    </row>
    <row r="351" spans="1:30" x14ac:dyDescent="0.3">
      <c r="A351" s="44" t="str">
        <f t="shared" ca="1" si="5"/>
        <v>7.MSCT</v>
      </c>
      <c r="B3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1" s="46"/>
      <c r="D351" s="44"/>
      <c r="E351" s="44"/>
      <c r="F351" s="47"/>
      <c r="G351" s="47"/>
      <c r="H351" s="50"/>
      <c r="I351" s="50"/>
      <c r="J351" s="50"/>
      <c r="K351" s="50"/>
      <c r="L351" s="46"/>
      <c r="M351" s="47"/>
      <c r="N351" s="46"/>
      <c r="O351" s="46"/>
      <c r="P351" s="47"/>
      <c r="Q351" s="46"/>
      <c r="R351" s="46"/>
      <c r="S351" s="48"/>
      <c r="T351" s="61" t="str">
        <f>IF(Tableau1[[#This Row],[DMS_SAP]]="","",HYPERLINK(Tableau1[[#This Row],[Chemin fichier source]],"X"))</f>
        <v/>
      </c>
      <c r="U351" s="61" t="str">
        <f>IF(Tableau1[[#This Row],[Date rév.]]="","",HYPERLINK(Tableau1[[#This Row],[Lien document]],"X"))</f>
        <v/>
      </c>
      <c r="V351" s="47"/>
      <c r="W351" s="49" t="str">
        <f ca="1">Chemin_accès!$B$2&amp;Tableau1[[#This Row],[Poste Responsable]]&amp;"\"&amp;Tableau1[[#This Row],[Localisation / Classement]]&amp;"\"&amp;Tableau1[[#This Row],[Poste technique]]&amp;"_"&amp;Tableau1[[#This Row],[Plan Entretien]]&amp;".pdf"</f>
        <v>\\stjn.local\trimet\Donnees_Projets\Dms Sap\Maintenance\PlanEntretien\7.MSCT\\_.pdf</v>
      </c>
      <c r="X351" s="47"/>
      <c r="Y351" s="47"/>
      <c r="Z351" s="44" t="str">
        <f ca="1">IF(AND(Tableau1[[#This Row],[Charge]]&lt;&gt;0, Tableau1[[#This Row],[Nombre intervenants]]&lt;&gt;0,Tableau1[[#This Row],[Lien document]]&lt;&gt;0,Tableau1[[#This Row],[DMS_SAP]]&lt;&gt;0)=TRUE,"MIS A JOUR","")</f>
        <v/>
      </c>
      <c r="AA351" s="48"/>
      <c r="AB351" s="58" t="str">
        <f ca="1">IF(Tableau1[[#This Row],[Date rév.]]&lt;&gt;"", DAYS360(Tableau1[[#This Row],[Date rév.]],TODAY()),"")</f>
        <v/>
      </c>
      <c r="AC351" s="47" t="str">
        <f>IFERROR(INDEX(Chemin_accès!$B$11:$C$22,MATCH(Tableau1[[#This Row],[Type]],Chemin_accès!$C$11:$C$22,0),1),Chemin_accès!$B$11)</f>
        <v>\\stjn.local\trimet\Btechnique\Commun\BT Maint SCELLEMENT\205 - Préventifs\Modèles préventif\GammeDMS_7.MSCT.xlsm</v>
      </c>
      <c r="AD351" s="47" t="str">
        <f>Chemin_accès!$B$8&amp;Tableau1[[#This Row],[Localisation / Classement]]&amp;"\"&amp;Tableau1[[#This Row],[Poste technique]]&amp;"_"&amp;Tableau1[[#This Row],[Plan Entretien]]&amp;".xlsm"</f>
        <v>\\stjn.local\trimet\Btechnique\Commun\BT Maint SCELLEMENT\205 - Préventifs\Gammes 7.MSCT PE Tool\\_.xlsm</v>
      </c>
    </row>
    <row r="352" spans="1:30" x14ac:dyDescent="0.3">
      <c r="A352" s="44" t="str">
        <f t="shared" ca="1" si="5"/>
        <v>7.MSCT</v>
      </c>
      <c r="B3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2" s="46"/>
      <c r="D352" s="44"/>
      <c r="E352" s="44"/>
      <c r="F352" s="47"/>
      <c r="G352" s="47"/>
      <c r="H352" s="50"/>
      <c r="I352" s="50"/>
      <c r="J352" s="50"/>
      <c r="K352" s="50"/>
      <c r="L352" s="46"/>
      <c r="M352" s="47"/>
      <c r="N352" s="46"/>
      <c r="O352" s="46"/>
      <c r="P352" s="47"/>
      <c r="Q352" s="46"/>
      <c r="R352" s="46"/>
      <c r="S352" s="48"/>
      <c r="T352" s="61" t="str">
        <f>IF(Tableau1[[#This Row],[DMS_SAP]]="","",HYPERLINK(Tableau1[[#This Row],[Chemin fichier source]],"X"))</f>
        <v/>
      </c>
      <c r="U352" s="61" t="str">
        <f>IF(Tableau1[[#This Row],[Date rév.]]="","",HYPERLINK(Tableau1[[#This Row],[Lien document]],"X"))</f>
        <v/>
      </c>
      <c r="V352" s="47"/>
      <c r="W352" s="49" t="str">
        <f ca="1">Chemin_accès!$B$2&amp;Tableau1[[#This Row],[Poste Responsable]]&amp;"\"&amp;Tableau1[[#This Row],[Localisation / Classement]]&amp;"\"&amp;Tableau1[[#This Row],[Poste technique]]&amp;"_"&amp;Tableau1[[#This Row],[Plan Entretien]]&amp;".pdf"</f>
        <v>\\stjn.local\trimet\Donnees_Projets\Dms Sap\Maintenance\PlanEntretien\7.MSCT\\_.pdf</v>
      </c>
      <c r="X352" s="47"/>
      <c r="Y352" s="47"/>
      <c r="Z352" s="44" t="str">
        <f ca="1">IF(AND(Tableau1[[#This Row],[Charge]]&lt;&gt;0, Tableau1[[#This Row],[Nombre intervenants]]&lt;&gt;0,Tableau1[[#This Row],[Lien document]]&lt;&gt;0,Tableau1[[#This Row],[DMS_SAP]]&lt;&gt;0)=TRUE,"MIS A JOUR","")</f>
        <v/>
      </c>
      <c r="AA352" s="48"/>
      <c r="AB352" s="58" t="str">
        <f ca="1">IF(Tableau1[[#This Row],[Date rév.]]&lt;&gt;"", DAYS360(Tableau1[[#This Row],[Date rév.]],TODAY()),"")</f>
        <v/>
      </c>
      <c r="AC352" s="47" t="str">
        <f>IFERROR(INDEX(Chemin_accès!$B$11:$C$22,MATCH(Tableau1[[#This Row],[Type]],Chemin_accès!$C$11:$C$22,0),1),Chemin_accès!$B$11)</f>
        <v>\\stjn.local\trimet\Btechnique\Commun\BT Maint SCELLEMENT\205 - Préventifs\Modèles préventif\GammeDMS_7.MSCT.xlsm</v>
      </c>
      <c r="AD352" s="47" t="str">
        <f>Chemin_accès!$B$8&amp;Tableau1[[#This Row],[Localisation / Classement]]&amp;"\"&amp;Tableau1[[#This Row],[Poste technique]]&amp;"_"&amp;Tableau1[[#This Row],[Plan Entretien]]&amp;".xlsm"</f>
        <v>\\stjn.local\trimet\Btechnique\Commun\BT Maint SCELLEMENT\205 - Préventifs\Gammes 7.MSCT PE Tool\\_.xlsm</v>
      </c>
    </row>
    <row r="353" spans="1:30" x14ac:dyDescent="0.3">
      <c r="A353" s="44" t="str">
        <f t="shared" ca="1" si="5"/>
        <v>7.MSCT</v>
      </c>
      <c r="B3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3" s="46"/>
      <c r="D353" s="44"/>
      <c r="E353" s="44"/>
      <c r="F353" s="47"/>
      <c r="G353" s="47"/>
      <c r="H353" s="50"/>
      <c r="I353" s="50"/>
      <c r="J353" s="50"/>
      <c r="K353" s="50"/>
      <c r="L353" s="46"/>
      <c r="M353" s="47"/>
      <c r="N353" s="46"/>
      <c r="O353" s="46"/>
      <c r="P353" s="47"/>
      <c r="Q353" s="46"/>
      <c r="R353" s="46"/>
      <c r="S353" s="48"/>
      <c r="T353" s="61" t="str">
        <f>IF(Tableau1[[#This Row],[DMS_SAP]]="","",HYPERLINK(Tableau1[[#This Row],[Chemin fichier source]],"X"))</f>
        <v/>
      </c>
      <c r="U353" s="61" t="str">
        <f>IF(Tableau1[[#This Row],[Date rév.]]="","",HYPERLINK(Tableau1[[#This Row],[Lien document]],"X"))</f>
        <v/>
      </c>
      <c r="V353" s="47"/>
      <c r="W353" s="49" t="str">
        <f ca="1">Chemin_accès!$B$2&amp;Tableau1[[#This Row],[Poste Responsable]]&amp;"\"&amp;Tableau1[[#This Row],[Localisation / Classement]]&amp;"\"&amp;Tableau1[[#This Row],[Poste technique]]&amp;"_"&amp;Tableau1[[#This Row],[Plan Entretien]]&amp;".pdf"</f>
        <v>\\stjn.local\trimet\Donnees_Projets\Dms Sap\Maintenance\PlanEntretien\7.MSCT\\_.pdf</v>
      </c>
      <c r="X353" s="47"/>
      <c r="Y353" s="47"/>
      <c r="Z353" s="44" t="str">
        <f ca="1">IF(AND(Tableau1[[#This Row],[Charge]]&lt;&gt;0, Tableau1[[#This Row],[Nombre intervenants]]&lt;&gt;0,Tableau1[[#This Row],[Lien document]]&lt;&gt;0,Tableau1[[#This Row],[DMS_SAP]]&lt;&gt;0)=TRUE,"MIS A JOUR","")</f>
        <v/>
      </c>
      <c r="AA353" s="48"/>
      <c r="AB353" s="58" t="str">
        <f ca="1">IF(Tableau1[[#This Row],[Date rév.]]&lt;&gt;"", DAYS360(Tableau1[[#This Row],[Date rév.]],TODAY()),"")</f>
        <v/>
      </c>
      <c r="AC353" s="47" t="str">
        <f>IFERROR(INDEX(Chemin_accès!$B$11:$C$22,MATCH(Tableau1[[#This Row],[Type]],Chemin_accès!$C$11:$C$22,0),1),Chemin_accès!$B$11)</f>
        <v>\\stjn.local\trimet\Btechnique\Commun\BT Maint SCELLEMENT\205 - Préventifs\Modèles préventif\GammeDMS_7.MSCT.xlsm</v>
      </c>
      <c r="AD353" s="47" t="str">
        <f>Chemin_accès!$B$8&amp;Tableau1[[#This Row],[Localisation / Classement]]&amp;"\"&amp;Tableau1[[#This Row],[Poste technique]]&amp;"_"&amp;Tableau1[[#This Row],[Plan Entretien]]&amp;".xlsm"</f>
        <v>\\stjn.local\trimet\Btechnique\Commun\BT Maint SCELLEMENT\205 - Préventifs\Gammes 7.MSCT PE Tool\\_.xlsm</v>
      </c>
    </row>
    <row r="354" spans="1:30" x14ac:dyDescent="0.3">
      <c r="A354" s="44" t="str">
        <f t="shared" ca="1" si="5"/>
        <v>7.MSCT</v>
      </c>
      <c r="B3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4" s="46"/>
      <c r="D354" s="44"/>
      <c r="E354" s="44"/>
      <c r="F354" s="47"/>
      <c r="G354" s="47"/>
      <c r="H354" s="50"/>
      <c r="I354" s="50"/>
      <c r="J354" s="50"/>
      <c r="K354" s="50"/>
      <c r="L354" s="46"/>
      <c r="M354" s="47"/>
      <c r="N354" s="46"/>
      <c r="O354" s="46"/>
      <c r="P354" s="47"/>
      <c r="Q354" s="46"/>
      <c r="R354" s="46"/>
      <c r="S354" s="48"/>
      <c r="T354" s="61" t="str">
        <f>IF(Tableau1[[#This Row],[DMS_SAP]]="","",HYPERLINK(Tableau1[[#This Row],[Chemin fichier source]],"X"))</f>
        <v/>
      </c>
      <c r="U354" s="61" t="str">
        <f>IF(Tableau1[[#This Row],[Date rév.]]="","",HYPERLINK(Tableau1[[#This Row],[Lien document]],"X"))</f>
        <v/>
      </c>
      <c r="V354" s="47"/>
      <c r="W354" s="49" t="str">
        <f ca="1">Chemin_accès!$B$2&amp;Tableau1[[#This Row],[Poste Responsable]]&amp;"\"&amp;Tableau1[[#This Row],[Localisation / Classement]]&amp;"\"&amp;Tableau1[[#This Row],[Poste technique]]&amp;"_"&amp;Tableau1[[#This Row],[Plan Entretien]]&amp;".pdf"</f>
        <v>\\stjn.local\trimet\Donnees_Projets\Dms Sap\Maintenance\PlanEntretien\7.MSCT\\_.pdf</v>
      </c>
      <c r="X354" s="47"/>
      <c r="Y354" s="47"/>
      <c r="Z354" s="44" t="str">
        <f ca="1">IF(AND(Tableau1[[#This Row],[Charge]]&lt;&gt;0, Tableau1[[#This Row],[Nombre intervenants]]&lt;&gt;0,Tableau1[[#This Row],[Lien document]]&lt;&gt;0,Tableau1[[#This Row],[DMS_SAP]]&lt;&gt;0)=TRUE,"MIS A JOUR","")</f>
        <v/>
      </c>
      <c r="AA354" s="48"/>
      <c r="AB354" s="58" t="str">
        <f ca="1">IF(Tableau1[[#This Row],[Date rév.]]&lt;&gt;"", DAYS360(Tableau1[[#This Row],[Date rév.]],TODAY()),"")</f>
        <v/>
      </c>
      <c r="AC354" s="47" t="str">
        <f>IFERROR(INDEX(Chemin_accès!$B$11:$C$22,MATCH(Tableau1[[#This Row],[Type]],Chemin_accès!$C$11:$C$22,0),1),Chemin_accès!$B$11)</f>
        <v>\\stjn.local\trimet\Btechnique\Commun\BT Maint SCELLEMENT\205 - Préventifs\Modèles préventif\GammeDMS_7.MSCT.xlsm</v>
      </c>
      <c r="AD354" s="47" t="str">
        <f>Chemin_accès!$B$8&amp;Tableau1[[#This Row],[Localisation / Classement]]&amp;"\"&amp;Tableau1[[#This Row],[Poste technique]]&amp;"_"&amp;Tableau1[[#This Row],[Plan Entretien]]&amp;".xlsm"</f>
        <v>\\stjn.local\trimet\Btechnique\Commun\BT Maint SCELLEMENT\205 - Préventifs\Gammes 7.MSCT PE Tool\\_.xlsm</v>
      </c>
    </row>
    <row r="355" spans="1:30" x14ac:dyDescent="0.3">
      <c r="A355" s="44" t="str">
        <f t="shared" ca="1" si="5"/>
        <v>7.MSCT</v>
      </c>
      <c r="B3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5" s="46"/>
      <c r="D355" s="44"/>
      <c r="E355" s="44"/>
      <c r="F355" s="47"/>
      <c r="G355" s="47"/>
      <c r="H355" s="50"/>
      <c r="I355" s="50"/>
      <c r="J355" s="50"/>
      <c r="K355" s="50"/>
      <c r="L355" s="46"/>
      <c r="M355" s="47"/>
      <c r="N355" s="46"/>
      <c r="O355" s="46"/>
      <c r="P355" s="47"/>
      <c r="Q355" s="46"/>
      <c r="R355" s="46"/>
      <c r="S355" s="48"/>
      <c r="T355" s="61" t="str">
        <f>IF(Tableau1[[#This Row],[DMS_SAP]]="","",HYPERLINK(Tableau1[[#This Row],[Chemin fichier source]],"X"))</f>
        <v/>
      </c>
      <c r="U355" s="61" t="str">
        <f>IF(Tableau1[[#This Row],[Date rév.]]="","",HYPERLINK(Tableau1[[#This Row],[Lien document]],"X"))</f>
        <v/>
      </c>
      <c r="V355" s="47"/>
      <c r="W355" s="49" t="str">
        <f ca="1">Chemin_accès!$B$2&amp;Tableau1[[#This Row],[Poste Responsable]]&amp;"\"&amp;Tableau1[[#This Row],[Localisation / Classement]]&amp;"\"&amp;Tableau1[[#This Row],[Poste technique]]&amp;"_"&amp;Tableau1[[#This Row],[Plan Entretien]]&amp;".pdf"</f>
        <v>\\stjn.local\trimet\Donnees_Projets\Dms Sap\Maintenance\PlanEntretien\7.MSCT\\_.pdf</v>
      </c>
      <c r="X355" s="47"/>
      <c r="Y355" s="47"/>
      <c r="Z355" s="44" t="str">
        <f ca="1">IF(AND(Tableau1[[#This Row],[Charge]]&lt;&gt;0, Tableau1[[#This Row],[Nombre intervenants]]&lt;&gt;0,Tableau1[[#This Row],[Lien document]]&lt;&gt;0,Tableau1[[#This Row],[DMS_SAP]]&lt;&gt;0)=TRUE,"MIS A JOUR","")</f>
        <v/>
      </c>
      <c r="AA355" s="48"/>
      <c r="AB355" s="58" t="str">
        <f ca="1">IF(Tableau1[[#This Row],[Date rév.]]&lt;&gt;"", DAYS360(Tableau1[[#This Row],[Date rév.]],TODAY()),"")</f>
        <v/>
      </c>
      <c r="AC355" s="47" t="str">
        <f>IFERROR(INDEX(Chemin_accès!$B$11:$C$22,MATCH(Tableau1[[#This Row],[Type]],Chemin_accès!$C$11:$C$22,0),1),Chemin_accès!$B$11)</f>
        <v>\\stjn.local\trimet\Btechnique\Commun\BT Maint SCELLEMENT\205 - Préventifs\Modèles préventif\GammeDMS_7.MSCT.xlsm</v>
      </c>
      <c r="AD355" s="47" t="str">
        <f>Chemin_accès!$B$8&amp;Tableau1[[#This Row],[Localisation / Classement]]&amp;"\"&amp;Tableau1[[#This Row],[Poste technique]]&amp;"_"&amp;Tableau1[[#This Row],[Plan Entretien]]&amp;".xlsm"</f>
        <v>\\stjn.local\trimet\Btechnique\Commun\BT Maint SCELLEMENT\205 - Préventifs\Gammes 7.MSCT PE Tool\\_.xlsm</v>
      </c>
    </row>
    <row r="356" spans="1:30" x14ac:dyDescent="0.3">
      <c r="A356" s="44" t="str">
        <f t="shared" ca="1" si="5"/>
        <v>7.MSCT</v>
      </c>
      <c r="B3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6" s="46"/>
      <c r="D356" s="44"/>
      <c r="E356" s="44"/>
      <c r="F356" s="47"/>
      <c r="G356" s="47"/>
      <c r="H356" s="50"/>
      <c r="I356" s="50"/>
      <c r="J356" s="50"/>
      <c r="K356" s="50"/>
      <c r="L356" s="46"/>
      <c r="M356" s="47"/>
      <c r="N356" s="46"/>
      <c r="O356" s="46"/>
      <c r="P356" s="47"/>
      <c r="Q356" s="46"/>
      <c r="R356" s="46"/>
      <c r="S356" s="48"/>
      <c r="T356" s="61" t="str">
        <f>IF(Tableau1[[#This Row],[DMS_SAP]]="","",HYPERLINK(Tableau1[[#This Row],[Chemin fichier source]],"X"))</f>
        <v/>
      </c>
      <c r="U356" s="61" t="str">
        <f>IF(Tableau1[[#This Row],[Date rév.]]="","",HYPERLINK(Tableau1[[#This Row],[Lien document]],"X"))</f>
        <v/>
      </c>
      <c r="V356" s="47"/>
      <c r="W356" s="49" t="str">
        <f ca="1">Chemin_accès!$B$2&amp;Tableau1[[#This Row],[Poste Responsable]]&amp;"\"&amp;Tableau1[[#This Row],[Localisation / Classement]]&amp;"\"&amp;Tableau1[[#This Row],[Poste technique]]&amp;"_"&amp;Tableau1[[#This Row],[Plan Entretien]]&amp;".pdf"</f>
        <v>\\stjn.local\trimet\Donnees_Projets\Dms Sap\Maintenance\PlanEntretien\7.MSCT\\_.pdf</v>
      </c>
      <c r="X356" s="47"/>
      <c r="Y356" s="47"/>
      <c r="Z356" s="44" t="str">
        <f ca="1">IF(AND(Tableau1[[#This Row],[Charge]]&lt;&gt;0, Tableau1[[#This Row],[Nombre intervenants]]&lt;&gt;0,Tableau1[[#This Row],[Lien document]]&lt;&gt;0,Tableau1[[#This Row],[DMS_SAP]]&lt;&gt;0)=TRUE,"MIS A JOUR","")</f>
        <v/>
      </c>
      <c r="AA356" s="48"/>
      <c r="AB356" s="58" t="str">
        <f ca="1">IF(Tableau1[[#This Row],[Date rév.]]&lt;&gt;"", DAYS360(Tableau1[[#This Row],[Date rév.]],TODAY()),"")</f>
        <v/>
      </c>
      <c r="AC356" s="47" t="str">
        <f>IFERROR(INDEX(Chemin_accès!$B$11:$C$22,MATCH(Tableau1[[#This Row],[Type]],Chemin_accès!$C$11:$C$22,0),1),Chemin_accès!$B$11)</f>
        <v>\\stjn.local\trimet\Btechnique\Commun\BT Maint SCELLEMENT\205 - Préventifs\Modèles préventif\GammeDMS_7.MSCT.xlsm</v>
      </c>
      <c r="AD356" s="47" t="str">
        <f>Chemin_accès!$B$8&amp;Tableau1[[#This Row],[Localisation / Classement]]&amp;"\"&amp;Tableau1[[#This Row],[Poste technique]]&amp;"_"&amp;Tableau1[[#This Row],[Plan Entretien]]&amp;".xlsm"</f>
        <v>\\stjn.local\trimet\Btechnique\Commun\BT Maint SCELLEMENT\205 - Préventifs\Gammes 7.MSCT PE Tool\\_.xlsm</v>
      </c>
    </row>
    <row r="357" spans="1:30" x14ac:dyDescent="0.3">
      <c r="A357" s="44" t="str">
        <f t="shared" ca="1" si="5"/>
        <v>7.MSCT</v>
      </c>
      <c r="B3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7" s="46"/>
      <c r="D357" s="44"/>
      <c r="E357" s="44"/>
      <c r="F357" s="47"/>
      <c r="G357" s="47"/>
      <c r="H357" s="50"/>
      <c r="I357" s="50"/>
      <c r="J357" s="50"/>
      <c r="K357" s="50"/>
      <c r="L357" s="46"/>
      <c r="M357" s="47"/>
      <c r="N357" s="46"/>
      <c r="O357" s="46"/>
      <c r="P357" s="47"/>
      <c r="Q357" s="46"/>
      <c r="R357" s="46"/>
      <c r="S357" s="48"/>
      <c r="T357" s="61" t="str">
        <f>IF(Tableau1[[#This Row],[DMS_SAP]]="","",HYPERLINK(Tableau1[[#This Row],[Chemin fichier source]],"X"))</f>
        <v/>
      </c>
      <c r="U357" s="61" t="str">
        <f>IF(Tableau1[[#This Row],[Date rév.]]="","",HYPERLINK(Tableau1[[#This Row],[Lien document]],"X"))</f>
        <v/>
      </c>
      <c r="V357" s="47"/>
      <c r="W357" s="49" t="str">
        <f ca="1">Chemin_accès!$B$2&amp;Tableau1[[#This Row],[Poste Responsable]]&amp;"\"&amp;Tableau1[[#This Row],[Localisation / Classement]]&amp;"\"&amp;Tableau1[[#This Row],[Poste technique]]&amp;"_"&amp;Tableau1[[#This Row],[Plan Entretien]]&amp;".pdf"</f>
        <v>\\stjn.local\trimet\Donnees_Projets\Dms Sap\Maintenance\PlanEntretien\7.MSCT\\_.pdf</v>
      </c>
      <c r="X357" s="47"/>
      <c r="Y357" s="47"/>
      <c r="Z357" s="44" t="str">
        <f ca="1">IF(AND(Tableau1[[#This Row],[Charge]]&lt;&gt;0, Tableau1[[#This Row],[Nombre intervenants]]&lt;&gt;0,Tableau1[[#This Row],[Lien document]]&lt;&gt;0,Tableau1[[#This Row],[DMS_SAP]]&lt;&gt;0)=TRUE,"MIS A JOUR","")</f>
        <v/>
      </c>
      <c r="AA357" s="48"/>
      <c r="AB357" s="58" t="str">
        <f ca="1">IF(Tableau1[[#This Row],[Date rév.]]&lt;&gt;"", DAYS360(Tableau1[[#This Row],[Date rév.]],TODAY()),"")</f>
        <v/>
      </c>
      <c r="AC357" s="47" t="str">
        <f>IFERROR(INDEX(Chemin_accès!$B$11:$C$22,MATCH(Tableau1[[#This Row],[Type]],Chemin_accès!$C$11:$C$22,0),1),Chemin_accès!$B$11)</f>
        <v>\\stjn.local\trimet\Btechnique\Commun\BT Maint SCELLEMENT\205 - Préventifs\Modèles préventif\GammeDMS_7.MSCT.xlsm</v>
      </c>
      <c r="AD357" s="47" t="str">
        <f>Chemin_accès!$B$8&amp;Tableau1[[#This Row],[Localisation / Classement]]&amp;"\"&amp;Tableau1[[#This Row],[Poste technique]]&amp;"_"&amp;Tableau1[[#This Row],[Plan Entretien]]&amp;".xlsm"</f>
        <v>\\stjn.local\trimet\Btechnique\Commun\BT Maint SCELLEMENT\205 - Préventifs\Gammes 7.MSCT PE Tool\\_.xlsm</v>
      </c>
    </row>
    <row r="358" spans="1:30" x14ac:dyDescent="0.3">
      <c r="A358" s="44" t="str">
        <f t="shared" ca="1" si="5"/>
        <v>7.MSCT</v>
      </c>
      <c r="B3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8" s="46"/>
      <c r="D358" s="44"/>
      <c r="E358" s="44"/>
      <c r="F358" s="47"/>
      <c r="G358" s="47"/>
      <c r="H358" s="50"/>
      <c r="I358" s="50"/>
      <c r="J358" s="50"/>
      <c r="K358" s="50"/>
      <c r="L358" s="46"/>
      <c r="M358" s="47"/>
      <c r="N358" s="46"/>
      <c r="O358" s="46"/>
      <c r="P358" s="47"/>
      <c r="Q358" s="46"/>
      <c r="R358" s="46"/>
      <c r="S358" s="48"/>
      <c r="T358" s="61" t="str">
        <f>IF(Tableau1[[#This Row],[DMS_SAP]]="","",HYPERLINK(Tableau1[[#This Row],[Chemin fichier source]],"X"))</f>
        <v/>
      </c>
      <c r="U358" s="61" t="str">
        <f>IF(Tableau1[[#This Row],[Date rév.]]="","",HYPERLINK(Tableau1[[#This Row],[Lien document]],"X"))</f>
        <v/>
      </c>
      <c r="V358" s="47"/>
      <c r="W358" s="49" t="str">
        <f ca="1">Chemin_accès!$B$2&amp;Tableau1[[#This Row],[Poste Responsable]]&amp;"\"&amp;Tableau1[[#This Row],[Localisation / Classement]]&amp;"\"&amp;Tableau1[[#This Row],[Poste technique]]&amp;"_"&amp;Tableau1[[#This Row],[Plan Entretien]]&amp;".pdf"</f>
        <v>\\stjn.local\trimet\Donnees_Projets\Dms Sap\Maintenance\PlanEntretien\7.MSCT\\_.pdf</v>
      </c>
      <c r="X358" s="47"/>
      <c r="Y358" s="47"/>
      <c r="Z358" s="44" t="str">
        <f ca="1">IF(AND(Tableau1[[#This Row],[Charge]]&lt;&gt;0, Tableau1[[#This Row],[Nombre intervenants]]&lt;&gt;0,Tableau1[[#This Row],[Lien document]]&lt;&gt;0,Tableau1[[#This Row],[DMS_SAP]]&lt;&gt;0)=TRUE,"MIS A JOUR","")</f>
        <v/>
      </c>
      <c r="AA358" s="48"/>
      <c r="AB358" s="58" t="str">
        <f ca="1">IF(Tableau1[[#This Row],[Date rév.]]&lt;&gt;"", DAYS360(Tableau1[[#This Row],[Date rév.]],TODAY()),"")</f>
        <v/>
      </c>
      <c r="AC358" s="47" t="str">
        <f>IFERROR(INDEX(Chemin_accès!$B$11:$C$22,MATCH(Tableau1[[#This Row],[Type]],Chemin_accès!$C$11:$C$22,0),1),Chemin_accès!$B$11)</f>
        <v>\\stjn.local\trimet\Btechnique\Commun\BT Maint SCELLEMENT\205 - Préventifs\Modèles préventif\GammeDMS_7.MSCT.xlsm</v>
      </c>
      <c r="AD358" s="47" t="str">
        <f>Chemin_accès!$B$8&amp;Tableau1[[#This Row],[Localisation / Classement]]&amp;"\"&amp;Tableau1[[#This Row],[Poste technique]]&amp;"_"&amp;Tableau1[[#This Row],[Plan Entretien]]&amp;".xlsm"</f>
        <v>\\stjn.local\trimet\Btechnique\Commun\BT Maint SCELLEMENT\205 - Préventifs\Gammes 7.MSCT PE Tool\\_.xlsm</v>
      </c>
    </row>
    <row r="359" spans="1:30" x14ac:dyDescent="0.3">
      <c r="A359" s="44" t="str">
        <f t="shared" ca="1" si="5"/>
        <v>7.MSCT</v>
      </c>
      <c r="B3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59" s="46"/>
      <c r="D359" s="44"/>
      <c r="E359" s="44"/>
      <c r="F359" s="47"/>
      <c r="G359" s="47"/>
      <c r="H359" s="50"/>
      <c r="I359" s="50"/>
      <c r="J359" s="50"/>
      <c r="K359" s="50"/>
      <c r="L359" s="46"/>
      <c r="M359" s="47"/>
      <c r="N359" s="46"/>
      <c r="O359" s="46"/>
      <c r="P359" s="47"/>
      <c r="Q359" s="46"/>
      <c r="R359" s="46"/>
      <c r="S359" s="48"/>
      <c r="T359" s="61" t="str">
        <f>IF(Tableau1[[#This Row],[DMS_SAP]]="","",HYPERLINK(Tableau1[[#This Row],[Chemin fichier source]],"X"))</f>
        <v/>
      </c>
      <c r="U359" s="61" t="str">
        <f>IF(Tableau1[[#This Row],[Date rév.]]="","",HYPERLINK(Tableau1[[#This Row],[Lien document]],"X"))</f>
        <v/>
      </c>
      <c r="V359" s="47"/>
      <c r="W359" s="49" t="str">
        <f ca="1">Chemin_accès!$B$2&amp;Tableau1[[#This Row],[Poste Responsable]]&amp;"\"&amp;Tableau1[[#This Row],[Localisation / Classement]]&amp;"\"&amp;Tableau1[[#This Row],[Poste technique]]&amp;"_"&amp;Tableau1[[#This Row],[Plan Entretien]]&amp;".pdf"</f>
        <v>\\stjn.local\trimet\Donnees_Projets\Dms Sap\Maintenance\PlanEntretien\7.MSCT\\_.pdf</v>
      </c>
      <c r="X359" s="47"/>
      <c r="Y359" s="47"/>
      <c r="Z359" s="44" t="str">
        <f ca="1">IF(AND(Tableau1[[#This Row],[Charge]]&lt;&gt;0, Tableau1[[#This Row],[Nombre intervenants]]&lt;&gt;0,Tableau1[[#This Row],[Lien document]]&lt;&gt;0,Tableau1[[#This Row],[DMS_SAP]]&lt;&gt;0)=TRUE,"MIS A JOUR","")</f>
        <v/>
      </c>
      <c r="AA359" s="48"/>
      <c r="AB359" s="58" t="str">
        <f ca="1">IF(Tableau1[[#This Row],[Date rév.]]&lt;&gt;"", DAYS360(Tableau1[[#This Row],[Date rév.]],TODAY()),"")</f>
        <v/>
      </c>
      <c r="AC359" s="47" t="str">
        <f>IFERROR(INDEX(Chemin_accès!$B$11:$C$22,MATCH(Tableau1[[#This Row],[Type]],Chemin_accès!$C$11:$C$22,0),1),Chemin_accès!$B$11)</f>
        <v>\\stjn.local\trimet\Btechnique\Commun\BT Maint SCELLEMENT\205 - Préventifs\Modèles préventif\GammeDMS_7.MSCT.xlsm</v>
      </c>
      <c r="AD359" s="47" t="str">
        <f>Chemin_accès!$B$8&amp;Tableau1[[#This Row],[Localisation / Classement]]&amp;"\"&amp;Tableau1[[#This Row],[Poste technique]]&amp;"_"&amp;Tableau1[[#This Row],[Plan Entretien]]&amp;".xlsm"</f>
        <v>\\stjn.local\trimet\Btechnique\Commun\BT Maint SCELLEMENT\205 - Préventifs\Gammes 7.MSCT PE Tool\\_.xlsm</v>
      </c>
    </row>
    <row r="360" spans="1:30" x14ac:dyDescent="0.3">
      <c r="A360" s="44" t="str">
        <f t="shared" ca="1" si="5"/>
        <v>7.MSCT</v>
      </c>
      <c r="B3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0" s="46"/>
      <c r="D360" s="44"/>
      <c r="E360" s="44"/>
      <c r="F360" s="47"/>
      <c r="G360" s="47"/>
      <c r="H360" s="50"/>
      <c r="I360" s="50"/>
      <c r="J360" s="50"/>
      <c r="K360" s="50"/>
      <c r="L360" s="46"/>
      <c r="M360" s="47"/>
      <c r="N360" s="46"/>
      <c r="O360" s="46"/>
      <c r="P360" s="47"/>
      <c r="Q360" s="46"/>
      <c r="R360" s="46"/>
      <c r="S360" s="48"/>
      <c r="T360" s="61" t="str">
        <f>IF(Tableau1[[#This Row],[DMS_SAP]]="","",HYPERLINK(Tableau1[[#This Row],[Chemin fichier source]],"X"))</f>
        <v/>
      </c>
      <c r="U360" s="61" t="str">
        <f>IF(Tableau1[[#This Row],[Date rév.]]="","",HYPERLINK(Tableau1[[#This Row],[Lien document]],"X"))</f>
        <v/>
      </c>
      <c r="V360" s="47"/>
      <c r="W360" s="49" t="str">
        <f ca="1">Chemin_accès!$B$2&amp;Tableau1[[#This Row],[Poste Responsable]]&amp;"\"&amp;Tableau1[[#This Row],[Localisation / Classement]]&amp;"\"&amp;Tableau1[[#This Row],[Poste technique]]&amp;"_"&amp;Tableau1[[#This Row],[Plan Entretien]]&amp;".pdf"</f>
        <v>\\stjn.local\trimet\Donnees_Projets\Dms Sap\Maintenance\PlanEntretien\7.MSCT\\_.pdf</v>
      </c>
      <c r="X360" s="47"/>
      <c r="Y360" s="47"/>
      <c r="Z360" s="44" t="str">
        <f ca="1">IF(AND(Tableau1[[#This Row],[Charge]]&lt;&gt;0, Tableau1[[#This Row],[Nombre intervenants]]&lt;&gt;0,Tableau1[[#This Row],[Lien document]]&lt;&gt;0,Tableau1[[#This Row],[DMS_SAP]]&lt;&gt;0)=TRUE,"MIS A JOUR","")</f>
        <v/>
      </c>
      <c r="AA360" s="48"/>
      <c r="AB360" s="58" t="str">
        <f ca="1">IF(Tableau1[[#This Row],[Date rév.]]&lt;&gt;"", DAYS360(Tableau1[[#This Row],[Date rév.]],TODAY()),"")</f>
        <v/>
      </c>
      <c r="AC360" s="47" t="str">
        <f>IFERROR(INDEX(Chemin_accès!$B$11:$C$22,MATCH(Tableau1[[#This Row],[Type]],Chemin_accès!$C$11:$C$22,0),1),Chemin_accès!$B$11)</f>
        <v>\\stjn.local\trimet\Btechnique\Commun\BT Maint SCELLEMENT\205 - Préventifs\Modèles préventif\GammeDMS_7.MSCT.xlsm</v>
      </c>
      <c r="AD360" s="47" t="str">
        <f>Chemin_accès!$B$8&amp;Tableau1[[#This Row],[Localisation / Classement]]&amp;"\"&amp;Tableau1[[#This Row],[Poste technique]]&amp;"_"&amp;Tableau1[[#This Row],[Plan Entretien]]&amp;".xlsm"</f>
        <v>\\stjn.local\trimet\Btechnique\Commun\BT Maint SCELLEMENT\205 - Préventifs\Gammes 7.MSCT PE Tool\\_.xlsm</v>
      </c>
    </row>
    <row r="361" spans="1:30" x14ac:dyDescent="0.3">
      <c r="A361" s="44" t="str">
        <f t="shared" ca="1" si="5"/>
        <v>7.MSCT</v>
      </c>
      <c r="B3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1" s="46"/>
      <c r="D361" s="44"/>
      <c r="E361" s="44"/>
      <c r="F361" s="47"/>
      <c r="G361" s="47"/>
      <c r="H361" s="50"/>
      <c r="I361" s="50"/>
      <c r="J361" s="50"/>
      <c r="K361" s="50"/>
      <c r="L361" s="46"/>
      <c r="M361" s="47"/>
      <c r="N361" s="46"/>
      <c r="O361" s="46"/>
      <c r="P361" s="47"/>
      <c r="Q361" s="46"/>
      <c r="R361" s="46"/>
      <c r="S361" s="48"/>
      <c r="T361" s="61" t="str">
        <f>IF(Tableau1[[#This Row],[DMS_SAP]]="","",HYPERLINK(Tableau1[[#This Row],[Chemin fichier source]],"X"))</f>
        <v/>
      </c>
      <c r="U361" s="61" t="str">
        <f>IF(Tableau1[[#This Row],[Date rév.]]="","",HYPERLINK(Tableau1[[#This Row],[Lien document]],"X"))</f>
        <v/>
      </c>
      <c r="V361" s="47"/>
      <c r="W361" s="49" t="str">
        <f ca="1">Chemin_accès!$B$2&amp;Tableau1[[#This Row],[Poste Responsable]]&amp;"\"&amp;Tableau1[[#This Row],[Localisation / Classement]]&amp;"\"&amp;Tableau1[[#This Row],[Poste technique]]&amp;"_"&amp;Tableau1[[#This Row],[Plan Entretien]]&amp;".pdf"</f>
        <v>\\stjn.local\trimet\Donnees_Projets\Dms Sap\Maintenance\PlanEntretien\7.MSCT\\_.pdf</v>
      </c>
      <c r="X361" s="47"/>
      <c r="Y361" s="47"/>
      <c r="Z361" s="44" t="str">
        <f ca="1">IF(AND(Tableau1[[#This Row],[Charge]]&lt;&gt;0, Tableau1[[#This Row],[Nombre intervenants]]&lt;&gt;0,Tableau1[[#This Row],[Lien document]]&lt;&gt;0,Tableau1[[#This Row],[DMS_SAP]]&lt;&gt;0)=TRUE,"MIS A JOUR","")</f>
        <v/>
      </c>
      <c r="AA361" s="48"/>
      <c r="AB361" s="58" t="str">
        <f ca="1">IF(Tableau1[[#This Row],[Date rév.]]&lt;&gt;"", DAYS360(Tableau1[[#This Row],[Date rév.]],TODAY()),"")</f>
        <v/>
      </c>
      <c r="AC361" s="47" t="str">
        <f>IFERROR(INDEX(Chemin_accès!$B$11:$C$22,MATCH(Tableau1[[#This Row],[Type]],Chemin_accès!$C$11:$C$22,0),1),Chemin_accès!$B$11)</f>
        <v>\\stjn.local\trimet\Btechnique\Commun\BT Maint SCELLEMENT\205 - Préventifs\Modèles préventif\GammeDMS_7.MSCT.xlsm</v>
      </c>
      <c r="AD361" s="47" t="str">
        <f>Chemin_accès!$B$8&amp;Tableau1[[#This Row],[Localisation / Classement]]&amp;"\"&amp;Tableau1[[#This Row],[Poste technique]]&amp;"_"&amp;Tableau1[[#This Row],[Plan Entretien]]&amp;".xlsm"</f>
        <v>\\stjn.local\trimet\Btechnique\Commun\BT Maint SCELLEMENT\205 - Préventifs\Gammes 7.MSCT PE Tool\\_.xlsm</v>
      </c>
    </row>
    <row r="362" spans="1:30" x14ac:dyDescent="0.3">
      <c r="A362" s="44" t="str">
        <f t="shared" ca="1" si="5"/>
        <v>7.MSCT</v>
      </c>
      <c r="B3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2" s="46"/>
      <c r="D362" s="44"/>
      <c r="E362" s="44"/>
      <c r="F362" s="47"/>
      <c r="G362" s="47"/>
      <c r="H362" s="50"/>
      <c r="I362" s="50"/>
      <c r="J362" s="50"/>
      <c r="K362" s="50"/>
      <c r="L362" s="46"/>
      <c r="M362" s="47"/>
      <c r="N362" s="46"/>
      <c r="O362" s="46"/>
      <c r="P362" s="47"/>
      <c r="Q362" s="46"/>
      <c r="R362" s="46"/>
      <c r="S362" s="48"/>
      <c r="T362" s="61" t="str">
        <f>IF(Tableau1[[#This Row],[DMS_SAP]]="","",HYPERLINK(Tableau1[[#This Row],[Chemin fichier source]],"X"))</f>
        <v/>
      </c>
      <c r="U362" s="61" t="str">
        <f>IF(Tableau1[[#This Row],[Date rév.]]="","",HYPERLINK(Tableau1[[#This Row],[Lien document]],"X"))</f>
        <v/>
      </c>
      <c r="V362" s="47"/>
      <c r="W362" s="49" t="str">
        <f ca="1">Chemin_accès!$B$2&amp;Tableau1[[#This Row],[Poste Responsable]]&amp;"\"&amp;Tableau1[[#This Row],[Localisation / Classement]]&amp;"\"&amp;Tableau1[[#This Row],[Poste technique]]&amp;"_"&amp;Tableau1[[#This Row],[Plan Entretien]]&amp;".pdf"</f>
        <v>\\stjn.local\trimet\Donnees_Projets\Dms Sap\Maintenance\PlanEntretien\7.MSCT\\_.pdf</v>
      </c>
      <c r="X362" s="47"/>
      <c r="Y362" s="47"/>
      <c r="Z362" s="44" t="str">
        <f ca="1">IF(AND(Tableau1[[#This Row],[Charge]]&lt;&gt;0, Tableau1[[#This Row],[Nombre intervenants]]&lt;&gt;0,Tableau1[[#This Row],[Lien document]]&lt;&gt;0,Tableau1[[#This Row],[DMS_SAP]]&lt;&gt;0)=TRUE,"MIS A JOUR","")</f>
        <v/>
      </c>
      <c r="AA362" s="48"/>
      <c r="AB362" s="58" t="str">
        <f ca="1">IF(Tableau1[[#This Row],[Date rév.]]&lt;&gt;"", DAYS360(Tableau1[[#This Row],[Date rév.]],TODAY()),"")</f>
        <v/>
      </c>
      <c r="AC362" s="47" t="str">
        <f>IFERROR(INDEX(Chemin_accès!$B$11:$C$22,MATCH(Tableau1[[#This Row],[Type]],Chemin_accès!$C$11:$C$22,0),1),Chemin_accès!$B$11)</f>
        <v>\\stjn.local\trimet\Btechnique\Commun\BT Maint SCELLEMENT\205 - Préventifs\Modèles préventif\GammeDMS_7.MSCT.xlsm</v>
      </c>
      <c r="AD362" s="47" t="str">
        <f>Chemin_accès!$B$8&amp;Tableau1[[#This Row],[Localisation / Classement]]&amp;"\"&amp;Tableau1[[#This Row],[Poste technique]]&amp;"_"&amp;Tableau1[[#This Row],[Plan Entretien]]&amp;".xlsm"</f>
        <v>\\stjn.local\trimet\Btechnique\Commun\BT Maint SCELLEMENT\205 - Préventifs\Gammes 7.MSCT PE Tool\\_.xlsm</v>
      </c>
    </row>
    <row r="363" spans="1:30" x14ac:dyDescent="0.3">
      <c r="A363" s="44" t="str">
        <f t="shared" ca="1" si="5"/>
        <v>7.MSCT</v>
      </c>
      <c r="B3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3" s="46"/>
      <c r="D363" s="44"/>
      <c r="E363" s="44"/>
      <c r="F363" s="47"/>
      <c r="G363" s="47"/>
      <c r="H363" s="50"/>
      <c r="I363" s="50"/>
      <c r="J363" s="50"/>
      <c r="K363" s="50"/>
      <c r="L363" s="46"/>
      <c r="M363" s="47"/>
      <c r="N363" s="46"/>
      <c r="O363" s="46"/>
      <c r="P363" s="47"/>
      <c r="Q363" s="46"/>
      <c r="R363" s="46"/>
      <c r="S363" s="48"/>
      <c r="T363" s="61" t="str">
        <f>IF(Tableau1[[#This Row],[DMS_SAP]]="","",HYPERLINK(Tableau1[[#This Row],[Chemin fichier source]],"X"))</f>
        <v/>
      </c>
      <c r="U363" s="61" t="str">
        <f>IF(Tableau1[[#This Row],[Date rév.]]="","",HYPERLINK(Tableau1[[#This Row],[Lien document]],"X"))</f>
        <v/>
      </c>
      <c r="V363" s="47"/>
      <c r="W363" s="49" t="str">
        <f ca="1">Chemin_accès!$B$2&amp;Tableau1[[#This Row],[Poste Responsable]]&amp;"\"&amp;Tableau1[[#This Row],[Localisation / Classement]]&amp;"\"&amp;Tableau1[[#This Row],[Poste technique]]&amp;"_"&amp;Tableau1[[#This Row],[Plan Entretien]]&amp;".pdf"</f>
        <v>\\stjn.local\trimet\Donnees_Projets\Dms Sap\Maintenance\PlanEntretien\7.MSCT\\_.pdf</v>
      </c>
      <c r="X363" s="47"/>
      <c r="Y363" s="47"/>
      <c r="Z363" s="44" t="str">
        <f ca="1">IF(AND(Tableau1[[#This Row],[Charge]]&lt;&gt;0, Tableau1[[#This Row],[Nombre intervenants]]&lt;&gt;0,Tableau1[[#This Row],[Lien document]]&lt;&gt;0,Tableau1[[#This Row],[DMS_SAP]]&lt;&gt;0)=TRUE,"MIS A JOUR","")</f>
        <v/>
      </c>
      <c r="AA363" s="48"/>
      <c r="AB363" s="58" t="str">
        <f ca="1">IF(Tableau1[[#This Row],[Date rév.]]&lt;&gt;"", DAYS360(Tableau1[[#This Row],[Date rév.]],TODAY()),"")</f>
        <v/>
      </c>
      <c r="AC363" s="47" t="str">
        <f>IFERROR(INDEX(Chemin_accès!$B$11:$C$22,MATCH(Tableau1[[#This Row],[Type]],Chemin_accès!$C$11:$C$22,0),1),Chemin_accès!$B$11)</f>
        <v>\\stjn.local\trimet\Btechnique\Commun\BT Maint SCELLEMENT\205 - Préventifs\Modèles préventif\GammeDMS_7.MSCT.xlsm</v>
      </c>
      <c r="AD363" s="47" t="str">
        <f>Chemin_accès!$B$8&amp;Tableau1[[#This Row],[Localisation / Classement]]&amp;"\"&amp;Tableau1[[#This Row],[Poste technique]]&amp;"_"&amp;Tableau1[[#This Row],[Plan Entretien]]&amp;".xlsm"</f>
        <v>\\stjn.local\trimet\Btechnique\Commun\BT Maint SCELLEMENT\205 - Préventifs\Gammes 7.MSCT PE Tool\\_.xlsm</v>
      </c>
    </row>
    <row r="364" spans="1:30" x14ac:dyDescent="0.3">
      <c r="A364" s="44" t="str">
        <f t="shared" ca="1" si="5"/>
        <v>7.MSCT</v>
      </c>
      <c r="B3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4" s="46"/>
      <c r="D364" s="44"/>
      <c r="E364" s="44"/>
      <c r="F364" s="47"/>
      <c r="G364" s="47"/>
      <c r="H364" s="50"/>
      <c r="I364" s="50"/>
      <c r="J364" s="50"/>
      <c r="K364" s="50"/>
      <c r="L364" s="46"/>
      <c r="M364" s="47"/>
      <c r="N364" s="46"/>
      <c r="O364" s="46"/>
      <c r="P364" s="47"/>
      <c r="Q364" s="46"/>
      <c r="R364" s="46"/>
      <c r="S364" s="48"/>
      <c r="T364" s="61" t="str">
        <f>IF(Tableau1[[#This Row],[DMS_SAP]]="","",HYPERLINK(Tableau1[[#This Row],[Chemin fichier source]],"X"))</f>
        <v/>
      </c>
      <c r="U364" s="61" t="str">
        <f>IF(Tableau1[[#This Row],[Date rév.]]="","",HYPERLINK(Tableau1[[#This Row],[Lien document]],"X"))</f>
        <v/>
      </c>
      <c r="V364" s="47"/>
      <c r="W364" s="49" t="str">
        <f ca="1">Chemin_accès!$B$2&amp;Tableau1[[#This Row],[Poste Responsable]]&amp;"\"&amp;Tableau1[[#This Row],[Localisation / Classement]]&amp;"\"&amp;Tableau1[[#This Row],[Poste technique]]&amp;"_"&amp;Tableau1[[#This Row],[Plan Entretien]]&amp;".pdf"</f>
        <v>\\stjn.local\trimet\Donnees_Projets\Dms Sap\Maintenance\PlanEntretien\7.MSCT\\_.pdf</v>
      </c>
      <c r="X364" s="47"/>
      <c r="Y364" s="47"/>
      <c r="Z364" s="44" t="str">
        <f ca="1">IF(AND(Tableau1[[#This Row],[Charge]]&lt;&gt;0, Tableau1[[#This Row],[Nombre intervenants]]&lt;&gt;0,Tableau1[[#This Row],[Lien document]]&lt;&gt;0,Tableau1[[#This Row],[DMS_SAP]]&lt;&gt;0)=TRUE,"MIS A JOUR","")</f>
        <v/>
      </c>
      <c r="AA364" s="48"/>
      <c r="AB364" s="58" t="str">
        <f ca="1">IF(Tableau1[[#This Row],[Date rév.]]&lt;&gt;"", DAYS360(Tableau1[[#This Row],[Date rév.]],TODAY()),"")</f>
        <v/>
      </c>
      <c r="AC364" s="47" t="str">
        <f>IFERROR(INDEX(Chemin_accès!$B$11:$C$22,MATCH(Tableau1[[#This Row],[Type]],Chemin_accès!$C$11:$C$22,0),1),Chemin_accès!$B$11)</f>
        <v>\\stjn.local\trimet\Btechnique\Commun\BT Maint SCELLEMENT\205 - Préventifs\Modèles préventif\GammeDMS_7.MSCT.xlsm</v>
      </c>
      <c r="AD364" s="47" t="str">
        <f>Chemin_accès!$B$8&amp;Tableau1[[#This Row],[Localisation / Classement]]&amp;"\"&amp;Tableau1[[#This Row],[Poste technique]]&amp;"_"&amp;Tableau1[[#This Row],[Plan Entretien]]&amp;".xlsm"</f>
        <v>\\stjn.local\trimet\Btechnique\Commun\BT Maint SCELLEMENT\205 - Préventifs\Gammes 7.MSCT PE Tool\\_.xlsm</v>
      </c>
    </row>
    <row r="365" spans="1:30" x14ac:dyDescent="0.3">
      <c r="A365" s="44" t="str">
        <f t="shared" ca="1" si="5"/>
        <v>7.MSCT</v>
      </c>
      <c r="B3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5" s="46"/>
      <c r="D365" s="44"/>
      <c r="E365" s="44"/>
      <c r="F365" s="47"/>
      <c r="G365" s="47"/>
      <c r="H365" s="50"/>
      <c r="I365" s="50"/>
      <c r="J365" s="50"/>
      <c r="K365" s="50"/>
      <c r="L365" s="46"/>
      <c r="M365" s="47"/>
      <c r="N365" s="46"/>
      <c r="O365" s="46"/>
      <c r="P365" s="47"/>
      <c r="Q365" s="46"/>
      <c r="R365" s="46"/>
      <c r="S365" s="48"/>
      <c r="T365" s="61" t="str">
        <f>IF(Tableau1[[#This Row],[DMS_SAP]]="","",HYPERLINK(Tableau1[[#This Row],[Chemin fichier source]],"X"))</f>
        <v/>
      </c>
      <c r="U365" s="61" t="str">
        <f>IF(Tableau1[[#This Row],[Date rév.]]="","",HYPERLINK(Tableau1[[#This Row],[Lien document]],"X"))</f>
        <v/>
      </c>
      <c r="V365" s="47"/>
      <c r="W365" s="49" t="str">
        <f ca="1">Chemin_accès!$B$2&amp;Tableau1[[#This Row],[Poste Responsable]]&amp;"\"&amp;Tableau1[[#This Row],[Localisation / Classement]]&amp;"\"&amp;Tableau1[[#This Row],[Poste technique]]&amp;"_"&amp;Tableau1[[#This Row],[Plan Entretien]]&amp;".pdf"</f>
        <v>\\stjn.local\trimet\Donnees_Projets\Dms Sap\Maintenance\PlanEntretien\7.MSCT\\_.pdf</v>
      </c>
      <c r="X365" s="47"/>
      <c r="Y365" s="47"/>
      <c r="Z365" s="44" t="str">
        <f ca="1">IF(AND(Tableau1[[#This Row],[Charge]]&lt;&gt;0, Tableau1[[#This Row],[Nombre intervenants]]&lt;&gt;0,Tableau1[[#This Row],[Lien document]]&lt;&gt;0,Tableau1[[#This Row],[DMS_SAP]]&lt;&gt;0)=TRUE,"MIS A JOUR","")</f>
        <v/>
      </c>
      <c r="AA365" s="48"/>
      <c r="AB365" s="58" t="str">
        <f ca="1">IF(Tableau1[[#This Row],[Date rév.]]&lt;&gt;"", DAYS360(Tableau1[[#This Row],[Date rév.]],TODAY()),"")</f>
        <v/>
      </c>
      <c r="AC365" s="47" t="str">
        <f>IFERROR(INDEX(Chemin_accès!$B$11:$C$22,MATCH(Tableau1[[#This Row],[Type]],Chemin_accès!$C$11:$C$22,0),1),Chemin_accès!$B$11)</f>
        <v>\\stjn.local\trimet\Btechnique\Commun\BT Maint SCELLEMENT\205 - Préventifs\Modèles préventif\GammeDMS_7.MSCT.xlsm</v>
      </c>
      <c r="AD365" s="47" t="str">
        <f>Chemin_accès!$B$8&amp;Tableau1[[#This Row],[Localisation / Classement]]&amp;"\"&amp;Tableau1[[#This Row],[Poste technique]]&amp;"_"&amp;Tableau1[[#This Row],[Plan Entretien]]&amp;".xlsm"</f>
        <v>\\stjn.local\trimet\Btechnique\Commun\BT Maint SCELLEMENT\205 - Préventifs\Gammes 7.MSCT PE Tool\\_.xlsm</v>
      </c>
    </row>
    <row r="366" spans="1:30" x14ac:dyDescent="0.3">
      <c r="A366" s="44" t="str">
        <f t="shared" ca="1" si="5"/>
        <v>7.MSCT</v>
      </c>
      <c r="B3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6" s="46"/>
      <c r="D366" s="44"/>
      <c r="E366" s="44"/>
      <c r="F366" s="47"/>
      <c r="G366" s="47"/>
      <c r="H366" s="50"/>
      <c r="I366" s="50"/>
      <c r="J366" s="50"/>
      <c r="K366" s="50"/>
      <c r="L366" s="46"/>
      <c r="M366" s="47"/>
      <c r="N366" s="46"/>
      <c r="O366" s="46"/>
      <c r="P366" s="47"/>
      <c r="Q366" s="46"/>
      <c r="R366" s="46"/>
      <c r="S366" s="48"/>
      <c r="T366" s="61" t="str">
        <f>IF(Tableau1[[#This Row],[DMS_SAP]]="","",HYPERLINK(Tableau1[[#This Row],[Chemin fichier source]],"X"))</f>
        <v/>
      </c>
      <c r="U366" s="61" t="str">
        <f>IF(Tableau1[[#This Row],[Date rév.]]="","",HYPERLINK(Tableau1[[#This Row],[Lien document]],"X"))</f>
        <v/>
      </c>
      <c r="V366" s="47"/>
      <c r="W366" s="49" t="str">
        <f ca="1">Chemin_accès!$B$2&amp;Tableau1[[#This Row],[Poste Responsable]]&amp;"\"&amp;Tableau1[[#This Row],[Localisation / Classement]]&amp;"\"&amp;Tableau1[[#This Row],[Poste technique]]&amp;"_"&amp;Tableau1[[#This Row],[Plan Entretien]]&amp;".pdf"</f>
        <v>\\stjn.local\trimet\Donnees_Projets\Dms Sap\Maintenance\PlanEntretien\7.MSCT\\_.pdf</v>
      </c>
      <c r="X366" s="47"/>
      <c r="Y366" s="47"/>
      <c r="Z366" s="44" t="str">
        <f ca="1">IF(AND(Tableau1[[#This Row],[Charge]]&lt;&gt;0, Tableau1[[#This Row],[Nombre intervenants]]&lt;&gt;0,Tableau1[[#This Row],[Lien document]]&lt;&gt;0,Tableau1[[#This Row],[DMS_SAP]]&lt;&gt;0)=TRUE,"MIS A JOUR","")</f>
        <v/>
      </c>
      <c r="AA366" s="48"/>
      <c r="AB366" s="58" t="str">
        <f ca="1">IF(Tableau1[[#This Row],[Date rév.]]&lt;&gt;"", DAYS360(Tableau1[[#This Row],[Date rév.]],TODAY()),"")</f>
        <v/>
      </c>
      <c r="AC366" s="47" t="str">
        <f>IFERROR(INDEX(Chemin_accès!$B$11:$C$22,MATCH(Tableau1[[#This Row],[Type]],Chemin_accès!$C$11:$C$22,0),1),Chemin_accès!$B$11)</f>
        <v>\\stjn.local\trimet\Btechnique\Commun\BT Maint SCELLEMENT\205 - Préventifs\Modèles préventif\GammeDMS_7.MSCT.xlsm</v>
      </c>
      <c r="AD366" s="47" t="str">
        <f>Chemin_accès!$B$8&amp;Tableau1[[#This Row],[Localisation / Classement]]&amp;"\"&amp;Tableau1[[#This Row],[Poste technique]]&amp;"_"&amp;Tableau1[[#This Row],[Plan Entretien]]&amp;".xlsm"</f>
        <v>\\stjn.local\trimet\Btechnique\Commun\BT Maint SCELLEMENT\205 - Préventifs\Gammes 7.MSCT PE Tool\\_.xlsm</v>
      </c>
    </row>
    <row r="367" spans="1:30" x14ac:dyDescent="0.3">
      <c r="A367" s="44" t="str">
        <f t="shared" ca="1" si="5"/>
        <v>7.MSCT</v>
      </c>
      <c r="B3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7" s="46"/>
      <c r="D367" s="44"/>
      <c r="E367" s="44"/>
      <c r="F367" s="47"/>
      <c r="G367" s="47"/>
      <c r="H367" s="50"/>
      <c r="I367" s="50"/>
      <c r="J367" s="50"/>
      <c r="K367" s="50"/>
      <c r="L367" s="46"/>
      <c r="M367" s="47"/>
      <c r="N367" s="46"/>
      <c r="O367" s="46"/>
      <c r="P367" s="47"/>
      <c r="Q367" s="46"/>
      <c r="R367" s="46"/>
      <c r="S367" s="48"/>
      <c r="T367" s="61" t="str">
        <f>IF(Tableau1[[#This Row],[DMS_SAP]]="","",HYPERLINK(Tableau1[[#This Row],[Chemin fichier source]],"X"))</f>
        <v/>
      </c>
      <c r="U367" s="61" t="str">
        <f>IF(Tableau1[[#This Row],[Date rév.]]="","",HYPERLINK(Tableau1[[#This Row],[Lien document]],"X"))</f>
        <v/>
      </c>
      <c r="V367" s="47"/>
      <c r="W367" s="49" t="str">
        <f ca="1">Chemin_accès!$B$2&amp;Tableau1[[#This Row],[Poste Responsable]]&amp;"\"&amp;Tableau1[[#This Row],[Localisation / Classement]]&amp;"\"&amp;Tableau1[[#This Row],[Poste technique]]&amp;"_"&amp;Tableau1[[#This Row],[Plan Entretien]]&amp;".pdf"</f>
        <v>\\stjn.local\trimet\Donnees_Projets\Dms Sap\Maintenance\PlanEntretien\7.MSCT\\_.pdf</v>
      </c>
      <c r="X367" s="47"/>
      <c r="Y367" s="47"/>
      <c r="Z367" s="44" t="str">
        <f ca="1">IF(AND(Tableau1[[#This Row],[Charge]]&lt;&gt;0, Tableau1[[#This Row],[Nombre intervenants]]&lt;&gt;0,Tableau1[[#This Row],[Lien document]]&lt;&gt;0,Tableau1[[#This Row],[DMS_SAP]]&lt;&gt;0)=TRUE,"MIS A JOUR","")</f>
        <v/>
      </c>
      <c r="AA367" s="48"/>
      <c r="AB367" s="58" t="str">
        <f ca="1">IF(Tableau1[[#This Row],[Date rév.]]&lt;&gt;"", DAYS360(Tableau1[[#This Row],[Date rév.]],TODAY()),"")</f>
        <v/>
      </c>
      <c r="AC367" s="47" t="str">
        <f>IFERROR(INDEX(Chemin_accès!$B$11:$C$22,MATCH(Tableau1[[#This Row],[Type]],Chemin_accès!$C$11:$C$22,0),1),Chemin_accès!$B$11)</f>
        <v>\\stjn.local\trimet\Btechnique\Commun\BT Maint SCELLEMENT\205 - Préventifs\Modèles préventif\GammeDMS_7.MSCT.xlsm</v>
      </c>
      <c r="AD367" s="47" t="str">
        <f>Chemin_accès!$B$8&amp;Tableau1[[#This Row],[Localisation / Classement]]&amp;"\"&amp;Tableau1[[#This Row],[Poste technique]]&amp;"_"&amp;Tableau1[[#This Row],[Plan Entretien]]&amp;".xlsm"</f>
        <v>\\stjn.local\trimet\Btechnique\Commun\BT Maint SCELLEMENT\205 - Préventifs\Gammes 7.MSCT PE Tool\\_.xlsm</v>
      </c>
    </row>
    <row r="368" spans="1:30" x14ac:dyDescent="0.3">
      <c r="A368" s="44" t="str">
        <f t="shared" ca="1" si="5"/>
        <v>7.MSCT</v>
      </c>
      <c r="B3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8" s="46"/>
      <c r="D368" s="44"/>
      <c r="E368" s="44"/>
      <c r="F368" s="47"/>
      <c r="G368" s="47"/>
      <c r="H368" s="50"/>
      <c r="I368" s="50"/>
      <c r="J368" s="50"/>
      <c r="K368" s="50"/>
      <c r="L368" s="46"/>
      <c r="M368" s="47"/>
      <c r="N368" s="46"/>
      <c r="O368" s="46"/>
      <c r="P368" s="47"/>
      <c r="Q368" s="46"/>
      <c r="R368" s="46"/>
      <c r="S368" s="48"/>
      <c r="T368" s="61" t="str">
        <f>IF(Tableau1[[#This Row],[DMS_SAP]]="","",HYPERLINK(Tableau1[[#This Row],[Chemin fichier source]],"X"))</f>
        <v/>
      </c>
      <c r="U368" s="61" t="str">
        <f>IF(Tableau1[[#This Row],[Date rév.]]="","",HYPERLINK(Tableau1[[#This Row],[Lien document]],"X"))</f>
        <v/>
      </c>
      <c r="V368" s="47"/>
      <c r="W368" s="49" t="str">
        <f ca="1">Chemin_accès!$B$2&amp;Tableau1[[#This Row],[Poste Responsable]]&amp;"\"&amp;Tableau1[[#This Row],[Localisation / Classement]]&amp;"\"&amp;Tableau1[[#This Row],[Poste technique]]&amp;"_"&amp;Tableau1[[#This Row],[Plan Entretien]]&amp;".pdf"</f>
        <v>\\stjn.local\trimet\Donnees_Projets\Dms Sap\Maintenance\PlanEntretien\7.MSCT\\_.pdf</v>
      </c>
      <c r="X368" s="47"/>
      <c r="Y368" s="47"/>
      <c r="Z368" s="44" t="str">
        <f ca="1">IF(AND(Tableau1[[#This Row],[Charge]]&lt;&gt;0, Tableau1[[#This Row],[Nombre intervenants]]&lt;&gt;0,Tableau1[[#This Row],[Lien document]]&lt;&gt;0,Tableau1[[#This Row],[DMS_SAP]]&lt;&gt;0)=TRUE,"MIS A JOUR","")</f>
        <v/>
      </c>
      <c r="AA368" s="48"/>
      <c r="AB368" s="58" t="str">
        <f ca="1">IF(Tableau1[[#This Row],[Date rév.]]&lt;&gt;"", DAYS360(Tableau1[[#This Row],[Date rév.]],TODAY()),"")</f>
        <v/>
      </c>
      <c r="AC368" s="47" t="str">
        <f>IFERROR(INDEX(Chemin_accès!$B$11:$C$22,MATCH(Tableau1[[#This Row],[Type]],Chemin_accès!$C$11:$C$22,0),1),Chemin_accès!$B$11)</f>
        <v>\\stjn.local\trimet\Btechnique\Commun\BT Maint SCELLEMENT\205 - Préventifs\Modèles préventif\GammeDMS_7.MSCT.xlsm</v>
      </c>
      <c r="AD368" s="47" t="str">
        <f>Chemin_accès!$B$8&amp;Tableau1[[#This Row],[Localisation / Classement]]&amp;"\"&amp;Tableau1[[#This Row],[Poste technique]]&amp;"_"&amp;Tableau1[[#This Row],[Plan Entretien]]&amp;".xlsm"</f>
        <v>\\stjn.local\trimet\Btechnique\Commun\BT Maint SCELLEMENT\205 - Préventifs\Gammes 7.MSCT PE Tool\\_.xlsm</v>
      </c>
    </row>
    <row r="369" spans="1:30" x14ac:dyDescent="0.3">
      <c r="A369" s="44" t="str">
        <f t="shared" ca="1" si="5"/>
        <v>7.MSCT</v>
      </c>
      <c r="B3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9" s="46"/>
      <c r="D369" s="44"/>
      <c r="E369" s="44"/>
      <c r="F369" s="47"/>
      <c r="G369" s="47"/>
      <c r="H369" s="50"/>
      <c r="I369" s="50"/>
      <c r="J369" s="50"/>
      <c r="K369" s="50"/>
      <c r="L369" s="46"/>
      <c r="M369" s="47"/>
      <c r="N369" s="46"/>
      <c r="O369" s="46"/>
      <c r="P369" s="47"/>
      <c r="Q369" s="46"/>
      <c r="R369" s="46"/>
      <c r="S369" s="48"/>
      <c r="T369" s="61" t="str">
        <f>IF(Tableau1[[#This Row],[DMS_SAP]]="","",HYPERLINK(Tableau1[[#This Row],[Chemin fichier source]],"X"))</f>
        <v/>
      </c>
      <c r="U369" s="61" t="str">
        <f>IF(Tableau1[[#This Row],[Date rév.]]="","",HYPERLINK(Tableau1[[#This Row],[Lien document]],"X"))</f>
        <v/>
      </c>
      <c r="V369" s="47"/>
      <c r="W369" s="49" t="str">
        <f ca="1">Chemin_accès!$B$2&amp;Tableau1[[#This Row],[Poste Responsable]]&amp;"\"&amp;Tableau1[[#This Row],[Localisation / Classement]]&amp;"\"&amp;Tableau1[[#This Row],[Poste technique]]&amp;"_"&amp;Tableau1[[#This Row],[Plan Entretien]]&amp;".pdf"</f>
        <v>\\stjn.local\trimet\Donnees_Projets\Dms Sap\Maintenance\PlanEntretien\7.MSCT\\_.pdf</v>
      </c>
      <c r="X369" s="47"/>
      <c r="Y369" s="47"/>
      <c r="Z369" s="44" t="str">
        <f ca="1">IF(AND(Tableau1[[#This Row],[Charge]]&lt;&gt;0, Tableau1[[#This Row],[Nombre intervenants]]&lt;&gt;0,Tableau1[[#This Row],[Lien document]]&lt;&gt;0,Tableau1[[#This Row],[DMS_SAP]]&lt;&gt;0)=TRUE,"MIS A JOUR","")</f>
        <v/>
      </c>
      <c r="AA369" s="48"/>
      <c r="AB369" s="58" t="str">
        <f ca="1">IF(Tableau1[[#This Row],[Date rév.]]&lt;&gt;"", DAYS360(Tableau1[[#This Row],[Date rév.]],TODAY()),"")</f>
        <v/>
      </c>
      <c r="AC369" s="47" t="str">
        <f>IFERROR(INDEX(Chemin_accès!$B$11:$C$22,MATCH(Tableau1[[#This Row],[Type]],Chemin_accès!$C$11:$C$22,0),1),Chemin_accès!$B$11)</f>
        <v>\\stjn.local\trimet\Btechnique\Commun\BT Maint SCELLEMENT\205 - Préventifs\Modèles préventif\GammeDMS_7.MSCT.xlsm</v>
      </c>
      <c r="AD369" s="47" t="str">
        <f>Chemin_accès!$B$8&amp;Tableau1[[#This Row],[Localisation / Classement]]&amp;"\"&amp;Tableau1[[#This Row],[Poste technique]]&amp;"_"&amp;Tableau1[[#This Row],[Plan Entretien]]&amp;".xlsm"</f>
        <v>\\stjn.local\trimet\Btechnique\Commun\BT Maint SCELLEMENT\205 - Préventifs\Gammes 7.MSCT PE Tool\\_.xlsm</v>
      </c>
    </row>
    <row r="370" spans="1:30" x14ac:dyDescent="0.3">
      <c r="A370" s="44" t="str">
        <f t="shared" ca="1" si="5"/>
        <v>7.MSCT</v>
      </c>
      <c r="B3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0" s="46"/>
      <c r="D370" s="44"/>
      <c r="E370" s="44"/>
      <c r="F370" s="47"/>
      <c r="G370" s="47"/>
      <c r="H370" s="50"/>
      <c r="I370" s="50"/>
      <c r="J370" s="50"/>
      <c r="K370" s="50"/>
      <c r="L370" s="46"/>
      <c r="M370" s="47"/>
      <c r="N370" s="46"/>
      <c r="O370" s="46"/>
      <c r="P370" s="47"/>
      <c r="Q370" s="46"/>
      <c r="R370" s="46"/>
      <c r="S370" s="48"/>
      <c r="T370" s="61" t="str">
        <f>IF(Tableau1[[#This Row],[DMS_SAP]]="","",HYPERLINK(Tableau1[[#This Row],[Chemin fichier source]],"X"))</f>
        <v/>
      </c>
      <c r="U370" s="61" t="str">
        <f>IF(Tableau1[[#This Row],[Date rév.]]="","",HYPERLINK(Tableau1[[#This Row],[Lien document]],"X"))</f>
        <v/>
      </c>
      <c r="V370" s="47"/>
      <c r="W370" s="49" t="str">
        <f ca="1">Chemin_accès!$B$2&amp;Tableau1[[#This Row],[Poste Responsable]]&amp;"\"&amp;Tableau1[[#This Row],[Localisation / Classement]]&amp;"\"&amp;Tableau1[[#This Row],[Poste technique]]&amp;"_"&amp;Tableau1[[#This Row],[Plan Entretien]]&amp;".pdf"</f>
        <v>\\stjn.local\trimet\Donnees_Projets\Dms Sap\Maintenance\PlanEntretien\7.MSCT\\_.pdf</v>
      </c>
      <c r="X370" s="47"/>
      <c r="Y370" s="47"/>
      <c r="Z370" s="44" t="str">
        <f ca="1">IF(AND(Tableau1[[#This Row],[Charge]]&lt;&gt;0, Tableau1[[#This Row],[Nombre intervenants]]&lt;&gt;0,Tableau1[[#This Row],[Lien document]]&lt;&gt;0,Tableau1[[#This Row],[DMS_SAP]]&lt;&gt;0)=TRUE,"MIS A JOUR","")</f>
        <v/>
      </c>
      <c r="AA370" s="48"/>
      <c r="AB370" s="58" t="str">
        <f ca="1">IF(Tableau1[[#This Row],[Date rév.]]&lt;&gt;"", DAYS360(Tableau1[[#This Row],[Date rév.]],TODAY()),"")</f>
        <v/>
      </c>
      <c r="AC370" s="47" t="str">
        <f>IFERROR(INDEX(Chemin_accès!$B$11:$C$22,MATCH(Tableau1[[#This Row],[Type]],Chemin_accès!$C$11:$C$22,0),1),Chemin_accès!$B$11)</f>
        <v>\\stjn.local\trimet\Btechnique\Commun\BT Maint SCELLEMENT\205 - Préventifs\Modèles préventif\GammeDMS_7.MSCT.xlsm</v>
      </c>
      <c r="AD370" s="47" t="str">
        <f>Chemin_accès!$B$8&amp;Tableau1[[#This Row],[Localisation / Classement]]&amp;"\"&amp;Tableau1[[#This Row],[Poste technique]]&amp;"_"&amp;Tableau1[[#This Row],[Plan Entretien]]&amp;".xlsm"</f>
        <v>\\stjn.local\trimet\Btechnique\Commun\BT Maint SCELLEMENT\205 - Préventifs\Gammes 7.MSCT PE Tool\\_.xlsm</v>
      </c>
    </row>
    <row r="371" spans="1:30" x14ac:dyDescent="0.3">
      <c r="A371" s="44" t="str">
        <f t="shared" ca="1" si="5"/>
        <v>7.MSCT</v>
      </c>
      <c r="B3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1" s="46"/>
      <c r="D371" s="44"/>
      <c r="E371" s="44"/>
      <c r="F371" s="47"/>
      <c r="G371" s="47"/>
      <c r="H371" s="50"/>
      <c r="I371" s="50"/>
      <c r="J371" s="50"/>
      <c r="K371" s="50"/>
      <c r="L371" s="46"/>
      <c r="M371" s="47"/>
      <c r="N371" s="46"/>
      <c r="O371" s="46"/>
      <c r="P371" s="47"/>
      <c r="Q371" s="46"/>
      <c r="R371" s="46"/>
      <c r="S371" s="48"/>
      <c r="T371" s="61" t="str">
        <f>IF(Tableau1[[#This Row],[DMS_SAP]]="","",HYPERLINK(Tableau1[[#This Row],[Chemin fichier source]],"X"))</f>
        <v/>
      </c>
      <c r="U371" s="61" t="str">
        <f>IF(Tableau1[[#This Row],[Date rév.]]="","",HYPERLINK(Tableau1[[#This Row],[Lien document]],"X"))</f>
        <v/>
      </c>
      <c r="V371" s="47"/>
      <c r="W371" s="49" t="str">
        <f ca="1">Chemin_accès!$B$2&amp;Tableau1[[#This Row],[Poste Responsable]]&amp;"\"&amp;Tableau1[[#This Row],[Localisation / Classement]]&amp;"\"&amp;Tableau1[[#This Row],[Poste technique]]&amp;"_"&amp;Tableau1[[#This Row],[Plan Entretien]]&amp;".pdf"</f>
        <v>\\stjn.local\trimet\Donnees_Projets\Dms Sap\Maintenance\PlanEntretien\7.MSCT\\_.pdf</v>
      </c>
      <c r="X371" s="47"/>
      <c r="Y371" s="47"/>
      <c r="Z371" s="44" t="str">
        <f ca="1">IF(AND(Tableau1[[#This Row],[Charge]]&lt;&gt;0, Tableau1[[#This Row],[Nombre intervenants]]&lt;&gt;0,Tableau1[[#This Row],[Lien document]]&lt;&gt;0,Tableau1[[#This Row],[DMS_SAP]]&lt;&gt;0)=TRUE,"MIS A JOUR","")</f>
        <v/>
      </c>
      <c r="AA371" s="48"/>
      <c r="AB371" s="58" t="str">
        <f ca="1">IF(Tableau1[[#This Row],[Date rév.]]&lt;&gt;"", DAYS360(Tableau1[[#This Row],[Date rév.]],TODAY()),"")</f>
        <v/>
      </c>
      <c r="AC371" s="47" t="str">
        <f>IFERROR(INDEX(Chemin_accès!$B$11:$C$22,MATCH(Tableau1[[#This Row],[Type]],Chemin_accès!$C$11:$C$22,0),1),Chemin_accès!$B$11)</f>
        <v>\\stjn.local\trimet\Btechnique\Commun\BT Maint SCELLEMENT\205 - Préventifs\Modèles préventif\GammeDMS_7.MSCT.xlsm</v>
      </c>
      <c r="AD371" s="47" t="str">
        <f>Chemin_accès!$B$8&amp;Tableau1[[#This Row],[Localisation / Classement]]&amp;"\"&amp;Tableau1[[#This Row],[Poste technique]]&amp;"_"&amp;Tableau1[[#This Row],[Plan Entretien]]&amp;".xlsm"</f>
        <v>\\stjn.local\trimet\Btechnique\Commun\BT Maint SCELLEMENT\205 - Préventifs\Gammes 7.MSCT PE Tool\\_.xlsm</v>
      </c>
    </row>
    <row r="372" spans="1:30" x14ac:dyDescent="0.3">
      <c r="A372" s="44" t="str">
        <f t="shared" ca="1" si="5"/>
        <v>7.MSCT</v>
      </c>
      <c r="B3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2" s="46"/>
      <c r="D372" s="44"/>
      <c r="E372" s="44"/>
      <c r="F372" s="47"/>
      <c r="G372" s="47"/>
      <c r="H372" s="50"/>
      <c r="I372" s="50"/>
      <c r="J372" s="50"/>
      <c r="K372" s="50"/>
      <c r="L372" s="46"/>
      <c r="M372" s="47"/>
      <c r="N372" s="46"/>
      <c r="O372" s="46"/>
      <c r="P372" s="47"/>
      <c r="Q372" s="46"/>
      <c r="R372" s="46"/>
      <c r="S372" s="48"/>
      <c r="T372" s="61" t="str">
        <f>IF(Tableau1[[#This Row],[DMS_SAP]]="","",HYPERLINK(Tableau1[[#This Row],[Chemin fichier source]],"X"))</f>
        <v/>
      </c>
      <c r="U372" s="61" t="str">
        <f>IF(Tableau1[[#This Row],[Date rév.]]="","",HYPERLINK(Tableau1[[#This Row],[Lien document]],"X"))</f>
        <v/>
      </c>
      <c r="V372" s="47"/>
      <c r="W372" s="49" t="str">
        <f ca="1">Chemin_accès!$B$2&amp;Tableau1[[#This Row],[Poste Responsable]]&amp;"\"&amp;Tableau1[[#This Row],[Localisation / Classement]]&amp;"\"&amp;Tableau1[[#This Row],[Poste technique]]&amp;"_"&amp;Tableau1[[#This Row],[Plan Entretien]]&amp;".pdf"</f>
        <v>\\stjn.local\trimet\Donnees_Projets\Dms Sap\Maintenance\PlanEntretien\7.MSCT\\_.pdf</v>
      </c>
      <c r="X372" s="47"/>
      <c r="Y372" s="47"/>
      <c r="Z372" s="44" t="str">
        <f ca="1">IF(AND(Tableau1[[#This Row],[Charge]]&lt;&gt;0, Tableau1[[#This Row],[Nombre intervenants]]&lt;&gt;0,Tableau1[[#This Row],[Lien document]]&lt;&gt;0,Tableau1[[#This Row],[DMS_SAP]]&lt;&gt;0)=TRUE,"MIS A JOUR","")</f>
        <v/>
      </c>
      <c r="AA372" s="48"/>
      <c r="AB372" s="58" t="str">
        <f ca="1">IF(Tableau1[[#This Row],[Date rév.]]&lt;&gt;"", DAYS360(Tableau1[[#This Row],[Date rév.]],TODAY()),"")</f>
        <v/>
      </c>
      <c r="AC372" s="47" t="str">
        <f>IFERROR(INDEX(Chemin_accès!$B$11:$C$22,MATCH(Tableau1[[#This Row],[Type]],Chemin_accès!$C$11:$C$22,0),1),Chemin_accès!$B$11)</f>
        <v>\\stjn.local\trimet\Btechnique\Commun\BT Maint SCELLEMENT\205 - Préventifs\Modèles préventif\GammeDMS_7.MSCT.xlsm</v>
      </c>
      <c r="AD372" s="47" t="str">
        <f>Chemin_accès!$B$8&amp;Tableau1[[#This Row],[Localisation / Classement]]&amp;"\"&amp;Tableau1[[#This Row],[Poste technique]]&amp;"_"&amp;Tableau1[[#This Row],[Plan Entretien]]&amp;".xlsm"</f>
        <v>\\stjn.local\trimet\Btechnique\Commun\BT Maint SCELLEMENT\205 - Préventifs\Gammes 7.MSCT PE Tool\\_.xlsm</v>
      </c>
    </row>
    <row r="373" spans="1:30" x14ac:dyDescent="0.3">
      <c r="A373" s="44" t="str">
        <f t="shared" ca="1" si="5"/>
        <v>7.MSCT</v>
      </c>
      <c r="B3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3" s="46"/>
      <c r="D373" s="44"/>
      <c r="E373" s="44"/>
      <c r="F373" s="47"/>
      <c r="G373" s="47"/>
      <c r="H373" s="50"/>
      <c r="I373" s="50"/>
      <c r="J373" s="50"/>
      <c r="K373" s="50"/>
      <c r="L373" s="46"/>
      <c r="M373" s="47"/>
      <c r="N373" s="46"/>
      <c r="O373" s="46"/>
      <c r="P373" s="47"/>
      <c r="Q373" s="46"/>
      <c r="R373" s="46"/>
      <c r="S373" s="48"/>
      <c r="T373" s="61" t="str">
        <f>IF(Tableau1[[#This Row],[DMS_SAP]]="","",HYPERLINK(Tableau1[[#This Row],[Chemin fichier source]],"X"))</f>
        <v/>
      </c>
      <c r="U373" s="61" t="str">
        <f>IF(Tableau1[[#This Row],[Date rév.]]="","",HYPERLINK(Tableau1[[#This Row],[Lien document]],"X"))</f>
        <v/>
      </c>
      <c r="V373" s="47"/>
      <c r="W373" s="49" t="str">
        <f ca="1">Chemin_accès!$B$2&amp;Tableau1[[#This Row],[Poste Responsable]]&amp;"\"&amp;Tableau1[[#This Row],[Localisation / Classement]]&amp;"\"&amp;Tableau1[[#This Row],[Poste technique]]&amp;"_"&amp;Tableau1[[#This Row],[Plan Entretien]]&amp;".pdf"</f>
        <v>\\stjn.local\trimet\Donnees_Projets\Dms Sap\Maintenance\PlanEntretien\7.MSCT\\_.pdf</v>
      </c>
      <c r="X373" s="47"/>
      <c r="Y373" s="47"/>
      <c r="Z373" s="44" t="str">
        <f ca="1">IF(AND(Tableau1[[#This Row],[Charge]]&lt;&gt;0, Tableau1[[#This Row],[Nombre intervenants]]&lt;&gt;0,Tableau1[[#This Row],[Lien document]]&lt;&gt;0,Tableau1[[#This Row],[DMS_SAP]]&lt;&gt;0)=TRUE,"MIS A JOUR","")</f>
        <v/>
      </c>
      <c r="AA373" s="48"/>
      <c r="AB373" s="58" t="str">
        <f ca="1">IF(Tableau1[[#This Row],[Date rév.]]&lt;&gt;"", DAYS360(Tableau1[[#This Row],[Date rév.]],TODAY()),"")</f>
        <v/>
      </c>
      <c r="AC373" s="47" t="str">
        <f>IFERROR(INDEX(Chemin_accès!$B$11:$C$22,MATCH(Tableau1[[#This Row],[Type]],Chemin_accès!$C$11:$C$22,0),1),Chemin_accès!$B$11)</f>
        <v>\\stjn.local\trimet\Btechnique\Commun\BT Maint SCELLEMENT\205 - Préventifs\Modèles préventif\GammeDMS_7.MSCT.xlsm</v>
      </c>
      <c r="AD373" s="47" t="str">
        <f>Chemin_accès!$B$8&amp;Tableau1[[#This Row],[Localisation / Classement]]&amp;"\"&amp;Tableau1[[#This Row],[Poste technique]]&amp;"_"&amp;Tableau1[[#This Row],[Plan Entretien]]&amp;".xlsm"</f>
        <v>\\stjn.local\trimet\Btechnique\Commun\BT Maint SCELLEMENT\205 - Préventifs\Gammes 7.MSCT PE Tool\\_.xlsm</v>
      </c>
    </row>
    <row r="374" spans="1:30" x14ac:dyDescent="0.3">
      <c r="A374" s="44" t="str">
        <f t="shared" ca="1" si="5"/>
        <v>7.MSCT</v>
      </c>
      <c r="B3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4" s="46"/>
      <c r="D374" s="44"/>
      <c r="E374" s="44"/>
      <c r="F374" s="47"/>
      <c r="G374" s="47"/>
      <c r="H374" s="50"/>
      <c r="I374" s="50"/>
      <c r="J374" s="50"/>
      <c r="K374" s="50"/>
      <c r="L374" s="46"/>
      <c r="M374" s="47"/>
      <c r="N374" s="46"/>
      <c r="O374" s="46"/>
      <c r="P374" s="47"/>
      <c r="Q374" s="46"/>
      <c r="R374" s="46"/>
      <c r="S374" s="48"/>
      <c r="T374" s="61" t="str">
        <f>IF(Tableau1[[#This Row],[DMS_SAP]]="","",HYPERLINK(Tableau1[[#This Row],[Chemin fichier source]],"X"))</f>
        <v/>
      </c>
      <c r="U374" s="61" t="str">
        <f>IF(Tableau1[[#This Row],[Date rév.]]="","",HYPERLINK(Tableau1[[#This Row],[Lien document]],"X"))</f>
        <v/>
      </c>
      <c r="V374" s="47"/>
      <c r="W374" s="49" t="str">
        <f ca="1">Chemin_accès!$B$2&amp;Tableau1[[#This Row],[Poste Responsable]]&amp;"\"&amp;Tableau1[[#This Row],[Localisation / Classement]]&amp;"\"&amp;Tableau1[[#This Row],[Poste technique]]&amp;"_"&amp;Tableau1[[#This Row],[Plan Entretien]]&amp;".pdf"</f>
        <v>\\stjn.local\trimet\Donnees_Projets\Dms Sap\Maintenance\PlanEntretien\7.MSCT\\_.pdf</v>
      </c>
      <c r="X374" s="47"/>
      <c r="Y374" s="47"/>
      <c r="Z374" s="44" t="str">
        <f ca="1">IF(AND(Tableau1[[#This Row],[Charge]]&lt;&gt;0, Tableau1[[#This Row],[Nombre intervenants]]&lt;&gt;0,Tableau1[[#This Row],[Lien document]]&lt;&gt;0,Tableau1[[#This Row],[DMS_SAP]]&lt;&gt;0)=TRUE,"MIS A JOUR","")</f>
        <v/>
      </c>
      <c r="AA374" s="48"/>
      <c r="AB374" s="58" t="str">
        <f ca="1">IF(Tableau1[[#This Row],[Date rév.]]&lt;&gt;"", DAYS360(Tableau1[[#This Row],[Date rév.]],TODAY()),"")</f>
        <v/>
      </c>
      <c r="AC374" s="47" t="str">
        <f>IFERROR(INDEX(Chemin_accès!$B$11:$C$22,MATCH(Tableau1[[#This Row],[Type]],Chemin_accès!$C$11:$C$22,0),1),Chemin_accès!$B$11)</f>
        <v>\\stjn.local\trimet\Btechnique\Commun\BT Maint SCELLEMENT\205 - Préventifs\Modèles préventif\GammeDMS_7.MSCT.xlsm</v>
      </c>
      <c r="AD374" s="47" t="str">
        <f>Chemin_accès!$B$8&amp;Tableau1[[#This Row],[Localisation / Classement]]&amp;"\"&amp;Tableau1[[#This Row],[Poste technique]]&amp;"_"&amp;Tableau1[[#This Row],[Plan Entretien]]&amp;".xlsm"</f>
        <v>\\stjn.local\trimet\Btechnique\Commun\BT Maint SCELLEMENT\205 - Préventifs\Gammes 7.MSCT PE Tool\\_.xlsm</v>
      </c>
    </row>
    <row r="375" spans="1:30" x14ac:dyDescent="0.3">
      <c r="A375" s="44" t="str">
        <f t="shared" ca="1" si="5"/>
        <v>7.MSCT</v>
      </c>
      <c r="B3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5" s="46"/>
      <c r="D375" s="44"/>
      <c r="E375" s="44"/>
      <c r="F375" s="47"/>
      <c r="G375" s="47"/>
      <c r="H375" s="50"/>
      <c r="I375" s="50"/>
      <c r="J375" s="50"/>
      <c r="K375" s="50"/>
      <c r="L375" s="46"/>
      <c r="M375" s="47"/>
      <c r="N375" s="46"/>
      <c r="O375" s="46"/>
      <c r="P375" s="47"/>
      <c r="Q375" s="46"/>
      <c r="R375" s="46"/>
      <c r="S375" s="48"/>
      <c r="T375" s="61" t="str">
        <f>IF(Tableau1[[#This Row],[DMS_SAP]]="","",HYPERLINK(Tableau1[[#This Row],[Chemin fichier source]],"X"))</f>
        <v/>
      </c>
      <c r="U375" s="61" t="str">
        <f>IF(Tableau1[[#This Row],[Date rév.]]="","",HYPERLINK(Tableau1[[#This Row],[Lien document]],"X"))</f>
        <v/>
      </c>
      <c r="V375" s="47"/>
      <c r="W375" s="49" t="str">
        <f ca="1">Chemin_accès!$B$2&amp;Tableau1[[#This Row],[Poste Responsable]]&amp;"\"&amp;Tableau1[[#This Row],[Localisation / Classement]]&amp;"\"&amp;Tableau1[[#This Row],[Poste technique]]&amp;"_"&amp;Tableau1[[#This Row],[Plan Entretien]]&amp;".pdf"</f>
        <v>\\stjn.local\trimet\Donnees_Projets\Dms Sap\Maintenance\PlanEntretien\7.MSCT\\_.pdf</v>
      </c>
      <c r="X375" s="47"/>
      <c r="Y375" s="47"/>
      <c r="Z375" s="44" t="str">
        <f ca="1">IF(AND(Tableau1[[#This Row],[Charge]]&lt;&gt;0, Tableau1[[#This Row],[Nombre intervenants]]&lt;&gt;0,Tableau1[[#This Row],[Lien document]]&lt;&gt;0,Tableau1[[#This Row],[DMS_SAP]]&lt;&gt;0)=TRUE,"MIS A JOUR","")</f>
        <v/>
      </c>
      <c r="AA375" s="48"/>
      <c r="AB375" s="58" t="str">
        <f ca="1">IF(Tableau1[[#This Row],[Date rév.]]&lt;&gt;"", DAYS360(Tableau1[[#This Row],[Date rév.]],TODAY()),"")</f>
        <v/>
      </c>
      <c r="AC375" s="47" t="str">
        <f>IFERROR(INDEX(Chemin_accès!$B$11:$C$22,MATCH(Tableau1[[#This Row],[Type]],Chemin_accès!$C$11:$C$22,0),1),Chemin_accès!$B$11)</f>
        <v>\\stjn.local\trimet\Btechnique\Commun\BT Maint SCELLEMENT\205 - Préventifs\Modèles préventif\GammeDMS_7.MSCT.xlsm</v>
      </c>
      <c r="AD375" s="47" t="str">
        <f>Chemin_accès!$B$8&amp;Tableau1[[#This Row],[Localisation / Classement]]&amp;"\"&amp;Tableau1[[#This Row],[Poste technique]]&amp;"_"&amp;Tableau1[[#This Row],[Plan Entretien]]&amp;".xlsm"</f>
        <v>\\stjn.local\trimet\Btechnique\Commun\BT Maint SCELLEMENT\205 - Préventifs\Gammes 7.MSCT PE Tool\\_.xlsm</v>
      </c>
    </row>
    <row r="376" spans="1:30" x14ac:dyDescent="0.3">
      <c r="A376" s="44" t="str">
        <f t="shared" ca="1" si="5"/>
        <v>7.MSCT</v>
      </c>
      <c r="B3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6" s="46"/>
      <c r="D376" s="44"/>
      <c r="E376" s="44"/>
      <c r="F376" s="47"/>
      <c r="G376" s="47"/>
      <c r="H376" s="50"/>
      <c r="I376" s="50"/>
      <c r="J376" s="50"/>
      <c r="K376" s="50"/>
      <c r="L376" s="46"/>
      <c r="M376" s="47"/>
      <c r="N376" s="46"/>
      <c r="O376" s="46"/>
      <c r="P376" s="47"/>
      <c r="Q376" s="46"/>
      <c r="R376" s="46"/>
      <c r="S376" s="48"/>
      <c r="T376" s="61" t="str">
        <f>IF(Tableau1[[#This Row],[DMS_SAP]]="","",HYPERLINK(Tableau1[[#This Row],[Chemin fichier source]],"X"))</f>
        <v/>
      </c>
      <c r="U376" s="61" t="str">
        <f>IF(Tableau1[[#This Row],[Date rév.]]="","",HYPERLINK(Tableau1[[#This Row],[Lien document]],"X"))</f>
        <v/>
      </c>
      <c r="V376" s="47"/>
      <c r="W376" s="49" t="str">
        <f ca="1">Chemin_accès!$B$2&amp;Tableau1[[#This Row],[Poste Responsable]]&amp;"\"&amp;Tableau1[[#This Row],[Localisation / Classement]]&amp;"\"&amp;Tableau1[[#This Row],[Poste technique]]&amp;"_"&amp;Tableau1[[#This Row],[Plan Entretien]]&amp;".pdf"</f>
        <v>\\stjn.local\trimet\Donnees_Projets\Dms Sap\Maintenance\PlanEntretien\7.MSCT\\_.pdf</v>
      </c>
      <c r="X376" s="47"/>
      <c r="Y376" s="47"/>
      <c r="Z376" s="44" t="str">
        <f ca="1">IF(AND(Tableau1[[#This Row],[Charge]]&lt;&gt;0, Tableau1[[#This Row],[Nombre intervenants]]&lt;&gt;0,Tableau1[[#This Row],[Lien document]]&lt;&gt;0,Tableau1[[#This Row],[DMS_SAP]]&lt;&gt;0)=TRUE,"MIS A JOUR","")</f>
        <v/>
      </c>
      <c r="AA376" s="48"/>
      <c r="AB376" s="58" t="str">
        <f ca="1">IF(Tableau1[[#This Row],[Date rév.]]&lt;&gt;"", DAYS360(Tableau1[[#This Row],[Date rév.]],TODAY()),"")</f>
        <v/>
      </c>
      <c r="AC376" s="47" t="str">
        <f>IFERROR(INDEX(Chemin_accès!$B$11:$C$22,MATCH(Tableau1[[#This Row],[Type]],Chemin_accès!$C$11:$C$22,0),1),Chemin_accès!$B$11)</f>
        <v>\\stjn.local\trimet\Btechnique\Commun\BT Maint SCELLEMENT\205 - Préventifs\Modèles préventif\GammeDMS_7.MSCT.xlsm</v>
      </c>
      <c r="AD376" s="47" t="str">
        <f>Chemin_accès!$B$8&amp;Tableau1[[#This Row],[Localisation / Classement]]&amp;"\"&amp;Tableau1[[#This Row],[Poste technique]]&amp;"_"&amp;Tableau1[[#This Row],[Plan Entretien]]&amp;".xlsm"</f>
        <v>\\stjn.local\trimet\Btechnique\Commun\BT Maint SCELLEMENT\205 - Préventifs\Gammes 7.MSCT PE Tool\\_.xlsm</v>
      </c>
    </row>
    <row r="377" spans="1:30" x14ac:dyDescent="0.3">
      <c r="A377" s="44" t="str">
        <f t="shared" ca="1" si="5"/>
        <v>7.MSCT</v>
      </c>
      <c r="B3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7" s="46"/>
      <c r="D377" s="44"/>
      <c r="E377" s="44"/>
      <c r="F377" s="47"/>
      <c r="G377" s="47"/>
      <c r="H377" s="50"/>
      <c r="I377" s="50"/>
      <c r="J377" s="50"/>
      <c r="K377" s="50"/>
      <c r="L377" s="46"/>
      <c r="M377" s="47"/>
      <c r="N377" s="46"/>
      <c r="O377" s="46"/>
      <c r="P377" s="47"/>
      <c r="Q377" s="46"/>
      <c r="R377" s="46"/>
      <c r="S377" s="48"/>
      <c r="T377" s="61" t="str">
        <f>IF(Tableau1[[#This Row],[DMS_SAP]]="","",HYPERLINK(Tableau1[[#This Row],[Chemin fichier source]],"X"))</f>
        <v/>
      </c>
      <c r="U377" s="61" t="str">
        <f>IF(Tableau1[[#This Row],[Date rév.]]="","",HYPERLINK(Tableau1[[#This Row],[Lien document]],"X"))</f>
        <v/>
      </c>
      <c r="V377" s="47"/>
      <c r="W377" s="49" t="str">
        <f ca="1">Chemin_accès!$B$2&amp;Tableau1[[#This Row],[Poste Responsable]]&amp;"\"&amp;Tableau1[[#This Row],[Localisation / Classement]]&amp;"\"&amp;Tableau1[[#This Row],[Poste technique]]&amp;"_"&amp;Tableau1[[#This Row],[Plan Entretien]]&amp;".pdf"</f>
        <v>\\stjn.local\trimet\Donnees_Projets\Dms Sap\Maintenance\PlanEntretien\7.MSCT\\_.pdf</v>
      </c>
      <c r="X377" s="47"/>
      <c r="Y377" s="47"/>
      <c r="Z377" s="44" t="str">
        <f ca="1">IF(AND(Tableau1[[#This Row],[Charge]]&lt;&gt;0, Tableau1[[#This Row],[Nombre intervenants]]&lt;&gt;0,Tableau1[[#This Row],[Lien document]]&lt;&gt;0,Tableau1[[#This Row],[DMS_SAP]]&lt;&gt;0)=TRUE,"MIS A JOUR","")</f>
        <v/>
      </c>
      <c r="AA377" s="48"/>
      <c r="AB377" s="58" t="str">
        <f ca="1">IF(Tableau1[[#This Row],[Date rév.]]&lt;&gt;"", DAYS360(Tableau1[[#This Row],[Date rév.]],TODAY()),"")</f>
        <v/>
      </c>
      <c r="AC377" s="47" t="str">
        <f>IFERROR(INDEX(Chemin_accès!$B$11:$C$22,MATCH(Tableau1[[#This Row],[Type]],Chemin_accès!$C$11:$C$22,0),1),Chemin_accès!$B$11)</f>
        <v>\\stjn.local\trimet\Btechnique\Commun\BT Maint SCELLEMENT\205 - Préventifs\Modèles préventif\GammeDMS_7.MSCT.xlsm</v>
      </c>
      <c r="AD377" s="47" t="str">
        <f>Chemin_accès!$B$8&amp;Tableau1[[#This Row],[Localisation / Classement]]&amp;"\"&amp;Tableau1[[#This Row],[Poste technique]]&amp;"_"&amp;Tableau1[[#This Row],[Plan Entretien]]&amp;".xlsm"</f>
        <v>\\stjn.local\trimet\Btechnique\Commun\BT Maint SCELLEMENT\205 - Préventifs\Gammes 7.MSCT PE Tool\\_.xlsm</v>
      </c>
    </row>
    <row r="378" spans="1:30" x14ac:dyDescent="0.3">
      <c r="A378" s="44" t="str">
        <f t="shared" ca="1" si="5"/>
        <v>7.MSCT</v>
      </c>
      <c r="B3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8" s="46"/>
      <c r="D378" s="44"/>
      <c r="E378" s="44"/>
      <c r="F378" s="47"/>
      <c r="G378" s="47"/>
      <c r="H378" s="50"/>
      <c r="I378" s="50"/>
      <c r="J378" s="50"/>
      <c r="K378" s="50"/>
      <c r="L378" s="46"/>
      <c r="M378" s="47"/>
      <c r="N378" s="46"/>
      <c r="O378" s="46"/>
      <c r="P378" s="47"/>
      <c r="Q378" s="46"/>
      <c r="R378" s="46"/>
      <c r="S378" s="48"/>
      <c r="T378" s="61" t="str">
        <f>IF(Tableau1[[#This Row],[DMS_SAP]]="","",HYPERLINK(Tableau1[[#This Row],[Chemin fichier source]],"X"))</f>
        <v/>
      </c>
      <c r="U378" s="61" t="str">
        <f>IF(Tableau1[[#This Row],[Date rév.]]="","",HYPERLINK(Tableau1[[#This Row],[Lien document]],"X"))</f>
        <v/>
      </c>
      <c r="V378" s="47"/>
      <c r="W378" s="49" t="str">
        <f ca="1">Chemin_accès!$B$2&amp;Tableau1[[#This Row],[Poste Responsable]]&amp;"\"&amp;Tableau1[[#This Row],[Localisation / Classement]]&amp;"\"&amp;Tableau1[[#This Row],[Poste technique]]&amp;"_"&amp;Tableau1[[#This Row],[Plan Entretien]]&amp;".pdf"</f>
        <v>\\stjn.local\trimet\Donnees_Projets\Dms Sap\Maintenance\PlanEntretien\7.MSCT\\_.pdf</v>
      </c>
      <c r="X378" s="47"/>
      <c r="Y378" s="47"/>
      <c r="Z378" s="44" t="str">
        <f ca="1">IF(AND(Tableau1[[#This Row],[Charge]]&lt;&gt;0, Tableau1[[#This Row],[Nombre intervenants]]&lt;&gt;0,Tableau1[[#This Row],[Lien document]]&lt;&gt;0,Tableau1[[#This Row],[DMS_SAP]]&lt;&gt;0)=TRUE,"MIS A JOUR","")</f>
        <v/>
      </c>
      <c r="AA378" s="48"/>
      <c r="AB378" s="58" t="str">
        <f ca="1">IF(Tableau1[[#This Row],[Date rév.]]&lt;&gt;"", DAYS360(Tableau1[[#This Row],[Date rév.]],TODAY()),"")</f>
        <v/>
      </c>
      <c r="AC378" s="47" t="str">
        <f>IFERROR(INDEX(Chemin_accès!$B$11:$C$22,MATCH(Tableau1[[#This Row],[Type]],Chemin_accès!$C$11:$C$22,0),1),Chemin_accès!$B$11)</f>
        <v>\\stjn.local\trimet\Btechnique\Commun\BT Maint SCELLEMENT\205 - Préventifs\Modèles préventif\GammeDMS_7.MSCT.xlsm</v>
      </c>
      <c r="AD378" s="47" t="str">
        <f>Chemin_accès!$B$8&amp;Tableau1[[#This Row],[Localisation / Classement]]&amp;"\"&amp;Tableau1[[#This Row],[Poste technique]]&amp;"_"&amp;Tableau1[[#This Row],[Plan Entretien]]&amp;".xlsm"</f>
        <v>\\stjn.local\trimet\Btechnique\Commun\BT Maint SCELLEMENT\205 - Préventifs\Gammes 7.MSCT PE Tool\\_.xlsm</v>
      </c>
    </row>
    <row r="379" spans="1:30" x14ac:dyDescent="0.3">
      <c r="A379" s="44" t="str">
        <f t="shared" ca="1" si="5"/>
        <v>7.MSCT</v>
      </c>
      <c r="B3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79" s="46"/>
      <c r="D379" s="44"/>
      <c r="E379" s="44"/>
      <c r="F379" s="47"/>
      <c r="G379" s="47"/>
      <c r="H379" s="50"/>
      <c r="I379" s="50"/>
      <c r="J379" s="50"/>
      <c r="K379" s="50"/>
      <c r="L379" s="46"/>
      <c r="M379" s="47"/>
      <c r="N379" s="46"/>
      <c r="O379" s="46"/>
      <c r="P379" s="47"/>
      <c r="Q379" s="46"/>
      <c r="R379" s="46"/>
      <c r="S379" s="48"/>
      <c r="T379" s="61" t="str">
        <f>IF(Tableau1[[#This Row],[DMS_SAP]]="","",HYPERLINK(Tableau1[[#This Row],[Chemin fichier source]],"X"))</f>
        <v/>
      </c>
      <c r="U379" s="61" t="str">
        <f>IF(Tableau1[[#This Row],[Date rév.]]="","",HYPERLINK(Tableau1[[#This Row],[Lien document]],"X"))</f>
        <v/>
      </c>
      <c r="V379" s="47"/>
      <c r="W379" s="49" t="str">
        <f ca="1">Chemin_accès!$B$2&amp;Tableau1[[#This Row],[Poste Responsable]]&amp;"\"&amp;Tableau1[[#This Row],[Localisation / Classement]]&amp;"\"&amp;Tableau1[[#This Row],[Poste technique]]&amp;"_"&amp;Tableau1[[#This Row],[Plan Entretien]]&amp;".pdf"</f>
        <v>\\stjn.local\trimet\Donnees_Projets\Dms Sap\Maintenance\PlanEntretien\7.MSCT\\_.pdf</v>
      </c>
      <c r="X379" s="47"/>
      <c r="Y379" s="47"/>
      <c r="Z379" s="44" t="str">
        <f ca="1">IF(AND(Tableau1[[#This Row],[Charge]]&lt;&gt;0, Tableau1[[#This Row],[Nombre intervenants]]&lt;&gt;0,Tableau1[[#This Row],[Lien document]]&lt;&gt;0,Tableau1[[#This Row],[DMS_SAP]]&lt;&gt;0)=TRUE,"MIS A JOUR","")</f>
        <v/>
      </c>
      <c r="AA379" s="48"/>
      <c r="AB379" s="58" t="str">
        <f ca="1">IF(Tableau1[[#This Row],[Date rév.]]&lt;&gt;"", DAYS360(Tableau1[[#This Row],[Date rév.]],TODAY()),"")</f>
        <v/>
      </c>
      <c r="AC379" s="47" t="str">
        <f>IFERROR(INDEX(Chemin_accès!$B$11:$C$22,MATCH(Tableau1[[#This Row],[Type]],Chemin_accès!$C$11:$C$22,0),1),Chemin_accès!$B$11)</f>
        <v>\\stjn.local\trimet\Btechnique\Commun\BT Maint SCELLEMENT\205 - Préventifs\Modèles préventif\GammeDMS_7.MSCT.xlsm</v>
      </c>
      <c r="AD379" s="47" t="str">
        <f>Chemin_accès!$B$8&amp;Tableau1[[#This Row],[Localisation / Classement]]&amp;"\"&amp;Tableau1[[#This Row],[Poste technique]]&amp;"_"&amp;Tableau1[[#This Row],[Plan Entretien]]&amp;".xlsm"</f>
        <v>\\stjn.local\trimet\Btechnique\Commun\BT Maint SCELLEMENT\205 - Préventifs\Gammes 7.MSCT PE Tool\\_.xlsm</v>
      </c>
    </row>
    <row r="380" spans="1:30" x14ac:dyDescent="0.3">
      <c r="A380" s="44" t="str">
        <f t="shared" ca="1" si="5"/>
        <v>7.MSCT</v>
      </c>
      <c r="B3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0" s="46"/>
      <c r="D380" s="44"/>
      <c r="E380" s="44"/>
      <c r="F380" s="47"/>
      <c r="G380" s="47"/>
      <c r="H380" s="50"/>
      <c r="I380" s="50"/>
      <c r="J380" s="50"/>
      <c r="K380" s="50"/>
      <c r="L380" s="46"/>
      <c r="M380" s="47"/>
      <c r="N380" s="46"/>
      <c r="O380" s="46"/>
      <c r="P380" s="47"/>
      <c r="Q380" s="46"/>
      <c r="R380" s="46"/>
      <c r="S380" s="48"/>
      <c r="T380" s="61" t="str">
        <f>IF(Tableau1[[#This Row],[DMS_SAP]]="","",HYPERLINK(Tableau1[[#This Row],[Chemin fichier source]],"X"))</f>
        <v/>
      </c>
      <c r="U380" s="61" t="str">
        <f>IF(Tableau1[[#This Row],[Date rév.]]="","",HYPERLINK(Tableau1[[#This Row],[Lien document]],"X"))</f>
        <v/>
      </c>
      <c r="V380" s="47"/>
      <c r="W380" s="49" t="str">
        <f ca="1">Chemin_accès!$B$2&amp;Tableau1[[#This Row],[Poste Responsable]]&amp;"\"&amp;Tableau1[[#This Row],[Localisation / Classement]]&amp;"\"&amp;Tableau1[[#This Row],[Poste technique]]&amp;"_"&amp;Tableau1[[#This Row],[Plan Entretien]]&amp;".pdf"</f>
        <v>\\stjn.local\trimet\Donnees_Projets\Dms Sap\Maintenance\PlanEntretien\7.MSCT\\_.pdf</v>
      </c>
      <c r="X380" s="47"/>
      <c r="Y380" s="47"/>
      <c r="Z380" s="44" t="str">
        <f ca="1">IF(AND(Tableau1[[#This Row],[Charge]]&lt;&gt;0, Tableau1[[#This Row],[Nombre intervenants]]&lt;&gt;0,Tableau1[[#This Row],[Lien document]]&lt;&gt;0,Tableau1[[#This Row],[DMS_SAP]]&lt;&gt;0)=TRUE,"MIS A JOUR","")</f>
        <v/>
      </c>
      <c r="AA380" s="48"/>
      <c r="AB380" s="58" t="str">
        <f ca="1">IF(Tableau1[[#This Row],[Date rév.]]&lt;&gt;"", DAYS360(Tableau1[[#This Row],[Date rév.]],TODAY()),"")</f>
        <v/>
      </c>
      <c r="AC380" s="47" t="str">
        <f>IFERROR(INDEX(Chemin_accès!$B$11:$C$22,MATCH(Tableau1[[#This Row],[Type]],Chemin_accès!$C$11:$C$22,0),1),Chemin_accès!$B$11)</f>
        <v>\\stjn.local\trimet\Btechnique\Commun\BT Maint SCELLEMENT\205 - Préventifs\Modèles préventif\GammeDMS_7.MSCT.xlsm</v>
      </c>
      <c r="AD380" s="47" t="str">
        <f>Chemin_accès!$B$8&amp;Tableau1[[#This Row],[Localisation / Classement]]&amp;"\"&amp;Tableau1[[#This Row],[Poste technique]]&amp;"_"&amp;Tableau1[[#This Row],[Plan Entretien]]&amp;".xlsm"</f>
        <v>\\stjn.local\trimet\Btechnique\Commun\BT Maint SCELLEMENT\205 - Préventifs\Gammes 7.MSCT PE Tool\\_.xlsm</v>
      </c>
    </row>
    <row r="381" spans="1:30" x14ac:dyDescent="0.3">
      <c r="A381" s="44" t="str">
        <f t="shared" ca="1" si="5"/>
        <v>7.MSCT</v>
      </c>
      <c r="B3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1" s="46"/>
      <c r="D381" s="44"/>
      <c r="E381" s="44"/>
      <c r="F381" s="47"/>
      <c r="G381" s="47"/>
      <c r="H381" s="50"/>
      <c r="I381" s="50"/>
      <c r="J381" s="50"/>
      <c r="K381" s="50"/>
      <c r="L381" s="46"/>
      <c r="M381" s="47"/>
      <c r="N381" s="46"/>
      <c r="O381" s="46"/>
      <c r="P381" s="47"/>
      <c r="Q381" s="46"/>
      <c r="R381" s="46"/>
      <c r="S381" s="48"/>
      <c r="T381" s="61" t="str">
        <f>IF(Tableau1[[#This Row],[DMS_SAP]]="","",HYPERLINK(Tableau1[[#This Row],[Chemin fichier source]],"X"))</f>
        <v/>
      </c>
      <c r="U381" s="61" t="str">
        <f>IF(Tableau1[[#This Row],[Date rév.]]="","",HYPERLINK(Tableau1[[#This Row],[Lien document]],"X"))</f>
        <v/>
      </c>
      <c r="V381" s="47"/>
      <c r="W381" s="49" t="str">
        <f ca="1">Chemin_accès!$B$2&amp;Tableau1[[#This Row],[Poste Responsable]]&amp;"\"&amp;Tableau1[[#This Row],[Localisation / Classement]]&amp;"\"&amp;Tableau1[[#This Row],[Poste technique]]&amp;"_"&amp;Tableau1[[#This Row],[Plan Entretien]]&amp;".pdf"</f>
        <v>\\stjn.local\trimet\Donnees_Projets\Dms Sap\Maintenance\PlanEntretien\7.MSCT\\_.pdf</v>
      </c>
      <c r="X381" s="47"/>
      <c r="Y381" s="47"/>
      <c r="Z381" s="44" t="str">
        <f ca="1">IF(AND(Tableau1[[#This Row],[Charge]]&lt;&gt;0, Tableau1[[#This Row],[Nombre intervenants]]&lt;&gt;0,Tableau1[[#This Row],[Lien document]]&lt;&gt;0,Tableau1[[#This Row],[DMS_SAP]]&lt;&gt;0)=TRUE,"MIS A JOUR","")</f>
        <v/>
      </c>
      <c r="AA381" s="48"/>
      <c r="AB381" s="58" t="str">
        <f ca="1">IF(Tableau1[[#This Row],[Date rév.]]&lt;&gt;"", DAYS360(Tableau1[[#This Row],[Date rév.]],TODAY()),"")</f>
        <v/>
      </c>
      <c r="AC381" s="47" t="str">
        <f>IFERROR(INDEX(Chemin_accès!$B$11:$C$22,MATCH(Tableau1[[#This Row],[Type]],Chemin_accès!$C$11:$C$22,0),1),Chemin_accès!$B$11)</f>
        <v>\\stjn.local\trimet\Btechnique\Commun\BT Maint SCELLEMENT\205 - Préventifs\Modèles préventif\GammeDMS_7.MSCT.xlsm</v>
      </c>
      <c r="AD381" s="47" t="str">
        <f>Chemin_accès!$B$8&amp;Tableau1[[#This Row],[Localisation / Classement]]&amp;"\"&amp;Tableau1[[#This Row],[Poste technique]]&amp;"_"&amp;Tableau1[[#This Row],[Plan Entretien]]&amp;".xlsm"</f>
        <v>\\stjn.local\trimet\Btechnique\Commun\BT Maint SCELLEMENT\205 - Préventifs\Gammes 7.MSCT PE Tool\\_.xlsm</v>
      </c>
    </row>
    <row r="382" spans="1:30" x14ac:dyDescent="0.3">
      <c r="A382" s="44" t="str">
        <f t="shared" ca="1" si="5"/>
        <v>7.MSCT</v>
      </c>
      <c r="B3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2" s="46"/>
      <c r="D382" s="44"/>
      <c r="E382" s="44"/>
      <c r="F382" s="47"/>
      <c r="G382" s="47"/>
      <c r="H382" s="50"/>
      <c r="I382" s="50"/>
      <c r="J382" s="50"/>
      <c r="K382" s="50"/>
      <c r="L382" s="46"/>
      <c r="M382" s="47"/>
      <c r="N382" s="46"/>
      <c r="O382" s="46"/>
      <c r="P382" s="47"/>
      <c r="Q382" s="46"/>
      <c r="R382" s="46"/>
      <c r="S382" s="48"/>
      <c r="T382" s="61" t="str">
        <f>IF(Tableau1[[#This Row],[DMS_SAP]]="","",HYPERLINK(Tableau1[[#This Row],[Chemin fichier source]],"X"))</f>
        <v/>
      </c>
      <c r="U382" s="61" t="str">
        <f>IF(Tableau1[[#This Row],[Date rév.]]="","",HYPERLINK(Tableau1[[#This Row],[Lien document]],"X"))</f>
        <v/>
      </c>
      <c r="V382" s="47"/>
      <c r="W382" s="49" t="str">
        <f ca="1">Chemin_accès!$B$2&amp;Tableau1[[#This Row],[Poste Responsable]]&amp;"\"&amp;Tableau1[[#This Row],[Localisation / Classement]]&amp;"\"&amp;Tableau1[[#This Row],[Poste technique]]&amp;"_"&amp;Tableau1[[#This Row],[Plan Entretien]]&amp;".pdf"</f>
        <v>\\stjn.local\trimet\Donnees_Projets\Dms Sap\Maintenance\PlanEntretien\7.MSCT\\_.pdf</v>
      </c>
      <c r="X382" s="47"/>
      <c r="Y382" s="47"/>
      <c r="Z382" s="44" t="str">
        <f ca="1">IF(AND(Tableau1[[#This Row],[Charge]]&lt;&gt;0, Tableau1[[#This Row],[Nombre intervenants]]&lt;&gt;0,Tableau1[[#This Row],[Lien document]]&lt;&gt;0,Tableau1[[#This Row],[DMS_SAP]]&lt;&gt;0)=TRUE,"MIS A JOUR","")</f>
        <v/>
      </c>
      <c r="AA382" s="48"/>
      <c r="AB382" s="58" t="str">
        <f ca="1">IF(Tableau1[[#This Row],[Date rév.]]&lt;&gt;"", DAYS360(Tableau1[[#This Row],[Date rév.]],TODAY()),"")</f>
        <v/>
      </c>
      <c r="AC382" s="47" t="str">
        <f>IFERROR(INDEX(Chemin_accès!$B$11:$C$22,MATCH(Tableau1[[#This Row],[Type]],Chemin_accès!$C$11:$C$22,0),1),Chemin_accès!$B$11)</f>
        <v>\\stjn.local\trimet\Btechnique\Commun\BT Maint SCELLEMENT\205 - Préventifs\Modèles préventif\GammeDMS_7.MSCT.xlsm</v>
      </c>
      <c r="AD382" s="47" t="str">
        <f>Chemin_accès!$B$8&amp;Tableau1[[#This Row],[Localisation / Classement]]&amp;"\"&amp;Tableau1[[#This Row],[Poste technique]]&amp;"_"&amp;Tableau1[[#This Row],[Plan Entretien]]&amp;".xlsm"</f>
        <v>\\stjn.local\trimet\Btechnique\Commun\BT Maint SCELLEMENT\205 - Préventifs\Gammes 7.MSCT PE Tool\\_.xlsm</v>
      </c>
    </row>
    <row r="383" spans="1:30" x14ac:dyDescent="0.3">
      <c r="A383" s="44" t="str">
        <f t="shared" ca="1" si="5"/>
        <v>7.MSCT</v>
      </c>
      <c r="B3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3" s="46"/>
      <c r="D383" s="44"/>
      <c r="E383" s="44"/>
      <c r="F383" s="47"/>
      <c r="G383" s="47"/>
      <c r="H383" s="50"/>
      <c r="I383" s="50"/>
      <c r="J383" s="50"/>
      <c r="K383" s="50"/>
      <c r="L383" s="46"/>
      <c r="M383" s="47"/>
      <c r="N383" s="46"/>
      <c r="O383" s="46"/>
      <c r="P383" s="47"/>
      <c r="Q383" s="46"/>
      <c r="R383" s="46"/>
      <c r="S383" s="48"/>
      <c r="T383" s="61" t="str">
        <f>IF(Tableau1[[#This Row],[DMS_SAP]]="","",HYPERLINK(Tableau1[[#This Row],[Chemin fichier source]],"X"))</f>
        <v/>
      </c>
      <c r="U383" s="61" t="str">
        <f>IF(Tableau1[[#This Row],[Date rév.]]="","",HYPERLINK(Tableau1[[#This Row],[Lien document]],"X"))</f>
        <v/>
      </c>
      <c r="V383" s="47"/>
      <c r="W383" s="49" t="str">
        <f ca="1">Chemin_accès!$B$2&amp;Tableau1[[#This Row],[Poste Responsable]]&amp;"\"&amp;Tableau1[[#This Row],[Localisation / Classement]]&amp;"\"&amp;Tableau1[[#This Row],[Poste technique]]&amp;"_"&amp;Tableau1[[#This Row],[Plan Entretien]]&amp;".pdf"</f>
        <v>\\stjn.local\trimet\Donnees_Projets\Dms Sap\Maintenance\PlanEntretien\7.MSCT\\_.pdf</v>
      </c>
      <c r="X383" s="47"/>
      <c r="Y383" s="47"/>
      <c r="Z383" s="44" t="str">
        <f ca="1">IF(AND(Tableau1[[#This Row],[Charge]]&lt;&gt;0, Tableau1[[#This Row],[Nombre intervenants]]&lt;&gt;0,Tableau1[[#This Row],[Lien document]]&lt;&gt;0,Tableau1[[#This Row],[DMS_SAP]]&lt;&gt;0)=TRUE,"MIS A JOUR","")</f>
        <v/>
      </c>
      <c r="AA383" s="48"/>
      <c r="AB383" s="58" t="str">
        <f ca="1">IF(Tableau1[[#This Row],[Date rév.]]&lt;&gt;"", DAYS360(Tableau1[[#This Row],[Date rév.]],TODAY()),"")</f>
        <v/>
      </c>
      <c r="AC383" s="47" t="str">
        <f>IFERROR(INDEX(Chemin_accès!$B$11:$C$22,MATCH(Tableau1[[#This Row],[Type]],Chemin_accès!$C$11:$C$22,0),1),Chemin_accès!$B$11)</f>
        <v>\\stjn.local\trimet\Btechnique\Commun\BT Maint SCELLEMENT\205 - Préventifs\Modèles préventif\GammeDMS_7.MSCT.xlsm</v>
      </c>
      <c r="AD383" s="47" t="str">
        <f>Chemin_accès!$B$8&amp;Tableau1[[#This Row],[Localisation / Classement]]&amp;"\"&amp;Tableau1[[#This Row],[Poste technique]]&amp;"_"&amp;Tableau1[[#This Row],[Plan Entretien]]&amp;".xlsm"</f>
        <v>\\stjn.local\trimet\Btechnique\Commun\BT Maint SCELLEMENT\205 - Préventifs\Gammes 7.MSCT PE Tool\\_.xlsm</v>
      </c>
    </row>
    <row r="384" spans="1:30" x14ac:dyDescent="0.3">
      <c r="A384" s="44" t="str">
        <f t="shared" ca="1" si="5"/>
        <v>7.MSCT</v>
      </c>
      <c r="B3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4" s="46"/>
      <c r="D384" s="44"/>
      <c r="E384" s="44"/>
      <c r="F384" s="47"/>
      <c r="G384" s="47"/>
      <c r="H384" s="50"/>
      <c r="I384" s="50"/>
      <c r="J384" s="50"/>
      <c r="K384" s="50"/>
      <c r="L384" s="46"/>
      <c r="M384" s="47"/>
      <c r="N384" s="46"/>
      <c r="O384" s="46"/>
      <c r="P384" s="47"/>
      <c r="Q384" s="46"/>
      <c r="R384" s="46"/>
      <c r="S384" s="48"/>
      <c r="T384" s="61" t="str">
        <f>IF(Tableau1[[#This Row],[DMS_SAP]]="","",HYPERLINK(Tableau1[[#This Row],[Chemin fichier source]],"X"))</f>
        <v/>
      </c>
      <c r="U384" s="61" t="str">
        <f>IF(Tableau1[[#This Row],[Date rév.]]="","",HYPERLINK(Tableau1[[#This Row],[Lien document]],"X"))</f>
        <v/>
      </c>
      <c r="V384" s="47"/>
      <c r="W384" s="49" t="str">
        <f ca="1">Chemin_accès!$B$2&amp;Tableau1[[#This Row],[Poste Responsable]]&amp;"\"&amp;Tableau1[[#This Row],[Localisation / Classement]]&amp;"\"&amp;Tableau1[[#This Row],[Poste technique]]&amp;"_"&amp;Tableau1[[#This Row],[Plan Entretien]]&amp;".pdf"</f>
        <v>\\stjn.local\trimet\Donnees_Projets\Dms Sap\Maintenance\PlanEntretien\7.MSCT\\_.pdf</v>
      </c>
      <c r="X384" s="47"/>
      <c r="Y384" s="47"/>
      <c r="Z384" s="44" t="str">
        <f ca="1">IF(AND(Tableau1[[#This Row],[Charge]]&lt;&gt;0, Tableau1[[#This Row],[Nombre intervenants]]&lt;&gt;0,Tableau1[[#This Row],[Lien document]]&lt;&gt;0,Tableau1[[#This Row],[DMS_SAP]]&lt;&gt;0)=TRUE,"MIS A JOUR","")</f>
        <v/>
      </c>
      <c r="AA384" s="48"/>
      <c r="AB384" s="58" t="str">
        <f ca="1">IF(Tableau1[[#This Row],[Date rév.]]&lt;&gt;"", DAYS360(Tableau1[[#This Row],[Date rév.]],TODAY()),"")</f>
        <v/>
      </c>
      <c r="AC384" s="47" t="str">
        <f>IFERROR(INDEX(Chemin_accès!$B$11:$C$22,MATCH(Tableau1[[#This Row],[Type]],Chemin_accès!$C$11:$C$22,0),1),Chemin_accès!$B$11)</f>
        <v>\\stjn.local\trimet\Btechnique\Commun\BT Maint SCELLEMENT\205 - Préventifs\Modèles préventif\GammeDMS_7.MSCT.xlsm</v>
      </c>
      <c r="AD384" s="47" t="str">
        <f>Chemin_accès!$B$8&amp;Tableau1[[#This Row],[Localisation / Classement]]&amp;"\"&amp;Tableau1[[#This Row],[Poste technique]]&amp;"_"&amp;Tableau1[[#This Row],[Plan Entretien]]&amp;".xlsm"</f>
        <v>\\stjn.local\trimet\Btechnique\Commun\BT Maint SCELLEMENT\205 - Préventifs\Gammes 7.MSCT PE Tool\\_.xlsm</v>
      </c>
    </row>
    <row r="385" spans="1:30" x14ac:dyDescent="0.3">
      <c r="A385" s="44" t="str">
        <f t="shared" ca="1" si="5"/>
        <v>7.MSCT</v>
      </c>
      <c r="B3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5" s="46"/>
      <c r="D385" s="44"/>
      <c r="E385" s="44"/>
      <c r="F385" s="47"/>
      <c r="G385" s="47"/>
      <c r="H385" s="50"/>
      <c r="I385" s="50"/>
      <c r="J385" s="50"/>
      <c r="K385" s="50"/>
      <c r="L385" s="46"/>
      <c r="M385" s="47"/>
      <c r="N385" s="46"/>
      <c r="O385" s="46"/>
      <c r="P385" s="47"/>
      <c r="Q385" s="46"/>
      <c r="R385" s="46"/>
      <c r="S385" s="48"/>
      <c r="T385" s="61" t="str">
        <f>IF(Tableau1[[#This Row],[DMS_SAP]]="","",HYPERLINK(Tableau1[[#This Row],[Chemin fichier source]],"X"))</f>
        <v/>
      </c>
      <c r="U385" s="61" t="str">
        <f>IF(Tableau1[[#This Row],[Date rév.]]="","",HYPERLINK(Tableau1[[#This Row],[Lien document]],"X"))</f>
        <v/>
      </c>
      <c r="V385" s="47"/>
      <c r="W385" s="49" t="str">
        <f ca="1">Chemin_accès!$B$2&amp;Tableau1[[#This Row],[Poste Responsable]]&amp;"\"&amp;Tableau1[[#This Row],[Localisation / Classement]]&amp;"\"&amp;Tableau1[[#This Row],[Poste technique]]&amp;"_"&amp;Tableau1[[#This Row],[Plan Entretien]]&amp;".pdf"</f>
        <v>\\stjn.local\trimet\Donnees_Projets\Dms Sap\Maintenance\PlanEntretien\7.MSCT\\_.pdf</v>
      </c>
      <c r="X385" s="47"/>
      <c r="Y385" s="47"/>
      <c r="Z385" s="44" t="str">
        <f ca="1">IF(AND(Tableau1[[#This Row],[Charge]]&lt;&gt;0, Tableau1[[#This Row],[Nombre intervenants]]&lt;&gt;0,Tableau1[[#This Row],[Lien document]]&lt;&gt;0,Tableau1[[#This Row],[DMS_SAP]]&lt;&gt;0)=TRUE,"MIS A JOUR","")</f>
        <v/>
      </c>
      <c r="AA385" s="48"/>
      <c r="AB385" s="58" t="str">
        <f ca="1">IF(Tableau1[[#This Row],[Date rév.]]&lt;&gt;"", DAYS360(Tableau1[[#This Row],[Date rév.]],TODAY()),"")</f>
        <v/>
      </c>
      <c r="AC385" s="47" t="str">
        <f>IFERROR(INDEX(Chemin_accès!$B$11:$C$22,MATCH(Tableau1[[#This Row],[Type]],Chemin_accès!$C$11:$C$22,0),1),Chemin_accès!$B$11)</f>
        <v>\\stjn.local\trimet\Btechnique\Commun\BT Maint SCELLEMENT\205 - Préventifs\Modèles préventif\GammeDMS_7.MSCT.xlsm</v>
      </c>
      <c r="AD385" s="47" t="str">
        <f>Chemin_accès!$B$8&amp;Tableau1[[#This Row],[Localisation / Classement]]&amp;"\"&amp;Tableau1[[#This Row],[Poste technique]]&amp;"_"&amp;Tableau1[[#This Row],[Plan Entretien]]&amp;".xlsm"</f>
        <v>\\stjn.local\trimet\Btechnique\Commun\BT Maint SCELLEMENT\205 - Préventifs\Gammes 7.MSCT PE Tool\\_.xlsm</v>
      </c>
    </row>
    <row r="386" spans="1:30" x14ac:dyDescent="0.3">
      <c r="A386" s="44" t="str">
        <f t="shared" ref="A386:A449" ca="1" si="6">MID(CELL("filename",$A$1),FIND("]",CELL("filename",$A$1))+1,32)</f>
        <v>7.MSCT</v>
      </c>
      <c r="B3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6" s="46"/>
      <c r="D386" s="44"/>
      <c r="E386" s="44"/>
      <c r="F386" s="47"/>
      <c r="G386" s="47"/>
      <c r="H386" s="50"/>
      <c r="I386" s="50"/>
      <c r="J386" s="50"/>
      <c r="K386" s="50"/>
      <c r="L386" s="46"/>
      <c r="M386" s="47"/>
      <c r="N386" s="46"/>
      <c r="O386" s="46"/>
      <c r="P386" s="47"/>
      <c r="Q386" s="46"/>
      <c r="R386" s="46"/>
      <c r="S386" s="48"/>
      <c r="T386" s="61" t="str">
        <f>IF(Tableau1[[#This Row],[DMS_SAP]]="","",HYPERLINK(Tableau1[[#This Row],[Chemin fichier source]],"X"))</f>
        <v/>
      </c>
      <c r="U386" s="61" t="str">
        <f>IF(Tableau1[[#This Row],[Date rév.]]="","",HYPERLINK(Tableau1[[#This Row],[Lien document]],"X"))</f>
        <v/>
      </c>
      <c r="V386" s="47"/>
      <c r="W386" s="49" t="str">
        <f ca="1">Chemin_accès!$B$2&amp;Tableau1[[#This Row],[Poste Responsable]]&amp;"\"&amp;Tableau1[[#This Row],[Localisation / Classement]]&amp;"\"&amp;Tableau1[[#This Row],[Poste technique]]&amp;"_"&amp;Tableau1[[#This Row],[Plan Entretien]]&amp;".pdf"</f>
        <v>\\stjn.local\trimet\Donnees_Projets\Dms Sap\Maintenance\PlanEntretien\7.MSCT\\_.pdf</v>
      </c>
      <c r="X386" s="47"/>
      <c r="Y386" s="47"/>
      <c r="Z386" s="44" t="str">
        <f ca="1">IF(AND(Tableau1[[#This Row],[Charge]]&lt;&gt;0, Tableau1[[#This Row],[Nombre intervenants]]&lt;&gt;0,Tableau1[[#This Row],[Lien document]]&lt;&gt;0,Tableau1[[#This Row],[DMS_SAP]]&lt;&gt;0)=TRUE,"MIS A JOUR","")</f>
        <v/>
      </c>
      <c r="AA386" s="48"/>
      <c r="AB386" s="58" t="str">
        <f ca="1">IF(Tableau1[[#This Row],[Date rév.]]&lt;&gt;"", DAYS360(Tableau1[[#This Row],[Date rév.]],TODAY()),"")</f>
        <v/>
      </c>
      <c r="AC386" s="47" t="str">
        <f>IFERROR(INDEX(Chemin_accès!$B$11:$C$22,MATCH(Tableau1[[#This Row],[Type]],Chemin_accès!$C$11:$C$22,0),1),Chemin_accès!$B$11)</f>
        <v>\\stjn.local\trimet\Btechnique\Commun\BT Maint SCELLEMENT\205 - Préventifs\Modèles préventif\GammeDMS_7.MSCT.xlsm</v>
      </c>
      <c r="AD386" s="47" t="str">
        <f>Chemin_accès!$B$8&amp;Tableau1[[#This Row],[Localisation / Classement]]&amp;"\"&amp;Tableau1[[#This Row],[Poste technique]]&amp;"_"&amp;Tableau1[[#This Row],[Plan Entretien]]&amp;".xlsm"</f>
        <v>\\stjn.local\trimet\Btechnique\Commun\BT Maint SCELLEMENT\205 - Préventifs\Gammes 7.MSCT PE Tool\\_.xlsm</v>
      </c>
    </row>
    <row r="387" spans="1:30" x14ac:dyDescent="0.3">
      <c r="A387" s="44" t="str">
        <f t="shared" ca="1" si="6"/>
        <v>7.MSCT</v>
      </c>
      <c r="B3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7" s="46"/>
      <c r="D387" s="44"/>
      <c r="E387" s="44"/>
      <c r="F387" s="47"/>
      <c r="G387" s="47"/>
      <c r="H387" s="50"/>
      <c r="I387" s="50"/>
      <c r="J387" s="50"/>
      <c r="K387" s="50"/>
      <c r="L387" s="46"/>
      <c r="M387" s="47"/>
      <c r="N387" s="46"/>
      <c r="O387" s="46"/>
      <c r="P387" s="47"/>
      <c r="Q387" s="46"/>
      <c r="R387" s="46"/>
      <c r="S387" s="48"/>
      <c r="T387" s="61" t="str">
        <f>IF(Tableau1[[#This Row],[DMS_SAP]]="","",HYPERLINK(Tableau1[[#This Row],[Chemin fichier source]],"X"))</f>
        <v/>
      </c>
      <c r="U387" s="61" t="str">
        <f>IF(Tableau1[[#This Row],[Date rév.]]="","",HYPERLINK(Tableau1[[#This Row],[Lien document]],"X"))</f>
        <v/>
      </c>
      <c r="V387" s="47"/>
      <c r="W387" s="49" t="str">
        <f ca="1">Chemin_accès!$B$2&amp;Tableau1[[#This Row],[Poste Responsable]]&amp;"\"&amp;Tableau1[[#This Row],[Localisation / Classement]]&amp;"\"&amp;Tableau1[[#This Row],[Poste technique]]&amp;"_"&amp;Tableau1[[#This Row],[Plan Entretien]]&amp;".pdf"</f>
        <v>\\stjn.local\trimet\Donnees_Projets\Dms Sap\Maintenance\PlanEntretien\7.MSCT\\_.pdf</v>
      </c>
      <c r="X387" s="47"/>
      <c r="Y387" s="47"/>
      <c r="Z387" s="44" t="str">
        <f ca="1">IF(AND(Tableau1[[#This Row],[Charge]]&lt;&gt;0, Tableau1[[#This Row],[Nombre intervenants]]&lt;&gt;0,Tableau1[[#This Row],[Lien document]]&lt;&gt;0,Tableau1[[#This Row],[DMS_SAP]]&lt;&gt;0)=TRUE,"MIS A JOUR","")</f>
        <v/>
      </c>
      <c r="AA387" s="48"/>
      <c r="AB387" s="58" t="str">
        <f ca="1">IF(Tableau1[[#This Row],[Date rév.]]&lt;&gt;"", DAYS360(Tableau1[[#This Row],[Date rév.]],TODAY()),"")</f>
        <v/>
      </c>
      <c r="AC387" s="47" t="str">
        <f>IFERROR(INDEX(Chemin_accès!$B$11:$C$22,MATCH(Tableau1[[#This Row],[Type]],Chemin_accès!$C$11:$C$22,0),1),Chemin_accès!$B$11)</f>
        <v>\\stjn.local\trimet\Btechnique\Commun\BT Maint SCELLEMENT\205 - Préventifs\Modèles préventif\GammeDMS_7.MSCT.xlsm</v>
      </c>
      <c r="AD387" s="47" t="str">
        <f>Chemin_accès!$B$8&amp;Tableau1[[#This Row],[Localisation / Classement]]&amp;"\"&amp;Tableau1[[#This Row],[Poste technique]]&amp;"_"&amp;Tableau1[[#This Row],[Plan Entretien]]&amp;".xlsm"</f>
        <v>\\stjn.local\trimet\Btechnique\Commun\BT Maint SCELLEMENT\205 - Préventifs\Gammes 7.MSCT PE Tool\\_.xlsm</v>
      </c>
    </row>
    <row r="388" spans="1:30" x14ac:dyDescent="0.3">
      <c r="A388" s="44" t="str">
        <f t="shared" ca="1" si="6"/>
        <v>7.MSCT</v>
      </c>
      <c r="B3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8" s="46"/>
      <c r="D388" s="44"/>
      <c r="E388" s="44"/>
      <c r="F388" s="47"/>
      <c r="G388" s="47"/>
      <c r="H388" s="50"/>
      <c r="I388" s="50"/>
      <c r="J388" s="50"/>
      <c r="K388" s="50"/>
      <c r="L388" s="46"/>
      <c r="M388" s="47"/>
      <c r="N388" s="46"/>
      <c r="O388" s="46"/>
      <c r="P388" s="47"/>
      <c r="Q388" s="46"/>
      <c r="R388" s="46"/>
      <c r="S388" s="48"/>
      <c r="T388" s="61" t="str">
        <f>IF(Tableau1[[#This Row],[DMS_SAP]]="","",HYPERLINK(Tableau1[[#This Row],[Chemin fichier source]],"X"))</f>
        <v/>
      </c>
      <c r="U388" s="61" t="str">
        <f>IF(Tableau1[[#This Row],[Date rév.]]="","",HYPERLINK(Tableau1[[#This Row],[Lien document]],"X"))</f>
        <v/>
      </c>
      <c r="V388" s="47"/>
      <c r="W388" s="49" t="str">
        <f ca="1">Chemin_accès!$B$2&amp;Tableau1[[#This Row],[Poste Responsable]]&amp;"\"&amp;Tableau1[[#This Row],[Localisation / Classement]]&amp;"\"&amp;Tableau1[[#This Row],[Poste technique]]&amp;"_"&amp;Tableau1[[#This Row],[Plan Entretien]]&amp;".pdf"</f>
        <v>\\stjn.local\trimet\Donnees_Projets\Dms Sap\Maintenance\PlanEntretien\7.MSCT\\_.pdf</v>
      </c>
      <c r="X388" s="47"/>
      <c r="Y388" s="47"/>
      <c r="Z388" s="44" t="str">
        <f ca="1">IF(AND(Tableau1[[#This Row],[Charge]]&lt;&gt;0, Tableau1[[#This Row],[Nombre intervenants]]&lt;&gt;0,Tableau1[[#This Row],[Lien document]]&lt;&gt;0,Tableau1[[#This Row],[DMS_SAP]]&lt;&gt;0)=TRUE,"MIS A JOUR","")</f>
        <v/>
      </c>
      <c r="AA388" s="48"/>
      <c r="AB388" s="58" t="str">
        <f ca="1">IF(Tableau1[[#This Row],[Date rév.]]&lt;&gt;"", DAYS360(Tableau1[[#This Row],[Date rév.]],TODAY()),"")</f>
        <v/>
      </c>
      <c r="AC388" s="47" t="str">
        <f>IFERROR(INDEX(Chemin_accès!$B$11:$C$22,MATCH(Tableau1[[#This Row],[Type]],Chemin_accès!$C$11:$C$22,0),1),Chemin_accès!$B$11)</f>
        <v>\\stjn.local\trimet\Btechnique\Commun\BT Maint SCELLEMENT\205 - Préventifs\Modèles préventif\GammeDMS_7.MSCT.xlsm</v>
      </c>
      <c r="AD388" s="47" t="str">
        <f>Chemin_accès!$B$8&amp;Tableau1[[#This Row],[Localisation / Classement]]&amp;"\"&amp;Tableau1[[#This Row],[Poste technique]]&amp;"_"&amp;Tableau1[[#This Row],[Plan Entretien]]&amp;".xlsm"</f>
        <v>\\stjn.local\trimet\Btechnique\Commun\BT Maint SCELLEMENT\205 - Préventifs\Gammes 7.MSCT PE Tool\\_.xlsm</v>
      </c>
    </row>
    <row r="389" spans="1:30" x14ac:dyDescent="0.3">
      <c r="A389" s="44" t="str">
        <f t="shared" ca="1" si="6"/>
        <v>7.MSCT</v>
      </c>
      <c r="B3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9" s="46"/>
      <c r="D389" s="44"/>
      <c r="E389" s="44"/>
      <c r="F389" s="47"/>
      <c r="G389" s="47"/>
      <c r="H389" s="50"/>
      <c r="I389" s="50"/>
      <c r="J389" s="50"/>
      <c r="K389" s="50"/>
      <c r="L389" s="46"/>
      <c r="M389" s="47"/>
      <c r="N389" s="46"/>
      <c r="O389" s="46"/>
      <c r="P389" s="47"/>
      <c r="Q389" s="46"/>
      <c r="R389" s="46"/>
      <c r="S389" s="48"/>
      <c r="T389" s="61" t="str">
        <f>IF(Tableau1[[#This Row],[DMS_SAP]]="","",HYPERLINK(Tableau1[[#This Row],[Chemin fichier source]],"X"))</f>
        <v/>
      </c>
      <c r="U389" s="61" t="str">
        <f>IF(Tableau1[[#This Row],[Date rév.]]="","",HYPERLINK(Tableau1[[#This Row],[Lien document]],"X"))</f>
        <v/>
      </c>
      <c r="V389" s="47"/>
      <c r="W389" s="49" t="str">
        <f ca="1">Chemin_accès!$B$2&amp;Tableau1[[#This Row],[Poste Responsable]]&amp;"\"&amp;Tableau1[[#This Row],[Localisation / Classement]]&amp;"\"&amp;Tableau1[[#This Row],[Poste technique]]&amp;"_"&amp;Tableau1[[#This Row],[Plan Entretien]]&amp;".pdf"</f>
        <v>\\stjn.local\trimet\Donnees_Projets\Dms Sap\Maintenance\PlanEntretien\7.MSCT\\_.pdf</v>
      </c>
      <c r="X389" s="47"/>
      <c r="Y389" s="47"/>
      <c r="Z389" s="44" t="str">
        <f ca="1">IF(AND(Tableau1[[#This Row],[Charge]]&lt;&gt;0, Tableau1[[#This Row],[Nombre intervenants]]&lt;&gt;0,Tableau1[[#This Row],[Lien document]]&lt;&gt;0,Tableau1[[#This Row],[DMS_SAP]]&lt;&gt;0)=TRUE,"MIS A JOUR","")</f>
        <v/>
      </c>
      <c r="AA389" s="48"/>
      <c r="AB389" s="58" t="str">
        <f ca="1">IF(Tableau1[[#This Row],[Date rév.]]&lt;&gt;"", DAYS360(Tableau1[[#This Row],[Date rév.]],TODAY()),"")</f>
        <v/>
      </c>
      <c r="AC389" s="47" t="str">
        <f>IFERROR(INDEX(Chemin_accès!$B$11:$C$22,MATCH(Tableau1[[#This Row],[Type]],Chemin_accès!$C$11:$C$22,0),1),Chemin_accès!$B$11)</f>
        <v>\\stjn.local\trimet\Btechnique\Commun\BT Maint SCELLEMENT\205 - Préventifs\Modèles préventif\GammeDMS_7.MSCT.xlsm</v>
      </c>
      <c r="AD389" s="47" t="str">
        <f>Chemin_accès!$B$8&amp;Tableau1[[#This Row],[Localisation / Classement]]&amp;"\"&amp;Tableau1[[#This Row],[Poste technique]]&amp;"_"&amp;Tableau1[[#This Row],[Plan Entretien]]&amp;".xlsm"</f>
        <v>\\stjn.local\trimet\Btechnique\Commun\BT Maint SCELLEMENT\205 - Préventifs\Gammes 7.MSCT PE Tool\\_.xlsm</v>
      </c>
    </row>
    <row r="390" spans="1:30" x14ac:dyDescent="0.3">
      <c r="A390" s="44" t="str">
        <f t="shared" ca="1" si="6"/>
        <v>7.MSCT</v>
      </c>
      <c r="B3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0" s="46"/>
      <c r="D390" s="44"/>
      <c r="E390" s="44"/>
      <c r="F390" s="47"/>
      <c r="G390" s="47"/>
      <c r="H390" s="50"/>
      <c r="I390" s="50"/>
      <c r="J390" s="50"/>
      <c r="K390" s="50"/>
      <c r="L390" s="46"/>
      <c r="M390" s="47"/>
      <c r="N390" s="46"/>
      <c r="O390" s="46"/>
      <c r="P390" s="47"/>
      <c r="Q390" s="46"/>
      <c r="R390" s="46"/>
      <c r="S390" s="48"/>
      <c r="T390" s="61" t="str">
        <f>IF(Tableau1[[#This Row],[DMS_SAP]]="","",HYPERLINK(Tableau1[[#This Row],[Chemin fichier source]],"X"))</f>
        <v/>
      </c>
      <c r="U390" s="61" t="str">
        <f>IF(Tableau1[[#This Row],[Date rév.]]="","",HYPERLINK(Tableau1[[#This Row],[Lien document]],"X"))</f>
        <v/>
      </c>
      <c r="V390" s="47"/>
      <c r="W390" s="49" t="str">
        <f ca="1">Chemin_accès!$B$2&amp;Tableau1[[#This Row],[Poste Responsable]]&amp;"\"&amp;Tableau1[[#This Row],[Localisation / Classement]]&amp;"\"&amp;Tableau1[[#This Row],[Poste technique]]&amp;"_"&amp;Tableau1[[#This Row],[Plan Entretien]]&amp;".pdf"</f>
        <v>\\stjn.local\trimet\Donnees_Projets\Dms Sap\Maintenance\PlanEntretien\7.MSCT\\_.pdf</v>
      </c>
      <c r="X390" s="47"/>
      <c r="Y390" s="47"/>
      <c r="Z390" s="44" t="str">
        <f ca="1">IF(AND(Tableau1[[#This Row],[Charge]]&lt;&gt;0, Tableau1[[#This Row],[Nombre intervenants]]&lt;&gt;0,Tableau1[[#This Row],[Lien document]]&lt;&gt;0,Tableau1[[#This Row],[DMS_SAP]]&lt;&gt;0)=TRUE,"MIS A JOUR","")</f>
        <v/>
      </c>
      <c r="AA390" s="48"/>
      <c r="AB390" s="58" t="str">
        <f ca="1">IF(Tableau1[[#This Row],[Date rév.]]&lt;&gt;"", DAYS360(Tableau1[[#This Row],[Date rév.]],TODAY()),"")</f>
        <v/>
      </c>
      <c r="AC390" s="47" t="str">
        <f>IFERROR(INDEX(Chemin_accès!$B$11:$C$22,MATCH(Tableau1[[#This Row],[Type]],Chemin_accès!$C$11:$C$22,0),1),Chemin_accès!$B$11)</f>
        <v>\\stjn.local\trimet\Btechnique\Commun\BT Maint SCELLEMENT\205 - Préventifs\Modèles préventif\GammeDMS_7.MSCT.xlsm</v>
      </c>
      <c r="AD390" s="47" t="str">
        <f>Chemin_accès!$B$8&amp;Tableau1[[#This Row],[Localisation / Classement]]&amp;"\"&amp;Tableau1[[#This Row],[Poste technique]]&amp;"_"&amp;Tableau1[[#This Row],[Plan Entretien]]&amp;".xlsm"</f>
        <v>\\stjn.local\trimet\Btechnique\Commun\BT Maint SCELLEMENT\205 - Préventifs\Gammes 7.MSCT PE Tool\\_.xlsm</v>
      </c>
    </row>
    <row r="391" spans="1:30" x14ac:dyDescent="0.3">
      <c r="A391" s="44" t="str">
        <f t="shared" ca="1" si="6"/>
        <v>7.MSCT</v>
      </c>
      <c r="B3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1" s="46"/>
      <c r="D391" s="44"/>
      <c r="E391" s="44"/>
      <c r="F391" s="47"/>
      <c r="G391" s="47"/>
      <c r="H391" s="50"/>
      <c r="I391" s="50"/>
      <c r="J391" s="50"/>
      <c r="K391" s="50"/>
      <c r="L391" s="46"/>
      <c r="M391" s="47"/>
      <c r="N391" s="46"/>
      <c r="O391" s="46"/>
      <c r="P391" s="47"/>
      <c r="Q391" s="46"/>
      <c r="R391" s="46"/>
      <c r="S391" s="48"/>
      <c r="T391" s="61" t="str">
        <f>IF(Tableau1[[#This Row],[DMS_SAP]]="","",HYPERLINK(Tableau1[[#This Row],[Chemin fichier source]],"X"))</f>
        <v/>
      </c>
      <c r="U391" s="61" t="str">
        <f>IF(Tableau1[[#This Row],[Date rév.]]="","",HYPERLINK(Tableau1[[#This Row],[Lien document]],"X"))</f>
        <v/>
      </c>
      <c r="V391" s="47"/>
      <c r="W391" s="49" t="str">
        <f ca="1">Chemin_accès!$B$2&amp;Tableau1[[#This Row],[Poste Responsable]]&amp;"\"&amp;Tableau1[[#This Row],[Localisation / Classement]]&amp;"\"&amp;Tableau1[[#This Row],[Poste technique]]&amp;"_"&amp;Tableau1[[#This Row],[Plan Entretien]]&amp;".pdf"</f>
        <v>\\stjn.local\trimet\Donnees_Projets\Dms Sap\Maintenance\PlanEntretien\7.MSCT\\_.pdf</v>
      </c>
      <c r="X391" s="47"/>
      <c r="Y391" s="47"/>
      <c r="Z391" s="44" t="str">
        <f ca="1">IF(AND(Tableau1[[#This Row],[Charge]]&lt;&gt;0, Tableau1[[#This Row],[Nombre intervenants]]&lt;&gt;0,Tableau1[[#This Row],[Lien document]]&lt;&gt;0,Tableau1[[#This Row],[DMS_SAP]]&lt;&gt;0)=TRUE,"MIS A JOUR","")</f>
        <v/>
      </c>
      <c r="AA391" s="48"/>
      <c r="AB391" s="58" t="str">
        <f ca="1">IF(Tableau1[[#This Row],[Date rév.]]&lt;&gt;"", DAYS360(Tableau1[[#This Row],[Date rév.]],TODAY()),"")</f>
        <v/>
      </c>
      <c r="AC391" s="47" t="str">
        <f>IFERROR(INDEX(Chemin_accès!$B$11:$C$22,MATCH(Tableau1[[#This Row],[Type]],Chemin_accès!$C$11:$C$22,0),1),Chemin_accès!$B$11)</f>
        <v>\\stjn.local\trimet\Btechnique\Commun\BT Maint SCELLEMENT\205 - Préventifs\Modèles préventif\GammeDMS_7.MSCT.xlsm</v>
      </c>
      <c r="AD391" s="47" t="str">
        <f>Chemin_accès!$B$8&amp;Tableau1[[#This Row],[Localisation / Classement]]&amp;"\"&amp;Tableau1[[#This Row],[Poste technique]]&amp;"_"&amp;Tableau1[[#This Row],[Plan Entretien]]&amp;".xlsm"</f>
        <v>\\stjn.local\trimet\Btechnique\Commun\BT Maint SCELLEMENT\205 - Préventifs\Gammes 7.MSCT PE Tool\\_.xlsm</v>
      </c>
    </row>
    <row r="392" spans="1:30" x14ac:dyDescent="0.3">
      <c r="A392" s="44" t="str">
        <f t="shared" ca="1" si="6"/>
        <v>7.MSCT</v>
      </c>
      <c r="B3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2" s="46"/>
      <c r="D392" s="44"/>
      <c r="E392" s="44"/>
      <c r="F392" s="47"/>
      <c r="G392" s="47"/>
      <c r="H392" s="50"/>
      <c r="I392" s="50"/>
      <c r="J392" s="50"/>
      <c r="K392" s="50"/>
      <c r="L392" s="46"/>
      <c r="M392" s="47"/>
      <c r="N392" s="46"/>
      <c r="O392" s="46"/>
      <c r="P392" s="47"/>
      <c r="Q392" s="46"/>
      <c r="R392" s="46"/>
      <c r="S392" s="48"/>
      <c r="T392" s="61" t="str">
        <f>IF(Tableau1[[#This Row],[DMS_SAP]]="","",HYPERLINK(Tableau1[[#This Row],[Chemin fichier source]],"X"))</f>
        <v/>
      </c>
      <c r="U392" s="61" t="str">
        <f>IF(Tableau1[[#This Row],[Date rév.]]="","",HYPERLINK(Tableau1[[#This Row],[Lien document]],"X"))</f>
        <v/>
      </c>
      <c r="V392" s="47"/>
      <c r="W392" s="49" t="str">
        <f ca="1">Chemin_accès!$B$2&amp;Tableau1[[#This Row],[Poste Responsable]]&amp;"\"&amp;Tableau1[[#This Row],[Localisation / Classement]]&amp;"\"&amp;Tableau1[[#This Row],[Poste technique]]&amp;"_"&amp;Tableau1[[#This Row],[Plan Entretien]]&amp;".pdf"</f>
        <v>\\stjn.local\trimet\Donnees_Projets\Dms Sap\Maintenance\PlanEntretien\7.MSCT\\_.pdf</v>
      </c>
      <c r="X392" s="47"/>
      <c r="Y392" s="47"/>
      <c r="Z392" s="44" t="str">
        <f ca="1">IF(AND(Tableau1[[#This Row],[Charge]]&lt;&gt;0, Tableau1[[#This Row],[Nombre intervenants]]&lt;&gt;0,Tableau1[[#This Row],[Lien document]]&lt;&gt;0,Tableau1[[#This Row],[DMS_SAP]]&lt;&gt;0)=TRUE,"MIS A JOUR","")</f>
        <v/>
      </c>
      <c r="AA392" s="48"/>
      <c r="AB392" s="58" t="str">
        <f ca="1">IF(Tableau1[[#This Row],[Date rév.]]&lt;&gt;"", DAYS360(Tableau1[[#This Row],[Date rév.]],TODAY()),"")</f>
        <v/>
      </c>
      <c r="AC392" s="47" t="str">
        <f>IFERROR(INDEX(Chemin_accès!$B$11:$C$22,MATCH(Tableau1[[#This Row],[Type]],Chemin_accès!$C$11:$C$22,0),1),Chemin_accès!$B$11)</f>
        <v>\\stjn.local\trimet\Btechnique\Commun\BT Maint SCELLEMENT\205 - Préventifs\Modèles préventif\GammeDMS_7.MSCT.xlsm</v>
      </c>
      <c r="AD392" s="47" t="str">
        <f>Chemin_accès!$B$8&amp;Tableau1[[#This Row],[Localisation / Classement]]&amp;"\"&amp;Tableau1[[#This Row],[Poste technique]]&amp;"_"&amp;Tableau1[[#This Row],[Plan Entretien]]&amp;".xlsm"</f>
        <v>\\stjn.local\trimet\Btechnique\Commun\BT Maint SCELLEMENT\205 - Préventifs\Gammes 7.MSCT PE Tool\\_.xlsm</v>
      </c>
    </row>
    <row r="393" spans="1:30" x14ac:dyDescent="0.3">
      <c r="A393" s="44" t="str">
        <f t="shared" ca="1" si="6"/>
        <v>7.MSCT</v>
      </c>
      <c r="B3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3" s="46"/>
      <c r="D393" s="44"/>
      <c r="E393" s="44"/>
      <c r="F393" s="47"/>
      <c r="G393" s="47"/>
      <c r="H393" s="50"/>
      <c r="I393" s="50"/>
      <c r="J393" s="50"/>
      <c r="K393" s="50"/>
      <c r="L393" s="46"/>
      <c r="M393" s="47"/>
      <c r="N393" s="46"/>
      <c r="O393" s="46"/>
      <c r="P393" s="47"/>
      <c r="Q393" s="46"/>
      <c r="R393" s="46"/>
      <c r="S393" s="48"/>
      <c r="T393" s="61" t="str">
        <f>IF(Tableau1[[#This Row],[DMS_SAP]]="","",HYPERLINK(Tableau1[[#This Row],[Chemin fichier source]],"X"))</f>
        <v/>
      </c>
      <c r="U393" s="61" t="str">
        <f>IF(Tableau1[[#This Row],[Date rév.]]="","",HYPERLINK(Tableau1[[#This Row],[Lien document]],"X"))</f>
        <v/>
      </c>
      <c r="V393" s="47"/>
      <c r="W393" s="49" t="str">
        <f ca="1">Chemin_accès!$B$2&amp;Tableau1[[#This Row],[Poste Responsable]]&amp;"\"&amp;Tableau1[[#This Row],[Localisation / Classement]]&amp;"\"&amp;Tableau1[[#This Row],[Poste technique]]&amp;"_"&amp;Tableau1[[#This Row],[Plan Entretien]]&amp;".pdf"</f>
        <v>\\stjn.local\trimet\Donnees_Projets\Dms Sap\Maintenance\PlanEntretien\7.MSCT\\_.pdf</v>
      </c>
      <c r="X393" s="47"/>
      <c r="Y393" s="47"/>
      <c r="Z393" s="44" t="str">
        <f ca="1">IF(AND(Tableau1[[#This Row],[Charge]]&lt;&gt;0, Tableau1[[#This Row],[Nombre intervenants]]&lt;&gt;0,Tableau1[[#This Row],[Lien document]]&lt;&gt;0,Tableau1[[#This Row],[DMS_SAP]]&lt;&gt;0)=TRUE,"MIS A JOUR","")</f>
        <v/>
      </c>
      <c r="AA393" s="48"/>
      <c r="AB393" s="58" t="str">
        <f ca="1">IF(Tableau1[[#This Row],[Date rév.]]&lt;&gt;"", DAYS360(Tableau1[[#This Row],[Date rév.]],TODAY()),"")</f>
        <v/>
      </c>
      <c r="AC393" s="47" t="str">
        <f>IFERROR(INDEX(Chemin_accès!$B$11:$C$22,MATCH(Tableau1[[#This Row],[Type]],Chemin_accès!$C$11:$C$22,0),1),Chemin_accès!$B$11)</f>
        <v>\\stjn.local\trimet\Btechnique\Commun\BT Maint SCELLEMENT\205 - Préventifs\Modèles préventif\GammeDMS_7.MSCT.xlsm</v>
      </c>
      <c r="AD393" s="47" t="str">
        <f>Chemin_accès!$B$8&amp;Tableau1[[#This Row],[Localisation / Classement]]&amp;"\"&amp;Tableau1[[#This Row],[Poste technique]]&amp;"_"&amp;Tableau1[[#This Row],[Plan Entretien]]&amp;".xlsm"</f>
        <v>\\stjn.local\trimet\Btechnique\Commun\BT Maint SCELLEMENT\205 - Préventifs\Gammes 7.MSCT PE Tool\\_.xlsm</v>
      </c>
    </row>
    <row r="394" spans="1:30" x14ac:dyDescent="0.3">
      <c r="A394" s="44" t="str">
        <f t="shared" ca="1" si="6"/>
        <v>7.MSCT</v>
      </c>
      <c r="B3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4" s="46"/>
      <c r="D394" s="44"/>
      <c r="E394" s="44"/>
      <c r="F394" s="47"/>
      <c r="G394" s="47"/>
      <c r="H394" s="50"/>
      <c r="I394" s="50"/>
      <c r="J394" s="50"/>
      <c r="K394" s="50"/>
      <c r="L394" s="46"/>
      <c r="M394" s="47"/>
      <c r="N394" s="46"/>
      <c r="O394" s="46"/>
      <c r="P394" s="47"/>
      <c r="Q394" s="46"/>
      <c r="R394" s="46"/>
      <c r="S394" s="48"/>
      <c r="T394" s="61" t="str">
        <f>IF(Tableau1[[#This Row],[DMS_SAP]]="","",HYPERLINK(Tableau1[[#This Row],[Chemin fichier source]],"X"))</f>
        <v/>
      </c>
      <c r="U394" s="61" t="str">
        <f>IF(Tableau1[[#This Row],[Date rév.]]="","",HYPERLINK(Tableau1[[#This Row],[Lien document]],"X"))</f>
        <v/>
      </c>
      <c r="V394" s="47"/>
      <c r="W394" s="49" t="str">
        <f ca="1">Chemin_accès!$B$2&amp;Tableau1[[#This Row],[Poste Responsable]]&amp;"\"&amp;Tableau1[[#This Row],[Localisation / Classement]]&amp;"\"&amp;Tableau1[[#This Row],[Poste technique]]&amp;"_"&amp;Tableau1[[#This Row],[Plan Entretien]]&amp;".pdf"</f>
        <v>\\stjn.local\trimet\Donnees_Projets\Dms Sap\Maintenance\PlanEntretien\7.MSCT\\_.pdf</v>
      </c>
      <c r="X394" s="47"/>
      <c r="Y394" s="47"/>
      <c r="Z394" s="44" t="str">
        <f ca="1">IF(AND(Tableau1[[#This Row],[Charge]]&lt;&gt;0, Tableau1[[#This Row],[Nombre intervenants]]&lt;&gt;0,Tableau1[[#This Row],[Lien document]]&lt;&gt;0,Tableau1[[#This Row],[DMS_SAP]]&lt;&gt;0)=TRUE,"MIS A JOUR","")</f>
        <v/>
      </c>
      <c r="AA394" s="48"/>
      <c r="AB394" s="58" t="str">
        <f ca="1">IF(Tableau1[[#This Row],[Date rév.]]&lt;&gt;"", DAYS360(Tableau1[[#This Row],[Date rév.]],TODAY()),"")</f>
        <v/>
      </c>
      <c r="AC394" s="47" t="str">
        <f>IFERROR(INDEX(Chemin_accès!$B$11:$C$22,MATCH(Tableau1[[#This Row],[Type]],Chemin_accès!$C$11:$C$22,0),1),Chemin_accès!$B$11)</f>
        <v>\\stjn.local\trimet\Btechnique\Commun\BT Maint SCELLEMENT\205 - Préventifs\Modèles préventif\GammeDMS_7.MSCT.xlsm</v>
      </c>
      <c r="AD394" s="47" t="str">
        <f>Chemin_accès!$B$8&amp;Tableau1[[#This Row],[Localisation / Classement]]&amp;"\"&amp;Tableau1[[#This Row],[Poste technique]]&amp;"_"&amp;Tableau1[[#This Row],[Plan Entretien]]&amp;".xlsm"</f>
        <v>\\stjn.local\trimet\Btechnique\Commun\BT Maint SCELLEMENT\205 - Préventifs\Gammes 7.MSCT PE Tool\\_.xlsm</v>
      </c>
    </row>
    <row r="395" spans="1:30" x14ac:dyDescent="0.3">
      <c r="A395" s="44" t="str">
        <f t="shared" ca="1" si="6"/>
        <v>7.MSCT</v>
      </c>
      <c r="B3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5" s="46"/>
      <c r="D395" s="44"/>
      <c r="E395" s="44"/>
      <c r="F395" s="47"/>
      <c r="G395" s="47"/>
      <c r="H395" s="50"/>
      <c r="I395" s="50"/>
      <c r="J395" s="50"/>
      <c r="K395" s="50"/>
      <c r="L395" s="46"/>
      <c r="M395" s="47"/>
      <c r="N395" s="46"/>
      <c r="O395" s="46"/>
      <c r="P395" s="47"/>
      <c r="Q395" s="46"/>
      <c r="R395" s="46"/>
      <c r="S395" s="48"/>
      <c r="T395" s="61" t="str">
        <f>IF(Tableau1[[#This Row],[DMS_SAP]]="","",HYPERLINK(Tableau1[[#This Row],[Chemin fichier source]],"X"))</f>
        <v/>
      </c>
      <c r="U395" s="61" t="str">
        <f>IF(Tableau1[[#This Row],[Date rév.]]="","",HYPERLINK(Tableau1[[#This Row],[Lien document]],"X"))</f>
        <v/>
      </c>
      <c r="V395" s="47"/>
      <c r="W395" s="49" t="str">
        <f ca="1">Chemin_accès!$B$2&amp;Tableau1[[#This Row],[Poste Responsable]]&amp;"\"&amp;Tableau1[[#This Row],[Localisation / Classement]]&amp;"\"&amp;Tableau1[[#This Row],[Poste technique]]&amp;"_"&amp;Tableau1[[#This Row],[Plan Entretien]]&amp;".pdf"</f>
        <v>\\stjn.local\trimet\Donnees_Projets\Dms Sap\Maintenance\PlanEntretien\7.MSCT\\_.pdf</v>
      </c>
      <c r="X395" s="47"/>
      <c r="Y395" s="47"/>
      <c r="Z395" s="44" t="str">
        <f ca="1">IF(AND(Tableau1[[#This Row],[Charge]]&lt;&gt;0, Tableau1[[#This Row],[Nombre intervenants]]&lt;&gt;0,Tableau1[[#This Row],[Lien document]]&lt;&gt;0,Tableau1[[#This Row],[DMS_SAP]]&lt;&gt;0)=TRUE,"MIS A JOUR","")</f>
        <v/>
      </c>
      <c r="AA395" s="48"/>
      <c r="AB395" s="58" t="str">
        <f ca="1">IF(Tableau1[[#This Row],[Date rév.]]&lt;&gt;"", DAYS360(Tableau1[[#This Row],[Date rév.]],TODAY()),"")</f>
        <v/>
      </c>
      <c r="AC395" s="47" t="str">
        <f>IFERROR(INDEX(Chemin_accès!$B$11:$C$22,MATCH(Tableau1[[#This Row],[Type]],Chemin_accès!$C$11:$C$22,0),1),Chemin_accès!$B$11)</f>
        <v>\\stjn.local\trimet\Btechnique\Commun\BT Maint SCELLEMENT\205 - Préventifs\Modèles préventif\GammeDMS_7.MSCT.xlsm</v>
      </c>
      <c r="AD395" s="47" t="str">
        <f>Chemin_accès!$B$8&amp;Tableau1[[#This Row],[Localisation / Classement]]&amp;"\"&amp;Tableau1[[#This Row],[Poste technique]]&amp;"_"&amp;Tableau1[[#This Row],[Plan Entretien]]&amp;".xlsm"</f>
        <v>\\stjn.local\trimet\Btechnique\Commun\BT Maint SCELLEMENT\205 - Préventifs\Gammes 7.MSCT PE Tool\\_.xlsm</v>
      </c>
    </row>
    <row r="396" spans="1:30" x14ac:dyDescent="0.3">
      <c r="A396" s="44" t="str">
        <f t="shared" ca="1" si="6"/>
        <v>7.MSCT</v>
      </c>
      <c r="B3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6" s="46"/>
      <c r="D396" s="44"/>
      <c r="E396" s="44"/>
      <c r="F396" s="47"/>
      <c r="G396" s="47"/>
      <c r="H396" s="50"/>
      <c r="I396" s="50"/>
      <c r="J396" s="50"/>
      <c r="K396" s="50"/>
      <c r="L396" s="46"/>
      <c r="M396" s="47"/>
      <c r="N396" s="46"/>
      <c r="O396" s="46"/>
      <c r="P396" s="47"/>
      <c r="Q396" s="46"/>
      <c r="R396" s="46"/>
      <c r="S396" s="48"/>
      <c r="T396" s="61" t="str">
        <f>IF(Tableau1[[#This Row],[DMS_SAP]]="","",HYPERLINK(Tableau1[[#This Row],[Chemin fichier source]],"X"))</f>
        <v/>
      </c>
      <c r="U396" s="61" t="str">
        <f>IF(Tableau1[[#This Row],[Date rév.]]="","",HYPERLINK(Tableau1[[#This Row],[Lien document]],"X"))</f>
        <v/>
      </c>
      <c r="V396" s="47"/>
      <c r="W396" s="49" t="str">
        <f ca="1">Chemin_accès!$B$2&amp;Tableau1[[#This Row],[Poste Responsable]]&amp;"\"&amp;Tableau1[[#This Row],[Localisation / Classement]]&amp;"\"&amp;Tableau1[[#This Row],[Poste technique]]&amp;"_"&amp;Tableau1[[#This Row],[Plan Entretien]]&amp;".pdf"</f>
        <v>\\stjn.local\trimet\Donnees_Projets\Dms Sap\Maintenance\PlanEntretien\7.MSCT\\_.pdf</v>
      </c>
      <c r="X396" s="47"/>
      <c r="Y396" s="47"/>
      <c r="Z396" s="44" t="str">
        <f ca="1">IF(AND(Tableau1[[#This Row],[Charge]]&lt;&gt;0, Tableau1[[#This Row],[Nombre intervenants]]&lt;&gt;0,Tableau1[[#This Row],[Lien document]]&lt;&gt;0,Tableau1[[#This Row],[DMS_SAP]]&lt;&gt;0)=TRUE,"MIS A JOUR","")</f>
        <v/>
      </c>
      <c r="AA396" s="48"/>
      <c r="AB396" s="58" t="str">
        <f ca="1">IF(Tableau1[[#This Row],[Date rév.]]&lt;&gt;"", DAYS360(Tableau1[[#This Row],[Date rév.]],TODAY()),"")</f>
        <v/>
      </c>
      <c r="AC396" s="47" t="str">
        <f>IFERROR(INDEX(Chemin_accès!$B$11:$C$22,MATCH(Tableau1[[#This Row],[Type]],Chemin_accès!$C$11:$C$22,0),1),Chemin_accès!$B$11)</f>
        <v>\\stjn.local\trimet\Btechnique\Commun\BT Maint SCELLEMENT\205 - Préventifs\Modèles préventif\GammeDMS_7.MSCT.xlsm</v>
      </c>
      <c r="AD396" s="47" t="str">
        <f>Chemin_accès!$B$8&amp;Tableau1[[#This Row],[Localisation / Classement]]&amp;"\"&amp;Tableau1[[#This Row],[Poste technique]]&amp;"_"&amp;Tableau1[[#This Row],[Plan Entretien]]&amp;".xlsm"</f>
        <v>\\stjn.local\trimet\Btechnique\Commun\BT Maint SCELLEMENT\205 - Préventifs\Gammes 7.MSCT PE Tool\\_.xlsm</v>
      </c>
    </row>
    <row r="397" spans="1:30" x14ac:dyDescent="0.3">
      <c r="A397" s="44" t="str">
        <f t="shared" ca="1" si="6"/>
        <v>7.MSCT</v>
      </c>
      <c r="B3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7" s="46"/>
      <c r="D397" s="44"/>
      <c r="E397" s="44"/>
      <c r="F397" s="47"/>
      <c r="G397" s="47"/>
      <c r="H397" s="50"/>
      <c r="I397" s="50"/>
      <c r="J397" s="50"/>
      <c r="K397" s="50"/>
      <c r="L397" s="46"/>
      <c r="M397" s="47"/>
      <c r="N397" s="46"/>
      <c r="O397" s="46"/>
      <c r="P397" s="47"/>
      <c r="Q397" s="46"/>
      <c r="R397" s="46"/>
      <c r="S397" s="48"/>
      <c r="T397" s="61" t="str">
        <f>IF(Tableau1[[#This Row],[DMS_SAP]]="","",HYPERLINK(Tableau1[[#This Row],[Chemin fichier source]],"X"))</f>
        <v/>
      </c>
      <c r="U397" s="61" t="str">
        <f>IF(Tableau1[[#This Row],[Date rév.]]="","",HYPERLINK(Tableau1[[#This Row],[Lien document]],"X"))</f>
        <v/>
      </c>
      <c r="V397" s="47"/>
      <c r="W397" s="49" t="str">
        <f ca="1">Chemin_accès!$B$2&amp;Tableau1[[#This Row],[Poste Responsable]]&amp;"\"&amp;Tableau1[[#This Row],[Localisation / Classement]]&amp;"\"&amp;Tableau1[[#This Row],[Poste technique]]&amp;"_"&amp;Tableau1[[#This Row],[Plan Entretien]]&amp;".pdf"</f>
        <v>\\stjn.local\trimet\Donnees_Projets\Dms Sap\Maintenance\PlanEntretien\7.MSCT\\_.pdf</v>
      </c>
      <c r="X397" s="47"/>
      <c r="Y397" s="47"/>
      <c r="Z397" s="44" t="str">
        <f ca="1">IF(AND(Tableau1[[#This Row],[Charge]]&lt;&gt;0, Tableau1[[#This Row],[Nombre intervenants]]&lt;&gt;0,Tableau1[[#This Row],[Lien document]]&lt;&gt;0,Tableau1[[#This Row],[DMS_SAP]]&lt;&gt;0)=TRUE,"MIS A JOUR","")</f>
        <v/>
      </c>
      <c r="AA397" s="48"/>
      <c r="AB397" s="58" t="str">
        <f ca="1">IF(Tableau1[[#This Row],[Date rév.]]&lt;&gt;"", DAYS360(Tableau1[[#This Row],[Date rév.]],TODAY()),"")</f>
        <v/>
      </c>
      <c r="AC397" s="47" t="str">
        <f>IFERROR(INDEX(Chemin_accès!$B$11:$C$22,MATCH(Tableau1[[#This Row],[Type]],Chemin_accès!$C$11:$C$22,0),1),Chemin_accès!$B$11)</f>
        <v>\\stjn.local\trimet\Btechnique\Commun\BT Maint SCELLEMENT\205 - Préventifs\Modèles préventif\GammeDMS_7.MSCT.xlsm</v>
      </c>
      <c r="AD397" s="47" t="str">
        <f>Chemin_accès!$B$8&amp;Tableau1[[#This Row],[Localisation / Classement]]&amp;"\"&amp;Tableau1[[#This Row],[Poste technique]]&amp;"_"&amp;Tableau1[[#This Row],[Plan Entretien]]&amp;".xlsm"</f>
        <v>\\stjn.local\trimet\Btechnique\Commun\BT Maint SCELLEMENT\205 - Préventifs\Gammes 7.MSCT PE Tool\\_.xlsm</v>
      </c>
    </row>
    <row r="398" spans="1:30" x14ac:dyDescent="0.3">
      <c r="A398" s="44" t="str">
        <f t="shared" ca="1" si="6"/>
        <v>7.MSCT</v>
      </c>
      <c r="B3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8" s="46"/>
      <c r="D398" s="44"/>
      <c r="E398" s="44"/>
      <c r="F398" s="47"/>
      <c r="G398" s="47"/>
      <c r="H398" s="50"/>
      <c r="I398" s="50"/>
      <c r="J398" s="50"/>
      <c r="K398" s="50"/>
      <c r="L398" s="46"/>
      <c r="M398" s="47"/>
      <c r="N398" s="46"/>
      <c r="O398" s="46"/>
      <c r="P398" s="47"/>
      <c r="Q398" s="46"/>
      <c r="R398" s="46"/>
      <c r="S398" s="48"/>
      <c r="T398" s="61" t="str">
        <f>IF(Tableau1[[#This Row],[DMS_SAP]]="","",HYPERLINK(Tableau1[[#This Row],[Chemin fichier source]],"X"))</f>
        <v/>
      </c>
      <c r="U398" s="61" t="str">
        <f>IF(Tableau1[[#This Row],[Date rév.]]="","",HYPERLINK(Tableau1[[#This Row],[Lien document]],"X"))</f>
        <v/>
      </c>
      <c r="V398" s="47"/>
      <c r="W398" s="49" t="str">
        <f ca="1">Chemin_accès!$B$2&amp;Tableau1[[#This Row],[Poste Responsable]]&amp;"\"&amp;Tableau1[[#This Row],[Localisation / Classement]]&amp;"\"&amp;Tableau1[[#This Row],[Poste technique]]&amp;"_"&amp;Tableau1[[#This Row],[Plan Entretien]]&amp;".pdf"</f>
        <v>\\stjn.local\trimet\Donnees_Projets\Dms Sap\Maintenance\PlanEntretien\7.MSCT\\_.pdf</v>
      </c>
      <c r="X398" s="47"/>
      <c r="Y398" s="47"/>
      <c r="Z398" s="44" t="str">
        <f ca="1">IF(AND(Tableau1[[#This Row],[Charge]]&lt;&gt;0, Tableau1[[#This Row],[Nombre intervenants]]&lt;&gt;0,Tableau1[[#This Row],[Lien document]]&lt;&gt;0,Tableau1[[#This Row],[DMS_SAP]]&lt;&gt;0)=TRUE,"MIS A JOUR","")</f>
        <v/>
      </c>
      <c r="AA398" s="48"/>
      <c r="AB398" s="58" t="str">
        <f ca="1">IF(Tableau1[[#This Row],[Date rév.]]&lt;&gt;"", DAYS360(Tableau1[[#This Row],[Date rév.]],TODAY()),"")</f>
        <v/>
      </c>
      <c r="AC398" s="47" t="str">
        <f>IFERROR(INDEX(Chemin_accès!$B$11:$C$22,MATCH(Tableau1[[#This Row],[Type]],Chemin_accès!$C$11:$C$22,0),1),Chemin_accès!$B$11)</f>
        <v>\\stjn.local\trimet\Btechnique\Commun\BT Maint SCELLEMENT\205 - Préventifs\Modèles préventif\GammeDMS_7.MSCT.xlsm</v>
      </c>
      <c r="AD398" s="47" t="str">
        <f>Chemin_accès!$B$8&amp;Tableau1[[#This Row],[Localisation / Classement]]&amp;"\"&amp;Tableau1[[#This Row],[Poste technique]]&amp;"_"&amp;Tableau1[[#This Row],[Plan Entretien]]&amp;".xlsm"</f>
        <v>\\stjn.local\trimet\Btechnique\Commun\BT Maint SCELLEMENT\205 - Préventifs\Gammes 7.MSCT PE Tool\\_.xlsm</v>
      </c>
    </row>
    <row r="399" spans="1:30" x14ac:dyDescent="0.3">
      <c r="A399" s="44" t="str">
        <f t="shared" ca="1" si="6"/>
        <v>7.MSCT</v>
      </c>
      <c r="B3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9" s="46"/>
      <c r="D399" s="44"/>
      <c r="E399" s="44"/>
      <c r="F399" s="47"/>
      <c r="G399" s="47"/>
      <c r="H399" s="50"/>
      <c r="I399" s="50"/>
      <c r="J399" s="50"/>
      <c r="K399" s="50"/>
      <c r="L399" s="46"/>
      <c r="M399" s="47"/>
      <c r="N399" s="46"/>
      <c r="O399" s="46"/>
      <c r="P399" s="47"/>
      <c r="Q399" s="46"/>
      <c r="R399" s="46"/>
      <c r="S399" s="48"/>
      <c r="T399" s="61" t="str">
        <f>IF(Tableau1[[#This Row],[DMS_SAP]]="","",HYPERLINK(Tableau1[[#This Row],[Chemin fichier source]],"X"))</f>
        <v/>
      </c>
      <c r="U399" s="61" t="str">
        <f>IF(Tableau1[[#This Row],[Date rév.]]="","",HYPERLINK(Tableau1[[#This Row],[Lien document]],"X"))</f>
        <v/>
      </c>
      <c r="V399" s="47"/>
      <c r="W399" s="49" t="str">
        <f ca="1">Chemin_accès!$B$2&amp;Tableau1[[#This Row],[Poste Responsable]]&amp;"\"&amp;Tableau1[[#This Row],[Localisation / Classement]]&amp;"\"&amp;Tableau1[[#This Row],[Poste technique]]&amp;"_"&amp;Tableau1[[#This Row],[Plan Entretien]]&amp;".pdf"</f>
        <v>\\stjn.local\trimet\Donnees_Projets\Dms Sap\Maintenance\PlanEntretien\7.MSCT\\_.pdf</v>
      </c>
      <c r="X399" s="47"/>
      <c r="Y399" s="47"/>
      <c r="Z399" s="44" t="str">
        <f ca="1">IF(AND(Tableau1[[#This Row],[Charge]]&lt;&gt;0, Tableau1[[#This Row],[Nombre intervenants]]&lt;&gt;0,Tableau1[[#This Row],[Lien document]]&lt;&gt;0,Tableau1[[#This Row],[DMS_SAP]]&lt;&gt;0)=TRUE,"MIS A JOUR","")</f>
        <v/>
      </c>
      <c r="AA399" s="48"/>
      <c r="AB399" s="58" t="str">
        <f ca="1">IF(Tableau1[[#This Row],[Date rév.]]&lt;&gt;"", DAYS360(Tableau1[[#This Row],[Date rév.]],TODAY()),"")</f>
        <v/>
      </c>
      <c r="AC399" s="47" t="str">
        <f>IFERROR(INDEX(Chemin_accès!$B$11:$C$22,MATCH(Tableau1[[#This Row],[Type]],Chemin_accès!$C$11:$C$22,0),1),Chemin_accès!$B$11)</f>
        <v>\\stjn.local\trimet\Btechnique\Commun\BT Maint SCELLEMENT\205 - Préventifs\Modèles préventif\GammeDMS_7.MSCT.xlsm</v>
      </c>
      <c r="AD399" s="47" t="str">
        <f>Chemin_accès!$B$8&amp;Tableau1[[#This Row],[Localisation / Classement]]&amp;"\"&amp;Tableau1[[#This Row],[Poste technique]]&amp;"_"&amp;Tableau1[[#This Row],[Plan Entretien]]&amp;".xlsm"</f>
        <v>\\stjn.local\trimet\Btechnique\Commun\BT Maint SCELLEMENT\205 - Préventifs\Gammes 7.MSCT PE Tool\\_.xlsm</v>
      </c>
    </row>
    <row r="400" spans="1:30" x14ac:dyDescent="0.3">
      <c r="A400" s="44" t="str">
        <f t="shared" ca="1" si="6"/>
        <v>7.MSCT</v>
      </c>
      <c r="B4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0" s="46"/>
      <c r="D400" s="44"/>
      <c r="E400" s="44"/>
      <c r="F400" s="47"/>
      <c r="G400" s="47"/>
      <c r="H400" s="50"/>
      <c r="I400" s="50"/>
      <c r="J400" s="50"/>
      <c r="K400" s="50"/>
      <c r="L400" s="46"/>
      <c r="M400" s="47"/>
      <c r="N400" s="46"/>
      <c r="O400" s="46"/>
      <c r="P400" s="47"/>
      <c r="Q400" s="46"/>
      <c r="R400" s="46"/>
      <c r="S400" s="48"/>
      <c r="T400" s="61" t="str">
        <f>IF(Tableau1[[#This Row],[DMS_SAP]]="","",HYPERLINK(Tableau1[[#This Row],[Chemin fichier source]],"X"))</f>
        <v/>
      </c>
      <c r="U400" s="61" t="str">
        <f>IF(Tableau1[[#This Row],[Date rév.]]="","",HYPERLINK(Tableau1[[#This Row],[Lien document]],"X"))</f>
        <v/>
      </c>
      <c r="V400" s="47"/>
      <c r="W400" s="49" t="str">
        <f ca="1">Chemin_accès!$B$2&amp;Tableau1[[#This Row],[Poste Responsable]]&amp;"\"&amp;Tableau1[[#This Row],[Localisation / Classement]]&amp;"\"&amp;Tableau1[[#This Row],[Poste technique]]&amp;"_"&amp;Tableau1[[#This Row],[Plan Entretien]]&amp;".pdf"</f>
        <v>\\stjn.local\trimet\Donnees_Projets\Dms Sap\Maintenance\PlanEntretien\7.MSCT\\_.pdf</v>
      </c>
      <c r="X400" s="47"/>
      <c r="Y400" s="47"/>
      <c r="Z400" s="44" t="str">
        <f ca="1">IF(AND(Tableau1[[#This Row],[Charge]]&lt;&gt;0, Tableau1[[#This Row],[Nombre intervenants]]&lt;&gt;0,Tableau1[[#This Row],[Lien document]]&lt;&gt;0,Tableau1[[#This Row],[DMS_SAP]]&lt;&gt;0)=TRUE,"MIS A JOUR","")</f>
        <v/>
      </c>
      <c r="AA400" s="48"/>
      <c r="AB400" s="58" t="str">
        <f ca="1">IF(Tableau1[[#This Row],[Date rév.]]&lt;&gt;"", DAYS360(Tableau1[[#This Row],[Date rév.]],TODAY()),"")</f>
        <v/>
      </c>
      <c r="AC400" s="47" t="str">
        <f>IFERROR(INDEX(Chemin_accès!$B$11:$C$22,MATCH(Tableau1[[#This Row],[Type]],Chemin_accès!$C$11:$C$22,0),1),Chemin_accès!$B$11)</f>
        <v>\\stjn.local\trimet\Btechnique\Commun\BT Maint SCELLEMENT\205 - Préventifs\Modèles préventif\GammeDMS_7.MSCT.xlsm</v>
      </c>
      <c r="AD400" s="47" t="str">
        <f>Chemin_accès!$B$8&amp;Tableau1[[#This Row],[Localisation / Classement]]&amp;"\"&amp;Tableau1[[#This Row],[Poste technique]]&amp;"_"&amp;Tableau1[[#This Row],[Plan Entretien]]&amp;".xlsm"</f>
        <v>\\stjn.local\trimet\Btechnique\Commun\BT Maint SCELLEMENT\205 - Préventifs\Gammes 7.MSCT PE Tool\\_.xlsm</v>
      </c>
    </row>
    <row r="401" spans="1:30" x14ac:dyDescent="0.3">
      <c r="A401" s="44" t="str">
        <f t="shared" ca="1" si="6"/>
        <v>7.MSCT</v>
      </c>
      <c r="B4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1" s="46"/>
      <c r="D401" s="44"/>
      <c r="E401" s="44"/>
      <c r="F401" s="47"/>
      <c r="G401" s="47"/>
      <c r="H401" s="50"/>
      <c r="I401" s="50"/>
      <c r="J401" s="50"/>
      <c r="K401" s="50"/>
      <c r="L401" s="46"/>
      <c r="M401" s="47"/>
      <c r="N401" s="46"/>
      <c r="O401" s="46"/>
      <c r="P401" s="47"/>
      <c r="Q401" s="46"/>
      <c r="R401" s="46"/>
      <c r="S401" s="48"/>
      <c r="T401" s="61" t="str">
        <f>IF(Tableau1[[#This Row],[DMS_SAP]]="","",HYPERLINK(Tableau1[[#This Row],[Chemin fichier source]],"X"))</f>
        <v/>
      </c>
      <c r="U401" s="61" t="str">
        <f>IF(Tableau1[[#This Row],[Date rév.]]="","",HYPERLINK(Tableau1[[#This Row],[Lien document]],"X"))</f>
        <v/>
      </c>
      <c r="V401" s="47"/>
      <c r="W401" s="49" t="str">
        <f ca="1">Chemin_accès!$B$2&amp;Tableau1[[#This Row],[Poste Responsable]]&amp;"\"&amp;Tableau1[[#This Row],[Localisation / Classement]]&amp;"\"&amp;Tableau1[[#This Row],[Poste technique]]&amp;"_"&amp;Tableau1[[#This Row],[Plan Entretien]]&amp;".pdf"</f>
        <v>\\stjn.local\trimet\Donnees_Projets\Dms Sap\Maintenance\PlanEntretien\7.MSCT\\_.pdf</v>
      </c>
      <c r="X401" s="47"/>
      <c r="Y401" s="47"/>
      <c r="Z401" s="44" t="str">
        <f ca="1">IF(AND(Tableau1[[#This Row],[Charge]]&lt;&gt;0, Tableau1[[#This Row],[Nombre intervenants]]&lt;&gt;0,Tableau1[[#This Row],[Lien document]]&lt;&gt;0,Tableau1[[#This Row],[DMS_SAP]]&lt;&gt;0)=TRUE,"MIS A JOUR","")</f>
        <v/>
      </c>
      <c r="AA401" s="48"/>
      <c r="AB401" s="58" t="str">
        <f ca="1">IF(Tableau1[[#This Row],[Date rév.]]&lt;&gt;"", DAYS360(Tableau1[[#This Row],[Date rév.]],TODAY()),"")</f>
        <v/>
      </c>
      <c r="AC401" s="47" t="str">
        <f>IFERROR(INDEX(Chemin_accès!$B$11:$C$22,MATCH(Tableau1[[#This Row],[Type]],Chemin_accès!$C$11:$C$22,0),1),Chemin_accès!$B$11)</f>
        <v>\\stjn.local\trimet\Btechnique\Commun\BT Maint SCELLEMENT\205 - Préventifs\Modèles préventif\GammeDMS_7.MSCT.xlsm</v>
      </c>
      <c r="AD401" s="47" t="str">
        <f>Chemin_accès!$B$8&amp;Tableau1[[#This Row],[Localisation / Classement]]&amp;"\"&amp;Tableau1[[#This Row],[Poste technique]]&amp;"_"&amp;Tableau1[[#This Row],[Plan Entretien]]&amp;".xlsm"</f>
        <v>\\stjn.local\trimet\Btechnique\Commun\BT Maint SCELLEMENT\205 - Préventifs\Gammes 7.MSCT PE Tool\\_.xlsm</v>
      </c>
    </row>
    <row r="402" spans="1:30" x14ac:dyDescent="0.3">
      <c r="A402" s="44" t="str">
        <f t="shared" ca="1" si="6"/>
        <v>7.MSCT</v>
      </c>
      <c r="B4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2" s="46"/>
      <c r="D402" s="44"/>
      <c r="E402" s="44"/>
      <c r="F402" s="47"/>
      <c r="G402" s="47"/>
      <c r="H402" s="50"/>
      <c r="I402" s="50"/>
      <c r="J402" s="50"/>
      <c r="K402" s="50"/>
      <c r="L402" s="46"/>
      <c r="M402" s="47"/>
      <c r="N402" s="46"/>
      <c r="O402" s="46"/>
      <c r="P402" s="47"/>
      <c r="Q402" s="46"/>
      <c r="R402" s="46"/>
      <c r="S402" s="48"/>
      <c r="T402" s="61" t="str">
        <f>IF(Tableau1[[#This Row],[DMS_SAP]]="","",HYPERLINK(Tableau1[[#This Row],[Chemin fichier source]],"X"))</f>
        <v/>
      </c>
      <c r="U402" s="61" t="str">
        <f>IF(Tableau1[[#This Row],[Date rév.]]="","",HYPERLINK(Tableau1[[#This Row],[Lien document]],"X"))</f>
        <v/>
      </c>
      <c r="V402" s="47"/>
      <c r="W402" s="49" t="str">
        <f ca="1">Chemin_accès!$B$2&amp;Tableau1[[#This Row],[Poste Responsable]]&amp;"\"&amp;Tableau1[[#This Row],[Localisation / Classement]]&amp;"\"&amp;Tableau1[[#This Row],[Poste technique]]&amp;"_"&amp;Tableau1[[#This Row],[Plan Entretien]]&amp;".pdf"</f>
        <v>\\stjn.local\trimet\Donnees_Projets\Dms Sap\Maintenance\PlanEntretien\7.MSCT\\_.pdf</v>
      </c>
      <c r="X402" s="47"/>
      <c r="Y402" s="47"/>
      <c r="Z402" s="44" t="str">
        <f ca="1">IF(AND(Tableau1[[#This Row],[Charge]]&lt;&gt;0, Tableau1[[#This Row],[Nombre intervenants]]&lt;&gt;0,Tableau1[[#This Row],[Lien document]]&lt;&gt;0,Tableau1[[#This Row],[DMS_SAP]]&lt;&gt;0)=TRUE,"MIS A JOUR","")</f>
        <v/>
      </c>
      <c r="AA402" s="48"/>
      <c r="AB402" s="58" t="str">
        <f ca="1">IF(Tableau1[[#This Row],[Date rév.]]&lt;&gt;"", DAYS360(Tableau1[[#This Row],[Date rév.]],TODAY()),"")</f>
        <v/>
      </c>
      <c r="AC402" s="47" t="str">
        <f>IFERROR(INDEX(Chemin_accès!$B$11:$C$22,MATCH(Tableau1[[#This Row],[Type]],Chemin_accès!$C$11:$C$22,0),1),Chemin_accès!$B$11)</f>
        <v>\\stjn.local\trimet\Btechnique\Commun\BT Maint SCELLEMENT\205 - Préventifs\Modèles préventif\GammeDMS_7.MSCT.xlsm</v>
      </c>
      <c r="AD402" s="47" t="str">
        <f>Chemin_accès!$B$8&amp;Tableau1[[#This Row],[Localisation / Classement]]&amp;"\"&amp;Tableau1[[#This Row],[Poste technique]]&amp;"_"&amp;Tableau1[[#This Row],[Plan Entretien]]&amp;".xlsm"</f>
        <v>\\stjn.local\trimet\Btechnique\Commun\BT Maint SCELLEMENT\205 - Préventifs\Gammes 7.MSCT PE Tool\\_.xlsm</v>
      </c>
    </row>
    <row r="403" spans="1:30" x14ac:dyDescent="0.3">
      <c r="A403" s="44" t="str">
        <f t="shared" ca="1" si="6"/>
        <v>7.MSCT</v>
      </c>
      <c r="B4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3" s="46"/>
      <c r="D403" s="44"/>
      <c r="E403" s="44"/>
      <c r="F403" s="47"/>
      <c r="G403" s="47"/>
      <c r="H403" s="50"/>
      <c r="I403" s="50"/>
      <c r="J403" s="50"/>
      <c r="K403" s="50"/>
      <c r="L403" s="46"/>
      <c r="M403" s="47"/>
      <c r="N403" s="46"/>
      <c r="O403" s="46"/>
      <c r="P403" s="47"/>
      <c r="Q403" s="46"/>
      <c r="R403" s="46"/>
      <c r="S403" s="48"/>
      <c r="T403" s="61" t="str">
        <f>IF(Tableau1[[#This Row],[DMS_SAP]]="","",HYPERLINK(Tableau1[[#This Row],[Chemin fichier source]],"X"))</f>
        <v/>
      </c>
      <c r="U403" s="61" t="str">
        <f>IF(Tableau1[[#This Row],[Date rév.]]="","",HYPERLINK(Tableau1[[#This Row],[Lien document]],"X"))</f>
        <v/>
      </c>
      <c r="V403" s="47"/>
      <c r="W403" s="49" t="str">
        <f ca="1">Chemin_accès!$B$2&amp;Tableau1[[#This Row],[Poste Responsable]]&amp;"\"&amp;Tableau1[[#This Row],[Localisation / Classement]]&amp;"\"&amp;Tableau1[[#This Row],[Poste technique]]&amp;"_"&amp;Tableau1[[#This Row],[Plan Entretien]]&amp;".pdf"</f>
        <v>\\stjn.local\trimet\Donnees_Projets\Dms Sap\Maintenance\PlanEntretien\7.MSCT\\_.pdf</v>
      </c>
      <c r="X403" s="47"/>
      <c r="Y403" s="47"/>
      <c r="Z403" s="44" t="str">
        <f ca="1">IF(AND(Tableau1[[#This Row],[Charge]]&lt;&gt;0, Tableau1[[#This Row],[Nombre intervenants]]&lt;&gt;0,Tableau1[[#This Row],[Lien document]]&lt;&gt;0,Tableau1[[#This Row],[DMS_SAP]]&lt;&gt;0)=TRUE,"MIS A JOUR","")</f>
        <v/>
      </c>
      <c r="AA403" s="48"/>
      <c r="AB403" s="58" t="str">
        <f ca="1">IF(Tableau1[[#This Row],[Date rév.]]&lt;&gt;"", DAYS360(Tableau1[[#This Row],[Date rév.]],TODAY()),"")</f>
        <v/>
      </c>
      <c r="AC403" s="47" t="str">
        <f>IFERROR(INDEX(Chemin_accès!$B$11:$C$22,MATCH(Tableau1[[#This Row],[Type]],Chemin_accès!$C$11:$C$22,0),1),Chemin_accès!$B$11)</f>
        <v>\\stjn.local\trimet\Btechnique\Commun\BT Maint SCELLEMENT\205 - Préventifs\Modèles préventif\GammeDMS_7.MSCT.xlsm</v>
      </c>
      <c r="AD403" s="47" t="str">
        <f>Chemin_accès!$B$8&amp;Tableau1[[#This Row],[Localisation / Classement]]&amp;"\"&amp;Tableau1[[#This Row],[Poste technique]]&amp;"_"&amp;Tableau1[[#This Row],[Plan Entretien]]&amp;".xlsm"</f>
        <v>\\stjn.local\trimet\Btechnique\Commun\BT Maint SCELLEMENT\205 - Préventifs\Gammes 7.MSCT PE Tool\\_.xlsm</v>
      </c>
    </row>
    <row r="404" spans="1:30" x14ac:dyDescent="0.3">
      <c r="A404" s="44" t="str">
        <f t="shared" ca="1" si="6"/>
        <v>7.MSCT</v>
      </c>
      <c r="B4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4" s="46"/>
      <c r="D404" s="44"/>
      <c r="E404" s="44"/>
      <c r="F404" s="47"/>
      <c r="G404" s="47"/>
      <c r="H404" s="50"/>
      <c r="I404" s="50"/>
      <c r="J404" s="50"/>
      <c r="K404" s="50"/>
      <c r="L404" s="46"/>
      <c r="M404" s="47"/>
      <c r="N404" s="46"/>
      <c r="O404" s="46"/>
      <c r="P404" s="47"/>
      <c r="Q404" s="46"/>
      <c r="R404" s="46"/>
      <c r="S404" s="48"/>
      <c r="T404" s="61" t="str">
        <f>IF(Tableau1[[#This Row],[DMS_SAP]]="","",HYPERLINK(Tableau1[[#This Row],[Chemin fichier source]],"X"))</f>
        <v/>
      </c>
      <c r="U404" s="61" t="str">
        <f>IF(Tableau1[[#This Row],[Date rév.]]="","",HYPERLINK(Tableau1[[#This Row],[Lien document]],"X"))</f>
        <v/>
      </c>
      <c r="V404" s="47"/>
      <c r="W404" s="49" t="str">
        <f ca="1">Chemin_accès!$B$2&amp;Tableau1[[#This Row],[Poste Responsable]]&amp;"\"&amp;Tableau1[[#This Row],[Localisation / Classement]]&amp;"\"&amp;Tableau1[[#This Row],[Poste technique]]&amp;"_"&amp;Tableau1[[#This Row],[Plan Entretien]]&amp;".pdf"</f>
        <v>\\stjn.local\trimet\Donnees_Projets\Dms Sap\Maintenance\PlanEntretien\7.MSCT\\_.pdf</v>
      </c>
      <c r="X404" s="47"/>
      <c r="Y404" s="47"/>
      <c r="Z404" s="44" t="str">
        <f ca="1">IF(AND(Tableau1[[#This Row],[Charge]]&lt;&gt;0, Tableau1[[#This Row],[Nombre intervenants]]&lt;&gt;0,Tableau1[[#This Row],[Lien document]]&lt;&gt;0,Tableau1[[#This Row],[DMS_SAP]]&lt;&gt;0)=TRUE,"MIS A JOUR","")</f>
        <v/>
      </c>
      <c r="AA404" s="48"/>
      <c r="AB404" s="58" t="str">
        <f ca="1">IF(Tableau1[[#This Row],[Date rév.]]&lt;&gt;"", DAYS360(Tableau1[[#This Row],[Date rév.]],TODAY()),"")</f>
        <v/>
      </c>
      <c r="AC404" s="47" t="str">
        <f>IFERROR(INDEX(Chemin_accès!$B$11:$C$22,MATCH(Tableau1[[#This Row],[Type]],Chemin_accès!$C$11:$C$22,0),1),Chemin_accès!$B$11)</f>
        <v>\\stjn.local\trimet\Btechnique\Commun\BT Maint SCELLEMENT\205 - Préventifs\Modèles préventif\GammeDMS_7.MSCT.xlsm</v>
      </c>
      <c r="AD404" s="47" t="str">
        <f>Chemin_accès!$B$8&amp;Tableau1[[#This Row],[Localisation / Classement]]&amp;"\"&amp;Tableau1[[#This Row],[Poste technique]]&amp;"_"&amp;Tableau1[[#This Row],[Plan Entretien]]&amp;".xlsm"</f>
        <v>\\stjn.local\trimet\Btechnique\Commun\BT Maint SCELLEMENT\205 - Préventifs\Gammes 7.MSCT PE Tool\\_.xlsm</v>
      </c>
    </row>
    <row r="405" spans="1:30" x14ac:dyDescent="0.3">
      <c r="A405" s="44" t="str">
        <f t="shared" ca="1" si="6"/>
        <v>7.MSCT</v>
      </c>
      <c r="B4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5" s="46"/>
      <c r="D405" s="44"/>
      <c r="E405" s="44"/>
      <c r="F405" s="47"/>
      <c r="G405" s="47"/>
      <c r="H405" s="50"/>
      <c r="I405" s="50"/>
      <c r="J405" s="50"/>
      <c r="K405" s="50"/>
      <c r="L405" s="46"/>
      <c r="M405" s="47"/>
      <c r="N405" s="46"/>
      <c r="O405" s="46"/>
      <c r="P405" s="47"/>
      <c r="Q405" s="46"/>
      <c r="R405" s="46"/>
      <c r="S405" s="48"/>
      <c r="T405" s="61" t="str">
        <f>IF(Tableau1[[#This Row],[DMS_SAP]]="","",HYPERLINK(Tableau1[[#This Row],[Chemin fichier source]],"X"))</f>
        <v/>
      </c>
      <c r="U405" s="61" t="str">
        <f>IF(Tableau1[[#This Row],[Date rév.]]="","",HYPERLINK(Tableau1[[#This Row],[Lien document]],"X"))</f>
        <v/>
      </c>
      <c r="V405" s="47"/>
      <c r="W405" s="49" t="str">
        <f ca="1">Chemin_accès!$B$2&amp;Tableau1[[#This Row],[Poste Responsable]]&amp;"\"&amp;Tableau1[[#This Row],[Localisation / Classement]]&amp;"\"&amp;Tableau1[[#This Row],[Poste technique]]&amp;"_"&amp;Tableau1[[#This Row],[Plan Entretien]]&amp;".pdf"</f>
        <v>\\stjn.local\trimet\Donnees_Projets\Dms Sap\Maintenance\PlanEntretien\7.MSCT\\_.pdf</v>
      </c>
      <c r="X405" s="47"/>
      <c r="Y405" s="47"/>
      <c r="Z405" s="44" t="str">
        <f ca="1">IF(AND(Tableau1[[#This Row],[Charge]]&lt;&gt;0, Tableau1[[#This Row],[Nombre intervenants]]&lt;&gt;0,Tableau1[[#This Row],[Lien document]]&lt;&gt;0,Tableau1[[#This Row],[DMS_SAP]]&lt;&gt;0)=TRUE,"MIS A JOUR","")</f>
        <v/>
      </c>
      <c r="AA405" s="48"/>
      <c r="AB405" s="58" t="str">
        <f ca="1">IF(Tableau1[[#This Row],[Date rév.]]&lt;&gt;"", DAYS360(Tableau1[[#This Row],[Date rév.]],TODAY()),"")</f>
        <v/>
      </c>
      <c r="AC405" s="47" t="str">
        <f>IFERROR(INDEX(Chemin_accès!$B$11:$C$22,MATCH(Tableau1[[#This Row],[Type]],Chemin_accès!$C$11:$C$22,0),1),Chemin_accès!$B$11)</f>
        <v>\\stjn.local\trimet\Btechnique\Commun\BT Maint SCELLEMENT\205 - Préventifs\Modèles préventif\GammeDMS_7.MSCT.xlsm</v>
      </c>
      <c r="AD405" s="47" t="str">
        <f>Chemin_accès!$B$8&amp;Tableau1[[#This Row],[Localisation / Classement]]&amp;"\"&amp;Tableau1[[#This Row],[Poste technique]]&amp;"_"&amp;Tableau1[[#This Row],[Plan Entretien]]&amp;".xlsm"</f>
        <v>\\stjn.local\trimet\Btechnique\Commun\BT Maint SCELLEMENT\205 - Préventifs\Gammes 7.MSCT PE Tool\\_.xlsm</v>
      </c>
    </row>
    <row r="406" spans="1:30" x14ac:dyDescent="0.3">
      <c r="A406" s="44" t="str">
        <f t="shared" ca="1" si="6"/>
        <v>7.MSCT</v>
      </c>
      <c r="B4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6" s="46"/>
      <c r="D406" s="44"/>
      <c r="E406" s="44"/>
      <c r="F406" s="47"/>
      <c r="G406" s="47"/>
      <c r="H406" s="50"/>
      <c r="I406" s="50"/>
      <c r="J406" s="50"/>
      <c r="K406" s="50"/>
      <c r="L406" s="46"/>
      <c r="M406" s="47"/>
      <c r="N406" s="46"/>
      <c r="O406" s="46"/>
      <c r="P406" s="47"/>
      <c r="Q406" s="46"/>
      <c r="R406" s="46"/>
      <c r="S406" s="48"/>
      <c r="T406" s="61" t="str">
        <f>IF(Tableau1[[#This Row],[DMS_SAP]]="","",HYPERLINK(Tableau1[[#This Row],[Chemin fichier source]],"X"))</f>
        <v/>
      </c>
      <c r="U406" s="61" t="str">
        <f>IF(Tableau1[[#This Row],[Date rév.]]="","",HYPERLINK(Tableau1[[#This Row],[Lien document]],"X"))</f>
        <v/>
      </c>
      <c r="V406" s="47"/>
      <c r="W406" s="49" t="str">
        <f ca="1">Chemin_accès!$B$2&amp;Tableau1[[#This Row],[Poste Responsable]]&amp;"\"&amp;Tableau1[[#This Row],[Localisation / Classement]]&amp;"\"&amp;Tableau1[[#This Row],[Poste technique]]&amp;"_"&amp;Tableau1[[#This Row],[Plan Entretien]]&amp;".pdf"</f>
        <v>\\stjn.local\trimet\Donnees_Projets\Dms Sap\Maintenance\PlanEntretien\7.MSCT\\_.pdf</v>
      </c>
      <c r="X406" s="47"/>
      <c r="Y406" s="47"/>
      <c r="Z406" s="44" t="str">
        <f ca="1">IF(AND(Tableau1[[#This Row],[Charge]]&lt;&gt;0, Tableau1[[#This Row],[Nombre intervenants]]&lt;&gt;0,Tableau1[[#This Row],[Lien document]]&lt;&gt;0,Tableau1[[#This Row],[DMS_SAP]]&lt;&gt;0)=TRUE,"MIS A JOUR","")</f>
        <v/>
      </c>
      <c r="AA406" s="48"/>
      <c r="AB406" s="58" t="str">
        <f ca="1">IF(Tableau1[[#This Row],[Date rév.]]&lt;&gt;"", DAYS360(Tableau1[[#This Row],[Date rév.]],TODAY()),"")</f>
        <v/>
      </c>
      <c r="AC406" s="47" t="str">
        <f>IFERROR(INDEX(Chemin_accès!$B$11:$C$22,MATCH(Tableau1[[#This Row],[Type]],Chemin_accès!$C$11:$C$22,0),1),Chemin_accès!$B$11)</f>
        <v>\\stjn.local\trimet\Btechnique\Commun\BT Maint SCELLEMENT\205 - Préventifs\Modèles préventif\GammeDMS_7.MSCT.xlsm</v>
      </c>
      <c r="AD406" s="47" t="str">
        <f>Chemin_accès!$B$8&amp;Tableau1[[#This Row],[Localisation / Classement]]&amp;"\"&amp;Tableau1[[#This Row],[Poste technique]]&amp;"_"&amp;Tableau1[[#This Row],[Plan Entretien]]&amp;".xlsm"</f>
        <v>\\stjn.local\trimet\Btechnique\Commun\BT Maint SCELLEMENT\205 - Préventifs\Gammes 7.MSCT PE Tool\\_.xlsm</v>
      </c>
    </row>
    <row r="407" spans="1:30" x14ac:dyDescent="0.3">
      <c r="A407" s="44" t="str">
        <f t="shared" ca="1" si="6"/>
        <v>7.MSCT</v>
      </c>
      <c r="B4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7" s="46"/>
      <c r="D407" s="44"/>
      <c r="E407" s="44"/>
      <c r="F407" s="47"/>
      <c r="G407" s="47"/>
      <c r="H407" s="50"/>
      <c r="I407" s="50"/>
      <c r="J407" s="50"/>
      <c r="K407" s="50"/>
      <c r="L407" s="46"/>
      <c r="M407" s="47"/>
      <c r="N407" s="46"/>
      <c r="O407" s="46"/>
      <c r="P407" s="47"/>
      <c r="Q407" s="46"/>
      <c r="R407" s="46"/>
      <c r="S407" s="48"/>
      <c r="T407" s="61" t="str">
        <f>IF(Tableau1[[#This Row],[DMS_SAP]]="","",HYPERLINK(Tableau1[[#This Row],[Chemin fichier source]],"X"))</f>
        <v/>
      </c>
      <c r="U407" s="61" t="str">
        <f>IF(Tableau1[[#This Row],[Date rév.]]="","",HYPERLINK(Tableau1[[#This Row],[Lien document]],"X"))</f>
        <v/>
      </c>
      <c r="V407" s="47"/>
      <c r="W407" s="49" t="str">
        <f ca="1">Chemin_accès!$B$2&amp;Tableau1[[#This Row],[Poste Responsable]]&amp;"\"&amp;Tableau1[[#This Row],[Localisation / Classement]]&amp;"\"&amp;Tableau1[[#This Row],[Poste technique]]&amp;"_"&amp;Tableau1[[#This Row],[Plan Entretien]]&amp;".pdf"</f>
        <v>\\stjn.local\trimet\Donnees_Projets\Dms Sap\Maintenance\PlanEntretien\7.MSCT\\_.pdf</v>
      </c>
      <c r="X407" s="47"/>
      <c r="Y407" s="47"/>
      <c r="Z407" s="44" t="str">
        <f ca="1">IF(AND(Tableau1[[#This Row],[Charge]]&lt;&gt;0, Tableau1[[#This Row],[Nombre intervenants]]&lt;&gt;0,Tableau1[[#This Row],[Lien document]]&lt;&gt;0,Tableau1[[#This Row],[DMS_SAP]]&lt;&gt;0)=TRUE,"MIS A JOUR","")</f>
        <v/>
      </c>
      <c r="AA407" s="48"/>
      <c r="AB407" s="58" t="str">
        <f ca="1">IF(Tableau1[[#This Row],[Date rév.]]&lt;&gt;"", DAYS360(Tableau1[[#This Row],[Date rév.]],TODAY()),"")</f>
        <v/>
      </c>
      <c r="AC407" s="47" t="str">
        <f>IFERROR(INDEX(Chemin_accès!$B$11:$C$22,MATCH(Tableau1[[#This Row],[Type]],Chemin_accès!$C$11:$C$22,0),1),Chemin_accès!$B$11)</f>
        <v>\\stjn.local\trimet\Btechnique\Commun\BT Maint SCELLEMENT\205 - Préventifs\Modèles préventif\GammeDMS_7.MSCT.xlsm</v>
      </c>
      <c r="AD407" s="47" t="str">
        <f>Chemin_accès!$B$8&amp;Tableau1[[#This Row],[Localisation / Classement]]&amp;"\"&amp;Tableau1[[#This Row],[Poste technique]]&amp;"_"&amp;Tableau1[[#This Row],[Plan Entretien]]&amp;".xlsm"</f>
        <v>\\stjn.local\trimet\Btechnique\Commun\BT Maint SCELLEMENT\205 - Préventifs\Gammes 7.MSCT PE Tool\\_.xlsm</v>
      </c>
    </row>
    <row r="408" spans="1:30" x14ac:dyDescent="0.3">
      <c r="A408" s="44" t="str">
        <f t="shared" ca="1" si="6"/>
        <v>7.MSCT</v>
      </c>
      <c r="B4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8" s="46"/>
      <c r="D408" s="44"/>
      <c r="E408" s="44"/>
      <c r="F408" s="47"/>
      <c r="G408" s="47"/>
      <c r="H408" s="50"/>
      <c r="I408" s="50"/>
      <c r="J408" s="50"/>
      <c r="K408" s="50"/>
      <c r="L408" s="46"/>
      <c r="M408" s="47"/>
      <c r="N408" s="46"/>
      <c r="O408" s="46"/>
      <c r="P408" s="47"/>
      <c r="Q408" s="46"/>
      <c r="R408" s="46"/>
      <c r="S408" s="48"/>
      <c r="T408" s="61" t="str">
        <f>IF(Tableau1[[#This Row],[DMS_SAP]]="","",HYPERLINK(Tableau1[[#This Row],[Chemin fichier source]],"X"))</f>
        <v/>
      </c>
      <c r="U408" s="61" t="str">
        <f>IF(Tableau1[[#This Row],[Date rév.]]="","",HYPERLINK(Tableau1[[#This Row],[Lien document]],"X"))</f>
        <v/>
      </c>
      <c r="V408" s="47"/>
      <c r="W408" s="49" t="str">
        <f ca="1">Chemin_accès!$B$2&amp;Tableau1[[#This Row],[Poste Responsable]]&amp;"\"&amp;Tableau1[[#This Row],[Localisation / Classement]]&amp;"\"&amp;Tableau1[[#This Row],[Poste technique]]&amp;"_"&amp;Tableau1[[#This Row],[Plan Entretien]]&amp;".pdf"</f>
        <v>\\stjn.local\trimet\Donnees_Projets\Dms Sap\Maintenance\PlanEntretien\7.MSCT\\_.pdf</v>
      </c>
      <c r="X408" s="47"/>
      <c r="Y408" s="47"/>
      <c r="Z408" s="44" t="str">
        <f ca="1">IF(AND(Tableau1[[#This Row],[Charge]]&lt;&gt;0, Tableau1[[#This Row],[Nombre intervenants]]&lt;&gt;0,Tableau1[[#This Row],[Lien document]]&lt;&gt;0,Tableau1[[#This Row],[DMS_SAP]]&lt;&gt;0)=TRUE,"MIS A JOUR","")</f>
        <v/>
      </c>
      <c r="AA408" s="48"/>
      <c r="AB408" s="58" t="str">
        <f ca="1">IF(Tableau1[[#This Row],[Date rév.]]&lt;&gt;"", DAYS360(Tableau1[[#This Row],[Date rév.]],TODAY()),"")</f>
        <v/>
      </c>
      <c r="AC408" s="47" t="str">
        <f>IFERROR(INDEX(Chemin_accès!$B$11:$C$22,MATCH(Tableau1[[#This Row],[Type]],Chemin_accès!$C$11:$C$22,0),1),Chemin_accès!$B$11)</f>
        <v>\\stjn.local\trimet\Btechnique\Commun\BT Maint SCELLEMENT\205 - Préventifs\Modèles préventif\GammeDMS_7.MSCT.xlsm</v>
      </c>
      <c r="AD408" s="47" t="str">
        <f>Chemin_accès!$B$8&amp;Tableau1[[#This Row],[Localisation / Classement]]&amp;"\"&amp;Tableau1[[#This Row],[Poste technique]]&amp;"_"&amp;Tableau1[[#This Row],[Plan Entretien]]&amp;".xlsm"</f>
        <v>\\stjn.local\trimet\Btechnique\Commun\BT Maint SCELLEMENT\205 - Préventifs\Gammes 7.MSCT PE Tool\\_.xlsm</v>
      </c>
    </row>
    <row r="409" spans="1:30" x14ac:dyDescent="0.3">
      <c r="A409" s="44" t="str">
        <f t="shared" ca="1" si="6"/>
        <v>7.MSCT</v>
      </c>
      <c r="B4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09" s="46"/>
      <c r="D409" s="44"/>
      <c r="E409" s="44"/>
      <c r="F409" s="47"/>
      <c r="G409" s="47"/>
      <c r="H409" s="50"/>
      <c r="I409" s="50"/>
      <c r="J409" s="50"/>
      <c r="K409" s="50"/>
      <c r="L409" s="46"/>
      <c r="M409" s="47"/>
      <c r="N409" s="46"/>
      <c r="O409" s="46"/>
      <c r="P409" s="47"/>
      <c r="Q409" s="46"/>
      <c r="R409" s="46"/>
      <c r="S409" s="48"/>
      <c r="T409" s="61" t="str">
        <f>IF(Tableau1[[#This Row],[DMS_SAP]]="","",HYPERLINK(Tableau1[[#This Row],[Chemin fichier source]],"X"))</f>
        <v/>
      </c>
      <c r="U409" s="61" t="str">
        <f>IF(Tableau1[[#This Row],[Date rév.]]="","",HYPERLINK(Tableau1[[#This Row],[Lien document]],"X"))</f>
        <v/>
      </c>
      <c r="V409" s="47"/>
      <c r="W409" s="49" t="str">
        <f ca="1">Chemin_accès!$B$2&amp;Tableau1[[#This Row],[Poste Responsable]]&amp;"\"&amp;Tableau1[[#This Row],[Localisation / Classement]]&amp;"\"&amp;Tableau1[[#This Row],[Poste technique]]&amp;"_"&amp;Tableau1[[#This Row],[Plan Entretien]]&amp;".pdf"</f>
        <v>\\stjn.local\trimet\Donnees_Projets\Dms Sap\Maintenance\PlanEntretien\7.MSCT\\_.pdf</v>
      </c>
      <c r="X409" s="47"/>
      <c r="Y409" s="47"/>
      <c r="Z409" s="44" t="str">
        <f ca="1">IF(AND(Tableau1[[#This Row],[Charge]]&lt;&gt;0, Tableau1[[#This Row],[Nombre intervenants]]&lt;&gt;0,Tableau1[[#This Row],[Lien document]]&lt;&gt;0,Tableau1[[#This Row],[DMS_SAP]]&lt;&gt;0)=TRUE,"MIS A JOUR","")</f>
        <v/>
      </c>
      <c r="AA409" s="48"/>
      <c r="AB409" s="58" t="str">
        <f ca="1">IF(Tableau1[[#This Row],[Date rév.]]&lt;&gt;"", DAYS360(Tableau1[[#This Row],[Date rév.]],TODAY()),"")</f>
        <v/>
      </c>
      <c r="AC409" s="47" t="str">
        <f>IFERROR(INDEX(Chemin_accès!$B$11:$C$22,MATCH(Tableau1[[#This Row],[Type]],Chemin_accès!$C$11:$C$22,0),1),Chemin_accès!$B$11)</f>
        <v>\\stjn.local\trimet\Btechnique\Commun\BT Maint SCELLEMENT\205 - Préventifs\Modèles préventif\GammeDMS_7.MSCT.xlsm</v>
      </c>
      <c r="AD409" s="47" t="str">
        <f>Chemin_accès!$B$8&amp;Tableau1[[#This Row],[Localisation / Classement]]&amp;"\"&amp;Tableau1[[#This Row],[Poste technique]]&amp;"_"&amp;Tableau1[[#This Row],[Plan Entretien]]&amp;".xlsm"</f>
        <v>\\stjn.local\trimet\Btechnique\Commun\BT Maint SCELLEMENT\205 - Préventifs\Gammes 7.MSCT PE Tool\\_.xlsm</v>
      </c>
    </row>
    <row r="410" spans="1:30" x14ac:dyDescent="0.3">
      <c r="A410" s="44" t="str">
        <f t="shared" ca="1" si="6"/>
        <v>7.MSCT</v>
      </c>
      <c r="B4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0" s="46"/>
      <c r="D410" s="44"/>
      <c r="E410" s="44"/>
      <c r="F410" s="47"/>
      <c r="G410" s="47"/>
      <c r="H410" s="50"/>
      <c r="I410" s="50"/>
      <c r="J410" s="50"/>
      <c r="K410" s="50"/>
      <c r="L410" s="46"/>
      <c r="M410" s="47"/>
      <c r="N410" s="46"/>
      <c r="O410" s="46"/>
      <c r="P410" s="47"/>
      <c r="Q410" s="46"/>
      <c r="R410" s="46"/>
      <c r="S410" s="48"/>
      <c r="T410" s="61" t="str">
        <f>IF(Tableau1[[#This Row],[DMS_SAP]]="","",HYPERLINK(Tableau1[[#This Row],[Chemin fichier source]],"X"))</f>
        <v/>
      </c>
      <c r="U410" s="61" t="str">
        <f>IF(Tableau1[[#This Row],[Date rév.]]="","",HYPERLINK(Tableau1[[#This Row],[Lien document]],"X"))</f>
        <v/>
      </c>
      <c r="V410" s="47"/>
      <c r="W410" s="49" t="str">
        <f ca="1">Chemin_accès!$B$2&amp;Tableau1[[#This Row],[Poste Responsable]]&amp;"\"&amp;Tableau1[[#This Row],[Localisation / Classement]]&amp;"\"&amp;Tableau1[[#This Row],[Poste technique]]&amp;"_"&amp;Tableau1[[#This Row],[Plan Entretien]]&amp;".pdf"</f>
        <v>\\stjn.local\trimet\Donnees_Projets\Dms Sap\Maintenance\PlanEntretien\7.MSCT\\_.pdf</v>
      </c>
      <c r="X410" s="47"/>
      <c r="Y410" s="47"/>
      <c r="Z410" s="44" t="str">
        <f ca="1">IF(AND(Tableau1[[#This Row],[Charge]]&lt;&gt;0, Tableau1[[#This Row],[Nombre intervenants]]&lt;&gt;0,Tableau1[[#This Row],[Lien document]]&lt;&gt;0,Tableau1[[#This Row],[DMS_SAP]]&lt;&gt;0)=TRUE,"MIS A JOUR","")</f>
        <v/>
      </c>
      <c r="AA410" s="48"/>
      <c r="AB410" s="58" t="str">
        <f ca="1">IF(Tableau1[[#This Row],[Date rév.]]&lt;&gt;"", DAYS360(Tableau1[[#This Row],[Date rév.]],TODAY()),"")</f>
        <v/>
      </c>
      <c r="AC410" s="47" t="str">
        <f>IFERROR(INDEX(Chemin_accès!$B$11:$C$22,MATCH(Tableau1[[#This Row],[Type]],Chemin_accès!$C$11:$C$22,0),1),Chemin_accès!$B$11)</f>
        <v>\\stjn.local\trimet\Btechnique\Commun\BT Maint SCELLEMENT\205 - Préventifs\Modèles préventif\GammeDMS_7.MSCT.xlsm</v>
      </c>
      <c r="AD410" s="47" t="str">
        <f>Chemin_accès!$B$8&amp;Tableau1[[#This Row],[Localisation / Classement]]&amp;"\"&amp;Tableau1[[#This Row],[Poste technique]]&amp;"_"&amp;Tableau1[[#This Row],[Plan Entretien]]&amp;".xlsm"</f>
        <v>\\stjn.local\trimet\Btechnique\Commun\BT Maint SCELLEMENT\205 - Préventifs\Gammes 7.MSCT PE Tool\\_.xlsm</v>
      </c>
    </row>
    <row r="411" spans="1:30" x14ac:dyDescent="0.3">
      <c r="A411" s="44" t="str">
        <f t="shared" ca="1" si="6"/>
        <v>7.MSCT</v>
      </c>
      <c r="B4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1" s="46"/>
      <c r="D411" s="44"/>
      <c r="E411" s="44"/>
      <c r="F411" s="47"/>
      <c r="G411" s="47"/>
      <c r="H411" s="50"/>
      <c r="I411" s="50"/>
      <c r="J411" s="50"/>
      <c r="K411" s="50"/>
      <c r="L411" s="46"/>
      <c r="M411" s="47"/>
      <c r="N411" s="46"/>
      <c r="O411" s="46"/>
      <c r="P411" s="47"/>
      <c r="Q411" s="46"/>
      <c r="R411" s="46"/>
      <c r="S411" s="48"/>
      <c r="T411" s="61" t="str">
        <f>IF(Tableau1[[#This Row],[DMS_SAP]]="","",HYPERLINK(Tableau1[[#This Row],[Chemin fichier source]],"X"))</f>
        <v/>
      </c>
      <c r="U411" s="61" t="str">
        <f>IF(Tableau1[[#This Row],[Date rév.]]="","",HYPERLINK(Tableau1[[#This Row],[Lien document]],"X"))</f>
        <v/>
      </c>
      <c r="V411" s="47"/>
      <c r="W411" s="49" t="str">
        <f ca="1">Chemin_accès!$B$2&amp;Tableau1[[#This Row],[Poste Responsable]]&amp;"\"&amp;Tableau1[[#This Row],[Localisation / Classement]]&amp;"\"&amp;Tableau1[[#This Row],[Poste technique]]&amp;"_"&amp;Tableau1[[#This Row],[Plan Entretien]]&amp;".pdf"</f>
        <v>\\stjn.local\trimet\Donnees_Projets\Dms Sap\Maintenance\PlanEntretien\7.MSCT\\_.pdf</v>
      </c>
      <c r="X411" s="47"/>
      <c r="Y411" s="47"/>
      <c r="Z411" s="44" t="str">
        <f ca="1">IF(AND(Tableau1[[#This Row],[Charge]]&lt;&gt;0, Tableau1[[#This Row],[Nombre intervenants]]&lt;&gt;0,Tableau1[[#This Row],[Lien document]]&lt;&gt;0,Tableau1[[#This Row],[DMS_SAP]]&lt;&gt;0)=TRUE,"MIS A JOUR","")</f>
        <v/>
      </c>
      <c r="AA411" s="48"/>
      <c r="AB411" s="58" t="str">
        <f ca="1">IF(Tableau1[[#This Row],[Date rév.]]&lt;&gt;"", DAYS360(Tableau1[[#This Row],[Date rév.]],TODAY()),"")</f>
        <v/>
      </c>
      <c r="AC411" s="47" t="str">
        <f>IFERROR(INDEX(Chemin_accès!$B$11:$C$22,MATCH(Tableau1[[#This Row],[Type]],Chemin_accès!$C$11:$C$22,0),1),Chemin_accès!$B$11)</f>
        <v>\\stjn.local\trimet\Btechnique\Commun\BT Maint SCELLEMENT\205 - Préventifs\Modèles préventif\GammeDMS_7.MSCT.xlsm</v>
      </c>
      <c r="AD411" s="47" t="str">
        <f>Chemin_accès!$B$8&amp;Tableau1[[#This Row],[Localisation / Classement]]&amp;"\"&amp;Tableau1[[#This Row],[Poste technique]]&amp;"_"&amp;Tableau1[[#This Row],[Plan Entretien]]&amp;".xlsm"</f>
        <v>\\stjn.local\trimet\Btechnique\Commun\BT Maint SCELLEMENT\205 - Préventifs\Gammes 7.MSCT PE Tool\\_.xlsm</v>
      </c>
    </row>
    <row r="412" spans="1:30" x14ac:dyDescent="0.3">
      <c r="A412" s="44" t="str">
        <f t="shared" ca="1" si="6"/>
        <v>7.MSCT</v>
      </c>
      <c r="B4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2" s="46"/>
      <c r="D412" s="44"/>
      <c r="E412" s="44"/>
      <c r="F412" s="47"/>
      <c r="G412" s="47"/>
      <c r="H412" s="50"/>
      <c r="I412" s="50"/>
      <c r="J412" s="50"/>
      <c r="K412" s="50"/>
      <c r="L412" s="46"/>
      <c r="M412" s="47"/>
      <c r="N412" s="46"/>
      <c r="O412" s="46"/>
      <c r="P412" s="47"/>
      <c r="Q412" s="46"/>
      <c r="R412" s="46"/>
      <c r="S412" s="48"/>
      <c r="T412" s="61" t="str">
        <f>IF(Tableau1[[#This Row],[DMS_SAP]]="","",HYPERLINK(Tableau1[[#This Row],[Chemin fichier source]],"X"))</f>
        <v/>
      </c>
      <c r="U412" s="61" t="str">
        <f>IF(Tableau1[[#This Row],[Date rév.]]="","",HYPERLINK(Tableau1[[#This Row],[Lien document]],"X"))</f>
        <v/>
      </c>
      <c r="V412" s="47"/>
      <c r="W412" s="49" t="str">
        <f ca="1">Chemin_accès!$B$2&amp;Tableau1[[#This Row],[Poste Responsable]]&amp;"\"&amp;Tableau1[[#This Row],[Localisation / Classement]]&amp;"\"&amp;Tableau1[[#This Row],[Poste technique]]&amp;"_"&amp;Tableau1[[#This Row],[Plan Entretien]]&amp;".pdf"</f>
        <v>\\stjn.local\trimet\Donnees_Projets\Dms Sap\Maintenance\PlanEntretien\7.MSCT\\_.pdf</v>
      </c>
      <c r="X412" s="47"/>
      <c r="Y412" s="47"/>
      <c r="Z412" s="44" t="str">
        <f ca="1">IF(AND(Tableau1[[#This Row],[Charge]]&lt;&gt;0, Tableau1[[#This Row],[Nombre intervenants]]&lt;&gt;0,Tableau1[[#This Row],[Lien document]]&lt;&gt;0,Tableau1[[#This Row],[DMS_SAP]]&lt;&gt;0)=TRUE,"MIS A JOUR","")</f>
        <v/>
      </c>
      <c r="AA412" s="48"/>
      <c r="AB412" s="58" t="str">
        <f ca="1">IF(Tableau1[[#This Row],[Date rév.]]&lt;&gt;"", DAYS360(Tableau1[[#This Row],[Date rév.]],TODAY()),"")</f>
        <v/>
      </c>
      <c r="AC412" s="47" t="str">
        <f>IFERROR(INDEX(Chemin_accès!$B$11:$C$22,MATCH(Tableau1[[#This Row],[Type]],Chemin_accès!$C$11:$C$22,0),1),Chemin_accès!$B$11)</f>
        <v>\\stjn.local\trimet\Btechnique\Commun\BT Maint SCELLEMENT\205 - Préventifs\Modèles préventif\GammeDMS_7.MSCT.xlsm</v>
      </c>
      <c r="AD412" s="47" t="str">
        <f>Chemin_accès!$B$8&amp;Tableau1[[#This Row],[Localisation / Classement]]&amp;"\"&amp;Tableau1[[#This Row],[Poste technique]]&amp;"_"&amp;Tableau1[[#This Row],[Plan Entretien]]&amp;".xlsm"</f>
        <v>\\stjn.local\trimet\Btechnique\Commun\BT Maint SCELLEMENT\205 - Préventifs\Gammes 7.MSCT PE Tool\\_.xlsm</v>
      </c>
    </row>
    <row r="413" spans="1:30" x14ac:dyDescent="0.3">
      <c r="A413" s="44" t="str">
        <f t="shared" ca="1" si="6"/>
        <v>7.MSCT</v>
      </c>
      <c r="B4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3" s="46"/>
      <c r="D413" s="44"/>
      <c r="E413" s="44"/>
      <c r="F413" s="47"/>
      <c r="G413" s="47"/>
      <c r="H413" s="50"/>
      <c r="I413" s="50"/>
      <c r="J413" s="50"/>
      <c r="K413" s="50"/>
      <c r="L413" s="46"/>
      <c r="M413" s="47"/>
      <c r="N413" s="46"/>
      <c r="O413" s="46"/>
      <c r="P413" s="47"/>
      <c r="Q413" s="46"/>
      <c r="R413" s="46"/>
      <c r="S413" s="48"/>
      <c r="T413" s="61" t="str">
        <f>IF(Tableau1[[#This Row],[DMS_SAP]]="","",HYPERLINK(Tableau1[[#This Row],[Chemin fichier source]],"X"))</f>
        <v/>
      </c>
      <c r="U413" s="61" t="str">
        <f>IF(Tableau1[[#This Row],[Date rév.]]="","",HYPERLINK(Tableau1[[#This Row],[Lien document]],"X"))</f>
        <v/>
      </c>
      <c r="V413" s="47"/>
      <c r="W413" s="49" t="str">
        <f ca="1">Chemin_accès!$B$2&amp;Tableau1[[#This Row],[Poste Responsable]]&amp;"\"&amp;Tableau1[[#This Row],[Localisation / Classement]]&amp;"\"&amp;Tableau1[[#This Row],[Poste technique]]&amp;"_"&amp;Tableau1[[#This Row],[Plan Entretien]]&amp;".pdf"</f>
        <v>\\stjn.local\trimet\Donnees_Projets\Dms Sap\Maintenance\PlanEntretien\7.MSCT\\_.pdf</v>
      </c>
      <c r="X413" s="47"/>
      <c r="Y413" s="47"/>
      <c r="Z413" s="44" t="str">
        <f ca="1">IF(AND(Tableau1[[#This Row],[Charge]]&lt;&gt;0, Tableau1[[#This Row],[Nombre intervenants]]&lt;&gt;0,Tableau1[[#This Row],[Lien document]]&lt;&gt;0,Tableau1[[#This Row],[DMS_SAP]]&lt;&gt;0)=TRUE,"MIS A JOUR","")</f>
        <v/>
      </c>
      <c r="AA413" s="48"/>
      <c r="AB413" s="58" t="str">
        <f ca="1">IF(Tableau1[[#This Row],[Date rév.]]&lt;&gt;"", DAYS360(Tableau1[[#This Row],[Date rév.]],TODAY()),"")</f>
        <v/>
      </c>
      <c r="AC413" s="47" t="str">
        <f>IFERROR(INDEX(Chemin_accès!$B$11:$C$22,MATCH(Tableau1[[#This Row],[Type]],Chemin_accès!$C$11:$C$22,0),1),Chemin_accès!$B$11)</f>
        <v>\\stjn.local\trimet\Btechnique\Commun\BT Maint SCELLEMENT\205 - Préventifs\Modèles préventif\GammeDMS_7.MSCT.xlsm</v>
      </c>
      <c r="AD413" s="47" t="str">
        <f>Chemin_accès!$B$8&amp;Tableau1[[#This Row],[Localisation / Classement]]&amp;"\"&amp;Tableau1[[#This Row],[Poste technique]]&amp;"_"&amp;Tableau1[[#This Row],[Plan Entretien]]&amp;".xlsm"</f>
        <v>\\stjn.local\trimet\Btechnique\Commun\BT Maint SCELLEMENT\205 - Préventifs\Gammes 7.MSCT PE Tool\\_.xlsm</v>
      </c>
    </row>
    <row r="414" spans="1:30" x14ac:dyDescent="0.3">
      <c r="A414" s="44" t="str">
        <f t="shared" ca="1" si="6"/>
        <v>7.MSCT</v>
      </c>
      <c r="B4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4" s="46"/>
      <c r="D414" s="44"/>
      <c r="E414" s="44"/>
      <c r="F414" s="47"/>
      <c r="G414" s="47"/>
      <c r="H414" s="50"/>
      <c r="I414" s="50"/>
      <c r="J414" s="50"/>
      <c r="K414" s="50"/>
      <c r="L414" s="46"/>
      <c r="M414" s="47"/>
      <c r="N414" s="46"/>
      <c r="O414" s="46"/>
      <c r="P414" s="47"/>
      <c r="Q414" s="46"/>
      <c r="R414" s="46"/>
      <c r="S414" s="48"/>
      <c r="T414" s="61" t="str">
        <f>IF(Tableau1[[#This Row],[DMS_SAP]]="","",HYPERLINK(Tableau1[[#This Row],[Chemin fichier source]],"X"))</f>
        <v/>
      </c>
      <c r="U414" s="61" t="str">
        <f>IF(Tableau1[[#This Row],[Date rév.]]="","",HYPERLINK(Tableau1[[#This Row],[Lien document]],"X"))</f>
        <v/>
      </c>
      <c r="V414" s="47"/>
      <c r="W414" s="49" t="str">
        <f ca="1">Chemin_accès!$B$2&amp;Tableau1[[#This Row],[Poste Responsable]]&amp;"\"&amp;Tableau1[[#This Row],[Localisation / Classement]]&amp;"\"&amp;Tableau1[[#This Row],[Poste technique]]&amp;"_"&amp;Tableau1[[#This Row],[Plan Entretien]]&amp;".pdf"</f>
        <v>\\stjn.local\trimet\Donnees_Projets\Dms Sap\Maintenance\PlanEntretien\7.MSCT\\_.pdf</v>
      </c>
      <c r="X414" s="47"/>
      <c r="Y414" s="47"/>
      <c r="Z414" s="44" t="str">
        <f ca="1">IF(AND(Tableau1[[#This Row],[Charge]]&lt;&gt;0, Tableau1[[#This Row],[Nombre intervenants]]&lt;&gt;0,Tableau1[[#This Row],[Lien document]]&lt;&gt;0,Tableau1[[#This Row],[DMS_SAP]]&lt;&gt;0)=TRUE,"MIS A JOUR","")</f>
        <v/>
      </c>
      <c r="AA414" s="48"/>
      <c r="AB414" s="58" t="str">
        <f ca="1">IF(Tableau1[[#This Row],[Date rév.]]&lt;&gt;"", DAYS360(Tableau1[[#This Row],[Date rév.]],TODAY()),"")</f>
        <v/>
      </c>
      <c r="AC414" s="47" t="str">
        <f>IFERROR(INDEX(Chemin_accès!$B$11:$C$22,MATCH(Tableau1[[#This Row],[Type]],Chemin_accès!$C$11:$C$22,0),1),Chemin_accès!$B$11)</f>
        <v>\\stjn.local\trimet\Btechnique\Commun\BT Maint SCELLEMENT\205 - Préventifs\Modèles préventif\GammeDMS_7.MSCT.xlsm</v>
      </c>
      <c r="AD414" s="47" t="str">
        <f>Chemin_accès!$B$8&amp;Tableau1[[#This Row],[Localisation / Classement]]&amp;"\"&amp;Tableau1[[#This Row],[Poste technique]]&amp;"_"&amp;Tableau1[[#This Row],[Plan Entretien]]&amp;".xlsm"</f>
        <v>\\stjn.local\trimet\Btechnique\Commun\BT Maint SCELLEMENT\205 - Préventifs\Gammes 7.MSCT PE Tool\\_.xlsm</v>
      </c>
    </row>
    <row r="415" spans="1:30" x14ac:dyDescent="0.3">
      <c r="A415" s="44" t="str">
        <f t="shared" ca="1" si="6"/>
        <v>7.MSCT</v>
      </c>
      <c r="B4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5" s="46"/>
      <c r="D415" s="44"/>
      <c r="E415" s="44"/>
      <c r="F415" s="47"/>
      <c r="G415" s="47"/>
      <c r="H415" s="50"/>
      <c r="I415" s="50"/>
      <c r="J415" s="50"/>
      <c r="K415" s="50"/>
      <c r="L415" s="46"/>
      <c r="M415" s="47"/>
      <c r="N415" s="46"/>
      <c r="O415" s="46"/>
      <c r="P415" s="47"/>
      <c r="Q415" s="46"/>
      <c r="R415" s="46"/>
      <c r="S415" s="48"/>
      <c r="T415" s="61" t="str">
        <f>IF(Tableau1[[#This Row],[DMS_SAP]]="","",HYPERLINK(Tableau1[[#This Row],[Chemin fichier source]],"X"))</f>
        <v/>
      </c>
      <c r="U415" s="61" t="str">
        <f>IF(Tableau1[[#This Row],[Date rév.]]="","",HYPERLINK(Tableau1[[#This Row],[Lien document]],"X"))</f>
        <v/>
      </c>
      <c r="V415" s="47"/>
      <c r="W415" s="49" t="str">
        <f ca="1">Chemin_accès!$B$2&amp;Tableau1[[#This Row],[Poste Responsable]]&amp;"\"&amp;Tableau1[[#This Row],[Localisation / Classement]]&amp;"\"&amp;Tableau1[[#This Row],[Poste technique]]&amp;"_"&amp;Tableau1[[#This Row],[Plan Entretien]]&amp;".pdf"</f>
        <v>\\stjn.local\trimet\Donnees_Projets\Dms Sap\Maintenance\PlanEntretien\7.MSCT\\_.pdf</v>
      </c>
      <c r="X415" s="47"/>
      <c r="Y415" s="47"/>
      <c r="Z415" s="44" t="str">
        <f ca="1">IF(AND(Tableau1[[#This Row],[Charge]]&lt;&gt;0, Tableau1[[#This Row],[Nombre intervenants]]&lt;&gt;0,Tableau1[[#This Row],[Lien document]]&lt;&gt;0,Tableau1[[#This Row],[DMS_SAP]]&lt;&gt;0)=TRUE,"MIS A JOUR","")</f>
        <v/>
      </c>
      <c r="AA415" s="48"/>
      <c r="AB415" s="58" t="str">
        <f ca="1">IF(Tableau1[[#This Row],[Date rév.]]&lt;&gt;"", DAYS360(Tableau1[[#This Row],[Date rév.]],TODAY()),"")</f>
        <v/>
      </c>
      <c r="AC415" s="47" t="str">
        <f>IFERROR(INDEX(Chemin_accès!$B$11:$C$22,MATCH(Tableau1[[#This Row],[Type]],Chemin_accès!$C$11:$C$22,0),1),Chemin_accès!$B$11)</f>
        <v>\\stjn.local\trimet\Btechnique\Commun\BT Maint SCELLEMENT\205 - Préventifs\Modèles préventif\GammeDMS_7.MSCT.xlsm</v>
      </c>
      <c r="AD415" s="47" t="str">
        <f>Chemin_accès!$B$8&amp;Tableau1[[#This Row],[Localisation / Classement]]&amp;"\"&amp;Tableau1[[#This Row],[Poste technique]]&amp;"_"&amp;Tableau1[[#This Row],[Plan Entretien]]&amp;".xlsm"</f>
        <v>\\stjn.local\trimet\Btechnique\Commun\BT Maint SCELLEMENT\205 - Préventifs\Gammes 7.MSCT PE Tool\\_.xlsm</v>
      </c>
    </row>
    <row r="416" spans="1:30" x14ac:dyDescent="0.3">
      <c r="A416" s="44" t="str">
        <f t="shared" ca="1" si="6"/>
        <v>7.MSCT</v>
      </c>
      <c r="B4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6" s="46"/>
      <c r="D416" s="44"/>
      <c r="E416" s="44"/>
      <c r="F416" s="47"/>
      <c r="G416" s="47"/>
      <c r="H416" s="50"/>
      <c r="I416" s="50"/>
      <c r="J416" s="50"/>
      <c r="K416" s="50"/>
      <c r="L416" s="46"/>
      <c r="M416" s="47"/>
      <c r="N416" s="46"/>
      <c r="O416" s="46"/>
      <c r="P416" s="47"/>
      <c r="Q416" s="46"/>
      <c r="R416" s="46"/>
      <c r="S416" s="48"/>
      <c r="T416" s="61" t="str">
        <f>IF(Tableau1[[#This Row],[DMS_SAP]]="","",HYPERLINK(Tableau1[[#This Row],[Chemin fichier source]],"X"))</f>
        <v/>
      </c>
      <c r="U416" s="61" t="str">
        <f>IF(Tableau1[[#This Row],[Date rév.]]="","",HYPERLINK(Tableau1[[#This Row],[Lien document]],"X"))</f>
        <v/>
      </c>
      <c r="V416" s="47"/>
      <c r="W416" s="49" t="str">
        <f ca="1">Chemin_accès!$B$2&amp;Tableau1[[#This Row],[Poste Responsable]]&amp;"\"&amp;Tableau1[[#This Row],[Localisation / Classement]]&amp;"\"&amp;Tableau1[[#This Row],[Poste technique]]&amp;"_"&amp;Tableau1[[#This Row],[Plan Entretien]]&amp;".pdf"</f>
        <v>\\stjn.local\trimet\Donnees_Projets\Dms Sap\Maintenance\PlanEntretien\7.MSCT\\_.pdf</v>
      </c>
      <c r="X416" s="47"/>
      <c r="Y416" s="47"/>
      <c r="Z416" s="44" t="str">
        <f ca="1">IF(AND(Tableau1[[#This Row],[Charge]]&lt;&gt;0, Tableau1[[#This Row],[Nombre intervenants]]&lt;&gt;0,Tableau1[[#This Row],[Lien document]]&lt;&gt;0,Tableau1[[#This Row],[DMS_SAP]]&lt;&gt;0)=TRUE,"MIS A JOUR","")</f>
        <v/>
      </c>
      <c r="AA416" s="48"/>
      <c r="AB416" s="58" t="str">
        <f ca="1">IF(Tableau1[[#This Row],[Date rév.]]&lt;&gt;"", DAYS360(Tableau1[[#This Row],[Date rév.]],TODAY()),"")</f>
        <v/>
      </c>
      <c r="AC416" s="47" t="str">
        <f>IFERROR(INDEX(Chemin_accès!$B$11:$C$22,MATCH(Tableau1[[#This Row],[Type]],Chemin_accès!$C$11:$C$22,0),1),Chemin_accès!$B$11)</f>
        <v>\\stjn.local\trimet\Btechnique\Commun\BT Maint SCELLEMENT\205 - Préventifs\Modèles préventif\GammeDMS_7.MSCT.xlsm</v>
      </c>
      <c r="AD416" s="47" t="str">
        <f>Chemin_accès!$B$8&amp;Tableau1[[#This Row],[Localisation / Classement]]&amp;"\"&amp;Tableau1[[#This Row],[Poste technique]]&amp;"_"&amp;Tableau1[[#This Row],[Plan Entretien]]&amp;".xlsm"</f>
        <v>\\stjn.local\trimet\Btechnique\Commun\BT Maint SCELLEMENT\205 - Préventifs\Gammes 7.MSCT PE Tool\\_.xlsm</v>
      </c>
    </row>
    <row r="417" spans="1:30" x14ac:dyDescent="0.3">
      <c r="A417" s="44" t="str">
        <f t="shared" ca="1" si="6"/>
        <v>7.MSCT</v>
      </c>
      <c r="B4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7" s="46"/>
      <c r="D417" s="44"/>
      <c r="E417" s="44"/>
      <c r="F417" s="47"/>
      <c r="G417" s="47"/>
      <c r="H417" s="50"/>
      <c r="I417" s="50"/>
      <c r="J417" s="50"/>
      <c r="K417" s="50"/>
      <c r="L417" s="46"/>
      <c r="M417" s="47"/>
      <c r="N417" s="46"/>
      <c r="O417" s="46"/>
      <c r="P417" s="47"/>
      <c r="Q417" s="46"/>
      <c r="R417" s="46"/>
      <c r="S417" s="48"/>
      <c r="T417" s="61" t="str">
        <f>IF(Tableau1[[#This Row],[DMS_SAP]]="","",HYPERLINK(Tableau1[[#This Row],[Chemin fichier source]],"X"))</f>
        <v/>
      </c>
      <c r="U417" s="61" t="str">
        <f>IF(Tableau1[[#This Row],[Date rév.]]="","",HYPERLINK(Tableau1[[#This Row],[Lien document]],"X"))</f>
        <v/>
      </c>
      <c r="V417" s="47"/>
      <c r="W417" s="49" t="str">
        <f ca="1">Chemin_accès!$B$2&amp;Tableau1[[#This Row],[Poste Responsable]]&amp;"\"&amp;Tableau1[[#This Row],[Localisation / Classement]]&amp;"\"&amp;Tableau1[[#This Row],[Poste technique]]&amp;"_"&amp;Tableau1[[#This Row],[Plan Entretien]]&amp;".pdf"</f>
        <v>\\stjn.local\trimet\Donnees_Projets\Dms Sap\Maintenance\PlanEntretien\7.MSCT\\_.pdf</v>
      </c>
      <c r="X417" s="47"/>
      <c r="Y417" s="47"/>
      <c r="Z417" s="44" t="str">
        <f ca="1">IF(AND(Tableau1[[#This Row],[Charge]]&lt;&gt;0, Tableau1[[#This Row],[Nombre intervenants]]&lt;&gt;0,Tableau1[[#This Row],[Lien document]]&lt;&gt;0,Tableau1[[#This Row],[DMS_SAP]]&lt;&gt;0)=TRUE,"MIS A JOUR","")</f>
        <v/>
      </c>
      <c r="AA417" s="48"/>
      <c r="AB417" s="58" t="str">
        <f ca="1">IF(Tableau1[[#This Row],[Date rév.]]&lt;&gt;"", DAYS360(Tableau1[[#This Row],[Date rév.]],TODAY()),"")</f>
        <v/>
      </c>
      <c r="AC417" s="47" t="str">
        <f>IFERROR(INDEX(Chemin_accès!$B$11:$C$22,MATCH(Tableau1[[#This Row],[Type]],Chemin_accès!$C$11:$C$22,0),1),Chemin_accès!$B$11)</f>
        <v>\\stjn.local\trimet\Btechnique\Commun\BT Maint SCELLEMENT\205 - Préventifs\Modèles préventif\GammeDMS_7.MSCT.xlsm</v>
      </c>
      <c r="AD417" s="47" t="str">
        <f>Chemin_accès!$B$8&amp;Tableau1[[#This Row],[Localisation / Classement]]&amp;"\"&amp;Tableau1[[#This Row],[Poste technique]]&amp;"_"&amp;Tableau1[[#This Row],[Plan Entretien]]&amp;".xlsm"</f>
        <v>\\stjn.local\trimet\Btechnique\Commun\BT Maint SCELLEMENT\205 - Préventifs\Gammes 7.MSCT PE Tool\\_.xlsm</v>
      </c>
    </row>
    <row r="418" spans="1:30" x14ac:dyDescent="0.3">
      <c r="A418" s="44" t="str">
        <f t="shared" ca="1" si="6"/>
        <v>7.MSCT</v>
      </c>
      <c r="B4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8" s="46"/>
      <c r="D418" s="44"/>
      <c r="E418" s="44"/>
      <c r="F418" s="47"/>
      <c r="G418" s="47"/>
      <c r="H418" s="50"/>
      <c r="I418" s="50"/>
      <c r="J418" s="50"/>
      <c r="K418" s="50"/>
      <c r="L418" s="46"/>
      <c r="M418" s="47"/>
      <c r="N418" s="46"/>
      <c r="O418" s="46"/>
      <c r="P418" s="47"/>
      <c r="Q418" s="46"/>
      <c r="R418" s="46"/>
      <c r="S418" s="48"/>
      <c r="T418" s="61" t="str">
        <f>IF(Tableau1[[#This Row],[DMS_SAP]]="","",HYPERLINK(Tableau1[[#This Row],[Chemin fichier source]],"X"))</f>
        <v/>
      </c>
      <c r="U418" s="61" t="str">
        <f>IF(Tableau1[[#This Row],[Date rév.]]="","",HYPERLINK(Tableau1[[#This Row],[Lien document]],"X"))</f>
        <v/>
      </c>
      <c r="V418" s="47"/>
      <c r="W418" s="49" t="str">
        <f ca="1">Chemin_accès!$B$2&amp;Tableau1[[#This Row],[Poste Responsable]]&amp;"\"&amp;Tableau1[[#This Row],[Localisation / Classement]]&amp;"\"&amp;Tableau1[[#This Row],[Poste technique]]&amp;"_"&amp;Tableau1[[#This Row],[Plan Entretien]]&amp;".pdf"</f>
        <v>\\stjn.local\trimet\Donnees_Projets\Dms Sap\Maintenance\PlanEntretien\7.MSCT\\_.pdf</v>
      </c>
      <c r="X418" s="47"/>
      <c r="Y418" s="47"/>
      <c r="Z418" s="44" t="str">
        <f ca="1">IF(AND(Tableau1[[#This Row],[Charge]]&lt;&gt;0, Tableau1[[#This Row],[Nombre intervenants]]&lt;&gt;0,Tableau1[[#This Row],[Lien document]]&lt;&gt;0,Tableau1[[#This Row],[DMS_SAP]]&lt;&gt;0)=TRUE,"MIS A JOUR","")</f>
        <v/>
      </c>
      <c r="AA418" s="48"/>
      <c r="AB418" s="58" t="str">
        <f ca="1">IF(Tableau1[[#This Row],[Date rév.]]&lt;&gt;"", DAYS360(Tableau1[[#This Row],[Date rév.]],TODAY()),"")</f>
        <v/>
      </c>
      <c r="AC418" s="47" t="str">
        <f>IFERROR(INDEX(Chemin_accès!$B$11:$C$22,MATCH(Tableau1[[#This Row],[Type]],Chemin_accès!$C$11:$C$22,0),1),Chemin_accès!$B$11)</f>
        <v>\\stjn.local\trimet\Btechnique\Commun\BT Maint SCELLEMENT\205 - Préventifs\Modèles préventif\GammeDMS_7.MSCT.xlsm</v>
      </c>
      <c r="AD418" s="47" t="str">
        <f>Chemin_accès!$B$8&amp;Tableau1[[#This Row],[Localisation / Classement]]&amp;"\"&amp;Tableau1[[#This Row],[Poste technique]]&amp;"_"&amp;Tableau1[[#This Row],[Plan Entretien]]&amp;".xlsm"</f>
        <v>\\stjn.local\trimet\Btechnique\Commun\BT Maint SCELLEMENT\205 - Préventifs\Gammes 7.MSCT PE Tool\\_.xlsm</v>
      </c>
    </row>
    <row r="419" spans="1:30" x14ac:dyDescent="0.3">
      <c r="A419" s="44" t="str">
        <f t="shared" ca="1" si="6"/>
        <v>7.MSCT</v>
      </c>
      <c r="B4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19" s="46"/>
      <c r="D419" s="44"/>
      <c r="E419" s="44"/>
      <c r="F419" s="47"/>
      <c r="G419" s="47"/>
      <c r="H419" s="50"/>
      <c r="I419" s="50"/>
      <c r="J419" s="50"/>
      <c r="K419" s="50"/>
      <c r="L419" s="46"/>
      <c r="M419" s="47"/>
      <c r="N419" s="46"/>
      <c r="O419" s="46"/>
      <c r="P419" s="47"/>
      <c r="Q419" s="46"/>
      <c r="R419" s="46"/>
      <c r="S419" s="48"/>
      <c r="T419" s="61" t="str">
        <f>IF(Tableau1[[#This Row],[DMS_SAP]]="","",HYPERLINK(Tableau1[[#This Row],[Chemin fichier source]],"X"))</f>
        <v/>
      </c>
      <c r="U419" s="61" t="str">
        <f>IF(Tableau1[[#This Row],[Date rév.]]="","",HYPERLINK(Tableau1[[#This Row],[Lien document]],"X"))</f>
        <v/>
      </c>
      <c r="V419" s="47"/>
      <c r="W419" s="49" t="str">
        <f ca="1">Chemin_accès!$B$2&amp;Tableau1[[#This Row],[Poste Responsable]]&amp;"\"&amp;Tableau1[[#This Row],[Localisation / Classement]]&amp;"\"&amp;Tableau1[[#This Row],[Poste technique]]&amp;"_"&amp;Tableau1[[#This Row],[Plan Entretien]]&amp;".pdf"</f>
        <v>\\stjn.local\trimet\Donnees_Projets\Dms Sap\Maintenance\PlanEntretien\7.MSCT\\_.pdf</v>
      </c>
      <c r="X419" s="47"/>
      <c r="Y419" s="47"/>
      <c r="Z419" s="44" t="str">
        <f ca="1">IF(AND(Tableau1[[#This Row],[Charge]]&lt;&gt;0, Tableau1[[#This Row],[Nombre intervenants]]&lt;&gt;0,Tableau1[[#This Row],[Lien document]]&lt;&gt;0,Tableau1[[#This Row],[DMS_SAP]]&lt;&gt;0)=TRUE,"MIS A JOUR","")</f>
        <v/>
      </c>
      <c r="AA419" s="48"/>
      <c r="AB419" s="58" t="str">
        <f ca="1">IF(Tableau1[[#This Row],[Date rév.]]&lt;&gt;"", DAYS360(Tableau1[[#This Row],[Date rév.]],TODAY()),"")</f>
        <v/>
      </c>
      <c r="AC419" s="47" t="str">
        <f>IFERROR(INDEX(Chemin_accès!$B$11:$C$22,MATCH(Tableau1[[#This Row],[Type]],Chemin_accès!$C$11:$C$22,0),1),Chemin_accès!$B$11)</f>
        <v>\\stjn.local\trimet\Btechnique\Commun\BT Maint SCELLEMENT\205 - Préventifs\Modèles préventif\GammeDMS_7.MSCT.xlsm</v>
      </c>
      <c r="AD419" s="47" t="str">
        <f>Chemin_accès!$B$8&amp;Tableau1[[#This Row],[Localisation / Classement]]&amp;"\"&amp;Tableau1[[#This Row],[Poste technique]]&amp;"_"&amp;Tableau1[[#This Row],[Plan Entretien]]&amp;".xlsm"</f>
        <v>\\stjn.local\trimet\Btechnique\Commun\BT Maint SCELLEMENT\205 - Préventifs\Gammes 7.MSCT PE Tool\\_.xlsm</v>
      </c>
    </row>
    <row r="420" spans="1:30" x14ac:dyDescent="0.3">
      <c r="A420" s="44" t="str">
        <f t="shared" ca="1" si="6"/>
        <v>7.MSCT</v>
      </c>
      <c r="B4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0" s="46"/>
      <c r="D420" s="44"/>
      <c r="E420" s="44"/>
      <c r="F420" s="47"/>
      <c r="G420" s="47"/>
      <c r="H420" s="50"/>
      <c r="I420" s="50"/>
      <c r="J420" s="50"/>
      <c r="K420" s="50"/>
      <c r="L420" s="46"/>
      <c r="M420" s="47"/>
      <c r="N420" s="46"/>
      <c r="O420" s="46"/>
      <c r="P420" s="47"/>
      <c r="Q420" s="46"/>
      <c r="R420" s="46"/>
      <c r="S420" s="48"/>
      <c r="T420" s="61" t="str">
        <f>IF(Tableau1[[#This Row],[DMS_SAP]]="","",HYPERLINK(Tableau1[[#This Row],[Chemin fichier source]],"X"))</f>
        <v/>
      </c>
      <c r="U420" s="61" t="str">
        <f>IF(Tableau1[[#This Row],[Date rév.]]="","",HYPERLINK(Tableau1[[#This Row],[Lien document]],"X"))</f>
        <v/>
      </c>
      <c r="V420" s="47"/>
      <c r="W420" s="49" t="str">
        <f ca="1">Chemin_accès!$B$2&amp;Tableau1[[#This Row],[Poste Responsable]]&amp;"\"&amp;Tableau1[[#This Row],[Localisation / Classement]]&amp;"\"&amp;Tableau1[[#This Row],[Poste technique]]&amp;"_"&amp;Tableau1[[#This Row],[Plan Entretien]]&amp;".pdf"</f>
        <v>\\stjn.local\trimet\Donnees_Projets\Dms Sap\Maintenance\PlanEntretien\7.MSCT\\_.pdf</v>
      </c>
      <c r="X420" s="47"/>
      <c r="Y420" s="47"/>
      <c r="Z420" s="44" t="str">
        <f ca="1">IF(AND(Tableau1[[#This Row],[Charge]]&lt;&gt;0, Tableau1[[#This Row],[Nombre intervenants]]&lt;&gt;0,Tableau1[[#This Row],[Lien document]]&lt;&gt;0,Tableau1[[#This Row],[DMS_SAP]]&lt;&gt;0)=TRUE,"MIS A JOUR","")</f>
        <v/>
      </c>
      <c r="AA420" s="48"/>
      <c r="AB420" s="58" t="str">
        <f ca="1">IF(Tableau1[[#This Row],[Date rév.]]&lt;&gt;"", DAYS360(Tableau1[[#This Row],[Date rév.]],TODAY()),"")</f>
        <v/>
      </c>
      <c r="AC420" s="47" t="str">
        <f>IFERROR(INDEX(Chemin_accès!$B$11:$C$22,MATCH(Tableau1[[#This Row],[Type]],Chemin_accès!$C$11:$C$22,0),1),Chemin_accès!$B$11)</f>
        <v>\\stjn.local\trimet\Btechnique\Commun\BT Maint SCELLEMENT\205 - Préventifs\Modèles préventif\GammeDMS_7.MSCT.xlsm</v>
      </c>
      <c r="AD420" s="47" t="str">
        <f>Chemin_accès!$B$8&amp;Tableau1[[#This Row],[Localisation / Classement]]&amp;"\"&amp;Tableau1[[#This Row],[Poste technique]]&amp;"_"&amp;Tableau1[[#This Row],[Plan Entretien]]&amp;".xlsm"</f>
        <v>\\stjn.local\trimet\Btechnique\Commun\BT Maint SCELLEMENT\205 - Préventifs\Gammes 7.MSCT PE Tool\\_.xlsm</v>
      </c>
    </row>
    <row r="421" spans="1:30" x14ac:dyDescent="0.3">
      <c r="A421" s="44" t="str">
        <f t="shared" ca="1" si="6"/>
        <v>7.MSCT</v>
      </c>
      <c r="B4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1" s="46"/>
      <c r="D421" s="44"/>
      <c r="E421" s="44"/>
      <c r="F421" s="47"/>
      <c r="G421" s="47"/>
      <c r="H421" s="50"/>
      <c r="I421" s="50"/>
      <c r="J421" s="50"/>
      <c r="K421" s="50"/>
      <c r="L421" s="46"/>
      <c r="M421" s="47"/>
      <c r="N421" s="46"/>
      <c r="O421" s="46"/>
      <c r="P421" s="47"/>
      <c r="Q421" s="46"/>
      <c r="R421" s="46"/>
      <c r="S421" s="48"/>
      <c r="T421" s="61" t="str">
        <f>IF(Tableau1[[#This Row],[DMS_SAP]]="","",HYPERLINK(Tableau1[[#This Row],[Chemin fichier source]],"X"))</f>
        <v/>
      </c>
      <c r="U421" s="61" t="str">
        <f>IF(Tableau1[[#This Row],[Date rév.]]="","",HYPERLINK(Tableau1[[#This Row],[Lien document]],"X"))</f>
        <v/>
      </c>
      <c r="V421" s="47"/>
      <c r="W421" s="49" t="str">
        <f ca="1">Chemin_accès!$B$2&amp;Tableau1[[#This Row],[Poste Responsable]]&amp;"\"&amp;Tableau1[[#This Row],[Localisation / Classement]]&amp;"\"&amp;Tableau1[[#This Row],[Poste technique]]&amp;"_"&amp;Tableau1[[#This Row],[Plan Entretien]]&amp;".pdf"</f>
        <v>\\stjn.local\trimet\Donnees_Projets\Dms Sap\Maintenance\PlanEntretien\7.MSCT\\_.pdf</v>
      </c>
      <c r="X421" s="47"/>
      <c r="Y421" s="47"/>
      <c r="Z421" s="44" t="str">
        <f ca="1">IF(AND(Tableau1[[#This Row],[Charge]]&lt;&gt;0, Tableau1[[#This Row],[Nombre intervenants]]&lt;&gt;0,Tableau1[[#This Row],[Lien document]]&lt;&gt;0,Tableau1[[#This Row],[DMS_SAP]]&lt;&gt;0)=TRUE,"MIS A JOUR","")</f>
        <v/>
      </c>
      <c r="AA421" s="48"/>
      <c r="AB421" s="58" t="str">
        <f ca="1">IF(Tableau1[[#This Row],[Date rév.]]&lt;&gt;"", DAYS360(Tableau1[[#This Row],[Date rév.]],TODAY()),"")</f>
        <v/>
      </c>
      <c r="AC421" s="47" t="str">
        <f>IFERROR(INDEX(Chemin_accès!$B$11:$C$22,MATCH(Tableau1[[#This Row],[Type]],Chemin_accès!$C$11:$C$22,0),1),Chemin_accès!$B$11)</f>
        <v>\\stjn.local\trimet\Btechnique\Commun\BT Maint SCELLEMENT\205 - Préventifs\Modèles préventif\GammeDMS_7.MSCT.xlsm</v>
      </c>
      <c r="AD421" s="47" t="str">
        <f>Chemin_accès!$B$8&amp;Tableau1[[#This Row],[Localisation / Classement]]&amp;"\"&amp;Tableau1[[#This Row],[Poste technique]]&amp;"_"&amp;Tableau1[[#This Row],[Plan Entretien]]&amp;".xlsm"</f>
        <v>\\stjn.local\trimet\Btechnique\Commun\BT Maint SCELLEMENT\205 - Préventifs\Gammes 7.MSCT PE Tool\\_.xlsm</v>
      </c>
    </row>
    <row r="422" spans="1:30" x14ac:dyDescent="0.3">
      <c r="A422" s="44" t="str">
        <f t="shared" ca="1" si="6"/>
        <v>7.MSCT</v>
      </c>
      <c r="B4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2" s="46"/>
      <c r="D422" s="44"/>
      <c r="E422" s="44"/>
      <c r="F422" s="47"/>
      <c r="G422" s="47"/>
      <c r="H422" s="50"/>
      <c r="I422" s="50"/>
      <c r="J422" s="50"/>
      <c r="K422" s="50"/>
      <c r="L422" s="46"/>
      <c r="M422" s="47"/>
      <c r="N422" s="46"/>
      <c r="O422" s="46"/>
      <c r="P422" s="47"/>
      <c r="Q422" s="46"/>
      <c r="R422" s="46"/>
      <c r="S422" s="48"/>
      <c r="T422" s="61" t="str">
        <f>IF(Tableau1[[#This Row],[DMS_SAP]]="","",HYPERLINK(Tableau1[[#This Row],[Chemin fichier source]],"X"))</f>
        <v/>
      </c>
      <c r="U422" s="61" t="str">
        <f>IF(Tableau1[[#This Row],[Date rév.]]="","",HYPERLINK(Tableau1[[#This Row],[Lien document]],"X"))</f>
        <v/>
      </c>
      <c r="V422" s="47"/>
      <c r="W422" s="49" t="str">
        <f ca="1">Chemin_accès!$B$2&amp;Tableau1[[#This Row],[Poste Responsable]]&amp;"\"&amp;Tableau1[[#This Row],[Localisation / Classement]]&amp;"\"&amp;Tableau1[[#This Row],[Poste technique]]&amp;"_"&amp;Tableau1[[#This Row],[Plan Entretien]]&amp;".pdf"</f>
        <v>\\stjn.local\trimet\Donnees_Projets\Dms Sap\Maintenance\PlanEntretien\7.MSCT\\_.pdf</v>
      </c>
      <c r="X422" s="47"/>
      <c r="Y422" s="47"/>
      <c r="Z422" s="44" t="str">
        <f ca="1">IF(AND(Tableau1[[#This Row],[Charge]]&lt;&gt;0, Tableau1[[#This Row],[Nombre intervenants]]&lt;&gt;0,Tableau1[[#This Row],[Lien document]]&lt;&gt;0,Tableau1[[#This Row],[DMS_SAP]]&lt;&gt;0)=TRUE,"MIS A JOUR","")</f>
        <v/>
      </c>
      <c r="AA422" s="48"/>
      <c r="AB422" s="58" t="str">
        <f ca="1">IF(Tableau1[[#This Row],[Date rév.]]&lt;&gt;"", DAYS360(Tableau1[[#This Row],[Date rév.]],TODAY()),"")</f>
        <v/>
      </c>
      <c r="AC422" s="47" t="str">
        <f>IFERROR(INDEX(Chemin_accès!$B$11:$C$22,MATCH(Tableau1[[#This Row],[Type]],Chemin_accès!$C$11:$C$22,0),1),Chemin_accès!$B$11)</f>
        <v>\\stjn.local\trimet\Btechnique\Commun\BT Maint SCELLEMENT\205 - Préventifs\Modèles préventif\GammeDMS_7.MSCT.xlsm</v>
      </c>
      <c r="AD422" s="47" t="str">
        <f>Chemin_accès!$B$8&amp;Tableau1[[#This Row],[Localisation / Classement]]&amp;"\"&amp;Tableau1[[#This Row],[Poste technique]]&amp;"_"&amp;Tableau1[[#This Row],[Plan Entretien]]&amp;".xlsm"</f>
        <v>\\stjn.local\trimet\Btechnique\Commun\BT Maint SCELLEMENT\205 - Préventifs\Gammes 7.MSCT PE Tool\\_.xlsm</v>
      </c>
    </row>
    <row r="423" spans="1:30" x14ac:dyDescent="0.3">
      <c r="A423" s="44" t="str">
        <f t="shared" ca="1" si="6"/>
        <v>7.MSCT</v>
      </c>
      <c r="B4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3" s="46"/>
      <c r="D423" s="44"/>
      <c r="E423" s="44"/>
      <c r="F423" s="47"/>
      <c r="G423" s="47"/>
      <c r="H423" s="50"/>
      <c r="I423" s="50"/>
      <c r="J423" s="50"/>
      <c r="K423" s="50"/>
      <c r="L423" s="46"/>
      <c r="M423" s="47"/>
      <c r="N423" s="46"/>
      <c r="O423" s="46"/>
      <c r="P423" s="47"/>
      <c r="Q423" s="46"/>
      <c r="R423" s="46"/>
      <c r="S423" s="48"/>
      <c r="T423" s="61" t="str">
        <f>IF(Tableau1[[#This Row],[DMS_SAP]]="","",HYPERLINK(Tableau1[[#This Row],[Chemin fichier source]],"X"))</f>
        <v/>
      </c>
      <c r="U423" s="61" t="str">
        <f>IF(Tableau1[[#This Row],[Date rév.]]="","",HYPERLINK(Tableau1[[#This Row],[Lien document]],"X"))</f>
        <v/>
      </c>
      <c r="V423" s="47"/>
      <c r="W423" s="49" t="str">
        <f ca="1">Chemin_accès!$B$2&amp;Tableau1[[#This Row],[Poste Responsable]]&amp;"\"&amp;Tableau1[[#This Row],[Localisation / Classement]]&amp;"\"&amp;Tableau1[[#This Row],[Poste technique]]&amp;"_"&amp;Tableau1[[#This Row],[Plan Entretien]]&amp;".pdf"</f>
        <v>\\stjn.local\trimet\Donnees_Projets\Dms Sap\Maintenance\PlanEntretien\7.MSCT\\_.pdf</v>
      </c>
      <c r="X423" s="47"/>
      <c r="Y423" s="47"/>
      <c r="Z423" s="44" t="str">
        <f ca="1">IF(AND(Tableau1[[#This Row],[Charge]]&lt;&gt;0, Tableau1[[#This Row],[Nombre intervenants]]&lt;&gt;0,Tableau1[[#This Row],[Lien document]]&lt;&gt;0,Tableau1[[#This Row],[DMS_SAP]]&lt;&gt;0)=TRUE,"MIS A JOUR","")</f>
        <v/>
      </c>
      <c r="AA423" s="48"/>
      <c r="AB423" s="58" t="str">
        <f ca="1">IF(Tableau1[[#This Row],[Date rév.]]&lt;&gt;"", DAYS360(Tableau1[[#This Row],[Date rév.]],TODAY()),"")</f>
        <v/>
      </c>
      <c r="AC423" s="47" t="str">
        <f>IFERROR(INDEX(Chemin_accès!$B$11:$C$22,MATCH(Tableau1[[#This Row],[Type]],Chemin_accès!$C$11:$C$22,0),1),Chemin_accès!$B$11)</f>
        <v>\\stjn.local\trimet\Btechnique\Commun\BT Maint SCELLEMENT\205 - Préventifs\Modèles préventif\GammeDMS_7.MSCT.xlsm</v>
      </c>
      <c r="AD423" s="47" t="str">
        <f>Chemin_accès!$B$8&amp;Tableau1[[#This Row],[Localisation / Classement]]&amp;"\"&amp;Tableau1[[#This Row],[Poste technique]]&amp;"_"&amp;Tableau1[[#This Row],[Plan Entretien]]&amp;".xlsm"</f>
        <v>\\stjn.local\trimet\Btechnique\Commun\BT Maint SCELLEMENT\205 - Préventifs\Gammes 7.MSCT PE Tool\\_.xlsm</v>
      </c>
    </row>
    <row r="424" spans="1:30" x14ac:dyDescent="0.3">
      <c r="A424" s="44" t="str">
        <f t="shared" ca="1" si="6"/>
        <v>7.MSCT</v>
      </c>
      <c r="B4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4" s="46"/>
      <c r="D424" s="44"/>
      <c r="E424" s="44"/>
      <c r="F424" s="47"/>
      <c r="G424" s="47"/>
      <c r="H424" s="50"/>
      <c r="I424" s="50"/>
      <c r="J424" s="50"/>
      <c r="K424" s="50"/>
      <c r="L424" s="46"/>
      <c r="M424" s="47"/>
      <c r="N424" s="46"/>
      <c r="O424" s="46"/>
      <c r="P424" s="47"/>
      <c r="Q424" s="46"/>
      <c r="R424" s="46"/>
      <c r="S424" s="48"/>
      <c r="T424" s="61" t="str">
        <f>IF(Tableau1[[#This Row],[DMS_SAP]]="","",HYPERLINK(Tableau1[[#This Row],[Chemin fichier source]],"X"))</f>
        <v/>
      </c>
      <c r="U424" s="61" t="str">
        <f>IF(Tableau1[[#This Row],[Date rév.]]="","",HYPERLINK(Tableau1[[#This Row],[Lien document]],"X"))</f>
        <v/>
      </c>
      <c r="V424" s="47"/>
      <c r="W424" s="49" t="str">
        <f ca="1">Chemin_accès!$B$2&amp;Tableau1[[#This Row],[Poste Responsable]]&amp;"\"&amp;Tableau1[[#This Row],[Localisation / Classement]]&amp;"\"&amp;Tableau1[[#This Row],[Poste technique]]&amp;"_"&amp;Tableau1[[#This Row],[Plan Entretien]]&amp;".pdf"</f>
        <v>\\stjn.local\trimet\Donnees_Projets\Dms Sap\Maintenance\PlanEntretien\7.MSCT\\_.pdf</v>
      </c>
      <c r="X424" s="47"/>
      <c r="Y424" s="47"/>
      <c r="Z424" s="44" t="str">
        <f ca="1">IF(AND(Tableau1[[#This Row],[Charge]]&lt;&gt;0, Tableau1[[#This Row],[Nombre intervenants]]&lt;&gt;0,Tableau1[[#This Row],[Lien document]]&lt;&gt;0,Tableau1[[#This Row],[DMS_SAP]]&lt;&gt;0)=TRUE,"MIS A JOUR","")</f>
        <v/>
      </c>
      <c r="AA424" s="48"/>
      <c r="AB424" s="58" t="str">
        <f ca="1">IF(Tableau1[[#This Row],[Date rév.]]&lt;&gt;"", DAYS360(Tableau1[[#This Row],[Date rév.]],TODAY()),"")</f>
        <v/>
      </c>
      <c r="AC424" s="47" t="str">
        <f>IFERROR(INDEX(Chemin_accès!$B$11:$C$22,MATCH(Tableau1[[#This Row],[Type]],Chemin_accès!$C$11:$C$22,0),1),Chemin_accès!$B$11)</f>
        <v>\\stjn.local\trimet\Btechnique\Commun\BT Maint SCELLEMENT\205 - Préventifs\Modèles préventif\GammeDMS_7.MSCT.xlsm</v>
      </c>
      <c r="AD424" s="47" t="str">
        <f>Chemin_accès!$B$8&amp;Tableau1[[#This Row],[Localisation / Classement]]&amp;"\"&amp;Tableau1[[#This Row],[Poste technique]]&amp;"_"&amp;Tableau1[[#This Row],[Plan Entretien]]&amp;".xlsm"</f>
        <v>\\stjn.local\trimet\Btechnique\Commun\BT Maint SCELLEMENT\205 - Préventifs\Gammes 7.MSCT PE Tool\\_.xlsm</v>
      </c>
    </row>
    <row r="425" spans="1:30" x14ac:dyDescent="0.3">
      <c r="A425" s="44" t="str">
        <f t="shared" ca="1" si="6"/>
        <v>7.MSCT</v>
      </c>
      <c r="B4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5" s="46"/>
      <c r="D425" s="44"/>
      <c r="E425" s="44"/>
      <c r="F425" s="47"/>
      <c r="G425" s="47"/>
      <c r="H425" s="50"/>
      <c r="I425" s="50"/>
      <c r="J425" s="50"/>
      <c r="K425" s="50"/>
      <c r="L425" s="46"/>
      <c r="M425" s="47"/>
      <c r="N425" s="46"/>
      <c r="O425" s="46"/>
      <c r="P425" s="47"/>
      <c r="Q425" s="46"/>
      <c r="R425" s="46"/>
      <c r="S425" s="48"/>
      <c r="T425" s="61" t="str">
        <f>IF(Tableau1[[#This Row],[DMS_SAP]]="","",HYPERLINK(Tableau1[[#This Row],[Chemin fichier source]],"X"))</f>
        <v/>
      </c>
      <c r="U425" s="61" t="str">
        <f>IF(Tableau1[[#This Row],[Date rév.]]="","",HYPERLINK(Tableau1[[#This Row],[Lien document]],"X"))</f>
        <v/>
      </c>
      <c r="V425" s="47"/>
      <c r="W425" s="49" t="str">
        <f ca="1">Chemin_accès!$B$2&amp;Tableau1[[#This Row],[Poste Responsable]]&amp;"\"&amp;Tableau1[[#This Row],[Localisation / Classement]]&amp;"\"&amp;Tableau1[[#This Row],[Poste technique]]&amp;"_"&amp;Tableau1[[#This Row],[Plan Entretien]]&amp;".pdf"</f>
        <v>\\stjn.local\trimet\Donnees_Projets\Dms Sap\Maintenance\PlanEntretien\7.MSCT\\_.pdf</v>
      </c>
      <c r="X425" s="47"/>
      <c r="Y425" s="47"/>
      <c r="Z425" s="44" t="str">
        <f ca="1">IF(AND(Tableau1[[#This Row],[Charge]]&lt;&gt;0, Tableau1[[#This Row],[Nombre intervenants]]&lt;&gt;0,Tableau1[[#This Row],[Lien document]]&lt;&gt;0,Tableau1[[#This Row],[DMS_SAP]]&lt;&gt;0)=TRUE,"MIS A JOUR","")</f>
        <v/>
      </c>
      <c r="AA425" s="48"/>
      <c r="AB425" s="58" t="str">
        <f ca="1">IF(Tableau1[[#This Row],[Date rév.]]&lt;&gt;"", DAYS360(Tableau1[[#This Row],[Date rév.]],TODAY()),"")</f>
        <v/>
      </c>
      <c r="AC425" s="47" t="str">
        <f>IFERROR(INDEX(Chemin_accès!$B$11:$C$22,MATCH(Tableau1[[#This Row],[Type]],Chemin_accès!$C$11:$C$22,0),1),Chemin_accès!$B$11)</f>
        <v>\\stjn.local\trimet\Btechnique\Commun\BT Maint SCELLEMENT\205 - Préventifs\Modèles préventif\GammeDMS_7.MSCT.xlsm</v>
      </c>
      <c r="AD425" s="47" t="str">
        <f>Chemin_accès!$B$8&amp;Tableau1[[#This Row],[Localisation / Classement]]&amp;"\"&amp;Tableau1[[#This Row],[Poste technique]]&amp;"_"&amp;Tableau1[[#This Row],[Plan Entretien]]&amp;".xlsm"</f>
        <v>\\stjn.local\trimet\Btechnique\Commun\BT Maint SCELLEMENT\205 - Préventifs\Gammes 7.MSCT PE Tool\\_.xlsm</v>
      </c>
    </row>
    <row r="426" spans="1:30" x14ac:dyDescent="0.3">
      <c r="A426" s="44" t="str">
        <f t="shared" ca="1" si="6"/>
        <v>7.MSCT</v>
      </c>
      <c r="B4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6" s="46"/>
      <c r="D426" s="44"/>
      <c r="E426" s="44"/>
      <c r="F426" s="47"/>
      <c r="G426" s="47"/>
      <c r="H426" s="50"/>
      <c r="I426" s="50"/>
      <c r="J426" s="50"/>
      <c r="K426" s="50"/>
      <c r="L426" s="46"/>
      <c r="M426" s="47"/>
      <c r="N426" s="46"/>
      <c r="O426" s="46"/>
      <c r="P426" s="47"/>
      <c r="Q426" s="46"/>
      <c r="R426" s="46"/>
      <c r="S426" s="48"/>
      <c r="T426" s="61" t="str">
        <f>IF(Tableau1[[#This Row],[DMS_SAP]]="","",HYPERLINK(Tableau1[[#This Row],[Chemin fichier source]],"X"))</f>
        <v/>
      </c>
      <c r="U426" s="61" t="str">
        <f>IF(Tableau1[[#This Row],[Date rév.]]="","",HYPERLINK(Tableau1[[#This Row],[Lien document]],"X"))</f>
        <v/>
      </c>
      <c r="V426" s="47"/>
      <c r="W426" s="49" t="str">
        <f ca="1">Chemin_accès!$B$2&amp;Tableau1[[#This Row],[Poste Responsable]]&amp;"\"&amp;Tableau1[[#This Row],[Localisation / Classement]]&amp;"\"&amp;Tableau1[[#This Row],[Poste technique]]&amp;"_"&amp;Tableau1[[#This Row],[Plan Entretien]]&amp;".pdf"</f>
        <v>\\stjn.local\trimet\Donnees_Projets\Dms Sap\Maintenance\PlanEntretien\7.MSCT\\_.pdf</v>
      </c>
      <c r="X426" s="47"/>
      <c r="Y426" s="47"/>
      <c r="Z426" s="44" t="str">
        <f ca="1">IF(AND(Tableau1[[#This Row],[Charge]]&lt;&gt;0, Tableau1[[#This Row],[Nombre intervenants]]&lt;&gt;0,Tableau1[[#This Row],[Lien document]]&lt;&gt;0,Tableau1[[#This Row],[DMS_SAP]]&lt;&gt;0)=TRUE,"MIS A JOUR","")</f>
        <v/>
      </c>
      <c r="AA426" s="48"/>
      <c r="AB426" s="58" t="str">
        <f ca="1">IF(Tableau1[[#This Row],[Date rév.]]&lt;&gt;"", DAYS360(Tableau1[[#This Row],[Date rév.]],TODAY()),"")</f>
        <v/>
      </c>
      <c r="AC426" s="47" t="str">
        <f>IFERROR(INDEX(Chemin_accès!$B$11:$C$22,MATCH(Tableau1[[#This Row],[Type]],Chemin_accès!$C$11:$C$22,0),1),Chemin_accès!$B$11)</f>
        <v>\\stjn.local\trimet\Btechnique\Commun\BT Maint SCELLEMENT\205 - Préventifs\Modèles préventif\GammeDMS_7.MSCT.xlsm</v>
      </c>
      <c r="AD426" s="47" t="str">
        <f>Chemin_accès!$B$8&amp;Tableau1[[#This Row],[Localisation / Classement]]&amp;"\"&amp;Tableau1[[#This Row],[Poste technique]]&amp;"_"&amp;Tableau1[[#This Row],[Plan Entretien]]&amp;".xlsm"</f>
        <v>\\stjn.local\trimet\Btechnique\Commun\BT Maint SCELLEMENT\205 - Préventifs\Gammes 7.MSCT PE Tool\\_.xlsm</v>
      </c>
    </row>
    <row r="427" spans="1:30" x14ac:dyDescent="0.3">
      <c r="A427" s="44" t="str">
        <f t="shared" ca="1" si="6"/>
        <v>7.MSCT</v>
      </c>
      <c r="B4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7" s="46"/>
      <c r="D427" s="44"/>
      <c r="E427" s="44"/>
      <c r="F427" s="47"/>
      <c r="G427" s="47"/>
      <c r="H427" s="50"/>
      <c r="I427" s="50"/>
      <c r="J427" s="50"/>
      <c r="K427" s="50"/>
      <c r="L427" s="46"/>
      <c r="M427" s="47"/>
      <c r="N427" s="46"/>
      <c r="O427" s="46"/>
      <c r="P427" s="47"/>
      <c r="Q427" s="46"/>
      <c r="R427" s="46"/>
      <c r="S427" s="48"/>
      <c r="T427" s="61" t="str">
        <f>IF(Tableau1[[#This Row],[DMS_SAP]]="","",HYPERLINK(Tableau1[[#This Row],[Chemin fichier source]],"X"))</f>
        <v/>
      </c>
      <c r="U427" s="61" t="str">
        <f>IF(Tableau1[[#This Row],[Date rév.]]="","",HYPERLINK(Tableau1[[#This Row],[Lien document]],"X"))</f>
        <v/>
      </c>
      <c r="V427" s="47"/>
      <c r="W427" s="49" t="str">
        <f ca="1">Chemin_accès!$B$2&amp;Tableau1[[#This Row],[Poste Responsable]]&amp;"\"&amp;Tableau1[[#This Row],[Localisation / Classement]]&amp;"\"&amp;Tableau1[[#This Row],[Poste technique]]&amp;"_"&amp;Tableau1[[#This Row],[Plan Entretien]]&amp;".pdf"</f>
        <v>\\stjn.local\trimet\Donnees_Projets\Dms Sap\Maintenance\PlanEntretien\7.MSCT\\_.pdf</v>
      </c>
      <c r="X427" s="47"/>
      <c r="Y427" s="47"/>
      <c r="Z427" s="44" t="str">
        <f ca="1">IF(AND(Tableau1[[#This Row],[Charge]]&lt;&gt;0, Tableau1[[#This Row],[Nombre intervenants]]&lt;&gt;0,Tableau1[[#This Row],[Lien document]]&lt;&gt;0,Tableau1[[#This Row],[DMS_SAP]]&lt;&gt;0)=TRUE,"MIS A JOUR","")</f>
        <v/>
      </c>
      <c r="AA427" s="48"/>
      <c r="AB427" s="58" t="str">
        <f ca="1">IF(Tableau1[[#This Row],[Date rév.]]&lt;&gt;"", DAYS360(Tableau1[[#This Row],[Date rév.]],TODAY()),"")</f>
        <v/>
      </c>
      <c r="AC427" s="47" t="str">
        <f>IFERROR(INDEX(Chemin_accès!$B$11:$C$22,MATCH(Tableau1[[#This Row],[Type]],Chemin_accès!$C$11:$C$22,0),1),Chemin_accès!$B$11)</f>
        <v>\\stjn.local\trimet\Btechnique\Commun\BT Maint SCELLEMENT\205 - Préventifs\Modèles préventif\GammeDMS_7.MSCT.xlsm</v>
      </c>
      <c r="AD427" s="47" t="str">
        <f>Chemin_accès!$B$8&amp;Tableau1[[#This Row],[Localisation / Classement]]&amp;"\"&amp;Tableau1[[#This Row],[Poste technique]]&amp;"_"&amp;Tableau1[[#This Row],[Plan Entretien]]&amp;".xlsm"</f>
        <v>\\stjn.local\trimet\Btechnique\Commun\BT Maint SCELLEMENT\205 - Préventifs\Gammes 7.MSCT PE Tool\\_.xlsm</v>
      </c>
    </row>
    <row r="428" spans="1:30" x14ac:dyDescent="0.3">
      <c r="A428" s="44" t="str">
        <f t="shared" ca="1" si="6"/>
        <v>7.MSCT</v>
      </c>
      <c r="B4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8" s="46"/>
      <c r="D428" s="44"/>
      <c r="E428" s="44"/>
      <c r="F428" s="47"/>
      <c r="G428" s="47"/>
      <c r="H428" s="50"/>
      <c r="I428" s="50"/>
      <c r="J428" s="50"/>
      <c r="K428" s="50"/>
      <c r="L428" s="46"/>
      <c r="M428" s="47"/>
      <c r="N428" s="46"/>
      <c r="O428" s="46"/>
      <c r="P428" s="47"/>
      <c r="Q428" s="46"/>
      <c r="R428" s="46"/>
      <c r="S428" s="48"/>
      <c r="T428" s="61" t="str">
        <f>IF(Tableau1[[#This Row],[DMS_SAP]]="","",HYPERLINK(Tableau1[[#This Row],[Chemin fichier source]],"X"))</f>
        <v/>
      </c>
      <c r="U428" s="61" t="str">
        <f>IF(Tableau1[[#This Row],[Date rév.]]="","",HYPERLINK(Tableau1[[#This Row],[Lien document]],"X"))</f>
        <v/>
      </c>
      <c r="V428" s="47"/>
      <c r="W428" s="49" t="str">
        <f ca="1">Chemin_accès!$B$2&amp;Tableau1[[#This Row],[Poste Responsable]]&amp;"\"&amp;Tableau1[[#This Row],[Localisation / Classement]]&amp;"\"&amp;Tableau1[[#This Row],[Poste technique]]&amp;"_"&amp;Tableau1[[#This Row],[Plan Entretien]]&amp;".pdf"</f>
        <v>\\stjn.local\trimet\Donnees_Projets\Dms Sap\Maintenance\PlanEntretien\7.MSCT\\_.pdf</v>
      </c>
      <c r="X428" s="47"/>
      <c r="Y428" s="47"/>
      <c r="Z428" s="44" t="str">
        <f ca="1">IF(AND(Tableau1[[#This Row],[Charge]]&lt;&gt;0, Tableau1[[#This Row],[Nombre intervenants]]&lt;&gt;0,Tableau1[[#This Row],[Lien document]]&lt;&gt;0,Tableau1[[#This Row],[DMS_SAP]]&lt;&gt;0)=TRUE,"MIS A JOUR","")</f>
        <v/>
      </c>
      <c r="AA428" s="48"/>
      <c r="AB428" s="58" t="str">
        <f ca="1">IF(Tableau1[[#This Row],[Date rév.]]&lt;&gt;"", DAYS360(Tableau1[[#This Row],[Date rév.]],TODAY()),"")</f>
        <v/>
      </c>
      <c r="AC428" s="47" t="str">
        <f>IFERROR(INDEX(Chemin_accès!$B$11:$C$22,MATCH(Tableau1[[#This Row],[Type]],Chemin_accès!$C$11:$C$22,0),1),Chemin_accès!$B$11)</f>
        <v>\\stjn.local\trimet\Btechnique\Commun\BT Maint SCELLEMENT\205 - Préventifs\Modèles préventif\GammeDMS_7.MSCT.xlsm</v>
      </c>
      <c r="AD428" s="47" t="str">
        <f>Chemin_accès!$B$8&amp;Tableau1[[#This Row],[Localisation / Classement]]&amp;"\"&amp;Tableau1[[#This Row],[Poste technique]]&amp;"_"&amp;Tableau1[[#This Row],[Plan Entretien]]&amp;".xlsm"</f>
        <v>\\stjn.local\trimet\Btechnique\Commun\BT Maint SCELLEMENT\205 - Préventifs\Gammes 7.MSCT PE Tool\\_.xlsm</v>
      </c>
    </row>
    <row r="429" spans="1:30" x14ac:dyDescent="0.3">
      <c r="A429" s="44" t="str">
        <f t="shared" ca="1" si="6"/>
        <v>7.MSCT</v>
      </c>
      <c r="B4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29" s="46"/>
      <c r="D429" s="44"/>
      <c r="E429" s="44"/>
      <c r="F429" s="47"/>
      <c r="G429" s="47"/>
      <c r="H429" s="50"/>
      <c r="I429" s="50"/>
      <c r="J429" s="50"/>
      <c r="K429" s="50"/>
      <c r="L429" s="46"/>
      <c r="M429" s="47"/>
      <c r="N429" s="46"/>
      <c r="O429" s="46"/>
      <c r="P429" s="47"/>
      <c r="Q429" s="46"/>
      <c r="R429" s="46"/>
      <c r="S429" s="48"/>
      <c r="T429" s="61" t="str">
        <f>IF(Tableau1[[#This Row],[DMS_SAP]]="","",HYPERLINK(Tableau1[[#This Row],[Chemin fichier source]],"X"))</f>
        <v/>
      </c>
      <c r="U429" s="61" t="str">
        <f>IF(Tableau1[[#This Row],[Date rév.]]="","",HYPERLINK(Tableau1[[#This Row],[Lien document]],"X"))</f>
        <v/>
      </c>
      <c r="V429" s="47"/>
      <c r="W429" s="49" t="str">
        <f ca="1">Chemin_accès!$B$2&amp;Tableau1[[#This Row],[Poste Responsable]]&amp;"\"&amp;Tableau1[[#This Row],[Localisation / Classement]]&amp;"\"&amp;Tableau1[[#This Row],[Poste technique]]&amp;"_"&amp;Tableau1[[#This Row],[Plan Entretien]]&amp;".pdf"</f>
        <v>\\stjn.local\trimet\Donnees_Projets\Dms Sap\Maintenance\PlanEntretien\7.MSCT\\_.pdf</v>
      </c>
      <c r="X429" s="47"/>
      <c r="Y429" s="47"/>
      <c r="Z429" s="44" t="str">
        <f ca="1">IF(AND(Tableau1[[#This Row],[Charge]]&lt;&gt;0, Tableau1[[#This Row],[Nombre intervenants]]&lt;&gt;0,Tableau1[[#This Row],[Lien document]]&lt;&gt;0,Tableau1[[#This Row],[DMS_SAP]]&lt;&gt;0)=TRUE,"MIS A JOUR","")</f>
        <v/>
      </c>
      <c r="AA429" s="48"/>
      <c r="AB429" s="58" t="str">
        <f ca="1">IF(Tableau1[[#This Row],[Date rév.]]&lt;&gt;"", DAYS360(Tableau1[[#This Row],[Date rév.]],TODAY()),"")</f>
        <v/>
      </c>
      <c r="AC429" s="47" t="str">
        <f>IFERROR(INDEX(Chemin_accès!$B$11:$C$22,MATCH(Tableau1[[#This Row],[Type]],Chemin_accès!$C$11:$C$22,0),1),Chemin_accès!$B$11)</f>
        <v>\\stjn.local\trimet\Btechnique\Commun\BT Maint SCELLEMENT\205 - Préventifs\Modèles préventif\GammeDMS_7.MSCT.xlsm</v>
      </c>
      <c r="AD429" s="47" t="str">
        <f>Chemin_accès!$B$8&amp;Tableau1[[#This Row],[Localisation / Classement]]&amp;"\"&amp;Tableau1[[#This Row],[Poste technique]]&amp;"_"&amp;Tableau1[[#This Row],[Plan Entretien]]&amp;".xlsm"</f>
        <v>\\stjn.local\trimet\Btechnique\Commun\BT Maint SCELLEMENT\205 - Préventifs\Gammes 7.MSCT PE Tool\\_.xlsm</v>
      </c>
    </row>
    <row r="430" spans="1:30" x14ac:dyDescent="0.3">
      <c r="A430" s="44" t="str">
        <f t="shared" ca="1" si="6"/>
        <v>7.MSCT</v>
      </c>
      <c r="B4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0" s="46"/>
      <c r="D430" s="44"/>
      <c r="E430" s="44"/>
      <c r="F430" s="47"/>
      <c r="G430" s="47"/>
      <c r="H430" s="50"/>
      <c r="I430" s="50"/>
      <c r="J430" s="50"/>
      <c r="K430" s="50"/>
      <c r="L430" s="46"/>
      <c r="M430" s="47"/>
      <c r="N430" s="46"/>
      <c r="O430" s="46"/>
      <c r="P430" s="47"/>
      <c r="Q430" s="46"/>
      <c r="R430" s="46"/>
      <c r="S430" s="48"/>
      <c r="T430" s="61" t="str">
        <f>IF(Tableau1[[#This Row],[DMS_SAP]]="","",HYPERLINK(Tableau1[[#This Row],[Chemin fichier source]],"X"))</f>
        <v/>
      </c>
      <c r="U430" s="61" t="str">
        <f>IF(Tableau1[[#This Row],[Date rév.]]="","",HYPERLINK(Tableau1[[#This Row],[Lien document]],"X"))</f>
        <v/>
      </c>
      <c r="V430" s="47"/>
      <c r="W430" s="49" t="str">
        <f ca="1">Chemin_accès!$B$2&amp;Tableau1[[#This Row],[Poste Responsable]]&amp;"\"&amp;Tableau1[[#This Row],[Localisation / Classement]]&amp;"\"&amp;Tableau1[[#This Row],[Poste technique]]&amp;"_"&amp;Tableau1[[#This Row],[Plan Entretien]]&amp;".pdf"</f>
        <v>\\stjn.local\trimet\Donnees_Projets\Dms Sap\Maintenance\PlanEntretien\7.MSCT\\_.pdf</v>
      </c>
      <c r="X430" s="47"/>
      <c r="Y430" s="47"/>
      <c r="Z430" s="44" t="str">
        <f ca="1">IF(AND(Tableau1[[#This Row],[Charge]]&lt;&gt;0, Tableau1[[#This Row],[Nombre intervenants]]&lt;&gt;0,Tableau1[[#This Row],[Lien document]]&lt;&gt;0,Tableau1[[#This Row],[DMS_SAP]]&lt;&gt;0)=TRUE,"MIS A JOUR","")</f>
        <v/>
      </c>
      <c r="AA430" s="48"/>
      <c r="AB430" s="58" t="str">
        <f ca="1">IF(Tableau1[[#This Row],[Date rév.]]&lt;&gt;"", DAYS360(Tableau1[[#This Row],[Date rév.]],TODAY()),"")</f>
        <v/>
      </c>
      <c r="AC430" s="47" t="str">
        <f>IFERROR(INDEX(Chemin_accès!$B$11:$C$22,MATCH(Tableau1[[#This Row],[Type]],Chemin_accès!$C$11:$C$22,0),1),Chemin_accès!$B$11)</f>
        <v>\\stjn.local\trimet\Btechnique\Commun\BT Maint SCELLEMENT\205 - Préventifs\Modèles préventif\GammeDMS_7.MSCT.xlsm</v>
      </c>
      <c r="AD430" s="47" t="str">
        <f>Chemin_accès!$B$8&amp;Tableau1[[#This Row],[Localisation / Classement]]&amp;"\"&amp;Tableau1[[#This Row],[Poste technique]]&amp;"_"&amp;Tableau1[[#This Row],[Plan Entretien]]&amp;".xlsm"</f>
        <v>\\stjn.local\trimet\Btechnique\Commun\BT Maint SCELLEMENT\205 - Préventifs\Gammes 7.MSCT PE Tool\\_.xlsm</v>
      </c>
    </row>
    <row r="431" spans="1:30" x14ac:dyDescent="0.3">
      <c r="A431" s="44" t="str">
        <f t="shared" ca="1" si="6"/>
        <v>7.MSCT</v>
      </c>
      <c r="B4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1" s="46"/>
      <c r="D431" s="44"/>
      <c r="E431" s="44"/>
      <c r="F431" s="47"/>
      <c r="G431" s="47"/>
      <c r="H431" s="50"/>
      <c r="I431" s="50"/>
      <c r="J431" s="50"/>
      <c r="K431" s="50"/>
      <c r="L431" s="46"/>
      <c r="M431" s="47"/>
      <c r="N431" s="46"/>
      <c r="O431" s="46"/>
      <c r="P431" s="47"/>
      <c r="Q431" s="46"/>
      <c r="R431" s="46"/>
      <c r="S431" s="48"/>
      <c r="T431" s="61" t="str">
        <f>IF(Tableau1[[#This Row],[DMS_SAP]]="","",HYPERLINK(Tableau1[[#This Row],[Chemin fichier source]],"X"))</f>
        <v/>
      </c>
      <c r="U431" s="61" t="str">
        <f>IF(Tableau1[[#This Row],[Date rév.]]="","",HYPERLINK(Tableau1[[#This Row],[Lien document]],"X"))</f>
        <v/>
      </c>
      <c r="V431" s="47"/>
      <c r="W431" s="49" t="str">
        <f ca="1">Chemin_accès!$B$2&amp;Tableau1[[#This Row],[Poste Responsable]]&amp;"\"&amp;Tableau1[[#This Row],[Localisation / Classement]]&amp;"\"&amp;Tableau1[[#This Row],[Poste technique]]&amp;"_"&amp;Tableau1[[#This Row],[Plan Entretien]]&amp;".pdf"</f>
        <v>\\stjn.local\trimet\Donnees_Projets\Dms Sap\Maintenance\PlanEntretien\7.MSCT\\_.pdf</v>
      </c>
      <c r="X431" s="47"/>
      <c r="Y431" s="47"/>
      <c r="Z431" s="44" t="str">
        <f ca="1">IF(AND(Tableau1[[#This Row],[Charge]]&lt;&gt;0, Tableau1[[#This Row],[Nombre intervenants]]&lt;&gt;0,Tableau1[[#This Row],[Lien document]]&lt;&gt;0,Tableau1[[#This Row],[DMS_SAP]]&lt;&gt;0)=TRUE,"MIS A JOUR","")</f>
        <v/>
      </c>
      <c r="AA431" s="48"/>
      <c r="AB431" s="58" t="str">
        <f ca="1">IF(Tableau1[[#This Row],[Date rév.]]&lt;&gt;"", DAYS360(Tableau1[[#This Row],[Date rév.]],TODAY()),"")</f>
        <v/>
      </c>
      <c r="AC431" s="47" t="str">
        <f>IFERROR(INDEX(Chemin_accès!$B$11:$C$22,MATCH(Tableau1[[#This Row],[Type]],Chemin_accès!$C$11:$C$22,0),1),Chemin_accès!$B$11)</f>
        <v>\\stjn.local\trimet\Btechnique\Commun\BT Maint SCELLEMENT\205 - Préventifs\Modèles préventif\GammeDMS_7.MSCT.xlsm</v>
      </c>
      <c r="AD431" s="47" t="str">
        <f>Chemin_accès!$B$8&amp;Tableau1[[#This Row],[Localisation / Classement]]&amp;"\"&amp;Tableau1[[#This Row],[Poste technique]]&amp;"_"&amp;Tableau1[[#This Row],[Plan Entretien]]&amp;".xlsm"</f>
        <v>\\stjn.local\trimet\Btechnique\Commun\BT Maint SCELLEMENT\205 - Préventifs\Gammes 7.MSCT PE Tool\\_.xlsm</v>
      </c>
    </row>
    <row r="432" spans="1:30" x14ac:dyDescent="0.3">
      <c r="A432" s="44" t="str">
        <f t="shared" ca="1" si="6"/>
        <v>7.MSCT</v>
      </c>
      <c r="B4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2" s="46"/>
      <c r="D432" s="44"/>
      <c r="E432" s="44"/>
      <c r="F432" s="47"/>
      <c r="G432" s="47"/>
      <c r="H432" s="50"/>
      <c r="I432" s="50"/>
      <c r="J432" s="50"/>
      <c r="K432" s="50"/>
      <c r="L432" s="46"/>
      <c r="M432" s="47"/>
      <c r="N432" s="46"/>
      <c r="O432" s="46"/>
      <c r="P432" s="47"/>
      <c r="Q432" s="46"/>
      <c r="R432" s="46"/>
      <c r="S432" s="48"/>
      <c r="T432" s="61" t="str">
        <f>IF(Tableau1[[#This Row],[DMS_SAP]]="","",HYPERLINK(Tableau1[[#This Row],[Chemin fichier source]],"X"))</f>
        <v/>
      </c>
      <c r="U432" s="61" t="str">
        <f>IF(Tableau1[[#This Row],[Date rév.]]="","",HYPERLINK(Tableau1[[#This Row],[Lien document]],"X"))</f>
        <v/>
      </c>
      <c r="V432" s="47"/>
      <c r="W432" s="49" t="str">
        <f ca="1">Chemin_accès!$B$2&amp;Tableau1[[#This Row],[Poste Responsable]]&amp;"\"&amp;Tableau1[[#This Row],[Localisation / Classement]]&amp;"\"&amp;Tableau1[[#This Row],[Poste technique]]&amp;"_"&amp;Tableau1[[#This Row],[Plan Entretien]]&amp;".pdf"</f>
        <v>\\stjn.local\trimet\Donnees_Projets\Dms Sap\Maintenance\PlanEntretien\7.MSCT\\_.pdf</v>
      </c>
      <c r="X432" s="47"/>
      <c r="Y432" s="47"/>
      <c r="Z432" s="44" t="str">
        <f ca="1">IF(AND(Tableau1[[#This Row],[Charge]]&lt;&gt;0, Tableau1[[#This Row],[Nombre intervenants]]&lt;&gt;0,Tableau1[[#This Row],[Lien document]]&lt;&gt;0,Tableau1[[#This Row],[DMS_SAP]]&lt;&gt;0)=TRUE,"MIS A JOUR","")</f>
        <v/>
      </c>
      <c r="AA432" s="48"/>
      <c r="AB432" s="58" t="str">
        <f ca="1">IF(Tableau1[[#This Row],[Date rév.]]&lt;&gt;"", DAYS360(Tableau1[[#This Row],[Date rév.]],TODAY()),"")</f>
        <v/>
      </c>
      <c r="AC432" s="47" t="str">
        <f>IFERROR(INDEX(Chemin_accès!$B$11:$C$22,MATCH(Tableau1[[#This Row],[Type]],Chemin_accès!$C$11:$C$22,0),1),Chemin_accès!$B$11)</f>
        <v>\\stjn.local\trimet\Btechnique\Commun\BT Maint SCELLEMENT\205 - Préventifs\Modèles préventif\GammeDMS_7.MSCT.xlsm</v>
      </c>
      <c r="AD432" s="47" t="str">
        <f>Chemin_accès!$B$8&amp;Tableau1[[#This Row],[Localisation / Classement]]&amp;"\"&amp;Tableau1[[#This Row],[Poste technique]]&amp;"_"&amp;Tableau1[[#This Row],[Plan Entretien]]&amp;".xlsm"</f>
        <v>\\stjn.local\trimet\Btechnique\Commun\BT Maint SCELLEMENT\205 - Préventifs\Gammes 7.MSCT PE Tool\\_.xlsm</v>
      </c>
    </row>
    <row r="433" spans="1:30" x14ac:dyDescent="0.3">
      <c r="A433" s="44" t="str">
        <f t="shared" ca="1" si="6"/>
        <v>7.MSCT</v>
      </c>
      <c r="B4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3" s="46"/>
      <c r="D433" s="44"/>
      <c r="E433" s="44"/>
      <c r="F433" s="47"/>
      <c r="G433" s="47"/>
      <c r="H433" s="50"/>
      <c r="I433" s="50"/>
      <c r="J433" s="50"/>
      <c r="K433" s="50"/>
      <c r="L433" s="46"/>
      <c r="M433" s="47"/>
      <c r="N433" s="46"/>
      <c r="O433" s="46"/>
      <c r="P433" s="47"/>
      <c r="Q433" s="46"/>
      <c r="R433" s="46"/>
      <c r="S433" s="48"/>
      <c r="T433" s="61" t="str">
        <f>IF(Tableau1[[#This Row],[DMS_SAP]]="","",HYPERLINK(Tableau1[[#This Row],[Chemin fichier source]],"X"))</f>
        <v/>
      </c>
      <c r="U433" s="61" t="str">
        <f>IF(Tableau1[[#This Row],[Date rév.]]="","",HYPERLINK(Tableau1[[#This Row],[Lien document]],"X"))</f>
        <v/>
      </c>
      <c r="V433" s="47"/>
      <c r="W433" s="49" t="str">
        <f ca="1">Chemin_accès!$B$2&amp;Tableau1[[#This Row],[Poste Responsable]]&amp;"\"&amp;Tableau1[[#This Row],[Localisation / Classement]]&amp;"\"&amp;Tableau1[[#This Row],[Poste technique]]&amp;"_"&amp;Tableau1[[#This Row],[Plan Entretien]]&amp;".pdf"</f>
        <v>\\stjn.local\trimet\Donnees_Projets\Dms Sap\Maintenance\PlanEntretien\7.MSCT\\_.pdf</v>
      </c>
      <c r="X433" s="47"/>
      <c r="Y433" s="47"/>
      <c r="Z433" s="44" t="str">
        <f ca="1">IF(AND(Tableau1[[#This Row],[Charge]]&lt;&gt;0, Tableau1[[#This Row],[Nombre intervenants]]&lt;&gt;0,Tableau1[[#This Row],[Lien document]]&lt;&gt;0,Tableau1[[#This Row],[DMS_SAP]]&lt;&gt;0)=TRUE,"MIS A JOUR","")</f>
        <v/>
      </c>
      <c r="AA433" s="48"/>
      <c r="AB433" s="58" t="str">
        <f ca="1">IF(Tableau1[[#This Row],[Date rév.]]&lt;&gt;"", DAYS360(Tableau1[[#This Row],[Date rév.]],TODAY()),"")</f>
        <v/>
      </c>
      <c r="AC433" s="47" t="str">
        <f>IFERROR(INDEX(Chemin_accès!$B$11:$C$22,MATCH(Tableau1[[#This Row],[Type]],Chemin_accès!$C$11:$C$22,0),1),Chemin_accès!$B$11)</f>
        <v>\\stjn.local\trimet\Btechnique\Commun\BT Maint SCELLEMENT\205 - Préventifs\Modèles préventif\GammeDMS_7.MSCT.xlsm</v>
      </c>
      <c r="AD433" s="47" t="str">
        <f>Chemin_accès!$B$8&amp;Tableau1[[#This Row],[Localisation / Classement]]&amp;"\"&amp;Tableau1[[#This Row],[Poste technique]]&amp;"_"&amp;Tableau1[[#This Row],[Plan Entretien]]&amp;".xlsm"</f>
        <v>\\stjn.local\trimet\Btechnique\Commun\BT Maint SCELLEMENT\205 - Préventifs\Gammes 7.MSCT PE Tool\\_.xlsm</v>
      </c>
    </row>
    <row r="434" spans="1:30" x14ac:dyDescent="0.3">
      <c r="A434" s="44" t="str">
        <f t="shared" ca="1" si="6"/>
        <v>7.MSCT</v>
      </c>
      <c r="B4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4" s="46"/>
      <c r="D434" s="44"/>
      <c r="E434" s="44"/>
      <c r="F434" s="47"/>
      <c r="G434" s="47"/>
      <c r="H434" s="50"/>
      <c r="I434" s="50"/>
      <c r="J434" s="50"/>
      <c r="K434" s="50"/>
      <c r="L434" s="46"/>
      <c r="M434" s="47"/>
      <c r="N434" s="46"/>
      <c r="O434" s="46"/>
      <c r="P434" s="47"/>
      <c r="Q434" s="46"/>
      <c r="R434" s="46"/>
      <c r="S434" s="48"/>
      <c r="T434" s="61" t="str">
        <f>IF(Tableau1[[#This Row],[DMS_SAP]]="","",HYPERLINK(Tableau1[[#This Row],[Chemin fichier source]],"X"))</f>
        <v/>
      </c>
      <c r="U434" s="61" t="str">
        <f>IF(Tableau1[[#This Row],[Date rév.]]="","",HYPERLINK(Tableau1[[#This Row],[Lien document]],"X"))</f>
        <v/>
      </c>
      <c r="V434" s="47"/>
      <c r="W434" s="49" t="str">
        <f ca="1">Chemin_accès!$B$2&amp;Tableau1[[#This Row],[Poste Responsable]]&amp;"\"&amp;Tableau1[[#This Row],[Localisation / Classement]]&amp;"\"&amp;Tableau1[[#This Row],[Poste technique]]&amp;"_"&amp;Tableau1[[#This Row],[Plan Entretien]]&amp;".pdf"</f>
        <v>\\stjn.local\trimet\Donnees_Projets\Dms Sap\Maintenance\PlanEntretien\7.MSCT\\_.pdf</v>
      </c>
      <c r="X434" s="47"/>
      <c r="Y434" s="47"/>
      <c r="Z434" s="44" t="str">
        <f ca="1">IF(AND(Tableau1[[#This Row],[Charge]]&lt;&gt;0, Tableau1[[#This Row],[Nombre intervenants]]&lt;&gt;0,Tableau1[[#This Row],[Lien document]]&lt;&gt;0,Tableau1[[#This Row],[DMS_SAP]]&lt;&gt;0)=TRUE,"MIS A JOUR","")</f>
        <v/>
      </c>
      <c r="AA434" s="48"/>
      <c r="AB434" s="58" t="str">
        <f ca="1">IF(Tableau1[[#This Row],[Date rév.]]&lt;&gt;"", DAYS360(Tableau1[[#This Row],[Date rév.]],TODAY()),"")</f>
        <v/>
      </c>
      <c r="AC434" s="47" t="str">
        <f>IFERROR(INDEX(Chemin_accès!$B$11:$C$22,MATCH(Tableau1[[#This Row],[Type]],Chemin_accès!$C$11:$C$22,0),1),Chemin_accès!$B$11)</f>
        <v>\\stjn.local\trimet\Btechnique\Commun\BT Maint SCELLEMENT\205 - Préventifs\Modèles préventif\GammeDMS_7.MSCT.xlsm</v>
      </c>
      <c r="AD434" s="47" t="str">
        <f>Chemin_accès!$B$8&amp;Tableau1[[#This Row],[Localisation / Classement]]&amp;"\"&amp;Tableau1[[#This Row],[Poste technique]]&amp;"_"&amp;Tableau1[[#This Row],[Plan Entretien]]&amp;".xlsm"</f>
        <v>\\stjn.local\trimet\Btechnique\Commun\BT Maint SCELLEMENT\205 - Préventifs\Gammes 7.MSCT PE Tool\\_.xlsm</v>
      </c>
    </row>
    <row r="435" spans="1:30" x14ac:dyDescent="0.3">
      <c r="A435" s="44" t="str">
        <f t="shared" ca="1" si="6"/>
        <v>7.MSCT</v>
      </c>
      <c r="B4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5" s="46"/>
      <c r="D435" s="44"/>
      <c r="E435" s="44"/>
      <c r="F435" s="47"/>
      <c r="G435" s="47"/>
      <c r="H435" s="50"/>
      <c r="I435" s="50"/>
      <c r="J435" s="50"/>
      <c r="K435" s="50"/>
      <c r="L435" s="46"/>
      <c r="M435" s="47"/>
      <c r="N435" s="46"/>
      <c r="O435" s="46"/>
      <c r="P435" s="47"/>
      <c r="Q435" s="46"/>
      <c r="R435" s="46"/>
      <c r="S435" s="48"/>
      <c r="T435" s="61" t="str">
        <f>IF(Tableau1[[#This Row],[DMS_SAP]]="","",HYPERLINK(Tableau1[[#This Row],[Chemin fichier source]],"X"))</f>
        <v/>
      </c>
      <c r="U435" s="61" t="str">
        <f>IF(Tableau1[[#This Row],[Date rév.]]="","",HYPERLINK(Tableau1[[#This Row],[Lien document]],"X"))</f>
        <v/>
      </c>
      <c r="V435" s="47"/>
      <c r="W435" s="49" t="str">
        <f ca="1">Chemin_accès!$B$2&amp;Tableau1[[#This Row],[Poste Responsable]]&amp;"\"&amp;Tableau1[[#This Row],[Localisation / Classement]]&amp;"\"&amp;Tableau1[[#This Row],[Poste technique]]&amp;"_"&amp;Tableau1[[#This Row],[Plan Entretien]]&amp;".pdf"</f>
        <v>\\stjn.local\trimet\Donnees_Projets\Dms Sap\Maintenance\PlanEntretien\7.MSCT\\_.pdf</v>
      </c>
      <c r="X435" s="47"/>
      <c r="Y435" s="47"/>
      <c r="Z435" s="44" t="str">
        <f ca="1">IF(AND(Tableau1[[#This Row],[Charge]]&lt;&gt;0, Tableau1[[#This Row],[Nombre intervenants]]&lt;&gt;0,Tableau1[[#This Row],[Lien document]]&lt;&gt;0,Tableau1[[#This Row],[DMS_SAP]]&lt;&gt;0)=TRUE,"MIS A JOUR","")</f>
        <v/>
      </c>
      <c r="AA435" s="48"/>
      <c r="AB435" s="58" t="str">
        <f ca="1">IF(Tableau1[[#This Row],[Date rév.]]&lt;&gt;"", DAYS360(Tableau1[[#This Row],[Date rév.]],TODAY()),"")</f>
        <v/>
      </c>
      <c r="AC435" s="47" t="str">
        <f>IFERROR(INDEX(Chemin_accès!$B$11:$C$22,MATCH(Tableau1[[#This Row],[Type]],Chemin_accès!$C$11:$C$22,0),1),Chemin_accès!$B$11)</f>
        <v>\\stjn.local\trimet\Btechnique\Commun\BT Maint SCELLEMENT\205 - Préventifs\Modèles préventif\GammeDMS_7.MSCT.xlsm</v>
      </c>
      <c r="AD435" s="47" t="str">
        <f>Chemin_accès!$B$8&amp;Tableau1[[#This Row],[Localisation / Classement]]&amp;"\"&amp;Tableau1[[#This Row],[Poste technique]]&amp;"_"&amp;Tableau1[[#This Row],[Plan Entretien]]&amp;".xlsm"</f>
        <v>\\stjn.local\trimet\Btechnique\Commun\BT Maint SCELLEMENT\205 - Préventifs\Gammes 7.MSCT PE Tool\\_.xlsm</v>
      </c>
    </row>
    <row r="436" spans="1:30" x14ac:dyDescent="0.3">
      <c r="A436" s="44" t="str">
        <f t="shared" ca="1" si="6"/>
        <v>7.MSCT</v>
      </c>
      <c r="B4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6" s="46"/>
      <c r="D436" s="44"/>
      <c r="E436" s="44"/>
      <c r="F436" s="47"/>
      <c r="G436" s="47"/>
      <c r="H436" s="50"/>
      <c r="I436" s="50"/>
      <c r="J436" s="50"/>
      <c r="K436" s="50"/>
      <c r="L436" s="46"/>
      <c r="M436" s="47"/>
      <c r="N436" s="46"/>
      <c r="O436" s="46"/>
      <c r="P436" s="47"/>
      <c r="Q436" s="46"/>
      <c r="R436" s="46"/>
      <c r="S436" s="48"/>
      <c r="T436" s="61" t="str">
        <f>IF(Tableau1[[#This Row],[DMS_SAP]]="","",HYPERLINK(Tableau1[[#This Row],[Chemin fichier source]],"X"))</f>
        <v/>
      </c>
      <c r="U436" s="61" t="str">
        <f>IF(Tableau1[[#This Row],[Date rév.]]="","",HYPERLINK(Tableau1[[#This Row],[Lien document]],"X"))</f>
        <v/>
      </c>
      <c r="V436" s="47"/>
      <c r="W436" s="49" t="str">
        <f ca="1">Chemin_accès!$B$2&amp;Tableau1[[#This Row],[Poste Responsable]]&amp;"\"&amp;Tableau1[[#This Row],[Localisation / Classement]]&amp;"\"&amp;Tableau1[[#This Row],[Poste technique]]&amp;"_"&amp;Tableau1[[#This Row],[Plan Entretien]]&amp;".pdf"</f>
        <v>\\stjn.local\trimet\Donnees_Projets\Dms Sap\Maintenance\PlanEntretien\7.MSCT\\_.pdf</v>
      </c>
      <c r="X436" s="47"/>
      <c r="Y436" s="47"/>
      <c r="Z436" s="44" t="str">
        <f ca="1">IF(AND(Tableau1[[#This Row],[Charge]]&lt;&gt;0, Tableau1[[#This Row],[Nombre intervenants]]&lt;&gt;0,Tableau1[[#This Row],[Lien document]]&lt;&gt;0,Tableau1[[#This Row],[DMS_SAP]]&lt;&gt;0)=TRUE,"MIS A JOUR","")</f>
        <v/>
      </c>
      <c r="AA436" s="48"/>
      <c r="AB436" s="58" t="str">
        <f ca="1">IF(Tableau1[[#This Row],[Date rév.]]&lt;&gt;"", DAYS360(Tableau1[[#This Row],[Date rév.]],TODAY()),"")</f>
        <v/>
      </c>
      <c r="AC436" s="47" t="str">
        <f>IFERROR(INDEX(Chemin_accès!$B$11:$C$22,MATCH(Tableau1[[#This Row],[Type]],Chemin_accès!$C$11:$C$22,0),1),Chemin_accès!$B$11)</f>
        <v>\\stjn.local\trimet\Btechnique\Commun\BT Maint SCELLEMENT\205 - Préventifs\Modèles préventif\GammeDMS_7.MSCT.xlsm</v>
      </c>
      <c r="AD436" s="47" t="str">
        <f>Chemin_accès!$B$8&amp;Tableau1[[#This Row],[Localisation / Classement]]&amp;"\"&amp;Tableau1[[#This Row],[Poste technique]]&amp;"_"&amp;Tableau1[[#This Row],[Plan Entretien]]&amp;".xlsm"</f>
        <v>\\stjn.local\trimet\Btechnique\Commun\BT Maint SCELLEMENT\205 - Préventifs\Gammes 7.MSCT PE Tool\\_.xlsm</v>
      </c>
    </row>
    <row r="437" spans="1:30" x14ac:dyDescent="0.3">
      <c r="A437" s="44" t="str">
        <f t="shared" ca="1" si="6"/>
        <v>7.MSCT</v>
      </c>
      <c r="B4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7" s="46"/>
      <c r="D437" s="44"/>
      <c r="E437" s="44"/>
      <c r="F437" s="47"/>
      <c r="G437" s="47"/>
      <c r="H437" s="50"/>
      <c r="I437" s="50"/>
      <c r="J437" s="50"/>
      <c r="K437" s="50"/>
      <c r="L437" s="46"/>
      <c r="M437" s="47"/>
      <c r="N437" s="46"/>
      <c r="O437" s="46"/>
      <c r="P437" s="47"/>
      <c r="Q437" s="46"/>
      <c r="R437" s="46"/>
      <c r="S437" s="48"/>
      <c r="T437" s="61" t="str">
        <f>IF(Tableau1[[#This Row],[DMS_SAP]]="","",HYPERLINK(Tableau1[[#This Row],[Chemin fichier source]],"X"))</f>
        <v/>
      </c>
      <c r="U437" s="61" t="str">
        <f>IF(Tableau1[[#This Row],[Date rév.]]="","",HYPERLINK(Tableau1[[#This Row],[Lien document]],"X"))</f>
        <v/>
      </c>
      <c r="V437" s="47"/>
      <c r="W437" s="49" t="str">
        <f ca="1">Chemin_accès!$B$2&amp;Tableau1[[#This Row],[Poste Responsable]]&amp;"\"&amp;Tableau1[[#This Row],[Localisation / Classement]]&amp;"\"&amp;Tableau1[[#This Row],[Poste technique]]&amp;"_"&amp;Tableau1[[#This Row],[Plan Entretien]]&amp;".pdf"</f>
        <v>\\stjn.local\trimet\Donnees_Projets\Dms Sap\Maintenance\PlanEntretien\7.MSCT\\_.pdf</v>
      </c>
      <c r="X437" s="47"/>
      <c r="Y437" s="47"/>
      <c r="Z437" s="44" t="str">
        <f ca="1">IF(AND(Tableau1[[#This Row],[Charge]]&lt;&gt;0, Tableau1[[#This Row],[Nombre intervenants]]&lt;&gt;0,Tableau1[[#This Row],[Lien document]]&lt;&gt;0,Tableau1[[#This Row],[DMS_SAP]]&lt;&gt;0)=TRUE,"MIS A JOUR","")</f>
        <v/>
      </c>
      <c r="AA437" s="48"/>
      <c r="AB437" s="58" t="str">
        <f ca="1">IF(Tableau1[[#This Row],[Date rév.]]&lt;&gt;"", DAYS360(Tableau1[[#This Row],[Date rév.]],TODAY()),"")</f>
        <v/>
      </c>
      <c r="AC437" s="47" t="str">
        <f>IFERROR(INDEX(Chemin_accès!$B$11:$C$22,MATCH(Tableau1[[#This Row],[Type]],Chemin_accès!$C$11:$C$22,0),1),Chemin_accès!$B$11)</f>
        <v>\\stjn.local\trimet\Btechnique\Commun\BT Maint SCELLEMENT\205 - Préventifs\Modèles préventif\GammeDMS_7.MSCT.xlsm</v>
      </c>
      <c r="AD437" s="47" t="str">
        <f>Chemin_accès!$B$8&amp;Tableau1[[#This Row],[Localisation / Classement]]&amp;"\"&amp;Tableau1[[#This Row],[Poste technique]]&amp;"_"&amp;Tableau1[[#This Row],[Plan Entretien]]&amp;".xlsm"</f>
        <v>\\stjn.local\trimet\Btechnique\Commun\BT Maint SCELLEMENT\205 - Préventifs\Gammes 7.MSCT PE Tool\\_.xlsm</v>
      </c>
    </row>
    <row r="438" spans="1:30" x14ac:dyDescent="0.3">
      <c r="A438" s="44" t="str">
        <f t="shared" ca="1" si="6"/>
        <v>7.MSCT</v>
      </c>
      <c r="B4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8" s="46"/>
      <c r="D438" s="44"/>
      <c r="E438" s="44"/>
      <c r="F438" s="47"/>
      <c r="G438" s="47"/>
      <c r="H438" s="50"/>
      <c r="I438" s="50"/>
      <c r="J438" s="50"/>
      <c r="K438" s="50"/>
      <c r="L438" s="46"/>
      <c r="M438" s="47"/>
      <c r="N438" s="46"/>
      <c r="O438" s="46"/>
      <c r="P438" s="47"/>
      <c r="Q438" s="46"/>
      <c r="R438" s="46"/>
      <c r="S438" s="48"/>
      <c r="T438" s="61" t="str">
        <f>IF(Tableau1[[#This Row],[DMS_SAP]]="","",HYPERLINK(Tableau1[[#This Row],[Chemin fichier source]],"X"))</f>
        <v/>
      </c>
      <c r="U438" s="61" t="str">
        <f>IF(Tableau1[[#This Row],[Date rév.]]="","",HYPERLINK(Tableau1[[#This Row],[Lien document]],"X"))</f>
        <v/>
      </c>
      <c r="V438" s="47"/>
      <c r="W438" s="49" t="str">
        <f ca="1">Chemin_accès!$B$2&amp;Tableau1[[#This Row],[Poste Responsable]]&amp;"\"&amp;Tableau1[[#This Row],[Localisation / Classement]]&amp;"\"&amp;Tableau1[[#This Row],[Poste technique]]&amp;"_"&amp;Tableau1[[#This Row],[Plan Entretien]]&amp;".pdf"</f>
        <v>\\stjn.local\trimet\Donnees_Projets\Dms Sap\Maintenance\PlanEntretien\7.MSCT\\_.pdf</v>
      </c>
      <c r="X438" s="47"/>
      <c r="Y438" s="47"/>
      <c r="Z438" s="44" t="str">
        <f ca="1">IF(AND(Tableau1[[#This Row],[Charge]]&lt;&gt;0, Tableau1[[#This Row],[Nombre intervenants]]&lt;&gt;0,Tableau1[[#This Row],[Lien document]]&lt;&gt;0,Tableau1[[#This Row],[DMS_SAP]]&lt;&gt;0)=TRUE,"MIS A JOUR","")</f>
        <v/>
      </c>
      <c r="AA438" s="48"/>
      <c r="AB438" s="58" t="str">
        <f ca="1">IF(Tableau1[[#This Row],[Date rév.]]&lt;&gt;"", DAYS360(Tableau1[[#This Row],[Date rév.]],TODAY()),"")</f>
        <v/>
      </c>
      <c r="AC438" s="47" t="str">
        <f>IFERROR(INDEX(Chemin_accès!$B$11:$C$22,MATCH(Tableau1[[#This Row],[Type]],Chemin_accès!$C$11:$C$22,0),1),Chemin_accès!$B$11)</f>
        <v>\\stjn.local\trimet\Btechnique\Commun\BT Maint SCELLEMENT\205 - Préventifs\Modèles préventif\GammeDMS_7.MSCT.xlsm</v>
      </c>
      <c r="AD438" s="47" t="str">
        <f>Chemin_accès!$B$8&amp;Tableau1[[#This Row],[Localisation / Classement]]&amp;"\"&amp;Tableau1[[#This Row],[Poste technique]]&amp;"_"&amp;Tableau1[[#This Row],[Plan Entretien]]&amp;".xlsm"</f>
        <v>\\stjn.local\trimet\Btechnique\Commun\BT Maint SCELLEMENT\205 - Préventifs\Gammes 7.MSCT PE Tool\\_.xlsm</v>
      </c>
    </row>
    <row r="439" spans="1:30" x14ac:dyDescent="0.3">
      <c r="A439" s="44" t="str">
        <f t="shared" ca="1" si="6"/>
        <v>7.MSCT</v>
      </c>
      <c r="B4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39" s="46"/>
      <c r="D439" s="44"/>
      <c r="E439" s="44"/>
      <c r="F439" s="47"/>
      <c r="G439" s="47"/>
      <c r="H439" s="50"/>
      <c r="I439" s="50"/>
      <c r="J439" s="50"/>
      <c r="K439" s="50"/>
      <c r="L439" s="46"/>
      <c r="M439" s="47"/>
      <c r="N439" s="46"/>
      <c r="O439" s="46"/>
      <c r="P439" s="47"/>
      <c r="Q439" s="46"/>
      <c r="R439" s="46"/>
      <c r="S439" s="48"/>
      <c r="T439" s="61" t="str">
        <f>IF(Tableau1[[#This Row],[DMS_SAP]]="","",HYPERLINK(Tableau1[[#This Row],[Chemin fichier source]],"X"))</f>
        <v/>
      </c>
      <c r="U439" s="61" t="str">
        <f>IF(Tableau1[[#This Row],[Date rév.]]="","",HYPERLINK(Tableau1[[#This Row],[Lien document]],"X"))</f>
        <v/>
      </c>
      <c r="V439" s="47"/>
      <c r="W439" s="49" t="str">
        <f ca="1">Chemin_accès!$B$2&amp;Tableau1[[#This Row],[Poste Responsable]]&amp;"\"&amp;Tableau1[[#This Row],[Localisation / Classement]]&amp;"\"&amp;Tableau1[[#This Row],[Poste technique]]&amp;"_"&amp;Tableau1[[#This Row],[Plan Entretien]]&amp;".pdf"</f>
        <v>\\stjn.local\trimet\Donnees_Projets\Dms Sap\Maintenance\PlanEntretien\7.MSCT\\_.pdf</v>
      </c>
      <c r="X439" s="47"/>
      <c r="Y439" s="47"/>
      <c r="Z439" s="44" t="str">
        <f ca="1">IF(AND(Tableau1[[#This Row],[Charge]]&lt;&gt;0, Tableau1[[#This Row],[Nombre intervenants]]&lt;&gt;0,Tableau1[[#This Row],[Lien document]]&lt;&gt;0,Tableau1[[#This Row],[DMS_SAP]]&lt;&gt;0)=TRUE,"MIS A JOUR","")</f>
        <v/>
      </c>
      <c r="AA439" s="48"/>
      <c r="AB439" s="58" t="str">
        <f ca="1">IF(Tableau1[[#This Row],[Date rév.]]&lt;&gt;"", DAYS360(Tableau1[[#This Row],[Date rév.]],TODAY()),"")</f>
        <v/>
      </c>
      <c r="AC439" s="47" t="str">
        <f>IFERROR(INDEX(Chemin_accès!$B$11:$C$22,MATCH(Tableau1[[#This Row],[Type]],Chemin_accès!$C$11:$C$22,0),1),Chemin_accès!$B$11)</f>
        <v>\\stjn.local\trimet\Btechnique\Commun\BT Maint SCELLEMENT\205 - Préventifs\Modèles préventif\GammeDMS_7.MSCT.xlsm</v>
      </c>
      <c r="AD439" s="47" t="str">
        <f>Chemin_accès!$B$8&amp;Tableau1[[#This Row],[Localisation / Classement]]&amp;"\"&amp;Tableau1[[#This Row],[Poste technique]]&amp;"_"&amp;Tableau1[[#This Row],[Plan Entretien]]&amp;".xlsm"</f>
        <v>\\stjn.local\trimet\Btechnique\Commun\BT Maint SCELLEMENT\205 - Préventifs\Gammes 7.MSCT PE Tool\\_.xlsm</v>
      </c>
    </row>
    <row r="440" spans="1:30" x14ac:dyDescent="0.3">
      <c r="A440" s="44" t="str">
        <f t="shared" ca="1" si="6"/>
        <v>7.MSCT</v>
      </c>
      <c r="B4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0" s="46"/>
      <c r="D440" s="44"/>
      <c r="E440" s="44"/>
      <c r="F440" s="47"/>
      <c r="G440" s="47"/>
      <c r="H440" s="50"/>
      <c r="I440" s="50"/>
      <c r="J440" s="50"/>
      <c r="K440" s="50"/>
      <c r="L440" s="46"/>
      <c r="M440" s="47"/>
      <c r="N440" s="46"/>
      <c r="O440" s="46"/>
      <c r="P440" s="47"/>
      <c r="Q440" s="46"/>
      <c r="R440" s="46"/>
      <c r="S440" s="48"/>
      <c r="T440" s="61" t="str">
        <f>IF(Tableau1[[#This Row],[DMS_SAP]]="","",HYPERLINK(Tableau1[[#This Row],[Chemin fichier source]],"X"))</f>
        <v/>
      </c>
      <c r="U440" s="61" t="str">
        <f>IF(Tableau1[[#This Row],[Date rév.]]="","",HYPERLINK(Tableau1[[#This Row],[Lien document]],"X"))</f>
        <v/>
      </c>
      <c r="V440" s="47"/>
      <c r="W440" s="49" t="str">
        <f ca="1">Chemin_accès!$B$2&amp;Tableau1[[#This Row],[Poste Responsable]]&amp;"\"&amp;Tableau1[[#This Row],[Localisation / Classement]]&amp;"\"&amp;Tableau1[[#This Row],[Poste technique]]&amp;"_"&amp;Tableau1[[#This Row],[Plan Entretien]]&amp;".pdf"</f>
        <v>\\stjn.local\trimet\Donnees_Projets\Dms Sap\Maintenance\PlanEntretien\7.MSCT\\_.pdf</v>
      </c>
      <c r="X440" s="47"/>
      <c r="Y440" s="47"/>
      <c r="Z440" s="44" t="str">
        <f ca="1">IF(AND(Tableau1[[#This Row],[Charge]]&lt;&gt;0, Tableau1[[#This Row],[Nombre intervenants]]&lt;&gt;0,Tableau1[[#This Row],[Lien document]]&lt;&gt;0,Tableau1[[#This Row],[DMS_SAP]]&lt;&gt;0)=TRUE,"MIS A JOUR","")</f>
        <v/>
      </c>
      <c r="AA440" s="48"/>
      <c r="AB440" s="58" t="str">
        <f ca="1">IF(Tableau1[[#This Row],[Date rév.]]&lt;&gt;"", DAYS360(Tableau1[[#This Row],[Date rév.]],TODAY()),"")</f>
        <v/>
      </c>
      <c r="AC440" s="47" t="str">
        <f>IFERROR(INDEX(Chemin_accès!$B$11:$C$22,MATCH(Tableau1[[#This Row],[Type]],Chemin_accès!$C$11:$C$22,0),1),Chemin_accès!$B$11)</f>
        <v>\\stjn.local\trimet\Btechnique\Commun\BT Maint SCELLEMENT\205 - Préventifs\Modèles préventif\GammeDMS_7.MSCT.xlsm</v>
      </c>
      <c r="AD440" s="47" t="str">
        <f>Chemin_accès!$B$8&amp;Tableau1[[#This Row],[Localisation / Classement]]&amp;"\"&amp;Tableau1[[#This Row],[Poste technique]]&amp;"_"&amp;Tableau1[[#This Row],[Plan Entretien]]&amp;".xlsm"</f>
        <v>\\stjn.local\trimet\Btechnique\Commun\BT Maint SCELLEMENT\205 - Préventifs\Gammes 7.MSCT PE Tool\\_.xlsm</v>
      </c>
    </row>
    <row r="441" spans="1:30" x14ac:dyDescent="0.3">
      <c r="A441" s="44" t="str">
        <f t="shared" ca="1" si="6"/>
        <v>7.MSCT</v>
      </c>
      <c r="B4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1" s="46"/>
      <c r="D441" s="44"/>
      <c r="E441" s="44"/>
      <c r="F441" s="47"/>
      <c r="G441" s="47"/>
      <c r="H441" s="50"/>
      <c r="I441" s="50"/>
      <c r="J441" s="50"/>
      <c r="K441" s="50"/>
      <c r="L441" s="46"/>
      <c r="M441" s="47"/>
      <c r="N441" s="46"/>
      <c r="O441" s="46"/>
      <c r="P441" s="47"/>
      <c r="Q441" s="46"/>
      <c r="R441" s="46"/>
      <c r="S441" s="48"/>
      <c r="T441" s="61" t="str">
        <f>IF(Tableau1[[#This Row],[DMS_SAP]]="","",HYPERLINK(Tableau1[[#This Row],[Chemin fichier source]],"X"))</f>
        <v/>
      </c>
      <c r="U441" s="61" t="str">
        <f>IF(Tableau1[[#This Row],[Date rév.]]="","",HYPERLINK(Tableau1[[#This Row],[Lien document]],"X"))</f>
        <v/>
      </c>
      <c r="V441" s="47"/>
      <c r="W441" s="49" t="str">
        <f ca="1">Chemin_accès!$B$2&amp;Tableau1[[#This Row],[Poste Responsable]]&amp;"\"&amp;Tableau1[[#This Row],[Localisation / Classement]]&amp;"\"&amp;Tableau1[[#This Row],[Poste technique]]&amp;"_"&amp;Tableau1[[#This Row],[Plan Entretien]]&amp;".pdf"</f>
        <v>\\stjn.local\trimet\Donnees_Projets\Dms Sap\Maintenance\PlanEntretien\7.MSCT\\_.pdf</v>
      </c>
      <c r="X441" s="47"/>
      <c r="Y441" s="47"/>
      <c r="Z441" s="44" t="str">
        <f ca="1">IF(AND(Tableau1[[#This Row],[Charge]]&lt;&gt;0, Tableau1[[#This Row],[Nombre intervenants]]&lt;&gt;0,Tableau1[[#This Row],[Lien document]]&lt;&gt;0,Tableau1[[#This Row],[DMS_SAP]]&lt;&gt;0)=TRUE,"MIS A JOUR","")</f>
        <v/>
      </c>
      <c r="AA441" s="48"/>
      <c r="AB441" s="58" t="str">
        <f ca="1">IF(Tableau1[[#This Row],[Date rév.]]&lt;&gt;"", DAYS360(Tableau1[[#This Row],[Date rév.]],TODAY()),"")</f>
        <v/>
      </c>
      <c r="AC441" s="47" t="str">
        <f>IFERROR(INDEX(Chemin_accès!$B$11:$C$22,MATCH(Tableau1[[#This Row],[Type]],Chemin_accès!$C$11:$C$22,0),1),Chemin_accès!$B$11)</f>
        <v>\\stjn.local\trimet\Btechnique\Commun\BT Maint SCELLEMENT\205 - Préventifs\Modèles préventif\GammeDMS_7.MSCT.xlsm</v>
      </c>
      <c r="AD441" s="47" t="str">
        <f>Chemin_accès!$B$8&amp;Tableau1[[#This Row],[Localisation / Classement]]&amp;"\"&amp;Tableau1[[#This Row],[Poste technique]]&amp;"_"&amp;Tableau1[[#This Row],[Plan Entretien]]&amp;".xlsm"</f>
        <v>\\stjn.local\trimet\Btechnique\Commun\BT Maint SCELLEMENT\205 - Préventifs\Gammes 7.MSCT PE Tool\\_.xlsm</v>
      </c>
    </row>
    <row r="442" spans="1:30" x14ac:dyDescent="0.3">
      <c r="A442" s="44" t="str">
        <f t="shared" ca="1" si="6"/>
        <v>7.MSCT</v>
      </c>
      <c r="B4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2" s="46"/>
      <c r="D442" s="44"/>
      <c r="E442" s="44"/>
      <c r="F442" s="47"/>
      <c r="G442" s="47"/>
      <c r="H442" s="50"/>
      <c r="I442" s="50"/>
      <c r="J442" s="50"/>
      <c r="K442" s="50"/>
      <c r="L442" s="46"/>
      <c r="M442" s="47"/>
      <c r="N442" s="46"/>
      <c r="O442" s="46"/>
      <c r="P442" s="47"/>
      <c r="Q442" s="46"/>
      <c r="R442" s="46"/>
      <c r="S442" s="48"/>
      <c r="T442" s="61" t="str">
        <f>IF(Tableau1[[#This Row],[DMS_SAP]]="","",HYPERLINK(Tableau1[[#This Row],[Chemin fichier source]],"X"))</f>
        <v/>
      </c>
      <c r="U442" s="61" t="str">
        <f>IF(Tableau1[[#This Row],[Date rév.]]="","",HYPERLINK(Tableau1[[#This Row],[Lien document]],"X"))</f>
        <v/>
      </c>
      <c r="V442" s="47"/>
      <c r="W442" s="49" t="str">
        <f ca="1">Chemin_accès!$B$2&amp;Tableau1[[#This Row],[Poste Responsable]]&amp;"\"&amp;Tableau1[[#This Row],[Localisation / Classement]]&amp;"\"&amp;Tableau1[[#This Row],[Poste technique]]&amp;"_"&amp;Tableau1[[#This Row],[Plan Entretien]]&amp;".pdf"</f>
        <v>\\stjn.local\trimet\Donnees_Projets\Dms Sap\Maintenance\PlanEntretien\7.MSCT\\_.pdf</v>
      </c>
      <c r="X442" s="47"/>
      <c r="Y442" s="47"/>
      <c r="Z442" s="44" t="str">
        <f ca="1">IF(AND(Tableau1[[#This Row],[Charge]]&lt;&gt;0, Tableau1[[#This Row],[Nombre intervenants]]&lt;&gt;0,Tableau1[[#This Row],[Lien document]]&lt;&gt;0,Tableau1[[#This Row],[DMS_SAP]]&lt;&gt;0)=TRUE,"MIS A JOUR","")</f>
        <v/>
      </c>
      <c r="AA442" s="48"/>
      <c r="AB442" s="58" t="str">
        <f ca="1">IF(Tableau1[[#This Row],[Date rév.]]&lt;&gt;"", DAYS360(Tableau1[[#This Row],[Date rév.]],TODAY()),"")</f>
        <v/>
      </c>
      <c r="AC442" s="47" t="str">
        <f>IFERROR(INDEX(Chemin_accès!$B$11:$C$22,MATCH(Tableau1[[#This Row],[Type]],Chemin_accès!$C$11:$C$22,0),1),Chemin_accès!$B$11)</f>
        <v>\\stjn.local\trimet\Btechnique\Commun\BT Maint SCELLEMENT\205 - Préventifs\Modèles préventif\GammeDMS_7.MSCT.xlsm</v>
      </c>
      <c r="AD442" s="47" t="str">
        <f>Chemin_accès!$B$8&amp;Tableau1[[#This Row],[Localisation / Classement]]&amp;"\"&amp;Tableau1[[#This Row],[Poste technique]]&amp;"_"&amp;Tableau1[[#This Row],[Plan Entretien]]&amp;".xlsm"</f>
        <v>\\stjn.local\trimet\Btechnique\Commun\BT Maint SCELLEMENT\205 - Préventifs\Gammes 7.MSCT PE Tool\\_.xlsm</v>
      </c>
    </row>
    <row r="443" spans="1:30" x14ac:dyDescent="0.3">
      <c r="A443" s="44" t="str">
        <f t="shared" ca="1" si="6"/>
        <v>7.MSCT</v>
      </c>
      <c r="B4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3" s="46"/>
      <c r="D443" s="44"/>
      <c r="E443" s="44"/>
      <c r="F443" s="47"/>
      <c r="G443" s="47"/>
      <c r="H443" s="50"/>
      <c r="I443" s="50"/>
      <c r="J443" s="50"/>
      <c r="K443" s="50"/>
      <c r="L443" s="46"/>
      <c r="M443" s="47"/>
      <c r="N443" s="46"/>
      <c r="O443" s="46"/>
      <c r="P443" s="47"/>
      <c r="Q443" s="46"/>
      <c r="R443" s="46"/>
      <c r="S443" s="48"/>
      <c r="T443" s="61" t="str">
        <f>IF(Tableau1[[#This Row],[DMS_SAP]]="","",HYPERLINK(Tableau1[[#This Row],[Chemin fichier source]],"X"))</f>
        <v/>
      </c>
      <c r="U443" s="61" t="str">
        <f>IF(Tableau1[[#This Row],[Date rév.]]="","",HYPERLINK(Tableau1[[#This Row],[Lien document]],"X"))</f>
        <v/>
      </c>
      <c r="V443" s="47"/>
      <c r="W443" s="49" t="str">
        <f ca="1">Chemin_accès!$B$2&amp;Tableau1[[#This Row],[Poste Responsable]]&amp;"\"&amp;Tableau1[[#This Row],[Localisation / Classement]]&amp;"\"&amp;Tableau1[[#This Row],[Poste technique]]&amp;"_"&amp;Tableau1[[#This Row],[Plan Entretien]]&amp;".pdf"</f>
        <v>\\stjn.local\trimet\Donnees_Projets\Dms Sap\Maintenance\PlanEntretien\7.MSCT\\_.pdf</v>
      </c>
      <c r="X443" s="47"/>
      <c r="Y443" s="47"/>
      <c r="Z443" s="44" t="str">
        <f ca="1">IF(AND(Tableau1[[#This Row],[Charge]]&lt;&gt;0, Tableau1[[#This Row],[Nombre intervenants]]&lt;&gt;0,Tableau1[[#This Row],[Lien document]]&lt;&gt;0,Tableau1[[#This Row],[DMS_SAP]]&lt;&gt;0)=TRUE,"MIS A JOUR","")</f>
        <v/>
      </c>
      <c r="AA443" s="48"/>
      <c r="AB443" s="58" t="str">
        <f ca="1">IF(Tableau1[[#This Row],[Date rév.]]&lt;&gt;"", DAYS360(Tableau1[[#This Row],[Date rév.]],TODAY()),"")</f>
        <v/>
      </c>
      <c r="AC443" s="47" t="str">
        <f>IFERROR(INDEX(Chemin_accès!$B$11:$C$22,MATCH(Tableau1[[#This Row],[Type]],Chemin_accès!$C$11:$C$22,0),1),Chemin_accès!$B$11)</f>
        <v>\\stjn.local\trimet\Btechnique\Commun\BT Maint SCELLEMENT\205 - Préventifs\Modèles préventif\GammeDMS_7.MSCT.xlsm</v>
      </c>
      <c r="AD443" s="47" t="str">
        <f>Chemin_accès!$B$8&amp;Tableau1[[#This Row],[Localisation / Classement]]&amp;"\"&amp;Tableau1[[#This Row],[Poste technique]]&amp;"_"&amp;Tableau1[[#This Row],[Plan Entretien]]&amp;".xlsm"</f>
        <v>\\stjn.local\trimet\Btechnique\Commun\BT Maint SCELLEMENT\205 - Préventifs\Gammes 7.MSCT PE Tool\\_.xlsm</v>
      </c>
    </row>
    <row r="444" spans="1:30" x14ac:dyDescent="0.3">
      <c r="A444" s="44" t="str">
        <f t="shared" ca="1" si="6"/>
        <v>7.MSCT</v>
      </c>
      <c r="B4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4" s="46"/>
      <c r="D444" s="44"/>
      <c r="E444" s="44"/>
      <c r="F444" s="47"/>
      <c r="G444" s="47"/>
      <c r="H444" s="50"/>
      <c r="I444" s="50"/>
      <c r="J444" s="50"/>
      <c r="K444" s="50"/>
      <c r="L444" s="46"/>
      <c r="M444" s="47"/>
      <c r="N444" s="46"/>
      <c r="O444" s="46"/>
      <c r="P444" s="47"/>
      <c r="Q444" s="46"/>
      <c r="R444" s="46"/>
      <c r="S444" s="48"/>
      <c r="T444" s="61" t="str">
        <f>IF(Tableau1[[#This Row],[DMS_SAP]]="","",HYPERLINK(Tableau1[[#This Row],[Chemin fichier source]],"X"))</f>
        <v/>
      </c>
      <c r="U444" s="61" t="str">
        <f>IF(Tableau1[[#This Row],[Date rév.]]="","",HYPERLINK(Tableau1[[#This Row],[Lien document]],"X"))</f>
        <v/>
      </c>
      <c r="V444" s="47"/>
      <c r="W444" s="49" t="str">
        <f ca="1">Chemin_accès!$B$2&amp;Tableau1[[#This Row],[Poste Responsable]]&amp;"\"&amp;Tableau1[[#This Row],[Localisation / Classement]]&amp;"\"&amp;Tableau1[[#This Row],[Poste technique]]&amp;"_"&amp;Tableau1[[#This Row],[Plan Entretien]]&amp;".pdf"</f>
        <v>\\stjn.local\trimet\Donnees_Projets\Dms Sap\Maintenance\PlanEntretien\7.MSCT\\_.pdf</v>
      </c>
      <c r="X444" s="47"/>
      <c r="Y444" s="47"/>
      <c r="Z444" s="44" t="str">
        <f ca="1">IF(AND(Tableau1[[#This Row],[Charge]]&lt;&gt;0, Tableau1[[#This Row],[Nombre intervenants]]&lt;&gt;0,Tableau1[[#This Row],[Lien document]]&lt;&gt;0,Tableau1[[#This Row],[DMS_SAP]]&lt;&gt;0)=TRUE,"MIS A JOUR","")</f>
        <v/>
      </c>
      <c r="AA444" s="48"/>
      <c r="AB444" s="58" t="str">
        <f ca="1">IF(Tableau1[[#This Row],[Date rév.]]&lt;&gt;"", DAYS360(Tableau1[[#This Row],[Date rév.]],TODAY()),"")</f>
        <v/>
      </c>
      <c r="AC444" s="47" t="str">
        <f>IFERROR(INDEX(Chemin_accès!$B$11:$C$22,MATCH(Tableau1[[#This Row],[Type]],Chemin_accès!$C$11:$C$22,0),1),Chemin_accès!$B$11)</f>
        <v>\\stjn.local\trimet\Btechnique\Commun\BT Maint SCELLEMENT\205 - Préventifs\Modèles préventif\GammeDMS_7.MSCT.xlsm</v>
      </c>
      <c r="AD444" s="47" t="str">
        <f>Chemin_accès!$B$8&amp;Tableau1[[#This Row],[Localisation / Classement]]&amp;"\"&amp;Tableau1[[#This Row],[Poste technique]]&amp;"_"&amp;Tableau1[[#This Row],[Plan Entretien]]&amp;".xlsm"</f>
        <v>\\stjn.local\trimet\Btechnique\Commun\BT Maint SCELLEMENT\205 - Préventifs\Gammes 7.MSCT PE Tool\\_.xlsm</v>
      </c>
    </row>
    <row r="445" spans="1:30" x14ac:dyDescent="0.3">
      <c r="A445" s="44" t="str">
        <f t="shared" ca="1" si="6"/>
        <v>7.MSCT</v>
      </c>
      <c r="B4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5" s="46"/>
      <c r="D445" s="44"/>
      <c r="E445" s="44"/>
      <c r="F445" s="47"/>
      <c r="G445" s="47"/>
      <c r="H445" s="50"/>
      <c r="I445" s="50"/>
      <c r="J445" s="50"/>
      <c r="K445" s="50"/>
      <c r="L445" s="46"/>
      <c r="M445" s="47"/>
      <c r="N445" s="46"/>
      <c r="O445" s="46"/>
      <c r="P445" s="47"/>
      <c r="Q445" s="46"/>
      <c r="R445" s="46"/>
      <c r="S445" s="48"/>
      <c r="T445" s="61" t="str">
        <f>IF(Tableau1[[#This Row],[DMS_SAP]]="","",HYPERLINK(Tableau1[[#This Row],[Chemin fichier source]],"X"))</f>
        <v/>
      </c>
      <c r="U445" s="61" t="str">
        <f>IF(Tableau1[[#This Row],[Date rév.]]="","",HYPERLINK(Tableau1[[#This Row],[Lien document]],"X"))</f>
        <v/>
      </c>
      <c r="V445" s="47"/>
      <c r="W445" s="49" t="str">
        <f ca="1">Chemin_accès!$B$2&amp;Tableau1[[#This Row],[Poste Responsable]]&amp;"\"&amp;Tableau1[[#This Row],[Localisation / Classement]]&amp;"\"&amp;Tableau1[[#This Row],[Poste technique]]&amp;"_"&amp;Tableau1[[#This Row],[Plan Entretien]]&amp;".pdf"</f>
        <v>\\stjn.local\trimet\Donnees_Projets\Dms Sap\Maintenance\PlanEntretien\7.MSCT\\_.pdf</v>
      </c>
      <c r="X445" s="47"/>
      <c r="Y445" s="47"/>
      <c r="Z445" s="44" t="str">
        <f ca="1">IF(AND(Tableau1[[#This Row],[Charge]]&lt;&gt;0, Tableau1[[#This Row],[Nombre intervenants]]&lt;&gt;0,Tableau1[[#This Row],[Lien document]]&lt;&gt;0,Tableau1[[#This Row],[DMS_SAP]]&lt;&gt;0)=TRUE,"MIS A JOUR","")</f>
        <v/>
      </c>
      <c r="AA445" s="48"/>
      <c r="AB445" s="58" t="str">
        <f ca="1">IF(Tableau1[[#This Row],[Date rév.]]&lt;&gt;"", DAYS360(Tableau1[[#This Row],[Date rév.]],TODAY()),"")</f>
        <v/>
      </c>
      <c r="AC445" s="47" t="str">
        <f>IFERROR(INDEX(Chemin_accès!$B$11:$C$22,MATCH(Tableau1[[#This Row],[Type]],Chemin_accès!$C$11:$C$22,0),1),Chemin_accès!$B$11)</f>
        <v>\\stjn.local\trimet\Btechnique\Commun\BT Maint SCELLEMENT\205 - Préventifs\Modèles préventif\GammeDMS_7.MSCT.xlsm</v>
      </c>
      <c r="AD445" s="47" t="str">
        <f>Chemin_accès!$B$8&amp;Tableau1[[#This Row],[Localisation / Classement]]&amp;"\"&amp;Tableau1[[#This Row],[Poste technique]]&amp;"_"&amp;Tableau1[[#This Row],[Plan Entretien]]&amp;".xlsm"</f>
        <v>\\stjn.local\trimet\Btechnique\Commun\BT Maint SCELLEMENT\205 - Préventifs\Gammes 7.MSCT PE Tool\\_.xlsm</v>
      </c>
    </row>
    <row r="446" spans="1:30" x14ac:dyDescent="0.3">
      <c r="A446" s="44" t="str">
        <f t="shared" ca="1" si="6"/>
        <v>7.MSCT</v>
      </c>
      <c r="B4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6" s="46"/>
      <c r="D446" s="44"/>
      <c r="E446" s="44"/>
      <c r="F446" s="47"/>
      <c r="G446" s="47"/>
      <c r="H446" s="50"/>
      <c r="I446" s="50"/>
      <c r="J446" s="50"/>
      <c r="K446" s="50"/>
      <c r="L446" s="46"/>
      <c r="M446" s="47"/>
      <c r="N446" s="46"/>
      <c r="O446" s="46"/>
      <c r="P446" s="47"/>
      <c r="Q446" s="46"/>
      <c r="R446" s="46"/>
      <c r="S446" s="48"/>
      <c r="T446" s="61" t="str">
        <f>IF(Tableau1[[#This Row],[DMS_SAP]]="","",HYPERLINK(Tableau1[[#This Row],[Chemin fichier source]],"X"))</f>
        <v/>
      </c>
      <c r="U446" s="61" t="str">
        <f>IF(Tableau1[[#This Row],[Date rév.]]="","",HYPERLINK(Tableau1[[#This Row],[Lien document]],"X"))</f>
        <v/>
      </c>
      <c r="V446" s="47"/>
      <c r="W446" s="49" t="str">
        <f ca="1">Chemin_accès!$B$2&amp;Tableau1[[#This Row],[Poste Responsable]]&amp;"\"&amp;Tableau1[[#This Row],[Localisation / Classement]]&amp;"\"&amp;Tableau1[[#This Row],[Poste technique]]&amp;"_"&amp;Tableau1[[#This Row],[Plan Entretien]]&amp;".pdf"</f>
        <v>\\stjn.local\trimet\Donnees_Projets\Dms Sap\Maintenance\PlanEntretien\7.MSCT\\_.pdf</v>
      </c>
      <c r="X446" s="47"/>
      <c r="Y446" s="47"/>
      <c r="Z446" s="44" t="str">
        <f ca="1">IF(AND(Tableau1[[#This Row],[Charge]]&lt;&gt;0, Tableau1[[#This Row],[Nombre intervenants]]&lt;&gt;0,Tableau1[[#This Row],[Lien document]]&lt;&gt;0,Tableau1[[#This Row],[DMS_SAP]]&lt;&gt;0)=TRUE,"MIS A JOUR","")</f>
        <v/>
      </c>
      <c r="AA446" s="48"/>
      <c r="AB446" s="58" t="str">
        <f ca="1">IF(Tableau1[[#This Row],[Date rév.]]&lt;&gt;"", DAYS360(Tableau1[[#This Row],[Date rév.]],TODAY()),"")</f>
        <v/>
      </c>
      <c r="AC446" s="47" t="str">
        <f>IFERROR(INDEX(Chemin_accès!$B$11:$C$22,MATCH(Tableau1[[#This Row],[Type]],Chemin_accès!$C$11:$C$22,0),1),Chemin_accès!$B$11)</f>
        <v>\\stjn.local\trimet\Btechnique\Commun\BT Maint SCELLEMENT\205 - Préventifs\Modèles préventif\GammeDMS_7.MSCT.xlsm</v>
      </c>
      <c r="AD446" s="47" t="str">
        <f>Chemin_accès!$B$8&amp;Tableau1[[#This Row],[Localisation / Classement]]&amp;"\"&amp;Tableau1[[#This Row],[Poste technique]]&amp;"_"&amp;Tableau1[[#This Row],[Plan Entretien]]&amp;".xlsm"</f>
        <v>\\stjn.local\trimet\Btechnique\Commun\BT Maint SCELLEMENT\205 - Préventifs\Gammes 7.MSCT PE Tool\\_.xlsm</v>
      </c>
    </row>
    <row r="447" spans="1:30" x14ac:dyDescent="0.3">
      <c r="A447" s="44" t="str">
        <f t="shared" ca="1" si="6"/>
        <v>7.MSCT</v>
      </c>
      <c r="B4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7" s="46"/>
      <c r="D447" s="44"/>
      <c r="E447" s="44"/>
      <c r="F447" s="47"/>
      <c r="G447" s="47"/>
      <c r="H447" s="50"/>
      <c r="I447" s="50"/>
      <c r="J447" s="50"/>
      <c r="K447" s="50"/>
      <c r="L447" s="46"/>
      <c r="M447" s="47"/>
      <c r="N447" s="46"/>
      <c r="O447" s="46"/>
      <c r="P447" s="47"/>
      <c r="Q447" s="46"/>
      <c r="R447" s="46"/>
      <c r="S447" s="48"/>
      <c r="T447" s="61" t="str">
        <f>IF(Tableau1[[#This Row],[DMS_SAP]]="","",HYPERLINK(Tableau1[[#This Row],[Chemin fichier source]],"X"))</f>
        <v/>
      </c>
      <c r="U447" s="61" t="str">
        <f>IF(Tableau1[[#This Row],[Date rév.]]="","",HYPERLINK(Tableau1[[#This Row],[Lien document]],"X"))</f>
        <v/>
      </c>
      <c r="V447" s="47"/>
      <c r="W447" s="49" t="str">
        <f ca="1">Chemin_accès!$B$2&amp;Tableau1[[#This Row],[Poste Responsable]]&amp;"\"&amp;Tableau1[[#This Row],[Localisation / Classement]]&amp;"\"&amp;Tableau1[[#This Row],[Poste technique]]&amp;"_"&amp;Tableau1[[#This Row],[Plan Entretien]]&amp;".pdf"</f>
        <v>\\stjn.local\trimet\Donnees_Projets\Dms Sap\Maintenance\PlanEntretien\7.MSCT\\_.pdf</v>
      </c>
      <c r="X447" s="47"/>
      <c r="Y447" s="47"/>
      <c r="Z447" s="44" t="str">
        <f ca="1">IF(AND(Tableau1[[#This Row],[Charge]]&lt;&gt;0, Tableau1[[#This Row],[Nombre intervenants]]&lt;&gt;0,Tableau1[[#This Row],[Lien document]]&lt;&gt;0,Tableau1[[#This Row],[DMS_SAP]]&lt;&gt;0)=TRUE,"MIS A JOUR","")</f>
        <v/>
      </c>
      <c r="AA447" s="48"/>
      <c r="AB447" s="58" t="str">
        <f ca="1">IF(Tableau1[[#This Row],[Date rév.]]&lt;&gt;"", DAYS360(Tableau1[[#This Row],[Date rév.]],TODAY()),"")</f>
        <v/>
      </c>
      <c r="AC447" s="47" t="str">
        <f>IFERROR(INDEX(Chemin_accès!$B$11:$C$22,MATCH(Tableau1[[#This Row],[Type]],Chemin_accès!$C$11:$C$22,0),1),Chemin_accès!$B$11)</f>
        <v>\\stjn.local\trimet\Btechnique\Commun\BT Maint SCELLEMENT\205 - Préventifs\Modèles préventif\GammeDMS_7.MSCT.xlsm</v>
      </c>
      <c r="AD447" s="47" t="str">
        <f>Chemin_accès!$B$8&amp;Tableau1[[#This Row],[Localisation / Classement]]&amp;"\"&amp;Tableau1[[#This Row],[Poste technique]]&amp;"_"&amp;Tableau1[[#This Row],[Plan Entretien]]&amp;".xlsm"</f>
        <v>\\stjn.local\trimet\Btechnique\Commun\BT Maint SCELLEMENT\205 - Préventifs\Gammes 7.MSCT PE Tool\\_.xlsm</v>
      </c>
    </row>
    <row r="448" spans="1:30" x14ac:dyDescent="0.3">
      <c r="A448" s="44" t="str">
        <f t="shared" ca="1" si="6"/>
        <v>7.MSCT</v>
      </c>
      <c r="B4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8" s="46"/>
      <c r="D448" s="44"/>
      <c r="E448" s="44"/>
      <c r="F448" s="47"/>
      <c r="G448" s="47"/>
      <c r="H448" s="50"/>
      <c r="I448" s="50"/>
      <c r="J448" s="50"/>
      <c r="K448" s="50"/>
      <c r="L448" s="46"/>
      <c r="M448" s="47"/>
      <c r="N448" s="46"/>
      <c r="O448" s="46"/>
      <c r="P448" s="47"/>
      <c r="Q448" s="46"/>
      <c r="R448" s="46"/>
      <c r="S448" s="48"/>
      <c r="T448" s="61" t="str">
        <f>IF(Tableau1[[#This Row],[DMS_SAP]]="","",HYPERLINK(Tableau1[[#This Row],[Chemin fichier source]],"X"))</f>
        <v/>
      </c>
      <c r="U448" s="61" t="str">
        <f>IF(Tableau1[[#This Row],[Date rév.]]="","",HYPERLINK(Tableau1[[#This Row],[Lien document]],"X"))</f>
        <v/>
      </c>
      <c r="V448" s="47"/>
      <c r="W448" s="49" t="str">
        <f ca="1">Chemin_accès!$B$2&amp;Tableau1[[#This Row],[Poste Responsable]]&amp;"\"&amp;Tableau1[[#This Row],[Localisation / Classement]]&amp;"\"&amp;Tableau1[[#This Row],[Poste technique]]&amp;"_"&amp;Tableau1[[#This Row],[Plan Entretien]]&amp;".pdf"</f>
        <v>\\stjn.local\trimet\Donnees_Projets\Dms Sap\Maintenance\PlanEntretien\7.MSCT\\_.pdf</v>
      </c>
      <c r="X448" s="47"/>
      <c r="Y448" s="47"/>
      <c r="Z448" s="44" t="str">
        <f ca="1">IF(AND(Tableau1[[#This Row],[Charge]]&lt;&gt;0, Tableau1[[#This Row],[Nombre intervenants]]&lt;&gt;0,Tableau1[[#This Row],[Lien document]]&lt;&gt;0,Tableau1[[#This Row],[DMS_SAP]]&lt;&gt;0)=TRUE,"MIS A JOUR","")</f>
        <v/>
      </c>
      <c r="AA448" s="48"/>
      <c r="AB448" s="58" t="str">
        <f ca="1">IF(Tableau1[[#This Row],[Date rév.]]&lt;&gt;"", DAYS360(Tableau1[[#This Row],[Date rév.]],TODAY()),"")</f>
        <v/>
      </c>
      <c r="AC448" s="47" t="str">
        <f>IFERROR(INDEX(Chemin_accès!$B$11:$C$22,MATCH(Tableau1[[#This Row],[Type]],Chemin_accès!$C$11:$C$22,0),1),Chemin_accès!$B$11)</f>
        <v>\\stjn.local\trimet\Btechnique\Commun\BT Maint SCELLEMENT\205 - Préventifs\Modèles préventif\GammeDMS_7.MSCT.xlsm</v>
      </c>
      <c r="AD448" s="47" t="str">
        <f>Chemin_accès!$B$8&amp;Tableau1[[#This Row],[Localisation / Classement]]&amp;"\"&amp;Tableau1[[#This Row],[Poste technique]]&amp;"_"&amp;Tableau1[[#This Row],[Plan Entretien]]&amp;".xlsm"</f>
        <v>\\stjn.local\trimet\Btechnique\Commun\BT Maint SCELLEMENT\205 - Préventifs\Gammes 7.MSCT PE Tool\\_.xlsm</v>
      </c>
    </row>
    <row r="449" spans="1:30" x14ac:dyDescent="0.3">
      <c r="A449" s="44" t="str">
        <f t="shared" ca="1" si="6"/>
        <v>7.MSCT</v>
      </c>
      <c r="B4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49" s="46"/>
      <c r="D449" s="44"/>
      <c r="E449" s="44"/>
      <c r="F449" s="47"/>
      <c r="G449" s="47"/>
      <c r="H449" s="50"/>
      <c r="I449" s="50"/>
      <c r="J449" s="50"/>
      <c r="K449" s="50"/>
      <c r="L449" s="46"/>
      <c r="M449" s="47"/>
      <c r="N449" s="46"/>
      <c r="O449" s="46"/>
      <c r="P449" s="47"/>
      <c r="Q449" s="46"/>
      <c r="R449" s="46"/>
      <c r="S449" s="48"/>
      <c r="T449" s="61" t="str">
        <f>IF(Tableau1[[#This Row],[DMS_SAP]]="","",HYPERLINK(Tableau1[[#This Row],[Chemin fichier source]],"X"))</f>
        <v/>
      </c>
      <c r="U449" s="61" t="str">
        <f>IF(Tableau1[[#This Row],[Date rév.]]="","",HYPERLINK(Tableau1[[#This Row],[Lien document]],"X"))</f>
        <v/>
      </c>
      <c r="V449" s="47"/>
      <c r="W449" s="49" t="str">
        <f ca="1">Chemin_accès!$B$2&amp;Tableau1[[#This Row],[Poste Responsable]]&amp;"\"&amp;Tableau1[[#This Row],[Localisation / Classement]]&amp;"\"&amp;Tableau1[[#This Row],[Poste technique]]&amp;"_"&amp;Tableau1[[#This Row],[Plan Entretien]]&amp;".pdf"</f>
        <v>\\stjn.local\trimet\Donnees_Projets\Dms Sap\Maintenance\PlanEntretien\7.MSCT\\_.pdf</v>
      </c>
      <c r="X449" s="47"/>
      <c r="Y449" s="47"/>
      <c r="Z449" s="44" t="str">
        <f ca="1">IF(AND(Tableau1[[#This Row],[Charge]]&lt;&gt;0, Tableau1[[#This Row],[Nombre intervenants]]&lt;&gt;0,Tableau1[[#This Row],[Lien document]]&lt;&gt;0,Tableau1[[#This Row],[DMS_SAP]]&lt;&gt;0)=TRUE,"MIS A JOUR","")</f>
        <v/>
      </c>
      <c r="AA449" s="48"/>
      <c r="AB449" s="58" t="str">
        <f ca="1">IF(Tableau1[[#This Row],[Date rév.]]&lt;&gt;"", DAYS360(Tableau1[[#This Row],[Date rév.]],TODAY()),"")</f>
        <v/>
      </c>
      <c r="AC449" s="47" t="str">
        <f>IFERROR(INDEX(Chemin_accès!$B$11:$C$22,MATCH(Tableau1[[#This Row],[Type]],Chemin_accès!$C$11:$C$22,0),1),Chemin_accès!$B$11)</f>
        <v>\\stjn.local\trimet\Btechnique\Commun\BT Maint SCELLEMENT\205 - Préventifs\Modèles préventif\GammeDMS_7.MSCT.xlsm</v>
      </c>
      <c r="AD449" s="47" t="str">
        <f>Chemin_accès!$B$8&amp;Tableau1[[#This Row],[Localisation / Classement]]&amp;"\"&amp;Tableau1[[#This Row],[Poste technique]]&amp;"_"&amp;Tableau1[[#This Row],[Plan Entretien]]&amp;".xlsm"</f>
        <v>\\stjn.local\trimet\Btechnique\Commun\BT Maint SCELLEMENT\205 - Préventifs\Gammes 7.MSCT PE Tool\\_.xlsm</v>
      </c>
    </row>
    <row r="450" spans="1:30" x14ac:dyDescent="0.3">
      <c r="A450" s="44" t="str">
        <f t="shared" ref="A450:A513" ca="1" si="7">MID(CELL("filename",$A$1),FIND("]",CELL("filename",$A$1))+1,32)</f>
        <v>7.MSCT</v>
      </c>
      <c r="B4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0" s="46"/>
      <c r="D450" s="44"/>
      <c r="E450" s="44"/>
      <c r="F450" s="47"/>
      <c r="G450" s="47"/>
      <c r="H450" s="50"/>
      <c r="I450" s="50"/>
      <c r="J450" s="50"/>
      <c r="K450" s="50"/>
      <c r="L450" s="46"/>
      <c r="M450" s="47"/>
      <c r="N450" s="46"/>
      <c r="O450" s="46"/>
      <c r="P450" s="47"/>
      <c r="Q450" s="46"/>
      <c r="R450" s="46"/>
      <c r="S450" s="48"/>
      <c r="T450" s="61" t="str">
        <f>IF(Tableau1[[#This Row],[DMS_SAP]]="","",HYPERLINK(Tableau1[[#This Row],[Chemin fichier source]],"X"))</f>
        <v/>
      </c>
      <c r="U450" s="61" t="str">
        <f>IF(Tableau1[[#This Row],[Date rév.]]="","",HYPERLINK(Tableau1[[#This Row],[Lien document]],"X"))</f>
        <v/>
      </c>
      <c r="V450" s="47"/>
      <c r="W450" s="49" t="str">
        <f ca="1">Chemin_accès!$B$2&amp;Tableau1[[#This Row],[Poste Responsable]]&amp;"\"&amp;Tableau1[[#This Row],[Localisation / Classement]]&amp;"\"&amp;Tableau1[[#This Row],[Poste technique]]&amp;"_"&amp;Tableau1[[#This Row],[Plan Entretien]]&amp;".pdf"</f>
        <v>\\stjn.local\trimet\Donnees_Projets\Dms Sap\Maintenance\PlanEntretien\7.MSCT\\_.pdf</v>
      </c>
      <c r="X450" s="47"/>
      <c r="Y450" s="47"/>
      <c r="Z450" s="44" t="str">
        <f ca="1">IF(AND(Tableau1[[#This Row],[Charge]]&lt;&gt;0, Tableau1[[#This Row],[Nombre intervenants]]&lt;&gt;0,Tableau1[[#This Row],[Lien document]]&lt;&gt;0,Tableau1[[#This Row],[DMS_SAP]]&lt;&gt;0)=TRUE,"MIS A JOUR","")</f>
        <v/>
      </c>
      <c r="AA450" s="48"/>
      <c r="AB450" s="58" t="str">
        <f ca="1">IF(Tableau1[[#This Row],[Date rév.]]&lt;&gt;"", DAYS360(Tableau1[[#This Row],[Date rév.]],TODAY()),"")</f>
        <v/>
      </c>
      <c r="AC450" s="47" t="str">
        <f>IFERROR(INDEX(Chemin_accès!$B$11:$C$22,MATCH(Tableau1[[#This Row],[Type]],Chemin_accès!$C$11:$C$22,0),1),Chemin_accès!$B$11)</f>
        <v>\\stjn.local\trimet\Btechnique\Commun\BT Maint SCELLEMENT\205 - Préventifs\Modèles préventif\GammeDMS_7.MSCT.xlsm</v>
      </c>
      <c r="AD450" s="47" t="str">
        <f>Chemin_accès!$B$8&amp;Tableau1[[#This Row],[Localisation / Classement]]&amp;"\"&amp;Tableau1[[#This Row],[Poste technique]]&amp;"_"&amp;Tableau1[[#This Row],[Plan Entretien]]&amp;".xlsm"</f>
        <v>\\stjn.local\trimet\Btechnique\Commun\BT Maint SCELLEMENT\205 - Préventifs\Gammes 7.MSCT PE Tool\\_.xlsm</v>
      </c>
    </row>
    <row r="451" spans="1:30" x14ac:dyDescent="0.3">
      <c r="A451" s="44" t="str">
        <f t="shared" ca="1" si="7"/>
        <v>7.MSCT</v>
      </c>
      <c r="B4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1" s="46"/>
      <c r="D451" s="44"/>
      <c r="E451" s="44"/>
      <c r="F451" s="47"/>
      <c r="G451" s="47"/>
      <c r="H451" s="50"/>
      <c r="I451" s="50"/>
      <c r="J451" s="50"/>
      <c r="K451" s="50"/>
      <c r="L451" s="46"/>
      <c r="M451" s="47"/>
      <c r="N451" s="46"/>
      <c r="O451" s="46"/>
      <c r="P451" s="47"/>
      <c r="Q451" s="46"/>
      <c r="R451" s="46"/>
      <c r="S451" s="48"/>
      <c r="T451" s="61" t="str">
        <f>IF(Tableau1[[#This Row],[DMS_SAP]]="","",HYPERLINK(Tableau1[[#This Row],[Chemin fichier source]],"X"))</f>
        <v/>
      </c>
      <c r="U451" s="61" t="str">
        <f>IF(Tableau1[[#This Row],[Date rév.]]="","",HYPERLINK(Tableau1[[#This Row],[Lien document]],"X"))</f>
        <v/>
      </c>
      <c r="V451" s="47"/>
      <c r="W451" s="49" t="str">
        <f ca="1">Chemin_accès!$B$2&amp;Tableau1[[#This Row],[Poste Responsable]]&amp;"\"&amp;Tableau1[[#This Row],[Localisation / Classement]]&amp;"\"&amp;Tableau1[[#This Row],[Poste technique]]&amp;"_"&amp;Tableau1[[#This Row],[Plan Entretien]]&amp;".pdf"</f>
        <v>\\stjn.local\trimet\Donnees_Projets\Dms Sap\Maintenance\PlanEntretien\7.MSCT\\_.pdf</v>
      </c>
      <c r="X451" s="47"/>
      <c r="Y451" s="47"/>
      <c r="Z451" s="44" t="str">
        <f ca="1">IF(AND(Tableau1[[#This Row],[Charge]]&lt;&gt;0, Tableau1[[#This Row],[Nombre intervenants]]&lt;&gt;0,Tableau1[[#This Row],[Lien document]]&lt;&gt;0,Tableau1[[#This Row],[DMS_SAP]]&lt;&gt;0)=TRUE,"MIS A JOUR","")</f>
        <v/>
      </c>
      <c r="AA451" s="48"/>
      <c r="AB451" s="58" t="str">
        <f ca="1">IF(Tableau1[[#This Row],[Date rév.]]&lt;&gt;"", DAYS360(Tableau1[[#This Row],[Date rév.]],TODAY()),"")</f>
        <v/>
      </c>
      <c r="AC451" s="47" t="str">
        <f>IFERROR(INDEX(Chemin_accès!$B$11:$C$22,MATCH(Tableau1[[#This Row],[Type]],Chemin_accès!$C$11:$C$22,0),1),Chemin_accès!$B$11)</f>
        <v>\\stjn.local\trimet\Btechnique\Commun\BT Maint SCELLEMENT\205 - Préventifs\Modèles préventif\GammeDMS_7.MSCT.xlsm</v>
      </c>
      <c r="AD451" s="47" t="str">
        <f>Chemin_accès!$B$8&amp;Tableau1[[#This Row],[Localisation / Classement]]&amp;"\"&amp;Tableau1[[#This Row],[Poste technique]]&amp;"_"&amp;Tableau1[[#This Row],[Plan Entretien]]&amp;".xlsm"</f>
        <v>\\stjn.local\trimet\Btechnique\Commun\BT Maint SCELLEMENT\205 - Préventifs\Gammes 7.MSCT PE Tool\\_.xlsm</v>
      </c>
    </row>
    <row r="452" spans="1:30" x14ac:dyDescent="0.3">
      <c r="A452" s="44" t="str">
        <f t="shared" ca="1" si="7"/>
        <v>7.MSCT</v>
      </c>
      <c r="B4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2" s="46"/>
      <c r="D452" s="44"/>
      <c r="E452" s="44"/>
      <c r="F452" s="47"/>
      <c r="G452" s="47"/>
      <c r="H452" s="50"/>
      <c r="I452" s="50"/>
      <c r="J452" s="50"/>
      <c r="K452" s="50"/>
      <c r="L452" s="46"/>
      <c r="M452" s="47"/>
      <c r="N452" s="46"/>
      <c r="O452" s="46"/>
      <c r="P452" s="47"/>
      <c r="Q452" s="46"/>
      <c r="R452" s="46"/>
      <c r="S452" s="48"/>
      <c r="T452" s="61" t="str">
        <f>IF(Tableau1[[#This Row],[DMS_SAP]]="","",HYPERLINK(Tableau1[[#This Row],[Chemin fichier source]],"X"))</f>
        <v/>
      </c>
      <c r="U452" s="61" t="str">
        <f>IF(Tableau1[[#This Row],[Date rév.]]="","",HYPERLINK(Tableau1[[#This Row],[Lien document]],"X"))</f>
        <v/>
      </c>
      <c r="V452" s="47"/>
      <c r="W452" s="49" t="str">
        <f ca="1">Chemin_accès!$B$2&amp;Tableau1[[#This Row],[Poste Responsable]]&amp;"\"&amp;Tableau1[[#This Row],[Localisation / Classement]]&amp;"\"&amp;Tableau1[[#This Row],[Poste technique]]&amp;"_"&amp;Tableau1[[#This Row],[Plan Entretien]]&amp;".pdf"</f>
        <v>\\stjn.local\trimet\Donnees_Projets\Dms Sap\Maintenance\PlanEntretien\7.MSCT\\_.pdf</v>
      </c>
      <c r="X452" s="47"/>
      <c r="Y452" s="47"/>
      <c r="Z452" s="44" t="str">
        <f ca="1">IF(AND(Tableau1[[#This Row],[Charge]]&lt;&gt;0, Tableau1[[#This Row],[Nombre intervenants]]&lt;&gt;0,Tableau1[[#This Row],[Lien document]]&lt;&gt;0,Tableau1[[#This Row],[DMS_SAP]]&lt;&gt;0)=TRUE,"MIS A JOUR","")</f>
        <v/>
      </c>
      <c r="AA452" s="48"/>
      <c r="AB452" s="58" t="str">
        <f ca="1">IF(Tableau1[[#This Row],[Date rév.]]&lt;&gt;"", DAYS360(Tableau1[[#This Row],[Date rév.]],TODAY()),"")</f>
        <v/>
      </c>
      <c r="AC452" s="47" t="str">
        <f>IFERROR(INDEX(Chemin_accès!$B$11:$C$22,MATCH(Tableau1[[#This Row],[Type]],Chemin_accès!$C$11:$C$22,0),1),Chemin_accès!$B$11)</f>
        <v>\\stjn.local\trimet\Btechnique\Commun\BT Maint SCELLEMENT\205 - Préventifs\Modèles préventif\GammeDMS_7.MSCT.xlsm</v>
      </c>
      <c r="AD452" s="47" t="str">
        <f>Chemin_accès!$B$8&amp;Tableau1[[#This Row],[Localisation / Classement]]&amp;"\"&amp;Tableau1[[#This Row],[Poste technique]]&amp;"_"&amp;Tableau1[[#This Row],[Plan Entretien]]&amp;".xlsm"</f>
        <v>\\stjn.local\trimet\Btechnique\Commun\BT Maint SCELLEMENT\205 - Préventifs\Gammes 7.MSCT PE Tool\\_.xlsm</v>
      </c>
    </row>
    <row r="453" spans="1:30" x14ac:dyDescent="0.3">
      <c r="A453" s="44" t="str">
        <f t="shared" ca="1" si="7"/>
        <v>7.MSCT</v>
      </c>
      <c r="B4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3" s="46"/>
      <c r="D453" s="44"/>
      <c r="E453" s="44"/>
      <c r="F453" s="64"/>
      <c r="G453" s="64"/>
      <c r="H453" s="66"/>
      <c r="I453" s="66"/>
      <c r="J453" s="66"/>
      <c r="K453" s="66"/>
      <c r="L453" s="65"/>
      <c r="M453" s="64"/>
      <c r="N453" s="65"/>
      <c r="O453" s="65"/>
      <c r="P453" s="64"/>
      <c r="Q453" s="65"/>
      <c r="R453" s="46"/>
      <c r="S453" s="48"/>
      <c r="T453" s="61" t="str">
        <f>IF(Tableau1[[#This Row],[DMS_SAP]]="","",HYPERLINK(Tableau1[[#This Row],[Chemin fichier source]],"X"))</f>
        <v/>
      </c>
      <c r="U453" s="61" t="str">
        <f>IF(Tableau1[[#This Row],[Date rév.]]="","",HYPERLINK(Tableau1[[#This Row],[Lien document]],"X"))</f>
        <v/>
      </c>
      <c r="V453" s="47"/>
      <c r="W453" s="49" t="str">
        <f ca="1">Chemin_accès!$B$2&amp;Tableau1[[#This Row],[Poste Responsable]]&amp;"\"&amp;Tableau1[[#This Row],[Localisation / Classement]]&amp;"\"&amp;Tableau1[[#This Row],[Poste technique]]&amp;"_"&amp;Tableau1[[#This Row],[Plan Entretien]]&amp;".pdf"</f>
        <v>\\stjn.local\trimet\Donnees_Projets\Dms Sap\Maintenance\PlanEntretien\7.MSCT\\_.pdf</v>
      </c>
      <c r="X453" s="47"/>
      <c r="Y453" s="47"/>
      <c r="Z453" s="44" t="str">
        <f ca="1">IF(AND(Tableau1[[#This Row],[Charge]]&lt;&gt;0, Tableau1[[#This Row],[Nombre intervenants]]&lt;&gt;0,Tableau1[[#This Row],[Lien document]]&lt;&gt;0,Tableau1[[#This Row],[DMS_SAP]]&lt;&gt;0)=TRUE,"MIS A JOUR","")</f>
        <v/>
      </c>
      <c r="AA453" s="48"/>
      <c r="AB453" s="58" t="str">
        <f ca="1">IF(Tableau1[[#This Row],[Date rév.]]&lt;&gt;"", DAYS360(Tableau1[[#This Row],[Date rév.]],TODAY()),"")</f>
        <v/>
      </c>
      <c r="AC453" s="47" t="str">
        <f>IFERROR(INDEX(Chemin_accès!$B$11:$C$22,MATCH(Tableau1[[#This Row],[Type]],Chemin_accès!$C$11:$C$22,0),1),Chemin_accès!$B$11)</f>
        <v>\\stjn.local\trimet\Btechnique\Commun\BT Maint SCELLEMENT\205 - Préventifs\Modèles préventif\GammeDMS_7.MSCT.xlsm</v>
      </c>
      <c r="AD453" s="47" t="str">
        <f>Chemin_accès!$B$8&amp;Tableau1[[#This Row],[Localisation / Classement]]&amp;"\"&amp;Tableau1[[#This Row],[Poste technique]]&amp;"_"&amp;Tableau1[[#This Row],[Plan Entretien]]&amp;".xlsm"</f>
        <v>\\stjn.local\trimet\Btechnique\Commun\BT Maint SCELLEMENT\205 - Préventifs\Gammes 7.MSCT PE Tool\\_.xlsm</v>
      </c>
    </row>
    <row r="454" spans="1:30" x14ac:dyDescent="0.3">
      <c r="A454" s="44" t="str">
        <f t="shared" ca="1" si="7"/>
        <v>7.MSCT</v>
      </c>
      <c r="B4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4" s="46"/>
      <c r="D454" s="44"/>
      <c r="E454" s="44"/>
      <c r="F454" s="64"/>
      <c r="G454" s="64"/>
      <c r="H454" s="66"/>
      <c r="I454" s="66"/>
      <c r="J454" s="66"/>
      <c r="K454" s="66"/>
      <c r="L454" s="65"/>
      <c r="M454" s="64"/>
      <c r="N454" s="65"/>
      <c r="O454" s="65"/>
      <c r="P454" s="64"/>
      <c r="Q454" s="65"/>
      <c r="R454" s="46"/>
      <c r="S454" s="48"/>
      <c r="T454" s="61" t="str">
        <f>IF(Tableau1[[#This Row],[DMS_SAP]]="","",HYPERLINK(Tableau1[[#This Row],[Chemin fichier source]],"X"))</f>
        <v/>
      </c>
      <c r="U454" s="61" t="str">
        <f>IF(Tableau1[[#This Row],[Date rév.]]="","",HYPERLINK(Tableau1[[#This Row],[Lien document]],"X"))</f>
        <v/>
      </c>
      <c r="V454" s="47"/>
      <c r="W454" s="49" t="str">
        <f ca="1">Chemin_accès!$B$2&amp;Tableau1[[#This Row],[Poste Responsable]]&amp;"\"&amp;Tableau1[[#This Row],[Localisation / Classement]]&amp;"\"&amp;Tableau1[[#This Row],[Poste technique]]&amp;"_"&amp;Tableau1[[#This Row],[Plan Entretien]]&amp;".pdf"</f>
        <v>\\stjn.local\trimet\Donnees_Projets\Dms Sap\Maintenance\PlanEntretien\7.MSCT\\_.pdf</v>
      </c>
      <c r="X454" s="47"/>
      <c r="Y454" s="47"/>
      <c r="Z454" s="44" t="str">
        <f ca="1">IF(AND(Tableau1[[#This Row],[Charge]]&lt;&gt;0, Tableau1[[#This Row],[Nombre intervenants]]&lt;&gt;0,Tableau1[[#This Row],[Lien document]]&lt;&gt;0,Tableau1[[#This Row],[DMS_SAP]]&lt;&gt;0)=TRUE,"MIS A JOUR","")</f>
        <v/>
      </c>
      <c r="AA454" s="48"/>
      <c r="AB454" s="58" t="str">
        <f ca="1">IF(Tableau1[[#This Row],[Date rév.]]&lt;&gt;"", DAYS360(Tableau1[[#This Row],[Date rév.]],TODAY()),"")</f>
        <v/>
      </c>
      <c r="AC454" s="47" t="str">
        <f>IFERROR(INDEX(Chemin_accès!$B$11:$C$22,MATCH(Tableau1[[#This Row],[Type]],Chemin_accès!$C$11:$C$22,0),1),Chemin_accès!$B$11)</f>
        <v>\\stjn.local\trimet\Btechnique\Commun\BT Maint SCELLEMENT\205 - Préventifs\Modèles préventif\GammeDMS_7.MSCT.xlsm</v>
      </c>
      <c r="AD454" s="47" t="str">
        <f>Chemin_accès!$B$8&amp;Tableau1[[#This Row],[Localisation / Classement]]&amp;"\"&amp;Tableau1[[#This Row],[Poste technique]]&amp;"_"&amp;Tableau1[[#This Row],[Plan Entretien]]&amp;".xlsm"</f>
        <v>\\stjn.local\trimet\Btechnique\Commun\BT Maint SCELLEMENT\205 - Préventifs\Gammes 7.MSCT PE Tool\\_.xlsm</v>
      </c>
    </row>
    <row r="455" spans="1:30" x14ac:dyDescent="0.3">
      <c r="A455" s="44" t="str">
        <f t="shared" ca="1" si="7"/>
        <v>7.MSCT</v>
      </c>
      <c r="B4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5" s="46"/>
      <c r="D455" s="44"/>
      <c r="E455" s="44"/>
      <c r="F455" s="64"/>
      <c r="G455" s="64"/>
      <c r="H455" s="66"/>
      <c r="I455" s="66"/>
      <c r="J455" s="66"/>
      <c r="K455" s="66"/>
      <c r="L455" s="65"/>
      <c r="M455" s="64"/>
      <c r="N455" s="65"/>
      <c r="O455" s="65"/>
      <c r="P455" s="64"/>
      <c r="Q455" s="65"/>
      <c r="R455" s="46"/>
      <c r="S455" s="48"/>
      <c r="T455" s="61" t="str">
        <f>IF(Tableau1[[#This Row],[DMS_SAP]]="","",HYPERLINK(Tableau1[[#This Row],[Chemin fichier source]],"X"))</f>
        <v/>
      </c>
      <c r="U455" s="61" t="str">
        <f>IF(Tableau1[[#This Row],[Date rév.]]="","",HYPERLINK(Tableau1[[#This Row],[Lien document]],"X"))</f>
        <v/>
      </c>
      <c r="V455" s="47"/>
      <c r="W455" s="49" t="str">
        <f ca="1">Chemin_accès!$B$2&amp;Tableau1[[#This Row],[Poste Responsable]]&amp;"\"&amp;Tableau1[[#This Row],[Localisation / Classement]]&amp;"\"&amp;Tableau1[[#This Row],[Poste technique]]&amp;"_"&amp;Tableau1[[#This Row],[Plan Entretien]]&amp;".pdf"</f>
        <v>\\stjn.local\trimet\Donnees_Projets\Dms Sap\Maintenance\PlanEntretien\7.MSCT\\_.pdf</v>
      </c>
      <c r="X455" s="47"/>
      <c r="Y455" s="47"/>
      <c r="Z455" s="44" t="str">
        <f ca="1">IF(AND(Tableau1[[#This Row],[Charge]]&lt;&gt;0, Tableau1[[#This Row],[Nombre intervenants]]&lt;&gt;0,Tableau1[[#This Row],[Lien document]]&lt;&gt;0,Tableau1[[#This Row],[DMS_SAP]]&lt;&gt;0)=TRUE,"MIS A JOUR","")</f>
        <v/>
      </c>
      <c r="AA455" s="48"/>
      <c r="AB455" s="58" t="str">
        <f ca="1">IF(Tableau1[[#This Row],[Date rév.]]&lt;&gt;"", DAYS360(Tableau1[[#This Row],[Date rév.]],TODAY()),"")</f>
        <v/>
      </c>
      <c r="AC455" s="47" t="str">
        <f>IFERROR(INDEX(Chemin_accès!$B$11:$C$22,MATCH(Tableau1[[#This Row],[Type]],Chemin_accès!$C$11:$C$22,0),1),Chemin_accès!$B$11)</f>
        <v>\\stjn.local\trimet\Btechnique\Commun\BT Maint SCELLEMENT\205 - Préventifs\Modèles préventif\GammeDMS_7.MSCT.xlsm</v>
      </c>
      <c r="AD455" s="47" t="str">
        <f>Chemin_accès!$B$8&amp;Tableau1[[#This Row],[Localisation / Classement]]&amp;"\"&amp;Tableau1[[#This Row],[Poste technique]]&amp;"_"&amp;Tableau1[[#This Row],[Plan Entretien]]&amp;".xlsm"</f>
        <v>\\stjn.local\trimet\Btechnique\Commun\BT Maint SCELLEMENT\205 - Préventifs\Gammes 7.MSCT PE Tool\\_.xlsm</v>
      </c>
    </row>
    <row r="456" spans="1:30" x14ac:dyDescent="0.3">
      <c r="A456" s="44" t="str">
        <f t="shared" ca="1" si="7"/>
        <v>7.MSCT</v>
      </c>
      <c r="B4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6" s="46"/>
      <c r="D456" s="44"/>
      <c r="E456" s="44"/>
      <c r="F456" s="64"/>
      <c r="G456" s="64"/>
      <c r="H456" s="66"/>
      <c r="I456" s="66"/>
      <c r="J456" s="66"/>
      <c r="K456" s="66"/>
      <c r="L456" s="65"/>
      <c r="M456" s="64"/>
      <c r="N456" s="65"/>
      <c r="O456" s="65"/>
      <c r="P456" s="64"/>
      <c r="Q456" s="65"/>
      <c r="R456" s="46"/>
      <c r="S456" s="48"/>
      <c r="T456" s="61" t="str">
        <f>IF(Tableau1[[#This Row],[DMS_SAP]]="","",HYPERLINK(Tableau1[[#This Row],[Chemin fichier source]],"X"))</f>
        <v/>
      </c>
      <c r="U456" s="61" t="str">
        <f>IF(Tableau1[[#This Row],[Date rév.]]="","",HYPERLINK(Tableau1[[#This Row],[Lien document]],"X"))</f>
        <v/>
      </c>
      <c r="V456" s="47"/>
      <c r="W456" s="49" t="str">
        <f ca="1">Chemin_accès!$B$2&amp;Tableau1[[#This Row],[Poste Responsable]]&amp;"\"&amp;Tableau1[[#This Row],[Localisation / Classement]]&amp;"\"&amp;Tableau1[[#This Row],[Poste technique]]&amp;"_"&amp;Tableau1[[#This Row],[Plan Entretien]]&amp;".pdf"</f>
        <v>\\stjn.local\trimet\Donnees_Projets\Dms Sap\Maintenance\PlanEntretien\7.MSCT\\_.pdf</v>
      </c>
      <c r="X456" s="47"/>
      <c r="Y456" s="47"/>
      <c r="Z456" s="44" t="str">
        <f ca="1">IF(AND(Tableau1[[#This Row],[Charge]]&lt;&gt;0, Tableau1[[#This Row],[Nombre intervenants]]&lt;&gt;0,Tableau1[[#This Row],[Lien document]]&lt;&gt;0,Tableau1[[#This Row],[DMS_SAP]]&lt;&gt;0)=TRUE,"MIS A JOUR","")</f>
        <v/>
      </c>
      <c r="AA456" s="48"/>
      <c r="AB456" s="58" t="str">
        <f ca="1">IF(Tableau1[[#This Row],[Date rév.]]&lt;&gt;"", DAYS360(Tableau1[[#This Row],[Date rév.]],TODAY()),"")</f>
        <v/>
      </c>
      <c r="AC456" s="47" t="str">
        <f>IFERROR(INDEX(Chemin_accès!$B$11:$C$22,MATCH(Tableau1[[#This Row],[Type]],Chemin_accès!$C$11:$C$22,0),1),Chemin_accès!$B$11)</f>
        <v>\\stjn.local\trimet\Btechnique\Commun\BT Maint SCELLEMENT\205 - Préventifs\Modèles préventif\GammeDMS_7.MSCT.xlsm</v>
      </c>
      <c r="AD456" s="47" t="str">
        <f>Chemin_accès!$B$8&amp;Tableau1[[#This Row],[Localisation / Classement]]&amp;"\"&amp;Tableau1[[#This Row],[Poste technique]]&amp;"_"&amp;Tableau1[[#This Row],[Plan Entretien]]&amp;".xlsm"</f>
        <v>\\stjn.local\trimet\Btechnique\Commun\BT Maint SCELLEMENT\205 - Préventifs\Gammes 7.MSCT PE Tool\\_.xlsm</v>
      </c>
    </row>
    <row r="457" spans="1:30" x14ac:dyDescent="0.3">
      <c r="A457" s="44" t="str">
        <f t="shared" ca="1" si="7"/>
        <v>7.MSCT</v>
      </c>
      <c r="B4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7" s="46"/>
      <c r="D457" s="44"/>
      <c r="E457" s="44"/>
      <c r="F457" s="64"/>
      <c r="G457" s="64"/>
      <c r="H457" s="66"/>
      <c r="I457" s="66"/>
      <c r="J457" s="66"/>
      <c r="K457" s="66"/>
      <c r="L457" s="65"/>
      <c r="M457" s="64"/>
      <c r="N457" s="65"/>
      <c r="O457" s="65"/>
      <c r="P457" s="64"/>
      <c r="Q457" s="65"/>
      <c r="R457" s="46"/>
      <c r="S457" s="48"/>
      <c r="T457" s="61" t="str">
        <f>IF(Tableau1[[#This Row],[DMS_SAP]]="","",HYPERLINK(Tableau1[[#This Row],[Chemin fichier source]],"X"))</f>
        <v/>
      </c>
      <c r="U457" s="61" t="str">
        <f>IF(Tableau1[[#This Row],[Date rév.]]="","",HYPERLINK(Tableau1[[#This Row],[Lien document]],"X"))</f>
        <v/>
      </c>
      <c r="V457" s="47"/>
      <c r="W457" s="49" t="str">
        <f ca="1">Chemin_accès!$B$2&amp;Tableau1[[#This Row],[Poste Responsable]]&amp;"\"&amp;Tableau1[[#This Row],[Localisation / Classement]]&amp;"\"&amp;Tableau1[[#This Row],[Poste technique]]&amp;"_"&amp;Tableau1[[#This Row],[Plan Entretien]]&amp;".pdf"</f>
        <v>\\stjn.local\trimet\Donnees_Projets\Dms Sap\Maintenance\PlanEntretien\7.MSCT\\_.pdf</v>
      </c>
      <c r="X457" s="47"/>
      <c r="Y457" s="47"/>
      <c r="Z457" s="44" t="str">
        <f ca="1">IF(AND(Tableau1[[#This Row],[Charge]]&lt;&gt;0, Tableau1[[#This Row],[Nombre intervenants]]&lt;&gt;0,Tableau1[[#This Row],[Lien document]]&lt;&gt;0,Tableau1[[#This Row],[DMS_SAP]]&lt;&gt;0)=TRUE,"MIS A JOUR","")</f>
        <v/>
      </c>
      <c r="AA457" s="48"/>
      <c r="AB457" s="58" t="str">
        <f ca="1">IF(Tableau1[[#This Row],[Date rév.]]&lt;&gt;"", DAYS360(Tableau1[[#This Row],[Date rév.]],TODAY()),"")</f>
        <v/>
      </c>
      <c r="AC457" s="47" t="str">
        <f>IFERROR(INDEX(Chemin_accès!$B$11:$C$22,MATCH(Tableau1[[#This Row],[Type]],Chemin_accès!$C$11:$C$22,0),1),Chemin_accès!$B$11)</f>
        <v>\\stjn.local\trimet\Btechnique\Commun\BT Maint SCELLEMENT\205 - Préventifs\Modèles préventif\GammeDMS_7.MSCT.xlsm</v>
      </c>
      <c r="AD457" s="47" t="str">
        <f>Chemin_accès!$B$8&amp;Tableau1[[#This Row],[Localisation / Classement]]&amp;"\"&amp;Tableau1[[#This Row],[Poste technique]]&amp;"_"&amp;Tableau1[[#This Row],[Plan Entretien]]&amp;".xlsm"</f>
        <v>\\stjn.local\trimet\Btechnique\Commun\BT Maint SCELLEMENT\205 - Préventifs\Gammes 7.MSCT PE Tool\\_.xlsm</v>
      </c>
    </row>
    <row r="458" spans="1:30" x14ac:dyDescent="0.3">
      <c r="A458" s="44" t="str">
        <f t="shared" ca="1" si="7"/>
        <v>7.MSCT</v>
      </c>
      <c r="B4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8" s="46"/>
      <c r="D458" s="44"/>
      <c r="E458" s="44"/>
      <c r="F458" s="64"/>
      <c r="G458" s="64"/>
      <c r="H458" s="66"/>
      <c r="I458" s="66"/>
      <c r="J458" s="66"/>
      <c r="K458" s="66"/>
      <c r="L458" s="65"/>
      <c r="M458" s="64"/>
      <c r="N458" s="65"/>
      <c r="O458" s="65"/>
      <c r="P458" s="64"/>
      <c r="Q458" s="65"/>
      <c r="R458" s="46"/>
      <c r="S458" s="48"/>
      <c r="T458" s="61" t="str">
        <f>IF(Tableau1[[#This Row],[DMS_SAP]]="","",HYPERLINK(Tableau1[[#This Row],[Chemin fichier source]],"X"))</f>
        <v/>
      </c>
      <c r="U458" s="61" t="str">
        <f>IF(Tableau1[[#This Row],[Date rév.]]="","",HYPERLINK(Tableau1[[#This Row],[Lien document]],"X"))</f>
        <v/>
      </c>
      <c r="V458" s="47"/>
      <c r="W458" s="49" t="str">
        <f ca="1">Chemin_accès!$B$2&amp;Tableau1[[#This Row],[Poste Responsable]]&amp;"\"&amp;Tableau1[[#This Row],[Localisation / Classement]]&amp;"\"&amp;Tableau1[[#This Row],[Poste technique]]&amp;"_"&amp;Tableau1[[#This Row],[Plan Entretien]]&amp;".pdf"</f>
        <v>\\stjn.local\trimet\Donnees_Projets\Dms Sap\Maintenance\PlanEntretien\7.MSCT\\_.pdf</v>
      </c>
      <c r="X458" s="47"/>
      <c r="Y458" s="47"/>
      <c r="Z458" s="44" t="str">
        <f ca="1">IF(AND(Tableau1[[#This Row],[Charge]]&lt;&gt;0, Tableau1[[#This Row],[Nombre intervenants]]&lt;&gt;0,Tableau1[[#This Row],[Lien document]]&lt;&gt;0,Tableau1[[#This Row],[DMS_SAP]]&lt;&gt;0)=TRUE,"MIS A JOUR","")</f>
        <v/>
      </c>
      <c r="AA458" s="48"/>
      <c r="AB458" s="58" t="str">
        <f ca="1">IF(Tableau1[[#This Row],[Date rév.]]&lt;&gt;"", DAYS360(Tableau1[[#This Row],[Date rév.]],TODAY()),"")</f>
        <v/>
      </c>
      <c r="AC458" s="47" t="str">
        <f>IFERROR(INDEX(Chemin_accès!$B$11:$C$22,MATCH(Tableau1[[#This Row],[Type]],Chemin_accès!$C$11:$C$22,0),1),Chemin_accès!$B$11)</f>
        <v>\\stjn.local\trimet\Btechnique\Commun\BT Maint SCELLEMENT\205 - Préventifs\Modèles préventif\GammeDMS_7.MSCT.xlsm</v>
      </c>
      <c r="AD458" s="47" t="str">
        <f>Chemin_accès!$B$8&amp;Tableau1[[#This Row],[Localisation / Classement]]&amp;"\"&amp;Tableau1[[#This Row],[Poste technique]]&amp;"_"&amp;Tableau1[[#This Row],[Plan Entretien]]&amp;".xlsm"</f>
        <v>\\stjn.local\trimet\Btechnique\Commun\BT Maint SCELLEMENT\205 - Préventifs\Gammes 7.MSCT PE Tool\\_.xlsm</v>
      </c>
    </row>
    <row r="459" spans="1:30" x14ac:dyDescent="0.3">
      <c r="A459" s="44" t="str">
        <f t="shared" ca="1" si="7"/>
        <v>7.MSCT</v>
      </c>
      <c r="B4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9" s="46"/>
      <c r="D459" s="44"/>
      <c r="E459" s="44"/>
      <c r="F459" s="64"/>
      <c r="G459" s="64"/>
      <c r="H459" s="66"/>
      <c r="I459" s="66"/>
      <c r="J459" s="66"/>
      <c r="K459" s="66"/>
      <c r="L459" s="65"/>
      <c r="M459" s="64"/>
      <c r="N459" s="65"/>
      <c r="O459" s="65"/>
      <c r="P459" s="64"/>
      <c r="Q459" s="65"/>
      <c r="R459" s="46"/>
      <c r="S459" s="48"/>
      <c r="T459" s="61" t="str">
        <f>IF(Tableau1[[#This Row],[DMS_SAP]]="","",HYPERLINK(Tableau1[[#This Row],[Chemin fichier source]],"X"))</f>
        <v/>
      </c>
      <c r="U459" s="61" t="str">
        <f>IF(Tableau1[[#This Row],[Date rév.]]="","",HYPERLINK(Tableau1[[#This Row],[Lien document]],"X"))</f>
        <v/>
      </c>
      <c r="V459" s="47"/>
      <c r="W459" s="49" t="str">
        <f ca="1">Chemin_accès!$B$2&amp;Tableau1[[#This Row],[Poste Responsable]]&amp;"\"&amp;Tableau1[[#This Row],[Localisation / Classement]]&amp;"\"&amp;Tableau1[[#This Row],[Poste technique]]&amp;"_"&amp;Tableau1[[#This Row],[Plan Entretien]]&amp;".pdf"</f>
        <v>\\stjn.local\trimet\Donnees_Projets\Dms Sap\Maintenance\PlanEntretien\7.MSCT\\_.pdf</v>
      </c>
      <c r="X459" s="47"/>
      <c r="Y459" s="47"/>
      <c r="Z459" s="44" t="str">
        <f ca="1">IF(AND(Tableau1[[#This Row],[Charge]]&lt;&gt;0, Tableau1[[#This Row],[Nombre intervenants]]&lt;&gt;0,Tableau1[[#This Row],[Lien document]]&lt;&gt;0,Tableau1[[#This Row],[DMS_SAP]]&lt;&gt;0)=TRUE,"MIS A JOUR","")</f>
        <v/>
      </c>
      <c r="AA459" s="48"/>
      <c r="AB459" s="58" t="str">
        <f ca="1">IF(Tableau1[[#This Row],[Date rév.]]&lt;&gt;"", DAYS360(Tableau1[[#This Row],[Date rév.]],TODAY()),"")</f>
        <v/>
      </c>
      <c r="AC459" s="47" t="str">
        <f>IFERROR(INDEX(Chemin_accès!$B$11:$C$22,MATCH(Tableau1[[#This Row],[Type]],Chemin_accès!$C$11:$C$22,0),1),Chemin_accès!$B$11)</f>
        <v>\\stjn.local\trimet\Btechnique\Commun\BT Maint SCELLEMENT\205 - Préventifs\Modèles préventif\GammeDMS_7.MSCT.xlsm</v>
      </c>
      <c r="AD459" s="47" t="str">
        <f>Chemin_accès!$B$8&amp;Tableau1[[#This Row],[Localisation / Classement]]&amp;"\"&amp;Tableau1[[#This Row],[Poste technique]]&amp;"_"&amp;Tableau1[[#This Row],[Plan Entretien]]&amp;".xlsm"</f>
        <v>\\stjn.local\trimet\Btechnique\Commun\BT Maint SCELLEMENT\205 - Préventifs\Gammes 7.MSCT PE Tool\\_.xlsm</v>
      </c>
    </row>
    <row r="460" spans="1:30" x14ac:dyDescent="0.3">
      <c r="A460" s="44" t="str">
        <f t="shared" ca="1" si="7"/>
        <v>7.MSCT</v>
      </c>
      <c r="B4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0" s="46"/>
      <c r="D460" s="44"/>
      <c r="E460" s="44"/>
      <c r="F460" s="64"/>
      <c r="G460" s="64"/>
      <c r="H460" s="66"/>
      <c r="I460" s="66"/>
      <c r="J460" s="66"/>
      <c r="K460" s="66"/>
      <c r="L460" s="65"/>
      <c r="M460" s="64"/>
      <c r="N460" s="65"/>
      <c r="O460" s="65"/>
      <c r="P460" s="64"/>
      <c r="Q460" s="65"/>
      <c r="R460" s="46"/>
      <c r="S460" s="48"/>
      <c r="T460" s="61" t="str">
        <f>IF(Tableau1[[#This Row],[DMS_SAP]]="","",HYPERLINK(Tableau1[[#This Row],[Chemin fichier source]],"X"))</f>
        <v/>
      </c>
      <c r="U460" s="61" t="str">
        <f>IF(Tableau1[[#This Row],[Date rév.]]="","",HYPERLINK(Tableau1[[#This Row],[Lien document]],"X"))</f>
        <v/>
      </c>
      <c r="V460" s="47"/>
      <c r="W460" s="49" t="str">
        <f ca="1">Chemin_accès!$B$2&amp;Tableau1[[#This Row],[Poste Responsable]]&amp;"\"&amp;Tableau1[[#This Row],[Localisation / Classement]]&amp;"\"&amp;Tableau1[[#This Row],[Poste technique]]&amp;"_"&amp;Tableau1[[#This Row],[Plan Entretien]]&amp;".pdf"</f>
        <v>\\stjn.local\trimet\Donnees_Projets\Dms Sap\Maintenance\PlanEntretien\7.MSCT\\_.pdf</v>
      </c>
      <c r="X460" s="47"/>
      <c r="Y460" s="47"/>
      <c r="Z460" s="44" t="str">
        <f ca="1">IF(AND(Tableau1[[#This Row],[Charge]]&lt;&gt;0, Tableau1[[#This Row],[Nombre intervenants]]&lt;&gt;0,Tableau1[[#This Row],[Lien document]]&lt;&gt;0,Tableau1[[#This Row],[DMS_SAP]]&lt;&gt;0)=TRUE,"MIS A JOUR","")</f>
        <v/>
      </c>
      <c r="AA460" s="48"/>
      <c r="AB460" s="58" t="str">
        <f ca="1">IF(Tableau1[[#This Row],[Date rév.]]&lt;&gt;"", DAYS360(Tableau1[[#This Row],[Date rév.]],TODAY()),"")</f>
        <v/>
      </c>
      <c r="AC460" s="47" t="str">
        <f>IFERROR(INDEX(Chemin_accès!$B$11:$C$22,MATCH(Tableau1[[#This Row],[Type]],Chemin_accès!$C$11:$C$22,0),1),Chemin_accès!$B$11)</f>
        <v>\\stjn.local\trimet\Btechnique\Commun\BT Maint SCELLEMENT\205 - Préventifs\Modèles préventif\GammeDMS_7.MSCT.xlsm</v>
      </c>
      <c r="AD460" s="47" t="str">
        <f>Chemin_accès!$B$8&amp;Tableau1[[#This Row],[Localisation / Classement]]&amp;"\"&amp;Tableau1[[#This Row],[Poste technique]]&amp;"_"&amp;Tableau1[[#This Row],[Plan Entretien]]&amp;".xlsm"</f>
        <v>\\stjn.local\trimet\Btechnique\Commun\BT Maint SCELLEMENT\205 - Préventifs\Gammes 7.MSCT PE Tool\\_.xlsm</v>
      </c>
    </row>
    <row r="461" spans="1:30" x14ac:dyDescent="0.3">
      <c r="A461" s="44" t="str">
        <f t="shared" ca="1" si="7"/>
        <v>7.MSCT</v>
      </c>
      <c r="B4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1" s="46"/>
      <c r="D461" s="44"/>
      <c r="E461" s="44"/>
      <c r="F461" s="64"/>
      <c r="G461" s="64"/>
      <c r="H461" s="66"/>
      <c r="I461" s="66"/>
      <c r="J461" s="66"/>
      <c r="K461" s="66"/>
      <c r="L461" s="65"/>
      <c r="M461" s="64"/>
      <c r="N461" s="65"/>
      <c r="O461" s="65"/>
      <c r="P461" s="64"/>
      <c r="Q461" s="65"/>
      <c r="R461" s="46"/>
      <c r="S461" s="48"/>
      <c r="T461" s="61" t="str">
        <f>IF(Tableau1[[#This Row],[DMS_SAP]]="","",HYPERLINK(Tableau1[[#This Row],[Chemin fichier source]],"X"))</f>
        <v/>
      </c>
      <c r="U461" s="61" t="str">
        <f>IF(Tableau1[[#This Row],[Date rév.]]="","",HYPERLINK(Tableau1[[#This Row],[Lien document]],"X"))</f>
        <v/>
      </c>
      <c r="V461" s="47"/>
      <c r="W461" s="49" t="str">
        <f ca="1">Chemin_accès!$B$2&amp;Tableau1[[#This Row],[Poste Responsable]]&amp;"\"&amp;Tableau1[[#This Row],[Localisation / Classement]]&amp;"\"&amp;Tableau1[[#This Row],[Poste technique]]&amp;"_"&amp;Tableau1[[#This Row],[Plan Entretien]]&amp;".pdf"</f>
        <v>\\stjn.local\trimet\Donnees_Projets\Dms Sap\Maintenance\PlanEntretien\7.MSCT\\_.pdf</v>
      </c>
      <c r="X461" s="47"/>
      <c r="Y461" s="47"/>
      <c r="Z461" s="44" t="str">
        <f ca="1">IF(AND(Tableau1[[#This Row],[Charge]]&lt;&gt;0, Tableau1[[#This Row],[Nombre intervenants]]&lt;&gt;0,Tableau1[[#This Row],[Lien document]]&lt;&gt;0,Tableau1[[#This Row],[DMS_SAP]]&lt;&gt;0)=TRUE,"MIS A JOUR","")</f>
        <v/>
      </c>
      <c r="AA461" s="48"/>
      <c r="AB461" s="58" t="str">
        <f ca="1">IF(Tableau1[[#This Row],[Date rév.]]&lt;&gt;"", DAYS360(Tableau1[[#This Row],[Date rév.]],TODAY()),"")</f>
        <v/>
      </c>
      <c r="AC461" s="47" t="str">
        <f>IFERROR(INDEX(Chemin_accès!$B$11:$C$22,MATCH(Tableau1[[#This Row],[Type]],Chemin_accès!$C$11:$C$22,0),1),Chemin_accès!$B$11)</f>
        <v>\\stjn.local\trimet\Btechnique\Commun\BT Maint SCELLEMENT\205 - Préventifs\Modèles préventif\GammeDMS_7.MSCT.xlsm</v>
      </c>
      <c r="AD461" s="47" t="str">
        <f>Chemin_accès!$B$8&amp;Tableau1[[#This Row],[Localisation / Classement]]&amp;"\"&amp;Tableau1[[#This Row],[Poste technique]]&amp;"_"&amp;Tableau1[[#This Row],[Plan Entretien]]&amp;".xlsm"</f>
        <v>\\stjn.local\trimet\Btechnique\Commun\BT Maint SCELLEMENT\205 - Préventifs\Gammes 7.MSCT PE Tool\\_.xlsm</v>
      </c>
    </row>
    <row r="462" spans="1:30" x14ac:dyDescent="0.3">
      <c r="A462" s="44" t="str">
        <f t="shared" ca="1" si="7"/>
        <v>7.MSCT</v>
      </c>
      <c r="B4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2" s="46"/>
      <c r="D462" s="44"/>
      <c r="E462" s="44"/>
      <c r="F462" s="64"/>
      <c r="G462" s="64"/>
      <c r="H462" s="66"/>
      <c r="I462" s="66"/>
      <c r="J462" s="66"/>
      <c r="K462" s="66"/>
      <c r="L462" s="65"/>
      <c r="M462" s="64"/>
      <c r="N462" s="65"/>
      <c r="O462" s="65"/>
      <c r="P462" s="64"/>
      <c r="Q462" s="65"/>
      <c r="R462" s="46"/>
      <c r="S462" s="48"/>
      <c r="T462" s="61" t="str">
        <f>IF(Tableau1[[#This Row],[DMS_SAP]]="","",HYPERLINK(Tableau1[[#This Row],[Chemin fichier source]],"X"))</f>
        <v/>
      </c>
      <c r="U462" s="61" t="str">
        <f>IF(Tableau1[[#This Row],[Date rév.]]="","",HYPERLINK(Tableau1[[#This Row],[Lien document]],"X"))</f>
        <v/>
      </c>
      <c r="V462" s="47"/>
      <c r="W462" s="49" t="str">
        <f ca="1">Chemin_accès!$B$2&amp;Tableau1[[#This Row],[Poste Responsable]]&amp;"\"&amp;Tableau1[[#This Row],[Localisation / Classement]]&amp;"\"&amp;Tableau1[[#This Row],[Poste technique]]&amp;"_"&amp;Tableau1[[#This Row],[Plan Entretien]]&amp;".pdf"</f>
        <v>\\stjn.local\trimet\Donnees_Projets\Dms Sap\Maintenance\PlanEntretien\7.MSCT\\_.pdf</v>
      </c>
      <c r="X462" s="47"/>
      <c r="Y462" s="47"/>
      <c r="Z462" s="44" t="str">
        <f ca="1">IF(AND(Tableau1[[#This Row],[Charge]]&lt;&gt;0, Tableau1[[#This Row],[Nombre intervenants]]&lt;&gt;0,Tableau1[[#This Row],[Lien document]]&lt;&gt;0,Tableau1[[#This Row],[DMS_SAP]]&lt;&gt;0)=TRUE,"MIS A JOUR","")</f>
        <v/>
      </c>
      <c r="AA462" s="48"/>
      <c r="AB462" s="58" t="str">
        <f ca="1">IF(Tableau1[[#This Row],[Date rév.]]&lt;&gt;"", DAYS360(Tableau1[[#This Row],[Date rév.]],TODAY()),"")</f>
        <v/>
      </c>
      <c r="AC462" s="47" t="str">
        <f>IFERROR(INDEX(Chemin_accès!$B$11:$C$22,MATCH(Tableau1[[#This Row],[Type]],Chemin_accès!$C$11:$C$22,0),1),Chemin_accès!$B$11)</f>
        <v>\\stjn.local\trimet\Btechnique\Commun\BT Maint SCELLEMENT\205 - Préventifs\Modèles préventif\GammeDMS_7.MSCT.xlsm</v>
      </c>
      <c r="AD462" s="47" t="str">
        <f>Chemin_accès!$B$8&amp;Tableau1[[#This Row],[Localisation / Classement]]&amp;"\"&amp;Tableau1[[#This Row],[Poste technique]]&amp;"_"&amp;Tableau1[[#This Row],[Plan Entretien]]&amp;".xlsm"</f>
        <v>\\stjn.local\trimet\Btechnique\Commun\BT Maint SCELLEMENT\205 - Préventifs\Gammes 7.MSCT PE Tool\\_.xlsm</v>
      </c>
    </row>
    <row r="463" spans="1:30" x14ac:dyDescent="0.3">
      <c r="A463" s="44" t="str">
        <f t="shared" ca="1" si="7"/>
        <v>7.MSCT</v>
      </c>
      <c r="B4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3" s="46"/>
      <c r="D463" s="44"/>
      <c r="E463" s="44"/>
      <c r="F463" s="64"/>
      <c r="G463" s="64"/>
      <c r="H463" s="66"/>
      <c r="I463" s="66"/>
      <c r="J463" s="66"/>
      <c r="K463" s="66"/>
      <c r="L463" s="65"/>
      <c r="M463" s="64"/>
      <c r="N463" s="65"/>
      <c r="O463" s="65"/>
      <c r="P463" s="64"/>
      <c r="Q463" s="65"/>
      <c r="R463" s="46"/>
      <c r="S463" s="48"/>
      <c r="T463" s="61" t="str">
        <f>IF(Tableau1[[#This Row],[DMS_SAP]]="","",HYPERLINK(Tableau1[[#This Row],[Chemin fichier source]],"X"))</f>
        <v/>
      </c>
      <c r="U463" s="61" t="str">
        <f>IF(Tableau1[[#This Row],[Date rév.]]="","",HYPERLINK(Tableau1[[#This Row],[Lien document]],"X"))</f>
        <v/>
      </c>
      <c r="V463" s="47"/>
      <c r="W463" s="49" t="str">
        <f ca="1">Chemin_accès!$B$2&amp;Tableau1[[#This Row],[Poste Responsable]]&amp;"\"&amp;Tableau1[[#This Row],[Localisation / Classement]]&amp;"\"&amp;Tableau1[[#This Row],[Poste technique]]&amp;"_"&amp;Tableau1[[#This Row],[Plan Entretien]]&amp;".pdf"</f>
        <v>\\stjn.local\trimet\Donnees_Projets\Dms Sap\Maintenance\PlanEntretien\7.MSCT\\_.pdf</v>
      </c>
      <c r="X463" s="47"/>
      <c r="Y463" s="47"/>
      <c r="Z463" s="44" t="str">
        <f ca="1">IF(AND(Tableau1[[#This Row],[Charge]]&lt;&gt;0, Tableau1[[#This Row],[Nombre intervenants]]&lt;&gt;0,Tableau1[[#This Row],[Lien document]]&lt;&gt;0,Tableau1[[#This Row],[DMS_SAP]]&lt;&gt;0)=TRUE,"MIS A JOUR","")</f>
        <v/>
      </c>
      <c r="AA463" s="48"/>
      <c r="AB463" s="58" t="str">
        <f ca="1">IF(Tableau1[[#This Row],[Date rév.]]&lt;&gt;"", DAYS360(Tableau1[[#This Row],[Date rév.]],TODAY()),"")</f>
        <v/>
      </c>
      <c r="AC463" s="47" t="str">
        <f>IFERROR(INDEX(Chemin_accès!$B$11:$C$22,MATCH(Tableau1[[#This Row],[Type]],Chemin_accès!$C$11:$C$22,0),1),Chemin_accès!$B$11)</f>
        <v>\\stjn.local\trimet\Btechnique\Commun\BT Maint SCELLEMENT\205 - Préventifs\Modèles préventif\GammeDMS_7.MSCT.xlsm</v>
      </c>
      <c r="AD463" s="47" t="str">
        <f>Chemin_accès!$B$8&amp;Tableau1[[#This Row],[Localisation / Classement]]&amp;"\"&amp;Tableau1[[#This Row],[Poste technique]]&amp;"_"&amp;Tableau1[[#This Row],[Plan Entretien]]&amp;".xlsm"</f>
        <v>\\stjn.local\trimet\Btechnique\Commun\BT Maint SCELLEMENT\205 - Préventifs\Gammes 7.MSCT PE Tool\\_.xlsm</v>
      </c>
    </row>
    <row r="464" spans="1:30" x14ac:dyDescent="0.3">
      <c r="A464" s="44" t="str">
        <f t="shared" ca="1" si="7"/>
        <v>7.MSCT</v>
      </c>
      <c r="B4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4" s="46"/>
      <c r="D464" s="44"/>
      <c r="E464" s="44"/>
      <c r="F464" s="64"/>
      <c r="G464" s="64"/>
      <c r="H464" s="66"/>
      <c r="I464" s="66"/>
      <c r="J464" s="66"/>
      <c r="K464" s="66"/>
      <c r="L464" s="65"/>
      <c r="M464" s="64"/>
      <c r="N464" s="65"/>
      <c r="O464" s="65"/>
      <c r="P464" s="64"/>
      <c r="Q464" s="65"/>
      <c r="R464" s="46"/>
      <c r="S464" s="48"/>
      <c r="T464" s="61" t="str">
        <f>IF(Tableau1[[#This Row],[DMS_SAP]]="","",HYPERLINK(Tableau1[[#This Row],[Chemin fichier source]],"X"))</f>
        <v/>
      </c>
      <c r="U464" s="61" t="str">
        <f>IF(Tableau1[[#This Row],[Date rév.]]="","",HYPERLINK(Tableau1[[#This Row],[Lien document]],"X"))</f>
        <v/>
      </c>
      <c r="V464" s="47"/>
      <c r="W464" s="49" t="str">
        <f ca="1">Chemin_accès!$B$2&amp;Tableau1[[#This Row],[Poste Responsable]]&amp;"\"&amp;Tableau1[[#This Row],[Localisation / Classement]]&amp;"\"&amp;Tableau1[[#This Row],[Poste technique]]&amp;"_"&amp;Tableau1[[#This Row],[Plan Entretien]]&amp;".pdf"</f>
        <v>\\stjn.local\trimet\Donnees_Projets\Dms Sap\Maintenance\PlanEntretien\7.MSCT\\_.pdf</v>
      </c>
      <c r="X464" s="47"/>
      <c r="Y464" s="47"/>
      <c r="Z464" s="44" t="str">
        <f ca="1">IF(AND(Tableau1[[#This Row],[Charge]]&lt;&gt;0, Tableau1[[#This Row],[Nombre intervenants]]&lt;&gt;0,Tableau1[[#This Row],[Lien document]]&lt;&gt;0,Tableau1[[#This Row],[DMS_SAP]]&lt;&gt;0)=TRUE,"MIS A JOUR","")</f>
        <v/>
      </c>
      <c r="AA464" s="48"/>
      <c r="AB464" s="58" t="str">
        <f ca="1">IF(Tableau1[[#This Row],[Date rév.]]&lt;&gt;"", DAYS360(Tableau1[[#This Row],[Date rév.]],TODAY()),"")</f>
        <v/>
      </c>
      <c r="AC464" s="47" t="str">
        <f>IFERROR(INDEX(Chemin_accès!$B$11:$C$22,MATCH(Tableau1[[#This Row],[Type]],Chemin_accès!$C$11:$C$22,0),1),Chemin_accès!$B$11)</f>
        <v>\\stjn.local\trimet\Btechnique\Commun\BT Maint SCELLEMENT\205 - Préventifs\Modèles préventif\GammeDMS_7.MSCT.xlsm</v>
      </c>
      <c r="AD464" s="47" t="str">
        <f>Chemin_accès!$B$8&amp;Tableau1[[#This Row],[Localisation / Classement]]&amp;"\"&amp;Tableau1[[#This Row],[Poste technique]]&amp;"_"&amp;Tableau1[[#This Row],[Plan Entretien]]&amp;".xlsm"</f>
        <v>\\stjn.local\trimet\Btechnique\Commun\BT Maint SCELLEMENT\205 - Préventifs\Gammes 7.MSCT PE Tool\\_.xlsm</v>
      </c>
    </row>
    <row r="465" spans="1:30" x14ac:dyDescent="0.3">
      <c r="A465" s="44" t="str">
        <f t="shared" ca="1" si="7"/>
        <v>7.MSCT</v>
      </c>
      <c r="B4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5" s="46"/>
      <c r="D465" s="44"/>
      <c r="E465" s="44"/>
      <c r="F465" s="52"/>
      <c r="G465" s="52"/>
      <c r="H465" s="67"/>
      <c r="I465" s="67"/>
      <c r="J465" s="67"/>
      <c r="K465" s="67"/>
      <c r="L465" s="53"/>
      <c r="M465" s="52"/>
      <c r="N465" s="53"/>
      <c r="O465" s="53"/>
      <c r="P465" s="52"/>
      <c r="Q465" s="53"/>
      <c r="R465" s="46"/>
      <c r="S465" s="48"/>
      <c r="T465" s="61" t="str">
        <f>IF(Tableau1[[#This Row],[DMS_SAP]]="","",HYPERLINK(Tableau1[[#This Row],[Chemin fichier source]],"X"))</f>
        <v/>
      </c>
      <c r="U465" s="61" t="str">
        <f>IF(Tableau1[[#This Row],[Date rév.]]="","",HYPERLINK(Tableau1[[#This Row],[Lien document]],"X"))</f>
        <v/>
      </c>
      <c r="V465" s="47"/>
      <c r="W465" s="49" t="str">
        <f ca="1">Chemin_accès!$B$2&amp;Tableau1[[#This Row],[Poste Responsable]]&amp;"\"&amp;Tableau1[[#This Row],[Localisation / Classement]]&amp;"\"&amp;Tableau1[[#This Row],[Poste technique]]&amp;"_"&amp;Tableau1[[#This Row],[Plan Entretien]]&amp;".pdf"</f>
        <v>\\stjn.local\trimet\Donnees_Projets\Dms Sap\Maintenance\PlanEntretien\7.MSCT\\_.pdf</v>
      </c>
      <c r="X465" s="47"/>
      <c r="Y465" s="47"/>
      <c r="Z465" s="44" t="str">
        <f ca="1">IF(AND(Tableau1[[#This Row],[Charge]]&lt;&gt;0, Tableau1[[#This Row],[Nombre intervenants]]&lt;&gt;0,Tableau1[[#This Row],[Lien document]]&lt;&gt;0,Tableau1[[#This Row],[DMS_SAP]]&lt;&gt;0)=TRUE,"MIS A JOUR","")</f>
        <v/>
      </c>
      <c r="AA465" s="48"/>
      <c r="AB465" s="58" t="str">
        <f ca="1">IF(Tableau1[[#This Row],[Date rév.]]&lt;&gt;"", DAYS360(Tableau1[[#This Row],[Date rév.]],TODAY()),"")</f>
        <v/>
      </c>
      <c r="AC465" s="47" t="str">
        <f>IFERROR(INDEX(Chemin_accès!$B$11:$C$22,MATCH(Tableau1[[#This Row],[Type]],Chemin_accès!$C$11:$C$22,0),1),Chemin_accès!$B$11)</f>
        <v>\\stjn.local\trimet\Btechnique\Commun\BT Maint SCELLEMENT\205 - Préventifs\Modèles préventif\GammeDMS_7.MSCT.xlsm</v>
      </c>
      <c r="AD465" s="47" t="str">
        <f>Chemin_accès!$B$8&amp;Tableau1[[#This Row],[Localisation / Classement]]&amp;"\"&amp;Tableau1[[#This Row],[Poste technique]]&amp;"_"&amp;Tableau1[[#This Row],[Plan Entretien]]&amp;".xlsm"</f>
        <v>\\stjn.local\trimet\Btechnique\Commun\BT Maint SCELLEMENT\205 - Préventifs\Gammes 7.MSCT PE Tool\\_.xlsm</v>
      </c>
    </row>
    <row r="466" spans="1:30" x14ac:dyDescent="0.3">
      <c r="A466" s="44" t="str">
        <f t="shared" ca="1" si="7"/>
        <v>7.MSCT</v>
      </c>
      <c r="B4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6" s="46"/>
      <c r="D466" s="44"/>
      <c r="E466" s="44"/>
      <c r="F466" s="52"/>
      <c r="G466" s="52"/>
      <c r="H466" s="67"/>
      <c r="I466" s="67"/>
      <c r="J466" s="67"/>
      <c r="K466" s="67"/>
      <c r="L466" s="53"/>
      <c r="M466" s="52"/>
      <c r="N466" s="53"/>
      <c r="O466" s="53"/>
      <c r="P466" s="52"/>
      <c r="Q466" s="53"/>
      <c r="R466" s="46"/>
      <c r="S466" s="48"/>
      <c r="T466" s="61" t="str">
        <f>IF(Tableau1[[#This Row],[DMS_SAP]]="","",HYPERLINK(Tableau1[[#This Row],[Chemin fichier source]],"X"))</f>
        <v/>
      </c>
      <c r="U466" s="61" t="str">
        <f>IF(Tableau1[[#This Row],[Date rév.]]="","",HYPERLINK(Tableau1[[#This Row],[Lien document]],"X"))</f>
        <v/>
      </c>
      <c r="V466" s="47"/>
      <c r="W466" s="49" t="str">
        <f ca="1">Chemin_accès!$B$2&amp;Tableau1[[#This Row],[Poste Responsable]]&amp;"\"&amp;Tableau1[[#This Row],[Localisation / Classement]]&amp;"\"&amp;Tableau1[[#This Row],[Poste technique]]&amp;"_"&amp;Tableau1[[#This Row],[Plan Entretien]]&amp;".pdf"</f>
        <v>\\stjn.local\trimet\Donnees_Projets\Dms Sap\Maintenance\PlanEntretien\7.MSCT\\_.pdf</v>
      </c>
      <c r="X466" s="47"/>
      <c r="Y466" s="47"/>
      <c r="Z466" s="44" t="str">
        <f ca="1">IF(AND(Tableau1[[#This Row],[Charge]]&lt;&gt;0, Tableau1[[#This Row],[Nombre intervenants]]&lt;&gt;0,Tableau1[[#This Row],[Lien document]]&lt;&gt;0,Tableau1[[#This Row],[DMS_SAP]]&lt;&gt;0)=TRUE,"MIS A JOUR","")</f>
        <v/>
      </c>
      <c r="AA466" s="48"/>
      <c r="AB466" s="58" t="str">
        <f ca="1">IF(Tableau1[[#This Row],[Date rév.]]&lt;&gt;"", DAYS360(Tableau1[[#This Row],[Date rév.]],TODAY()),"")</f>
        <v/>
      </c>
      <c r="AC466" s="47" t="str">
        <f>IFERROR(INDEX(Chemin_accès!$B$11:$C$22,MATCH(Tableau1[[#This Row],[Type]],Chemin_accès!$C$11:$C$22,0),1),Chemin_accès!$B$11)</f>
        <v>\\stjn.local\trimet\Btechnique\Commun\BT Maint SCELLEMENT\205 - Préventifs\Modèles préventif\GammeDMS_7.MSCT.xlsm</v>
      </c>
      <c r="AD466" s="47" t="str">
        <f>Chemin_accès!$B$8&amp;Tableau1[[#This Row],[Localisation / Classement]]&amp;"\"&amp;Tableau1[[#This Row],[Poste technique]]&amp;"_"&amp;Tableau1[[#This Row],[Plan Entretien]]&amp;".xlsm"</f>
        <v>\\stjn.local\trimet\Btechnique\Commun\BT Maint SCELLEMENT\205 - Préventifs\Gammes 7.MSCT PE Tool\\_.xlsm</v>
      </c>
    </row>
    <row r="467" spans="1:30" x14ac:dyDescent="0.3">
      <c r="A467" s="44" t="str">
        <f t="shared" ca="1" si="7"/>
        <v>7.MSCT</v>
      </c>
      <c r="B4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7" s="46"/>
      <c r="D467" s="44"/>
      <c r="E467" s="44"/>
      <c r="F467" s="52"/>
      <c r="G467" s="52"/>
      <c r="H467" s="67"/>
      <c r="I467" s="67"/>
      <c r="J467" s="67"/>
      <c r="K467" s="67"/>
      <c r="L467" s="53"/>
      <c r="M467" s="52"/>
      <c r="N467" s="53"/>
      <c r="O467" s="53"/>
      <c r="P467" s="52"/>
      <c r="Q467" s="53"/>
      <c r="R467" s="46"/>
      <c r="S467" s="48"/>
      <c r="T467" s="61" t="str">
        <f>IF(Tableau1[[#This Row],[DMS_SAP]]="","",HYPERLINK(Tableau1[[#This Row],[Chemin fichier source]],"X"))</f>
        <v/>
      </c>
      <c r="U467" s="61" t="str">
        <f>IF(Tableau1[[#This Row],[Date rév.]]="","",HYPERLINK(Tableau1[[#This Row],[Lien document]],"X"))</f>
        <v/>
      </c>
      <c r="V467" s="47"/>
      <c r="W467" s="49" t="str">
        <f ca="1">Chemin_accès!$B$2&amp;Tableau1[[#This Row],[Poste Responsable]]&amp;"\"&amp;Tableau1[[#This Row],[Localisation / Classement]]&amp;"\"&amp;Tableau1[[#This Row],[Poste technique]]&amp;"_"&amp;Tableau1[[#This Row],[Plan Entretien]]&amp;".pdf"</f>
        <v>\\stjn.local\trimet\Donnees_Projets\Dms Sap\Maintenance\PlanEntretien\7.MSCT\\_.pdf</v>
      </c>
      <c r="X467" s="47"/>
      <c r="Y467" s="47"/>
      <c r="Z467" s="44" t="str">
        <f ca="1">IF(AND(Tableau1[[#This Row],[Charge]]&lt;&gt;0, Tableau1[[#This Row],[Nombre intervenants]]&lt;&gt;0,Tableau1[[#This Row],[Lien document]]&lt;&gt;0,Tableau1[[#This Row],[DMS_SAP]]&lt;&gt;0)=TRUE,"MIS A JOUR","")</f>
        <v/>
      </c>
      <c r="AA467" s="48"/>
      <c r="AB467" s="58" t="str">
        <f ca="1">IF(Tableau1[[#This Row],[Date rév.]]&lt;&gt;"", DAYS360(Tableau1[[#This Row],[Date rév.]],TODAY()),"")</f>
        <v/>
      </c>
      <c r="AC467" s="47" t="str">
        <f>IFERROR(INDEX(Chemin_accès!$B$11:$C$22,MATCH(Tableau1[[#This Row],[Type]],Chemin_accès!$C$11:$C$22,0),1),Chemin_accès!$B$11)</f>
        <v>\\stjn.local\trimet\Btechnique\Commun\BT Maint SCELLEMENT\205 - Préventifs\Modèles préventif\GammeDMS_7.MSCT.xlsm</v>
      </c>
      <c r="AD467" s="47" t="str">
        <f>Chemin_accès!$B$8&amp;Tableau1[[#This Row],[Localisation / Classement]]&amp;"\"&amp;Tableau1[[#This Row],[Poste technique]]&amp;"_"&amp;Tableau1[[#This Row],[Plan Entretien]]&amp;".xlsm"</f>
        <v>\\stjn.local\trimet\Btechnique\Commun\BT Maint SCELLEMENT\205 - Préventifs\Gammes 7.MSCT PE Tool\\_.xlsm</v>
      </c>
    </row>
    <row r="468" spans="1:30" x14ac:dyDescent="0.3">
      <c r="A468" s="44" t="str">
        <f t="shared" ca="1" si="7"/>
        <v>7.MSCT</v>
      </c>
      <c r="B4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8" s="46"/>
      <c r="D468" s="44"/>
      <c r="E468" s="44"/>
      <c r="F468" s="52"/>
      <c r="G468" s="52"/>
      <c r="H468" s="67"/>
      <c r="I468" s="67"/>
      <c r="J468" s="67"/>
      <c r="K468" s="67"/>
      <c r="L468" s="53"/>
      <c r="M468" s="52"/>
      <c r="N468" s="53"/>
      <c r="O468" s="53"/>
      <c r="P468" s="52"/>
      <c r="Q468" s="53"/>
      <c r="R468" s="46"/>
      <c r="S468" s="48"/>
      <c r="T468" s="61" t="str">
        <f>IF(Tableau1[[#This Row],[DMS_SAP]]="","",HYPERLINK(Tableau1[[#This Row],[Chemin fichier source]],"X"))</f>
        <v/>
      </c>
      <c r="U468" s="61" t="str">
        <f>IF(Tableau1[[#This Row],[Date rév.]]="","",HYPERLINK(Tableau1[[#This Row],[Lien document]],"X"))</f>
        <v/>
      </c>
      <c r="V468" s="47"/>
      <c r="W468" s="49" t="str">
        <f ca="1">Chemin_accès!$B$2&amp;Tableau1[[#This Row],[Poste Responsable]]&amp;"\"&amp;Tableau1[[#This Row],[Localisation / Classement]]&amp;"\"&amp;Tableau1[[#This Row],[Poste technique]]&amp;"_"&amp;Tableau1[[#This Row],[Plan Entretien]]&amp;".pdf"</f>
        <v>\\stjn.local\trimet\Donnees_Projets\Dms Sap\Maintenance\PlanEntretien\7.MSCT\\_.pdf</v>
      </c>
      <c r="X468" s="47"/>
      <c r="Y468" s="47"/>
      <c r="Z468" s="44" t="str">
        <f ca="1">IF(AND(Tableau1[[#This Row],[Charge]]&lt;&gt;0, Tableau1[[#This Row],[Nombre intervenants]]&lt;&gt;0,Tableau1[[#This Row],[Lien document]]&lt;&gt;0,Tableau1[[#This Row],[DMS_SAP]]&lt;&gt;0)=TRUE,"MIS A JOUR","")</f>
        <v/>
      </c>
      <c r="AA468" s="48"/>
      <c r="AB468" s="58" t="str">
        <f ca="1">IF(Tableau1[[#This Row],[Date rév.]]&lt;&gt;"", DAYS360(Tableau1[[#This Row],[Date rév.]],TODAY()),"")</f>
        <v/>
      </c>
      <c r="AC468" s="47" t="str">
        <f>IFERROR(INDEX(Chemin_accès!$B$11:$C$22,MATCH(Tableau1[[#This Row],[Type]],Chemin_accès!$C$11:$C$22,0),1),Chemin_accès!$B$11)</f>
        <v>\\stjn.local\trimet\Btechnique\Commun\BT Maint SCELLEMENT\205 - Préventifs\Modèles préventif\GammeDMS_7.MSCT.xlsm</v>
      </c>
      <c r="AD468" s="47" t="str">
        <f>Chemin_accès!$B$8&amp;Tableau1[[#This Row],[Localisation / Classement]]&amp;"\"&amp;Tableau1[[#This Row],[Poste technique]]&amp;"_"&amp;Tableau1[[#This Row],[Plan Entretien]]&amp;".xlsm"</f>
        <v>\\stjn.local\trimet\Btechnique\Commun\BT Maint SCELLEMENT\205 - Préventifs\Gammes 7.MSCT PE Tool\\_.xlsm</v>
      </c>
    </row>
    <row r="469" spans="1:30" x14ac:dyDescent="0.3">
      <c r="A469" s="44" t="str">
        <f t="shared" ca="1" si="7"/>
        <v>7.MSCT</v>
      </c>
      <c r="B4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9" s="46"/>
      <c r="D469" s="44"/>
      <c r="E469" s="44"/>
      <c r="F469" s="52"/>
      <c r="G469" s="52"/>
      <c r="H469" s="67"/>
      <c r="I469" s="67"/>
      <c r="J469" s="67"/>
      <c r="K469" s="67"/>
      <c r="L469" s="53"/>
      <c r="M469" s="52"/>
      <c r="N469" s="53"/>
      <c r="O469" s="53"/>
      <c r="P469" s="52"/>
      <c r="Q469" s="53"/>
      <c r="R469" s="46"/>
      <c r="S469" s="48"/>
      <c r="T469" s="61" t="str">
        <f>IF(Tableau1[[#This Row],[DMS_SAP]]="","",HYPERLINK(Tableau1[[#This Row],[Chemin fichier source]],"X"))</f>
        <v/>
      </c>
      <c r="U469" s="61" t="str">
        <f>IF(Tableau1[[#This Row],[Date rév.]]="","",HYPERLINK(Tableau1[[#This Row],[Lien document]],"X"))</f>
        <v/>
      </c>
      <c r="V469" s="47"/>
      <c r="W469" s="49" t="str">
        <f ca="1">Chemin_accès!$B$2&amp;Tableau1[[#This Row],[Poste Responsable]]&amp;"\"&amp;Tableau1[[#This Row],[Localisation / Classement]]&amp;"\"&amp;Tableau1[[#This Row],[Poste technique]]&amp;"_"&amp;Tableau1[[#This Row],[Plan Entretien]]&amp;".pdf"</f>
        <v>\\stjn.local\trimet\Donnees_Projets\Dms Sap\Maintenance\PlanEntretien\7.MSCT\\_.pdf</v>
      </c>
      <c r="X469" s="47"/>
      <c r="Y469" s="47"/>
      <c r="Z469" s="44" t="str">
        <f ca="1">IF(AND(Tableau1[[#This Row],[Charge]]&lt;&gt;0, Tableau1[[#This Row],[Nombre intervenants]]&lt;&gt;0,Tableau1[[#This Row],[Lien document]]&lt;&gt;0,Tableau1[[#This Row],[DMS_SAP]]&lt;&gt;0)=TRUE,"MIS A JOUR","")</f>
        <v/>
      </c>
      <c r="AA469" s="48"/>
      <c r="AB469" s="58" t="str">
        <f ca="1">IF(Tableau1[[#This Row],[Date rév.]]&lt;&gt;"", DAYS360(Tableau1[[#This Row],[Date rév.]],TODAY()),"")</f>
        <v/>
      </c>
      <c r="AC469" s="47" t="str">
        <f>IFERROR(INDEX(Chemin_accès!$B$11:$C$22,MATCH(Tableau1[[#This Row],[Type]],Chemin_accès!$C$11:$C$22,0),1),Chemin_accès!$B$11)</f>
        <v>\\stjn.local\trimet\Btechnique\Commun\BT Maint SCELLEMENT\205 - Préventifs\Modèles préventif\GammeDMS_7.MSCT.xlsm</v>
      </c>
      <c r="AD469" s="47" t="str">
        <f>Chemin_accès!$B$8&amp;Tableau1[[#This Row],[Localisation / Classement]]&amp;"\"&amp;Tableau1[[#This Row],[Poste technique]]&amp;"_"&amp;Tableau1[[#This Row],[Plan Entretien]]&amp;".xlsm"</f>
        <v>\\stjn.local\trimet\Btechnique\Commun\BT Maint SCELLEMENT\205 - Préventifs\Gammes 7.MSCT PE Tool\\_.xlsm</v>
      </c>
    </row>
    <row r="470" spans="1:30" x14ac:dyDescent="0.3">
      <c r="A470" s="44" t="str">
        <f t="shared" ca="1" si="7"/>
        <v>7.MSCT</v>
      </c>
      <c r="B4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0" s="46"/>
      <c r="D470" s="44"/>
      <c r="E470" s="44"/>
      <c r="F470" s="52"/>
      <c r="G470" s="52"/>
      <c r="H470" s="67"/>
      <c r="I470" s="67"/>
      <c r="J470" s="67"/>
      <c r="K470" s="67"/>
      <c r="L470" s="53"/>
      <c r="M470" s="52"/>
      <c r="N470" s="53"/>
      <c r="O470" s="53"/>
      <c r="P470" s="52"/>
      <c r="Q470" s="53"/>
      <c r="R470" s="46"/>
      <c r="S470" s="48"/>
      <c r="T470" s="61" t="str">
        <f>IF(Tableau1[[#This Row],[DMS_SAP]]="","",HYPERLINK(Tableau1[[#This Row],[Chemin fichier source]],"X"))</f>
        <v/>
      </c>
      <c r="U470" s="61" t="str">
        <f>IF(Tableau1[[#This Row],[Date rév.]]="","",HYPERLINK(Tableau1[[#This Row],[Lien document]],"X"))</f>
        <v/>
      </c>
      <c r="V470" s="47"/>
      <c r="W470" s="49" t="str">
        <f ca="1">Chemin_accès!$B$2&amp;Tableau1[[#This Row],[Poste Responsable]]&amp;"\"&amp;Tableau1[[#This Row],[Localisation / Classement]]&amp;"\"&amp;Tableau1[[#This Row],[Poste technique]]&amp;"_"&amp;Tableau1[[#This Row],[Plan Entretien]]&amp;".pdf"</f>
        <v>\\stjn.local\trimet\Donnees_Projets\Dms Sap\Maintenance\PlanEntretien\7.MSCT\\_.pdf</v>
      </c>
      <c r="X470" s="47"/>
      <c r="Y470" s="47"/>
      <c r="Z470" s="44" t="str">
        <f ca="1">IF(AND(Tableau1[[#This Row],[Charge]]&lt;&gt;0, Tableau1[[#This Row],[Nombre intervenants]]&lt;&gt;0,Tableau1[[#This Row],[Lien document]]&lt;&gt;0,Tableau1[[#This Row],[DMS_SAP]]&lt;&gt;0)=TRUE,"MIS A JOUR","")</f>
        <v/>
      </c>
      <c r="AA470" s="48"/>
      <c r="AB470" s="58" t="str">
        <f ca="1">IF(Tableau1[[#This Row],[Date rév.]]&lt;&gt;"", DAYS360(Tableau1[[#This Row],[Date rév.]],TODAY()),"")</f>
        <v/>
      </c>
      <c r="AC470" s="47" t="str">
        <f>IFERROR(INDEX(Chemin_accès!$B$11:$C$22,MATCH(Tableau1[[#This Row],[Type]],Chemin_accès!$C$11:$C$22,0),1),Chemin_accès!$B$11)</f>
        <v>\\stjn.local\trimet\Btechnique\Commun\BT Maint SCELLEMENT\205 - Préventifs\Modèles préventif\GammeDMS_7.MSCT.xlsm</v>
      </c>
      <c r="AD470" s="47" t="str">
        <f>Chemin_accès!$B$8&amp;Tableau1[[#This Row],[Localisation / Classement]]&amp;"\"&amp;Tableau1[[#This Row],[Poste technique]]&amp;"_"&amp;Tableau1[[#This Row],[Plan Entretien]]&amp;".xlsm"</f>
        <v>\\stjn.local\trimet\Btechnique\Commun\BT Maint SCELLEMENT\205 - Préventifs\Gammes 7.MSCT PE Tool\\_.xlsm</v>
      </c>
    </row>
    <row r="471" spans="1:30" x14ac:dyDescent="0.3">
      <c r="A471" s="44" t="str">
        <f t="shared" ca="1" si="7"/>
        <v>7.MSCT</v>
      </c>
      <c r="B4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1" s="46"/>
      <c r="D471" s="44"/>
      <c r="E471" s="44"/>
      <c r="F471" s="52"/>
      <c r="G471" s="52"/>
      <c r="H471" s="67"/>
      <c r="I471" s="67"/>
      <c r="J471" s="67"/>
      <c r="K471" s="67"/>
      <c r="L471" s="53"/>
      <c r="M471" s="52"/>
      <c r="N471" s="53"/>
      <c r="O471" s="53"/>
      <c r="P471" s="52"/>
      <c r="Q471" s="53"/>
      <c r="R471" s="46"/>
      <c r="S471" s="48"/>
      <c r="T471" s="61" t="str">
        <f>IF(Tableau1[[#This Row],[DMS_SAP]]="","",HYPERLINK(Tableau1[[#This Row],[Chemin fichier source]],"X"))</f>
        <v/>
      </c>
      <c r="U471" s="61" t="str">
        <f>IF(Tableau1[[#This Row],[Date rév.]]="","",HYPERLINK(Tableau1[[#This Row],[Lien document]],"X"))</f>
        <v/>
      </c>
      <c r="V471" s="47"/>
      <c r="W471" s="49" t="str">
        <f ca="1">Chemin_accès!$B$2&amp;Tableau1[[#This Row],[Poste Responsable]]&amp;"\"&amp;Tableau1[[#This Row],[Localisation / Classement]]&amp;"\"&amp;Tableau1[[#This Row],[Poste technique]]&amp;"_"&amp;Tableau1[[#This Row],[Plan Entretien]]&amp;".pdf"</f>
        <v>\\stjn.local\trimet\Donnees_Projets\Dms Sap\Maintenance\PlanEntretien\7.MSCT\\_.pdf</v>
      </c>
      <c r="X471" s="47"/>
      <c r="Y471" s="47"/>
      <c r="Z471" s="44" t="str">
        <f ca="1">IF(AND(Tableau1[[#This Row],[Charge]]&lt;&gt;0, Tableau1[[#This Row],[Nombre intervenants]]&lt;&gt;0,Tableau1[[#This Row],[Lien document]]&lt;&gt;0,Tableau1[[#This Row],[DMS_SAP]]&lt;&gt;0)=TRUE,"MIS A JOUR","")</f>
        <v/>
      </c>
      <c r="AA471" s="48"/>
      <c r="AB471" s="58" t="str">
        <f ca="1">IF(Tableau1[[#This Row],[Date rév.]]&lt;&gt;"", DAYS360(Tableau1[[#This Row],[Date rév.]],TODAY()),"")</f>
        <v/>
      </c>
      <c r="AC471" s="47" t="str">
        <f>IFERROR(INDEX(Chemin_accès!$B$11:$C$22,MATCH(Tableau1[[#This Row],[Type]],Chemin_accès!$C$11:$C$22,0),1),Chemin_accès!$B$11)</f>
        <v>\\stjn.local\trimet\Btechnique\Commun\BT Maint SCELLEMENT\205 - Préventifs\Modèles préventif\GammeDMS_7.MSCT.xlsm</v>
      </c>
      <c r="AD471" s="47" t="str">
        <f>Chemin_accès!$B$8&amp;Tableau1[[#This Row],[Localisation / Classement]]&amp;"\"&amp;Tableau1[[#This Row],[Poste technique]]&amp;"_"&amp;Tableau1[[#This Row],[Plan Entretien]]&amp;".xlsm"</f>
        <v>\\stjn.local\trimet\Btechnique\Commun\BT Maint SCELLEMENT\205 - Préventifs\Gammes 7.MSCT PE Tool\\_.xlsm</v>
      </c>
    </row>
    <row r="472" spans="1:30" x14ac:dyDescent="0.3">
      <c r="A472" s="44" t="str">
        <f t="shared" ca="1" si="7"/>
        <v>7.MSCT</v>
      </c>
      <c r="B4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2" s="46"/>
      <c r="D472" s="44"/>
      <c r="E472" s="44"/>
      <c r="F472" s="52"/>
      <c r="G472" s="52"/>
      <c r="H472" s="67"/>
      <c r="I472" s="67"/>
      <c r="J472" s="67"/>
      <c r="K472" s="67"/>
      <c r="L472" s="53"/>
      <c r="M472" s="52"/>
      <c r="N472" s="53"/>
      <c r="O472" s="53"/>
      <c r="P472" s="52"/>
      <c r="Q472" s="53"/>
      <c r="R472" s="46"/>
      <c r="S472" s="48"/>
      <c r="T472" s="61" t="str">
        <f>IF(Tableau1[[#This Row],[DMS_SAP]]="","",HYPERLINK(Tableau1[[#This Row],[Chemin fichier source]],"X"))</f>
        <v/>
      </c>
      <c r="U472" s="61" t="str">
        <f>IF(Tableau1[[#This Row],[Date rév.]]="","",HYPERLINK(Tableau1[[#This Row],[Lien document]],"X"))</f>
        <v/>
      </c>
      <c r="V472" s="47"/>
      <c r="W472" s="49" t="str">
        <f ca="1">Chemin_accès!$B$2&amp;Tableau1[[#This Row],[Poste Responsable]]&amp;"\"&amp;Tableau1[[#This Row],[Localisation / Classement]]&amp;"\"&amp;Tableau1[[#This Row],[Poste technique]]&amp;"_"&amp;Tableau1[[#This Row],[Plan Entretien]]&amp;".pdf"</f>
        <v>\\stjn.local\trimet\Donnees_Projets\Dms Sap\Maintenance\PlanEntretien\7.MSCT\\_.pdf</v>
      </c>
      <c r="X472" s="47"/>
      <c r="Y472" s="47"/>
      <c r="Z472" s="44" t="str">
        <f ca="1">IF(AND(Tableau1[[#This Row],[Charge]]&lt;&gt;0, Tableau1[[#This Row],[Nombre intervenants]]&lt;&gt;0,Tableau1[[#This Row],[Lien document]]&lt;&gt;0,Tableau1[[#This Row],[DMS_SAP]]&lt;&gt;0)=TRUE,"MIS A JOUR","")</f>
        <v/>
      </c>
      <c r="AA472" s="48"/>
      <c r="AB472" s="58" t="str">
        <f ca="1">IF(Tableau1[[#This Row],[Date rév.]]&lt;&gt;"", DAYS360(Tableau1[[#This Row],[Date rév.]],TODAY()),"")</f>
        <v/>
      </c>
      <c r="AC472" s="47" t="str">
        <f>IFERROR(INDEX(Chemin_accès!$B$11:$C$22,MATCH(Tableau1[[#This Row],[Type]],Chemin_accès!$C$11:$C$22,0),1),Chemin_accès!$B$11)</f>
        <v>\\stjn.local\trimet\Btechnique\Commun\BT Maint SCELLEMENT\205 - Préventifs\Modèles préventif\GammeDMS_7.MSCT.xlsm</v>
      </c>
      <c r="AD472" s="47" t="str">
        <f>Chemin_accès!$B$8&amp;Tableau1[[#This Row],[Localisation / Classement]]&amp;"\"&amp;Tableau1[[#This Row],[Poste technique]]&amp;"_"&amp;Tableau1[[#This Row],[Plan Entretien]]&amp;".xlsm"</f>
        <v>\\stjn.local\trimet\Btechnique\Commun\BT Maint SCELLEMENT\205 - Préventifs\Gammes 7.MSCT PE Tool\\_.xlsm</v>
      </c>
    </row>
    <row r="473" spans="1:30" x14ac:dyDescent="0.3">
      <c r="A473" s="44" t="str">
        <f t="shared" ca="1" si="7"/>
        <v>7.MSCT</v>
      </c>
      <c r="B4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3" s="46"/>
      <c r="D473" s="44"/>
      <c r="E473" s="44"/>
      <c r="F473" s="52"/>
      <c r="G473" s="52"/>
      <c r="H473" s="67"/>
      <c r="I473" s="67"/>
      <c r="J473" s="67"/>
      <c r="K473" s="67"/>
      <c r="L473" s="53"/>
      <c r="M473" s="52"/>
      <c r="N473" s="53"/>
      <c r="O473" s="53"/>
      <c r="P473" s="52"/>
      <c r="Q473" s="53"/>
      <c r="R473" s="46"/>
      <c r="S473" s="48"/>
      <c r="T473" s="61" t="str">
        <f>IF(Tableau1[[#This Row],[DMS_SAP]]="","",HYPERLINK(Tableau1[[#This Row],[Chemin fichier source]],"X"))</f>
        <v/>
      </c>
      <c r="U473" s="61" t="str">
        <f>IF(Tableau1[[#This Row],[Date rév.]]="","",HYPERLINK(Tableau1[[#This Row],[Lien document]],"X"))</f>
        <v/>
      </c>
      <c r="V473" s="47"/>
      <c r="W473" s="49" t="str">
        <f ca="1">Chemin_accès!$B$2&amp;Tableau1[[#This Row],[Poste Responsable]]&amp;"\"&amp;Tableau1[[#This Row],[Localisation / Classement]]&amp;"\"&amp;Tableau1[[#This Row],[Poste technique]]&amp;"_"&amp;Tableau1[[#This Row],[Plan Entretien]]&amp;".pdf"</f>
        <v>\\stjn.local\trimet\Donnees_Projets\Dms Sap\Maintenance\PlanEntretien\7.MSCT\\_.pdf</v>
      </c>
      <c r="X473" s="47"/>
      <c r="Y473" s="47"/>
      <c r="Z473" s="44" t="str">
        <f ca="1">IF(AND(Tableau1[[#This Row],[Charge]]&lt;&gt;0, Tableau1[[#This Row],[Nombre intervenants]]&lt;&gt;0,Tableau1[[#This Row],[Lien document]]&lt;&gt;0,Tableau1[[#This Row],[DMS_SAP]]&lt;&gt;0)=TRUE,"MIS A JOUR","")</f>
        <v/>
      </c>
      <c r="AA473" s="48"/>
      <c r="AB473" s="58" t="str">
        <f ca="1">IF(Tableau1[[#This Row],[Date rév.]]&lt;&gt;"", DAYS360(Tableau1[[#This Row],[Date rév.]],TODAY()),"")</f>
        <v/>
      </c>
      <c r="AC473" s="47" t="str">
        <f>IFERROR(INDEX(Chemin_accès!$B$11:$C$22,MATCH(Tableau1[[#This Row],[Type]],Chemin_accès!$C$11:$C$22,0),1),Chemin_accès!$B$11)</f>
        <v>\\stjn.local\trimet\Btechnique\Commun\BT Maint SCELLEMENT\205 - Préventifs\Modèles préventif\GammeDMS_7.MSCT.xlsm</v>
      </c>
      <c r="AD473" s="47" t="str">
        <f>Chemin_accès!$B$8&amp;Tableau1[[#This Row],[Localisation / Classement]]&amp;"\"&amp;Tableau1[[#This Row],[Poste technique]]&amp;"_"&amp;Tableau1[[#This Row],[Plan Entretien]]&amp;".xlsm"</f>
        <v>\\stjn.local\trimet\Btechnique\Commun\BT Maint SCELLEMENT\205 - Préventifs\Gammes 7.MSCT PE Tool\\_.xlsm</v>
      </c>
    </row>
    <row r="474" spans="1:30" x14ac:dyDescent="0.3">
      <c r="A474" s="44" t="str">
        <f t="shared" ca="1" si="7"/>
        <v>7.MSCT</v>
      </c>
      <c r="B4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4" s="46"/>
      <c r="D474" s="44"/>
      <c r="E474" s="44"/>
      <c r="F474" s="52"/>
      <c r="G474" s="52"/>
      <c r="H474" s="67"/>
      <c r="I474" s="67"/>
      <c r="J474" s="67"/>
      <c r="K474" s="67"/>
      <c r="L474" s="53"/>
      <c r="M474" s="52"/>
      <c r="N474" s="53"/>
      <c r="O474" s="53"/>
      <c r="P474" s="52"/>
      <c r="Q474" s="53"/>
      <c r="R474" s="46"/>
      <c r="S474" s="48"/>
      <c r="T474" s="61" t="str">
        <f>IF(Tableau1[[#This Row],[DMS_SAP]]="","",HYPERLINK(Tableau1[[#This Row],[Chemin fichier source]],"X"))</f>
        <v/>
      </c>
      <c r="U474" s="61" t="str">
        <f>IF(Tableau1[[#This Row],[Date rév.]]="","",HYPERLINK(Tableau1[[#This Row],[Lien document]],"X"))</f>
        <v/>
      </c>
      <c r="V474" s="47"/>
      <c r="W474" s="49" t="str">
        <f ca="1">Chemin_accès!$B$2&amp;Tableau1[[#This Row],[Poste Responsable]]&amp;"\"&amp;Tableau1[[#This Row],[Localisation / Classement]]&amp;"\"&amp;Tableau1[[#This Row],[Poste technique]]&amp;"_"&amp;Tableau1[[#This Row],[Plan Entretien]]&amp;".pdf"</f>
        <v>\\stjn.local\trimet\Donnees_Projets\Dms Sap\Maintenance\PlanEntretien\7.MSCT\\_.pdf</v>
      </c>
      <c r="X474" s="47"/>
      <c r="Y474" s="47"/>
      <c r="Z474" s="44" t="str">
        <f ca="1">IF(AND(Tableau1[[#This Row],[Charge]]&lt;&gt;0, Tableau1[[#This Row],[Nombre intervenants]]&lt;&gt;0,Tableau1[[#This Row],[Lien document]]&lt;&gt;0,Tableau1[[#This Row],[DMS_SAP]]&lt;&gt;0)=TRUE,"MIS A JOUR","")</f>
        <v/>
      </c>
      <c r="AA474" s="48"/>
      <c r="AB474" s="58" t="str">
        <f ca="1">IF(Tableau1[[#This Row],[Date rév.]]&lt;&gt;"", DAYS360(Tableau1[[#This Row],[Date rév.]],TODAY()),"")</f>
        <v/>
      </c>
      <c r="AC474" s="47" t="str">
        <f>IFERROR(INDEX(Chemin_accès!$B$11:$C$22,MATCH(Tableau1[[#This Row],[Type]],Chemin_accès!$C$11:$C$22,0),1),Chemin_accès!$B$11)</f>
        <v>\\stjn.local\trimet\Btechnique\Commun\BT Maint SCELLEMENT\205 - Préventifs\Modèles préventif\GammeDMS_7.MSCT.xlsm</v>
      </c>
      <c r="AD474" s="47" t="str">
        <f>Chemin_accès!$B$8&amp;Tableau1[[#This Row],[Localisation / Classement]]&amp;"\"&amp;Tableau1[[#This Row],[Poste technique]]&amp;"_"&amp;Tableau1[[#This Row],[Plan Entretien]]&amp;".xlsm"</f>
        <v>\\stjn.local\trimet\Btechnique\Commun\BT Maint SCELLEMENT\205 - Préventifs\Gammes 7.MSCT PE Tool\\_.xlsm</v>
      </c>
    </row>
    <row r="475" spans="1:30" x14ac:dyDescent="0.3">
      <c r="A475" s="44" t="str">
        <f t="shared" ca="1" si="7"/>
        <v>7.MSCT</v>
      </c>
      <c r="B4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5" s="46"/>
      <c r="D475" s="44"/>
      <c r="E475" s="44"/>
      <c r="F475" s="52"/>
      <c r="G475" s="52"/>
      <c r="H475" s="67"/>
      <c r="I475" s="67"/>
      <c r="J475" s="67"/>
      <c r="K475" s="67"/>
      <c r="L475" s="53"/>
      <c r="M475" s="52"/>
      <c r="N475" s="53"/>
      <c r="O475" s="53"/>
      <c r="P475" s="52"/>
      <c r="Q475" s="53"/>
      <c r="R475" s="46"/>
      <c r="S475" s="48"/>
      <c r="T475" s="61" t="str">
        <f>IF(Tableau1[[#This Row],[DMS_SAP]]="","",HYPERLINK(Tableau1[[#This Row],[Chemin fichier source]],"X"))</f>
        <v/>
      </c>
      <c r="U475" s="61" t="str">
        <f>IF(Tableau1[[#This Row],[Date rév.]]="","",HYPERLINK(Tableau1[[#This Row],[Lien document]],"X"))</f>
        <v/>
      </c>
      <c r="V475" s="47"/>
      <c r="W475" s="49" t="str">
        <f ca="1">Chemin_accès!$B$2&amp;Tableau1[[#This Row],[Poste Responsable]]&amp;"\"&amp;Tableau1[[#This Row],[Localisation / Classement]]&amp;"\"&amp;Tableau1[[#This Row],[Poste technique]]&amp;"_"&amp;Tableau1[[#This Row],[Plan Entretien]]&amp;".pdf"</f>
        <v>\\stjn.local\trimet\Donnees_Projets\Dms Sap\Maintenance\PlanEntretien\7.MSCT\\_.pdf</v>
      </c>
      <c r="X475" s="47"/>
      <c r="Y475" s="47"/>
      <c r="Z475" s="44" t="str">
        <f ca="1">IF(AND(Tableau1[[#This Row],[Charge]]&lt;&gt;0, Tableau1[[#This Row],[Nombre intervenants]]&lt;&gt;0,Tableau1[[#This Row],[Lien document]]&lt;&gt;0,Tableau1[[#This Row],[DMS_SAP]]&lt;&gt;0)=TRUE,"MIS A JOUR","")</f>
        <v/>
      </c>
      <c r="AA475" s="48"/>
      <c r="AB475" s="58" t="str">
        <f ca="1">IF(Tableau1[[#This Row],[Date rév.]]&lt;&gt;"", DAYS360(Tableau1[[#This Row],[Date rév.]],TODAY()),"")</f>
        <v/>
      </c>
      <c r="AC475" s="47" t="str">
        <f>IFERROR(INDEX(Chemin_accès!$B$11:$C$22,MATCH(Tableau1[[#This Row],[Type]],Chemin_accès!$C$11:$C$22,0),1),Chemin_accès!$B$11)</f>
        <v>\\stjn.local\trimet\Btechnique\Commun\BT Maint SCELLEMENT\205 - Préventifs\Modèles préventif\GammeDMS_7.MSCT.xlsm</v>
      </c>
      <c r="AD475" s="47" t="str">
        <f>Chemin_accès!$B$8&amp;Tableau1[[#This Row],[Localisation / Classement]]&amp;"\"&amp;Tableau1[[#This Row],[Poste technique]]&amp;"_"&amp;Tableau1[[#This Row],[Plan Entretien]]&amp;".xlsm"</f>
        <v>\\stjn.local\trimet\Btechnique\Commun\BT Maint SCELLEMENT\205 - Préventifs\Gammes 7.MSCT PE Tool\\_.xlsm</v>
      </c>
    </row>
    <row r="476" spans="1:30" x14ac:dyDescent="0.3">
      <c r="A476" s="44" t="str">
        <f t="shared" ca="1" si="7"/>
        <v>7.MSCT</v>
      </c>
      <c r="B4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6" s="46"/>
      <c r="D476" s="44"/>
      <c r="E476" s="44"/>
      <c r="F476" s="52"/>
      <c r="G476" s="52"/>
      <c r="H476" s="67"/>
      <c r="I476" s="67"/>
      <c r="J476" s="67"/>
      <c r="K476" s="67"/>
      <c r="L476" s="53"/>
      <c r="M476" s="52"/>
      <c r="N476" s="53"/>
      <c r="O476" s="53"/>
      <c r="P476" s="52"/>
      <c r="Q476" s="53"/>
      <c r="R476" s="46"/>
      <c r="S476" s="48"/>
      <c r="T476" s="61" t="str">
        <f>IF(Tableau1[[#This Row],[DMS_SAP]]="","",HYPERLINK(Tableau1[[#This Row],[Chemin fichier source]],"X"))</f>
        <v/>
      </c>
      <c r="U476" s="61" t="str">
        <f>IF(Tableau1[[#This Row],[Date rév.]]="","",HYPERLINK(Tableau1[[#This Row],[Lien document]],"X"))</f>
        <v/>
      </c>
      <c r="V476" s="47"/>
      <c r="W476" s="49" t="str">
        <f ca="1">Chemin_accès!$B$2&amp;Tableau1[[#This Row],[Poste Responsable]]&amp;"\"&amp;Tableau1[[#This Row],[Localisation / Classement]]&amp;"\"&amp;Tableau1[[#This Row],[Poste technique]]&amp;"_"&amp;Tableau1[[#This Row],[Plan Entretien]]&amp;".pdf"</f>
        <v>\\stjn.local\trimet\Donnees_Projets\Dms Sap\Maintenance\PlanEntretien\7.MSCT\\_.pdf</v>
      </c>
      <c r="X476" s="47"/>
      <c r="Y476" s="47"/>
      <c r="Z476" s="44" t="str">
        <f ca="1">IF(AND(Tableau1[[#This Row],[Charge]]&lt;&gt;0, Tableau1[[#This Row],[Nombre intervenants]]&lt;&gt;0,Tableau1[[#This Row],[Lien document]]&lt;&gt;0,Tableau1[[#This Row],[DMS_SAP]]&lt;&gt;0)=TRUE,"MIS A JOUR","")</f>
        <v/>
      </c>
      <c r="AA476" s="48"/>
      <c r="AB476" s="58" t="str">
        <f ca="1">IF(Tableau1[[#This Row],[Date rév.]]&lt;&gt;"", DAYS360(Tableau1[[#This Row],[Date rév.]],TODAY()),"")</f>
        <v/>
      </c>
      <c r="AC476" s="47" t="str">
        <f>IFERROR(INDEX(Chemin_accès!$B$11:$C$22,MATCH(Tableau1[[#This Row],[Type]],Chemin_accès!$C$11:$C$22,0),1),Chemin_accès!$B$11)</f>
        <v>\\stjn.local\trimet\Btechnique\Commun\BT Maint SCELLEMENT\205 - Préventifs\Modèles préventif\GammeDMS_7.MSCT.xlsm</v>
      </c>
      <c r="AD476" s="47" t="str">
        <f>Chemin_accès!$B$8&amp;Tableau1[[#This Row],[Localisation / Classement]]&amp;"\"&amp;Tableau1[[#This Row],[Poste technique]]&amp;"_"&amp;Tableau1[[#This Row],[Plan Entretien]]&amp;".xlsm"</f>
        <v>\\stjn.local\trimet\Btechnique\Commun\BT Maint SCELLEMENT\205 - Préventifs\Gammes 7.MSCT PE Tool\\_.xlsm</v>
      </c>
    </row>
    <row r="477" spans="1:30" x14ac:dyDescent="0.3">
      <c r="A477" s="44" t="str">
        <f t="shared" ca="1" si="7"/>
        <v>7.MSCT</v>
      </c>
      <c r="B4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7" s="46"/>
      <c r="D477" s="44"/>
      <c r="E477" s="44"/>
      <c r="F477" s="52"/>
      <c r="G477" s="52"/>
      <c r="H477" s="67"/>
      <c r="I477" s="67"/>
      <c r="J477" s="67"/>
      <c r="K477" s="67"/>
      <c r="L477" s="53"/>
      <c r="M477" s="52"/>
      <c r="N477" s="53"/>
      <c r="O477" s="53"/>
      <c r="P477" s="52"/>
      <c r="Q477" s="53"/>
      <c r="R477" s="46"/>
      <c r="S477" s="48"/>
      <c r="T477" s="61" t="str">
        <f>IF(Tableau1[[#This Row],[DMS_SAP]]="","",HYPERLINK(Tableau1[[#This Row],[Chemin fichier source]],"X"))</f>
        <v/>
      </c>
      <c r="U477" s="61" t="str">
        <f>IF(Tableau1[[#This Row],[Date rév.]]="","",HYPERLINK(Tableau1[[#This Row],[Lien document]],"X"))</f>
        <v/>
      </c>
      <c r="V477" s="47"/>
      <c r="W477" s="49" t="str">
        <f ca="1">Chemin_accès!$B$2&amp;Tableau1[[#This Row],[Poste Responsable]]&amp;"\"&amp;Tableau1[[#This Row],[Localisation / Classement]]&amp;"\"&amp;Tableau1[[#This Row],[Poste technique]]&amp;"_"&amp;Tableau1[[#This Row],[Plan Entretien]]&amp;".pdf"</f>
        <v>\\stjn.local\trimet\Donnees_Projets\Dms Sap\Maintenance\PlanEntretien\7.MSCT\\_.pdf</v>
      </c>
      <c r="X477" s="47"/>
      <c r="Y477" s="47"/>
      <c r="Z477" s="44" t="str">
        <f ca="1">IF(AND(Tableau1[[#This Row],[Charge]]&lt;&gt;0, Tableau1[[#This Row],[Nombre intervenants]]&lt;&gt;0,Tableau1[[#This Row],[Lien document]]&lt;&gt;0,Tableau1[[#This Row],[DMS_SAP]]&lt;&gt;0)=TRUE,"MIS A JOUR","")</f>
        <v/>
      </c>
      <c r="AA477" s="48"/>
      <c r="AB477" s="58" t="str">
        <f ca="1">IF(Tableau1[[#This Row],[Date rév.]]&lt;&gt;"", DAYS360(Tableau1[[#This Row],[Date rév.]],TODAY()),"")</f>
        <v/>
      </c>
      <c r="AC477" s="47" t="str">
        <f>IFERROR(INDEX(Chemin_accès!$B$11:$C$22,MATCH(Tableau1[[#This Row],[Type]],Chemin_accès!$C$11:$C$22,0),1),Chemin_accès!$B$11)</f>
        <v>\\stjn.local\trimet\Btechnique\Commun\BT Maint SCELLEMENT\205 - Préventifs\Modèles préventif\GammeDMS_7.MSCT.xlsm</v>
      </c>
      <c r="AD477" s="47" t="str">
        <f>Chemin_accès!$B$8&amp;Tableau1[[#This Row],[Localisation / Classement]]&amp;"\"&amp;Tableau1[[#This Row],[Poste technique]]&amp;"_"&amp;Tableau1[[#This Row],[Plan Entretien]]&amp;".xlsm"</f>
        <v>\\stjn.local\trimet\Btechnique\Commun\BT Maint SCELLEMENT\205 - Préventifs\Gammes 7.MSCT PE Tool\\_.xlsm</v>
      </c>
    </row>
    <row r="478" spans="1:30" x14ac:dyDescent="0.3">
      <c r="A478" s="44" t="str">
        <f t="shared" ca="1" si="7"/>
        <v>7.MSCT</v>
      </c>
      <c r="B4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8" s="46"/>
      <c r="D478" s="44"/>
      <c r="E478" s="44"/>
      <c r="F478" s="52"/>
      <c r="G478" s="52"/>
      <c r="H478" s="67"/>
      <c r="I478" s="67"/>
      <c r="J478" s="67"/>
      <c r="K478" s="67"/>
      <c r="L478" s="53"/>
      <c r="M478" s="52"/>
      <c r="N478" s="53"/>
      <c r="O478" s="53"/>
      <c r="P478" s="52"/>
      <c r="Q478" s="53"/>
      <c r="R478" s="46"/>
      <c r="S478" s="48"/>
      <c r="T478" s="61" t="str">
        <f>IF(Tableau1[[#This Row],[DMS_SAP]]="","",HYPERLINK(Tableau1[[#This Row],[Chemin fichier source]],"X"))</f>
        <v/>
      </c>
      <c r="U478" s="61" t="str">
        <f>IF(Tableau1[[#This Row],[Date rév.]]="","",HYPERLINK(Tableau1[[#This Row],[Lien document]],"X"))</f>
        <v/>
      </c>
      <c r="V478" s="47"/>
      <c r="W478" s="49" t="str">
        <f ca="1">Chemin_accès!$B$2&amp;Tableau1[[#This Row],[Poste Responsable]]&amp;"\"&amp;Tableau1[[#This Row],[Localisation / Classement]]&amp;"\"&amp;Tableau1[[#This Row],[Poste technique]]&amp;"_"&amp;Tableau1[[#This Row],[Plan Entretien]]&amp;".pdf"</f>
        <v>\\stjn.local\trimet\Donnees_Projets\Dms Sap\Maintenance\PlanEntretien\7.MSCT\\_.pdf</v>
      </c>
      <c r="X478" s="47"/>
      <c r="Y478" s="47"/>
      <c r="Z478" s="44" t="str">
        <f ca="1">IF(AND(Tableau1[[#This Row],[Charge]]&lt;&gt;0, Tableau1[[#This Row],[Nombre intervenants]]&lt;&gt;0,Tableau1[[#This Row],[Lien document]]&lt;&gt;0,Tableau1[[#This Row],[DMS_SAP]]&lt;&gt;0)=TRUE,"MIS A JOUR","")</f>
        <v/>
      </c>
      <c r="AA478" s="48"/>
      <c r="AB478" s="58" t="str">
        <f ca="1">IF(Tableau1[[#This Row],[Date rév.]]&lt;&gt;"", DAYS360(Tableau1[[#This Row],[Date rév.]],TODAY()),"")</f>
        <v/>
      </c>
      <c r="AC478" s="47" t="str">
        <f>IFERROR(INDEX(Chemin_accès!$B$11:$C$22,MATCH(Tableau1[[#This Row],[Type]],Chemin_accès!$C$11:$C$22,0),1),Chemin_accès!$B$11)</f>
        <v>\\stjn.local\trimet\Btechnique\Commun\BT Maint SCELLEMENT\205 - Préventifs\Modèles préventif\GammeDMS_7.MSCT.xlsm</v>
      </c>
      <c r="AD478" s="47" t="str">
        <f>Chemin_accès!$B$8&amp;Tableau1[[#This Row],[Localisation / Classement]]&amp;"\"&amp;Tableau1[[#This Row],[Poste technique]]&amp;"_"&amp;Tableau1[[#This Row],[Plan Entretien]]&amp;".xlsm"</f>
        <v>\\stjn.local\trimet\Btechnique\Commun\BT Maint SCELLEMENT\205 - Préventifs\Gammes 7.MSCT PE Tool\\_.xlsm</v>
      </c>
    </row>
    <row r="479" spans="1:30" x14ac:dyDescent="0.3">
      <c r="A479" s="44" t="str">
        <f t="shared" ca="1" si="7"/>
        <v>7.MSCT</v>
      </c>
      <c r="B4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9" s="46"/>
      <c r="D479" s="44"/>
      <c r="E479" s="44"/>
      <c r="F479" s="47"/>
      <c r="G479" s="47"/>
      <c r="H479" s="50"/>
      <c r="I479" s="50"/>
      <c r="J479" s="50"/>
      <c r="K479" s="50"/>
      <c r="L479" s="46"/>
      <c r="M479" s="47"/>
      <c r="N479" s="46"/>
      <c r="O479" s="46"/>
      <c r="P479" s="47"/>
      <c r="Q479" s="46"/>
      <c r="R479" s="46"/>
      <c r="S479" s="48"/>
      <c r="T479" s="61" t="str">
        <f>IF(Tableau1[[#This Row],[DMS_SAP]]="","",HYPERLINK(Tableau1[[#This Row],[Chemin fichier source]],"X"))</f>
        <v/>
      </c>
      <c r="U479" s="61" t="str">
        <f>IF(Tableau1[[#This Row],[Date rév.]]="","",HYPERLINK(Tableau1[[#This Row],[Lien document]],"X"))</f>
        <v/>
      </c>
      <c r="V479" s="47"/>
      <c r="W479" s="49" t="str">
        <f ca="1">Chemin_accès!$B$2&amp;Tableau1[[#This Row],[Poste Responsable]]&amp;"\"&amp;Tableau1[[#This Row],[Localisation / Classement]]&amp;"\"&amp;Tableau1[[#This Row],[Poste technique]]&amp;"_"&amp;Tableau1[[#This Row],[Plan Entretien]]&amp;".pdf"</f>
        <v>\\stjn.local\trimet\Donnees_Projets\Dms Sap\Maintenance\PlanEntretien\7.MSCT\\_.pdf</v>
      </c>
      <c r="X479" s="47"/>
      <c r="Y479" s="47"/>
      <c r="Z479" s="44" t="str">
        <f ca="1">IF(AND(Tableau1[[#This Row],[Charge]]&lt;&gt;0, Tableau1[[#This Row],[Nombre intervenants]]&lt;&gt;0,Tableau1[[#This Row],[Lien document]]&lt;&gt;0,Tableau1[[#This Row],[DMS_SAP]]&lt;&gt;0)=TRUE,"MIS A JOUR","")</f>
        <v/>
      </c>
      <c r="AA479" s="48"/>
      <c r="AB479" s="58" t="str">
        <f ca="1">IF(Tableau1[[#This Row],[Date rév.]]&lt;&gt;"", DAYS360(Tableau1[[#This Row],[Date rév.]],TODAY()),"")</f>
        <v/>
      </c>
      <c r="AC479" s="47" t="str">
        <f>IFERROR(INDEX(Chemin_accès!$B$11:$C$22,MATCH(Tableau1[[#This Row],[Type]],Chemin_accès!$C$11:$C$22,0),1),Chemin_accès!$B$11)</f>
        <v>\\stjn.local\trimet\Btechnique\Commun\BT Maint SCELLEMENT\205 - Préventifs\Modèles préventif\GammeDMS_7.MSCT.xlsm</v>
      </c>
      <c r="AD479" s="47" t="str">
        <f>Chemin_accès!$B$8&amp;Tableau1[[#This Row],[Localisation / Classement]]&amp;"\"&amp;Tableau1[[#This Row],[Poste technique]]&amp;"_"&amp;Tableau1[[#This Row],[Plan Entretien]]&amp;".xlsm"</f>
        <v>\\stjn.local\trimet\Btechnique\Commun\BT Maint SCELLEMENT\205 - Préventifs\Gammes 7.MSCT PE Tool\\_.xlsm</v>
      </c>
    </row>
    <row r="480" spans="1:30" x14ac:dyDescent="0.3">
      <c r="A480" s="44" t="str">
        <f t="shared" ca="1" si="7"/>
        <v>7.MSCT</v>
      </c>
      <c r="B4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0" s="46"/>
      <c r="D480" s="44"/>
      <c r="E480" s="44"/>
      <c r="F480" s="47"/>
      <c r="G480" s="47"/>
      <c r="H480" s="50"/>
      <c r="I480" s="50"/>
      <c r="J480" s="50"/>
      <c r="K480" s="50"/>
      <c r="L480" s="46"/>
      <c r="M480" s="47"/>
      <c r="N480" s="46"/>
      <c r="O480" s="46"/>
      <c r="P480" s="47"/>
      <c r="Q480" s="46"/>
      <c r="R480" s="46"/>
      <c r="S480" s="48"/>
      <c r="T480" s="61" t="str">
        <f>IF(Tableau1[[#This Row],[DMS_SAP]]="","",HYPERLINK(Tableau1[[#This Row],[Chemin fichier source]],"X"))</f>
        <v/>
      </c>
      <c r="U480" s="61" t="str">
        <f>IF(Tableau1[[#This Row],[Date rév.]]="","",HYPERLINK(Tableau1[[#This Row],[Lien document]],"X"))</f>
        <v/>
      </c>
      <c r="V480" s="47"/>
      <c r="W480" s="49" t="str">
        <f ca="1">Chemin_accès!$B$2&amp;Tableau1[[#This Row],[Poste Responsable]]&amp;"\"&amp;Tableau1[[#This Row],[Localisation / Classement]]&amp;"\"&amp;Tableau1[[#This Row],[Poste technique]]&amp;"_"&amp;Tableau1[[#This Row],[Plan Entretien]]&amp;".pdf"</f>
        <v>\\stjn.local\trimet\Donnees_Projets\Dms Sap\Maintenance\PlanEntretien\7.MSCT\\_.pdf</v>
      </c>
      <c r="X480" s="47"/>
      <c r="Y480" s="47"/>
      <c r="Z480" s="44" t="str">
        <f ca="1">IF(AND(Tableau1[[#This Row],[Charge]]&lt;&gt;0, Tableau1[[#This Row],[Nombre intervenants]]&lt;&gt;0,Tableau1[[#This Row],[Lien document]]&lt;&gt;0,Tableau1[[#This Row],[DMS_SAP]]&lt;&gt;0)=TRUE,"MIS A JOUR","")</f>
        <v/>
      </c>
      <c r="AA480" s="48"/>
      <c r="AB480" s="58" t="str">
        <f ca="1">IF(Tableau1[[#This Row],[Date rév.]]&lt;&gt;"", DAYS360(Tableau1[[#This Row],[Date rév.]],TODAY()),"")</f>
        <v/>
      </c>
      <c r="AC480" s="47" t="str">
        <f>IFERROR(INDEX(Chemin_accès!$B$11:$C$22,MATCH(Tableau1[[#This Row],[Type]],Chemin_accès!$C$11:$C$22,0),1),Chemin_accès!$B$11)</f>
        <v>\\stjn.local\trimet\Btechnique\Commun\BT Maint SCELLEMENT\205 - Préventifs\Modèles préventif\GammeDMS_7.MSCT.xlsm</v>
      </c>
      <c r="AD480" s="47" t="str">
        <f>Chemin_accès!$B$8&amp;Tableau1[[#This Row],[Localisation / Classement]]&amp;"\"&amp;Tableau1[[#This Row],[Poste technique]]&amp;"_"&amp;Tableau1[[#This Row],[Plan Entretien]]&amp;".xlsm"</f>
        <v>\\stjn.local\trimet\Btechnique\Commun\BT Maint SCELLEMENT\205 - Préventifs\Gammes 7.MSCT PE Tool\\_.xlsm</v>
      </c>
    </row>
    <row r="481" spans="1:30" x14ac:dyDescent="0.3">
      <c r="A481" s="44" t="str">
        <f t="shared" ca="1" si="7"/>
        <v>7.MSCT</v>
      </c>
      <c r="B4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1" s="46"/>
      <c r="D481" s="44"/>
      <c r="E481" s="44"/>
      <c r="F481" s="47"/>
      <c r="G481" s="47"/>
      <c r="H481" s="50"/>
      <c r="I481" s="50"/>
      <c r="J481" s="50"/>
      <c r="K481" s="50"/>
      <c r="L481" s="46"/>
      <c r="M481" s="47"/>
      <c r="N481" s="46"/>
      <c r="O481" s="46"/>
      <c r="P481" s="47"/>
      <c r="Q481" s="46"/>
      <c r="R481" s="46"/>
      <c r="S481" s="48"/>
      <c r="T481" s="61" t="str">
        <f>IF(Tableau1[[#This Row],[DMS_SAP]]="","",HYPERLINK(Tableau1[[#This Row],[Chemin fichier source]],"X"))</f>
        <v/>
      </c>
      <c r="U481" s="61" t="str">
        <f>IF(Tableau1[[#This Row],[Date rév.]]="","",HYPERLINK(Tableau1[[#This Row],[Lien document]],"X"))</f>
        <v/>
      </c>
      <c r="V481" s="47"/>
      <c r="W481" s="51" t="str">
        <f ca="1">Chemin_accès!$B$2&amp;Tableau1[[#This Row],[Poste Responsable]]&amp;"\"&amp;Tableau1[[#This Row],[Localisation / Classement]]&amp;"\"&amp;Tableau1[[#This Row],[Poste technique]]&amp;"_"&amp;Tableau1[[#This Row],[Plan Entretien]]&amp;".pdf"</f>
        <v>\\stjn.local\trimet\Donnees_Projets\Dms Sap\Maintenance\PlanEntretien\7.MSCT\\_.pdf</v>
      </c>
      <c r="X481" s="47"/>
      <c r="Y481" s="47"/>
      <c r="Z481" s="44" t="str">
        <f ca="1">IF(AND(Tableau1[[#This Row],[Charge]]&lt;&gt;0, Tableau1[[#This Row],[Nombre intervenants]]&lt;&gt;0,Tableau1[[#This Row],[Lien document]]&lt;&gt;0,Tableau1[[#This Row],[DMS_SAP]]&lt;&gt;0)=TRUE,"MIS A JOUR","")</f>
        <v/>
      </c>
      <c r="AA481" s="48"/>
      <c r="AB481" s="58" t="str">
        <f ca="1">IF(Tableau1[[#This Row],[Date rév.]]&lt;&gt;"", DAYS360(Tableau1[[#This Row],[Date rév.]],TODAY()),"")</f>
        <v/>
      </c>
      <c r="AC481" s="47" t="str">
        <f>IFERROR(INDEX(Chemin_accès!$B$11:$C$22,MATCH(Tableau1[[#This Row],[Type]],Chemin_accès!$C$11:$C$22,0),1),Chemin_accès!$B$11)</f>
        <v>\\stjn.local\trimet\Btechnique\Commun\BT Maint SCELLEMENT\205 - Préventifs\Modèles préventif\GammeDMS_7.MSCT.xlsm</v>
      </c>
      <c r="AD481" s="47" t="str">
        <f>Chemin_accès!$B$8&amp;Tableau1[[#This Row],[Localisation / Classement]]&amp;"\"&amp;Tableau1[[#This Row],[Poste technique]]&amp;"_"&amp;Tableau1[[#This Row],[Plan Entretien]]&amp;".xlsm"</f>
        <v>\\stjn.local\trimet\Btechnique\Commun\BT Maint SCELLEMENT\205 - Préventifs\Gammes 7.MSCT PE Tool\\_.xlsm</v>
      </c>
    </row>
    <row r="482" spans="1:30" x14ac:dyDescent="0.3">
      <c r="A482" s="44" t="str">
        <f t="shared" ca="1" si="7"/>
        <v>7.MSCT</v>
      </c>
      <c r="B4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2" s="46"/>
      <c r="D482" s="44"/>
      <c r="E482" s="44"/>
      <c r="F482" s="47"/>
      <c r="G482" s="47"/>
      <c r="H482" s="50"/>
      <c r="I482" s="50"/>
      <c r="J482" s="50"/>
      <c r="K482" s="50"/>
      <c r="L482" s="46"/>
      <c r="M482" s="47"/>
      <c r="N482" s="46"/>
      <c r="O482" s="46"/>
      <c r="P482" s="47"/>
      <c r="Q482" s="46"/>
      <c r="R482" s="46"/>
      <c r="S482" s="48"/>
      <c r="T482" s="61" t="str">
        <f>IF(Tableau1[[#This Row],[DMS_SAP]]="","",HYPERLINK(Tableau1[[#This Row],[Chemin fichier source]],"X"))</f>
        <v/>
      </c>
      <c r="U482" s="61" t="str">
        <f>IF(Tableau1[[#This Row],[Date rév.]]="","",HYPERLINK(Tableau1[[#This Row],[Lien document]],"X"))</f>
        <v/>
      </c>
      <c r="V482" s="47"/>
      <c r="W482" s="49" t="str">
        <f ca="1">Chemin_accès!$B$2&amp;Tableau1[[#This Row],[Poste Responsable]]&amp;"\"&amp;Tableau1[[#This Row],[Localisation / Classement]]&amp;"\"&amp;Tableau1[[#This Row],[Poste technique]]&amp;"_"&amp;Tableau1[[#This Row],[Plan Entretien]]&amp;".pdf"</f>
        <v>\\stjn.local\trimet\Donnees_Projets\Dms Sap\Maintenance\PlanEntretien\7.MSCT\\_.pdf</v>
      </c>
      <c r="X482" s="47"/>
      <c r="Y482" s="47"/>
      <c r="Z482" s="44" t="str">
        <f ca="1">IF(AND(Tableau1[[#This Row],[Charge]]&lt;&gt;0, Tableau1[[#This Row],[Nombre intervenants]]&lt;&gt;0,Tableau1[[#This Row],[Lien document]]&lt;&gt;0,Tableau1[[#This Row],[DMS_SAP]]&lt;&gt;0)=TRUE,"MIS A JOUR","")</f>
        <v/>
      </c>
      <c r="AA482" s="48"/>
      <c r="AB482" s="58" t="str">
        <f ca="1">IF(Tableau1[[#This Row],[Date rév.]]&lt;&gt;"", DAYS360(Tableau1[[#This Row],[Date rév.]],TODAY()),"")</f>
        <v/>
      </c>
      <c r="AC482" s="47" t="str">
        <f>IFERROR(INDEX(Chemin_accès!$B$11:$C$22,MATCH(Tableau1[[#This Row],[Type]],Chemin_accès!$C$11:$C$22,0),1),Chemin_accès!$B$11)</f>
        <v>\\stjn.local\trimet\Btechnique\Commun\BT Maint SCELLEMENT\205 - Préventifs\Modèles préventif\GammeDMS_7.MSCT.xlsm</v>
      </c>
      <c r="AD482" s="47" t="str">
        <f>Chemin_accès!$B$8&amp;Tableau1[[#This Row],[Localisation / Classement]]&amp;"\"&amp;Tableau1[[#This Row],[Poste technique]]&amp;"_"&amp;Tableau1[[#This Row],[Plan Entretien]]&amp;".xlsm"</f>
        <v>\\stjn.local\trimet\Btechnique\Commun\BT Maint SCELLEMENT\205 - Préventifs\Gammes 7.MSCT PE Tool\\_.xlsm</v>
      </c>
    </row>
    <row r="483" spans="1:30" x14ac:dyDescent="0.3">
      <c r="A483" s="44" t="str">
        <f t="shared" ca="1" si="7"/>
        <v>7.MSCT</v>
      </c>
      <c r="B4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3" s="46"/>
      <c r="D483" s="44"/>
      <c r="E483" s="44"/>
      <c r="F483" s="47"/>
      <c r="G483" s="47"/>
      <c r="H483" s="50"/>
      <c r="I483" s="50"/>
      <c r="J483" s="50"/>
      <c r="K483" s="50"/>
      <c r="L483" s="46"/>
      <c r="M483" s="47"/>
      <c r="N483" s="46"/>
      <c r="O483" s="46"/>
      <c r="P483" s="47"/>
      <c r="Q483" s="46"/>
      <c r="R483" s="46"/>
      <c r="S483" s="48"/>
      <c r="T483" s="61" t="str">
        <f>IF(Tableau1[[#This Row],[DMS_SAP]]="","",HYPERLINK(Tableau1[[#This Row],[Chemin fichier source]],"X"))</f>
        <v/>
      </c>
      <c r="U483" s="61" t="str">
        <f>IF(Tableau1[[#This Row],[Date rév.]]="","",HYPERLINK(Tableau1[[#This Row],[Lien document]],"X"))</f>
        <v/>
      </c>
      <c r="V483" s="47"/>
      <c r="W483" s="49" t="str">
        <f ca="1">Chemin_accès!$B$2&amp;Tableau1[[#This Row],[Poste Responsable]]&amp;"\"&amp;Tableau1[[#This Row],[Localisation / Classement]]&amp;"\"&amp;Tableau1[[#This Row],[Poste technique]]&amp;"_"&amp;Tableau1[[#This Row],[Plan Entretien]]&amp;".pdf"</f>
        <v>\\stjn.local\trimet\Donnees_Projets\Dms Sap\Maintenance\PlanEntretien\7.MSCT\\_.pdf</v>
      </c>
      <c r="X483" s="47"/>
      <c r="Y483" s="47"/>
      <c r="Z483" s="44" t="str">
        <f ca="1">IF(AND(Tableau1[[#This Row],[Charge]]&lt;&gt;0, Tableau1[[#This Row],[Nombre intervenants]]&lt;&gt;0,Tableau1[[#This Row],[Lien document]]&lt;&gt;0,Tableau1[[#This Row],[DMS_SAP]]&lt;&gt;0)=TRUE,"MIS A JOUR","")</f>
        <v/>
      </c>
      <c r="AA483" s="48"/>
      <c r="AB483" s="58" t="str">
        <f ca="1">IF(Tableau1[[#This Row],[Date rév.]]&lt;&gt;"", DAYS360(Tableau1[[#This Row],[Date rév.]],TODAY()),"")</f>
        <v/>
      </c>
      <c r="AC483" s="47" t="str">
        <f>IFERROR(INDEX(Chemin_accès!$B$11:$C$22,MATCH(Tableau1[[#This Row],[Type]],Chemin_accès!$C$11:$C$22,0),1),Chemin_accès!$B$11)</f>
        <v>\\stjn.local\trimet\Btechnique\Commun\BT Maint SCELLEMENT\205 - Préventifs\Modèles préventif\GammeDMS_7.MSCT.xlsm</v>
      </c>
      <c r="AD483" s="47" t="str">
        <f>Chemin_accès!$B$8&amp;Tableau1[[#This Row],[Localisation / Classement]]&amp;"\"&amp;Tableau1[[#This Row],[Poste technique]]&amp;"_"&amp;Tableau1[[#This Row],[Plan Entretien]]&amp;".xlsm"</f>
        <v>\\stjn.local\trimet\Btechnique\Commun\BT Maint SCELLEMENT\205 - Préventifs\Gammes 7.MSCT PE Tool\\_.xlsm</v>
      </c>
    </row>
    <row r="484" spans="1:30" x14ac:dyDescent="0.3">
      <c r="A484" s="44" t="str">
        <f t="shared" ca="1" si="7"/>
        <v>7.MSCT</v>
      </c>
      <c r="B4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4" s="46"/>
      <c r="D484" s="44"/>
      <c r="E484" s="44"/>
      <c r="F484" s="47"/>
      <c r="G484" s="47"/>
      <c r="H484" s="50"/>
      <c r="I484" s="50"/>
      <c r="J484" s="50"/>
      <c r="K484" s="50"/>
      <c r="L484" s="46"/>
      <c r="M484" s="47"/>
      <c r="N484" s="46"/>
      <c r="O484" s="46"/>
      <c r="P484" s="47"/>
      <c r="Q484" s="46"/>
      <c r="R484" s="46"/>
      <c r="S484" s="48"/>
      <c r="T484" s="61" t="str">
        <f>IF(Tableau1[[#This Row],[DMS_SAP]]="","",HYPERLINK(Tableau1[[#This Row],[Chemin fichier source]],"X"))</f>
        <v/>
      </c>
      <c r="U484" s="61" t="str">
        <f>IF(Tableau1[[#This Row],[Date rév.]]="","",HYPERLINK(Tableau1[[#This Row],[Lien document]],"X"))</f>
        <v/>
      </c>
      <c r="V484" s="47"/>
      <c r="W484" s="49" t="str">
        <f ca="1">Chemin_accès!$B$2&amp;Tableau1[[#This Row],[Poste Responsable]]&amp;"\"&amp;Tableau1[[#This Row],[Localisation / Classement]]&amp;"\"&amp;Tableau1[[#This Row],[Poste technique]]&amp;"_"&amp;Tableau1[[#This Row],[Plan Entretien]]&amp;".pdf"</f>
        <v>\\stjn.local\trimet\Donnees_Projets\Dms Sap\Maintenance\PlanEntretien\7.MSCT\\_.pdf</v>
      </c>
      <c r="X484" s="47"/>
      <c r="Y484" s="47"/>
      <c r="Z484" s="44" t="str">
        <f ca="1">IF(AND(Tableau1[[#This Row],[Charge]]&lt;&gt;0, Tableau1[[#This Row],[Nombre intervenants]]&lt;&gt;0,Tableau1[[#This Row],[Lien document]]&lt;&gt;0,Tableau1[[#This Row],[DMS_SAP]]&lt;&gt;0)=TRUE,"MIS A JOUR","")</f>
        <v/>
      </c>
      <c r="AA484" s="48"/>
      <c r="AB484" s="58" t="str">
        <f ca="1">IF(Tableau1[[#This Row],[Date rév.]]&lt;&gt;"", DAYS360(Tableau1[[#This Row],[Date rév.]],TODAY()),"")</f>
        <v/>
      </c>
      <c r="AC484" s="47" t="str">
        <f>IFERROR(INDEX(Chemin_accès!$B$11:$C$22,MATCH(Tableau1[[#This Row],[Type]],Chemin_accès!$C$11:$C$22,0),1),Chemin_accès!$B$11)</f>
        <v>\\stjn.local\trimet\Btechnique\Commun\BT Maint SCELLEMENT\205 - Préventifs\Modèles préventif\GammeDMS_7.MSCT.xlsm</v>
      </c>
      <c r="AD484" s="47" t="str">
        <f>Chemin_accès!$B$8&amp;Tableau1[[#This Row],[Localisation / Classement]]&amp;"\"&amp;Tableau1[[#This Row],[Poste technique]]&amp;"_"&amp;Tableau1[[#This Row],[Plan Entretien]]&amp;".xlsm"</f>
        <v>\\stjn.local\trimet\Btechnique\Commun\BT Maint SCELLEMENT\205 - Préventifs\Gammes 7.MSCT PE Tool\\_.xlsm</v>
      </c>
    </row>
    <row r="485" spans="1:30" x14ac:dyDescent="0.3">
      <c r="A485" s="44" t="str">
        <f t="shared" ca="1" si="7"/>
        <v>7.MSCT</v>
      </c>
      <c r="B4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5" s="46"/>
      <c r="D485" s="44"/>
      <c r="E485" s="44"/>
      <c r="F485" s="47"/>
      <c r="G485" s="47"/>
      <c r="H485" s="50"/>
      <c r="I485" s="50"/>
      <c r="J485" s="50"/>
      <c r="K485" s="50"/>
      <c r="L485" s="46"/>
      <c r="M485" s="47"/>
      <c r="N485" s="46"/>
      <c r="O485" s="46"/>
      <c r="P485" s="47"/>
      <c r="Q485" s="46"/>
      <c r="R485" s="46"/>
      <c r="S485" s="48"/>
      <c r="T485" s="61" t="str">
        <f>IF(Tableau1[[#This Row],[DMS_SAP]]="","",HYPERLINK(Tableau1[[#This Row],[Chemin fichier source]],"X"))</f>
        <v/>
      </c>
      <c r="U485" s="61" t="str">
        <f>IF(Tableau1[[#This Row],[Date rév.]]="","",HYPERLINK(Tableau1[[#This Row],[Lien document]],"X"))</f>
        <v/>
      </c>
      <c r="V485" s="47"/>
      <c r="W485" s="49" t="str">
        <f ca="1">Chemin_accès!$B$2&amp;Tableau1[[#This Row],[Poste Responsable]]&amp;"\"&amp;Tableau1[[#This Row],[Localisation / Classement]]&amp;"\"&amp;Tableau1[[#This Row],[Poste technique]]&amp;"_"&amp;Tableau1[[#This Row],[Plan Entretien]]&amp;".pdf"</f>
        <v>\\stjn.local\trimet\Donnees_Projets\Dms Sap\Maintenance\PlanEntretien\7.MSCT\\_.pdf</v>
      </c>
      <c r="X485" s="47"/>
      <c r="Y485" s="47"/>
      <c r="Z485" s="44" t="str">
        <f ca="1">IF(AND(Tableau1[[#This Row],[Charge]]&lt;&gt;0, Tableau1[[#This Row],[Nombre intervenants]]&lt;&gt;0,Tableau1[[#This Row],[Lien document]]&lt;&gt;0,Tableau1[[#This Row],[DMS_SAP]]&lt;&gt;0)=TRUE,"MIS A JOUR","")</f>
        <v/>
      </c>
      <c r="AA485" s="48"/>
      <c r="AB485" s="58" t="str">
        <f ca="1">IF(Tableau1[[#This Row],[Date rév.]]&lt;&gt;"", DAYS360(Tableau1[[#This Row],[Date rév.]],TODAY()),"")</f>
        <v/>
      </c>
      <c r="AC485" s="47" t="str">
        <f>IFERROR(INDEX(Chemin_accès!$B$11:$C$22,MATCH(Tableau1[[#This Row],[Type]],Chemin_accès!$C$11:$C$22,0),1),Chemin_accès!$B$11)</f>
        <v>\\stjn.local\trimet\Btechnique\Commun\BT Maint SCELLEMENT\205 - Préventifs\Modèles préventif\GammeDMS_7.MSCT.xlsm</v>
      </c>
      <c r="AD485" s="47" t="str">
        <f>Chemin_accès!$B$8&amp;Tableau1[[#This Row],[Localisation / Classement]]&amp;"\"&amp;Tableau1[[#This Row],[Poste technique]]&amp;"_"&amp;Tableau1[[#This Row],[Plan Entretien]]&amp;".xlsm"</f>
        <v>\\stjn.local\trimet\Btechnique\Commun\BT Maint SCELLEMENT\205 - Préventifs\Gammes 7.MSCT PE Tool\\_.xlsm</v>
      </c>
    </row>
    <row r="486" spans="1:30" x14ac:dyDescent="0.3">
      <c r="A486" s="44" t="str">
        <f t="shared" ca="1" si="7"/>
        <v>7.MSCT</v>
      </c>
      <c r="B4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6" s="46"/>
      <c r="D486" s="44"/>
      <c r="E486" s="44"/>
      <c r="F486" s="47"/>
      <c r="G486" s="47"/>
      <c r="H486" s="50"/>
      <c r="I486" s="50"/>
      <c r="J486" s="50"/>
      <c r="K486" s="50"/>
      <c r="L486" s="46"/>
      <c r="M486" s="47"/>
      <c r="N486" s="46"/>
      <c r="O486" s="46"/>
      <c r="P486" s="47"/>
      <c r="Q486" s="46"/>
      <c r="R486" s="46"/>
      <c r="S486" s="48"/>
      <c r="T486" s="61" t="str">
        <f>IF(Tableau1[[#This Row],[DMS_SAP]]="","",HYPERLINK(Tableau1[[#This Row],[Chemin fichier source]],"X"))</f>
        <v/>
      </c>
      <c r="U486" s="61" t="str">
        <f>IF(Tableau1[[#This Row],[Date rév.]]="","",HYPERLINK(Tableau1[[#This Row],[Lien document]],"X"))</f>
        <v/>
      </c>
      <c r="V486" s="47"/>
      <c r="W486" s="49" t="str">
        <f ca="1">Chemin_accès!$B$2&amp;Tableau1[[#This Row],[Poste Responsable]]&amp;"\"&amp;Tableau1[[#This Row],[Localisation / Classement]]&amp;"\"&amp;Tableau1[[#This Row],[Poste technique]]&amp;"_"&amp;Tableau1[[#This Row],[Plan Entretien]]&amp;".pdf"</f>
        <v>\\stjn.local\trimet\Donnees_Projets\Dms Sap\Maintenance\PlanEntretien\7.MSCT\\_.pdf</v>
      </c>
      <c r="X486" s="47"/>
      <c r="Y486" s="47"/>
      <c r="Z486" s="44" t="str">
        <f ca="1">IF(AND(Tableau1[[#This Row],[Charge]]&lt;&gt;0, Tableau1[[#This Row],[Nombre intervenants]]&lt;&gt;0,Tableau1[[#This Row],[Lien document]]&lt;&gt;0,Tableau1[[#This Row],[DMS_SAP]]&lt;&gt;0)=TRUE,"MIS A JOUR","")</f>
        <v/>
      </c>
      <c r="AA486" s="48"/>
      <c r="AB486" s="58" t="str">
        <f ca="1">IF(Tableau1[[#This Row],[Date rév.]]&lt;&gt;"", DAYS360(Tableau1[[#This Row],[Date rév.]],TODAY()),"")</f>
        <v/>
      </c>
      <c r="AC486" s="47" t="str">
        <f>IFERROR(INDEX(Chemin_accès!$B$11:$C$22,MATCH(Tableau1[[#This Row],[Type]],Chemin_accès!$C$11:$C$22,0),1),Chemin_accès!$B$11)</f>
        <v>\\stjn.local\trimet\Btechnique\Commun\BT Maint SCELLEMENT\205 - Préventifs\Modèles préventif\GammeDMS_7.MSCT.xlsm</v>
      </c>
      <c r="AD486" s="47" t="str">
        <f>Chemin_accès!$B$8&amp;Tableau1[[#This Row],[Localisation / Classement]]&amp;"\"&amp;Tableau1[[#This Row],[Poste technique]]&amp;"_"&amp;Tableau1[[#This Row],[Plan Entretien]]&amp;".xlsm"</f>
        <v>\\stjn.local\trimet\Btechnique\Commun\BT Maint SCELLEMENT\205 - Préventifs\Gammes 7.MSCT PE Tool\\_.xlsm</v>
      </c>
    </row>
    <row r="487" spans="1:30" x14ac:dyDescent="0.3">
      <c r="A487" s="44" t="str">
        <f t="shared" ca="1" si="7"/>
        <v>7.MSCT</v>
      </c>
      <c r="B4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7" s="46"/>
      <c r="D487" s="44"/>
      <c r="E487" s="44"/>
      <c r="F487" s="47"/>
      <c r="G487" s="47"/>
      <c r="H487" s="50"/>
      <c r="I487" s="50"/>
      <c r="J487" s="50"/>
      <c r="K487" s="50"/>
      <c r="L487" s="46"/>
      <c r="M487" s="47"/>
      <c r="N487" s="46"/>
      <c r="O487" s="46"/>
      <c r="P487" s="47"/>
      <c r="Q487" s="46"/>
      <c r="R487" s="46"/>
      <c r="S487" s="48"/>
      <c r="T487" s="61" t="str">
        <f>IF(Tableau1[[#This Row],[DMS_SAP]]="","",HYPERLINK(Tableau1[[#This Row],[Chemin fichier source]],"X"))</f>
        <v/>
      </c>
      <c r="U487" s="61" t="str">
        <f>IF(Tableau1[[#This Row],[Date rév.]]="","",HYPERLINK(Tableau1[[#This Row],[Lien document]],"X"))</f>
        <v/>
      </c>
      <c r="V487" s="47"/>
      <c r="W487" s="49" t="str">
        <f ca="1">Chemin_accès!$B$2&amp;Tableau1[[#This Row],[Poste Responsable]]&amp;"\"&amp;Tableau1[[#This Row],[Localisation / Classement]]&amp;"\"&amp;Tableau1[[#This Row],[Poste technique]]&amp;"_"&amp;Tableau1[[#This Row],[Plan Entretien]]&amp;".pdf"</f>
        <v>\\stjn.local\trimet\Donnees_Projets\Dms Sap\Maintenance\PlanEntretien\7.MSCT\\_.pdf</v>
      </c>
      <c r="X487" s="47"/>
      <c r="Y487" s="47"/>
      <c r="Z487" s="44" t="str">
        <f ca="1">IF(AND(Tableau1[[#This Row],[Charge]]&lt;&gt;0, Tableau1[[#This Row],[Nombre intervenants]]&lt;&gt;0,Tableau1[[#This Row],[Lien document]]&lt;&gt;0,Tableau1[[#This Row],[DMS_SAP]]&lt;&gt;0)=TRUE,"MIS A JOUR","")</f>
        <v/>
      </c>
      <c r="AA487" s="48"/>
      <c r="AB487" s="58" t="str">
        <f ca="1">IF(Tableau1[[#This Row],[Date rév.]]&lt;&gt;"", DAYS360(Tableau1[[#This Row],[Date rév.]],TODAY()),"")</f>
        <v/>
      </c>
      <c r="AC487" s="47" t="str">
        <f>IFERROR(INDEX(Chemin_accès!$B$11:$C$22,MATCH(Tableau1[[#This Row],[Type]],Chemin_accès!$C$11:$C$22,0),1),Chemin_accès!$B$11)</f>
        <v>\\stjn.local\trimet\Btechnique\Commun\BT Maint SCELLEMENT\205 - Préventifs\Modèles préventif\GammeDMS_7.MSCT.xlsm</v>
      </c>
      <c r="AD487" s="47" t="str">
        <f>Chemin_accès!$B$8&amp;Tableau1[[#This Row],[Localisation / Classement]]&amp;"\"&amp;Tableau1[[#This Row],[Poste technique]]&amp;"_"&amp;Tableau1[[#This Row],[Plan Entretien]]&amp;".xlsm"</f>
        <v>\\stjn.local\trimet\Btechnique\Commun\BT Maint SCELLEMENT\205 - Préventifs\Gammes 7.MSCT PE Tool\\_.xlsm</v>
      </c>
    </row>
    <row r="488" spans="1:30" x14ac:dyDescent="0.3">
      <c r="A488" s="44" t="str">
        <f t="shared" ca="1" si="7"/>
        <v>7.MSCT</v>
      </c>
      <c r="B4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8" s="46"/>
      <c r="D488" s="44"/>
      <c r="E488" s="44"/>
      <c r="F488" s="47"/>
      <c r="G488" s="47"/>
      <c r="H488" s="50"/>
      <c r="I488" s="50"/>
      <c r="J488" s="50"/>
      <c r="K488" s="50"/>
      <c r="L488" s="46"/>
      <c r="M488" s="47"/>
      <c r="N488" s="46"/>
      <c r="O488" s="46"/>
      <c r="P488" s="47"/>
      <c r="Q488" s="46"/>
      <c r="R488" s="46"/>
      <c r="S488" s="48"/>
      <c r="T488" s="61" t="str">
        <f>IF(Tableau1[[#This Row],[DMS_SAP]]="","",HYPERLINK(Tableau1[[#This Row],[Chemin fichier source]],"X"))</f>
        <v/>
      </c>
      <c r="U488" s="61" t="str">
        <f>IF(Tableau1[[#This Row],[Date rév.]]="","",HYPERLINK(Tableau1[[#This Row],[Lien document]],"X"))</f>
        <v/>
      </c>
      <c r="V488" s="47"/>
      <c r="W488" s="49" t="str">
        <f ca="1">Chemin_accès!$B$2&amp;Tableau1[[#This Row],[Poste Responsable]]&amp;"\"&amp;Tableau1[[#This Row],[Localisation / Classement]]&amp;"\"&amp;Tableau1[[#This Row],[Poste technique]]&amp;"_"&amp;Tableau1[[#This Row],[Plan Entretien]]&amp;".pdf"</f>
        <v>\\stjn.local\trimet\Donnees_Projets\Dms Sap\Maintenance\PlanEntretien\7.MSCT\\_.pdf</v>
      </c>
      <c r="X488" s="47"/>
      <c r="Y488" s="47"/>
      <c r="Z488" s="44" t="str">
        <f ca="1">IF(AND(Tableau1[[#This Row],[Charge]]&lt;&gt;0, Tableau1[[#This Row],[Nombre intervenants]]&lt;&gt;0,Tableau1[[#This Row],[Lien document]]&lt;&gt;0,Tableau1[[#This Row],[DMS_SAP]]&lt;&gt;0)=TRUE,"MIS A JOUR","")</f>
        <v/>
      </c>
      <c r="AA488" s="48"/>
      <c r="AB488" s="58" t="str">
        <f ca="1">IF(Tableau1[[#This Row],[Date rév.]]&lt;&gt;"", DAYS360(Tableau1[[#This Row],[Date rév.]],TODAY()),"")</f>
        <v/>
      </c>
      <c r="AC488" s="47" t="str">
        <f>IFERROR(INDEX(Chemin_accès!$B$11:$C$22,MATCH(Tableau1[[#This Row],[Type]],Chemin_accès!$C$11:$C$22,0),1),Chemin_accès!$B$11)</f>
        <v>\\stjn.local\trimet\Btechnique\Commun\BT Maint SCELLEMENT\205 - Préventifs\Modèles préventif\GammeDMS_7.MSCT.xlsm</v>
      </c>
      <c r="AD488" s="47" t="str">
        <f>Chemin_accès!$B$8&amp;Tableau1[[#This Row],[Localisation / Classement]]&amp;"\"&amp;Tableau1[[#This Row],[Poste technique]]&amp;"_"&amp;Tableau1[[#This Row],[Plan Entretien]]&amp;".xlsm"</f>
        <v>\\stjn.local\trimet\Btechnique\Commun\BT Maint SCELLEMENT\205 - Préventifs\Gammes 7.MSCT PE Tool\\_.xlsm</v>
      </c>
    </row>
    <row r="489" spans="1:30" x14ac:dyDescent="0.3">
      <c r="A489" s="44" t="str">
        <f t="shared" ca="1" si="7"/>
        <v>7.MSCT</v>
      </c>
      <c r="B4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9" s="46"/>
      <c r="D489" s="44"/>
      <c r="E489" s="44"/>
      <c r="F489" s="47"/>
      <c r="G489" s="47"/>
      <c r="H489" s="50"/>
      <c r="I489" s="50"/>
      <c r="J489" s="50"/>
      <c r="K489" s="50"/>
      <c r="L489" s="46"/>
      <c r="M489" s="47"/>
      <c r="N489" s="46"/>
      <c r="O489" s="46"/>
      <c r="P489" s="47"/>
      <c r="Q489" s="46"/>
      <c r="R489" s="46"/>
      <c r="S489" s="48"/>
      <c r="T489" s="61" t="str">
        <f>IF(Tableau1[[#This Row],[DMS_SAP]]="","",HYPERLINK(Tableau1[[#This Row],[Chemin fichier source]],"X"))</f>
        <v/>
      </c>
      <c r="U489" s="61" t="str">
        <f>IF(Tableau1[[#This Row],[Date rév.]]="","",HYPERLINK(Tableau1[[#This Row],[Lien document]],"X"))</f>
        <v/>
      </c>
      <c r="V489" s="47"/>
      <c r="W489" s="49" t="str">
        <f ca="1">Chemin_accès!$B$2&amp;Tableau1[[#This Row],[Poste Responsable]]&amp;"\"&amp;Tableau1[[#This Row],[Localisation / Classement]]&amp;"\"&amp;Tableau1[[#This Row],[Poste technique]]&amp;"_"&amp;Tableau1[[#This Row],[Plan Entretien]]&amp;".pdf"</f>
        <v>\\stjn.local\trimet\Donnees_Projets\Dms Sap\Maintenance\PlanEntretien\7.MSCT\\_.pdf</v>
      </c>
      <c r="X489" s="47"/>
      <c r="Y489" s="47"/>
      <c r="Z489" s="44" t="str">
        <f ca="1">IF(AND(Tableau1[[#This Row],[Charge]]&lt;&gt;0, Tableau1[[#This Row],[Nombre intervenants]]&lt;&gt;0,Tableau1[[#This Row],[Lien document]]&lt;&gt;0,Tableau1[[#This Row],[DMS_SAP]]&lt;&gt;0)=TRUE,"MIS A JOUR","")</f>
        <v/>
      </c>
      <c r="AA489" s="48"/>
      <c r="AB489" s="58" t="str">
        <f ca="1">IF(Tableau1[[#This Row],[Date rév.]]&lt;&gt;"", DAYS360(Tableau1[[#This Row],[Date rév.]],TODAY()),"")</f>
        <v/>
      </c>
      <c r="AC489" s="47" t="str">
        <f>IFERROR(INDEX(Chemin_accès!$B$11:$C$22,MATCH(Tableau1[[#This Row],[Type]],Chemin_accès!$C$11:$C$22,0),1),Chemin_accès!$B$11)</f>
        <v>\\stjn.local\trimet\Btechnique\Commun\BT Maint SCELLEMENT\205 - Préventifs\Modèles préventif\GammeDMS_7.MSCT.xlsm</v>
      </c>
      <c r="AD489" s="47" t="str">
        <f>Chemin_accès!$B$8&amp;Tableau1[[#This Row],[Localisation / Classement]]&amp;"\"&amp;Tableau1[[#This Row],[Poste technique]]&amp;"_"&amp;Tableau1[[#This Row],[Plan Entretien]]&amp;".xlsm"</f>
        <v>\\stjn.local\trimet\Btechnique\Commun\BT Maint SCELLEMENT\205 - Préventifs\Gammes 7.MSCT PE Tool\\_.xlsm</v>
      </c>
    </row>
    <row r="490" spans="1:30" x14ac:dyDescent="0.3">
      <c r="A490" s="44" t="str">
        <f t="shared" ca="1" si="7"/>
        <v>7.MSCT</v>
      </c>
      <c r="B4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0" s="46"/>
      <c r="D490" s="44"/>
      <c r="E490" s="44"/>
      <c r="F490" s="47"/>
      <c r="G490" s="47"/>
      <c r="H490" s="50"/>
      <c r="I490" s="50"/>
      <c r="J490" s="50"/>
      <c r="K490" s="50"/>
      <c r="L490" s="46"/>
      <c r="M490" s="47"/>
      <c r="N490" s="46"/>
      <c r="O490" s="46"/>
      <c r="P490" s="47"/>
      <c r="Q490" s="46"/>
      <c r="R490" s="46"/>
      <c r="S490" s="48"/>
      <c r="T490" s="61" t="str">
        <f>IF(Tableau1[[#This Row],[DMS_SAP]]="","",HYPERLINK(Tableau1[[#This Row],[Chemin fichier source]],"X"))</f>
        <v/>
      </c>
      <c r="U490" s="61" t="str">
        <f>IF(Tableau1[[#This Row],[Date rév.]]="","",HYPERLINK(Tableau1[[#This Row],[Lien document]],"X"))</f>
        <v/>
      </c>
      <c r="V490" s="47"/>
      <c r="W490" s="49" t="str">
        <f ca="1">Chemin_accès!$B$2&amp;Tableau1[[#This Row],[Poste Responsable]]&amp;"\"&amp;Tableau1[[#This Row],[Localisation / Classement]]&amp;"\"&amp;Tableau1[[#This Row],[Poste technique]]&amp;"_"&amp;Tableau1[[#This Row],[Plan Entretien]]&amp;".pdf"</f>
        <v>\\stjn.local\trimet\Donnees_Projets\Dms Sap\Maintenance\PlanEntretien\7.MSCT\\_.pdf</v>
      </c>
      <c r="X490" s="47"/>
      <c r="Y490" s="47"/>
      <c r="Z490" s="44" t="str">
        <f ca="1">IF(AND(Tableau1[[#This Row],[Charge]]&lt;&gt;0, Tableau1[[#This Row],[Nombre intervenants]]&lt;&gt;0,Tableau1[[#This Row],[Lien document]]&lt;&gt;0,Tableau1[[#This Row],[DMS_SAP]]&lt;&gt;0)=TRUE,"MIS A JOUR","")</f>
        <v/>
      </c>
      <c r="AA490" s="48"/>
      <c r="AB490" s="58" t="str">
        <f ca="1">IF(Tableau1[[#This Row],[Date rév.]]&lt;&gt;"", DAYS360(Tableau1[[#This Row],[Date rév.]],TODAY()),"")</f>
        <v/>
      </c>
      <c r="AC490" s="47" t="str">
        <f>IFERROR(INDEX(Chemin_accès!$B$11:$C$22,MATCH(Tableau1[[#This Row],[Type]],Chemin_accès!$C$11:$C$22,0),1),Chemin_accès!$B$11)</f>
        <v>\\stjn.local\trimet\Btechnique\Commun\BT Maint SCELLEMENT\205 - Préventifs\Modèles préventif\GammeDMS_7.MSCT.xlsm</v>
      </c>
      <c r="AD490" s="47" t="str">
        <f>Chemin_accès!$B$8&amp;Tableau1[[#This Row],[Localisation / Classement]]&amp;"\"&amp;Tableau1[[#This Row],[Poste technique]]&amp;"_"&amp;Tableau1[[#This Row],[Plan Entretien]]&amp;".xlsm"</f>
        <v>\\stjn.local\trimet\Btechnique\Commun\BT Maint SCELLEMENT\205 - Préventifs\Gammes 7.MSCT PE Tool\\_.xlsm</v>
      </c>
    </row>
    <row r="491" spans="1:30" x14ac:dyDescent="0.3">
      <c r="A491" s="44" t="str">
        <f t="shared" ca="1" si="7"/>
        <v>7.MSCT</v>
      </c>
      <c r="B4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1" s="46"/>
      <c r="D491" s="44"/>
      <c r="E491" s="44"/>
      <c r="F491" s="47"/>
      <c r="G491" s="47"/>
      <c r="H491" s="50"/>
      <c r="I491" s="50"/>
      <c r="J491" s="50"/>
      <c r="K491" s="50"/>
      <c r="L491" s="46"/>
      <c r="M491" s="47"/>
      <c r="N491" s="46"/>
      <c r="O491" s="46"/>
      <c r="P491" s="47"/>
      <c r="Q491" s="46"/>
      <c r="R491" s="46"/>
      <c r="S491" s="48"/>
      <c r="T491" s="61" t="str">
        <f>IF(Tableau1[[#This Row],[DMS_SAP]]="","",HYPERLINK(Tableau1[[#This Row],[Chemin fichier source]],"X"))</f>
        <v/>
      </c>
      <c r="U491" s="61" t="str">
        <f>IF(Tableau1[[#This Row],[Date rév.]]="","",HYPERLINK(Tableau1[[#This Row],[Lien document]],"X"))</f>
        <v/>
      </c>
      <c r="V491" s="47"/>
      <c r="W491" s="49" t="str">
        <f ca="1">Chemin_accès!$B$2&amp;Tableau1[[#This Row],[Poste Responsable]]&amp;"\"&amp;Tableau1[[#This Row],[Localisation / Classement]]&amp;"\"&amp;Tableau1[[#This Row],[Poste technique]]&amp;"_"&amp;Tableau1[[#This Row],[Plan Entretien]]&amp;".pdf"</f>
        <v>\\stjn.local\trimet\Donnees_Projets\Dms Sap\Maintenance\PlanEntretien\7.MSCT\\_.pdf</v>
      </c>
      <c r="X491" s="47"/>
      <c r="Y491" s="47"/>
      <c r="Z491" s="44" t="str">
        <f ca="1">IF(AND(Tableau1[[#This Row],[Charge]]&lt;&gt;0, Tableau1[[#This Row],[Nombre intervenants]]&lt;&gt;0,Tableau1[[#This Row],[Lien document]]&lt;&gt;0,Tableau1[[#This Row],[DMS_SAP]]&lt;&gt;0)=TRUE,"MIS A JOUR","")</f>
        <v/>
      </c>
      <c r="AA491" s="48"/>
      <c r="AB491" s="58" t="str">
        <f ca="1">IF(Tableau1[[#This Row],[Date rév.]]&lt;&gt;"", DAYS360(Tableau1[[#This Row],[Date rév.]],TODAY()),"")</f>
        <v/>
      </c>
      <c r="AC491" s="47" t="str">
        <f>IFERROR(INDEX(Chemin_accès!$B$11:$C$22,MATCH(Tableau1[[#This Row],[Type]],Chemin_accès!$C$11:$C$22,0),1),Chemin_accès!$B$11)</f>
        <v>\\stjn.local\trimet\Btechnique\Commun\BT Maint SCELLEMENT\205 - Préventifs\Modèles préventif\GammeDMS_7.MSCT.xlsm</v>
      </c>
      <c r="AD491" s="47" t="str">
        <f>Chemin_accès!$B$8&amp;Tableau1[[#This Row],[Localisation / Classement]]&amp;"\"&amp;Tableau1[[#This Row],[Poste technique]]&amp;"_"&amp;Tableau1[[#This Row],[Plan Entretien]]&amp;".xlsm"</f>
        <v>\\stjn.local\trimet\Btechnique\Commun\BT Maint SCELLEMENT\205 - Préventifs\Gammes 7.MSCT PE Tool\\_.xlsm</v>
      </c>
    </row>
    <row r="492" spans="1:30" x14ac:dyDescent="0.3">
      <c r="A492" s="44" t="str">
        <f t="shared" ca="1" si="7"/>
        <v>7.MSCT</v>
      </c>
      <c r="B4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2" s="46"/>
      <c r="D492" s="44"/>
      <c r="E492" s="44"/>
      <c r="F492" s="47"/>
      <c r="G492" s="47"/>
      <c r="H492" s="50"/>
      <c r="I492" s="50"/>
      <c r="J492" s="50"/>
      <c r="K492" s="50"/>
      <c r="L492" s="46"/>
      <c r="M492" s="47"/>
      <c r="N492" s="46"/>
      <c r="O492" s="46"/>
      <c r="P492" s="47"/>
      <c r="Q492" s="46"/>
      <c r="R492" s="46"/>
      <c r="S492" s="48"/>
      <c r="T492" s="61" t="str">
        <f>IF(Tableau1[[#This Row],[DMS_SAP]]="","",HYPERLINK(Tableau1[[#This Row],[Chemin fichier source]],"X"))</f>
        <v/>
      </c>
      <c r="U492" s="61" t="str">
        <f>IF(Tableau1[[#This Row],[Date rév.]]="","",HYPERLINK(Tableau1[[#This Row],[Lien document]],"X"))</f>
        <v/>
      </c>
      <c r="V492" s="47"/>
      <c r="W492" s="49" t="str">
        <f ca="1">Chemin_accès!$B$2&amp;Tableau1[[#This Row],[Poste Responsable]]&amp;"\"&amp;Tableau1[[#This Row],[Localisation / Classement]]&amp;"\"&amp;Tableau1[[#This Row],[Poste technique]]&amp;"_"&amp;Tableau1[[#This Row],[Plan Entretien]]&amp;".pdf"</f>
        <v>\\stjn.local\trimet\Donnees_Projets\Dms Sap\Maintenance\PlanEntretien\7.MSCT\\_.pdf</v>
      </c>
      <c r="X492" s="47"/>
      <c r="Y492" s="47"/>
      <c r="Z492" s="44" t="str">
        <f ca="1">IF(AND(Tableau1[[#This Row],[Charge]]&lt;&gt;0, Tableau1[[#This Row],[Nombre intervenants]]&lt;&gt;0,Tableau1[[#This Row],[Lien document]]&lt;&gt;0,Tableau1[[#This Row],[DMS_SAP]]&lt;&gt;0)=TRUE,"MIS A JOUR","")</f>
        <v/>
      </c>
      <c r="AA492" s="48"/>
      <c r="AB492" s="58" t="str">
        <f ca="1">IF(Tableau1[[#This Row],[Date rév.]]&lt;&gt;"", DAYS360(Tableau1[[#This Row],[Date rév.]],TODAY()),"")</f>
        <v/>
      </c>
      <c r="AC492" s="47" t="str">
        <f>IFERROR(INDEX(Chemin_accès!$B$11:$C$22,MATCH(Tableau1[[#This Row],[Type]],Chemin_accès!$C$11:$C$22,0),1),Chemin_accès!$B$11)</f>
        <v>\\stjn.local\trimet\Btechnique\Commun\BT Maint SCELLEMENT\205 - Préventifs\Modèles préventif\GammeDMS_7.MSCT.xlsm</v>
      </c>
      <c r="AD492" s="47" t="str">
        <f>Chemin_accès!$B$8&amp;Tableau1[[#This Row],[Localisation / Classement]]&amp;"\"&amp;Tableau1[[#This Row],[Poste technique]]&amp;"_"&amp;Tableau1[[#This Row],[Plan Entretien]]&amp;".xlsm"</f>
        <v>\\stjn.local\trimet\Btechnique\Commun\BT Maint SCELLEMENT\205 - Préventifs\Gammes 7.MSCT PE Tool\\_.xlsm</v>
      </c>
    </row>
    <row r="493" spans="1:30" x14ac:dyDescent="0.3">
      <c r="A493" s="44" t="str">
        <f t="shared" ca="1" si="7"/>
        <v>7.MSCT</v>
      </c>
      <c r="B4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3" s="46"/>
      <c r="D493" s="44"/>
      <c r="E493" s="44"/>
      <c r="F493" s="47"/>
      <c r="G493" s="47"/>
      <c r="H493" s="50"/>
      <c r="I493" s="50"/>
      <c r="J493" s="50"/>
      <c r="K493" s="50"/>
      <c r="L493" s="46"/>
      <c r="M493" s="47"/>
      <c r="N493" s="46"/>
      <c r="O493" s="46"/>
      <c r="P493" s="47"/>
      <c r="Q493" s="46"/>
      <c r="R493" s="46"/>
      <c r="S493" s="48"/>
      <c r="T493" s="61" t="str">
        <f>IF(Tableau1[[#This Row],[DMS_SAP]]="","",HYPERLINK(Tableau1[[#This Row],[Chemin fichier source]],"X"))</f>
        <v/>
      </c>
      <c r="U493" s="61" t="str">
        <f>IF(Tableau1[[#This Row],[Date rév.]]="","",HYPERLINK(Tableau1[[#This Row],[Lien document]],"X"))</f>
        <v/>
      </c>
      <c r="V493" s="47"/>
      <c r="W493" s="49" t="str">
        <f ca="1">Chemin_accès!$B$2&amp;Tableau1[[#This Row],[Poste Responsable]]&amp;"\"&amp;Tableau1[[#This Row],[Localisation / Classement]]&amp;"\"&amp;Tableau1[[#This Row],[Poste technique]]&amp;"_"&amp;Tableau1[[#This Row],[Plan Entretien]]&amp;".pdf"</f>
        <v>\\stjn.local\trimet\Donnees_Projets\Dms Sap\Maintenance\PlanEntretien\7.MSCT\\_.pdf</v>
      </c>
      <c r="X493" s="47"/>
      <c r="Y493" s="47"/>
      <c r="Z493" s="44" t="str">
        <f ca="1">IF(AND(Tableau1[[#This Row],[Charge]]&lt;&gt;0, Tableau1[[#This Row],[Nombre intervenants]]&lt;&gt;0,Tableau1[[#This Row],[Lien document]]&lt;&gt;0,Tableau1[[#This Row],[DMS_SAP]]&lt;&gt;0)=TRUE,"MIS A JOUR","")</f>
        <v/>
      </c>
      <c r="AA493" s="48"/>
      <c r="AB493" s="58" t="str">
        <f ca="1">IF(Tableau1[[#This Row],[Date rév.]]&lt;&gt;"", DAYS360(Tableau1[[#This Row],[Date rév.]],TODAY()),"")</f>
        <v/>
      </c>
      <c r="AC493" s="47" t="str">
        <f>IFERROR(INDEX(Chemin_accès!$B$11:$C$22,MATCH(Tableau1[[#This Row],[Type]],Chemin_accès!$C$11:$C$22,0),1),Chemin_accès!$B$11)</f>
        <v>\\stjn.local\trimet\Btechnique\Commun\BT Maint SCELLEMENT\205 - Préventifs\Modèles préventif\GammeDMS_7.MSCT.xlsm</v>
      </c>
      <c r="AD493" s="47" t="str">
        <f>Chemin_accès!$B$8&amp;Tableau1[[#This Row],[Localisation / Classement]]&amp;"\"&amp;Tableau1[[#This Row],[Poste technique]]&amp;"_"&amp;Tableau1[[#This Row],[Plan Entretien]]&amp;".xlsm"</f>
        <v>\\stjn.local\trimet\Btechnique\Commun\BT Maint SCELLEMENT\205 - Préventifs\Gammes 7.MSCT PE Tool\\_.xlsm</v>
      </c>
    </row>
    <row r="494" spans="1:30" x14ac:dyDescent="0.3">
      <c r="A494" s="44" t="str">
        <f t="shared" ca="1" si="7"/>
        <v>7.MSCT</v>
      </c>
      <c r="B4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4" s="46"/>
      <c r="D494" s="44"/>
      <c r="E494" s="44"/>
      <c r="F494" s="47"/>
      <c r="G494" s="47"/>
      <c r="H494" s="50"/>
      <c r="I494" s="50"/>
      <c r="J494" s="50"/>
      <c r="K494" s="50"/>
      <c r="L494" s="46"/>
      <c r="M494" s="47"/>
      <c r="N494" s="46"/>
      <c r="O494" s="46"/>
      <c r="P494" s="47"/>
      <c r="Q494" s="46"/>
      <c r="R494" s="46"/>
      <c r="S494" s="48"/>
      <c r="T494" s="61" t="str">
        <f>IF(Tableau1[[#This Row],[DMS_SAP]]="","",HYPERLINK(Tableau1[[#This Row],[Chemin fichier source]],"X"))</f>
        <v/>
      </c>
      <c r="U494" s="61" t="str">
        <f>IF(Tableau1[[#This Row],[Date rév.]]="","",HYPERLINK(Tableau1[[#This Row],[Lien document]],"X"))</f>
        <v/>
      </c>
      <c r="V494" s="47"/>
      <c r="W494" s="49" t="str">
        <f ca="1">Chemin_accès!$B$2&amp;Tableau1[[#This Row],[Poste Responsable]]&amp;"\"&amp;Tableau1[[#This Row],[Localisation / Classement]]&amp;"\"&amp;Tableau1[[#This Row],[Poste technique]]&amp;"_"&amp;Tableau1[[#This Row],[Plan Entretien]]&amp;".pdf"</f>
        <v>\\stjn.local\trimet\Donnees_Projets\Dms Sap\Maintenance\PlanEntretien\7.MSCT\\_.pdf</v>
      </c>
      <c r="X494" s="47"/>
      <c r="Y494" s="47"/>
      <c r="Z494" s="44" t="str">
        <f ca="1">IF(AND(Tableau1[[#This Row],[Charge]]&lt;&gt;0, Tableau1[[#This Row],[Nombre intervenants]]&lt;&gt;0,Tableau1[[#This Row],[Lien document]]&lt;&gt;0,Tableau1[[#This Row],[DMS_SAP]]&lt;&gt;0)=TRUE,"MIS A JOUR","")</f>
        <v/>
      </c>
      <c r="AA494" s="48"/>
      <c r="AB494" s="58" t="str">
        <f ca="1">IF(Tableau1[[#This Row],[Date rév.]]&lt;&gt;"", DAYS360(Tableau1[[#This Row],[Date rév.]],TODAY()),"")</f>
        <v/>
      </c>
      <c r="AC494" s="47" t="str">
        <f>IFERROR(INDEX(Chemin_accès!$B$11:$C$22,MATCH(Tableau1[[#This Row],[Type]],Chemin_accès!$C$11:$C$22,0),1),Chemin_accès!$B$11)</f>
        <v>\\stjn.local\trimet\Btechnique\Commun\BT Maint SCELLEMENT\205 - Préventifs\Modèles préventif\GammeDMS_7.MSCT.xlsm</v>
      </c>
      <c r="AD494" s="47" t="str">
        <f>Chemin_accès!$B$8&amp;Tableau1[[#This Row],[Localisation / Classement]]&amp;"\"&amp;Tableau1[[#This Row],[Poste technique]]&amp;"_"&amp;Tableau1[[#This Row],[Plan Entretien]]&amp;".xlsm"</f>
        <v>\\stjn.local\trimet\Btechnique\Commun\BT Maint SCELLEMENT\205 - Préventifs\Gammes 7.MSCT PE Tool\\_.xlsm</v>
      </c>
    </row>
    <row r="495" spans="1:30" x14ac:dyDescent="0.3">
      <c r="A495" s="44" t="str">
        <f t="shared" ca="1" si="7"/>
        <v>7.MSCT</v>
      </c>
      <c r="B4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5" s="46"/>
      <c r="D495" s="44"/>
      <c r="E495" s="44"/>
      <c r="F495" s="47"/>
      <c r="G495" s="47"/>
      <c r="H495" s="50"/>
      <c r="I495" s="50"/>
      <c r="J495" s="50"/>
      <c r="K495" s="50"/>
      <c r="L495" s="46"/>
      <c r="M495" s="47"/>
      <c r="N495" s="46"/>
      <c r="O495" s="46"/>
      <c r="P495" s="47"/>
      <c r="Q495" s="46"/>
      <c r="R495" s="46"/>
      <c r="S495" s="48"/>
      <c r="T495" s="61" t="str">
        <f>IF(Tableau1[[#This Row],[DMS_SAP]]="","",HYPERLINK(Tableau1[[#This Row],[Chemin fichier source]],"X"))</f>
        <v/>
      </c>
      <c r="U495" s="61" t="str">
        <f>IF(Tableau1[[#This Row],[Date rév.]]="","",HYPERLINK(Tableau1[[#This Row],[Lien document]],"X"))</f>
        <v/>
      </c>
      <c r="V495" s="47"/>
      <c r="W495" s="49" t="str">
        <f ca="1">Chemin_accès!$B$2&amp;Tableau1[[#This Row],[Poste Responsable]]&amp;"\"&amp;Tableau1[[#This Row],[Localisation / Classement]]&amp;"\"&amp;Tableau1[[#This Row],[Poste technique]]&amp;"_"&amp;Tableau1[[#This Row],[Plan Entretien]]&amp;".pdf"</f>
        <v>\\stjn.local\trimet\Donnees_Projets\Dms Sap\Maintenance\PlanEntretien\7.MSCT\\_.pdf</v>
      </c>
      <c r="X495" s="47"/>
      <c r="Y495" s="47"/>
      <c r="Z495" s="44" t="str">
        <f ca="1">IF(AND(Tableau1[[#This Row],[Charge]]&lt;&gt;0, Tableau1[[#This Row],[Nombre intervenants]]&lt;&gt;0,Tableau1[[#This Row],[Lien document]]&lt;&gt;0,Tableau1[[#This Row],[DMS_SAP]]&lt;&gt;0)=TRUE,"MIS A JOUR","")</f>
        <v/>
      </c>
      <c r="AA495" s="48"/>
      <c r="AB495" s="58" t="str">
        <f ca="1">IF(Tableau1[[#This Row],[Date rév.]]&lt;&gt;"", DAYS360(Tableau1[[#This Row],[Date rév.]],TODAY()),"")</f>
        <v/>
      </c>
      <c r="AC495" s="47" t="str">
        <f>IFERROR(INDEX(Chemin_accès!$B$11:$C$22,MATCH(Tableau1[[#This Row],[Type]],Chemin_accès!$C$11:$C$22,0),1),Chemin_accès!$B$11)</f>
        <v>\\stjn.local\trimet\Btechnique\Commun\BT Maint SCELLEMENT\205 - Préventifs\Modèles préventif\GammeDMS_7.MSCT.xlsm</v>
      </c>
      <c r="AD495" s="47" t="str">
        <f>Chemin_accès!$B$8&amp;Tableau1[[#This Row],[Localisation / Classement]]&amp;"\"&amp;Tableau1[[#This Row],[Poste technique]]&amp;"_"&amp;Tableau1[[#This Row],[Plan Entretien]]&amp;".xlsm"</f>
        <v>\\stjn.local\trimet\Btechnique\Commun\BT Maint SCELLEMENT\205 - Préventifs\Gammes 7.MSCT PE Tool\\_.xlsm</v>
      </c>
    </row>
    <row r="496" spans="1:30" x14ac:dyDescent="0.3">
      <c r="A496" s="44" t="str">
        <f t="shared" ca="1" si="7"/>
        <v>7.MSCT</v>
      </c>
      <c r="B4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6" s="46"/>
      <c r="D496" s="44"/>
      <c r="E496" s="44"/>
      <c r="F496" s="47"/>
      <c r="G496" s="47"/>
      <c r="H496" s="50"/>
      <c r="I496" s="50"/>
      <c r="J496" s="50"/>
      <c r="K496" s="50"/>
      <c r="L496" s="46"/>
      <c r="M496" s="47"/>
      <c r="N496" s="46"/>
      <c r="O496" s="46"/>
      <c r="P496" s="47"/>
      <c r="Q496" s="46"/>
      <c r="R496" s="46"/>
      <c r="S496" s="48"/>
      <c r="T496" s="61" t="str">
        <f>IF(Tableau1[[#This Row],[DMS_SAP]]="","",HYPERLINK(Tableau1[[#This Row],[Chemin fichier source]],"X"))</f>
        <v/>
      </c>
      <c r="U496" s="61" t="str">
        <f>IF(Tableau1[[#This Row],[Date rév.]]="","",HYPERLINK(Tableau1[[#This Row],[Lien document]],"X"))</f>
        <v/>
      </c>
      <c r="V496" s="47"/>
      <c r="W496" s="49" t="str">
        <f ca="1">Chemin_accès!$B$2&amp;Tableau1[[#This Row],[Poste Responsable]]&amp;"\"&amp;Tableau1[[#This Row],[Localisation / Classement]]&amp;"\"&amp;Tableau1[[#This Row],[Poste technique]]&amp;"_"&amp;Tableau1[[#This Row],[Plan Entretien]]&amp;".pdf"</f>
        <v>\\stjn.local\trimet\Donnees_Projets\Dms Sap\Maintenance\PlanEntretien\7.MSCT\\_.pdf</v>
      </c>
      <c r="X496" s="47"/>
      <c r="Y496" s="47"/>
      <c r="Z496" s="44" t="str">
        <f ca="1">IF(AND(Tableau1[[#This Row],[Charge]]&lt;&gt;0, Tableau1[[#This Row],[Nombre intervenants]]&lt;&gt;0,Tableau1[[#This Row],[Lien document]]&lt;&gt;0,Tableau1[[#This Row],[DMS_SAP]]&lt;&gt;0)=TRUE,"MIS A JOUR","")</f>
        <v/>
      </c>
      <c r="AA496" s="48"/>
      <c r="AB496" s="58" t="str">
        <f ca="1">IF(Tableau1[[#This Row],[Date rév.]]&lt;&gt;"", DAYS360(Tableau1[[#This Row],[Date rév.]],TODAY()),"")</f>
        <v/>
      </c>
      <c r="AC496" s="47" t="str">
        <f>IFERROR(INDEX(Chemin_accès!$B$11:$C$22,MATCH(Tableau1[[#This Row],[Type]],Chemin_accès!$C$11:$C$22,0),1),Chemin_accès!$B$11)</f>
        <v>\\stjn.local\trimet\Btechnique\Commun\BT Maint SCELLEMENT\205 - Préventifs\Modèles préventif\GammeDMS_7.MSCT.xlsm</v>
      </c>
      <c r="AD496" s="47" t="str">
        <f>Chemin_accès!$B$8&amp;Tableau1[[#This Row],[Localisation / Classement]]&amp;"\"&amp;Tableau1[[#This Row],[Poste technique]]&amp;"_"&amp;Tableau1[[#This Row],[Plan Entretien]]&amp;".xlsm"</f>
        <v>\\stjn.local\trimet\Btechnique\Commun\BT Maint SCELLEMENT\205 - Préventifs\Gammes 7.MSCT PE Tool\\_.xlsm</v>
      </c>
    </row>
    <row r="497" spans="1:30" x14ac:dyDescent="0.3">
      <c r="A497" s="44" t="str">
        <f t="shared" ca="1" si="7"/>
        <v>7.MSCT</v>
      </c>
      <c r="B4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7" s="46"/>
      <c r="D497" s="44"/>
      <c r="E497" s="44"/>
      <c r="F497" s="47"/>
      <c r="G497" s="47"/>
      <c r="H497" s="50"/>
      <c r="I497" s="50"/>
      <c r="J497" s="50"/>
      <c r="K497" s="50"/>
      <c r="L497" s="46"/>
      <c r="M497" s="47"/>
      <c r="N497" s="46"/>
      <c r="O497" s="46"/>
      <c r="P497" s="47"/>
      <c r="Q497" s="46"/>
      <c r="R497" s="46"/>
      <c r="S497" s="48"/>
      <c r="T497" s="61" t="str">
        <f>IF(Tableau1[[#This Row],[DMS_SAP]]="","",HYPERLINK(Tableau1[[#This Row],[Chemin fichier source]],"X"))</f>
        <v/>
      </c>
      <c r="U497" s="61" t="str">
        <f>IF(Tableau1[[#This Row],[Date rév.]]="","",HYPERLINK(Tableau1[[#This Row],[Lien document]],"X"))</f>
        <v/>
      </c>
      <c r="V497" s="47"/>
      <c r="W497" s="49" t="str">
        <f ca="1">Chemin_accès!$B$2&amp;Tableau1[[#This Row],[Poste Responsable]]&amp;"\"&amp;Tableau1[[#This Row],[Localisation / Classement]]&amp;"\"&amp;Tableau1[[#This Row],[Poste technique]]&amp;"_"&amp;Tableau1[[#This Row],[Plan Entretien]]&amp;".pdf"</f>
        <v>\\stjn.local\trimet\Donnees_Projets\Dms Sap\Maintenance\PlanEntretien\7.MSCT\\_.pdf</v>
      </c>
      <c r="X497" s="47"/>
      <c r="Y497" s="47"/>
      <c r="Z497" s="44" t="str">
        <f ca="1">IF(AND(Tableau1[[#This Row],[Charge]]&lt;&gt;0, Tableau1[[#This Row],[Nombre intervenants]]&lt;&gt;0,Tableau1[[#This Row],[Lien document]]&lt;&gt;0,Tableau1[[#This Row],[DMS_SAP]]&lt;&gt;0)=TRUE,"MIS A JOUR","")</f>
        <v/>
      </c>
      <c r="AA497" s="48"/>
      <c r="AB497" s="58" t="str">
        <f ca="1">IF(Tableau1[[#This Row],[Date rév.]]&lt;&gt;"", DAYS360(Tableau1[[#This Row],[Date rév.]],TODAY()),"")</f>
        <v/>
      </c>
      <c r="AC497" s="47" t="str">
        <f>IFERROR(INDEX(Chemin_accès!$B$11:$C$22,MATCH(Tableau1[[#This Row],[Type]],Chemin_accès!$C$11:$C$22,0),1),Chemin_accès!$B$11)</f>
        <v>\\stjn.local\trimet\Btechnique\Commun\BT Maint SCELLEMENT\205 - Préventifs\Modèles préventif\GammeDMS_7.MSCT.xlsm</v>
      </c>
      <c r="AD497" s="47" t="str">
        <f>Chemin_accès!$B$8&amp;Tableau1[[#This Row],[Localisation / Classement]]&amp;"\"&amp;Tableau1[[#This Row],[Poste technique]]&amp;"_"&amp;Tableau1[[#This Row],[Plan Entretien]]&amp;".xlsm"</f>
        <v>\\stjn.local\trimet\Btechnique\Commun\BT Maint SCELLEMENT\205 - Préventifs\Gammes 7.MSCT PE Tool\\_.xlsm</v>
      </c>
    </row>
    <row r="498" spans="1:30" x14ac:dyDescent="0.3">
      <c r="A498" s="44" t="str">
        <f t="shared" ca="1" si="7"/>
        <v>7.MSCT</v>
      </c>
      <c r="B4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8" s="46"/>
      <c r="D498" s="44"/>
      <c r="E498" s="44"/>
      <c r="F498" s="47"/>
      <c r="G498" s="47"/>
      <c r="H498" s="50"/>
      <c r="I498" s="50"/>
      <c r="J498" s="50"/>
      <c r="K498" s="50"/>
      <c r="L498" s="46"/>
      <c r="M498" s="47"/>
      <c r="N498" s="46"/>
      <c r="O498" s="46"/>
      <c r="P498" s="47"/>
      <c r="Q498" s="46"/>
      <c r="R498" s="46"/>
      <c r="S498" s="48"/>
      <c r="T498" s="61" t="str">
        <f>IF(Tableau1[[#This Row],[DMS_SAP]]="","",HYPERLINK(Tableau1[[#This Row],[Chemin fichier source]],"X"))</f>
        <v/>
      </c>
      <c r="U498" s="61" t="str">
        <f>IF(Tableau1[[#This Row],[Date rév.]]="","",HYPERLINK(Tableau1[[#This Row],[Lien document]],"X"))</f>
        <v/>
      </c>
      <c r="V498" s="47"/>
      <c r="W498" s="49" t="str">
        <f ca="1">Chemin_accès!$B$2&amp;Tableau1[[#This Row],[Poste Responsable]]&amp;"\"&amp;Tableau1[[#This Row],[Localisation / Classement]]&amp;"\"&amp;Tableau1[[#This Row],[Poste technique]]&amp;"_"&amp;Tableau1[[#This Row],[Plan Entretien]]&amp;".pdf"</f>
        <v>\\stjn.local\trimet\Donnees_Projets\Dms Sap\Maintenance\PlanEntretien\7.MSCT\\_.pdf</v>
      </c>
      <c r="X498" s="47"/>
      <c r="Y498" s="47"/>
      <c r="Z498" s="44" t="str">
        <f ca="1">IF(AND(Tableau1[[#This Row],[Charge]]&lt;&gt;0, Tableau1[[#This Row],[Nombre intervenants]]&lt;&gt;0,Tableau1[[#This Row],[Lien document]]&lt;&gt;0,Tableau1[[#This Row],[DMS_SAP]]&lt;&gt;0)=TRUE,"MIS A JOUR","")</f>
        <v/>
      </c>
      <c r="AA498" s="48"/>
      <c r="AB498" s="58" t="str">
        <f ca="1">IF(Tableau1[[#This Row],[Date rév.]]&lt;&gt;"", DAYS360(Tableau1[[#This Row],[Date rév.]],TODAY()),"")</f>
        <v/>
      </c>
      <c r="AC498" s="47" t="str">
        <f>IFERROR(INDEX(Chemin_accès!$B$11:$C$22,MATCH(Tableau1[[#This Row],[Type]],Chemin_accès!$C$11:$C$22,0),1),Chemin_accès!$B$11)</f>
        <v>\\stjn.local\trimet\Btechnique\Commun\BT Maint SCELLEMENT\205 - Préventifs\Modèles préventif\GammeDMS_7.MSCT.xlsm</v>
      </c>
      <c r="AD498" s="47" t="str">
        <f>Chemin_accès!$B$8&amp;Tableau1[[#This Row],[Localisation / Classement]]&amp;"\"&amp;Tableau1[[#This Row],[Poste technique]]&amp;"_"&amp;Tableau1[[#This Row],[Plan Entretien]]&amp;".xlsm"</f>
        <v>\\stjn.local\trimet\Btechnique\Commun\BT Maint SCELLEMENT\205 - Préventifs\Gammes 7.MSCT PE Tool\\_.xlsm</v>
      </c>
    </row>
    <row r="499" spans="1:30" x14ac:dyDescent="0.3">
      <c r="A499" s="44" t="str">
        <f t="shared" ca="1" si="7"/>
        <v>7.MSCT</v>
      </c>
      <c r="B4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9" s="46"/>
      <c r="D499" s="44"/>
      <c r="E499" s="44"/>
      <c r="F499" s="47"/>
      <c r="G499" s="47"/>
      <c r="H499" s="50"/>
      <c r="I499" s="50"/>
      <c r="J499" s="50"/>
      <c r="K499" s="50"/>
      <c r="L499" s="46"/>
      <c r="M499" s="47"/>
      <c r="N499" s="46"/>
      <c r="O499" s="46"/>
      <c r="P499" s="47"/>
      <c r="Q499" s="46"/>
      <c r="R499" s="46"/>
      <c r="S499" s="48"/>
      <c r="T499" s="61" t="str">
        <f>IF(Tableau1[[#This Row],[DMS_SAP]]="","",HYPERLINK(Tableau1[[#This Row],[Chemin fichier source]],"X"))</f>
        <v/>
      </c>
      <c r="U499" s="61" t="str">
        <f>IF(Tableau1[[#This Row],[Date rév.]]="","",HYPERLINK(Tableau1[[#This Row],[Lien document]],"X"))</f>
        <v/>
      </c>
      <c r="V499" s="47"/>
      <c r="W499" s="49" t="str">
        <f ca="1">Chemin_accès!$B$2&amp;Tableau1[[#This Row],[Poste Responsable]]&amp;"\"&amp;Tableau1[[#This Row],[Localisation / Classement]]&amp;"\"&amp;Tableau1[[#This Row],[Poste technique]]&amp;"_"&amp;Tableau1[[#This Row],[Plan Entretien]]&amp;".pdf"</f>
        <v>\\stjn.local\trimet\Donnees_Projets\Dms Sap\Maintenance\PlanEntretien\7.MSCT\\_.pdf</v>
      </c>
      <c r="X499" s="47"/>
      <c r="Y499" s="47"/>
      <c r="Z499" s="44" t="str">
        <f ca="1">IF(AND(Tableau1[[#This Row],[Charge]]&lt;&gt;0, Tableau1[[#This Row],[Nombre intervenants]]&lt;&gt;0,Tableau1[[#This Row],[Lien document]]&lt;&gt;0,Tableau1[[#This Row],[DMS_SAP]]&lt;&gt;0)=TRUE,"MIS A JOUR","")</f>
        <v/>
      </c>
      <c r="AA499" s="48"/>
      <c r="AB499" s="58" t="str">
        <f ca="1">IF(Tableau1[[#This Row],[Date rév.]]&lt;&gt;"", DAYS360(Tableau1[[#This Row],[Date rév.]],TODAY()),"")</f>
        <v/>
      </c>
      <c r="AC499" s="47" t="str">
        <f>IFERROR(INDEX(Chemin_accès!$B$11:$C$22,MATCH(Tableau1[[#This Row],[Type]],Chemin_accès!$C$11:$C$22,0),1),Chemin_accès!$B$11)</f>
        <v>\\stjn.local\trimet\Btechnique\Commun\BT Maint SCELLEMENT\205 - Préventifs\Modèles préventif\GammeDMS_7.MSCT.xlsm</v>
      </c>
      <c r="AD499" s="47" t="str">
        <f>Chemin_accès!$B$8&amp;Tableau1[[#This Row],[Localisation / Classement]]&amp;"\"&amp;Tableau1[[#This Row],[Poste technique]]&amp;"_"&amp;Tableau1[[#This Row],[Plan Entretien]]&amp;".xlsm"</f>
        <v>\\stjn.local\trimet\Btechnique\Commun\BT Maint SCELLEMENT\205 - Préventifs\Gammes 7.MSCT PE Tool\\_.xlsm</v>
      </c>
    </row>
    <row r="500" spans="1:30" x14ac:dyDescent="0.3">
      <c r="A500" s="44" t="str">
        <f t="shared" ca="1" si="7"/>
        <v>7.MSCT</v>
      </c>
      <c r="B5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0" s="46"/>
      <c r="D500" s="44"/>
      <c r="E500" s="44"/>
      <c r="F500" s="47"/>
      <c r="G500" s="47"/>
      <c r="H500" s="50"/>
      <c r="I500" s="50"/>
      <c r="J500" s="50"/>
      <c r="K500" s="50"/>
      <c r="L500" s="46"/>
      <c r="M500" s="47"/>
      <c r="N500" s="46"/>
      <c r="O500" s="46"/>
      <c r="P500" s="47"/>
      <c r="Q500" s="46"/>
      <c r="R500" s="46"/>
      <c r="S500" s="48"/>
      <c r="T500" s="61" t="str">
        <f>IF(Tableau1[[#This Row],[DMS_SAP]]="","",HYPERLINK(Tableau1[[#This Row],[Chemin fichier source]],"X"))</f>
        <v/>
      </c>
      <c r="U500" s="61" t="str">
        <f>IF(Tableau1[[#This Row],[Date rév.]]="","",HYPERLINK(Tableau1[[#This Row],[Lien document]],"X"))</f>
        <v/>
      </c>
      <c r="V500" s="47"/>
      <c r="W500" s="49" t="str">
        <f ca="1">Chemin_accès!$B$2&amp;Tableau1[[#This Row],[Poste Responsable]]&amp;"\"&amp;Tableau1[[#This Row],[Localisation / Classement]]&amp;"\"&amp;Tableau1[[#This Row],[Poste technique]]&amp;"_"&amp;Tableau1[[#This Row],[Plan Entretien]]&amp;".pdf"</f>
        <v>\\stjn.local\trimet\Donnees_Projets\Dms Sap\Maintenance\PlanEntretien\7.MSCT\\_.pdf</v>
      </c>
      <c r="X500" s="47"/>
      <c r="Y500" s="47"/>
      <c r="Z500" s="44" t="str">
        <f ca="1">IF(AND(Tableau1[[#This Row],[Charge]]&lt;&gt;0, Tableau1[[#This Row],[Nombre intervenants]]&lt;&gt;0,Tableau1[[#This Row],[Lien document]]&lt;&gt;0,Tableau1[[#This Row],[DMS_SAP]]&lt;&gt;0)=TRUE,"MIS A JOUR","")</f>
        <v/>
      </c>
      <c r="AA500" s="48"/>
      <c r="AB500" s="58" t="str">
        <f ca="1">IF(Tableau1[[#This Row],[Date rév.]]&lt;&gt;"", DAYS360(Tableau1[[#This Row],[Date rév.]],TODAY()),"")</f>
        <v/>
      </c>
      <c r="AC500" s="47" t="str">
        <f>IFERROR(INDEX(Chemin_accès!$B$11:$C$22,MATCH(Tableau1[[#This Row],[Type]],Chemin_accès!$C$11:$C$22,0),1),Chemin_accès!$B$11)</f>
        <v>\\stjn.local\trimet\Btechnique\Commun\BT Maint SCELLEMENT\205 - Préventifs\Modèles préventif\GammeDMS_7.MSCT.xlsm</v>
      </c>
      <c r="AD500" s="47" t="str">
        <f>Chemin_accès!$B$8&amp;Tableau1[[#This Row],[Localisation / Classement]]&amp;"\"&amp;Tableau1[[#This Row],[Poste technique]]&amp;"_"&amp;Tableau1[[#This Row],[Plan Entretien]]&amp;".xlsm"</f>
        <v>\\stjn.local\trimet\Btechnique\Commun\BT Maint SCELLEMENT\205 - Préventifs\Gammes 7.MSCT PE Tool\\_.xlsm</v>
      </c>
    </row>
    <row r="501" spans="1:30" x14ac:dyDescent="0.3">
      <c r="A501" s="44" t="str">
        <f t="shared" ca="1" si="7"/>
        <v>7.MSCT</v>
      </c>
      <c r="B5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1" s="46"/>
      <c r="D501" s="44"/>
      <c r="E501" s="44"/>
      <c r="F501" s="47"/>
      <c r="G501" s="47"/>
      <c r="H501" s="50"/>
      <c r="I501" s="50"/>
      <c r="J501" s="50"/>
      <c r="K501" s="50"/>
      <c r="L501" s="46"/>
      <c r="M501" s="47"/>
      <c r="N501" s="46"/>
      <c r="O501" s="46"/>
      <c r="P501" s="47"/>
      <c r="Q501" s="46"/>
      <c r="R501" s="46"/>
      <c r="S501" s="48"/>
      <c r="T501" s="61" t="str">
        <f>IF(Tableau1[[#This Row],[DMS_SAP]]="","",HYPERLINK(Tableau1[[#This Row],[Chemin fichier source]],"X"))</f>
        <v/>
      </c>
      <c r="U501" s="61" t="str">
        <f>IF(Tableau1[[#This Row],[Date rév.]]="","",HYPERLINK(Tableau1[[#This Row],[Lien document]],"X"))</f>
        <v/>
      </c>
      <c r="V501" s="47"/>
      <c r="W501" s="49" t="str">
        <f ca="1">Chemin_accès!$B$2&amp;Tableau1[[#This Row],[Poste Responsable]]&amp;"\"&amp;Tableau1[[#This Row],[Localisation / Classement]]&amp;"\"&amp;Tableau1[[#This Row],[Poste technique]]&amp;"_"&amp;Tableau1[[#This Row],[Plan Entretien]]&amp;".pdf"</f>
        <v>\\stjn.local\trimet\Donnees_Projets\Dms Sap\Maintenance\PlanEntretien\7.MSCT\\_.pdf</v>
      </c>
      <c r="X501" s="47"/>
      <c r="Y501" s="47"/>
      <c r="Z501" s="44" t="str">
        <f ca="1">IF(AND(Tableau1[[#This Row],[Charge]]&lt;&gt;0, Tableau1[[#This Row],[Nombre intervenants]]&lt;&gt;0,Tableau1[[#This Row],[Lien document]]&lt;&gt;0,Tableau1[[#This Row],[DMS_SAP]]&lt;&gt;0)=TRUE,"MIS A JOUR","")</f>
        <v/>
      </c>
      <c r="AA501" s="48"/>
      <c r="AB501" s="58" t="str">
        <f ca="1">IF(Tableau1[[#This Row],[Date rév.]]&lt;&gt;"", DAYS360(Tableau1[[#This Row],[Date rév.]],TODAY()),"")</f>
        <v/>
      </c>
      <c r="AC501" s="47" t="str">
        <f>IFERROR(INDEX(Chemin_accès!$B$11:$C$22,MATCH(Tableau1[[#This Row],[Type]],Chemin_accès!$C$11:$C$22,0),1),Chemin_accès!$B$11)</f>
        <v>\\stjn.local\trimet\Btechnique\Commun\BT Maint SCELLEMENT\205 - Préventifs\Modèles préventif\GammeDMS_7.MSCT.xlsm</v>
      </c>
      <c r="AD501" s="47" t="str">
        <f>Chemin_accès!$B$8&amp;Tableau1[[#This Row],[Localisation / Classement]]&amp;"\"&amp;Tableau1[[#This Row],[Poste technique]]&amp;"_"&amp;Tableau1[[#This Row],[Plan Entretien]]&amp;".xlsm"</f>
        <v>\\stjn.local\trimet\Btechnique\Commun\BT Maint SCELLEMENT\205 - Préventifs\Gammes 7.MSCT PE Tool\\_.xlsm</v>
      </c>
    </row>
    <row r="502" spans="1:30" x14ac:dyDescent="0.3">
      <c r="A502" s="44" t="str">
        <f t="shared" ca="1" si="7"/>
        <v>7.MSCT</v>
      </c>
      <c r="B5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2" s="46"/>
      <c r="D502" s="44"/>
      <c r="E502" s="44"/>
      <c r="F502" s="47"/>
      <c r="G502" s="47"/>
      <c r="H502" s="50"/>
      <c r="I502" s="50"/>
      <c r="J502" s="50"/>
      <c r="K502" s="50"/>
      <c r="L502" s="46"/>
      <c r="M502" s="47"/>
      <c r="N502" s="46"/>
      <c r="O502" s="46"/>
      <c r="P502" s="47"/>
      <c r="Q502" s="46"/>
      <c r="R502" s="46"/>
      <c r="S502" s="48"/>
      <c r="T502" s="61" t="str">
        <f>IF(Tableau1[[#This Row],[DMS_SAP]]="","",HYPERLINK(Tableau1[[#This Row],[Chemin fichier source]],"X"))</f>
        <v/>
      </c>
      <c r="U502" s="61" t="str">
        <f>IF(Tableau1[[#This Row],[Date rév.]]="","",HYPERLINK(Tableau1[[#This Row],[Lien document]],"X"))</f>
        <v/>
      </c>
      <c r="V502" s="47"/>
      <c r="W502" s="49" t="str">
        <f ca="1">Chemin_accès!$B$2&amp;Tableau1[[#This Row],[Poste Responsable]]&amp;"\"&amp;Tableau1[[#This Row],[Localisation / Classement]]&amp;"\"&amp;Tableau1[[#This Row],[Poste technique]]&amp;"_"&amp;Tableau1[[#This Row],[Plan Entretien]]&amp;".pdf"</f>
        <v>\\stjn.local\trimet\Donnees_Projets\Dms Sap\Maintenance\PlanEntretien\7.MSCT\\_.pdf</v>
      </c>
      <c r="X502" s="47"/>
      <c r="Y502" s="47"/>
      <c r="Z502" s="44" t="str">
        <f ca="1">IF(AND(Tableau1[[#This Row],[Charge]]&lt;&gt;0, Tableau1[[#This Row],[Nombre intervenants]]&lt;&gt;0,Tableau1[[#This Row],[Lien document]]&lt;&gt;0,Tableau1[[#This Row],[DMS_SAP]]&lt;&gt;0)=TRUE,"MIS A JOUR","")</f>
        <v/>
      </c>
      <c r="AA502" s="48"/>
      <c r="AB502" s="58" t="str">
        <f ca="1">IF(Tableau1[[#This Row],[Date rév.]]&lt;&gt;"", DAYS360(Tableau1[[#This Row],[Date rév.]],TODAY()),"")</f>
        <v/>
      </c>
      <c r="AC502" s="47" t="str">
        <f>IFERROR(INDEX(Chemin_accès!$B$11:$C$22,MATCH(Tableau1[[#This Row],[Type]],Chemin_accès!$C$11:$C$22,0),1),Chemin_accès!$B$11)</f>
        <v>\\stjn.local\trimet\Btechnique\Commun\BT Maint SCELLEMENT\205 - Préventifs\Modèles préventif\GammeDMS_7.MSCT.xlsm</v>
      </c>
      <c r="AD502" s="47" t="str">
        <f>Chemin_accès!$B$8&amp;Tableau1[[#This Row],[Localisation / Classement]]&amp;"\"&amp;Tableau1[[#This Row],[Poste technique]]&amp;"_"&amp;Tableau1[[#This Row],[Plan Entretien]]&amp;".xlsm"</f>
        <v>\\stjn.local\trimet\Btechnique\Commun\BT Maint SCELLEMENT\205 - Préventifs\Gammes 7.MSCT PE Tool\\_.xlsm</v>
      </c>
    </row>
    <row r="503" spans="1:30" x14ac:dyDescent="0.3">
      <c r="A503" s="44" t="str">
        <f t="shared" ca="1" si="7"/>
        <v>7.MSCT</v>
      </c>
      <c r="B5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3" s="46"/>
      <c r="D503" s="44"/>
      <c r="E503" s="44"/>
      <c r="F503" s="47"/>
      <c r="G503" s="47"/>
      <c r="H503" s="50"/>
      <c r="I503" s="50"/>
      <c r="J503" s="50"/>
      <c r="K503" s="50"/>
      <c r="L503" s="46"/>
      <c r="M503" s="47"/>
      <c r="N503" s="46"/>
      <c r="O503" s="46"/>
      <c r="P503" s="47"/>
      <c r="Q503" s="46"/>
      <c r="R503" s="46"/>
      <c r="S503" s="48"/>
      <c r="T503" s="61" t="str">
        <f>IF(Tableau1[[#This Row],[DMS_SAP]]="","",HYPERLINK(Tableau1[[#This Row],[Chemin fichier source]],"X"))</f>
        <v/>
      </c>
      <c r="U503" s="61" t="str">
        <f>IF(Tableau1[[#This Row],[Date rév.]]="","",HYPERLINK(Tableau1[[#This Row],[Lien document]],"X"))</f>
        <v/>
      </c>
      <c r="V503" s="47"/>
      <c r="W503" s="49" t="str">
        <f ca="1">Chemin_accès!$B$2&amp;Tableau1[[#This Row],[Poste Responsable]]&amp;"\"&amp;Tableau1[[#This Row],[Localisation / Classement]]&amp;"\"&amp;Tableau1[[#This Row],[Poste technique]]&amp;"_"&amp;Tableau1[[#This Row],[Plan Entretien]]&amp;".pdf"</f>
        <v>\\stjn.local\trimet\Donnees_Projets\Dms Sap\Maintenance\PlanEntretien\7.MSCT\\_.pdf</v>
      </c>
      <c r="X503" s="47"/>
      <c r="Y503" s="47"/>
      <c r="Z503" s="44" t="str">
        <f ca="1">IF(AND(Tableau1[[#This Row],[Charge]]&lt;&gt;0, Tableau1[[#This Row],[Nombre intervenants]]&lt;&gt;0,Tableau1[[#This Row],[Lien document]]&lt;&gt;0,Tableau1[[#This Row],[DMS_SAP]]&lt;&gt;0)=TRUE,"MIS A JOUR","")</f>
        <v/>
      </c>
      <c r="AA503" s="48"/>
      <c r="AB503" s="58" t="str">
        <f ca="1">IF(Tableau1[[#This Row],[Date rév.]]&lt;&gt;"", DAYS360(Tableau1[[#This Row],[Date rév.]],TODAY()),"")</f>
        <v/>
      </c>
      <c r="AC503" s="47" t="str">
        <f>IFERROR(INDEX(Chemin_accès!$B$11:$C$22,MATCH(Tableau1[[#This Row],[Type]],Chemin_accès!$C$11:$C$22,0),1),Chemin_accès!$B$11)</f>
        <v>\\stjn.local\trimet\Btechnique\Commun\BT Maint SCELLEMENT\205 - Préventifs\Modèles préventif\GammeDMS_7.MSCT.xlsm</v>
      </c>
      <c r="AD503" s="47" t="str">
        <f>Chemin_accès!$B$8&amp;Tableau1[[#This Row],[Localisation / Classement]]&amp;"\"&amp;Tableau1[[#This Row],[Poste technique]]&amp;"_"&amp;Tableau1[[#This Row],[Plan Entretien]]&amp;".xlsm"</f>
        <v>\\stjn.local\trimet\Btechnique\Commun\BT Maint SCELLEMENT\205 - Préventifs\Gammes 7.MSCT PE Tool\\_.xlsm</v>
      </c>
    </row>
    <row r="504" spans="1:30" x14ac:dyDescent="0.3">
      <c r="A504" s="44" t="str">
        <f t="shared" ca="1" si="7"/>
        <v>7.MSCT</v>
      </c>
      <c r="B5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4" s="46"/>
      <c r="D504" s="44"/>
      <c r="E504" s="44"/>
      <c r="F504" s="47"/>
      <c r="G504" s="47"/>
      <c r="H504" s="50"/>
      <c r="I504" s="50"/>
      <c r="J504" s="50"/>
      <c r="K504" s="50"/>
      <c r="L504" s="46"/>
      <c r="M504" s="47"/>
      <c r="N504" s="46"/>
      <c r="O504" s="46"/>
      <c r="P504" s="47"/>
      <c r="Q504" s="46"/>
      <c r="R504" s="46"/>
      <c r="S504" s="48"/>
      <c r="T504" s="61" t="str">
        <f>IF(Tableau1[[#This Row],[DMS_SAP]]="","",HYPERLINK(Tableau1[[#This Row],[Chemin fichier source]],"X"))</f>
        <v/>
      </c>
      <c r="U504" s="61" t="str">
        <f>IF(Tableau1[[#This Row],[Date rév.]]="","",HYPERLINK(Tableau1[[#This Row],[Lien document]],"X"))</f>
        <v/>
      </c>
      <c r="V504" s="47"/>
      <c r="W504" s="49" t="str">
        <f ca="1">Chemin_accès!$B$2&amp;Tableau1[[#This Row],[Poste Responsable]]&amp;"\"&amp;Tableau1[[#This Row],[Localisation / Classement]]&amp;"\"&amp;Tableau1[[#This Row],[Poste technique]]&amp;"_"&amp;Tableau1[[#This Row],[Plan Entretien]]&amp;".pdf"</f>
        <v>\\stjn.local\trimet\Donnees_Projets\Dms Sap\Maintenance\PlanEntretien\7.MSCT\\_.pdf</v>
      </c>
      <c r="X504" s="47"/>
      <c r="Y504" s="47"/>
      <c r="Z504" s="44" t="str">
        <f ca="1">IF(AND(Tableau1[[#This Row],[Charge]]&lt;&gt;0, Tableau1[[#This Row],[Nombre intervenants]]&lt;&gt;0,Tableau1[[#This Row],[Lien document]]&lt;&gt;0,Tableau1[[#This Row],[DMS_SAP]]&lt;&gt;0)=TRUE,"MIS A JOUR","")</f>
        <v/>
      </c>
      <c r="AA504" s="48"/>
      <c r="AB504" s="58" t="str">
        <f ca="1">IF(Tableau1[[#This Row],[Date rév.]]&lt;&gt;"", DAYS360(Tableau1[[#This Row],[Date rév.]],TODAY()),"")</f>
        <v/>
      </c>
      <c r="AC504" s="47" t="str">
        <f>IFERROR(INDEX(Chemin_accès!$B$11:$C$22,MATCH(Tableau1[[#This Row],[Type]],Chemin_accès!$C$11:$C$22,0),1),Chemin_accès!$B$11)</f>
        <v>\\stjn.local\trimet\Btechnique\Commun\BT Maint SCELLEMENT\205 - Préventifs\Modèles préventif\GammeDMS_7.MSCT.xlsm</v>
      </c>
      <c r="AD504" s="47" t="str">
        <f>Chemin_accès!$B$8&amp;Tableau1[[#This Row],[Localisation / Classement]]&amp;"\"&amp;Tableau1[[#This Row],[Poste technique]]&amp;"_"&amp;Tableau1[[#This Row],[Plan Entretien]]&amp;".xlsm"</f>
        <v>\\stjn.local\trimet\Btechnique\Commun\BT Maint SCELLEMENT\205 - Préventifs\Gammes 7.MSCT PE Tool\\_.xlsm</v>
      </c>
    </row>
    <row r="505" spans="1:30" x14ac:dyDescent="0.3">
      <c r="A505" s="44" t="str">
        <f t="shared" ca="1" si="7"/>
        <v>7.MSCT</v>
      </c>
      <c r="B5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5" s="46"/>
      <c r="D505" s="44"/>
      <c r="E505" s="44"/>
      <c r="F505" s="47"/>
      <c r="G505" s="47"/>
      <c r="H505" s="50"/>
      <c r="I505" s="50"/>
      <c r="J505" s="50"/>
      <c r="K505" s="50"/>
      <c r="L505" s="46"/>
      <c r="M505" s="47"/>
      <c r="N505" s="46"/>
      <c r="O505" s="46"/>
      <c r="P505" s="47"/>
      <c r="Q505" s="46"/>
      <c r="R505" s="46"/>
      <c r="S505" s="48"/>
      <c r="T505" s="61" t="str">
        <f>IF(Tableau1[[#This Row],[DMS_SAP]]="","",HYPERLINK(Tableau1[[#This Row],[Chemin fichier source]],"X"))</f>
        <v/>
      </c>
      <c r="U505" s="61" t="str">
        <f>IF(Tableau1[[#This Row],[Date rév.]]="","",HYPERLINK(Tableau1[[#This Row],[Lien document]],"X"))</f>
        <v/>
      </c>
      <c r="V505" s="47"/>
      <c r="W505" s="49" t="str">
        <f ca="1">Chemin_accès!$B$2&amp;Tableau1[[#This Row],[Poste Responsable]]&amp;"\"&amp;Tableau1[[#This Row],[Localisation / Classement]]&amp;"\"&amp;Tableau1[[#This Row],[Poste technique]]&amp;"_"&amp;Tableau1[[#This Row],[Plan Entretien]]&amp;".pdf"</f>
        <v>\\stjn.local\trimet\Donnees_Projets\Dms Sap\Maintenance\PlanEntretien\7.MSCT\\_.pdf</v>
      </c>
      <c r="X505" s="47"/>
      <c r="Y505" s="47"/>
      <c r="Z505" s="44" t="str">
        <f ca="1">IF(AND(Tableau1[[#This Row],[Charge]]&lt;&gt;0, Tableau1[[#This Row],[Nombre intervenants]]&lt;&gt;0,Tableau1[[#This Row],[Lien document]]&lt;&gt;0,Tableau1[[#This Row],[DMS_SAP]]&lt;&gt;0)=TRUE,"MIS A JOUR","")</f>
        <v/>
      </c>
      <c r="AA505" s="48"/>
      <c r="AB505" s="58" t="str">
        <f ca="1">IF(Tableau1[[#This Row],[Date rév.]]&lt;&gt;"", DAYS360(Tableau1[[#This Row],[Date rév.]],TODAY()),"")</f>
        <v/>
      </c>
      <c r="AC505" s="47" t="str">
        <f>IFERROR(INDEX(Chemin_accès!$B$11:$C$22,MATCH(Tableau1[[#This Row],[Type]],Chemin_accès!$C$11:$C$22,0),1),Chemin_accès!$B$11)</f>
        <v>\\stjn.local\trimet\Btechnique\Commun\BT Maint SCELLEMENT\205 - Préventifs\Modèles préventif\GammeDMS_7.MSCT.xlsm</v>
      </c>
      <c r="AD505" s="47" t="str">
        <f>Chemin_accès!$B$8&amp;Tableau1[[#This Row],[Localisation / Classement]]&amp;"\"&amp;Tableau1[[#This Row],[Poste technique]]&amp;"_"&amp;Tableau1[[#This Row],[Plan Entretien]]&amp;".xlsm"</f>
        <v>\\stjn.local\trimet\Btechnique\Commun\BT Maint SCELLEMENT\205 - Préventifs\Gammes 7.MSCT PE Tool\\_.xlsm</v>
      </c>
    </row>
    <row r="506" spans="1:30" x14ac:dyDescent="0.3">
      <c r="A506" s="44" t="str">
        <f t="shared" ca="1" si="7"/>
        <v>7.MSCT</v>
      </c>
      <c r="B5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6" s="46"/>
      <c r="D506" s="44"/>
      <c r="E506" s="44"/>
      <c r="F506" s="47"/>
      <c r="G506" s="47"/>
      <c r="H506" s="50"/>
      <c r="I506" s="50"/>
      <c r="J506" s="50"/>
      <c r="K506" s="50"/>
      <c r="L506" s="46"/>
      <c r="M506" s="47"/>
      <c r="N506" s="46"/>
      <c r="O506" s="46"/>
      <c r="P506" s="47"/>
      <c r="Q506" s="46"/>
      <c r="R506" s="46"/>
      <c r="S506" s="48"/>
      <c r="T506" s="61" t="str">
        <f>IF(Tableau1[[#This Row],[DMS_SAP]]="","",HYPERLINK(Tableau1[[#This Row],[Chemin fichier source]],"X"))</f>
        <v/>
      </c>
      <c r="U506" s="61" t="str">
        <f>IF(Tableau1[[#This Row],[Date rév.]]="","",HYPERLINK(Tableau1[[#This Row],[Lien document]],"X"))</f>
        <v/>
      </c>
      <c r="V506" s="47"/>
      <c r="W506" s="49" t="str">
        <f ca="1">Chemin_accès!$B$2&amp;Tableau1[[#This Row],[Poste Responsable]]&amp;"\"&amp;Tableau1[[#This Row],[Localisation / Classement]]&amp;"\"&amp;Tableau1[[#This Row],[Poste technique]]&amp;"_"&amp;Tableau1[[#This Row],[Plan Entretien]]&amp;".pdf"</f>
        <v>\\stjn.local\trimet\Donnees_Projets\Dms Sap\Maintenance\PlanEntretien\7.MSCT\\_.pdf</v>
      </c>
      <c r="X506" s="47"/>
      <c r="Y506" s="47"/>
      <c r="Z506" s="44" t="str">
        <f ca="1">IF(AND(Tableau1[[#This Row],[Charge]]&lt;&gt;0, Tableau1[[#This Row],[Nombre intervenants]]&lt;&gt;0,Tableau1[[#This Row],[Lien document]]&lt;&gt;0,Tableau1[[#This Row],[DMS_SAP]]&lt;&gt;0)=TRUE,"MIS A JOUR","")</f>
        <v/>
      </c>
      <c r="AA506" s="48"/>
      <c r="AB506" s="58" t="str">
        <f ca="1">IF(Tableau1[[#This Row],[Date rév.]]&lt;&gt;"", DAYS360(Tableau1[[#This Row],[Date rév.]],TODAY()),"")</f>
        <v/>
      </c>
      <c r="AC506" s="47" t="str">
        <f>IFERROR(INDEX(Chemin_accès!$B$11:$C$22,MATCH(Tableau1[[#This Row],[Type]],Chemin_accès!$C$11:$C$22,0),1),Chemin_accès!$B$11)</f>
        <v>\\stjn.local\trimet\Btechnique\Commun\BT Maint SCELLEMENT\205 - Préventifs\Modèles préventif\GammeDMS_7.MSCT.xlsm</v>
      </c>
      <c r="AD506" s="47" t="str">
        <f>Chemin_accès!$B$8&amp;Tableau1[[#This Row],[Localisation / Classement]]&amp;"\"&amp;Tableau1[[#This Row],[Poste technique]]&amp;"_"&amp;Tableau1[[#This Row],[Plan Entretien]]&amp;".xlsm"</f>
        <v>\\stjn.local\trimet\Btechnique\Commun\BT Maint SCELLEMENT\205 - Préventifs\Gammes 7.MSCT PE Tool\\_.xlsm</v>
      </c>
    </row>
    <row r="507" spans="1:30" x14ac:dyDescent="0.3">
      <c r="A507" s="44" t="str">
        <f t="shared" ca="1" si="7"/>
        <v>7.MSCT</v>
      </c>
      <c r="B5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7" s="46"/>
      <c r="D507" s="44"/>
      <c r="E507" s="44"/>
      <c r="F507" s="47"/>
      <c r="G507" s="47"/>
      <c r="H507" s="50"/>
      <c r="I507" s="50"/>
      <c r="J507" s="50"/>
      <c r="K507" s="50"/>
      <c r="L507" s="46"/>
      <c r="M507" s="47"/>
      <c r="N507" s="46"/>
      <c r="O507" s="46"/>
      <c r="P507" s="47"/>
      <c r="Q507" s="46"/>
      <c r="R507" s="46"/>
      <c r="S507" s="48"/>
      <c r="T507" s="61" t="str">
        <f>IF(Tableau1[[#This Row],[DMS_SAP]]="","",HYPERLINK(Tableau1[[#This Row],[Chemin fichier source]],"X"))</f>
        <v/>
      </c>
      <c r="U507" s="61" t="str">
        <f>IF(Tableau1[[#This Row],[Date rév.]]="","",HYPERLINK(Tableau1[[#This Row],[Lien document]],"X"))</f>
        <v/>
      </c>
      <c r="V507" s="47"/>
      <c r="W507" s="49" t="str">
        <f ca="1">Chemin_accès!$B$2&amp;Tableau1[[#This Row],[Poste Responsable]]&amp;"\"&amp;Tableau1[[#This Row],[Localisation / Classement]]&amp;"\"&amp;Tableau1[[#This Row],[Poste technique]]&amp;"_"&amp;Tableau1[[#This Row],[Plan Entretien]]&amp;".pdf"</f>
        <v>\\stjn.local\trimet\Donnees_Projets\Dms Sap\Maintenance\PlanEntretien\7.MSCT\\_.pdf</v>
      </c>
      <c r="X507" s="47"/>
      <c r="Y507" s="47"/>
      <c r="Z507" s="44" t="str">
        <f ca="1">IF(AND(Tableau1[[#This Row],[Charge]]&lt;&gt;0, Tableau1[[#This Row],[Nombre intervenants]]&lt;&gt;0,Tableau1[[#This Row],[Lien document]]&lt;&gt;0,Tableau1[[#This Row],[DMS_SAP]]&lt;&gt;0)=TRUE,"MIS A JOUR","")</f>
        <v/>
      </c>
      <c r="AA507" s="48"/>
      <c r="AB507" s="58" t="str">
        <f ca="1">IF(Tableau1[[#This Row],[Date rév.]]&lt;&gt;"", DAYS360(Tableau1[[#This Row],[Date rév.]],TODAY()),"")</f>
        <v/>
      </c>
      <c r="AC507" s="47" t="str">
        <f>IFERROR(INDEX(Chemin_accès!$B$11:$C$22,MATCH(Tableau1[[#This Row],[Type]],Chemin_accès!$C$11:$C$22,0),1),Chemin_accès!$B$11)</f>
        <v>\\stjn.local\trimet\Btechnique\Commun\BT Maint SCELLEMENT\205 - Préventifs\Modèles préventif\GammeDMS_7.MSCT.xlsm</v>
      </c>
      <c r="AD507" s="47" t="str">
        <f>Chemin_accès!$B$8&amp;Tableau1[[#This Row],[Localisation / Classement]]&amp;"\"&amp;Tableau1[[#This Row],[Poste technique]]&amp;"_"&amp;Tableau1[[#This Row],[Plan Entretien]]&amp;".xlsm"</f>
        <v>\\stjn.local\trimet\Btechnique\Commun\BT Maint SCELLEMENT\205 - Préventifs\Gammes 7.MSCT PE Tool\\_.xlsm</v>
      </c>
    </row>
    <row r="508" spans="1:30" x14ac:dyDescent="0.3">
      <c r="A508" s="44" t="str">
        <f t="shared" ca="1" si="7"/>
        <v>7.MSCT</v>
      </c>
      <c r="B5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8" s="46"/>
      <c r="D508" s="44"/>
      <c r="E508" s="44"/>
      <c r="F508" s="47"/>
      <c r="G508" s="47"/>
      <c r="H508" s="50"/>
      <c r="I508" s="50"/>
      <c r="J508" s="50"/>
      <c r="K508" s="50"/>
      <c r="L508" s="46"/>
      <c r="M508" s="47"/>
      <c r="N508" s="46"/>
      <c r="O508" s="46"/>
      <c r="P508" s="47"/>
      <c r="Q508" s="46"/>
      <c r="R508" s="46"/>
      <c r="S508" s="48"/>
      <c r="T508" s="61" t="str">
        <f>IF(Tableau1[[#This Row],[DMS_SAP]]="","",HYPERLINK(Tableau1[[#This Row],[Chemin fichier source]],"X"))</f>
        <v/>
      </c>
      <c r="U508" s="61" t="str">
        <f>IF(Tableau1[[#This Row],[Date rév.]]="","",HYPERLINK(Tableau1[[#This Row],[Lien document]],"X"))</f>
        <v/>
      </c>
      <c r="V508" s="47"/>
      <c r="W508" s="49" t="str">
        <f ca="1">Chemin_accès!$B$2&amp;Tableau1[[#This Row],[Poste Responsable]]&amp;"\"&amp;Tableau1[[#This Row],[Localisation / Classement]]&amp;"\"&amp;Tableau1[[#This Row],[Poste technique]]&amp;"_"&amp;Tableau1[[#This Row],[Plan Entretien]]&amp;".pdf"</f>
        <v>\\stjn.local\trimet\Donnees_Projets\Dms Sap\Maintenance\PlanEntretien\7.MSCT\\_.pdf</v>
      </c>
      <c r="X508" s="47"/>
      <c r="Y508" s="47"/>
      <c r="Z508" s="44" t="str">
        <f ca="1">IF(AND(Tableau1[[#This Row],[Charge]]&lt;&gt;0, Tableau1[[#This Row],[Nombre intervenants]]&lt;&gt;0,Tableau1[[#This Row],[Lien document]]&lt;&gt;0,Tableau1[[#This Row],[DMS_SAP]]&lt;&gt;0)=TRUE,"MIS A JOUR","")</f>
        <v/>
      </c>
      <c r="AA508" s="48"/>
      <c r="AB508" s="58" t="str">
        <f ca="1">IF(Tableau1[[#This Row],[Date rév.]]&lt;&gt;"", DAYS360(Tableau1[[#This Row],[Date rév.]],TODAY()),"")</f>
        <v/>
      </c>
      <c r="AC508" s="47" t="str">
        <f>IFERROR(INDEX(Chemin_accès!$B$11:$C$22,MATCH(Tableau1[[#This Row],[Type]],Chemin_accès!$C$11:$C$22,0),1),Chemin_accès!$B$11)</f>
        <v>\\stjn.local\trimet\Btechnique\Commun\BT Maint SCELLEMENT\205 - Préventifs\Modèles préventif\GammeDMS_7.MSCT.xlsm</v>
      </c>
      <c r="AD508" s="47" t="str">
        <f>Chemin_accès!$B$8&amp;Tableau1[[#This Row],[Localisation / Classement]]&amp;"\"&amp;Tableau1[[#This Row],[Poste technique]]&amp;"_"&amp;Tableau1[[#This Row],[Plan Entretien]]&amp;".xlsm"</f>
        <v>\\stjn.local\trimet\Btechnique\Commun\BT Maint SCELLEMENT\205 - Préventifs\Gammes 7.MSCT PE Tool\\_.xlsm</v>
      </c>
    </row>
    <row r="509" spans="1:30" x14ac:dyDescent="0.3">
      <c r="A509" s="44" t="str">
        <f t="shared" ca="1" si="7"/>
        <v>7.MSCT</v>
      </c>
      <c r="B5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9" s="46"/>
      <c r="D509" s="44"/>
      <c r="E509" s="44"/>
      <c r="F509" s="47"/>
      <c r="G509" s="47"/>
      <c r="H509" s="50"/>
      <c r="I509" s="50"/>
      <c r="J509" s="50"/>
      <c r="K509" s="50"/>
      <c r="L509" s="46"/>
      <c r="M509" s="47"/>
      <c r="N509" s="46"/>
      <c r="O509" s="46"/>
      <c r="P509" s="47"/>
      <c r="Q509" s="46"/>
      <c r="R509" s="46"/>
      <c r="S509" s="48"/>
      <c r="T509" s="61" t="str">
        <f>IF(Tableau1[[#This Row],[DMS_SAP]]="","",HYPERLINK(Tableau1[[#This Row],[Chemin fichier source]],"X"))</f>
        <v/>
      </c>
      <c r="U509" s="61" t="str">
        <f>IF(Tableau1[[#This Row],[Date rév.]]="","",HYPERLINK(Tableau1[[#This Row],[Lien document]],"X"))</f>
        <v/>
      </c>
      <c r="V509" s="47"/>
      <c r="W509" s="49" t="str">
        <f ca="1">Chemin_accès!$B$2&amp;Tableau1[[#This Row],[Poste Responsable]]&amp;"\"&amp;Tableau1[[#This Row],[Localisation / Classement]]&amp;"\"&amp;Tableau1[[#This Row],[Poste technique]]&amp;"_"&amp;Tableau1[[#This Row],[Plan Entretien]]&amp;".pdf"</f>
        <v>\\stjn.local\trimet\Donnees_Projets\Dms Sap\Maintenance\PlanEntretien\7.MSCT\\_.pdf</v>
      </c>
      <c r="X509" s="47"/>
      <c r="Y509" s="47"/>
      <c r="Z509" s="44" t="str">
        <f ca="1">IF(AND(Tableau1[[#This Row],[Charge]]&lt;&gt;0, Tableau1[[#This Row],[Nombre intervenants]]&lt;&gt;0,Tableau1[[#This Row],[Lien document]]&lt;&gt;0,Tableau1[[#This Row],[DMS_SAP]]&lt;&gt;0)=TRUE,"MIS A JOUR","")</f>
        <v/>
      </c>
      <c r="AA509" s="48"/>
      <c r="AB509" s="58" t="str">
        <f ca="1">IF(Tableau1[[#This Row],[Date rév.]]&lt;&gt;"", DAYS360(Tableau1[[#This Row],[Date rév.]],TODAY()),"")</f>
        <v/>
      </c>
      <c r="AC509" s="47" t="str">
        <f>IFERROR(INDEX(Chemin_accès!$B$11:$C$22,MATCH(Tableau1[[#This Row],[Type]],Chemin_accès!$C$11:$C$22,0),1),Chemin_accès!$B$11)</f>
        <v>\\stjn.local\trimet\Btechnique\Commun\BT Maint SCELLEMENT\205 - Préventifs\Modèles préventif\GammeDMS_7.MSCT.xlsm</v>
      </c>
      <c r="AD509" s="47" t="str">
        <f>Chemin_accès!$B$8&amp;Tableau1[[#This Row],[Localisation / Classement]]&amp;"\"&amp;Tableau1[[#This Row],[Poste technique]]&amp;"_"&amp;Tableau1[[#This Row],[Plan Entretien]]&amp;".xlsm"</f>
        <v>\\stjn.local\trimet\Btechnique\Commun\BT Maint SCELLEMENT\205 - Préventifs\Gammes 7.MSCT PE Tool\\_.xlsm</v>
      </c>
    </row>
    <row r="510" spans="1:30" x14ac:dyDescent="0.3">
      <c r="A510" s="44" t="str">
        <f t="shared" ca="1" si="7"/>
        <v>7.MSCT</v>
      </c>
      <c r="B5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0" s="46"/>
      <c r="D510" s="44"/>
      <c r="E510" s="44"/>
      <c r="F510" s="47"/>
      <c r="G510" s="47"/>
      <c r="H510" s="50"/>
      <c r="I510" s="50"/>
      <c r="J510" s="50"/>
      <c r="K510" s="50"/>
      <c r="L510" s="46"/>
      <c r="M510" s="47"/>
      <c r="N510" s="46"/>
      <c r="O510" s="46"/>
      <c r="P510" s="47"/>
      <c r="Q510" s="46"/>
      <c r="R510" s="46"/>
      <c r="S510" s="48"/>
      <c r="T510" s="61" t="str">
        <f>IF(Tableau1[[#This Row],[DMS_SAP]]="","",HYPERLINK(Tableau1[[#This Row],[Chemin fichier source]],"X"))</f>
        <v/>
      </c>
      <c r="U510" s="61" t="str">
        <f>IF(Tableau1[[#This Row],[Date rév.]]="","",HYPERLINK(Tableau1[[#This Row],[Lien document]],"X"))</f>
        <v/>
      </c>
      <c r="V510" s="47"/>
      <c r="W510" s="49" t="str">
        <f ca="1">Chemin_accès!$B$2&amp;Tableau1[[#This Row],[Poste Responsable]]&amp;"\"&amp;Tableau1[[#This Row],[Localisation / Classement]]&amp;"\"&amp;Tableau1[[#This Row],[Poste technique]]&amp;"_"&amp;Tableau1[[#This Row],[Plan Entretien]]&amp;".pdf"</f>
        <v>\\stjn.local\trimet\Donnees_Projets\Dms Sap\Maintenance\PlanEntretien\7.MSCT\\_.pdf</v>
      </c>
      <c r="X510" s="47"/>
      <c r="Y510" s="47"/>
      <c r="Z510" s="44" t="str">
        <f ca="1">IF(AND(Tableau1[[#This Row],[Charge]]&lt;&gt;0, Tableau1[[#This Row],[Nombre intervenants]]&lt;&gt;0,Tableau1[[#This Row],[Lien document]]&lt;&gt;0,Tableau1[[#This Row],[DMS_SAP]]&lt;&gt;0)=TRUE,"MIS A JOUR","")</f>
        <v/>
      </c>
      <c r="AA510" s="48"/>
      <c r="AB510" s="58" t="str">
        <f ca="1">IF(Tableau1[[#This Row],[Date rév.]]&lt;&gt;"", DAYS360(Tableau1[[#This Row],[Date rév.]],TODAY()),"")</f>
        <v/>
      </c>
      <c r="AC510" s="47" t="str">
        <f>IFERROR(INDEX(Chemin_accès!$B$11:$C$22,MATCH(Tableau1[[#This Row],[Type]],Chemin_accès!$C$11:$C$22,0),1),Chemin_accès!$B$11)</f>
        <v>\\stjn.local\trimet\Btechnique\Commun\BT Maint SCELLEMENT\205 - Préventifs\Modèles préventif\GammeDMS_7.MSCT.xlsm</v>
      </c>
      <c r="AD510" s="47" t="str">
        <f>Chemin_accès!$B$8&amp;Tableau1[[#This Row],[Localisation / Classement]]&amp;"\"&amp;Tableau1[[#This Row],[Poste technique]]&amp;"_"&amp;Tableau1[[#This Row],[Plan Entretien]]&amp;".xlsm"</f>
        <v>\\stjn.local\trimet\Btechnique\Commun\BT Maint SCELLEMENT\205 - Préventifs\Gammes 7.MSCT PE Tool\\_.xlsm</v>
      </c>
    </row>
    <row r="511" spans="1:30" x14ac:dyDescent="0.3">
      <c r="A511" s="44" t="str">
        <f t="shared" ca="1" si="7"/>
        <v>7.MSCT</v>
      </c>
      <c r="B5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1" s="46"/>
      <c r="D511" s="44"/>
      <c r="E511" s="44"/>
      <c r="F511" s="47"/>
      <c r="G511" s="47"/>
      <c r="H511" s="50"/>
      <c r="I511" s="50"/>
      <c r="J511" s="50"/>
      <c r="K511" s="50"/>
      <c r="L511" s="46"/>
      <c r="M511" s="47"/>
      <c r="N511" s="46"/>
      <c r="O511" s="46"/>
      <c r="P511" s="47"/>
      <c r="Q511" s="46"/>
      <c r="R511" s="46"/>
      <c r="S511" s="48"/>
      <c r="T511" s="61" t="str">
        <f>IF(Tableau1[[#This Row],[DMS_SAP]]="","",HYPERLINK(Tableau1[[#This Row],[Chemin fichier source]],"X"))</f>
        <v/>
      </c>
      <c r="U511" s="61" t="str">
        <f>IF(Tableau1[[#This Row],[Date rév.]]="","",HYPERLINK(Tableau1[[#This Row],[Lien document]],"X"))</f>
        <v/>
      </c>
      <c r="V511" s="47"/>
      <c r="W511" s="49" t="str">
        <f ca="1">Chemin_accès!$B$2&amp;Tableau1[[#This Row],[Poste Responsable]]&amp;"\"&amp;Tableau1[[#This Row],[Localisation / Classement]]&amp;"\"&amp;Tableau1[[#This Row],[Poste technique]]&amp;"_"&amp;Tableau1[[#This Row],[Plan Entretien]]&amp;".pdf"</f>
        <v>\\stjn.local\trimet\Donnees_Projets\Dms Sap\Maintenance\PlanEntretien\7.MSCT\\_.pdf</v>
      </c>
      <c r="X511" s="47"/>
      <c r="Y511" s="47"/>
      <c r="Z511" s="44" t="str">
        <f ca="1">IF(AND(Tableau1[[#This Row],[Charge]]&lt;&gt;0, Tableau1[[#This Row],[Nombre intervenants]]&lt;&gt;0,Tableau1[[#This Row],[Lien document]]&lt;&gt;0,Tableau1[[#This Row],[DMS_SAP]]&lt;&gt;0)=TRUE,"MIS A JOUR","")</f>
        <v/>
      </c>
      <c r="AA511" s="48"/>
      <c r="AB511" s="58" t="str">
        <f ca="1">IF(Tableau1[[#This Row],[Date rév.]]&lt;&gt;"", DAYS360(Tableau1[[#This Row],[Date rév.]],TODAY()),"")</f>
        <v/>
      </c>
      <c r="AC511" s="47" t="str">
        <f>IFERROR(INDEX(Chemin_accès!$B$11:$C$22,MATCH(Tableau1[[#This Row],[Type]],Chemin_accès!$C$11:$C$22,0),1),Chemin_accès!$B$11)</f>
        <v>\\stjn.local\trimet\Btechnique\Commun\BT Maint SCELLEMENT\205 - Préventifs\Modèles préventif\GammeDMS_7.MSCT.xlsm</v>
      </c>
      <c r="AD511" s="47" t="str">
        <f>Chemin_accès!$B$8&amp;Tableau1[[#This Row],[Localisation / Classement]]&amp;"\"&amp;Tableau1[[#This Row],[Poste technique]]&amp;"_"&amp;Tableau1[[#This Row],[Plan Entretien]]&amp;".xlsm"</f>
        <v>\\stjn.local\trimet\Btechnique\Commun\BT Maint SCELLEMENT\205 - Préventifs\Gammes 7.MSCT PE Tool\\_.xlsm</v>
      </c>
    </row>
    <row r="512" spans="1:30" x14ac:dyDescent="0.3">
      <c r="A512" s="44" t="str">
        <f t="shared" ca="1" si="7"/>
        <v>7.MSCT</v>
      </c>
      <c r="B5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2" s="46"/>
      <c r="D512" s="44"/>
      <c r="E512" s="44"/>
      <c r="F512" s="47"/>
      <c r="G512" s="47"/>
      <c r="H512" s="50"/>
      <c r="I512" s="50"/>
      <c r="J512" s="50"/>
      <c r="K512" s="50"/>
      <c r="L512" s="46"/>
      <c r="M512" s="47"/>
      <c r="N512" s="46"/>
      <c r="O512" s="46"/>
      <c r="P512" s="47"/>
      <c r="Q512" s="46"/>
      <c r="R512" s="46"/>
      <c r="S512" s="48"/>
      <c r="T512" s="61" t="str">
        <f>IF(Tableau1[[#This Row],[DMS_SAP]]="","",HYPERLINK(Tableau1[[#This Row],[Chemin fichier source]],"X"))</f>
        <v/>
      </c>
      <c r="U512" s="61" t="str">
        <f>IF(Tableau1[[#This Row],[Date rév.]]="","",HYPERLINK(Tableau1[[#This Row],[Lien document]],"X"))</f>
        <v/>
      </c>
      <c r="V512" s="47"/>
      <c r="W512" s="49" t="str">
        <f ca="1">Chemin_accès!$B$2&amp;Tableau1[[#This Row],[Poste Responsable]]&amp;"\"&amp;Tableau1[[#This Row],[Localisation / Classement]]&amp;"\"&amp;Tableau1[[#This Row],[Poste technique]]&amp;"_"&amp;Tableau1[[#This Row],[Plan Entretien]]&amp;".pdf"</f>
        <v>\\stjn.local\trimet\Donnees_Projets\Dms Sap\Maintenance\PlanEntretien\7.MSCT\\_.pdf</v>
      </c>
      <c r="X512" s="47"/>
      <c r="Y512" s="47"/>
      <c r="Z512" s="44" t="str">
        <f ca="1">IF(AND(Tableau1[[#This Row],[Charge]]&lt;&gt;0, Tableau1[[#This Row],[Nombre intervenants]]&lt;&gt;0,Tableau1[[#This Row],[Lien document]]&lt;&gt;0,Tableau1[[#This Row],[DMS_SAP]]&lt;&gt;0)=TRUE,"MIS A JOUR","")</f>
        <v/>
      </c>
      <c r="AA512" s="48"/>
      <c r="AB512" s="58" t="str">
        <f ca="1">IF(Tableau1[[#This Row],[Date rév.]]&lt;&gt;"", DAYS360(Tableau1[[#This Row],[Date rév.]],TODAY()),"")</f>
        <v/>
      </c>
      <c r="AC512" s="47" t="str">
        <f>IFERROR(INDEX(Chemin_accès!$B$11:$C$22,MATCH(Tableau1[[#This Row],[Type]],Chemin_accès!$C$11:$C$22,0),1),Chemin_accès!$B$11)</f>
        <v>\\stjn.local\trimet\Btechnique\Commun\BT Maint SCELLEMENT\205 - Préventifs\Modèles préventif\GammeDMS_7.MSCT.xlsm</v>
      </c>
      <c r="AD512" s="47" t="str">
        <f>Chemin_accès!$B$8&amp;Tableau1[[#This Row],[Localisation / Classement]]&amp;"\"&amp;Tableau1[[#This Row],[Poste technique]]&amp;"_"&amp;Tableau1[[#This Row],[Plan Entretien]]&amp;".xlsm"</f>
        <v>\\stjn.local\trimet\Btechnique\Commun\BT Maint SCELLEMENT\205 - Préventifs\Gammes 7.MSCT PE Tool\\_.xlsm</v>
      </c>
    </row>
    <row r="513" spans="1:30" x14ac:dyDescent="0.3">
      <c r="A513" s="44" t="str">
        <f t="shared" ca="1" si="7"/>
        <v>7.MSCT</v>
      </c>
      <c r="B5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3" s="46"/>
      <c r="D513" s="44"/>
      <c r="E513" s="44"/>
      <c r="F513" s="47"/>
      <c r="G513" s="47"/>
      <c r="H513" s="50"/>
      <c r="I513" s="50"/>
      <c r="J513" s="50"/>
      <c r="K513" s="50"/>
      <c r="L513" s="46"/>
      <c r="M513" s="47"/>
      <c r="N513" s="46"/>
      <c r="O513" s="46"/>
      <c r="P513" s="47"/>
      <c r="Q513" s="46"/>
      <c r="R513" s="46"/>
      <c r="S513" s="48"/>
      <c r="T513" s="61" t="str">
        <f>IF(Tableau1[[#This Row],[DMS_SAP]]="","",HYPERLINK(Tableau1[[#This Row],[Chemin fichier source]],"X"))</f>
        <v/>
      </c>
      <c r="U513" s="61" t="str">
        <f>IF(Tableau1[[#This Row],[Date rév.]]="","",HYPERLINK(Tableau1[[#This Row],[Lien document]],"X"))</f>
        <v/>
      </c>
      <c r="V513" s="47"/>
      <c r="W513" s="49" t="str">
        <f ca="1">Chemin_accès!$B$2&amp;Tableau1[[#This Row],[Poste Responsable]]&amp;"\"&amp;Tableau1[[#This Row],[Localisation / Classement]]&amp;"\"&amp;Tableau1[[#This Row],[Poste technique]]&amp;"_"&amp;Tableau1[[#This Row],[Plan Entretien]]&amp;".pdf"</f>
        <v>\\stjn.local\trimet\Donnees_Projets\Dms Sap\Maintenance\PlanEntretien\7.MSCT\\_.pdf</v>
      </c>
      <c r="X513" s="47"/>
      <c r="Y513" s="47"/>
      <c r="Z513" s="44" t="str">
        <f ca="1">IF(AND(Tableau1[[#This Row],[Charge]]&lt;&gt;0, Tableau1[[#This Row],[Nombre intervenants]]&lt;&gt;0,Tableau1[[#This Row],[Lien document]]&lt;&gt;0,Tableau1[[#This Row],[DMS_SAP]]&lt;&gt;0)=TRUE,"MIS A JOUR","")</f>
        <v/>
      </c>
      <c r="AA513" s="48"/>
      <c r="AB513" s="58" t="str">
        <f ca="1">IF(Tableau1[[#This Row],[Date rév.]]&lt;&gt;"", DAYS360(Tableau1[[#This Row],[Date rév.]],TODAY()),"")</f>
        <v/>
      </c>
      <c r="AC513" s="47" t="str">
        <f>IFERROR(INDEX(Chemin_accès!$B$11:$C$22,MATCH(Tableau1[[#This Row],[Type]],Chemin_accès!$C$11:$C$22,0),1),Chemin_accès!$B$11)</f>
        <v>\\stjn.local\trimet\Btechnique\Commun\BT Maint SCELLEMENT\205 - Préventifs\Modèles préventif\GammeDMS_7.MSCT.xlsm</v>
      </c>
      <c r="AD513" s="47" t="str">
        <f>Chemin_accès!$B$8&amp;Tableau1[[#This Row],[Localisation / Classement]]&amp;"\"&amp;Tableau1[[#This Row],[Poste technique]]&amp;"_"&amp;Tableau1[[#This Row],[Plan Entretien]]&amp;".xlsm"</f>
        <v>\\stjn.local\trimet\Btechnique\Commun\BT Maint SCELLEMENT\205 - Préventifs\Gammes 7.MSCT PE Tool\\_.xlsm</v>
      </c>
    </row>
    <row r="514" spans="1:30" x14ac:dyDescent="0.3">
      <c r="A514" s="44" t="str">
        <f t="shared" ref="A514:A577" ca="1" si="8">MID(CELL("filename",$A$1),FIND("]",CELL("filename",$A$1))+1,32)</f>
        <v>7.MSCT</v>
      </c>
      <c r="B5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4" s="46"/>
      <c r="D514" s="44"/>
      <c r="E514" s="44"/>
      <c r="F514" s="47"/>
      <c r="G514" s="47"/>
      <c r="H514" s="50"/>
      <c r="I514" s="50"/>
      <c r="J514" s="50"/>
      <c r="K514" s="50"/>
      <c r="L514" s="46"/>
      <c r="M514" s="47"/>
      <c r="N514" s="46"/>
      <c r="O514" s="46"/>
      <c r="P514" s="47"/>
      <c r="Q514" s="46"/>
      <c r="R514" s="46"/>
      <c r="S514" s="48"/>
      <c r="T514" s="61" t="str">
        <f>IF(Tableau1[[#This Row],[DMS_SAP]]="","",HYPERLINK(Tableau1[[#This Row],[Chemin fichier source]],"X"))</f>
        <v/>
      </c>
      <c r="U514" s="61" t="str">
        <f>IF(Tableau1[[#This Row],[Date rév.]]="","",HYPERLINK(Tableau1[[#This Row],[Lien document]],"X"))</f>
        <v/>
      </c>
      <c r="V514" s="47"/>
      <c r="W514" s="49" t="str">
        <f ca="1">Chemin_accès!$B$2&amp;Tableau1[[#This Row],[Poste Responsable]]&amp;"\"&amp;Tableau1[[#This Row],[Localisation / Classement]]&amp;"\"&amp;Tableau1[[#This Row],[Poste technique]]&amp;"_"&amp;Tableau1[[#This Row],[Plan Entretien]]&amp;".pdf"</f>
        <v>\\stjn.local\trimet\Donnees_Projets\Dms Sap\Maintenance\PlanEntretien\7.MSCT\\_.pdf</v>
      </c>
      <c r="X514" s="47"/>
      <c r="Y514" s="47"/>
      <c r="Z514" s="44" t="str">
        <f ca="1">IF(AND(Tableau1[[#This Row],[Charge]]&lt;&gt;0, Tableau1[[#This Row],[Nombre intervenants]]&lt;&gt;0,Tableau1[[#This Row],[Lien document]]&lt;&gt;0,Tableau1[[#This Row],[DMS_SAP]]&lt;&gt;0)=TRUE,"MIS A JOUR","")</f>
        <v/>
      </c>
      <c r="AA514" s="48"/>
      <c r="AB514" s="58" t="str">
        <f ca="1">IF(Tableau1[[#This Row],[Date rév.]]&lt;&gt;"", DAYS360(Tableau1[[#This Row],[Date rév.]],TODAY()),"")</f>
        <v/>
      </c>
      <c r="AC514" s="47" t="str">
        <f>IFERROR(INDEX(Chemin_accès!$B$11:$C$22,MATCH(Tableau1[[#This Row],[Type]],Chemin_accès!$C$11:$C$22,0),1),Chemin_accès!$B$11)</f>
        <v>\\stjn.local\trimet\Btechnique\Commun\BT Maint SCELLEMENT\205 - Préventifs\Modèles préventif\GammeDMS_7.MSCT.xlsm</v>
      </c>
      <c r="AD514" s="47" t="str">
        <f>Chemin_accès!$B$8&amp;Tableau1[[#This Row],[Localisation / Classement]]&amp;"\"&amp;Tableau1[[#This Row],[Poste technique]]&amp;"_"&amp;Tableau1[[#This Row],[Plan Entretien]]&amp;".xlsm"</f>
        <v>\\stjn.local\trimet\Btechnique\Commun\BT Maint SCELLEMENT\205 - Préventifs\Gammes 7.MSCT PE Tool\\_.xlsm</v>
      </c>
    </row>
    <row r="515" spans="1:30" x14ac:dyDescent="0.3">
      <c r="A515" s="44" t="str">
        <f t="shared" ca="1" si="8"/>
        <v>7.MSCT</v>
      </c>
      <c r="B5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5" s="46"/>
      <c r="D515" s="44"/>
      <c r="E515" s="44"/>
      <c r="F515" s="47"/>
      <c r="G515" s="47"/>
      <c r="H515" s="50"/>
      <c r="I515" s="50"/>
      <c r="J515" s="50"/>
      <c r="K515" s="50"/>
      <c r="L515" s="46"/>
      <c r="M515" s="47"/>
      <c r="N515" s="46"/>
      <c r="O515" s="46"/>
      <c r="P515" s="47"/>
      <c r="Q515" s="46"/>
      <c r="R515" s="46"/>
      <c r="S515" s="48"/>
      <c r="T515" s="61" t="str">
        <f>IF(Tableau1[[#This Row],[DMS_SAP]]="","",HYPERLINK(Tableau1[[#This Row],[Chemin fichier source]],"X"))</f>
        <v/>
      </c>
      <c r="U515" s="61" t="str">
        <f>IF(Tableau1[[#This Row],[Date rév.]]="","",HYPERLINK(Tableau1[[#This Row],[Lien document]],"X"))</f>
        <v/>
      </c>
      <c r="V515" s="47"/>
      <c r="W515" s="49" t="str">
        <f ca="1">Chemin_accès!$B$2&amp;Tableau1[[#This Row],[Poste Responsable]]&amp;"\"&amp;Tableau1[[#This Row],[Localisation / Classement]]&amp;"\"&amp;Tableau1[[#This Row],[Poste technique]]&amp;"_"&amp;Tableau1[[#This Row],[Plan Entretien]]&amp;".pdf"</f>
        <v>\\stjn.local\trimet\Donnees_Projets\Dms Sap\Maintenance\PlanEntretien\7.MSCT\\_.pdf</v>
      </c>
      <c r="X515" s="47"/>
      <c r="Y515" s="47"/>
      <c r="Z515" s="44" t="str">
        <f ca="1">IF(AND(Tableau1[[#This Row],[Charge]]&lt;&gt;0, Tableau1[[#This Row],[Nombre intervenants]]&lt;&gt;0,Tableau1[[#This Row],[Lien document]]&lt;&gt;0,Tableau1[[#This Row],[DMS_SAP]]&lt;&gt;0)=TRUE,"MIS A JOUR","")</f>
        <v/>
      </c>
      <c r="AA515" s="48"/>
      <c r="AB515" s="58" t="str">
        <f ca="1">IF(Tableau1[[#This Row],[Date rév.]]&lt;&gt;"", DAYS360(Tableau1[[#This Row],[Date rév.]],TODAY()),"")</f>
        <v/>
      </c>
      <c r="AC515" s="47" t="str">
        <f>IFERROR(INDEX(Chemin_accès!$B$11:$C$22,MATCH(Tableau1[[#This Row],[Type]],Chemin_accès!$C$11:$C$22,0),1),Chemin_accès!$B$11)</f>
        <v>\\stjn.local\trimet\Btechnique\Commun\BT Maint SCELLEMENT\205 - Préventifs\Modèles préventif\GammeDMS_7.MSCT.xlsm</v>
      </c>
      <c r="AD515" s="47" t="str">
        <f>Chemin_accès!$B$8&amp;Tableau1[[#This Row],[Localisation / Classement]]&amp;"\"&amp;Tableau1[[#This Row],[Poste technique]]&amp;"_"&amp;Tableau1[[#This Row],[Plan Entretien]]&amp;".xlsm"</f>
        <v>\\stjn.local\trimet\Btechnique\Commun\BT Maint SCELLEMENT\205 - Préventifs\Gammes 7.MSCT PE Tool\\_.xlsm</v>
      </c>
    </row>
    <row r="516" spans="1:30" x14ac:dyDescent="0.3">
      <c r="A516" s="44" t="str">
        <f t="shared" ca="1" si="8"/>
        <v>7.MSCT</v>
      </c>
      <c r="B5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6" s="46"/>
      <c r="D516" s="44"/>
      <c r="E516" s="44"/>
      <c r="F516" s="47"/>
      <c r="G516" s="47"/>
      <c r="H516" s="50"/>
      <c r="I516" s="50"/>
      <c r="J516" s="50"/>
      <c r="K516" s="50"/>
      <c r="L516" s="46"/>
      <c r="M516" s="47"/>
      <c r="N516" s="46"/>
      <c r="O516" s="46"/>
      <c r="P516" s="47"/>
      <c r="Q516" s="46"/>
      <c r="R516" s="46"/>
      <c r="S516" s="48"/>
      <c r="T516" s="61" t="str">
        <f>IF(Tableau1[[#This Row],[DMS_SAP]]="","",HYPERLINK(Tableau1[[#This Row],[Chemin fichier source]],"X"))</f>
        <v/>
      </c>
      <c r="U516" s="61" t="str">
        <f>IF(Tableau1[[#This Row],[Date rév.]]="","",HYPERLINK(Tableau1[[#This Row],[Lien document]],"X"))</f>
        <v/>
      </c>
      <c r="V516" s="47"/>
      <c r="W516" s="49" t="str">
        <f ca="1">Chemin_accès!$B$2&amp;Tableau1[[#This Row],[Poste Responsable]]&amp;"\"&amp;Tableau1[[#This Row],[Localisation / Classement]]&amp;"\"&amp;Tableau1[[#This Row],[Poste technique]]&amp;"_"&amp;Tableau1[[#This Row],[Plan Entretien]]&amp;".pdf"</f>
        <v>\\stjn.local\trimet\Donnees_Projets\Dms Sap\Maintenance\PlanEntretien\7.MSCT\\_.pdf</v>
      </c>
      <c r="X516" s="47"/>
      <c r="Y516" s="47"/>
      <c r="Z516" s="44" t="str">
        <f ca="1">IF(AND(Tableau1[[#This Row],[Charge]]&lt;&gt;0, Tableau1[[#This Row],[Nombre intervenants]]&lt;&gt;0,Tableau1[[#This Row],[Lien document]]&lt;&gt;0,Tableau1[[#This Row],[DMS_SAP]]&lt;&gt;0)=TRUE,"MIS A JOUR","")</f>
        <v/>
      </c>
      <c r="AA516" s="48"/>
      <c r="AB516" s="58" t="str">
        <f ca="1">IF(Tableau1[[#This Row],[Date rév.]]&lt;&gt;"", DAYS360(Tableau1[[#This Row],[Date rév.]],TODAY()),"")</f>
        <v/>
      </c>
      <c r="AC516" s="47" t="str">
        <f>IFERROR(INDEX(Chemin_accès!$B$11:$C$22,MATCH(Tableau1[[#This Row],[Type]],Chemin_accès!$C$11:$C$22,0),1),Chemin_accès!$B$11)</f>
        <v>\\stjn.local\trimet\Btechnique\Commun\BT Maint SCELLEMENT\205 - Préventifs\Modèles préventif\GammeDMS_7.MSCT.xlsm</v>
      </c>
      <c r="AD516" s="47" t="str">
        <f>Chemin_accès!$B$8&amp;Tableau1[[#This Row],[Localisation / Classement]]&amp;"\"&amp;Tableau1[[#This Row],[Poste technique]]&amp;"_"&amp;Tableau1[[#This Row],[Plan Entretien]]&amp;".xlsm"</f>
        <v>\\stjn.local\trimet\Btechnique\Commun\BT Maint SCELLEMENT\205 - Préventifs\Gammes 7.MSCT PE Tool\\_.xlsm</v>
      </c>
    </row>
    <row r="517" spans="1:30" x14ac:dyDescent="0.3">
      <c r="A517" s="44" t="str">
        <f t="shared" ca="1" si="8"/>
        <v>7.MSCT</v>
      </c>
      <c r="B5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7" s="46"/>
      <c r="D517" s="44"/>
      <c r="E517" s="44"/>
      <c r="F517" s="47"/>
      <c r="G517" s="47"/>
      <c r="H517" s="50"/>
      <c r="I517" s="50"/>
      <c r="J517" s="50"/>
      <c r="K517" s="50"/>
      <c r="L517" s="46"/>
      <c r="M517" s="47"/>
      <c r="N517" s="46"/>
      <c r="O517" s="46"/>
      <c r="P517" s="47"/>
      <c r="Q517" s="46"/>
      <c r="R517" s="46"/>
      <c r="S517" s="48"/>
      <c r="T517" s="61" t="str">
        <f>IF(Tableau1[[#This Row],[DMS_SAP]]="","",HYPERLINK(Tableau1[[#This Row],[Chemin fichier source]],"X"))</f>
        <v/>
      </c>
      <c r="U517" s="61" t="str">
        <f>IF(Tableau1[[#This Row],[Date rév.]]="","",HYPERLINK(Tableau1[[#This Row],[Lien document]],"X"))</f>
        <v/>
      </c>
      <c r="V517" s="47"/>
      <c r="W517" s="49" t="str">
        <f ca="1">Chemin_accès!$B$2&amp;Tableau1[[#This Row],[Poste Responsable]]&amp;"\"&amp;Tableau1[[#This Row],[Localisation / Classement]]&amp;"\"&amp;Tableau1[[#This Row],[Poste technique]]&amp;"_"&amp;Tableau1[[#This Row],[Plan Entretien]]&amp;".pdf"</f>
        <v>\\stjn.local\trimet\Donnees_Projets\Dms Sap\Maintenance\PlanEntretien\7.MSCT\\_.pdf</v>
      </c>
      <c r="X517" s="47"/>
      <c r="Y517" s="47"/>
      <c r="Z517" s="44" t="str">
        <f ca="1">IF(AND(Tableau1[[#This Row],[Charge]]&lt;&gt;0, Tableau1[[#This Row],[Nombre intervenants]]&lt;&gt;0,Tableau1[[#This Row],[Lien document]]&lt;&gt;0,Tableau1[[#This Row],[DMS_SAP]]&lt;&gt;0)=TRUE,"MIS A JOUR","")</f>
        <v/>
      </c>
      <c r="AA517" s="48"/>
      <c r="AB517" s="58" t="str">
        <f ca="1">IF(Tableau1[[#This Row],[Date rév.]]&lt;&gt;"", DAYS360(Tableau1[[#This Row],[Date rév.]],TODAY()),"")</f>
        <v/>
      </c>
      <c r="AC517" s="47" t="str">
        <f>IFERROR(INDEX(Chemin_accès!$B$11:$C$22,MATCH(Tableau1[[#This Row],[Type]],Chemin_accès!$C$11:$C$22,0),1),Chemin_accès!$B$11)</f>
        <v>\\stjn.local\trimet\Btechnique\Commun\BT Maint SCELLEMENT\205 - Préventifs\Modèles préventif\GammeDMS_7.MSCT.xlsm</v>
      </c>
      <c r="AD517" s="47" t="str">
        <f>Chemin_accès!$B$8&amp;Tableau1[[#This Row],[Localisation / Classement]]&amp;"\"&amp;Tableau1[[#This Row],[Poste technique]]&amp;"_"&amp;Tableau1[[#This Row],[Plan Entretien]]&amp;".xlsm"</f>
        <v>\\stjn.local\trimet\Btechnique\Commun\BT Maint SCELLEMENT\205 - Préventifs\Gammes 7.MSCT PE Tool\\_.xlsm</v>
      </c>
    </row>
    <row r="518" spans="1:30" x14ac:dyDescent="0.3">
      <c r="A518" s="44" t="str">
        <f t="shared" ca="1" si="8"/>
        <v>7.MSCT</v>
      </c>
      <c r="B5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8" s="46"/>
      <c r="D518" s="44"/>
      <c r="E518" s="44"/>
      <c r="F518" s="47"/>
      <c r="G518" s="47"/>
      <c r="H518" s="50"/>
      <c r="I518" s="50"/>
      <c r="J518" s="50"/>
      <c r="K518" s="50"/>
      <c r="L518" s="46"/>
      <c r="M518" s="47"/>
      <c r="N518" s="46"/>
      <c r="O518" s="46"/>
      <c r="P518" s="47"/>
      <c r="Q518" s="46"/>
      <c r="R518" s="46"/>
      <c r="S518" s="48"/>
      <c r="T518" s="61" t="str">
        <f>IF(Tableau1[[#This Row],[DMS_SAP]]="","",HYPERLINK(Tableau1[[#This Row],[Chemin fichier source]],"X"))</f>
        <v/>
      </c>
      <c r="U518" s="61" t="str">
        <f>IF(Tableau1[[#This Row],[Date rév.]]="","",HYPERLINK(Tableau1[[#This Row],[Lien document]],"X"))</f>
        <v/>
      </c>
      <c r="V518" s="47"/>
      <c r="W518" s="49" t="str">
        <f ca="1">Chemin_accès!$B$2&amp;Tableau1[[#This Row],[Poste Responsable]]&amp;"\"&amp;Tableau1[[#This Row],[Localisation / Classement]]&amp;"\"&amp;Tableau1[[#This Row],[Poste technique]]&amp;"_"&amp;Tableau1[[#This Row],[Plan Entretien]]&amp;".pdf"</f>
        <v>\\stjn.local\trimet\Donnees_Projets\Dms Sap\Maintenance\PlanEntretien\7.MSCT\\_.pdf</v>
      </c>
      <c r="X518" s="47"/>
      <c r="Y518" s="47"/>
      <c r="Z518" s="44" t="str">
        <f ca="1">IF(AND(Tableau1[[#This Row],[Charge]]&lt;&gt;0, Tableau1[[#This Row],[Nombre intervenants]]&lt;&gt;0,Tableau1[[#This Row],[Lien document]]&lt;&gt;0,Tableau1[[#This Row],[DMS_SAP]]&lt;&gt;0)=TRUE,"MIS A JOUR","")</f>
        <v/>
      </c>
      <c r="AA518" s="48"/>
      <c r="AB518" s="58" t="str">
        <f ca="1">IF(Tableau1[[#This Row],[Date rév.]]&lt;&gt;"", DAYS360(Tableau1[[#This Row],[Date rév.]],TODAY()),"")</f>
        <v/>
      </c>
      <c r="AC518" s="47" t="str">
        <f>IFERROR(INDEX(Chemin_accès!$B$11:$C$22,MATCH(Tableau1[[#This Row],[Type]],Chemin_accès!$C$11:$C$22,0),1),Chemin_accès!$B$11)</f>
        <v>\\stjn.local\trimet\Btechnique\Commun\BT Maint SCELLEMENT\205 - Préventifs\Modèles préventif\GammeDMS_7.MSCT.xlsm</v>
      </c>
      <c r="AD518" s="47" t="str">
        <f>Chemin_accès!$B$8&amp;Tableau1[[#This Row],[Localisation / Classement]]&amp;"\"&amp;Tableau1[[#This Row],[Poste technique]]&amp;"_"&amp;Tableau1[[#This Row],[Plan Entretien]]&amp;".xlsm"</f>
        <v>\\stjn.local\trimet\Btechnique\Commun\BT Maint SCELLEMENT\205 - Préventifs\Gammes 7.MSCT PE Tool\\_.xlsm</v>
      </c>
    </row>
    <row r="519" spans="1:30" x14ac:dyDescent="0.3">
      <c r="A519" s="44" t="str">
        <f t="shared" ca="1" si="8"/>
        <v>7.MSCT</v>
      </c>
      <c r="B5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9" s="46"/>
      <c r="D519" s="44"/>
      <c r="E519" s="44"/>
      <c r="F519" s="47"/>
      <c r="G519" s="47"/>
      <c r="H519" s="50"/>
      <c r="I519" s="50"/>
      <c r="J519" s="50"/>
      <c r="K519" s="50"/>
      <c r="L519" s="46"/>
      <c r="M519" s="47"/>
      <c r="N519" s="46"/>
      <c r="O519" s="46"/>
      <c r="P519" s="47"/>
      <c r="Q519" s="46"/>
      <c r="R519" s="46"/>
      <c r="S519" s="48"/>
      <c r="T519" s="61" t="str">
        <f>IF(Tableau1[[#This Row],[DMS_SAP]]="","",HYPERLINK(Tableau1[[#This Row],[Chemin fichier source]],"X"))</f>
        <v/>
      </c>
      <c r="U519" s="61" t="str">
        <f>IF(Tableau1[[#This Row],[Date rév.]]="","",HYPERLINK(Tableau1[[#This Row],[Lien document]],"X"))</f>
        <v/>
      </c>
      <c r="V519" s="47"/>
      <c r="W519" s="49" t="str">
        <f ca="1">Chemin_accès!$B$2&amp;Tableau1[[#This Row],[Poste Responsable]]&amp;"\"&amp;Tableau1[[#This Row],[Localisation / Classement]]&amp;"\"&amp;Tableau1[[#This Row],[Poste technique]]&amp;"_"&amp;Tableau1[[#This Row],[Plan Entretien]]&amp;".pdf"</f>
        <v>\\stjn.local\trimet\Donnees_Projets\Dms Sap\Maintenance\PlanEntretien\7.MSCT\\_.pdf</v>
      </c>
      <c r="X519" s="47"/>
      <c r="Y519" s="47"/>
      <c r="Z519" s="44" t="str">
        <f ca="1">IF(AND(Tableau1[[#This Row],[Charge]]&lt;&gt;0, Tableau1[[#This Row],[Nombre intervenants]]&lt;&gt;0,Tableau1[[#This Row],[Lien document]]&lt;&gt;0,Tableau1[[#This Row],[DMS_SAP]]&lt;&gt;0)=TRUE,"MIS A JOUR","")</f>
        <v/>
      </c>
      <c r="AA519" s="48"/>
      <c r="AB519" s="58" t="str">
        <f ca="1">IF(Tableau1[[#This Row],[Date rév.]]&lt;&gt;"", DAYS360(Tableau1[[#This Row],[Date rév.]],TODAY()),"")</f>
        <v/>
      </c>
      <c r="AC519" s="47" t="str">
        <f>IFERROR(INDEX(Chemin_accès!$B$11:$C$22,MATCH(Tableau1[[#This Row],[Type]],Chemin_accès!$C$11:$C$22,0),1),Chemin_accès!$B$11)</f>
        <v>\\stjn.local\trimet\Btechnique\Commun\BT Maint SCELLEMENT\205 - Préventifs\Modèles préventif\GammeDMS_7.MSCT.xlsm</v>
      </c>
      <c r="AD519" s="47" t="str">
        <f>Chemin_accès!$B$8&amp;Tableau1[[#This Row],[Localisation / Classement]]&amp;"\"&amp;Tableau1[[#This Row],[Poste technique]]&amp;"_"&amp;Tableau1[[#This Row],[Plan Entretien]]&amp;".xlsm"</f>
        <v>\\stjn.local\trimet\Btechnique\Commun\BT Maint SCELLEMENT\205 - Préventifs\Gammes 7.MSCT PE Tool\\_.xlsm</v>
      </c>
    </row>
    <row r="520" spans="1:30" x14ac:dyDescent="0.3">
      <c r="A520" s="44" t="str">
        <f t="shared" ca="1" si="8"/>
        <v>7.MSCT</v>
      </c>
      <c r="B5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0" s="46"/>
      <c r="D520" s="44"/>
      <c r="E520" s="44"/>
      <c r="F520" s="47"/>
      <c r="G520" s="47"/>
      <c r="H520" s="50"/>
      <c r="I520" s="50"/>
      <c r="J520" s="50"/>
      <c r="K520" s="50"/>
      <c r="L520" s="46"/>
      <c r="M520" s="47"/>
      <c r="N520" s="46"/>
      <c r="O520" s="46"/>
      <c r="P520" s="47"/>
      <c r="Q520" s="46"/>
      <c r="R520" s="46"/>
      <c r="S520" s="48"/>
      <c r="T520" s="61" t="str">
        <f>IF(Tableau1[[#This Row],[DMS_SAP]]="","",HYPERLINK(Tableau1[[#This Row],[Chemin fichier source]],"X"))</f>
        <v/>
      </c>
      <c r="U520" s="61" t="str">
        <f>IF(Tableau1[[#This Row],[Date rév.]]="","",HYPERLINK(Tableau1[[#This Row],[Lien document]],"X"))</f>
        <v/>
      </c>
      <c r="V520" s="47"/>
      <c r="W520" s="49" t="str">
        <f ca="1">Chemin_accès!$B$2&amp;Tableau1[[#This Row],[Poste Responsable]]&amp;"\"&amp;Tableau1[[#This Row],[Localisation / Classement]]&amp;"\"&amp;Tableau1[[#This Row],[Poste technique]]&amp;"_"&amp;Tableau1[[#This Row],[Plan Entretien]]&amp;".pdf"</f>
        <v>\\stjn.local\trimet\Donnees_Projets\Dms Sap\Maintenance\PlanEntretien\7.MSCT\\_.pdf</v>
      </c>
      <c r="X520" s="47"/>
      <c r="Y520" s="47"/>
      <c r="Z520" s="44" t="str">
        <f ca="1">IF(AND(Tableau1[[#This Row],[Charge]]&lt;&gt;0, Tableau1[[#This Row],[Nombre intervenants]]&lt;&gt;0,Tableau1[[#This Row],[Lien document]]&lt;&gt;0,Tableau1[[#This Row],[DMS_SAP]]&lt;&gt;0)=TRUE,"MIS A JOUR","")</f>
        <v/>
      </c>
      <c r="AA520" s="48"/>
      <c r="AB520" s="58" t="str">
        <f ca="1">IF(Tableau1[[#This Row],[Date rév.]]&lt;&gt;"", DAYS360(Tableau1[[#This Row],[Date rév.]],TODAY()),"")</f>
        <v/>
      </c>
      <c r="AC520" s="47" t="str">
        <f>IFERROR(INDEX(Chemin_accès!$B$11:$C$22,MATCH(Tableau1[[#This Row],[Type]],Chemin_accès!$C$11:$C$22,0),1),Chemin_accès!$B$11)</f>
        <v>\\stjn.local\trimet\Btechnique\Commun\BT Maint SCELLEMENT\205 - Préventifs\Modèles préventif\GammeDMS_7.MSCT.xlsm</v>
      </c>
      <c r="AD520" s="47" t="str">
        <f>Chemin_accès!$B$8&amp;Tableau1[[#This Row],[Localisation / Classement]]&amp;"\"&amp;Tableau1[[#This Row],[Poste technique]]&amp;"_"&amp;Tableau1[[#This Row],[Plan Entretien]]&amp;".xlsm"</f>
        <v>\\stjn.local\trimet\Btechnique\Commun\BT Maint SCELLEMENT\205 - Préventifs\Gammes 7.MSCT PE Tool\\_.xlsm</v>
      </c>
    </row>
    <row r="521" spans="1:30" x14ac:dyDescent="0.3">
      <c r="A521" s="44" t="str">
        <f t="shared" ca="1" si="8"/>
        <v>7.MSCT</v>
      </c>
      <c r="B5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1" s="46"/>
      <c r="D521" s="44"/>
      <c r="E521" s="44"/>
      <c r="F521" s="47"/>
      <c r="G521" s="47"/>
      <c r="H521" s="50"/>
      <c r="I521" s="50"/>
      <c r="J521" s="50"/>
      <c r="K521" s="50"/>
      <c r="L521" s="46"/>
      <c r="M521" s="47"/>
      <c r="N521" s="46"/>
      <c r="O521" s="46"/>
      <c r="P521" s="47"/>
      <c r="Q521" s="46"/>
      <c r="R521" s="46"/>
      <c r="S521" s="48"/>
      <c r="T521" s="61" t="str">
        <f>IF(Tableau1[[#This Row],[DMS_SAP]]="","",HYPERLINK(Tableau1[[#This Row],[Chemin fichier source]],"X"))</f>
        <v/>
      </c>
      <c r="U521" s="61" t="str">
        <f>IF(Tableau1[[#This Row],[Date rév.]]="","",HYPERLINK(Tableau1[[#This Row],[Lien document]],"X"))</f>
        <v/>
      </c>
      <c r="V521" s="47"/>
      <c r="W521" s="49" t="str">
        <f ca="1">Chemin_accès!$B$2&amp;Tableau1[[#This Row],[Poste Responsable]]&amp;"\"&amp;Tableau1[[#This Row],[Localisation / Classement]]&amp;"\"&amp;Tableau1[[#This Row],[Poste technique]]&amp;"_"&amp;Tableau1[[#This Row],[Plan Entretien]]&amp;".pdf"</f>
        <v>\\stjn.local\trimet\Donnees_Projets\Dms Sap\Maintenance\PlanEntretien\7.MSCT\\_.pdf</v>
      </c>
      <c r="X521" s="47"/>
      <c r="Y521" s="47"/>
      <c r="Z521" s="44" t="str">
        <f ca="1">IF(AND(Tableau1[[#This Row],[Charge]]&lt;&gt;0, Tableau1[[#This Row],[Nombre intervenants]]&lt;&gt;0,Tableau1[[#This Row],[Lien document]]&lt;&gt;0,Tableau1[[#This Row],[DMS_SAP]]&lt;&gt;0)=TRUE,"MIS A JOUR","")</f>
        <v/>
      </c>
      <c r="AA521" s="48"/>
      <c r="AB521" s="58" t="str">
        <f ca="1">IF(Tableau1[[#This Row],[Date rév.]]&lt;&gt;"", DAYS360(Tableau1[[#This Row],[Date rév.]],TODAY()),"")</f>
        <v/>
      </c>
      <c r="AC521" s="47" t="str">
        <f>IFERROR(INDEX(Chemin_accès!$B$11:$C$22,MATCH(Tableau1[[#This Row],[Type]],Chemin_accès!$C$11:$C$22,0),1),Chemin_accès!$B$11)</f>
        <v>\\stjn.local\trimet\Btechnique\Commun\BT Maint SCELLEMENT\205 - Préventifs\Modèles préventif\GammeDMS_7.MSCT.xlsm</v>
      </c>
      <c r="AD521" s="47" t="str">
        <f>Chemin_accès!$B$8&amp;Tableau1[[#This Row],[Localisation / Classement]]&amp;"\"&amp;Tableau1[[#This Row],[Poste technique]]&amp;"_"&amp;Tableau1[[#This Row],[Plan Entretien]]&amp;".xlsm"</f>
        <v>\\stjn.local\trimet\Btechnique\Commun\BT Maint SCELLEMENT\205 - Préventifs\Gammes 7.MSCT PE Tool\\_.xlsm</v>
      </c>
    </row>
    <row r="522" spans="1:30" x14ac:dyDescent="0.3">
      <c r="A522" s="44" t="str">
        <f t="shared" ca="1" si="8"/>
        <v>7.MSCT</v>
      </c>
      <c r="B5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2" s="46"/>
      <c r="D522" s="44"/>
      <c r="E522" s="44"/>
      <c r="F522" s="47"/>
      <c r="G522" s="47"/>
      <c r="H522" s="50"/>
      <c r="I522" s="50"/>
      <c r="J522" s="50"/>
      <c r="K522" s="50"/>
      <c r="L522" s="46"/>
      <c r="M522" s="47"/>
      <c r="N522" s="46"/>
      <c r="O522" s="46"/>
      <c r="P522" s="47"/>
      <c r="Q522" s="46"/>
      <c r="R522" s="46"/>
      <c r="S522" s="48"/>
      <c r="T522" s="61" t="str">
        <f>IF(Tableau1[[#This Row],[DMS_SAP]]="","",HYPERLINK(Tableau1[[#This Row],[Chemin fichier source]],"X"))</f>
        <v/>
      </c>
      <c r="U522" s="61" t="str">
        <f>IF(Tableau1[[#This Row],[Date rév.]]="","",HYPERLINK(Tableau1[[#This Row],[Lien document]],"X"))</f>
        <v/>
      </c>
      <c r="V522" s="47"/>
      <c r="W522" s="49" t="str">
        <f ca="1">Chemin_accès!$B$2&amp;Tableau1[[#This Row],[Poste Responsable]]&amp;"\"&amp;Tableau1[[#This Row],[Localisation / Classement]]&amp;"\"&amp;Tableau1[[#This Row],[Poste technique]]&amp;"_"&amp;Tableau1[[#This Row],[Plan Entretien]]&amp;".pdf"</f>
        <v>\\stjn.local\trimet\Donnees_Projets\Dms Sap\Maintenance\PlanEntretien\7.MSCT\\_.pdf</v>
      </c>
      <c r="X522" s="47"/>
      <c r="Y522" s="47"/>
      <c r="Z522" s="44" t="str">
        <f ca="1">IF(AND(Tableau1[[#This Row],[Charge]]&lt;&gt;0, Tableau1[[#This Row],[Nombre intervenants]]&lt;&gt;0,Tableau1[[#This Row],[Lien document]]&lt;&gt;0,Tableau1[[#This Row],[DMS_SAP]]&lt;&gt;0)=TRUE,"MIS A JOUR","")</f>
        <v/>
      </c>
      <c r="AA522" s="48"/>
      <c r="AB522" s="58" t="str">
        <f ca="1">IF(Tableau1[[#This Row],[Date rév.]]&lt;&gt;"", DAYS360(Tableau1[[#This Row],[Date rév.]],TODAY()),"")</f>
        <v/>
      </c>
      <c r="AC522" s="47" t="str">
        <f>IFERROR(INDEX(Chemin_accès!$B$11:$C$22,MATCH(Tableau1[[#This Row],[Type]],Chemin_accès!$C$11:$C$22,0),1),Chemin_accès!$B$11)</f>
        <v>\\stjn.local\trimet\Btechnique\Commun\BT Maint SCELLEMENT\205 - Préventifs\Modèles préventif\GammeDMS_7.MSCT.xlsm</v>
      </c>
      <c r="AD522" s="47" t="str">
        <f>Chemin_accès!$B$8&amp;Tableau1[[#This Row],[Localisation / Classement]]&amp;"\"&amp;Tableau1[[#This Row],[Poste technique]]&amp;"_"&amp;Tableau1[[#This Row],[Plan Entretien]]&amp;".xlsm"</f>
        <v>\\stjn.local\trimet\Btechnique\Commun\BT Maint SCELLEMENT\205 - Préventifs\Gammes 7.MSCT PE Tool\\_.xlsm</v>
      </c>
    </row>
    <row r="523" spans="1:30" x14ac:dyDescent="0.3">
      <c r="A523" s="44" t="str">
        <f t="shared" ca="1" si="8"/>
        <v>7.MSCT</v>
      </c>
      <c r="B5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3" s="46"/>
      <c r="D523" s="44"/>
      <c r="E523" s="44"/>
      <c r="F523" s="47"/>
      <c r="G523" s="47"/>
      <c r="H523" s="50"/>
      <c r="I523" s="50"/>
      <c r="J523" s="50"/>
      <c r="K523" s="50"/>
      <c r="L523" s="46"/>
      <c r="M523" s="47"/>
      <c r="N523" s="46"/>
      <c r="O523" s="46"/>
      <c r="P523" s="47"/>
      <c r="Q523" s="46"/>
      <c r="R523" s="46"/>
      <c r="S523" s="48"/>
      <c r="T523" s="61" t="str">
        <f>IF(Tableau1[[#This Row],[DMS_SAP]]="","",HYPERLINK(Tableau1[[#This Row],[Chemin fichier source]],"X"))</f>
        <v/>
      </c>
      <c r="U523" s="61" t="str">
        <f>IF(Tableau1[[#This Row],[Date rév.]]="","",HYPERLINK(Tableau1[[#This Row],[Lien document]],"X"))</f>
        <v/>
      </c>
      <c r="V523" s="47"/>
      <c r="W523" s="49" t="str">
        <f ca="1">Chemin_accès!$B$2&amp;Tableau1[[#This Row],[Poste Responsable]]&amp;"\"&amp;Tableau1[[#This Row],[Localisation / Classement]]&amp;"\"&amp;Tableau1[[#This Row],[Poste technique]]&amp;"_"&amp;Tableau1[[#This Row],[Plan Entretien]]&amp;".pdf"</f>
        <v>\\stjn.local\trimet\Donnees_Projets\Dms Sap\Maintenance\PlanEntretien\7.MSCT\\_.pdf</v>
      </c>
      <c r="X523" s="47"/>
      <c r="Y523" s="47"/>
      <c r="Z523" s="44" t="str">
        <f ca="1">IF(AND(Tableau1[[#This Row],[Charge]]&lt;&gt;0, Tableau1[[#This Row],[Nombre intervenants]]&lt;&gt;0,Tableau1[[#This Row],[Lien document]]&lt;&gt;0,Tableau1[[#This Row],[DMS_SAP]]&lt;&gt;0)=TRUE,"MIS A JOUR","")</f>
        <v/>
      </c>
      <c r="AA523" s="48"/>
      <c r="AB523" s="58" t="str">
        <f ca="1">IF(Tableau1[[#This Row],[Date rév.]]&lt;&gt;"", DAYS360(Tableau1[[#This Row],[Date rév.]],TODAY()),"")</f>
        <v/>
      </c>
      <c r="AC523" s="47" t="str">
        <f>IFERROR(INDEX(Chemin_accès!$B$11:$C$22,MATCH(Tableau1[[#This Row],[Type]],Chemin_accès!$C$11:$C$22,0),1),Chemin_accès!$B$11)</f>
        <v>\\stjn.local\trimet\Btechnique\Commun\BT Maint SCELLEMENT\205 - Préventifs\Modèles préventif\GammeDMS_7.MSCT.xlsm</v>
      </c>
      <c r="AD523" s="47" t="str">
        <f>Chemin_accès!$B$8&amp;Tableau1[[#This Row],[Localisation / Classement]]&amp;"\"&amp;Tableau1[[#This Row],[Poste technique]]&amp;"_"&amp;Tableau1[[#This Row],[Plan Entretien]]&amp;".xlsm"</f>
        <v>\\stjn.local\trimet\Btechnique\Commun\BT Maint SCELLEMENT\205 - Préventifs\Gammes 7.MSCT PE Tool\\_.xlsm</v>
      </c>
    </row>
    <row r="524" spans="1:30" x14ac:dyDescent="0.3">
      <c r="A524" s="44" t="str">
        <f t="shared" ca="1" si="8"/>
        <v>7.MSCT</v>
      </c>
      <c r="B5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4" s="46"/>
      <c r="D524" s="44"/>
      <c r="E524" s="44"/>
      <c r="F524" s="47"/>
      <c r="G524" s="47"/>
      <c r="H524" s="50"/>
      <c r="I524" s="50"/>
      <c r="J524" s="50"/>
      <c r="K524" s="50"/>
      <c r="L524" s="46"/>
      <c r="M524" s="47"/>
      <c r="N524" s="46"/>
      <c r="O524" s="46"/>
      <c r="P524" s="47"/>
      <c r="Q524" s="46"/>
      <c r="R524" s="46"/>
      <c r="S524" s="48"/>
      <c r="T524" s="61" t="str">
        <f>IF(Tableau1[[#This Row],[DMS_SAP]]="","",HYPERLINK(Tableau1[[#This Row],[Chemin fichier source]],"X"))</f>
        <v/>
      </c>
      <c r="U524" s="61" t="str">
        <f>IF(Tableau1[[#This Row],[Date rév.]]="","",HYPERLINK(Tableau1[[#This Row],[Lien document]],"X"))</f>
        <v/>
      </c>
      <c r="V524" s="47"/>
      <c r="W524" s="49" t="str">
        <f ca="1">Chemin_accès!$B$2&amp;Tableau1[[#This Row],[Poste Responsable]]&amp;"\"&amp;Tableau1[[#This Row],[Localisation / Classement]]&amp;"\"&amp;Tableau1[[#This Row],[Poste technique]]&amp;"_"&amp;Tableau1[[#This Row],[Plan Entretien]]&amp;".pdf"</f>
        <v>\\stjn.local\trimet\Donnees_Projets\Dms Sap\Maintenance\PlanEntretien\7.MSCT\\_.pdf</v>
      </c>
      <c r="X524" s="47"/>
      <c r="Y524" s="47"/>
      <c r="Z524" s="44" t="str">
        <f ca="1">IF(AND(Tableau1[[#This Row],[Charge]]&lt;&gt;0, Tableau1[[#This Row],[Nombre intervenants]]&lt;&gt;0,Tableau1[[#This Row],[Lien document]]&lt;&gt;0,Tableau1[[#This Row],[DMS_SAP]]&lt;&gt;0)=TRUE,"MIS A JOUR","")</f>
        <v/>
      </c>
      <c r="AA524" s="48"/>
      <c r="AB524" s="58" t="str">
        <f ca="1">IF(Tableau1[[#This Row],[Date rév.]]&lt;&gt;"", DAYS360(Tableau1[[#This Row],[Date rév.]],TODAY()),"")</f>
        <v/>
      </c>
      <c r="AC524" s="47" t="str">
        <f>IFERROR(INDEX(Chemin_accès!$B$11:$C$22,MATCH(Tableau1[[#This Row],[Type]],Chemin_accès!$C$11:$C$22,0),1),Chemin_accès!$B$11)</f>
        <v>\\stjn.local\trimet\Btechnique\Commun\BT Maint SCELLEMENT\205 - Préventifs\Modèles préventif\GammeDMS_7.MSCT.xlsm</v>
      </c>
      <c r="AD524" s="47" t="str">
        <f>Chemin_accès!$B$8&amp;Tableau1[[#This Row],[Localisation / Classement]]&amp;"\"&amp;Tableau1[[#This Row],[Poste technique]]&amp;"_"&amp;Tableau1[[#This Row],[Plan Entretien]]&amp;".xlsm"</f>
        <v>\\stjn.local\trimet\Btechnique\Commun\BT Maint SCELLEMENT\205 - Préventifs\Gammes 7.MSCT PE Tool\\_.xlsm</v>
      </c>
    </row>
    <row r="525" spans="1:30" x14ac:dyDescent="0.3">
      <c r="A525" s="44" t="str">
        <f t="shared" ca="1" si="8"/>
        <v>7.MSCT</v>
      </c>
      <c r="B5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5" s="46"/>
      <c r="D525" s="44"/>
      <c r="E525" s="44"/>
      <c r="F525" s="47"/>
      <c r="G525" s="47"/>
      <c r="H525" s="50"/>
      <c r="I525" s="50"/>
      <c r="J525" s="50"/>
      <c r="K525" s="50"/>
      <c r="L525" s="46"/>
      <c r="M525" s="47"/>
      <c r="N525" s="46"/>
      <c r="O525" s="46"/>
      <c r="P525" s="47"/>
      <c r="Q525" s="46"/>
      <c r="R525" s="46"/>
      <c r="S525" s="48"/>
      <c r="T525" s="61" t="str">
        <f>IF(Tableau1[[#This Row],[DMS_SAP]]="","",HYPERLINK(Tableau1[[#This Row],[Chemin fichier source]],"X"))</f>
        <v/>
      </c>
      <c r="U525" s="61" t="str">
        <f>IF(Tableau1[[#This Row],[Date rév.]]="","",HYPERLINK(Tableau1[[#This Row],[Lien document]],"X"))</f>
        <v/>
      </c>
      <c r="V525" s="47"/>
      <c r="W525" s="49" t="str">
        <f ca="1">Chemin_accès!$B$2&amp;Tableau1[[#This Row],[Poste Responsable]]&amp;"\"&amp;Tableau1[[#This Row],[Localisation / Classement]]&amp;"\"&amp;Tableau1[[#This Row],[Poste technique]]&amp;"_"&amp;Tableau1[[#This Row],[Plan Entretien]]&amp;".pdf"</f>
        <v>\\stjn.local\trimet\Donnees_Projets\Dms Sap\Maintenance\PlanEntretien\7.MSCT\\_.pdf</v>
      </c>
      <c r="X525" s="47"/>
      <c r="Y525" s="47"/>
      <c r="Z525" s="44" t="str">
        <f ca="1">IF(AND(Tableau1[[#This Row],[Charge]]&lt;&gt;0, Tableau1[[#This Row],[Nombre intervenants]]&lt;&gt;0,Tableau1[[#This Row],[Lien document]]&lt;&gt;0,Tableau1[[#This Row],[DMS_SAP]]&lt;&gt;0)=TRUE,"MIS A JOUR","")</f>
        <v/>
      </c>
      <c r="AA525" s="48"/>
      <c r="AB525" s="58" t="str">
        <f ca="1">IF(Tableau1[[#This Row],[Date rév.]]&lt;&gt;"", DAYS360(Tableau1[[#This Row],[Date rév.]],TODAY()),"")</f>
        <v/>
      </c>
      <c r="AC525" s="47" t="str">
        <f>IFERROR(INDEX(Chemin_accès!$B$11:$C$22,MATCH(Tableau1[[#This Row],[Type]],Chemin_accès!$C$11:$C$22,0),1),Chemin_accès!$B$11)</f>
        <v>\\stjn.local\trimet\Btechnique\Commun\BT Maint SCELLEMENT\205 - Préventifs\Modèles préventif\GammeDMS_7.MSCT.xlsm</v>
      </c>
      <c r="AD525" s="47" t="str">
        <f>Chemin_accès!$B$8&amp;Tableau1[[#This Row],[Localisation / Classement]]&amp;"\"&amp;Tableau1[[#This Row],[Poste technique]]&amp;"_"&amp;Tableau1[[#This Row],[Plan Entretien]]&amp;".xlsm"</f>
        <v>\\stjn.local\trimet\Btechnique\Commun\BT Maint SCELLEMENT\205 - Préventifs\Gammes 7.MSCT PE Tool\\_.xlsm</v>
      </c>
    </row>
    <row r="526" spans="1:30" x14ac:dyDescent="0.3">
      <c r="A526" s="44" t="str">
        <f t="shared" ca="1" si="8"/>
        <v>7.MSCT</v>
      </c>
      <c r="B5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6" s="46"/>
      <c r="D526" s="44"/>
      <c r="E526" s="44"/>
      <c r="F526" s="47"/>
      <c r="G526" s="47"/>
      <c r="H526" s="50"/>
      <c r="I526" s="50"/>
      <c r="J526" s="50"/>
      <c r="K526" s="50"/>
      <c r="L526" s="46"/>
      <c r="M526" s="47"/>
      <c r="N526" s="46"/>
      <c r="O526" s="46"/>
      <c r="P526" s="47"/>
      <c r="Q526" s="46"/>
      <c r="R526" s="46"/>
      <c r="S526" s="48"/>
      <c r="T526" s="61" t="str">
        <f>IF(Tableau1[[#This Row],[DMS_SAP]]="","",HYPERLINK(Tableau1[[#This Row],[Chemin fichier source]],"X"))</f>
        <v/>
      </c>
      <c r="U526" s="61" t="str">
        <f>IF(Tableau1[[#This Row],[Date rév.]]="","",HYPERLINK(Tableau1[[#This Row],[Lien document]],"X"))</f>
        <v/>
      </c>
      <c r="V526" s="47"/>
      <c r="W526" s="49" t="str">
        <f ca="1">Chemin_accès!$B$2&amp;Tableau1[[#This Row],[Poste Responsable]]&amp;"\"&amp;Tableau1[[#This Row],[Localisation / Classement]]&amp;"\"&amp;Tableau1[[#This Row],[Poste technique]]&amp;"_"&amp;Tableau1[[#This Row],[Plan Entretien]]&amp;".pdf"</f>
        <v>\\stjn.local\trimet\Donnees_Projets\Dms Sap\Maintenance\PlanEntretien\7.MSCT\\_.pdf</v>
      </c>
      <c r="X526" s="47"/>
      <c r="Y526" s="47"/>
      <c r="Z526" s="44" t="str">
        <f ca="1">IF(AND(Tableau1[[#This Row],[Charge]]&lt;&gt;0, Tableau1[[#This Row],[Nombre intervenants]]&lt;&gt;0,Tableau1[[#This Row],[Lien document]]&lt;&gt;0,Tableau1[[#This Row],[DMS_SAP]]&lt;&gt;0)=TRUE,"MIS A JOUR","")</f>
        <v/>
      </c>
      <c r="AA526" s="48"/>
      <c r="AB526" s="58" t="str">
        <f ca="1">IF(Tableau1[[#This Row],[Date rév.]]&lt;&gt;"", DAYS360(Tableau1[[#This Row],[Date rév.]],TODAY()),"")</f>
        <v/>
      </c>
      <c r="AC526" s="47" t="str">
        <f>IFERROR(INDEX(Chemin_accès!$B$11:$C$22,MATCH(Tableau1[[#This Row],[Type]],Chemin_accès!$C$11:$C$22,0),1),Chemin_accès!$B$11)</f>
        <v>\\stjn.local\trimet\Btechnique\Commun\BT Maint SCELLEMENT\205 - Préventifs\Modèles préventif\GammeDMS_7.MSCT.xlsm</v>
      </c>
      <c r="AD526" s="47" t="str">
        <f>Chemin_accès!$B$8&amp;Tableau1[[#This Row],[Localisation / Classement]]&amp;"\"&amp;Tableau1[[#This Row],[Poste technique]]&amp;"_"&amp;Tableau1[[#This Row],[Plan Entretien]]&amp;".xlsm"</f>
        <v>\\stjn.local\trimet\Btechnique\Commun\BT Maint SCELLEMENT\205 - Préventifs\Gammes 7.MSCT PE Tool\\_.xlsm</v>
      </c>
    </row>
    <row r="527" spans="1:30" x14ac:dyDescent="0.3">
      <c r="A527" s="44" t="str">
        <f t="shared" ca="1" si="8"/>
        <v>7.MSCT</v>
      </c>
      <c r="B5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7" s="46"/>
      <c r="D527" s="44"/>
      <c r="E527" s="44"/>
      <c r="F527" s="47"/>
      <c r="G527" s="47"/>
      <c r="H527" s="50"/>
      <c r="I527" s="50"/>
      <c r="J527" s="50"/>
      <c r="K527" s="50"/>
      <c r="L527" s="46"/>
      <c r="M527" s="47"/>
      <c r="N527" s="46"/>
      <c r="O527" s="46"/>
      <c r="P527" s="47"/>
      <c r="Q527" s="46"/>
      <c r="R527" s="46"/>
      <c r="S527" s="48"/>
      <c r="T527" s="61" t="str">
        <f>IF(Tableau1[[#This Row],[DMS_SAP]]="","",HYPERLINK(Tableau1[[#This Row],[Chemin fichier source]],"X"))</f>
        <v/>
      </c>
      <c r="U527" s="61" t="str">
        <f>IF(Tableau1[[#This Row],[Date rév.]]="","",HYPERLINK(Tableau1[[#This Row],[Lien document]],"X"))</f>
        <v/>
      </c>
      <c r="V527" s="47"/>
      <c r="W527" s="49" t="str">
        <f ca="1">Chemin_accès!$B$2&amp;Tableau1[[#This Row],[Poste Responsable]]&amp;"\"&amp;Tableau1[[#This Row],[Localisation / Classement]]&amp;"\"&amp;Tableau1[[#This Row],[Poste technique]]&amp;"_"&amp;Tableau1[[#This Row],[Plan Entretien]]&amp;".pdf"</f>
        <v>\\stjn.local\trimet\Donnees_Projets\Dms Sap\Maintenance\PlanEntretien\7.MSCT\\_.pdf</v>
      </c>
      <c r="X527" s="47"/>
      <c r="Y527" s="47"/>
      <c r="Z527" s="44" t="str">
        <f ca="1">IF(AND(Tableau1[[#This Row],[Charge]]&lt;&gt;0, Tableau1[[#This Row],[Nombre intervenants]]&lt;&gt;0,Tableau1[[#This Row],[Lien document]]&lt;&gt;0,Tableau1[[#This Row],[DMS_SAP]]&lt;&gt;0)=TRUE,"MIS A JOUR","")</f>
        <v/>
      </c>
      <c r="AA527" s="48"/>
      <c r="AB527" s="58" t="str">
        <f ca="1">IF(Tableau1[[#This Row],[Date rév.]]&lt;&gt;"", DAYS360(Tableau1[[#This Row],[Date rév.]],TODAY()),"")</f>
        <v/>
      </c>
      <c r="AC527" s="47" t="str">
        <f>IFERROR(INDEX(Chemin_accès!$B$11:$C$22,MATCH(Tableau1[[#This Row],[Type]],Chemin_accès!$C$11:$C$22,0),1),Chemin_accès!$B$11)</f>
        <v>\\stjn.local\trimet\Btechnique\Commun\BT Maint SCELLEMENT\205 - Préventifs\Modèles préventif\GammeDMS_7.MSCT.xlsm</v>
      </c>
      <c r="AD527" s="47" t="str">
        <f>Chemin_accès!$B$8&amp;Tableau1[[#This Row],[Localisation / Classement]]&amp;"\"&amp;Tableau1[[#This Row],[Poste technique]]&amp;"_"&amp;Tableau1[[#This Row],[Plan Entretien]]&amp;".xlsm"</f>
        <v>\\stjn.local\trimet\Btechnique\Commun\BT Maint SCELLEMENT\205 - Préventifs\Gammes 7.MSCT PE Tool\\_.xlsm</v>
      </c>
    </row>
    <row r="528" spans="1:30" x14ac:dyDescent="0.3">
      <c r="A528" s="44" t="str">
        <f t="shared" ca="1" si="8"/>
        <v>7.MSCT</v>
      </c>
      <c r="B5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8" s="46"/>
      <c r="D528" s="44"/>
      <c r="E528" s="44"/>
      <c r="F528" s="47"/>
      <c r="G528" s="47"/>
      <c r="H528" s="50"/>
      <c r="I528" s="50"/>
      <c r="J528" s="50"/>
      <c r="K528" s="50"/>
      <c r="L528" s="46"/>
      <c r="M528" s="47"/>
      <c r="N528" s="46"/>
      <c r="O528" s="46"/>
      <c r="P528" s="47"/>
      <c r="Q528" s="46"/>
      <c r="R528" s="46"/>
      <c r="S528" s="48"/>
      <c r="T528" s="61" t="str">
        <f>IF(Tableau1[[#This Row],[DMS_SAP]]="","",HYPERLINK(Tableau1[[#This Row],[Chemin fichier source]],"X"))</f>
        <v/>
      </c>
      <c r="U528" s="61" t="str">
        <f>IF(Tableau1[[#This Row],[Date rév.]]="","",HYPERLINK(Tableau1[[#This Row],[Lien document]],"X"))</f>
        <v/>
      </c>
      <c r="V528" s="47"/>
      <c r="W528" s="49" t="str">
        <f ca="1">Chemin_accès!$B$2&amp;Tableau1[[#This Row],[Poste Responsable]]&amp;"\"&amp;Tableau1[[#This Row],[Localisation / Classement]]&amp;"\"&amp;Tableau1[[#This Row],[Poste technique]]&amp;"_"&amp;Tableau1[[#This Row],[Plan Entretien]]&amp;".pdf"</f>
        <v>\\stjn.local\trimet\Donnees_Projets\Dms Sap\Maintenance\PlanEntretien\7.MSCT\\_.pdf</v>
      </c>
      <c r="X528" s="47"/>
      <c r="Y528" s="47"/>
      <c r="Z528" s="44" t="str">
        <f ca="1">IF(AND(Tableau1[[#This Row],[Charge]]&lt;&gt;0, Tableau1[[#This Row],[Nombre intervenants]]&lt;&gt;0,Tableau1[[#This Row],[Lien document]]&lt;&gt;0,Tableau1[[#This Row],[DMS_SAP]]&lt;&gt;0)=TRUE,"MIS A JOUR","")</f>
        <v/>
      </c>
      <c r="AA528" s="48"/>
      <c r="AB528" s="58" t="str">
        <f ca="1">IF(Tableau1[[#This Row],[Date rév.]]&lt;&gt;"", DAYS360(Tableau1[[#This Row],[Date rév.]],TODAY()),"")</f>
        <v/>
      </c>
      <c r="AC528" s="47" t="str">
        <f>IFERROR(INDEX(Chemin_accès!$B$11:$C$22,MATCH(Tableau1[[#This Row],[Type]],Chemin_accès!$C$11:$C$22,0),1),Chemin_accès!$B$11)</f>
        <v>\\stjn.local\trimet\Btechnique\Commun\BT Maint SCELLEMENT\205 - Préventifs\Modèles préventif\GammeDMS_7.MSCT.xlsm</v>
      </c>
      <c r="AD528" s="47" t="str">
        <f>Chemin_accès!$B$8&amp;Tableau1[[#This Row],[Localisation / Classement]]&amp;"\"&amp;Tableau1[[#This Row],[Poste technique]]&amp;"_"&amp;Tableau1[[#This Row],[Plan Entretien]]&amp;".xlsm"</f>
        <v>\\stjn.local\trimet\Btechnique\Commun\BT Maint SCELLEMENT\205 - Préventifs\Gammes 7.MSCT PE Tool\\_.xlsm</v>
      </c>
    </row>
    <row r="529" spans="1:30" x14ac:dyDescent="0.3">
      <c r="A529" s="44" t="str">
        <f t="shared" ca="1" si="8"/>
        <v>7.MSCT</v>
      </c>
      <c r="B5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9" s="46"/>
      <c r="D529" s="44"/>
      <c r="E529" s="44"/>
      <c r="F529" s="47"/>
      <c r="G529" s="47"/>
      <c r="H529" s="50"/>
      <c r="I529" s="50"/>
      <c r="J529" s="50"/>
      <c r="K529" s="50"/>
      <c r="L529" s="46"/>
      <c r="M529" s="47"/>
      <c r="N529" s="46"/>
      <c r="O529" s="46"/>
      <c r="P529" s="47"/>
      <c r="Q529" s="46"/>
      <c r="R529" s="46"/>
      <c r="S529" s="48"/>
      <c r="T529" s="61" t="str">
        <f>IF(Tableau1[[#This Row],[DMS_SAP]]="","",HYPERLINK(Tableau1[[#This Row],[Chemin fichier source]],"X"))</f>
        <v/>
      </c>
      <c r="U529" s="61" t="str">
        <f>IF(Tableau1[[#This Row],[Date rév.]]="","",HYPERLINK(Tableau1[[#This Row],[Lien document]],"X"))</f>
        <v/>
      </c>
      <c r="V529" s="47"/>
      <c r="W529" s="49" t="str">
        <f ca="1">Chemin_accès!$B$2&amp;Tableau1[[#This Row],[Poste Responsable]]&amp;"\"&amp;Tableau1[[#This Row],[Localisation / Classement]]&amp;"\"&amp;Tableau1[[#This Row],[Poste technique]]&amp;"_"&amp;Tableau1[[#This Row],[Plan Entretien]]&amp;".pdf"</f>
        <v>\\stjn.local\trimet\Donnees_Projets\Dms Sap\Maintenance\PlanEntretien\7.MSCT\\_.pdf</v>
      </c>
      <c r="X529" s="47"/>
      <c r="Y529" s="47"/>
      <c r="Z529" s="44" t="str">
        <f ca="1">IF(AND(Tableau1[[#This Row],[Charge]]&lt;&gt;0, Tableau1[[#This Row],[Nombre intervenants]]&lt;&gt;0,Tableau1[[#This Row],[Lien document]]&lt;&gt;0,Tableau1[[#This Row],[DMS_SAP]]&lt;&gt;0)=TRUE,"MIS A JOUR","")</f>
        <v/>
      </c>
      <c r="AA529" s="48"/>
      <c r="AB529" s="58" t="str">
        <f ca="1">IF(Tableau1[[#This Row],[Date rév.]]&lt;&gt;"", DAYS360(Tableau1[[#This Row],[Date rév.]],TODAY()),"")</f>
        <v/>
      </c>
      <c r="AC529" s="47" t="str">
        <f>IFERROR(INDEX(Chemin_accès!$B$11:$C$22,MATCH(Tableau1[[#This Row],[Type]],Chemin_accès!$C$11:$C$22,0),1),Chemin_accès!$B$11)</f>
        <v>\\stjn.local\trimet\Btechnique\Commun\BT Maint SCELLEMENT\205 - Préventifs\Modèles préventif\GammeDMS_7.MSCT.xlsm</v>
      </c>
      <c r="AD529" s="47" t="str">
        <f>Chemin_accès!$B$8&amp;Tableau1[[#This Row],[Localisation / Classement]]&amp;"\"&amp;Tableau1[[#This Row],[Poste technique]]&amp;"_"&amp;Tableau1[[#This Row],[Plan Entretien]]&amp;".xlsm"</f>
        <v>\\stjn.local\trimet\Btechnique\Commun\BT Maint SCELLEMENT\205 - Préventifs\Gammes 7.MSCT PE Tool\\_.xlsm</v>
      </c>
    </row>
    <row r="530" spans="1:30" x14ac:dyDescent="0.3">
      <c r="A530" s="44" t="str">
        <f t="shared" ca="1" si="8"/>
        <v>7.MSCT</v>
      </c>
      <c r="B5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0" s="46"/>
      <c r="D530" s="44"/>
      <c r="E530" s="44"/>
      <c r="F530" s="47"/>
      <c r="G530" s="47"/>
      <c r="H530" s="50"/>
      <c r="I530" s="50"/>
      <c r="J530" s="50"/>
      <c r="K530" s="50"/>
      <c r="L530" s="46"/>
      <c r="M530" s="47"/>
      <c r="N530" s="46"/>
      <c r="O530" s="46"/>
      <c r="P530" s="47"/>
      <c r="Q530" s="46"/>
      <c r="R530" s="46"/>
      <c r="S530" s="48"/>
      <c r="T530" s="61" t="str">
        <f>IF(Tableau1[[#This Row],[DMS_SAP]]="","",HYPERLINK(Tableau1[[#This Row],[Chemin fichier source]],"X"))</f>
        <v/>
      </c>
      <c r="U530" s="61" t="str">
        <f>IF(Tableau1[[#This Row],[Date rév.]]="","",HYPERLINK(Tableau1[[#This Row],[Lien document]],"X"))</f>
        <v/>
      </c>
      <c r="V530" s="47"/>
      <c r="W530" s="49" t="str">
        <f ca="1">Chemin_accès!$B$2&amp;Tableau1[[#This Row],[Poste Responsable]]&amp;"\"&amp;Tableau1[[#This Row],[Localisation / Classement]]&amp;"\"&amp;Tableau1[[#This Row],[Poste technique]]&amp;"_"&amp;Tableau1[[#This Row],[Plan Entretien]]&amp;".pdf"</f>
        <v>\\stjn.local\trimet\Donnees_Projets\Dms Sap\Maintenance\PlanEntretien\7.MSCT\\_.pdf</v>
      </c>
      <c r="X530" s="47"/>
      <c r="Y530" s="47"/>
      <c r="Z530" s="44" t="str">
        <f ca="1">IF(AND(Tableau1[[#This Row],[Charge]]&lt;&gt;0, Tableau1[[#This Row],[Nombre intervenants]]&lt;&gt;0,Tableau1[[#This Row],[Lien document]]&lt;&gt;0,Tableau1[[#This Row],[DMS_SAP]]&lt;&gt;0)=TRUE,"MIS A JOUR","")</f>
        <v/>
      </c>
      <c r="AA530" s="48"/>
      <c r="AB530" s="58" t="str">
        <f ca="1">IF(Tableau1[[#This Row],[Date rév.]]&lt;&gt;"", DAYS360(Tableau1[[#This Row],[Date rév.]],TODAY()),"")</f>
        <v/>
      </c>
      <c r="AC530" s="47" t="str">
        <f>IFERROR(INDEX(Chemin_accès!$B$11:$C$22,MATCH(Tableau1[[#This Row],[Type]],Chemin_accès!$C$11:$C$22,0),1),Chemin_accès!$B$11)</f>
        <v>\\stjn.local\trimet\Btechnique\Commun\BT Maint SCELLEMENT\205 - Préventifs\Modèles préventif\GammeDMS_7.MSCT.xlsm</v>
      </c>
      <c r="AD530" s="47" t="str">
        <f>Chemin_accès!$B$8&amp;Tableau1[[#This Row],[Localisation / Classement]]&amp;"\"&amp;Tableau1[[#This Row],[Poste technique]]&amp;"_"&amp;Tableau1[[#This Row],[Plan Entretien]]&amp;".xlsm"</f>
        <v>\\stjn.local\trimet\Btechnique\Commun\BT Maint SCELLEMENT\205 - Préventifs\Gammes 7.MSCT PE Tool\\_.xlsm</v>
      </c>
    </row>
    <row r="531" spans="1:30" x14ac:dyDescent="0.3">
      <c r="A531" s="44" t="str">
        <f t="shared" ca="1" si="8"/>
        <v>7.MSCT</v>
      </c>
      <c r="B5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1" s="46"/>
      <c r="D531" s="44"/>
      <c r="E531" s="44"/>
      <c r="F531" s="47"/>
      <c r="G531" s="47"/>
      <c r="H531" s="50"/>
      <c r="I531" s="50"/>
      <c r="J531" s="50"/>
      <c r="K531" s="50"/>
      <c r="L531" s="46"/>
      <c r="M531" s="47"/>
      <c r="N531" s="46"/>
      <c r="O531" s="46"/>
      <c r="P531" s="47"/>
      <c r="Q531" s="46"/>
      <c r="R531" s="46"/>
      <c r="S531" s="48"/>
      <c r="T531" s="61" t="str">
        <f>IF(Tableau1[[#This Row],[DMS_SAP]]="","",HYPERLINK(Tableau1[[#This Row],[Chemin fichier source]],"X"))</f>
        <v/>
      </c>
      <c r="U531" s="61" t="str">
        <f>IF(Tableau1[[#This Row],[Date rév.]]="","",HYPERLINK(Tableau1[[#This Row],[Lien document]],"X"))</f>
        <v/>
      </c>
      <c r="V531" s="47"/>
      <c r="W531" s="49" t="str">
        <f ca="1">Chemin_accès!$B$2&amp;Tableau1[[#This Row],[Poste Responsable]]&amp;"\"&amp;Tableau1[[#This Row],[Localisation / Classement]]&amp;"\"&amp;Tableau1[[#This Row],[Poste technique]]&amp;"_"&amp;Tableau1[[#This Row],[Plan Entretien]]&amp;".pdf"</f>
        <v>\\stjn.local\trimet\Donnees_Projets\Dms Sap\Maintenance\PlanEntretien\7.MSCT\\_.pdf</v>
      </c>
      <c r="X531" s="47"/>
      <c r="Y531" s="47"/>
      <c r="Z531" s="44" t="str">
        <f ca="1">IF(AND(Tableau1[[#This Row],[Charge]]&lt;&gt;0, Tableau1[[#This Row],[Nombre intervenants]]&lt;&gt;0,Tableau1[[#This Row],[Lien document]]&lt;&gt;0,Tableau1[[#This Row],[DMS_SAP]]&lt;&gt;0)=TRUE,"MIS A JOUR","")</f>
        <v/>
      </c>
      <c r="AA531" s="48"/>
      <c r="AB531" s="58" t="str">
        <f ca="1">IF(Tableau1[[#This Row],[Date rév.]]&lt;&gt;"", DAYS360(Tableau1[[#This Row],[Date rév.]],TODAY()),"")</f>
        <v/>
      </c>
      <c r="AC531" s="47" t="str">
        <f>IFERROR(INDEX(Chemin_accès!$B$11:$C$22,MATCH(Tableau1[[#This Row],[Type]],Chemin_accès!$C$11:$C$22,0),1),Chemin_accès!$B$11)</f>
        <v>\\stjn.local\trimet\Btechnique\Commun\BT Maint SCELLEMENT\205 - Préventifs\Modèles préventif\GammeDMS_7.MSCT.xlsm</v>
      </c>
      <c r="AD531" s="47" t="str">
        <f>Chemin_accès!$B$8&amp;Tableau1[[#This Row],[Localisation / Classement]]&amp;"\"&amp;Tableau1[[#This Row],[Poste technique]]&amp;"_"&amp;Tableau1[[#This Row],[Plan Entretien]]&amp;".xlsm"</f>
        <v>\\stjn.local\trimet\Btechnique\Commun\BT Maint SCELLEMENT\205 - Préventifs\Gammes 7.MSCT PE Tool\\_.xlsm</v>
      </c>
    </row>
    <row r="532" spans="1:30" x14ac:dyDescent="0.3">
      <c r="A532" s="44" t="str">
        <f t="shared" ca="1" si="8"/>
        <v>7.MSCT</v>
      </c>
      <c r="B5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2" s="46"/>
      <c r="D532" s="44"/>
      <c r="E532" s="44"/>
      <c r="F532" s="47"/>
      <c r="G532" s="47"/>
      <c r="H532" s="50"/>
      <c r="I532" s="50"/>
      <c r="J532" s="50"/>
      <c r="K532" s="50"/>
      <c r="L532" s="46"/>
      <c r="M532" s="47"/>
      <c r="N532" s="46"/>
      <c r="O532" s="46"/>
      <c r="P532" s="47"/>
      <c r="Q532" s="46"/>
      <c r="R532" s="46"/>
      <c r="S532" s="48"/>
      <c r="T532" s="61" t="str">
        <f>IF(Tableau1[[#This Row],[DMS_SAP]]="","",HYPERLINK(Tableau1[[#This Row],[Chemin fichier source]],"X"))</f>
        <v/>
      </c>
      <c r="U532" s="61" t="str">
        <f>IF(Tableau1[[#This Row],[Date rév.]]="","",HYPERLINK(Tableau1[[#This Row],[Lien document]],"X"))</f>
        <v/>
      </c>
      <c r="V532" s="47"/>
      <c r="W532" s="49" t="str">
        <f ca="1">Chemin_accès!$B$2&amp;Tableau1[[#This Row],[Poste Responsable]]&amp;"\"&amp;Tableau1[[#This Row],[Localisation / Classement]]&amp;"\"&amp;Tableau1[[#This Row],[Poste technique]]&amp;"_"&amp;Tableau1[[#This Row],[Plan Entretien]]&amp;".pdf"</f>
        <v>\\stjn.local\trimet\Donnees_Projets\Dms Sap\Maintenance\PlanEntretien\7.MSCT\\_.pdf</v>
      </c>
      <c r="X532" s="47"/>
      <c r="Y532" s="47"/>
      <c r="Z532" s="44" t="str">
        <f ca="1">IF(AND(Tableau1[[#This Row],[Charge]]&lt;&gt;0, Tableau1[[#This Row],[Nombre intervenants]]&lt;&gt;0,Tableau1[[#This Row],[Lien document]]&lt;&gt;0,Tableau1[[#This Row],[DMS_SAP]]&lt;&gt;0)=TRUE,"MIS A JOUR","")</f>
        <v/>
      </c>
      <c r="AA532" s="48"/>
      <c r="AB532" s="58" t="str">
        <f ca="1">IF(Tableau1[[#This Row],[Date rév.]]&lt;&gt;"", DAYS360(Tableau1[[#This Row],[Date rév.]],TODAY()),"")</f>
        <v/>
      </c>
      <c r="AC532" s="47" t="str">
        <f>IFERROR(INDEX(Chemin_accès!$B$11:$C$22,MATCH(Tableau1[[#This Row],[Type]],Chemin_accès!$C$11:$C$22,0),1),Chemin_accès!$B$11)</f>
        <v>\\stjn.local\trimet\Btechnique\Commun\BT Maint SCELLEMENT\205 - Préventifs\Modèles préventif\GammeDMS_7.MSCT.xlsm</v>
      </c>
      <c r="AD532" s="47" t="str">
        <f>Chemin_accès!$B$8&amp;Tableau1[[#This Row],[Localisation / Classement]]&amp;"\"&amp;Tableau1[[#This Row],[Poste technique]]&amp;"_"&amp;Tableau1[[#This Row],[Plan Entretien]]&amp;".xlsm"</f>
        <v>\\stjn.local\trimet\Btechnique\Commun\BT Maint SCELLEMENT\205 - Préventifs\Gammes 7.MSCT PE Tool\\_.xlsm</v>
      </c>
    </row>
    <row r="533" spans="1:30" x14ac:dyDescent="0.3">
      <c r="A533" s="44" t="str">
        <f t="shared" ca="1" si="8"/>
        <v>7.MSCT</v>
      </c>
      <c r="B5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3" s="46"/>
      <c r="D533" s="44"/>
      <c r="E533" s="44"/>
      <c r="F533" s="47"/>
      <c r="G533" s="47"/>
      <c r="H533" s="50"/>
      <c r="I533" s="50"/>
      <c r="J533" s="50"/>
      <c r="K533" s="50"/>
      <c r="L533" s="46"/>
      <c r="M533" s="47"/>
      <c r="N533" s="46"/>
      <c r="O533" s="46"/>
      <c r="P533" s="47"/>
      <c r="Q533" s="46"/>
      <c r="R533" s="46"/>
      <c r="S533" s="48"/>
      <c r="T533" s="61" t="str">
        <f>IF(Tableau1[[#This Row],[DMS_SAP]]="","",HYPERLINK(Tableau1[[#This Row],[Chemin fichier source]],"X"))</f>
        <v/>
      </c>
      <c r="U533" s="61" t="str">
        <f>IF(Tableau1[[#This Row],[Date rév.]]="","",HYPERLINK(Tableau1[[#This Row],[Lien document]],"X"))</f>
        <v/>
      </c>
      <c r="V533" s="47"/>
      <c r="W533" s="49" t="str">
        <f ca="1">Chemin_accès!$B$2&amp;Tableau1[[#This Row],[Poste Responsable]]&amp;"\"&amp;Tableau1[[#This Row],[Localisation / Classement]]&amp;"\"&amp;Tableau1[[#This Row],[Poste technique]]&amp;"_"&amp;Tableau1[[#This Row],[Plan Entretien]]&amp;".pdf"</f>
        <v>\\stjn.local\trimet\Donnees_Projets\Dms Sap\Maintenance\PlanEntretien\7.MSCT\\_.pdf</v>
      </c>
      <c r="X533" s="47"/>
      <c r="Y533" s="47"/>
      <c r="Z533" s="44" t="str">
        <f ca="1">IF(AND(Tableau1[[#This Row],[Charge]]&lt;&gt;0, Tableau1[[#This Row],[Nombre intervenants]]&lt;&gt;0,Tableau1[[#This Row],[Lien document]]&lt;&gt;0,Tableau1[[#This Row],[DMS_SAP]]&lt;&gt;0)=TRUE,"MIS A JOUR","")</f>
        <v/>
      </c>
      <c r="AA533" s="48"/>
      <c r="AB533" s="58" t="str">
        <f ca="1">IF(Tableau1[[#This Row],[Date rév.]]&lt;&gt;"", DAYS360(Tableau1[[#This Row],[Date rév.]],TODAY()),"")</f>
        <v/>
      </c>
      <c r="AC533" s="47" t="str">
        <f>IFERROR(INDEX(Chemin_accès!$B$11:$C$22,MATCH(Tableau1[[#This Row],[Type]],Chemin_accès!$C$11:$C$22,0),1),Chemin_accès!$B$11)</f>
        <v>\\stjn.local\trimet\Btechnique\Commun\BT Maint SCELLEMENT\205 - Préventifs\Modèles préventif\GammeDMS_7.MSCT.xlsm</v>
      </c>
      <c r="AD533" s="47" t="str">
        <f>Chemin_accès!$B$8&amp;Tableau1[[#This Row],[Localisation / Classement]]&amp;"\"&amp;Tableau1[[#This Row],[Poste technique]]&amp;"_"&amp;Tableau1[[#This Row],[Plan Entretien]]&amp;".xlsm"</f>
        <v>\\stjn.local\trimet\Btechnique\Commun\BT Maint SCELLEMENT\205 - Préventifs\Gammes 7.MSCT PE Tool\\_.xlsm</v>
      </c>
    </row>
    <row r="534" spans="1:30" x14ac:dyDescent="0.3">
      <c r="A534" s="44" t="str">
        <f t="shared" ca="1" si="8"/>
        <v>7.MSCT</v>
      </c>
      <c r="B5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4" s="46"/>
      <c r="D534" s="44"/>
      <c r="E534" s="44"/>
      <c r="F534" s="47"/>
      <c r="G534" s="47"/>
      <c r="H534" s="50"/>
      <c r="I534" s="50"/>
      <c r="J534" s="50"/>
      <c r="K534" s="50"/>
      <c r="L534" s="46"/>
      <c r="M534" s="47"/>
      <c r="N534" s="46"/>
      <c r="O534" s="46"/>
      <c r="P534" s="47"/>
      <c r="Q534" s="46"/>
      <c r="R534" s="46"/>
      <c r="S534" s="48"/>
      <c r="T534" s="61" t="str">
        <f>IF(Tableau1[[#This Row],[DMS_SAP]]="","",HYPERLINK(Tableau1[[#This Row],[Chemin fichier source]],"X"))</f>
        <v/>
      </c>
      <c r="U534" s="61" t="str">
        <f>IF(Tableau1[[#This Row],[Date rév.]]="","",HYPERLINK(Tableau1[[#This Row],[Lien document]],"X"))</f>
        <v/>
      </c>
      <c r="V534" s="47"/>
      <c r="W534" s="49" t="str">
        <f ca="1">Chemin_accès!$B$2&amp;Tableau1[[#This Row],[Poste Responsable]]&amp;"\"&amp;Tableau1[[#This Row],[Localisation / Classement]]&amp;"\"&amp;Tableau1[[#This Row],[Poste technique]]&amp;"_"&amp;Tableau1[[#This Row],[Plan Entretien]]&amp;".pdf"</f>
        <v>\\stjn.local\trimet\Donnees_Projets\Dms Sap\Maintenance\PlanEntretien\7.MSCT\\_.pdf</v>
      </c>
      <c r="X534" s="47"/>
      <c r="Y534" s="47"/>
      <c r="Z534" s="44" t="str">
        <f ca="1">IF(AND(Tableau1[[#This Row],[Charge]]&lt;&gt;0, Tableau1[[#This Row],[Nombre intervenants]]&lt;&gt;0,Tableau1[[#This Row],[Lien document]]&lt;&gt;0,Tableau1[[#This Row],[DMS_SAP]]&lt;&gt;0)=TRUE,"MIS A JOUR","")</f>
        <v/>
      </c>
      <c r="AA534" s="48"/>
      <c r="AB534" s="58" t="str">
        <f ca="1">IF(Tableau1[[#This Row],[Date rév.]]&lt;&gt;"", DAYS360(Tableau1[[#This Row],[Date rév.]],TODAY()),"")</f>
        <v/>
      </c>
      <c r="AC534" s="47" t="str">
        <f>IFERROR(INDEX(Chemin_accès!$B$11:$C$22,MATCH(Tableau1[[#This Row],[Type]],Chemin_accès!$C$11:$C$22,0),1),Chemin_accès!$B$11)</f>
        <v>\\stjn.local\trimet\Btechnique\Commun\BT Maint SCELLEMENT\205 - Préventifs\Modèles préventif\GammeDMS_7.MSCT.xlsm</v>
      </c>
      <c r="AD534" s="47" t="str">
        <f>Chemin_accès!$B$8&amp;Tableau1[[#This Row],[Localisation / Classement]]&amp;"\"&amp;Tableau1[[#This Row],[Poste technique]]&amp;"_"&amp;Tableau1[[#This Row],[Plan Entretien]]&amp;".xlsm"</f>
        <v>\\stjn.local\trimet\Btechnique\Commun\BT Maint SCELLEMENT\205 - Préventifs\Gammes 7.MSCT PE Tool\\_.xlsm</v>
      </c>
    </row>
    <row r="535" spans="1:30" x14ac:dyDescent="0.3">
      <c r="A535" s="44" t="str">
        <f t="shared" ca="1" si="8"/>
        <v>7.MSCT</v>
      </c>
      <c r="B5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5" s="46"/>
      <c r="D535" s="44"/>
      <c r="E535" s="44"/>
      <c r="F535" s="47"/>
      <c r="G535" s="47"/>
      <c r="H535" s="50"/>
      <c r="I535" s="50"/>
      <c r="J535" s="50"/>
      <c r="K535" s="50"/>
      <c r="L535" s="46"/>
      <c r="M535" s="47"/>
      <c r="N535" s="46"/>
      <c r="O535" s="46"/>
      <c r="P535" s="47"/>
      <c r="Q535" s="46"/>
      <c r="R535" s="46"/>
      <c r="S535" s="48"/>
      <c r="T535" s="61" t="str">
        <f>IF(Tableau1[[#This Row],[DMS_SAP]]="","",HYPERLINK(Tableau1[[#This Row],[Chemin fichier source]],"X"))</f>
        <v/>
      </c>
      <c r="U535" s="61" t="str">
        <f>IF(Tableau1[[#This Row],[Date rév.]]="","",HYPERLINK(Tableau1[[#This Row],[Lien document]],"X"))</f>
        <v/>
      </c>
      <c r="V535" s="47"/>
      <c r="W535" s="49" t="str">
        <f ca="1">Chemin_accès!$B$2&amp;Tableau1[[#This Row],[Poste Responsable]]&amp;"\"&amp;Tableau1[[#This Row],[Localisation / Classement]]&amp;"\"&amp;Tableau1[[#This Row],[Poste technique]]&amp;"_"&amp;Tableau1[[#This Row],[Plan Entretien]]&amp;".pdf"</f>
        <v>\\stjn.local\trimet\Donnees_Projets\Dms Sap\Maintenance\PlanEntretien\7.MSCT\\_.pdf</v>
      </c>
      <c r="X535" s="47"/>
      <c r="Y535" s="47"/>
      <c r="Z535" s="44" t="str">
        <f ca="1">IF(AND(Tableau1[[#This Row],[Charge]]&lt;&gt;0, Tableau1[[#This Row],[Nombre intervenants]]&lt;&gt;0,Tableau1[[#This Row],[Lien document]]&lt;&gt;0,Tableau1[[#This Row],[DMS_SAP]]&lt;&gt;0)=TRUE,"MIS A JOUR","")</f>
        <v/>
      </c>
      <c r="AA535" s="48"/>
      <c r="AB535" s="58" t="str">
        <f ca="1">IF(Tableau1[[#This Row],[Date rév.]]&lt;&gt;"", DAYS360(Tableau1[[#This Row],[Date rév.]],TODAY()),"")</f>
        <v/>
      </c>
      <c r="AC535" s="47" t="str">
        <f>IFERROR(INDEX(Chemin_accès!$B$11:$C$22,MATCH(Tableau1[[#This Row],[Type]],Chemin_accès!$C$11:$C$22,0),1),Chemin_accès!$B$11)</f>
        <v>\\stjn.local\trimet\Btechnique\Commun\BT Maint SCELLEMENT\205 - Préventifs\Modèles préventif\GammeDMS_7.MSCT.xlsm</v>
      </c>
      <c r="AD535" s="47" t="str">
        <f>Chemin_accès!$B$8&amp;Tableau1[[#This Row],[Localisation / Classement]]&amp;"\"&amp;Tableau1[[#This Row],[Poste technique]]&amp;"_"&amp;Tableau1[[#This Row],[Plan Entretien]]&amp;".xlsm"</f>
        <v>\\stjn.local\trimet\Btechnique\Commun\BT Maint SCELLEMENT\205 - Préventifs\Gammes 7.MSCT PE Tool\\_.xlsm</v>
      </c>
    </row>
    <row r="536" spans="1:30" x14ac:dyDescent="0.3">
      <c r="A536" s="44" t="str">
        <f t="shared" ca="1" si="8"/>
        <v>7.MSCT</v>
      </c>
      <c r="B5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6" s="46"/>
      <c r="D536" s="44"/>
      <c r="E536" s="44"/>
      <c r="F536" s="47"/>
      <c r="G536" s="47"/>
      <c r="H536" s="50"/>
      <c r="I536" s="50"/>
      <c r="J536" s="50"/>
      <c r="K536" s="50"/>
      <c r="L536" s="46"/>
      <c r="M536" s="47"/>
      <c r="N536" s="46"/>
      <c r="O536" s="46"/>
      <c r="P536" s="47"/>
      <c r="Q536" s="46"/>
      <c r="R536" s="46"/>
      <c r="S536" s="48"/>
      <c r="T536" s="61" t="str">
        <f>IF(Tableau1[[#This Row],[DMS_SAP]]="","",HYPERLINK(Tableau1[[#This Row],[Chemin fichier source]],"X"))</f>
        <v/>
      </c>
      <c r="U536" s="61" t="str">
        <f>IF(Tableau1[[#This Row],[Date rév.]]="","",HYPERLINK(Tableau1[[#This Row],[Lien document]],"X"))</f>
        <v/>
      </c>
      <c r="V536" s="47"/>
      <c r="W536" s="49" t="str">
        <f ca="1">Chemin_accès!$B$2&amp;Tableau1[[#This Row],[Poste Responsable]]&amp;"\"&amp;Tableau1[[#This Row],[Localisation / Classement]]&amp;"\"&amp;Tableau1[[#This Row],[Poste technique]]&amp;"_"&amp;Tableau1[[#This Row],[Plan Entretien]]&amp;".pdf"</f>
        <v>\\stjn.local\trimet\Donnees_Projets\Dms Sap\Maintenance\PlanEntretien\7.MSCT\\_.pdf</v>
      </c>
      <c r="X536" s="47"/>
      <c r="Y536" s="47"/>
      <c r="Z536" s="44" t="str">
        <f ca="1">IF(AND(Tableau1[[#This Row],[Charge]]&lt;&gt;0, Tableau1[[#This Row],[Nombre intervenants]]&lt;&gt;0,Tableau1[[#This Row],[Lien document]]&lt;&gt;0,Tableau1[[#This Row],[DMS_SAP]]&lt;&gt;0)=TRUE,"MIS A JOUR","")</f>
        <v/>
      </c>
      <c r="AA536" s="48"/>
      <c r="AB536" s="58" t="str">
        <f ca="1">IF(Tableau1[[#This Row],[Date rév.]]&lt;&gt;"", DAYS360(Tableau1[[#This Row],[Date rév.]],TODAY()),"")</f>
        <v/>
      </c>
      <c r="AC536" s="47" t="str">
        <f>IFERROR(INDEX(Chemin_accès!$B$11:$C$22,MATCH(Tableau1[[#This Row],[Type]],Chemin_accès!$C$11:$C$22,0),1),Chemin_accès!$B$11)</f>
        <v>\\stjn.local\trimet\Btechnique\Commun\BT Maint SCELLEMENT\205 - Préventifs\Modèles préventif\GammeDMS_7.MSCT.xlsm</v>
      </c>
      <c r="AD536" s="47" t="str">
        <f>Chemin_accès!$B$8&amp;Tableau1[[#This Row],[Localisation / Classement]]&amp;"\"&amp;Tableau1[[#This Row],[Poste technique]]&amp;"_"&amp;Tableau1[[#This Row],[Plan Entretien]]&amp;".xlsm"</f>
        <v>\\stjn.local\trimet\Btechnique\Commun\BT Maint SCELLEMENT\205 - Préventifs\Gammes 7.MSCT PE Tool\\_.xlsm</v>
      </c>
    </row>
    <row r="537" spans="1:30" x14ac:dyDescent="0.3">
      <c r="A537" s="44" t="str">
        <f t="shared" ca="1" si="8"/>
        <v>7.MSCT</v>
      </c>
      <c r="B5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7" s="46"/>
      <c r="D537" s="44"/>
      <c r="E537" s="44"/>
      <c r="F537" s="47"/>
      <c r="G537" s="47"/>
      <c r="H537" s="50"/>
      <c r="I537" s="50"/>
      <c r="J537" s="50"/>
      <c r="K537" s="50"/>
      <c r="L537" s="46"/>
      <c r="M537" s="47"/>
      <c r="N537" s="46"/>
      <c r="O537" s="46"/>
      <c r="P537" s="47"/>
      <c r="Q537" s="46"/>
      <c r="R537" s="46"/>
      <c r="S537" s="48"/>
      <c r="T537" s="61" t="str">
        <f>IF(Tableau1[[#This Row],[DMS_SAP]]="","",HYPERLINK(Tableau1[[#This Row],[Chemin fichier source]],"X"))</f>
        <v/>
      </c>
      <c r="U537" s="61" t="str">
        <f>IF(Tableau1[[#This Row],[Date rév.]]="","",HYPERLINK(Tableau1[[#This Row],[Lien document]],"X"))</f>
        <v/>
      </c>
      <c r="V537" s="47"/>
      <c r="W537" s="49" t="str">
        <f ca="1">Chemin_accès!$B$2&amp;Tableau1[[#This Row],[Poste Responsable]]&amp;"\"&amp;Tableau1[[#This Row],[Localisation / Classement]]&amp;"\"&amp;Tableau1[[#This Row],[Poste technique]]&amp;"_"&amp;Tableau1[[#This Row],[Plan Entretien]]&amp;".pdf"</f>
        <v>\\stjn.local\trimet\Donnees_Projets\Dms Sap\Maintenance\PlanEntretien\7.MSCT\\_.pdf</v>
      </c>
      <c r="X537" s="47"/>
      <c r="Y537" s="47"/>
      <c r="Z537" s="44" t="str">
        <f ca="1">IF(AND(Tableau1[[#This Row],[Charge]]&lt;&gt;0, Tableau1[[#This Row],[Nombre intervenants]]&lt;&gt;0,Tableau1[[#This Row],[Lien document]]&lt;&gt;0,Tableau1[[#This Row],[DMS_SAP]]&lt;&gt;0)=TRUE,"MIS A JOUR","")</f>
        <v/>
      </c>
      <c r="AA537" s="48"/>
      <c r="AB537" s="58" t="str">
        <f ca="1">IF(Tableau1[[#This Row],[Date rév.]]&lt;&gt;"", DAYS360(Tableau1[[#This Row],[Date rév.]],TODAY()),"")</f>
        <v/>
      </c>
      <c r="AC537" s="47" t="str">
        <f>IFERROR(INDEX(Chemin_accès!$B$11:$C$22,MATCH(Tableau1[[#This Row],[Type]],Chemin_accès!$C$11:$C$22,0),1),Chemin_accès!$B$11)</f>
        <v>\\stjn.local\trimet\Btechnique\Commun\BT Maint SCELLEMENT\205 - Préventifs\Modèles préventif\GammeDMS_7.MSCT.xlsm</v>
      </c>
      <c r="AD537" s="47" t="str">
        <f>Chemin_accès!$B$8&amp;Tableau1[[#This Row],[Localisation / Classement]]&amp;"\"&amp;Tableau1[[#This Row],[Poste technique]]&amp;"_"&amp;Tableau1[[#This Row],[Plan Entretien]]&amp;".xlsm"</f>
        <v>\\stjn.local\trimet\Btechnique\Commun\BT Maint SCELLEMENT\205 - Préventifs\Gammes 7.MSCT PE Tool\\_.xlsm</v>
      </c>
    </row>
    <row r="538" spans="1:30" x14ac:dyDescent="0.3">
      <c r="A538" s="44" t="str">
        <f t="shared" ca="1" si="8"/>
        <v>7.MSCT</v>
      </c>
      <c r="B5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8" s="46"/>
      <c r="D538" s="44"/>
      <c r="E538" s="44"/>
      <c r="F538" s="47"/>
      <c r="G538" s="47"/>
      <c r="H538" s="50"/>
      <c r="I538" s="50"/>
      <c r="J538" s="50"/>
      <c r="K538" s="50"/>
      <c r="L538" s="46"/>
      <c r="M538" s="47"/>
      <c r="N538" s="46"/>
      <c r="O538" s="46"/>
      <c r="P538" s="47"/>
      <c r="Q538" s="46"/>
      <c r="R538" s="46"/>
      <c r="S538" s="48"/>
      <c r="T538" s="61" t="str">
        <f>IF(Tableau1[[#This Row],[DMS_SAP]]="","",HYPERLINK(Tableau1[[#This Row],[Chemin fichier source]],"X"))</f>
        <v/>
      </c>
      <c r="U538" s="61" t="str">
        <f>IF(Tableau1[[#This Row],[Date rév.]]="","",HYPERLINK(Tableau1[[#This Row],[Lien document]],"X"))</f>
        <v/>
      </c>
      <c r="V538" s="47"/>
      <c r="W538" s="49" t="str">
        <f ca="1">Chemin_accès!$B$2&amp;Tableau1[[#This Row],[Poste Responsable]]&amp;"\"&amp;Tableau1[[#This Row],[Localisation / Classement]]&amp;"\"&amp;Tableau1[[#This Row],[Poste technique]]&amp;"_"&amp;Tableau1[[#This Row],[Plan Entretien]]&amp;".pdf"</f>
        <v>\\stjn.local\trimet\Donnees_Projets\Dms Sap\Maintenance\PlanEntretien\7.MSCT\\_.pdf</v>
      </c>
      <c r="X538" s="47"/>
      <c r="Y538" s="47"/>
      <c r="Z538" s="44" t="str">
        <f ca="1">IF(AND(Tableau1[[#This Row],[Charge]]&lt;&gt;0, Tableau1[[#This Row],[Nombre intervenants]]&lt;&gt;0,Tableau1[[#This Row],[Lien document]]&lt;&gt;0,Tableau1[[#This Row],[DMS_SAP]]&lt;&gt;0)=TRUE,"MIS A JOUR","")</f>
        <v/>
      </c>
      <c r="AA538" s="48"/>
      <c r="AB538" s="58" t="str">
        <f ca="1">IF(Tableau1[[#This Row],[Date rév.]]&lt;&gt;"", DAYS360(Tableau1[[#This Row],[Date rév.]],TODAY()),"")</f>
        <v/>
      </c>
      <c r="AC538" s="47" t="str">
        <f>IFERROR(INDEX(Chemin_accès!$B$11:$C$22,MATCH(Tableau1[[#This Row],[Type]],Chemin_accès!$C$11:$C$22,0),1),Chemin_accès!$B$11)</f>
        <v>\\stjn.local\trimet\Btechnique\Commun\BT Maint SCELLEMENT\205 - Préventifs\Modèles préventif\GammeDMS_7.MSCT.xlsm</v>
      </c>
      <c r="AD538" s="47" t="str">
        <f>Chemin_accès!$B$8&amp;Tableau1[[#This Row],[Localisation / Classement]]&amp;"\"&amp;Tableau1[[#This Row],[Poste technique]]&amp;"_"&amp;Tableau1[[#This Row],[Plan Entretien]]&amp;".xlsm"</f>
        <v>\\stjn.local\trimet\Btechnique\Commun\BT Maint SCELLEMENT\205 - Préventifs\Gammes 7.MSCT PE Tool\\_.xlsm</v>
      </c>
    </row>
    <row r="539" spans="1:30" x14ac:dyDescent="0.3">
      <c r="A539" s="44" t="str">
        <f t="shared" ca="1" si="8"/>
        <v>7.MSCT</v>
      </c>
      <c r="B5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9" s="46"/>
      <c r="D539" s="44"/>
      <c r="E539" s="44"/>
      <c r="F539" s="47"/>
      <c r="G539" s="47"/>
      <c r="H539" s="50"/>
      <c r="I539" s="50"/>
      <c r="J539" s="50"/>
      <c r="K539" s="50"/>
      <c r="L539" s="46"/>
      <c r="M539" s="47"/>
      <c r="N539" s="46"/>
      <c r="O539" s="46"/>
      <c r="P539" s="47"/>
      <c r="Q539" s="46"/>
      <c r="R539" s="46"/>
      <c r="S539" s="48"/>
      <c r="T539" s="61" t="str">
        <f>IF(Tableau1[[#This Row],[DMS_SAP]]="","",HYPERLINK(Tableau1[[#This Row],[Chemin fichier source]],"X"))</f>
        <v/>
      </c>
      <c r="U539" s="61" t="str">
        <f>IF(Tableau1[[#This Row],[Date rév.]]="","",HYPERLINK(Tableau1[[#This Row],[Lien document]],"X"))</f>
        <v/>
      </c>
      <c r="V539" s="47"/>
      <c r="W539" s="49" t="str">
        <f ca="1">Chemin_accès!$B$2&amp;Tableau1[[#This Row],[Poste Responsable]]&amp;"\"&amp;Tableau1[[#This Row],[Localisation / Classement]]&amp;"\"&amp;Tableau1[[#This Row],[Poste technique]]&amp;"_"&amp;Tableau1[[#This Row],[Plan Entretien]]&amp;".pdf"</f>
        <v>\\stjn.local\trimet\Donnees_Projets\Dms Sap\Maintenance\PlanEntretien\7.MSCT\\_.pdf</v>
      </c>
      <c r="X539" s="47"/>
      <c r="Y539" s="47"/>
      <c r="Z539" s="44" t="str">
        <f ca="1">IF(AND(Tableau1[[#This Row],[Charge]]&lt;&gt;0, Tableau1[[#This Row],[Nombre intervenants]]&lt;&gt;0,Tableau1[[#This Row],[Lien document]]&lt;&gt;0,Tableau1[[#This Row],[DMS_SAP]]&lt;&gt;0)=TRUE,"MIS A JOUR","")</f>
        <v/>
      </c>
      <c r="AA539" s="48"/>
      <c r="AB539" s="58" t="str">
        <f ca="1">IF(Tableau1[[#This Row],[Date rév.]]&lt;&gt;"", DAYS360(Tableau1[[#This Row],[Date rév.]],TODAY()),"")</f>
        <v/>
      </c>
      <c r="AC539" s="47" t="str">
        <f>IFERROR(INDEX(Chemin_accès!$B$11:$C$22,MATCH(Tableau1[[#This Row],[Type]],Chemin_accès!$C$11:$C$22,0),1),Chemin_accès!$B$11)</f>
        <v>\\stjn.local\trimet\Btechnique\Commun\BT Maint SCELLEMENT\205 - Préventifs\Modèles préventif\GammeDMS_7.MSCT.xlsm</v>
      </c>
      <c r="AD539" s="47" t="str">
        <f>Chemin_accès!$B$8&amp;Tableau1[[#This Row],[Localisation / Classement]]&amp;"\"&amp;Tableau1[[#This Row],[Poste technique]]&amp;"_"&amp;Tableau1[[#This Row],[Plan Entretien]]&amp;".xlsm"</f>
        <v>\\stjn.local\trimet\Btechnique\Commun\BT Maint SCELLEMENT\205 - Préventifs\Gammes 7.MSCT PE Tool\\_.xlsm</v>
      </c>
    </row>
    <row r="540" spans="1:30" x14ac:dyDescent="0.3">
      <c r="A540" s="44" t="str">
        <f t="shared" ca="1" si="8"/>
        <v>7.MSCT</v>
      </c>
      <c r="B5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0" s="46"/>
      <c r="D540" s="44"/>
      <c r="E540" s="44"/>
      <c r="F540" s="47"/>
      <c r="G540" s="47"/>
      <c r="H540" s="50"/>
      <c r="I540" s="50"/>
      <c r="J540" s="50"/>
      <c r="K540" s="50"/>
      <c r="L540" s="46"/>
      <c r="M540" s="47"/>
      <c r="N540" s="46"/>
      <c r="O540" s="46"/>
      <c r="P540" s="47"/>
      <c r="Q540" s="46"/>
      <c r="R540" s="46"/>
      <c r="S540" s="48"/>
      <c r="T540" s="61" t="str">
        <f>IF(Tableau1[[#This Row],[DMS_SAP]]="","",HYPERLINK(Tableau1[[#This Row],[Chemin fichier source]],"X"))</f>
        <v/>
      </c>
      <c r="U540" s="61" t="str">
        <f>IF(Tableau1[[#This Row],[Date rév.]]="","",HYPERLINK(Tableau1[[#This Row],[Lien document]],"X"))</f>
        <v/>
      </c>
      <c r="V540" s="47"/>
      <c r="W540" s="49" t="str">
        <f ca="1">Chemin_accès!$B$2&amp;Tableau1[[#This Row],[Poste Responsable]]&amp;"\"&amp;Tableau1[[#This Row],[Localisation / Classement]]&amp;"\"&amp;Tableau1[[#This Row],[Poste technique]]&amp;"_"&amp;Tableau1[[#This Row],[Plan Entretien]]&amp;".pdf"</f>
        <v>\\stjn.local\trimet\Donnees_Projets\Dms Sap\Maintenance\PlanEntretien\7.MSCT\\_.pdf</v>
      </c>
      <c r="X540" s="47"/>
      <c r="Y540" s="47"/>
      <c r="Z540" s="44" t="str">
        <f ca="1">IF(AND(Tableau1[[#This Row],[Charge]]&lt;&gt;0, Tableau1[[#This Row],[Nombre intervenants]]&lt;&gt;0,Tableau1[[#This Row],[Lien document]]&lt;&gt;0,Tableau1[[#This Row],[DMS_SAP]]&lt;&gt;0)=TRUE,"MIS A JOUR","")</f>
        <v/>
      </c>
      <c r="AA540" s="48"/>
      <c r="AB540" s="58" t="str">
        <f ca="1">IF(Tableau1[[#This Row],[Date rév.]]&lt;&gt;"", DAYS360(Tableau1[[#This Row],[Date rév.]],TODAY()),"")</f>
        <v/>
      </c>
      <c r="AC540" s="47" t="str">
        <f>IFERROR(INDEX(Chemin_accès!$B$11:$C$22,MATCH(Tableau1[[#This Row],[Type]],Chemin_accès!$C$11:$C$22,0),1),Chemin_accès!$B$11)</f>
        <v>\\stjn.local\trimet\Btechnique\Commun\BT Maint SCELLEMENT\205 - Préventifs\Modèles préventif\GammeDMS_7.MSCT.xlsm</v>
      </c>
      <c r="AD540" s="47" t="str">
        <f>Chemin_accès!$B$8&amp;Tableau1[[#This Row],[Localisation / Classement]]&amp;"\"&amp;Tableau1[[#This Row],[Poste technique]]&amp;"_"&amp;Tableau1[[#This Row],[Plan Entretien]]&amp;".xlsm"</f>
        <v>\\stjn.local\trimet\Btechnique\Commun\BT Maint SCELLEMENT\205 - Préventifs\Gammes 7.MSCT PE Tool\\_.xlsm</v>
      </c>
    </row>
    <row r="541" spans="1:30" x14ac:dyDescent="0.3">
      <c r="A541" s="44" t="str">
        <f t="shared" ca="1" si="8"/>
        <v>7.MSCT</v>
      </c>
      <c r="B5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1" s="46"/>
      <c r="D541" s="44"/>
      <c r="E541" s="44"/>
      <c r="F541" s="47"/>
      <c r="G541" s="47"/>
      <c r="H541" s="50"/>
      <c r="I541" s="50"/>
      <c r="J541" s="50"/>
      <c r="K541" s="50"/>
      <c r="L541" s="46"/>
      <c r="M541" s="47"/>
      <c r="N541" s="46"/>
      <c r="O541" s="46"/>
      <c r="P541" s="47"/>
      <c r="Q541" s="46"/>
      <c r="R541" s="46"/>
      <c r="S541" s="48"/>
      <c r="T541" s="61" t="str">
        <f>IF(Tableau1[[#This Row],[DMS_SAP]]="","",HYPERLINK(Tableau1[[#This Row],[Chemin fichier source]],"X"))</f>
        <v/>
      </c>
      <c r="U541" s="61" t="str">
        <f>IF(Tableau1[[#This Row],[Date rév.]]="","",HYPERLINK(Tableau1[[#This Row],[Lien document]],"X"))</f>
        <v/>
      </c>
      <c r="V541" s="47"/>
      <c r="W541" s="49" t="str">
        <f ca="1">Chemin_accès!$B$2&amp;Tableau1[[#This Row],[Poste Responsable]]&amp;"\"&amp;Tableau1[[#This Row],[Localisation / Classement]]&amp;"\"&amp;Tableau1[[#This Row],[Poste technique]]&amp;"_"&amp;Tableau1[[#This Row],[Plan Entretien]]&amp;".pdf"</f>
        <v>\\stjn.local\trimet\Donnees_Projets\Dms Sap\Maintenance\PlanEntretien\7.MSCT\\_.pdf</v>
      </c>
      <c r="X541" s="47"/>
      <c r="Y541" s="47"/>
      <c r="Z541" s="44" t="str">
        <f ca="1">IF(AND(Tableau1[[#This Row],[Charge]]&lt;&gt;0, Tableau1[[#This Row],[Nombre intervenants]]&lt;&gt;0,Tableau1[[#This Row],[Lien document]]&lt;&gt;0,Tableau1[[#This Row],[DMS_SAP]]&lt;&gt;0)=TRUE,"MIS A JOUR","")</f>
        <v/>
      </c>
      <c r="AA541" s="48"/>
      <c r="AB541" s="58" t="str">
        <f ca="1">IF(Tableau1[[#This Row],[Date rév.]]&lt;&gt;"", DAYS360(Tableau1[[#This Row],[Date rév.]],TODAY()),"")</f>
        <v/>
      </c>
      <c r="AC541" s="47" t="str">
        <f>IFERROR(INDEX(Chemin_accès!$B$11:$C$22,MATCH(Tableau1[[#This Row],[Type]],Chemin_accès!$C$11:$C$22,0),1),Chemin_accès!$B$11)</f>
        <v>\\stjn.local\trimet\Btechnique\Commun\BT Maint SCELLEMENT\205 - Préventifs\Modèles préventif\GammeDMS_7.MSCT.xlsm</v>
      </c>
      <c r="AD541" s="47" t="str">
        <f>Chemin_accès!$B$8&amp;Tableau1[[#This Row],[Localisation / Classement]]&amp;"\"&amp;Tableau1[[#This Row],[Poste technique]]&amp;"_"&amp;Tableau1[[#This Row],[Plan Entretien]]&amp;".xlsm"</f>
        <v>\\stjn.local\trimet\Btechnique\Commun\BT Maint SCELLEMENT\205 - Préventifs\Gammes 7.MSCT PE Tool\\_.xlsm</v>
      </c>
    </row>
    <row r="542" spans="1:30" x14ac:dyDescent="0.3">
      <c r="A542" s="44" t="str">
        <f t="shared" ca="1" si="8"/>
        <v>7.MSCT</v>
      </c>
      <c r="B5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2" s="46"/>
      <c r="D542" s="44"/>
      <c r="E542" s="44"/>
      <c r="F542" s="47"/>
      <c r="G542" s="47"/>
      <c r="H542" s="50"/>
      <c r="I542" s="50"/>
      <c r="J542" s="50"/>
      <c r="K542" s="50"/>
      <c r="L542" s="46"/>
      <c r="M542" s="47"/>
      <c r="N542" s="46"/>
      <c r="O542" s="46"/>
      <c r="P542" s="47"/>
      <c r="Q542" s="46"/>
      <c r="R542" s="46"/>
      <c r="S542" s="48"/>
      <c r="T542" s="61" t="str">
        <f>IF(Tableau1[[#This Row],[DMS_SAP]]="","",HYPERLINK(Tableau1[[#This Row],[Chemin fichier source]],"X"))</f>
        <v/>
      </c>
      <c r="U542" s="61" t="str">
        <f>IF(Tableau1[[#This Row],[Date rév.]]="","",HYPERLINK(Tableau1[[#This Row],[Lien document]],"X"))</f>
        <v/>
      </c>
      <c r="V542" s="47"/>
      <c r="W542" s="49" t="str">
        <f ca="1">Chemin_accès!$B$2&amp;Tableau1[[#This Row],[Poste Responsable]]&amp;"\"&amp;Tableau1[[#This Row],[Localisation / Classement]]&amp;"\"&amp;Tableau1[[#This Row],[Poste technique]]&amp;"_"&amp;Tableau1[[#This Row],[Plan Entretien]]&amp;".pdf"</f>
        <v>\\stjn.local\trimet\Donnees_Projets\Dms Sap\Maintenance\PlanEntretien\7.MSCT\\_.pdf</v>
      </c>
      <c r="X542" s="47"/>
      <c r="Y542" s="47"/>
      <c r="Z542" s="44" t="str">
        <f ca="1">IF(AND(Tableau1[[#This Row],[Charge]]&lt;&gt;0, Tableau1[[#This Row],[Nombre intervenants]]&lt;&gt;0,Tableau1[[#This Row],[Lien document]]&lt;&gt;0,Tableau1[[#This Row],[DMS_SAP]]&lt;&gt;0)=TRUE,"MIS A JOUR","")</f>
        <v/>
      </c>
      <c r="AA542" s="48"/>
      <c r="AB542" s="58" t="str">
        <f ca="1">IF(Tableau1[[#This Row],[Date rév.]]&lt;&gt;"", DAYS360(Tableau1[[#This Row],[Date rév.]],TODAY()),"")</f>
        <v/>
      </c>
      <c r="AC542" s="47" t="str">
        <f>IFERROR(INDEX(Chemin_accès!$B$11:$C$22,MATCH(Tableau1[[#This Row],[Type]],Chemin_accès!$C$11:$C$22,0),1),Chemin_accès!$B$11)</f>
        <v>\\stjn.local\trimet\Btechnique\Commun\BT Maint SCELLEMENT\205 - Préventifs\Modèles préventif\GammeDMS_7.MSCT.xlsm</v>
      </c>
      <c r="AD542" s="47" t="str">
        <f>Chemin_accès!$B$8&amp;Tableau1[[#This Row],[Localisation / Classement]]&amp;"\"&amp;Tableau1[[#This Row],[Poste technique]]&amp;"_"&amp;Tableau1[[#This Row],[Plan Entretien]]&amp;".xlsm"</f>
        <v>\\stjn.local\trimet\Btechnique\Commun\BT Maint SCELLEMENT\205 - Préventifs\Gammes 7.MSCT PE Tool\\_.xlsm</v>
      </c>
    </row>
    <row r="543" spans="1:30" x14ac:dyDescent="0.3">
      <c r="A543" s="44" t="str">
        <f t="shared" ca="1" si="8"/>
        <v>7.MSCT</v>
      </c>
      <c r="B5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3" s="46"/>
      <c r="D543" s="44"/>
      <c r="E543" s="44"/>
      <c r="F543" s="47"/>
      <c r="G543" s="47"/>
      <c r="H543" s="50"/>
      <c r="I543" s="50"/>
      <c r="J543" s="50"/>
      <c r="K543" s="50"/>
      <c r="L543" s="46"/>
      <c r="M543" s="47"/>
      <c r="N543" s="46"/>
      <c r="O543" s="46"/>
      <c r="P543" s="47"/>
      <c r="Q543" s="46"/>
      <c r="R543" s="46"/>
      <c r="S543" s="48"/>
      <c r="T543" s="61" t="str">
        <f>IF(Tableau1[[#This Row],[DMS_SAP]]="","",HYPERLINK(Tableau1[[#This Row],[Chemin fichier source]],"X"))</f>
        <v/>
      </c>
      <c r="U543" s="61" t="str">
        <f>IF(Tableau1[[#This Row],[Date rév.]]="","",HYPERLINK(Tableau1[[#This Row],[Lien document]],"X"))</f>
        <v/>
      </c>
      <c r="V543" s="47"/>
      <c r="W543" s="49" t="str">
        <f ca="1">Chemin_accès!$B$2&amp;Tableau1[[#This Row],[Poste Responsable]]&amp;"\"&amp;Tableau1[[#This Row],[Localisation / Classement]]&amp;"\"&amp;Tableau1[[#This Row],[Poste technique]]&amp;"_"&amp;Tableau1[[#This Row],[Plan Entretien]]&amp;".pdf"</f>
        <v>\\stjn.local\trimet\Donnees_Projets\Dms Sap\Maintenance\PlanEntretien\7.MSCT\\_.pdf</v>
      </c>
      <c r="X543" s="47"/>
      <c r="Y543" s="47"/>
      <c r="Z543" s="44" t="str">
        <f ca="1">IF(AND(Tableau1[[#This Row],[Charge]]&lt;&gt;0, Tableau1[[#This Row],[Nombre intervenants]]&lt;&gt;0,Tableau1[[#This Row],[Lien document]]&lt;&gt;0,Tableau1[[#This Row],[DMS_SAP]]&lt;&gt;0)=TRUE,"MIS A JOUR","")</f>
        <v/>
      </c>
      <c r="AA543" s="48"/>
      <c r="AB543" s="58" t="str">
        <f ca="1">IF(Tableau1[[#This Row],[Date rév.]]&lt;&gt;"", DAYS360(Tableau1[[#This Row],[Date rév.]],TODAY()),"")</f>
        <v/>
      </c>
      <c r="AC543" s="47" t="str">
        <f>IFERROR(INDEX(Chemin_accès!$B$11:$C$22,MATCH(Tableau1[[#This Row],[Type]],Chemin_accès!$C$11:$C$22,0),1),Chemin_accès!$B$11)</f>
        <v>\\stjn.local\trimet\Btechnique\Commun\BT Maint SCELLEMENT\205 - Préventifs\Modèles préventif\GammeDMS_7.MSCT.xlsm</v>
      </c>
      <c r="AD543" s="47" t="str">
        <f>Chemin_accès!$B$8&amp;Tableau1[[#This Row],[Localisation / Classement]]&amp;"\"&amp;Tableau1[[#This Row],[Poste technique]]&amp;"_"&amp;Tableau1[[#This Row],[Plan Entretien]]&amp;".xlsm"</f>
        <v>\\stjn.local\trimet\Btechnique\Commun\BT Maint SCELLEMENT\205 - Préventifs\Gammes 7.MSCT PE Tool\\_.xlsm</v>
      </c>
    </row>
    <row r="544" spans="1:30" x14ac:dyDescent="0.3">
      <c r="A544" s="44" t="str">
        <f t="shared" ca="1" si="8"/>
        <v>7.MSCT</v>
      </c>
      <c r="B5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4" s="46"/>
      <c r="D544" s="44"/>
      <c r="E544" s="44"/>
      <c r="F544" s="47"/>
      <c r="G544" s="47"/>
      <c r="H544" s="50"/>
      <c r="I544" s="50"/>
      <c r="J544" s="50"/>
      <c r="K544" s="50"/>
      <c r="L544" s="46"/>
      <c r="M544" s="47"/>
      <c r="N544" s="46"/>
      <c r="O544" s="46"/>
      <c r="P544" s="47"/>
      <c r="Q544" s="46"/>
      <c r="R544" s="46"/>
      <c r="S544" s="48"/>
      <c r="T544" s="61" t="str">
        <f>IF(Tableau1[[#This Row],[DMS_SAP]]="","",HYPERLINK(Tableau1[[#This Row],[Chemin fichier source]],"X"))</f>
        <v/>
      </c>
      <c r="U544" s="61" t="str">
        <f>IF(Tableau1[[#This Row],[Date rév.]]="","",HYPERLINK(Tableau1[[#This Row],[Lien document]],"X"))</f>
        <v/>
      </c>
      <c r="V544" s="47"/>
      <c r="W544" s="49" t="str">
        <f ca="1">Chemin_accès!$B$2&amp;Tableau1[[#This Row],[Poste Responsable]]&amp;"\"&amp;Tableau1[[#This Row],[Localisation / Classement]]&amp;"\"&amp;Tableau1[[#This Row],[Poste technique]]&amp;"_"&amp;Tableau1[[#This Row],[Plan Entretien]]&amp;".pdf"</f>
        <v>\\stjn.local\trimet\Donnees_Projets\Dms Sap\Maintenance\PlanEntretien\7.MSCT\\_.pdf</v>
      </c>
      <c r="X544" s="47"/>
      <c r="Y544" s="47"/>
      <c r="Z544" s="44" t="str">
        <f ca="1">IF(AND(Tableau1[[#This Row],[Charge]]&lt;&gt;0, Tableau1[[#This Row],[Nombre intervenants]]&lt;&gt;0,Tableau1[[#This Row],[Lien document]]&lt;&gt;0,Tableau1[[#This Row],[DMS_SAP]]&lt;&gt;0)=TRUE,"MIS A JOUR","")</f>
        <v/>
      </c>
      <c r="AA544" s="48"/>
      <c r="AB544" s="58" t="str">
        <f ca="1">IF(Tableau1[[#This Row],[Date rév.]]&lt;&gt;"", DAYS360(Tableau1[[#This Row],[Date rév.]],TODAY()),"")</f>
        <v/>
      </c>
      <c r="AC544" s="47" t="str">
        <f>IFERROR(INDEX(Chemin_accès!$B$11:$C$22,MATCH(Tableau1[[#This Row],[Type]],Chemin_accès!$C$11:$C$22,0),1),Chemin_accès!$B$11)</f>
        <v>\\stjn.local\trimet\Btechnique\Commun\BT Maint SCELLEMENT\205 - Préventifs\Modèles préventif\GammeDMS_7.MSCT.xlsm</v>
      </c>
      <c r="AD544" s="47" t="str">
        <f>Chemin_accès!$B$8&amp;Tableau1[[#This Row],[Localisation / Classement]]&amp;"\"&amp;Tableau1[[#This Row],[Poste technique]]&amp;"_"&amp;Tableau1[[#This Row],[Plan Entretien]]&amp;".xlsm"</f>
        <v>\\stjn.local\trimet\Btechnique\Commun\BT Maint SCELLEMENT\205 - Préventifs\Gammes 7.MSCT PE Tool\\_.xlsm</v>
      </c>
    </row>
    <row r="545" spans="1:30" x14ac:dyDescent="0.3">
      <c r="A545" s="44" t="str">
        <f t="shared" ca="1" si="8"/>
        <v>7.MSCT</v>
      </c>
      <c r="B5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5" s="46"/>
      <c r="D545" s="44"/>
      <c r="E545" s="44"/>
      <c r="F545" s="47"/>
      <c r="G545" s="47"/>
      <c r="H545" s="50"/>
      <c r="I545" s="50"/>
      <c r="J545" s="50"/>
      <c r="K545" s="50"/>
      <c r="L545" s="46"/>
      <c r="M545" s="47"/>
      <c r="N545" s="46"/>
      <c r="O545" s="46"/>
      <c r="P545" s="47"/>
      <c r="Q545" s="46"/>
      <c r="R545" s="46"/>
      <c r="S545" s="48"/>
      <c r="T545" s="61" t="str">
        <f>IF(Tableau1[[#This Row],[DMS_SAP]]="","",HYPERLINK(Tableau1[[#This Row],[Chemin fichier source]],"X"))</f>
        <v/>
      </c>
      <c r="U545" s="61" t="str">
        <f>IF(Tableau1[[#This Row],[Date rév.]]="","",HYPERLINK(Tableau1[[#This Row],[Lien document]],"X"))</f>
        <v/>
      </c>
      <c r="V545" s="47"/>
      <c r="W545" s="49" t="str">
        <f ca="1">Chemin_accès!$B$2&amp;Tableau1[[#This Row],[Poste Responsable]]&amp;"\"&amp;Tableau1[[#This Row],[Localisation / Classement]]&amp;"\"&amp;Tableau1[[#This Row],[Poste technique]]&amp;"_"&amp;Tableau1[[#This Row],[Plan Entretien]]&amp;".pdf"</f>
        <v>\\stjn.local\trimet\Donnees_Projets\Dms Sap\Maintenance\PlanEntretien\7.MSCT\\_.pdf</v>
      </c>
      <c r="X545" s="47"/>
      <c r="Y545" s="47"/>
      <c r="Z545" s="44" t="str">
        <f ca="1">IF(AND(Tableau1[[#This Row],[Charge]]&lt;&gt;0, Tableau1[[#This Row],[Nombre intervenants]]&lt;&gt;0,Tableau1[[#This Row],[Lien document]]&lt;&gt;0,Tableau1[[#This Row],[DMS_SAP]]&lt;&gt;0)=TRUE,"MIS A JOUR","")</f>
        <v/>
      </c>
      <c r="AA545" s="48"/>
      <c r="AB545" s="58" t="str">
        <f ca="1">IF(Tableau1[[#This Row],[Date rév.]]&lt;&gt;"", DAYS360(Tableau1[[#This Row],[Date rév.]],TODAY()),"")</f>
        <v/>
      </c>
      <c r="AC545" s="47" t="str">
        <f>IFERROR(INDEX(Chemin_accès!$B$11:$C$22,MATCH(Tableau1[[#This Row],[Type]],Chemin_accès!$C$11:$C$22,0),1),Chemin_accès!$B$11)</f>
        <v>\\stjn.local\trimet\Btechnique\Commun\BT Maint SCELLEMENT\205 - Préventifs\Modèles préventif\GammeDMS_7.MSCT.xlsm</v>
      </c>
      <c r="AD545" s="47" t="str">
        <f>Chemin_accès!$B$8&amp;Tableau1[[#This Row],[Localisation / Classement]]&amp;"\"&amp;Tableau1[[#This Row],[Poste technique]]&amp;"_"&amp;Tableau1[[#This Row],[Plan Entretien]]&amp;".xlsm"</f>
        <v>\\stjn.local\trimet\Btechnique\Commun\BT Maint SCELLEMENT\205 - Préventifs\Gammes 7.MSCT PE Tool\\_.xlsm</v>
      </c>
    </row>
    <row r="546" spans="1:30" x14ac:dyDescent="0.3">
      <c r="A546" s="44" t="str">
        <f t="shared" ca="1" si="8"/>
        <v>7.MSCT</v>
      </c>
      <c r="B5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6" s="46"/>
      <c r="D546" s="44"/>
      <c r="E546" s="44"/>
      <c r="F546" s="47"/>
      <c r="G546" s="47"/>
      <c r="H546" s="50"/>
      <c r="I546" s="50"/>
      <c r="J546" s="50"/>
      <c r="K546" s="50"/>
      <c r="L546" s="46"/>
      <c r="M546" s="47"/>
      <c r="N546" s="46"/>
      <c r="O546" s="46"/>
      <c r="P546" s="47"/>
      <c r="Q546" s="46"/>
      <c r="R546" s="46"/>
      <c r="S546" s="48"/>
      <c r="T546" s="61" t="str">
        <f>IF(Tableau1[[#This Row],[DMS_SAP]]="","",HYPERLINK(Tableau1[[#This Row],[Chemin fichier source]],"X"))</f>
        <v/>
      </c>
      <c r="U546" s="61" t="str">
        <f>IF(Tableau1[[#This Row],[Date rév.]]="","",HYPERLINK(Tableau1[[#This Row],[Lien document]],"X"))</f>
        <v/>
      </c>
      <c r="V546" s="47"/>
      <c r="W546" s="49" t="str">
        <f ca="1">Chemin_accès!$B$2&amp;Tableau1[[#This Row],[Poste Responsable]]&amp;"\"&amp;Tableau1[[#This Row],[Localisation / Classement]]&amp;"\"&amp;Tableau1[[#This Row],[Poste technique]]&amp;"_"&amp;Tableau1[[#This Row],[Plan Entretien]]&amp;".pdf"</f>
        <v>\\stjn.local\trimet\Donnees_Projets\Dms Sap\Maintenance\PlanEntretien\7.MSCT\\_.pdf</v>
      </c>
      <c r="X546" s="47"/>
      <c r="Y546" s="47"/>
      <c r="Z546" s="44" t="str">
        <f ca="1">IF(AND(Tableau1[[#This Row],[Charge]]&lt;&gt;0, Tableau1[[#This Row],[Nombre intervenants]]&lt;&gt;0,Tableau1[[#This Row],[Lien document]]&lt;&gt;0,Tableau1[[#This Row],[DMS_SAP]]&lt;&gt;0)=TRUE,"MIS A JOUR","")</f>
        <v/>
      </c>
      <c r="AA546" s="48"/>
      <c r="AB546" s="58" t="str">
        <f ca="1">IF(Tableau1[[#This Row],[Date rév.]]&lt;&gt;"", DAYS360(Tableau1[[#This Row],[Date rév.]],TODAY()),"")</f>
        <v/>
      </c>
      <c r="AC546" s="47" t="str">
        <f>IFERROR(INDEX(Chemin_accès!$B$11:$C$22,MATCH(Tableau1[[#This Row],[Type]],Chemin_accès!$C$11:$C$22,0),1),Chemin_accès!$B$11)</f>
        <v>\\stjn.local\trimet\Btechnique\Commun\BT Maint SCELLEMENT\205 - Préventifs\Modèles préventif\GammeDMS_7.MSCT.xlsm</v>
      </c>
      <c r="AD546" s="47" t="str">
        <f>Chemin_accès!$B$8&amp;Tableau1[[#This Row],[Localisation / Classement]]&amp;"\"&amp;Tableau1[[#This Row],[Poste technique]]&amp;"_"&amp;Tableau1[[#This Row],[Plan Entretien]]&amp;".xlsm"</f>
        <v>\\stjn.local\trimet\Btechnique\Commun\BT Maint SCELLEMENT\205 - Préventifs\Gammes 7.MSCT PE Tool\\_.xlsm</v>
      </c>
    </row>
    <row r="547" spans="1:30" x14ac:dyDescent="0.3">
      <c r="A547" s="44" t="str">
        <f t="shared" ca="1" si="8"/>
        <v>7.MSCT</v>
      </c>
      <c r="B5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7" s="46"/>
      <c r="D547" s="44"/>
      <c r="E547" s="44"/>
      <c r="F547" s="47"/>
      <c r="G547" s="47"/>
      <c r="H547" s="50"/>
      <c r="I547" s="50"/>
      <c r="J547" s="50"/>
      <c r="K547" s="50"/>
      <c r="L547" s="46"/>
      <c r="M547" s="47"/>
      <c r="N547" s="46"/>
      <c r="O547" s="46"/>
      <c r="P547" s="47"/>
      <c r="Q547" s="46"/>
      <c r="R547" s="46"/>
      <c r="S547" s="48"/>
      <c r="T547" s="61" t="str">
        <f>IF(Tableau1[[#This Row],[DMS_SAP]]="","",HYPERLINK(Tableau1[[#This Row],[Chemin fichier source]],"X"))</f>
        <v/>
      </c>
      <c r="U547" s="61" t="str">
        <f>IF(Tableau1[[#This Row],[Date rév.]]="","",HYPERLINK(Tableau1[[#This Row],[Lien document]],"X"))</f>
        <v/>
      </c>
      <c r="V547" s="47"/>
      <c r="W547" s="49" t="str">
        <f ca="1">Chemin_accès!$B$2&amp;Tableau1[[#This Row],[Poste Responsable]]&amp;"\"&amp;Tableau1[[#This Row],[Localisation / Classement]]&amp;"\"&amp;Tableau1[[#This Row],[Poste technique]]&amp;"_"&amp;Tableau1[[#This Row],[Plan Entretien]]&amp;".pdf"</f>
        <v>\\stjn.local\trimet\Donnees_Projets\Dms Sap\Maintenance\PlanEntretien\7.MSCT\\_.pdf</v>
      </c>
      <c r="X547" s="47"/>
      <c r="Y547" s="47"/>
      <c r="Z547" s="44" t="str">
        <f ca="1">IF(AND(Tableau1[[#This Row],[Charge]]&lt;&gt;0, Tableau1[[#This Row],[Nombre intervenants]]&lt;&gt;0,Tableau1[[#This Row],[Lien document]]&lt;&gt;0,Tableau1[[#This Row],[DMS_SAP]]&lt;&gt;0)=TRUE,"MIS A JOUR","")</f>
        <v/>
      </c>
      <c r="AA547" s="48"/>
      <c r="AB547" s="58" t="str">
        <f ca="1">IF(Tableau1[[#This Row],[Date rév.]]&lt;&gt;"", DAYS360(Tableau1[[#This Row],[Date rév.]],TODAY()),"")</f>
        <v/>
      </c>
      <c r="AC547" s="47" t="str">
        <f>IFERROR(INDEX(Chemin_accès!$B$11:$C$22,MATCH(Tableau1[[#This Row],[Type]],Chemin_accès!$C$11:$C$22,0),1),Chemin_accès!$B$11)</f>
        <v>\\stjn.local\trimet\Btechnique\Commun\BT Maint SCELLEMENT\205 - Préventifs\Modèles préventif\GammeDMS_7.MSCT.xlsm</v>
      </c>
      <c r="AD547" s="47" t="str">
        <f>Chemin_accès!$B$8&amp;Tableau1[[#This Row],[Localisation / Classement]]&amp;"\"&amp;Tableau1[[#This Row],[Poste technique]]&amp;"_"&amp;Tableau1[[#This Row],[Plan Entretien]]&amp;".xlsm"</f>
        <v>\\stjn.local\trimet\Btechnique\Commun\BT Maint SCELLEMENT\205 - Préventifs\Gammes 7.MSCT PE Tool\\_.xlsm</v>
      </c>
    </row>
    <row r="548" spans="1:30" x14ac:dyDescent="0.3">
      <c r="A548" s="44" t="str">
        <f t="shared" ca="1" si="8"/>
        <v>7.MSCT</v>
      </c>
      <c r="B5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8" s="46"/>
      <c r="D548" s="44"/>
      <c r="E548" s="44"/>
      <c r="F548" s="47"/>
      <c r="G548" s="47"/>
      <c r="H548" s="50"/>
      <c r="I548" s="50"/>
      <c r="J548" s="50"/>
      <c r="K548" s="50"/>
      <c r="L548" s="46"/>
      <c r="M548" s="47"/>
      <c r="N548" s="46"/>
      <c r="O548" s="46"/>
      <c r="P548" s="47"/>
      <c r="Q548" s="46"/>
      <c r="R548" s="46"/>
      <c r="S548" s="48"/>
      <c r="T548" s="61" t="str">
        <f>IF(Tableau1[[#This Row],[DMS_SAP]]="","",HYPERLINK(Tableau1[[#This Row],[Chemin fichier source]],"X"))</f>
        <v/>
      </c>
      <c r="U548" s="61" t="str">
        <f>IF(Tableau1[[#This Row],[Date rév.]]="","",HYPERLINK(Tableau1[[#This Row],[Lien document]],"X"))</f>
        <v/>
      </c>
      <c r="V548" s="47"/>
      <c r="W548" s="49" t="str">
        <f ca="1">Chemin_accès!$B$2&amp;Tableau1[[#This Row],[Poste Responsable]]&amp;"\"&amp;Tableau1[[#This Row],[Localisation / Classement]]&amp;"\"&amp;Tableau1[[#This Row],[Poste technique]]&amp;"_"&amp;Tableau1[[#This Row],[Plan Entretien]]&amp;".pdf"</f>
        <v>\\stjn.local\trimet\Donnees_Projets\Dms Sap\Maintenance\PlanEntretien\7.MSCT\\_.pdf</v>
      </c>
      <c r="X548" s="47"/>
      <c r="Y548" s="47"/>
      <c r="Z548" s="44" t="str">
        <f ca="1">IF(AND(Tableau1[[#This Row],[Charge]]&lt;&gt;0, Tableau1[[#This Row],[Nombre intervenants]]&lt;&gt;0,Tableau1[[#This Row],[Lien document]]&lt;&gt;0,Tableau1[[#This Row],[DMS_SAP]]&lt;&gt;0)=TRUE,"MIS A JOUR","")</f>
        <v/>
      </c>
      <c r="AA548" s="48"/>
      <c r="AB548" s="58" t="str">
        <f ca="1">IF(Tableau1[[#This Row],[Date rév.]]&lt;&gt;"", DAYS360(Tableau1[[#This Row],[Date rév.]],TODAY()),"")</f>
        <v/>
      </c>
      <c r="AC548" s="47" t="str">
        <f>IFERROR(INDEX(Chemin_accès!$B$11:$C$22,MATCH(Tableau1[[#This Row],[Type]],Chemin_accès!$C$11:$C$22,0),1),Chemin_accès!$B$11)</f>
        <v>\\stjn.local\trimet\Btechnique\Commun\BT Maint SCELLEMENT\205 - Préventifs\Modèles préventif\GammeDMS_7.MSCT.xlsm</v>
      </c>
      <c r="AD548" s="47" t="str">
        <f>Chemin_accès!$B$8&amp;Tableau1[[#This Row],[Localisation / Classement]]&amp;"\"&amp;Tableau1[[#This Row],[Poste technique]]&amp;"_"&amp;Tableau1[[#This Row],[Plan Entretien]]&amp;".xlsm"</f>
        <v>\\stjn.local\trimet\Btechnique\Commun\BT Maint SCELLEMENT\205 - Préventifs\Gammes 7.MSCT PE Tool\\_.xlsm</v>
      </c>
    </row>
    <row r="549" spans="1:30" x14ac:dyDescent="0.3">
      <c r="A549" s="44" t="str">
        <f t="shared" ca="1" si="8"/>
        <v>7.MSCT</v>
      </c>
      <c r="B5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9" s="46"/>
      <c r="D549" s="44"/>
      <c r="E549" s="44"/>
      <c r="F549" s="47"/>
      <c r="G549" s="47"/>
      <c r="H549" s="50"/>
      <c r="I549" s="50"/>
      <c r="J549" s="50"/>
      <c r="K549" s="50"/>
      <c r="L549" s="46"/>
      <c r="M549" s="47"/>
      <c r="N549" s="46"/>
      <c r="O549" s="46"/>
      <c r="P549" s="47"/>
      <c r="Q549" s="46"/>
      <c r="R549" s="46"/>
      <c r="S549" s="48"/>
      <c r="T549" s="61" t="str">
        <f>IF(Tableau1[[#This Row],[DMS_SAP]]="","",HYPERLINK(Tableau1[[#This Row],[Chemin fichier source]],"X"))</f>
        <v/>
      </c>
      <c r="U549" s="61" t="str">
        <f>IF(Tableau1[[#This Row],[Date rév.]]="","",HYPERLINK(Tableau1[[#This Row],[Lien document]],"X"))</f>
        <v/>
      </c>
      <c r="V549" s="47"/>
      <c r="W549" s="49" t="str">
        <f ca="1">Chemin_accès!$B$2&amp;Tableau1[[#This Row],[Poste Responsable]]&amp;"\"&amp;Tableau1[[#This Row],[Localisation / Classement]]&amp;"\"&amp;Tableau1[[#This Row],[Poste technique]]&amp;"_"&amp;Tableau1[[#This Row],[Plan Entretien]]&amp;".pdf"</f>
        <v>\\stjn.local\trimet\Donnees_Projets\Dms Sap\Maintenance\PlanEntretien\7.MSCT\\_.pdf</v>
      </c>
      <c r="X549" s="47"/>
      <c r="Y549" s="47"/>
      <c r="Z549" s="44" t="str">
        <f ca="1">IF(AND(Tableau1[[#This Row],[Charge]]&lt;&gt;0, Tableau1[[#This Row],[Nombre intervenants]]&lt;&gt;0,Tableau1[[#This Row],[Lien document]]&lt;&gt;0,Tableau1[[#This Row],[DMS_SAP]]&lt;&gt;0)=TRUE,"MIS A JOUR","")</f>
        <v/>
      </c>
      <c r="AA549" s="48"/>
      <c r="AB549" s="58" t="str">
        <f ca="1">IF(Tableau1[[#This Row],[Date rév.]]&lt;&gt;"", DAYS360(Tableau1[[#This Row],[Date rév.]],TODAY()),"")</f>
        <v/>
      </c>
      <c r="AC549" s="47" t="str">
        <f>IFERROR(INDEX(Chemin_accès!$B$11:$C$22,MATCH(Tableau1[[#This Row],[Type]],Chemin_accès!$C$11:$C$22,0),1),Chemin_accès!$B$11)</f>
        <v>\\stjn.local\trimet\Btechnique\Commun\BT Maint SCELLEMENT\205 - Préventifs\Modèles préventif\GammeDMS_7.MSCT.xlsm</v>
      </c>
      <c r="AD549" s="47" t="str">
        <f>Chemin_accès!$B$8&amp;Tableau1[[#This Row],[Localisation / Classement]]&amp;"\"&amp;Tableau1[[#This Row],[Poste technique]]&amp;"_"&amp;Tableau1[[#This Row],[Plan Entretien]]&amp;".xlsm"</f>
        <v>\\stjn.local\trimet\Btechnique\Commun\BT Maint SCELLEMENT\205 - Préventifs\Gammes 7.MSCT PE Tool\\_.xlsm</v>
      </c>
    </row>
    <row r="550" spans="1:30" x14ac:dyDescent="0.3">
      <c r="A550" s="44" t="str">
        <f t="shared" ca="1" si="8"/>
        <v>7.MSCT</v>
      </c>
      <c r="B5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0" s="46"/>
      <c r="D550" s="44"/>
      <c r="E550" s="44"/>
      <c r="F550" s="47"/>
      <c r="G550" s="47"/>
      <c r="H550" s="50"/>
      <c r="I550" s="50"/>
      <c r="J550" s="50"/>
      <c r="K550" s="50"/>
      <c r="L550" s="46"/>
      <c r="M550" s="47"/>
      <c r="N550" s="46"/>
      <c r="O550" s="46"/>
      <c r="P550" s="47"/>
      <c r="Q550" s="46"/>
      <c r="R550" s="46"/>
      <c r="S550" s="48"/>
      <c r="T550" s="61" t="str">
        <f>IF(Tableau1[[#This Row],[DMS_SAP]]="","",HYPERLINK(Tableau1[[#This Row],[Chemin fichier source]],"X"))</f>
        <v/>
      </c>
      <c r="U550" s="61" t="str">
        <f>IF(Tableau1[[#This Row],[Date rév.]]="","",HYPERLINK(Tableau1[[#This Row],[Lien document]],"X"))</f>
        <v/>
      </c>
      <c r="V550" s="47"/>
      <c r="W550" s="49" t="str">
        <f ca="1">Chemin_accès!$B$2&amp;Tableau1[[#This Row],[Poste Responsable]]&amp;"\"&amp;Tableau1[[#This Row],[Localisation / Classement]]&amp;"\"&amp;Tableau1[[#This Row],[Poste technique]]&amp;"_"&amp;Tableau1[[#This Row],[Plan Entretien]]&amp;".pdf"</f>
        <v>\\stjn.local\trimet\Donnees_Projets\Dms Sap\Maintenance\PlanEntretien\7.MSCT\\_.pdf</v>
      </c>
      <c r="X550" s="47"/>
      <c r="Y550" s="47"/>
      <c r="Z550" s="44" t="str">
        <f ca="1">IF(AND(Tableau1[[#This Row],[Charge]]&lt;&gt;0, Tableau1[[#This Row],[Nombre intervenants]]&lt;&gt;0,Tableau1[[#This Row],[Lien document]]&lt;&gt;0,Tableau1[[#This Row],[DMS_SAP]]&lt;&gt;0)=TRUE,"MIS A JOUR","")</f>
        <v/>
      </c>
      <c r="AA550" s="48"/>
      <c r="AB550" s="58" t="str">
        <f ca="1">IF(Tableau1[[#This Row],[Date rév.]]&lt;&gt;"", DAYS360(Tableau1[[#This Row],[Date rév.]],TODAY()),"")</f>
        <v/>
      </c>
      <c r="AC550" s="47" t="str">
        <f>IFERROR(INDEX(Chemin_accès!$B$11:$C$22,MATCH(Tableau1[[#This Row],[Type]],Chemin_accès!$C$11:$C$22,0),1),Chemin_accès!$B$11)</f>
        <v>\\stjn.local\trimet\Btechnique\Commun\BT Maint SCELLEMENT\205 - Préventifs\Modèles préventif\GammeDMS_7.MSCT.xlsm</v>
      </c>
      <c r="AD550" s="47" t="str">
        <f>Chemin_accès!$B$8&amp;Tableau1[[#This Row],[Localisation / Classement]]&amp;"\"&amp;Tableau1[[#This Row],[Poste technique]]&amp;"_"&amp;Tableau1[[#This Row],[Plan Entretien]]&amp;".xlsm"</f>
        <v>\\stjn.local\trimet\Btechnique\Commun\BT Maint SCELLEMENT\205 - Préventifs\Gammes 7.MSCT PE Tool\\_.xlsm</v>
      </c>
    </row>
    <row r="551" spans="1:30" x14ac:dyDescent="0.3">
      <c r="A551" s="44" t="str">
        <f t="shared" ca="1" si="8"/>
        <v>7.MSCT</v>
      </c>
      <c r="B5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1" s="46"/>
      <c r="D551" s="44"/>
      <c r="E551" s="44"/>
      <c r="F551" s="47"/>
      <c r="G551" s="47"/>
      <c r="H551" s="50"/>
      <c r="I551" s="50"/>
      <c r="J551" s="50"/>
      <c r="K551" s="50"/>
      <c r="L551" s="46"/>
      <c r="M551" s="47"/>
      <c r="N551" s="46"/>
      <c r="O551" s="46"/>
      <c r="P551" s="47"/>
      <c r="Q551" s="46"/>
      <c r="R551" s="46"/>
      <c r="S551" s="48"/>
      <c r="T551" s="61" t="str">
        <f>IF(Tableau1[[#This Row],[DMS_SAP]]="","",HYPERLINK(Tableau1[[#This Row],[Chemin fichier source]],"X"))</f>
        <v/>
      </c>
      <c r="U551" s="61" t="str">
        <f>IF(Tableau1[[#This Row],[Date rév.]]="","",HYPERLINK(Tableau1[[#This Row],[Lien document]],"X"))</f>
        <v/>
      </c>
      <c r="V551" s="47"/>
      <c r="W551" s="49" t="str">
        <f ca="1">Chemin_accès!$B$2&amp;Tableau1[[#This Row],[Poste Responsable]]&amp;"\"&amp;Tableau1[[#This Row],[Localisation / Classement]]&amp;"\"&amp;Tableau1[[#This Row],[Poste technique]]&amp;"_"&amp;Tableau1[[#This Row],[Plan Entretien]]&amp;".pdf"</f>
        <v>\\stjn.local\trimet\Donnees_Projets\Dms Sap\Maintenance\PlanEntretien\7.MSCT\\_.pdf</v>
      </c>
      <c r="X551" s="47"/>
      <c r="Y551" s="47"/>
      <c r="Z551" s="44" t="str">
        <f ca="1">IF(AND(Tableau1[[#This Row],[Charge]]&lt;&gt;0, Tableau1[[#This Row],[Nombre intervenants]]&lt;&gt;0,Tableau1[[#This Row],[Lien document]]&lt;&gt;0,Tableau1[[#This Row],[DMS_SAP]]&lt;&gt;0)=TRUE,"MIS A JOUR","")</f>
        <v/>
      </c>
      <c r="AA551" s="48"/>
      <c r="AB551" s="58" t="str">
        <f ca="1">IF(Tableau1[[#This Row],[Date rév.]]&lt;&gt;"", DAYS360(Tableau1[[#This Row],[Date rév.]],TODAY()),"")</f>
        <v/>
      </c>
      <c r="AC551" s="47" t="str">
        <f>IFERROR(INDEX(Chemin_accès!$B$11:$C$22,MATCH(Tableau1[[#This Row],[Type]],Chemin_accès!$C$11:$C$22,0),1),Chemin_accès!$B$11)</f>
        <v>\\stjn.local\trimet\Btechnique\Commun\BT Maint SCELLEMENT\205 - Préventifs\Modèles préventif\GammeDMS_7.MSCT.xlsm</v>
      </c>
      <c r="AD551" s="47" t="str">
        <f>Chemin_accès!$B$8&amp;Tableau1[[#This Row],[Localisation / Classement]]&amp;"\"&amp;Tableau1[[#This Row],[Poste technique]]&amp;"_"&amp;Tableau1[[#This Row],[Plan Entretien]]&amp;".xlsm"</f>
        <v>\\stjn.local\trimet\Btechnique\Commun\BT Maint SCELLEMENT\205 - Préventifs\Gammes 7.MSCT PE Tool\\_.xlsm</v>
      </c>
    </row>
    <row r="552" spans="1:30" x14ac:dyDescent="0.3">
      <c r="A552" s="44" t="str">
        <f t="shared" ca="1" si="8"/>
        <v>7.MSCT</v>
      </c>
      <c r="B5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2" s="46"/>
      <c r="D552" s="44"/>
      <c r="E552" s="44"/>
      <c r="F552" s="47"/>
      <c r="G552" s="47"/>
      <c r="H552" s="50"/>
      <c r="I552" s="50"/>
      <c r="J552" s="50"/>
      <c r="K552" s="50"/>
      <c r="L552" s="46"/>
      <c r="M552" s="47"/>
      <c r="N552" s="46"/>
      <c r="O552" s="46"/>
      <c r="P552" s="47"/>
      <c r="Q552" s="46"/>
      <c r="R552" s="46"/>
      <c r="S552" s="48"/>
      <c r="T552" s="61" t="str">
        <f>IF(Tableau1[[#This Row],[DMS_SAP]]="","",HYPERLINK(Tableau1[[#This Row],[Chemin fichier source]],"X"))</f>
        <v/>
      </c>
      <c r="U552" s="61" t="str">
        <f>IF(Tableau1[[#This Row],[Date rév.]]="","",HYPERLINK(Tableau1[[#This Row],[Lien document]],"X"))</f>
        <v/>
      </c>
      <c r="V552" s="47"/>
      <c r="W552" s="49" t="str">
        <f ca="1">Chemin_accès!$B$2&amp;Tableau1[[#This Row],[Poste Responsable]]&amp;"\"&amp;Tableau1[[#This Row],[Localisation / Classement]]&amp;"\"&amp;Tableau1[[#This Row],[Poste technique]]&amp;"_"&amp;Tableau1[[#This Row],[Plan Entretien]]&amp;".pdf"</f>
        <v>\\stjn.local\trimet\Donnees_Projets\Dms Sap\Maintenance\PlanEntretien\7.MSCT\\_.pdf</v>
      </c>
      <c r="X552" s="47"/>
      <c r="Y552" s="47"/>
      <c r="Z552" s="44" t="str">
        <f ca="1">IF(AND(Tableau1[[#This Row],[Charge]]&lt;&gt;0, Tableau1[[#This Row],[Nombre intervenants]]&lt;&gt;0,Tableau1[[#This Row],[Lien document]]&lt;&gt;0,Tableau1[[#This Row],[DMS_SAP]]&lt;&gt;0)=TRUE,"MIS A JOUR","")</f>
        <v/>
      </c>
      <c r="AA552" s="48"/>
      <c r="AB552" s="58" t="str">
        <f ca="1">IF(Tableau1[[#This Row],[Date rév.]]&lt;&gt;"", DAYS360(Tableau1[[#This Row],[Date rév.]],TODAY()),"")</f>
        <v/>
      </c>
      <c r="AC552" s="47" t="str">
        <f>IFERROR(INDEX(Chemin_accès!$B$11:$C$22,MATCH(Tableau1[[#This Row],[Type]],Chemin_accès!$C$11:$C$22,0),1),Chemin_accès!$B$11)</f>
        <v>\\stjn.local\trimet\Btechnique\Commun\BT Maint SCELLEMENT\205 - Préventifs\Modèles préventif\GammeDMS_7.MSCT.xlsm</v>
      </c>
      <c r="AD552" s="47" t="str">
        <f>Chemin_accès!$B$8&amp;Tableau1[[#This Row],[Localisation / Classement]]&amp;"\"&amp;Tableau1[[#This Row],[Poste technique]]&amp;"_"&amp;Tableau1[[#This Row],[Plan Entretien]]&amp;".xlsm"</f>
        <v>\\stjn.local\trimet\Btechnique\Commun\BT Maint SCELLEMENT\205 - Préventifs\Gammes 7.MSCT PE Tool\\_.xlsm</v>
      </c>
    </row>
    <row r="553" spans="1:30" x14ac:dyDescent="0.3">
      <c r="A553" s="44" t="str">
        <f t="shared" ca="1" si="8"/>
        <v>7.MSCT</v>
      </c>
      <c r="B5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3" s="46"/>
      <c r="D553" s="44"/>
      <c r="E553" s="44"/>
      <c r="F553" s="47"/>
      <c r="G553" s="47"/>
      <c r="H553" s="50"/>
      <c r="I553" s="50"/>
      <c r="J553" s="50"/>
      <c r="K553" s="50"/>
      <c r="L553" s="46"/>
      <c r="M553" s="47"/>
      <c r="N553" s="46"/>
      <c r="O553" s="46"/>
      <c r="P553" s="47"/>
      <c r="Q553" s="46"/>
      <c r="R553" s="46"/>
      <c r="S553" s="48"/>
      <c r="T553" s="61" t="str">
        <f>IF(Tableau1[[#This Row],[DMS_SAP]]="","",HYPERLINK(Tableau1[[#This Row],[Chemin fichier source]],"X"))</f>
        <v/>
      </c>
      <c r="U553" s="61" t="str">
        <f>IF(Tableau1[[#This Row],[Date rév.]]="","",HYPERLINK(Tableau1[[#This Row],[Lien document]],"X"))</f>
        <v/>
      </c>
      <c r="V553" s="47"/>
      <c r="W553" s="49" t="str">
        <f ca="1">Chemin_accès!$B$2&amp;Tableau1[[#This Row],[Poste Responsable]]&amp;"\"&amp;Tableau1[[#This Row],[Localisation / Classement]]&amp;"\"&amp;Tableau1[[#This Row],[Poste technique]]&amp;"_"&amp;Tableau1[[#This Row],[Plan Entretien]]&amp;".pdf"</f>
        <v>\\stjn.local\trimet\Donnees_Projets\Dms Sap\Maintenance\PlanEntretien\7.MSCT\\_.pdf</v>
      </c>
      <c r="X553" s="47"/>
      <c r="Y553" s="47"/>
      <c r="Z553" s="44" t="str">
        <f ca="1">IF(AND(Tableau1[[#This Row],[Charge]]&lt;&gt;0, Tableau1[[#This Row],[Nombre intervenants]]&lt;&gt;0,Tableau1[[#This Row],[Lien document]]&lt;&gt;0,Tableau1[[#This Row],[DMS_SAP]]&lt;&gt;0)=TRUE,"MIS A JOUR","")</f>
        <v/>
      </c>
      <c r="AA553" s="48"/>
      <c r="AB553" s="58" t="str">
        <f ca="1">IF(Tableau1[[#This Row],[Date rév.]]&lt;&gt;"", DAYS360(Tableau1[[#This Row],[Date rév.]],TODAY()),"")</f>
        <v/>
      </c>
      <c r="AC553" s="47" t="str">
        <f>IFERROR(INDEX(Chemin_accès!$B$11:$C$22,MATCH(Tableau1[[#This Row],[Type]],Chemin_accès!$C$11:$C$22,0),1),Chemin_accès!$B$11)</f>
        <v>\\stjn.local\trimet\Btechnique\Commun\BT Maint SCELLEMENT\205 - Préventifs\Modèles préventif\GammeDMS_7.MSCT.xlsm</v>
      </c>
      <c r="AD553" s="47" t="str">
        <f>Chemin_accès!$B$8&amp;Tableau1[[#This Row],[Localisation / Classement]]&amp;"\"&amp;Tableau1[[#This Row],[Poste technique]]&amp;"_"&amp;Tableau1[[#This Row],[Plan Entretien]]&amp;".xlsm"</f>
        <v>\\stjn.local\trimet\Btechnique\Commun\BT Maint SCELLEMENT\205 - Préventifs\Gammes 7.MSCT PE Tool\\_.xlsm</v>
      </c>
    </row>
    <row r="554" spans="1:30" x14ac:dyDescent="0.3">
      <c r="A554" s="44" t="str">
        <f t="shared" ca="1" si="8"/>
        <v>7.MSCT</v>
      </c>
      <c r="B5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4" s="46"/>
      <c r="D554" s="44"/>
      <c r="E554" s="44"/>
      <c r="F554" s="47"/>
      <c r="G554" s="47"/>
      <c r="H554" s="50"/>
      <c r="I554" s="50"/>
      <c r="J554" s="50"/>
      <c r="K554" s="50"/>
      <c r="L554" s="46"/>
      <c r="M554" s="47"/>
      <c r="N554" s="46"/>
      <c r="O554" s="46"/>
      <c r="P554" s="47"/>
      <c r="Q554" s="46"/>
      <c r="R554" s="46"/>
      <c r="S554" s="48"/>
      <c r="T554" s="61" t="str">
        <f>IF(Tableau1[[#This Row],[DMS_SAP]]="","",HYPERLINK(Tableau1[[#This Row],[Chemin fichier source]],"X"))</f>
        <v/>
      </c>
      <c r="U554" s="61" t="str">
        <f>IF(Tableau1[[#This Row],[Date rév.]]="","",HYPERLINK(Tableau1[[#This Row],[Lien document]],"X"))</f>
        <v/>
      </c>
      <c r="V554" s="47"/>
      <c r="W554" s="49" t="str">
        <f ca="1">Chemin_accès!$B$2&amp;Tableau1[[#This Row],[Poste Responsable]]&amp;"\"&amp;Tableau1[[#This Row],[Localisation / Classement]]&amp;"\"&amp;Tableau1[[#This Row],[Poste technique]]&amp;"_"&amp;Tableau1[[#This Row],[Plan Entretien]]&amp;".pdf"</f>
        <v>\\stjn.local\trimet\Donnees_Projets\Dms Sap\Maintenance\PlanEntretien\7.MSCT\\_.pdf</v>
      </c>
      <c r="X554" s="47"/>
      <c r="Y554" s="47"/>
      <c r="Z554" s="44" t="str">
        <f ca="1">IF(AND(Tableau1[[#This Row],[Charge]]&lt;&gt;0, Tableau1[[#This Row],[Nombre intervenants]]&lt;&gt;0,Tableau1[[#This Row],[Lien document]]&lt;&gt;0,Tableau1[[#This Row],[DMS_SAP]]&lt;&gt;0)=TRUE,"MIS A JOUR","")</f>
        <v/>
      </c>
      <c r="AA554" s="48"/>
      <c r="AB554" s="58" t="str">
        <f ca="1">IF(Tableau1[[#This Row],[Date rév.]]&lt;&gt;"", DAYS360(Tableau1[[#This Row],[Date rév.]],TODAY()),"")</f>
        <v/>
      </c>
      <c r="AC554" s="47" t="str">
        <f>IFERROR(INDEX(Chemin_accès!$B$11:$C$22,MATCH(Tableau1[[#This Row],[Type]],Chemin_accès!$C$11:$C$22,0),1),Chemin_accès!$B$11)</f>
        <v>\\stjn.local\trimet\Btechnique\Commun\BT Maint SCELLEMENT\205 - Préventifs\Modèles préventif\GammeDMS_7.MSCT.xlsm</v>
      </c>
      <c r="AD554" s="47" t="str">
        <f>Chemin_accès!$B$8&amp;Tableau1[[#This Row],[Localisation / Classement]]&amp;"\"&amp;Tableau1[[#This Row],[Poste technique]]&amp;"_"&amp;Tableau1[[#This Row],[Plan Entretien]]&amp;".xlsm"</f>
        <v>\\stjn.local\trimet\Btechnique\Commun\BT Maint SCELLEMENT\205 - Préventifs\Gammes 7.MSCT PE Tool\\_.xlsm</v>
      </c>
    </row>
    <row r="555" spans="1:30" x14ac:dyDescent="0.3">
      <c r="A555" s="44" t="str">
        <f t="shared" ca="1" si="8"/>
        <v>7.MSCT</v>
      </c>
      <c r="B5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5" s="46"/>
      <c r="D555" s="44"/>
      <c r="E555" s="44"/>
      <c r="F555" s="47"/>
      <c r="G555" s="47"/>
      <c r="H555" s="50"/>
      <c r="I555" s="50"/>
      <c r="J555" s="50"/>
      <c r="K555" s="50"/>
      <c r="L555" s="46"/>
      <c r="M555" s="47"/>
      <c r="N555" s="46"/>
      <c r="O555" s="46"/>
      <c r="P555" s="47"/>
      <c r="Q555" s="46"/>
      <c r="R555" s="46"/>
      <c r="S555" s="48"/>
      <c r="T555" s="61" t="str">
        <f>IF(Tableau1[[#This Row],[DMS_SAP]]="","",HYPERLINK(Tableau1[[#This Row],[Chemin fichier source]],"X"))</f>
        <v/>
      </c>
      <c r="U555" s="61" t="str">
        <f>IF(Tableau1[[#This Row],[Date rév.]]="","",HYPERLINK(Tableau1[[#This Row],[Lien document]],"X"))</f>
        <v/>
      </c>
      <c r="V555" s="47"/>
      <c r="W555" s="49" t="str">
        <f ca="1">Chemin_accès!$B$2&amp;Tableau1[[#This Row],[Poste Responsable]]&amp;"\"&amp;Tableau1[[#This Row],[Localisation / Classement]]&amp;"\"&amp;Tableau1[[#This Row],[Poste technique]]&amp;"_"&amp;Tableau1[[#This Row],[Plan Entretien]]&amp;".pdf"</f>
        <v>\\stjn.local\trimet\Donnees_Projets\Dms Sap\Maintenance\PlanEntretien\7.MSCT\\_.pdf</v>
      </c>
      <c r="X555" s="47"/>
      <c r="Y555" s="47"/>
      <c r="Z555" s="44" t="str">
        <f ca="1">IF(AND(Tableau1[[#This Row],[Charge]]&lt;&gt;0, Tableau1[[#This Row],[Nombre intervenants]]&lt;&gt;0,Tableau1[[#This Row],[Lien document]]&lt;&gt;0,Tableau1[[#This Row],[DMS_SAP]]&lt;&gt;0)=TRUE,"MIS A JOUR","")</f>
        <v/>
      </c>
      <c r="AA555" s="48"/>
      <c r="AB555" s="58" t="str">
        <f ca="1">IF(Tableau1[[#This Row],[Date rév.]]&lt;&gt;"", DAYS360(Tableau1[[#This Row],[Date rév.]],TODAY()),"")</f>
        <v/>
      </c>
      <c r="AC555" s="47" t="str">
        <f>IFERROR(INDEX(Chemin_accès!$B$11:$C$22,MATCH(Tableau1[[#This Row],[Type]],Chemin_accès!$C$11:$C$22,0),1),Chemin_accès!$B$11)</f>
        <v>\\stjn.local\trimet\Btechnique\Commun\BT Maint SCELLEMENT\205 - Préventifs\Modèles préventif\GammeDMS_7.MSCT.xlsm</v>
      </c>
      <c r="AD555" s="47" t="str">
        <f>Chemin_accès!$B$8&amp;Tableau1[[#This Row],[Localisation / Classement]]&amp;"\"&amp;Tableau1[[#This Row],[Poste technique]]&amp;"_"&amp;Tableau1[[#This Row],[Plan Entretien]]&amp;".xlsm"</f>
        <v>\\stjn.local\trimet\Btechnique\Commun\BT Maint SCELLEMENT\205 - Préventifs\Gammes 7.MSCT PE Tool\\_.xlsm</v>
      </c>
    </row>
    <row r="556" spans="1:30" x14ac:dyDescent="0.3">
      <c r="A556" s="44" t="str">
        <f t="shared" ca="1" si="8"/>
        <v>7.MSCT</v>
      </c>
      <c r="B5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6" s="46"/>
      <c r="D556" s="44"/>
      <c r="E556" s="44"/>
      <c r="F556" s="47"/>
      <c r="G556" s="47"/>
      <c r="H556" s="50"/>
      <c r="I556" s="50"/>
      <c r="J556" s="50"/>
      <c r="K556" s="50"/>
      <c r="L556" s="46"/>
      <c r="M556" s="47"/>
      <c r="N556" s="46"/>
      <c r="O556" s="46"/>
      <c r="P556" s="47"/>
      <c r="Q556" s="46"/>
      <c r="R556" s="46"/>
      <c r="S556" s="48"/>
      <c r="T556" s="61" t="str">
        <f>IF(Tableau1[[#This Row],[DMS_SAP]]="","",HYPERLINK(Tableau1[[#This Row],[Chemin fichier source]],"X"))</f>
        <v/>
      </c>
      <c r="U556" s="61" t="str">
        <f>IF(Tableau1[[#This Row],[Date rév.]]="","",HYPERLINK(Tableau1[[#This Row],[Lien document]],"X"))</f>
        <v/>
      </c>
      <c r="V556" s="47"/>
      <c r="W556" s="49" t="str">
        <f ca="1">Chemin_accès!$B$2&amp;Tableau1[[#This Row],[Poste Responsable]]&amp;"\"&amp;Tableau1[[#This Row],[Localisation / Classement]]&amp;"\"&amp;Tableau1[[#This Row],[Poste technique]]&amp;"_"&amp;Tableau1[[#This Row],[Plan Entretien]]&amp;".pdf"</f>
        <v>\\stjn.local\trimet\Donnees_Projets\Dms Sap\Maintenance\PlanEntretien\7.MSCT\\_.pdf</v>
      </c>
      <c r="X556" s="47"/>
      <c r="Y556" s="47"/>
      <c r="Z556" s="44" t="str">
        <f ca="1">IF(AND(Tableau1[[#This Row],[Charge]]&lt;&gt;0, Tableau1[[#This Row],[Nombre intervenants]]&lt;&gt;0,Tableau1[[#This Row],[Lien document]]&lt;&gt;0,Tableau1[[#This Row],[DMS_SAP]]&lt;&gt;0)=TRUE,"MIS A JOUR","")</f>
        <v/>
      </c>
      <c r="AA556" s="48"/>
      <c r="AB556" s="58" t="str">
        <f ca="1">IF(Tableau1[[#This Row],[Date rév.]]&lt;&gt;"", DAYS360(Tableau1[[#This Row],[Date rév.]],TODAY()),"")</f>
        <v/>
      </c>
      <c r="AC556" s="47" t="str">
        <f>IFERROR(INDEX(Chemin_accès!$B$11:$C$22,MATCH(Tableau1[[#This Row],[Type]],Chemin_accès!$C$11:$C$22,0),1),Chemin_accès!$B$11)</f>
        <v>\\stjn.local\trimet\Btechnique\Commun\BT Maint SCELLEMENT\205 - Préventifs\Modèles préventif\GammeDMS_7.MSCT.xlsm</v>
      </c>
      <c r="AD556" s="47" t="str">
        <f>Chemin_accès!$B$8&amp;Tableau1[[#This Row],[Localisation / Classement]]&amp;"\"&amp;Tableau1[[#This Row],[Poste technique]]&amp;"_"&amp;Tableau1[[#This Row],[Plan Entretien]]&amp;".xlsm"</f>
        <v>\\stjn.local\trimet\Btechnique\Commun\BT Maint SCELLEMENT\205 - Préventifs\Gammes 7.MSCT PE Tool\\_.xlsm</v>
      </c>
    </row>
    <row r="557" spans="1:30" x14ac:dyDescent="0.3">
      <c r="A557" s="44" t="str">
        <f t="shared" ca="1" si="8"/>
        <v>7.MSCT</v>
      </c>
      <c r="B5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7" s="46"/>
      <c r="D557" s="44"/>
      <c r="E557" s="44"/>
      <c r="F557" s="47"/>
      <c r="G557" s="47"/>
      <c r="H557" s="50"/>
      <c r="I557" s="50"/>
      <c r="J557" s="50"/>
      <c r="K557" s="50"/>
      <c r="L557" s="46"/>
      <c r="M557" s="47"/>
      <c r="N557" s="46"/>
      <c r="O557" s="46"/>
      <c r="P557" s="47"/>
      <c r="Q557" s="46"/>
      <c r="R557" s="46"/>
      <c r="S557" s="48"/>
      <c r="T557" s="61" t="str">
        <f>IF(Tableau1[[#This Row],[DMS_SAP]]="","",HYPERLINK(Tableau1[[#This Row],[Chemin fichier source]],"X"))</f>
        <v/>
      </c>
      <c r="U557" s="61" t="str">
        <f>IF(Tableau1[[#This Row],[Date rév.]]="","",HYPERLINK(Tableau1[[#This Row],[Lien document]],"X"))</f>
        <v/>
      </c>
      <c r="V557" s="47"/>
      <c r="W557" s="49" t="str">
        <f ca="1">Chemin_accès!$B$2&amp;Tableau1[[#This Row],[Poste Responsable]]&amp;"\"&amp;Tableau1[[#This Row],[Localisation / Classement]]&amp;"\"&amp;Tableau1[[#This Row],[Poste technique]]&amp;"_"&amp;Tableau1[[#This Row],[Plan Entretien]]&amp;".pdf"</f>
        <v>\\stjn.local\trimet\Donnees_Projets\Dms Sap\Maintenance\PlanEntretien\7.MSCT\\_.pdf</v>
      </c>
      <c r="X557" s="47"/>
      <c r="Y557" s="47"/>
      <c r="Z557" s="44" t="str">
        <f ca="1">IF(AND(Tableau1[[#This Row],[Charge]]&lt;&gt;0, Tableau1[[#This Row],[Nombre intervenants]]&lt;&gt;0,Tableau1[[#This Row],[Lien document]]&lt;&gt;0,Tableau1[[#This Row],[DMS_SAP]]&lt;&gt;0)=TRUE,"MIS A JOUR","")</f>
        <v/>
      </c>
      <c r="AA557" s="48"/>
      <c r="AB557" s="58" t="str">
        <f ca="1">IF(Tableau1[[#This Row],[Date rév.]]&lt;&gt;"", DAYS360(Tableau1[[#This Row],[Date rév.]],TODAY()),"")</f>
        <v/>
      </c>
      <c r="AC557" s="47" t="str">
        <f>IFERROR(INDEX(Chemin_accès!$B$11:$C$22,MATCH(Tableau1[[#This Row],[Type]],Chemin_accès!$C$11:$C$22,0),1),Chemin_accès!$B$11)</f>
        <v>\\stjn.local\trimet\Btechnique\Commun\BT Maint SCELLEMENT\205 - Préventifs\Modèles préventif\GammeDMS_7.MSCT.xlsm</v>
      </c>
      <c r="AD557" s="47" t="str">
        <f>Chemin_accès!$B$8&amp;Tableau1[[#This Row],[Localisation / Classement]]&amp;"\"&amp;Tableau1[[#This Row],[Poste technique]]&amp;"_"&amp;Tableau1[[#This Row],[Plan Entretien]]&amp;".xlsm"</f>
        <v>\\stjn.local\trimet\Btechnique\Commun\BT Maint SCELLEMENT\205 - Préventifs\Gammes 7.MSCT PE Tool\\_.xlsm</v>
      </c>
    </row>
    <row r="558" spans="1:30" x14ac:dyDescent="0.3">
      <c r="A558" s="44" t="str">
        <f t="shared" ca="1" si="8"/>
        <v>7.MSCT</v>
      </c>
      <c r="B5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8" s="46"/>
      <c r="D558" s="44"/>
      <c r="E558" s="44"/>
      <c r="F558" s="47"/>
      <c r="G558" s="47"/>
      <c r="H558" s="50"/>
      <c r="I558" s="50"/>
      <c r="J558" s="50"/>
      <c r="K558" s="50"/>
      <c r="L558" s="46"/>
      <c r="M558" s="47"/>
      <c r="N558" s="46"/>
      <c r="O558" s="46"/>
      <c r="P558" s="47"/>
      <c r="Q558" s="46"/>
      <c r="R558" s="46"/>
      <c r="S558" s="48"/>
      <c r="T558" s="61" t="str">
        <f>IF(Tableau1[[#This Row],[DMS_SAP]]="","",HYPERLINK(Tableau1[[#This Row],[Chemin fichier source]],"X"))</f>
        <v/>
      </c>
      <c r="U558" s="61" t="str">
        <f>IF(Tableau1[[#This Row],[Date rév.]]="","",HYPERLINK(Tableau1[[#This Row],[Lien document]],"X"))</f>
        <v/>
      </c>
      <c r="V558" s="47"/>
      <c r="W558" s="49" t="str">
        <f ca="1">Chemin_accès!$B$2&amp;Tableau1[[#This Row],[Poste Responsable]]&amp;"\"&amp;Tableau1[[#This Row],[Localisation / Classement]]&amp;"\"&amp;Tableau1[[#This Row],[Poste technique]]&amp;"_"&amp;Tableau1[[#This Row],[Plan Entretien]]&amp;".pdf"</f>
        <v>\\stjn.local\trimet\Donnees_Projets\Dms Sap\Maintenance\PlanEntretien\7.MSCT\\_.pdf</v>
      </c>
      <c r="X558" s="47"/>
      <c r="Y558" s="47"/>
      <c r="Z558" s="44" t="str">
        <f ca="1">IF(AND(Tableau1[[#This Row],[Charge]]&lt;&gt;0, Tableau1[[#This Row],[Nombre intervenants]]&lt;&gt;0,Tableau1[[#This Row],[Lien document]]&lt;&gt;0,Tableau1[[#This Row],[DMS_SAP]]&lt;&gt;0)=TRUE,"MIS A JOUR","")</f>
        <v/>
      </c>
      <c r="AA558" s="48"/>
      <c r="AB558" s="58" t="str">
        <f ca="1">IF(Tableau1[[#This Row],[Date rév.]]&lt;&gt;"", DAYS360(Tableau1[[#This Row],[Date rév.]],TODAY()),"")</f>
        <v/>
      </c>
      <c r="AC558" s="47" t="str">
        <f>IFERROR(INDEX(Chemin_accès!$B$11:$C$22,MATCH(Tableau1[[#This Row],[Type]],Chemin_accès!$C$11:$C$22,0),1),Chemin_accès!$B$11)</f>
        <v>\\stjn.local\trimet\Btechnique\Commun\BT Maint SCELLEMENT\205 - Préventifs\Modèles préventif\GammeDMS_7.MSCT.xlsm</v>
      </c>
      <c r="AD558" s="47" t="str">
        <f>Chemin_accès!$B$8&amp;Tableau1[[#This Row],[Localisation / Classement]]&amp;"\"&amp;Tableau1[[#This Row],[Poste technique]]&amp;"_"&amp;Tableau1[[#This Row],[Plan Entretien]]&amp;".xlsm"</f>
        <v>\\stjn.local\trimet\Btechnique\Commun\BT Maint SCELLEMENT\205 - Préventifs\Gammes 7.MSCT PE Tool\\_.xlsm</v>
      </c>
    </row>
    <row r="559" spans="1:30" x14ac:dyDescent="0.3">
      <c r="A559" s="44" t="str">
        <f t="shared" ca="1" si="8"/>
        <v>7.MSCT</v>
      </c>
      <c r="B5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9" s="46"/>
      <c r="D559" s="44"/>
      <c r="E559" s="44"/>
      <c r="F559" s="47"/>
      <c r="G559" s="47"/>
      <c r="H559" s="50"/>
      <c r="I559" s="50"/>
      <c r="J559" s="50"/>
      <c r="K559" s="50"/>
      <c r="L559" s="46"/>
      <c r="M559" s="47"/>
      <c r="N559" s="46"/>
      <c r="O559" s="46"/>
      <c r="P559" s="47"/>
      <c r="Q559" s="46"/>
      <c r="R559" s="46"/>
      <c r="S559" s="48"/>
      <c r="T559" s="61" t="str">
        <f>IF(Tableau1[[#This Row],[DMS_SAP]]="","",HYPERLINK(Tableau1[[#This Row],[Chemin fichier source]],"X"))</f>
        <v/>
      </c>
      <c r="U559" s="61" t="str">
        <f>IF(Tableau1[[#This Row],[Date rév.]]="","",HYPERLINK(Tableau1[[#This Row],[Lien document]],"X"))</f>
        <v/>
      </c>
      <c r="V559" s="47"/>
      <c r="W559" s="49" t="str">
        <f ca="1">Chemin_accès!$B$2&amp;Tableau1[[#This Row],[Poste Responsable]]&amp;"\"&amp;Tableau1[[#This Row],[Localisation / Classement]]&amp;"\"&amp;Tableau1[[#This Row],[Poste technique]]&amp;"_"&amp;Tableau1[[#This Row],[Plan Entretien]]&amp;".pdf"</f>
        <v>\\stjn.local\trimet\Donnees_Projets\Dms Sap\Maintenance\PlanEntretien\7.MSCT\\_.pdf</v>
      </c>
      <c r="X559" s="47"/>
      <c r="Y559" s="47"/>
      <c r="Z559" s="44" t="str">
        <f ca="1">IF(AND(Tableau1[[#This Row],[Charge]]&lt;&gt;0, Tableau1[[#This Row],[Nombre intervenants]]&lt;&gt;0,Tableau1[[#This Row],[Lien document]]&lt;&gt;0,Tableau1[[#This Row],[DMS_SAP]]&lt;&gt;0)=TRUE,"MIS A JOUR","")</f>
        <v/>
      </c>
      <c r="AA559" s="48"/>
      <c r="AB559" s="58" t="str">
        <f ca="1">IF(Tableau1[[#This Row],[Date rév.]]&lt;&gt;"", DAYS360(Tableau1[[#This Row],[Date rév.]],TODAY()),"")</f>
        <v/>
      </c>
      <c r="AC559" s="47" t="str">
        <f>IFERROR(INDEX(Chemin_accès!$B$11:$C$22,MATCH(Tableau1[[#This Row],[Type]],Chemin_accès!$C$11:$C$22,0),1),Chemin_accès!$B$11)</f>
        <v>\\stjn.local\trimet\Btechnique\Commun\BT Maint SCELLEMENT\205 - Préventifs\Modèles préventif\GammeDMS_7.MSCT.xlsm</v>
      </c>
      <c r="AD559" s="47" t="str">
        <f>Chemin_accès!$B$8&amp;Tableau1[[#This Row],[Localisation / Classement]]&amp;"\"&amp;Tableau1[[#This Row],[Poste technique]]&amp;"_"&amp;Tableau1[[#This Row],[Plan Entretien]]&amp;".xlsm"</f>
        <v>\\stjn.local\trimet\Btechnique\Commun\BT Maint SCELLEMENT\205 - Préventifs\Gammes 7.MSCT PE Tool\\_.xlsm</v>
      </c>
    </row>
    <row r="560" spans="1:30" x14ac:dyDescent="0.3">
      <c r="A560" s="44" t="str">
        <f t="shared" ca="1" si="8"/>
        <v>7.MSCT</v>
      </c>
      <c r="B5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0" s="46"/>
      <c r="D560" s="44"/>
      <c r="E560" s="44"/>
      <c r="F560" s="47"/>
      <c r="G560" s="47"/>
      <c r="H560" s="50"/>
      <c r="I560" s="50"/>
      <c r="J560" s="50"/>
      <c r="K560" s="50"/>
      <c r="L560" s="46"/>
      <c r="M560" s="47"/>
      <c r="N560" s="46"/>
      <c r="O560" s="46"/>
      <c r="P560" s="47"/>
      <c r="Q560" s="46"/>
      <c r="R560" s="46"/>
      <c r="S560" s="48"/>
      <c r="T560" s="61" t="str">
        <f>IF(Tableau1[[#This Row],[DMS_SAP]]="","",HYPERLINK(Tableau1[[#This Row],[Chemin fichier source]],"X"))</f>
        <v/>
      </c>
      <c r="U560" s="61" t="str">
        <f>IF(Tableau1[[#This Row],[Date rév.]]="","",HYPERLINK(Tableau1[[#This Row],[Lien document]],"X"))</f>
        <v/>
      </c>
      <c r="V560" s="47"/>
      <c r="W560" s="49" t="str">
        <f ca="1">Chemin_accès!$B$2&amp;Tableau1[[#This Row],[Poste Responsable]]&amp;"\"&amp;Tableau1[[#This Row],[Localisation / Classement]]&amp;"\"&amp;Tableau1[[#This Row],[Poste technique]]&amp;"_"&amp;Tableau1[[#This Row],[Plan Entretien]]&amp;".pdf"</f>
        <v>\\stjn.local\trimet\Donnees_Projets\Dms Sap\Maintenance\PlanEntretien\7.MSCT\\_.pdf</v>
      </c>
      <c r="X560" s="47"/>
      <c r="Y560" s="47"/>
      <c r="Z560" s="44" t="str">
        <f ca="1">IF(AND(Tableau1[[#This Row],[Charge]]&lt;&gt;0, Tableau1[[#This Row],[Nombre intervenants]]&lt;&gt;0,Tableau1[[#This Row],[Lien document]]&lt;&gt;0,Tableau1[[#This Row],[DMS_SAP]]&lt;&gt;0)=TRUE,"MIS A JOUR","")</f>
        <v/>
      </c>
      <c r="AA560" s="48"/>
      <c r="AB560" s="58" t="str">
        <f ca="1">IF(Tableau1[[#This Row],[Date rév.]]&lt;&gt;"", DAYS360(Tableau1[[#This Row],[Date rév.]],TODAY()),"")</f>
        <v/>
      </c>
      <c r="AC560" s="47" t="str">
        <f>IFERROR(INDEX(Chemin_accès!$B$11:$C$22,MATCH(Tableau1[[#This Row],[Type]],Chemin_accès!$C$11:$C$22,0),1),Chemin_accès!$B$11)</f>
        <v>\\stjn.local\trimet\Btechnique\Commun\BT Maint SCELLEMENT\205 - Préventifs\Modèles préventif\GammeDMS_7.MSCT.xlsm</v>
      </c>
      <c r="AD560" s="47" t="str">
        <f>Chemin_accès!$B$8&amp;Tableau1[[#This Row],[Localisation / Classement]]&amp;"\"&amp;Tableau1[[#This Row],[Poste technique]]&amp;"_"&amp;Tableau1[[#This Row],[Plan Entretien]]&amp;".xlsm"</f>
        <v>\\stjn.local\trimet\Btechnique\Commun\BT Maint SCELLEMENT\205 - Préventifs\Gammes 7.MSCT PE Tool\\_.xlsm</v>
      </c>
    </row>
    <row r="561" spans="1:30" x14ac:dyDescent="0.3">
      <c r="A561" s="44" t="str">
        <f t="shared" ca="1" si="8"/>
        <v>7.MSCT</v>
      </c>
      <c r="B5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1" s="46"/>
      <c r="D561" s="44"/>
      <c r="E561" s="44"/>
      <c r="F561" s="47"/>
      <c r="G561" s="47"/>
      <c r="H561" s="50"/>
      <c r="I561" s="50"/>
      <c r="J561" s="50"/>
      <c r="K561" s="50"/>
      <c r="L561" s="46"/>
      <c r="M561" s="47"/>
      <c r="N561" s="46"/>
      <c r="O561" s="46"/>
      <c r="P561" s="47"/>
      <c r="Q561" s="46"/>
      <c r="R561" s="46"/>
      <c r="S561" s="48"/>
      <c r="T561" s="61" t="str">
        <f>IF(Tableau1[[#This Row],[DMS_SAP]]="","",HYPERLINK(Tableau1[[#This Row],[Chemin fichier source]],"X"))</f>
        <v/>
      </c>
      <c r="U561" s="61" t="str">
        <f>IF(Tableau1[[#This Row],[Date rév.]]="","",HYPERLINK(Tableau1[[#This Row],[Lien document]],"X"))</f>
        <v/>
      </c>
      <c r="V561" s="47"/>
      <c r="W561" s="49" t="str">
        <f ca="1">Chemin_accès!$B$2&amp;Tableau1[[#This Row],[Poste Responsable]]&amp;"\"&amp;Tableau1[[#This Row],[Localisation / Classement]]&amp;"\"&amp;Tableau1[[#This Row],[Poste technique]]&amp;"_"&amp;Tableau1[[#This Row],[Plan Entretien]]&amp;".pdf"</f>
        <v>\\stjn.local\trimet\Donnees_Projets\Dms Sap\Maintenance\PlanEntretien\7.MSCT\\_.pdf</v>
      </c>
      <c r="X561" s="47"/>
      <c r="Y561" s="47"/>
      <c r="Z561" s="44" t="str">
        <f ca="1">IF(AND(Tableau1[[#This Row],[Charge]]&lt;&gt;0, Tableau1[[#This Row],[Nombre intervenants]]&lt;&gt;0,Tableau1[[#This Row],[Lien document]]&lt;&gt;0,Tableau1[[#This Row],[DMS_SAP]]&lt;&gt;0)=TRUE,"MIS A JOUR","")</f>
        <v/>
      </c>
      <c r="AA561" s="48"/>
      <c r="AB561" s="58" t="str">
        <f ca="1">IF(Tableau1[[#This Row],[Date rév.]]&lt;&gt;"", DAYS360(Tableau1[[#This Row],[Date rév.]],TODAY()),"")</f>
        <v/>
      </c>
      <c r="AC561" s="47" t="str">
        <f>IFERROR(INDEX(Chemin_accès!$B$11:$C$22,MATCH(Tableau1[[#This Row],[Type]],Chemin_accès!$C$11:$C$22,0),1),Chemin_accès!$B$11)</f>
        <v>\\stjn.local\trimet\Btechnique\Commun\BT Maint SCELLEMENT\205 - Préventifs\Modèles préventif\GammeDMS_7.MSCT.xlsm</v>
      </c>
      <c r="AD561" s="47" t="str">
        <f>Chemin_accès!$B$8&amp;Tableau1[[#This Row],[Localisation / Classement]]&amp;"\"&amp;Tableau1[[#This Row],[Poste technique]]&amp;"_"&amp;Tableau1[[#This Row],[Plan Entretien]]&amp;".xlsm"</f>
        <v>\\stjn.local\trimet\Btechnique\Commun\BT Maint SCELLEMENT\205 - Préventifs\Gammes 7.MSCT PE Tool\\_.xlsm</v>
      </c>
    </row>
    <row r="562" spans="1:30" x14ac:dyDescent="0.3">
      <c r="A562" s="44" t="str">
        <f t="shared" ca="1" si="8"/>
        <v>7.MSCT</v>
      </c>
      <c r="B5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2" s="46"/>
      <c r="D562" s="44"/>
      <c r="E562" s="44"/>
      <c r="F562" s="47"/>
      <c r="G562" s="47"/>
      <c r="H562" s="50"/>
      <c r="I562" s="50"/>
      <c r="J562" s="50"/>
      <c r="K562" s="50"/>
      <c r="L562" s="46"/>
      <c r="M562" s="47"/>
      <c r="N562" s="46"/>
      <c r="O562" s="46"/>
      <c r="P562" s="47"/>
      <c r="Q562" s="46"/>
      <c r="R562" s="46"/>
      <c r="S562" s="48"/>
      <c r="T562" s="61" t="str">
        <f>IF(Tableau1[[#This Row],[DMS_SAP]]="","",HYPERLINK(Tableau1[[#This Row],[Chemin fichier source]],"X"))</f>
        <v/>
      </c>
      <c r="U562" s="61" t="str">
        <f>IF(Tableau1[[#This Row],[Date rév.]]="","",HYPERLINK(Tableau1[[#This Row],[Lien document]],"X"))</f>
        <v/>
      </c>
      <c r="V562" s="47"/>
      <c r="W562" s="49" t="str">
        <f ca="1">Chemin_accès!$B$2&amp;Tableau1[[#This Row],[Poste Responsable]]&amp;"\"&amp;Tableau1[[#This Row],[Localisation / Classement]]&amp;"\"&amp;Tableau1[[#This Row],[Poste technique]]&amp;"_"&amp;Tableau1[[#This Row],[Plan Entretien]]&amp;".pdf"</f>
        <v>\\stjn.local\trimet\Donnees_Projets\Dms Sap\Maintenance\PlanEntretien\7.MSCT\\_.pdf</v>
      </c>
      <c r="X562" s="47"/>
      <c r="Y562" s="47"/>
      <c r="Z562" s="44" t="str">
        <f ca="1">IF(AND(Tableau1[[#This Row],[Charge]]&lt;&gt;0, Tableau1[[#This Row],[Nombre intervenants]]&lt;&gt;0,Tableau1[[#This Row],[Lien document]]&lt;&gt;0,Tableau1[[#This Row],[DMS_SAP]]&lt;&gt;0)=TRUE,"MIS A JOUR","")</f>
        <v/>
      </c>
      <c r="AA562" s="48"/>
      <c r="AB562" s="58" t="str">
        <f ca="1">IF(Tableau1[[#This Row],[Date rév.]]&lt;&gt;"", DAYS360(Tableau1[[#This Row],[Date rév.]],TODAY()),"")</f>
        <v/>
      </c>
      <c r="AC562" s="47" t="str">
        <f>IFERROR(INDEX(Chemin_accès!$B$11:$C$22,MATCH(Tableau1[[#This Row],[Type]],Chemin_accès!$C$11:$C$22,0),1),Chemin_accès!$B$11)</f>
        <v>\\stjn.local\trimet\Btechnique\Commun\BT Maint SCELLEMENT\205 - Préventifs\Modèles préventif\GammeDMS_7.MSCT.xlsm</v>
      </c>
      <c r="AD562" s="47" t="str">
        <f>Chemin_accès!$B$8&amp;Tableau1[[#This Row],[Localisation / Classement]]&amp;"\"&amp;Tableau1[[#This Row],[Poste technique]]&amp;"_"&amp;Tableau1[[#This Row],[Plan Entretien]]&amp;".xlsm"</f>
        <v>\\stjn.local\trimet\Btechnique\Commun\BT Maint SCELLEMENT\205 - Préventifs\Gammes 7.MSCT PE Tool\\_.xlsm</v>
      </c>
    </row>
    <row r="563" spans="1:30" x14ac:dyDescent="0.3">
      <c r="A563" s="44" t="str">
        <f t="shared" ca="1" si="8"/>
        <v>7.MSCT</v>
      </c>
      <c r="B5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3" s="46"/>
      <c r="D563" s="44"/>
      <c r="E563" s="44"/>
      <c r="F563" s="47"/>
      <c r="G563" s="47"/>
      <c r="H563" s="50"/>
      <c r="I563" s="50"/>
      <c r="J563" s="50"/>
      <c r="K563" s="50"/>
      <c r="L563" s="46"/>
      <c r="M563" s="47"/>
      <c r="N563" s="46"/>
      <c r="O563" s="46"/>
      <c r="P563" s="47"/>
      <c r="Q563" s="46"/>
      <c r="R563" s="46"/>
      <c r="S563" s="48"/>
      <c r="T563" s="61" t="str">
        <f>IF(Tableau1[[#This Row],[DMS_SAP]]="","",HYPERLINK(Tableau1[[#This Row],[Chemin fichier source]],"X"))</f>
        <v/>
      </c>
      <c r="U563" s="61" t="str">
        <f>IF(Tableau1[[#This Row],[Date rév.]]="","",HYPERLINK(Tableau1[[#This Row],[Lien document]],"X"))</f>
        <v/>
      </c>
      <c r="V563" s="47"/>
      <c r="W563" s="49" t="str">
        <f ca="1">Chemin_accès!$B$2&amp;Tableau1[[#This Row],[Poste Responsable]]&amp;"\"&amp;Tableau1[[#This Row],[Localisation / Classement]]&amp;"\"&amp;Tableau1[[#This Row],[Poste technique]]&amp;"_"&amp;Tableau1[[#This Row],[Plan Entretien]]&amp;".pdf"</f>
        <v>\\stjn.local\trimet\Donnees_Projets\Dms Sap\Maintenance\PlanEntretien\7.MSCT\\_.pdf</v>
      </c>
      <c r="X563" s="47"/>
      <c r="Y563" s="47"/>
      <c r="Z563" s="44" t="str">
        <f ca="1">IF(AND(Tableau1[[#This Row],[Charge]]&lt;&gt;0, Tableau1[[#This Row],[Nombre intervenants]]&lt;&gt;0,Tableau1[[#This Row],[Lien document]]&lt;&gt;0,Tableau1[[#This Row],[DMS_SAP]]&lt;&gt;0)=TRUE,"MIS A JOUR","")</f>
        <v/>
      </c>
      <c r="AA563" s="48"/>
      <c r="AB563" s="58" t="str">
        <f ca="1">IF(Tableau1[[#This Row],[Date rév.]]&lt;&gt;"", DAYS360(Tableau1[[#This Row],[Date rév.]],TODAY()),"")</f>
        <v/>
      </c>
      <c r="AC563" s="47" t="str">
        <f>IFERROR(INDEX(Chemin_accès!$B$11:$C$22,MATCH(Tableau1[[#This Row],[Type]],Chemin_accès!$C$11:$C$22,0),1),Chemin_accès!$B$11)</f>
        <v>\\stjn.local\trimet\Btechnique\Commun\BT Maint SCELLEMENT\205 - Préventifs\Modèles préventif\GammeDMS_7.MSCT.xlsm</v>
      </c>
      <c r="AD563" s="47" t="str">
        <f>Chemin_accès!$B$8&amp;Tableau1[[#This Row],[Localisation / Classement]]&amp;"\"&amp;Tableau1[[#This Row],[Poste technique]]&amp;"_"&amp;Tableau1[[#This Row],[Plan Entretien]]&amp;".xlsm"</f>
        <v>\\stjn.local\trimet\Btechnique\Commun\BT Maint SCELLEMENT\205 - Préventifs\Gammes 7.MSCT PE Tool\\_.xlsm</v>
      </c>
    </row>
    <row r="564" spans="1:30" x14ac:dyDescent="0.3">
      <c r="A564" s="44" t="str">
        <f t="shared" ca="1" si="8"/>
        <v>7.MSCT</v>
      </c>
      <c r="B5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4" s="46"/>
      <c r="D564" s="44"/>
      <c r="E564" s="44"/>
      <c r="F564" s="47"/>
      <c r="G564" s="47"/>
      <c r="H564" s="50"/>
      <c r="I564" s="50"/>
      <c r="J564" s="50"/>
      <c r="K564" s="50"/>
      <c r="L564" s="46"/>
      <c r="M564" s="47"/>
      <c r="N564" s="46"/>
      <c r="O564" s="46"/>
      <c r="P564" s="47"/>
      <c r="Q564" s="46"/>
      <c r="R564" s="46"/>
      <c r="S564" s="48"/>
      <c r="T564" s="61" t="str">
        <f>IF(Tableau1[[#This Row],[DMS_SAP]]="","",HYPERLINK(Tableau1[[#This Row],[Chemin fichier source]],"X"))</f>
        <v/>
      </c>
      <c r="U564" s="61" t="str">
        <f>IF(Tableau1[[#This Row],[Date rév.]]="","",HYPERLINK(Tableau1[[#This Row],[Lien document]],"X"))</f>
        <v/>
      </c>
      <c r="V564" s="47"/>
      <c r="W564" s="49" t="str">
        <f ca="1">Chemin_accès!$B$2&amp;Tableau1[[#This Row],[Poste Responsable]]&amp;"\"&amp;Tableau1[[#This Row],[Localisation / Classement]]&amp;"\"&amp;Tableau1[[#This Row],[Poste technique]]&amp;"_"&amp;Tableau1[[#This Row],[Plan Entretien]]&amp;".pdf"</f>
        <v>\\stjn.local\trimet\Donnees_Projets\Dms Sap\Maintenance\PlanEntretien\7.MSCT\\_.pdf</v>
      </c>
      <c r="X564" s="47"/>
      <c r="Y564" s="47"/>
      <c r="Z564" s="44" t="str">
        <f ca="1">IF(AND(Tableau1[[#This Row],[Charge]]&lt;&gt;0, Tableau1[[#This Row],[Nombre intervenants]]&lt;&gt;0,Tableau1[[#This Row],[Lien document]]&lt;&gt;0,Tableau1[[#This Row],[DMS_SAP]]&lt;&gt;0)=TRUE,"MIS A JOUR","")</f>
        <v/>
      </c>
      <c r="AA564" s="48"/>
      <c r="AB564" s="58" t="str">
        <f ca="1">IF(Tableau1[[#This Row],[Date rév.]]&lt;&gt;"", DAYS360(Tableau1[[#This Row],[Date rév.]],TODAY()),"")</f>
        <v/>
      </c>
      <c r="AC564" s="47" t="str">
        <f>IFERROR(INDEX(Chemin_accès!$B$11:$C$22,MATCH(Tableau1[[#This Row],[Type]],Chemin_accès!$C$11:$C$22,0),1),Chemin_accès!$B$11)</f>
        <v>\\stjn.local\trimet\Btechnique\Commun\BT Maint SCELLEMENT\205 - Préventifs\Modèles préventif\GammeDMS_7.MSCT.xlsm</v>
      </c>
      <c r="AD564" s="47" t="str">
        <f>Chemin_accès!$B$8&amp;Tableau1[[#This Row],[Localisation / Classement]]&amp;"\"&amp;Tableau1[[#This Row],[Poste technique]]&amp;"_"&amp;Tableau1[[#This Row],[Plan Entretien]]&amp;".xlsm"</f>
        <v>\\stjn.local\trimet\Btechnique\Commun\BT Maint SCELLEMENT\205 - Préventifs\Gammes 7.MSCT PE Tool\\_.xlsm</v>
      </c>
    </row>
    <row r="565" spans="1:30" x14ac:dyDescent="0.3">
      <c r="A565" s="44" t="str">
        <f t="shared" ca="1" si="8"/>
        <v>7.MSCT</v>
      </c>
      <c r="B5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5" s="46"/>
      <c r="D565" s="44"/>
      <c r="E565" s="44"/>
      <c r="F565" s="47"/>
      <c r="G565" s="47"/>
      <c r="H565" s="50"/>
      <c r="I565" s="50"/>
      <c r="J565" s="50"/>
      <c r="K565" s="50"/>
      <c r="L565" s="46"/>
      <c r="M565" s="47"/>
      <c r="N565" s="46"/>
      <c r="O565" s="46"/>
      <c r="P565" s="47"/>
      <c r="Q565" s="46"/>
      <c r="R565" s="46"/>
      <c r="S565" s="48"/>
      <c r="T565" s="61" t="str">
        <f>IF(Tableau1[[#This Row],[DMS_SAP]]="","",HYPERLINK(Tableau1[[#This Row],[Chemin fichier source]],"X"))</f>
        <v/>
      </c>
      <c r="U565" s="61" t="str">
        <f>IF(Tableau1[[#This Row],[Date rév.]]="","",HYPERLINK(Tableau1[[#This Row],[Lien document]],"X"))</f>
        <v/>
      </c>
      <c r="V565" s="47"/>
      <c r="W565" s="49" t="str">
        <f ca="1">Chemin_accès!$B$2&amp;Tableau1[[#This Row],[Poste Responsable]]&amp;"\"&amp;Tableau1[[#This Row],[Localisation / Classement]]&amp;"\"&amp;Tableau1[[#This Row],[Poste technique]]&amp;"_"&amp;Tableau1[[#This Row],[Plan Entretien]]&amp;".pdf"</f>
        <v>\\stjn.local\trimet\Donnees_Projets\Dms Sap\Maintenance\PlanEntretien\7.MSCT\\_.pdf</v>
      </c>
      <c r="X565" s="47"/>
      <c r="Y565" s="47"/>
      <c r="Z565" s="44" t="str">
        <f ca="1">IF(AND(Tableau1[[#This Row],[Charge]]&lt;&gt;0, Tableau1[[#This Row],[Nombre intervenants]]&lt;&gt;0,Tableau1[[#This Row],[Lien document]]&lt;&gt;0,Tableau1[[#This Row],[DMS_SAP]]&lt;&gt;0)=TRUE,"MIS A JOUR","")</f>
        <v/>
      </c>
      <c r="AA565" s="48"/>
      <c r="AB565" s="58" t="str">
        <f ca="1">IF(Tableau1[[#This Row],[Date rév.]]&lt;&gt;"", DAYS360(Tableau1[[#This Row],[Date rév.]],TODAY()),"")</f>
        <v/>
      </c>
      <c r="AC565" s="47" t="str">
        <f>IFERROR(INDEX(Chemin_accès!$B$11:$C$22,MATCH(Tableau1[[#This Row],[Type]],Chemin_accès!$C$11:$C$22,0),1),Chemin_accès!$B$11)</f>
        <v>\\stjn.local\trimet\Btechnique\Commun\BT Maint SCELLEMENT\205 - Préventifs\Modèles préventif\GammeDMS_7.MSCT.xlsm</v>
      </c>
      <c r="AD565" s="47" t="str">
        <f>Chemin_accès!$B$8&amp;Tableau1[[#This Row],[Localisation / Classement]]&amp;"\"&amp;Tableau1[[#This Row],[Poste technique]]&amp;"_"&amp;Tableau1[[#This Row],[Plan Entretien]]&amp;".xlsm"</f>
        <v>\\stjn.local\trimet\Btechnique\Commun\BT Maint SCELLEMENT\205 - Préventifs\Gammes 7.MSCT PE Tool\\_.xlsm</v>
      </c>
    </row>
    <row r="566" spans="1:30" x14ac:dyDescent="0.3">
      <c r="A566" s="44" t="str">
        <f t="shared" ca="1" si="8"/>
        <v>7.MSCT</v>
      </c>
      <c r="B5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6" s="46"/>
      <c r="D566" s="44"/>
      <c r="E566" s="44"/>
      <c r="F566" s="47"/>
      <c r="G566" s="47"/>
      <c r="H566" s="50"/>
      <c r="I566" s="50"/>
      <c r="J566" s="50"/>
      <c r="K566" s="50"/>
      <c r="L566" s="46"/>
      <c r="M566" s="47"/>
      <c r="N566" s="46"/>
      <c r="O566" s="46"/>
      <c r="P566" s="47"/>
      <c r="Q566" s="46"/>
      <c r="R566" s="46"/>
      <c r="S566" s="48"/>
      <c r="T566" s="61" t="str">
        <f>IF(Tableau1[[#This Row],[DMS_SAP]]="","",HYPERLINK(Tableau1[[#This Row],[Chemin fichier source]],"X"))</f>
        <v/>
      </c>
      <c r="U566" s="61" t="str">
        <f>IF(Tableau1[[#This Row],[Date rév.]]="","",HYPERLINK(Tableau1[[#This Row],[Lien document]],"X"))</f>
        <v/>
      </c>
      <c r="V566" s="47"/>
      <c r="W566" s="49" t="str">
        <f ca="1">Chemin_accès!$B$2&amp;Tableau1[[#This Row],[Poste Responsable]]&amp;"\"&amp;Tableau1[[#This Row],[Localisation / Classement]]&amp;"\"&amp;Tableau1[[#This Row],[Poste technique]]&amp;"_"&amp;Tableau1[[#This Row],[Plan Entretien]]&amp;".pdf"</f>
        <v>\\stjn.local\trimet\Donnees_Projets\Dms Sap\Maintenance\PlanEntretien\7.MSCT\\_.pdf</v>
      </c>
      <c r="X566" s="47"/>
      <c r="Y566" s="47"/>
      <c r="Z566" s="44" t="str">
        <f ca="1">IF(AND(Tableau1[[#This Row],[Charge]]&lt;&gt;0, Tableau1[[#This Row],[Nombre intervenants]]&lt;&gt;0,Tableau1[[#This Row],[Lien document]]&lt;&gt;0,Tableau1[[#This Row],[DMS_SAP]]&lt;&gt;0)=TRUE,"MIS A JOUR","")</f>
        <v/>
      </c>
      <c r="AA566" s="48"/>
      <c r="AB566" s="58" t="str">
        <f ca="1">IF(Tableau1[[#This Row],[Date rév.]]&lt;&gt;"", DAYS360(Tableau1[[#This Row],[Date rév.]],TODAY()),"")</f>
        <v/>
      </c>
      <c r="AC566" s="47" t="str">
        <f>IFERROR(INDEX(Chemin_accès!$B$11:$C$22,MATCH(Tableau1[[#This Row],[Type]],Chemin_accès!$C$11:$C$22,0),1),Chemin_accès!$B$11)</f>
        <v>\\stjn.local\trimet\Btechnique\Commun\BT Maint SCELLEMENT\205 - Préventifs\Modèles préventif\GammeDMS_7.MSCT.xlsm</v>
      </c>
      <c r="AD566" s="47" t="str">
        <f>Chemin_accès!$B$8&amp;Tableau1[[#This Row],[Localisation / Classement]]&amp;"\"&amp;Tableau1[[#This Row],[Poste technique]]&amp;"_"&amp;Tableau1[[#This Row],[Plan Entretien]]&amp;".xlsm"</f>
        <v>\\stjn.local\trimet\Btechnique\Commun\BT Maint SCELLEMENT\205 - Préventifs\Gammes 7.MSCT PE Tool\\_.xlsm</v>
      </c>
    </row>
    <row r="567" spans="1:30" x14ac:dyDescent="0.3">
      <c r="A567" s="44" t="str">
        <f t="shared" ca="1" si="8"/>
        <v>7.MSCT</v>
      </c>
      <c r="B5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7" s="46"/>
      <c r="D567" s="44"/>
      <c r="E567" s="44"/>
      <c r="F567" s="47"/>
      <c r="G567" s="47"/>
      <c r="H567" s="50"/>
      <c r="I567" s="50"/>
      <c r="J567" s="50"/>
      <c r="K567" s="50"/>
      <c r="L567" s="46"/>
      <c r="M567" s="47"/>
      <c r="N567" s="46"/>
      <c r="O567" s="46"/>
      <c r="P567" s="47"/>
      <c r="Q567" s="46"/>
      <c r="R567" s="46"/>
      <c r="S567" s="48"/>
      <c r="T567" s="61" t="str">
        <f>IF(Tableau1[[#This Row],[DMS_SAP]]="","",HYPERLINK(Tableau1[[#This Row],[Chemin fichier source]],"X"))</f>
        <v/>
      </c>
      <c r="U567" s="61" t="str">
        <f>IF(Tableau1[[#This Row],[Date rév.]]="","",HYPERLINK(Tableau1[[#This Row],[Lien document]],"X"))</f>
        <v/>
      </c>
      <c r="V567" s="47"/>
      <c r="W567" s="49" t="str">
        <f ca="1">Chemin_accès!$B$2&amp;Tableau1[[#This Row],[Poste Responsable]]&amp;"\"&amp;Tableau1[[#This Row],[Localisation / Classement]]&amp;"\"&amp;Tableau1[[#This Row],[Poste technique]]&amp;"_"&amp;Tableau1[[#This Row],[Plan Entretien]]&amp;".pdf"</f>
        <v>\\stjn.local\trimet\Donnees_Projets\Dms Sap\Maintenance\PlanEntretien\7.MSCT\\_.pdf</v>
      </c>
      <c r="X567" s="47"/>
      <c r="Y567" s="47"/>
      <c r="Z567" s="44" t="str">
        <f ca="1">IF(AND(Tableau1[[#This Row],[Charge]]&lt;&gt;0, Tableau1[[#This Row],[Nombre intervenants]]&lt;&gt;0,Tableau1[[#This Row],[Lien document]]&lt;&gt;0,Tableau1[[#This Row],[DMS_SAP]]&lt;&gt;0)=TRUE,"MIS A JOUR","")</f>
        <v/>
      </c>
      <c r="AA567" s="48"/>
      <c r="AB567" s="58" t="str">
        <f ca="1">IF(Tableau1[[#This Row],[Date rév.]]&lt;&gt;"", DAYS360(Tableau1[[#This Row],[Date rév.]],TODAY()),"")</f>
        <v/>
      </c>
      <c r="AC567" s="47" t="str">
        <f>IFERROR(INDEX(Chemin_accès!$B$11:$C$22,MATCH(Tableau1[[#This Row],[Type]],Chemin_accès!$C$11:$C$22,0),1),Chemin_accès!$B$11)</f>
        <v>\\stjn.local\trimet\Btechnique\Commun\BT Maint SCELLEMENT\205 - Préventifs\Modèles préventif\GammeDMS_7.MSCT.xlsm</v>
      </c>
      <c r="AD567" s="47" t="str">
        <f>Chemin_accès!$B$8&amp;Tableau1[[#This Row],[Localisation / Classement]]&amp;"\"&amp;Tableau1[[#This Row],[Poste technique]]&amp;"_"&amp;Tableau1[[#This Row],[Plan Entretien]]&amp;".xlsm"</f>
        <v>\\stjn.local\trimet\Btechnique\Commun\BT Maint SCELLEMENT\205 - Préventifs\Gammes 7.MSCT PE Tool\\_.xlsm</v>
      </c>
    </row>
    <row r="568" spans="1:30" x14ac:dyDescent="0.3">
      <c r="A568" s="44" t="str">
        <f t="shared" ca="1" si="8"/>
        <v>7.MSCT</v>
      </c>
      <c r="B5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8" s="46"/>
      <c r="D568" s="44"/>
      <c r="E568" s="44"/>
      <c r="F568" s="47"/>
      <c r="G568" s="47"/>
      <c r="H568" s="50"/>
      <c r="I568" s="50"/>
      <c r="J568" s="50"/>
      <c r="K568" s="50"/>
      <c r="L568" s="46"/>
      <c r="M568" s="47"/>
      <c r="N568" s="46"/>
      <c r="O568" s="46"/>
      <c r="P568" s="47"/>
      <c r="Q568" s="46"/>
      <c r="R568" s="46"/>
      <c r="S568" s="48"/>
      <c r="T568" s="61" t="str">
        <f>IF(Tableau1[[#This Row],[DMS_SAP]]="","",HYPERLINK(Tableau1[[#This Row],[Chemin fichier source]],"X"))</f>
        <v/>
      </c>
      <c r="U568" s="61" t="str">
        <f>IF(Tableau1[[#This Row],[Date rév.]]="","",HYPERLINK(Tableau1[[#This Row],[Lien document]],"X"))</f>
        <v/>
      </c>
      <c r="V568" s="47"/>
      <c r="W568" s="49" t="str">
        <f ca="1">Chemin_accès!$B$2&amp;Tableau1[[#This Row],[Poste Responsable]]&amp;"\"&amp;Tableau1[[#This Row],[Localisation / Classement]]&amp;"\"&amp;Tableau1[[#This Row],[Poste technique]]&amp;"_"&amp;Tableau1[[#This Row],[Plan Entretien]]&amp;".pdf"</f>
        <v>\\stjn.local\trimet\Donnees_Projets\Dms Sap\Maintenance\PlanEntretien\7.MSCT\\_.pdf</v>
      </c>
      <c r="X568" s="47"/>
      <c r="Y568" s="47"/>
      <c r="Z568" s="44" t="str">
        <f ca="1">IF(AND(Tableau1[[#This Row],[Charge]]&lt;&gt;0, Tableau1[[#This Row],[Nombre intervenants]]&lt;&gt;0,Tableau1[[#This Row],[Lien document]]&lt;&gt;0,Tableau1[[#This Row],[DMS_SAP]]&lt;&gt;0)=TRUE,"MIS A JOUR","")</f>
        <v/>
      </c>
      <c r="AA568" s="48"/>
      <c r="AB568" s="58" t="str">
        <f ca="1">IF(Tableau1[[#This Row],[Date rév.]]&lt;&gt;"", DAYS360(Tableau1[[#This Row],[Date rév.]],TODAY()),"")</f>
        <v/>
      </c>
      <c r="AC568" s="47" t="str">
        <f>IFERROR(INDEX(Chemin_accès!$B$11:$C$22,MATCH(Tableau1[[#This Row],[Type]],Chemin_accès!$C$11:$C$22,0),1),Chemin_accès!$B$11)</f>
        <v>\\stjn.local\trimet\Btechnique\Commun\BT Maint SCELLEMENT\205 - Préventifs\Modèles préventif\GammeDMS_7.MSCT.xlsm</v>
      </c>
      <c r="AD568" s="47" t="str">
        <f>Chemin_accès!$B$8&amp;Tableau1[[#This Row],[Localisation / Classement]]&amp;"\"&amp;Tableau1[[#This Row],[Poste technique]]&amp;"_"&amp;Tableau1[[#This Row],[Plan Entretien]]&amp;".xlsm"</f>
        <v>\\stjn.local\trimet\Btechnique\Commun\BT Maint SCELLEMENT\205 - Préventifs\Gammes 7.MSCT PE Tool\\_.xlsm</v>
      </c>
    </row>
    <row r="569" spans="1:30" x14ac:dyDescent="0.3">
      <c r="A569" s="44" t="str">
        <f t="shared" ca="1" si="8"/>
        <v>7.MSCT</v>
      </c>
      <c r="B5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9" s="46"/>
      <c r="D569" s="44"/>
      <c r="E569" s="44"/>
      <c r="F569" s="47"/>
      <c r="G569" s="47"/>
      <c r="H569" s="50"/>
      <c r="I569" s="50"/>
      <c r="J569" s="50"/>
      <c r="K569" s="50"/>
      <c r="L569" s="46"/>
      <c r="M569" s="47"/>
      <c r="N569" s="46"/>
      <c r="O569" s="46"/>
      <c r="P569" s="47"/>
      <c r="Q569" s="46"/>
      <c r="R569" s="46"/>
      <c r="S569" s="48"/>
      <c r="T569" s="61" t="str">
        <f>IF(Tableau1[[#This Row],[DMS_SAP]]="","",HYPERLINK(Tableau1[[#This Row],[Chemin fichier source]],"X"))</f>
        <v/>
      </c>
      <c r="U569" s="61" t="str">
        <f>IF(Tableau1[[#This Row],[Date rév.]]="","",HYPERLINK(Tableau1[[#This Row],[Lien document]],"X"))</f>
        <v/>
      </c>
      <c r="V569" s="47"/>
      <c r="W569" s="49" t="str">
        <f ca="1">Chemin_accès!$B$2&amp;Tableau1[[#This Row],[Poste Responsable]]&amp;"\"&amp;Tableau1[[#This Row],[Localisation / Classement]]&amp;"\"&amp;Tableau1[[#This Row],[Poste technique]]&amp;"_"&amp;Tableau1[[#This Row],[Plan Entretien]]&amp;".pdf"</f>
        <v>\\stjn.local\trimet\Donnees_Projets\Dms Sap\Maintenance\PlanEntretien\7.MSCT\\_.pdf</v>
      </c>
      <c r="X569" s="47"/>
      <c r="Y569" s="47"/>
      <c r="Z569" s="44" t="str">
        <f ca="1">IF(AND(Tableau1[[#This Row],[Charge]]&lt;&gt;0, Tableau1[[#This Row],[Nombre intervenants]]&lt;&gt;0,Tableau1[[#This Row],[Lien document]]&lt;&gt;0,Tableau1[[#This Row],[DMS_SAP]]&lt;&gt;0)=TRUE,"MIS A JOUR","")</f>
        <v/>
      </c>
      <c r="AA569" s="48"/>
      <c r="AB569" s="58" t="str">
        <f ca="1">IF(Tableau1[[#This Row],[Date rév.]]&lt;&gt;"", DAYS360(Tableau1[[#This Row],[Date rév.]],TODAY()),"")</f>
        <v/>
      </c>
      <c r="AC569" s="47" t="str">
        <f>IFERROR(INDEX(Chemin_accès!$B$11:$C$22,MATCH(Tableau1[[#This Row],[Type]],Chemin_accès!$C$11:$C$22,0),1),Chemin_accès!$B$11)</f>
        <v>\\stjn.local\trimet\Btechnique\Commun\BT Maint SCELLEMENT\205 - Préventifs\Modèles préventif\GammeDMS_7.MSCT.xlsm</v>
      </c>
      <c r="AD569" s="47" t="str">
        <f>Chemin_accès!$B$8&amp;Tableau1[[#This Row],[Localisation / Classement]]&amp;"\"&amp;Tableau1[[#This Row],[Poste technique]]&amp;"_"&amp;Tableau1[[#This Row],[Plan Entretien]]&amp;".xlsm"</f>
        <v>\\stjn.local\trimet\Btechnique\Commun\BT Maint SCELLEMENT\205 - Préventifs\Gammes 7.MSCT PE Tool\\_.xlsm</v>
      </c>
    </row>
    <row r="570" spans="1:30" x14ac:dyDescent="0.3">
      <c r="A570" s="44" t="str">
        <f t="shared" ca="1" si="8"/>
        <v>7.MSCT</v>
      </c>
      <c r="B5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0" s="46"/>
      <c r="D570" s="44"/>
      <c r="E570" s="44"/>
      <c r="F570" s="47"/>
      <c r="G570" s="47"/>
      <c r="H570" s="50"/>
      <c r="I570" s="50"/>
      <c r="J570" s="50"/>
      <c r="K570" s="50"/>
      <c r="L570" s="46"/>
      <c r="M570" s="47"/>
      <c r="N570" s="46"/>
      <c r="O570" s="46"/>
      <c r="P570" s="47"/>
      <c r="Q570" s="46"/>
      <c r="R570" s="46"/>
      <c r="S570" s="48"/>
      <c r="T570" s="61" t="str">
        <f>IF(Tableau1[[#This Row],[DMS_SAP]]="","",HYPERLINK(Tableau1[[#This Row],[Chemin fichier source]],"X"))</f>
        <v/>
      </c>
      <c r="U570" s="61" t="str">
        <f>IF(Tableau1[[#This Row],[Date rév.]]="","",HYPERLINK(Tableau1[[#This Row],[Lien document]],"X"))</f>
        <v/>
      </c>
      <c r="V570" s="47"/>
      <c r="W570" s="49" t="str">
        <f ca="1">Chemin_accès!$B$2&amp;Tableau1[[#This Row],[Poste Responsable]]&amp;"\"&amp;Tableau1[[#This Row],[Localisation / Classement]]&amp;"\"&amp;Tableau1[[#This Row],[Poste technique]]&amp;"_"&amp;Tableau1[[#This Row],[Plan Entretien]]&amp;".pdf"</f>
        <v>\\stjn.local\trimet\Donnees_Projets\Dms Sap\Maintenance\PlanEntretien\7.MSCT\\_.pdf</v>
      </c>
      <c r="X570" s="47"/>
      <c r="Y570" s="47"/>
      <c r="Z570" s="44" t="str">
        <f ca="1">IF(AND(Tableau1[[#This Row],[Charge]]&lt;&gt;0, Tableau1[[#This Row],[Nombre intervenants]]&lt;&gt;0,Tableau1[[#This Row],[Lien document]]&lt;&gt;0,Tableau1[[#This Row],[DMS_SAP]]&lt;&gt;0)=TRUE,"MIS A JOUR","")</f>
        <v/>
      </c>
      <c r="AA570" s="48"/>
      <c r="AB570" s="58" t="str">
        <f ca="1">IF(Tableau1[[#This Row],[Date rév.]]&lt;&gt;"", DAYS360(Tableau1[[#This Row],[Date rév.]],TODAY()),"")</f>
        <v/>
      </c>
      <c r="AC570" s="47" t="str">
        <f>IFERROR(INDEX(Chemin_accès!$B$11:$C$22,MATCH(Tableau1[[#This Row],[Type]],Chemin_accès!$C$11:$C$22,0),1),Chemin_accès!$B$11)</f>
        <v>\\stjn.local\trimet\Btechnique\Commun\BT Maint SCELLEMENT\205 - Préventifs\Modèles préventif\GammeDMS_7.MSCT.xlsm</v>
      </c>
      <c r="AD570" s="47" t="str">
        <f>Chemin_accès!$B$8&amp;Tableau1[[#This Row],[Localisation / Classement]]&amp;"\"&amp;Tableau1[[#This Row],[Poste technique]]&amp;"_"&amp;Tableau1[[#This Row],[Plan Entretien]]&amp;".xlsm"</f>
        <v>\\stjn.local\trimet\Btechnique\Commun\BT Maint SCELLEMENT\205 - Préventifs\Gammes 7.MSCT PE Tool\\_.xlsm</v>
      </c>
    </row>
    <row r="571" spans="1:30" x14ac:dyDescent="0.3">
      <c r="A571" s="44" t="str">
        <f t="shared" ca="1" si="8"/>
        <v>7.MSCT</v>
      </c>
      <c r="B5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1" s="46"/>
      <c r="D571" s="44"/>
      <c r="E571" s="44"/>
      <c r="F571" s="47"/>
      <c r="G571" s="47"/>
      <c r="H571" s="50"/>
      <c r="I571" s="50"/>
      <c r="J571" s="50"/>
      <c r="K571" s="50"/>
      <c r="L571" s="46"/>
      <c r="M571" s="47"/>
      <c r="N571" s="46"/>
      <c r="O571" s="46"/>
      <c r="P571" s="47"/>
      <c r="Q571" s="46"/>
      <c r="R571" s="46"/>
      <c r="S571" s="48"/>
      <c r="T571" s="61" t="str">
        <f>IF(Tableau1[[#This Row],[DMS_SAP]]="","",HYPERLINK(Tableau1[[#This Row],[Chemin fichier source]],"X"))</f>
        <v/>
      </c>
      <c r="U571" s="61" t="str">
        <f>IF(Tableau1[[#This Row],[Date rév.]]="","",HYPERLINK(Tableau1[[#This Row],[Lien document]],"X"))</f>
        <v/>
      </c>
      <c r="V571" s="47"/>
      <c r="W571" s="49" t="str">
        <f ca="1">Chemin_accès!$B$2&amp;Tableau1[[#This Row],[Poste Responsable]]&amp;"\"&amp;Tableau1[[#This Row],[Localisation / Classement]]&amp;"\"&amp;Tableau1[[#This Row],[Poste technique]]&amp;"_"&amp;Tableau1[[#This Row],[Plan Entretien]]&amp;".pdf"</f>
        <v>\\stjn.local\trimet\Donnees_Projets\Dms Sap\Maintenance\PlanEntretien\7.MSCT\\_.pdf</v>
      </c>
      <c r="X571" s="47"/>
      <c r="Y571" s="47"/>
      <c r="Z571" s="44" t="str">
        <f ca="1">IF(AND(Tableau1[[#This Row],[Charge]]&lt;&gt;0, Tableau1[[#This Row],[Nombre intervenants]]&lt;&gt;0,Tableau1[[#This Row],[Lien document]]&lt;&gt;0,Tableau1[[#This Row],[DMS_SAP]]&lt;&gt;0)=TRUE,"MIS A JOUR","")</f>
        <v/>
      </c>
      <c r="AA571" s="48"/>
      <c r="AB571" s="58" t="str">
        <f ca="1">IF(Tableau1[[#This Row],[Date rév.]]&lt;&gt;"", DAYS360(Tableau1[[#This Row],[Date rév.]],TODAY()),"")</f>
        <v/>
      </c>
      <c r="AC571" s="47" t="str">
        <f>IFERROR(INDEX(Chemin_accès!$B$11:$C$22,MATCH(Tableau1[[#This Row],[Type]],Chemin_accès!$C$11:$C$22,0),1),Chemin_accès!$B$11)</f>
        <v>\\stjn.local\trimet\Btechnique\Commun\BT Maint SCELLEMENT\205 - Préventifs\Modèles préventif\GammeDMS_7.MSCT.xlsm</v>
      </c>
      <c r="AD571" s="47" t="str">
        <f>Chemin_accès!$B$8&amp;Tableau1[[#This Row],[Localisation / Classement]]&amp;"\"&amp;Tableau1[[#This Row],[Poste technique]]&amp;"_"&amp;Tableau1[[#This Row],[Plan Entretien]]&amp;".xlsm"</f>
        <v>\\stjn.local\trimet\Btechnique\Commun\BT Maint SCELLEMENT\205 - Préventifs\Gammes 7.MSCT PE Tool\\_.xlsm</v>
      </c>
    </row>
    <row r="572" spans="1:30" x14ac:dyDescent="0.3">
      <c r="A572" s="44" t="str">
        <f t="shared" ca="1" si="8"/>
        <v>7.MSCT</v>
      </c>
      <c r="B5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2" s="46"/>
      <c r="D572" s="44"/>
      <c r="E572" s="44"/>
      <c r="F572" s="47"/>
      <c r="G572" s="47"/>
      <c r="H572" s="50"/>
      <c r="I572" s="50"/>
      <c r="J572" s="50"/>
      <c r="K572" s="50"/>
      <c r="L572" s="46"/>
      <c r="M572" s="47"/>
      <c r="N572" s="46"/>
      <c r="O572" s="46"/>
      <c r="P572" s="47"/>
      <c r="Q572" s="46"/>
      <c r="R572" s="46"/>
      <c r="S572" s="48"/>
      <c r="T572" s="61" t="str">
        <f>IF(Tableau1[[#This Row],[DMS_SAP]]="","",HYPERLINK(Tableau1[[#This Row],[Chemin fichier source]],"X"))</f>
        <v/>
      </c>
      <c r="U572" s="61" t="str">
        <f>IF(Tableau1[[#This Row],[Date rév.]]="","",HYPERLINK(Tableau1[[#This Row],[Lien document]],"X"))</f>
        <v/>
      </c>
      <c r="V572" s="47"/>
      <c r="W572" s="49" t="str">
        <f ca="1">Chemin_accès!$B$2&amp;Tableau1[[#This Row],[Poste Responsable]]&amp;"\"&amp;Tableau1[[#This Row],[Localisation / Classement]]&amp;"\"&amp;Tableau1[[#This Row],[Poste technique]]&amp;"_"&amp;Tableau1[[#This Row],[Plan Entretien]]&amp;".pdf"</f>
        <v>\\stjn.local\trimet\Donnees_Projets\Dms Sap\Maintenance\PlanEntretien\7.MSCT\\_.pdf</v>
      </c>
      <c r="X572" s="47"/>
      <c r="Y572" s="47"/>
      <c r="Z572" s="44" t="str">
        <f ca="1">IF(AND(Tableau1[[#This Row],[Charge]]&lt;&gt;0, Tableau1[[#This Row],[Nombre intervenants]]&lt;&gt;0,Tableau1[[#This Row],[Lien document]]&lt;&gt;0,Tableau1[[#This Row],[DMS_SAP]]&lt;&gt;0)=TRUE,"MIS A JOUR","")</f>
        <v/>
      </c>
      <c r="AA572" s="48"/>
      <c r="AB572" s="58" t="str">
        <f ca="1">IF(Tableau1[[#This Row],[Date rév.]]&lt;&gt;"", DAYS360(Tableau1[[#This Row],[Date rév.]],TODAY()),"")</f>
        <v/>
      </c>
      <c r="AC572" s="47" t="str">
        <f>IFERROR(INDEX(Chemin_accès!$B$11:$C$22,MATCH(Tableau1[[#This Row],[Type]],Chemin_accès!$C$11:$C$22,0),1),Chemin_accès!$B$11)</f>
        <v>\\stjn.local\trimet\Btechnique\Commun\BT Maint SCELLEMENT\205 - Préventifs\Modèles préventif\GammeDMS_7.MSCT.xlsm</v>
      </c>
      <c r="AD572" s="47" t="str">
        <f>Chemin_accès!$B$8&amp;Tableau1[[#This Row],[Localisation / Classement]]&amp;"\"&amp;Tableau1[[#This Row],[Poste technique]]&amp;"_"&amp;Tableau1[[#This Row],[Plan Entretien]]&amp;".xlsm"</f>
        <v>\\stjn.local\trimet\Btechnique\Commun\BT Maint SCELLEMENT\205 - Préventifs\Gammes 7.MSCT PE Tool\\_.xlsm</v>
      </c>
    </row>
    <row r="573" spans="1:30" x14ac:dyDescent="0.3">
      <c r="A573" s="44" t="str">
        <f t="shared" ca="1" si="8"/>
        <v>7.MSCT</v>
      </c>
      <c r="B5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3" s="46"/>
      <c r="D573" s="44"/>
      <c r="E573" s="44"/>
      <c r="F573" s="47"/>
      <c r="G573" s="47"/>
      <c r="H573" s="50"/>
      <c r="I573" s="50"/>
      <c r="J573" s="50"/>
      <c r="K573" s="50"/>
      <c r="L573" s="46"/>
      <c r="M573" s="47"/>
      <c r="N573" s="46"/>
      <c r="O573" s="46"/>
      <c r="P573" s="47"/>
      <c r="Q573" s="46"/>
      <c r="R573" s="46"/>
      <c r="S573" s="48"/>
      <c r="T573" s="61" t="str">
        <f>IF(Tableau1[[#This Row],[DMS_SAP]]="","",HYPERLINK(Tableau1[[#This Row],[Chemin fichier source]],"X"))</f>
        <v/>
      </c>
      <c r="U573" s="61" t="str">
        <f>IF(Tableau1[[#This Row],[Date rév.]]="","",HYPERLINK(Tableau1[[#This Row],[Lien document]],"X"))</f>
        <v/>
      </c>
      <c r="V573" s="47"/>
      <c r="W573" s="49" t="str">
        <f ca="1">Chemin_accès!$B$2&amp;Tableau1[[#This Row],[Poste Responsable]]&amp;"\"&amp;Tableau1[[#This Row],[Localisation / Classement]]&amp;"\"&amp;Tableau1[[#This Row],[Poste technique]]&amp;"_"&amp;Tableau1[[#This Row],[Plan Entretien]]&amp;".pdf"</f>
        <v>\\stjn.local\trimet\Donnees_Projets\Dms Sap\Maintenance\PlanEntretien\7.MSCT\\_.pdf</v>
      </c>
      <c r="X573" s="47"/>
      <c r="Y573" s="47"/>
      <c r="Z573" s="44" t="str">
        <f ca="1">IF(AND(Tableau1[[#This Row],[Charge]]&lt;&gt;0, Tableau1[[#This Row],[Nombre intervenants]]&lt;&gt;0,Tableau1[[#This Row],[Lien document]]&lt;&gt;0,Tableau1[[#This Row],[DMS_SAP]]&lt;&gt;0)=TRUE,"MIS A JOUR","")</f>
        <v/>
      </c>
      <c r="AA573" s="48"/>
      <c r="AB573" s="58" t="str">
        <f ca="1">IF(Tableau1[[#This Row],[Date rév.]]&lt;&gt;"", DAYS360(Tableau1[[#This Row],[Date rév.]],TODAY()),"")</f>
        <v/>
      </c>
      <c r="AC573" s="47" t="str">
        <f>IFERROR(INDEX(Chemin_accès!$B$11:$C$22,MATCH(Tableau1[[#This Row],[Type]],Chemin_accès!$C$11:$C$22,0),1),Chemin_accès!$B$11)</f>
        <v>\\stjn.local\trimet\Btechnique\Commun\BT Maint SCELLEMENT\205 - Préventifs\Modèles préventif\GammeDMS_7.MSCT.xlsm</v>
      </c>
      <c r="AD573" s="47" t="str">
        <f>Chemin_accès!$B$8&amp;Tableau1[[#This Row],[Localisation / Classement]]&amp;"\"&amp;Tableau1[[#This Row],[Poste technique]]&amp;"_"&amp;Tableau1[[#This Row],[Plan Entretien]]&amp;".xlsm"</f>
        <v>\\stjn.local\trimet\Btechnique\Commun\BT Maint SCELLEMENT\205 - Préventifs\Gammes 7.MSCT PE Tool\\_.xlsm</v>
      </c>
    </row>
    <row r="574" spans="1:30" x14ac:dyDescent="0.3">
      <c r="A574" s="44" t="str">
        <f t="shared" ca="1" si="8"/>
        <v>7.MSCT</v>
      </c>
      <c r="B5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4" s="46"/>
      <c r="D574" s="44"/>
      <c r="E574" s="44"/>
      <c r="F574" s="47"/>
      <c r="G574" s="47"/>
      <c r="H574" s="50"/>
      <c r="I574" s="50"/>
      <c r="J574" s="50"/>
      <c r="K574" s="50"/>
      <c r="L574" s="46"/>
      <c r="M574" s="47"/>
      <c r="N574" s="46"/>
      <c r="O574" s="46"/>
      <c r="P574" s="47"/>
      <c r="Q574" s="46"/>
      <c r="R574" s="46"/>
      <c r="S574" s="48"/>
      <c r="T574" s="61" t="str">
        <f>IF(Tableau1[[#This Row],[DMS_SAP]]="","",HYPERLINK(Tableau1[[#This Row],[Chemin fichier source]],"X"))</f>
        <v/>
      </c>
      <c r="U574" s="61" t="str">
        <f>IF(Tableau1[[#This Row],[Date rév.]]="","",HYPERLINK(Tableau1[[#This Row],[Lien document]],"X"))</f>
        <v/>
      </c>
      <c r="V574" s="47"/>
      <c r="W574" s="49" t="str">
        <f ca="1">Chemin_accès!$B$2&amp;Tableau1[[#This Row],[Poste Responsable]]&amp;"\"&amp;Tableau1[[#This Row],[Localisation / Classement]]&amp;"\"&amp;Tableau1[[#This Row],[Poste technique]]&amp;"_"&amp;Tableau1[[#This Row],[Plan Entretien]]&amp;".pdf"</f>
        <v>\\stjn.local\trimet\Donnees_Projets\Dms Sap\Maintenance\PlanEntretien\7.MSCT\\_.pdf</v>
      </c>
      <c r="X574" s="47"/>
      <c r="Y574" s="47"/>
      <c r="Z574" s="44" t="str">
        <f ca="1">IF(AND(Tableau1[[#This Row],[Charge]]&lt;&gt;0, Tableau1[[#This Row],[Nombre intervenants]]&lt;&gt;0,Tableau1[[#This Row],[Lien document]]&lt;&gt;0,Tableau1[[#This Row],[DMS_SAP]]&lt;&gt;0)=TRUE,"MIS A JOUR","")</f>
        <v/>
      </c>
      <c r="AA574" s="48"/>
      <c r="AB574" s="58" t="str">
        <f ca="1">IF(Tableau1[[#This Row],[Date rév.]]&lt;&gt;"", DAYS360(Tableau1[[#This Row],[Date rév.]],TODAY()),"")</f>
        <v/>
      </c>
      <c r="AC574" s="47" t="str">
        <f>IFERROR(INDEX(Chemin_accès!$B$11:$C$22,MATCH(Tableau1[[#This Row],[Type]],Chemin_accès!$C$11:$C$22,0),1),Chemin_accès!$B$11)</f>
        <v>\\stjn.local\trimet\Btechnique\Commun\BT Maint SCELLEMENT\205 - Préventifs\Modèles préventif\GammeDMS_7.MSCT.xlsm</v>
      </c>
      <c r="AD574" s="47" t="str">
        <f>Chemin_accès!$B$8&amp;Tableau1[[#This Row],[Localisation / Classement]]&amp;"\"&amp;Tableau1[[#This Row],[Poste technique]]&amp;"_"&amp;Tableau1[[#This Row],[Plan Entretien]]&amp;".xlsm"</f>
        <v>\\stjn.local\trimet\Btechnique\Commun\BT Maint SCELLEMENT\205 - Préventifs\Gammes 7.MSCT PE Tool\\_.xlsm</v>
      </c>
    </row>
    <row r="575" spans="1:30" x14ac:dyDescent="0.3">
      <c r="A575" s="44" t="str">
        <f t="shared" ca="1" si="8"/>
        <v>7.MSCT</v>
      </c>
      <c r="B5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5" s="46"/>
      <c r="D575" s="44"/>
      <c r="E575" s="44"/>
      <c r="F575" s="47"/>
      <c r="G575" s="47"/>
      <c r="H575" s="50"/>
      <c r="I575" s="50"/>
      <c r="J575" s="50"/>
      <c r="K575" s="50"/>
      <c r="L575" s="46"/>
      <c r="M575" s="47"/>
      <c r="N575" s="46"/>
      <c r="O575" s="46"/>
      <c r="P575" s="47"/>
      <c r="Q575" s="46"/>
      <c r="R575" s="46"/>
      <c r="S575" s="48"/>
      <c r="T575" s="61" t="str">
        <f>IF(Tableau1[[#This Row],[DMS_SAP]]="","",HYPERLINK(Tableau1[[#This Row],[Chemin fichier source]],"X"))</f>
        <v/>
      </c>
      <c r="U575" s="61" t="str">
        <f>IF(Tableau1[[#This Row],[Date rév.]]="","",HYPERLINK(Tableau1[[#This Row],[Lien document]],"X"))</f>
        <v/>
      </c>
      <c r="V575" s="47"/>
      <c r="W575" s="49" t="str">
        <f ca="1">Chemin_accès!$B$2&amp;Tableau1[[#This Row],[Poste Responsable]]&amp;"\"&amp;Tableau1[[#This Row],[Localisation / Classement]]&amp;"\"&amp;Tableau1[[#This Row],[Poste technique]]&amp;"_"&amp;Tableau1[[#This Row],[Plan Entretien]]&amp;".pdf"</f>
        <v>\\stjn.local\trimet\Donnees_Projets\Dms Sap\Maintenance\PlanEntretien\7.MSCT\\_.pdf</v>
      </c>
      <c r="X575" s="47"/>
      <c r="Y575" s="47"/>
      <c r="Z575" s="44" t="str">
        <f ca="1">IF(AND(Tableau1[[#This Row],[Charge]]&lt;&gt;0, Tableau1[[#This Row],[Nombre intervenants]]&lt;&gt;0,Tableau1[[#This Row],[Lien document]]&lt;&gt;0,Tableau1[[#This Row],[DMS_SAP]]&lt;&gt;0)=TRUE,"MIS A JOUR","")</f>
        <v/>
      </c>
      <c r="AA575" s="48"/>
      <c r="AB575" s="58" t="str">
        <f ca="1">IF(Tableau1[[#This Row],[Date rév.]]&lt;&gt;"", DAYS360(Tableau1[[#This Row],[Date rév.]],TODAY()),"")</f>
        <v/>
      </c>
      <c r="AC575" s="47" t="str">
        <f>IFERROR(INDEX(Chemin_accès!$B$11:$C$22,MATCH(Tableau1[[#This Row],[Type]],Chemin_accès!$C$11:$C$22,0),1),Chemin_accès!$B$11)</f>
        <v>\\stjn.local\trimet\Btechnique\Commun\BT Maint SCELLEMENT\205 - Préventifs\Modèles préventif\GammeDMS_7.MSCT.xlsm</v>
      </c>
      <c r="AD575" s="47" t="str">
        <f>Chemin_accès!$B$8&amp;Tableau1[[#This Row],[Localisation / Classement]]&amp;"\"&amp;Tableau1[[#This Row],[Poste technique]]&amp;"_"&amp;Tableau1[[#This Row],[Plan Entretien]]&amp;".xlsm"</f>
        <v>\\stjn.local\trimet\Btechnique\Commun\BT Maint SCELLEMENT\205 - Préventifs\Gammes 7.MSCT PE Tool\\_.xlsm</v>
      </c>
    </row>
    <row r="576" spans="1:30" x14ac:dyDescent="0.3">
      <c r="A576" s="44" t="str">
        <f t="shared" ca="1" si="8"/>
        <v>7.MSCT</v>
      </c>
      <c r="B5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6" s="46"/>
      <c r="D576" s="44"/>
      <c r="E576" s="44"/>
      <c r="F576" s="47"/>
      <c r="G576" s="47"/>
      <c r="H576" s="50"/>
      <c r="I576" s="50"/>
      <c r="J576" s="50"/>
      <c r="K576" s="50"/>
      <c r="L576" s="46"/>
      <c r="M576" s="47"/>
      <c r="N576" s="46"/>
      <c r="O576" s="46"/>
      <c r="P576" s="47"/>
      <c r="Q576" s="46"/>
      <c r="R576" s="46"/>
      <c r="S576" s="48"/>
      <c r="T576" s="61" t="str">
        <f>IF(Tableau1[[#This Row],[DMS_SAP]]="","",HYPERLINK(Tableau1[[#This Row],[Chemin fichier source]],"X"))</f>
        <v/>
      </c>
      <c r="U576" s="61" t="str">
        <f>IF(Tableau1[[#This Row],[Date rév.]]="","",HYPERLINK(Tableau1[[#This Row],[Lien document]],"X"))</f>
        <v/>
      </c>
      <c r="V576" s="47"/>
      <c r="W576" s="49" t="str">
        <f ca="1">Chemin_accès!$B$2&amp;Tableau1[[#This Row],[Poste Responsable]]&amp;"\"&amp;Tableau1[[#This Row],[Localisation / Classement]]&amp;"\"&amp;Tableau1[[#This Row],[Poste technique]]&amp;"_"&amp;Tableau1[[#This Row],[Plan Entretien]]&amp;".pdf"</f>
        <v>\\stjn.local\trimet\Donnees_Projets\Dms Sap\Maintenance\PlanEntretien\7.MSCT\\_.pdf</v>
      </c>
      <c r="X576" s="47"/>
      <c r="Y576" s="47"/>
      <c r="Z576" s="44" t="str">
        <f ca="1">IF(AND(Tableau1[[#This Row],[Charge]]&lt;&gt;0, Tableau1[[#This Row],[Nombre intervenants]]&lt;&gt;0,Tableau1[[#This Row],[Lien document]]&lt;&gt;0,Tableau1[[#This Row],[DMS_SAP]]&lt;&gt;0)=TRUE,"MIS A JOUR","")</f>
        <v/>
      </c>
      <c r="AA576" s="48"/>
      <c r="AB576" s="58" t="str">
        <f ca="1">IF(Tableau1[[#This Row],[Date rév.]]&lt;&gt;"", DAYS360(Tableau1[[#This Row],[Date rév.]],TODAY()),"")</f>
        <v/>
      </c>
      <c r="AC576" s="47" t="str">
        <f>IFERROR(INDEX(Chemin_accès!$B$11:$C$22,MATCH(Tableau1[[#This Row],[Type]],Chemin_accès!$C$11:$C$22,0),1),Chemin_accès!$B$11)</f>
        <v>\\stjn.local\trimet\Btechnique\Commun\BT Maint SCELLEMENT\205 - Préventifs\Modèles préventif\GammeDMS_7.MSCT.xlsm</v>
      </c>
      <c r="AD576" s="47" t="str">
        <f>Chemin_accès!$B$8&amp;Tableau1[[#This Row],[Localisation / Classement]]&amp;"\"&amp;Tableau1[[#This Row],[Poste technique]]&amp;"_"&amp;Tableau1[[#This Row],[Plan Entretien]]&amp;".xlsm"</f>
        <v>\\stjn.local\trimet\Btechnique\Commun\BT Maint SCELLEMENT\205 - Préventifs\Gammes 7.MSCT PE Tool\\_.xlsm</v>
      </c>
    </row>
    <row r="577" spans="1:30" x14ac:dyDescent="0.3">
      <c r="A577" s="44" t="str">
        <f t="shared" ca="1" si="8"/>
        <v>7.MSCT</v>
      </c>
      <c r="B5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7" s="46"/>
      <c r="D577" s="44"/>
      <c r="E577" s="44"/>
      <c r="F577" s="47"/>
      <c r="G577" s="47"/>
      <c r="H577" s="50"/>
      <c r="I577" s="50"/>
      <c r="J577" s="50"/>
      <c r="K577" s="50"/>
      <c r="L577" s="46"/>
      <c r="M577" s="47"/>
      <c r="N577" s="46"/>
      <c r="O577" s="46"/>
      <c r="P577" s="47"/>
      <c r="Q577" s="46"/>
      <c r="R577" s="46"/>
      <c r="S577" s="48"/>
      <c r="T577" s="61" t="str">
        <f>IF(Tableau1[[#This Row],[DMS_SAP]]="","",HYPERLINK(Tableau1[[#This Row],[Chemin fichier source]],"X"))</f>
        <v/>
      </c>
      <c r="U577" s="61" t="str">
        <f>IF(Tableau1[[#This Row],[Date rév.]]="","",HYPERLINK(Tableau1[[#This Row],[Lien document]],"X"))</f>
        <v/>
      </c>
      <c r="V577" s="47"/>
      <c r="W577" s="49" t="str">
        <f ca="1">Chemin_accès!$B$2&amp;Tableau1[[#This Row],[Poste Responsable]]&amp;"\"&amp;Tableau1[[#This Row],[Localisation / Classement]]&amp;"\"&amp;Tableau1[[#This Row],[Poste technique]]&amp;"_"&amp;Tableau1[[#This Row],[Plan Entretien]]&amp;".pdf"</f>
        <v>\\stjn.local\trimet\Donnees_Projets\Dms Sap\Maintenance\PlanEntretien\7.MSCT\\_.pdf</v>
      </c>
      <c r="X577" s="47"/>
      <c r="Y577" s="47"/>
      <c r="Z577" s="44" t="str">
        <f ca="1">IF(AND(Tableau1[[#This Row],[Charge]]&lt;&gt;0, Tableau1[[#This Row],[Nombre intervenants]]&lt;&gt;0,Tableau1[[#This Row],[Lien document]]&lt;&gt;0,Tableau1[[#This Row],[DMS_SAP]]&lt;&gt;0)=TRUE,"MIS A JOUR","")</f>
        <v/>
      </c>
      <c r="AA577" s="48"/>
      <c r="AB577" s="58" t="str">
        <f ca="1">IF(Tableau1[[#This Row],[Date rév.]]&lt;&gt;"", DAYS360(Tableau1[[#This Row],[Date rév.]],TODAY()),"")</f>
        <v/>
      </c>
      <c r="AC577" s="47" t="str">
        <f>IFERROR(INDEX(Chemin_accès!$B$11:$C$22,MATCH(Tableau1[[#This Row],[Type]],Chemin_accès!$C$11:$C$22,0),1),Chemin_accès!$B$11)</f>
        <v>\\stjn.local\trimet\Btechnique\Commun\BT Maint SCELLEMENT\205 - Préventifs\Modèles préventif\GammeDMS_7.MSCT.xlsm</v>
      </c>
      <c r="AD577" s="47" t="str">
        <f>Chemin_accès!$B$8&amp;Tableau1[[#This Row],[Localisation / Classement]]&amp;"\"&amp;Tableau1[[#This Row],[Poste technique]]&amp;"_"&amp;Tableau1[[#This Row],[Plan Entretien]]&amp;".xlsm"</f>
        <v>\\stjn.local\trimet\Btechnique\Commun\BT Maint SCELLEMENT\205 - Préventifs\Gammes 7.MSCT PE Tool\\_.xlsm</v>
      </c>
    </row>
    <row r="578" spans="1:30" x14ac:dyDescent="0.3">
      <c r="A578" s="44" t="str">
        <f t="shared" ref="A578:A641" ca="1" si="9">MID(CELL("filename",$A$1),FIND("]",CELL("filename",$A$1))+1,32)</f>
        <v>7.MSCT</v>
      </c>
      <c r="B5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8" s="46"/>
      <c r="D578" s="44"/>
      <c r="E578" s="44"/>
      <c r="F578" s="47"/>
      <c r="G578" s="47"/>
      <c r="H578" s="50"/>
      <c r="I578" s="50"/>
      <c r="J578" s="50"/>
      <c r="K578" s="50"/>
      <c r="L578" s="46"/>
      <c r="M578" s="47"/>
      <c r="N578" s="46"/>
      <c r="O578" s="46"/>
      <c r="P578" s="47"/>
      <c r="Q578" s="46"/>
      <c r="R578" s="46"/>
      <c r="S578" s="48"/>
      <c r="T578" s="61" t="str">
        <f>IF(Tableau1[[#This Row],[DMS_SAP]]="","",HYPERLINK(Tableau1[[#This Row],[Chemin fichier source]],"X"))</f>
        <v/>
      </c>
      <c r="U578" s="61" t="str">
        <f>IF(Tableau1[[#This Row],[Date rév.]]="","",HYPERLINK(Tableau1[[#This Row],[Lien document]],"X"))</f>
        <v/>
      </c>
      <c r="V578" s="47"/>
      <c r="W578" s="49" t="str">
        <f ca="1">Chemin_accès!$B$2&amp;Tableau1[[#This Row],[Poste Responsable]]&amp;"\"&amp;Tableau1[[#This Row],[Localisation / Classement]]&amp;"\"&amp;Tableau1[[#This Row],[Poste technique]]&amp;"_"&amp;Tableau1[[#This Row],[Plan Entretien]]&amp;".pdf"</f>
        <v>\\stjn.local\trimet\Donnees_Projets\Dms Sap\Maintenance\PlanEntretien\7.MSCT\\_.pdf</v>
      </c>
      <c r="X578" s="47"/>
      <c r="Y578" s="47"/>
      <c r="Z578" s="44" t="str">
        <f ca="1">IF(AND(Tableau1[[#This Row],[Charge]]&lt;&gt;0, Tableau1[[#This Row],[Nombre intervenants]]&lt;&gt;0,Tableau1[[#This Row],[Lien document]]&lt;&gt;0,Tableau1[[#This Row],[DMS_SAP]]&lt;&gt;0)=TRUE,"MIS A JOUR","")</f>
        <v/>
      </c>
      <c r="AA578" s="48"/>
      <c r="AB578" s="58" t="str">
        <f ca="1">IF(Tableau1[[#This Row],[Date rév.]]&lt;&gt;"", DAYS360(Tableau1[[#This Row],[Date rév.]],TODAY()),"")</f>
        <v/>
      </c>
      <c r="AC578" s="47" t="str">
        <f>IFERROR(INDEX(Chemin_accès!$B$11:$C$22,MATCH(Tableau1[[#This Row],[Type]],Chemin_accès!$C$11:$C$22,0),1),Chemin_accès!$B$11)</f>
        <v>\\stjn.local\trimet\Btechnique\Commun\BT Maint SCELLEMENT\205 - Préventifs\Modèles préventif\GammeDMS_7.MSCT.xlsm</v>
      </c>
      <c r="AD578" s="47" t="str">
        <f>Chemin_accès!$B$8&amp;Tableau1[[#This Row],[Localisation / Classement]]&amp;"\"&amp;Tableau1[[#This Row],[Poste technique]]&amp;"_"&amp;Tableau1[[#This Row],[Plan Entretien]]&amp;".xlsm"</f>
        <v>\\stjn.local\trimet\Btechnique\Commun\BT Maint SCELLEMENT\205 - Préventifs\Gammes 7.MSCT PE Tool\\_.xlsm</v>
      </c>
    </row>
    <row r="579" spans="1:30" x14ac:dyDescent="0.3">
      <c r="A579" s="44" t="str">
        <f t="shared" ca="1" si="9"/>
        <v>7.MSCT</v>
      </c>
      <c r="B5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9" s="46"/>
      <c r="D579" s="44"/>
      <c r="E579" s="44"/>
      <c r="F579" s="47"/>
      <c r="G579" s="47"/>
      <c r="H579" s="50"/>
      <c r="I579" s="50"/>
      <c r="J579" s="50"/>
      <c r="K579" s="50"/>
      <c r="L579" s="46"/>
      <c r="M579" s="47"/>
      <c r="N579" s="46"/>
      <c r="O579" s="46"/>
      <c r="P579" s="47"/>
      <c r="Q579" s="46"/>
      <c r="R579" s="46"/>
      <c r="S579" s="48"/>
      <c r="T579" s="61" t="str">
        <f>IF(Tableau1[[#This Row],[DMS_SAP]]="","",HYPERLINK(Tableau1[[#This Row],[Chemin fichier source]],"X"))</f>
        <v/>
      </c>
      <c r="U579" s="61" t="str">
        <f>IF(Tableau1[[#This Row],[Date rév.]]="","",HYPERLINK(Tableau1[[#This Row],[Lien document]],"X"))</f>
        <v/>
      </c>
      <c r="V579" s="47"/>
      <c r="W579" s="49" t="str">
        <f ca="1">Chemin_accès!$B$2&amp;Tableau1[[#This Row],[Poste Responsable]]&amp;"\"&amp;Tableau1[[#This Row],[Localisation / Classement]]&amp;"\"&amp;Tableau1[[#This Row],[Poste technique]]&amp;"_"&amp;Tableau1[[#This Row],[Plan Entretien]]&amp;".pdf"</f>
        <v>\\stjn.local\trimet\Donnees_Projets\Dms Sap\Maintenance\PlanEntretien\7.MSCT\\_.pdf</v>
      </c>
      <c r="X579" s="47"/>
      <c r="Y579" s="47"/>
      <c r="Z579" s="44" t="str">
        <f ca="1">IF(AND(Tableau1[[#This Row],[Charge]]&lt;&gt;0, Tableau1[[#This Row],[Nombre intervenants]]&lt;&gt;0,Tableau1[[#This Row],[Lien document]]&lt;&gt;0,Tableau1[[#This Row],[DMS_SAP]]&lt;&gt;0)=TRUE,"MIS A JOUR","")</f>
        <v/>
      </c>
      <c r="AA579" s="48"/>
      <c r="AB579" s="58" t="str">
        <f ca="1">IF(Tableau1[[#This Row],[Date rév.]]&lt;&gt;"", DAYS360(Tableau1[[#This Row],[Date rév.]],TODAY()),"")</f>
        <v/>
      </c>
      <c r="AC579" s="47" t="str">
        <f>IFERROR(INDEX(Chemin_accès!$B$11:$C$22,MATCH(Tableau1[[#This Row],[Type]],Chemin_accès!$C$11:$C$22,0),1),Chemin_accès!$B$11)</f>
        <v>\\stjn.local\trimet\Btechnique\Commun\BT Maint SCELLEMENT\205 - Préventifs\Modèles préventif\GammeDMS_7.MSCT.xlsm</v>
      </c>
      <c r="AD579" s="47" t="str">
        <f>Chemin_accès!$B$8&amp;Tableau1[[#This Row],[Localisation / Classement]]&amp;"\"&amp;Tableau1[[#This Row],[Poste technique]]&amp;"_"&amp;Tableau1[[#This Row],[Plan Entretien]]&amp;".xlsm"</f>
        <v>\\stjn.local\trimet\Btechnique\Commun\BT Maint SCELLEMENT\205 - Préventifs\Gammes 7.MSCT PE Tool\\_.xlsm</v>
      </c>
    </row>
    <row r="580" spans="1:30" x14ac:dyDescent="0.3">
      <c r="A580" s="44" t="str">
        <f t="shared" ca="1" si="9"/>
        <v>7.MSCT</v>
      </c>
      <c r="B5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0" s="46"/>
      <c r="D580" s="44"/>
      <c r="E580" s="44"/>
      <c r="F580" s="47"/>
      <c r="G580" s="47"/>
      <c r="H580" s="50"/>
      <c r="I580" s="50"/>
      <c r="J580" s="50"/>
      <c r="K580" s="50"/>
      <c r="L580" s="46"/>
      <c r="M580" s="47"/>
      <c r="N580" s="46"/>
      <c r="O580" s="46"/>
      <c r="P580" s="47"/>
      <c r="Q580" s="46"/>
      <c r="R580" s="46"/>
      <c r="S580" s="48"/>
      <c r="T580" s="61" t="str">
        <f>IF(Tableau1[[#This Row],[DMS_SAP]]="","",HYPERLINK(Tableau1[[#This Row],[Chemin fichier source]],"X"))</f>
        <v/>
      </c>
      <c r="U580" s="61" t="str">
        <f>IF(Tableau1[[#This Row],[Date rév.]]="","",HYPERLINK(Tableau1[[#This Row],[Lien document]],"X"))</f>
        <v/>
      </c>
      <c r="V580" s="47"/>
      <c r="W580" s="49" t="str">
        <f ca="1">Chemin_accès!$B$2&amp;Tableau1[[#This Row],[Poste Responsable]]&amp;"\"&amp;Tableau1[[#This Row],[Localisation / Classement]]&amp;"\"&amp;Tableau1[[#This Row],[Poste technique]]&amp;"_"&amp;Tableau1[[#This Row],[Plan Entretien]]&amp;".pdf"</f>
        <v>\\stjn.local\trimet\Donnees_Projets\Dms Sap\Maintenance\PlanEntretien\7.MSCT\\_.pdf</v>
      </c>
      <c r="X580" s="47"/>
      <c r="Y580" s="47"/>
      <c r="Z580" s="44" t="str">
        <f ca="1">IF(AND(Tableau1[[#This Row],[Charge]]&lt;&gt;0, Tableau1[[#This Row],[Nombre intervenants]]&lt;&gt;0,Tableau1[[#This Row],[Lien document]]&lt;&gt;0,Tableau1[[#This Row],[DMS_SAP]]&lt;&gt;0)=TRUE,"MIS A JOUR","")</f>
        <v/>
      </c>
      <c r="AA580" s="48"/>
      <c r="AB580" s="58" t="str">
        <f ca="1">IF(Tableau1[[#This Row],[Date rév.]]&lt;&gt;"", DAYS360(Tableau1[[#This Row],[Date rév.]],TODAY()),"")</f>
        <v/>
      </c>
      <c r="AC580" s="47" t="str">
        <f>IFERROR(INDEX(Chemin_accès!$B$11:$C$22,MATCH(Tableau1[[#This Row],[Type]],Chemin_accès!$C$11:$C$22,0),1),Chemin_accès!$B$11)</f>
        <v>\\stjn.local\trimet\Btechnique\Commun\BT Maint SCELLEMENT\205 - Préventifs\Modèles préventif\GammeDMS_7.MSCT.xlsm</v>
      </c>
      <c r="AD580" s="47" t="str">
        <f>Chemin_accès!$B$8&amp;Tableau1[[#This Row],[Localisation / Classement]]&amp;"\"&amp;Tableau1[[#This Row],[Poste technique]]&amp;"_"&amp;Tableau1[[#This Row],[Plan Entretien]]&amp;".xlsm"</f>
        <v>\\stjn.local\trimet\Btechnique\Commun\BT Maint SCELLEMENT\205 - Préventifs\Gammes 7.MSCT PE Tool\\_.xlsm</v>
      </c>
    </row>
    <row r="581" spans="1:30" x14ac:dyDescent="0.3">
      <c r="A581" s="44" t="str">
        <f t="shared" ca="1" si="9"/>
        <v>7.MSCT</v>
      </c>
      <c r="B5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1" s="46"/>
      <c r="D581" s="44"/>
      <c r="E581" s="44"/>
      <c r="F581" s="47"/>
      <c r="G581" s="47"/>
      <c r="H581" s="50"/>
      <c r="I581" s="50"/>
      <c r="J581" s="50"/>
      <c r="K581" s="50"/>
      <c r="L581" s="46"/>
      <c r="M581" s="47"/>
      <c r="N581" s="46"/>
      <c r="O581" s="46"/>
      <c r="P581" s="47"/>
      <c r="Q581" s="46"/>
      <c r="R581" s="46"/>
      <c r="S581" s="48"/>
      <c r="T581" s="61" t="str">
        <f>IF(Tableau1[[#This Row],[DMS_SAP]]="","",HYPERLINK(Tableau1[[#This Row],[Chemin fichier source]],"X"))</f>
        <v/>
      </c>
      <c r="U581" s="61" t="str">
        <f>IF(Tableau1[[#This Row],[Date rév.]]="","",HYPERLINK(Tableau1[[#This Row],[Lien document]],"X"))</f>
        <v/>
      </c>
      <c r="V581" s="47"/>
      <c r="W581" s="49" t="str">
        <f ca="1">Chemin_accès!$B$2&amp;Tableau1[[#This Row],[Poste Responsable]]&amp;"\"&amp;Tableau1[[#This Row],[Localisation / Classement]]&amp;"\"&amp;Tableau1[[#This Row],[Poste technique]]&amp;"_"&amp;Tableau1[[#This Row],[Plan Entretien]]&amp;".pdf"</f>
        <v>\\stjn.local\trimet\Donnees_Projets\Dms Sap\Maintenance\PlanEntretien\7.MSCT\\_.pdf</v>
      </c>
      <c r="X581" s="47"/>
      <c r="Y581" s="47"/>
      <c r="Z581" s="44" t="str">
        <f ca="1">IF(AND(Tableau1[[#This Row],[Charge]]&lt;&gt;0, Tableau1[[#This Row],[Nombre intervenants]]&lt;&gt;0,Tableau1[[#This Row],[Lien document]]&lt;&gt;0,Tableau1[[#This Row],[DMS_SAP]]&lt;&gt;0)=TRUE,"MIS A JOUR","")</f>
        <v/>
      </c>
      <c r="AA581" s="48"/>
      <c r="AB581" s="58" t="str">
        <f ca="1">IF(Tableau1[[#This Row],[Date rév.]]&lt;&gt;"", DAYS360(Tableau1[[#This Row],[Date rév.]],TODAY()),"")</f>
        <v/>
      </c>
      <c r="AC581" s="47" t="str">
        <f>IFERROR(INDEX(Chemin_accès!$B$11:$C$22,MATCH(Tableau1[[#This Row],[Type]],Chemin_accès!$C$11:$C$22,0),1),Chemin_accès!$B$11)</f>
        <v>\\stjn.local\trimet\Btechnique\Commun\BT Maint SCELLEMENT\205 - Préventifs\Modèles préventif\GammeDMS_7.MSCT.xlsm</v>
      </c>
      <c r="AD581" s="47" t="str">
        <f>Chemin_accès!$B$8&amp;Tableau1[[#This Row],[Localisation / Classement]]&amp;"\"&amp;Tableau1[[#This Row],[Poste technique]]&amp;"_"&amp;Tableau1[[#This Row],[Plan Entretien]]&amp;".xlsm"</f>
        <v>\\stjn.local\trimet\Btechnique\Commun\BT Maint SCELLEMENT\205 - Préventifs\Gammes 7.MSCT PE Tool\\_.xlsm</v>
      </c>
    </row>
    <row r="582" spans="1:30" x14ac:dyDescent="0.3">
      <c r="A582" s="44" t="str">
        <f t="shared" ca="1" si="9"/>
        <v>7.MSCT</v>
      </c>
      <c r="B5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2" s="46"/>
      <c r="D582" s="44"/>
      <c r="E582" s="44"/>
      <c r="F582" s="47"/>
      <c r="G582" s="47"/>
      <c r="H582" s="50"/>
      <c r="I582" s="50"/>
      <c r="J582" s="50"/>
      <c r="K582" s="50"/>
      <c r="L582" s="46"/>
      <c r="M582" s="47"/>
      <c r="N582" s="46"/>
      <c r="O582" s="46"/>
      <c r="P582" s="47"/>
      <c r="Q582" s="46"/>
      <c r="R582" s="46"/>
      <c r="S582" s="48"/>
      <c r="T582" s="61" t="str">
        <f>IF(Tableau1[[#This Row],[DMS_SAP]]="","",HYPERLINK(Tableau1[[#This Row],[Chemin fichier source]],"X"))</f>
        <v/>
      </c>
      <c r="U582" s="61" t="str">
        <f>IF(Tableau1[[#This Row],[Date rév.]]="","",HYPERLINK(Tableau1[[#This Row],[Lien document]],"X"))</f>
        <v/>
      </c>
      <c r="V582" s="47"/>
      <c r="W582" s="49" t="str">
        <f ca="1">Chemin_accès!$B$2&amp;Tableau1[[#This Row],[Poste Responsable]]&amp;"\"&amp;Tableau1[[#This Row],[Localisation / Classement]]&amp;"\"&amp;Tableau1[[#This Row],[Poste technique]]&amp;"_"&amp;Tableau1[[#This Row],[Plan Entretien]]&amp;".pdf"</f>
        <v>\\stjn.local\trimet\Donnees_Projets\Dms Sap\Maintenance\PlanEntretien\7.MSCT\\_.pdf</v>
      </c>
      <c r="X582" s="47"/>
      <c r="Y582" s="47"/>
      <c r="Z582" s="44" t="str">
        <f ca="1">IF(AND(Tableau1[[#This Row],[Charge]]&lt;&gt;0, Tableau1[[#This Row],[Nombre intervenants]]&lt;&gt;0,Tableau1[[#This Row],[Lien document]]&lt;&gt;0,Tableau1[[#This Row],[DMS_SAP]]&lt;&gt;0)=TRUE,"MIS A JOUR","")</f>
        <v/>
      </c>
      <c r="AA582" s="48"/>
      <c r="AB582" s="58" t="str">
        <f ca="1">IF(Tableau1[[#This Row],[Date rév.]]&lt;&gt;"", DAYS360(Tableau1[[#This Row],[Date rév.]],TODAY()),"")</f>
        <v/>
      </c>
      <c r="AC582" s="47" t="str">
        <f>IFERROR(INDEX(Chemin_accès!$B$11:$C$22,MATCH(Tableau1[[#This Row],[Type]],Chemin_accès!$C$11:$C$22,0),1),Chemin_accès!$B$11)</f>
        <v>\\stjn.local\trimet\Btechnique\Commun\BT Maint SCELLEMENT\205 - Préventifs\Modèles préventif\GammeDMS_7.MSCT.xlsm</v>
      </c>
      <c r="AD582" s="47" t="str">
        <f>Chemin_accès!$B$8&amp;Tableau1[[#This Row],[Localisation / Classement]]&amp;"\"&amp;Tableau1[[#This Row],[Poste technique]]&amp;"_"&amp;Tableau1[[#This Row],[Plan Entretien]]&amp;".xlsm"</f>
        <v>\\stjn.local\trimet\Btechnique\Commun\BT Maint SCELLEMENT\205 - Préventifs\Gammes 7.MSCT PE Tool\\_.xlsm</v>
      </c>
    </row>
    <row r="583" spans="1:30" x14ac:dyDescent="0.3">
      <c r="A583" s="44" t="str">
        <f t="shared" ca="1" si="9"/>
        <v>7.MSCT</v>
      </c>
      <c r="B5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3" s="46"/>
      <c r="D583" s="44"/>
      <c r="E583" s="44"/>
      <c r="F583" s="47"/>
      <c r="G583" s="47"/>
      <c r="H583" s="50"/>
      <c r="I583" s="50"/>
      <c r="J583" s="50"/>
      <c r="K583" s="50"/>
      <c r="L583" s="46"/>
      <c r="M583" s="47"/>
      <c r="N583" s="46"/>
      <c r="O583" s="46"/>
      <c r="P583" s="47"/>
      <c r="Q583" s="46"/>
      <c r="R583" s="46"/>
      <c r="S583" s="48"/>
      <c r="T583" s="61" t="str">
        <f>IF(Tableau1[[#This Row],[DMS_SAP]]="","",HYPERLINK(Tableau1[[#This Row],[Chemin fichier source]],"X"))</f>
        <v/>
      </c>
      <c r="U583" s="61" t="str">
        <f>IF(Tableau1[[#This Row],[Date rév.]]="","",HYPERLINK(Tableau1[[#This Row],[Lien document]],"X"))</f>
        <v/>
      </c>
      <c r="V583" s="47"/>
      <c r="W583" s="49" t="str">
        <f ca="1">Chemin_accès!$B$2&amp;Tableau1[[#This Row],[Poste Responsable]]&amp;"\"&amp;Tableau1[[#This Row],[Localisation / Classement]]&amp;"\"&amp;Tableau1[[#This Row],[Poste technique]]&amp;"_"&amp;Tableau1[[#This Row],[Plan Entretien]]&amp;".pdf"</f>
        <v>\\stjn.local\trimet\Donnees_Projets\Dms Sap\Maintenance\PlanEntretien\7.MSCT\\_.pdf</v>
      </c>
      <c r="X583" s="47"/>
      <c r="Y583" s="47"/>
      <c r="Z583" s="44" t="str">
        <f ca="1">IF(AND(Tableau1[[#This Row],[Charge]]&lt;&gt;0, Tableau1[[#This Row],[Nombre intervenants]]&lt;&gt;0,Tableau1[[#This Row],[Lien document]]&lt;&gt;0,Tableau1[[#This Row],[DMS_SAP]]&lt;&gt;0)=TRUE,"MIS A JOUR","")</f>
        <v/>
      </c>
      <c r="AA583" s="48"/>
      <c r="AB583" s="58" t="str">
        <f ca="1">IF(Tableau1[[#This Row],[Date rév.]]&lt;&gt;"", DAYS360(Tableau1[[#This Row],[Date rév.]],TODAY()),"")</f>
        <v/>
      </c>
      <c r="AC583" s="47" t="str">
        <f>IFERROR(INDEX(Chemin_accès!$B$11:$C$22,MATCH(Tableau1[[#This Row],[Type]],Chemin_accès!$C$11:$C$22,0),1),Chemin_accès!$B$11)</f>
        <v>\\stjn.local\trimet\Btechnique\Commun\BT Maint SCELLEMENT\205 - Préventifs\Modèles préventif\GammeDMS_7.MSCT.xlsm</v>
      </c>
      <c r="AD583" s="47" t="str">
        <f>Chemin_accès!$B$8&amp;Tableau1[[#This Row],[Localisation / Classement]]&amp;"\"&amp;Tableau1[[#This Row],[Poste technique]]&amp;"_"&amp;Tableau1[[#This Row],[Plan Entretien]]&amp;".xlsm"</f>
        <v>\\stjn.local\trimet\Btechnique\Commun\BT Maint SCELLEMENT\205 - Préventifs\Gammes 7.MSCT PE Tool\\_.xlsm</v>
      </c>
    </row>
    <row r="584" spans="1:30" x14ac:dyDescent="0.3">
      <c r="A584" s="44" t="str">
        <f t="shared" ca="1" si="9"/>
        <v>7.MSCT</v>
      </c>
      <c r="B5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4" s="46"/>
      <c r="D584" s="44"/>
      <c r="E584" s="44"/>
      <c r="F584" s="47"/>
      <c r="G584" s="47"/>
      <c r="H584" s="50"/>
      <c r="I584" s="50"/>
      <c r="J584" s="50"/>
      <c r="K584" s="50"/>
      <c r="L584" s="46"/>
      <c r="M584" s="47"/>
      <c r="N584" s="46"/>
      <c r="O584" s="46"/>
      <c r="P584" s="47"/>
      <c r="Q584" s="46"/>
      <c r="R584" s="46"/>
      <c r="S584" s="48"/>
      <c r="T584" s="61" t="str">
        <f>IF(Tableau1[[#This Row],[DMS_SAP]]="","",HYPERLINK(Tableau1[[#This Row],[Chemin fichier source]],"X"))</f>
        <v/>
      </c>
      <c r="U584" s="61" t="str">
        <f>IF(Tableau1[[#This Row],[Date rév.]]="","",HYPERLINK(Tableau1[[#This Row],[Lien document]],"X"))</f>
        <v/>
      </c>
      <c r="V584" s="47"/>
      <c r="W584" s="49" t="str">
        <f ca="1">Chemin_accès!$B$2&amp;Tableau1[[#This Row],[Poste Responsable]]&amp;"\"&amp;Tableau1[[#This Row],[Localisation / Classement]]&amp;"\"&amp;Tableau1[[#This Row],[Poste technique]]&amp;"_"&amp;Tableau1[[#This Row],[Plan Entretien]]&amp;".pdf"</f>
        <v>\\stjn.local\trimet\Donnees_Projets\Dms Sap\Maintenance\PlanEntretien\7.MSCT\\_.pdf</v>
      </c>
      <c r="X584" s="47"/>
      <c r="Y584" s="47"/>
      <c r="Z584" s="44" t="str">
        <f ca="1">IF(AND(Tableau1[[#This Row],[Charge]]&lt;&gt;0, Tableau1[[#This Row],[Nombre intervenants]]&lt;&gt;0,Tableau1[[#This Row],[Lien document]]&lt;&gt;0,Tableau1[[#This Row],[DMS_SAP]]&lt;&gt;0)=TRUE,"MIS A JOUR","")</f>
        <v/>
      </c>
      <c r="AA584" s="48"/>
      <c r="AB584" s="58" t="str">
        <f ca="1">IF(Tableau1[[#This Row],[Date rév.]]&lt;&gt;"", DAYS360(Tableau1[[#This Row],[Date rév.]],TODAY()),"")</f>
        <v/>
      </c>
      <c r="AC584" s="47" t="str">
        <f>IFERROR(INDEX(Chemin_accès!$B$11:$C$22,MATCH(Tableau1[[#This Row],[Type]],Chemin_accès!$C$11:$C$22,0),1),Chemin_accès!$B$11)</f>
        <v>\\stjn.local\trimet\Btechnique\Commun\BT Maint SCELLEMENT\205 - Préventifs\Modèles préventif\GammeDMS_7.MSCT.xlsm</v>
      </c>
      <c r="AD584" s="47" t="str">
        <f>Chemin_accès!$B$8&amp;Tableau1[[#This Row],[Localisation / Classement]]&amp;"\"&amp;Tableau1[[#This Row],[Poste technique]]&amp;"_"&amp;Tableau1[[#This Row],[Plan Entretien]]&amp;".xlsm"</f>
        <v>\\stjn.local\trimet\Btechnique\Commun\BT Maint SCELLEMENT\205 - Préventifs\Gammes 7.MSCT PE Tool\\_.xlsm</v>
      </c>
    </row>
    <row r="585" spans="1:30" x14ac:dyDescent="0.3">
      <c r="A585" s="44" t="str">
        <f t="shared" ca="1" si="9"/>
        <v>7.MSCT</v>
      </c>
      <c r="B5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5" s="46"/>
      <c r="D585" s="44"/>
      <c r="E585" s="44"/>
      <c r="F585" s="47"/>
      <c r="G585" s="47"/>
      <c r="H585" s="50"/>
      <c r="I585" s="50"/>
      <c r="J585" s="50"/>
      <c r="K585" s="50"/>
      <c r="L585" s="46"/>
      <c r="M585" s="47"/>
      <c r="N585" s="46"/>
      <c r="O585" s="46"/>
      <c r="P585" s="47"/>
      <c r="Q585" s="46"/>
      <c r="R585" s="46"/>
      <c r="S585" s="48"/>
      <c r="T585" s="61" t="str">
        <f>IF(Tableau1[[#This Row],[DMS_SAP]]="","",HYPERLINK(Tableau1[[#This Row],[Chemin fichier source]],"X"))</f>
        <v/>
      </c>
      <c r="U585" s="61" t="str">
        <f>IF(Tableau1[[#This Row],[Date rév.]]="","",HYPERLINK(Tableau1[[#This Row],[Lien document]],"X"))</f>
        <v/>
      </c>
      <c r="V585" s="47"/>
      <c r="W585" s="49" t="str">
        <f ca="1">Chemin_accès!$B$2&amp;Tableau1[[#This Row],[Poste Responsable]]&amp;"\"&amp;Tableau1[[#This Row],[Localisation / Classement]]&amp;"\"&amp;Tableau1[[#This Row],[Poste technique]]&amp;"_"&amp;Tableau1[[#This Row],[Plan Entretien]]&amp;".pdf"</f>
        <v>\\stjn.local\trimet\Donnees_Projets\Dms Sap\Maintenance\PlanEntretien\7.MSCT\\_.pdf</v>
      </c>
      <c r="X585" s="47"/>
      <c r="Y585" s="47"/>
      <c r="Z585" s="44" t="str">
        <f ca="1">IF(AND(Tableau1[[#This Row],[Charge]]&lt;&gt;0, Tableau1[[#This Row],[Nombre intervenants]]&lt;&gt;0,Tableau1[[#This Row],[Lien document]]&lt;&gt;0,Tableau1[[#This Row],[DMS_SAP]]&lt;&gt;0)=TRUE,"MIS A JOUR","")</f>
        <v/>
      </c>
      <c r="AA585" s="48"/>
      <c r="AB585" s="58" t="str">
        <f ca="1">IF(Tableau1[[#This Row],[Date rév.]]&lt;&gt;"", DAYS360(Tableau1[[#This Row],[Date rév.]],TODAY()),"")</f>
        <v/>
      </c>
      <c r="AC585" s="47" t="str">
        <f>IFERROR(INDEX(Chemin_accès!$B$11:$C$22,MATCH(Tableau1[[#This Row],[Type]],Chemin_accès!$C$11:$C$22,0),1),Chemin_accès!$B$11)</f>
        <v>\\stjn.local\trimet\Btechnique\Commun\BT Maint SCELLEMENT\205 - Préventifs\Modèles préventif\GammeDMS_7.MSCT.xlsm</v>
      </c>
      <c r="AD585" s="47" t="str">
        <f>Chemin_accès!$B$8&amp;Tableau1[[#This Row],[Localisation / Classement]]&amp;"\"&amp;Tableau1[[#This Row],[Poste technique]]&amp;"_"&amp;Tableau1[[#This Row],[Plan Entretien]]&amp;".xlsm"</f>
        <v>\\stjn.local\trimet\Btechnique\Commun\BT Maint SCELLEMENT\205 - Préventifs\Gammes 7.MSCT PE Tool\\_.xlsm</v>
      </c>
    </row>
    <row r="586" spans="1:30" x14ac:dyDescent="0.3">
      <c r="A586" s="44" t="str">
        <f t="shared" ca="1" si="9"/>
        <v>7.MSCT</v>
      </c>
      <c r="B5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6" s="46"/>
      <c r="D586" s="44"/>
      <c r="E586" s="44"/>
      <c r="F586" s="47"/>
      <c r="G586" s="47"/>
      <c r="H586" s="50"/>
      <c r="I586" s="50"/>
      <c r="J586" s="50"/>
      <c r="K586" s="50"/>
      <c r="L586" s="46"/>
      <c r="M586" s="47"/>
      <c r="N586" s="46"/>
      <c r="O586" s="46"/>
      <c r="P586" s="47"/>
      <c r="Q586" s="46"/>
      <c r="R586" s="46"/>
      <c r="S586" s="48"/>
      <c r="T586" s="61" t="str">
        <f>IF(Tableau1[[#This Row],[DMS_SAP]]="","",HYPERLINK(Tableau1[[#This Row],[Chemin fichier source]],"X"))</f>
        <v/>
      </c>
      <c r="U586" s="61" t="str">
        <f>IF(Tableau1[[#This Row],[Date rév.]]="","",HYPERLINK(Tableau1[[#This Row],[Lien document]],"X"))</f>
        <v/>
      </c>
      <c r="V586" s="47"/>
      <c r="W586" s="49" t="str">
        <f ca="1">Chemin_accès!$B$2&amp;Tableau1[[#This Row],[Poste Responsable]]&amp;"\"&amp;Tableau1[[#This Row],[Localisation / Classement]]&amp;"\"&amp;Tableau1[[#This Row],[Poste technique]]&amp;"_"&amp;Tableau1[[#This Row],[Plan Entretien]]&amp;".pdf"</f>
        <v>\\stjn.local\trimet\Donnees_Projets\Dms Sap\Maintenance\PlanEntretien\7.MSCT\\_.pdf</v>
      </c>
      <c r="X586" s="47"/>
      <c r="Y586" s="47"/>
      <c r="Z586" s="44" t="str">
        <f ca="1">IF(AND(Tableau1[[#This Row],[Charge]]&lt;&gt;0, Tableau1[[#This Row],[Nombre intervenants]]&lt;&gt;0,Tableau1[[#This Row],[Lien document]]&lt;&gt;0,Tableau1[[#This Row],[DMS_SAP]]&lt;&gt;0)=TRUE,"MIS A JOUR","")</f>
        <v/>
      </c>
      <c r="AA586" s="48"/>
      <c r="AB586" s="58" t="str">
        <f ca="1">IF(Tableau1[[#This Row],[Date rév.]]&lt;&gt;"", DAYS360(Tableau1[[#This Row],[Date rév.]],TODAY()),"")</f>
        <v/>
      </c>
      <c r="AC586" s="47" t="str">
        <f>IFERROR(INDEX(Chemin_accès!$B$11:$C$22,MATCH(Tableau1[[#This Row],[Type]],Chemin_accès!$C$11:$C$22,0),1),Chemin_accès!$B$11)</f>
        <v>\\stjn.local\trimet\Btechnique\Commun\BT Maint SCELLEMENT\205 - Préventifs\Modèles préventif\GammeDMS_7.MSCT.xlsm</v>
      </c>
      <c r="AD586" s="47" t="str">
        <f>Chemin_accès!$B$8&amp;Tableau1[[#This Row],[Localisation / Classement]]&amp;"\"&amp;Tableau1[[#This Row],[Poste technique]]&amp;"_"&amp;Tableau1[[#This Row],[Plan Entretien]]&amp;".xlsm"</f>
        <v>\\stjn.local\trimet\Btechnique\Commun\BT Maint SCELLEMENT\205 - Préventifs\Gammes 7.MSCT PE Tool\\_.xlsm</v>
      </c>
    </row>
    <row r="587" spans="1:30" x14ac:dyDescent="0.3">
      <c r="A587" s="44" t="str">
        <f t="shared" ca="1" si="9"/>
        <v>7.MSCT</v>
      </c>
      <c r="B5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7" s="46"/>
      <c r="D587" s="44"/>
      <c r="E587" s="44"/>
      <c r="F587" s="47"/>
      <c r="G587" s="47"/>
      <c r="H587" s="50"/>
      <c r="I587" s="50"/>
      <c r="J587" s="50"/>
      <c r="K587" s="50"/>
      <c r="L587" s="46"/>
      <c r="M587" s="47"/>
      <c r="N587" s="46"/>
      <c r="O587" s="46"/>
      <c r="P587" s="47"/>
      <c r="Q587" s="46"/>
      <c r="R587" s="46"/>
      <c r="S587" s="48"/>
      <c r="T587" s="61" t="str">
        <f>IF(Tableau1[[#This Row],[DMS_SAP]]="","",HYPERLINK(Tableau1[[#This Row],[Chemin fichier source]],"X"))</f>
        <v/>
      </c>
      <c r="U587" s="61" t="str">
        <f>IF(Tableau1[[#This Row],[Date rév.]]="","",HYPERLINK(Tableau1[[#This Row],[Lien document]],"X"))</f>
        <v/>
      </c>
      <c r="V587" s="47"/>
      <c r="W587" s="49" t="str">
        <f ca="1">Chemin_accès!$B$2&amp;Tableau1[[#This Row],[Poste Responsable]]&amp;"\"&amp;Tableau1[[#This Row],[Localisation / Classement]]&amp;"\"&amp;Tableau1[[#This Row],[Poste technique]]&amp;"_"&amp;Tableau1[[#This Row],[Plan Entretien]]&amp;".pdf"</f>
        <v>\\stjn.local\trimet\Donnees_Projets\Dms Sap\Maintenance\PlanEntretien\7.MSCT\\_.pdf</v>
      </c>
      <c r="X587" s="47"/>
      <c r="Y587" s="47"/>
      <c r="Z587" s="44" t="str">
        <f ca="1">IF(AND(Tableau1[[#This Row],[Charge]]&lt;&gt;0, Tableau1[[#This Row],[Nombre intervenants]]&lt;&gt;0,Tableau1[[#This Row],[Lien document]]&lt;&gt;0,Tableau1[[#This Row],[DMS_SAP]]&lt;&gt;0)=TRUE,"MIS A JOUR","")</f>
        <v/>
      </c>
      <c r="AA587" s="48"/>
      <c r="AB587" s="58" t="str">
        <f ca="1">IF(Tableau1[[#This Row],[Date rév.]]&lt;&gt;"", DAYS360(Tableau1[[#This Row],[Date rév.]],TODAY()),"")</f>
        <v/>
      </c>
      <c r="AC587" s="47" t="str">
        <f>IFERROR(INDEX(Chemin_accès!$B$11:$C$22,MATCH(Tableau1[[#This Row],[Type]],Chemin_accès!$C$11:$C$22,0),1),Chemin_accès!$B$11)</f>
        <v>\\stjn.local\trimet\Btechnique\Commun\BT Maint SCELLEMENT\205 - Préventifs\Modèles préventif\GammeDMS_7.MSCT.xlsm</v>
      </c>
      <c r="AD587" s="47" t="str">
        <f>Chemin_accès!$B$8&amp;Tableau1[[#This Row],[Localisation / Classement]]&amp;"\"&amp;Tableau1[[#This Row],[Poste technique]]&amp;"_"&amp;Tableau1[[#This Row],[Plan Entretien]]&amp;".xlsm"</f>
        <v>\\stjn.local\trimet\Btechnique\Commun\BT Maint SCELLEMENT\205 - Préventifs\Gammes 7.MSCT PE Tool\\_.xlsm</v>
      </c>
    </row>
    <row r="588" spans="1:30" x14ac:dyDescent="0.3">
      <c r="A588" s="44" t="str">
        <f t="shared" ca="1" si="9"/>
        <v>7.MSCT</v>
      </c>
      <c r="B5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8" s="46"/>
      <c r="D588" s="44"/>
      <c r="E588" s="44"/>
      <c r="F588" s="47"/>
      <c r="G588" s="47"/>
      <c r="H588" s="50"/>
      <c r="I588" s="50"/>
      <c r="J588" s="50"/>
      <c r="K588" s="50"/>
      <c r="L588" s="46"/>
      <c r="M588" s="47"/>
      <c r="N588" s="46"/>
      <c r="O588" s="46"/>
      <c r="P588" s="47"/>
      <c r="Q588" s="46"/>
      <c r="R588" s="46"/>
      <c r="S588" s="48"/>
      <c r="T588" s="61" t="str">
        <f>IF(Tableau1[[#This Row],[DMS_SAP]]="","",HYPERLINK(Tableau1[[#This Row],[Chemin fichier source]],"X"))</f>
        <v/>
      </c>
      <c r="U588" s="61" t="str">
        <f>IF(Tableau1[[#This Row],[Date rév.]]="","",HYPERLINK(Tableau1[[#This Row],[Lien document]],"X"))</f>
        <v/>
      </c>
      <c r="V588" s="47"/>
      <c r="W588" s="49" t="str">
        <f ca="1">Chemin_accès!$B$2&amp;Tableau1[[#This Row],[Poste Responsable]]&amp;"\"&amp;Tableau1[[#This Row],[Localisation / Classement]]&amp;"\"&amp;Tableau1[[#This Row],[Poste technique]]&amp;"_"&amp;Tableau1[[#This Row],[Plan Entretien]]&amp;".pdf"</f>
        <v>\\stjn.local\trimet\Donnees_Projets\Dms Sap\Maintenance\PlanEntretien\7.MSCT\\_.pdf</v>
      </c>
      <c r="X588" s="47"/>
      <c r="Y588" s="47"/>
      <c r="Z588" s="44" t="str">
        <f ca="1">IF(AND(Tableau1[[#This Row],[Charge]]&lt;&gt;0, Tableau1[[#This Row],[Nombre intervenants]]&lt;&gt;0,Tableau1[[#This Row],[Lien document]]&lt;&gt;0,Tableau1[[#This Row],[DMS_SAP]]&lt;&gt;0)=TRUE,"MIS A JOUR","")</f>
        <v/>
      </c>
      <c r="AA588" s="48"/>
      <c r="AB588" s="58" t="str">
        <f ca="1">IF(Tableau1[[#This Row],[Date rév.]]&lt;&gt;"", DAYS360(Tableau1[[#This Row],[Date rév.]],TODAY()),"")</f>
        <v/>
      </c>
      <c r="AC588" s="47" t="str">
        <f>IFERROR(INDEX(Chemin_accès!$B$11:$C$22,MATCH(Tableau1[[#This Row],[Type]],Chemin_accès!$C$11:$C$22,0),1),Chemin_accès!$B$11)</f>
        <v>\\stjn.local\trimet\Btechnique\Commun\BT Maint SCELLEMENT\205 - Préventifs\Modèles préventif\GammeDMS_7.MSCT.xlsm</v>
      </c>
      <c r="AD588" s="47" t="str">
        <f>Chemin_accès!$B$8&amp;Tableau1[[#This Row],[Localisation / Classement]]&amp;"\"&amp;Tableau1[[#This Row],[Poste technique]]&amp;"_"&amp;Tableau1[[#This Row],[Plan Entretien]]&amp;".xlsm"</f>
        <v>\\stjn.local\trimet\Btechnique\Commun\BT Maint SCELLEMENT\205 - Préventifs\Gammes 7.MSCT PE Tool\\_.xlsm</v>
      </c>
    </row>
    <row r="589" spans="1:30" x14ac:dyDescent="0.3">
      <c r="A589" s="44" t="str">
        <f t="shared" ca="1" si="9"/>
        <v>7.MSCT</v>
      </c>
      <c r="B5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9" s="46"/>
      <c r="D589" s="44"/>
      <c r="E589" s="44"/>
      <c r="F589" s="47"/>
      <c r="G589" s="47"/>
      <c r="H589" s="50"/>
      <c r="I589" s="50"/>
      <c r="J589" s="50"/>
      <c r="K589" s="50"/>
      <c r="L589" s="46"/>
      <c r="M589" s="47"/>
      <c r="N589" s="46"/>
      <c r="O589" s="46"/>
      <c r="P589" s="47"/>
      <c r="Q589" s="46"/>
      <c r="R589" s="46"/>
      <c r="S589" s="48"/>
      <c r="T589" s="61" t="str">
        <f>IF(Tableau1[[#This Row],[DMS_SAP]]="","",HYPERLINK(Tableau1[[#This Row],[Chemin fichier source]],"X"))</f>
        <v/>
      </c>
      <c r="U589" s="61" t="str">
        <f>IF(Tableau1[[#This Row],[Date rév.]]="","",HYPERLINK(Tableau1[[#This Row],[Lien document]],"X"))</f>
        <v/>
      </c>
      <c r="V589" s="47"/>
      <c r="W589" s="49" t="str">
        <f ca="1">Chemin_accès!$B$2&amp;Tableau1[[#This Row],[Poste Responsable]]&amp;"\"&amp;Tableau1[[#This Row],[Localisation / Classement]]&amp;"\"&amp;Tableau1[[#This Row],[Poste technique]]&amp;"_"&amp;Tableau1[[#This Row],[Plan Entretien]]&amp;".pdf"</f>
        <v>\\stjn.local\trimet\Donnees_Projets\Dms Sap\Maintenance\PlanEntretien\7.MSCT\\_.pdf</v>
      </c>
      <c r="X589" s="47"/>
      <c r="Y589" s="47"/>
      <c r="Z589" s="44" t="str">
        <f ca="1">IF(AND(Tableau1[[#This Row],[Charge]]&lt;&gt;0, Tableau1[[#This Row],[Nombre intervenants]]&lt;&gt;0,Tableau1[[#This Row],[Lien document]]&lt;&gt;0,Tableau1[[#This Row],[DMS_SAP]]&lt;&gt;0)=TRUE,"MIS A JOUR","")</f>
        <v/>
      </c>
      <c r="AA589" s="48"/>
      <c r="AB589" s="58" t="str">
        <f ca="1">IF(Tableau1[[#This Row],[Date rév.]]&lt;&gt;"", DAYS360(Tableau1[[#This Row],[Date rév.]],TODAY()),"")</f>
        <v/>
      </c>
      <c r="AC589" s="47" t="str">
        <f>IFERROR(INDEX(Chemin_accès!$B$11:$C$22,MATCH(Tableau1[[#This Row],[Type]],Chemin_accès!$C$11:$C$22,0),1),Chemin_accès!$B$11)</f>
        <v>\\stjn.local\trimet\Btechnique\Commun\BT Maint SCELLEMENT\205 - Préventifs\Modèles préventif\GammeDMS_7.MSCT.xlsm</v>
      </c>
      <c r="AD589" s="47" t="str">
        <f>Chemin_accès!$B$8&amp;Tableau1[[#This Row],[Localisation / Classement]]&amp;"\"&amp;Tableau1[[#This Row],[Poste technique]]&amp;"_"&amp;Tableau1[[#This Row],[Plan Entretien]]&amp;".xlsm"</f>
        <v>\\stjn.local\trimet\Btechnique\Commun\BT Maint SCELLEMENT\205 - Préventifs\Gammes 7.MSCT PE Tool\\_.xlsm</v>
      </c>
    </row>
    <row r="590" spans="1:30" x14ac:dyDescent="0.3">
      <c r="A590" s="44" t="str">
        <f t="shared" ca="1" si="9"/>
        <v>7.MSCT</v>
      </c>
      <c r="B5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0" s="46"/>
      <c r="D590" s="44"/>
      <c r="E590" s="44"/>
      <c r="F590" s="47"/>
      <c r="G590" s="47"/>
      <c r="H590" s="50"/>
      <c r="I590" s="50"/>
      <c r="J590" s="50"/>
      <c r="K590" s="50"/>
      <c r="L590" s="46"/>
      <c r="M590" s="47"/>
      <c r="N590" s="46"/>
      <c r="O590" s="46"/>
      <c r="P590" s="47"/>
      <c r="Q590" s="46"/>
      <c r="R590" s="46"/>
      <c r="S590" s="48"/>
      <c r="T590" s="61" t="str">
        <f>IF(Tableau1[[#This Row],[DMS_SAP]]="","",HYPERLINK(Tableau1[[#This Row],[Chemin fichier source]],"X"))</f>
        <v/>
      </c>
      <c r="U590" s="61" t="str">
        <f>IF(Tableau1[[#This Row],[Date rév.]]="","",HYPERLINK(Tableau1[[#This Row],[Lien document]],"X"))</f>
        <v/>
      </c>
      <c r="V590" s="47"/>
      <c r="W590" s="49" t="str">
        <f ca="1">Chemin_accès!$B$2&amp;Tableau1[[#This Row],[Poste Responsable]]&amp;"\"&amp;Tableau1[[#This Row],[Localisation / Classement]]&amp;"\"&amp;Tableau1[[#This Row],[Poste technique]]&amp;"_"&amp;Tableau1[[#This Row],[Plan Entretien]]&amp;".pdf"</f>
        <v>\\stjn.local\trimet\Donnees_Projets\Dms Sap\Maintenance\PlanEntretien\7.MSCT\\_.pdf</v>
      </c>
      <c r="X590" s="47"/>
      <c r="Y590" s="47"/>
      <c r="Z590" s="44" t="str">
        <f ca="1">IF(AND(Tableau1[[#This Row],[Charge]]&lt;&gt;0, Tableau1[[#This Row],[Nombre intervenants]]&lt;&gt;0,Tableau1[[#This Row],[Lien document]]&lt;&gt;0,Tableau1[[#This Row],[DMS_SAP]]&lt;&gt;0)=TRUE,"MIS A JOUR","")</f>
        <v/>
      </c>
      <c r="AA590" s="48"/>
      <c r="AB590" s="58" t="str">
        <f ca="1">IF(Tableau1[[#This Row],[Date rév.]]&lt;&gt;"", DAYS360(Tableau1[[#This Row],[Date rév.]],TODAY()),"")</f>
        <v/>
      </c>
      <c r="AC590" s="47" t="str">
        <f>IFERROR(INDEX(Chemin_accès!$B$11:$C$22,MATCH(Tableau1[[#This Row],[Type]],Chemin_accès!$C$11:$C$22,0),1),Chemin_accès!$B$11)</f>
        <v>\\stjn.local\trimet\Btechnique\Commun\BT Maint SCELLEMENT\205 - Préventifs\Modèles préventif\GammeDMS_7.MSCT.xlsm</v>
      </c>
      <c r="AD590" s="47" t="str">
        <f>Chemin_accès!$B$8&amp;Tableau1[[#This Row],[Localisation / Classement]]&amp;"\"&amp;Tableau1[[#This Row],[Poste technique]]&amp;"_"&amp;Tableau1[[#This Row],[Plan Entretien]]&amp;".xlsm"</f>
        <v>\\stjn.local\trimet\Btechnique\Commun\BT Maint SCELLEMENT\205 - Préventifs\Gammes 7.MSCT PE Tool\\_.xlsm</v>
      </c>
    </row>
    <row r="591" spans="1:30" x14ac:dyDescent="0.3">
      <c r="A591" s="44" t="str">
        <f t="shared" ca="1" si="9"/>
        <v>7.MSCT</v>
      </c>
      <c r="B5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1" s="46"/>
      <c r="D591" s="44"/>
      <c r="E591" s="44"/>
      <c r="F591" s="47"/>
      <c r="G591" s="47"/>
      <c r="H591" s="50"/>
      <c r="I591" s="50"/>
      <c r="J591" s="50"/>
      <c r="K591" s="50"/>
      <c r="L591" s="46"/>
      <c r="M591" s="47"/>
      <c r="N591" s="46"/>
      <c r="O591" s="46"/>
      <c r="P591" s="47"/>
      <c r="Q591" s="46"/>
      <c r="R591" s="46"/>
      <c r="S591" s="48"/>
      <c r="T591" s="61" t="str">
        <f>IF(Tableau1[[#This Row],[DMS_SAP]]="","",HYPERLINK(Tableau1[[#This Row],[Chemin fichier source]],"X"))</f>
        <v/>
      </c>
      <c r="U591" s="61" t="str">
        <f>IF(Tableau1[[#This Row],[Date rév.]]="","",HYPERLINK(Tableau1[[#This Row],[Lien document]],"X"))</f>
        <v/>
      </c>
      <c r="V591" s="47"/>
      <c r="W591" s="49" t="str">
        <f ca="1">Chemin_accès!$B$2&amp;Tableau1[[#This Row],[Poste Responsable]]&amp;"\"&amp;Tableau1[[#This Row],[Localisation / Classement]]&amp;"\"&amp;Tableau1[[#This Row],[Poste technique]]&amp;"_"&amp;Tableau1[[#This Row],[Plan Entretien]]&amp;".pdf"</f>
        <v>\\stjn.local\trimet\Donnees_Projets\Dms Sap\Maintenance\PlanEntretien\7.MSCT\\_.pdf</v>
      </c>
      <c r="X591" s="47"/>
      <c r="Y591" s="47"/>
      <c r="Z591" s="44" t="str">
        <f ca="1">IF(AND(Tableau1[[#This Row],[Charge]]&lt;&gt;0, Tableau1[[#This Row],[Nombre intervenants]]&lt;&gt;0,Tableau1[[#This Row],[Lien document]]&lt;&gt;0,Tableau1[[#This Row],[DMS_SAP]]&lt;&gt;0)=TRUE,"MIS A JOUR","")</f>
        <v/>
      </c>
      <c r="AA591" s="48"/>
      <c r="AB591" s="58" t="str">
        <f ca="1">IF(Tableau1[[#This Row],[Date rév.]]&lt;&gt;"", DAYS360(Tableau1[[#This Row],[Date rév.]],TODAY()),"")</f>
        <v/>
      </c>
      <c r="AC591" s="47" t="str">
        <f>IFERROR(INDEX(Chemin_accès!$B$11:$C$22,MATCH(Tableau1[[#This Row],[Type]],Chemin_accès!$C$11:$C$22,0),1),Chemin_accès!$B$11)</f>
        <v>\\stjn.local\trimet\Btechnique\Commun\BT Maint SCELLEMENT\205 - Préventifs\Modèles préventif\GammeDMS_7.MSCT.xlsm</v>
      </c>
      <c r="AD591" s="47" t="str">
        <f>Chemin_accès!$B$8&amp;Tableau1[[#This Row],[Localisation / Classement]]&amp;"\"&amp;Tableau1[[#This Row],[Poste technique]]&amp;"_"&amp;Tableau1[[#This Row],[Plan Entretien]]&amp;".xlsm"</f>
        <v>\\stjn.local\trimet\Btechnique\Commun\BT Maint SCELLEMENT\205 - Préventifs\Gammes 7.MSCT PE Tool\\_.xlsm</v>
      </c>
    </row>
    <row r="592" spans="1:30" x14ac:dyDescent="0.3">
      <c r="A592" s="44" t="str">
        <f t="shared" ca="1" si="9"/>
        <v>7.MSCT</v>
      </c>
      <c r="B5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2" s="46"/>
      <c r="D592" s="44"/>
      <c r="E592" s="44"/>
      <c r="F592" s="47"/>
      <c r="G592" s="47"/>
      <c r="H592" s="50"/>
      <c r="I592" s="50"/>
      <c r="J592" s="50"/>
      <c r="K592" s="50"/>
      <c r="L592" s="46"/>
      <c r="M592" s="47"/>
      <c r="N592" s="46"/>
      <c r="O592" s="46"/>
      <c r="P592" s="47"/>
      <c r="Q592" s="46"/>
      <c r="R592" s="46"/>
      <c r="S592" s="48"/>
      <c r="T592" s="61" t="str">
        <f>IF(Tableau1[[#This Row],[DMS_SAP]]="","",HYPERLINK(Tableau1[[#This Row],[Chemin fichier source]],"X"))</f>
        <v/>
      </c>
      <c r="U592" s="61" t="str">
        <f>IF(Tableau1[[#This Row],[Date rév.]]="","",HYPERLINK(Tableau1[[#This Row],[Lien document]],"X"))</f>
        <v/>
      </c>
      <c r="V592" s="47"/>
      <c r="W592" s="49" t="str">
        <f ca="1">Chemin_accès!$B$2&amp;Tableau1[[#This Row],[Poste Responsable]]&amp;"\"&amp;Tableau1[[#This Row],[Localisation / Classement]]&amp;"\"&amp;Tableau1[[#This Row],[Poste technique]]&amp;"_"&amp;Tableau1[[#This Row],[Plan Entretien]]&amp;".pdf"</f>
        <v>\\stjn.local\trimet\Donnees_Projets\Dms Sap\Maintenance\PlanEntretien\7.MSCT\\_.pdf</v>
      </c>
      <c r="X592" s="47"/>
      <c r="Y592" s="47"/>
      <c r="Z592" s="44" t="str">
        <f ca="1">IF(AND(Tableau1[[#This Row],[Charge]]&lt;&gt;0, Tableau1[[#This Row],[Nombre intervenants]]&lt;&gt;0,Tableau1[[#This Row],[Lien document]]&lt;&gt;0,Tableau1[[#This Row],[DMS_SAP]]&lt;&gt;0)=TRUE,"MIS A JOUR","")</f>
        <v/>
      </c>
      <c r="AA592" s="48"/>
      <c r="AB592" s="58" t="str">
        <f ca="1">IF(Tableau1[[#This Row],[Date rév.]]&lt;&gt;"", DAYS360(Tableau1[[#This Row],[Date rév.]],TODAY()),"")</f>
        <v/>
      </c>
      <c r="AC592" s="47" t="str">
        <f>IFERROR(INDEX(Chemin_accès!$B$11:$C$22,MATCH(Tableau1[[#This Row],[Type]],Chemin_accès!$C$11:$C$22,0),1),Chemin_accès!$B$11)</f>
        <v>\\stjn.local\trimet\Btechnique\Commun\BT Maint SCELLEMENT\205 - Préventifs\Modèles préventif\GammeDMS_7.MSCT.xlsm</v>
      </c>
      <c r="AD592" s="47" t="str">
        <f>Chemin_accès!$B$8&amp;Tableau1[[#This Row],[Localisation / Classement]]&amp;"\"&amp;Tableau1[[#This Row],[Poste technique]]&amp;"_"&amp;Tableau1[[#This Row],[Plan Entretien]]&amp;".xlsm"</f>
        <v>\\stjn.local\trimet\Btechnique\Commun\BT Maint SCELLEMENT\205 - Préventifs\Gammes 7.MSCT PE Tool\\_.xlsm</v>
      </c>
    </row>
    <row r="593" spans="1:30" x14ac:dyDescent="0.3">
      <c r="A593" s="44" t="str">
        <f t="shared" ca="1" si="9"/>
        <v>7.MSCT</v>
      </c>
      <c r="B5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3" s="46"/>
      <c r="D593" s="44"/>
      <c r="E593" s="44"/>
      <c r="F593" s="47"/>
      <c r="G593" s="47"/>
      <c r="H593" s="50"/>
      <c r="I593" s="50"/>
      <c r="J593" s="50"/>
      <c r="K593" s="50"/>
      <c r="L593" s="46"/>
      <c r="M593" s="47"/>
      <c r="N593" s="46"/>
      <c r="O593" s="46"/>
      <c r="P593" s="47"/>
      <c r="Q593" s="46"/>
      <c r="R593" s="46"/>
      <c r="S593" s="48"/>
      <c r="T593" s="61" t="str">
        <f>IF(Tableau1[[#This Row],[DMS_SAP]]="","",HYPERLINK(Tableau1[[#This Row],[Chemin fichier source]],"X"))</f>
        <v/>
      </c>
      <c r="U593" s="61" t="str">
        <f>IF(Tableau1[[#This Row],[Date rév.]]="","",HYPERLINK(Tableau1[[#This Row],[Lien document]],"X"))</f>
        <v/>
      </c>
      <c r="V593" s="47"/>
      <c r="W593" s="49" t="str">
        <f ca="1">Chemin_accès!$B$2&amp;Tableau1[[#This Row],[Poste Responsable]]&amp;"\"&amp;Tableau1[[#This Row],[Localisation / Classement]]&amp;"\"&amp;Tableau1[[#This Row],[Poste technique]]&amp;"_"&amp;Tableau1[[#This Row],[Plan Entretien]]&amp;".pdf"</f>
        <v>\\stjn.local\trimet\Donnees_Projets\Dms Sap\Maintenance\PlanEntretien\7.MSCT\\_.pdf</v>
      </c>
      <c r="X593" s="47"/>
      <c r="Y593" s="47"/>
      <c r="Z593" s="44" t="str">
        <f ca="1">IF(AND(Tableau1[[#This Row],[Charge]]&lt;&gt;0, Tableau1[[#This Row],[Nombre intervenants]]&lt;&gt;0,Tableau1[[#This Row],[Lien document]]&lt;&gt;0,Tableau1[[#This Row],[DMS_SAP]]&lt;&gt;0)=TRUE,"MIS A JOUR","")</f>
        <v/>
      </c>
      <c r="AA593" s="48"/>
      <c r="AB593" s="58" t="str">
        <f ca="1">IF(Tableau1[[#This Row],[Date rév.]]&lt;&gt;"", DAYS360(Tableau1[[#This Row],[Date rév.]],TODAY()),"")</f>
        <v/>
      </c>
      <c r="AC593" s="47" t="str">
        <f>IFERROR(INDEX(Chemin_accès!$B$11:$C$22,MATCH(Tableau1[[#This Row],[Type]],Chemin_accès!$C$11:$C$22,0),1),Chemin_accès!$B$11)</f>
        <v>\\stjn.local\trimet\Btechnique\Commun\BT Maint SCELLEMENT\205 - Préventifs\Modèles préventif\GammeDMS_7.MSCT.xlsm</v>
      </c>
      <c r="AD593" s="47" t="str">
        <f>Chemin_accès!$B$8&amp;Tableau1[[#This Row],[Localisation / Classement]]&amp;"\"&amp;Tableau1[[#This Row],[Poste technique]]&amp;"_"&amp;Tableau1[[#This Row],[Plan Entretien]]&amp;".xlsm"</f>
        <v>\\stjn.local\trimet\Btechnique\Commun\BT Maint SCELLEMENT\205 - Préventifs\Gammes 7.MSCT PE Tool\\_.xlsm</v>
      </c>
    </row>
    <row r="594" spans="1:30" x14ac:dyDescent="0.3">
      <c r="A594" s="44" t="str">
        <f t="shared" ca="1" si="9"/>
        <v>7.MSCT</v>
      </c>
      <c r="B5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4" s="46"/>
      <c r="D594" s="44"/>
      <c r="E594" s="44"/>
      <c r="F594" s="47"/>
      <c r="G594" s="47"/>
      <c r="H594" s="50"/>
      <c r="I594" s="50"/>
      <c r="J594" s="50"/>
      <c r="K594" s="50"/>
      <c r="L594" s="46"/>
      <c r="M594" s="47"/>
      <c r="N594" s="46"/>
      <c r="O594" s="46"/>
      <c r="P594" s="47"/>
      <c r="Q594" s="46"/>
      <c r="R594" s="46"/>
      <c r="S594" s="48"/>
      <c r="T594" s="61" t="str">
        <f>IF(Tableau1[[#This Row],[DMS_SAP]]="","",HYPERLINK(Tableau1[[#This Row],[Chemin fichier source]],"X"))</f>
        <v/>
      </c>
      <c r="U594" s="61" t="str">
        <f>IF(Tableau1[[#This Row],[Date rév.]]="","",HYPERLINK(Tableau1[[#This Row],[Lien document]],"X"))</f>
        <v/>
      </c>
      <c r="V594" s="47"/>
      <c r="W594" s="49" t="str">
        <f ca="1">Chemin_accès!$B$2&amp;Tableau1[[#This Row],[Poste Responsable]]&amp;"\"&amp;Tableau1[[#This Row],[Localisation / Classement]]&amp;"\"&amp;Tableau1[[#This Row],[Poste technique]]&amp;"_"&amp;Tableau1[[#This Row],[Plan Entretien]]&amp;".pdf"</f>
        <v>\\stjn.local\trimet\Donnees_Projets\Dms Sap\Maintenance\PlanEntretien\7.MSCT\\_.pdf</v>
      </c>
      <c r="X594" s="47"/>
      <c r="Y594" s="47"/>
      <c r="Z594" s="44" t="str">
        <f ca="1">IF(AND(Tableau1[[#This Row],[Charge]]&lt;&gt;0, Tableau1[[#This Row],[Nombre intervenants]]&lt;&gt;0,Tableau1[[#This Row],[Lien document]]&lt;&gt;0,Tableau1[[#This Row],[DMS_SAP]]&lt;&gt;0)=TRUE,"MIS A JOUR","")</f>
        <v/>
      </c>
      <c r="AA594" s="48"/>
      <c r="AB594" s="58" t="str">
        <f ca="1">IF(Tableau1[[#This Row],[Date rév.]]&lt;&gt;"", DAYS360(Tableau1[[#This Row],[Date rév.]],TODAY()),"")</f>
        <v/>
      </c>
      <c r="AC594" s="47" t="str">
        <f>IFERROR(INDEX(Chemin_accès!$B$11:$C$22,MATCH(Tableau1[[#This Row],[Type]],Chemin_accès!$C$11:$C$22,0),1),Chemin_accès!$B$11)</f>
        <v>\\stjn.local\trimet\Btechnique\Commun\BT Maint SCELLEMENT\205 - Préventifs\Modèles préventif\GammeDMS_7.MSCT.xlsm</v>
      </c>
      <c r="AD594" s="47" t="str">
        <f>Chemin_accès!$B$8&amp;Tableau1[[#This Row],[Localisation / Classement]]&amp;"\"&amp;Tableau1[[#This Row],[Poste technique]]&amp;"_"&amp;Tableau1[[#This Row],[Plan Entretien]]&amp;".xlsm"</f>
        <v>\\stjn.local\trimet\Btechnique\Commun\BT Maint SCELLEMENT\205 - Préventifs\Gammes 7.MSCT PE Tool\\_.xlsm</v>
      </c>
    </row>
    <row r="595" spans="1:30" x14ac:dyDescent="0.3">
      <c r="A595" s="44" t="str">
        <f t="shared" ca="1" si="9"/>
        <v>7.MSCT</v>
      </c>
      <c r="B5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5" s="46"/>
      <c r="D595" s="44"/>
      <c r="E595" s="44"/>
      <c r="F595" s="47"/>
      <c r="G595" s="47"/>
      <c r="H595" s="50"/>
      <c r="I595" s="50"/>
      <c r="J595" s="50"/>
      <c r="K595" s="50"/>
      <c r="L595" s="46"/>
      <c r="M595" s="47"/>
      <c r="N595" s="46"/>
      <c r="O595" s="46"/>
      <c r="P595" s="47"/>
      <c r="Q595" s="46"/>
      <c r="R595" s="46"/>
      <c r="S595" s="48"/>
      <c r="T595" s="61" t="str">
        <f>IF(Tableau1[[#This Row],[DMS_SAP]]="","",HYPERLINK(Tableau1[[#This Row],[Chemin fichier source]],"X"))</f>
        <v/>
      </c>
      <c r="U595" s="61" t="str">
        <f>IF(Tableau1[[#This Row],[Date rév.]]="","",HYPERLINK(Tableau1[[#This Row],[Lien document]],"X"))</f>
        <v/>
      </c>
      <c r="V595" s="47"/>
      <c r="W595" s="49" t="str">
        <f ca="1">Chemin_accès!$B$2&amp;Tableau1[[#This Row],[Poste Responsable]]&amp;"\"&amp;Tableau1[[#This Row],[Localisation / Classement]]&amp;"\"&amp;Tableau1[[#This Row],[Poste technique]]&amp;"_"&amp;Tableau1[[#This Row],[Plan Entretien]]&amp;".pdf"</f>
        <v>\\stjn.local\trimet\Donnees_Projets\Dms Sap\Maintenance\PlanEntretien\7.MSCT\\_.pdf</v>
      </c>
      <c r="X595" s="47"/>
      <c r="Y595" s="47"/>
      <c r="Z595" s="44" t="str">
        <f ca="1">IF(AND(Tableau1[[#This Row],[Charge]]&lt;&gt;0, Tableau1[[#This Row],[Nombre intervenants]]&lt;&gt;0,Tableau1[[#This Row],[Lien document]]&lt;&gt;0,Tableau1[[#This Row],[DMS_SAP]]&lt;&gt;0)=TRUE,"MIS A JOUR","")</f>
        <v/>
      </c>
      <c r="AA595" s="48"/>
      <c r="AB595" s="58" t="str">
        <f ca="1">IF(Tableau1[[#This Row],[Date rév.]]&lt;&gt;"", DAYS360(Tableau1[[#This Row],[Date rév.]],TODAY()),"")</f>
        <v/>
      </c>
      <c r="AC595" s="47" t="str">
        <f>IFERROR(INDEX(Chemin_accès!$B$11:$C$22,MATCH(Tableau1[[#This Row],[Type]],Chemin_accès!$C$11:$C$22,0),1),Chemin_accès!$B$11)</f>
        <v>\\stjn.local\trimet\Btechnique\Commun\BT Maint SCELLEMENT\205 - Préventifs\Modèles préventif\GammeDMS_7.MSCT.xlsm</v>
      </c>
      <c r="AD595" s="47" t="str">
        <f>Chemin_accès!$B$8&amp;Tableau1[[#This Row],[Localisation / Classement]]&amp;"\"&amp;Tableau1[[#This Row],[Poste technique]]&amp;"_"&amp;Tableau1[[#This Row],[Plan Entretien]]&amp;".xlsm"</f>
        <v>\\stjn.local\trimet\Btechnique\Commun\BT Maint SCELLEMENT\205 - Préventifs\Gammes 7.MSCT PE Tool\\_.xlsm</v>
      </c>
    </row>
    <row r="596" spans="1:30" x14ac:dyDescent="0.3">
      <c r="A596" s="44" t="str">
        <f t="shared" ca="1" si="9"/>
        <v>7.MSCT</v>
      </c>
      <c r="B5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6" s="46"/>
      <c r="D596" s="44"/>
      <c r="E596" s="44"/>
      <c r="F596" s="47"/>
      <c r="G596" s="47"/>
      <c r="H596" s="50"/>
      <c r="I596" s="50"/>
      <c r="J596" s="50"/>
      <c r="K596" s="50"/>
      <c r="L596" s="46"/>
      <c r="M596" s="47"/>
      <c r="N596" s="46"/>
      <c r="O596" s="46"/>
      <c r="P596" s="47"/>
      <c r="Q596" s="46"/>
      <c r="R596" s="46"/>
      <c r="S596" s="48"/>
      <c r="T596" s="61" t="str">
        <f>IF(Tableau1[[#This Row],[DMS_SAP]]="","",HYPERLINK(Tableau1[[#This Row],[Chemin fichier source]],"X"))</f>
        <v/>
      </c>
      <c r="U596" s="61" t="str">
        <f>IF(Tableau1[[#This Row],[Date rév.]]="","",HYPERLINK(Tableau1[[#This Row],[Lien document]],"X"))</f>
        <v/>
      </c>
      <c r="V596" s="47"/>
      <c r="W596" s="49" t="str">
        <f ca="1">Chemin_accès!$B$2&amp;Tableau1[[#This Row],[Poste Responsable]]&amp;"\"&amp;Tableau1[[#This Row],[Localisation / Classement]]&amp;"\"&amp;Tableau1[[#This Row],[Poste technique]]&amp;"_"&amp;Tableau1[[#This Row],[Plan Entretien]]&amp;".pdf"</f>
        <v>\\stjn.local\trimet\Donnees_Projets\Dms Sap\Maintenance\PlanEntretien\7.MSCT\\_.pdf</v>
      </c>
      <c r="X596" s="47"/>
      <c r="Y596" s="47"/>
      <c r="Z596" s="44" t="str">
        <f ca="1">IF(AND(Tableau1[[#This Row],[Charge]]&lt;&gt;0, Tableau1[[#This Row],[Nombre intervenants]]&lt;&gt;0,Tableau1[[#This Row],[Lien document]]&lt;&gt;0,Tableau1[[#This Row],[DMS_SAP]]&lt;&gt;0)=TRUE,"MIS A JOUR","")</f>
        <v/>
      </c>
      <c r="AA596" s="48"/>
      <c r="AB596" s="58" t="str">
        <f ca="1">IF(Tableau1[[#This Row],[Date rév.]]&lt;&gt;"", DAYS360(Tableau1[[#This Row],[Date rév.]],TODAY()),"")</f>
        <v/>
      </c>
      <c r="AC596" s="47" t="str">
        <f>IFERROR(INDEX(Chemin_accès!$B$11:$C$22,MATCH(Tableau1[[#This Row],[Type]],Chemin_accès!$C$11:$C$22,0),1),Chemin_accès!$B$11)</f>
        <v>\\stjn.local\trimet\Btechnique\Commun\BT Maint SCELLEMENT\205 - Préventifs\Modèles préventif\GammeDMS_7.MSCT.xlsm</v>
      </c>
      <c r="AD596" s="47" t="str">
        <f>Chemin_accès!$B$8&amp;Tableau1[[#This Row],[Localisation / Classement]]&amp;"\"&amp;Tableau1[[#This Row],[Poste technique]]&amp;"_"&amp;Tableau1[[#This Row],[Plan Entretien]]&amp;".xlsm"</f>
        <v>\\stjn.local\trimet\Btechnique\Commun\BT Maint SCELLEMENT\205 - Préventifs\Gammes 7.MSCT PE Tool\\_.xlsm</v>
      </c>
    </row>
    <row r="597" spans="1:30" x14ac:dyDescent="0.3">
      <c r="A597" s="44" t="str">
        <f t="shared" ca="1" si="9"/>
        <v>7.MSCT</v>
      </c>
      <c r="B5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7" s="46"/>
      <c r="D597" s="44"/>
      <c r="E597" s="44"/>
      <c r="F597" s="47"/>
      <c r="G597" s="47"/>
      <c r="H597" s="50"/>
      <c r="I597" s="50"/>
      <c r="J597" s="50"/>
      <c r="K597" s="50"/>
      <c r="L597" s="46"/>
      <c r="M597" s="47"/>
      <c r="N597" s="46"/>
      <c r="O597" s="46"/>
      <c r="P597" s="47"/>
      <c r="Q597" s="46"/>
      <c r="R597" s="46"/>
      <c r="S597" s="48"/>
      <c r="T597" s="61" t="str">
        <f>IF(Tableau1[[#This Row],[DMS_SAP]]="","",HYPERLINK(Tableau1[[#This Row],[Chemin fichier source]],"X"))</f>
        <v/>
      </c>
      <c r="U597" s="61" t="str">
        <f>IF(Tableau1[[#This Row],[Date rév.]]="","",HYPERLINK(Tableau1[[#This Row],[Lien document]],"X"))</f>
        <v/>
      </c>
      <c r="V597" s="47"/>
      <c r="W597" s="49" t="str">
        <f ca="1">Chemin_accès!$B$2&amp;Tableau1[[#This Row],[Poste Responsable]]&amp;"\"&amp;Tableau1[[#This Row],[Localisation / Classement]]&amp;"\"&amp;Tableau1[[#This Row],[Poste technique]]&amp;"_"&amp;Tableau1[[#This Row],[Plan Entretien]]&amp;".pdf"</f>
        <v>\\stjn.local\trimet\Donnees_Projets\Dms Sap\Maintenance\PlanEntretien\7.MSCT\\_.pdf</v>
      </c>
      <c r="X597" s="47"/>
      <c r="Y597" s="47"/>
      <c r="Z597" s="44" t="str">
        <f ca="1">IF(AND(Tableau1[[#This Row],[Charge]]&lt;&gt;0, Tableau1[[#This Row],[Nombre intervenants]]&lt;&gt;0,Tableau1[[#This Row],[Lien document]]&lt;&gt;0,Tableau1[[#This Row],[DMS_SAP]]&lt;&gt;0)=TRUE,"MIS A JOUR","")</f>
        <v/>
      </c>
      <c r="AA597" s="48"/>
      <c r="AB597" s="58" t="str">
        <f ca="1">IF(Tableau1[[#This Row],[Date rév.]]&lt;&gt;"", DAYS360(Tableau1[[#This Row],[Date rév.]],TODAY()),"")</f>
        <v/>
      </c>
      <c r="AC597" s="47" t="str">
        <f>IFERROR(INDEX(Chemin_accès!$B$11:$C$22,MATCH(Tableau1[[#This Row],[Type]],Chemin_accès!$C$11:$C$22,0),1),Chemin_accès!$B$11)</f>
        <v>\\stjn.local\trimet\Btechnique\Commun\BT Maint SCELLEMENT\205 - Préventifs\Modèles préventif\GammeDMS_7.MSCT.xlsm</v>
      </c>
      <c r="AD597" s="47" t="str">
        <f>Chemin_accès!$B$8&amp;Tableau1[[#This Row],[Localisation / Classement]]&amp;"\"&amp;Tableau1[[#This Row],[Poste technique]]&amp;"_"&amp;Tableau1[[#This Row],[Plan Entretien]]&amp;".xlsm"</f>
        <v>\\stjn.local\trimet\Btechnique\Commun\BT Maint SCELLEMENT\205 - Préventifs\Gammes 7.MSCT PE Tool\\_.xlsm</v>
      </c>
    </row>
    <row r="598" spans="1:30" x14ac:dyDescent="0.3">
      <c r="A598" s="44" t="str">
        <f t="shared" ca="1" si="9"/>
        <v>7.MSCT</v>
      </c>
      <c r="B5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8" s="46"/>
      <c r="D598" s="44"/>
      <c r="E598" s="44"/>
      <c r="F598" s="47"/>
      <c r="G598" s="47"/>
      <c r="H598" s="50"/>
      <c r="I598" s="50"/>
      <c r="J598" s="50"/>
      <c r="K598" s="50"/>
      <c r="L598" s="46"/>
      <c r="M598" s="47"/>
      <c r="N598" s="46"/>
      <c r="O598" s="46"/>
      <c r="P598" s="47"/>
      <c r="Q598" s="46"/>
      <c r="R598" s="46"/>
      <c r="S598" s="48"/>
      <c r="T598" s="61" t="str">
        <f>IF(Tableau1[[#This Row],[DMS_SAP]]="","",HYPERLINK(Tableau1[[#This Row],[Chemin fichier source]],"X"))</f>
        <v/>
      </c>
      <c r="U598" s="61" t="str">
        <f>IF(Tableau1[[#This Row],[Date rév.]]="","",HYPERLINK(Tableau1[[#This Row],[Lien document]],"X"))</f>
        <v/>
      </c>
      <c r="V598" s="47"/>
      <c r="W598" s="49" t="str">
        <f ca="1">Chemin_accès!$B$2&amp;Tableau1[[#This Row],[Poste Responsable]]&amp;"\"&amp;Tableau1[[#This Row],[Localisation / Classement]]&amp;"\"&amp;Tableau1[[#This Row],[Poste technique]]&amp;"_"&amp;Tableau1[[#This Row],[Plan Entretien]]&amp;".pdf"</f>
        <v>\\stjn.local\trimet\Donnees_Projets\Dms Sap\Maintenance\PlanEntretien\7.MSCT\\_.pdf</v>
      </c>
      <c r="X598" s="47"/>
      <c r="Y598" s="47"/>
      <c r="Z598" s="44" t="str">
        <f ca="1">IF(AND(Tableau1[[#This Row],[Charge]]&lt;&gt;0, Tableau1[[#This Row],[Nombre intervenants]]&lt;&gt;0,Tableau1[[#This Row],[Lien document]]&lt;&gt;0,Tableau1[[#This Row],[DMS_SAP]]&lt;&gt;0)=TRUE,"MIS A JOUR","")</f>
        <v/>
      </c>
      <c r="AA598" s="48"/>
      <c r="AB598" s="58" t="str">
        <f ca="1">IF(Tableau1[[#This Row],[Date rév.]]&lt;&gt;"", DAYS360(Tableau1[[#This Row],[Date rév.]],TODAY()),"")</f>
        <v/>
      </c>
      <c r="AC598" s="47" t="str">
        <f>IFERROR(INDEX(Chemin_accès!$B$11:$C$22,MATCH(Tableau1[[#This Row],[Type]],Chemin_accès!$C$11:$C$22,0),1),Chemin_accès!$B$11)</f>
        <v>\\stjn.local\trimet\Btechnique\Commun\BT Maint SCELLEMENT\205 - Préventifs\Modèles préventif\GammeDMS_7.MSCT.xlsm</v>
      </c>
      <c r="AD598" s="47" t="str">
        <f>Chemin_accès!$B$8&amp;Tableau1[[#This Row],[Localisation / Classement]]&amp;"\"&amp;Tableau1[[#This Row],[Poste technique]]&amp;"_"&amp;Tableau1[[#This Row],[Plan Entretien]]&amp;".xlsm"</f>
        <v>\\stjn.local\trimet\Btechnique\Commun\BT Maint SCELLEMENT\205 - Préventifs\Gammes 7.MSCT PE Tool\\_.xlsm</v>
      </c>
    </row>
    <row r="599" spans="1:30" x14ac:dyDescent="0.3">
      <c r="A599" s="44" t="str">
        <f t="shared" ca="1" si="9"/>
        <v>7.MSCT</v>
      </c>
      <c r="B5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9" s="46"/>
      <c r="D599" s="44"/>
      <c r="E599" s="44"/>
      <c r="F599" s="47"/>
      <c r="G599" s="47"/>
      <c r="H599" s="50"/>
      <c r="I599" s="50"/>
      <c r="J599" s="50"/>
      <c r="K599" s="50"/>
      <c r="L599" s="46"/>
      <c r="M599" s="47"/>
      <c r="N599" s="46"/>
      <c r="O599" s="46"/>
      <c r="P599" s="47"/>
      <c r="Q599" s="46"/>
      <c r="R599" s="46"/>
      <c r="S599" s="48"/>
      <c r="T599" s="61" t="str">
        <f>IF(Tableau1[[#This Row],[DMS_SAP]]="","",HYPERLINK(Tableau1[[#This Row],[Chemin fichier source]],"X"))</f>
        <v/>
      </c>
      <c r="U599" s="61" t="str">
        <f>IF(Tableau1[[#This Row],[Date rév.]]="","",HYPERLINK(Tableau1[[#This Row],[Lien document]],"X"))</f>
        <v/>
      </c>
      <c r="V599" s="47"/>
      <c r="W599" s="49" t="str">
        <f ca="1">Chemin_accès!$B$2&amp;Tableau1[[#This Row],[Poste Responsable]]&amp;"\"&amp;Tableau1[[#This Row],[Localisation / Classement]]&amp;"\"&amp;Tableau1[[#This Row],[Poste technique]]&amp;"_"&amp;Tableau1[[#This Row],[Plan Entretien]]&amp;".pdf"</f>
        <v>\\stjn.local\trimet\Donnees_Projets\Dms Sap\Maintenance\PlanEntretien\7.MSCT\\_.pdf</v>
      </c>
      <c r="X599" s="47"/>
      <c r="Y599" s="47"/>
      <c r="Z599" s="44" t="str">
        <f ca="1">IF(AND(Tableau1[[#This Row],[Charge]]&lt;&gt;0, Tableau1[[#This Row],[Nombre intervenants]]&lt;&gt;0,Tableau1[[#This Row],[Lien document]]&lt;&gt;0,Tableau1[[#This Row],[DMS_SAP]]&lt;&gt;0)=TRUE,"MIS A JOUR","")</f>
        <v/>
      </c>
      <c r="AA599" s="48"/>
      <c r="AB599" s="58" t="str">
        <f ca="1">IF(Tableau1[[#This Row],[Date rév.]]&lt;&gt;"", DAYS360(Tableau1[[#This Row],[Date rév.]],TODAY()),"")</f>
        <v/>
      </c>
      <c r="AC599" s="47" t="str">
        <f>IFERROR(INDEX(Chemin_accès!$B$11:$C$22,MATCH(Tableau1[[#This Row],[Type]],Chemin_accès!$C$11:$C$22,0),1),Chemin_accès!$B$11)</f>
        <v>\\stjn.local\trimet\Btechnique\Commun\BT Maint SCELLEMENT\205 - Préventifs\Modèles préventif\GammeDMS_7.MSCT.xlsm</v>
      </c>
      <c r="AD599" s="47" t="str">
        <f>Chemin_accès!$B$8&amp;Tableau1[[#This Row],[Localisation / Classement]]&amp;"\"&amp;Tableau1[[#This Row],[Poste technique]]&amp;"_"&amp;Tableau1[[#This Row],[Plan Entretien]]&amp;".xlsm"</f>
        <v>\\stjn.local\trimet\Btechnique\Commun\BT Maint SCELLEMENT\205 - Préventifs\Gammes 7.MSCT PE Tool\\_.xlsm</v>
      </c>
    </row>
    <row r="600" spans="1:30" x14ac:dyDescent="0.3">
      <c r="A600" s="44" t="str">
        <f t="shared" ca="1" si="9"/>
        <v>7.MSCT</v>
      </c>
      <c r="B6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0" s="46"/>
      <c r="D600" s="44"/>
      <c r="E600" s="44"/>
      <c r="F600" s="47"/>
      <c r="G600" s="47"/>
      <c r="H600" s="50"/>
      <c r="I600" s="50"/>
      <c r="J600" s="50"/>
      <c r="K600" s="50"/>
      <c r="L600" s="46"/>
      <c r="M600" s="47"/>
      <c r="N600" s="46"/>
      <c r="O600" s="46"/>
      <c r="P600" s="47"/>
      <c r="Q600" s="46"/>
      <c r="R600" s="46"/>
      <c r="S600" s="48"/>
      <c r="T600" s="61" t="str">
        <f>IF(Tableau1[[#This Row],[DMS_SAP]]="","",HYPERLINK(Tableau1[[#This Row],[Chemin fichier source]],"X"))</f>
        <v/>
      </c>
      <c r="U600" s="61" t="str">
        <f>IF(Tableau1[[#This Row],[Date rév.]]="","",HYPERLINK(Tableau1[[#This Row],[Lien document]],"X"))</f>
        <v/>
      </c>
      <c r="V600" s="47"/>
      <c r="W600" s="49" t="str">
        <f ca="1">Chemin_accès!$B$2&amp;Tableau1[[#This Row],[Poste Responsable]]&amp;"\"&amp;Tableau1[[#This Row],[Localisation / Classement]]&amp;"\"&amp;Tableau1[[#This Row],[Poste technique]]&amp;"_"&amp;Tableau1[[#This Row],[Plan Entretien]]&amp;".pdf"</f>
        <v>\\stjn.local\trimet\Donnees_Projets\Dms Sap\Maintenance\PlanEntretien\7.MSCT\\_.pdf</v>
      </c>
      <c r="X600" s="47"/>
      <c r="Y600" s="47"/>
      <c r="Z600" s="44" t="str">
        <f ca="1">IF(AND(Tableau1[[#This Row],[Charge]]&lt;&gt;0, Tableau1[[#This Row],[Nombre intervenants]]&lt;&gt;0,Tableau1[[#This Row],[Lien document]]&lt;&gt;0,Tableau1[[#This Row],[DMS_SAP]]&lt;&gt;0)=TRUE,"MIS A JOUR","")</f>
        <v/>
      </c>
      <c r="AA600" s="48"/>
      <c r="AB600" s="58" t="str">
        <f ca="1">IF(Tableau1[[#This Row],[Date rév.]]&lt;&gt;"", DAYS360(Tableau1[[#This Row],[Date rév.]],TODAY()),"")</f>
        <v/>
      </c>
      <c r="AC600" s="47" t="str">
        <f>IFERROR(INDEX(Chemin_accès!$B$11:$C$22,MATCH(Tableau1[[#This Row],[Type]],Chemin_accès!$C$11:$C$22,0),1),Chemin_accès!$B$11)</f>
        <v>\\stjn.local\trimet\Btechnique\Commun\BT Maint SCELLEMENT\205 - Préventifs\Modèles préventif\GammeDMS_7.MSCT.xlsm</v>
      </c>
      <c r="AD600" s="47" t="str">
        <f>Chemin_accès!$B$8&amp;Tableau1[[#This Row],[Localisation / Classement]]&amp;"\"&amp;Tableau1[[#This Row],[Poste technique]]&amp;"_"&amp;Tableau1[[#This Row],[Plan Entretien]]&amp;".xlsm"</f>
        <v>\\stjn.local\trimet\Btechnique\Commun\BT Maint SCELLEMENT\205 - Préventifs\Gammes 7.MSCT PE Tool\\_.xlsm</v>
      </c>
    </row>
    <row r="601" spans="1:30" x14ac:dyDescent="0.3">
      <c r="A601" s="44" t="str">
        <f t="shared" ca="1" si="9"/>
        <v>7.MSCT</v>
      </c>
      <c r="B6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1" s="46"/>
      <c r="D601" s="44"/>
      <c r="E601" s="44"/>
      <c r="F601" s="47"/>
      <c r="G601" s="47"/>
      <c r="H601" s="50"/>
      <c r="I601" s="50"/>
      <c r="J601" s="50"/>
      <c r="K601" s="50"/>
      <c r="L601" s="46"/>
      <c r="M601" s="47"/>
      <c r="N601" s="46"/>
      <c r="O601" s="46"/>
      <c r="P601" s="47"/>
      <c r="Q601" s="46"/>
      <c r="R601" s="46"/>
      <c r="S601" s="48"/>
      <c r="T601" s="61" t="str">
        <f>IF(Tableau1[[#This Row],[DMS_SAP]]="","",HYPERLINK(Tableau1[[#This Row],[Chemin fichier source]],"X"))</f>
        <v/>
      </c>
      <c r="U601" s="61" t="str">
        <f>IF(Tableau1[[#This Row],[Date rév.]]="","",HYPERLINK(Tableau1[[#This Row],[Lien document]],"X"))</f>
        <v/>
      </c>
      <c r="V601" s="47"/>
      <c r="W601" s="49" t="str">
        <f ca="1">Chemin_accès!$B$2&amp;Tableau1[[#This Row],[Poste Responsable]]&amp;"\"&amp;Tableau1[[#This Row],[Localisation / Classement]]&amp;"\"&amp;Tableau1[[#This Row],[Poste technique]]&amp;"_"&amp;Tableau1[[#This Row],[Plan Entretien]]&amp;".pdf"</f>
        <v>\\stjn.local\trimet\Donnees_Projets\Dms Sap\Maintenance\PlanEntretien\7.MSCT\\_.pdf</v>
      </c>
      <c r="X601" s="47"/>
      <c r="Y601" s="47"/>
      <c r="Z601" s="44" t="str">
        <f ca="1">IF(AND(Tableau1[[#This Row],[Charge]]&lt;&gt;0, Tableau1[[#This Row],[Nombre intervenants]]&lt;&gt;0,Tableau1[[#This Row],[Lien document]]&lt;&gt;0,Tableau1[[#This Row],[DMS_SAP]]&lt;&gt;0)=TRUE,"MIS A JOUR","")</f>
        <v/>
      </c>
      <c r="AA601" s="48"/>
      <c r="AB601" s="58" t="str">
        <f ca="1">IF(Tableau1[[#This Row],[Date rév.]]&lt;&gt;"", DAYS360(Tableau1[[#This Row],[Date rév.]],TODAY()),"")</f>
        <v/>
      </c>
      <c r="AC601" s="47" t="str">
        <f>IFERROR(INDEX(Chemin_accès!$B$11:$C$22,MATCH(Tableau1[[#This Row],[Type]],Chemin_accès!$C$11:$C$22,0),1),Chemin_accès!$B$11)</f>
        <v>\\stjn.local\trimet\Btechnique\Commun\BT Maint SCELLEMENT\205 - Préventifs\Modèles préventif\GammeDMS_7.MSCT.xlsm</v>
      </c>
      <c r="AD601" s="47" t="str">
        <f>Chemin_accès!$B$8&amp;Tableau1[[#This Row],[Localisation / Classement]]&amp;"\"&amp;Tableau1[[#This Row],[Poste technique]]&amp;"_"&amp;Tableau1[[#This Row],[Plan Entretien]]&amp;".xlsm"</f>
        <v>\\stjn.local\trimet\Btechnique\Commun\BT Maint SCELLEMENT\205 - Préventifs\Gammes 7.MSCT PE Tool\\_.xlsm</v>
      </c>
    </row>
    <row r="602" spans="1:30" x14ac:dyDescent="0.3">
      <c r="A602" s="44" t="str">
        <f t="shared" ca="1" si="9"/>
        <v>7.MSCT</v>
      </c>
      <c r="B6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2" s="46"/>
      <c r="D602" s="44"/>
      <c r="E602" s="44"/>
      <c r="F602" s="47"/>
      <c r="G602" s="47"/>
      <c r="H602" s="50"/>
      <c r="I602" s="50"/>
      <c r="J602" s="50"/>
      <c r="K602" s="50"/>
      <c r="L602" s="46"/>
      <c r="M602" s="47"/>
      <c r="N602" s="46"/>
      <c r="O602" s="46"/>
      <c r="P602" s="47"/>
      <c r="Q602" s="46"/>
      <c r="R602" s="46"/>
      <c r="S602" s="48"/>
      <c r="T602" s="61" t="str">
        <f>IF(Tableau1[[#This Row],[DMS_SAP]]="","",HYPERLINK(Tableau1[[#This Row],[Chemin fichier source]],"X"))</f>
        <v/>
      </c>
      <c r="U602" s="61" t="str">
        <f>IF(Tableau1[[#This Row],[Date rév.]]="","",HYPERLINK(Tableau1[[#This Row],[Lien document]],"X"))</f>
        <v/>
      </c>
      <c r="V602" s="47"/>
      <c r="W602" s="49" t="str">
        <f ca="1">Chemin_accès!$B$2&amp;Tableau1[[#This Row],[Poste Responsable]]&amp;"\"&amp;Tableau1[[#This Row],[Localisation / Classement]]&amp;"\"&amp;Tableau1[[#This Row],[Poste technique]]&amp;"_"&amp;Tableau1[[#This Row],[Plan Entretien]]&amp;".pdf"</f>
        <v>\\stjn.local\trimet\Donnees_Projets\Dms Sap\Maintenance\PlanEntretien\7.MSCT\\_.pdf</v>
      </c>
      <c r="X602" s="47"/>
      <c r="Y602" s="47"/>
      <c r="Z602" s="44" t="str">
        <f ca="1">IF(AND(Tableau1[[#This Row],[Charge]]&lt;&gt;0, Tableau1[[#This Row],[Nombre intervenants]]&lt;&gt;0,Tableau1[[#This Row],[Lien document]]&lt;&gt;0,Tableau1[[#This Row],[DMS_SAP]]&lt;&gt;0)=TRUE,"MIS A JOUR","")</f>
        <v/>
      </c>
      <c r="AA602" s="48"/>
      <c r="AB602" s="58" t="str">
        <f ca="1">IF(Tableau1[[#This Row],[Date rév.]]&lt;&gt;"", DAYS360(Tableau1[[#This Row],[Date rév.]],TODAY()),"")</f>
        <v/>
      </c>
      <c r="AC602" s="47" t="str">
        <f>IFERROR(INDEX(Chemin_accès!$B$11:$C$22,MATCH(Tableau1[[#This Row],[Type]],Chemin_accès!$C$11:$C$22,0),1),Chemin_accès!$B$11)</f>
        <v>\\stjn.local\trimet\Btechnique\Commun\BT Maint SCELLEMENT\205 - Préventifs\Modèles préventif\GammeDMS_7.MSCT.xlsm</v>
      </c>
      <c r="AD602" s="47" t="str">
        <f>Chemin_accès!$B$8&amp;Tableau1[[#This Row],[Localisation / Classement]]&amp;"\"&amp;Tableau1[[#This Row],[Poste technique]]&amp;"_"&amp;Tableau1[[#This Row],[Plan Entretien]]&amp;".xlsm"</f>
        <v>\\stjn.local\trimet\Btechnique\Commun\BT Maint SCELLEMENT\205 - Préventifs\Gammes 7.MSCT PE Tool\\_.xlsm</v>
      </c>
    </row>
    <row r="603" spans="1:30" x14ac:dyDescent="0.3">
      <c r="A603" s="44" t="str">
        <f t="shared" ca="1" si="9"/>
        <v>7.MSCT</v>
      </c>
      <c r="B6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3" s="46"/>
      <c r="D603" s="44"/>
      <c r="E603" s="44"/>
      <c r="F603" s="47"/>
      <c r="G603" s="47"/>
      <c r="H603" s="50"/>
      <c r="I603" s="50"/>
      <c r="J603" s="50"/>
      <c r="K603" s="50"/>
      <c r="L603" s="46"/>
      <c r="M603" s="47"/>
      <c r="N603" s="46"/>
      <c r="O603" s="46"/>
      <c r="P603" s="47"/>
      <c r="Q603" s="46"/>
      <c r="R603" s="46"/>
      <c r="S603" s="48"/>
      <c r="T603" s="61" t="str">
        <f>IF(Tableau1[[#This Row],[DMS_SAP]]="","",HYPERLINK(Tableau1[[#This Row],[Chemin fichier source]],"X"))</f>
        <v/>
      </c>
      <c r="U603" s="61" t="str">
        <f>IF(Tableau1[[#This Row],[Date rév.]]="","",HYPERLINK(Tableau1[[#This Row],[Lien document]],"X"))</f>
        <v/>
      </c>
      <c r="V603" s="47"/>
      <c r="W603" s="49" t="str">
        <f ca="1">Chemin_accès!$B$2&amp;Tableau1[[#This Row],[Poste Responsable]]&amp;"\"&amp;Tableau1[[#This Row],[Localisation / Classement]]&amp;"\"&amp;Tableau1[[#This Row],[Poste technique]]&amp;"_"&amp;Tableau1[[#This Row],[Plan Entretien]]&amp;".pdf"</f>
        <v>\\stjn.local\trimet\Donnees_Projets\Dms Sap\Maintenance\PlanEntretien\7.MSCT\\_.pdf</v>
      </c>
      <c r="X603" s="47"/>
      <c r="Y603" s="47"/>
      <c r="Z603" s="44" t="str">
        <f ca="1">IF(AND(Tableau1[[#This Row],[Charge]]&lt;&gt;0, Tableau1[[#This Row],[Nombre intervenants]]&lt;&gt;0,Tableau1[[#This Row],[Lien document]]&lt;&gt;0,Tableau1[[#This Row],[DMS_SAP]]&lt;&gt;0)=TRUE,"MIS A JOUR","")</f>
        <v/>
      </c>
      <c r="AA603" s="48"/>
      <c r="AB603" s="58" t="str">
        <f ca="1">IF(Tableau1[[#This Row],[Date rév.]]&lt;&gt;"", DAYS360(Tableau1[[#This Row],[Date rév.]],TODAY()),"")</f>
        <v/>
      </c>
      <c r="AC603" s="47" t="str">
        <f>IFERROR(INDEX(Chemin_accès!$B$11:$C$22,MATCH(Tableau1[[#This Row],[Type]],Chemin_accès!$C$11:$C$22,0),1),Chemin_accès!$B$11)</f>
        <v>\\stjn.local\trimet\Btechnique\Commun\BT Maint SCELLEMENT\205 - Préventifs\Modèles préventif\GammeDMS_7.MSCT.xlsm</v>
      </c>
      <c r="AD603" s="47" t="str">
        <f>Chemin_accès!$B$8&amp;Tableau1[[#This Row],[Localisation / Classement]]&amp;"\"&amp;Tableau1[[#This Row],[Poste technique]]&amp;"_"&amp;Tableau1[[#This Row],[Plan Entretien]]&amp;".xlsm"</f>
        <v>\\stjn.local\trimet\Btechnique\Commun\BT Maint SCELLEMENT\205 - Préventifs\Gammes 7.MSCT PE Tool\\_.xlsm</v>
      </c>
    </row>
    <row r="604" spans="1:30" x14ac:dyDescent="0.3">
      <c r="A604" s="44" t="str">
        <f t="shared" ca="1" si="9"/>
        <v>7.MSCT</v>
      </c>
      <c r="B6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4" s="46"/>
      <c r="D604" s="44"/>
      <c r="E604" s="44"/>
      <c r="F604" s="47"/>
      <c r="G604" s="47"/>
      <c r="H604" s="50"/>
      <c r="I604" s="50"/>
      <c r="J604" s="50"/>
      <c r="K604" s="50"/>
      <c r="L604" s="46"/>
      <c r="M604" s="47"/>
      <c r="N604" s="46"/>
      <c r="O604" s="46"/>
      <c r="P604" s="47"/>
      <c r="Q604" s="46"/>
      <c r="R604" s="46"/>
      <c r="S604" s="48"/>
      <c r="T604" s="61" t="str">
        <f>IF(Tableau1[[#This Row],[DMS_SAP]]="","",HYPERLINK(Tableau1[[#This Row],[Chemin fichier source]],"X"))</f>
        <v/>
      </c>
      <c r="U604" s="61" t="str">
        <f>IF(Tableau1[[#This Row],[Date rév.]]="","",HYPERLINK(Tableau1[[#This Row],[Lien document]],"X"))</f>
        <v/>
      </c>
      <c r="V604" s="47"/>
      <c r="W604" s="49" t="str">
        <f ca="1">Chemin_accès!$B$2&amp;Tableau1[[#This Row],[Poste Responsable]]&amp;"\"&amp;Tableau1[[#This Row],[Localisation / Classement]]&amp;"\"&amp;Tableau1[[#This Row],[Poste technique]]&amp;"_"&amp;Tableau1[[#This Row],[Plan Entretien]]&amp;".pdf"</f>
        <v>\\stjn.local\trimet\Donnees_Projets\Dms Sap\Maintenance\PlanEntretien\7.MSCT\\_.pdf</v>
      </c>
      <c r="X604" s="47"/>
      <c r="Y604" s="47"/>
      <c r="Z604" s="44" t="str">
        <f ca="1">IF(AND(Tableau1[[#This Row],[Charge]]&lt;&gt;0, Tableau1[[#This Row],[Nombre intervenants]]&lt;&gt;0,Tableau1[[#This Row],[Lien document]]&lt;&gt;0,Tableau1[[#This Row],[DMS_SAP]]&lt;&gt;0)=TRUE,"MIS A JOUR","")</f>
        <v/>
      </c>
      <c r="AA604" s="48"/>
      <c r="AB604" s="58" t="str">
        <f ca="1">IF(Tableau1[[#This Row],[Date rév.]]&lt;&gt;"", DAYS360(Tableau1[[#This Row],[Date rév.]],TODAY()),"")</f>
        <v/>
      </c>
      <c r="AC604" s="47" t="str">
        <f>IFERROR(INDEX(Chemin_accès!$B$11:$C$22,MATCH(Tableau1[[#This Row],[Type]],Chemin_accès!$C$11:$C$22,0),1),Chemin_accès!$B$11)</f>
        <v>\\stjn.local\trimet\Btechnique\Commun\BT Maint SCELLEMENT\205 - Préventifs\Modèles préventif\GammeDMS_7.MSCT.xlsm</v>
      </c>
      <c r="AD604" s="47" t="str">
        <f>Chemin_accès!$B$8&amp;Tableau1[[#This Row],[Localisation / Classement]]&amp;"\"&amp;Tableau1[[#This Row],[Poste technique]]&amp;"_"&amp;Tableau1[[#This Row],[Plan Entretien]]&amp;".xlsm"</f>
        <v>\\stjn.local\trimet\Btechnique\Commun\BT Maint SCELLEMENT\205 - Préventifs\Gammes 7.MSCT PE Tool\\_.xlsm</v>
      </c>
    </row>
    <row r="605" spans="1:30" x14ac:dyDescent="0.3">
      <c r="A605" s="44" t="str">
        <f t="shared" ca="1" si="9"/>
        <v>7.MSCT</v>
      </c>
      <c r="B6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5" s="46"/>
      <c r="D605" s="44"/>
      <c r="E605" s="44"/>
      <c r="F605" s="47"/>
      <c r="G605" s="47"/>
      <c r="H605" s="50"/>
      <c r="I605" s="50"/>
      <c r="J605" s="50"/>
      <c r="K605" s="50"/>
      <c r="L605" s="46"/>
      <c r="M605" s="47"/>
      <c r="N605" s="46"/>
      <c r="O605" s="46"/>
      <c r="P605" s="47"/>
      <c r="Q605" s="46"/>
      <c r="R605" s="46"/>
      <c r="S605" s="48"/>
      <c r="T605" s="61" t="str">
        <f>IF(Tableau1[[#This Row],[DMS_SAP]]="","",HYPERLINK(Tableau1[[#This Row],[Chemin fichier source]],"X"))</f>
        <v/>
      </c>
      <c r="U605" s="61" t="str">
        <f>IF(Tableau1[[#This Row],[Date rév.]]="","",HYPERLINK(Tableau1[[#This Row],[Lien document]],"X"))</f>
        <v/>
      </c>
      <c r="V605" s="47"/>
      <c r="W605" s="49" t="str">
        <f ca="1">Chemin_accès!$B$2&amp;Tableau1[[#This Row],[Poste Responsable]]&amp;"\"&amp;Tableau1[[#This Row],[Localisation / Classement]]&amp;"\"&amp;Tableau1[[#This Row],[Poste technique]]&amp;"_"&amp;Tableau1[[#This Row],[Plan Entretien]]&amp;".pdf"</f>
        <v>\\stjn.local\trimet\Donnees_Projets\Dms Sap\Maintenance\PlanEntretien\7.MSCT\\_.pdf</v>
      </c>
      <c r="X605" s="47"/>
      <c r="Y605" s="47"/>
      <c r="Z605" s="44" t="str">
        <f ca="1">IF(AND(Tableau1[[#This Row],[Charge]]&lt;&gt;0, Tableau1[[#This Row],[Nombre intervenants]]&lt;&gt;0,Tableau1[[#This Row],[Lien document]]&lt;&gt;0,Tableau1[[#This Row],[DMS_SAP]]&lt;&gt;0)=TRUE,"MIS A JOUR","")</f>
        <v/>
      </c>
      <c r="AA605" s="48"/>
      <c r="AB605" s="58" t="str">
        <f ca="1">IF(Tableau1[[#This Row],[Date rév.]]&lt;&gt;"", DAYS360(Tableau1[[#This Row],[Date rév.]],TODAY()),"")</f>
        <v/>
      </c>
      <c r="AC605" s="47" t="str">
        <f>IFERROR(INDEX(Chemin_accès!$B$11:$C$22,MATCH(Tableau1[[#This Row],[Type]],Chemin_accès!$C$11:$C$22,0),1),Chemin_accès!$B$11)</f>
        <v>\\stjn.local\trimet\Btechnique\Commun\BT Maint SCELLEMENT\205 - Préventifs\Modèles préventif\GammeDMS_7.MSCT.xlsm</v>
      </c>
      <c r="AD605" s="47" t="str">
        <f>Chemin_accès!$B$8&amp;Tableau1[[#This Row],[Localisation / Classement]]&amp;"\"&amp;Tableau1[[#This Row],[Poste technique]]&amp;"_"&amp;Tableau1[[#This Row],[Plan Entretien]]&amp;".xlsm"</f>
        <v>\\stjn.local\trimet\Btechnique\Commun\BT Maint SCELLEMENT\205 - Préventifs\Gammes 7.MSCT PE Tool\\_.xlsm</v>
      </c>
    </row>
    <row r="606" spans="1:30" x14ac:dyDescent="0.3">
      <c r="A606" s="44" t="str">
        <f t="shared" ca="1" si="9"/>
        <v>7.MSCT</v>
      </c>
      <c r="B6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6" s="46"/>
      <c r="D606" s="44"/>
      <c r="E606" s="44"/>
      <c r="F606" s="47"/>
      <c r="G606" s="47"/>
      <c r="H606" s="50"/>
      <c r="I606" s="50"/>
      <c r="J606" s="50"/>
      <c r="K606" s="50"/>
      <c r="L606" s="46"/>
      <c r="M606" s="47"/>
      <c r="N606" s="46"/>
      <c r="O606" s="46"/>
      <c r="P606" s="47"/>
      <c r="Q606" s="46"/>
      <c r="R606" s="46"/>
      <c r="S606" s="48"/>
      <c r="T606" s="61" t="str">
        <f>IF(Tableau1[[#This Row],[DMS_SAP]]="","",HYPERLINK(Tableau1[[#This Row],[Chemin fichier source]],"X"))</f>
        <v/>
      </c>
      <c r="U606" s="61" t="str">
        <f>IF(Tableau1[[#This Row],[Date rév.]]="","",HYPERLINK(Tableau1[[#This Row],[Lien document]],"X"))</f>
        <v/>
      </c>
      <c r="V606" s="47"/>
      <c r="W606" s="49" t="str">
        <f ca="1">Chemin_accès!$B$2&amp;Tableau1[[#This Row],[Poste Responsable]]&amp;"\"&amp;Tableau1[[#This Row],[Localisation / Classement]]&amp;"\"&amp;Tableau1[[#This Row],[Poste technique]]&amp;"_"&amp;Tableau1[[#This Row],[Plan Entretien]]&amp;".pdf"</f>
        <v>\\stjn.local\trimet\Donnees_Projets\Dms Sap\Maintenance\PlanEntretien\7.MSCT\\_.pdf</v>
      </c>
      <c r="X606" s="47"/>
      <c r="Y606" s="47"/>
      <c r="Z606" s="44" t="str">
        <f ca="1">IF(AND(Tableau1[[#This Row],[Charge]]&lt;&gt;0, Tableau1[[#This Row],[Nombre intervenants]]&lt;&gt;0,Tableau1[[#This Row],[Lien document]]&lt;&gt;0,Tableau1[[#This Row],[DMS_SAP]]&lt;&gt;0)=TRUE,"MIS A JOUR","")</f>
        <v/>
      </c>
      <c r="AA606" s="48"/>
      <c r="AB606" s="58" t="str">
        <f ca="1">IF(Tableau1[[#This Row],[Date rév.]]&lt;&gt;"", DAYS360(Tableau1[[#This Row],[Date rév.]],TODAY()),"")</f>
        <v/>
      </c>
      <c r="AC606" s="47" t="str">
        <f>IFERROR(INDEX(Chemin_accès!$B$11:$C$22,MATCH(Tableau1[[#This Row],[Type]],Chemin_accès!$C$11:$C$22,0),1),Chemin_accès!$B$11)</f>
        <v>\\stjn.local\trimet\Btechnique\Commun\BT Maint SCELLEMENT\205 - Préventifs\Modèles préventif\GammeDMS_7.MSCT.xlsm</v>
      </c>
      <c r="AD606" s="47" t="str">
        <f>Chemin_accès!$B$8&amp;Tableau1[[#This Row],[Localisation / Classement]]&amp;"\"&amp;Tableau1[[#This Row],[Poste technique]]&amp;"_"&amp;Tableau1[[#This Row],[Plan Entretien]]&amp;".xlsm"</f>
        <v>\\stjn.local\trimet\Btechnique\Commun\BT Maint SCELLEMENT\205 - Préventifs\Gammes 7.MSCT PE Tool\\_.xlsm</v>
      </c>
    </row>
    <row r="607" spans="1:30" x14ac:dyDescent="0.3">
      <c r="A607" s="44" t="str">
        <f t="shared" ca="1" si="9"/>
        <v>7.MSCT</v>
      </c>
      <c r="B6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7" s="46"/>
      <c r="D607" s="44"/>
      <c r="E607" s="44"/>
      <c r="F607" s="47"/>
      <c r="G607" s="47"/>
      <c r="H607" s="50"/>
      <c r="I607" s="50"/>
      <c r="J607" s="50"/>
      <c r="K607" s="50"/>
      <c r="L607" s="46"/>
      <c r="M607" s="47"/>
      <c r="N607" s="46"/>
      <c r="O607" s="46"/>
      <c r="P607" s="47"/>
      <c r="Q607" s="46"/>
      <c r="R607" s="46"/>
      <c r="S607" s="48"/>
      <c r="T607" s="61" t="str">
        <f>IF(Tableau1[[#This Row],[DMS_SAP]]="","",HYPERLINK(Tableau1[[#This Row],[Chemin fichier source]],"X"))</f>
        <v/>
      </c>
      <c r="U607" s="61" t="str">
        <f>IF(Tableau1[[#This Row],[Date rév.]]="","",HYPERLINK(Tableau1[[#This Row],[Lien document]],"X"))</f>
        <v/>
      </c>
      <c r="V607" s="47"/>
      <c r="W607" s="49" t="str">
        <f ca="1">Chemin_accès!$B$2&amp;Tableau1[[#This Row],[Poste Responsable]]&amp;"\"&amp;Tableau1[[#This Row],[Localisation / Classement]]&amp;"\"&amp;Tableau1[[#This Row],[Poste technique]]&amp;"_"&amp;Tableau1[[#This Row],[Plan Entretien]]&amp;".pdf"</f>
        <v>\\stjn.local\trimet\Donnees_Projets\Dms Sap\Maintenance\PlanEntretien\7.MSCT\\_.pdf</v>
      </c>
      <c r="X607" s="47"/>
      <c r="Y607" s="47"/>
      <c r="Z607" s="44" t="str">
        <f ca="1">IF(AND(Tableau1[[#This Row],[Charge]]&lt;&gt;0, Tableau1[[#This Row],[Nombre intervenants]]&lt;&gt;0,Tableau1[[#This Row],[Lien document]]&lt;&gt;0,Tableau1[[#This Row],[DMS_SAP]]&lt;&gt;0)=TRUE,"MIS A JOUR","")</f>
        <v/>
      </c>
      <c r="AA607" s="48"/>
      <c r="AB607" s="58" t="str">
        <f ca="1">IF(Tableau1[[#This Row],[Date rév.]]&lt;&gt;"", DAYS360(Tableau1[[#This Row],[Date rév.]],TODAY()),"")</f>
        <v/>
      </c>
      <c r="AC607" s="47" t="str">
        <f>IFERROR(INDEX(Chemin_accès!$B$11:$C$22,MATCH(Tableau1[[#This Row],[Type]],Chemin_accès!$C$11:$C$22,0),1),Chemin_accès!$B$11)</f>
        <v>\\stjn.local\trimet\Btechnique\Commun\BT Maint SCELLEMENT\205 - Préventifs\Modèles préventif\GammeDMS_7.MSCT.xlsm</v>
      </c>
      <c r="AD607" s="47" t="str">
        <f>Chemin_accès!$B$8&amp;Tableau1[[#This Row],[Localisation / Classement]]&amp;"\"&amp;Tableau1[[#This Row],[Poste technique]]&amp;"_"&amp;Tableau1[[#This Row],[Plan Entretien]]&amp;".xlsm"</f>
        <v>\\stjn.local\trimet\Btechnique\Commun\BT Maint SCELLEMENT\205 - Préventifs\Gammes 7.MSCT PE Tool\\_.xlsm</v>
      </c>
    </row>
    <row r="608" spans="1:30" x14ac:dyDescent="0.3">
      <c r="A608" s="44" t="str">
        <f t="shared" ca="1" si="9"/>
        <v>7.MSCT</v>
      </c>
      <c r="B6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8" s="46"/>
      <c r="D608" s="44"/>
      <c r="E608" s="44"/>
      <c r="F608" s="47"/>
      <c r="G608" s="47"/>
      <c r="H608" s="50"/>
      <c r="I608" s="50"/>
      <c r="J608" s="50"/>
      <c r="K608" s="50"/>
      <c r="L608" s="46"/>
      <c r="M608" s="47"/>
      <c r="N608" s="46"/>
      <c r="O608" s="46"/>
      <c r="P608" s="47"/>
      <c r="Q608" s="46"/>
      <c r="R608" s="46"/>
      <c r="S608" s="48"/>
      <c r="T608" s="61" t="str">
        <f>IF(Tableau1[[#This Row],[DMS_SAP]]="","",HYPERLINK(Tableau1[[#This Row],[Chemin fichier source]],"X"))</f>
        <v/>
      </c>
      <c r="U608" s="61" t="str">
        <f>IF(Tableau1[[#This Row],[Date rév.]]="","",HYPERLINK(Tableau1[[#This Row],[Lien document]],"X"))</f>
        <v/>
      </c>
      <c r="V608" s="47"/>
      <c r="W608" s="49" t="str">
        <f ca="1">Chemin_accès!$B$2&amp;Tableau1[[#This Row],[Poste Responsable]]&amp;"\"&amp;Tableau1[[#This Row],[Localisation / Classement]]&amp;"\"&amp;Tableau1[[#This Row],[Poste technique]]&amp;"_"&amp;Tableau1[[#This Row],[Plan Entretien]]&amp;".pdf"</f>
        <v>\\stjn.local\trimet\Donnees_Projets\Dms Sap\Maintenance\PlanEntretien\7.MSCT\\_.pdf</v>
      </c>
      <c r="X608" s="47"/>
      <c r="Y608" s="47"/>
      <c r="Z608" s="44" t="str">
        <f ca="1">IF(AND(Tableau1[[#This Row],[Charge]]&lt;&gt;0, Tableau1[[#This Row],[Nombre intervenants]]&lt;&gt;0,Tableau1[[#This Row],[Lien document]]&lt;&gt;0,Tableau1[[#This Row],[DMS_SAP]]&lt;&gt;0)=TRUE,"MIS A JOUR","")</f>
        <v/>
      </c>
      <c r="AA608" s="48"/>
      <c r="AB608" s="58" t="str">
        <f ca="1">IF(Tableau1[[#This Row],[Date rév.]]&lt;&gt;"", DAYS360(Tableau1[[#This Row],[Date rév.]],TODAY()),"")</f>
        <v/>
      </c>
      <c r="AC608" s="47" t="str">
        <f>IFERROR(INDEX(Chemin_accès!$B$11:$C$22,MATCH(Tableau1[[#This Row],[Type]],Chemin_accès!$C$11:$C$22,0),1),Chemin_accès!$B$11)</f>
        <v>\\stjn.local\trimet\Btechnique\Commun\BT Maint SCELLEMENT\205 - Préventifs\Modèles préventif\GammeDMS_7.MSCT.xlsm</v>
      </c>
      <c r="AD608" s="47" t="str">
        <f>Chemin_accès!$B$8&amp;Tableau1[[#This Row],[Localisation / Classement]]&amp;"\"&amp;Tableau1[[#This Row],[Poste technique]]&amp;"_"&amp;Tableau1[[#This Row],[Plan Entretien]]&amp;".xlsm"</f>
        <v>\\stjn.local\trimet\Btechnique\Commun\BT Maint SCELLEMENT\205 - Préventifs\Gammes 7.MSCT PE Tool\\_.xlsm</v>
      </c>
    </row>
    <row r="609" spans="1:30" x14ac:dyDescent="0.3">
      <c r="A609" s="44" t="str">
        <f t="shared" ca="1" si="9"/>
        <v>7.MSCT</v>
      </c>
      <c r="B6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9" s="46"/>
      <c r="D609" s="44"/>
      <c r="E609" s="44"/>
      <c r="F609" s="47"/>
      <c r="G609" s="47"/>
      <c r="H609" s="50"/>
      <c r="I609" s="50"/>
      <c r="J609" s="50"/>
      <c r="K609" s="50"/>
      <c r="L609" s="46"/>
      <c r="M609" s="47"/>
      <c r="N609" s="46"/>
      <c r="O609" s="46"/>
      <c r="P609" s="47"/>
      <c r="Q609" s="46"/>
      <c r="R609" s="46"/>
      <c r="S609" s="48"/>
      <c r="T609" s="61" t="str">
        <f>IF(Tableau1[[#This Row],[DMS_SAP]]="","",HYPERLINK(Tableau1[[#This Row],[Chemin fichier source]],"X"))</f>
        <v/>
      </c>
      <c r="U609" s="61" t="str">
        <f>IF(Tableau1[[#This Row],[Date rév.]]="","",HYPERLINK(Tableau1[[#This Row],[Lien document]],"X"))</f>
        <v/>
      </c>
      <c r="V609" s="47"/>
      <c r="W609" s="49" t="str">
        <f ca="1">Chemin_accès!$B$2&amp;Tableau1[[#This Row],[Poste Responsable]]&amp;"\"&amp;Tableau1[[#This Row],[Localisation / Classement]]&amp;"\"&amp;Tableau1[[#This Row],[Poste technique]]&amp;"_"&amp;Tableau1[[#This Row],[Plan Entretien]]&amp;".pdf"</f>
        <v>\\stjn.local\trimet\Donnees_Projets\Dms Sap\Maintenance\PlanEntretien\7.MSCT\\_.pdf</v>
      </c>
      <c r="X609" s="47"/>
      <c r="Y609" s="47"/>
      <c r="Z609" s="44" t="str">
        <f ca="1">IF(AND(Tableau1[[#This Row],[Charge]]&lt;&gt;0, Tableau1[[#This Row],[Nombre intervenants]]&lt;&gt;0,Tableau1[[#This Row],[Lien document]]&lt;&gt;0,Tableau1[[#This Row],[DMS_SAP]]&lt;&gt;0)=TRUE,"MIS A JOUR","")</f>
        <v/>
      </c>
      <c r="AA609" s="48"/>
      <c r="AB609" s="58" t="str">
        <f ca="1">IF(Tableau1[[#This Row],[Date rév.]]&lt;&gt;"", DAYS360(Tableau1[[#This Row],[Date rév.]],TODAY()),"")</f>
        <v/>
      </c>
      <c r="AC609" s="47" t="str">
        <f>IFERROR(INDEX(Chemin_accès!$B$11:$C$22,MATCH(Tableau1[[#This Row],[Type]],Chemin_accès!$C$11:$C$22,0),1),Chemin_accès!$B$11)</f>
        <v>\\stjn.local\trimet\Btechnique\Commun\BT Maint SCELLEMENT\205 - Préventifs\Modèles préventif\GammeDMS_7.MSCT.xlsm</v>
      </c>
      <c r="AD609" s="47" t="str">
        <f>Chemin_accès!$B$8&amp;Tableau1[[#This Row],[Localisation / Classement]]&amp;"\"&amp;Tableau1[[#This Row],[Poste technique]]&amp;"_"&amp;Tableau1[[#This Row],[Plan Entretien]]&amp;".xlsm"</f>
        <v>\\stjn.local\trimet\Btechnique\Commun\BT Maint SCELLEMENT\205 - Préventifs\Gammes 7.MSCT PE Tool\\_.xlsm</v>
      </c>
    </row>
    <row r="610" spans="1:30" x14ac:dyDescent="0.3">
      <c r="A610" s="44" t="str">
        <f t="shared" ca="1" si="9"/>
        <v>7.MSCT</v>
      </c>
      <c r="B6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0" s="46"/>
      <c r="D610" s="44"/>
      <c r="E610" s="44"/>
      <c r="F610" s="47"/>
      <c r="G610" s="47"/>
      <c r="H610" s="50"/>
      <c r="I610" s="50"/>
      <c r="J610" s="50"/>
      <c r="K610" s="50"/>
      <c r="L610" s="46"/>
      <c r="M610" s="47"/>
      <c r="N610" s="46"/>
      <c r="O610" s="46"/>
      <c r="P610" s="47"/>
      <c r="Q610" s="46"/>
      <c r="R610" s="46"/>
      <c r="S610" s="48"/>
      <c r="T610" s="61" t="str">
        <f>IF(Tableau1[[#This Row],[DMS_SAP]]="","",HYPERLINK(Tableau1[[#This Row],[Chemin fichier source]],"X"))</f>
        <v/>
      </c>
      <c r="U610" s="61" t="str">
        <f>IF(Tableau1[[#This Row],[Date rév.]]="","",HYPERLINK(Tableau1[[#This Row],[Lien document]],"X"))</f>
        <v/>
      </c>
      <c r="V610" s="47"/>
      <c r="W610" s="49" t="str">
        <f ca="1">Chemin_accès!$B$2&amp;Tableau1[[#This Row],[Poste Responsable]]&amp;"\"&amp;Tableau1[[#This Row],[Localisation / Classement]]&amp;"\"&amp;Tableau1[[#This Row],[Poste technique]]&amp;"_"&amp;Tableau1[[#This Row],[Plan Entretien]]&amp;".pdf"</f>
        <v>\\stjn.local\trimet\Donnees_Projets\Dms Sap\Maintenance\PlanEntretien\7.MSCT\\_.pdf</v>
      </c>
      <c r="X610" s="47"/>
      <c r="Y610" s="47"/>
      <c r="Z610" s="44" t="str">
        <f ca="1">IF(AND(Tableau1[[#This Row],[Charge]]&lt;&gt;0, Tableau1[[#This Row],[Nombre intervenants]]&lt;&gt;0,Tableau1[[#This Row],[Lien document]]&lt;&gt;0,Tableau1[[#This Row],[DMS_SAP]]&lt;&gt;0)=TRUE,"MIS A JOUR","")</f>
        <v/>
      </c>
      <c r="AA610" s="48"/>
      <c r="AB610" s="58" t="str">
        <f ca="1">IF(Tableau1[[#This Row],[Date rév.]]&lt;&gt;"", DAYS360(Tableau1[[#This Row],[Date rév.]],TODAY()),"")</f>
        <v/>
      </c>
      <c r="AC610" s="47" t="str">
        <f>IFERROR(INDEX(Chemin_accès!$B$11:$C$22,MATCH(Tableau1[[#This Row],[Type]],Chemin_accès!$C$11:$C$22,0),1),Chemin_accès!$B$11)</f>
        <v>\\stjn.local\trimet\Btechnique\Commun\BT Maint SCELLEMENT\205 - Préventifs\Modèles préventif\GammeDMS_7.MSCT.xlsm</v>
      </c>
      <c r="AD610" s="47" t="str">
        <f>Chemin_accès!$B$8&amp;Tableau1[[#This Row],[Localisation / Classement]]&amp;"\"&amp;Tableau1[[#This Row],[Poste technique]]&amp;"_"&amp;Tableau1[[#This Row],[Plan Entretien]]&amp;".xlsm"</f>
        <v>\\stjn.local\trimet\Btechnique\Commun\BT Maint SCELLEMENT\205 - Préventifs\Gammes 7.MSCT PE Tool\\_.xlsm</v>
      </c>
    </row>
    <row r="611" spans="1:30" x14ac:dyDescent="0.3">
      <c r="A611" s="44" t="str">
        <f t="shared" ca="1" si="9"/>
        <v>7.MSCT</v>
      </c>
      <c r="B6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1" s="46"/>
      <c r="D611" s="44"/>
      <c r="E611" s="44"/>
      <c r="F611" s="47"/>
      <c r="G611" s="47"/>
      <c r="H611" s="50"/>
      <c r="I611" s="50"/>
      <c r="J611" s="50"/>
      <c r="K611" s="50"/>
      <c r="L611" s="46"/>
      <c r="M611" s="47"/>
      <c r="N611" s="46"/>
      <c r="O611" s="46"/>
      <c r="P611" s="47"/>
      <c r="Q611" s="46"/>
      <c r="R611" s="46"/>
      <c r="S611" s="48"/>
      <c r="T611" s="61" t="str">
        <f>IF(Tableau1[[#This Row],[DMS_SAP]]="","",HYPERLINK(Tableau1[[#This Row],[Chemin fichier source]],"X"))</f>
        <v/>
      </c>
      <c r="U611" s="61" t="str">
        <f>IF(Tableau1[[#This Row],[Date rév.]]="","",HYPERLINK(Tableau1[[#This Row],[Lien document]],"X"))</f>
        <v/>
      </c>
      <c r="V611" s="47"/>
      <c r="W611" s="49" t="str">
        <f ca="1">Chemin_accès!$B$2&amp;Tableau1[[#This Row],[Poste Responsable]]&amp;"\"&amp;Tableau1[[#This Row],[Localisation / Classement]]&amp;"\"&amp;Tableau1[[#This Row],[Poste technique]]&amp;"_"&amp;Tableau1[[#This Row],[Plan Entretien]]&amp;".pdf"</f>
        <v>\\stjn.local\trimet\Donnees_Projets\Dms Sap\Maintenance\PlanEntretien\7.MSCT\\_.pdf</v>
      </c>
      <c r="X611" s="47"/>
      <c r="Y611" s="47"/>
      <c r="Z611" s="44" t="str">
        <f ca="1">IF(AND(Tableau1[[#This Row],[Charge]]&lt;&gt;0, Tableau1[[#This Row],[Nombre intervenants]]&lt;&gt;0,Tableau1[[#This Row],[Lien document]]&lt;&gt;0,Tableau1[[#This Row],[DMS_SAP]]&lt;&gt;0)=TRUE,"MIS A JOUR","")</f>
        <v/>
      </c>
      <c r="AA611" s="48"/>
      <c r="AB611" s="58" t="str">
        <f ca="1">IF(Tableau1[[#This Row],[Date rév.]]&lt;&gt;"", DAYS360(Tableau1[[#This Row],[Date rév.]],TODAY()),"")</f>
        <v/>
      </c>
      <c r="AC611" s="47" t="str">
        <f>IFERROR(INDEX(Chemin_accès!$B$11:$C$22,MATCH(Tableau1[[#This Row],[Type]],Chemin_accès!$C$11:$C$22,0),1),Chemin_accès!$B$11)</f>
        <v>\\stjn.local\trimet\Btechnique\Commun\BT Maint SCELLEMENT\205 - Préventifs\Modèles préventif\GammeDMS_7.MSCT.xlsm</v>
      </c>
      <c r="AD611" s="47" t="str">
        <f>Chemin_accès!$B$8&amp;Tableau1[[#This Row],[Localisation / Classement]]&amp;"\"&amp;Tableau1[[#This Row],[Poste technique]]&amp;"_"&amp;Tableau1[[#This Row],[Plan Entretien]]&amp;".xlsm"</f>
        <v>\\stjn.local\trimet\Btechnique\Commun\BT Maint SCELLEMENT\205 - Préventifs\Gammes 7.MSCT PE Tool\\_.xlsm</v>
      </c>
    </row>
    <row r="612" spans="1:30" x14ac:dyDescent="0.3">
      <c r="A612" s="44" t="str">
        <f t="shared" ca="1" si="9"/>
        <v>7.MSCT</v>
      </c>
      <c r="B6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2" s="46"/>
      <c r="D612" s="44"/>
      <c r="E612" s="44"/>
      <c r="F612" s="47"/>
      <c r="G612" s="47"/>
      <c r="H612" s="50"/>
      <c r="I612" s="50"/>
      <c r="J612" s="50"/>
      <c r="K612" s="50"/>
      <c r="L612" s="46"/>
      <c r="M612" s="47"/>
      <c r="N612" s="46"/>
      <c r="O612" s="46"/>
      <c r="P612" s="47"/>
      <c r="Q612" s="46"/>
      <c r="R612" s="46"/>
      <c r="S612" s="48"/>
      <c r="T612" s="61" t="str">
        <f>IF(Tableau1[[#This Row],[DMS_SAP]]="","",HYPERLINK(Tableau1[[#This Row],[Chemin fichier source]],"X"))</f>
        <v/>
      </c>
      <c r="U612" s="61" t="str">
        <f>IF(Tableau1[[#This Row],[Date rév.]]="","",HYPERLINK(Tableau1[[#This Row],[Lien document]],"X"))</f>
        <v/>
      </c>
      <c r="V612" s="47"/>
      <c r="W612" s="49" t="str">
        <f ca="1">Chemin_accès!$B$2&amp;Tableau1[[#This Row],[Poste Responsable]]&amp;"\"&amp;Tableau1[[#This Row],[Localisation / Classement]]&amp;"\"&amp;Tableau1[[#This Row],[Poste technique]]&amp;"_"&amp;Tableau1[[#This Row],[Plan Entretien]]&amp;".pdf"</f>
        <v>\\stjn.local\trimet\Donnees_Projets\Dms Sap\Maintenance\PlanEntretien\7.MSCT\\_.pdf</v>
      </c>
      <c r="X612" s="47"/>
      <c r="Y612" s="47"/>
      <c r="Z612" s="44" t="str">
        <f ca="1">IF(AND(Tableau1[[#This Row],[Charge]]&lt;&gt;0, Tableau1[[#This Row],[Nombre intervenants]]&lt;&gt;0,Tableau1[[#This Row],[Lien document]]&lt;&gt;0,Tableau1[[#This Row],[DMS_SAP]]&lt;&gt;0)=TRUE,"MIS A JOUR","")</f>
        <v/>
      </c>
      <c r="AA612" s="48"/>
      <c r="AB612" s="58" t="str">
        <f ca="1">IF(Tableau1[[#This Row],[Date rév.]]&lt;&gt;"", DAYS360(Tableau1[[#This Row],[Date rév.]],TODAY()),"")</f>
        <v/>
      </c>
      <c r="AC612" s="47" t="str">
        <f>IFERROR(INDEX(Chemin_accès!$B$11:$C$22,MATCH(Tableau1[[#This Row],[Type]],Chemin_accès!$C$11:$C$22,0),1),Chemin_accès!$B$11)</f>
        <v>\\stjn.local\trimet\Btechnique\Commun\BT Maint SCELLEMENT\205 - Préventifs\Modèles préventif\GammeDMS_7.MSCT.xlsm</v>
      </c>
      <c r="AD612" s="47" t="str">
        <f>Chemin_accès!$B$8&amp;Tableau1[[#This Row],[Localisation / Classement]]&amp;"\"&amp;Tableau1[[#This Row],[Poste technique]]&amp;"_"&amp;Tableau1[[#This Row],[Plan Entretien]]&amp;".xlsm"</f>
        <v>\\stjn.local\trimet\Btechnique\Commun\BT Maint SCELLEMENT\205 - Préventifs\Gammes 7.MSCT PE Tool\\_.xlsm</v>
      </c>
    </row>
    <row r="613" spans="1:30" x14ac:dyDescent="0.3">
      <c r="A613" s="44" t="str">
        <f t="shared" ca="1" si="9"/>
        <v>7.MSCT</v>
      </c>
      <c r="B6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3" s="46"/>
      <c r="D613" s="44"/>
      <c r="E613" s="44"/>
      <c r="F613" s="47"/>
      <c r="G613" s="47"/>
      <c r="H613" s="50"/>
      <c r="I613" s="50"/>
      <c r="J613" s="50"/>
      <c r="K613" s="50"/>
      <c r="L613" s="46"/>
      <c r="M613" s="47"/>
      <c r="N613" s="46"/>
      <c r="O613" s="46"/>
      <c r="P613" s="47"/>
      <c r="Q613" s="46"/>
      <c r="R613" s="46"/>
      <c r="S613" s="48"/>
      <c r="T613" s="61" t="str">
        <f>IF(Tableau1[[#This Row],[DMS_SAP]]="","",HYPERLINK(Tableau1[[#This Row],[Chemin fichier source]],"X"))</f>
        <v/>
      </c>
      <c r="U613" s="61" t="str">
        <f>IF(Tableau1[[#This Row],[Date rév.]]="","",HYPERLINK(Tableau1[[#This Row],[Lien document]],"X"))</f>
        <v/>
      </c>
      <c r="V613" s="47"/>
      <c r="W613" s="49" t="str">
        <f ca="1">Chemin_accès!$B$2&amp;Tableau1[[#This Row],[Poste Responsable]]&amp;"\"&amp;Tableau1[[#This Row],[Localisation / Classement]]&amp;"\"&amp;Tableau1[[#This Row],[Poste technique]]&amp;"_"&amp;Tableau1[[#This Row],[Plan Entretien]]&amp;".pdf"</f>
        <v>\\stjn.local\trimet\Donnees_Projets\Dms Sap\Maintenance\PlanEntretien\7.MSCT\\_.pdf</v>
      </c>
      <c r="X613" s="47"/>
      <c r="Y613" s="47"/>
      <c r="Z613" s="44" t="str">
        <f ca="1">IF(AND(Tableau1[[#This Row],[Charge]]&lt;&gt;0, Tableau1[[#This Row],[Nombre intervenants]]&lt;&gt;0,Tableau1[[#This Row],[Lien document]]&lt;&gt;0,Tableau1[[#This Row],[DMS_SAP]]&lt;&gt;0)=TRUE,"MIS A JOUR","")</f>
        <v/>
      </c>
      <c r="AA613" s="48"/>
      <c r="AB613" s="58" t="str">
        <f ca="1">IF(Tableau1[[#This Row],[Date rév.]]&lt;&gt;"", DAYS360(Tableau1[[#This Row],[Date rév.]],TODAY()),"")</f>
        <v/>
      </c>
      <c r="AC613" s="47" t="str">
        <f>IFERROR(INDEX(Chemin_accès!$B$11:$C$22,MATCH(Tableau1[[#This Row],[Type]],Chemin_accès!$C$11:$C$22,0),1),Chemin_accès!$B$11)</f>
        <v>\\stjn.local\trimet\Btechnique\Commun\BT Maint SCELLEMENT\205 - Préventifs\Modèles préventif\GammeDMS_7.MSCT.xlsm</v>
      </c>
      <c r="AD613" s="47" t="str">
        <f>Chemin_accès!$B$8&amp;Tableau1[[#This Row],[Localisation / Classement]]&amp;"\"&amp;Tableau1[[#This Row],[Poste technique]]&amp;"_"&amp;Tableau1[[#This Row],[Plan Entretien]]&amp;".xlsm"</f>
        <v>\\stjn.local\trimet\Btechnique\Commun\BT Maint SCELLEMENT\205 - Préventifs\Gammes 7.MSCT PE Tool\\_.xlsm</v>
      </c>
    </row>
    <row r="614" spans="1:30" x14ac:dyDescent="0.3">
      <c r="A614" s="44" t="str">
        <f t="shared" ca="1" si="9"/>
        <v>7.MSCT</v>
      </c>
      <c r="B6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4" s="46"/>
      <c r="D614" s="44"/>
      <c r="E614" s="44"/>
      <c r="F614" s="47"/>
      <c r="G614" s="47"/>
      <c r="H614" s="50"/>
      <c r="I614" s="50"/>
      <c r="J614" s="50"/>
      <c r="K614" s="50"/>
      <c r="L614" s="46"/>
      <c r="M614" s="47"/>
      <c r="N614" s="46"/>
      <c r="O614" s="46"/>
      <c r="P614" s="47"/>
      <c r="Q614" s="46"/>
      <c r="R614" s="46"/>
      <c r="S614" s="48"/>
      <c r="T614" s="61" t="str">
        <f>IF(Tableau1[[#This Row],[DMS_SAP]]="","",HYPERLINK(Tableau1[[#This Row],[Chemin fichier source]],"X"))</f>
        <v/>
      </c>
      <c r="U614" s="61" t="str">
        <f>IF(Tableau1[[#This Row],[Date rév.]]="","",HYPERLINK(Tableau1[[#This Row],[Lien document]],"X"))</f>
        <v/>
      </c>
      <c r="V614" s="47"/>
      <c r="W614" s="49" t="str">
        <f ca="1">Chemin_accès!$B$2&amp;Tableau1[[#This Row],[Poste Responsable]]&amp;"\"&amp;Tableau1[[#This Row],[Localisation / Classement]]&amp;"\"&amp;Tableau1[[#This Row],[Poste technique]]&amp;"_"&amp;Tableau1[[#This Row],[Plan Entretien]]&amp;".pdf"</f>
        <v>\\stjn.local\trimet\Donnees_Projets\Dms Sap\Maintenance\PlanEntretien\7.MSCT\\_.pdf</v>
      </c>
      <c r="X614" s="47"/>
      <c r="Y614" s="47"/>
      <c r="Z614" s="44" t="str">
        <f ca="1">IF(AND(Tableau1[[#This Row],[Charge]]&lt;&gt;0, Tableau1[[#This Row],[Nombre intervenants]]&lt;&gt;0,Tableau1[[#This Row],[Lien document]]&lt;&gt;0,Tableau1[[#This Row],[DMS_SAP]]&lt;&gt;0)=TRUE,"MIS A JOUR","")</f>
        <v/>
      </c>
      <c r="AA614" s="48"/>
      <c r="AB614" s="58" t="str">
        <f ca="1">IF(Tableau1[[#This Row],[Date rév.]]&lt;&gt;"", DAYS360(Tableau1[[#This Row],[Date rév.]],TODAY()),"")</f>
        <v/>
      </c>
      <c r="AC614" s="47" t="str">
        <f>IFERROR(INDEX(Chemin_accès!$B$11:$C$22,MATCH(Tableau1[[#This Row],[Type]],Chemin_accès!$C$11:$C$22,0),1),Chemin_accès!$B$11)</f>
        <v>\\stjn.local\trimet\Btechnique\Commun\BT Maint SCELLEMENT\205 - Préventifs\Modèles préventif\GammeDMS_7.MSCT.xlsm</v>
      </c>
      <c r="AD614" s="47" t="str">
        <f>Chemin_accès!$B$8&amp;Tableau1[[#This Row],[Localisation / Classement]]&amp;"\"&amp;Tableau1[[#This Row],[Poste technique]]&amp;"_"&amp;Tableau1[[#This Row],[Plan Entretien]]&amp;".xlsm"</f>
        <v>\\stjn.local\trimet\Btechnique\Commun\BT Maint SCELLEMENT\205 - Préventifs\Gammes 7.MSCT PE Tool\\_.xlsm</v>
      </c>
    </row>
    <row r="615" spans="1:30" x14ac:dyDescent="0.3">
      <c r="A615" s="44" t="str">
        <f t="shared" ca="1" si="9"/>
        <v>7.MSCT</v>
      </c>
      <c r="B6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5" s="46"/>
      <c r="D615" s="44"/>
      <c r="E615" s="44"/>
      <c r="F615" s="47"/>
      <c r="G615" s="47"/>
      <c r="H615" s="50"/>
      <c r="I615" s="50"/>
      <c r="J615" s="50"/>
      <c r="K615" s="50"/>
      <c r="L615" s="46"/>
      <c r="M615" s="47"/>
      <c r="N615" s="46"/>
      <c r="O615" s="46"/>
      <c r="P615" s="47"/>
      <c r="Q615" s="46"/>
      <c r="R615" s="46"/>
      <c r="S615" s="48"/>
      <c r="T615" s="61" t="str">
        <f>IF(Tableau1[[#This Row],[DMS_SAP]]="","",HYPERLINK(Tableau1[[#This Row],[Chemin fichier source]],"X"))</f>
        <v/>
      </c>
      <c r="U615" s="61" t="str">
        <f>IF(Tableau1[[#This Row],[Date rév.]]="","",HYPERLINK(Tableau1[[#This Row],[Lien document]],"X"))</f>
        <v/>
      </c>
      <c r="V615" s="47"/>
      <c r="W615" s="49" t="str">
        <f ca="1">Chemin_accès!$B$2&amp;Tableau1[[#This Row],[Poste Responsable]]&amp;"\"&amp;Tableau1[[#This Row],[Localisation / Classement]]&amp;"\"&amp;Tableau1[[#This Row],[Poste technique]]&amp;"_"&amp;Tableau1[[#This Row],[Plan Entretien]]&amp;".pdf"</f>
        <v>\\stjn.local\trimet\Donnees_Projets\Dms Sap\Maintenance\PlanEntretien\7.MSCT\\_.pdf</v>
      </c>
      <c r="X615" s="47"/>
      <c r="Y615" s="47"/>
      <c r="Z615" s="44" t="str">
        <f ca="1">IF(AND(Tableau1[[#This Row],[Charge]]&lt;&gt;0, Tableau1[[#This Row],[Nombre intervenants]]&lt;&gt;0,Tableau1[[#This Row],[Lien document]]&lt;&gt;0,Tableau1[[#This Row],[DMS_SAP]]&lt;&gt;0)=TRUE,"MIS A JOUR","")</f>
        <v/>
      </c>
      <c r="AA615" s="48"/>
      <c r="AB615" s="58" t="str">
        <f ca="1">IF(Tableau1[[#This Row],[Date rév.]]&lt;&gt;"", DAYS360(Tableau1[[#This Row],[Date rév.]],TODAY()),"")</f>
        <v/>
      </c>
      <c r="AC615" s="47" t="str">
        <f>IFERROR(INDEX(Chemin_accès!$B$11:$C$22,MATCH(Tableau1[[#This Row],[Type]],Chemin_accès!$C$11:$C$22,0),1),Chemin_accès!$B$11)</f>
        <v>\\stjn.local\trimet\Btechnique\Commun\BT Maint SCELLEMENT\205 - Préventifs\Modèles préventif\GammeDMS_7.MSCT.xlsm</v>
      </c>
      <c r="AD615" s="47" t="str">
        <f>Chemin_accès!$B$8&amp;Tableau1[[#This Row],[Localisation / Classement]]&amp;"\"&amp;Tableau1[[#This Row],[Poste technique]]&amp;"_"&amp;Tableau1[[#This Row],[Plan Entretien]]&amp;".xlsm"</f>
        <v>\\stjn.local\trimet\Btechnique\Commun\BT Maint SCELLEMENT\205 - Préventifs\Gammes 7.MSCT PE Tool\\_.xlsm</v>
      </c>
    </row>
    <row r="616" spans="1:30" x14ac:dyDescent="0.3">
      <c r="A616" s="44" t="str">
        <f t="shared" ca="1" si="9"/>
        <v>7.MSCT</v>
      </c>
      <c r="B6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6" s="46"/>
      <c r="D616" s="44"/>
      <c r="E616" s="44"/>
      <c r="F616" s="47"/>
      <c r="G616" s="47"/>
      <c r="H616" s="50"/>
      <c r="I616" s="50"/>
      <c r="J616" s="50"/>
      <c r="K616" s="50"/>
      <c r="L616" s="46"/>
      <c r="M616" s="47"/>
      <c r="N616" s="46"/>
      <c r="O616" s="46"/>
      <c r="P616" s="47"/>
      <c r="Q616" s="46"/>
      <c r="R616" s="46"/>
      <c r="S616" s="48"/>
      <c r="T616" s="61" t="str">
        <f>IF(Tableau1[[#This Row],[DMS_SAP]]="","",HYPERLINK(Tableau1[[#This Row],[Chemin fichier source]],"X"))</f>
        <v/>
      </c>
      <c r="U616" s="61" t="str">
        <f>IF(Tableau1[[#This Row],[Date rév.]]="","",HYPERLINK(Tableau1[[#This Row],[Lien document]],"X"))</f>
        <v/>
      </c>
      <c r="V616" s="47"/>
      <c r="W616" s="49" t="str">
        <f ca="1">Chemin_accès!$B$2&amp;Tableau1[[#This Row],[Poste Responsable]]&amp;"\"&amp;Tableau1[[#This Row],[Localisation / Classement]]&amp;"\"&amp;Tableau1[[#This Row],[Poste technique]]&amp;"_"&amp;Tableau1[[#This Row],[Plan Entretien]]&amp;".pdf"</f>
        <v>\\stjn.local\trimet\Donnees_Projets\Dms Sap\Maintenance\PlanEntretien\7.MSCT\\_.pdf</v>
      </c>
      <c r="X616" s="47"/>
      <c r="Y616" s="47"/>
      <c r="Z616" s="44" t="str">
        <f ca="1">IF(AND(Tableau1[[#This Row],[Charge]]&lt;&gt;0, Tableau1[[#This Row],[Nombre intervenants]]&lt;&gt;0,Tableau1[[#This Row],[Lien document]]&lt;&gt;0,Tableau1[[#This Row],[DMS_SAP]]&lt;&gt;0)=TRUE,"MIS A JOUR","")</f>
        <v/>
      </c>
      <c r="AA616" s="48"/>
      <c r="AB616" s="58" t="str">
        <f ca="1">IF(Tableau1[[#This Row],[Date rév.]]&lt;&gt;"", DAYS360(Tableau1[[#This Row],[Date rév.]],TODAY()),"")</f>
        <v/>
      </c>
      <c r="AC616" s="47" t="str">
        <f>IFERROR(INDEX(Chemin_accès!$B$11:$C$22,MATCH(Tableau1[[#This Row],[Type]],Chemin_accès!$C$11:$C$22,0),1),Chemin_accès!$B$11)</f>
        <v>\\stjn.local\trimet\Btechnique\Commun\BT Maint SCELLEMENT\205 - Préventifs\Modèles préventif\GammeDMS_7.MSCT.xlsm</v>
      </c>
      <c r="AD616" s="47" t="str">
        <f>Chemin_accès!$B$8&amp;Tableau1[[#This Row],[Localisation / Classement]]&amp;"\"&amp;Tableau1[[#This Row],[Poste technique]]&amp;"_"&amp;Tableau1[[#This Row],[Plan Entretien]]&amp;".xlsm"</f>
        <v>\\stjn.local\trimet\Btechnique\Commun\BT Maint SCELLEMENT\205 - Préventifs\Gammes 7.MSCT PE Tool\\_.xlsm</v>
      </c>
    </row>
    <row r="617" spans="1:30" x14ac:dyDescent="0.3">
      <c r="A617" s="44" t="str">
        <f t="shared" ca="1" si="9"/>
        <v>7.MSCT</v>
      </c>
      <c r="B6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7" s="46"/>
      <c r="D617" s="44"/>
      <c r="E617" s="44"/>
      <c r="F617" s="47"/>
      <c r="G617" s="47"/>
      <c r="H617" s="50"/>
      <c r="I617" s="50"/>
      <c r="J617" s="50"/>
      <c r="K617" s="50"/>
      <c r="L617" s="46"/>
      <c r="M617" s="47"/>
      <c r="N617" s="46"/>
      <c r="O617" s="46"/>
      <c r="P617" s="47"/>
      <c r="Q617" s="46"/>
      <c r="R617" s="46"/>
      <c r="S617" s="48"/>
      <c r="T617" s="61" t="str">
        <f>IF(Tableau1[[#This Row],[DMS_SAP]]="","",HYPERLINK(Tableau1[[#This Row],[Chemin fichier source]],"X"))</f>
        <v/>
      </c>
      <c r="U617" s="61" t="str">
        <f>IF(Tableau1[[#This Row],[Date rév.]]="","",HYPERLINK(Tableau1[[#This Row],[Lien document]],"X"))</f>
        <v/>
      </c>
      <c r="V617" s="47"/>
      <c r="W617" s="49" t="str">
        <f ca="1">Chemin_accès!$B$2&amp;Tableau1[[#This Row],[Poste Responsable]]&amp;"\"&amp;Tableau1[[#This Row],[Localisation / Classement]]&amp;"\"&amp;Tableau1[[#This Row],[Poste technique]]&amp;"_"&amp;Tableau1[[#This Row],[Plan Entretien]]&amp;".pdf"</f>
        <v>\\stjn.local\trimet\Donnees_Projets\Dms Sap\Maintenance\PlanEntretien\7.MSCT\\_.pdf</v>
      </c>
      <c r="X617" s="47"/>
      <c r="Y617" s="47"/>
      <c r="Z617" s="44" t="str">
        <f ca="1">IF(AND(Tableau1[[#This Row],[Charge]]&lt;&gt;0, Tableau1[[#This Row],[Nombre intervenants]]&lt;&gt;0,Tableau1[[#This Row],[Lien document]]&lt;&gt;0,Tableau1[[#This Row],[DMS_SAP]]&lt;&gt;0)=TRUE,"MIS A JOUR","")</f>
        <v/>
      </c>
      <c r="AA617" s="48"/>
      <c r="AB617" s="58" t="str">
        <f ca="1">IF(Tableau1[[#This Row],[Date rév.]]&lt;&gt;"", DAYS360(Tableau1[[#This Row],[Date rév.]],TODAY()),"")</f>
        <v/>
      </c>
      <c r="AC617" s="47" t="str">
        <f>IFERROR(INDEX(Chemin_accès!$B$11:$C$22,MATCH(Tableau1[[#This Row],[Type]],Chemin_accès!$C$11:$C$22,0),1),Chemin_accès!$B$11)</f>
        <v>\\stjn.local\trimet\Btechnique\Commun\BT Maint SCELLEMENT\205 - Préventifs\Modèles préventif\GammeDMS_7.MSCT.xlsm</v>
      </c>
      <c r="AD617" s="47" t="str">
        <f>Chemin_accès!$B$8&amp;Tableau1[[#This Row],[Localisation / Classement]]&amp;"\"&amp;Tableau1[[#This Row],[Poste technique]]&amp;"_"&amp;Tableau1[[#This Row],[Plan Entretien]]&amp;".xlsm"</f>
        <v>\\stjn.local\trimet\Btechnique\Commun\BT Maint SCELLEMENT\205 - Préventifs\Gammes 7.MSCT PE Tool\\_.xlsm</v>
      </c>
    </row>
    <row r="618" spans="1:30" x14ac:dyDescent="0.3">
      <c r="A618" s="44" t="str">
        <f t="shared" ca="1" si="9"/>
        <v>7.MSCT</v>
      </c>
      <c r="B6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8" s="46"/>
      <c r="D618" s="44"/>
      <c r="E618" s="44"/>
      <c r="F618" s="47"/>
      <c r="G618" s="47"/>
      <c r="H618" s="50"/>
      <c r="I618" s="50"/>
      <c r="J618" s="50"/>
      <c r="K618" s="50"/>
      <c r="L618" s="46"/>
      <c r="M618" s="47"/>
      <c r="N618" s="46"/>
      <c r="O618" s="46"/>
      <c r="P618" s="47"/>
      <c r="Q618" s="46"/>
      <c r="R618" s="46"/>
      <c r="S618" s="48"/>
      <c r="T618" s="61" t="str">
        <f>IF(Tableau1[[#This Row],[DMS_SAP]]="","",HYPERLINK(Tableau1[[#This Row],[Chemin fichier source]],"X"))</f>
        <v/>
      </c>
      <c r="U618" s="61" t="str">
        <f>IF(Tableau1[[#This Row],[Date rév.]]="","",HYPERLINK(Tableau1[[#This Row],[Lien document]],"X"))</f>
        <v/>
      </c>
      <c r="V618" s="47"/>
      <c r="W618" s="49" t="str">
        <f ca="1">Chemin_accès!$B$2&amp;Tableau1[[#This Row],[Poste Responsable]]&amp;"\"&amp;Tableau1[[#This Row],[Localisation / Classement]]&amp;"\"&amp;Tableau1[[#This Row],[Poste technique]]&amp;"_"&amp;Tableau1[[#This Row],[Plan Entretien]]&amp;".pdf"</f>
        <v>\\stjn.local\trimet\Donnees_Projets\Dms Sap\Maintenance\PlanEntretien\7.MSCT\\_.pdf</v>
      </c>
      <c r="X618" s="47"/>
      <c r="Y618" s="47"/>
      <c r="Z618" s="44" t="str">
        <f ca="1">IF(AND(Tableau1[[#This Row],[Charge]]&lt;&gt;0, Tableau1[[#This Row],[Nombre intervenants]]&lt;&gt;0,Tableau1[[#This Row],[Lien document]]&lt;&gt;0,Tableau1[[#This Row],[DMS_SAP]]&lt;&gt;0)=TRUE,"MIS A JOUR","")</f>
        <v/>
      </c>
      <c r="AA618" s="48"/>
      <c r="AB618" s="58" t="str">
        <f ca="1">IF(Tableau1[[#This Row],[Date rév.]]&lt;&gt;"", DAYS360(Tableau1[[#This Row],[Date rév.]],TODAY()),"")</f>
        <v/>
      </c>
      <c r="AC618" s="47" t="str">
        <f>IFERROR(INDEX(Chemin_accès!$B$11:$C$22,MATCH(Tableau1[[#This Row],[Type]],Chemin_accès!$C$11:$C$22,0),1),Chemin_accès!$B$11)</f>
        <v>\\stjn.local\trimet\Btechnique\Commun\BT Maint SCELLEMENT\205 - Préventifs\Modèles préventif\GammeDMS_7.MSCT.xlsm</v>
      </c>
      <c r="AD618" s="47" t="str">
        <f>Chemin_accès!$B$8&amp;Tableau1[[#This Row],[Localisation / Classement]]&amp;"\"&amp;Tableau1[[#This Row],[Poste technique]]&amp;"_"&amp;Tableau1[[#This Row],[Plan Entretien]]&amp;".xlsm"</f>
        <v>\\stjn.local\trimet\Btechnique\Commun\BT Maint SCELLEMENT\205 - Préventifs\Gammes 7.MSCT PE Tool\\_.xlsm</v>
      </c>
    </row>
    <row r="619" spans="1:30" x14ac:dyDescent="0.3">
      <c r="A619" s="44" t="str">
        <f t="shared" ca="1" si="9"/>
        <v>7.MSCT</v>
      </c>
      <c r="B6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9" s="46"/>
      <c r="D619" s="44"/>
      <c r="E619" s="44"/>
      <c r="F619" s="47"/>
      <c r="G619" s="47"/>
      <c r="H619" s="50"/>
      <c r="I619" s="50"/>
      <c r="J619" s="50"/>
      <c r="K619" s="50"/>
      <c r="L619" s="46"/>
      <c r="M619" s="47"/>
      <c r="N619" s="46"/>
      <c r="O619" s="46"/>
      <c r="P619" s="47"/>
      <c r="Q619" s="46"/>
      <c r="R619" s="46"/>
      <c r="S619" s="48"/>
      <c r="T619" s="61" t="str">
        <f>IF(Tableau1[[#This Row],[DMS_SAP]]="","",HYPERLINK(Tableau1[[#This Row],[Chemin fichier source]],"X"))</f>
        <v/>
      </c>
      <c r="U619" s="61" t="str">
        <f>IF(Tableau1[[#This Row],[Date rév.]]="","",HYPERLINK(Tableau1[[#This Row],[Lien document]],"X"))</f>
        <v/>
      </c>
      <c r="V619" s="47"/>
      <c r="W619" s="49" t="str">
        <f ca="1">Chemin_accès!$B$2&amp;Tableau1[[#This Row],[Poste Responsable]]&amp;"\"&amp;Tableau1[[#This Row],[Localisation / Classement]]&amp;"\"&amp;Tableau1[[#This Row],[Poste technique]]&amp;"_"&amp;Tableau1[[#This Row],[Plan Entretien]]&amp;".pdf"</f>
        <v>\\stjn.local\trimet\Donnees_Projets\Dms Sap\Maintenance\PlanEntretien\7.MSCT\\_.pdf</v>
      </c>
      <c r="X619" s="47"/>
      <c r="Y619" s="47"/>
      <c r="Z619" s="44" t="str">
        <f ca="1">IF(AND(Tableau1[[#This Row],[Charge]]&lt;&gt;0, Tableau1[[#This Row],[Nombre intervenants]]&lt;&gt;0,Tableau1[[#This Row],[Lien document]]&lt;&gt;0,Tableau1[[#This Row],[DMS_SAP]]&lt;&gt;0)=TRUE,"MIS A JOUR","")</f>
        <v/>
      </c>
      <c r="AA619" s="48"/>
      <c r="AB619" s="58" t="str">
        <f ca="1">IF(Tableau1[[#This Row],[Date rév.]]&lt;&gt;"", DAYS360(Tableau1[[#This Row],[Date rév.]],TODAY()),"")</f>
        <v/>
      </c>
      <c r="AC619" s="47" t="str">
        <f>IFERROR(INDEX(Chemin_accès!$B$11:$C$22,MATCH(Tableau1[[#This Row],[Type]],Chemin_accès!$C$11:$C$22,0),1),Chemin_accès!$B$11)</f>
        <v>\\stjn.local\trimet\Btechnique\Commun\BT Maint SCELLEMENT\205 - Préventifs\Modèles préventif\GammeDMS_7.MSCT.xlsm</v>
      </c>
      <c r="AD619" s="47" t="str">
        <f>Chemin_accès!$B$8&amp;Tableau1[[#This Row],[Localisation / Classement]]&amp;"\"&amp;Tableau1[[#This Row],[Poste technique]]&amp;"_"&amp;Tableau1[[#This Row],[Plan Entretien]]&amp;".xlsm"</f>
        <v>\\stjn.local\trimet\Btechnique\Commun\BT Maint SCELLEMENT\205 - Préventifs\Gammes 7.MSCT PE Tool\\_.xlsm</v>
      </c>
    </row>
    <row r="620" spans="1:30" x14ac:dyDescent="0.3">
      <c r="A620" s="44" t="str">
        <f t="shared" ca="1" si="9"/>
        <v>7.MSCT</v>
      </c>
      <c r="B6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0" s="46"/>
      <c r="D620" s="44"/>
      <c r="E620" s="44"/>
      <c r="F620" s="47"/>
      <c r="G620" s="47"/>
      <c r="H620" s="50"/>
      <c r="I620" s="50"/>
      <c r="J620" s="50"/>
      <c r="K620" s="50"/>
      <c r="L620" s="46"/>
      <c r="M620" s="47"/>
      <c r="N620" s="46"/>
      <c r="O620" s="46"/>
      <c r="P620" s="47"/>
      <c r="Q620" s="46"/>
      <c r="R620" s="46"/>
      <c r="S620" s="48"/>
      <c r="T620" s="61" t="str">
        <f>IF(Tableau1[[#This Row],[DMS_SAP]]="","",HYPERLINK(Tableau1[[#This Row],[Chemin fichier source]],"X"))</f>
        <v/>
      </c>
      <c r="U620" s="61" t="str">
        <f>IF(Tableau1[[#This Row],[Date rév.]]="","",HYPERLINK(Tableau1[[#This Row],[Lien document]],"X"))</f>
        <v/>
      </c>
      <c r="V620" s="47"/>
      <c r="W620" s="49" t="str">
        <f ca="1">Chemin_accès!$B$2&amp;Tableau1[[#This Row],[Poste Responsable]]&amp;"\"&amp;Tableau1[[#This Row],[Localisation / Classement]]&amp;"\"&amp;Tableau1[[#This Row],[Poste technique]]&amp;"_"&amp;Tableau1[[#This Row],[Plan Entretien]]&amp;".pdf"</f>
        <v>\\stjn.local\trimet\Donnees_Projets\Dms Sap\Maintenance\PlanEntretien\7.MSCT\\_.pdf</v>
      </c>
      <c r="X620" s="47"/>
      <c r="Y620" s="47"/>
      <c r="Z620" s="44" t="str">
        <f ca="1">IF(AND(Tableau1[[#This Row],[Charge]]&lt;&gt;0, Tableau1[[#This Row],[Nombre intervenants]]&lt;&gt;0,Tableau1[[#This Row],[Lien document]]&lt;&gt;0,Tableau1[[#This Row],[DMS_SAP]]&lt;&gt;0)=TRUE,"MIS A JOUR","")</f>
        <v/>
      </c>
      <c r="AA620" s="48"/>
      <c r="AB620" s="58" t="str">
        <f ca="1">IF(Tableau1[[#This Row],[Date rév.]]&lt;&gt;"", DAYS360(Tableau1[[#This Row],[Date rév.]],TODAY()),"")</f>
        <v/>
      </c>
      <c r="AC620" s="47" t="str">
        <f>IFERROR(INDEX(Chemin_accès!$B$11:$C$22,MATCH(Tableau1[[#This Row],[Type]],Chemin_accès!$C$11:$C$22,0),1),Chemin_accès!$B$11)</f>
        <v>\\stjn.local\trimet\Btechnique\Commun\BT Maint SCELLEMENT\205 - Préventifs\Modèles préventif\GammeDMS_7.MSCT.xlsm</v>
      </c>
      <c r="AD620" s="47" t="str">
        <f>Chemin_accès!$B$8&amp;Tableau1[[#This Row],[Localisation / Classement]]&amp;"\"&amp;Tableau1[[#This Row],[Poste technique]]&amp;"_"&amp;Tableau1[[#This Row],[Plan Entretien]]&amp;".xlsm"</f>
        <v>\\stjn.local\trimet\Btechnique\Commun\BT Maint SCELLEMENT\205 - Préventifs\Gammes 7.MSCT PE Tool\\_.xlsm</v>
      </c>
    </row>
    <row r="621" spans="1:30" x14ac:dyDescent="0.3">
      <c r="A621" s="44" t="str">
        <f t="shared" ca="1" si="9"/>
        <v>7.MSCT</v>
      </c>
      <c r="B6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1" s="46"/>
      <c r="D621" s="44"/>
      <c r="E621" s="44"/>
      <c r="F621" s="47"/>
      <c r="G621" s="47"/>
      <c r="H621" s="50"/>
      <c r="I621" s="50"/>
      <c r="J621" s="50"/>
      <c r="K621" s="50"/>
      <c r="L621" s="46"/>
      <c r="M621" s="47"/>
      <c r="N621" s="46"/>
      <c r="O621" s="46"/>
      <c r="P621" s="47"/>
      <c r="Q621" s="46"/>
      <c r="R621" s="46"/>
      <c r="S621" s="48"/>
      <c r="T621" s="61" t="str">
        <f>IF(Tableau1[[#This Row],[DMS_SAP]]="","",HYPERLINK(Tableau1[[#This Row],[Chemin fichier source]],"X"))</f>
        <v/>
      </c>
      <c r="U621" s="61" t="str">
        <f>IF(Tableau1[[#This Row],[Date rév.]]="","",HYPERLINK(Tableau1[[#This Row],[Lien document]],"X"))</f>
        <v/>
      </c>
      <c r="V621" s="47"/>
      <c r="W621" s="49" t="str">
        <f ca="1">Chemin_accès!$B$2&amp;Tableau1[[#This Row],[Poste Responsable]]&amp;"\"&amp;Tableau1[[#This Row],[Localisation / Classement]]&amp;"\"&amp;Tableau1[[#This Row],[Poste technique]]&amp;"_"&amp;Tableau1[[#This Row],[Plan Entretien]]&amp;".pdf"</f>
        <v>\\stjn.local\trimet\Donnees_Projets\Dms Sap\Maintenance\PlanEntretien\7.MSCT\\_.pdf</v>
      </c>
      <c r="X621" s="47"/>
      <c r="Y621" s="47"/>
      <c r="Z621" s="44" t="str">
        <f ca="1">IF(AND(Tableau1[[#This Row],[Charge]]&lt;&gt;0, Tableau1[[#This Row],[Nombre intervenants]]&lt;&gt;0,Tableau1[[#This Row],[Lien document]]&lt;&gt;0,Tableau1[[#This Row],[DMS_SAP]]&lt;&gt;0)=TRUE,"MIS A JOUR","")</f>
        <v/>
      </c>
      <c r="AA621" s="48"/>
      <c r="AB621" s="58" t="str">
        <f ca="1">IF(Tableau1[[#This Row],[Date rév.]]&lt;&gt;"", DAYS360(Tableau1[[#This Row],[Date rév.]],TODAY()),"")</f>
        <v/>
      </c>
      <c r="AC621" s="47" t="str">
        <f>IFERROR(INDEX(Chemin_accès!$B$11:$C$22,MATCH(Tableau1[[#This Row],[Type]],Chemin_accès!$C$11:$C$22,0),1),Chemin_accès!$B$11)</f>
        <v>\\stjn.local\trimet\Btechnique\Commun\BT Maint SCELLEMENT\205 - Préventifs\Modèles préventif\GammeDMS_7.MSCT.xlsm</v>
      </c>
      <c r="AD621" s="47" t="str">
        <f>Chemin_accès!$B$8&amp;Tableau1[[#This Row],[Localisation / Classement]]&amp;"\"&amp;Tableau1[[#This Row],[Poste technique]]&amp;"_"&amp;Tableau1[[#This Row],[Plan Entretien]]&amp;".xlsm"</f>
        <v>\\stjn.local\trimet\Btechnique\Commun\BT Maint SCELLEMENT\205 - Préventifs\Gammes 7.MSCT PE Tool\\_.xlsm</v>
      </c>
    </row>
    <row r="622" spans="1:30" x14ac:dyDescent="0.3">
      <c r="A622" s="44" t="str">
        <f t="shared" ca="1" si="9"/>
        <v>7.MSCT</v>
      </c>
      <c r="B6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2" s="46"/>
      <c r="D622" s="44"/>
      <c r="E622" s="44"/>
      <c r="F622" s="47"/>
      <c r="G622" s="47"/>
      <c r="H622" s="50"/>
      <c r="I622" s="50"/>
      <c r="J622" s="50"/>
      <c r="K622" s="50"/>
      <c r="L622" s="46"/>
      <c r="M622" s="47"/>
      <c r="N622" s="46"/>
      <c r="O622" s="46"/>
      <c r="P622" s="47"/>
      <c r="Q622" s="46"/>
      <c r="R622" s="46"/>
      <c r="S622" s="48"/>
      <c r="T622" s="61" t="str">
        <f>IF(Tableau1[[#This Row],[DMS_SAP]]="","",HYPERLINK(Tableau1[[#This Row],[Chemin fichier source]],"X"))</f>
        <v/>
      </c>
      <c r="U622" s="61" t="str">
        <f>IF(Tableau1[[#This Row],[Date rév.]]="","",HYPERLINK(Tableau1[[#This Row],[Lien document]],"X"))</f>
        <v/>
      </c>
      <c r="V622" s="47"/>
      <c r="W622" s="49" t="str">
        <f ca="1">Chemin_accès!$B$2&amp;Tableau1[[#This Row],[Poste Responsable]]&amp;"\"&amp;Tableau1[[#This Row],[Localisation / Classement]]&amp;"\"&amp;Tableau1[[#This Row],[Poste technique]]&amp;"_"&amp;Tableau1[[#This Row],[Plan Entretien]]&amp;".pdf"</f>
        <v>\\stjn.local\trimet\Donnees_Projets\Dms Sap\Maintenance\PlanEntretien\7.MSCT\\_.pdf</v>
      </c>
      <c r="X622" s="47"/>
      <c r="Y622" s="47"/>
      <c r="Z622" s="44" t="str">
        <f ca="1">IF(AND(Tableau1[[#This Row],[Charge]]&lt;&gt;0, Tableau1[[#This Row],[Nombre intervenants]]&lt;&gt;0,Tableau1[[#This Row],[Lien document]]&lt;&gt;0,Tableau1[[#This Row],[DMS_SAP]]&lt;&gt;0)=TRUE,"MIS A JOUR","")</f>
        <v/>
      </c>
      <c r="AA622" s="48"/>
      <c r="AB622" s="58" t="str">
        <f ca="1">IF(Tableau1[[#This Row],[Date rév.]]&lt;&gt;"", DAYS360(Tableau1[[#This Row],[Date rév.]],TODAY()),"")</f>
        <v/>
      </c>
      <c r="AC622" s="47" t="str">
        <f>IFERROR(INDEX(Chemin_accès!$B$11:$C$22,MATCH(Tableau1[[#This Row],[Type]],Chemin_accès!$C$11:$C$22,0),1),Chemin_accès!$B$11)</f>
        <v>\\stjn.local\trimet\Btechnique\Commun\BT Maint SCELLEMENT\205 - Préventifs\Modèles préventif\GammeDMS_7.MSCT.xlsm</v>
      </c>
      <c r="AD622" s="47" t="str">
        <f>Chemin_accès!$B$8&amp;Tableau1[[#This Row],[Localisation / Classement]]&amp;"\"&amp;Tableau1[[#This Row],[Poste technique]]&amp;"_"&amp;Tableau1[[#This Row],[Plan Entretien]]&amp;".xlsm"</f>
        <v>\\stjn.local\trimet\Btechnique\Commun\BT Maint SCELLEMENT\205 - Préventifs\Gammes 7.MSCT PE Tool\\_.xlsm</v>
      </c>
    </row>
    <row r="623" spans="1:30" x14ac:dyDescent="0.3">
      <c r="A623" s="44" t="str">
        <f t="shared" ca="1" si="9"/>
        <v>7.MSCT</v>
      </c>
      <c r="B6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3" s="46"/>
      <c r="D623" s="44"/>
      <c r="E623" s="44"/>
      <c r="F623" s="47"/>
      <c r="G623" s="47"/>
      <c r="H623" s="50"/>
      <c r="I623" s="50"/>
      <c r="J623" s="50"/>
      <c r="K623" s="50"/>
      <c r="L623" s="46"/>
      <c r="M623" s="47"/>
      <c r="N623" s="46"/>
      <c r="O623" s="46"/>
      <c r="P623" s="47"/>
      <c r="Q623" s="46"/>
      <c r="R623" s="46"/>
      <c r="S623" s="48"/>
      <c r="T623" s="61" t="str">
        <f>IF(Tableau1[[#This Row],[DMS_SAP]]="","",HYPERLINK(Tableau1[[#This Row],[Chemin fichier source]],"X"))</f>
        <v/>
      </c>
      <c r="U623" s="61" t="str">
        <f>IF(Tableau1[[#This Row],[Date rév.]]="","",HYPERLINK(Tableau1[[#This Row],[Lien document]],"X"))</f>
        <v/>
      </c>
      <c r="V623" s="47"/>
      <c r="W623" s="49" t="str">
        <f ca="1">Chemin_accès!$B$2&amp;Tableau1[[#This Row],[Poste Responsable]]&amp;"\"&amp;Tableau1[[#This Row],[Localisation / Classement]]&amp;"\"&amp;Tableau1[[#This Row],[Poste technique]]&amp;"_"&amp;Tableau1[[#This Row],[Plan Entretien]]&amp;".pdf"</f>
        <v>\\stjn.local\trimet\Donnees_Projets\Dms Sap\Maintenance\PlanEntretien\7.MSCT\\_.pdf</v>
      </c>
      <c r="X623" s="47"/>
      <c r="Y623" s="47"/>
      <c r="Z623" s="44" t="str">
        <f ca="1">IF(AND(Tableau1[[#This Row],[Charge]]&lt;&gt;0, Tableau1[[#This Row],[Nombre intervenants]]&lt;&gt;0,Tableau1[[#This Row],[Lien document]]&lt;&gt;0,Tableau1[[#This Row],[DMS_SAP]]&lt;&gt;0)=TRUE,"MIS A JOUR","")</f>
        <v/>
      </c>
      <c r="AA623" s="48"/>
      <c r="AB623" s="58" t="str">
        <f ca="1">IF(Tableau1[[#This Row],[Date rév.]]&lt;&gt;"", DAYS360(Tableau1[[#This Row],[Date rév.]],TODAY()),"")</f>
        <v/>
      </c>
      <c r="AC623" s="47" t="str">
        <f>IFERROR(INDEX(Chemin_accès!$B$11:$C$22,MATCH(Tableau1[[#This Row],[Type]],Chemin_accès!$C$11:$C$22,0),1),Chemin_accès!$B$11)</f>
        <v>\\stjn.local\trimet\Btechnique\Commun\BT Maint SCELLEMENT\205 - Préventifs\Modèles préventif\GammeDMS_7.MSCT.xlsm</v>
      </c>
      <c r="AD623" s="47" t="str">
        <f>Chemin_accès!$B$8&amp;Tableau1[[#This Row],[Localisation / Classement]]&amp;"\"&amp;Tableau1[[#This Row],[Poste technique]]&amp;"_"&amp;Tableau1[[#This Row],[Plan Entretien]]&amp;".xlsm"</f>
        <v>\\stjn.local\trimet\Btechnique\Commun\BT Maint SCELLEMENT\205 - Préventifs\Gammes 7.MSCT PE Tool\\_.xlsm</v>
      </c>
    </row>
    <row r="624" spans="1:30" x14ac:dyDescent="0.3">
      <c r="A624" s="44" t="str">
        <f t="shared" ca="1" si="9"/>
        <v>7.MSCT</v>
      </c>
      <c r="B6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4" s="46"/>
      <c r="D624" s="44"/>
      <c r="E624" s="44"/>
      <c r="F624" s="47"/>
      <c r="G624" s="47"/>
      <c r="H624" s="50"/>
      <c r="I624" s="50"/>
      <c r="J624" s="50"/>
      <c r="K624" s="50"/>
      <c r="L624" s="46"/>
      <c r="M624" s="47"/>
      <c r="N624" s="46"/>
      <c r="O624" s="46"/>
      <c r="P624" s="47"/>
      <c r="Q624" s="46"/>
      <c r="R624" s="46"/>
      <c r="S624" s="48"/>
      <c r="T624" s="61" t="str">
        <f>IF(Tableau1[[#This Row],[DMS_SAP]]="","",HYPERLINK(Tableau1[[#This Row],[Chemin fichier source]],"X"))</f>
        <v/>
      </c>
      <c r="U624" s="61" t="str">
        <f>IF(Tableau1[[#This Row],[Date rév.]]="","",HYPERLINK(Tableau1[[#This Row],[Lien document]],"X"))</f>
        <v/>
      </c>
      <c r="V624" s="47"/>
      <c r="W624" s="49" t="str">
        <f ca="1">Chemin_accès!$B$2&amp;Tableau1[[#This Row],[Poste Responsable]]&amp;"\"&amp;Tableau1[[#This Row],[Localisation / Classement]]&amp;"\"&amp;Tableau1[[#This Row],[Poste technique]]&amp;"_"&amp;Tableau1[[#This Row],[Plan Entretien]]&amp;".pdf"</f>
        <v>\\stjn.local\trimet\Donnees_Projets\Dms Sap\Maintenance\PlanEntretien\7.MSCT\\_.pdf</v>
      </c>
      <c r="X624" s="47"/>
      <c r="Y624" s="47"/>
      <c r="Z624" s="44" t="str">
        <f ca="1">IF(AND(Tableau1[[#This Row],[Charge]]&lt;&gt;0, Tableau1[[#This Row],[Nombre intervenants]]&lt;&gt;0,Tableau1[[#This Row],[Lien document]]&lt;&gt;0,Tableau1[[#This Row],[DMS_SAP]]&lt;&gt;0)=TRUE,"MIS A JOUR","")</f>
        <v/>
      </c>
      <c r="AA624" s="48"/>
      <c r="AB624" s="58" t="str">
        <f ca="1">IF(Tableau1[[#This Row],[Date rév.]]&lt;&gt;"", DAYS360(Tableau1[[#This Row],[Date rév.]],TODAY()),"")</f>
        <v/>
      </c>
      <c r="AC624" s="47" t="str">
        <f>IFERROR(INDEX(Chemin_accès!$B$11:$C$22,MATCH(Tableau1[[#This Row],[Type]],Chemin_accès!$C$11:$C$22,0),1),Chemin_accès!$B$11)</f>
        <v>\\stjn.local\trimet\Btechnique\Commun\BT Maint SCELLEMENT\205 - Préventifs\Modèles préventif\GammeDMS_7.MSCT.xlsm</v>
      </c>
      <c r="AD624" s="47" t="str">
        <f>Chemin_accès!$B$8&amp;Tableau1[[#This Row],[Localisation / Classement]]&amp;"\"&amp;Tableau1[[#This Row],[Poste technique]]&amp;"_"&amp;Tableau1[[#This Row],[Plan Entretien]]&amp;".xlsm"</f>
        <v>\\stjn.local\trimet\Btechnique\Commun\BT Maint SCELLEMENT\205 - Préventifs\Gammes 7.MSCT PE Tool\\_.xlsm</v>
      </c>
    </row>
    <row r="625" spans="1:30" x14ac:dyDescent="0.3">
      <c r="A625" s="44" t="str">
        <f t="shared" ca="1" si="9"/>
        <v>7.MSCT</v>
      </c>
      <c r="B6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5" s="46"/>
      <c r="D625" s="44"/>
      <c r="E625" s="44"/>
      <c r="F625" s="47"/>
      <c r="G625" s="47"/>
      <c r="H625" s="50"/>
      <c r="I625" s="50"/>
      <c r="J625" s="50"/>
      <c r="K625" s="50"/>
      <c r="L625" s="46"/>
      <c r="M625" s="47"/>
      <c r="N625" s="46"/>
      <c r="O625" s="46"/>
      <c r="P625" s="47"/>
      <c r="Q625" s="46"/>
      <c r="R625" s="46"/>
      <c r="S625" s="48"/>
      <c r="T625" s="61" t="str">
        <f>IF(Tableau1[[#This Row],[DMS_SAP]]="","",HYPERLINK(Tableau1[[#This Row],[Chemin fichier source]],"X"))</f>
        <v/>
      </c>
      <c r="U625" s="61" t="str">
        <f>IF(Tableau1[[#This Row],[Date rév.]]="","",HYPERLINK(Tableau1[[#This Row],[Lien document]],"X"))</f>
        <v/>
      </c>
      <c r="V625" s="47"/>
      <c r="W625" s="49" t="str">
        <f ca="1">Chemin_accès!$B$2&amp;Tableau1[[#This Row],[Poste Responsable]]&amp;"\"&amp;Tableau1[[#This Row],[Localisation / Classement]]&amp;"\"&amp;Tableau1[[#This Row],[Poste technique]]&amp;"_"&amp;Tableau1[[#This Row],[Plan Entretien]]&amp;".pdf"</f>
        <v>\\stjn.local\trimet\Donnees_Projets\Dms Sap\Maintenance\PlanEntretien\7.MSCT\\_.pdf</v>
      </c>
      <c r="X625" s="47"/>
      <c r="Y625" s="47"/>
      <c r="Z625" s="44" t="str">
        <f ca="1">IF(AND(Tableau1[[#This Row],[Charge]]&lt;&gt;0, Tableau1[[#This Row],[Nombre intervenants]]&lt;&gt;0,Tableau1[[#This Row],[Lien document]]&lt;&gt;0,Tableau1[[#This Row],[DMS_SAP]]&lt;&gt;0)=TRUE,"MIS A JOUR","")</f>
        <v/>
      </c>
      <c r="AA625" s="48"/>
      <c r="AB625" s="58" t="str">
        <f ca="1">IF(Tableau1[[#This Row],[Date rév.]]&lt;&gt;"", DAYS360(Tableau1[[#This Row],[Date rév.]],TODAY()),"")</f>
        <v/>
      </c>
      <c r="AC625" s="47" t="str">
        <f>IFERROR(INDEX(Chemin_accès!$B$11:$C$22,MATCH(Tableau1[[#This Row],[Type]],Chemin_accès!$C$11:$C$22,0),1),Chemin_accès!$B$11)</f>
        <v>\\stjn.local\trimet\Btechnique\Commun\BT Maint SCELLEMENT\205 - Préventifs\Modèles préventif\GammeDMS_7.MSCT.xlsm</v>
      </c>
      <c r="AD625" s="47" t="str">
        <f>Chemin_accès!$B$8&amp;Tableau1[[#This Row],[Localisation / Classement]]&amp;"\"&amp;Tableau1[[#This Row],[Poste technique]]&amp;"_"&amp;Tableau1[[#This Row],[Plan Entretien]]&amp;".xlsm"</f>
        <v>\\stjn.local\trimet\Btechnique\Commun\BT Maint SCELLEMENT\205 - Préventifs\Gammes 7.MSCT PE Tool\\_.xlsm</v>
      </c>
    </row>
    <row r="626" spans="1:30" x14ac:dyDescent="0.3">
      <c r="A626" s="44" t="str">
        <f t="shared" ca="1" si="9"/>
        <v>7.MSCT</v>
      </c>
      <c r="B6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6" s="46"/>
      <c r="D626" s="44"/>
      <c r="E626" s="44"/>
      <c r="F626" s="47"/>
      <c r="G626" s="47"/>
      <c r="H626" s="50"/>
      <c r="I626" s="50"/>
      <c r="J626" s="50"/>
      <c r="K626" s="50"/>
      <c r="L626" s="46"/>
      <c r="M626" s="47"/>
      <c r="N626" s="46"/>
      <c r="O626" s="46"/>
      <c r="P626" s="47"/>
      <c r="Q626" s="46"/>
      <c r="R626" s="46"/>
      <c r="S626" s="48"/>
      <c r="T626" s="61" t="str">
        <f>IF(Tableau1[[#This Row],[DMS_SAP]]="","",HYPERLINK(Tableau1[[#This Row],[Chemin fichier source]],"X"))</f>
        <v/>
      </c>
      <c r="U626" s="61" t="str">
        <f>IF(Tableau1[[#This Row],[Date rév.]]="","",HYPERLINK(Tableau1[[#This Row],[Lien document]],"X"))</f>
        <v/>
      </c>
      <c r="V626" s="47"/>
      <c r="W626" s="49" t="str">
        <f ca="1">Chemin_accès!$B$2&amp;Tableau1[[#This Row],[Poste Responsable]]&amp;"\"&amp;Tableau1[[#This Row],[Localisation / Classement]]&amp;"\"&amp;Tableau1[[#This Row],[Poste technique]]&amp;"_"&amp;Tableau1[[#This Row],[Plan Entretien]]&amp;".pdf"</f>
        <v>\\stjn.local\trimet\Donnees_Projets\Dms Sap\Maintenance\PlanEntretien\7.MSCT\\_.pdf</v>
      </c>
      <c r="X626" s="47"/>
      <c r="Y626" s="47"/>
      <c r="Z626" s="44" t="str">
        <f ca="1">IF(AND(Tableau1[[#This Row],[Charge]]&lt;&gt;0, Tableau1[[#This Row],[Nombre intervenants]]&lt;&gt;0,Tableau1[[#This Row],[Lien document]]&lt;&gt;0,Tableau1[[#This Row],[DMS_SAP]]&lt;&gt;0)=TRUE,"MIS A JOUR","")</f>
        <v/>
      </c>
      <c r="AA626" s="48"/>
      <c r="AB626" s="58" t="str">
        <f ca="1">IF(Tableau1[[#This Row],[Date rév.]]&lt;&gt;"", DAYS360(Tableau1[[#This Row],[Date rév.]],TODAY()),"")</f>
        <v/>
      </c>
      <c r="AC626" s="47" t="str">
        <f>IFERROR(INDEX(Chemin_accès!$B$11:$C$22,MATCH(Tableau1[[#This Row],[Type]],Chemin_accès!$C$11:$C$22,0),1),Chemin_accès!$B$11)</f>
        <v>\\stjn.local\trimet\Btechnique\Commun\BT Maint SCELLEMENT\205 - Préventifs\Modèles préventif\GammeDMS_7.MSCT.xlsm</v>
      </c>
      <c r="AD626" s="47" t="str">
        <f>Chemin_accès!$B$8&amp;Tableau1[[#This Row],[Localisation / Classement]]&amp;"\"&amp;Tableau1[[#This Row],[Poste technique]]&amp;"_"&amp;Tableau1[[#This Row],[Plan Entretien]]&amp;".xlsm"</f>
        <v>\\stjn.local\trimet\Btechnique\Commun\BT Maint SCELLEMENT\205 - Préventifs\Gammes 7.MSCT PE Tool\\_.xlsm</v>
      </c>
    </row>
    <row r="627" spans="1:30" x14ac:dyDescent="0.3">
      <c r="A627" s="44" t="str">
        <f t="shared" ca="1" si="9"/>
        <v>7.MSCT</v>
      </c>
      <c r="B6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7" s="46"/>
      <c r="D627" s="44"/>
      <c r="E627" s="44"/>
      <c r="F627" s="47"/>
      <c r="G627" s="47"/>
      <c r="H627" s="50"/>
      <c r="I627" s="50"/>
      <c r="J627" s="50"/>
      <c r="K627" s="50"/>
      <c r="L627" s="46"/>
      <c r="M627" s="47"/>
      <c r="N627" s="46"/>
      <c r="O627" s="46"/>
      <c r="P627" s="47"/>
      <c r="Q627" s="46"/>
      <c r="R627" s="46"/>
      <c r="S627" s="48"/>
      <c r="T627" s="61" t="str">
        <f>IF(Tableau1[[#This Row],[DMS_SAP]]="","",HYPERLINK(Tableau1[[#This Row],[Chemin fichier source]],"X"))</f>
        <v/>
      </c>
      <c r="U627" s="61" t="str">
        <f>IF(Tableau1[[#This Row],[Date rév.]]="","",HYPERLINK(Tableau1[[#This Row],[Lien document]],"X"))</f>
        <v/>
      </c>
      <c r="V627" s="47"/>
      <c r="W627" s="49" t="str">
        <f ca="1">Chemin_accès!$B$2&amp;Tableau1[[#This Row],[Poste Responsable]]&amp;"\"&amp;Tableau1[[#This Row],[Localisation / Classement]]&amp;"\"&amp;Tableau1[[#This Row],[Poste technique]]&amp;"_"&amp;Tableau1[[#This Row],[Plan Entretien]]&amp;".pdf"</f>
        <v>\\stjn.local\trimet\Donnees_Projets\Dms Sap\Maintenance\PlanEntretien\7.MSCT\\_.pdf</v>
      </c>
      <c r="X627" s="47"/>
      <c r="Y627" s="47"/>
      <c r="Z627" s="44" t="str">
        <f ca="1">IF(AND(Tableau1[[#This Row],[Charge]]&lt;&gt;0, Tableau1[[#This Row],[Nombre intervenants]]&lt;&gt;0,Tableau1[[#This Row],[Lien document]]&lt;&gt;0,Tableau1[[#This Row],[DMS_SAP]]&lt;&gt;0)=TRUE,"MIS A JOUR","")</f>
        <v/>
      </c>
      <c r="AA627" s="48"/>
      <c r="AB627" s="58" t="str">
        <f ca="1">IF(Tableau1[[#This Row],[Date rév.]]&lt;&gt;"", DAYS360(Tableau1[[#This Row],[Date rév.]],TODAY()),"")</f>
        <v/>
      </c>
      <c r="AC627" s="47" t="str">
        <f>IFERROR(INDEX(Chemin_accès!$B$11:$C$22,MATCH(Tableau1[[#This Row],[Type]],Chemin_accès!$C$11:$C$22,0),1),Chemin_accès!$B$11)</f>
        <v>\\stjn.local\trimet\Btechnique\Commun\BT Maint SCELLEMENT\205 - Préventifs\Modèles préventif\GammeDMS_7.MSCT.xlsm</v>
      </c>
      <c r="AD627" s="47" t="str">
        <f>Chemin_accès!$B$8&amp;Tableau1[[#This Row],[Localisation / Classement]]&amp;"\"&amp;Tableau1[[#This Row],[Poste technique]]&amp;"_"&amp;Tableau1[[#This Row],[Plan Entretien]]&amp;".xlsm"</f>
        <v>\\stjn.local\trimet\Btechnique\Commun\BT Maint SCELLEMENT\205 - Préventifs\Gammes 7.MSCT PE Tool\\_.xlsm</v>
      </c>
    </row>
    <row r="628" spans="1:30" x14ac:dyDescent="0.3">
      <c r="A628" s="44" t="str">
        <f t="shared" ca="1" si="9"/>
        <v>7.MSCT</v>
      </c>
      <c r="B6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8" s="46"/>
      <c r="D628" s="44"/>
      <c r="E628" s="44"/>
      <c r="F628" s="47"/>
      <c r="G628" s="47"/>
      <c r="H628" s="50"/>
      <c r="I628" s="50"/>
      <c r="J628" s="50"/>
      <c r="K628" s="50"/>
      <c r="L628" s="46"/>
      <c r="M628" s="47"/>
      <c r="N628" s="46"/>
      <c r="O628" s="46"/>
      <c r="P628" s="47"/>
      <c r="Q628" s="46"/>
      <c r="R628" s="46"/>
      <c r="S628" s="48"/>
      <c r="T628" s="61" t="str">
        <f>IF(Tableau1[[#This Row],[DMS_SAP]]="","",HYPERLINK(Tableau1[[#This Row],[Chemin fichier source]],"X"))</f>
        <v/>
      </c>
      <c r="U628" s="61" t="str">
        <f>IF(Tableau1[[#This Row],[Date rév.]]="","",HYPERLINK(Tableau1[[#This Row],[Lien document]],"X"))</f>
        <v/>
      </c>
      <c r="V628" s="47"/>
      <c r="W628" s="49" t="str">
        <f ca="1">Chemin_accès!$B$2&amp;Tableau1[[#This Row],[Poste Responsable]]&amp;"\"&amp;Tableau1[[#This Row],[Localisation / Classement]]&amp;"\"&amp;Tableau1[[#This Row],[Poste technique]]&amp;"_"&amp;Tableau1[[#This Row],[Plan Entretien]]&amp;".pdf"</f>
        <v>\\stjn.local\trimet\Donnees_Projets\Dms Sap\Maintenance\PlanEntretien\7.MSCT\\_.pdf</v>
      </c>
      <c r="X628" s="47"/>
      <c r="Y628" s="47"/>
      <c r="Z628" s="44" t="str">
        <f ca="1">IF(AND(Tableau1[[#This Row],[Charge]]&lt;&gt;0, Tableau1[[#This Row],[Nombre intervenants]]&lt;&gt;0,Tableau1[[#This Row],[Lien document]]&lt;&gt;0,Tableau1[[#This Row],[DMS_SAP]]&lt;&gt;0)=TRUE,"MIS A JOUR","")</f>
        <v/>
      </c>
      <c r="AA628" s="48"/>
      <c r="AB628" s="58" t="str">
        <f ca="1">IF(Tableau1[[#This Row],[Date rév.]]&lt;&gt;"", DAYS360(Tableau1[[#This Row],[Date rév.]],TODAY()),"")</f>
        <v/>
      </c>
      <c r="AC628" s="47" t="str">
        <f>IFERROR(INDEX(Chemin_accès!$B$11:$C$22,MATCH(Tableau1[[#This Row],[Type]],Chemin_accès!$C$11:$C$22,0),1),Chemin_accès!$B$11)</f>
        <v>\\stjn.local\trimet\Btechnique\Commun\BT Maint SCELLEMENT\205 - Préventifs\Modèles préventif\GammeDMS_7.MSCT.xlsm</v>
      </c>
      <c r="AD628" s="47" t="str">
        <f>Chemin_accès!$B$8&amp;Tableau1[[#This Row],[Localisation / Classement]]&amp;"\"&amp;Tableau1[[#This Row],[Poste technique]]&amp;"_"&amp;Tableau1[[#This Row],[Plan Entretien]]&amp;".xlsm"</f>
        <v>\\stjn.local\trimet\Btechnique\Commun\BT Maint SCELLEMENT\205 - Préventifs\Gammes 7.MSCT PE Tool\\_.xlsm</v>
      </c>
    </row>
    <row r="629" spans="1:30" x14ac:dyDescent="0.3">
      <c r="A629" s="44" t="str">
        <f t="shared" ca="1" si="9"/>
        <v>7.MSCT</v>
      </c>
      <c r="B6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9" s="46"/>
      <c r="D629" s="44"/>
      <c r="E629" s="44"/>
      <c r="F629" s="47"/>
      <c r="G629" s="47"/>
      <c r="H629" s="50"/>
      <c r="I629" s="50"/>
      <c r="J629" s="50"/>
      <c r="K629" s="50"/>
      <c r="L629" s="46"/>
      <c r="M629" s="47"/>
      <c r="N629" s="46"/>
      <c r="O629" s="46"/>
      <c r="P629" s="47"/>
      <c r="Q629" s="46"/>
      <c r="R629" s="46"/>
      <c r="S629" s="48"/>
      <c r="T629" s="61" t="str">
        <f>IF(Tableau1[[#This Row],[DMS_SAP]]="","",HYPERLINK(Tableau1[[#This Row],[Chemin fichier source]],"X"))</f>
        <v/>
      </c>
      <c r="U629" s="61" t="str">
        <f>IF(Tableau1[[#This Row],[Date rév.]]="","",HYPERLINK(Tableau1[[#This Row],[Lien document]],"X"))</f>
        <v/>
      </c>
      <c r="V629" s="47"/>
      <c r="W629" s="49" t="str">
        <f ca="1">Chemin_accès!$B$2&amp;Tableau1[[#This Row],[Poste Responsable]]&amp;"\"&amp;Tableau1[[#This Row],[Localisation / Classement]]&amp;"\"&amp;Tableau1[[#This Row],[Poste technique]]&amp;"_"&amp;Tableau1[[#This Row],[Plan Entretien]]&amp;".pdf"</f>
        <v>\\stjn.local\trimet\Donnees_Projets\Dms Sap\Maintenance\PlanEntretien\7.MSCT\\_.pdf</v>
      </c>
      <c r="X629" s="47"/>
      <c r="Y629" s="47"/>
      <c r="Z629" s="44" t="str">
        <f ca="1">IF(AND(Tableau1[[#This Row],[Charge]]&lt;&gt;0, Tableau1[[#This Row],[Nombre intervenants]]&lt;&gt;0,Tableau1[[#This Row],[Lien document]]&lt;&gt;0,Tableau1[[#This Row],[DMS_SAP]]&lt;&gt;0)=TRUE,"MIS A JOUR","")</f>
        <v/>
      </c>
      <c r="AA629" s="48"/>
      <c r="AB629" s="58" t="str">
        <f ca="1">IF(Tableau1[[#This Row],[Date rév.]]&lt;&gt;"", DAYS360(Tableau1[[#This Row],[Date rév.]],TODAY()),"")</f>
        <v/>
      </c>
      <c r="AC629" s="47" t="str">
        <f>IFERROR(INDEX(Chemin_accès!$B$11:$C$22,MATCH(Tableau1[[#This Row],[Type]],Chemin_accès!$C$11:$C$22,0),1),Chemin_accès!$B$11)</f>
        <v>\\stjn.local\trimet\Btechnique\Commun\BT Maint SCELLEMENT\205 - Préventifs\Modèles préventif\GammeDMS_7.MSCT.xlsm</v>
      </c>
      <c r="AD629" s="47" t="str">
        <f>Chemin_accès!$B$8&amp;Tableau1[[#This Row],[Localisation / Classement]]&amp;"\"&amp;Tableau1[[#This Row],[Poste technique]]&amp;"_"&amp;Tableau1[[#This Row],[Plan Entretien]]&amp;".xlsm"</f>
        <v>\\stjn.local\trimet\Btechnique\Commun\BT Maint SCELLEMENT\205 - Préventifs\Gammes 7.MSCT PE Tool\\_.xlsm</v>
      </c>
    </row>
    <row r="630" spans="1:30" x14ac:dyDescent="0.3">
      <c r="A630" s="44" t="str">
        <f t="shared" ca="1" si="9"/>
        <v>7.MSCT</v>
      </c>
      <c r="B6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0" s="46"/>
      <c r="D630" s="44"/>
      <c r="E630" s="44"/>
      <c r="F630" s="47"/>
      <c r="G630" s="47"/>
      <c r="H630" s="50"/>
      <c r="I630" s="50"/>
      <c r="J630" s="50"/>
      <c r="K630" s="50"/>
      <c r="L630" s="46"/>
      <c r="M630" s="47"/>
      <c r="N630" s="46"/>
      <c r="O630" s="46"/>
      <c r="P630" s="47"/>
      <c r="Q630" s="46"/>
      <c r="R630" s="46"/>
      <c r="S630" s="48"/>
      <c r="T630" s="61" t="str">
        <f>IF(Tableau1[[#This Row],[DMS_SAP]]="","",HYPERLINK(Tableau1[[#This Row],[Chemin fichier source]],"X"))</f>
        <v/>
      </c>
      <c r="U630" s="61" t="str">
        <f>IF(Tableau1[[#This Row],[Date rév.]]="","",HYPERLINK(Tableau1[[#This Row],[Lien document]],"X"))</f>
        <v/>
      </c>
      <c r="V630" s="47"/>
      <c r="W630" s="49" t="str">
        <f ca="1">Chemin_accès!$B$2&amp;Tableau1[[#This Row],[Poste Responsable]]&amp;"\"&amp;Tableau1[[#This Row],[Localisation / Classement]]&amp;"\"&amp;Tableau1[[#This Row],[Poste technique]]&amp;"_"&amp;Tableau1[[#This Row],[Plan Entretien]]&amp;".pdf"</f>
        <v>\\stjn.local\trimet\Donnees_Projets\Dms Sap\Maintenance\PlanEntretien\7.MSCT\\_.pdf</v>
      </c>
      <c r="X630" s="47"/>
      <c r="Y630" s="47"/>
      <c r="Z630" s="44" t="str">
        <f ca="1">IF(AND(Tableau1[[#This Row],[Charge]]&lt;&gt;0, Tableau1[[#This Row],[Nombre intervenants]]&lt;&gt;0,Tableau1[[#This Row],[Lien document]]&lt;&gt;0,Tableau1[[#This Row],[DMS_SAP]]&lt;&gt;0)=TRUE,"MIS A JOUR","")</f>
        <v/>
      </c>
      <c r="AA630" s="48"/>
      <c r="AB630" s="58" t="str">
        <f ca="1">IF(Tableau1[[#This Row],[Date rév.]]&lt;&gt;"", DAYS360(Tableau1[[#This Row],[Date rév.]],TODAY()),"")</f>
        <v/>
      </c>
      <c r="AC630" s="47" t="str">
        <f>IFERROR(INDEX(Chemin_accès!$B$11:$C$22,MATCH(Tableau1[[#This Row],[Type]],Chemin_accès!$C$11:$C$22,0),1),Chemin_accès!$B$11)</f>
        <v>\\stjn.local\trimet\Btechnique\Commun\BT Maint SCELLEMENT\205 - Préventifs\Modèles préventif\GammeDMS_7.MSCT.xlsm</v>
      </c>
      <c r="AD630" s="47" t="str">
        <f>Chemin_accès!$B$8&amp;Tableau1[[#This Row],[Localisation / Classement]]&amp;"\"&amp;Tableau1[[#This Row],[Poste technique]]&amp;"_"&amp;Tableau1[[#This Row],[Plan Entretien]]&amp;".xlsm"</f>
        <v>\\stjn.local\trimet\Btechnique\Commun\BT Maint SCELLEMENT\205 - Préventifs\Gammes 7.MSCT PE Tool\\_.xlsm</v>
      </c>
    </row>
    <row r="631" spans="1:30" x14ac:dyDescent="0.3">
      <c r="A631" s="44" t="str">
        <f t="shared" ca="1" si="9"/>
        <v>7.MSCT</v>
      </c>
      <c r="B6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1" s="46"/>
      <c r="D631" s="44"/>
      <c r="E631" s="44"/>
      <c r="F631" s="47"/>
      <c r="G631" s="47"/>
      <c r="H631" s="50"/>
      <c r="I631" s="50"/>
      <c r="J631" s="50"/>
      <c r="K631" s="50"/>
      <c r="L631" s="46"/>
      <c r="M631" s="47"/>
      <c r="N631" s="46"/>
      <c r="O631" s="46"/>
      <c r="P631" s="47"/>
      <c r="Q631" s="46"/>
      <c r="R631" s="46"/>
      <c r="S631" s="48"/>
      <c r="T631" s="61" t="str">
        <f>IF(Tableau1[[#This Row],[DMS_SAP]]="","",HYPERLINK(Tableau1[[#This Row],[Chemin fichier source]],"X"))</f>
        <v/>
      </c>
      <c r="U631" s="61" t="str">
        <f>IF(Tableau1[[#This Row],[Date rév.]]="","",HYPERLINK(Tableau1[[#This Row],[Lien document]],"X"))</f>
        <v/>
      </c>
      <c r="V631" s="47"/>
      <c r="W631" s="49" t="str">
        <f ca="1">Chemin_accès!$B$2&amp;Tableau1[[#This Row],[Poste Responsable]]&amp;"\"&amp;Tableau1[[#This Row],[Localisation / Classement]]&amp;"\"&amp;Tableau1[[#This Row],[Poste technique]]&amp;"_"&amp;Tableau1[[#This Row],[Plan Entretien]]&amp;".pdf"</f>
        <v>\\stjn.local\trimet\Donnees_Projets\Dms Sap\Maintenance\PlanEntretien\7.MSCT\\_.pdf</v>
      </c>
      <c r="X631" s="47"/>
      <c r="Y631" s="47"/>
      <c r="Z631" s="44" t="str">
        <f ca="1">IF(AND(Tableau1[[#This Row],[Charge]]&lt;&gt;0, Tableau1[[#This Row],[Nombre intervenants]]&lt;&gt;0,Tableau1[[#This Row],[Lien document]]&lt;&gt;0,Tableau1[[#This Row],[DMS_SAP]]&lt;&gt;0)=TRUE,"MIS A JOUR","")</f>
        <v/>
      </c>
      <c r="AA631" s="48"/>
      <c r="AB631" s="58" t="str">
        <f ca="1">IF(Tableau1[[#This Row],[Date rév.]]&lt;&gt;"", DAYS360(Tableau1[[#This Row],[Date rév.]],TODAY()),"")</f>
        <v/>
      </c>
      <c r="AC631" s="47" t="str">
        <f>IFERROR(INDEX(Chemin_accès!$B$11:$C$22,MATCH(Tableau1[[#This Row],[Type]],Chemin_accès!$C$11:$C$22,0),1),Chemin_accès!$B$11)</f>
        <v>\\stjn.local\trimet\Btechnique\Commun\BT Maint SCELLEMENT\205 - Préventifs\Modèles préventif\GammeDMS_7.MSCT.xlsm</v>
      </c>
      <c r="AD631" s="47" t="str">
        <f>Chemin_accès!$B$8&amp;Tableau1[[#This Row],[Localisation / Classement]]&amp;"\"&amp;Tableau1[[#This Row],[Poste technique]]&amp;"_"&amp;Tableau1[[#This Row],[Plan Entretien]]&amp;".xlsm"</f>
        <v>\\stjn.local\trimet\Btechnique\Commun\BT Maint SCELLEMENT\205 - Préventifs\Gammes 7.MSCT PE Tool\\_.xlsm</v>
      </c>
    </row>
    <row r="632" spans="1:30" x14ac:dyDescent="0.3">
      <c r="A632" s="44" t="str">
        <f t="shared" ca="1" si="9"/>
        <v>7.MSCT</v>
      </c>
      <c r="B6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2" s="46"/>
      <c r="D632" s="44"/>
      <c r="E632" s="44"/>
      <c r="F632" s="47"/>
      <c r="G632" s="47"/>
      <c r="H632" s="50"/>
      <c r="I632" s="50"/>
      <c r="J632" s="50"/>
      <c r="K632" s="50"/>
      <c r="L632" s="46"/>
      <c r="M632" s="47"/>
      <c r="N632" s="46"/>
      <c r="O632" s="46"/>
      <c r="P632" s="47"/>
      <c r="Q632" s="46"/>
      <c r="R632" s="46"/>
      <c r="S632" s="48"/>
      <c r="T632" s="61" t="str">
        <f>IF(Tableau1[[#This Row],[DMS_SAP]]="","",HYPERLINK(Tableau1[[#This Row],[Chemin fichier source]],"X"))</f>
        <v/>
      </c>
      <c r="U632" s="61" t="str">
        <f>IF(Tableau1[[#This Row],[Date rév.]]="","",HYPERLINK(Tableau1[[#This Row],[Lien document]],"X"))</f>
        <v/>
      </c>
      <c r="V632" s="47"/>
      <c r="W632" s="49" t="str">
        <f ca="1">Chemin_accès!$B$2&amp;Tableau1[[#This Row],[Poste Responsable]]&amp;"\"&amp;Tableau1[[#This Row],[Localisation / Classement]]&amp;"\"&amp;Tableau1[[#This Row],[Poste technique]]&amp;"_"&amp;Tableau1[[#This Row],[Plan Entretien]]&amp;".pdf"</f>
        <v>\\stjn.local\trimet\Donnees_Projets\Dms Sap\Maintenance\PlanEntretien\7.MSCT\\_.pdf</v>
      </c>
      <c r="X632" s="47"/>
      <c r="Y632" s="47"/>
      <c r="Z632" s="44" t="str">
        <f ca="1">IF(AND(Tableau1[[#This Row],[Charge]]&lt;&gt;0, Tableau1[[#This Row],[Nombre intervenants]]&lt;&gt;0,Tableau1[[#This Row],[Lien document]]&lt;&gt;0,Tableau1[[#This Row],[DMS_SAP]]&lt;&gt;0)=TRUE,"MIS A JOUR","")</f>
        <v/>
      </c>
      <c r="AA632" s="48"/>
      <c r="AB632" s="58" t="str">
        <f ca="1">IF(Tableau1[[#This Row],[Date rév.]]&lt;&gt;"", DAYS360(Tableau1[[#This Row],[Date rév.]],TODAY()),"")</f>
        <v/>
      </c>
      <c r="AC632" s="47" t="str">
        <f>IFERROR(INDEX(Chemin_accès!$B$11:$C$22,MATCH(Tableau1[[#This Row],[Type]],Chemin_accès!$C$11:$C$22,0),1),Chemin_accès!$B$11)</f>
        <v>\\stjn.local\trimet\Btechnique\Commun\BT Maint SCELLEMENT\205 - Préventifs\Modèles préventif\GammeDMS_7.MSCT.xlsm</v>
      </c>
      <c r="AD632" s="47" t="str">
        <f>Chemin_accès!$B$8&amp;Tableau1[[#This Row],[Localisation / Classement]]&amp;"\"&amp;Tableau1[[#This Row],[Poste technique]]&amp;"_"&amp;Tableau1[[#This Row],[Plan Entretien]]&amp;".xlsm"</f>
        <v>\\stjn.local\trimet\Btechnique\Commun\BT Maint SCELLEMENT\205 - Préventifs\Gammes 7.MSCT PE Tool\\_.xlsm</v>
      </c>
    </row>
    <row r="633" spans="1:30" x14ac:dyDescent="0.3">
      <c r="A633" s="44" t="str">
        <f t="shared" ca="1" si="9"/>
        <v>7.MSCT</v>
      </c>
      <c r="B6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3" s="46"/>
      <c r="D633" s="44"/>
      <c r="E633" s="44"/>
      <c r="F633" s="47"/>
      <c r="G633" s="47"/>
      <c r="H633" s="50"/>
      <c r="I633" s="50"/>
      <c r="J633" s="50"/>
      <c r="K633" s="50"/>
      <c r="L633" s="46"/>
      <c r="M633" s="47"/>
      <c r="N633" s="46"/>
      <c r="O633" s="46"/>
      <c r="P633" s="47"/>
      <c r="Q633" s="46"/>
      <c r="R633" s="46"/>
      <c r="S633" s="48"/>
      <c r="T633" s="61" t="str">
        <f>IF(Tableau1[[#This Row],[DMS_SAP]]="","",HYPERLINK(Tableau1[[#This Row],[Chemin fichier source]],"X"))</f>
        <v/>
      </c>
      <c r="U633" s="61" t="str">
        <f>IF(Tableau1[[#This Row],[Date rév.]]="","",HYPERLINK(Tableau1[[#This Row],[Lien document]],"X"))</f>
        <v/>
      </c>
      <c r="V633" s="47"/>
      <c r="W633" s="49" t="str">
        <f ca="1">Chemin_accès!$B$2&amp;Tableau1[[#This Row],[Poste Responsable]]&amp;"\"&amp;Tableau1[[#This Row],[Localisation / Classement]]&amp;"\"&amp;Tableau1[[#This Row],[Poste technique]]&amp;"_"&amp;Tableau1[[#This Row],[Plan Entretien]]&amp;".pdf"</f>
        <v>\\stjn.local\trimet\Donnees_Projets\Dms Sap\Maintenance\PlanEntretien\7.MSCT\\_.pdf</v>
      </c>
      <c r="X633" s="47"/>
      <c r="Y633" s="47"/>
      <c r="Z633" s="44" t="str">
        <f ca="1">IF(AND(Tableau1[[#This Row],[Charge]]&lt;&gt;0, Tableau1[[#This Row],[Nombre intervenants]]&lt;&gt;0,Tableau1[[#This Row],[Lien document]]&lt;&gt;0,Tableau1[[#This Row],[DMS_SAP]]&lt;&gt;0)=TRUE,"MIS A JOUR","")</f>
        <v/>
      </c>
      <c r="AA633" s="48"/>
      <c r="AB633" s="58" t="str">
        <f ca="1">IF(Tableau1[[#This Row],[Date rév.]]&lt;&gt;"", DAYS360(Tableau1[[#This Row],[Date rév.]],TODAY()),"")</f>
        <v/>
      </c>
      <c r="AC633" s="47" t="str">
        <f>IFERROR(INDEX(Chemin_accès!$B$11:$C$22,MATCH(Tableau1[[#This Row],[Type]],Chemin_accès!$C$11:$C$22,0),1),Chemin_accès!$B$11)</f>
        <v>\\stjn.local\trimet\Btechnique\Commun\BT Maint SCELLEMENT\205 - Préventifs\Modèles préventif\GammeDMS_7.MSCT.xlsm</v>
      </c>
      <c r="AD633" s="47" t="str">
        <f>Chemin_accès!$B$8&amp;Tableau1[[#This Row],[Localisation / Classement]]&amp;"\"&amp;Tableau1[[#This Row],[Poste technique]]&amp;"_"&amp;Tableau1[[#This Row],[Plan Entretien]]&amp;".xlsm"</f>
        <v>\\stjn.local\trimet\Btechnique\Commun\BT Maint SCELLEMENT\205 - Préventifs\Gammes 7.MSCT PE Tool\\_.xlsm</v>
      </c>
    </row>
    <row r="634" spans="1:30" x14ac:dyDescent="0.3">
      <c r="A634" s="44" t="str">
        <f t="shared" ca="1" si="9"/>
        <v>7.MSCT</v>
      </c>
      <c r="B6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4" s="46"/>
      <c r="D634" s="44"/>
      <c r="E634" s="44"/>
      <c r="F634" s="47"/>
      <c r="G634" s="47"/>
      <c r="H634" s="50"/>
      <c r="I634" s="50"/>
      <c r="J634" s="50"/>
      <c r="K634" s="50"/>
      <c r="L634" s="46"/>
      <c r="M634" s="47"/>
      <c r="N634" s="46"/>
      <c r="O634" s="46"/>
      <c r="P634" s="47"/>
      <c r="Q634" s="46"/>
      <c r="R634" s="46"/>
      <c r="S634" s="48"/>
      <c r="T634" s="61" t="str">
        <f>IF(Tableau1[[#This Row],[DMS_SAP]]="","",HYPERLINK(Tableau1[[#This Row],[Chemin fichier source]],"X"))</f>
        <v/>
      </c>
      <c r="U634" s="61" t="str">
        <f>IF(Tableau1[[#This Row],[Date rév.]]="","",HYPERLINK(Tableau1[[#This Row],[Lien document]],"X"))</f>
        <v/>
      </c>
      <c r="V634" s="47"/>
      <c r="W634" s="49" t="str">
        <f ca="1">Chemin_accès!$B$2&amp;Tableau1[[#This Row],[Poste Responsable]]&amp;"\"&amp;Tableau1[[#This Row],[Localisation / Classement]]&amp;"\"&amp;Tableau1[[#This Row],[Poste technique]]&amp;"_"&amp;Tableau1[[#This Row],[Plan Entretien]]&amp;".pdf"</f>
        <v>\\stjn.local\trimet\Donnees_Projets\Dms Sap\Maintenance\PlanEntretien\7.MSCT\\_.pdf</v>
      </c>
      <c r="X634" s="47"/>
      <c r="Y634" s="47"/>
      <c r="Z634" s="44" t="str">
        <f ca="1">IF(AND(Tableau1[[#This Row],[Charge]]&lt;&gt;0, Tableau1[[#This Row],[Nombre intervenants]]&lt;&gt;0,Tableau1[[#This Row],[Lien document]]&lt;&gt;0,Tableau1[[#This Row],[DMS_SAP]]&lt;&gt;0)=TRUE,"MIS A JOUR","")</f>
        <v/>
      </c>
      <c r="AA634" s="48"/>
      <c r="AB634" s="58" t="str">
        <f ca="1">IF(Tableau1[[#This Row],[Date rév.]]&lt;&gt;"", DAYS360(Tableau1[[#This Row],[Date rév.]],TODAY()),"")</f>
        <v/>
      </c>
      <c r="AC634" s="47" t="str">
        <f>IFERROR(INDEX(Chemin_accès!$B$11:$C$22,MATCH(Tableau1[[#This Row],[Type]],Chemin_accès!$C$11:$C$22,0),1),Chemin_accès!$B$11)</f>
        <v>\\stjn.local\trimet\Btechnique\Commun\BT Maint SCELLEMENT\205 - Préventifs\Modèles préventif\GammeDMS_7.MSCT.xlsm</v>
      </c>
      <c r="AD634" s="47" t="str">
        <f>Chemin_accès!$B$8&amp;Tableau1[[#This Row],[Localisation / Classement]]&amp;"\"&amp;Tableau1[[#This Row],[Poste technique]]&amp;"_"&amp;Tableau1[[#This Row],[Plan Entretien]]&amp;".xlsm"</f>
        <v>\\stjn.local\trimet\Btechnique\Commun\BT Maint SCELLEMENT\205 - Préventifs\Gammes 7.MSCT PE Tool\\_.xlsm</v>
      </c>
    </row>
    <row r="635" spans="1:30" x14ac:dyDescent="0.3">
      <c r="A635" s="44" t="str">
        <f t="shared" ca="1" si="9"/>
        <v>7.MSCT</v>
      </c>
      <c r="B6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5" s="46"/>
      <c r="D635" s="44"/>
      <c r="E635" s="44"/>
      <c r="F635" s="47"/>
      <c r="G635" s="47"/>
      <c r="H635" s="50"/>
      <c r="I635" s="50"/>
      <c r="J635" s="50"/>
      <c r="K635" s="50"/>
      <c r="L635" s="46"/>
      <c r="M635" s="47"/>
      <c r="N635" s="46"/>
      <c r="O635" s="46"/>
      <c r="P635" s="47"/>
      <c r="Q635" s="46"/>
      <c r="R635" s="46"/>
      <c r="S635" s="48"/>
      <c r="T635" s="61" t="str">
        <f>IF(Tableau1[[#This Row],[DMS_SAP]]="","",HYPERLINK(Tableau1[[#This Row],[Chemin fichier source]],"X"))</f>
        <v/>
      </c>
      <c r="U635" s="61" t="str">
        <f>IF(Tableau1[[#This Row],[Date rév.]]="","",HYPERLINK(Tableau1[[#This Row],[Lien document]],"X"))</f>
        <v/>
      </c>
      <c r="V635" s="47"/>
      <c r="W635" s="49" t="str">
        <f ca="1">Chemin_accès!$B$2&amp;Tableau1[[#This Row],[Poste Responsable]]&amp;"\"&amp;Tableau1[[#This Row],[Localisation / Classement]]&amp;"\"&amp;Tableau1[[#This Row],[Poste technique]]&amp;"_"&amp;Tableau1[[#This Row],[Plan Entretien]]&amp;".pdf"</f>
        <v>\\stjn.local\trimet\Donnees_Projets\Dms Sap\Maintenance\PlanEntretien\7.MSCT\\_.pdf</v>
      </c>
      <c r="X635" s="47"/>
      <c r="Y635" s="47"/>
      <c r="Z635" s="44" t="str">
        <f ca="1">IF(AND(Tableau1[[#This Row],[Charge]]&lt;&gt;0, Tableau1[[#This Row],[Nombre intervenants]]&lt;&gt;0,Tableau1[[#This Row],[Lien document]]&lt;&gt;0,Tableau1[[#This Row],[DMS_SAP]]&lt;&gt;0)=TRUE,"MIS A JOUR","")</f>
        <v/>
      </c>
      <c r="AA635" s="48"/>
      <c r="AB635" s="58" t="str">
        <f ca="1">IF(Tableau1[[#This Row],[Date rév.]]&lt;&gt;"", DAYS360(Tableau1[[#This Row],[Date rév.]],TODAY()),"")</f>
        <v/>
      </c>
      <c r="AC635" s="47" t="str">
        <f>IFERROR(INDEX(Chemin_accès!$B$11:$C$22,MATCH(Tableau1[[#This Row],[Type]],Chemin_accès!$C$11:$C$22,0),1),Chemin_accès!$B$11)</f>
        <v>\\stjn.local\trimet\Btechnique\Commun\BT Maint SCELLEMENT\205 - Préventifs\Modèles préventif\GammeDMS_7.MSCT.xlsm</v>
      </c>
      <c r="AD635" s="47" t="str">
        <f>Chemin_accès!$B$8&amp;Tableau1[[#This Row],[Localisation / Classement]]&amp;"\"&amp;Tableau1[[#This Row],[Poste technique]]&amp;"_"&amp;Tableau1[[#This Row],[Plan Entretien]]&amp;".xlsm"</f>
        <v>\\stjn.local\trimet\Btechnique\Commun\BT Maint SCELLEMENT\205 - Préventifs\Gammes 7.MSCT PE Tool\\_.xlsm</v>
      </c>
    </row>
    <row r="636" spans="1:30" x14ac:dyDescent="0.3">
      <c r="A636" s="44" t="str">
        <f t="shared" ca="1" si="9"/>
        <v>7.MSCT</v>
      </c>
      <c r="B6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6" s="46"/>
      <c r="D636" s="44"/>
      <c r="E636" s="44"/>
      <c r="F636" s="47"/>
      <c r="G636" s="47"/>
      <c r="H636" s="50"/>
      <c r="I636" s="50"/>
      <c r="J636" s="50"/>
      <c r="K636" s="50"/>
      <c r="L636" s="46"/>
      <c r="M636" s="47"/>
      <c r="N636" s="46"/>
      <c r="O636" s="46"/>
      <c r="P636" s="47"/>
      <c r="Q636" s="46"/>
      <c r="R636" s="46"/>
      <c r="S636" s="48"/>
      <c r="T636" s="61" t="str">
        <f>IF(Tableau1[[#This Row],[DMS_SAP]]="","",HYPERLINK(Tableau1[[#This Row],[Chemin fichier source]],"X"))</f>
        <v/>
      </c>
      <c r="U636" s="61" t="str">
        <f>IF(Tableau1[[#This Row],[Date rév.]]="","",HYPERLINK(Tableau1[[#This Row],[Lien document]],"X"))</f>
        <v/>
      </c>
      <c r="V636" s="47"/>
      <c r="W636" s="49" t="str">
        <f ca="1">Chemin_accès!$B$2&amp;Tableau1[[#This Row],[Poste Responsable]]&amp;"\"&amp;Tableau1[[#This Row],[Localisation / Classement]]&amp;"\"&amp;Tableau1[[#This Row],[Poste technique]]&amp;"_"&amp;Tableau1[[#This Row],[Plan Entretien]]&amp;".pdf"</f>
        <v>\\stjn.local\trimet\Donnees_Projets\Dms Sap\Maintenance\PlanEntretien\7.MSCT\\_.pdf</v>
      </c>
      <c r="X636" s="47"/>
      <c r="Y636" s="47"/>
      <c r="Z636" s="44" t="str">
        <f ca="1">IF(AND(Tableau1[[#This Row],[Charge]]&lt;&gt;0, Tableau1[[#This Row],[Nombre intervenants]]&lt;&gt;0,Tableau1[[#This Row],[Lien document]]&lt;&gt;0,Tableau1[[#This Row],[DMS_SAP]]&lt;&gt;0)=TRUE,"MIS A JOUR","")</f>
        <v/>
      </c>
      <c r="AA636" s="48"/>
      <c r="AB636" s="58" t="str">
        <f ca="1">IF(Tableau1[[#This Row],[Date rév.]]&lt;&gt;"", DAYS360(Tableau1[[#This Row],[Date rév.]],TODAY()),"")</f>
        <v/>
      </c>
      <c r="AC636" s="47" t="str">
        <f>IFERROR(INDEX(Chemin_accès!$B$11:$C$22,MATCH(Tableau1[[#This Row],[Type]],Chemin_accès!$C$11:$C$22,0),1),Chemin_accès!$B$11)</f>
        <v>\\stjn.local\trimet\Btechnique\Commun\BT Maint SCELLEMENT\205 - Préventifs\Modèles préventif\GammeDMS_7.MSCT.xlsm</v>
      </c>
      <c r="AD636" s="47" t="str">
        <f>Chemin_accès!$B$8&amp;Tableau1[[#This Row],[Localisation / Classement]]&amp;"\"&amp;Tableau1[[#This Row],[Poste technique]]&amp;"_"&amp;Tableau1[[#This Row],[Plan Entretien]]&amp;".xlsm"</f>
        <v>\\stjn.local\trimet\Btechnique\Commun\BT Maint SCELLEMENT\205 - Préventifs\Gammes 7.MSCT PE Tool\\_.xlsm</v>
      </c>
    </row>
    <row r="637" spans="1:30" x14ac:dyDescent="0.3">
      <c r="A637" s="44" t="str">
        <f t="shared" ca="1" si="9"/>
        <v>7.MSCT</v>
      </c>
      <c r="B6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7" s="46"/>
      <c r="D637" s="44"/>
      <c r="E637" s="44"/>
      <c r="F637" s="47"/>
      <c r="G637" s="47"/>
      <c r="H637" s="50"/>
      <c r="I637" s="50"/>
      <c r="J637" s="50"/>
      <c r="K637" s="50"/>
      <c r="L637" s="46"/>
      <c r="M637" s="47"/>
      <c r="N637" s="46"/>
      <c r="O637" s="46"/>
      <c r="P637" s="47"/>
      <c r="Q637" s="46"/>
      <c r="R637" s="46"/>
      <c r="S637" s="48"/>
      <c r="T637" s="61" t="str">
        <f>IF(Tableau1[[#This Row],[DMS_SAP]]="","",HYPERLINK(Tableau1[[#This Row],[Chemin fichier source]],"X"))</f>
        <v/>
      </c>
      <c r="U637" s="61" t="str">
        <f>IF(Tableau1[[#This Row],[Date rév.]]="","",HYPERLINK(Tableau1[[#This Row],[Lien document]],"X"))</f>
        <v/>
      </c>
      <c r="V637" s="47"/>
      <c r="W637" s="49" t="str">
        <f ca="1">Chemin_accès!$B$2&amp;Tableau1[[#This Row],[Poste Responsable]]&amp;"\"&amp;Tableau1[[#This Row],[Localisation / Classement]]&amp;"\"&amp;Tableau1[[#This Row],[Poste technique]]&amp;"_"&amp;Tableau1[[#This Row],[Plan Entretien]]&amp;".pdf"</f>
        <v>\\stjn.local\trimet\Donnees_Projets\Dms Sap\Maintenance\PlanEntretien\7.MSCT\\_.pdf</v>
      </c>
      <c r="X637" s="47"/>
      <c r="Y637" s="47"/>
      <c r="Z637" s="44" t="str">
        <f ca="1">IF(AND(Tableau1[[#This Row],[Charge]]&lt;&gt;0, Tableau1[[#This Row],[Nombre intervenants]]&lt;&gt;0,Tableau1[[#This Row],[Lien document]]&lt;&gt;0,Tableau1[[#This Row],[DMS_SAP]]&lt;&gt;0)=TRUE,"MIS A JOUR","")</f>
        <v/>
      </c>
      <c r="AA637" s="48"/>
      <c r="AB637" s="58" t="str">
        <f ca="1">IF(Tableau1[[#This Row],[Date rév.]]&lt;&gt;"", DAYS360(Tableau1[[#This Row],[Date rév.]],TODAY()),"")</f>
        <v/>
      </c>
      <c r="AC637" s="47" t="str">
        <f>IFERROR(INDEX(Chemin_accès!$B$11:$C$22,MATCH(Tableau1[[#This Row],[Type]],Chemin_accès!$C$11:$C$22,0),1),Chemin_accès!$B$11)</f>
        <v>\\stjn.local\trimet\Btechnique\Commun\BT Maint SCELLEMENT\205 - Préventifs\Modèles préventif\GammeDMS_7.MSCT.xlsm</v>
      </c>
      <c r="AD637" s="47" t="str">
        <f>Chemin_accès!$B$8&amp;Tableau1[[#This Row],[Localisation / Classement]]&amp;"\"&amp;Tableau1[[#This Row],[Poste technique]]&amp;"_"&amp;Tableau1[[#This Row],[Plan Entretien]]&amp;".xlsm"</f>
        <v>\\stjn.local\trimet\Btechnique\Commun\BT Maint SCELLEMENT\205 - Préventifs\Gammes 7.MSCT PE Tool\\_.xlsm</v>
      </c>
    </row>
    <row r="638" spans="1:30" x14ac:dyDescent="0.3">
      <c r="A638" s="44" t="str">
        <f t="shared" ca="1" si="9"/>
        <v>7.MSCT</v>
      </c>
      <c r="B6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8" s="46"/>
      <c r="D638" s="44"/>
      <c r="E638" s="44"/>
      <c r="F638" s="47"/>
      <c r="G638" s="47"/>
      <c r="H638" s="50"/>
      <c r="I638" s="50"/>
      <c r="J638" s="50"/>
      <c r="K638" s="50"/>
      <c r="L638" s="46"/>
      <c r="M638" s="47"/>
      <c r="N638" s="46"/>
      <c r="O638" s="46"/>
      <c r="P638" s="47"/>
      <c r="Q638" s="46"/>
      <c r="R638" s="46"/>
      <c r="S638" s="48"/>
      <c r="T638" s="61" t="str">
        <f>IF(Tableau1[[#This Row],[DMS_SAP]]="","",HYPERLINK(Tableau1[[#This Row],[Chemin fichier source]],"X"))</f>
        <v/>
      </c>
      <c r="U638" s="61" t="str">
        <f>IF(Tableau1[[#This Row],[Date rév.]]="","",HYPERLINK(Tableau1[[#This Row],[Lien document]],"X"))</f>
        <v/>
      </c>
      <c r="V638" s="47"/>
      <c r="W638" s="49" t="str">
        <f ca="1">Chemin_accès!$B$2&amp;Tableau1[[#This Row],[Poste Responsable]]&amp;"\"&amp;Tableau1[[#This Row],[Localisation / Classement]]&amp;"\"&amp;Tableau1[[#This Row],[Poste technique]]&amp;"_"&amp;Tableau1[[#This Row],[Plan Entretien]]&amp;".pdf"</f>
        <v>\\stjn.local\trimet\Donnees_Projets\Dms Sap\Maintenance\PlanEntretien\7.MSCT\\_.pdf</v>
      </c>
      <c r="X638" s="47"/>
      <c r="Y638" s="47"/>
      <c r="Z638" s="44" t="str">
        <f ca="1">IF(AND(Tableau1[[#This Row],[Charge]]&lt;&gt;0, Tableau1[[#This Row],[Nombre intervenants]]&lt;&gt;0,Tableau1[[#This Row],[Lien document]]&lt;&gt;0,Tableau1[[#This Row],[DMS_SAP]]&lt;&gt;0)=TRUE,"MIS A JOUR","")</f>
        <v/>
      </c>
      <c r="AA638" s="48"/>
      <c r="AB638" s="58" t="str">
        <f ca="1">IF(Tableau1[[#This Row],[Date rév.]]&lt;&gt;"", DAYS360(Tableau1[[#This Row],[Date rév.]],TODAY()),"")</f>
        <v/>
      </c>
      <c r="AC638" s="47" t="str">
        <f>IFERROR(INDEX(Chemin_accès!$B$11:$C$22,MATCH(Tableau1[[#This Row],[Type]],Chemin_accès!$C$11:$C$22,0),1),Chemin_accès!$B$11)</f>
        <v>\\stjn.local\trimet\Btechnique\Commun\BT Maint SCELLEMENT\205 - Préventifs\Modèles préventif\GammeDMS_7.MSCT.xlsm</v>
      </c>
      <c r="AD638" s="47" t="str">
        <f>Chemin_accès!$B$8&amp;Tableau1[[#This Row],[Localisation / Classement]]&amp;"\"&amp;Tableau1[[#This Row],[Poste technique]]&amp;"_"&amp;Tableau1[[#This Row],[Plan Entretien]]&amp;".xlsm"</f>
        <v>\\stjn.local\trimet\Btechnique\Commun\BT Maint SCELLEMENT\205 - Préventifs\Gammes 7.MSCT PE Tool\\_.xlsm</v>
      </c>
    </row>
    <row r="639" spans="1:30" x14ac:dyDescent="0.3">
      <c r="A639" s="44" t="str">
        <f t="shared" ca="1" si="9"/>
        <v>7.MSCT</v>
      </c>
      <c r="B6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9" s="46"/>
      <c r="D639" s="44"/>
      <c r="E639" s="44"/>
      <c r="F639" s="47"/>
      <c r="G639" s="47"/>
      <c r="H639" s="50"/>
      <c r="I639" s="50"/>
      <c r="J639" s="50"/>
      <c r="K639" s="50"/>
      <c r="L639" s="46"/>
      <c r="M639" s="47"/>
      <c r="N639" s="46"/>
      <c r="O639" s="46"/>
      <c r="P639" s="47"/>
      <c r="Q639" s="46"/>
      <c r="R639" s="46"/>
      <c r="S639" s="48"/>
      <c r="T639" s="61" t="str">
        <f>IF(Tableau1[[#This Row],[DMS_SAP]]="","",HYPERLINK(Tableau1[[#This Row],[Chemin fichier source]],"X"))</f>
        <v/>
      </c>
      <c r="U639" s="61" t="str">
        <f>IF(Tableau1[[#This Row],[Date rév.]]="","",HYPERLINK(Tableau1[[#This Row],[Lien document]],"X"))</f>
        <v/>
      </c>
      <c r="V639" s="47"/>
      <c r="W639" s="49" t="str">
        <f ca="1">Chemin_accès!$B$2&amp;Tableau1[[#This Row],[Poste Responsable]]&amp;"\"&amp;Tableau1[[#This Row],[Localisation / Classement]]&amp;"\"&amp;Tableau1[[#This Row],[Poste technique]]&amp;"_"&amp;Tableau1[[#This Row],[Plan Entretien]]&amp;".pdf"</f>
        <v>\\stjn.local\trimet\Donnees_Projets\Dms Sap\Maintenance\PlanEntretien\7.MSCT\\_.pdf</v>
      </c>
      <c r="X639" s="47"/>
      <c r="Y639" s="47"/>
      <c r="Z639" s="44" t="str">
        <f ca="1">IF(AND(Tableau1[[#This Row],[Charge]]&lt;&gt;0, Tableau1[[#This Row],[Nombre intervenants]]&lt;&gt;0,Tableau1[[#This Row],[Lien document]]&lt;&gt;0,Tableau1[[#This Row],[DMS_SAP]]&lt;&gt;0)=TRUE,"MIS A JOUR","")</f>
        <v/>
      </c>
      <c r="AA639" s="48"/>
      <c r="AB639" s="58" t="str">
        <f ca="1">IF(Tableau1[[#This Row],[Date rév.]]&lt;&gt;"", DAYS360(Tableau1[[#This Row],[Date rév.]],TODAY()),"")</f>
        <v/>
      </c>
      <c r="AC639" s="47" t="str">
        <f>IFERROR(INDEX(Chemin_accès!$B$11:$C$22,MATCH(Tableau1[[#This Row],[Type]],Chemin_accès!$C$11:$C$22,0),1),Chemin_accès!$B$11)</f>
        <v>\\stjn.local\trimet\Btechnique\Commun\BT Maint SCELLEMENT\205 - Préventifs\Modèles préventif\GammeDMS_7.MSCT.xlsm</v>
      </c>
      <c r="AD639" s="47" t="str">
        <f>Chemin_accès!$B$8&amp;Tableau1[[#This Row],[Localisation / Classement]]&amp;"\"&amp;Tableau1[[#This Row],[Poste technique]]&amp;"_"&amp;Tableau1[[#This Row],[Plan Entretien]]&amp;".xlsm"</f>
        <v>\\stjn.local\trimet\Btechnique\Commun\BT Maint SCELLEMENT\205 - Préventifs\Gammes 7.MSCT PE Tool\\_.xlsm</v>
      </c>
    </row>
    <row r="640" spans="1:30" x14ac:dyDescent="0.3">
      <c r="A640" s="44" t="str">
        <f t="shared" ca="1" si="9"/>
        <v>7.MSCT</v>
      </c>
      <c r="B6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0" s="46"/>
      <c r="D640" s="44"/>
      <c r="E640" s="44"/>
      <c r="F640" s="47"/>
      <c r="G640" s="47"/>
      <c r="H640" s="50"/>
      <c r="I640" s="50"/>
      <c r="J640" s="50"/>
      <c r="K640" s="50"/>
      <c r="L640" s="46"/>
      <c r="M640" s="47"/>
      <c r="N640" s="46"/>
      <c r="O640" s="46"/>
      <c r="P640" s="47"/>
      <c r="Q640" s="46"/>
      <c r="R640" s="46"/>
      <c r="S640" s="48"/>
      <c r="T640" s="61" t="str">
        <f>IF(Tableau1[[#This Row],[DMS_SAP]]="","",HYPERLINK(Tableau1[[#This Row],[Chemin fichier source]],"X"))</f>
        <v/>
      </c>
      <c r="U640" s="61" t="str">
        <f>IF(Tableau1[[#This Row],[Date rév.]]="","",HYPERLINK(Tableau1[[#This Row],[Lien document]],"X"))</f>
        <v/>
      </c>
      <c r="V640" s="47"/>
      <c r="W640" s="49" t="str">
        <f ca="1">Chemin_accès!$B$2&amp;Tableau1[[#This Row],[Poste Responsable]]&amp;"\"&amp;Tableau1[[#This Row],[Localisation / Classement]]&amp;"\"&amp;Tableau1[[#This Row],[Poste technique]]&amp;"_"&amp;Tableau1[[#This Row],[Plan Entretien]]&amp;".pdf"</f>
        <v>\\stjn.local\trimet\Donnees_Projets\Dms Sap\Maintenance\PlanEntretien\7.MSCT\\_.pdf</v>
      </c>
      <c r="X640" s="47"/>
      <c r="Y640" s="47"/>
      <c r="Z640" s="44" t="str">
        <f ca="1">IF(AND(Tableau1[[#This Row],[Charge]]&lt;&gt;0, Tableau1[[#This Row],[Nombre intervenants]]&lt;&gt;0,Tableau1[[#This Row],[Lien document]]&lt;&gt;0,Tableau1[[#This Row],[DMS_SAP]]&lt;&gt;0)=TRUE,"MIS A JOUR","")</f>
        <v/>
      </c>
      <c r="AA640" s="48"/>
      <c r="AB640" s="58" t="str">
        <f ca="1">IF(Tableau1[[#This Row],[Date rév.]]&lt;&gt;"", DAYS360(Tableau1[[#This Row],[Date rév.]],TODAY()),"")</f>
        <v/>
      </c>
      <c r="AC640" s="47" t="str">
        <f>IFERROR(INDEX(Chemin_accès!$B$11:$C$22,MATCH(Tableau1[[#This Row],[Type]],Chemin_accès!$C$11:$C$22,0),1),Chemin_accès!$B$11)</f>
        <v>\\stjn.local\trimet\Btechnique\Commun\BT Maint SCELLEMENT\205 - Préventifs\Modèles préventif\GammeDMS_7.MSCT.xlsm</v>
      </c>
      <c r="AD640" s="47" t="str">
        <f>Chemin_accès!$B$8&amp;Tableau1[[#This Row],[Localisation / Classement]]&amp;"\"&amp;Tableau1[[#This Row],[Poste technique]]&amp;"_"&amp;Tableau1[[#This Row],[Plan Entretien]]&amp;".xlsm"</f>
        <v>\\stjn.local\trimet\Btechnique\Commun\BT Maint SCELLEMENT\205 - Préventifs\Gammes 7.MSCT PE Tool\\_.xlsm</v>
      </c>
    </row>
    <row r="641" spans="1:30" x14ac:dyDescent="0.3">
      <c r="A641" s="44" t="str">
        <f t="shared" ca="1" si="9"/>
        <v>7.MSCT</v>
      </c>
      <c r="B6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1" s="46"/>
      <c r="D641" s="44"/>
      <c r="E641" s="44"/>
      <c r="F641" s="47"/>
      <c r="G641" s="47"/>
      <c r="H641" s="50"/>
      <c r="I641" s="50"/>
      <c r="J641" s="50"/>
      <c r="K641" s="50"/>
      <c r="L641" s="46"/>
      <c r="M641" s="47"/>
      <c r="N641" s="46"/>
      <c r="O641" s="46"/>
      <c r="P641" s="47"/>
      <c r="Q641" s="46"/>
      <c r="R641" s="46"/>
      <c r="S641" s="48"/>
      <c r="T641" s="61" t="str">
        <f>IF(Tableau1[[#This Row],[DMS_SAP]]="","",HYPERLINK(Tableau1[[#This Row],[Chemin fichier source]],"X"))</f>
        <v/>
      </c>
      <c r="U641" s="61" t="str">
        <f>IF(Tableau1[[#This Row],[Date rév.]]="","",HYPERLINK(Tableau1[[#This Row],[Lien document]],"X"))</f>
        <v/>
      </c>
      <c r="V641" s="47"/>
      <c r="W641" s="49" t="str">
        <f ca="1">Chemin_accès!$B$2&amp;Tableau1[[#This Row],[Poste Responsable]]&amp;"\"&amp;Tableau1[[#This Row],[Localisation / Classement]]&amp;"\"&amp;Tableau1[[#This Row],[Poste technique]]&amp;"_"&amp;Tableau1[[#This Row],[Plan Entretien]]&amp;".pdf"</f>
        <v>\\stjn.local\trimet\Donnees_Projets\Dms Sap\Maintenance\PlanEntretien\7.MSCT\\_.pdf</v>
      </c>
      <c r="X641" s="47"/>
      <c r="Y641" s="47"/>
      <c r="Z641" s="44" t="str">
        <f ca="1">IF(AND(Tableau1[[#This Row],[Charge]]&lt;&gt;0, Tableau1[[#This Row],[Nombre intervenants]]&lt;&gt;0,Tableau1[[#This Row],[Lien document]]&lt;&gt;0,Tableau1[[#This Row],[DMS_SAP]]&lt;&gt;0)=TRUE,"MIS A JOUR","")</f>
        <v/>
      </c>
      <c r="AA641" s="48"/>
      <c r="AB641" s="58" t="str">
        <f ca="1">IF(Tableau1[[#This Row],[Date rév.]]&lt;&gt;"", DAYS360(Tableau1[[#This Row],[Date rév.]],TODAY()),"")</f>
        <v/>
      </c>
      <c r="AC641" s="47" t="str">
        <f>IFERROR(INDEX(Chemin_accès!$B$11:$C$22,MATCH(Tableau1[[#This Row],[Type]],Chemin_accès!$C$11:$C$22,0),1),Chemin_accès!$B$11)</f>
        <v>\\stjn.local\trimet\Btechnique\Commun\BT Maint SCELLEMENT\205 - Préventifs\Modèles préventif\GammeDMS_7.MSCT.xlsm</v>
      </c>
      <c r="AD641" s="47" t="str">
        <f>Chemin_accès!$B$8&amp;Tableau1[[#This Row],[Localisation / Classement]]&amp;"\"&amp;Tableau1[[#This Row],[Poste technique]]&amp;"_"&amp;Tableau1[[#This Row],[Plan Entretien]]&amp;".xlsm"</f>
        <v>\\stjn.local\trimet\Btechnique\Commun\BT Maint SCELLEMENT\205 - Préventifs\Gammes 7.MSCT PE Tool\\_.xlsm</v>
      </c>
    </row>
    <row r="642" spans="1:30" x14ac:dyDescent="0.3">
      <c r="A642" s="44" t="str">
        <f t="shared" ref="A642:A705" ca="1" si="10">MID(CELL("filename",$A$1),FIND("]",CELL("filename",$A$1))+1,32)</f>
        <v>7.MSCT</v>
      </c>
      <c r="B6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2" s="46"/>
      <c r="D642" s="44"/>
      <c r="E642" s="44"/>
      <c r="F642" s="47"/>
      <c r="G642" s="47"/>
      <c r="H642" s="50"/>
      <c r="I642" s="50"/>
      <c r="J642" s="50"/>
      <c r="K642" s="50"/>
      <c r="L642" s="46"/>
      <c r="M642" s="47"/>
      <c r="N642" s="46"/>
      <c r="O642" s="46"/>
      <c r="P642" s="47"/>
      <c r="Q642" s="46"/>
      <c r="R642" s="46"/>
      <c r="S642" s="48"/>
      <c r="T642" s="61" t="str">
        <f>IF(Tableau1[[#This Row],[DMS_SAP]]="","",HYPERLINK(Tableau1[[#This Row],[Chemin fichier source]],"X"))</f>
        <v/>
      </c>
      <c r="U642" s="61" t="str">
        <f>IF(Tableau1[[#This Row],[Date rév.]]="","",HYPERLINK(Tableau1[[#This Row],[Lien document]],"X"))</f>
        <v/>
      </c>
      <c r="V642" s="47"/>
      <c r="W642" s="49" t="str">
        <f ca="1">Chemin_accès!$B$2&amp;Tableau1[[#This Row],[Poste Responsable]]&amp;"\"&amp;Tableau1[[#This Row],[Localisation / Classement]]&amp;"\"&amp;Tableau1[[#This Row],[Poste technique]]&amp;"_"&amp;Tableau1[[#This Row],[Plan Entretien]]&amp;".pdf"</f>
        <v>\\stjn.local\trimet\Donnees_Projets\Dms Sap\Maintenance\PlanEntretien\7.MSCT\\_.pdf</v>
      </c>
      <c r="X642" s="47"/>
      <c r="Y642" s="47"/>
      <c r="Z642" s="44" t="str">
        <f ca="1">IF(AND(Tableau1[[#This Row],[Charge]]&lt;&gt;0, Tableau1[[#This Row],[Nombre intervenants]]&lt;&gt;0,Tableau1[[#This Row],[Lien document]]&lt;&gt;0,Tableau1[[#This Row],[DMS_SAP]]&lt;&gt;0)=TRUE,"MIS A JOUR","")</f>
        <v/>
      </c>
      <c r="AA642" s="48"/>
      <c r="AB642" s="58" t="str">
        <f ca="1">IF(Tableau1[[#This Row],[Date rév.]]&lt;&gt;"", DAYS360(Tableau1[[#This Row],[Date rév.]],TODAY()),"")</f>
        <v/>
      </c>
      <c r="AC642" s="47" t="str">
        <f>IFERROR(INDEX(Chemin_accès!$B$11:$C$22,MATCH(Tableau1[[#This Row],[Type]],Chemin_accès!$C$11:$C$22,0),1),Chemin_accès!$B$11)</f>
        <v>\\stjn.local\trimet\Btechnique\Commun\BT Maint SCELLEMENT\205 - Préventifs\Modèles préventif\GammeDMS_7.MSCT.xlsm</v>
      </c>
      <c r="AD642" s="47" t="str">
        <f>Chemin_accès!$B$8&amp;Tableau1[[#This Row],[Localisation / Classement]]&amp;"\"&amp;Tableau1[[#This Row],[Poste technique]]&amp;"_"&amp;Tableau1[[#This Row],[Plan Entretien]]&amp;".xlsm"</f>
        <v>\\stjn.local\trimet\Btechnique\Commun\BT Maint SCELLEMENT\205 - Préventifs\Gammes 7.MSCT PE Tool\\_.xlsm</v>
      </c>
    </row>
    <row r="643" spans="1:30" x14ac:dyDescent="0.3">
      <c r="A643" s="44" t="str">
        <f t="shared" ca="1" si="10"/>
        <v>7.MSCT</v>
      </c>
      <c r="B6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3" s="46"/>
      <c r="D643" s="44"/>
      <c r="E643" s="44"/>
      <c r="F643" s="47"/>
      <c r="G643" s="47"/>
      <c r="H643" s="50"/>
      <c r="I643" s="50"/>
      <c r="J643" s="50"/>
      <c r="K643" s="50"/>
      <c r="L643" s="46"/>
      <c r="M643" s="47"/>
      <c r="N643" s="46"/>
      <c r="O643" s="46"/>
      <c r="P643" s="47"/>
      <c r="Q643" s="46"/>
      <c r="R643" s="46"/>
      <c r="S643" s="48"/>
      <c r="T643" s="61" t="str">
        <f>IF(Tableau1[[#This Row],[DMS_SAP]]="","",HYPERLINK(Tableau1[[#This Row],[Chemin fichier source]],"X"))</f>
        <v/>
      </c>
      <c r="U643" s="61" t="str">
        <f>IF(Tableau1[[#This Row],[Date rév.]]="","",HYPERLINK(Tableau1[[#This Row],[Lien document]],"X"))</f>
        <v/>
      </c>
      <c r="V643" s="47"/>
      <c r="W643" s="49" t="str">
        <f ca="1">Chemin_accès!$B$2&amp;Tableau1[[#This Row],[Poste Responsable]]&amp;"\"&amp;Tableau1[[#This Row],[Localisation / Classement]]&amp;"\"&amp;Tableau1[[#This Row],[Poste technique]]&amp;"_"&amp;Tableau1[[#This Row],[Plan Entretien]]&amp;".pdf"</f>
        <v>\\stjn.local\trimet\Donnees_Projets\Dms Sap\Maintenance\PlanEntretien\7.MSCT\\_.pdf</v>
      </c>
      <c r="X643" s="47"/>
      <c r="Y643" s="47"/>
      <c r="Z643" s="44" t="str">
        <f ca="1">IF(AND(Tableau1[[#This Row],[Charge]]&lt;&gt;0, Tableau1[[#This Row],[Nombre intervenants]]&lt;&gt;0,Tableau1[[#This Row],[Lien document]]&lt;&gt;0,Tableau1[[#This Row],[DMS_SAP]]&lt;&gt;0)=TRUE,"MIS A JOUR","")</f>
        <v/>
      </c>
      <c r="AA643" s="48"/>
      <c r="AB643" s="58" t="str">
        <f ca="1">IF(Tableau1[[#This Row],[Date rév.]]&lt;&gt;"", DAYS360(Tableau1[[#This Row],[Date rév.]],TODAY()),"")</f>
        <v/>
      </c>
      <c r="AC643" s="47" t="str">
        <f>IFERROR(INDEX(Chemin_accès!$B$11:$C$22,MATCH(Tableau1[[#This Row],[Type]],Chemin_accès!$C$11:$C$22,0),1),Chemin_accès!$B$11)</f>
        <v>\\stjn.local\trimet\Btechnique\Commun\BT Maint SCELLEMENT\205 - Préventifs\Modèles préventif\GammeDMS_7.MSCT.xlsm</v>
      </c>
      <c r="AD643" s="47" t="str">
        <f>Chemin_accès!$B$8&amp;Tableau1[[#This Row],[Localisation / Classement]]&amp;"\"&amp;Tableau1[[#This Row],[Poste technique]]&amp;"_"&amp;Tableau1[[#This Row],[Plan Entretien]]&amp;".xlsm"</f>
        <v>\\stjn.local\trimet\Btechnique\Commun\BT Maint SCELLEMENT\205 - Préventifs\Gammes 7.MSCT PE Tool\\_.xlsm</v>
      </c>
    </row>
    <row r="644" spans="1:30" x14ac:dyDescent="0.3">
      <c r="A644" s="44" t="str">
        <f t="shared" ca="1" si="10"/>
        <v>7.MSCT</v>
      </c>
      <c r="B6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4" s="46"/>
      <c r="D644" s="44"/>
      <c r="E644" s="44"/>
      <c r="F644" s="47"/>
      <c r="G644" s="47"/>
      <c r="H644" s="50"/>
      <c r="I644" s="50"/>
      <c r="J644" s="50"/>
      <c r="K644" s="50"/>
      <c r="L644" s="46"/>
      <c r="M644" s="47"/>
      <c r="N644" s="46"/>
      <c r="O644" s="46"/>
      <c r="P644" s="47"/>
      <c r="Q644" s="46"/>
      <c r="R644" s="46"/>
      <c r="S644" s="48"/>
      <c r="T644" s="61" t="str">
        <f>IF(Tableau1[[#This Row],[DMS_SAP]]="","",HYPERLINK(Tableau1[[#This Row],[Chemin fichier source]],"X"))</f>
        <v/>
      </c>
      <c r="U644" s="61" t="str">
        <f>IF(Tableau1[[#This Row],[Date rév.]]="","",HYPERLINK(Tableau1[[#This Row],[Lien document]],"X"))</f>
        <v/>
      </c>
      <c r="V644" s="47"/>
      <c r="W644" s="49" t="str">
        <f ca="1">Chemin_accès!$B$2&amp;Tableau1[[#This Row],[Poste Responsable]]&amp;"\"&amp;Tableau1[[#This Row],[Localisation / Classement]]&amp;"\"&amp;Tableau1[[#This Row],[Poste technique]]&amp;"_"&amp;Tableau1[[#This Row],[Plan Entretien]]&amp;".pdf"</f>
        <v>\\stjn.local\trimet\Donnees_Projets\Dms Sap\Maintenance\PlanEntretien\7.MSCT\\_.pdf</v>
      </c>
      <c r="X644" s="47"/>
      <c r="Y644" s="47"/>
      <c r="Z644" s="44" t="str">
        <f ca="1">IF(AND(Tableau1[[#This Row],[Charge]]&lt;&gt;0, Tableau1[[#This Row],[Nombre intervenants]]&lt;&gt;0,Tableau1[[#This Row],[Lien document]]&lt;&gt;0,Tableau1[[#This Row],[DMS_SAP]]&lt;&gt;0)=TRUE,"MIS A JOUR","")</f>
        <v/>
      </c>
      <c r="AA644" s="48"/>
      <c r="AB644" s="58" t="str">
        <f ca="1">IF(Tableau1[[#This Row],[Date rév.]]&lt;&gt;"", DAYS360(Tableau1[[#This Row],[Date rév.]],TODAY()),"")</f>
        <v/>
      </c>
      <c r="AC644" s="47" t="str">
        <f>IFERROR(INDEX(Chemin_accès!$B$11:$C$22,MATCH(Tableau1[[#This Row],[Type]],Chemin_accès!$C$11:$C$22,0),1),Chemin_accès!$B$11)</f>
        <v>\\stjn.local\trimet\Btechnique\Commun\BT Maint SCELLEMENT\205 - Préventifs\Modèles préventif\GammeDMS_7.MSCT.xlsm</v>
      </c>
      <c r="AD644" s="47" t="str">
        <f>Chemin_accès!$B$8&amp;Tableau1[[#This Row],[Localisation / Classement]]&amp;"\"&amp;Tableau1[[#This Row],[Poste technique]]&amp;"_"&amp;Tableau1[[#This Row],[Plan Entretien]]&amp;".xlsm"</f>
        <v>\\stjn.local\trimet\Btechnique\Commun\BT Maint SCELLEMENT\205 - Préventifs\Gammes 7.MSCT PE Tool\\_.xlsm</v>
      </c>
    </row>
    <row r="645" spans="1:30" x14ac:dyDescent="0.3">
      <c r="A645" s="44" t="str">
        <f t="shared" ca="1" si="10"/>
        <v>7.MSCT</v>
      </c>
      <c r="B6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5" s="46"/>
      <c r="D645" s="44"/>
      <c r="E645" s="44"/>
      <c r="F645" s="47"/>
      <c r="G645" s="47"/>
      <c r="H645" s="50"/>
      <c r="I645" s="50"/>
      <c r="J645" s="50"/>
      <c r="K645" s="50"/>
      <c r="L645" s="46"/>
      <c r="M645" s="47"/>
      <c r="N645" s="46"/>
      <c r="O645" s="46"/>
      <c r="P645" s="47"/>
      <c r="Q645" s="46"/>
      <c r="R645" s="46"/>
      <c r="S645" s="48"/>
      <c r="T645" s="61" t="str">
        <f>IF(Tableau1[[#This Row],[DMS_SAP]]="","",HYPERLINK(Tableau1[[#This Row],[Chemin fichier source]],"X"))</f>
        <v/>
      </c>
      <c r="U645" s="61" t="str">
        <f>IF(Tableau1[[#This Row],[Date rév.]]="","",HYPERLINK(Tableau1[[#This Row],[Lien document]],"X"))</f>
        <v/>
      </c>
      <c r="V645" s="47"/>
      <c r="W645" s="49" t="str">
        <f ca="1">Chemin_accès!$B$2&amp;Tableau1[[#This Row],[Poste Responsable]]&amp;"\"&amp;Tableau1[[#This Row],[Localisation / Classement]]&amp;"\"&amp;Tableau1[[#This Row],[Poste technique]]&amp;"_"&amp;Tableau1[[#This Row],[Plan Entretien]]&amp;".pdf"</f>
        <v>\\stjn.local\trimet\Donnees_Projets\Dms Sap\Maintenance\PlanEntretien\7.MSCT\\_.pdf</v>
      </c>
      <c r="X645" s="47"/>
      <c r="Y645" s="47"/>
      <c r="Z645" s="44" t="str">
        <f ca="1">IF(AND(Tableau1[[#This Row],[Charge]]&lt;&gt;0, Tableau1[[#This Row],[Nombre intervenants]]&lt;&gt;0,Tableau1[[#This Row],[Lien document]]&lt;&gt;0,Tableau1[[#This Row],[DMS_SAP]]&lt;&gt;0)=TRUE,"MIS A JOUR","")</f>
        <v/>
      </c>
      <c r="AA645" s="48"/>
      <c r="AB645" s="58" t="str">
        <f ca="1">IF(Tableau1[[#This Row],[Date rév.]]&lt;&gt;"", DAYS360(Tableau1[[#This Row],[Date rév.]],TODAY()),"")</f>
        <v/>
      </c>
      <c r="AC645" s="47" t="str">
        <f>IFERROR(INDEX(Chemin_accès!$B$11:$C$22,MATCH(Tableau1[[#This Row],[Type]],Chemin_accès!$C$11:$C$22,0),1),Chemin_accès!$B$11)</f>
        <v>\\stjn.local\trimet\Btechnique\Commun\BT Maint SCELLEMENT\205 - Préventifs\Modèles préventif\GammeDMS_7.MSCT.xlsm</v>
      </c>
      <c r="AD645" s="47" t="str">
        <f>Chemin_accès!$B$8&amp;Tableau1[[#This Row],[Localisation / Classement]]&amp;"\"&amp;Tableau1[[#This Row],[Poste technique]]&amp;"_"&amp;Tableau1[[#This Row],[Plan Entretien]]&amp;".xlsm"</f>
        <v>\\stjn.local\trimet\Btechnique\Commun\BT Maint SCELLEMENT\205 - Préventifs\Gammes 7.MSCT PE Tool\\_.xlsm</v>
      </c>
    </row>
    <row r="646" spans="1:30" x14ac:dyDescent="0.3">
      <c r="A646" s="44" t="str">
        <f t="shared" ca="1" si="10"/>
        <v>7.MSCT</v>
      </c>
      <c r="B6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6" s="46"/>
      <c r="D646" s="44"/>
      <c r="E646" s="44"/>
      <c r="F646" s="47"/>
      <c r="G646" s="47"/>
      <c r="H646" s="50"/>
      <c r="I646" s="50"/>
      <c r="J646" s="50"/>
      <c r="K646" s="50"/>
      <c r="L646" s="46"/>
      <c r="M646" s="47"/>
      <c r="N646" s="46"/>
      <c r="O646" s="46"/>
      <c r="P646" s="47"/>
      <c r="Q646" s="46"/>
      <c r="R646" s="46"/>
      <c r="S646" s="48"/>
      <c r="T646" s="61" t="str">
        <f>IF(Tableau1[[#This Row],[DMS_SAP]]="","",HYPERLINK(Tableau1[[#This Row],[Chemin fichier source]],"X"))</f>
        <v/>
      </c>
      <c r="U646" s="61" t="str">
        <f>IF(Tableau1[[#This Row],[Date rév.]]="","",HYPERLINK(Tableau1[[#This Row],[Lien document]],"X"))</f>
        <v/>
      </c>
      <c r="V646" s="47"/>
      <c r="W646" s="49" t="str">
        <f ca="1">Chemin_accès!$B$2&amp;Tableau1[[#This Row],[Poste Responsable]]&amp;"\"&amp;Tableau1[[#This Row],[Localisation / Classement]]&amp;"\"&amp;Tableau1[[#This Row],[Poste technique]]&amp;"_"&amp;Tableau1[[#This Row],[Plan Entretien]]&amp;".pdf"</f>
        <v>\\stjn.local\trimet\Donnees_Projets\Dms Sap\Maintenance\PlanEntretien\7.MSCT\\_.pdf</v>
      </c>
      <c r="X646" s="47"/>
      <c r="Y646" s="47"/>
      <c r="Z646" s="44" t="str">
        <f ca="1">IF(AND(Tableau1[[#This Row],[Charge]]&lt;&gt;0, Tableau1[[#This Row],[Nombre intervenants]]&lt;&gt;0,Tableau1[[#This Row],[Lien document]]&lt;&gt;0,Tableau1[[#This Row],[DMS_SAP]]&lt;&gt;0)=TRUE,"MIS A JOUR","")</f>
        <v/>
      </c>
      <c r="AA646" s="48"/>
      <c r="AB646" s="58" t="str">
        <f ca="1">IF(Tableau1[[#This Row],[Date rév.]]&lt;&gt;"", DAYS360(Tableau1[[#This Row],[Date rév.]],TODAY()),"")</f>
        <v/>
      </c>
      <c r="AC646" s="47" t="str">
        <f>IFERROR(INDEX(Chemin_accès!$B$11:$C$22,MATCH(Tableau1[[#This Row],[Type]],Chemin_accès!$C$11:$C$22,0),1),Chemin_accès!$B$11)</f>
        <v>\\stjn.local\trimet\Btechnique\Commun\BT Maint SCELLEMENT\205 - Préventifs\Modèles préventif\GammeDMS_7.MSCT.xlsm</v>
      </c>
      <c r="AD646" s="47" t="str">
        <f>Chemin_accès!$B$8&amp;Tableau1[[#This Row],[Localisation / Classement]]&amp;"\"&amp;Tableau1[[#This Row],[Poste technique]]&amp;"_"&amp;Tableau1[[#This Row],[Plan Entretien]]&amp;".xlsm"</f>
        <v>\\stjn.local\trimet\Btechnique\Commun\BT Maint SCELLEMENT\205 - Préventifs\Gammes 7.MSCT PE Tool\\_.xlsm</v>
      </c>
    </row>
    <row r="647" spans="1:30" x14ac:dyDescent="0.3">
      <c r="A647" s="44" t="str">
        <f t="shared" ca="1" si="10"/>
        <v>7.MSCT</v>
      </c>
      <c r="B6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7" s="46"/>
      <c r="D647" s="44"/>
      <c r="E647" s="44"/>
      <c r="F647" s="47"/>
      <c r="G647" s="47"/>
      <c r="H647" s="50"/>
      <c r="I647" s="50"/>
      <c r="J647" s="50"/>
      <c r="K647" s="50"/>
      <c r="L647" s="46"/>
      <c r="M647" s="47"/>
      <c r="N647" s="46"/>
      <c r="O647" s="46"/>
      <c r="P647" s="47"/>
      <c r="Q647" s="46"/>
      <c r="R647" s="46"/>
      <c r="S647" s="48"/>
      <c r="T647" s="61" t="str">
        <f>IF(Tableau1[[#This Row],[DMS_SAP]]="","",HYPERLINK(Tableau1[[#This Row],[Chemin fichier source]],"X"))</f>
        <v/>
      </c>
      <c r="U647" s="61" t="str">
        <f>IF(Tableau1[[#This Row],[Date rév.]]="","",HYPERLINK(Tableau1[[#This Row],[Lien document]],"X"))</f>
        <v/>
      </c>
      <c r="V647" s="47"/>
      <c r="W647" s="49" t="str">
        <f ca="1">Chemin_accès!$B$2&amp;Tableau1[[#This Row],[Poste Responsable]]&amp;"\"&amp;Tableau1[[#This Row],[Localisation / Classement]]&amp;"\"&amp;Tableau1[[#This Row],[Poste technique]]&amp;"_"&amp;Tableau1[[#This Row],[Plan Entretien]]&amp;".pdf"</f>
        <v>\\stjn.local\trimet\Donnees_Projets\Dms Sap\Maintenance\PlanEntretien\7.MSCT\\_.pdf</v>
      </c>
      <c r="X647" s="47"/>
      <c r="Y647" s="47"/>
      <c r="Z647" s="44" t="str">
        <f ca="1">IF(AND(Tableau1[[#This Row],[Charge]]&lt;&gt;0, Tableau1[[#This Row],[Nombre intervenants]]&lt;&gt;0,Tableau1[[#This Row],[Lien document]]&lt;&gt;0,Tableau1[[#This Row],[DMS_SAP]]&lt;&gt;0)=TRUE,"MIS A JOUR","")</f>
        <v/>
      </c>
      <c r="AA647" s="48"/>
      <c r="AB647" s="58" t="str">
        <f ca="1">IF(Tableau1[[#This Row],[Date rév.]]&lt;&gt;"", DAYS360(Tableau1[[#This Row],[Date rév.]],TODAY()),"")</f>
        <v/>
      </c>
      <c r="AC647" s="47" t="str">
        <f>IFERROR(INDEX(Chemin_accès!$B$11:$C$22,MATCH(Tableau1[[#This Row],[Type]],Chemin_accès!$C$11:$C$22,0),1),Chemin_accès!$B$11)</f>
        <v>\\stjn.local\trimet\Btechnique\Commun\BT Maint SCELLEMENT\205 - Préventifs\Modèles préventif\GammeDMS_7.MSCT.xlsm</v>
      </c>
      <c r="AD647" s="47" t="str">
        <f>Chemin_accès!$B$8&amp;Tableau1[[#This Row],[Localisation / Classement]]&amp;"\"&amp;Tableau1[[#This Row],[Poste technique]]&amp;"_"&amp;Tableau1[[#This Row],[Plan Entretien]]&amp;".xlsm"</f>
        <v>\\stjn.local\trimet\Btechnique\Commun\BT Maint SCELLEMENT\205 - Préventifs\Gammes 7.MSCT PE Tool\\_.xlsm</v>
      </c>
    </row>
    <row r="648" spans="1:30" x14ac:dyDescent="0.3">
      <c r="A648" s="44" t="str">
        <f t="shared" ca="1" si="10"/>
        <v>7.MSCT</v>
      </c>
      <c r="B6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8" s="46"/>
      <c r="D648" s="44"/>
      <c r="E648" s="44"/>
      <c r="F648" s="47"/>
      <c r="G648" s="47"/>
      <c r="H648" s="50"/>
      <c r="I648" s="50"/>
      <c r="J648" s="50"/>
      <c r="K648" s="50"/>
      <c r="L648" s="46"/>
      <c r="M648" s="47"/>
      <c r="N648" s="46"/>
      <c r="O648" s="46"/>
      <c r="P648" s="47"/>
      <c r="Q648" s="46"/>
      <c r="R648" s="46"/>
      <c r="S648" s="48"/>
      <c r="T648" s="61" t="str">
        <f>IF(Tableau1[[#This Row],[DMS_SAP]]="","",HYPERLINK(Tableau1[[#This Row],[Chemin fichier source]],"X"))</f>
        <v/>
      </c>
      <c r="U648" s="61" t="str">
        <f>IF(Tableau1[[#This Row],[Date rév.]]="","",HYPERLINK(Tableau1[[#This Row],[Lien document]],"X"))</f>
        <v/>
      </c>
      <c r="V648" s="47"/>
      <c r="W648" s="49" t="str">
        <f ca="1">Chemin_accès!$B$2&amp;Tableau1[[#This Row],[Poste Responsable]]&amp;"\"&amp;Tableau1[[#This Row],[Localisation / Classement]]&amp;"\"&amp;Tableau1[[#This Row],[Poste technique]]&amp;"_"&amp;Tableau1[[#This Row],[Plan Entretien]]&amp;".pdf"</f>
        <v>\\stjn.local\trimet\Donnees_Projets\Dms Sap\Maintenance\PlanEntretien\7.MSCT\\_.pdf</v>
      </c>
      <c r="X648" s="47"/>
      <c r="Y648" s="47"/>
      <c r="Z648" s="44" t="str">
        <f ca="1">IF(AND(Tableau1[[#This Row],[Charge]]&lt;&gt;0, Tableau1[[#This Row],[Nombre intervenants]]&lt;&gt;0,Tableau1[[#This Row],[Lien document]]&lt;&gt;0,Tableau1[[#This Row],[DMS_SAP]]&lt;&gt;0)=TRUE,"MIS A JOUR","")</f>
        <v/>
      </c>
      <c r="AA648" s="48"/>
      <c r="AB648" s="58" t="str">
        <f ca="1">IF(Tableau1[[#This Row],[Date rév.]]&lt;&gt;"", DAYS360(Tableau1[[#This Row],[Date rév.]],TODAY()),"")</f>
        <v/>
      </c>
      <c r="AC648" s="47" t="str">
        <f>IFERROR(INDEX(Chemin_accès!$B$11:$C$22,MATCH(Tableau1[[#This Row],[Type]],Chemin_accès!$C$11:$C$22,0),1),Chemin_accès!$B$11)</f>
        <v>\\stjn.local\trimet\Btechnique\Commun\BT Maint SCELLEMENT\205 - Préventifs\Modèles préventif\GammeDMS_7.MSCT.xlsm</v>
      </c>
      <c r="AD648" s="47" t="str">
        <f>Chemin_accès!$B$8&amp;Tableau1[[#This Row],[Localisation / Classement]]&amp;"\"&amp;Tableau1[[#This Row],[Poste technique]]&amp;"_"&amp;Tableau1[[#This Row],[Plan Entretien]]&amp;".xlsm"</f>
        <v>\\stjn.local\trimet\Btechnique\Commun\BT Maint SCELLEMENT\205 - Préventifs\Gammes 7.MSCT PE Tool\\_.xlsm</v>
      </c>
    </row>
    <row r="649" spans="1:30" x14ac:dyDescent="0.3">
      <c r="A649" s="44" t="str">
        <f t="shared" ca="1" si="10"/>
        <v>7.MSCT</v>
      </c>
      <c r="B6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9" s="46"/>
      <c r="D649" s="44"/>
      <c r="E649" s="44"/>
      <c r="F649" s="47"/>
      <c r="G649" s="47"/>
      <c r="H649" s="50"/>
      <c r="I649" s="50"/>
      <c r="J649" s="50"/>
      <c r="K649" s="50"/>
      <c r="L649" s="46"/>
      <c r="M649" s="47"/>
      <c r="N649" s="46"/>
      <c r="O649" s="46"/>
      <c r="P649" s="47"/>
      <c r="Q649" s="46"/>
      <c r="R649" s="46"/>
      <c r="S649" s="48"/>
      <c r="T649" s="61" t="str">
        <f>IF(Tableau1[[#This Row],[DMS_SAP]]="","",HYPERLINK(Tableau1[[#This Row],[Chemin fichier source]],"X"))</f>
        <v/>
      </c>
      <c r="U649" s="61" t="str">
        <f>IF(Tableau1[[#This Row],[Date rév.]]="","",HYPERLINK(Tableau1[[#This Row],[Lien document]],"X"))</f>
        <v/>
      </c>
      <c r="V649" s="47"/>
      <c r="W649" s="49" t="str">
        <f ca="1">Chemin_accès!$B$2&amp;Tableau1[[#This Row],[Poste Responsable]]&amp;"\"&amp;Tableau1[[#This Row],[Localisation / Classement]]&amp;"\"&amp;Tableau1[[#This Row],[Poste technique]]&amp;"_"&amp;Tableau1[[#This Row],[Plan Entretien]]&amp;".pdf"</f>
        <v>\\stjn.local\trimet\Donnees_Projets\Dms Sap\Maintenance\PlanEntretien\7.MSCT\\_.pdf</v>
      </c>
      <c r="X649" s="47"/>
      <c r="Y649" s="47"/>
      <c r="Z649" s="44" t="str">
        <f ca="1">IF(AND(Tableau1[[#This Row],[Charge]]&lt;&gt;0, Tableau1[[#This Row],[Nombre intervenants]]&lt;&gt;0,Tableau1[[#This Row],[Lien document]]&lt;&gt;0,Tableau1[[#This Row],[DMS_SAP]]&lt;&gt;0)=TRUE,"MIS A JOUR","")</f>
        <v/>
      </c>
      <c r="AA649" s="48"/>
      <c r="AB649" s="58" t="str">
        <f ca="1">IF(Tableau1[[#This Row],[Date rév.]]&lt;&gt;"", DAYS360(Tableau1[[#This Row],[Date rév.]],TODAY()),"")</f>
        <v/>
      </c>
      <c r="AC649" s="47" t="str">
        <f>IFERROR(INDEX(Chemin_accès!$B$11:$C$22,MATCH(Tableau1[[#This Row],[Type]],Chemin_accès!$C$11:$C$22,0),1),Chemin_accès!$B$11)</f>
        <v>\\stjn.local\trimet\Btechnique\Commun\BT Maint SCELLEMENT\205 - Préventifs\Modèles préventif\GammeDMS_7.MSCT.xlsm</v>
      </c>
      <c r="AD649" s="47" t="str">
        <f>Chemin_accès!$B$8&amp;Tableau1[[#This Row],[Localisation / Classement]]&amp;"\"&amp;Tableau1[[#This Row],[Poste technique]]&amp;"_"&amp;Tableau1[[#This Row],[Plan Entretien]]&amp;".xlsm"</f>
        <v>\\stjn.local\trimet\Btechnique\Commun\BT Maint SCELLEMENT\205 - Préventifs\Gammes 7.MSCT PE Tool\\_.xlsm</v>
      </c>
    </row>
    <row r="650" spans="1:30" x14ac:dyDescent="0.3">
      <c r="A650" s="44" t="str">
        <f t="shared" ca="1" si="10"/>
        <v>7.MSCT</v>
      </c>
      <c r="B6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0" s="46"/>
      <c r="D650" s="44"/>
      <c r="E650" s="44"/>
      <c r="F650" s="47"/>
      <c r="G650" s="47"/>
      <c r="H650" s="50"/>
      <c r="I650" s="50"/>
      <c r="J650" s="50"/>
      <c r="K650" s="50"/>
      <c r="L650" s="46"/>
      <c r="M650" s="47"/>
      <c r="N650" s="46"/>
      <c r="O650" s="46"/>
      <c r="P650" s="47"/>
      <c r="Q650" s="46"/>
      <c r="R650" s="46"/>
      <c r="S650" s="48"/>
      <c r="T650" s="61" t="str">
        <f>IF(Tableau1[[#This Row],[DMS_SAP]]="","",HYPERLINK(Tableau1[[#This Row],[Chemin fichier source]],"X"))</f>
        <v/>
      </c>
      <c r="U650" s="61" t="str">
        <f>IF(Tableau1[[#This Row],[Date rév.]]="","",HYPERLINK(Tableau1[[#This Row],[Lien document]],"X"))</f>
        <v/>
      </c>
      <c r="V650" s="47"/>
      <c r="W650" s="49" t="str">
        <f ca="1">Chemin_accès!$B$2&amp;Tableau1[[#This Row],[Poste Responsable]]&amp;"\"&amp;Tableau1[[#This Row],[Localisation / Classement]]&amp;"\"&amp;Tableau1[[#This Row],[Poste technique]]&amp;"_"&amp;Tableau1[[#This Row],[Plan Entretien]]&amp;".pdf"</f>
        <v>\\stjn.local\trimet\Donnees_Projets\Dms Sap\Maintenance\PlanEntretien\7.MSCT\\_.pdf</v>
      </c>
      <c r="X650" s="47"/>
      <c r="Y650" s="47"/>
      <c r="Z650" s="44" t="str">
        <f ca="1">IF(AND(Tableau1[[#This Row],[Charge]]&lt;&gt;0, Tableau1[[#This Row],[Nombre intervenants]]&lt;&gt;0,Tableau1[[#This Row],[Lien document]]&lt;&gt;0,Tableau1[[#This Row],[DMS_SAP]]&lt;&gt;0)=TRUE,"MIS A JOUR","")</f>
        <v/>
      </c>
      <c r="AA650" s="48"/>
      <c r="AB650" s="58" t="str">
        <f ca="1">IF(Tableau1[[#This Row],[Date rév.]]&lt;&gt;"", DAYS360(Tableau1[[#This Row],[Date rév.]],TODAY()),"")</f>
        <v/>
      </c>
      <c r="AC650" s="47" t="str">
        <f>IFERROR(INDEX(Chemin_accès!$B$11:$C$22,MATCH(Tableau1[[#This Row],[Type]],Chemin_accès!$C$11:$C$22,0),1),Chemin_accès!$B$11)</f>
        <v>\\stjn.local\trimet\Btechnique\Commun\BT Maint SCELLEMENT\205 - Préventifs\Modèles préventif\GammeDMS_7.MSCT.xlsm</v>
      </c>
      <c r="AD650" s="47" t="str">
        <f>Chemin_accès!$B$8&amp;Tableau1[[#This Row],[Localisation / Classement]]&amp;"\"&amp;Tableau1[[#This Row],[Poste technique]]&amp;"_"&amp;Tableau1[[#This Row],[Plan Entretien]]&amp;".xlsm"</f>
        <v>\\stjn.local\trimet\Btechnique\Commun\BT Maint SCELLEMENT\205 - Préventifs\Gammes 7.MSCT PE Tool\\_.xlsm</v>
      </c>
    </row>
    <row r="651" spans="1:30" x14ac:dyDescent="0.3">
      <c r="A651" s="44" t="str">
        <f t="shared" ca="1" si="10"/>
        <v>7.MSCT</v>
      </c>
      <c r="B6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1" s="46"/>
      <c r="D651" s="44"/>
      <c r="E651" s="44"/>
      <c r="F651" s="47"/>
      <c r="G651" s="47"/>
      <c r="H651" s="50"/>
      <c r="I651" s="50"/>
      <c r="J651" s="50"/>
      <c r="K651" s="50"/>
      <c r="L651" s="46"/>
      <c r="M651" s="47"/>
      <c r="N651" s="46"/>
      <c r="O651" s="46"/>
      <c r="P651" s="47"/>
      <c r="Q651" s="46"/>
      <c r="R651" s="46"/>
      <c r="S651" s="48"/>
      <c r="T651" s="61" t="str">
        <f>IF(Tableau1[[#This Row],[DMS_SAP]]="","",HYPERLINK(Tableau1[[#This Row],[Chemin fichier source]],"X"))</f>
        <v/>
      </c>
      <c r="U651" s="61" t="str">
        <f>IF(Tableau1[[#This Row],[Date rév.]]="","",HYPERLINK(Tableau1[[#This Row],[Lien document]],"X"))</f>
        <v/>
      </c>
      <c r="V651" s="47"/>
      <c r="W651" s="49" t="str">
        <f ca="1">Chemin_accès!$B$2&amp;Tableau1[[#This Row],[Poste Responsable]]&amp;"\"&amp;Tableau1[[#This Row],[Localisation / Classement]]&amp;"\"&amp;Tableau1[[#This Row],[Poste technique]]&amp;"_"&amp;Tableau1[[#This Row],[Plan Entretien]]&amp;".pdf"</f>
        <v>\\stjn.local\trimet\Donnees_Projets\Dms Sap\Maintenance\PlanEntretien\7.MSCT\\_.pdf</v>
      </c>
      <c r="X651" s="47"/>
      <c r="Y651" s="47"/>
      <c r="Z651" s="44" t="str">
        <f ca="1">IF(AND(Tableau1[[#This Row],[Charge]]&lt;&gt;0, Tableau1[[#This Row],[Nombre intervenants]]&lt;&gt;0,Tableau1[[#This Row],[Lien document]]&lt;&gt;0,Tableau1[[#This Row],[DMS_SAP]]&lt;&gt;0)=TRUE,"MIS A JOUR","")</f>
        <v/>
      </c>
      <c r="AA651" s="48"/>
      <c r="AB651" s="58" t="str">
        <f ca="1">IF(Tableau1[[#This Row],[Date rév.]]&lt;&gt;"", DAYS360(Tableau1[[#This Row],[Date rév.]],TODAY()),"")</f>
        <v/>
      </c>
      <c r="AC651" s="47" t="str">
        <f>IFERROR(INDEX(Chemin_accès!$B$11:$C$22,MATCH(Tableau1[[#This Row],[Type]],Chemin_accès!$C$11:$C$22,0),1),Chemin_accès!$B$11)</f>
        <v>\\stjn.local\trimet\Btechnique\Commun\BT Maint SCELLEMENT\205 - Préventifs\Modèles préventif\GammeDMS_7.MSCT.xlsm</v>
      </c>
      <c r="AD651" s="47" t="str">
        <f>Chemin_accès!$B$8&amp;Tableau1[[#This Row],[Localisation / Classement]]&amp;"\"&amp;Tableau1[[#This Row],[Poste technique]]&amp;"_"&amp;Tableau1[[#This Row],[Plan Entretien]]&amp;".xlsm"</f>
        <v>\\stjn.local\trimet\Btechnique\Commun\BT Maint SCELLEMENT\205 - Préventifs\Gammes 7.MSCT PE Tool\\_.xlsm</v>
      </c>
    </row>
    <row r="652" spans="1:30" x14ac:dyDescent="0.3">
      <c r="A652" s="44" t="str">
        <f t="shared" ca="1" si="10"/>
        <v>7.MSCT</v>
      </c>
      <c r="B6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2" s="46"/>
      <c r="D652" s="44"/>
      <c r="E652" s="44"/>
      <c r="F652" s="47"/>
      <c r="G652" s="47"/>
      <c r="H652" s="50"/>
      <c r="I652" s="50"/>
      <c r="J652" s="50"/>
      <c r="K652" s="50"/>
      <c r="L652" s="46"/>
      <c r="M652" s="47"/>
      <c r="N652" s="46"/>
      <c r="O652" s="46"/>
      <c r="P652" s="47"/>
      <c r="Q652" s="46"/>
      <c r="R652" s="46"/>
      <c r="S652" s="48"/>
      <c r="T652" s="61" t="str">
        <f>IF(Tableau1[[#This Row],[DMS_SAP]]="","",HYPERLINK(Tableau1[[#This Row],[Chemin fichier source]],"X"))</f>
        <v/>
      </c>
      <c r="U652" s="61" t="str">
        <f>IF(Tableau1[[#This Row],[Date rév.]]="","",HYPERLINK(Tableau1[[#This Row],[Lien document]],"X"))</f>
        <v/>
      </c>
      <c r="V652" s="47"/>
      <c r="W652" s="49" t="str">
        <f ca="1">Chemin_accès!$B$2&amp;Tableau1[[#This Row],[Poste Responsable]]&amp;"\"&amp;Tableau1[[#This Row],[Localisation / Classement]]&amp;"\"&amp;Tableau1[[#This Row],[Poste technique]]&amp;"_"&amp;Tableau1[[#This Row],[Plan Entretien]]&amp;".pdf"</f>
        <v>\\stjn.local\trimet\Donnees_Projets\Dms Sap\Maintenance\PlanEntretien\7.MSCT\\_.pdf</v>
      </c>
      <c r="X652" s="47"/>
      <c r="Y652" s="47"/>
      <c r="Z652" s="44" t="str">
        <f ca="1">IF(AND(Tableau1[[#This Row],[Charge]]&lt;&gt;0, Tableau1[[#This Row],[Nombre intervenants]]&lt;&gt;0,Tableau1[[#This Row],[Lien document]]&lt;&gt;0,Tableau1[[#This Row],[DMS_SAP]]&lt;&gt;0)=TRUE,"MIS A JOUR","")</f>
        <v/>
      </c>
      <c r="AA652" s="48"/>
      <c r="AB652" s="58" t="str">
        <f ca="1">IF(Tableau1[[#This Row],[Date rév.]]&lt;&gt;"", DAYS360(Tableau1[[#This Row],[Date rév.]],TODAY()),"")</f>
        <v/>
      </c>
      <c r="AC652" s="47" t="str">
        <f>IFERROR(INDEX(Chemin_accès!$B$11:$C$22,MATCH(Tableau1[[#This Row],[Type]],Chemin_accès!$C$11:$C$22,0),1),Chemin_accès!$B$11)</f>
        <v>\\stjn.local\trimet\Btechnique\Commun\BT Maint SCELLEMENT\205 - Préventifs\Modèles préventif\GammeDMS_7.MSCT.xlsm</v>
      </c>
      <c r="AD652" s="47" t="str">
        <f>Chemin_accès!$B$8&amp;Tableau1[[#This Row],[Localisation / Classement]]&amp;"\"&amp;Tableau1[[#This Row],[Poste technique]]&amp;"_"&amp;Tableau1[[#This Row],[Plan Entretien]]&amp;".xlsm"</f>
        <v>\\stjn.local\trimet\Btechnique\Commun\BT Maint SCELLEMENT\205 - Préventifs\Gammes 7.MSCT PE Tool\\_.xlsm</v>
      </c>
    </row>
    <row r="653" spans="1:30" x14ac:dyDescent="0.3">
      <c r="A653" s="44" t="str">
        <f t="shared" ca="1" si="10"/>
        <v>7.MSCT</v>
      </c>
      <c r="B6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3" s="46"/>
      <c r="D653" s="44"/>
      <c r="E653" s="44"/>
      <c r="F653" s="47"/>
      <c r="G653" s="47"/>
      <c r="H653" s="50"/>
      <c r="I653" s="50"/>
      <c r="J653" s="50"/>
      <c r="K653" s="50"/>
      <c r="L653" s="46"/>
      <c r="M653" s="47"/>
      <c r="N653" s="46"/>
      <c r="O653" s="46"/>
      <c r="P653" s="47"/>
      <c r="Q653" s="46"/>
      <c r="R653" s="46"/>
      <c r="S653" s="48"/>
      <c r="T653" s="61" t="str">
        <f>IF(Tableau1[[#This Row],[DMS_SAP]]="","",HYPERLINK(Tableau1[[#This Row],[Chemin fichier source]],"X"))</f>
        <v/>
      </c>
      <c r="U653" s="61" t="str">
        <f>IF(Tableau1[[#This Row],[Date rév.]]="","",HYPERLINK(Tableau1[[#This Row],[Lien document]],"X"))</f>
        <v/>
      </c>
      <c r="V653" s="47"/>
      <c r="W653" s="49" t="str">
        <f ca="1">Chemin_accès!$B$2&amp;Tableau1[[#This Row],[Poste Responsable]]&amp;"\"&amp;Tableau1[[#This Row],[Localisation / Classement]]&amp;"\"&amp;Tableau1[[#This Row],[Poste technique]]&amp;"_"&amp;Tableau1[[#This Row],[Plan Entretien]]&amp;".pdf"</f>
        <v>\\stjn.local\trimet\Donnees_Projets\Dms Sap\Maintenance\PlanEntretien\7.MSCT\\_.pdf</v>
      </c>
      <c r="X653" s="47"/>
      <c r="Y653" s="47"/>
      <c r="Z653" s="44" t="str">
        <f ca="1">IF(AND(Tableau1[[#This Row],[Charge]]&lt;&gt;0, Tableau1[[#This Row],[Nombre intervenants]]&lt;&gt;0,Tableau1[[#This Row],[Lien document]]&lt;&gt;0,Tableau1[[#This Row],[DMS_SAP]]&lt;&gt;0)=TRUE,"MIS A JOUR","")</f>
        <v/>
      </c>
      <c r="AA653" s="48"/>
      <c r="AB653" s="58" t="str">
        <f ca="1">IF(Tableau1[[#This Row],[Date rév.]]&lt;&gt;"", DAYS360(Tableau1[[#This Row],[Date rév.]],TODAY()),"")</f>
        <v/>
      </c>
      <c r="AC653" s="47" t="str">
        <f>IFERROR(INDEX(Chemin_accès!$B$11:$C$22,MATCH(Tableau1[[#This Row],[Type]],Chemin_accès!$C$11:$C$22,0),1),Chemin_accès!$B$11)</f>
        <v>\\stjn.local\trimet\Btechnique\Commun\BT Maint SCELLEMENT\205 - Préventifs\Modèles préventif\GammeDMS_7.MSCT.xlsm</v>
      </c>
      <c r="AD653" s="47" t="str">
        <f>Chemin_accès!$B$8&amp;Tableau1[[#This Row],[Localisation / Classement]]&amp;"\"&amp;Tableau1[[#This Row],[Poste technique]]&amp;"_"&amp;Tableau1[[#This Row],[Plan Entretien]]&amp;".xlsm"</f>
        <v>\\stjn.local\trimet\Btechnique\Commun\BT Maint SCELLEMENT\205 - Préventifs\Gammes 7.MSCT PE Tool\\_.xlsm</v>
      </c>
    </row>
    <row r="654" spans="1:30" x14ac:dyDescent="0.3">
      <c r="A654" s="44" t="str">
        <f t="shared" ca="1" si="10"/>
        <v>7.MSCT</v>
      </c>
      <c r="B6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4" s="46"/>
      <c r="D654" s="44"/>
      <c r="E654" s="44"/>
      <c r="F654" s="47"/>
      <c r="G654" s="47"/>
      <c r="H654" s="50"/>
      <c r="I654" s="50"/>
      <c r="J654" s="50"/>
      <c r="K654" s="50"/>
      <c r="L654" s="46"/>
      <c r="M654" s="47"/>
      <c r="N654" s="46"/>
      <c r="O654" s="46"/>
      <c r="P654" s="47"/>
      <c r="Q654" s="46"/>
      <c r="R654" s="46"/>
      <c r="S654" s="48"/>
      <c r="T654" s="61" t="str">
        <f>IF(Tableau1[[#This Row],[DMS_SAP]]="","",HYPERLINK(Tableau1[[#This Row],[Chemin fichier source]],"X"))</f>
        <v/>
      </c>
      <c r="U654" s="61" t="str">
        <f>IF(Tableau1[[#This Row],[Date rév.]]="","",HYPERLINK(Tableau1[[#This Row],[Lien document]],"X"))</f>
        <v/>
      </c>
      <c r="V654" s="47"/>
      <c r="W654" s="49" t="str">
        <f ca="1">Chemin_accès!$B$2&amp;Tableau1[[#This Row],[Poste Responsable]]&amp;"\"&amp;Tableau1[[#This Row],[Localisation / Classement]]&amp;"\"&amp;Tableau1[[#This Row],[Poste technique]]&amp;"_"&amp;Tableau1[[#This Row],[Plan Entretien]]&amp;".pdf"</f>
        <v>\\stjn.local\trimet\Donnees_Projets\Dms Sap\Maintenance\PlanEntretien\7.MSCT\\_.pdf</v>
      </c>
      <c r="X654" s="47"/>
      <c r="Y654" s="47"/>
      <c r="Z654" s="44" t="str">
        <f ca="1">IF(AND(Tableau1[[#This Row],[Charge]]&lt;&gt;0, Tableau1[[#This Row],[Nombre intervenants]]&lt;&gt;0,Tableau1[[#This Row],[Lien document]]&lt;&gt;0,Tableau1[[#This Row],[DMS_SAP]]&lt;&gt;0)=TRUE,"MIS A JOUR","")</f>
        <v/>
      </c>
      <c r="AA654" s="48"/>
      <c r="AB654" s="58" t="str">
        <f ca="1">IF(Tableau1[[#This Row],[Date rév.]]&lt;&gt;"", DAYS360(Tableau1[[#This Row],[Date rév.]],TODAY()),"")</f>
        <v/>
      </c>
      <c r="AC654" s="47" t="str">
        <f>IFERROR(INDEX(Chemin_accès!$B$11:$C$22,MATCH(Tableau1[[#This Row],[Type]],Chemin_accès!$C$11:$C$22,0),1),Chemin_accès!$B$11)</f>
        <v>\\stjn.local\trimet\Btechnique\Commun\BT Maint SCELLEMENT\205 - Préventifs\Modèles préventif\GammeDMS_7.MSCT.xlsm</v>
      </c>
      <c r="AD654" s="47" t="str">
        <f>Chemin_accès!$B$8&amp;Tableau1[[#This Row],[Localisation / Classement]]&amp;"\"&amp;Tableau1[[#This Row],[Poste technique]]&amp;"_"&amp;Tableau1[[#This Row],[Plan Entretien]]&amp;".xlsm"</f>
        <v>\\stjn.local\trimet\Btechnique\Commun\BT Maint SCELLEMENT\205 - Préventifs\Gammes 7.MSCT PE Tool\\_.xlsm</v>
      </c>
    </row>
    <row r="655" spans="1:30" x14ac:dyDescent="0.3">
      <c r="A655" s="44" t="str">
        <f t="shared" ca="1" si="10"/>
        <v>7.MSCT</v>
      </c>
      <c r="B6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5" s="46"/>
      <c r="D655" s="44"/>
      <c r="E655" s="44"/>
      <c r="F655" s="47"/>
      <c r="G655" s="47"/>
      <c r="H655" s="50"/>
      <c r="I655" s="50"/>
      <c r="J655" s="50"/>
      <c r="K655" s="50"/>
      <c r="L655" s="46"/>
      <c r="M655" s="47"/>
      <c r="N655" s="46"/>
      <c r="O655" s="46"/>
      <c r="P655" s="47"/>
      <c r="Q655" s="46"/>
      <c r="R655" s="46"/>
      <c r="S655" s="48"/>
      <c r="T655" s="61" t="str">
        <f>IF(Tableau1[[#This Row],[DMS_SAP]]="","",HYPERLINK(Tableau1[[#This Row],[Chemin fichier source]],"X"))</f>
        <v/>
      </c>
      <c r="U655" s="61" t="str">
        <f>IF(Tableau1[[#This Row],[Date rév.]]="","",HYPERLINK(Tableau1[[#This Row],[Lien document]],"X"))</f>
        <v/>
      </c>
      <c r="V655" s="47"/>
      <c r="W655" s="49" t="str">
        <f ca="1">Chemin_accès!$B$2&amp;Tableau1[[#This Row],[Poste Responsable]]&amp;"\"&amp;Tableau1[[#This Row],[Localisation / Classement]]&amp;"\"&amp;Tableau1[[#This Row],[Poste technique]]&amp;"_"&amp;Tableau1[[#This Row],[Plan Entretien]]&amp;".pdf"</f>
        <v>\\stjn.local\trimet\Donnees_Projets\Dms Sap\Maintenance\PlanEntretien\7.MSCT\\_.pdf</v>
      </c>
      <c r="X655" s="47"/>
      <c r="Y655" s="47"/>
      <c r="Z655" s="44" t="str">
        <f ca="1">IF(AND(Tableau1[[#This Row],[Charge]]&lt;&gt;0, Tableau1[[#This Row],[Nombre intervenants]]&lt;&gt;0,Tableau1[[#This Row],[Lien document]]&lt;&gt;0,Tableau1[[#This Row],[DMS_SAP]]&lt;&gt;0)=TRUE,"MIS A JOUR","")</f>
        <v/>
      </c>
      <c r="AA655" s="48"/>
      <c r="AB655" s="58" t="str">
        <f ca="1">IF(Tableau1[[#This Row],[Date rév.]]&lt;&gt;"", DAYS360(Tableau1[[#This Row],[Date rév.]],TODAY()),"")</f>
        <v/>
      </c>
      <c r="AC655" s="47" t="str">
        <f>IFERROR(INDEX(Chemin_accès!$B$11:$C$22,MATCH(Tableau1[[#This Row],[Type]],Chemin_accès!$C$11:$C$22,0),1),Chemin_accès!$B$11)</f>
        <v>\\stjn.local\trimet\Btechnique\Commun\BT Maint SCELLEMENT\205 - Préventifs\Modèles préventif\GammeDMS_7.MSCT.xlsm</v>
      </c>
      <c r="AD655" s="47" t="str">
        <f>Chemin_accès!$B$8&amp;Tableau1[[#This Row],[Localisation / Classement]]&amp;"\"&amp;Tableau1[[#This Row],[Poste technique]]&amp;"_"&amp;Tableau1[[#This Row],[Plan Entretien]]&amp;".xlsm"</f>
        <v>\\stjn.local\trimet\Btechnique\Commun\BT Maint SCELLEMENT\205 - Préventifs\Gammes 7.MSCT PE Tool\\_.xlsm</v>
      </c>
    </row>
    <row r="656" spans="1:30" x14ac:dyDescent="0.3">
      <c r="A656" s="44" t="str">
        <f t="shared" ca="1" si="10"/>
        <v>7.MSCT</v>
      </c>
      <c r="B6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6" s="46"/>
      <c r="D656" s="44"/>
      <c r="E656" s="44"/>
      <c r="F656" s="47"/>
      <c r="G656" s="47"/>
      <c r="H656" s="50"/>
      <c r="I656" s="50"/>
      <c r="J656" s="50"/>
      <c r="K656" s="50"/>
      <c r="L656" s="46"/>
      <c r="M656" s="47"/>
      <c r="N656" s="46"/>
      <c r="O656" s="46"/>
      <c r="P656" s="47"/>
      <c r="Q656" s="46"/>
      <c r="R656" s="46"/>
      <c r="S656" s="48"/>
      <c r="T656" s="61" t="str">
        <f>IF(Tableau1[[#This Row],[DMS_SAP]]="","",HYPERLINK(Tableau1[[#This Row],[Chemin fichier source]],"X"))</f>
        <v/>
      </c>
      <c r="U656" s="61" t="str">
        <f>IF(Tableau1[[#This Row],[Date rév.]]="","",HYPERLINK(Tableau1[[#This Row],[Lien document]],"X"))</f>
        <v/>
      </c>
      <c r="V656" s="47"/>
      <c r="W656" s="49" t="str">
        <f ca="1">Chemin_accès!$B$2&amp;Tableau1[[#This Row],[Poste Responsable]]&amp;"\"&amp;Tableau1[[#This Row],[Localisation / Classement]]&amp;"\"&amp;Tableau1[[#This Row],[Poste technique]]&amp;"_"&amp;Tableau1[[#This Row],[Plan Entretien]]&amp;".pdf"</f>
        <v>\\stjn.local\trimet\Donnees_Projets\Dms Sap\Maintenance\PlanEntretien\7.MSCT\\_.pdf</v>
      </c>
      <c r="X656" s="47"/>
      <c r="Y656" s="47"/>
      <c r="Z656" s="44" t="str">
        <f ca="1">IF(AND(Tableau1[[#This Row],[Charge]]&lt;&gt;0, Tableau1[[#This Row],[Nombre intervenants]]&lt;&gt;0,Tableau1[[#This Row],[Lien document]]&lt;&gt;0,Tableau1[[#This Row],[DMS_SAP]]&lt;&gt;0)=TRUE,"MIS A JOUR","")</f>
        <v/>
      </c>
      <c r="AA656" s="48"/>
      <c r="AB656" s="58" t="str">
        <f ca="1">IF(Tableau1[[#This Row],[Date rév.]]&lt;&gt;"", DAYS360(Tableau1[[#This Row],[Date rév.]],TODAY()),"")</f>
        <v/>
      </c>
      <c r="AC656" s="47" t="str">
        <f>IFERROR(INDEX(Chemin_accès!$B$11:$C$22,MATCH(Tableau1[[#This Row],[Type]],Chemin_accès!$C$11:$C$22,0),1),Chemin_accès!$B$11)</f>
        <v>\\stjn.local\trimet\Btechnique\Commun\BT Maint SCELLEMENT\205 - Préventifs\Modèles préventif\GammeDMS_7.MSCT.xlsm</v>
      </c>
      <c r="AD656" s="47" t="str">
        <f>Chemin_accès!$B$8&amp;Tableau1[[#This Row],[Localisation / Classement]]&amp;"\"&amp;Tableau1[[#This Row],[Poste technique]]&amp;"_"&amp;Tableau1[[#This Row],[Plan Entretien]]&amp;".xlsm"</f>
        <v>\\stjn.local\trimet\Btechnique\Commun\BT Maint SCELLEMENT\205 - Préventifs\Gammes 7.MSCT PE Tool\\_.xlsm</v>
      </c>
    </row>
    <row r="657" spans="1:30" x14ac:dyDescent="0.3">
      <c r="A657" s="44" t="str">
        <f t="shared" ca="1" si="10"/>
        <v>7.MSCT</v>
      </c>
      <c r="B6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7" s="46"/>
      <c r="D657" s="44"/>
      <c r="E657" s="44"/>
      <c r="F657" s="47"/>
      <c r="G657" s="47"/>
      <c r="H657" s="50"/>
      <c r="I657" s="50"/>
      <c r="J657" s="50"/>
      <c r="K657" s="50"/>
      <c r="L657" s="46"/>
      <c r="M657" s="47"/>
      <c r="N657" s="46"/>
      <c r="O657" s="46"/>
      <c r="P657" s="47"/>
      <c r="Q657" s="46"/>
      <c r="R657" s="46"/>
      <c r="S657" s="48"/>
      <c r="T657" s="61" t="str">
        <f>IF(Tableau1[[#This Row],[DMS_SAP]]="","",HYPERLINK(Tableau1[[#This Row],[Chemin fichier source]],"X"))</f>
        <v/>
      </c>
      <c r="U657" s="61" t="str">
        <f>IF(Tableau1[[#This Row],[Date rév.]]="","",HYPERLINK(Tableau1[[#This Row],[Lien document]],"X"))</f>
        <v/>
      </c>
      <c r="V657" s="47"/>
      <c r="W657" s="49" t="str">
        <f ca="1">Chemin_accès!$B$2&amp;Tableau1[[#This Row],[Poste Responsable]]&amp;"\"&amp;Tableau1[[#This Row],[Localisation / Classement]]&amp;"\"&amp;Tableau1[[#This Row],[Poste technique]]&amp;"_"&amp;Tableau1[[#This Row],[Plan Entretien]]&amp;".pdf"</f>
        <v>\\stjn.local\trimet\Donnees_Projets\Dms Sap\Maintenance\PlanEntretien\7.MSCT\\_.pdf</v>
      </c>
      <c r="X657" s="47"/>
      <c r="Y657" s="47"/>
      <c r="Z657" s="44" t="str">
        <f ca="1">IF(AND(Tableau1[[#This Row],[Charge]]&lt;&gt;0, Tableau1[[#This Row],[Nombre intervenants]]&lt;&gt;0,Tableau1[[#This Row],[Lien document]]&lt;&gt;0,Tableau1[[#This Row],[DMS_SAP]]&lt;&gt;0)=TRUE,"MIS A JOUR","")</f>
        <v/>
      </c>
      <c r="AA657" s="48"/>
      <c r="AB657" s="58" t="str">
        <f ca="1">IF(Tableau1[[#This Row],[Date rév.]]&lt;&gt;"", DAYS360(Tableau1[[#This Row],[Date rév.]],TODAY()),"")</f>
        <v/>
      </c>
      <c r="AC657" s="47" t="str">
        <f>IFERROR(INDEX(Chemin_accès!$B$11:$C$22,MATCH(Tableau1[[#This Row],[Type]],Chemin_accès!$C$11:$C$22,0),1),Chemin_accès!$B$11)</f>
        <v>\\stjn.local\trimet\Btechnique\Commun\BT Maint SCELLEMENT\205 - Préventifs\Modèles préventif\GammeDMS_7.MSCT.xlsm</v>
      </c>
      <c r="AD657" s="47" t="str">
        <f>Chemin_accès!$B$8&amp;Tableau1[[#This Row],[Localisation / Classement]]&amp;"\"&amp;Tableau1[[#This Row],[Poste technique]]&amp;"_"&amp;Tableau1[[#This Row],[Plan Entretien]]&amp;".xlsm"</f>
        <v>\\stjn.local\trimet\Btechnique\Commun\BT Maint SCELLEMENT\205 - Préventifs\Gammes 7.MSCT PE Tool\\_.xlsm</v>
      </c>
    </row>
    <row r="658" spans="1:30" x14ac:dyDescent="0.3">
      <c r="A658" s="44" t="str">
        <f t="shared" ca="1" si="10"/>
        <v>7.MSCT</v>
      </c>
      <c r="B6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8" s="46"/>
      <c r="D658" s="44"/>
      <c r="E658" s="44"/>
      <c r="F658" s="47"/>
      <c r="G658" s="47"/>
      <c r="H658" s="50"/>
      <c r="I658" s="50"/>
      <c r="J658" s="50"/>
      <c r="K658" s="50"/>
      <c r="L658" s="46"/>
      <c r="M658" s="47"/>
      <c r="N658" s="46"/>
      <c r="O658" s="46"/>
      <c r="P658" s="47"/>
      <c r="Q658" s="46"/>
      <c r="R658" s="46"/>
      <c r="S658" s="48"/>
      <c r="T658" s="61" t="str">
        <f>IF(Tableau1[[#This Row],[DMS_SAP]]="","",HYPERLINK(Tableau1[[#This Row],[Chemin fichier source]],"X"))</f>
        <v/>
      </c>
      <c r="U658" s="61" t="str">
        <f>IF(Tableau1[[#This Row],[Date rév.]]="","",HYPERLINK(Tableau1[[#This Row],[Lien document]],"X"))</f>
        <v/>
      </c>
      <c r="V658" s="47"/>
      <c r="W658" s="49" t="str">
        <f ca="1">Chemin_accès!$B$2&amp;Tableau1[[#This Row],[Poste Responsable]]&amp;"\"&amp;Tableau1[[#This Row],[Localisation / Classement]]&amp;"\"&amp;Tableau1[[#This Row],[Poste technique]]&amp;"_"&amp;Tableau1[[#This Row],[Plan Entretien]]&amp;".pdf"</f>
        <v>\\stjn.local\trimet\Donnees_Projets\Dms Sap\Maintenance\PlanEntretien\7.MSCT\\_.pdf</v>
      </c>
      <c r="X658" s="47"/>
      <c r="Y658" s="47"/>
      <c r="Z658" s="44" t="str">
        <f ca="1">IF(AND(Tableau1[[#This Row],[Charge]]&lt;&gt;0, Tableau1[[#This Row],[Nombre intervenants]]&lt;&gt;0,Tableau1[[#This Row],[Lien document]]&lt;&gt;0,Tableau1[[#This Row],[DMS_SAP]]&lt;&gt;0)=TRUE,"MIS A JOUR","")</f>
        <v/>
      </c>
      <c r="AA658" s="48"/>
      <c r="AB658" s="58" t="str">
        <f ca="1">IF(Tableau1[[#This Row],[Date rév.]]&lt;&gt;"", DAYS360(Tableau1[[#This Row],[Date rév.]],TODAY()),"")</f>
        <v/>
      </c>
      <c r="AC658" s="47" t="str">
        <f>IFERROR(INDEX(Chemin_accès!$B$11:$C$22,MATCH(Tableau1[[#This Row],[Type]],Chemin_accès!$C$11:$C$22,0),1),Chemin_accès!$B$11)</f>
        <v>\\stjn.local\trimet\Btechnique\Commun\BT Maint SCELLEMENT\205 - Préventifs\Modèles préventif\GammeDMS_7.MSCT.xlsm</v>
      </c>
      <c r="AD658" s="47" t="str">
        <f>Chemin_accès!$B$8&amp;Tableau1[[#This Row],[Localisation / Classement]]&amp;"\"&amp;Tableau1[[#This Row],[Poste technique]]&amp;"_"&amp;Tableau1[[#This Row],[Plan Entretien]]&amp;".xlsm"</f>
        <v>\\stjn.local\trimet\Btechnique\Commun\BT Maint SCELLEMENT\205 - Préventifs\Gammes 7.MSCT PE Tool\\_.xlsm</v>
      </c>
    </row>
    <row r="659" spans="1:30" x14ac:dyDescent="0.3">
      <c r="A659" s="44" t="str">
        <f t="shared" ca="1" si="10"/>
        <v>7.MSCT</v>
      </c>
      <c r="B6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9" s="46"/>
      <c r="D659" s="44"/>
      <c r="E659" s="44"/>
      <c r="F659" s="47"/>
      <c r="G659" s="47"/>
      <c r="H659" s="50"/>
      <c r="I659" s="50"/>
      <c r="J659" s="50"/>
      <c r="K659" s="50"/>
      <c r="L659" s="46"/>
      <c r="M659" s="47"/>
      <c r="N659" s="46"/>
      <c r="O659" s="46"/>
      <c r="P659" s="47"/>
      <c r="Q659" s="46"/>
      <c r="R659" s="46"/>
      <c r="S659" s="48"/>
      <c r="T659" s="61" t="str">
        <f>IF(Tableau1[[#This Row],[DMS_SAP]]="","",HYPERLINK(Tableau1[[#This Row],[Chemin fichier source]],"X"))</f>
        <v/>
      </c>
      <c r="U659" s="61" t="str">
        <f>IF(Tableau1[[#This Row],[Date rév.]]="","",HYPERLINK(Tableau1[[#This Row],[Lien document]],"X"))</f>
        <v/>
      </c>
      <c r="V659" s="47"/>
      <c r="W659" s="49" t="str">
        <f ca="1">Chemin_accès!$B$2&amp;Tableau1[[#This Row],[Poste Responsable]]&amp;"\"&amp;Tableau1[[#This Row],[Localisation / Classement]]&amp;"\"&amp;Tableau1[[#This Row],[Poste technique]]&amp;"_"&amp;Tableau1[[#This Row],[Plan Entretien]]&amp;".pdf"</f>
        <v>\\stjn.local\trimet\Donnees_Projets\Dms Sap\Maintenance\PlanEntretien\7.MSCT\\_.pdf</v>
      </c>
      <c r="X659" s="47"/>
      <c r="Y659" s="47"/>
      <c r="Z659" s="44" t="str">
        <f ca="1">IF(AND(Tableau1[[#This Row],[Charge]]&lt;&gt;0, Tableau1[[#This Row],[Nombre intervenants]]&lt;&gt;0,Tableau1[[#This Row],[Lien document]]&lt;&gt;0,Tableau1[[#This Row],[DMS_SAP]]&lt;&gt;0)=TRUE,"MIS A JOUR","")</f>
        <v/>
      </c>
      <c r="AA659" s="48"/>
      <c r="AB659" s="58" t="str">
        <f ca="1">IF(Tableau1[[#This Row],[Date rév.]]&lt;&gt;"", DAYS360(Tableau1[[#This Row],[Date rév.]],TODAY()),"")</f>
        <v/>
      </c>
      <c r="AC659" s="47" t="str">
        <f>IFERROR(INDEX(Chemin_accès!$B$11:$C$22,MATCH(Tableau1[[#This Row],[Type]],Chemin_accès!$C$11:$C$22,0),1),Chemin_accès!$B$11)</f>
        <v>\\stjn.local\trimet\Btechnique\Commun\BT Maint SCELLEMENT\205 - Préventifs\Modèles préventif\GammeDMS_7.MSCT.xlsm</v>
      </c>
      <c r="AD659" s="47" t="str">
        <f>Chemin_accès!$B$8&amp;Tableau1[[#This Row],[Localisation / Classement]]&amp;"\"&amp;Tableau1[[#This Row],[Poste technique]]&amp;"_"&amp;Tableau1[[#This Row],[Plan Entretien]]&amp;".xlsm"</f>
        <v>\\stjn.local\trimet\Btechnique\Commun\BT Maint SCELLEMENT\205 - Préventifs\Gammes 7.MSCT PE Tool\\_.xlsm</v>
      </c>
    </row>
    <row r="660" spans="1:30" x14ac:dyDescent="0.3">
      <c r="A660" s="44" t="str">
        <f t="shared" ca="1" si="10"/>
        <v>7.MSCT</v>
      </c>
      <c r="B6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0" s="46"/>
      <c r="D660" s="44"/>
      <c r="E660" s="44"/>
      <c r="F660" s="47"/>
      <c r="G660" s="47"/>
      <c r="H660" s="50"/>
      <c r="I660" s="50"/>
      <c r="J660" s="50"/>
      <c r="K660" s="50"/>
      <c r="L660" s="46"/>
      <c r="M660" s="47"/>
      <c r="N660" s="46"/>
      <c r="O660" s="46"/>
      <c r="P660" s="47"/>
      <c r="Q660" s="46"/>
      <c r="R660" s="46"/>
      <c r="S660" s="48"/>
      <c r="T660" s="61" t="str">
        <f>IF(Tableau1[[#This Row],[DMS_SAP]]="","",HYPERLINK(Tableau1[[#This Row],[Chemin fichier source]],"X"))</f>
        <v/>
      </c>
      <c r="U660" s="61" t="str">
        <f>IF(Tableau1[[#This Row],[Date rév.]]="","",HYPERLINK(Tableau1[[#This Row],[Lien document]],"X"))</f>
        <v/>
      </c>
      <c r="V660" s="47"/>
      <c r="W660" s="49" t="str">
        <f ca="1">Chemin_accès!$B$2&amp;Tableau1[[#This Row],[Poste Responsable]]&amp;"\"&amp;Tableau1[[#This Row],[Localisation / Classement]]&amp;"\"&amp;Tableau1[[#This Row],[Poste technique]]&amp;"_"&amp;Tableau1[[#This Row],[Plan Entretien]]&amp;".pdf"</f>
        <v>\\stjn.local\trimet\Donnees_Projets\Dms Sap\Maintenance\PlanEntretien\7.MSCT\\_.pdf</v>
      </c>
      <c r="X660" s="47"/>
      <c r="Y660" s="47"/>
      <c r="Z660" s="44" t="str">
        <f ca="1">IF(AND(Tableau1[[#This Row],[Charge]]&lt;&gt;0, Tableau1[[#This Row],[Nombre intervenants]]&lt;&gt;0,Tableau1[[#This Row],[Lien document]]&lt;&gt;0,Tableau1[[#This Row],[DMS_SAP]]&lt;&gt;0)=TRUE,"MIS A JOUR","")</f>
        <v/>
      </c>
      <c r="AA660" s="48"/>
      <c r="AB660" s="58" t="str">
        <f ca="1">IF(Tableau1[[#This Row],[Date rév.]]&lt;&gt;"", DAYS360(Tableau1[[#This Row],[Date rév.]],TODAY()),"")</f>
        <v/>
      </c>
      <c r="AC660" s="47" t="str">
        <f>IFERROR(INDEX(Chemin_accès!$B$11:$C$22,MATCH(Tableau1[[#This Row],[Type]],Chemin_accès!$C$11:$C$22,0),1),Chemin_accès!$B$11)</f>
        <v>\\stjn.local\trimet\Btechnique\Commun\BT Maint SCELLEMENT\205 - Préventifs\Modèles préventif\GammeDMS_7.MSCT.xlsm</v>
      </c>
      <c r="AD660" s="47" t="str">
        <f>Chemin_accès!$B$8&amp;Tableau1[[#This Row],[Localisation / Classement]]&amp;"\"&amp;Tableau1[[#This Row],[Poste technique]]&amp;"_"&amp;Tableau1[[#This Row],[Plan Entretien]]&amp;".xlsm"</f>
        <v>\\stjn.local\trimet\Btechnique\Commun\BT Maint SCELLEMENT\205 - Préventifs\Gammes 7.MSCT PE Tool\\_.xlsm</v>
      </c>
    </row>
    <row r="661" spans="1:30" x14ac:dyDescent="0.3">
      <c r="A661" s="44" t="str">
        <f t="shared" ca="1" si="10"/>
        <v>7.MSCT</v>
      </c>
      <c r="B6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1" s="46"/>
      <c r="D661" s="44"/>
      <c r="E661" s="44"/>
      <c r="F661" s="47"/>
      <c r="G661" s="47"/>
      <c r="H661" s="50"/>
      <c r="I661" s="50"/>
      <c r="J661" s="50"/>
      <c r="K661" s="50"/>
      <c r="L661" s="46"/>
      <c r="M661" s="47"/>
      <c r="N661" s="46"/>
      <c r="O661" s="46"/>
      <c r="P661" s="47"/>
      <c r="Q661" s="46"/>
      <c r="R661" s="46"/>
      <c r="S661" s="48"/>
      <c r="T661" s="61" t="str">
        <f>IF(Tableau1[[#This Row],[DMS_SAP]]="","",HYPERLINK(Tableau1[[#This Row],[Chemin fichier source]],"X"))</f>
        <v/>
      </c>
      <c r="U661" s="61" t="str">
        <f>IF(Tableau1[[#This Row],[Date rév.]]="","",HYPERLINK(Tableau1[[#This Row],[Lien document]],"X"))</f>
        <v/>
      </c>
      <c r="V661" s="47"/>
      <c r="W661" s="49" t="str">
        <f ca="1">Chemin_accès!$B$2&amp;Tableau1[[#This Row],[Poste Responsable]]&amp;"\"&amp;Tableau1[[#This Row],[Localisation / Classement]]&amp;"\"&amp;Tableau1[[#This Row],[Poste technique]]&amp;"_"&amp;Tableau1[[#This Row],[Plan Entretien]]&amp;".pdf"</f>
        <v>\\stjn.local\trimet\Donnees_Projets\Dms Sap\Maintenance\PlanEntretien\7.MSCT\\_.pdf</v>
      </c>
      <c r="X661" s="47"/>
      <c r="Y661" s="47"/>
      <c r="Z661" s="44" t="str">
        <f ca="1">IF(AND(Tableau1[[#This Row],[Charge]]&lt;&gt;0, Tableau1[[#This Row],[Nombre intervenants]]&lt;&gt;0,Tableau1[[#This Row],[Lien document]]&lt;&gt;0,Tableau1[[#This Row],[DMS_SAP]]&lt;&gt;0)=TRUE,"MIS A JOUR","")</f>
        <v/>
      </c>
      <c r="AA661" s="48"/>
      <c r="AB661" s="58" t="str">
        <f ca="1">IF(Tableau1[[#This Row],[Date rév.]]&lt;&gt;"", DAYS360(Tableau1[[#This Row],[Date rév.]],TODAY()),"")</f>
        <v/>
      </c>
      <c r="AC661" s="47" t="str">
        <f>IFERROR(INDEX(Chemin_accès!$B$11:$C$22,MATCH(Tableau1[[#This Row],[Type]],Chemin_accès!$C$11:$C$22,0),1),Chemin_accès!$B$11)</f>
        <v>\\stjn.local\trimet\Btechnique\Commun\BT Maint SCELLEMENT\205 - Préventifs\Modèles préventif\GammeDMS_7.MSCT.xlsm</v>
      </c>
      <c r="AD661" s="47" t="str">
        <f>Chemin_accès!$B$8&amp;Tableau1[[#This Row],[Localisation / Classement]]&amp;"\"&amp;Tableau1[[#This Row],[Poste technique]]&amp;"_"&amp;Tableau1[[#This Row],[Plan Entretien]]&amp;".xlsm"</f>
        <v>\\stjn.local\trimet\Btechnique\Commun\BT Maint SCELLEMENT\205 - Préventifs\Gammes 7.MSCT PE Tool\\_.xlsm</v>
      </c>
    </row>
    <row r="662" spans="1:30" x14ac:dyDescent="0.3">
      <c r="A662" s="44" t="str">
        <f t="shared" ca="1" si="10"/>
        <v>7.MSCT</v>
      </c>
      <c r="B6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2" s="46"/>
      <c r="D662" s="44"/>
      <c r="E662" s="44"/>
      <c r="F662" s="47"/>
      <c r="G662" s="47"/>
      <c r="H662" s="50"/>
      <c r="I662" s="50"/>
      <c r="J662" s="50"/>
      <c r="K662" s="50"/>
      <c r="L662" s="46"/>
      <c r="M662" s="47"/>
      <c r="N662" s="46"/>
      <c r="O662" s="46"/>
      <c r="P662" s="47"/>
      <c r="Q662" s="46"/>
      <c r="R662" s="46"/>
      <c r="S662" s="48"/>
      <c r="T662" s="61" t="str">
        <f>IF(Tableau1[[#This Row],[DMS_SAP]]="","",HYPERLINK(Tableau1[[#This Row],[Chemin fichier source]],"X"))</f>
        <v/>
      </c>
      <c r="U662" s="61" t="str">
        <f>IF(Tableau1[[#This Row],[Date rév.]]="","",HYPERLINK(Tableau1[[#This Row],[Lien document]],"X"))</f>
        <v/>
      </c>
      <c r="V662" s="47"/>
      <c r="W662" s="49" t="str">
        <f ca="1">Chemin_accès!$B$2&amp;Tableau1[[#This Row],[Poste Responsable]]&amp;"\"&amp;Tableau1[[#This Row],[Localisation / Classement]]&amp;"\"&amp;Tableau1[[#This Row],[Poste technique]]&amp;"_"&amp;Tableau1[[#This Row],[Plan Entretien]]&amp;".pdf"</f>
        <v>\\stjn.local\trimet\Donnees_Projets\Dms Sap\Maintenance\PlanEntretien\7.MSCT\\_.pdf</v>
      </c>
      <c r="X662" s="47"/>
      <c r="Y662" s="47"/>
      <c r="Z662" s="44" t="str">
        <f ca="1">IF(AND(Tableau1[[#This Row],[Charge]]&lt;&gt;0, Tableau1[[#This Row],[Nombre intervenants]]&lt;&gt;0,Tableau1[[#This Row],[Lien document]]&lt;&gt;0,Tableau1[[#This Row],[DMS_SAP]]&lt;&gt;0)=TRUE,"MIS A JOUR","")</f>
        <v/>
      </c>
      <c r="AA662" s="48"/>
      <c r="AB662" s="58" t="str">
        <f ca="1">IF(Tableau1[[#This Row],[Date rév.]]&lt;&gt;"", DAYS360(Tableau1[[#This Row],[Date rév.]],TODAY()),"")</f>
        <v/>
      </c>
      <c r="AC662" s="47" t="str">
        <f>IFERROR(INDEX(Chemin_accès!$B$11:$C$22,MATCH(Tableau1[[#This Row],[Type]],Chemin_accès!$C$11:$C$22,0),1),Chemin_accès!$B$11)</f>
        <v>\\stjn.local\trimet\Btechnique\Commun\BT Maint SCELLEMENT\205 - Préventifs\Modèles préventif\GammeDMS_7.MSCT.xlsm</v>
      </c>
      <c r="AD662" s="47" t="str">
        <f>Chemin_accès!$B$8&amp;Tableau1[[#This Row],[Localisation / Classement]]&amp;"\"&amp;Tableau1[[#This Row],[Poste technique]]&amp;"_"&amp;Tableau1[[#This Row],[Plan Entretien]]&amp;".xlsm"</f>
        <v>\\stjn.local\trimet\Btechnique\Commun\BT Maint SCELLEMENT\205 - Préventifs\Gammes 7.MSCT PE Tool\\_.xlsm</v>
      </c>
    </row>
    <row r="663" spans="1:30" x14ac:dyDescent="0.3">
      <c r="A663" s="44" t="str">
        <f t="shared" ca="1" si="10"/>
        <v>7.MSCT</v>
      </c>
      <c r="B6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3" s="46"/>
      <c r="D663" s="44"/>
      <c r="E663" s="44"/>
      <c r="F663" s="47"/>
      <c r="G663" s="47"/>
      <c r="H663" s="50"/>
      <c r="I663" s="50"/>
      <c r="J663" s="50"/>
      <c r="K663" s="50"/>
      <c r="L663" s="46"/>
      <c r="M663" s="47"/>
      <c r="N663" s="46"/>
      <c r="O663" s="46"/>
      <c r="P663" s="47"/>
      <c r="Q663" s="46"/>
      <c r="R663" s="46"/>
      <c r="S663" s="48"/>
      <c r="T663" s="61" t="str">
        <f>IF(Tableau1[[#This Row],[DMS_SAP]]="","",HYPERLINK(Tableau1[[#This Row],[Chemin fichier source]],"X"))</f>
        <v/>
      </c>
      <c r="U663" s="61" t="str">
        <f>IF(Tableau1[[#This Row],[Date rév.]]="","",HYPERLINK(Tableau1[[#This Row],[Lien document]],"X"))</f>
        <v/>
      </c>
      <c r="V663" s="47"/>
      <c r="W663" s="49" t="str">
        <f ca="1">Chemin_accès!$B$2&amp;Tableau1[[#This Row],[Poste Responsable]]&amp;"\"&amp;Tableau1[[#This Row],[Localisation / Classement]]&amp;"\"&amp;Tableau1[[#This Row],[Poste technique]]&amp;"_"&amp;Tableau1[[#This Row],[Plan Entretien]]&amp;".pdf"</f>
        <v>\\stjn.local\trimet\Donnees_Projets\Dms Sap\Maintenance\PlanEntretien\7.MSCT\\_.pdf</v>
      </c>
      <c r="X663" s="47"/>
      <c r="Y663" s="47"/>
      <c r="Z663" s="44" t="str">
        <f ca="1">IF(AND(Tableau1[[#This Row],[Charge]]&lt;&gt;0, Tableau1[[#This Row],[Nombre intervenants]]&lt;&gt;0,Tableau1[[#This Row],[Lien document]]&lt;&gt;0,Tableau1[[#This Row],[DMS_SAP]]&lt;&gt;0)=TRUE,"MIS A JOUR","")</f>
        <v/>
      </c>
      <c r="AA663" s="48"/>
      <c r="AB663" s="58" t="str">
        <f ca="1">IF(Tableau1[[#This Row],[Date rév.]]&lt;&gt;"", DAYS360(Tableau1[[#This Row],[Date rév.]],TODAY()),"")</f>
        <v/>
      </c>
      <c r="AC663" s="47" t="str">
        <f>IFERROR(INDEX(Chemin_accès!$B$11:$C$22,MATCH(Tableau1[[#This Row],[Type]],Chemin_accès!$C$11:$C$22,0),1),Chemin_accès!$B$11)</f>
        <v>\\stjn.local\trimet\Btechnique\Commun\BT Maint SCELLEMENT\205 - Préventifs\Modèles préventif\GammeDMS_7.MSCT.xlsm</v>
      </c>
      <c r="AD663" s="47" t="str">
        <f>Chemin_accès!$B$8&amp;Tableau1[[#This Row],[Localisation / Classement]]&amp;"\"&amp;Tableau1[[#This Row],[Poste technique]]&amp;"_"&amp;Tableau1[[#This Row],[Plan Entretien]]&amp;".xlsm"</f>
        <v>\\stjn.local\trimet\Btechnique\Commun\BT Maint SCELLEMENT\205 - Préventifs\Gammes 7.MSCT PE Tool\\_.xlsm</v>
      </c>
    </row>
    <row r="664" spans="1:30" x14ac:dyDescent="0.3">
      <c r="A664" s="44" t="str">
        <f t="shared" ca="1" si="10"/>
        <v>7.MSCT</v>
      </c>
      <c r="B6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4" s="46"/>
      <c r="D664" s="44"/>
      <c r="E664" s="44"/>
      <c r="F664" s="47"/>
      <c r="G664" s="47"/>
      <c r="H664" s="50"/>
      <c r="I664" s="50"/>
      <c r="J664" s="50"/>
      <c r="K664" s="50"/>
      <c r="L664" s="46"/>
      <c r="M664" s="47"/>
      <c r="N664" s="46"/>
      <c r="O664" s="46"/>
      <c r="P664" s="47"/>
      <c r="Q664" s="46"/>
      <c r="R664" s="46"/>
      <c r="S664" s="48"/>
      <c r="T664" s="61" t="str">
        <f>IF(Tableau1[[#This Row],[DMS_SAP]]="","",HYPERLINK(Tableau1[[#This Row],[Chemin fichier source]],"X"))</f>
        <v/>
      </c>
      <c r="U664" s="61" t="str">
        <f>IF(Tableau1[[#This Row],[Date rév.]]="","",HYPERLINK(Tableau1[[#This Row],[Lien document]],"X"))</f>
        <v/>
      </c>
      <c r="V664" s="47"/>
      <c r="W664" s="49" t="str">
        <f ca="1">Chemin_accès!$B$2&amp;Tableau1[[#This Row],[Poste Responsable]]&amp;"\"&amp;Tableau1[[#This Row],[Localisation / Classement]]&amp;"\"&amp;Tableau1[[#This Row],[Poste technique]]&amp;"_"&amp;Tableau1[[#This Row],[Plan Entretien]]&amp;".pdf"</f>
        <v>\\stjn.local\trimet\Donnees_Projets\Dms Sap\Maintenance\PlanEntretien\7.MSCT\\_.pdf</v>
      </c>
      <c r="X664" s="47"/>
      <c r="Y664" s="47"/>
      <c r="Z664" s="44" t="str">
        <f ca="1">IF(AND(Tableau1[[#This Row],[Charge]]&lt;&gt;0, Tableau1[[#This Row],[Nombre intervenants]]&lt;&gt;0,Tableau1[[#This Row],[Lien document]]&lt;&gt;0,Tableau1[[#This Row],[DMS_SAP]]&lt;&gt;0)=TRUE,"MIS A JOUR","")</f>
        <v/>
      </c>
      <c r="AA664" s="48"/>
      <c r="AB664" s="58" t="str">
        <f ca="1">IF(Tableau1[[#This Row],[Date rév.]]&lt;&gt;"", DAYS360(Tableau1[[#This Row],[Date rév.]],TODAY()),"")</f>
        <v/>
      </c>
      <c r="AC664" s="47" t="str">
        <f>IFERROR(INDEX(Chemin_accès!$B$11:$C$22,MATCH(Tableau1[[#This Row],[Type]],Chemin_accès!$C$11:$C$22,0),1),Chemin_accès!$B$11)</f>
        <v>\\stjn.local\trimet\Btechnique\Commun\BT Maint SCELLEMENT\205 - Préventifs\Modèles préventif\GammeDMS_7.MSCT.xlsm</v>
      </c>
      <c r="AD664" s="47" t="str">
        <f>Chemin_accès!$B$8&amp;Tableau1[[#This Row],[Localisation / Classement]]&amp;"\"&amp;Tableau1[[#This Row],[Poste technique]]&amp;"_"&amp;Tableau1[[#This Row],[Plan Entretien]]&amp;".xlsm"</f>
        <v>\\stjn.local\trimet\Btechnique\Commun\BT Maint SCELLEMENT\205 - Préventifs\Gammes 7.MSCT PE Tool\\_.xlsm</v>
      </c>
    </row>
    <row r="665" spans="1:30" x14ac:dyDescent="0.3">
      <c r="A665" s="44" t="str">
        <f t="shared" ca="1" si="10"/>
        <v>7.MSCT</v>
      </c>
      <c r="B6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5" s="46"/>
      <c r="D665" s="44"/>
      <c r="E665" s="44"/>
      <c r="F665" s="47"/>
      <c r="G665" s="47"/>
      <c r="H665" s="50"/>
      <c r="I665" s="50"/>
      <c r="J665" s="50"/>
      <c r="K665" s="50"/>
      <c r="L665" s="46"/>
      <c r="M665" s="47"/>
      <c r="N665" s="46"/>
      <c r="O665" s="46"/>
      <c r="P665" s="47"/>
      <c r="Q665" s="46"/>
      <c r="R665" s="46"/>
      <c r="S665" s="48"/>
      <c r="T665" s="61" t="str">
        <f>IF(Tableau1[[#This Row],[DMS_SAP]]="","",HYPERLINK(Tableau1[[#This Row],[Chemin fichier source]],"X"))</f>
        <v/>
      </c>
      <c r="U665" s="61" t="str">
        <f>IF(Tableau1[[#This Row],[Date rév.]]="","",HYPERLINK(Tableau1[[#This Row],[Lien document]],"X"))</f>
        <v/>
      </c>
      <c r="V665" s="47"/>
      <c r="W665" s="49" t="str">
        <f ca="1">Chemin_accès!$B$2&amp;Tableau1[[#This Row],[Poste Responsable]]&amp;"\"&amp;Tableau1[[#This Row],[Localisation / Classement]]&amp;"\"&amp;Tableau1[[#This Row],[Poste technique]]&amp;"_"&amp;Tableau1[[#This Row],[Plan Entretien]]&amp;".pdf"</f>
        <v>\\stjn.local\trimet\Donnees_Projets\Dms Sap\Maintenance\PlanEntretien\7.MSCT\\_.pdf</v>
      </c>
      <c r="X665" s="47"/>
      <c r="Y665" s="47"/>
      <c r="Z665" s="44" t="str">
        <f ca="1">IF(AND(Tableau1[[#This Row],[Charge]]&lt;&gt;0, Tableau1[[#This Row],[Nombre intervenants]]&lt;&gt;0,Tableau1[[#This Row],[Lien document]]&lt;&gt;0,Tableau1[[#This Row],[DMS_SAP]]&lt;&gt;0)=TRUE,"MIS A JOUR","")</f>
        <v/>
      </c>
      <c r="AA665" s="48"/>
      <c r="AB665" s="58" t="str">
        <f ca="1">IF(Tableau1[[#This Row],[Date rév.]]&lt;&gt;"", DAYS360(Tableau1[[#This Row],[Date rév.]],TODAY()),"")</f>
        <v/>
      </c>
      <c r="AC665" s="47" t="str">
        <f>IFERROR(INDEX(Chemin_accès!$B$11:$C$22,MATCH(Tableau1[[#This Row],[Type]],Chemin_accès!$C$11:$C$22,0),1),Chemin_accès!$B$11)</f>
        <v>\\stjn.local\trimet\Btechnique\Commun\BT Maint SCELLEMENT\205 - Préventifs\Modèles préventif\GammeDMS_7.MSCT.xlsm</v>
      </c>
      <c r="AD665" s="47" t="str">
        <f>Chemin_accès!$B$8&amp;Tableau1[[#This Row],[Localisation / Classement]]&amp;"\"&amp;Tableau1[[#This Row],[Poste technique]]&amp;"_"&amp;Tableau1[[#This Row],[Plan Entretien]]&amp;".xlsm"</f>
        <v>\\stjn.local\trimet\Btechnique\Commun\BT Maint SCELLEMENT\205 - Préventifs\Gammes 7.MSCT PE Tool\\_.xlsm</v>
      </c>
    </row>
    <row r="666" spans="1:30" x14ac:dyDescent="0.3">
      <c r="A666" s="44" t="str">
        <f t="shared" ca="1" si="10"/>
        <v>7.MSCT</v>
      </c>
      <c r="B6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6" s="46"/>
      <c r="D666" s="44"/>
      <c r="E666" s="44"/>
      <c r="F666" s="47"/>
      <c r="G666" s="47"/>
      <c r="H666" s="50"/>
      <c r="I666" s="50"/>
      <c r="J666" s="50"/>
      <c r="K666" s="50"/>
      <c r="L666" s="46"/>
      <c r="M666" s="47"/>
      <c r="N666" s="46"/>
      <c r="O666" s="46"/>
      <c r="P666" s="47"/>
      <c r="Q666" s="46"/>
      <c r="R666" s="46"/>
      <c r="S666" s="48"/>
      <c r="T666" s="61" t="str">
        <f>IF(Tableau1[[#This Row],[DMS_SAP]]="","",HYPERLINK(Tableau1[[#This Row],[Chemin fichier source]],"X"))</f>
        <v/>
      </c>
      <c r="U666" s="61" t="str">
        <f>IF(Tableau1[[#This Row],[Date rév.]]="","",HYPERLINK(Tableau1[[#This Row],[Lien document]],"X"))</f>
        <v/>
      </c>
      <c r="V666" s="47"/>
      <c r="W666" s="49" t="str">
        <f ca="1">Chemin_accès!$B$2&amp;Tableau1[[#This Row],[Poste Responsable]]&amp;"\"&amp;Tableau1[[#This Row],[Localisation / Classement]]&amp;"\"&amp;Tableau1[[#This Row],[Poste technique]]&amp;"_"&amp;Tableau1[[#This Row],[Plan Entretien]]&amp;".pdf"</f>
        <v>\\stjn.local\trimet\Donnees_Projets\Dms Sap\Maintenance\PlanEntretien\7.MSCT\\_.pdf</v>
      </c>
      <c r="X666" s="47"/>
      <c r="Y666" s="47"/>
      <c r="Z666" s="44" t="str">
        <f ca="1">IF(AND(Tableau1[[#This Row],[Charge]]&lt;&gt;0, Tableau1[[#This Row],[Nombre intervenants]]&lt;&gt;0,Tableau1[[#This Row],[Lien document]]&lt;&gt;0,Tableau1[[#This Row],[DMS_SAP]]&lt;&gt;0)=TRUE,"MIS A JOUR","")</f>
        <v/>
      </c>
      <c r="AA666" s="48"/>
      <c r="AB666" s="58" t="str">
        <f ca="1">IF(Tableau1[[#This Row],[Date rév.]]&lt;&gt;"", DAYS360(Tableau1[[#This Row],[Date rév.]],TODAY()),"")</f>
        <v/>
      </c>
      <c r="AC666" s="47" t="str">
        <f>IFERROR(INDEX(Chemin_accès!$B$11:$C$22,MATCH(Tableau1[[#This Row],[Type]],Chemin_accès!$C$11:$C$22,0),1),Chemin_accès!$B$11)</f>
        <v>\\stjn.local\trimet\Btechnique\Commun\BT Maint SCELLEMENT\205 - Préventifs\Modèles préventif\GammeDMS_7.MSCT.xlsm</v>
      </c>
      <c r="AD666" s="47" t="str">
        <f>Chemin_accès!$B$8&amp;Tableau1[[#This Row],[Localisation / Classement]]&amp;"\"&amp;Tableau1[[#This Row],[Poste technique]]&amp;"_"&amp;Tableau1[[#This Row],[Plan Entretien]]&amp;".xlsm"</f>
        <v>\\stjn.local\trimet\Btechnique\Commun\BT Maint SCELLEMENT\205 - Préventifs\Gammes 7.MSCT PE Tool\\_.xlsm</v>
      </c>
    </row>
    <row r="667" spans="1:30" x14ac:dyDescent="0.3">
      <c r="A667" s="44" t="str">
        <f t="shared" ca="1" si="10"/>
        <v>7.MSCT</v>
      </c>
      <c r="B6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7" s="46"/>
      <c r="D667" s="44"/>
      <c r="E667" s="44"/>
      <c r="F667" s="47"/>
      <c r="G667" s="47"/>
      <c r="H667" s="50"/>
      <c r="I667" s="50"/>
      <c r="J667" s="50"/>
      <c r="K667" s="50"/>
      <c r="L667" s="46"/>
      <c r="M667" s="47"/>
      <c r="N667" s="46"/>
      <c r="O667" s="46"/>
      <c r="P667" s="47"/>
      <c r="Q667" s="46"/>
      <c r="R667" s="46"/>
      <c r="S667" s="48"/>
      <c r="T667" s="61" t="str">
        <f>IF(Tableau1[[#This Row],[DMS_SAP]]="","",HYPERLINK(Tableau1[[#This Row],[Chemin fichier source]],"X"))</f>
        <v/>
      </c>
      <c r="U667" s="61" t="str">
        <f>IF(Tableau1[[#This Row],[Date rév.]]="","",HYPERLINK(Tableau1[[#This Row],[Lien document]],"X"))</f>
        <v/>
      </c>
      <c r="V667" s="47"/>
      <c r="W667" s="49" t="str">
        <f ca="1">Chemin_accès!$B$2&amp;Tableau1[[#This Row],[Poste Responsable]]&amp;"\"&amp;Tableau1[[#This Row],[Localisation / Classement]]&amp;"\"&amp;Tableau1[[#This Row],[Poste technique]]&amp;"_"&amp;Tableau1[[#This Row],[Plan Entretien]]&amp;".pdf"</f>
        <v>\\stjn.local\trimet\Donnees_Projets\Dms Sap\Maintenance\PlanEntretien\7.MSCT\\_.pdf</v>
      </c>
      <c r="X667" s="47"/>
      <c r="Y667" s="47"/>
      <c r="Z667" s="44" t="str">
        <f ca="1">IF(AND(Tableau1[[#This Row],[Charge]]&lt;&gt;0, Tableau1[[#This Row],[Nombre intervenants]]&lt;&gt;0,Tableau1[[#This Row],[Lien document]]&lt;&gt;0,Tableau1[[#This Row],[DMS_SAP]]&lt;&gt;0)=TRUE,"MIS A JOUR","")</f>
        <v/>
      </c>
      <c r="AA667" s="48"/>
      <c r="AB667" s="58" t="str">
        <f ca="1">IF(Tableau1[[#This Row],[Date rév.]]&lt;&gt;"", DAYS360(Tableau1[[#This Row],[Date rév.]],TODAY()),"")</f>
        <v/>
      </c>
      <c r="AC667" s="47" t="str">
        <f>IFERROR(INDEX(Chemin_accès!$B$11:$C$22,MATCH(Tableau1[[#This Row],[Type]],Chemin_accès!$C$11:$C$22,0),1),Chemin_accès!$B$11)</f>
        <v>\\stjn.local\trimet\Btechnique\Commun\BT Maint SCELLEMENT\205 - Préventifs\Modèles préventif\GammeDMS_7.MSCT.xlsm</v>
      </c>
      <c r="AD667" s="47" t="str">
        <f>Chemin_accès!$B$8&amp;Tableau1[[#This Row],[Localisation / Classement]]&amp;"\"&amp;Tableau1[[#This Row],[Poste technique]]&amp;"_"&amp;Tableau1[[#This Row],[Plan Entretien]]&amp;".xlsm"</f>
        <v>\\stjn.local\trimet\Btechnique\Commun\BT Maint SCELLEMENT\205 - Préventifs\Gammes 7.MSCT PE Tool\\_.xlsm</v>
      </c>
    </row>
    <row r="668" spans="1:30" x14ac:dyDescent="0.3">
      <c r="A668" s="44" t="str">
        <f t="shared" ca="1" si="10"/>
        <v>7.MSCT</v>
      </c>
      <c r="B6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8" s="46"/>
      <c r="D668" s="44"/>
      <c r="E668" s="44"/>
      <c r="F668" s="47"/>
      <c r="G668" s="47"/>
      <c r="H668" s="50"/>
      <c r="I668" s="50"/>
      <c r="J668" s="50"/>
      <c r="K668" s="50"/>
      <c r="L668" s="46"/>
      <c r="M668" s="47"/>
      <c r="N668" s="46"/>
      <c r="O668" s="46"/>
      <c r="P668" s="47"/>
      <c r="Q668" s="46"/>
      <c r="R668" s="46"/>
      <c r="S668" s="48"/>
      <c r="T668" s="61" t="str">
        <f>IF(Tableau1[[#This Row],[DMS_SAP]]="","",HYPERLINK(Tableau1[[#This Row],[Chemin fichier source]],"X"))</f>
        <v/>
      </c>
      <c r="U668" s="61" t="str">
        <f>IF(Tableau1[[#This Row],[Date rév.]]="","",HYPERLINK(Tableau1[[#This Row],[Lien document]],"X"))</f>
        <v/>
      </c>
      <c r="V668" s="47"/>
      <c r="W668" s="49" t="str">
        <f ca="1">Chemin_accès!$B$2&amp;Tableau1[[#This Row],[Poste Responsable]]&amp;"\"&amp;Tableau1[[#This Row],[Localisation / Classement]]&amp;"\"&amp;Tableau1[[#This Row],[Poste technique]]&amp;"_"&amp;Tableau1[[#This Row],[Plan Entretien]]&amp;".pdf"</f>
        <v>\\stjn.local\trimet\Donnees_Projets\Dms Sap\Maintenance\PlanEntretien\7.MSCT\\_.pdf</v>
      </c>
      <c r="X668" s="47"/>
      <c r="Y668" s="47"/>
      <c r="Z668" s="44" t="str">
        <f ca="1">IF(AND(Tableau1[[#This Row],[Charge]]&lt;&gt;0, Tableau1[[#This Row],[Nombre intervenants]]&lt;&gt;0,Tableau1[[#This Row],[Lien document]]&lt;&gt;0,Tableau1[[#This Row],[DMS_SAP]]&lt;&gt;0)=TRUE,"MIS A JOUR","")</f>
        <v/>
      </c>
      <c r="AA668" s="48"/>
      <c r="AB668" s="58" t="str">
        <f ca="1">IF(Tableau1[[#This Row],[Date rév.]]&lt;&gt;"", DAYS360(Tableau1[[#This Row],[Date rév.]],TODAY()),"")</f>
        <v/>
      </c>
      <c r="AC668" s="47" t="str">
        <f>IFERROR(INDEX(Chemin_accès!$B$11:$C$22,MATCH(Tableau1[[#This Row],[Type]],Chemin_accès!$C$11:$C$22,0),1),Chemin_accès!$B$11)</f>
        <v>\\stjn.local\trimet\Btechnique\Commun\BT Maint SCELLEMENT\205 - Préventifs\Modèles préventif\GammeDMS_7.MSCT.xlsm</v>
      </c>
      <c r="AD668" s="47" t="str">
        <f>Chemin_accès!$B$8&amp;Tableau1[[#This Row],[Localisation / Classement]]&amp;"\"&amp;Tableau1[[#This Row],[Poste technique]]&amp;"_"&amp;Tableau1[[#This Row],[Plan Entretien]]&amp;".xlsm"</f>
        <v>\\stjn.local\trimet\Btechnique\Commun\BT Maint SCELLEMENT\205 - Préventifs\Gammes 7.MSCT PE Tool\\_.xlsm</v>
      </c>
    </row>
    <row r="669" spans="1:30" x14ac:dyDescent="0.3">
      <c r="A669" s="44" t="str">
        <f t="shared" ca="1" si="10"/>
        <v>7.MSCT</v>
      </c>
      <c r="B6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9" s="46"/>
      <c r="D669" s="44"/>
      <c r="E669" s="44"/>
      <c r="F669" s="47"/>
      <c r="G669" s="47"/>
      <c r="H669" s="50"/>
      <c r="I669" s="50"/>
      <c r="J669" s="50"/>
      <c r="K669" s="50"/>
      <c r="L669" s="46"/>
      <c r="M669" s="47"/>
      <c r="N669" s="46"/>
      <c r="O669" s="46"/>
      <c r="P669" s="47"/>
      <c r="Q669" s="46"/>
      <c r="R669" s="46"/>
      <c r="S669" s="48"/>
      <c r="T669" s="61" t="str">
        <f>IF(Tableau1[[#This Row],[DMS_SAP]]="","",HYPERLINK(Tableau1[[#This Row],[Chemin fichier source]],"X"))</f>
        <v/>
      </c>
      <c r="U669" s="61" t="str">
        <f>IF(Tableau1[[#This Row],[Date rév.]]="","",HYPERLINK(Tableau1[[#This Row],[Lien document]],"X"))</f>
        <v/>
      </c>
      <c r="V669" s="47"/>
      <c r="W669" s="49" t="str">
        <f ca="1">Chemin_accès!$B$2&amp;Tableau1[[#This Row],[Poste Responsable]]&amp;"\"&amp;Tableau1[[#This Row],[Localisation / Classement]]&amp;"\"&amp;Tableau1[[#This Row],[Poste technique]]&amp;"_"&amp;Tableau1[[#This Row],[Plan Entretien]]&amp;".pdf"</f>
        <v>\\stjn.local\trimet\Donnees_Projets\Dms Sap\Maintenance\PlanEntretien\7.MSCT\\_.pdf</v>
      </c>
      <c r="X669" s="47"/>
      <c r="Y669" s="47"/>
      <c r="Z669" s="44" t="str">
        <f ca="1">IF(AND(Tableau1[[#This Row],[Charge]]&lt;&gt;0, Tableau1[[#This Row],[Nombre intervenants]]&lt;&gt;0,Tableau1[[#This Row],[Lien document]]&lt;&gt;0,Tableau1[[#This Row],[DMS_SAP]]&lt;&gt;0)=TRUE,"MIS A JOUR","")</f>
        <v/>
      </c>
      <c r="AA669" s="48"/>
      <c r="AB669" s="58" t="str">
        <f ca="1">IF(Tableau1[[#This Row],[Date rév.]]&lt;&gt;"", DAYS360(Tableau1[[#This Row],[Date rév.]],TODAY()),"")</f>
        <v/>
      </c>
      <c r="AC669" s="47" t="str">
        <f>IFERROR(INDEX(Chemin_accès!$B$11:$C$22,MATCH(Tableau1[[#This Row],[Type]],Chemin_accès!$C$11:$C$22,0),1),Chemin_accès!$B$11)</f>
        <v>\\stjn.local\trimet\Btechnique\Commun\BT Maint SCELLEMENT\205 - Préventifs\Modèles préventif\GammeDMS_7.MSCT.xlsm</v>
      </c>
      <c r="AD669" s="47" t="str">
        <f>Chemin_accès!$B$8&amp;Tableau1[[#This Row],[Localisation / Classement]]&amp;"\"&amp;Tableau1[[#This Row],[Poste technique]]&amp;"_"&amp;Tableau1[[#This Row],[Plan Entretien]]&amp;".xlsm"</f>
        <v>\\stjn.local\trimet\Btechnique\Commun\BT Maint SCELLEMENT\205 - Préventifs\Gammes 7.MSCT PE Tool\\_.xlsm</v>
      </c>
    </row>
    <row r="670" spans="1:30" x14ac:dyDescent="0.3">
      <c r="A670" s="44" t="str">
        <f t="shared" ca="1" si="10"/>
        <v>7.MSCT</v>
      </c>
      <c r="B6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0" s="46"/>
      <c r="D670" s="44"/>
      <c r="E670" s="44"/>
      <c r="F670" s="47"/>
      <c r="G670" s="47"/>
      <c r="H670" s="50"/>
      <c r="I670" s="50"/>
      <c r="J670" s="50"/>
      <c r="K670" s="50"/>
      <c r="L670" s="46"/>
      <c r="M670" s="47"/>
      <c r="N670" s="46"/>
      <c r="O670" s="46"/>
      <c r="P670" s="47"/>
      <c r="Q670" s="46"/>
      <c r="R670" s="46"/>
      <c r="S670" s="48"/>
      <c r="T670" s="61" t="str">
        <f>IF(Tableau1[[#This Row],[DMS_SAP]]="","",HYPERLINK(Tableau1[[#This Row],[Chemin fichier source]],"X"))</f>
        <v/>
      </c>
      <c r="U670" s="61" t="str">
        <f>IF(Tableau1[[#This Row],[Date rév.]]="","",HYPERLINK(Tableau1[[#This Row],[Lien document]],"X"))</f>
        <v/>
      </c>
      <c r="V670" s="47"/>
      <c r="W670" s="49" t="str">
        <f ca="1">Chemin_accès!$B$2&amp;Tableau1[[#This Row],[Poste Responsable]]&amp;"\"&amp;Tableau1[[#This Row],[Localisation / Classement]]&amp;"\"&amp;Tableau1[[#This Row],[Poste technique]]&amp;"_"&amp;Tableau1[[#This Row],[Plan Entretien]]&amp;".pdf"</f>
        <v>\\stjn.local\trimet\Donnees_Projets\Dms Sap\Maintenance\PlanEntretien\7.MSCT\\_.pdf</v>
      </c>
      <c r="X670" s="47"/>
      <c r="Y670" s="47"/>
      <c r="Z670" s="44" t="str">
        <f ca="1">IF(AND(Tableau1[[#This Row],[Charge]]&lt;&gt;0, Tableau1[[#This Row],[Nombre intervenants]]&lt;&gt;0,Tableau1[[#This Row],[Lien document]]&lt;&gt;0,Tableau1[[#This Row],[DMS_SAP]]&lt;&gt;0)=TRUE,"MIS A JOUR","")</f>
        <v/>
      </c>
      <c r="AA670" s="48"/>
      <c r="AB670" s="58" t="str">
        <f ca="1">IF(Tableau1[[#This Row],[Date rév.]]&lt;&gt;"", DAYS360(Tableau1[[#This Row],[Date rév.]],TODAY()),"")</f>
        <v/>
      </c>
      <c r="AC670" s="47" t="str">
        <f>IFERROR(INDEX(Chemin_accès!$B$11:$C$22,MATCH(Tableau1[[#This Row],[Type]],Chemin_accès!$C$11:$C$22,0),1),Chemin_accès!$B$11)</f>
        <v>\\stjn.local\trimet\Btechnique\Commun\BT Maint SCELLEMENT\205 - Préventifs\Modèles préventif\GammeDMS_7.MSCT.xlsm</v>
      </c>
      <c r="AD670" s="47" t="str">
        <f>Chemin_accès!$B$8&amp;Tableau1[[#This Row],[Localisation / Classement]]&amp;"\"&amp;Tableau1[[#This Row],[Poste technique]]&amp;"_"&amp;Tableau1[[#This Row],[Plan Entretien]]&amp;".xlsm"</f>
        <v>\\stjn.local\trimet\Btechnique\Commun\BT Maint SCELLEMENT\205 - Préventifs\Gammes 7.MSCT PE Tool\\_.xlsm</v>
      </c>
    </row>
    <row r="671" spans="1:30" x14ac:dyDescent="0.3">
      <c r="A671" s="44" t="str">
        <f t="shared" ca="1" si="10"/>
        <v>7.MSCT</v>
      </c>
      <c r="B6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1" s="46"/>
      <c r="D671" s="44"/>
      <c r="E671" s="44"/>
      <c r="F671" s="47"/>
      <c r="G671" s="47"/>
      <c r="H671" s="50"/>
      <c r="I671" s="50"/>
      <c r="J671" s="50"/>
      <c r="K671" s="50"/>
      <c r="L671" s="46"/>
      <c r="M671" s="47"/>
      <c r="N671" s="46"/>
      <c r="O671" s="46"/>
      <c r="P671" s="47"/>
      <c r="Q671" s="46"/>
      <c r="R671" s="46"/>
      <c r="S671" s="48"/>
      <c r="T671" s="61" t="str">
        <f>IF(Tableau1[[#This Row],[DMS_SAP]]="","",HYPERLINK(Tableau1[[#This Row],[Chemin fichier source]],"X"))</f>
        <v/>
      </c>
      <c r="U671" s="61" t="str">
        <f>IF(Tableau1[[#This Row],[Date rév.]]="","",HYPERLINK(Tableau1[[#This Row],[Lien document]],"X"))</f>
        <v/>
      </c>
      <c r="V671" s="47"/>
      <c r="W671" s="49" t="str">
        <f ca="1">Chemin_accès!$B$2&amp;Tableau1[[#This Row],[Poste Responsable]]&amp;"\"&amp;Tableau1[[#This Row],[Localisation / Classement]]&amp;"\"&amp;Tableau1[[#This Row],[Poste technique]]&amp;"_"&amp;Tableau1[[#This Row],[Plan Entretien]]&amp;".pdf"</f>
        <v>\\stjn.local\trimet\Donnees_Projets\Dms Sap\Maintenance\PlanEntretien\7.MSCT\\_.pdf</v>
      </c>
      <c r="X671" s="47"/>
      <c r="Y671" s="47"/>
      <c r="Z671" s="44" t="str">
        <f ca="1">IF(AND(Tableau1[[#This Row],[Charge]]&lt;&gt;0, Tableau1[[#This Row],[Nombre intervenants]]&lt;&gt;0,Tableau1[[#This Row],[Lien document]]&lt;&gt;0,Tableau1[[#This Row],[DMS_SAP]]&lt;&gt;0)=TRUE,"MIS A JOUR","")</f>
        <v/>
      </c>
      <c r="AA671" s="48"/>
      <c r="AB671" s="58" t="str">
        <f ca="1">IF(Tableau1[[#This Row],[Date rév.]]&lt;&gt;"", DAYS360(Tableau1[[#This Row],[Date rév.]],TODAY()),"")</f>
        <v/>
      </c>
      <c r="AC671" s="47" t="str">
        <f>IFERROR(INDEX(Chemin_accès!$B$11:$C$22,MATCH(Tableau1[[#This Row],[Type]],Chemin_accès!$C$11:$C$22,0),1),Chemin_accès!$B$11)</f>
        <v>\\stjn.local\trimet\Btechnique\Commun\BT Maint SCELLEMENT\205 - Préventifs\Modèles préventif\GammeDMS_7.MSCT.xlsm</v>
      </c>
      <c r="AD671" s="47" t="str">
        <f>Chemin_accès!$B$8&amp;Tableau1[[#This Row],[Localisation / Classement]]&amp;"\"&amp;Tableau1[[#This Row],[Poste technique]]&amp;"_"&amp;Tableau1[[#This Row],[Plan Entretien]]&amp;".xlsm"</f>
        <v>\\stjn.local\trimet\Btechnique\Commun\BT Maint SCELLEMENT\205 - Préventifs\Gammes 7.MSCT PE Tool\\_.xlsm</v>
      </c>
    </row>
    <row r="672" spans="1:30" x14ac:dyDescent="0.3">
      <c r="A672" s="44" t="str">
        <f t="shared" ca="1" si="10"/>
        <v>7.MSCT</v>
      </c>
      <c r="B6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2" s="46"/>
      <c r="D672" s="44"/>
      <c r="E672" s="44"/>
      <c r="F672" s="47"/>
      <c r="G672" s="47"/>
      <c r="H672" s="50"/>
      <c r="I672" s="50"/>
      <c r="J672" s="50"/>
      <c r="K672" s="50"/>
      <c r="L672" s="46"/>
      <c r="M672" s="47"/>
      <c r="N672" s="46"/>
      <c r="O672" s="46"/>
      <c r="P672" s="47"/>
      <c r="Q672" s="46"/>
      <c r="R672" s="46"/>
      <c r="S672" s="48"/>
      <c r="T672" s="61" t="str">
        <f>IF(Tableau1[[#This Row],[DMS_SAP]]="","",HYPERLINK(Tableau1[[#This Row],[Chemin fichier source]],"X"))</f>
        <v/>
      </c>
      <c r="U672" s="61" t="str">
        <f>IF(Tableau1[[#This Row],[Date rév.]]="","",HYPERLINK(Tableau1[[#This Row],[Lien document]],"X"))</f>
        <v/>
      </c>
      <c r="V672" s="47"/>
      <c r="W672" s="49" t="str">
        <f ca="1">Chemin_accès!$B$2&amp;Tableau1[[#This Row],[Poste Responsable]]&amp;"\"&amp;Tableau1[[#This Row],[Localisation / Classement]]&amp;"\"&amp;Tableau1[[#This Row],[Poste technique]]&amp;"_"&amp;Tableau1[[#This Row],[Plan Entretien]]&amp;".pdf"</f>
        <v>\\stjn.local\trimet\Donnees_Projets\Dms Sap\Maintenance\PlanEntretien\7.MSCT\\_.pdf</v>
      </c>
      <c r="X672" s="47"/>
      <c r="Y672" s="47"/>
      <c r="Z672" s="44" t="str">
        <f ca="1">IF(AND(Tableau1[[#This Row],[Charge]]&lt;&gt;0, Tableau1[[#This Row],[Nombre intervenants]]&lt;&gt;0,Tableau1[[#This Row],[Lien document]]&lt;&gt;0,Tableau1[[#This Row],[DMS_SAP]]&lt;&gt;0)=TRUE,"MIS A JOUR","")</f>
        <v/>
      </c>
      <c r="AA672" s="48"/>
      <c r="AB672" s="58" t="str">
        <f ca="1">IF(Tableau1[[#This Row],[Date rév.]]&lt;&gt;"", DAYS360(Tableau1[[#This Row],[Date rév.]],TODAY()),"")</f>
        <v/>
      </c>
      <c r="AC672" s="47" t="str">
        <f>IFERROR(INDEX(Chemin_accès!$B$11:$C$22,MATCH(Tableau1[[#This Row],[Type]],Chemin_accès!$C$11:$C$22,0),1),Chemin_accès!$B$11)</f>
        <v>\\stjn.local\trimet\Btechnique\Commun\BT Maint SCELLEMENT\205 - Préventifs\Modèles préventif\GammeDMS_7.MSCT.xlsm</v>
      </c>
      <c r="AD672" s="47" t="str">
        <f>Chemin_accès!$B$8&amp;Tableau1[[#This Row],[Localisation / Classement]]&amp;"\"&amp;Tableau1[[#This Row],[Poste technique]]&amp;"_"&amp;Tableau1[[#This Row],[Plan Entretien]]&amp;".xlsm"</f>
        <v>\\stjn.local\trimet\Btechnique\Commun\BT Maint SCELLEMENT\205 - Préventifs\Gammes 7.MSCT PE Tool\\_.xlsm</v>
      </c>
    </row>
    <row r="673" spans="1:30" x14ac:dyDescent="0.3">
      <c r="A673" s="44" t="str">
        <f t="shared" ca="1" si="10"/>
        <v>7.MSCT</v>
      </c>
      <c r="B6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3" s="46"/>
      <c r="D673" s="44"/>
      <c r="E673" s="44"/>
      <c r="F673" s="47"/>
      <c r="G673" s="47"/>
      <c r="H673" s="50"/>
      <c r="I673" s="50"/>
      <c r="J673" s="50"/>
      <c r="K673" s="50"/>
      <c r="L673" s="46"/>
      <c r="M673" s="47"/>
      <c r="N673" s="46"/>
      <c r="O673" s="46"/>
      <c r="P673" s="47"/>
      <c r="Q673" s="46"/>
      <c r="R673" s="46"/>
      <c r="S673" s="48"/>
      <c r="T673" s="61" t="str">
        <f>IF(Tableau1[[#This Row],[DMS_SAP]]="","",HYPERLINK(Tableau1[[#This Row],[Chemin fichier source]],"X"))</f>
        <v/>
      </c>
      <c r="U673" s="61" t="str">
        <f>IF(Tableau1[[#This Row],[Date rév.]]="","",HYPERLINK(Tableau1[[#This Row],[Lien document]],"X"))</f>
        <v/>
      </c>
      <c r="V673" s="47"/>
      <c r="W673" s="49" t="str">
        <f ca="1">Chemin_accès!$B$2&amp;Tableau1[[#This Row],[Poste Responsable]]&amp;"\"&amp;Tableau1[[#This Row],[Localisation / Classement]]&amp;"\"&amp;Tableau1[[#This Row],[Poste technique]]&amp;"_"&amp;Tableau1[[#This Row],[Plan Entretien]]&amp;".pdf"</f>
        <v>\\stjn.local\trimet\Donnees_Projets\Dms Sap\Maintenance\PlanEntretien\7.MSCT\\_.pdf</v>
      </c>
      <c r="X673" s="47"/>
      <c r="Y673" s="47"/>
      <c r="Z673" s="44" t="str">
        <f ca="1">IF(AND(Tableau1[[#This Row],[Charge]]&lt;&gt;0, Tableau1[[#This Row],[Nombre intervenants]]&lt;&gt;0,Tableau1[[#This Row],[Lien document]]&lt;&gt;0,Tableau1[[#This Row],[DMS_SAP]]&lt;&gt;0)=TRUE,"MIS A JOUR","")</f>
        <v/>
      </c>
      <c r="AA673" s="48"/>
      <c r="AB673" s="58" t="str">
        <f ca="1">IF(Tableau1[[#This Row],[Date rév.]]&lt;&gt;"", DAYS360(Tableau1[[#This Row],[Date rév.]],TODAY()),"")</f>
        <v/>
      </c>
      <c r="AC673" s="47" t="str">
        <f>IFERROR(INDEX(Chemin_accès!$B$11:$C$22,MATCH(Tableau1[[#This Row],[Type]],Chemin_accès!$C$11:$C$22,0),1),Chemin_accès!$B$11)</f>
        <v>\\stjn.local\trimet\Btechnique\Commun\BT Maint SCELLEMENT\205 - Préventifs\Modèles préventif\GammeDMS_7.MSCT.xlsm</v>
      </c>
      <c r="AD673" s="47" t="str">
        <f>Chemin_accès!$B$8&amp;Tableau1[[#This Row],[Localisation / Classement]]&amp;"\"&amp;Tableau1[[#This Row],[Poste technique]]&amp;"_"&amp;Tableau1[[#This Row],[Plan Entretien]]&amp;".xlsm"</f>
        <v>\\stjn.local\trimet\Btechnique\Commun\BT Maint SCELLEMENT\205 - Préventifs\Gammes 7.MSCT PE Tool\\_.xlsm</v>
      </c>
    </row>
    <row r="674" spans="1:30" x14ac:dyDescent="0.3">
      <c r="A674" s="44" t="str">
        <f t="shared" ca="1" si="10"/>
        <v>7.MSCT</v>
      </c>
      <c r="B6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4" s="46"/>
      <c r="D674" s="44"/>
      <c r="E674" s="44"/>
      <c r="F674" s="47"/>
      <c r="G674" s="47"/>
      <c r="H674" s="50"/>
      <c r="I674" s="50"/>
      <c r="J674" s="50"/>
      <c r="K674" s="50"/>
      <c r="L674" s="46"/>
      <c r="M674" s="47"/>
      <c r="N674" s="46"/>
      <c r="O674" s="46"/>
      <c r="P674" s="47"/>
      <c r="Q674" s="46"/>
      <c r="R674" s="46"/>
      <c r="S674" s="48"/>
      <c r="T674" s="61" t="str">
        <f>IF(Tableau1[[#This Row],[DMS_SAP]]="","",HYPERLINK(Tableau1[[#This Row],[Chemin fichier source]],"X"))</f>
        <v/>
      </c>
      <c r="U674" s="61" t="str">
        <f>IF(Tableau1[[#This Row],[Date rév.]]="","",HYPERLINK(Tableau1[[#This Row],[Lien document]],"X"))</f>
        <v/>
      </c>
      <c r="V674" s="47"/>
      <c r="W674" s="49" t="str">
        <f ca="1">Chemin_accès!$B$2&amp;Tableau1[[#This Row],[Poste Responsable]]&amp;"\"&amp;Tableau1[[#This Row],[Localisation / Classement]]&amp;"\"&amp;Tableau1[[#This Row],[Poste technique]]&amp;"_"&amp;Tableau1[[#This Row],[Plan Entretien]]&amp;".pdf"</f>
        <v>\\stjn.local\trimet\Donnees_Projets\Dms Sap\Maintenance\PlanEntretien\7.MSCT\\_.pdf</v>
      </c>
      <c r="X674" s="47"/>
      <c r="Y674" s="47"/>
      <c r="Z674" s="44" t="str">
        <f ca="1">IF(AND(Tableau1[[#This Row],[Charge]]&lt;&gt;0, Tableau1[[#This Row],[Nombre intervenants]]&lt;&gt;0,Tableau1[[#This Row],[Lien document]]&lt;&gt;0,Tableau1[[#This Row],[DMS_SAP]]&lt;&gt;0)=TRUE,"MIS A JOUR","")</f>
        <v/>
      </c>
      <c r="AA674" s="48"/>
      <c r="AB674" s="58" t="str">
        <f ca="1">IF(Tableau1[[#This Row],[Date rév.]]&lt;&gt;"", DAYS360(Tableau1[[#This Row],[Date rév.]],TODAY()),"")</f>
        <v/>
      </c>
      <c r="AC674" s="47" t="str">
        <f>IFERROR(INDEX(Chemin_accès!$B$11:$C$22,MATCH(Tableau1[[#This Row],[Type]],Chemin_accès!$C$11:$C$22,0),1),Chemin_accès!$B$11)</f>
        <v>\\stjn.local\trimet\Btechnique\Commun\BT Maint SCELLEMENT\205 - Préventifs\Modèles préventif\GammeDMS_7.MSCT.xlsm</v>
      </c>
      <c r="AD674" s="47" t="str">
        <f>Chemin_accès!$B$8&amp;Tableau1[[#This Row],[Localisation / Classement]]&amp;"\"&amp;Tableau1[[#This Row],[Poste technique]]&amp;"_"&amp;Tableau1[[#This Row],[Plan Entretien]]&amp;".xlsm"</f>
        <v>\\stjn.local\trimet\Btechnique\Commun\BT Maint SCELLEMENT\205 - Préventifs\Gammes 7.MSCT PE Tool\\_.xlsm</v>
      </c>
    </row>
    <row r="675" spans="1:30" x14ac:dyDescent="0.3">
      <c r="A675" s="44" t="str">
        <f t="shared" ca="1" si="10"/>
        <v>7.MSCT</v>
      </c>
      <c r="B6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5" s="46"/>
      <c r="D675" s="44"/>
      <c r="E675" s="44"/>
      <c r="F675" s="47"/>
      <c r="G675" s="47"/>
      <c r="H675" s="50"/>
      <c r="I675" s="50"/>
      <c r="J675" s="50"/>
      <c r="K675" s="50"/>
      <c r="L675" s="46"/>
      <c r="M675" s="47"/>
      <c r="N675" s="46"/>
      <c r="O675" s="46"/>
      <c r="P675" s="47"/>
      <c r="Q675" s="46"/>
      <c r="R675" s="46"/>
      <c r="S675" s="48"/>
      <c r="T675" s="61" t="str">
        <f>IF(Tableau1[[#This Row],[DMS_SAP]]="","",HYPERLINK(Tableau1[[#This Row],[Chemin fichier source]],"X"))</f>
        <v/>
      </c>
      <c r="U675" s="61" t="str">
        <f>IF(Tableau1[[#This Row],[Date rév.]]="","",HYPERLINK(Tableau1[[#This Row],[Lien document]],"X"))</f>
        <v/>
      </c>
      <c r="V675" s="47"/>
      <c r="W675" s="49" t="str">
        <f ca="1">Chemin_accès!$B$2&amp;Tableau1[[#This Row],[Poste Responsable]]&amp;"\"&amp;Tableau1[[#This Row],[Localisation / Classement]]&amp;"\"&amp;Tableau1[[#This Row],[Poste technique]]&amp;"_"&amp;Tableau1[[#This Row],[Plan Entretien]]&amp;".pdf"</f>
        <v>\\stjn.local\trimet\Donnees_Projets\Dms Sap\Maintenance\PlanEntretien\7.MSCT\\_.pdf</v>
      </c>
      <c r="X675" s="47"/>
      <c r="Y675" s="47"/>
      <c r="Z675" s="44" t="str">
        <f ca="1">IF(AND(Tableau1[[#This Row],[Charge]]&lt;&gt;0, Tableau1[[#This Row],[Nombre intervenants]]&lt;&gt;0,Tableau1[[#This Row],[Lien document]]&lt;&gt;0,Tableau1[[#This Row],[DMS_SAP]]&lt;&gt;0)=TRUE,"MIS A JOUR","")</f>
        <v/>
      </c>
      <c r="AA675" s="48"/>
      <c r="AB675" s="58" t="str">
        <f ca="1">IF(Tableau1[[#This Row],[Date rév.]]&lt;&gt;"", DAYS360(Tableau1[[#This Row],[Date rév.]],TODAY()),"")</f>
        <v/>
      </c>
      <c r="AC675" s="47" t="str">
        <f>IFERROR(INDEX(Chemin_accès!$B$11:$C$22,MATCH(Tableau1[[#This Row],[Type]],Chemin_accès!$C$11:$C$22,0),1),Chemin_accès!$B$11)</f>
        <v>\\stjn.local\trimet\Btechnique\Commun\BT Maint SCELLEMENT\205 - Préventifs\Modèles préventif\GammeDMS_7.MSCT.xlsm</v>
      </c>
      <c r="AD675" s="47" t="str">
        <f>Chemin_accès!$B$8&amp;Tableau1[[#This Row],[Localisation / Classement]]&amp;"\"&amp;Tableau1[[#This Row],[Poste technique]]&amp;"_"&amp;Tableau1[[#This Row],[Plan Entretien]]&amp;".xlsm"</f>
        <v>\\stjn.local\trimet\Btechnique\Commun\BT Maint SCELLEMENT\205 - Préventifs\Gammes 7.MSCT PE Tool\\_.xlsm</v>
      </c>
    </row>
    <row r="676" spans="1:30" x14ac:dyDescent="0.3">
      <c r="A676" s="44" t="str">
        <f t="shared" ca="1" si="10"/>
        <v>7.MSCT</v>
      </c>
      <c r="B6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6" s="46"/>
      <c r="D676" s="44"/>
      <c r="E676" s="44"/>
      <c r="F676" s="47"/>
      <c r="G676" s="47"/>
      <c r="H676" s="50"/>
      <c r="I676" s="50"/>
      <c r="J676" s="50"/>
      <c r="K676" s="50"/>
      <c r="L676" s="46"/>
      <c r="M676" s="47"/>
      <c r="N676" s="46"/>
      <c r="O676" s="46"/>
      <c r="P676" s="47"/>
      <c r="Q676" s="46"/>
      <c r="R676" s="46"/>
      <c r="S676" s="48"/>
      <c r="T676" s="61" t="str">
        <f>IF(Tableau1[[#This Row],[DMS_SAP]]="","",HYPERLINK(Tableau1[[#This Row],[Chemin fichier source]],"X"))</f>
        <v/>
      </c>
      <c r="U676" s="61" t="str">
        <f>IF(Tableau1[[#This Row],[Date rév.]]="","",HYPERLINK(Tableau1[[#This Row],[Lien document]],"X"))</f>
        <v/>
      </c>
      <c r="V676" s="47"/>
      <c r="W676" s="49" t="str">
        <f ca="1">Chemin_accès!$B$2&amp;Tableau1[[#This Row],[Poste Responsable]]&amp;"\"&amp;Tableau1[[#This Row],[Localisation / Classement]]&amp;"\"&amp;Tableau1[[#This Row],[Poste technique]]&amp;"_"&amp;Tableau1[[#This Row],[Plan Entretien]]&amp;".pdf"</f>
        <v>\\stjn.local\trimet\Donnees_Projets\Dms Sap\Maintenance\PlanEntretien\7.MSCT\\_.pdf</v>
      </c>
      <c r="X676" s="47"/>
      <c r="Y676" s="47"/>
      <c r="Z676" s="44" t="str">
        <f ca="1">IF(AND(Tableau1[[#This Row],[Charge]]&lt;&gt;0, Tableau1[[#This Row],[Nombre intervenants]]&lt;&gt;0,Tableau1[[#This Row],[Lien document]]&lt;&gt;0,Tableau1[[#This Row],[DMS_SAP]]&lt;&gt;0)=TRUE,"MIS A JOUR","")</f>
        <v/>
      </c>
      <c r="AA676" s="48"/>
      <c r="AB676" s="58" t="str">
        <f ca="1">IF(Tableau1[[#This Row],[Date rév.]]&lt;&gt;"", DAYS360(Tableau1[[#This Row],[Date rév.]],TODAY()),"")</f>
        <v/>
      </c>
      <c r="AC676" s="47" t="str">
        <f>IFERROR(INDEX(Chemin_accès!$B$11:$C$22,MATCH(Tableau1[[#This Row],[Type]],Chemin_accès!$C$11:$C$22,0),1),Chemin_accès!$B$11)</f>
        <v>\\stjn.local\trimet\Btechnique\Commun\BT Maint SCELLEMENT\205 - Préventifs\Modèles préventif\GammeDMS_7.MSCT.xlsm</v>
      </c>
      <c r="AD676" s="47" t="str">
        <f>Chemin_accès!$B$8&amp;Tableau1[[#This Row],[Localisation / Classement]]&amp;"\"&amp;Tableau1[[#This Row],[Poste technique]]&amp;"_"&amp;Tableau1[[#This Row],[Plan Entretien]]&amp;".xlsm"</f>
        <v>\\stjn.local\trimet\Btechnique\Commun\BT Maint SCELLEMENT\205 - Préventifs\Gammes 7.MSCT PE Tool\\_.xlsm</v>
      </c>
    </row>
    <row r="677" spans="1:30" x14ac:dyDescent="0.3">
      <c r="A677" s="44" t="str">
        <f t="shared" ca="1" si="10"/>
        <v>7.MSCT</v>
      </c>
      <c r="B6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7" s="46"/>
      <c r="D677" s="44"/>
      <c r="E677" s="44"/>
      <c r="F677" s="47"/>
      <c r="G677" s="47"/>
      <c r="H677" s="50"/>
      <c r="I677" s="50"/>
      <c r="J677" s="50"/>
      <c r="K677" s="50"/>
      <c r="L677" s="46"/>
      <c r="M677" s="47"/>
      <c r="N677" s="46"/>
      <c r="O677" s="46"/>
      <c r="P677" s="47"/>
      <c r="Q677" s="46"/>
      <c r="R677" s="46"/>
      <c r="S677" s="48"/>
      <c r="T677" s="61" t="str">
        <f>IF(Tableau1[[#This Row],[DMS_SAP]]="","",HYPERLINK(Tableau1[[#This Row],[Chemin fichier source]],"X"))</f>
        <v/>
      </c>
      <c r="U677" s="61" t="str">
        <f>IF(Tableau1[[#This Row],[Date rév.]]="","",HYPERLINK(Tableau1[[#This Row],[Lien document]],"X"))</f>
        <v/>
      </c>
      <c r="V677" s="47"/>
      <c r="W677" s="49" t="str">
        <f ca="1">Chemin_accès!$B$2&amp;Tableau1[[#This Row],[Poste Responsable]]&amp;"\"&amp;Tableau1[[#This Row],[Localisation / Classement]]&amp;"\"&amp;Tableau1[[#This Row],[Poste technique]]&amp;"_"&amp;Tableau1[[#This Row],[Plan Entretien]]&amp;".pdf"</f>
        <v>\\stjn.local\trimet\Donnees_Projets\Dms Sap\Maintenance\PlanEntretien\7.MSCT\\_.pdf</v>
      </c>
      <c r="X677" s="47"/>
      <c r="Y677" s="47"/>
      <c r="Z677" s="44" t="str">
        <f ca="1">IF(AND(Tableau1[[#This Row],[Charge]]&lt;&gt;0, Tableau1[[#This Row],[Nombre intervenants]]&lt;&gt;0,Tableau1[[#This Row],[Lien document]]&lt;&gt;0,Tableau1[[#This Row],[DMS_SAP]]&lt;&gt;0)=TRUE,"MIS A JOUR","")</f>
        <v/>
      </c>
      <c r="AA677" s="48"/>
      <c r="AB677" s="58" t="str">
        <f ca="1">IF(Tableau1[[#This Row],[Date rév.]]&lt;&gt;"", DAYS360(Tableau1[[#This Row],[Date rév.]],TODAY()),"")</f>
        <v/>
      </c>
      <c r="AC677" s="47" t="str">
        <f>IFERROR(INDEX(Chemin_accès!$B$11:$C$22,MATCH(Tableau1[[#This Row],[Type]],Chemin_accès!$C$11:$C$22,0),1),Chemin_accès!$B$11)</f>
        <v>\\stjn.local\trimet\Btechnique\Commun\BT Maint SCELLEMENT\205 - Préventifs\Modèles préventif\GammeDMS_7.MSCT.xlsm</v>
      </c>
      <c r="AD677" s="47" t="str">
        <f>Chemin_accès!$B$8&amp;Tableau1[[#This Row],[Localisation / Classement]]&amp;"\"&amp;Tableau1[[#This Row],[Poste technique]]&amp;"_"&amp;Tableau1[[#This Row],[Plan Entretien]]&amp;".xlsm"</f>
        <v>\\stjn.local\trimet\Btechnique\Commun\BT Maint SCELLEMENT\205 - Préventifs\Gammes 7.MSCT PE Tool\\_.xlsm</v>
      </c>
    </row>
    <row r="678" spans="1:30" x14ac:dyDescent="0.3">
      <c r="A678" s="44" t="str">
        <f t="shared" ca="1" si="10"/>
        <v>7.MSCT</v>
      </c>
      <c r="B6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8" s="46"/>
      <c r="D678" s="44"/>
      <c r="E678" s="44"/>
      <c r="F678" s="47"/>
      <c r="G678" s="47"/>
      <c r="H678" s="50"/>
      <c r="I678" s="50"/>
      <c r="J678" s="50"/>
      <c r="K678" s="50"/>
      <c r="L678" s="46"/>
      <c r="M678" s="47"/>
      <c r="N678" s="46"/>
      <c r="O678" s="46"/>
      <c r="P678" s="47"/>
      <c r="Q678" s="46"/>
      <c r="R678" s="46"/>
      <c r="S678" s="48"/>
      <c r="T678" s="61" t="str">
        <f>IF(Tableau1[[#This Row],[DMS_SAP]]="","",HYPERLINK(Tableau1[[#This Row],[Chemin fichier source]],"X"))</f>
        <v/>
      </c>
      <c r="U678" s="61" t="str">
        <f>IF(Tableau1[[#This Row],[Date rév.]]="","",HYPERLINK(Tableau1[[#This Row],[Lien document]],"X"))</f>
        <v/>
      </c>
      <c r="V678" s="47"/>
      <c r="W678" s="49" t="str">
        <f ca="1">Chemin_accès!$B$2&amp;Tableau1[[#This Row],[Poste Responsable]]&amp;"\"&amp;Tableau1[[#This Row],[Localisation / Classement]]&amp;"\"&amp;Tableau1[[#This Row],[Poste technique]]&amp;"_"&amp;Tableau1[[#This Row],[Plan Entretien]]&amp;".pdf"</f>
        <v>\\stjn.local\trimet\Donnees_Projets\Dms Sap\Maintenance\PlanEntretien\7.MSCT\\_.pdf</v>
      </c>
      <c r="X678" s="47"/>
      <c r="Y678" s="47"/>
      <c r="Z678" s="44" t="str">
        <f ca="1">IF(AND(Tableau1[[#This Row],[Charge]]&lt;&gt;0, Tableau1[[#This Row],[Nombre intervenants]]&lt;&gt;0,Tableau1[[#This Row],[Lien document]]&lt;&gt;0,Tableau1[[#This Row],[DMS_SAP]]&lt;&gt;0)=TRUE,"MIS A JOUR","")</f>
        <v/>
      </c>
      <c r="AA678" s="48"/>
      <c r="AB678" s="58" t="str">
        <f ca="1">IF(Tableau1[[#This Row],[Date rév.]]&lt;&gt;"", DAYS360(Tableau1[[#This Row],[Date rév.]],TODAY()),"")</f>
        <v/>
      </c>
      <c r="AC678" s="47" t="str">
        <f>IFERROR(INDEX(Chemin_accès!$B$11:$C$22,MATCH(Tableau1[[#This Row],[Type]],Chemin_accès!$C$11:$C$22,0),1),Chemin_accès!$B$11)</f>
        <v>\\stjn.local\trimet\Btechnique\Commun\BT Maint SCELLEMENT\205 - Préventifs\Modèles préventif\GammeDMS_7.MSCT.xlsm</v>
      </c>
      <c r="AD678" s="47" t="str">
        <f>Chemin_accès!$B$8&amp;Tableau1[[#This Row],[Localisation / Classement]]&amp;"\"&amp;Tableau1[[#This Row],[Poste technique]]&amp;"_"&amp;Tableau1[[#This Row],[Plan Entretien]]&amp;".xlsm"</f>
        <v>\\stjn.local\trimet\Btechnique\Commun\BT Maint SCELLEMENT\205 - Préventifs\Gammes 7.MSCT PE Tool\\_.xlsm</v>
      </c>
    </row>
    <row r="679" spans="1:30" x14ac:dyDescent="0.3">
      <c r="A679" s="44" t="str">
        <f t="shared" ca="1" si="10"/>
        <v>7.MSCT</v>
      </c>
      <c r="B6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9" s="46"/>
      <c r="D679" s="44"/>
      <c r="E679" s="44"/>
      <c r="F679" s="47"/>
      <c r="G679" s="47"/>
      <c r="H679" s="50"/>
      <c r="I679" s="50"/>
      <c r="J679" s="50"/>
      <c r="K679" s="50"/>
      <c r="L679" s="46"/>
      <c r="M679" s="47"/>
      <c r="N679" s="46"/>
      <c r="O679" s="46"/>
      <c r="P679" s="47"/>
      <c r="Q679" s="46"/>
      <c r="R679" s="46"/>
      <c r="S679" s="48"/>
      <c r="T679" s="61" t="str">
        <f>IF(Tableau1[[#This Row],[DMS_SAP]]="","",HYPERLINK(Tableau1[[#This Row],[Chemin fichier source]],"X"))</f>
        <v/>
      </c>
      <c r="U679" s="61" t="str">
        <f>IF(Tableau1[[#This Row],[Date rév.]]="","",HYPERLINK(Tableau1[[#This Row],[Lien document]],"X"))</f>
        <v/>
      </c>
      <c r="V679" s="47"/>
      <c r="W679" s="49" t="str">
        <f ca="1">Chemin_accès!$B$2&amp;Tableau1[[#This Row],[Poste Responsable]]&amp;"\"&amp;Tableau1[[#This Row],[Localisation / Classement]]&amp;"\"&amp;Tableau1[[#This Row],[Poste technique]]&amp;"_"&amp;Tableau1[[#This Row],[Plan Entretien]]&amp;".pdf"</f>
        <v>\\stjn.local\trimet\Donnees_Projets\Dms Sap\Maintenance\PlanEntretien\7.MSCT\\_.pdf</v>
      </c>
      <c r="X679" s="47"/>
      <c r="Y679" s="47"/>
      <c r="Z679" s="44" t="str">
        <f ca="1">IF(AND(Tableau1[[#This Row],[Charge]]&lt;&gt;0, Tableau1[[#This Row],[Nombre intervenants]]&lt;&gt;0,Tableau1[[#This Row],[Lien document]]&lt;&gt;0,Tableau1[[#This Row],[DMS_SAP]]&lt;&gt;0)=TRUE,"MIS A JOUR","")</f>
        <v/>
      </c>
      <c r="AA679" s="48"/>
      <c r="AB679" s="58" t="str">
        <f ca="1">IF(Tableau1[[#This Row],[Date rév.]]&lt;&gt;"", DAYS360(Tableau1[[#This Row],[Date rév.]],TODAY()),"")</f>
        <v/>
      </c>
      <c r="AC679" s="47" t="str">
        <f>IFERROR(INDEX(Chemin_accès!$B$11:$C$22,MATCH(Tableau1[[#This Row],[Type]],Chemin_accès!$C$11:$C$22,0),1),Chemin_accès!$B$11)</f>
        <v>\\stjn.local\trimet\Btechnique\Commun\BT Maint SCELLEMENT\205 - Préventifs\Modèles préventif\GammeDMS_7.MSCT.xlsm</v>
      </c>
      <c r="AD679" s="47" t="str">
        <f>Chemin_accès!$B$8&amp;Tableau1[[#This Row],[Localisation / Classement]]&amp;"\"&amp;Tableau1[[#This Row],[Poste technique]]&amp;"_"&amp;Tableau1[[#This Row],[Plan Entretien]]&amp;".xlsm"</f>
        <v>\\stjn.local\trimet\Btechnique\Commun\BT Maint SCELLEMENT\205 - Préventifs\Gammes 7.MSCT PE Tool\\_.xlsm</v>
      </c>
    </row>
    <row r="680" spans="1:30" x14ac:dyDescent="0.3">
      <c r="A680" s="44" t="str">
        <f t="shared" ca="1" si="10"/>
        <v>7.MSCT</v>
      </c>
      <c r="B6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0" s="46"/>
      <c r="D680" s="44"/>
      <c r="E680" s="44"/>
      <c r="F680" s="47"/>
      <c r="G680" s="47"/>
      <c r="H680" s="50"/>
      <c r="I680" s="50"/>
      <c r="J680" s="50"/>
      <c r="K680" s="50"/>
      <c r="L680" s="46"/>
      <c r="M680" s="47"/>
      <c r="N680" s="46"/>
      <c r="O680" s="46"/>
      <c r="P680" s="47"/>
      <c r="Q680" s="46"/>
      <c r="R680" s="46"/>
      <c r="S680" s="48"/>
      <c r="T680" s="61" t="str">
        <f>IF(Tableau1[[#This Row],[DMS_SAP]]="","",HYPERLINK(Tableau1[[#This Row],[Chemin fichier source]],"X"))</f>
        <v/>
      </c>
      <c r="U680" s="61" t="str">
        <f>IF(Tableau1[[#This Row],[Date rév.]]="","",HYPERLINK(Tableau1[[#This Row],[Lien document]],"X"))</f>
        <v/>
      </c>
      <c r="V680" s="47"/>
      <c r="W680" s="49" t="str">
        <f ca="1">Chemin_accès!$B$2&amp;Tableau1[[#This Row],[Poste Responsable]]&amp;"\"&amp;Tableau1[[#This Row],[Localisation / Classement]]&amp;"\"&amp;Tableau1[[#This Row],[Poste technique]]&amp;"_"&amp;Tableau1[[#This Row],[Plan Entretien]]&amp;".pdf"</f>
        <v>\\stjn.local\trimet\Donnees_Projets\Dms Sap\Maintenance\PlanEntretien\7.MSCT\\_.pdf</v>
      </c>
      <c r="X680" s="47"/>
      <c r="Y680" s="47"/>
      <c r="Z680" s="44" t="str">
        <f ca="1">IF(AND(Tableau1[[#This Row],[Charge]]&lt;&gt;0, Tableau1[[#This Row],[Nombre intervenants]]&lt;&gt;0,Tableau1[[#This Row],[Lien document]]&lt;&gt;0,Tableau1[[#This Row],[DMS_SAP]]&lt;&gt;0)=TRUE,"MIS A JOUR","")</f>
        <v/>
      </c>
      <c r="AA680" s="48"/>
      <c r="AB680" s="58" t="str">
        <f ca="1">IF(Tableau1[[#This Row],[Date rév.]]&lt;&gt;"", DAYS360(Tableau1[[#This Row],[Date rév.]],TODAY()),"")</f>
        <v/>
      </c>
      <c r="AC680" s="47" t="str">
        <f>IFERROR(INDEX(Chemin_accès!$B$11:$C$22,MATCH(Tableau1[[#This Row],[Type]],Chemin_accès!$C$11:$C$22,0),1),Chemin_accès!$B$11)</f>
        <v>\\stjn.local\trimet\Btechnique\Commun\BT Maint SCELLEMENT\205 - Préventifs\Modèles préventif\GammeDMS_7.MSCT.xlsm</v>
      </c>
      <c r="AD680" s="47" t="str">
        <f>Chemin_accès!$B$8&amp;Tableau1[[#This Row],[Localisation / Classement]]&amp;"\"&amp;Tableau1[[#This Row],[Poste technique]]&amp;"_"&amp;Tableau1[[#This Row],[Plan Entretien]]&amp;".xlsm"</f>
        <v>\\stjn.local\trimet\Btechnique\Commun\BT Maint SCELLEMENT\205 - Préventifs\Gammes 7.MSCT PE Tool\\_.xlsm</v>
      </c>
    </row>
    <row r="681" spans="1:30" x14ac:dyDescent="0.3">
      <c r="A681" s="44" t="str">
        <f t="shared" ca="1" si="10"/>
        <v>7.MSCT</v>
      </c>
      <c r="B6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1" s="46"/>
      <c r="D681" s="44"/>
      <c r="E681" s="44"/>
      <c r="F681" s="47"/>
      <c r="G681" s="47"/>
      <c r="H681" s="50"/>
      <c r="I681" s="50"/>
      <c r="J681" s="50"/>
      <c r="K681" s="50"/>
      <c r="L681" s="46"/>
      <c r="M681" s="47"/>
      <c r="N681" s="46"/>
      <c r="O681" s="46"/>
      <c r="P681" s="47"/>
      <c r="Q681" s="46"/>
      <c r="R681" s="46"/>
      <c r="S681" s="48"/>
      <c r="T681" s="61" t="str">
        <f>IF(Tableau1[[#This Row],[DMS_SAP]]="","",HYPERLINK(Tableau1[[#This Row],[Chemin fichier source]],"X"))</f>
        <v/>
      </c>
      <c r="U681" s="61" t="str">
        <f>IF(Tableau1[[#This Row],[Date rév.]]="","",HYPERLINK(Tableau1[[#This Row],[Lien document]],"X"))</f>
        <v/>
      </c>
      <c r="V681" s="47"/>
      <c r="W681" s="49" t="str">
        <f ca="1">Chemin_accès!$B$2&amp;Tableau1[[#This Row],[Poste Responsable]]&amp;"\"&amp;Tableau1[[#This Row],[Localisation / Classement]]&amp;"\"&amp;Tableau1[[#This Row],[Poste technique]]&amp;"_"&amp;Tableau1[[#This Row],[Plan Entretien]]&amp;".pdf"</f>
        <v>\\stjn.local\trimet\Donnees_Projets\Dms Sap\Maintenance\PlanEntretien\7.MSCT\\_.pdf</v>
      </c>
      <c r="X681" s="47"/>
      <c r="Y681" s="47"/>
      <c r="Z681" s="44" t="str">
        <f ca="1">IF(AND(Tableau1[[#This Row],[Charge]]&lt;&gt;0, Tableau1[[#This Row],[Nombre intervenants]]&lt;&gt;0,Tableau1[[#This Row],[Lien document]]&lt;&gt;0,Tableau1[[#This Row],[DMS_SAP]]&lt;&gt;0)=TRUE,"MIS A JOUR","")</f>
        <v/>
      </c>
      <c r="AA681" s="48"/>
      <c r="AB681" s="58" t="str">
        <f ca="1">IF(Tableau1[[#This Row],[Date rév.]]&lt;&gt;"", DAYS360(Tableau1[[#This Row],[Date rév.]],TODAY()),"")</f>
        <v/>
      </c>
      <c r="AC681" s="47" t="str">
        <f>IFERROR(INDEX(Chemin_accès!$B$11:$C$22,MATCH(Tableau1[[#This Row],[Type]],Chemin_accès!$C$11:$C$22,0),1),Chemin_accès!$B$11)</f>
        <v>\\stjn.local\trimet\Btechnique\Commun\BT Maint SCELLEMENT\205 - Préventifs\Modèles préventif\GammeDMS_7.MSCT.xlsm</v>
      </c>
      <c r="AD681" s="47" t="str">
        <f>Chemin_accès!$B$8&amp;Tableau1[[#This Row],[Localisation / Classement]]&amp;"\"&amp;Tableau1[[#This Row],[Poste technique]]&amp;"_"&amp;Tableau1[[#This Row],[Plan Entretien]]&amp;".xlsm"</f>
        <v>\\stjn.local\trimet\Btechnique\Commun\BT Maint SCELLEMENT\205 - Préventifs\Gammes 7.MSCT PE Tool\\_.xlsm</v>
      </c>
    </row>
    <row r="682" spans="1:30" x14ac:dyDescent="0.3">
      <c r="A682" s="44" t="str">
        <f t="shared" ca="1" si="10"/>
        <v>7.MSCT</v>
      </c>
      <c r="B6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2" s="46"/>
      <c r="D682" s="44"/>
      <c r="E682" s="44"/>
      <c r="F682" s="47"/>
      <c r="G682" s="47"/>
      <c r="H682" s="50"/>
      <c r="I682" s="50"/>
      <c r="J682" s="50"/>
      <c r="K682" s="50"/>
      <c r="L682" s="46"/>
      <c r="M682" s="47"/>
      <c r="N682" s="46"/>
      <c r="O682" s="46"/>
      <c r="P682" s="47"/>
      <c r="Q682" s="46"/>
      <c r="R682" s="46"/>
      <c r="S682" s="48"/>
      <c r="T682" s="61" t="str">
        <f>IF(Tableau1[[#This Row],[DMS_SAP]]="","",HYPERLINK(Tableau1[[#This Row],[Chemin fichier source]],"X"))</f>
        <v/>
      </c>
      <c r="U682" s="61" t="str">
        <f>IF(Tableau1[[#This Row],[Date rév.]]="","",HYPERLINK(Tableau1[[#This Row],[Lien document]],"X"))</f>
        <v/>
      </c>
      <c r="V682" s="47"/>
      <c r="W682" s="49" t="str">
        <f ca="1">Chemin_accès!$B$2&amp;Tableau1[[#This Row],[Poste Responsable]]&amp;"\"&amp;Tableau1[[#This Row],[Localisation / Classement]]&amp;"\"&amp;Tableau1[[#This Row],[Poste technique]]&amp;"_"&amp;Tableau1[[#This Row],[Plan Entretien]]&amp;".pdf"</f>
        <v>\\stjn.local\trimet\Donnees_Projets\Dms Sap\Maintenance\PlanEntretien\7.MSCT\\_.pdf</v>
      </c>
      <c r="X682" s="47"/>
      <c r="Y682" s="47"/>
      <c r="Z682" s="44" t="str">
        <f ca="1">IF(AND(Tableau1[[#This Row],[Charge]]&lt;&gt;0, Tableau1[[#This Row],[Nombre intervenants]]&lt;&gt;0,Tableau1[[#This Row],[Lien document]]&lt;&gt;0,Tableau1[[#This Row],[DMS_SAP]]&lt;&gt;0)=TRUE,"MIS A JOUR","")</f>
        <v/>
      </c>
      <c r="AA682" s="48"/>
      <c r="AB682" s="58" t="str">
        <f ca="1">IF(Tableau1[[#This Row],[Date rév.]]&lt;&gt;"", DAYS360(Tableau1[[#This Row],[Date rév.]],TODAY()),"")</f>
        <v/>
      </c>
      <c r="AC682" s="47" t="str">
        <f>IFERROR(INDEX(Chemin_accès!$B$11:$C$22,MATCH(Tableau1[[#This Row],[Type]],Chemin_accès!$C$11:$C$22,0),1),Chemin_accès!$B$11)</f>
        <v>\\stjn.local\trimet\Btechnique\Commun\BT Maint SCELLEMENT\205 - Préventifs\Modèles préventif\GammeDMS_7.MSCT.xlsm</v>
      </c>
      <c r="AD682" s="47" t="str">
        <f>Chemin_accès!$B$8&amp;Tableau1[[#This Row],[Localisation / Classement]]&amp;"\"&amp;Tableau1[[#This Row],[Poste technique]]&amp;"_"&amp;Tableau1[[#This Row],[Plan Entretien]]&amp;".xlsm"</f>
        <v>\\stjn.local\trimet\Btechnique\Commun\BT Maint SCELLEMENT\205 - Préventifs\Gammes 7.MSCT PE Tool\\_.xlsm</v>
      </c>
    </row>
    <row r="683" spans="1:30" x14ac:dyDescent="0.3">
      <c r="A683" s="44" t="str">
        <f t="shared" ca="1" si="10"/>
        <v>7.MSCT</v>
      </c>
      <c r="B6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3" s="46"/>
      <c r="D683" s="44"/>
      <c r="E683" s="44"/>
      <c r="F683" s="47"/>
      <c r="G683" s="47"/>
      <c r="H683" s="50"/>
      <c r="I683" s="50"/>
      <c r="J683" s="50"/>
      <c r="K683" s="50"/>
      <c r="L683" s="46"/>
      <c r="M683" s="47"/>
      <c r="N683" s="46"/>
      <c r="O683" s="46"/>
      <c r="P683" s="47"/>
      <c r="Q683" s="46"/>
      <c r="R683" s="46"/>
      <c r="S683" s="48"/>
      <c r="T683" s="61" t="str">
        <f>IF(Tableau1[[#This Row],[DMS_SAP]]="","",HYPERLINK(Tableau1[[#This Row],[Chemin fichier source]],"X"))</f>
        <v/>
      </c>
      <c r="U683" s="61" t="str">
        <f>IF(Tableau1[[#This Row],[Date rév.]]="","",HYPERLINK(Tableau1[[#This Row],[Lien document]],"X"))</f>
        <v/>
      </c>
      <c r="V683" s="47"/>
      <c r="W683" s="49" t="str">
        <f ca="1">Chemin_accès!$B$2&amp;Tableau1[[#This Row],[Poste Responsable]]&amp;"\"&amp;Tableau1[[#This Row],[Localisation / Classement]]&amp;"\"&amp;Tableau1[[#This Row],[Poste technique]]&amp;"_"&amp;Tableau1[[#This Row],[Plan Entretien]]&amp;".pdf"</f>
        <v>\\stjn.local\trimet\Donnees_Projets\Dms Sap\Maintenance\PlanEntretien\7.MSCT\\_.pdf</v>
      </c>
      <c r="X683" s="47"/>
      <c r="Y683" s="47"/>
      <c r="Z683" s="44" t="str">
        <f ca="1">IF(AND(Tableau1[[#This Row],[Charge]]&lt;&gt;0, Tableau1[[#This Row],[Nombre intervenants]]&lt;&gt;0,Tableau1[[#This Row],[Lien document]]&lt;&gt;0,Tableau1[[#This Row],[DMS_SAP]]&lt;&gt;0)=TRUE,"MIS A JOUR","")</f>
        <v/>
      </c>
      <c r="AA683" s="48"/>
      <c r="AB683" s="58" t="str">
        <f ca="1">IF(Tableau1[[#This Row],[Date rév.]]&lt;&gt;"", DAYS360(Tableau1[[#This Row],[Date rév.]],TODAY()),"")</f>
        <v/>
      </c>
      <c r="AC683" s="47" t="str">
        <f>IFERROR(INDEX(Chemin_accès!$B$11:$C$22,MATCH(Tableau1[[#This Row],[Type]],Chemin_accès!$C$11:$C$22,0),1),Chemin_accès!$B$11)</f>
        <v>\\stjn.local\trimet\Btechnique\Commun\BT Maint SCELLEMENT\205 - Préventifs\Modèles préventif\GammeDMS_7.MSCT.xlsm</v>
      </c>
      <c r="AD683" s="47" t="str">
        <f>Chemin_accès!$B$8&amp;Tableau1[[#This Row],[Localisation / Classement]]&amp;"\"&amp;Tableau1[[#This Row],[Poste technique]]&amp;"_"&amp;Tableau1[[#This Row],[Plan Entretien]]&amp;".xlsm"</f>
        <v>\\stjn.local\trimet\Btechnique\Commun\BT Maint SCELLEMENT\205 - Préventifs\Gammes 7.MSCT PE Tool\\_.xlsm</v>
      </c>
    </row>
    <row r="684" spans="1:30" x14ac:dyDescent="0.3">
      <c r="A684" s="44" t="str">
        <f t="shared" ca="1" si="10"/>
        <v>7.MSCT</v>
      </c>
      <c r="B6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4" s="46"/>
      <c r="D684" s="44"/>
      <c r="E684" s="44"/>
      <c r="F684" s="47"/>
      <c r="G684" s="47"/>
      <c r="H684" s="50"/>
      <c r="I684" s="50"/>
      <c r="J684" s="50"/>
      <c r="K684" s="50"/>
      <c r="L684" s="46"/>
      <c r="M684" s="47"/>
      <c r="N684" s="46"/>
      <c r="O684" s="46"/>
      <c r="P684" s="47"/>
      <c r="Q684" s="46"/>
      <c r="R684" s="46"/>
      <c r="S684" s="48"/>
      <c r="T684" s="61" t="str">
        <f>IF(Tableau1[[#This Row],[DMS_SAP]]="","",HYPERLINK(Tableau1[[#This Row],[Chemin fichier source]],"X"))</f>
        <v/>
      </c>
      <c r="U684" s="61" t="str">
        <f>IF(Tableau1[[#This Row],[Date rév.]]="","",HYPERLINK(Tableau1[[#This Row],[Lien document]],"X"))</f>
        <v/>
      </c>
      <c r="V684" s="47"/>
      <c r="W684" s="49" t="str">
        <f ca="1">Chemin_accès!$B$2&amp;Tableau1[[#This Row],[Poste Responsable]]&amp;"\"&amp;Tableau1[[#This Row],[Localisation / Classement]]&amp;"\"&amp;Tableau1[[#This Row],[Poste technique]]&amp;"_"&amp;Tableau1[[#This Row],[Plan Entretien]]&amp;".pdf"</f>
        <v>\\stjn.local\trimet\Donnees_Projets\Dms Sap\Maintenance\PlanEntretien\7.MSCT\\_.pdf</v>
      </c>
      <c r="X684" s="47"/>
      <c r="Y684" s="47"/>
      <c r="Z684" s="44" t="str">
        <f ca="1">IF(AND(Tableau1[[#This Row],[Charge]]&lt;&gt;0, Tableau1[[#This Row],[Nombre intervenants]]&lt;&gt;0,Tableau1[[#This Row],[Lien document]]&lt;&gt;0,Tableau1[[#This Row],[DMS_SAP]]&lt;&gt;0)=TRUE,"MIS A JOUR","")</f>
        <v/>
      </c>
      <c r="AA684" s="48"/>
      <c r="AB684" s="58" t="str">
        <f ca="1">IF(Tableau1[[#This Row],[Date rév.]]&lt;&gt;"", DAYS360(Tableau1[[#This Row],[Date rév.]],TODAY()),"")</f>
        <v/>
      </c>
      <c r="AC684" s="47" t="str">
        <f>IFERROR(INDEX(Chemin_accès!$B$11:$C$22,MATCH(Tableau1[[#This Row],[Type]],Chemin_accès!$C$11:$C$22,0),1),Chemin_accès!$B$11)</f>
        <v>\\stjn.local\trimet\Btechnique\Commun\BT Maint SCELLEMENT\205 - Préventifs\Modèles préventif\GammeDMS_7.MSCT.xlsm</v>
      </c>
      <c r="AD684" s="47" t="str">
        <f>Chemin_accès!$B$8&amp;Tableau1[[#This Row],[Localisation / Classement]]&amp;"\"&amp;Tableau1[[#This Row],[Poste technique]]&amp;"_"&amp;Tableau1[[#This Row],[Plan Entretien]]&amp;".xlsm"</f>
        <v>\\stjn.local\trimet\Btechnique\Commun\BT Maint SCELLEMENT\205 - Préventifs\Gammes 7.MSCT PE Tool\\_.xlsm</v>
      </c>
    </row>
    <row r="685" spans="1:30" x14ac:dyDescent="0.3">
      <c r="A685" s="44" t="str">
        <f t="shared" ca="1" si="10"/>
        <v>7.MSCT</v>
      </c>
      <c r="B6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5" s="46"/>
      <c r="D685" s="44"/>
      <c r="E685" s="44"/>
      <c r="F685" s="47"/>
      <c r="G685" s="47"/>
      <c r="H685" s="50"/>
      <c r="I685" s="50"/>
      <c r="J685" s="50"/>
      <c r="K685" s="50"/>
      <c r="L685" s="46"/>
      <c r="M685" s="47"/>
      <c r="N685" s="46"/>
      <c r="O685" s="46"/>
      <c r="P685" s="47"/>
      <c r="Q685" s="46"/>
      <c r="R685" s="46"/>
      <c r="S685" s="48"/>
      <c r="T685" s="61" t="str">
        <f>IF(Tableau1[[#This Row],[DMS_SAP]]="","",HYPERLINK(Tableau1[[#This Row],[Chemin fichier source]],"X"))</f>
        <v/>
      </c>
      <c r="U685" s="61" t="str">
        <f>IF(Tableau1[[#This Row],[Date rév.]]="","",HYPERLINK(Tableau1[[#This Row],[Lien document]],"X"))</f>
        <v/>
      </c>
      <c r="V685" s="47"/>
      <c r="W685" s="49" t="str">
        <f ca="1">Chemin_accès!$B$2&amp;Tableau1[[#This Row],[Poste Responsable]]&amp;"\"&amp;Tableau1[[#This Row],[Localisation / Classement]]&amp;"\"&amp;Tableau1[[#This Row],[Poste technique]]&amp;"_"&amp;Tableau1[[#This Row],[Plan Entretien]]&amp;".pdf"</f>
        <v>\\stjn.local\trimet\Donnees_Projets\Dms Sap\Maintenance\PlanEntretien\7.MSCT\\_.pdf</v>
      </c>
      <c r="X685" s="47"/>
      <c r="Y685" s="47"/>
      <c r="Z685" s="44" t="str">
        <f ca="1">IF(AND(Tableau1[[#This Row],[Charge]]&lt;&gt;0, Tableau1[[#This Row],[Nombre intervenants]]&lt;&gt;0,Tableau1[[#This Row],[Lien document]]&lt;&gt;0,Tableau1[[#This Row],[DMS_SAP]]&lt;&gt;0)=TRUE,"MIS A JOUR","")</f>
        <v/>
      </c>
      <c r="AA685" s="48"/>
      <c r="AB685" s="58" t="str">
        <f ca="1">IF(Tableau1[[#This Row],[Date rév.]]&lt;&gt;"", DAYS360(Tableau1[[#This Row],[Date rév.]],TODAY()),"")</f>
        <v/>
      </c>
      <c r="AC685" s="47" t="str">
        <f>IFERROR(INDEX(Chemin_accès!$B$11:$C$22,MATCH(Tableau1[[#This Row],[Type]],Chemin_accès!$C$11:$C$22,0),1),Chemin_accès!$B$11)</f>
        <v>\\stjn.local\trimet\Btechnique\Commun\BT Maint SCELLEMENT\205 - Préventifs\Modèles préventif\GammeDMS_7.MSCT.xlsm</v>
      </c>
      <c r="AD685" s="47" t="str">
        <f>Chemin_accès!$B$8&amp;Tableau1[[#This Row],[Localisation / Classement]]&amp;"\"&amp;Tableau1[[#This Row],[Poste technique]]&amp;"_"&amp;Tableau1[[#This Row],[Plan Entretien]]&amp;".xlsm"</f>
        <v>\\stjn.local\trimet\Btechnique\Commun\BT Maint SCELLEMENT\205 - Préventifs\Gammes 7.MSCT PE Tool\\_.xlsm</v>
      </c>
    </row>
    <row r="686" spans="1:30" x14ac:dyDescent="0.3">
      <c r="A686" s="44" t="str">
        <f t="shared" ca="1" si="10"/>
        <v>7.MSCT</v>
      </c>
      <c r="B6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6" s="46"/>
      <c r="D686" s="44"/>
      <c r="E686" s="44"/>
      <c r="F686" s="47"/>
      <c r="G686" s="47"/>
      <c r="H686" s="50"/>
      <c r="I686" s="50"/>
      <c r="J686" s="50"/>
      <c r="K686" s="50"/>
      <c r="L686" s="46"/>
      <c r="M686" s="47"/>
      <c r="N686" s="46"/>
      <c r="O686" s="46"/>
      <c r="P686" s="47"/>
      <c r="Q686" s="46"/>
      <c r="R686" s="46"/>
      <c r="S686" s="48"/>
      <c r="T686" s="61" t="str">
        <f>IF(Tableau1[[#This Row],[DMS_SAP]]="","",HYPERLINK(Tableau1[[#This Row],[Chemin fichier source]],"X"))</f>
        <v/>
      </c>
      <c r="U686" s="61" t="str">
        <f>IF(Tableau1[[#This Row],[Date rév.]]="","",HYPERLINK(Tableau1[[#This Row],[Lien document]],"X"))</f>
        <v/>
      </c>
      <c r="V686" s="47"/>
      <c r="W686" s="49" t="str">
        <f ca="1">Chemin_accès!$B$2&amp;Tableau1[[#This Row],[Poste Responsable]]&amp;"\"&amp;Tableau1[[#This Row],[Localisation / Classement]]&amp;"\"&amp;Tableau1[[#This Row],[Poste technique]]&amp;"_"&amp;Tableau1[[#This Row],[Plan Entretien]]&amp;".pdf"</f>
        <v>\\stjn.local\trimet\Donnees_Projets\Dms Sap\Maintenance\PlanEntretien\7.MSCT\\_.pdf</v>
      </c>
      <c r="X686" s="47"/>
      <c r="Y686" s="47"/>
      <c r="Z686" s="44" t="str">
        <f ca="1">IF(AND(Tableau1[[#This Row],[Charge]]&lt;&gt;0, Tableau1[[#This Row],[Nombre intervenants]]&lt;&gt;0,Tableau1[[#This Row],[Lien document]]&lt;&gt;0,Tableau1[[#This Row],[DMS_SAP]]&lt;&gt;0)=TRUE,"MIS A JOUR","")</f>
        <v/>
      </c>
      <c r="AA686" s="48"/>
      <c r="AB686" s="58" t="str">
        <f ca="1">IF(Tableau1[[#This Row],[Date rév.]]&lt;&gt;"", DAYS360(Tableau1[[#This Row],[Date rév.]],TODAY()),"")</f>
        <v/>
      </c>
      <c r="AC686" s="47" t="str">
        <f>IFERROR(INDEX(Chemin_accès!$B$11:$C$22,MATCH(Tableau1[[#This Row],[Type]],Chemin_accès!$C$11:$C$22,0),1),Chemin_accès!$B$11)</f>
        <v>\\stjn.local\trimet\Btechnique\Commun\BT Maint SCELLEMENT\205 - Préventifs\Modèles préventif\GammeDMS_7.MSCT.xlsm</v>
      </c>
      <c r="AD686" s="47" t="str">
        <f>Chemin_accès!$B$8&amp;Tableau1[[#This Row],[Localisation / Classement]]&amp;"\"&amp;Tableau1[[#This Row],[Poste technique]]&amp;"_"&amp;Tableau1[[#This Row],[Plan Entretien]]&amp;".xlsm"</f>
        <v>\\stjn.local\trimet\Btechnique\Commun\BT Maint SCELLEMENT\205 - Préventifs\Gammes 7.MSCT PE Tool\\_.xlsm</v>
      </c>
    </row>
    <row r="687" spans="1:30" x14ac:dyDescent="0.3">
      <c r="A687" s="44" t="str">
        <f t="shared" ca="1" si="10"/>
        <v>7.MSCT</v>
      </c>
      <c r="B6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7" s="46"/>
      <c r="D687" s="44"/>
      <c r="E687" s="44"/>
      <c r="F687" s="47"/>
      <c r="G687" s="47"/>
      <c r="H687" s="50"/>
      <c r="I687" s="50"/>
      <c r="J687" s="50"/>
      <c r="K687" s="50"/>
      <c r="L687" s="46"/>
      <c r="M687" s="47"/>
      <c r="N687" s="46"/>
      <c r="O687" s="46"/>
      <c r="P687" s="47"/>
      <c r="Q687" s="46"/>
      <c r="R687" s="46"/>
      <c r="S687" s="48"/>
      <c r="T687" s="61" t="str">
        <f>IF(Tableau1[[#This Row],[DMS_SAP]]="","",HYPERLINK(Tableau1[[#This Row],[Chemin fichier source]],"X"))</f>
        <v/>
      </c>
      <c r="U687" s="61" t="str">
        <f>IF(Tableau1[[#This Row],[Date rév.]]="","",HYPERLINK(Tableau1[[#This Row],[Lien document]],"X"))</f>
        <v/>
      </c>
      <c r="V687" s="47"/>
      <c r="W687" s="49" t="str">
        <f ca="1">Chemin_accès!$B$2&amp;Tableau1[[#This Row],[Poste Responsable]]&amp;"\"&amp;Tableau1[[#This Row],[Localisation / Classement]]&amp;"\"&amp;Tableau1[[#This Row],[Poste technique]]&amp;"_"&amp;Tableau1[[#This Row],[Plan Entretien]]&amp;".pdf"</f>
        <v>\\stjn.local\trimet\Donnees_Projets\Dms Sap\Maintenance\PlanEntretien\7.MSCT\\_.pdf</v>
      </c>
      <c r="X687" s="47"/>
      <c r="Y687" s="47"/>
      <c r="Z687" s="44" t="str">
        <f ca="1">IF(AND(Tableau1[[#This Row],[Charge]]&lt;&gt;0, Tableau1[[#This Row],[Nombre intervenants]]&lt;&gt;0,Tableau1[[#This Row],[Lien document]]&lt;&gt;0,Tableau1[[#This Row],[DMS_SAP]]&lt;&gt;0)=TRUE,"MIS A JOUR","")</f>
        <v/>
      </c>
      <c r="AA687" s="48"/>
      <c r="AB687" s="58" t="str">
        <f ca="1">IF(Tableau1[[#This Row],[Date rév.]]&lt;&gt;"", DAYS360(Tableau1[[#This Row],[Date rév.]],TODAY()),"")</f>
        <v/>
      </c>
      <c r="AC687" s="47" t="str">
        <f>IFERROR(INDEX(Chemin_accès!$B$11:$C$22,MATCH(Tableau1[[#This Row],[Type]],Chemin_accès!$C$11:$C$22,0),1),Chemin_accès!$B$11)</f>
        <v>\\stjn.local\trimet\Btechnique\Commun\BT Maint SCELLEMENT\205 - Préventifs\Modèles préventif\GammeDMS_7.MSCT.xlsm</v>
      </c>
      <c r="AD687" s="47" t="str">
        <f>Chemin_accès!$B$8&amp;Tableau1[[#This Row],[Localisation / Classement]]&amp;"\"&amp;Tableau1[[#This Row],[Poste technique]]&amp;"_"&amp;Tableau1[[#This Row],[Plan Entretien]]&amp;".xlsm"</f>
        <v>\\stjn.local\trimet\Btechnique\Commun\BT Maint SCELLEMENT\205 - Préventifs\Gammes 7.MSCT PE Tool\\_.xlsm</v>
      </c>
    </row>
    <row r="688" spans="1:30" x14ac:dyDescent="0.3">
      <c r="A688" s="44" t="str">
        <f t="shared" ca="1" si="10"/>
        <v>7.MSCT</v>
      </c>
      <c r="B6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8" s="46"/>
      <c r="D688" s="44"/>
      <c r="E688" s="44"/>
      <c r="F688" s="47"/>
      <c r="G688" s="47"/>
      <c r="H688" s="50"/>
      <c r="I688" s="50"/>
      <c r="J688" s="50"/>
      <c r="K688" s="50"/>
      <c r="L688" s="46"/>
      <c r="M688" s="47"/>
      <c r="N688" s="46"/>
      <c r="O688" s="46"/>
      <c r="P688" s="47"/>
      <c r="Q688" s="46"/>
      <c r="R688" s="46"/>
      <c r="S688" s="48"/>
      <c r="T688" s="61" t="str">
        <f>IF(Tableau1[[#This Row],[DMS_SAP]]="","",HYPERLINK(Tableau1[[#This Row],[Chemin fichier source]],"X"))</f>
        <v/>
      </c>
      <c r="U688" s="61" t="str">
        <f>IF(Tableau1[[#This Row],[Date rév.]]="","",HYPERLINK(Tableau1[[#This Row],[Lien document]],"X"))</f>
        <v/>
      </c>
      <c r="V688" s="47"/>
      <c r="W688" s="49" t="str">
        <f ca="1">Chemin_accès!$B$2&amp;Tableau1[[#This Row],[Poste Responsable]]&amp;"\"&amp;Tableau1[[#This Row],[Localisation / Classement]]&amp;"\"&amp;Tableau1[[#This Row],[Poste technique]]&amp;"_"&amp;Tableau1[[#This Row],[Plan Entretien]]&amp;".pdf"</f>
        <v>\\stjn.local\trimet\Donnees_Projets\Dms Sap\Maintenance\PlanEntretien\7.MSCT\\_.pdf</v>
      </c>
      <c r="X688" s="47"/>
      <c r="Y688" s="47"/>
      <c r="Z688" s="44" t="str">
        <f ca="1">IF(AND(Tableau1[[#This Row],[Charge]]&lt;&gt;0, Tableau1[[#This Row],[Nombre intervenants]]&lt;&gt;0,Tableau1[[#This Row],[Lien document]]&lt;&gt;0,Tableau1[[#This Row],[DMS_SAP]]&lt;&gt;0)=TRUE,"MIS A JOUR","")</f>
        <v/>
      </c>
      <c r="AA688" s="48"/>
      <c r="AB688" s="58" t="str">
        <f ca="1">IF(Tableau1[[#This Row],[Date rév.]]&lt;&gt;"", DAYS360(Tableau1[[#This Row],[Date rév.]],TODAY()),"")</f>
        <v/>
      </c>
      <c r="AC688" s="47" t="str">
        <f>IFERROR(INDEX(Chemin_accès!$B$11:$C$22,MATCH(Tableau1[[#This Row],[Type]],Chemin_accès!$C$11:$C$22,0),1),Chemin_accès!$B$11)</f>
        <v>\\stjn.local\trimet\Btechnique\Commun\BT Maint SCELLEMENT\205 - Préventifs\Modèles préventif\GammeDMS_7.MSCT.xlsm</v>
      </c>
      <c r="AD688" s="47" t="str">
        <f>Chemin_accès!$B$8&amp;Tableau1[[#This Row],[Localisation / Classement]]&amp;"\"&amp;Tableau1[[#This Row],[Poste technique]]&amp;"_"&amp;Tableau1[[#This Row],[Plan Entretien]]&amp;".xlsm"</f>
        <v>\\stjn.local\trimet\Btechnique\Commun\BT Maint SCELLEMENT\205 - Préventifs\Gammes 7.MSCT PE Tool\\_.xlsm</v>
      </c>
    </row>
    <row r="689" spans="1:30" x14ac:dyDescent="0.3">
      <c r="A689" s="44" t="str">
        <f t="shared" ca="1" si="10"/>
        <v>7.MSCT</v>
      </c>
      <c r="B6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9" s="46"/>
      <c r="D689" s="44"/>
      <c r="E689" s="44"/>
      <c r="F689" s="47"/>
      <c r="G689" s="47"/>
      <c r="H689" s="50"/>
      <c r="I689" s="50"/>
      <c r="J689" s="50"/>
      <c r="K689" s="50"/>
      <c r="L689" s="46"/>
      <c r="M689" s="47"/>
      <c r="N689" s="46"/>
      <c r="O689" s="46"/>
      <c r="P689" s="47"/>
      <c r="Q689" s="46"/>
      <c r="R689" s="46"/>
      <c r="S689" s="48"/>
      <c r="T689" s="61" t="str">
        <f>IF(Tableau1[[#This Row],[DMS_SAP]]="","",HYPERLINK(Tableau1[[#This Row],[Chemin fichier source]],"X"))</f>
        <v/>
      </c>
      <c r="U689" s="61" t="str">
        <f>IF(Tableau1[[#This Row],[Date rév.]]="","",HYPERLINK(Tableau1[[#This Row],[Lien document]],"X"))</f>
        <v/>
      </c>
      <c r="V689" s="47"/>
      <c r="W689" s="49" t="str">
        <f ca="1">Chemin_accès!$B$2&amp;Tableau1[[#This Row],[Poste Responsable]]&amp;"\"&amp;Tableau1[[#This Row],[Localisation / Classement]]&amp;"\"&amp;Tableau1[[#This Row],[Poste technique]]&amp;"_"&amp;Tableau1[[#This Row],[Plan Entretien]]&amp;".pdf"</f>
        <v>\\stjn.local\trimet\Donnees_Projets\Dms Sap\Maintenance\PlanEntretien\7.MSCT\\_.pdf</v>
      </c>
      <c r="X689" s="47"/>
      <c r="Y689" s="47"/>
      <c r="Z689" s="44" t="str">
        <f ca="1">IF(AND(Tableau1[[#This Row],[Charge]]&lt;&gt;0, Tableau1[[#This Row],[Nombre intervenants]]&lt;&gt;0,Tableau1[[#This Row],[Lien document]]&lt;&gt;0,Tableau1[[#This Row],[DMS_SAP]]&lt;&gt;0)=TRUE,"MIS A JOUR","")</f>
        <v/>
      </c>
      <c r="AA689" s="48"/>
      <c r="AB689" s="58" t="str">
        <f ca="1">IF(Tableau1[[#This Row],[Date rév.]]&lt;&gt;"", DAYS360(Tableau1[[#This Row],[Date rév.]],TODAY()),"")</f>
        <v/>
      </c>
      <c r="AC689" s="47" t="str">
        <f>IFERROR(INDEX(Chemin_accès!$B$11:$C$22,MATCH(Tableau1[[#This Row],[Type]],Chemin_accès!$C$11:$C$22,0),1),Chemin_accès!$B$11)</f>
        <v>\\stjn.local\trimet\Btechnique\Commun\BT Maint SCELLEMENT\205 - Préventifs\Modèles préventif\GammeDMS_7.MSCT.xlsm</v>
      </c>
      <c r="AD689" s="47" t="str">
        <f>Chemin_accès!$B$8&amp;Tableau1[[#This Row],[Localisation / Classement]]&amp;"\"&amp;Tableau1[[#This Row],[Poste technique]]&amp;"_"&amp;Tableau1[[#This Row],[Plan Entretien]]&amp;".xlsm"</f>
        <v>\\stjn.local\trimet\Btechnique\Commun\BT Maint SCELLEMENT\205 - Préventifs\Gammes 7.MSCT PE Tool\\_.xlsm</v>
      </c>
    </row>
    <row r="690" spans="1:30" x14ac:dyDescent="0.3">
      <c r="A690" s="44" t="str">
        <f t="shared" ca="1" si="10"/>
        <v>7.MSCT</v>
      </c>
      <c r="B6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0" s="46"/>
      <c r="D690" s="44"/>
      <c r="E690" s="44"/>
      <c r="F690" s="47"/>
      <c r="G690" s="47"/>
      <c r="H690" s="50"/>
      <c r="I690" s="50"/>
      <c r="J690" s="50"/>
      <c r="K690" s="50"/>
      <c r="L690" s="46"/>
      <c r="M690" s="47"/>
      <c r="N690" s="46"/>
      <c r="O690" s="46"/>
      <c r="P690" s="47"/>
      <c r="Q690" s="46"/>
      <c r="R690" s="46"/>
      <c r="S690" s="48"/>
      <c r="T690" s="61" t="str">
        <f>IF(Tableau1[[#This Row],[DMS_SAP]]="","",HYPERLINK(Tableau1[[#This Row],[Chemin fichier source]],"X"))</f>
        <v/>
      </c>
      <c r="U690" s="61" t="str">
        <f>IF(Tableau1[[#This Row],[Date rév.]]="","",HYPERLINK(Tableau1[[#This Row],[Lien document]],"X"))</f>
        <v/>
      </c>
      <c r="V690" s="47"/>
      <c r="W690" s="49" t="str">
        <f ca="1">Chemin_accès!$B$2&amp;Tableau1[[#This Row],[Poste Responsable]]&amp;"\"&amp;Tableau1[[#This Row],[Localisation / Classement]]&amp;"\"&amp;Tableau1[[#This Row],[Poste technique]]&amp;"_"&amp;Tableau1[[#This Row],[Plan Entretien]]&amp;".pdf"</f>
        <v>\\stjn.local\trimet\Donnees_Projets\Dms Sap\Maintenance\PlanEntretien\7.MSCT\\_.pdf</v>
      </c>
      <c r="X690" s="47"/>
      <c r="Y690" s="47"/>
      <c r="Z690" s="44" t="str">
        <f ca="1">IF(AND(Tableau1[[#This Row],[Charge]]&lt;&gt;0, Tableau1[[#This Row],[Nombre intervenants]]&lt;&gt;0,Tableau1[[#This Row],[Lien document]]&lt;&gt;0,Tableau1[[#This Row],[DMS_SAP]]&lt;&gt;0)=TRUE,"MIS A JOUR","")</f>
        <v/>
      </c>
      <c r="AA690" s="48"/>
      <c r="AB690" s="58" t="str">
        <f ca="1">IF(Tableau1[[#This Row],[Date rév.]]&lt;&gt;"", DAYS360(Tableau1[[#This Row],[Date rév.]],TODAY()),"")</f>
        <v/>
      </c>
      <c r="AC690" s="47" t="str">
        <f>IFERROR(INDEX(Chemin_accès!$B$11:$C$22,MATCH(Tableau1[[#This Row],[Type]],Chemin_accès!$C$11:$C$22,0),1),Chemin_accès!$B$11)</f>
        <v>\\stjn.local\trimet\Btechnique\Commun\BT Maint SCELLEMENT\205 - Préventifs\Modèles préventif\GammeDMS_7.MSCT.xlsm</v>
      </c>
      <c r="AD690" s="47" t="str">
        <f>Chemin_accès!$B$8&amp;Tableau1[[#This Row],[Localisation / Classement]]&amp;"\"&amp;Tableau1[[#This Row],[Poste technique]]&amp;"_"&amp;Tableau1[[#This Row],[Plan Entretien]]&amp;".xlsm"</f>
        <v>\\stjn.local\trimet\Btechnique\Commun\BT Maint SCELLEMENT\205 - Préventifs\Gammes 7.MSCT PE Tool\\_.xlsm</v>
      </c>
    </row>
    <row r="691" spans="1:30" x14ac:dyDescent="0.3">
      <c r="A691" s="44" t="str">
        <f t="shared" ca="1" si="10"/>
        <v>7.MSCT</v>
      </c>
      <c r="B6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1" s="46"/>
      <c r="D691" s="44"/>
      <c r="E691" s="44"/>
      <c r="F691" s="47"/>
      <c r="G691" s="47"/>
      <c r="H691" s="50"/>
      <c r="I691" s="50"/>
      <c r="J691" s="50"/>
      <c r="K691" s="50"/>
      <c r="L691" s="46"/>
      <c r="M691" s="47"/>
      <c r="N691" s="46"/>
      <c r="O691" s="46"/>
      <c r="P691" s="47"/>
      <c r="Q691" s="46"/>
      <c r="R691" s="46"/>
      <c r="S691" s="48"/>
      <c r="T691" s="61" t="str">
        <f>IF(Tableau1[[#This Row],[DMS_SAP]]="","",HYPERLINK(Tableau1[[#This Row],[Chemin fichier source]],"X"))</f>
        <v/>
      </c>
      <c r="U691" s="61" t="str">
        <f>IF(Tableau1[[#This Row],[Date rév.]]="","",HYPERLINK(Tableau1[[#This Row],[Lien document]],"X"))</f>
        <v/>
      </c>
      <c r="V691" s="47"/>
      <c r="W691" s="49" t="str">
        <f ca="1">Chemin_accès!$B$2&amp;Tableau1[[#This Row],[Poste Responsable]]&amp;"\"&amp;Tableau1[[#This Row],[Localisation / Classement]]&amp;"\"&amp;Tableau1[[#This Row],[Poste technique]]&amp;"_"&amp;Tableau1[[#This Row],[Plan Entretien]]&amp;".pdf"</f>
        <v>\\stjn.local\trimet\Donnees_Projets\Dms Sap\Maintenance\PlanEntretien\7.MSCT\\_.pdf</v>
      </c>
      <c r="X691" s="47"/>
      <c r="Y691" s="47"/>
      <c r="Z691" s="44" t="str">
        <f ca="1">IF(AND(Tableau1[[#This Row],[Charge]]&lt;&gt;0, Tableau1[[#This Row],[Nombre intervenants]]&lt;&gt;0,Tableau1[[#This Row],[Lien document]]&lt;&gt;0,Tableau1[[#This Row],[DMS_SAP]]&lt;&gt;0)=TRUE,"MIS A JOUR","")</f>
        <v/>
      </c>
      <c r="AA691" s="48"/>
      <c r="AB691" s="58" t="str">
        <f ca="1">IF(Tableau1[[#This Row],[Date rév.]]&lt;&gt;"", DAYS360(Tableau1[[#This Row],[Date rév.]],TODAY()),"")</f>
        <v/>
      </c>
      <c r="AC691" s="47" t="str">
        <f>IFERROR(INDEX(Chemin_accès!$B$11:$C$22,MATCH(Tableau1[[#This Row],[Type]],Chemin_accès!$C$11:$C$22,0),1),Chemin_accès!$B$11)</f>
        <v>\\stjn.local\trimet\Btechnique\Commun\BT Maint SCELLEMENT\205 - Préventifs\Modèles préventif\GammeDMS_7.MSCT.xlsm</v>
      </c>
      <c r="AD691" s="47" t="str">
        <f>Chemin_accès!$B$8&amp;Tableau1[[#This Row],[Localisation / Classement]]&amp;"\"&amp;Tableau1[[#This Row],[Poste technique]]&amp;"_"&amp;Tableau1[[#This Row],[Plan Entretien]]&amp;".xlsm"</f>
        <v>\\stjn.local\trimet\Btechnique\Commun\BT Maint SCELLEMENT\205 - Préventifs\Gammes 7.MSCT PE Tool\\_.xlsm</v>
      </c>
    </row>
    <row r="692" spans="1:30" x14ac:dyDescent="0.3">
      <c r="A692" s="44" t="str">
        <f t="shared" ca="1" si="10"/>
        <v>7.MSCT</v>
      </c>
      <c r="B6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2" s="46"/>
      <c r="D692" s="44"/>
      <c r="E692" s="44"/>
      <c r="F692" s="47"/>
      <c r="G692" s="47"/>
      <c r="H692" s="50"/>
      <c r="I692" s="50"/>
      <c r="J692" s="50"/>
      <c r="K692" s="50"/>
      <c r="L692" s="46"/>
      <c r="M692" s="47"/>
      <c r="N692" s="46"/>
      <c r="O692" s="46"/>
      <c r="P692" s="47"/>
      <c r="Q692" s="46"/>
      <c r="R692" s="46"/>
      <c r="S692" s="48"/>
      <c r="T692" s="61" t="str">
        <f>IF(Tableau1[[#This Row],[DMS_SAP]]="","",HYPERLINK(Tableau1[[#This Row],[Chemin fichier source]],"X"))</f>
        <v/>
      </c>
      <c r="U692" s="61" t="str">
        <f>IF(Tableau1[[#This Row],[Date rév.]]="","",HYPERLINK(Tableau1[[#This Row],[Lien document]],"X"))</f>
        <v/>
      </c>
      <c r="V692" s="47"/>
      <c r="W692" s="49" t="str">
        <f ca="1">Chemin_accès!$B$2&amp;Tableau1[[#This Row],[Poste Responsable]]&amp;"\"&amp;Tableau1[[#This Row],[Localisation / Classement]]&amp;"\"&amp;Tableau1[[#This Row],[Poste technique]]&amp;"_"&amp;Tableau1[[#This Row],[Plan Entretien]]&amp;".pdf"</f>
        <v>\\stjn.local\trimet\Donnees_Projets\Dms Sap\Maintenance\PlanEntretien\7.MSCT\\_.pdf</v>
      </c>
      <c r="X692" s="47"/>
      <c r="Y692" s="47"/>
      <c r="Z692" s="44" t="str">
        <f ca="1">IF(AND(Tableau1[[#This Row],[Charge]]&lt;&gt;0, Tableau1[[#This Row],[Nombre intervenants]]&lt;&gt;0,Tableau1[[#This Row],[Lien document]]&lt;&gt;0,Tableau1[[#This Row],[DMS_SAP]]&lt;&gt;0)=TRUE,"MIS A JOUR","")</f>
        <v/>
      </c>
      <c r="AA692" s="48"/>
      <c r="AB692" s="58" t="str">
        <f ca="1">IF(Tableau1[[#This Row],[Date rév.]]&lt;&gt;"", DAYS360(Tableau1[[#This Row],[Date rév.]],TODAY()),"")</f>
        <v/>
      </c>
      <c r="AC692" s="47" t="str">
        <f>IFERROR(INDEX(Chemin_accès!$B$11:$C$22,MATCH(Tableau1[[#This Row],[Type]],Chemin_accès!$C$11:$C$22,0),1),Chemin_accès!$B$11)</f>
        <v>\\stjn.local\trimet\Btechnique\Commun\BT Maint SCELLEMENT\205 - Préventifs\Modèles préventif\GammeDMS_7.MSCT.xlsm</v>
      </c>
      <c r="AD692" s="47" t="str">
        <f>Chemin_accès!$B$8&amp;Tableau1[[#This Row],[Localisation / Classement]]&amp;"\"&amp;Tableau1[[#This Row],[Poste technique]]&amp;"_"&amp;Tableau1[[#This Row],[Plan Entretien]]&amp;".xlsm"</f>
        <v>\\stjn.local\trimet\Btechnique\Commun\BT Maint SCELLEMENT\205 - Préventifs\Gammes 7.MSCT PE Tool\\_.xlsm</v>
      </c>
    </row>
    <row r="693" spans="1:30" x14ac:dyDescent="0.3">
      <c r="A693" s="44" t="str">
        <f t="shared" ca="1" si="10"/>
        <v>7.MSCT</v>
      </c>
      <c r="B6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3" s="46"/>
      <c r="D693" s="44"/>
      <c r="E693" s="44"/>
      <c r="F693" s="47"/>
      <c r="G693" s="47"/>
      <c r="H693" s="50"/>
      <c r="I693" s="50"/>
      <c r="J693" s="50"/>
      <c r="K693" s="50"/>
      <c r="L693" s="46"/>
      <c r="M693" s="47"/>
      <c r="N693" s="46"/>
      <c r="O693" s="46"/>
      <c r="P693" s="47"/>
      <c r="Q693" s="46"/>
      <c r="R693" s="46"/>
      <c r="S693" s="48"/>
      <c r="T693" s="61" t="str">
        <f>IF(Tableau1[[#This Row],[DMS_SAP]]="","",HYPERLINK(Tableau1[[#This Row],[Chemin fichier source]],"X"))</f>
        <v/>
      </c>
      <c r="U693" s="61" t="str">
        <f>IF(Tableau1[[#This Row],[Date rév.]]="","",HYPERLINK(Tableau1[[#This Row],[Lien document]],"X"))</f>
        <v/>
      </c>
      <c r="V693" s="47"/>
      <c r="W693" s="49" t="str">
        <f ca="1">Chemin_accès!$B$2&amp;Tableau1[[#This Row],[Poste Responsable]]&amp;"\"&amp;Tableau1[[#This Row],[Localisation / Classement]]&amp;"\"&amp;Tableau1[[#This Row],[Poste technique]]&amp;"_"&amp;Tableau1[[#This Row],[Plan Entretien]]&amp;".pdf"</f>
        <v>\\stjn.local\trimet\Donnees_Projets\Dms Sap\Maintenance\PlanEntretien\7.MSCT\\_.pdf</v>
      </c>
      <c r="X693" s="47"/>
      <c r="Y693" s="47"/>
      <c r="Z693" s="44" t="str">
        <f ca="1">IF(AND(Tableau1[[#This Row],[Charge]]&lt;&gt;0, Tableau1[[#This Row],[Nombre intervenants]]&lt;&gt;0,Tableau1[[#This Row],[Lien document]]&lt;&gt;0,Tableau1[[#This Row],[DMS_SAP]]&lt;&gt;0)=TRUE,"MIS A JOUR","")</f>
        <v/>
      </c>
      <c r="AA693" s="48"/>
      <c r="AB693" s="58" t="str">
        <f ca="1">IF(Tableau1[[#This Row],[Date rév.]]&lt;&gt;"", DAYS360(Tableau1[[#This Row],[Date rév.]],TODAY()),"")</f>
        <v/>
      </c>
      <c r="AC693" s="47" t="str">
        <f>IFERROR(INDEX(Chemin_accès!$B$11:$C$22,MATCH(Tableau1[[#This Row],[Type]],Chemin_accès!$C$11:$C$22,0),1),Chemin_accès!$B$11)</f>
        <v>\\stjn.local\trimet\Btechnique\Commun\BT Maint SCELLEMENT\205 - Préventifs\Modèles préventif\GammeDMS_7.MSCT.xlsm</v>
      </c>
      <c r="AD693" s="47" t="str">
        <f>Chemin_accès!$B$8&amp;Tableau1[[#This Row],[Localisation / Classement]]&amp;"\"&amp;Tableau1[[#This Row],[Poste technique]]&amp;"_"&amp;Tableau1[[#This Row],[Plan Entretien]]&amp;".xlsm"</f>
        <v>\\stjn.local\trimet\Btechnique\Commun\BT Maint SCELLEMENT\205 - Préventifs\Gammes 7.MSCT PE Tool\\_.xlsm</v>
      </c>
    </row>
    <row r="694" spans="1:30" x14ac:dyDescent="0.3">
      <c r="A694" s="44" t="str">
        <f t="shared" ca="1" si="10"/>
        <v>7.MSCT</v>
      </c>
      <c r="B6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4" s="46"/>
      <c r="D694" s="44"/>
      <c r="E694" s="44"/>
      <c r="F694" s="47"/>
      <c r="G694" s="47"/>
      <c r="H694" s="50"/>
      <c r="I694" s="50"/>
      <c r="J694" s="50"/>
      <c r="K694" s="50"/>
      <c r="L694" s="46"/>
      <c r="M694" s="47"/>
      <c r="N694" s="46"/>
      <c r="O694" s="46"/>
      <c r="P694" s="47"/>
      <c r="Q694" s="46"/>
      <c r="R694" s="46"/>
      <c r="S694" s="48"/>
      <c r="T694" s="61" t="str">
        <f>IF(Tableau1[[#This Row],[DMS_SAP]]="","",HYPERLINK(Tableau1[[#This Row],[Chemin fichier source]],"X"))</f>
        <v/>
      </c>
      <c r="U694" s="61" t="str">
        <f>IF(Tableau1[[#This Row],[Date rév.]]="","",HYPERLINK(Tableau1[[#This Row],[Lien document]],"X"))</f>
        <v/>
      </c>
      <c r="V694" s="47"/>
      <c r="W694" s="49" t="str">
        <f ca="1">Chemin_accès!$B$2&amp;Tableau1[[#This Row],[Poste Responsable]]&amp;"\"&amp;Tableau1[[#This Row],[Localisation / Classement]]&amp;"\"&amp;Tableau1[[#This Row],[Poste technique]]&amp;"_"&amp;Tableau1[[#This Row],[Plan Entretien]]&amp;".pdf"</f>
        <v>\\stjn.local\trimet\Donnees_Projets\Dms Sap\Maintenance\PlanEntretien\7.MSCT\\_.pdf</v>
      </c>
      <c r="X694" s="47"/>
      <c r="Y694" s="47"/>
      <c r="Z694" s="44" t="str">
        <f ca="1">IF(AND(Tableau1[[#This Row],[Charge]]&lt;&gt;0, Tableau1[[#This Row],[Nombre intervenants]]&lt;&gt;0,Tableau1[[#This Row],[Lien document]]&lt;&gt;0,Tableau1[[#This Row],[DMS_SAP]]&lt;&gt;0)=TRUE,"MIS A JOUR","")</f>
        <v/>
      </c>
      <c r="AA694" s="48"/>
      <c r="AB694" s="58" t="str">
        <f ca="1">IF(Tableau1[[#This Row],[Date rév.]]&lt;&gt;"", DAYS360(Tableau1[[#This Row],[Date rév.]],TODAY()),"")</f>
        <v/>
      </c>
      <c r="AC694" s="47" t="str">
        <f>IFERROR(INDEX(Chemin_accès!$B$11:$C$22,MATCH(Tableau1[[#This Row],[Type]],Chemin_accès!$C$11:$C$22,0),1),Chemin_accès!$B$11)</f>
        <v>\\stjn.local\trimet\Btechnique\Commun\BT Maint SCELLEMENT\205 - Préventifs\Modèles préventif\GammeDMS_7.MSCT.xlsm</v>
      </c>
      <c r="AD694" s="47" t="str">
        <f>Chemin_accès!$B$8&amp;Tableau1[[#This Row],[Localisation / Classement]]&amp;"\"&amp;Tableau1[[#This Row],[Poste technique]]&amp;"_"&amp;Tableau1[[#This Row],[Plan Entretien]]&amp;".xlsm"</f>
        <v>\\stjn.local\trimet\Btechnique\Commun\BT Maint SCELLEMENT\205 - Préventifs\Gammes 7.MSCT PE Tool\\_.xlsm</v>
      </c>
    </row>
    <row r="695" spans="1:30" x14ac:dyDescent="0.3">
      <c r="A695" s="44" t="str">
        <f t="shared" ca="1" si="10"/>
        <v>7.MSCT</v>
      </c>
      <c r="B6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5" s="46"/>
      <c r="D695" s="44"/>
      <c r="E695" s="44"/>
      <c r="F695" s="47"/>
      <c r="G695" s="47"/>
      <c r="H695" s="50"/>
      <c r="I695" s="50"/>
      <c r="J695" s="50"/>
      <c r="K695" s="50"/>
      <c r="L695" s="46"/>
      <c r="M695" s="47"/>
      <c r="N695" s="46"/>
      <c r="O695" s="46"/>
      <c r="P695" s="47"/>
      <c r="Q695" s="46"/>
      <c r="R695" s="46"/>
      <c r="S695" s="48"/>
      <c r="T695" s="61" t="str">
        <f>IF(Tableau1[[#This Row],[DMS_SAP]]="","",HYPERLINK(Tableau1[[#This Row],[Chemin fichier source]],"X"))</f>
        <v/>
      </c>
      <c r="U695" s="61" t="str">
        <f>IF(Tableau1[[#This Row],[Date rév.]]="","",HYPERLINK(Tableau1[[#This Row],[Lien document]],"X"))</f>
        <v/>
      </c>
      <c r="V695" s="47"/>
      <c r="W695" s="49" t="str">
        <f ca="1">Chemin_accès!$B$2&amp;Tableau1[[#This Row],[Poste Responsable]]&amp;"\"&amp;Tableau1[[#This Row],[Localisation / Classement]]&amp;"\"&amp;Tableau1[[#This Row],[Poste technique]]&amp;"_"&amp;Tableau1[[#This Row],[Plan Entretien]]&amp;".pdf"</f>
        <v>\\stjn.local\trimet\Donnees_Projets\Dms Sap\Maintenance\PlanEntretien\7.MSCT\\_.pdf</v>
      </c>
      <c r="X695" s="47"/>
      <c r="Y695" s="47"/>
      <c r="Z695" s="44" t="str">
        <f ca="1">IF(AND(Tableau1[[#This Row],[Charge]]&lt;&gt;0, Tableau1[[#This Row],[Nombre intervenants]]&lt;&gt;0,Tableau1[[#This Row],[Lien document]]&lt;&gt;0,Tableau1[[#This Row],[DMS_SAP]]&lt;&gt;0)=TRUE,"MIS A JOUR","")</f>
        <v/>
      </c>
      <c r="AA695" s="48"/>
      <c r="AB695" s="58" t="str">
        <f ca="1">IF(Tableau1[[#This Row],[Date rév.]]&lt;&gt;"", DAYS360(Tableau1[[#This Row],[Date rév.]],TODAY()),"")</f>
        <v/>
      </c>
      <c r="AC695" s="47" t="str">
        <f>IFERROR(INDEX(Chemin_accès!$B$11:$C$22,MATCH(Tableau1[[#This Row],[Type]],Chemin_accès!$C$11:$C$22,0),1),Chemin_accès!$B$11)</f>
        <v>\\stjn.local\trimet\Btechnique\Commun\BT Maint SCELLEMENT\205 - Préventifs\Modèles préventif\GammeDMS_7.MSCT.xlsm</v>
      </c>
      <c r="AD695" s="47" t="str">
        <f>Chemin_accès!$B$8&amp;Tableau1[[#This Row],[Localisation / Classement]]&amp;"\"&amp;Tableau1[[#This Row],[Poste technique]]&amp;"_"&amp;Tableau1[[#This Row],[Plan Entretien]]&amp;".xlsm"</f>
        <v>\\stjn.local\trimet\Btechnique\Commun\BT Maint SCELLEMENT\205 - Préventifs\Gammes 7.MSCT PE Tool\\_.xlsm</v>
      </c>
    </row>
    <row r="696" spans="1:30" x14ac:dyDescent="0.3">
      <c r="A696" s="44" t="str">
        <f t="shared" ca="1" si="10"/>
        <v>7.MSCT</v>
      </c>
      <c r="B6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6" s="46"/>
      <c r="D696" s="44"/>
      <c r="E696" s="44"/>
      <c r="F696" s="47"/>
      <c r="G696" s="47"/>
      <c r="H696" s="50"/>
      <c r="I696" s="50"/>
      <c r="J696" s="50"/>
      <c r="K696" s="50"/>
      <c r="L696" s="46"/>
      <c r="M696" s="47"/>
      <c r="N696" s="46"/>
      <c r="O696" s="46"/>
      <c r="P696" s="47"/>
      <c r="Q696" s="46"/>
      <c r="R696" s="46"/>
      <c r="S696" s="48"/>
      <c r="T696" s="61" t="str">
        <f>IF(Tableau1[[#This Row],[DMS_SAP]]="","",HYPERLINK(Tableau1[[#This Row],[Chemin fichier source]],"X"))</f>
        <v/>
      </c>
      <c r="U696" s="61" t="str">
        <f>IF(Tableau1[[#This Row],[Date rév.]]="","",HYPERLINK(Tableau1[[#This Row],[Lien document]],"X"))</f>
        <v/>
      </c>
      <c r="V696" s="47"/>
      <c r="W696" s="49" t="str">
        <f ca="1">Chemin_accès!$B$2&amp;Tableau1[[#This Row],[Poste Responsable]]&amp;"\"&amp;Tableau1[[#This Row],[Localisation / Classement]]&amp;"\"&amp;Tableau1[[#This Row],[Poste technique]]&amp;"_"&amp;Tableau1[[#This Row],[Plan Entretien]]&amp;".pdf"</f>
        <v>\\stjn.local\trimet\Donnees_Projets\Dms Sap\Maintenance\PlanEntretien\7.MSCT\\_.pdf</v>
      </c>
      <c r="X696" s="47"/>
      <c r="Y696" s="47"/>
      <c r="Z696" s="44" t="str">
        <f ca="1">IF(AND(Tableau1[[#This Row],[Charge]]&lt;&gt;0, Tableau1[[#This Row],[Nombre intervenants]]&lt;&gt;0,Tableau1[[#This Row],[Lien document]]&lt;&gt;0,Tableau1[[#This Row],[DMS_SAP]]&lt;&gt;0)=TRUE,"MIS A JOUR","")</f>
        <v/>
      </c>
      <c r="AA696" s="48"/>
      <c r="AB696" s="58" t="str">
        <f ca="1">IF(Tableau1[[#This Row],[Date rév.]]&lt;&gt;"", DAYS360(Tableau1[[#This Row],[Date rév.]],TODAY()),"")</f>
        <v/>
      </c>
      <c r="AC696" s="47" t="str">
        <f>IFERROR(INDEX(Chemin_accès!$B$11:$C$22,MATCH(Tableau1[[#This Row],[Type]],Chemin_accès!$C$11:$C$22,0),1),Chemin_accès!$B$11)</f>
        <v>\\stjn.local\trimet\Btechnique\Commun\BT Maint SCELLEMENT\205 - Préventifs\Modèles préventif\GammeDMS_7.MSCT.xlsm</v>
      </c>
      <c r="AD696" s="47" t="str">
        <f>Chemin_accès!$B$8&amp;Tableau1[[#This Row],[Localisation / Classement]]&amp;"\"&amp;Tableau1[[#This Row],[Poste technique]]&amp;"_"&amp;Tableau1[[#This Row],[Plan Entretien]]&amp;".xlsm"</f>
        <v>\\stjn.local\trimet\Btechnique\Commun\BT Maint SCELLEMENT\205 - Préventifs\Gammes 7.MSCT PE Tool\\_.xlsm</v>
      </c>
    </row>
    <row r="697" spans="1:30" x14ac:dyDescent="0.3">
      <c r="A697" s="44" t="str">
        <f t="shared" ca="1" si="10"/>
        <v>7.MSCT</v>
      </c>
      <c r="B6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7" s="46"/>
      <c r="D697" s="44"/>
      <c r="E697" s="44"/>
      <c r="F697" s="47"/>
      <c r="G697" s="47"/>
      <c r="H697" s="50"/>
      <c r="I697" s="50"/>
      <c r="J697" s="50"/>
      <c r="K697" s="50"/>
      <c r="L697" s="46"/>
      <c r="M697" s="47"/>
      <c r="N697" s="46"/>
      <c r="O697" s="46"/>
      <c r="P697" s="47"/>
      <c r="Q697" s="46"/>
      <c r="R697" s="46"/>
      <c r="S697" s="48"/>
      <c r="T697" s="61" t="str">
        <f>IF(Tableau1[[#This Row],[DMS_SAP]]="","",HYPERLINK(Tableau1[[#This Row],[Chemin fichier source]],"X"))</f>
        <v/>
      </c>
      <c r="U697" s="61" t="str">
        <f>IF(Tableau1[[#This Row],[Date rév.]]="","",HYPERLINK(Tableau1[[#This Row],[Lien document]],"X"))</f>
        <v/>
      </c>
      <c r="V697" s="47"/>
      <c r="W697" s="49" t="str">
        <f ca="1">Chemin_accès!$B$2&amp;Tableau1[[#This Row],[Poste Responsable]]&amp;"\"&amp;Tableau1[[#This Row],[Localisation / Classement]]&amp;"\"&amp;Tableau1[[#This Row],[Poste technique]]&amp;"_"&amp;Tableau1[[#This Row],[Plan Entretien]]&amp;".pdf"</f>
        <v>\\stjn.local\trimet\Donnees_Projets\Dms Sap\Maintenance\PlanEntretien\7.MSCT\\_.pdf</v>
      </c>
      <c r="X697" s="47"/>
      <c r="Y697" s="47"/>
      <c r="Z697" s="44" t="str">
        <f ca="1">IF(AND(Tableau1[[#This Row],[Charge]]&lt;&gt;0, Tableau1[[#This Row],[Nombre intervenants]]&lt;&gt;0,Tableau1[[#This Row],[Lien document]]&lt;&gt;0,Tableau1[[#This Row],[DMS_SAP]]&lt;&gt;0)=TRUE,"MIS A JOUR","")</f>
        <v/>
      </c>
      <c r="AA697" s="48"/>
      <c r="AB697" s="58" t="str">
        <f ca="1">IF(Tableau1[[#This Row],[Date rév.]]&lt;&gt;"", DAYS360(Tableau1[[#This Row],[Date rév.]],TODAY()),"")</f>
        <v/>
      </c>
      <c r="AC697" s="47" t="str">
        <f>IFERROR(INDEX(Chemin_accès!$B$11:$C$22,MATCH(Tableau1[[#This Row],[Type]],Chemin_accès!$C$11:$C$22,0),1),Chemin_accès!$B$11)</f>
        <v>\\stjn.local\trimet\Btechnique\Commun\BT Maint SCELLEMENT\205 - Préventifs\Modèles préventif\GammeDMS_7.MSCT.xlsm</v>
      </c>
      <c r="AD697" s="47" t="str">
        <f>Chemin_accès!$B$8&amp;Tableau1[[#This Row],[Localisation / Classement]]&amp;"\"&amp;Tableau1[[#This Row],[Poste technique]]&amp;"_"&amp;Tableau1[[#This Row],[Plan Entretien]]&amp;".xlsm"</f>
        <v>\\stjn.local\trimet\Btechnique\Commun\BT Maint SCELLEMENT\205 - Préventifs\Gammes 7.MSCT PE Tool\\_.xlsm</v>
      </c>
    </row>
    <row r="698" spans="1:30" x14ac:dyDescent="0.3">
      <c r="A698" s="44" t="str">
        <f t="shared" ca="1" si="10"/>
        <v>7.MSCT</v>
      </c>
      <c r="B6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8" s="46"/>
      <c r="D698" s="44"/>
      <c r="E698" s="44"/>
      <c r="F698" s="47"/>
      <c r="G698" s="47"/>
      <c r="H698" s="50"/>
      <c r="I698" s="50"/>
      <c r="J698" s="50"/>
      <c r="K698" s="50"/>
      <c r="L698" s="46"/>
      <c r="M698" s="47"/>
      <c r="N698" s="46"/>
      <c r="O698" s="46"/>
      <c r="P698" s="47"/>
      <c r="Q698" s="46"/>
      <c r="R698" s="46"/>
      <c r="S698" s="48"/>
      <c r="T698" s="61" t="str">
        <f>IF(Tableau1[[#This Row],[DMS_SAP]]="","",HYPERLINK(Tableau1[[#This Row],[Chemin fichier source]],"X"))</f>
        <v/>
      </c>
      <c r="U698" s="61" t="str">
        <f>IF(Tableau1[[#This Row],[Date rév.]]="","",HYPERLINK(Tableau1[[#This Row],[Lien document]],"X"))</f>
        <v/>
      </c>
      <c r="V698" s="47"/>
      <c r="W698" s="49" t="str">
        <f ca="1">Chemin_accès!$B$2&amp;Tableau1[[#This Row],[Poste Responsable]]&amp;"\"&amp;Tableau1[[#This Row],[Localisation / Classement]]&amp;"\"&amp;Tableau1[[#This Row],[Poste technique]]&amp;"_"&amp;Tableau1[[#This Row],[Plan Entretien]]&amp;".pdf"</f>
        <v>\\stjn.local\trimet\Donnees_Projets\Dms Sap\Maintenance\PlanEntretien\7.MSCT\\_.pdf</v>
      </c>
      <c r="X698" s="47"/>
      <c r="Y698" s="47"/>
      <c r="Z698" s="44" t="str">
        <f ca="1">IF(AND(Tableau1[[#This Row],[Charge]]&lt;&gt;0, Tableau1[[#This Row],[Nombre intervenants]]&lt;&gt;0,Tableau1[[#This Row],[Lien document]]&lt;&gt;0,Tableau1[[#This Row],[DMS_SAP]]&lt;&gt;0)=TRUE,"MIS A JOUR","")</f>
        <v/>
      </c>
      <c r="AA698" s="48"/>
      <c r="AB698" s="58" t="str">
        <f ca="1">IF(Tableau1[[#This Row],[Date rév.]]&lt;&gt;"", DAYS360(Tableau1[[#This Row],[Date rév.]],TODAY()),"")</f>
        <v/>
      </c>
      <c r="AC698" s="47" t="str">
        <f>IFERROR(INDEX(Chemin_accès!$B$11:$C$22,MATCH(Tableau1[[#This Row],[Type]],Chemin_accès!$C$11:$C$22,0),1),Chemin_accès!$B$11)</f>
        <v>\\stjn.local\trimet\Btechnique\Commun\BT Maint SCELLEMENT\205 - Préventifs\Modèles préventif\GammeDMS_7.MSCT.xlsm</v>
      </c>
      <c r="AD698" s="47" t="str">
        <f>Chemin_accès!$B$8&amp;Tableau1[[#This Row],[Localisation / Classement]]&amp;"\"&amp;Tableau1[[#This Row],[Poste technique]]&amp;"_"&amp;Tableau1[[#This Row],[Plan Entretien]]&amp;".xlsm"</f>
        <v>\\stjn.local\trimet\Btechnique\Commun\BT Maint SCELLEMENT\205 - Préventifs\Gammes 7.MSCT PE Tool\\_.xlsm</v>
      </c>
    </row>
    <row r="699" spans="1:30" x14ac:dyDescent="0.3">
      <c r="A699" s="44" t="str">
        <f t="shared" ca="1" si="10"/>
        <v>7.MSCT</v>
      </c>
      <c r="B6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9" s="46"/>
      <c r="D699" s="44"/>
      <c r="E699" s="44"/>
      <c r="F699" s="47"/>
      <c r="G699" s="47"/>
      <c r="H699" s="50"/>
      <c r="I699" s="50"/>
      <c r="J699" s="50"/>
      <c r="K699" s="50"/>
      <c r="L699" s="46"/>
      <c r="M699" s="47"/>
      <c r="N699" s="46"/>
      <c r="O699" s="46"/>
      <c r="P699" s="47"/>
      <c r="Q699" s="46"/>
      <c r="R699" s="46"/>
      <c r="S699" s="48"/>
      <c r="T699" s="61" t="str">
        <f>IF(Tableau1[[#This Row],[DMS_SAP]]="","",HYPERLINK(Tableau1[[#This Row],[Chemin fichier source]],"X"))</f>
        <v/>
      </c>
      <c r="U699" s="61" t="str">
        <f>IF(Tableau1[[#This Row],[Date rév.]]="","",HYPERLINK(Tableau1[[#This Row],[Lien document]],"X"))</f>
        <v/>
      </c>
      <c r="V699" s="47"/>
      <c r="W699" s="49" t="str">
        <f ca="1">Chemin_accès!$B$2&amp;Tableau1[[#This Row],[Poste Responsable]]&amp;"\"&amp;Tableau1[[#This Row],[Localisation / Classement]]&amp;"\"&amp;Tableau1[[#This Row],[Poste technique]]&amp;"_"&amp;Tableau1[[#This Row],[Plan Entretien]]&amp;".pdf"</f>
        <v>\\stjn.local\trimet\Donnees_Projets\Dms Sap\Maintenance\PlanEntretien\7.MSCT\\_.pdf</v>
      </c>
      <c r="X699" s="47"/>
      <c r="Y699" s="47"/>
      <c r="Z699" s="44" t="str">
        <f ca="1">IF(AND(Tableau1[[#This Row],[Charge]]&lt;&gt;0, Tableau1[[#This Row],[Nombre intervenants]]&lt;&gt;0,Tableau1[[#This Row],[Lien document]]&lt;&gt;0,Tableau1[[#This Row],[DMS_SAP]]&lt;&gt;0)=TRUE,"MIS A JOUR","")</f>
        <v/>
      </c>
      <c r="AA699" s="48"/>
      <c r="AB699" s="58" t="str">
        <f ca="1">IF(Tableau1[[#This Row],[Date rév.]]&lt;&gt;"", DAYS360(Tableau1[[#This Row],[Date rév.]],TODAY()),"")</f>
        <v/>
      </c>
      <c r="AC699" s="47" t="str">
        <f>IFERROR(INDEX(Chemin_accès!$B$11:$C$22,MATCH(Tableau1[[#This Row],[Type]],Chemin_accès!$C$11:$C$22,0),1),Chemin_accès!$B$11)</f>
        <v>\\stjn.local\trimet\Btechnique\Commun\BT Maint SCELLEMENT\205 - Préventifs\Modèles préventif\GammeDMS_7.MSCT.xlsm</v>
      </c>
      <c r="AD699" s="47" t="str">
        <f>Chemin_accès!$B$8&amp;Tableau1[[#This Row],[Localisation / Classement]]&amp;"\"&amp;Tableau1[[#This Row],[Poste technique]]&amp;"_"&amp;Tableau1[[#This Row],[Plan Entretien]]&amp;".xlsm"</f>
        <v>\\stjn.local\trimet\Btechnique\Commun\BT Maint SCELLEMENT\205 - Préventifs\Gammes 7.MSCT PE Tool\\_.xlsm</v>
      </c>
    </row>
    <row r="700" spans="1:30" x14ac:dyDescent="0.3">
      <c r="A700" s="44" t="str">
        <f t="shared" ca="1" si="10"/>
        <v>7.MSCT</v>
      </c>
      <c r="B7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0" s="46"/>
      <c r="D700" s="44"/>
      <c r="E700" s="44"/>
      <c r="F700" s="47"/>
      <c r="G700" s="47"/>
      <c r="H700" s="50"/>
      <c r="I700" s="50"/>
      <c r="J700" s="50"/>
      <c r="K700" s="50"/>
      <c r="L700" s="46"/>
      <c r="M700" s="47"/>
      <c r="N700" s="46"/>
      <c r="O700" s="46"/>
      <c r="P700" s="47"/>
      <c r="Q700" s="46"/>
      <c r="R700" s="46"/>
      <c r="S700" s="48"/>
      <c r="T700" s="61" t="str">
        <f>IF(Tableau1[[#This Row],[DMS_SAP]]="","",HYPERLINK(Tableau1[[#This Row],[Chemin fichier source]],"X"))</f>
        <v/>
      </c>
      <c r="U700" s="61" t="str">
        <f>IF(Tableau1[[#This Row],[Date rév.]]="","",HYPERLINK(Tableau1[[#This Row],[Lien document]],"X"))</f>
        <v/>
      </c>
      <c r="V700" s="47"/>
      <c r="W700" s="49" t="str">
        <f ca="1">Chemin_accès!$B$2&amp;Tableau1[[#This Row],[Poste Responsable]]&amp;"\"&amp;Tableau1[[#This Row],[Localisation / Classement]]&amp;"\"&amp;Tableau1[[#This Row],[Poste technique]]&amp;"_"&amp;Tableau1[[#This Row],[Plan Entretien]]&amp;".pdf"</f>
        <v>\\stjn.local\trimet\Donnees_Projets\Dms Sap\Maintenance\PlanEntretien\7.MSCT\\_.pdf</v>
      </c>
      <c r="X700" s="47"/>
      <c r="Y700" s="47"/>
      <c r="Z700" s="44" t="str">
        <f ca="1">IF(AND(Tableau1[[#This Row],[Charge]]&lt;&gt;0, Tableau1[[#This Row],[Nombre intervenants]]&lt;&gt;0,Tableau1[[#This Row],[Lien document]]&lt;&gt;0,Tableau1[[#This Row],[DMS_SAP]]&lt;&gt;0)=TRUE,"MIS A JOUR","")</f>
        <v/>
      </c>
      <c r="AA700" s="48"/>
      <c r="AB700" s="58" t="str">
        <f ca="1">IF(Tableau1[[#This Row],[Date rév.]]&lt;&gt;"", DAYS360(Tableau1[[#This Row],[Date rév.]],TODAY()),"")</f>
        <v/>
      </c>
      <c r="AC700" s="47" t="str">
        <f>IFERROR(INDEX(Chemin_accès!$B$11:$C$22,MATCH(Tableau1[[#This Row],[Type]],Chemin_accès!$C$11:$C$22,0),1),Chemin_accès!$B$11)</f>
        <v>\\stjn.local\trimet\Btechnique\Commun\BT Maint SCELLEMENT\205 - Préventifs\Modèles préventif\GammeDMS_7.MSCT.xlsm</v>
      </c>
      <c r="AD700" s="47" t="str">
        <f>Chemin_accès!$B$8&amp;Tableau1[[#This Row],[Localisation / Classement]]&amp;"\"&amp;Tableau1[[#This Row],[Poste technique]]&amp;"_"&amp;Tableau1[[#This Row],[Plan Entretien]]&amp;".xlsm"</f>
        <v>\\stjn.local\trimet\Btechnique\Commun\BT Maint SCELLEMENT\205 - Préventifs\Gammes 7.MSCT PE Tool\\_.xlsm</v>
      </c>
    </row>
    <row r="701" spans="1:30" x14ac:dyDescent="0.3">
      <c r="A701" s="44" t="str">
        <f t="shared" ca="1" si="10"/>
        <v>7.MSCT</v>
      </c>
      <c r="B7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1" s="46"/>
      <c r="D701" s="44"/>
      <c r="E701" s="44"/>
      <c r="F701" s="47"/>
      <c r="G701" s="47"/>
      <c r="H701" s="50"/>
      <c r="I701" s="50"/>
      <c r="J701" s="50"/>
      <c r="K701" s="50"/>
      <c r="L701" s="46"/>
      <c r="M701" s="47"/>
      <c r="N701" s="46"/>
      <c r="O701" s="46"/>
      <c r="P701" s="47"/>
      <c r="Q701" s="46"/>
      <c r="R701" s="46"/>
      <c r="S701" s="48"/>
      <c r="T701" s="61" t="str">
        <f>IF(Tableau1[[#This Row],[DMS_SAP]]="","",HYPERLINK(Tableau1[[#This Row],[Chemin fichier source]],"X"))</f>
        <v/>
      </c>
      <c r="U701" s="61" t="str">
        <f>IF(Tableau1[[#This Row],[Date rév.]]="","",HYPERLINK(Tableau1[[#This Row],[Lien document]],"X"))</f>
        <v/>
      </c>
      <c r="V701" s="47"/>
      <c r="W701" s="49" t="str">
        <f ca="1">Chemin_accès!$B$2&amp;Tableau1[[#This Row],[Poste Responsable]]&amp;"\"&amp;Tableau1[[#This Row],[Localisation / Classement]]&amp;"\"&amp;Tableau1[[#This Row],[Poste technique]]&amp;"_"&amp;Tableau1[[#This Row],[Plan Entretien]]&amp;".pdf"</f>
        <v>\\stjn.local\trimet\Donnees_Projets\Dms Sap\Maintenance\PlanEntretien\7.MSCT\\_.pdf</v>
      </c>
      <c r="X701" s="47"/>
      <c r="Y701" s="47"/>
      <c r="Z701" s="44" t="str">
        <f ca="1">IF(AND(Tableau1[[#This Row],[Charge]]&lt;&gt;0, Tableau1[[#This Row],[Nombre intervenants]]&lt;&gt;0,Tableau1[[#This Row],[Lien document]]&lt;&gt;0,Tableau1[[#This Row],[DMS_SAP]]&lt;&gt;0)=TRUE,"MIS A JOUR","")</f>
        <v/>
      </c>
      <c r="AA701" s="48"/>
      <c r="AB701" s="58" t="str">
        <f ca="1">IF(Tableau1[[#This Row],[Date rév.]]&lt;&gt;"", DAYS360(Tableau1[[#This Row],[Date rév.]],TODAY()),"")</f>
        <v/>
      </c>
      <c r="AC701" s="47" t="str">
        <f>IFERROR(INDEX(Chemin_accès!$B$11:$C$22,MATCH(Tableau1[[#This Row],[Type]],Chemin_accès!$C$11:$C$22,0),1),Chemin_accès!$B$11)</f>
        <v>\\stjn.local\trimet\Btechnique\Commun\BT Maint SCELLEMENT\205 - Préventifs\Modèles préventif\GammeDMS_7.MSCT.xlsm</v>
      </c>
      <c r="AD701" s="47" t="str">
        <f>Chemin_accès!$B$8&amp;Tableau1[[#This Row],[Localisation / Classement]]&amp;"\"&amp;Tableau1[[#This Row],[Poste technique]]&amp;"_"&amp;Tableau1[[#This Row],[Plan Entretien]]&amp;".xlsm"</f>
        <v>\\stjn.local\trimet\Btechnique\Commun\BT Maint SCELLEMENT\205 - Préventifs\Gammes 7.MSCT PE Tool\\_.xlsm</v>
      </c>
    </row>
    <row r="702" spans="1:30" x14ac:dyDescent="0.3">
      <c r="A702" s="44" t="str">
        <f t="shared" ca="1" si="10"/>
        <v>7.MSCT</v>
      </c>
      <c r="B7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2" s="46"/>
      <c r="D702" s="44"/>
      <c r="E702" s="44"/>
      <c r="F702" s="47"/>
      <c r="G702" s="47"/>
      <c r="H702" s="50"/>
      <c r="I702" s="50"/>
      <c r="J702" s="50"/>
      <c r="K702" s="50"/>
      <c r="L702" s="46"/>
      <c r="M702" s="47"/>
      <c r="N702" s="46"/>
      <c r="O702" s="46"/>
      <c r="P702" s="47"/>
      <c r="Q702" s="46"/>
      <c r="R702" s="46"/>
      <c r="S702" s="48"/>
      <c r="T702" s="61" t="str">
        <f>IF(Tableau1[[#This Row],[DMS_SAP]]="","",HYPERLINK(Tableau1[[#This Row],[Chemin fichier source]],"X"))</f>
        <v/>
      </c>
      <c r="U702" s="61" t="str">
        <f>IF(Tableau1[[#This Row],[Date rév.]]="","",HYPERLINK(Tableau1[[#This Row],[Lien document]],"X"))</f>
        <v/>
      </c>
      <c r="V702" s="47"/>
      <c r="W702" s="49" t="str">
        <f ca="1">Chemin_accès!$B$2&amp;Tableau1[[#This Row],[Poste Responsable]]&amp;"\"&amp;Tableau1[[#This Row],[Localisation / Classement]]&amp;"\"&amp;Tableau1[[#This Row],[Poste technique]]&amp;"_"&amp;Tableau1[[#This Row],[Plan Entretien]]&amp;".pdf"</f>
        <v>\\stjn.local\trimet\Donnees_Projets\Dms Sap\Maintenance\PlanEntretien\7.MSCT\\_.pdf</v>
      </c>
      <c r="X702" s="47"/>
      <c r="Y702" s="47"/>
      <c r="Z702" s="44" t="str">
        <f ca="1">IF(AND(Tableau1[[#This Row],[Charge]]&lt;&gt;0, Tableau1[[#This Row],[Nombre intervenants]]&lt;&gt;0,Tableau1[[#This Row],[Lien document]]&lt;&gt;0,Tableau1[[#This Row],[DMS_SAP]]&lt;&gt;0)=TRUE,"MIS A JOUR","")</f>
        <v/>
      </c>
      <c r="AA702" s="48"/>
      <c r="AB702" s="58" t="str">
        <f ca="1">IF(Tableau1[[#This Row],[Date rév.]]&lt;&gt;"", DAYS360(Tableau1[[#This Row],[Date rév.]],TODAY()),"")</f>
        <v/>
      </c>
      <c r="AC702" s="47" t="str">
        <f>IFERROR(INDEX(Chemin_accès!$B$11:$C$22,MATCH(Tableau1[[#This Row],[Type]],Chemin_accès!$C$11:$C$22,0),1),Chemin_accès!$B$11)</f>
        <v>\\stjn.local\trimet\Btechnique\Commun\BT Maint SCELLEMENT\205 - Préventifs\Modèles préventif\GammeDMS_7.MSCT.xlsm</v>
      </c>
      <c r="AD702" s="47" t="str">
        <f>Chemin_accès!$B$8&amp;Tableau1[[#This Row],[Localisation / Classement]]&amp;"\"&amp;Tableau1[[#This Row],[Poste technique]]&amp;"_"&amp;Tableau1[[#This Row],[Plan Entretien]]&amp;".xlsm"</f>
        <v>\\stjn.local\trimet\Btechnique\Commun\BT Maint SCELLEMENT\205 - Préventifs\Gammes 7.MSCT PE Tool\\_.xlsm</v>
      </c>
    </row>
    <row r="703" spans="1:30" x14ac:dyDescent="0.3">
      <c r="A703" s="44" t="str">
        <f t="shared" ca="1" si="10"/>
        <v>7.MSCT</v>
      </c>
      <c r="B7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3" s="46"/>
      <c r="D703" s="44"/>
      <c r="E703" s="44"/>
      <c r="F703" s="47"/>
      <c r="G703" s="47"/>
      <c r="H703" s="50"/>
      <c r="I703" s="50"/>
      <c r="J703" s="50"/>
      <c r="K703" s="50"/>
      <c r="L703" s="46"/>
      <c r="M703" s="47"/>
      <c r="N703" s="46"/>
      <c r="O703" s="46"/>
      <c r="P703" s="47"/>
      <c r="Q703" s="46"/>
      <c r="R703" s="46"/>
      <c r="S703" s="48"/>
      <c r="T703" s="61" t="str">
        <f>IF(Tableau1[[#This Row],[DMS_SAP]]="","",HYPERLINK(Tableau1[[#This Row],[Chemin fichier source]],"X"))</f>
        <v/>
      </c>
      <c r="U703" s="61" t="str">
        <f>IF(Tableau1[[#This Row],[Date rév.]]="","",HYPERLINK(Tableau1[[#This Row],[Lien document]],"X"))</f>
        <v/>
      </c>
      <c r="V703" s="47"/>
      <c r="W703" s="49" t="str">
        <f ca="1">Chemin_accès!$B$2&amp;Tableau1[[#This Row],[Poste Responsable]]&amp;"\"&amp;Tableau1[[#This Row],[Localisation / Classement]]&amp;"\"&amp;Tableau1[[#This Row],[Poste technique]]&amp;"_"&amp;Tableau1[[#This Row],[Plan Entretien]]&amp;".pdf"</f>
        <v>\\stjn.local\trimet\Donnees_Projets\Dms Sap\Maintenance\PlanEntretien\7.MSCT\\_.pdf</v>
      </c>
      <c r="X703" s="47"/>
      <c r="Y703" s="47"/>
      <c r="Z703" s="44" t="str">
        <f ca="1">IF(AND(Tableau1[[#This Row],[Charge]]&lt;&gt;0, Tableau1[[#This Row],[Nombre intervenants]]&lt;&gt;0,Tableau1[[#This Row],[Lien document]]&lt;&gt;0,Tableau1[[#This Row],[DMS_SAP]]&lt;&gt;0)=TRUE,"MIS A JOUR","")</f>
        <v/>
      </c>
      <c r="AA703" s="48"/>
      <c r="AB703" s="58" t="str">
        <f ca="1">IF(Tableau1[[#This Row],[Date rév.]]&lt;&gt;"", DAYS360(Tableau1[[#This Row],[Date rév.]],TODAY()),"")</f>
        <v/>
      </c>
      <c r="AC703" s="47" t="str">
        <f>IFERROR(INDEX(Chemin_accès!$B$11:$C$22,MATCH(Tableau1[[#This Row],[Type]],Chemin_accès!$C$11:$C$22,0),1),Chemin_accès!$B$11)</f>
        <v>\\stjn.local\trimet\Btechnique\Commun\BT Maint SCELLEMENT\205 - Préventifs\Modèles préventif\GammeDMS_7.MSCT.xlsm</v>
      </c>
      <c r="AD703" s="47" t="str">
        <f>Chemin_accès!$B$8&amp;Tableau1[[#This Row],[Localisation / Classement]]&amp;"\"&amp;Tableau1[[#This Row],[Poste technique]]&amp;"_"&amp;Tableau1[[#This Row],[Plan Entretien]]&amp;".xlsm"</f>
        <v>\\stjn.local\trimet\Btechnique\Commun\BT Maint SCELLEMENT\205 - Préventifs\Gammes 7.MSCT PE Tool\\_.xlsm</v>
      </c>
    </row>
    <row r="704" spans="1:30" x14ac:dyDescent="0.3">
      <c r="A704" s="44" t="str">
        <f t="shared" ca="1" si="10"/>
        <v>7.MSCT</v>
      </c>
      <c r="B7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4" s="46"/>
      <c r="D704" s="44"/>
      <c r="E704" s="44"/>
      <c r="F704" s="47"/>
      <c r="G704" s="47"/>
      <c r="H704" s="50"/>
      <c r="I704" s="50"/>
      <c r="J704" s="50"/>
      <c r="K704" s="50"/>
      <c r="L704" s="46"/>
      <c r="M704" s="47"/>
      <c r="N704" s="46"/>
      <c r="O704" s="46"/>
      <c r="P704" s="47"/>
      <c r="Q704" s="46"/>
      <c r="R704" s="46"/>
      <c r="S704" s="48"/>
      <c r="T704" s="61" t="str">
        <f>IF(Tableau1[[#This Row],[DMS_SAP]]="","",HYPERLINK(Tableau1[[#This Row],[Chemin fichier source]],"X"))</f>
        <v/>
      </c>
      <c r="U704" s="61" t="str">
        <f>IF(Tableau1[[#This Row],[Date rév.]]="","",HYPERLINK(Tableau1[[#This Row],[Lien document]],"X"))</f>
        <v/>
      </c>
      <c r="V704" s="47"/>
      <c r="W704" s="49" t="str">
        <f ca="1">Chemin_accès!$B$2&amp;Tableau1[[#This Row],[Poste Responsable]]&amp;"\"&amp;Tableau1[[#This Row],[Localisation / Classement]]&amp;"\"&amp;Tableau1[[#This Row],[Poste technique]]&amp;"_"&amp;Tableau1[[#This Row],[Plan Entretien]]&amp;".pdf"</f>
        <v>\\stjn.local\trimet\Donnees_Projets\Dms Sap\Maintenance\PlanEntretien\7.MSCT\\_.pdf</v>
      </c>
      <c r="X704" s="47"/>
      <c r="Y704" s="47"/>
      <c r="Z704" s="44" t="str">
        <f ca="1">IF(AND(Tableau1[[#This Row],[Charge]]&lt;&gt;0, Tableau1[[#This Row],[Nombre intervenants]]&lt;&gt;0,Tableau1[[#This Row],[Lien document]]&lt;&gt;0,Tableau1[[#This Row],[DMS_SAP]]&lt;&gt;0)=TRUE,"MIS A JOUR","")</f>
        <v/>
      </c>
      <c r="AA704" s="48"/>
      <c r="AB704" s="58" t="str">
        <f ca="1">IF(Tableau1[[#This Row],[Date rév.]]&lt;&gt;"", DAYS360(Tableau1[[#This Row],[Date rév.]],TODAY()),"")</f>
        <v/>
      </c>
      <c r="AC704" s="47" t="str">
        <f>IFERROR(INDEX(Chemin_accès!$B$11:$C$22,MATCH(Tableau1[[#This Row],[Type]],Chemin_accès!$C$11:$C$22,0),1),Chemin_accès!$B$11)</f>
        <v>\\stjn.local\trimet\Btechnique\Commun\BT Maint SCELLEMENT\205 - Préventifs\Modèles préventif\GammeDMS_7.MSCT.xlsm</v>
      </c>
      <c r="AD704" s="47" t="str">
        <f>Chemin_accès!$B$8&amp;Tableau1[[#This Row],[Localisation / Classement]]&amp;"\"&amp;Tableau1[[#This Row],[Poste technique]]&amp;"_"&amp;Tableau1[[#This Row],[Plan Entretien]]&amp;".xlsm"</f>
        <v>\\stjn.local\trimet\Btechnique\Commun\BT Maint SCELLEMENT\205 - Préventifs\Gammes 7.MSCT PE Tool\\_.xlsm</v>
      </c>
    </row>
    <row r="705" spans="1:30" x14ac:dyDescent="0.3">
      <c r="A705" s="44" t="str">
        <f t="shared" ca="1" si="10"/>
        <v>7.MSCT</v>
      </c>
      <c r="B7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5" s="46"/>
      <c r="D705" s="44"/>
      <c r="E705" s="44"/>
      <c r="F705" s="47"/>
      <c r="G705" s="47"/>
      <c r="H705" s="50"/>
      <c r="I705" s="50"/>
      <c r="J705" s="50"/>
      <c r="K705" s="50"/>
      <c r="L705" s="46"/>
      <c r="M705" s="47"/>
      <c r="N705" s="46"/>
      <c r="O705" s="46"/>
      <c r="P705" s="47"/>
      <c r="Q705" s="46"/>
      <c r="R705" s="46"/>
      <c r="S705" s="48"/>
      <c r="T705" s="61" t="str">
        <f>IF(Tableau1[[#This Row],[DMS_SAP]]="","",HYPERLINK(Tableau1[[#This Row],[Chemin fichier source]],"X"))</f>
        <v/>
      </c>
      <c r="U705" s="61" t="str">
        <f>IF(Tableau1[[#This Row],[Date rév.]]="","",HYPERLINK(Tableau1[[#This Row],[Lien document]],"X"))</f>
        <v/>
      </c>
      <c r="V705" s="47"/>
      <c r="W705" s="49" t="str">
        <f ca="1">Chemin_accès!$B$2&amp;Tableau1[[#This Row],[Poste Responsable]]&amp;"\"&amp;Tableau1[[#This Row],[Localisation / Classement]]&amp;"\"&amp;Tableau1[[#This Row],[Poste technique]]&amp;"_"&amp;Tableau1[[#This Row],[Plan Entretien]]&amp;".pdf"</f>
        <v>\\stjn.local\trimet\Donnees_Projets\Dms Sap\Maintenance\PlanEntretien\7.MSCT\\_.pdf</v>
      </c>
      <c r="X705" s="47"/>
      <c r="Y705" s="47"/>
      <c r="Z705" s="44" t="str">
        <f ca="1">IF(AND(Tableau1[[#This Row],[Charge]]&lt;&gt;0, Tableau1[[#This Row],[Nombre intervenants]]&lt;&gt;0,Tableau1[[#This Row],[Lien document]]&lt;&gt;0,Tableau1[[#This Row],[DMS_SAP]]&lt;&gt;0)=TRUE,"MIS A JOUR","")</f>
        <v/>
      </c>
      <c r="AA705" s="48"/>
      <c r="AB705" s="58" t="str">
        <f ca="1">IF(Tableau1[[#This Row],[Date rév.]]&lt;&gt;"", DAYS360(Tableau1[[#This Row],[Date rév.]],TODAY()),"")</f>
        <v/>
      </c>
      <c r="AC705" s="47" t="str">
        <f>IFERROR(INDEX(Chemin_accès!$B$11:$C$22,MATCH(Tableau1[[#This Row],[Type]],Chemin_accès!$C$11:$C$22,0),1),Chemin_accès!$B$11)</f>
        <v>\\stjn.local\trimet\Btechnique\Commun\BT Maint SCELLEMENT\205 - Préventifs\Modèles préventif\GammeDMS_7.MSCT.xlsm</v>
      </c>
      <c r="AD705" s="47" t="str">
        <f>Chemin_accès!$B$8&amp;Tableau1[[#This Row],[Localisation / Classement]]&amp;"\"&amp;Tableau1[[#This Row],[Poste technique]]&amp;"_"&amp;Tableau1[[#This Row],[Plan Entretien]]&amp;".xlsm"</f>
        <v>\\stjn.local\trimet\Btechnique\Commun\BT Maint SCELLEMENT\205 - Préventifs\Gammes 7.MSCT PE Tool\\_.xlsm</v>
      </c>
    </row>
    <row r="706" spans="1:30" x14ac:dyDescent="0.3">
      <c r="A706" s="44" t="str">
        <f t="shared" ref="A706:A769" ca="1" si="11">MID(CELL("filename",$A$1),FIND("]",CELL("filename",$A$1))+1,32)</f>
        <v>7.MSCT</v>
      </c>
      <c r="B7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6" s="46"/>
      <c r="D706" s="44"/>
      <c r="E706" s="44"/>
      <c r="F706" s="47"/>
      <c r="G706" s="47"/>
      <c r="H706" s="50"/>
      <c r="I706" s="50"/>
      <c r="J706" s="50"/>
      <c r="K706" s="50"/>
      <c r="L706" s="46"/>
      <c r="M706" s="47"/>
      <c r="N706" s="46"/>
      <c r="O706" s="46"/>
      <c r="P706" s="47"/>
      <c r="Q706" s="46"/>
      <c r="R706" s="46"/>
      <c r="S706" s="48"/>
      <c r="T706" s="61" t="str">
        <f>IF(Tableau1[[#This Row],[DMS_SAP]]="","",HYPERLINK(Tableau1[[#This Row],[Chemin fichier source]],"X"))</f>
        <v/>
      </c>
      <c r="U706" s="61" t="str">
        <f>IF(Tableau1[[#This Row],[Date rév.]]="","",HYPERLINK(Tableau1[[#This Row],[Lien document]],"X"))</f>
        <v/>
      </c>
      <c r="V706" s="47"/>
      <c r="W706" s="49" t="str">
        <f ca="1">Chemin_accès!$B$2&amp;Tableau1[[#This Row],[Poste Responsable]]&amp;"\"&amp;Tableau1[[#This Row],[Localisation / Classement]]&amp;"\"&amp;Tableau1[[#This Row],[Poste technique]]&amp;"_"&amp;Tableau1[[#This Row],[Plan Entretien]]&amp;".pdf"</f>
        <v>\\stjn.local\trimet\Donnees_Projets\Dms Sap\Maintenance\PlanEntretien\7.MSCT\\_.pdf</v>
      </c>
      <c r="X706" s="47"/>
      <c r="Y706" s="47"/>
      <c r="Z706" s="44" t="str">
        <f ca="1">IF(AND(Tableau1[[#This Row],[Charge]]&lt;&gt;0, Tableau1[[#This Row],[Nombre intervenants]]&lt;&gt;0,Tableau1[[#This Row],[Lien document]]&lt;&gt;0,Tableau1[[#This Row],[DMS_SAP]]&lt;&gt;0)=TRUE,"MIS A JOUR","")</f>
        <v/>
      </c>
      <c r="AA706" s="48"/>
      <c r="AB706" s="58" t="str">
        <f ca="1">IF(Tableau1[[#This Row],[Date rév.]]&lt;&gt;"", DAYS360(Tableau1[[#This Row],[Date rév.]],TODAY()),"")</f>
        <v/>
      </c>
      <c r="AC706" s="47" t="str">
        <f>IFERROR(INDEX(Chemin_accès!$B$11:$C$22,MATCH(Tableau1[[#This Row],[Type]],Chemin_accès!$C$11:$C$22,0),1),Chemin_accès!$B$11)</f>
        <v>\\stjn.local\trimet\Btechnique\Commun\BT Maint SCELLEMENT\205 - Préventifs\Modèles préventif\GammeDMS_7.MSCT.xlsm</v>
      </c>
      <c r="AD706" s="47" t="str">
        <f>Chemin_accès!$B$8&amp;Tableau1[[#This Row],[Localisation / Classement]]&amp;"\"&amp;Tableau1[[#This Row],[Poste technique]]&amp;"_"&amp;Tableau1[[#This Row],[Plan Entretien]]&amp;".xlsm"</f>
        <v>\\stjn.local\trimet\Btechnique\Commun\BT Maint SCELLEMENT\205 - Préventifs\Gammes 7.MSCT PE Tool\\_.xlsm</v>
      </c>
    </row>
    <row r="707" spans="1:30" x14ac:dyDescent="0.3">
      <c r="A707" s="44" t="str">
        <f t="shared" ca="1" si="11"/>
        <v>7.MSCT</v>
      </c>
      <c r="B7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7" s="46"/>
      <c r="D707" s="44"/>
      <c r="E707" s="44"/>
      <c r="F707" s="47"/>
      <c r="G707" s="47"/>
      <c r="H707" s="50"/>
      <c r="I707" s="50"/>
      <c r="J707" s="50"/>
      <c r="K707" s="50"/>
      <c r="L707" s="46"/>
      <c r="M707" s="47"/>
      <c r="N707" s="46"/>
      <c r="O707" s="46"/>
      <c r="P707" s="47"/>
      <c r="Q707" s="46"/>
      <c r="R707" s="46"/>
      <c r="S707" s="48"/>
      <c r="T707" s="61" t="str">
        <f>IF(Tableau1[[#This Row],[DMS_SAP]]="","",HYPERLINK(Tableau1[[#This Row],[Chemin fichier source]],"X"))</f>
        <v/>
      </c>
      <c r="U707" s="61" t="str">
        <f>IF(Tableau1[[#This Row],[Date rév.]]="","",HYPERLINK(Tableau1[[#This Row],[Lien document]],"X"))</f>
        <v/>
      </c>
      <c r="V707" s="47"/>
      <c r="W707" s="49" t="str">
        <f ca="1">Chemin_accès!$B$2&amp;Tableau1[[#This Row],[Poste Responsable]]&amp;"\"&amp;Tableau1[[#This Row],[Localisation / Classement]]&amp;"\"&amp;Tableau1[[#This Row],[Poste technique]]&amp;"_"&amp;Tableau1[[#This Row],[Plan Entretien]]&amp;".pdf"</f>
        <v>\\stjn.local\trimet\Donnees_Projets\Dms Sap\Maintenance\PlanEntretien\7.MSCT\\_.pdf</v>
      </c>
      <c r="X707" s="47"/>
      <c r="Y707" s="47"/>
      <c r="Z707" s="44" t="str">
        <f ca="1">IF(AND(Tableau1[[#This Row],[Charge]]&lt;&gt;0, Tableau1[[#This Row],[Nombre intervenants]]&lt;&gt;0,Tableau1[[#This Row],[Lien document]]&lt;&gt;0,Tableau1[[#This Row],[DMS_SAP]]&lt;&gt;0)=TRUE,"MIS A JOUR","")</f>
        <v/>
      </c>
      <c r="AA707" s="48"/>
      <c r="AB707" s="58" t="str">
        <f ca="1">IF(Tableau1[[#This Row],[Date rév.]]&lt;&gt;"", DAYS360(Tableau1[[#This Row],[Date rév.]],TODAY()),"")</f>
        <v/>
      </c>
      <c r="AC707" s="47" t="str">
        <f>IFERROR(INDEX(Chemin_accès!$B$11:$C$22,MATCH(Tableau1[[#This Row],[Type]],Chemin_accès!$C$11:$C$22,0),1),Chemin_accès!$B$11)</f>
        <v>\\stjn.local\trimet\Btechnique\Commun\BT Maint SCELLEMENT\205 - Préventifs\Modèles préventif\GammeDMS_7.MSCT.xlsm</v>
      </c>
      <c r="AD707" s="47" t="str">
        <f>Chemin_accès!$B$8&amp;Tableau1[[#This Row],[Localisation / Classement]]&amp;"\"&amp;Tableau1[[#This Row],[Poste technique]]&amp;"_"&amp;Tableau1[[#This Row],[Plan Entretien]]&amp;".xlsm"</f>
        <v>\\stjn.local\trimet\Btechnique\Commun\BT Maint SCELLEMENT\205 - Préventifs\Gammes 7.MSCT PE Tool\\_.xlsm</v>
      </c>
    </row>
    <row r="708" spans="1:30" x14ac:dyDescent="0.3">
      <c r="A708" s="44" t="str">
        <f t="shared" ca="1" si="11"/>
        <v>7.MSCT</v>
      </c>
      <c r="B7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8" s="46"/>
      <c r="D708" s="44"/>
      <c r="E708" s="44"/>
      <c r="F708" s="47"/>
      <c r="G708" s="47"/>
      <c r="H708" s="50"/>
      <c r="I708" s="50"/>
      <c r="J708" s="50"/>
      <c r="K708" s="50"/>
      <c r="L708" s="46"/>
      <c r="M708" s="47"/>
      <c r="N708" s="46"/>
      <c r="O708" s="46"/>
      <c r="P708" s="47"/>
      <c r="Q708" s="46"/>
      <c r="R708" s="46"/>
      <c r="S708" s="48"/>
      <c r="T708" s="61" t="str">
        <f>IF(Tableau1[[#This Row],[DMS_SAP]]="","",HYPERLINK(Tableau1[[#This Row],[Chemin fichier source]],"X"))</f>
        <v/>
      </c>
      <c r="U708" s="61" t="str">
        <f>IF(Tableau1[[#This Row],[Date rév.]]="","",HYPERLINK(Tableau1[[#This Row],[Lien document]],"X"))</f>
        <v/>
      </c>
      <c r="V708" s="47"/>
      <c r="W708" s="49" t="str">
        <f ca="1">Chemin_accès!$B$2&amp;Tableau1[[#This Row],[Poste Responsable]]&amp;"\"&amp;Tableau1[[#This Row],[Localisation / Classement]]&amp;"\"&amp;Tableau1[[#This Row],[Poste technique]]&amp;"_"&amp;Tableau1[[#This Row],[Plan Entretien]]&amp;".pdf"</f>
        <v>\\stjn.local\trimet\Donnees_Projets\Dms Sap\Maintenance\PlanEntretien\7.MSCT\\_.pdf</v>
      </c>
      <c r="X708" s="47"/>
      <c r="Y708" s="47"/>
      <c r="Z708" s="44" t="str">
        <f ca="1">IF(AND(Tableau1[[#This Row],[Charge]]&lt;&gt;0, Tableau1[[#This Row],[Nombre intervenants]]&lt;&gt;0,Tableau1[[#This Row],[Lien document]]&lt;&gt;0,Tableau1[[#This Row],[DMS_SAP]]&lt;&gt;0)=TRUE,"MIS A JOUR","")</f>
        <v/>
      </c>
      <c r="AA708" s="48"/>
      <c r="AB708" s="58" t="str">
        <f ca="1">IF(Tableau1[[#This Row],[Date rév.]]&lt;&gt;"", DAYS360(Tableau1[[#This Row],[Date rév.]],TODAY()),"")</f>
        <v/>
      </c>
      <c r="AC708" s="47" t="str">
        <f>IFERROR(INDEX(Chemin_accès!$B$11:$C$22,MATCH(Tableau1[[#This Row],[Type]],Chemin_accès!$C$11:$C$22,0),1),Chemin_accès!$B$11)</f>
        <v>\\stjn.local\trimet\Btechnique\Commun\BT Maint SCELLEMENT\205 - Préventifs\Modèles préventif\GammeDMS_7.MSCT.xlsm</v>
      </c>
      <c r="AD708" s="47" t="str">
        <f>Chemin_accès!$B$8&amp;Tableau1[[#This Row],[Localisation / Classement]]&amp;"\"&amp;Tableau1[[#This Row],[Poste technique]]&amp;"_"&amp;Tableau1[[#This Row],[Plan Entretien]]&amp;".xlsm"</f>
        <v>\\stjn.local\trimet\Btechnique\Commun\BT Maint SCELLEMENT\205 - Préventifs\Gammes 7.MSCT PE Tool\\_.xlsm</v>
      </c>
    </row>
    <row r="709" spans="1:30" x14ac:dyDescent="0.3">
      <c r="A709" s="44" t="str">
        <f t="shared" ca="1" si="11"/>
        <v>7.MSCT</v>
      </c>
      <c r="B7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9" s="46"/>
      <c r="D709" s="44"/>
      <c r="E709" s="44"/>
      <c r="F709" s="47"/>
      <c r="G709" s="47"/>
      <c r="H709" s="50"/>
      <c r="I709" s="50"/>
      <c r="J709" s="50"/>
      <c r="K709" s="50"/>
      <c r="L709" s="46"/>
      <c r="M709" s="47"/>
      <c r="N709" s="46"/>
      <c r="O709" s="46"/>
      <c r="P709" s="47"/>
      <c r="Q709" s="46"/>
      <c r="R709" s="46"/>
      <c r="S709" s="48"/>
      <c r="T709" s="61" t="str">
        <f>IF(Tableau1[[#This Row],[DMS_SAP]]="","",HYPERLINK(Tableau1[[#This Row],[Chemin fichier source]],"X"))</f>
        <v/>
      </c>
      <c r="U709" s="61" t="str">
        <f>IF(Tableau1[[#This Row],[Date rév.]]="","",HYPERLINK(Tableau1[[#This Row],[Lien document]],"X"))</f>
        <v/>
      </c>
      <c r="V709" s="47"/>
      <c r="W709" s="49" t="str">
        <f ca="1">Chemin_accès!$B$2&amp;Tableau1[[#This Row],[Poste Responsable]]&amp;"\"&amp;Tableau1[[#This Row],[Localisation / Classement]]&amp;"\"&amp;Tableau1[[#This Row],[Poste technique]]&amp;"_"&amp;Tableau1[[#This Row],[Plan Entretien]]&amp;".pdf"</f>
        <v>\\stjn.local\trimet\Donnees_Projets\Dms Sap\Maintenance\PlanEntretien\7.MSCT\\_.pdf</v>
      </c>
      <c r="X709" s="47"/>
      <c r="Y709" s="47"/>
      <c r="Z709" s="44" t="str">
        <f ca="1">IF(AND(Tableau1[[#This Row],[Charge]]&lt;&gt;0, Tableau1[[#This Row],[Nombre intervenants]]&lt;&gt;0,Tableau1[[#This Row],[Lien document]]&lt;&gt;0,Tableau1[[#This Row],[DMS_SAP]]&lt;&gt;0)=TRUE,"MIS A JOUR","")</f>
        <v/>
      </c>
      <c r="AA709" s="48"/>
      <c r="AB709" s="58" t="str">
        <f ca="1">IF(Tableau1[[#This Row],[Date rév.]]&lt;&gt;"", DAYS360(Tableau1[[#This Row],[Date rév.]],TODAY()),"")</f>
        <v/>
      </c>
      <c r="AC709" s="47" t="str">
        <f>IFERROR(INDEX(Chemin_accès!$B$11:$C$22,MATCH(Tableau1[[#This Row],[Type]],Chemin_accès!$C$11:$C$22,0),1),Chemin_accès!$B$11)</f>
        <v>\\stjn.local\trimet\Btechnique\Commun\BT Maint SCELLEMENT\205 - Préventifs\Modèles préventif\GammeDMS_7.MSCT.xlsm</v>
      </c>
      <c r="AD709" s="47" t="str">
        <f>Chemin_accès!$B$8&amp;Tableau1[[#This Row],[Localisation / Classement]]&amp;"\"&amp;Tableau1[[#This Row],[Poste technique]]&amp;"_"&amp;Tableau1[[#This Row],[Plan Entretien]]&amp;".xlsm"</f>
        <v>\\stjn.local\trimet\Btechnique\Commun\BT Maint SCELLEMENT\205 - Préventifs\Gammes 7.MSCT PE Tool\\_.xlsm</v>
      </c>
    </row>
    <row r="710" spans="1:30" x14ac:dyDescent="0.3">
      <c r="A710" s="44" t="str">
        <f t="shared" ca="1" si="11"/>
        <v>7.MSCT</v>
      </c>
      <c r="B7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0" s="46"/>
      <c r="D710" s="44"/>
      <c r="E710" s="44"/>
      <c r="F710" s="47"/>
      <c r="G710" s="47"/>
      <c r="H710" s="50"/>
      <c r="I710" s="50"/>
      <c r="J710" s="50"/>
      <c r="K710" s="50"/>
      <c r="L710" s="46"/>
      <c r="M710" s="47"/>
      <c r="N710" s="46"/>
      <c r="O710" s="46"/>
      <c r="P710" s="47"/>
      <c r="Q710" s="46"/>
      <c r="R710" s="46"/>
      <c r="S710" s="48"/>
      <c r="T710" s="61" t="str">
        <f>IF(Tableau1[[#This Row],[DMS_SAP]]="","",HYPERLINK(Tableau1[[#This Row],[Chemin fichier source]],"X"))</f>
        <v/>
      </c>
      <c r="U710" s="61" t="str">
        <f>IF(Tableau1[[#This Row],[Date rév.]]="","",HYPERLINK(Tableau1[[#This Row],[Lien document]],"X"))</f>
        <v/>
      </c>
      <c r="V710" s="47"/>
      <c r="W710" s="49" t="str">
        <f ca="1">Chemin_accès!$B$2&amp;Tableau1[[#This Row],[Poste Responsable]]&amp;"\"&amp;Tableau1[[#This Row],[Localisation / Classement]]&amp;"\"&amp;Tableau1[[#This Row],[Poste technique]]&amp;"_"&amp;Tableau1[[#This Row],[Plan Entretien]]&amp;".pdf"</f>
        <v>\\stjn.local\trimet\Donnees_Projets\Dms Sap\Maintenance\PlanEntretien\7.MSCT\\_.pdf</v>
      </c>
      <c r="X710" s="47"/>
      <c r="Y710" s="47"/>
      <c r="Z710" s="44" t="str">
        <f ca="1">IF(AND(Tableau1[[#This Row],[Charge]]&lt;&gt;0, Tableau1[[#This Row],[Nombre intervenants]]&lt;&gt;0,Tableau1[[#This Row],[Lien document]]&lt;&gt;0,Tableau1[[#This Row],[DMS_SAP]]&lt;&gt;0)=TRUE,"MIS A JOUR","")</f>
        <v/>
      </c>
      <c r="AA710" s="48"/>
      <c r="AB710" s="58" t="str">
        <f ca="1">IF(Tableau1[[#This Row],[Date rév.]]&lt;&gt;"", DAYS360(Tableau1[[#This Row],[Date rév.]],TODAY()),"")</f>
        <v/>
      </c>
      <c r="AC710" s="47" t="str">
        <f>IFERROR(INDEX(Chemin_accès!$B$11:$C$22,MATCH(Tableau1[[#This Row],[Type]],Chemin_accès!$C$11:$C$22,0),1),Chemin_accès!$B$11)</f>
        <v>\\stjn.local\trimet\Btechnique\Commun\BT Maint SCELLEMENT\205 - Préventifs\Modèles préventif\GammeDMS_7.MSCT.xlsm</v>
      </c>
      <c r="AD710" s="47" t="str">
        <f>Chemin_accès!$B$8&amp;Tableau1[[#This Row],[Localisation / Classement]]&amp;"\"&amp;Tableau1[[#This Row],[Poste technique]]&amp;"_"&amp;Tableau1[[#This Row],[Plan Entretien]]&amp;".xlsm"</f>
        <v>\\stjn.local\trimet\Btechnique\Commun\BT Maint SCELLEMENT\205 - Préventifs\Gammes 7.MSCT PE Tool\\_.xlsm</v>
      </c>
    </row>
    <row r="711" spans="1:30" x14ac:dyDescent="0.3">
      <c r="A711" s="44" t="str">
        <f t="shared" ca="1" si="11"/>
        <v>7.MSCT</v>
      </c>
      <c r="B7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1" s="46"/>
      <c r="D711" s="44"/>
      <c r="E711" s="44"/>
      <c r="F711" s="47"/>
      <c r="G711" s="47"/>
      <c r="H711" s="50"/>
      <c r="I711" s="50"/>
      <c r="J711" s="50"/>
      <c r="K711" s="50"/>
      <c r="L711" s="46"/>
      <c r="M711" s="47"/>
      <c r="N711" s="46"/>
      <c r="O711" s="46"/>
      <c r="P711" s="47"/>
      <c r="Q711" s="46"/>
      <c r="R711" s="46"/>
      <c r="S711" s="48"/>
      <c r="T711" s="61" t="str">
        <f>IF(Tableau1[[#This Row],[DMS_SAP]]="","",HYPERLINK(Tableau1[[#This Row],[Chemin fichier source]],"X"))</f>
        <v/>
      </c>
      <c r="U711" s="61" t="str">
        <f>IF(Tableau1[[#This Row],[Date rév.]]="","",HYPERLINK(Tableau1[[#This Row],[Lien document]],"X"))</f>
        <v/>
      </c>
      <c r="V711" s="47"/>
      <c r="W711" s="49" t="str">
        <f ca="1">Chemin_accès!$B$2&amp;Tableau1[[#This Row],[Poste Responsable]]&amp;"\"&amp;Tableau1[[#This Row],[Localisation / Classement]]&amp;"\"&amp;Tableau1[[#This Row],[Poste technique]]&amp;"_"&amp;Tableau1[[#This Row],[Plan Entretien]]&amp;".pdf"</f>
        <v>\\stjn.local\trimet\Donnees_Projets\Dms Sap\Maintenance\PlanEntretien\7.MSCT\\_.pdf</v>
      </c>
      <c r="X711" s="47"/>
      <c r="Y711" s="47"/>
      <c r="Z711" s="44" t="str">
        <f ca="1">IF(AND(Tableau1[[#This Row],[Charge]]&lt;&gt;0, Tableau1[[#This Row],[Nombre intervenants]]&lt;&gt;0,Tableau1[[#This Row],[Lien document]]&lt;&gt;0,Tableau1[[#This Row],[DMS_SAP]]&lt;&gt;0)=TRUE,"MIS A JOUR","")</f>
        <v/>
      </c>
      <c r="AA711" s="48"/>
      <c r="AB711" s="58" t="str">
        <f ca="1">IF(Tableau1[[#This Row],[Date rév.]]&lt;&gt;"", DAYS360(Tableau1[[#This Row],[Date rév.]],TODAY()),"")</f>
        <v/>
      </c>
      <c r="AC711" s="47" t="str">
        <f>IFERROR(INDEX(Chemin_accès!$B$11:$C$22,MATCH(Tableau1[[#This Row],[Type]],Chemin_accès!$C$11:$C$22,0),1),Chemin_accès!$B$11)</f>
        <v>\\stjn.local\trimet\Btechnique\Commun\BT Maint SCELLEMENT\205 - Préventifs\Modèles préventif\GammeDMS_7.MSCT.xlsm</v>
      </c>
      <c r="AD711" s="47" t="str">
        <f>Chemin_accès!$B$8&amp;Tableau1[[#This Row],[Localisation / Classement]]&amp;"\"&amp;Tableau1[[#This Row],[Poste technique]]&amp;"_"&amp;Tableau1[[#This Row],[Plan Entretien]]&amp;".xlsm"</f>
        <v>\\stjn.local\trimet\Btechnique\Commun\BT Maint SCELLEMENT\205 - Préventifs\Gammes 7.MSCT PE Tool\\_.xlsm</v>
      </c>
    </row>
    <row r="712" spans="1:30" x14ac:dyDescent="0.3">
      <c r="A712" s="44" t="str">
        <f t="shared" ca="1" si="11"/>
        <v>7.MSCT</v>
      </c>
      <c r="B7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2" s="46"/>
      <c r="D712" s="44"/>
      <c r="E712" s="44"/>
      <c r="F712" s="47"/>
      <c r="G712" s="47"/>
      <c r="H712" s="50"/>
      <c r="I712" s="50"/>
      <c r="J712" s="50"/>
      <c r="K712" s="50"/>
      <c r="L712" s="46"/>
      <c r="M712" s="47"/>
      <c r="N712" s="46"/>
      <c r="O712" s="46"/>
      <c r="P712" s="47"/>
      <c r="Q712" s="46"/>
      <c r="R712" s="46"/>
      <c r="S712" s="48"/>
      <c r="T712" s="61" t="str">
        <f>IF(Tableau1[[#This Row],[DMS_SAP]]="","",HYPERLINK(Tableau1[[#This Row],[Chemin fichier source]],"X"))</f>
        <v/>
      </c>
      <c r="U712" s="61" t="str">
        <f>IF(Tableau1[[#This Row],[Date rév.]]="","",HYPERLINK(Tableau1[[#This Row],[Lien document]],"X"))</f>
        <v/>
      </c>
      <c r="V712" s="47"/>
      <c r="W712" s="49" t="str">
        <f ca="1">Chemin_accès!$B$2&amp;Tableau1[[#This Row],[Poste Responsable]]&amp;"\"&amp;Tableau1[[#This Row],[Localisation / Classement]]&amp;"\"&amp;Tableau1[[#This Row],[Poste technique]]&amp;"_"&amp;Tableau1[[#This Row],[Plan Entretien]]&amp;".pdf"</f>
        <v>\\stjn.local\trimet\Donnees_Projets\Dms Sap\Maintenance\PlanEntretien\7.MSCT\\_.pdf</v>
      </c>
      <c r="X712" s="47"/>
      <c r="Y712" s="47"/>
      <c r="Z712" s="44" t="str">
        <f ca="1">IF(AND(Tableau1[[#This Row],[Charge]]&lt;&gt;0, Tableau1[[#This Row],[Nombre intervenants]]&lt;&gt;0,Tableau1[[#This Row],[Lien document]]&lt;&gt;0,Tableau1[[#This Row],[DMS_SAP]]&lt;&gt;0)=TRUE,"MIS A JOUR","")</f>
        <v/>
      </c>
      <c r="AA712" s="48"/>
      <c r="AB712" s="58" t="str">
        <f ca="1">IF(Tableau1[[#This Row],[Date rév.]]&lt;&gt;"", DAYS360(Tableau1[[#This Row],[Date rév.]],TODAY()),"")</f>
        <v/>
      </c>
      <c r="AC712" s="47" t="str">
        <f>IFERROR(INDEX(Chemin_accès!$B$11:$C$22,MATCH(Tableau1[[#This Row],[Type]],Chemin_accès!$C$11:$C$22,0),1),Chemin_accès!$B$11)</f>
        <v>\\stjn.local\trimet\Btechnique\Commun\BT Maint SCELLEMENT\205 - Préventifs\Modèles préventif\GammeDMS_7.MSCT.xlsm</v>
      </c>
      <c r="AD712" s="47" t="str">
        <f>Chemin_accès!$B$8&amp;Tableau1[[#This Row],[Localisation / Classement]]&amp;"\"&amp;Tableau1[[#This Row],[Poste technique]]&amp;"_"&amp;Tableau1[[#This Row],[Plan Entretien]]&amp;".xlsm"</f>
        <v>\\stjn.local\trimet\Btechnique\Commun\BT Maint SCELLEMENT\205 - Préventifs\Gammes 7.MSCT PE Tool\\_.xlsm</v>
      </c>
    </row>
    <row r="713" spans="1:30" x14ac:dyDescent="0.3">
      <c r="A713" s="44" t="str">
        <f t="shared" ca="1" si="11"/>
        <v>7.MSCT</v>
      </c>
      <c r="B7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3" s="46"/>
      <c r="D713" s="44"/>
      <c r="E713" s="44"/>
      <c r="F713" s="47"/>
      <c r="G713" s="47"/>
      <c r="H713" s="50"/>
      <c r="I713" s="50"/>
      <c r="J713" s="50"/>
      <c r="K713" s="50"/>
      <c r="L713" s="46"/>
      <c r="M713" s="47"/>
      <c r="N713" s="46"/>
      <c r="O713" s="46"/>
      <c r="P713" s="47"/>
      <c r="Q713" s="46"/>
      <c r="R713" s="46"/>
      <c r="S713" s="48"/>
      <c r="T713" s="61" t="str">
        <f>IF(Tableau1[[#This Row],[DMS_SAP]]="","",HYPERLINK(Tableau1[[#This Row],[Chemin fichier source]],"X"))</f>
        <v/>
      </c>
      <c r="U713" s="61" t="str">
        <f>IF(Tableau1[[#This Row],[Date rév.]]="","",HYPERLINK(Tableau1[[#This Row],[Lien document]],"X"))</f>
        <v/>
      </c>
      <c r="V713" s="47"/>
      <c r="W713" s="49" t="str">
        <f ca="1">Chemin_accès!$B$2&amp;Tableau1[[#This Row],[Poste Responsable]]&amp;"\"&amp;Tableau1[[#This Row],[Localisation / Classement]]&amp;"\"&amp;Tableau1[[#This Row],[Poste technique]]&amp;"_"&amp;Tableau1[[#This Row],[Plan Entretien]]&amp;".pdf"</f>
        <v>\\stjn.local\trimet\Donnees_Projets\Dms Sap\Maintenance\PlanEntretien\7.MSCT\\_.pdf</v>
      </c>
      <c r="X713" s="47"/>
      <c r="Y713" s="47"/>
      <c r="Z713" s="44" t="str">
        <f ca="1">IF(AND(Tableau1[[#This Row],[Charge]]&lt;&gt;0, Tableau1[[#This Row],[Nombre intervenants]]&lt;&gt;0,Tableau1[[#This Row],[Lien document]]&lt;&gt;0,Tableau1[[#This Row],[DMS_SAP]]&lt;&gt;0)=TRUE,"MIS A JOUR","")</f>
        <v/>
      </c>
      <c r="AA713" s="48"/>
      <c r="AB713" s="58" t="str">
        <f ca="1">IF(Tableau1[[#This Row],[Date rév.]]&lt;&gt;"", DAYS360(Tableau1[[#This Row],[Date rév.]],TODAY()),"")</f>
        <v/>
      </c>
      <c r="AC713" s="47" t="str">
        <f>IFERROR(INDEX(Chemin_accès!$B$11:$C$22,MATCH(Tableau1[[#This Row],[Type]],Chemin_accès!$C$11:$C$22,0),1),Chemin_accès!$B$11)</f>
        <v>\\stjn.local\trimet\Btechnique\Commun\BT Maint SCELLEMENT\205 - Préventifs\Modèles préventif\GammeDMS_7.MSCT.xlsm</v>
      </c>
      <c r="AD713" s="47" t="str">
        <f>Chemin_accès!$B$8&amp;Tableau1[[#This Row],[Localisation / Classement]]&amp;"\"&amp;Tableau1[[#This Row],[Poste technique]]&amp;"_"&amp;Tableau1[[#This Row],[Plan Entretien]]&amp;".xlsm"</f>
        <v>\\stjn.local\trimet\Btechnique\Commun\BT Maint SCELLEMENT\205 - Préventifs\Gammes 7.MSCT PE Tool\\_.xlsm</v>
      </c>
    </row>
    <row r="714" spans="1:30" x14ac:dyDescent="0.3">
      <c r="A714" s="44" t="str">
        <f t="shared" ca="1" si="11"/>
        <v>7.MSCT</v>
      </c>
      <c r="B7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4" s="46"/>
      <c r="D714" s="44"/>
      <c r="E714" s="44"/>
      <c r="F714" s="47"/>
      <c r="G714" s="47"/>
      <c r="H714" s="50"/>
      <c r="I714" s="50"/>
      <c r="J714" s="50"/>
      <c r="K714" s="50"/>
      <c r="L714" s="46"/>
      <c r="M714" s="47"/>
      <c r="N714" s="46"/>
      <c r="O714" s="46"/>
      <c r="P714" s="47"/>
      <c r="Q714" s="46"/>
      <c r="R714" s="46"/>
      <c r="S714" s="48"/>
      <c r="T714" s="61" t="str">
        <f>IF(Tableau1[[#This Row],[DMS_SAP]]="","",HYPERLINK(Tableau1[[#This Row],[Chemin fichier source]],"X"))</f>
        <v/>
      </c>
      <c r="U714" s="61" t="str">
        <f>IF(Tableau1[[#This Row],[Date rév.]]="","",HYPERLINK(Tableau1[[#This Row],[Lien document]],"X"))</f>
        <v/>
      </c>
      <c r="V714" s="47"/>
      <c r="W714" s="49" t="str">
        <f ca="1">Chemin_accès!$B$2&amp;Tableau1[[#This Row],[Poste Responsable]]&amp;"\"&amp;Tableau1[[#This Row],[Localisation / Classement]]&amp;"\"&amp;Tableau1[[#This Row],[Poste technique]]&amp;"_"&amp;Tableau1[[#This Row],[Plan Entretien]]&amp;".pdf"</f>
        <v>\\stjn.local\trimet\Donnees_Projets\Dms Sap\Maintenance\PlanEntretien\7.MSCT\\_.pdf</v>
      </c>
      <c r="X714" s="47"/>
      <c r="Y714" s="47"/>
      <c r="Z714" s="44" t="str">
        <f ca="1">IF(AND(Tableau1[[#This Row],[Charge]]&lt;&gt;0, Tableau1[[#This Row],[Nombre intervenants]]&lt;&gt;0,Tableau1[[#This Row],[Lien document]]&lt;&gt;0,Tableau1[[#This Row],[DMS_SAP]]&lt;&gt;0)=TRUE,"MIS A JOUR","")</f>
        <v/>
      </c>
      <c r="AA714" s="48"/>
      <c r="AB714" s="58" t="str">
        <f ca="1">IF(Tableau1[[#This Row],[Date rév.]]&lt;&gt;"", DAYS360(Tableau1[[#This Row],[Date rév.]],TODAY()),"")</f>
        <v/>
      </c>
      <c r="AC714" s="47" t="str">
        <f>IFERROR(INDEX(Chemin_accès!$B$11:$C$22,MATCH(Tableau1[[#This Row],[Type]],Chemin_accès!$C$11:$C$22,0),1),Chemin_accès!$B$11)</f>
        <v>\\stjn.local\trimet\Btechnique\Commun\BT Maint SCELLEMENT\205 - Préventifs\Modèles préventif\GammeDMS_7.MSCT.xlsm</v>
      </c>
      <c r="AD714" s="47" t="str">
        <f>Chemin_accès!$B$8&amp;Tableau1[[#This Row],[Localisation / Classement]]&amp;"\"&amp;Tableau1[[#This Row],[Poste technique]]&amp;"_"&amp;Tableau1[[#This Row],[Plan Entretien]]&amp;".xlsm"</f>
        <v>\\stjn.local\trimet\Btechnique\Commun\BT Maint SCELLEMENT\205 - Préventifs\Gammes 7.MSCT PE Tool\\_.xlsm</v>
      </c>
    </row>
    <row r="715" spans="1:30" x14ac:dyDescent="0.3">
      <c r="A715" s="44" t="str">
        <f t="shared" ca="1" si="11"/>
        <v>7.MSCT</v>
      </c>
      <c r="B7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5" s="46"/>
      <c r="D715" s="44"/>
      <c r="E715" s="44"/>
      <c r="F715" s="47"/>
      <c r="G715" s="47"/>
      <c r="H715" s="50"/>
      <c r="I715" s="50"/>
      <c r="J715" s="50"/>
      <c r="K715" s="50"/>
      <c r="L715" s="46"/>
      <c r="M715" s="47"/>
      <c r="N715" s="46"/>
      <c r="O715" s="46"/>
      <c r="P715" s="47"/>
      <c r="Q715" s="46"/>
      <c r="R715" s="46"/>
      <c r="S715" s="48"/>
      <c r="T715" s="61" t="str">
        <f>IF(Tableau1[[#This Row],[DMS_SAP]]="","",HYPERLINK(Tableau1[[#This Row],[Chemin fichier source]],"X"))</f>
        <v/>
      </c>
      <c r="U715" s="61" t="str">
        <f>IF(Tableau1[[#This Row],[Date rév.]]="","",HYPERLINK(Tableau1[[#This Row],[Lien document]],"X"))</f>
        <v/>
      </c>
      <c r="V715" s="47"/>
      <c r="W715" s="49" t="str">
        <f ca="1">Chemin_accès!$B$2&amp;Tableau1[[#This Row],[Poste Responsable]]&amp;"\"&amp;Tableau1[[#This Row],[Localisation / Classement]]&amp;"\"&amp;Tableau1[[#This Row],[Poste technique]]&amp;"_"&amp;Tableau1[[#This Row],[Plan Entretien]]&amp;".pdf"</f>
        <v>\\stjn.local\trimet\Donnees_Projets\Dms Sap\Maintenance\PlanEntretien\7.MSCT\\_.pdf</v>
      </c>
      <c r="X715" s="47"/>
      <c r="Y715" s="47"/>
      <c r="Z715" s="44" t="str">
        <f ca="1">IF(AND(Tableau1[[#This Row],[Charge]]&lt;&gt;0, Tableau1[[#This Row],[Nombre intervenants]]&lt;&gt;0,Tableau1[[#This Row],[Lien document]]&lt;&gt;0,Tableau1[[#This Row],[DMS_SAP]]&lt;&gt;0)=TRUE,"MIS A JOUR","")</f>
        <v/>
      </c>
      <c r="AA715" s="48"/>
      <c r="AB715" s="58" t="str">
        <f ca="1">IF(Tableau1[[#This Row],[Date rév.]]&lt;&gt;"", DAYS360(Tableau1[[#This Row],[Date rév.]],TODAY()),"")</f>
        <v/>
      </c>
      <c r="AC715" s="47" t="str">
        <f>IFERROR(INDEX(Chemin_accès!$B$11:$C$22,MATCH(Tableau1[[#This Row],[Type]],Chemin_accès!$C$11:$C$22,0),1),Chemin_accès!$B$11)</f>
        <v>\\stjn.local\trimet\Btechnique\Commun\BT Maint SCELLEMENT\205 - Préventifs\Modèles préventif\GammeDMS_7.MSCT.xlsm</v>
      </c>
      <c r="AD715" s="47" t="str">
        <f>Chemin_accès!$B$8&amp;Tableau1[[#This Row],[Localisation / Classement]]&amp;"\"&amp;Tableau1[[#This Row],[Poste technique]]&amp;"_"&amp;Tableau1[[#This Row],[Plan Entretien]]&amp;".xlsm"</f>
        <v>\\stjn.local\trimet\Btechnique\Commun\BT Maint SCELLEMENT\205 - Préventifs\Gammes 7.MSCT PE Tool\\_.xlsm</v>
      </c>
    </row>
    <row r="716" spans="1:30" x14ac:dyDescent="0.3">
      <c r="A716" s="44" t="str">
        <f t="shared" ca="1" si="11"/>
        <v>7.MSCT</v>
      </c>
      <c r="B7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6" s="46"/>
      <c r="D716" s="44"/>
      <c r="E716" s="44"/>
      <c r="F716" s="47"/>
      <c r="G716" s="47"/>
      <c r="H716" s="50"/>
      <c r="I716" s="50"/>
      <c r="J716" s="50"/>
      <c r="K716" s="50"/>
      <c r="L716" s="46"/>
      <c r="M716" s="47"/>
      <c r="N716" s="46"/>
      <c r="O716" s="46"/>
      <c r="P716" s="47"/>
      <c r="Q716" s="46"/>
      <c r="R716" s="46"/>
      <c r="S716" s="48"/>
      <c r="T716" s="61" t="str">
        <f>IF(Tableau1[[#This Row],[DMS_SAP]]="","",HYPERLINK(Tableau1[[#This Row],[Chemin fichier source]],"X"))</f>
        <v/>
      </c>
      <c r="U716" s="61" t="str">
        <f>IF(Tableau1[[#This Row],[Date rév.]]="","",HYPERLINK(Tableau1[[#This Row],[Lien document]],"X"))</f>
        <v/>
      </c>
      <c r="V716" s="47"/>
      <c r="W716" s="49" t="str">
        <f ca="1">Chemin_accès!$B$2&amp;Tableau1[[#This Row],[Poste Responsable]]&amp;"\"&amp;Tableau1[[#This Row],[Localisation / Classement]]&amp;"\"&amp;Tableau1[[#This Row],[Poste technique]]&amp;"_"&amp;Tableau1[[#This Row],[Plan Entretien]]&amp;".pdf"</f>
        <v>\\stjn.local\trimet\Donnees_Projets\Dms Sap\Maintenance\PlanEntretien\7.MSCT\\_.pdf</v>
      </c>
      <c r="X716" s="47"/>
      <c r="Y716" s="47"/>
      <c r="Z716" s="44" t="str">
        <f ca="1">IF(AND(Tableau1[[#This Row],[Charge]]&lt;&gt;0, Tableau1[[#This Row],[Nombre intervenants]]&lt;&gt;0,Tableau1[[#This Row],[Lien document]]&lt;&gt;0,Tableau1[[#This Row],[DMS_SAP]]&lt;&gt;0)=TRUE,"MIS A JOUR","")</f>
        <v/>
      </c>
      <c r="AA716" s="48"/>
      <c r="AB716" s="58" t="str">
        <f ca="1">IF(Tableau1[[#This Row],[Date rév.]]&lt;&gt;"", DAYS360(Tableau1[[#This Row],[Date rév.]],TODAY()),"")</f>
        <v/>
      </c>
      <c r="AC716" s="47" t="str">
        <f>IFERROR(INDEX(Chemin_accès!$B$11:$C$22,MATCH(Tableau1[[#This Row],[Type]],Chemin_accès!$C$11:$C$22,0),1),Chemin_accès!$B$11)</f>
        <v>\\stjn.local\trimet\Btechnique\Commun\BT Maint SCELLEMENT\205 - Préventifs\Modèles préventif\GammeDMS_7.MSCT.xlsm</v>
      </c>
      <c r="AD716" s="47" t="str">
        <f>Chemin_accès!$B$8&amp;Tableau1[[#This Row],[Localisation / Classement]]&amp;"\"&amp;Tableau1[[#This Row],[Poste technique]]&amp;"_"&amp;Tableau1[[#This Row],[Plan Entretien]]&amp;".xlsm"</f>
        <v>\\stjn.local\trimet\Btechnique\Commun\BT Maint SCELLEMENT\205 - Préventifs\Gammes 7.MSCT PE Tool\\_.xlsm</v>
      </c>
    </row>
    <row r="717" spans="1:30" x14ac:dyDescent="0.3">
      <c r="A717" s="44" t="str">
        <f t="shared" ca="1" si="11"/>
        <v>7.MSCT</v>
      </c>
      <c r="B7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7" s="46"/>
      <c r="D717" s="44"/>
      <c r="E717" s="44"/>
      <c r="F717" s="47"/>
      <c r="G717" s="47"/>
      <c r="H717" s="50"/>
      <c r="I717" s="50"/>
      <c r="J717" s="50"/>
      <c r="K717" s="50"/>
      <c r="L717" s="46"/>
      <c r="M717" s="47"/>
      <c r="N717" s="46"/>
      <c r="O717" s="46"/>
      <c r="P717" s="47"/>
      <c r="Q717" s="46"/>
      <c r="R717" s="46"/>
      <c r="S717" s="48"/>
      <c r="T717" s="61" t="str">
        <f>IF(Tableau1[[#This Row],[DMS_SAP]]="","",HYPERLINK(Tableau1[[#This Row],[Chemin fichier source]],"X"))</f>
        <v/>
      </c>
      <c r="U717" s="61" t="str">
        <f>IF(Tableau1[[#This Row],[Date rév.]]="","",HYPERLINK(Tableau1[[#This Row],[Lien document]],"X"))</f>
        <v/>
      </c>
      <c r="V717" s="47"/>
      <c r="W717" s="49" t="str">
        <f ca="1">Chemin_accès!$B$2&amp;Tableau1[[#This Row],[Poste Responsable]]&amp;"\"&amp;Tableau1[[#This Row],[Localisation / Classement]]&amp;"\"&amp;Tableau1[[#This Row],[Poste technique]]&amp;"_"&amp;Tableau1[[#This Row],[Plan Entretien]]&amp;".pdf"</f>
        <v>\\stjn.local\trimet\Donnees_Projets\Dms Sap\Maintenance\PlanEntretien\7.MSCT\\_.pdf</v>
      </c>
      <c r="X717" s="47"/>
      <c r="Y717" s="47"/>
      <c r="Z717" s="44" t="str">
        <f ca="1">IF(AND(Tableau1[[#This Row],[Charge]]&lt;&gt;0, Tableau1[[#This Row],[Nombre intervenants]]&lt;&gt;0,Tableau1[[#This Row],[Lien document]]&lt;&gt;0,Tableau1[[#This Row],[DMS_SAP]]&lt;&gt;0)=TRUE,"MIS A JOUR","")</f>
        <v/>
      </c>
      <c r="AA717" s="48"/>
      <c r="AB717" s="58" t="str">
        <f ca="1">IF(Tableau1[[#This Row],[Date rév.]]&lt;&gt;"", DAYS360(Tableau1[[#This Row],[Date rév.]],TODAY()),"")</f>
        <v/>
      </c>
      <c r="AC717" s="47" t="str">
        <f>IFERROR(INDEX(Chemin_accès!$B$11:$C$22,MATCH(Tableau1[[#This Row],[Type]],Chemin_accès!$C$11:$C$22,0),1),Chemin_accès!$B$11)</f>
        <v>\\stjn.local\trimet\Btechnique\Commun\BT Maint SCELLEMENT\205 - Préventifs\Modèles préventif\GammeDMS_7.MSCT.xlsm</v>
      </c>
      <c r="AD717" s="47" t="str">
        <f>Chemin_accès!$B$8&amp;Tableau1[[#This Row],[Localisation / Classement]]&amp;"\"&amp;Tableau1[[#This Row],[Poste technique]]&amp;"_"&amp;Tableau1[[#This Row],[Plan Entretien]]&amp;".xlsm"</f>
        <v>\\stjn.local\trimet\Btechnique\Commun\BT Maint SCELLEMENT\205 - Préventifs\Gammes 7.MSCT PE Tool\\_.xlsm</v>
      </c>
    </row>
    <row r="718" spans="1:30" x14ac:dyDescent="0.3">
      <c r="A718" s="44" t="str">
        <f t="shared" ca="1" si="11"/>
        <v>7.MSCT</v>
      </c>
      <c r="B7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8" s="46"/>
      <c r="D718" s="44"/>
      <c r="E718" s="44"/>
      <c r="F718" s="47"/>
      <c r="G718" s="47"/>
      <c r="H718" s="50"/>
      <c r="I718" s="50"/>
      <c r="J718" s="50"/>
      <c r="K718" s="50"/>
      <c r="L718" s="46"/>
      <c r="M718" s="47"/>
      <c r="N718" s="46"/>
      <c r="O718" s="46"/>
      <c r="P718" s="47"/>
      <c r="Q718" s="46"/>
      <c r="R718" s="46"/>
      <c r="S718" s="48"/>
      <c r="T718" s="61" t="str">
        <f>IF(Tableau1[[#This Row],[DMS_SAP]]="","",HYPERLINK(Tableau1[[#This Row],[Chemin fichier source]],"X"))</f>
        <v/>
      </c>
      <c r="U718" s="61" t="str">
        <f>IF(Tableau1[[#This Row],[Date rév.]]="","",HYPERLINK(Tableau1[[#This Row],[Lien document]],"X"))</f>
        <v/>
      </c>
      <c r="V718" s="47"/>
      <c r="W718" s="49" t="str">
        <f ca="1">Chemin_accès!$B$2&amp;Tableau1[[#This Row],[Poste Responsable]]&amp;"\"&amp;Tableau1[[#This Row],[Localisation / Classement]]&amp;"\"&amp;Tableau1[[#This Row],[Poste technique]]&amp;"_"&amp;Tableau1[[#This Row],[Plan Entretien]]&amp;".pdf"</f>
        <v>\\stjn.local\trimet\Donnees_Projets\Dms Sap\Maintenance\PlanEntretien\7.MSCT\\_.pdf</v>
      </c>
      <c r="X718" s="47"/>
      <c r="Y718" s="47"/>
      <c r="Z718" s="44" t="str">
        <f ca="1">IF(AND(Tableau1[[#This Row],[Charge]]&lt;&gt;0, Tableau1[[#This Row],[Nombre intervenants]]&lt;&gt;0,Tableau1[[#This Row],[Lien document]]&lt;&gt;0,Tableau1[[#This Row],[DMS_SAP]]&lt;&gt;0)=TRUE,"MIS A JOUR","")</f>
        <v/>
      </c>
      <c r="AA718" s="48"/>
      <c r="AB718" s="58" t="str">
        <f ca="1">IF(Tableau1[[#This Row],[Date rév.]]&lt;&gt;"", DAYS360(Tableau1[[#This Row],[Date rév.]],TODAY()),"")</f>
        <v/>
      </c>
      <c r="AC718" s="47" t="str">
        <f>IFERROR(INDEX(Chemin_accès!$B$11:$C$22,MATCH(Tableau1[[#This Row],[Type]],Chemin_accès!$C$11:$C$22,0),1),Chemin_accès!$B$11)</f>
        <v>\\stjn.local\trimet\Btechnique\Commun\BT Maint SCELLEMENT\205 - Préventifs\Modèles préventif\GammeDMS_7.MSCT.xlsm</v>
      </c>
      <c r="AD718" s="47" t="str">
        <f>Chemin_accès!$B$8&amp;Tableau1[[#This Row],[Localisation / Classement]]&amp;"\"&amp;Tableau1[[#This Row],[Poste technique]]&amp;"_"&amp;Tableau1[[#This Row],[Plan Entretien]]&amp;".xlsm"</f>
        <v>\\stjn.local\trimet\Btechnique\Commun\BT Maint SCELLEMENT\205 - Préventifs\Gammes 7.MSCT PE Tool\\_.xlsm</v>
      </c>
    </row>
    <row r="719" spans="1:30" x14ac:dyDescent="0.3">
      <c r="A719" s="44" t="str">
        <f t="shared" ca="1" si="11"/>
        <v>7.MSCT</v>
      </c>
      <c r="B7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9" s="46"/>
      <c r="D719" s="44"/>
      <c r="E719" s="44"/>
      <c r="F719" s="47"/>
      <c r="G719" s="47"/>
      <c r="H719" s="50"/>
      <c r="I719" s="50"/>
      <c r="J719" s="50"/>
      <c r="K719" s="50"/>
      <c r="L719" s="46"/>
      <c r="M719" s="47"/>
      <c r="N719" s="46"/>
      <c r="O719" s="46"/>
      <c r="P719" s="47"/>
      <c r="Q719" s="46"/>
      <c r="R719" s="46"/>
      <c r="S719" s="48"/>
      <c r="T719" s="61" t="str">
        <f>IF(Tableau1[[#This Row],[DMS_SAP]]="","",HYPERLINK(Tableau1[[#This Row],[Chemin fichier source]],"X"))</f>
        <v/>
      </c>
      <c r="U719" s="61" t="str">
        <f>IF(Tableau1[[#This Row],[Date rév.]]="","",HYPERLINK(Tableau1[[#This Row],[Lien document]],"X"))</f>
        <v/>
      </c>
      <c r="V719" s="47"/>
      <c r="W719" s="49" t="str">
        <f ca="1">Chemin_accès!$B$2&amp;Tableau1[[#This Row],[Poste Responsable]]&amp;"\"&amp;Tableau1[[#This Row],[Localisation / Classement]]&amp;"\"&amp;Tableau1[[#This Row],[Poste technique]]&amp;"_"&amp;Tableau1[[#This Row],[Plan Entretien]]&amp;".pdf"</f>
        <v>\\stjn.local\trimet\Donnees_Projets\Dms Sap\Maintenance\PlanEntretien\7.MSCT\\_.pdf</v>
      </c>
      <c r="X719" s="47"/>
      <c r="Y719" s="47"/>
      <c r="Z719" s="44" t="str">
        <f ca="1">IF(AND(Tableau1[[#This Row],[Charge]]&lt;&gt;0, Tableau1[[#This Row],[Nombre intervenants]]&lt;&gt;0,Tableau1[[#This Row],[Lien document]]&lt;&gt;0,Tableau1[[#This Row],[DMS_SAP]]&lt;&gt;0)=TRUE,"MIS A JOUR","")</f>
        <v/>
      </c>
      <c r="AA719" s="48"/>
      <c r="AB719" s="58" t="str">
        <f ca="1">IF(Tableau1[[#This Row],[Date rév.]]&lt;&gt;"", DAYS360(Tableau1[[#This Row],[Date rév.]],TODAY()),"")</f>
        <v/>
      </c>
      <c r="AC719" s="47" t="str">
        <f>IFERROR(INDEX(Chemin_accès!$B$11:$C$22,MATCH(Tableau1[[#This Row],[Type]],Chemin_accès!$C$11:$C$22,0),1),Chemin_accès!$B$11)</f>
        <v>\\stjn.local\trimet\Btechnique\Commun\BT Maint SCELLEMENT\205 - Préventifs\Modèles préventif\GammeDMS_7.MSCT.xlsm</v>
      </c>
      <c r="AD719" s="47" t="str">
        <f>Chemin_accès!$B$8&amp;Tableau1[[#This Row],[Localisation / Classement]]&amp;"\"&amp;Tableau1[[#This Row],[Poste technique]]&amp;"_"&amp;Tableau1[[#This Row],[Plan Entretien]]&amp;".xlsm"</f>
        <v>\\stjn.local\trimet\Btechnique\Commun\BT Maint SCELLEMENT\205 - Préventifs\Gammes 7.MSCT PE Tool\\_.xlsm</v>
      </c>
    </row>
    <row r="720" spans="1:30" x14ac:dyDescent="0.3">
      <c r="A720" s="44" t="str">
        <f t="shared" ca="1" si="11"/>
        <v>7.MSCT</v>
      </c>
      <c r="B7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0" s="46"/>
      <c r="D720" s="44"/>
      <c r="E720" s="44"/>
      <c r="F720" s="47"/>
      <c r="G720" s="47"/>
      <c r="H720" s="50"/>
      <c r="I720" s="50"/>
      <c r="J720" s="50"/>
      <c r="K720" s="50"/>
      <c r="L720" s="46"/>
      <c r="M720" s="47"/>
      <c r="N720" s="46"/>
      <c r="O720" s="46"/>
      <c r="P720" s="47"/>
      <c r="Q720" s="46"/>
      <c r="R720" s="46"/>
      <c r="S720" s="48"/>
      <c r="T720" s="61" t="str">
        <f>IF(Tableau1[[#This Row],[DMS_SAP]]="","",HYPERLINK(Tableau1[[#This Row],[Chemin fichier source]],"X"))</f>
        <v/>
      </c>
      <c r="U720" s="61" t="str">
        <f>IF(Tableau1[[#This Row],[Date rév.]]="","",HYPERLINK(Tableau1[[#This Row],[Lien document]],"X"))</f>
        <v/>
      </c>
      <c r="V720" s="47"/>
      <c r="W720" s="49" t="str">
        <f ca="1">Chemin_accès!$B$2&amp;Tableau1[[#This Row],[Poste Responsable]]&amp;"\"&amp;Tableau1[[#This Row],[Localisation / Classement]]&amp;"\"&amp;Tableau1[[#This Row],[Poste technique]]&amp;"_"&amp;Tableau1[[#This Row],[Plan Entretien]]&amp;".pdf"</f>
        <v>\\stjn.local\trimet\Donnees_Projets\Dms Sap\Maintenance\PlanEntretien\7.MSCT\\_.pdf</v>
      </c>
      <c r="X720" s="47"/>
      <c r="Y720" s="47"/>
      <c r="Z720" s="44" t="str">
        <f ca="1">IF(AND(Tableau1[[#This Row],[Charge]]&lt;&gt;0, Tableau1[[#This Row],[Nombre intervenants]]&lt;&gt;0,Tableau1[[#This Row],[Lien document]]&lt;&gt;0,Tableau1[[#This Row],[DMS_SAP]]&lt;&gt;0)=TRUE,"MIS A JOUR","")</f>
        <v/>
      </c>
      <c r="AA720" s="48"/>
      <c r="AB720" s="58" t="str">
        <f ca="1">IF(Tableau1[[#This Row],[Date rév.]]&lt;&gt;"", DAYS360(Tableau1[[#This Row],[Date rév.]],TODAY()),"")</f>
        <v/>
      </c>
      <c r="AC720" s="47" t="str">
        <f>IFERROR(INDEX(Chemin_accès!$B$11:$C$22,MATCH(Tableau1[[#This Row],[Type]],Chemin_accès!$C$11:$C$22,0),1),Chemin_accès!$B$11)</f>
        <v>\\stjn.local\trimet\Btechnique\Commun\BT Maint SCELLEMENT\205 - Préventifs\Modèles préventif\GammeDMS_7.MSCT.xlsm</v>
      </c>
      <c r="AD720" s="47" t="str">
        <f>Chemin_accès!$B$8&amp;Tableau1[[#This Row],[Localisation / Classement]]&amp;"\"&amp;Tableau1[[#This Row],[Poste technique]]&amp;"_"&amp;Tableau1[[#This Row],[Plan Entretien]]&amp;".xlsm"</f>
        <v>\\stjn.local\trimet\Btechnique\Commun\BT Maint SCELLEMENT\205 - Préventifs\Gammes 7.MSCT PE Tool\\_.xlsm</v>
      </c>
    </row>
    <row r="721" spans="1:30" x14ac:dyDescent="0.3">
      <c r="A721" s="44" t="str">
        <f t="shared" ca="1" si="11"/>
        <v>7.MSCT</v>
      </c>
      <c r="B7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1" s="46"/>
      <c r="D721" s="44"/>
      <c r="E721" s="44"/>
      <c r="F721" s="47"/>
      <c r="G721" s="47"/>
      <c r="H721" s="50"/>
      <c r="I721" s="50"/>
      <c r="J721" s="50"/>
      <c r="K721" s="50"/>
      <c r="L721" s="46"/>
      <c r="M721" s="47"/>
      <c r="N721" s="46"/>
      <c r="O721" s="46"/>
      <c r="P721" s="47"/>
      <c r="Q721" s="46"/>
      <c r="R721" s="46"/>
      <c r="S721" s="48"/>
      <c r="T721" s="61" t="str">
        <f>IF(Tableau1[[#This Row],[DMS_SAP]]="","",HYPERLINK(Tableau1[[#This Row],[Chemin fichier source]],"X"))</f>
        <v/>
      </c>
      <c r="U721" s="61" t="str">
        <f>IF(Tableau1[[#This Row],[Date rév.]]="","",HYPERLINK(Tableau1[[#This Row],[Lien document]],"X"))</f>
        <v/>
      </c>
      <c r="V721" s="47"/>
      <c r="W721" s="49" t="str">
        <f ca="1">Chemin_accès!$B$2&amp;Tableau1[[#This Row],[Poste Responsable]]&amp;"\"&amp;Tableau1[[#This Row],[Localisation / Classement]]&amp;"\"&amp;Tableau1[[#This Row],[Poste technique]]&amp;"_"&amp;Tableau1[[#This Row],[Plan Entretien]]&amp;".pdf"</f>
        <v>\\stjn.local\trimet\Donnees_Projets\Dms Sap\Maintenance\PlanEntretien\7.MSCT\\_.pdf</v>
      </c>
      <c r="X721" s="47"/>
      <c r="Y721" s="47"/>
      <c r="Z721" s="44" t="str">
        <f ca="1">IF(AND(Tableau1[[#This Row],[Charge]]&lt;&gt;0, Tableau1[[#This Row],[Nombre intervenants]]&lt;&gt;0,Tableau1[[#This Row],[Lien document]]&lt;&gt;0,Tableau1[[#This Row],[DMS_SAP]]&lt;&gt;0)=TRUE,"MIS A JOUR","")</f>
        <v/>
      </c>
      <c r="AA721" s="48"/>
      <c r="AB721" s="58" t="str">
        <f ca="1">IF(Tableau1[[#This Row],[Date rév.]]&lt;&gt;"", DAYS360(Tableau1[[#This Row],[Date rév.]],TODAY()),"")</f>
        <v/>
      </c>
      <c r="AC721" s="47" t="str">
        <f>IFERROR(INDEX(Chemin_accès!$B$11:$C$22,MATCH(Tableau1[[#This Row],[Type]],Chemin_accès!$C$11:$C$22,0),1),Chemin_accès!$B$11)</f>
        <v>\\stjn.local\trimet\Btechnique\Commun\BT Maint SCELLEMENT\205 - Préventifs\Modèles préventif\GammeDMS_7.MSCT.xlsm</v>
      </c>
      <c r="AD721" s="47" t="str">
        <f>Chemin_accès!$B$8&amp;Tableau1[[#This Row],[Localisation / Classement]]&amp;"\"&amp;Tableau1[[#This Row],[Poste technique]]&amp;"_"&amp;Tableau1[[#This Row],[Plan Entretien]]&amp;".xlsm"</f>
        <v>\\stjn.local\trimet\Btechnique\Commun\BT Maint SCELLEMENT\205 - Préventifs\Gammes 7.MSCT PE Tool\\_.xlsm</v>
      </c>
    </row>
    <row r="722" spans="1:30" x14ac:dyDescent="0.3">
      <c r="A722" s="44" t="str">
        <f t="shared" ca="1" si="11"/>
        <v>7.MSCT</v>
      </c>
      <c r="B7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2" s="46"/>
      <c r="D722" s="44"/>
      <c r="E722" s="44"/>
      <c r="F722" s="47"/>
      <c r="G722" s="47"/>
      <c r="H722" s="50"/>
      <c r="I722" s="50"/>
      <c r="J722" s="50"/>
      <c r="K722" s="50"/>
      <c r="L722" s="46"/>
      <c r="M722" s="47"/>
      <c r="N722" s="46"/>
      <c r="O722" s="46"/>
      <c r="P722" s="47"/>
      <c r="Q722" s="46"/>
      <c r="R722" s="46"/>
      <c r="S722" s="48"/>
      <c r="T722" s="61" t="str">
        <f>IF(Tableau1[[#This Row],[DMS_SAP]]="","",HYPERLINK(Tableau1[[#This Row],[Chemin fichier source]],"X"))</f>
        <v/>
      </c>
      <c r="U722" s="61" t="str">
        <f>IF(Tableau1[[#This Row],[Date rév.]]="","",HYPERLINK(Tableau1[[#This Row],[Lien document]],"X"))</f>
        <v/>
      </c>
      <c r="V722" s="47"/>
      <c r="W722" s="49" t="str">
        <f ca="1">Chemin_accès!$B$2&amp;Tableau1[[#This Row],[Poste Responsable]]&amp;"\"&amp;Tableau1[[#This Row],[Localisation / Classement]]&amp;"\"&amp;Tableau1[[#This Row],[Poste technique]]&amp;"_"&amp;Tableau1[[#This Row],[Plan Entretien]]&amp;".pdf"</f>
        <v>\\stjn.local\trimet\Donnees_Projets\Dms Sap\Maintenance\PlanEntretien\7.MSCT\\_.pdf</v>
      </c>
      <c r="X722" s="47"/>
      <c r="Y722" s="47"/>
      <c r="Z722" s="44" t="str">
        <f ca="1">IF(AND(Tableau1[[#This Row],[Charge]]&lt;&gt;0, Tableau1[[#This Row],[Nombre intervenants]]&lt;&gt;0,Tableau1[[#This Row],[Lien document]]&lt;&gt;0,Tableau1[[#This Row],[DMS_SAP]]&lt;&gt;0)=TRUE,"MIS A JOUR","")</f>
        <v/>
      </c>
      <c r="AA722" s="48"/>
      <c r="AB722" s="58" t="str">
        <f ca="1">IF(Tableau1[[#This Row],[Date rév.]]&lt;&gt;"", DAYS360(Tableau1[[#This Row],[Date rév.]],TODAY()),"")</f>
        <v/>
      </c>
      <c r="AC722" s="47" t="str">
        <f>IFERROR(INDEX(Chemin_accès!$B$11:$C$22,MATCH(Tableau1[[#This Row],[Type]],Chemin_accès!$C$11:$C$22,0),1),Chemin_accès!$B$11)</f>
        <v>\\stjn.local\trimet\Btechnique\Commun\BT Maint SCELLEMENT\205 - Préventifs\Modèles préventif\GammeDMS_7.MSCT.xlsm</v>
      </c>
      <c r="AD722" s="47" t="str">
        <f>Chemin_accès!$B$8&amp;Tableau1[[#This Row],[Localisation / Classement]]&amp;"\"&amp;Tableau1[[#This Row],[Poste technique]]&amp;"_"&amp;Tableau1[[#This Row],[Plan Entretien]]&amp;".xlsm"</f>
        <v>\\stjn.local\trimet\Btechnique\Commun\BT Maint SCELLEMENT\205 - Préventifs\Gammes 7.MSCT PE Tool\\_.xlsm</v>
      </c>
    </row>
    <row r="723" spans="1:30" x14ac:dyDescent="0.3">
      <c r="A723" s="44" t="str">
        <f t="shared" ca="1" si="11"/>
        <v>7.MSCT</v>
      </c>
      <c r="B7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3" s="46"/>
      <c r="D723" s="44"/>
      <c r="E723" s="44"/>
      <c r="F723" s="47"/>
      <c r="G723" s="47"/>
      <c r="H723" s="50"/>
      <c r="I723" s="50"/>
      <c r="J723" s="50"/>
      <c r="K723" s="50"/>
      <c r="L723" s="46"/>
      <c r="M723" s="47"/>
      <c r="N723" s="46"/>
      <c r="O723" s="46"/>
      <c r="P723" s="47"/>
      <c r="Q723" s="46"/>
      <c r="R723" s="46"/>
      <c r="S723" s="48"/>
      <c r="T723" s="61" t="str">
        <f>IF(Tableau1[[#This Row],[DMS_SAP]]="","",HYPERLINK(Tableau1[[#This Row],[Chemin fichier source]],"X"))</f>
        <v/>
      </c>
      <c r="U723" s="61" t="str">
        <f>IF(Tableau1[[#This Row],[Date rév.]]="","",HYPERLINK(Tableau1[[#This Row],[Lien document]],"X"))</f>
        <v/>
      </c>
      <c r="V723" s="47"/>
      <c r="W723" s="49" t="str">
        <f ca="1">Chemin_accès!$B$2&amp;Tableau1[[#This Row],[Poste Responsable]]&amp;"\"&amp;Tableau1[[#This Row],[Localisation / Classement]]&amp;"\"&amp;Tableau1[[#This Row],[Poste technique]]&amp;"_"&amp;Tableau1[[#This Row],[Plan Entretien]]&amp;".pdf"</f>
        <v>\\stjn.local\trimet\Donnees_Projets\Dms Sap\Maintenance\PlanEntretien\7.MSCT\\_.pdf</v>
      </c>
      <c r="X723" s="47"/>
      <c r="Y723" s="47"/>
      <c r="Z723" s="44" t="str">
        <f ca="1">IF(AND(Tableau1[[#This Row],[Charge]]&lt;&gt;0, Tableau1[[#This Row],[Nombre intervenants]]&lt;&gt;0,Tableau1[[#This Row],[Lien document]]&lt;&gt;0,Tableau1[[#This Row],[DMS_SAP]]&lt;&gt;0)=TRUE,"MIS A JOUR","")</f>
        <v/>
      </c>
      <c r="AA723" s="48"/>
      <c r="AB723" s="58" t="str">
        <f ca="1">IF(Tableau1[[#This Row],[Date rév.]]&lt;&gt;"", DAYS360(Tableau1[[#This Row],[Date rév.]],TODAY()),"")</f>
        <v/>
      </c>
      <c r="AC723" s="47" t="str">
        <f>IFERROR(INDEX(Chemin_accès!$B$11:$C$22,MATCH(Tableau1[[#This Row],[Type]],Chemin_accès!$C$11:$C$22,0),1),Chemin_accès!$B$11)</f>
        <v>\\stjn.local\trimet\Btechnique\Commun\BT Maint SCELLEMENT\205 - Préventifs\Modèles préventif\GammeDMS_7.MSCT.xlsm</v>
      </c>
      <c r="AD723" s="47" t="str">
        <f>Chemin_accès!$B$8&amp;Tableau1[[#This Row],[Localisation / Classement]]&amp;"\"&amp;Tableau1[[#This Row],[Poste technique]]&amp;"_"&amp;Tableau1[[#This Row],[Plan Entretien]]&amp;".xlsm"</f>
        <v>\\stjn.local\trimet\Btechnique\Commun\BT Maint SCELLEMENT\205 - Préventifs\Gammes 7.MSCT PE Tool\\_.xlsm</v>
      </c>
    </row>
    <row r="724" spans="1:30" x14ac:dyDescent="0.3">
      <c r="A724" s="44" t="str">
        <f t="shared" ca="1" si="11"/>
        <v>7.MSCT</v>
      </c>
      <c r="B7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4" s="46"/>
      <c r="D724" s="44"/>
      <c r="E724" s="44"/>
      <c r="F724" s="47"/>
      <c r="G724" s="47"/>
      <c r="H724" s="50"/>
      <c r="I724" s="50"/>
      <c r="J724" s="50"/>
      <c r="K724" s="50"/>
      <c r="L724" s="46"/>
      <c r="M724" s="47"/>
      <c r="N724" s="46"/>
      <c r="O724" s="46"/>
      <c r="P724" s="47"/>
      <c r="Q724" s="46"/>
      <c r="R724" s="46"/>
      <c r="S724" s="48"/>
      <c r="T724" s="61" t="str">
        <f>IF(Tableau1[[#This Row],[DMS_SAP]]="","",HYPERLINK(Tableau1[[#This Row],[Chemin fichier source]],"X"))</f>
        <v/>
      </c>
      <c r="U724" s="61" t="str">
        <f>IF(Tableau1[[#This Row],[Date rév.]]="","",HYPERLINK(Tableau1[[#This Row],[Lien document]],"X"))</f>
        <v/>
      </c>
      <c r="V724" s="47"/>
      <c r="W724" s="49" t="str">
        <f ca="1">Chemin_accès!$B$2&amp;Tableau1[[#This Row],[Poste Responsable]]&amp;"\"&amp;Tableau1[[#This Row],[Localisation / Classement]]&amp;"\"&amp;Tableau1[[#This Row],[Poste technique]]&amp;"_"&amp;Tableau1[[#This Row],[Plan Entretien]]&amp;".pdf"</f>
        <v>\\stjn.local\trimet\Donnees_Projets\Dms Sap\Maintenance\PlanEntretien\7.MSCT\\_.pdf</v>
      </c>
      <c r="X724" s="47"/>
      <c r="Y724" s="47"/>
      <c r="Z724" s="44" t="str">
        <f ca="1">IF(AND(Tableau1[[#This Row],[Charge]]&lt;&gt;0, Tableau1[[#This Row],[Nombre intervenants]]&lt;&gt;0,Tableau1[[#This Row],[Lien document]]&lt;&gt;0,Tableau1[[#This Row],[DMS_SAP]]&lt;&gt;0)=TRUE,"MIS A JOUR","")</f>
        <v/>
      </c>
      <c r="AA724" s="48"/>
      <c r="AB724" s="58" t="str">
        <f ca="1">IF(Tableau1[[#This Row],[Date rév.]]&lt;&gt;"", DAYS360(Tableau1[[#This Row],[Date rév.]],TODAY()),"")</f>
        <v/>
      </c>
      <c r="AC724" s="47" t="str">
        <f>IFERROR(INDEX(Chemin_accès!$B$11:$C$22,MATCH(Tableau1[[#This Row],[Type]],Chemin_accès!$C$11:$C$22,0),1),Chemin_accès!$B$11)</f>
        <v>\\stjn.local\trimet\Btechnique\Commun\BT Maint SCELLEMENT\205 - Préventifs\Modèles préventif\GammeDMS_7.MSCT.xlsm</v>
      </c>
      <c r="AD724" s="47" t="str">
        <f>Chemin_accès!$B$8&amp;Tableau1[[#This Row],[Localisation / Classement]]&amp;"\"&amp;Tableau1[[#This Row],[Poste technique]]&amp;"_"&amp;Tableau1[[#This Row],[Plan Entretien]]&amp;".xlsm"</f>
        <v>\\stjn.local\trimet\Btechnique\Commun\BT Maint SCELLEMENT\205 - Préventifs\Gammes 7.MSCT PE Tool\\_.xlsm</v>
      </c>
    </row>
    <row r="725" spans="1:30" x14ac:dyDescent="0.3">
      <c r="A725" s="44" t="str">
        <f t="shared" ca="1" si="11"/>
        <v>7.MSCT</v>
      </c>
      <c r="B7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5" s="46"/>
      <c r="D725" s="44"/>
      <c r="E725" s="44"/>
      <c r="F725" s="47"/>
      <c r="G725" s="47"/>
      <c r="H725" s="50"/>
      <c r="I725" s="50"/>
      <c r="J725" s="50"/>
      <c r="K725" s="50"/>
      <c r="L725" s="46"/>
      <c r="M725" s="47"/>
      <c r="N725" s="46"/>
      <c r="O725" s="46"/>
      <c r="P725" s="47"/>
      <c r="Q725" s="46"/>
      <c r="R725" s="46"/>
      <c r="S725" s="48"/>
      <c r="T725" s="61" t="str">
        <f>IF(Tableau1[[#This Row],[DMS_SAP]]="","",HYPERLINK(Tableau1[[#This Row],[Chemin fichier source]],"X"))</f>
        <v/>
      </c>
      <c r="U725" s="61" t="str">
        <f>IF(Tableau1[[#This Row],[Date rév.]]="","",HYPERLINK(Tableau1[[#This Row],[Lien document]],"X"))</f>
        <v/>
      </c>
      <c r="V725" s="47"/>
      <c r="W725" s="49" t="str">
        <f ca="1">Chemin_accès!$B$2&amp;Tableau1[[#This Row],[Poste Responsable]]&amp;"\"&amp;Tableau1[[#This Row],[Localisation / Classement]]&amp;"\"&amp;Tableau1[[#This Row],[Poste technique]]&amp;"_"&amp;Tableau1[[#This Row],[Plan Entretien]]&amp;".pdf"</f>
        <v>\\stjn.local\trimet\Donnees_Projets\Dms Sap\Maintenance\PlanEntretien\7.MSCT\\_.pdf</v>
      </c>
      <c r="X725" s="47"/>
      <c r="Y725" s="47"/>
      <c r="Z725" s="44" t="str">
        <f ca="1">IF(AND(Tableau1[[#This Row],[Charge]]&lt;&gt;0, Tableau1[[#This Row],[Nombre intervenants]]&lt;&gt;0,Tableau1[[#This Row],[Lien document]]&lt;&gt;0,Tableau1[[#This Row],[DMS_SAP]]&lt;&gt;0)=TRUE,"MIS A JOUR","")</f>
        <v/>
      </c>
      <c r="AA725" s="48"/>
      <c r="AB725" s="58" t="str">
        <f ca="1">IF(Tableau1[[#This Row],[Date rév.]]&lt;&gt;"", DAYS360(Tableau1[[#This Row],[Date rév.]],TODAY()),"")</f>
        <v/>
      </c>
      <c r="AC725" s="47" t="str">
        <f>IFERROR(INDEX(Chemin_accès!$B$11:$C$22,MATCH(Tableau1[[#This Row],[Type]],Chemin_accès!$C$11:$C$22,0),1),Chemin_accès!$B$11)</f>
        <v>\\stjn.local\trimet\Btechnique\Commun\BT Maint SCELLEMENT\205 - Préventifs\Modèles préventif\GammeDMS_7.MSCT.xlsm</v>
      </c>
      <c r="AD725" s="47" t="str">
        <f>Chemin_accès!$B$8&amp;Tableau1[[#This Row],[Localisation / Classement]]&amp;"\"&amp;Tableau1[[#This Row],[Poste technique]]&amp;"_"&amp;Tableau1[[#This Row],[Plan Entretien]]&amp;".xlsm"</f>
        <v>\\stjn.local\trimet\Btechnique\Commun\BT Maint SCELLEMENT\205 - Préventifs\Gammes 7.MSCT PE Tool\\_.xlsm</v>
      </c>
    </row>
    <row r="726" spans="1:30" x14ac:dyDescent="0.3">
      <c r="A726" s="44" t="str">
        <f t="shared" ca="1" si="11"/>
        <v>7.MSCT</v>
      </c>
      <c r="B7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6" s="46"/>
      <c r="D726" s="44"/>
      <c r="E726" s="44"/>
      <c r="F726" s="47"/>
      <c r="G726" s="47"/>
      <c r="H726" s="50"/>
      <c r="I726" s="50"/>
      <c r="J726" s="50"/>
      <c r="K726" s="50"/>
      <c r="L726" s="46"/>
      <c r="M726" s="47"/>
      <c r="N726" s="46"/>
      <c r="O726" s="46"/>
      <c r="P726" s="47"/>
      <c r="Q726" s="46"/>
      <c r="R726" s="46"/>
      <c r="S726" s="48"/>
      <c r="T726" s="61" t="str">
        <f>IF(Tableau1[[#This Row],[DMS_SAP]]="","",HYPERLINK(Tableau1[[#This Row],[Chemin fichier source]],"X"))</f>
        <v/>
      </c>
      <c r="U726" s="61" t="str">
        <f>IF(Tableau1[[#This Row],[Date rév.]]="","",HYPERLINK(Tableau1[[#This Row],[Lien document]],"X"))</f>
        <v/>
      </c>
      <c r="V726" s="47"/>
      <c r="W726" s="49" t="str">
        <f ca="1">Chemin_accès!$B$2&amp;Tableau1[[#This Row],[Poste Responsable]]&amp;"\"&amp;Tableau1[[#This Row],[Localisation / Classement]]&amp;"\"&amp;Tableau1[[#This Row],[Poste technique]]&amp;"_"&amp;Tableau1[[#This Row],[Plan Entretien]]&amp;".pdf"</f>
        <v>\\stjn.local\trimet\Donnees_Projets\Dms Sap\Maintenance\PlanEntretien\7.MSCT\\_.pdf</v>
      </c>
      <c r="X726" s="47"/>
      <c r="Y726" s="47"/>
      <c r="Z726" s="44" t="str">
        <f ca="1">IF(AND(Tableau1[[#This Row],[Charge]]&lt;&gt;0, Tableau1[[#This Row],[Nombre intervenants]]&lt;&gt;0,Tableau1[[#This Row],[Lien document]]&lt;&gt;0,Tableau1[[#This Row],[DMS_SAP]]&lt;&gt;0)=TRUE,"MIS A JOUR","")</f>
        <v/>
      </c>
      <c r="AA726" s="48"/>
      <c r="AB726" s="58" t="str">
        <f ca="1">IF(Tableau1[[#This Row],[Date rév.]]&lt;&gt;"", DAYS360(Tableau1[[#This Row],[Date rév.]],TODAY()),"")</f>
        <v/>
      </c>
      <c r="AC726" s="47" t="str">
        <f>IFERROR(INDEX(Chemin_accès!$B$11:$C$22,MATCH(Tableau1[[#This Row],[Type]],Chemin_accès!$C$11:$C$22,0),1),Chemin_accès!$B$11)</f>
        <v>\\stjn.local\trimet\Btechnique\Commun\BT Maint SCELLEMENT\205 - Préventifs\Modèles préventif\GammeDMS_7.MSCT.xlsm</v>
      </c>
      <c r="AD726" s="47" t="str">
        <f>Chemin_accès!$B$8&amp;Tableau1[[#This Row],[Localisation / Classement]]&amp;"\"&amp;Tableau1[[#This Row],[Poste technique]]&amp;"_"&amp;Tableau1[[#This Row],[Plan Entretien]]&amp;".xlsm"</f>
        <v>\\stjn.local\trimet\Btechnique\Commun\BT Maint SCELLEMENT\205 - Préventifs\Gammes 7.MSCT PE Tool\\_.xlsm</v>
      </c>
    </row>
    <row r="727" spans="1:30" x14ac:dyDescent="0.3">
      <c r="A727" s="44" t="str">
        <f t="shared" ca="1" si="11"/>
        <v>7.MSCT</v>
      </c>
      <c r="B7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7" s="46"/>
      <c r="D727" s="44"/>
      <c r="E727" s="44"/>
      <c r="F727" s="47"/>
      <c r="G727" s="47"/>
      <c r="H727" s="50"/>
      <c r="I727" s="50"/>
      <c r="J727" s="50"/>
      <c r="K727" s="50"/>
      <c r="L727" s="46"/>
      <c r="M727" s="47"/>
      <c r="N727" s="46"/>
      <c r="O727" s="46"/>
      <c r="P727" s="47"/>
      <c r="Q727" s="46"/>
      <c r="R727" s="46"/>
      <c r="S727" s="48"/>
      <c r="T727" s="61" t="str">
        <f>IF(Tableau1[[#This Row],[DMS_SAP]]="","",HYPERLINK(Tableau1[[#This Row],[Chemin fichier source]],"X"))</f>
        <v/>
      </c>
      <c r="U727" s="61" t="str">
        <f>IF(Tableau1[[#This Row],[Date rév.]]="","",HYPERLINK(Tableau1[[#This Row],[Lien document]],"X"))</f>
        <v/>
      </c>
      <c r="V727" s="47"/>
      <c r="W727" s="49" t="str">
        <f ca="1">Chemin_accès!$B$2&amp;Tableau1[[#This Row],[Poste Responsable]]&amp;"\"&amp;Tableau1[[#This Row],[Localisation / Classement]]&amp;"\"&amp;Tableau1[[#This Row],[Poste technique]]&amp;"_"&amp;Tableau1[[#This Row],[Plan Entretien]]&amp;".pdf"</f>
        <v>\\stjn.local\trimet\Donnees_Projets\Dms Sap\Maintenance\PlanEntretien\7.MSCT\\_.pdf</v>
      </c>
      <c r="X727" s="47"/>
      <c r="Y727" s="47"/>
      <c r="Z727" s="44" t="str">
        <f ca="1">IF(AND(Tableau1[[#This Row],[Charge]]&lt;&gt;0, Tableau1[[#This Row],[Nombre intervenants]]&lt;&gt;0,Tableau1[[#This Row],[Lien document]]&lt;&gt;0,Tableau1[[#This Row],[DMS_SAP]]&lt;&gt;0)=TRUE,"MIS A JOUR","")</f>
        <v/>
      </c>
      <c r="AA727" s="48"/>
      <c r="AB727" s="58" t="str">
        <f ca="1">IF(Tableau1[[#This Row],[Date rév.]]&lt;&gt;"", DAYS360(Tableau1[[#This Row],[Date rév.]],TODAY()),"")</f>
        <v/>
      </c>
      <c r="AC727" s="47" t="str">
        <f>IFERROR(INDEX(Chemin_accès!$B$11:$C$22,MATCH(Tableau1[[#This Row],[Type]],Chemin_accès!$C$11:$C$22,0),1),Chemin_accès!$B$11)</f>
        <v>\\stjn.local\trimet\Btechnique\Commun\BT Maint SCELLEMENT\205 - Préventifs\Modèles préventif\GammeDMS_7.MSCT.xlsm</v>
      </c>
      <c r="AD727" s="47" t="str">
        <f>Chemin_accès!$B$8&amp;Tableau1[[#This Row],[Localisation / Classement]]&amp;"\"&amp;Tableau1[[#This Row],[Poste technique]]&amp;"_"&amp;Tableau1[[#This Row],[Plan Entretien]]&amp;".xlsm"</f>
        <v>\\stjn.local\trimet\Btechnique\Commun\BT Maint SCELLEMENT\205 - Préventifs\Gammes 7.MSCT PE Tool\\_.xlsm</v>
      </c>
    </row>
    <row r="728" spans="1:30" x14ac:dyDescent="0.3">
      <c r="A728" s="44" t="str">
        <f t="shared" ca="1" si="11"/>
        <v>7.MSCT</v>
      </c>
      <c r="B7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8" s="46"/>
      <c r="D728" s="44"/>
      <c r="E728" s="44"/>
      <c r="F728" s="47"/>
      <c r="G728" s="47"/>
      <c r="H728" s="50"/>
      <c r="I728" s="50"/>
      <c r="J728" s="50"/>
      <c r="K728" s="50"/>
      <c r="L728" s="46"/>
      <c r="M728" s="47"/>
      <c r="N728" s="46"/>
      <c r="O728" s="46"/>
      <c r="P728" s="47"/>
      <c r="Q728" s="46"/>
      <c r="R728" s="46"/>
      <c r="S728" s="48"/>
      <c r="T728" s="61" t="str">
        <f>IF(Tableau1[[#This Row],[DMS_SAP]]="","",HYPERLINK(Tableau1[[#This Row],[Chemin fichier source]],"X"))</f>
        <v/>
      </c>
      <c r="U728" s="61" t="str">
        <f>IF(Tableau1[[#This Row],[Date rév.]]="","",HYPERLINK(Tableau1[[#This Row],[Lien document]],"X"))</f>
        <v/>
      </c>
      <c r="V728" s="47"/>
      <c r="W728" s="49" t="str">
        <f ca="1">Chemin_accès!$B$2&amp;Tableau1[[#This Row],[Poste Responsable]]&amp;"\"&amp;Tableau1[[#This Row],[Localisation / Classement]]&amp;"\"&amp;Tableau1[[#This Row],[Poste technique]]&amp;"_"&amp;Tableau1[[#This Row],[Plan Entretien]]&amp;".pdf"</f>
        <v>\\stjn.local\trimet\Donnees_Projets\Dms Sap\Maintenance\PlanEntretien\7.MSCT\\_.pdf</v>
      </c>
      <c r="X728" s="47"/>
      <c r="Y728" s="47"/>
      <c r="Z728" s="44" t="str">
        <f ca="1">IF(AND(Tableau1[[#This Row],[Charge]]&lt;&gt;0, Tableau1[[#This Row],[Nombre intervenants]]&lt;&gt;0,Tableau1[[#This Row],[Lien document]]&lt;&gt;0,Tableau1[[#This Row],[DMS_SAP]]&lt;&gt;0)=TRUE,"MIS A JOUR","")</f>
        <v/>
      </c>
      <c r="AA728" s="48"/>
      <c r="AB728" s="58" t="str">
        <f ca="1">IF(Tableau1[[#This Row],[Date rév.]]&lt;&gt;"", DAYS360(Tableau1[[#This Row],[Date rév.]],TODAY()),"")</f>
        <v/>
      </c>
      <c r="AC728" s="47" t="str">
        <f>IFERROR(INDEX(Chemin_accès!$B$11:$C$22,MATCH(Tableau1[[#This Row],[Type]],Chemin_accès!$C$11:$C$22,0),1),Chemin_accès!$B$11)</f>
        <v>\\stjn.local\trimet\Btechnique\Commun\BT Maint SCELLEMENT\205 - Préventifs\Modèles préventif\GammeDMS_7.MSCT.xlsm</v>
      </c>
      <c r="AD728" s="47" t="str">
        <f>Chemin_accès!$B$8&amp;Tableau1[[#This Row],[Localisation / Classement]]&amp;"\"&amp;Tableau1[[#This Row],[Poste technique]]&amp;"_"&amp;Tableau1[[#This Row],[Plan Entretien]]&amp;".xlsm"</f>
        <v>\\stjn.local\trimet\Btechnique\Commun\BT Maint SCELLEMENT\205 - Préventifs\Gammes 7.MSCT PE Tool\\_.xlsm</v>
      </c>
    </row>
    <row r="729" spans="1:30" x14ac:dyDescent="0.3">
      <c r="A729" s="44" t="str">
        <f t="shared" ca="1" si="11"/>
        <v>7.MSCT</v>
      </c>
      <c r="B7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9" s="46"/>
      <c r="D729" s="44"/>
      <c r="E729" s="44"/>
      <c r="F729" s="47"/>
      <c r="G729" s="47"/>
      <c r="H729" s="50"/>
      <c r="I729" s="50"/>
      <c r="J729" s="50"/>
      <c r="K729" s="50"/>
      <c r="L729" s="46"/>
      <c r="M729" s="47"/>
      <c r="N729" s="46"/>
      <c r="O729" s="46"/>
      <c r="P729" s="47"/>
      <c r="Q729" s="46"/>
      <c r="R729" s="46"/>
      <c r="S729" s="48"/>
      <c r="T729" s="61" t="str">
        <f>IF(Tableau1[[#This Row],[DMS_SAP]]="","",HYPERLINK(Tableau1[[#This Row],[Chemin fichier source]],"X"))</f>
        <v/>
      </c>
      <c r="U729" s="61" t="str">
        <f>IF(Tableau1[[#This Row],[Date rév.]]="","",HYPERLINK(Tableau1[[#This Row],[Lien document]],"X"))</f>
        <v/>
      </c>
      <c r="V729" s="47"/>
      <c r="W729" s="49" t="str">
        <f ca="1">Chemin_accès!$B$2&amp;Tableau1[[#This Row],[Poste Responsable]]&amp;"\"&amp;Tableau1[[#This Row],[Localisation / Classement]]&amp;"\"&amp;Tableau1[[#This Row],[Poste technique]]&amp;"_"&amp;Tableau1[[#This Row],[Plan Entretien]]&amp;".pdf"</f>
        <v>\\stjn.local\trimet\Donnees_Projets\Dms Sap\Maintenance\PlanEntretien\7.MSCT\\_.pdf</v>
      </c>
      <c r="X729" s="47"/>
      <c r="Y729" s="47"/>
      <c r="Z729" s="44" t="str">
        <f ca="1">IF(AND(Tableau1[[#This Row],[Charge]]&lt;&gt;0, Tableau1[[#This Row],[Nombre intervenants]]&lt;&gt;0,Tableau1[[#This Row],[Lien document]]&lt;&gt;0,Tableau1[[#This Row],[DMS_SAP]]&lt;&gt;0)=TRUE,"MIS A JOUR","")</f>
        <v/>
      </c>
      <c r="AA729" s="48"/>
      <c r="AB729" s="58" t="str">
        <f ca="1">IF(Tableau1[[#This Row],[Date rév.]]&lt;&gt;"", DAYS360(Tableau1[[#This Row],[Date rév.]],TODAY()),"")</f>
        <v/>
      </c>
      <c r="AC729" s="47" t="str">
        <f>IFERROR(INDEX(Chemin_accès!$B$11:$C$22,MATCH(Tableau1[[#This Row],[Type]],Chemin_accès!$C$11:$C$22,0),1),Chemin_accès!$B$11)</f>
        <v>\\stjn.local\trimet\Btechnique\Commun\BT Maint SCELLEMENT\205 - Préventifs\Modèles préventif\GammeDMS_7.MSCT.xlsm</v>
      </c>
      <c r="AD729" s="47" t="str">
        <f>Chemin_accès!$B$8&amp;Tableau1[[#This Row],[Localisation / Classement]]&amp;"\"&amp;Tableau1[[#This Row],[Poste technique]]&amp;"_"&amp;Tableau1[[#This Row],[Plan Entretien]]&amp;".xlsm"</f>
        <v>\\stjn.local\trimet\Btechnique\Commun\BT Maint SCELLEMENT\205 - Préventifs\Gammes 7.MSCT PE Tool\\_.xlsm</v>
      </c>
    </row>
    <row r="730" spans="1:30" x14ac:dyDescent="0.3">
      <c r="A730" s="44" t="str">
        <f t="shared" ca="1" si="11"/>
        <v>7.MSCT</v>
      </c>
      <c r="B7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0" s="46"/>
      <c r="D730" s="44"/>
      <c r="E730" s="44"/>
      <c r="F730" s="47"/>
      <c r="G730" s="47"/>
      <c r="H730" s="50"/>
      <c r="I730" s="50"/>
      <c r="J730" s="50"/>
      <c r="K730" s="50"/>
      <c r="L730" s="46"/>
      <c r="M730" s="47"/>
      <c r="N730" s="46"/>
      <c r="O730" s="46"/>
      <c r="P730" s="47"/>
      <c r="Q730" s="46"/>
      <c r="R730" s="46"/>
      <c r="S730" s="48"/>
      <c r="T730" s="61" t="str">
        <f>IF(Tableau1[[#This Row],[DMS_SAP]]="","",HYPERLINK(Tableau1[[#This Row],[Chemin fichier source]],"X"))</f>
        <v/>
      </c>
      <c r="U730" s="61" t="str">
        <f>IF(Tableau1[[#This Row],[Date rév.]]="","",HYPERLINK(Tableau1[[#This Row],[Lien document]],"X"))</f>
        <v/>
      </c>
      <c r="V730" s="47"/>
      <c r="W730" s="49" t="str">
        <f ca="1">Chemin_accès!$B$2&amp;Tableau1[[#This Row],[Poste Responsable]]&amp;"\"&amp;Tableau1[[#This Row],[Localisation / Classement]]&amp;"\"&amp;Tableau1[[#This Row],[Poste technique]]&amp;"_"&amp;Tableau1[[#This Row],[Plan Entretien]]&amp;".pdf"</f>
        <v>\\stjn.local\trimet\Donnees_Projets\Dms Sap\Maintenance\PlanEntretien\7.MSCT\\_.pdf</v>
      </c>
      <c r="X730" s="47"/>
      <c r="Y730" s="47"/>
      <c r="Z730" s="44" t="str">
        <f ca="1">IF(AND(Tableau1[[#This Row],[Charge]]&lt;&gt;0, Tableau1[[#This Row],[Nombre intervenants]]&lt;&gt;0,Tableau1[[#This Row],[Lien document]]&lt;&gt;0,Tableau1[[#This Row],[DMS_SAP]]&lt;&gt;0)=TRUE,"MIS A JOUR","")</f>
        <v/>
      </c>
      <c r="AA730" s="48"/>
      <c r="AB730" s="58" t="str">
        <f ca="1">IF(Tableau1[[#This Row],[Date rév.]]&lt;&gt;"", DAYS360(Tableau1[[#This Row],[Date rév.]],TODAY()),"")</f>
        <v/>
      </c>
      <c r="AC730" s="47" t="str">
        <f>IFERROR(INDEX(Chemin_accès!$B$11:$C$22,MATCH(Tableau1[[#This Row],[Type]],Chemin_accès!$C$11:$C$22,0),1),Chemin_accès!$B$11)</f>
        <v>\\stjn.local\trimet\Btechnique\Commun\BT Maint SCELLEMENT\205 - Préventifs\Modèles préventif\GammeDMS_7.MSCT.xlsm</v>
      </c>
      <c r="AD730" s="47" t="str">
        <f>Chemin_accès!$B$8&amp;Tableau1[[#This Row],[Localisation / Classement]]&amp;"\"&amp;Tableau1[[#This Row],[Poste technique]]&amp;"_"&amp;Tableau1[[#This Row],[Plan Entretien]]&amp;".xlsm"</f>
        <v>\\stjn.local\trimet\Btechnique\Commun\BT Maint SCELLEMENT\205 - Préventifs\Gammes 7.MSCT PE Tool\\_.xlsm</v>
      </c>
    </row>
    <row r="731" spans="1:30" x14ac:dyDescent="0.3">
      <c r="A731" s="44" t="str">
        <f t="shared" ca="1" si="11"/>
        <v>7.MSCT</v>
      </c>
      <c r="B7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1" s="46"/>
      <c r="D731" s="44"/>
      <c r="E731" s="44"/>
      <c r="F731" s="47"/>
      <c r="G731" s="47"/>
      <c r="H731" s="50"/>
      <c r="I731" s="50"/>
      <c r="J731" s="50"/>
      <c r="K731" s="50"/>
      <c r="L731" s="46"/>
      <c r="M731" s="47"/>
      <c r="N731" s="46"/>
      <c r="O731" s="46"/>
      <c r="P731" s="47"/>
      <c r="Q731" s="46"/>
      <c r="R731" s="46"/>
      <c r="S731" s="48"/>
      <c r="T731" s="61" t="str">
        <f>IF(Tableau1[[#This Row],[DMS_SAP]]="","",HYPERLINK(Tableau1[[#This Row],[Chemin fichier source]],"X"))</f>
        <v/>
      </c>
      <c r="U731" s="61" t="str">
        <f>IF(Tableau1[[#This Row],[Date rév.]]="","",HYPERLINK(Tableau1[[#This Row],[Lien document]],"X"))</f>
        <v/>
      </c>
      <c r="V731" s="47"/>
      <c r="W731" s="49" t="str">
        <f ca="1">Chemin_accès!$B$2&amp;Tableau1[[#This Row],[Poste Responsable]]&amp;"\"&amp;Tableau1[[#This Row],[Localisation / Classement]]&amp;"\"&amp;Tableau1[[#This Row],[Poste technique]]&amp;"_"&amp;Tableau1[[#This Row],[Plan Entretien]]&amp;".pdf"</f>
        <v>\\stjn.local\trimet\Donnees_Projets\Dms Sap\Maintenance\PlanEntretien\7.MSCT\\_.pdf</v>
      </c>
      <c r="X731" s="47"/>
      <c r="Y731" s="47"/>
      <c r="Z731" s="44" t="str">
        <f ca="1">IF(AND(Tableau1[[#This Row],[Charge]]&lt;&gt;0, Tableau1[[#This Row],[Nombre intervenants]]&lt;&gt;0,Tableau1[[#This Row],[Lien document]]&lt;&gt;0,Tableau1[[#This Row],[DMS_SAP]]&lt;&gt;0)=TRUE,"MIS A JOUR","")</f>
        <v/>
      </c>
      <c r="AA731" s="48"/>
      <c r="AB731" s="58" t="str">
        <f ca="1">IF(Tableau1[[#This Row],[Date rév.]]&lt;&gt;"", DAYS360(Tableau1[[#This Row],[Date rév.]],TODAY()),"")</f>
        <v/>
      </c>
      <c r="AC731" s="47" t="str">
        <f>IFERROR(INDEX(Chemin_accès!$B$11:$C$22,MATCH(Tableau1[[#This Row],[Type]],Chemin_accès!$C$11:$C$22,0),1),Chemin_accès!$B$11)</f>
        <v>\\stjn.local\trimet\Btechnique\Commun\BT Maint SCELLEMENT\205 - Préventifs\Modèles préventif\GammeDMS_7.MSCT.xlsm</v>
      </c>
      <c r="AD731" s="47" t="str">
        <f>Chemin_accès!$B$8&amp;Tableau1[[#This Row],[Localisation / Classement]]&amp;"\"&amp;Tableau1[[#This Row],[Poste technique]]&amp;"_"&amp;Tableau1[[#This Row],[Plan Entretien]]&amp;".xlsm"</f>
        <v>\\stjn.local\trimet\Btechnique\Commun\BT Maint SCELLEMENT\205 - Préventifs\Gammes 7.MSCT PE Tool\\_.xlsm</v>
      </c>
    </row>
    <row r="732" spans="1:30" x14ac:dyDescent="0.3">
      <c r="A732" s="44" t="str">
        <f t="shared" ca="1" si="11"/>
        <v>7.MSCT</v>
      </c>
      <c r="B7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2" s="46"/>
      <c r="D732" s="44"/>
      <c r="E732" s="44"/>
      <c r="F732" s="47"/>
      <c r="G732" s="47"/>
      <c r="H732" s="50"/>
      <c r="I732" s="50"/>
      <c r="J732" s="50"/>
      <c r="K732" s="50"/>
      <c r="L732" s="46"/>
      <c r="M732" s="47"/>
      <c r="N732" s="46"/>
      <c r="O732" s="46"/>
      <c r="P732" s="47"/>
      <c r="Q732" s="46"/>
      <c r="R732" s="46"/>
      <c r="S732" s="48"/>
      <c r="T732" s="61" t="str">
        <f>IF(Tableau1[[#This Row],[DMS_SAP]]="","",HYPERLINK(Tableau1[[#This Row],[Chemin fichier source]],"X"))</f>
        <v/>
      </c>
      <c r="U732" s="61" t="str">
        <f>IF(Tableau1[[#This Row],[Date rév.]]="","",HYPERLINK(Tableau1[[#This Row],[Lien document]],"X"))</f>
        <v/>
      </c>
      <c r="V732" s="47"/>
      <c r="W732" s="49" t="str">
        <f ca="1">Chemin_accès!$B$2&amp;Tableau1[[#This Row],[Poste Responsable]]&amp;"\"&amp;Tableau1[[#This Row],[Localisation / Classement]]&amp;"\"&amp;Tableau1[[#This Row],[Poste technique]]&amp;"_"&amp;Tableau1[[#This Row],[Plan Entretien]]&amp;".pdf"</f>
        <v>\\stjn.local\trimet\Donnees_Projets\Dms Sap\Maintenance\PlanEntretien\7.MSCT\\_.pdf</v>
      </c>
      <c r="X732" s="47"/>
      <c r="Y732" s="47"/>
      <c r="Z732" s="44" t="str">
        <f ca="1">IF(AND(Tableau1[[#This Row],[Charge]]&lt;&gt;0, Tableau1[[#This Row],[Nombre intervenants]]&lt;&gt;0,Tableau1[[#This Row],[Lien document]]&lt;&gt;0,Tableau1[[#This Row],[DMS_SAP]]&lt;&gt;0)=TRUE,"MIS A JOUR","")</f>
        <v/>
      </c>
      <c r="AA732" s="48"/>
      <c r="AB732" s="58" t="str">
        <f ca="1">IF(Tableau1[[#This Row],[Date rév.]]&lt;&gt;"", DAYS360(Tableau1[[#This Row],[Date rév.]],TODAY()),"")</f>
        <v/>
      </c>
      <c r="AC732" s="47" t="str">
        <f>IFERROR(INDEX(Chemin_accès!$B$11:$C$22,MATCH(Tableau1[[#This Row],[Type]],Chemin_accès!$C$11:$C$22,0),1),Chemin_accès!$B$11)</f>
        <v>\\stjn.local\trimet\Btechnique\Commun\BT Maint SCELLEMENT\205 - Préventifs\Modèles préventif\GammeDMS_7.MSCT.xlsm</v>
      </c>
      <c r="AD732" s="47" t="str">
        <f>Chemin_accès!$B$8&amp;Tableau1[[#This Row],[Localisation / Classement]]&amp;"\"&amp;Tableau1[[#This Row],[Poste technique]]&amp;"_"&amp;Tableau1[[#This Row],[Plan Entretien]]&amp;".xlsm"</f>
        <v>\\stjn.local\trimet\Btechnique\Commun\BT Maint SCELLEMENT\205 - Préventifs\Gammes 7.MSCT PE Tool\\_.xlsm</v>
      </c>
    </row>
    <row r="733" spans="1:30" x14ac:dyDescent="0.3">
      <c r="A733" s="44" t="str">
        <f t="shared" ca="1" si="11"/>
        <v>7.MSCT</v>
      </c>
      <c r="B7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3" s="46"/>
      <c r="D733" s="44"/>
      <c r="E733" s="44"/>
      <c r="F733" s="47"/>
      <c r="G733" s="47"/>
      <c r="H733" s="50"/>
      <c r="I733" s="50"/>
      <c r="J733" s="50"/>
      <c r="K733" s="50"/>
      <c r="L733" s="46"/>
      <c r="M733" s="47"/>
      <c r="N733" s="46"/>
      <c r="O733" s="46"/>
      <c r="P733" s="47"/>
      <c r="Q733" s="46"/>
      <c r="R733" s="46"/>
      <c r="S733" s="48"/>
      <c r="T733" s="61" t="str">
        <f>IF(Tableau1[[#This Row],[DMS_SAP]]="","",HYPERLINK(Tableau1[[#This Row],[Chemin fichier source]],"X"))</f>
        <v/>
      </c>
      <c r="U733" s="61" t="str">
        <f>IF(Tableau1[[#This Row],[Date rév.]]="","",HYPERLINK(Tableau1[[#This Row],[Lien document]],"X"))</f>
        <v/>
      </c>
      <c r="V733" s="47"/>
      <c r="W733" s="49" t="str">
        <f ca="1">Chemin_accès!$B$2&amp;Tableau1[[#This Row],[Poste Responsable]]&amp;"\"&amp;Tableau1[[#This Row],[Localisation / Classement]]&amp;"\"&amp;Tableau1[[#This Row],[Poste technique]]&amp;"_"&amp;Tableau1[[#This Row],[Plan Entretien]]&amp;".pdf"</f>
        <v>\\stjn.local\trimet\Donnees_Projets\Dms Sap\Maintenance\PlanEntretien\7.MSCT\\_.pdf</v>
      </c>
      <c r="X733" s="47"/>
      <c r="Y733" s="47"/>
      <c r="Z733" s="44" t="str">
        <f ca="1">IF(AND(Tableau1[[#This Row],[Charge]]&lt;&gt;0, Tableau1[[#This Row],[Nombre intervenants]]&lt;&gt;0,Tableau1[[#This Row],[Lien document]]&lt;&gt;0,Tableau1[[#This Row],[DMS_SAP]]&lt;&gt;0)=TRUE,"MIS A JOUR","")</f>
        <v/>
      </c>
      <c r="AA733" s="48"/>
      <c r="AB733" s="58" t="str">
        <f ca="1">IF(Tableau1[[#This Row],[Date rév.]]&lt;&gt;"", DAYS360(Tableau1[[#This Row],[Date rév.]],TODAY()),"")</f>
        <v/>
      </c>
      <c r="AC733" s="47" t="str">
        <f>IFERROR(INDEX(Chemin_accès!$B$11:$C$22,MATCH(Tableau1[[#This Row],[Type]],Chemin_accès!$C$11:$C$22,0),1),Chemin_accès!$B$11)</f>
        <v>\\stjn.local\trimet\Btechnique\Commun\BT Maint SCELLEMENT\205 - Préventifs\Modèles préventif\GammeDMS_7.MSCT.xlsm</v>
      </c>
      <c r="AD733" s="47" t="str">
        <f>Chemin_accès!$B$8&amp;Tableau1[[#This Row],[Localisation / Classement]]&amp;"\"&amp;Tableau1[[#This Row],[Poste technique]]&amp;"_"&amp;Tableau1[[#This Row],[Plan Entretien]]&amp;".xlsm"</f>
        <v>\\stjn.local\trimet\Btechnique\Commun\BT Maint SCELLEMENT\205 - Préventifs\Gammes 7.MSCT PE Tool\\_.xlsm</v>
      </c>
    </row>
    <row r="734" spans="1:30" x14ac:dyDescent="0.3">
      <c r="A734" s="44" t="str">
        <f t="shared" ca="1" si="11"/>
        <v>7.MSCT</v>
      </c>
      <c r="B7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4" s="46"/>
      <c r="D734" s="44"/>
      <c r="E734" s="44"/>
      <c r="F734" s="47"/>
      <c r="G734" s="47"/>
      <c r="H734" s="50"/>
      <c r="I734" s="50"/>
      <c r="J734" s="50"/>
      <c r="K734" s="50"/>
      <c r="L734" s="46"/>
      <c r="M734" s="47"/>
      <c r="N734" s="46"/>
      <c r="O734" s="46"/>
      <c r="P734" s="47"/>
      <c r="Q734" s="46"/>
      <c r="R734" s="46"/>
      <c r="S734" s="48"/>
      <c r="T734" s="61" t="str">
        <f>IF(Tableau1[[#This Row],[DMS_SAP]]="","",HYPERLINK(Tableau1[[#This Row],[Chemin fichier source]],"X"))</f>
        <v/>
      </c>
      <c r="U734" s="61" t="str">
        <f>IF(Tableau1[[#This Row],[Date rév.]]="","",HYPERLINK(Tableau1[[#This Row],[Lien document]],"X"))</f>
        <v/>
      </c>
      <c r="V734" s="47"/>
      <c r="W734" s="49" t="str">
        <f ca="1">Chemin_accès!$B$2&amp;Tableau1[[#This Row],[Poste Responsable]]&amp;"\"&amp;Tableau1[[#This Row],[Localisation / Classement]]&amp;"\"&amp;Tableau1[[#This Row],[Poste technique]]&amp;"_"&amp;Tableau1[[#This Row],[Plan Entretien]]&amp;".pdf"</f>
        <v>\\stjn.local\trimet\Donnees_Projets\Dms Sap\Maintenance\PlanEntretien\7.MSCT\\_.pdf</v>
      </c>
      <c r="X734" s="47"/>
      <c r="Y734" s="47"/>
      <c r="Z734" s="44" t="str">
        <f ca="1">IF(AND(Tableau1[[#This Row],[Charge]]&lt;&gt;0, Tableau1[[#This Row],[Nombre intervenants]]&lt;&gt;0,Tableau1[[#This Row],[Lien document]]&lt;&gt;0,Tableau1[[#This Row],[DMS_SAP]]&lt;&gt;0)=TRUE,"MIS A JOUR","")</f>
        <v/>
      </c>
      <c r="AA734" s="48"/>
      <c r="AB734" s="58" t="str">
        <f ca="1">IF(Tableau1[[#This Row],[Date rév.]]&lt;&gt;"", DAYS360(Tableau1[[#This Row],[Date rév.]],TODAY()),"")</f>
        <v/>
      </c>
      <c r="AC734" s="47" t="str">
        <f>IFERROR(INDEX(Chemin_accès!$B$11:$C$22,MATCH(Tableau1[[#This Row],[Type]],Chemin_accès!$C$11:$C$22,0),1),Chemin_accès!$B$11)</f>
        <v>\\stjn.local\trimet\Btechnique\Commun\BT Maint SCELLEMENT\205 - Préventifs\Modèles préventif\GammeDMS_7.MSCT.xlsm</v>
      </c>
      <c r="AD734" s="47" t="str">
        <f>Chemin_accès!$B$8&amp;Tableau1[[#This Row],[Localisation / Classement]]&amp;"\"&amp;Tableau1[[#This Row],[Poste technique]]&amp;"_"&amp;Tableau1[[#This Row],[Plan Entretien]]&amp;".xlsm"</f>
        <v>\\stjn.local\trimet\Btechnique\Commun\BT Maint SCELLEMENT\205 - Préventifs\Gammes 7.MSCT PE Tool\\_.xlsm</v>
      </c>
    </row>
    <row r="735" spans="1:30" x14ac:dyDescent="0.3">
      <c r="A735" s="44" t="str">
        <f t="shared" ca="1" si="11"/>
        <v>7.MSCT</v>
      </c>
      <c r="B7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5" s="46"/>
      <c r="D735" s="44"/>
      <c r="E735" s="44"/>
      <c r="F735" s="47"/>
      <c r="G735" s="47"/>
      <c r="H735" s="50"/>
      <c r="I735" s="50"/>
      <c r="J735" s="50"/>
      <c r="K735" s="50"/>
      <c r="L735" s="46"/>
      <c r="M735" s="47"/>
      <c r="N735" s="46"/>
      <c r="O735" s="46"/>
      <c r="P735" s="47"/>
      <c r="Q735" s="46"/>
      <c r="R735" s="46"/>
      <c r="S735" s="48"/>
      <c r="T735" s="61" t="str">
        <f>IF(Tableau1[[#This Row],[DMS_SAP]]="","",HYPERLINK(Tableau1[[#This Row],[Chemin fichier source]],"X"))</f>
        <v/>
      </c>
      <c r="U735" s="61" t="str">
        <f>IF(Tableau1[[#This Row],[Date rév.]]="","",HYPERLINK(Tableau1[[#This Row],[Lien document]],"X"))</f>
        <v/>
      </c>
      <c r="V735" s="47"/>
      <c r="W735" s="49" t="str">
        <f ca="1">Chemin_accès!$B$2&amp;Tableau1[[#This Row],[Poste Responsable]]&amp;"\"&amp;Tableau1[[#This Row],[Localisation / Classement]]&amp;"\"&amp;Tableau1[[#This Row],[Poste technique]]&amp;"_"&amp;Tableau1[[#This Row],[Plan Entretien]]&amp;".pdf"</f>
        <v>\\stjn.local\trimet\Donnees_Projets\Dms Sap\Maintenance\PlanEntretien\7.MSCT\\_.pdf</v>
      </c>
      <c r="X735" s="47"/>
      <c r="Y735" s="47"/>
      <c r="Z735" s="44" t="str">
        <f ca="1">IF(AND(Tableau1[[#This Row],[Charge]]&lt;&gt;0, Tableau1[[#This Row],[Nombre intervenants]]&lt;&gt;0,Tableau1[[#This Row],[Lien document]]&lt;&gt;0,Tableau1[[#This Row],[DMS_SAP]]&lt;&gt;0)=TRUE,"MIS A JOUR","")</f>
        <v/>
      </c>
      <c r="AA735" s="48"/>
      <c r="AB735" s="58" t="str">
        <f ca="1">IF(Tableau1[[#This Row],[Date rév.]]&lt;&gt;"", DAYS360(Tableau1[[#This Row],[Date rév.]],TODAY()),"")</f>
        <v/>
      </c>
      <c r="AC735" s="47" t="str">
        <f>IFERROR(INDEX(Chemin_accès!$B$11:$C$22,MATCH(Tableau1[[#This Row],[Type]],Chemin_accès!$C$11:$C$22,0),1),Chemin_accès!$B$11)</f>
        <v>\\stjn.local\trimet\Btechnique\Commun\BT Maint SCELLEMENT\205 - Préventifs\Modèles préventif\GammeDMS_7.MSCT.xlsm</v>
      </c>
      <c r="AD735" s="47" t="str">
        <f>Chemin_accès!$B$8&amp;Tableau1[[#This Row],[Localisation / Classement]]&amp;"\"&amp;Tableau1[[#This Row],[Poste technique]]&amp;"_"&amp;Tableau1[[#This Row],[Plan Entretien]]&amp;".xlsm"</f>
        <v>\\stjn.local\trimet\Btechnique\Commun\BT Maint SCELLEMENT\205 - Préventifs\Gammes 7.MSCT PE Tool\\_.xlsm</v>
      </c>
    </row>
    <row r="736" spans="1:30" x14ac:dyDescent="0.3">
      <c r="A736" s="44" t="str">
        <f t="shared" ca="1" si="11"/>
        <v>7.MSCT</v>
      </c>
      <c r="B7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6" s="46"/>
      <c r="D736" s="44"/>
      <c r="E736" s="44"/>
      <c r="F736" s="47"/>
      <c r="G736" s="47"/>
      <c r="H736" s="50"/>
      <c r="I736" s="50"/>
      <c r="J736" s="50"/>
      <c r="K736" s="50"/>
      <c r="L736" s="46"/>
      <c r="M736" s="47"/>
      <c r="N736" s="46"/>
      <c r="O736" s="46"/>
      <c r="P736" s="47"/>
      <c r="Q736" s="46"/>
      <c r="R736" s="46"/>
      <c r="S736" s="48"/>
      <c r="T736" s="61" t="str">
        <f>IF(Tableau1[[#This Row],[DMS_SAP]]="","",HYPERLINK(Tableau1[[#This Row],[Chemin fichier source]],"X"))</f>
        <v/>
      </c>
      <c r="U736" s="61" t="str">
        <f>IF(Tableau1[[#This Row],[Date rév.]]="","",HYPERLINK(Tableau1[[#This Row],[Lien document]],"X"))</f>
        <v/>
      </c>
      <c r="V736" s="47"/>
      <c r="W736" s="49" t="str">
        <f ca="1">Chemin_accès!$B$2&amp;Tableau1[[#This Row],[Poste Responsable]]&amp;"\"&amp;Tableau1[[#This Row],[Localisation / Classement]]&amp;"\"&amp;Tableau1[[#This Row],[Poste technique]]&amp;"_"&amp;Tableau1[[#This Row],[Plan Entretien]]&amp;".pdf"</f>
        <v>\\stjn.local\trimet\Donnees_Projets\Dms Sap\Maintenance\PlanEntretien\7.MSCT\\_.pdf</v>
      </c>
      <c r="X736" s="47"/>
      <c r="Y736" s="47"/>
      <c r="Z736" s="44" t="str">
        <f ca="1">IF(AND(Tableau1[[#This Row],[Charge]]&lt;&gt;0, Tableau1[[#This Row],[Nombre intervenants]]&lt;&gt;0,Tableau1[[#This Row],[Lien document]]&lt;&gt;0,Tableau1[[#This Row],[DMS_SAP]]&lt;&gt;0)=TRUE,"MIS A JOUR","")</f>
        <v/>
      </c>
      <c r="AA736" s="48"/>
      <c r="AB736" s="58" t="str">
        <f ca="1">IF(Tableau1[[#This Row],[Date rév.]]&lt;&gt;"", DAYS360(Tableau1[[#This Row],[Date rév.]],TODAY()),"")</f>
        <v/>
      </c>
      <c r="AC736" s="47" t="str">
        <f>IFERROR(INDEX(Chemin_accès!$B$11:$C$22,MATCH(Tableau1[[#This Row],[Type]],Chemin_accès!$C$11:$C$22,0),1),Chemin_accès!$B$11)</f>
        <v>\\stjn.local\trimet\Btechnique\Commun\BT Maint SCELLEMENT\205 - Préventifs\Modèles préventif\GammeDMS_7.MSCT.xlsm</v>
      </c>
      <c r="AD736" s="47" t="str">
        <f>Chemin_accès!$B$8&amp;Tableau1[[#This Row],[Localisation / Classement]]&amp;"\"&amp;Tableau1[[#This Row],[Poste technique]]&amp;"_"&amp;Tableau1[[#This Row],[Plan Entretien]]&amp;".xlsm"</f>
        <v>\\stjn.local\trimet\Btechnique\Commun\BT Maint SCELLEMENT\205 - Préventifs\Gammes 7.MSCT PE Tool\\_.xlsm</v>
      </c>
    </row>
    <row r="737" spans="1:30" x14ac:dyDescent="0.3">
      <c r="A737" s="44" t="str">
        <f t="shared" ca="1" si="11"/>
        <v>7.MSCT</v>
      </c>
      <c r="B7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7" s="46"/>
      <c r="D737" s="44"/>
      <c r="E737" s="44"/>
      <c r="F737" s="47"/>
      <c r="G737" s="47"/>
      <c r="H737" s="50"/>
      <c r="I737" s="50"/>
      <c r="J737" s="50"/>
      <c r="K737" s="50"/>
      <c r="L737" s="46"/>
      <c r="M737" s="47"/>
      <c r="N737" s="46"/>
      <c r="O737" s="46"/>
      <c r="P737" s="47"/>
      <c r="Q737" s="46"/>
      <c r="R737" s="46"/>
      <c r="S737" s="48"/>
      <c r="T737" s="61" t="str">
        <f>IF(Tableau1[[#This Row],[DMS_SAP]]="","",HYPERLINK(Tableau1[[#This Row],[Chemin fichier source]],"X"))</f>
        <v/>
      </c>
      <c r="U737" s="61" t="str">
        <f>IF(Tableau1[[#This Row],[Date rév.]]="","",HYPERLINK(Tableau1[[#This Row],[Lien document]],"X"))</f>
        <v/>
      </c>
      <c r="V737" s="47"/>
      <c r="W737" s="49" t="str">
        <f ca="1">Chemin_accès!$B$2&amp;Tableau1[[#This Row],[Poste Responsable]]&amp;"\"&amp;Tableau1[[#This Row],[Localisation / Classement]]&amp;"\"&amp;Tableau1[[#This Row],[Poste technique]]&amp;"_"&amp;Tableau1[[#This Row],[Plan Entretien]]&amp;".pdf"</f>
        <v>\\stjn.local\trimet\Donnees_Projets\Dms Sap\Maintenance\PlanEntretien\7.MSCT\\_.pdf</v>
      </c>
      <c r="X737" s="47"/>
      <c r="Y737" s="47"/>
      <c r="Z737" s="44" t="str">
        <f ca="1">IF(AND(Tableau1[[#This Row],[Charge]]&lt;&gt;0, Tableau1[[#This Row],[Nombre intervenants]]&lt;&gt;0,Tableau1[[#This Row],[Lien document]]&lt;&gt;0,Tableau1[[#This Row],[DMS_SAP]]&lt;&gt;0)=TRUE,"MIS A JOUR","")</f>
        <v/>
      </c>
      <c r="AA737" s="48"/>
      <c r="AB737" s="58" t="str">
        <f ca="1">IF(Tableau1[[#This Row],[Date rév.]]&lt;&gt;"", DAYS360(Tableau1[[#This Row],[Date rév.]],TODAY()),"")</f>
        <v/>
      </c>
      <c r="AC737" s="47" t="str">
        <f>IFERROR(INDEX(Chemin_accès!$B$11:$C$22,MATCH(Tableau1[[#This Row],[Type]],Chemin_accès!$C$11:$C$22,0),1),Chemin_accès!$B$11)</f>
        <v>\\stjn.local\trimet\Btechnique\Commun\BT Maint SCELLEMENT\205 - Préventifs\Modèles préventif\GammeDMS_7.MSCT.xlsm</v>
      </c>
      <c r="AD737" s="47" t="str">
        <f>Chemin_accès!$B$8&amp;Tableau1[[#This Row],[Localisation / Classement]]&amp;"\"&amp;Tableau1[[#This Row],[Poste technique]]&amp;"_"&amp;Tableau1[[#This Row],[Plan Entretien]]&amp;".xlsm"</f>
        <v>\\stjn.local\trimet\Btechnique\Commun\BT Maint SCELLEMENT\205 - Préventifs\Gammes 7.MSCT PE Tool\\_.xlsm</v>
      </c>
    </row>
    <row r="738" spans="1:30" x14ac:dyDescent="0.3">
      <c r="A738" s="44" t="str">
        <f t="shared" ca="1" si="11"/>
        <v>7.MSCT</v>
      </c>
      <c r="B7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8" s="46"/>
      <c r="D738" s="44"/>
      <c r="E738" s="44"/>
      <c r="F738" s="47"/>
      <c r="G738" s="47"/>
      <c r="H738" s="50"/>
      <c r="I738" s="50"/>
      <c r="J738" s="50"/>
      <c r="K738" s="50"/>
      <c r="L738" s="46"/>
      <c r="M738" s="47"/>
      <c r="N738" s="46"/>
      <c r="O738" s="46"/>
      <c r="P738" s="47"/>
      <c r="Q738" s="46"/>
      <c r="R738" s="46"/>
      <c r="S738" s="48"/>
      <c r="T738" s="61" t="str">
        <f>IF(Tableau1[[#This Row],[DMS_SAP]]="","",HYPERLINK(Tableau1[[#This Row],[Chemin fichier source]],"X"))</f>
        <v/>
      </c>
      <c r="U738" s="61" t="str">
        <f>IF(Tableau1[[#This Row],[Date rév.]]="","",HYPERLINK(Tableau1[[#This Row],[Lien document]],"X"))</f>
        <v/>
      </c>
      <c r="V738" s="47"/>
      <c r="W738" s="49" t="str">
        <f ca="1">Chemin_accès!$B$2&amp;Tableau1[[#This Row],[Poste Responsable]]&amp;"\"&amp;Tableau1[[#This Row],[Localisation / Classement]]&amp;"\"&amp;Tableau1[[#This Row],[Poste technique]]&amp;"_"&amp;Tableau1[[#This Row],[Plan Entretien]]&amp;".pdf"</f>
        <v>\\stjn.local\trimet\Donnees_Projets\Dms Sap\Maintenance\PlanEntretien\7.MSCT\\_.pdf</v>
      </c>
      <c r="X738" s="47"/>
      <c r="Y738" s="47"/>
      <c r="Z738" s="44" t="str">
        <f ca="1">IF(AND(Tableau1[[#This Row],[Charge]]&lt;&gt;0, Tableau1[[#This Row],[Nombre intervenants]]&lt;&gt;0,Tableau1[[#This Row],[Lien document]]&lt;&gt;0,Tableau1[[#This Row],[DMS_SAP]]&lt;&gt;0)=TRUE,"MIS A JOUR","")</f>
        <v/>
      </c>
      <c r="AA738" s="48"/>
      <c r="AB738" s="58" t="str">
        <f ca="1">IF(Tableau1[[#This Row],[Date rév.]]&lt;&gt;"", DAYS360(Tableau1[[#This Row],[Date rév.]],TODAY()),"")</f>
        <v/>
      </c>
      <c r="AC738" s="47" t="str">
        <f>IFERROR(INDEX(Chemin_accès!$B$11:$C$22,MATCH(Tableau1[[#This Row],[Type]],Chemin_accès!$C$11:$C$22,0),1),Chemin_accès!$B$11)</f>
        <v>\\stjn.local\trimet\Btechnique\Commun\BT Maint SCELLEMENT\205 - Préventifs\Modèles préventif\GammeDMS_7.MSCT.xlsm</v>
      </c>
      <c r="AD738" s="47" t="str">
        <f>Chemin_accès!$B$8&amp;Tableau1[[#This Row],[Localisation / Classement]]&amp;"\"&amp;Tableau1[[#This Row],[Poste technique]]&amp;"_"&amp;Tableau1[[#This Row],[Plan Entretien]]&amp;".xlsm"</f>
        <v>\\stjn.local\trimet\Btechnique\Commun\BT Maint SCELLEMENT\205 - Préventifs\Gammes 7.MSCT PE Tool\\_.xlsm</v>
      </c>
    </row>
    <row r="739" spans="1:30" x14ac:dyDescent="0.3">
      <c r="A739" s="44" t="str">
        <f t="shared" ca="1" si="11"/>
        <v>7.MSCT</v>
      </c>
      <c r="B7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9" s="46"/>
      <c r="D739" s="44"/>
      <c r="E739" s="44"/>
      <c r="F739" s="47"/>
      <c r="G739" s="47"/>
      <c r="H739" s="50"/>
      <c r="I739" s="50"/>
      <c r="J739" s="50"/>
      <c r="K739" s="50"/>
      <c r="L739" s="46"/>
      <c r="M739" s="47"/>
      <c r="N739" s="46"/>
      <c r="O739" s="46"/>
      <c r="P739" s="47"/>
      <c r="Q739" s="46"/>
      <c r="R739" s="46"/>
      <c r="S739" s="48"/>
      <c r="T739" s="61" t="str">
        <f>IF(Tableau1[[#This Row],[DMS_SAP]]="","",HYPERLINK(Tableau1[[#This Row],[Chemin fichier source]],"X"))</f>
        <v/>
      </c>
      <c r="U739" s="61" t="str">
        <f>IF(Tableau1[[#This Row],[Date rév.]]="","",HYPERLINK(Tableau1[[#This Row],[Lien document]],"X"))</f>
        <v/>
      </c>
      <c r="V739" s="47"/>
      <c r="W739" s="49" t="str">
        <f ca="1">Chemin_accès!$B$2&amp;Tableau1[[#This Row],[Poste Responsable]]&amp;"\"&amp;Tableau1[[#This Row],[Localisation / Classement]]&amp;"\"&amp;Tableau1[[#This Row],[Poste technique]]&amp;"_"&amp;Tableau1[[#This Row],[Plan Entretien]]&amp;".pdf"</f>
        <v>\\stjn.local\trimet\Donnees_Projets\Dms Sap\Maintenance\PlanEntretien\7.MSCT\\_.pdf</v>
      </c>
      <c r="X739" s="47"/>
      <c r="Y739" s="47"/>
      <c r="Z739" s="44" t="str">
        <f ca="1">IF(AND(Tableau1[[#This Row],[Charge]]&lt;&gt;0, Tableau1[[#This Row],[Nombre intervenants]]&lt;&gt;0,Tableau1[[#This Row],[Lien document]]&lt;&gt;0,Tableau1[[#This Row],[DMS_SAP]]&lt;&gt;0)=TRUE,"MIS A JOUR","")</f>
        <v/>
      </c>
      <c r="AA739" s="48"/>
      <c r="AB739" s="58" t="str">
        <f ca="1">IF(Tableau1[[#This Row],[Date rév.]]&lt;&gt;"", DAYS360(Tableau1[[#This Row],[Date rév.]],TODAY()),"")</f>
        <v/>
      </c>
      <c r="AC739" s="47" t="str">
        <f>IFERROR(INDEX(Chemin_accès!$B$11:$C$22,MATCH(Tableau1[[#This Row],[Type]],Chemin_accès!$C$11:$C$22,0),1),Chemin_accès!$B$11)</f>
        <v>\\stjn.local\trimet\Btechnique\Commun\BT Maint SCELLEMENT\205 - Préventifs\Modèles préventif\GammeDMS_7.MSCT.xlsm</v>
      </c>
      <c r="AD739" s="47" t="str">
        <f>Chemin_accès!$B$8&amp;Tableau1[[#This Row],[Localisation / Classement]]&amp;"\"&amp;Tableau1[[#This Row],[Poste technique]]&amp;"_"&amp;Tableau1[[#This Row],[Plan Entretien]]&amp;".xlsm"</f>
        <v>\\stjn.local\trimet\Btechnique\Commun\BT Maint SCELLEMENT\205 - Préventifs\Gammes 7.MSCT PE Tool\\_.xlsm</v>
      </c>
    </row>
    <row r="740" spans="1:30" x14ac:dyDescent="0.3">
      <c r="A740" s="44" t="str">
        <f t="shared" ca="1" si="11"/>
        <v>7.MSCT</v>
      </c>
      <c r="B7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0" s="46"/>
      <c r="D740" s="44"/>
      <c r="E740" s="44"/>
      <c r="F740" s="47"/>
      <c r="G740" s="47"/>
      <c r="H740" s="50"/>
      <c r="I740" s="50"/>
      <c r="J740" s="50"/>
      <c r="K740" s="50"/>
      <c r="L740" s="46"/>
      <c r="M740" s="47"/>
      <c r="N740" s="46"/>
      <c r="O740" s="46"/>
      <c r="P740" s="47"/>
      <c r="Q740" s="46"/>
      <c r="R740" s="46"/>
      <c r="S740" s="48"/>
      <c r="T740" s="61" t="str">
        <f>IF(Tableau1[[#This Row],[DMS_SAP]]="","",HYPERLINK(Tableau1[[#This Row],[Chemin fichier source]],"X"))</f>
        <v/>
      </c>
      <c r="U740" s="61" t="str">
        <f>IF(Tableau1[[#This Row],[Date rév.]]="","",HYPERLINK(Tableau1[[#This Row],[Lien document]],"X"))</f>
        <v/>
      </c>
      <c r="V740" s="47"/>
      <c r="W740" s="49" t="str">
        <f ca="1">Chemin_accès!$B$2&amp;Tableau1[[#This Row],[Poste Responsable]]&amp;"\"&amp;Tableau1[[#This Row],[Localisation / Classement]]&amp;"\"&amp;Tableau1[[#This Row],[Poste technique]]&amp;"_"&amp;Tableau1[[#This Row],[Plan Entretien]]&amp;".pdf"</f>
        <v>\\stjn.local\trimet\Donnees_Projets\Dms Sap\Maintenance\PlanEntretien\7.MSCT\\_.pdf</v>
      </c>
      <c r="X740" s="47"/>
      <c r="Y740" s="47"/>
      <c r="Z740" s="44" t="str">
        <f ca="1">IF(AND(Tableau1[[#This Row],[Charge]]&lt;&gt;0, Tableau1[[#This Row],[Nombre intervenants]]&lt;&gt;0,Tableau1[[#This Row],[Lien document]]&lt;&gt;0,Tableau1[[#This Row],[DMS_SAP]]&lt;&gt;0)=TRUE,"MIS A JOUR","")</f>
        <v/>
      </c>
      <c r="AA740" s="48"/>
      <c r="AB740" s="58" t="str">
        <f ca="1">IF(Tableau1[[#This Row],[Date rév.]]&lt;&gt;"", DAYS360(Tableau1[[#This Row],[Date rév.]],TODAY()),"")</f>
        <v/>
      </c>
      <c r="AC740" s="47" t="str">
        <f>IFERROR(INDEX(Chemin_accès!$B$11:$C$22,MATCH(Tableau1[[#This Row],[Type]],Chemin_accès!$C$11:$C$22,0),1),Chemin_accès!$B$11)</f>
        <v>\\stjn.local\trimet\Btechnique\Commun\BT Maint SCELLEMENT\205 - Préventifs\Modèles préventif\GammeDMS_7.MSCT.xlsm</v>
      </c>
      <c r="AD740" s="47" t="str">
        <f>Chemin_accès!$B$8&amp;Tableau1[[#This Row],[Localisation / Classement]]&amp;"\"&amp;Tableau1[[#This Row],[Poste technique]]&amp;"_"&amp;Tableau1[[#This Row],[Plan Entretien]]&amp;".xlsm"</f>
        <v>\\stjn.local\trimet\Btechnique\Commun\BT Maint SCELLEMENT\205 - Préventifs\Gammes 7.MSCT PE Tool\\_.xlsm</v>
      </c>
    </row>
    <row r="741" spans="1:30" x14ac:dyDescent="0.3">
      <c r="A741" s="44" t="str">
        <f t="shared" ca="1" si="11"/>
        <v>7.MSCT</v>
      </c>
      <c r="B7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1" s="46"/>
      <c r="D741" s="44"/>
      <c r="E741" s="44"/>
      <c r="F741" s="47"/>
      <c r="G741" s="47"/>
      <c r="H741" s="50"/>
      <c r="I741" s="50"/>
      <c r="J741" s="50"/>
      <c r="K741" s="50"/>
      <c r="L741" s="46"/>
      <c r="M741" s="47"/>
      <c r="N741" s="46"/>
      <c r="O741" s="46"/>
      <c r="P741" s="47"/>
      <c r="Q741" s="46"/>
      <c r="R741" s="46"/>
      <c r="S741" s="48"/>
      <c r="T741" s="61" t="str">
        <f>IF(Tableau1[[#This Row],[DMS_SAP]]="","",HYPERLINK(Tableau1[[#This Row],[Chemin fichier source]],"X"))</f>
        <v/>
      </c>
      <c r="U741" s="61" t="str">
        <f>IF(Tableau1[[#This Row],[Date rév.]]="","",HYPERLINK(Tableau1[[#This Row],[Lien document]],"X"))</f>
        <v/>
      </c>
      <c r="V741" s="47"/>
      <c r="W741" s="49" t="str">
        <f ca="1">Chemin_accès!$B$2&amp;Tableau1[[#This Row],[Poste Responsable]]&amp;"\"&amp;Tableau1[[#This Row],[Localisation / Classement]]&amp;"\"&amp;Tableau1[[#This Row],[Poste technique]]&amp;"_"&amp;Tableau1[[#This Row],[Plan Entretien]]&amp;".pdf"</f>
        <v>\\stjn.local\trimet\Donnees_Projets\Dms Sap\Maintenance\PlanEntretien\7.MSCT\\_.pdf</v>
      </c>
      <c r="X741" s="47"/>
      <c r="Y741" s="47"/>
      <c r="Z741" s="44" t="str">
        <f ca="1">IF(AND(Tableau1[[#This Row],[Charge]]&lt;&gt;0, Tableau1[[#This Row],[Nombre intervenants]]&lt;&gt;0,Tableau1[[#This Row],[Lien document]]&lt;&gt;0,Tableau1[[#This Row],[DMS_SAP]]&lt;&gt;0)=TRUE,"MIS A JOUR","")</f>
        <v/>
      </c>
      <c r="AA741" s="48"/>
      <c r="AB741" s="58" t="str">
        <f ca="1">IF(Tableau1[[#This Row],[Date rév.]]&lt;&gt;"", DAYS360(Tableau1[[#This Row],[Date rév.]],TODAY()),"")</f>
        <v/>
      </c>
      <c r="AC741" s="47" t="str">
        <f>IFERROR(INDEX(Chemin_accès!$B$11:$C$22,MATCH(Tableau1[[#This Row],[Type]],Chemin_accès!$C$11:$C$22,0),1),Chemin_accès!$B$11)</f>
        <v>\\stjn.local\trimet\Btechnique\Commun\BT Maint SCELLEMENT\205 - Préventifs\Modèles préventif\GammeDMS_7.MSCT.xlsm</v>
      </c>
      <c r="AD741" s="47" t="str">
        <f>Chemin_accès!$B$8&amp;Tableau1[[#This Row],[Localisation / Classement]]&amp;"\"&amp;Tableau1[[#This Row],[Poste technique]]&amp;"_"&amp;Tableau1[[#This Row],[Plan Entretien]]&amp;".xlsm"</f>
        <v>\\stjn.local\trimet\Btechnique\Commun\BT Maint SCELLEMENT\205 - Préventifs\Gammes 7.MSCT PE Tool\\_.xlsm</v>
      </c>
    </row>
    <row r="742" spans="1:30" x14ac:dyDescent="0.3">
      <c r="A742" s="44" t="str">
        <f t="shared" ca="1" si="11"/>
        <v>7.MSCT</v>
      </c>
      <c r="B7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2" s="46"/>
      <c r="D742" s="44"/>
      <c r="E742" s="44"/>
      <c r="F742" s="47"/>
      <c r="G742" s="47"/>
      <c r="H742" s="50"/>
      <c r="I742" s="50"/>
      <c r="J742" s="50"/>
      <c r="K742" s="50"/>
      <c r="L742" s="46"/>
      <c r="M742" s="47"/>
      <c r="N742" s="46"/>
      <c r="O742" s="46"/>
      <c r="P742" s="47"/>
      <c r="Q742" s="46"/>
      <c r="R742" s="46"/>
      <c r="S742" s="48"/>
      <c r="T742" s="61" t="str">
        <f>IF(Tableau1[[#This Row],[DMS_SAP]]="","",HYPERLINK(Tableau1[[#This Row],[Chemin fichier source]],"X"))</f>
        <v/>
      </c>
      <c r="U742" s="61" t="str">
        <f>IF(Tableau1[[#This Row],[Date rév.]]="","",HYPERLINK(Tableau1[[#This Row],[Lien document]],"X"))</f>
        <v/>
      </c>
      <c r="V742" s="47"/>
      <c r="W742" s="49" t="str">
        <f ca="1">Chemin_accès!$B$2&amp;Tableau1[[#This Row],[Poste Responsable]]&amp;"\"&amp;Tableau1[[#This Row],[Localisation / Classement]]&amp;"\"&amp;Tableau1[[#This Row],[Poste technique]]&amp;"_"&amp;Tableau1[[#This Row],[Plan Entretien]]&amp;".pdf"</f>
        <v>\\stjn.local\trimet\Donnees_Projets\Dms Sap\Maintenance\PlanEntretien\7.MSCT\\_.pdf</v>
      </c>
      <c r="X742" s="47"/>
      <c r="Y742" s="47"/>
      <c r="Z742" s="44" t="str">
        <f ca="1">IF(AND(Tableau1[[#This Row],[Charge]]&lt;&gt;0, Tableau1[[#This Row],[Nombre intervenants]]&lt;&gt;0,Tableau1[[#This Row],[Lien document]]&lt;&gt;0,Tableau1[[#This Row],[DMS_SAP]]&lt;&gt;0)=TRUE,"MIS A JOUR","")</f>
        <v/>
      </c>
      <c r="AA742" s="48"/>
      <c r="AB742" s="58" t="str">
        <f ca="1">IF(Tableau1[[#This Row],[Date rév.]]&lt;&gt;"", DAYS360(Tableau1[[#This Row],[Date rév.]],TODAY()),"")</f>
        <v/>
      </c>
      <c r="AC742" s="47" t="str">
        <f>IFERROR(INDEX(Chemin_accès!$B$11:$C$22,MATCH(Tableau1[[#This Row],[Type]],Chemin_accès!$C$11:$C$22,0),1),Chemin_accès!$B$11)</f>
        <v>\\stjn.local\trimet\Btechnique\Commun\BT Maint SCELLEMENT\205 - Préventifs\Modèles préventif\GammeDMS_7.MSCT.xlsm</v>
      </c>
      <c r="AD742" s="47" t="str">
        <f>Chemin_accès!$B$8&amp;Tableau1[[#This Row],[Localisation / Classement]]&amp;"\"&amp;Tableau1[[#This Row],[Poste technique]]&amp;"_"&amp;Tableau1[[#This Row],[Plan Entretien]]&amp;".xlsm"</f>
        <v>\\stjn.local\trimet\Btechnique\Commun\BT Maint SCELLEMENT\205 - Préventifs\Gammes 7.MSCT PE Tool\\_.xlsm</v>
      </c>
    </row>
    <row r="743" spans="1:30" x14ac:dyDescent="0.3">
      <c r="A743" s="44" t="str">
        <f t="shared" ca="1" si="11"/>
        <v>7.MSCT</v>
      </c>
      <c r="B7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3" s="46"/>
      <c r="D743" s="44"/>
      <c r="E743" s="44"/>
      <c r="F743" s="47"/>
      <c r="G743" s="47"/>
      <c r="H743" s="50"/>
      <c r="I743" s="50"/>
      <c r="J743" s="50"/>
      <c r="K743" s="50"/>
      <c r="L743" s="46"/>
      <c r="M743" s="47"/>
      <c r="N743" s="46"/>
      <c r="O743" s="46"/>
      <c r="P743" s="47"/>
      <c r="Q743" s="46"/>
      <c r="R743" s="46"/>
      <c r="S743" s="48"/>
      <c r="T743" s="61" t="str">
        <f>IF(Tableau1[[#This Row],[DMS_SAP]]="","",HYPERLINK(Tableau1[[#This Row],[Chemin fichier source]],"X"))</f>
        <v/>
      </c>
      <c r="U743" s="61" t="str">
        <f>IF(Tableau1[[#This Row],[Date rév.]]="","",HYPERLINK(Tableau1[[#This Row],[Lien document]],"X"))</f>
        <v/>
      </c>
      <c r="V743" s="47"/>
      <c r="W743" s="49" t="str">
        <f ca="1">Chemin_accès!$B$2&amp;Tableau1[[#This Row],[Poste Responsable]]&amp;"\"&amp;Tableau1[[#This Row],[Localisation / Classement]]&amp;"\"&amp;Tableau1[[#This Row],[Poste technique]]&amp;"_"&amp;Tableau1[[#This Row],[Plan Entretien]]&amp;".pdf"</f>
        <v>\\stjn.local\trimet\Donnees_Projets\Dms Sap\Maintenance\PlanEntretien\7.MSCT\\_.pdf</v>
      </c>
      <c r="X743" s="47"/>
      <c r="Y743" s="47"/>
      <c r="Z743" s="44" t="str">
        <f ca="1">IF(AND(Tableau1[[#This Row],[Charge]]&lt;&gt;0, Tableau1[[#This Row],[Nombre intervenants]]&lt;&gt;0,Tableau1[[#This Row],[Lien document]]&lt;&gt;0,Tableau1[[#This Row],[DMS_SAP]]&lt;&gt;0)=TRUE,"MIS A JOUR","")</f>
        <v/>
      </c>
      <c r="AA743" s="48"/>
      <c r="AB743" s="58" t="str">
        <f ca="1">IF(Tableau1[[#This Row],[Date rév.]]&lt;&gt;"", DAYS360(Tableau1[[#This Row],[Date rév.]],TODAY()),"")</f>
        <v/>
      </c>
      <c r="AC743" s="47" t="str">
        <f>IFERROR(INDEX(Chemin_accès!$B$11:$C$22,MATCH(Tableau1[[#This Row],[Type]],Chemin_accès!$C$11:$C$22,0),1),Chemin_accès!$B$11)</f>
        <v>\\stjn.local\trimet\Btechnique\Commun\BT Maint SCELLEMENT\205 - Préventifs\Modèles préventif\GammeDMS_7.MSCT.xlsm</v>
      </c>
      <c r="AD743" s="47" t="str">
        <f>Chemin_accès!$B$8&amp;Tableau1[[#This Row],[Localisation / Classement]]&amp;"\"&amp;Tableau1[[#This Row],[Poste technique]]&amp;"_"&amp;Tableau1[[#This Row],[Plan Entretien]]&amp;".xlsm"</f>
        <v>\\stjn.local\trimet\Btechnique\Commun\BT Maint SCELLEMENT\205 - Préventifs\Gammes 7.MSCT PE Tool\\_.xlsm</v>
      </c>
    </row>
    <row r="744" spans="1:30" x14ac:dyDescent="0.3">
      <c r="A744" s="44" t="str">
        <f t="shared" ca="1" si="11"/>
        <v>7.MSCT</v>
      </c>
      <c r="B7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4" s="46"/>
      <c r="D744" s="44"/>
      <c r="E744" s="44"/>
      <c r="F744" s="47"/>
      <c r="G744" s="47"/>
      <c r="H744" s="50"/>
      <c r="I744" s="50"/>
      <c r="J744" s="50"/>
      <c r="K744" s="50"/>
      <c r="L744" s="46"/>
      <c r="M744" s="47"/>
      <c r="N744" s="46"/>
      <c r="O744" s="46"/>
      <c r="P744" s="47"/>
      <c r="Q744" s="46"/>
      <c r="R744" s="46"/>
      <c r="S744" s="48"/>
      <c r="T744" s="61" t="str">
        <f>IF(Tableau1[[#This Row],[DMS_SAP]]="","",HYPERLINK(Tableau1[[#This Row],[Chemin fichier source]],"X"))</f>
        <v/>
      </c>
      <c r="U744" s="61" t="str">
        <f>IF(Tableau1[[#This Row],[Date rév.]]="","",HYPERLINK(Tableau1[[#This Row],[Lien document]],"X"))</f>
        <v/>
      </c>
      <c r="V744" s="47"/>
      <c r="W744" s="49" t="str">
        <f ca="1">Chemin_accès!$B$2&amp;Tableau1[[#This Row],[Poste Responsable]]&amp;"\"&amp;Tableau1[[#This Row],[Localisation / Classement]]&amp;"\"&amp;Tableau1[[#This Row],[Poste technique]]&amp;"_"&amp;Tableau1[[#This Row],[Plan Entretien]]&amp;".pdf"</f>
        <v>\\stjn.local\trimet\Donnees_Projets\Dms Sap\Maintenance\PlanEntretien\7.MSCT\\_.pdf</v>
      </c>
      <c r="X744" s="47"/>
      <c r="Y744" s="47"/>
      <c r="Z744" s="44" t="str">
        <f ca="1">IF(AND(Tableau1[[#This Row],[Charge]]&lt;&gt;0, Tableau1[[#This Row],[Nombre intervenants]]&lt;&gt;0,Tableau1[[#This Row],[Lien document]]&lt;&gt;0,Tableau1[[#This Row],[DMS_SAP]]&lt;&gt;0)=TRUE,"MIS A JOUR","")</f>
        <v/>
      </c>
      <c r="AA744" s="48"/>
      <c r="AB744" s="58" t="str">
        <f ca="1">IF(Tableau1[[#This Row],[Date rév.]]&lt;&gt;"", DAYS360(Tableau1[[#This Row],[Date rév.]],TODAY()),"")</f>
        <v/>
      </c>
      <c r="AC744" s="47" t="str">
        <f>IFERROR(INDEX(Chemin_accès!$B$11:$C$22,MATCH(Tableau1[[#This Row],[Type]],Chemin_accès!$C$11:$C$22,0),1),Chemin_accès!$B$11)</f>
        <v>\\stjn.local\trimet\Btechnique\Commun\BT Maint SCELLEMENT\205 - Préventifs\Modèles préventif\GammeDMS_7.MSCT.xlsm</v>
      </c>
      <c r="AD744" s="47" t="str">
        <f>Chemin_accès!$B$8&amp;Tableau1[[#This Row],[Localisation / Classement]]&amp;"\"&amp;Tableau1[[#This Row],[Poste technique]]&amp;"_"&amp;Tableau1[[#This Row],[Plan Entretien]]&amp;".xlsm"</f>
        <v>\\stjn.local\trimet\Btechnique\Commun\BT Maint SCELLEMENT\205 - Préventifs\Gammes 7.MSCT PE Tool\\_.xlsm</v>
      </c>
    </row>
    <row r="745" spans="1:30" x14ac:dyDescent="0.3">
      <c r="A745" s="44" t="str">
        <f t="shared" ca="1" si="11"/>
        <v>7.MSCT</v>
      </c>
      <c r="B7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5" s="46"/>
      <c r="D745" s="44"/>
      <c r="E745" s="44"/>
      <c r="F745" s="47"/>
      <c r="G745" s="47"/>
      <c r="H745" s="50"/>
      <c r="I745" s="50"/>
      <c r="J745" s="50"/>
      <c r="K745" s="50"/>
      <c r="L745" s="46"/>
      <c r="M745" s="47"/>
      <c r="N745" s="46"/>
      <c r="O745" s="46"/>
      <c r="P745" s="47"/>
      <c r="Q745" s="46"/>
      <c r="R745" s="46"/>
      <c r="S745" s="48"/>
      <c r="T745" s="61" t="str">
        <f>IF(Tableau1[[#This Row],[DMS_SAP]]="","",HYPERLINK(Tableau1[[#This Row],[Chemin fichier source]],"X"))</f>
        <v/>
      </c>
      <c r="U745" s="61" t="str">
        <f>IF(Tableau1[[#This Row],[Date rév.]]="","",HYPERLINK(Tableau1[[#This Row],[Lien document]],"X"))</f>
        <v/>
      </c>
      <c r="V745" s="47"/>
      <c r="W745" s="49" t="str">
        <f ca="1">Chemin_accès!$B$2&amp;Tableau1[[#This Row],[Poste Responsable]]&amp;"\"&amp;Tableau1[[#This Row],[Localisation / Classement]]&amp;"\"&amp;Tableau1[[#This Row],[Poste technique]]&amp;"_"&amp;Tableau1[[#This Row],[Plan Entretien]]&amp;".pdf"</f>
        <v>\\stjn.local\trimet\Donnees_Projets\Dms Sap\Maintenance\PlanEntretien\7.MSCT\\_.pdf</v>
      </c>
      <c r="X745" s="47"/>
      <c r="Y745" s="47"/>
      <c r="Z745" s="44" t="str">
        <f ca="1">IF(AND(Tableau1[[#This Row],[Charge]]&lt;&gt;0, Tableau1[[#This Row],[Nombre intervenants]]&lt;&gt;0,Tableau1[[#This Row],[Lien document]]&lt;&gt;0,Tableau1[[#This Row],[DMS_SAP]]&lt;&gt;0)=TRUE,"MIS A JOUR","")</f>
        <v/>
      </c>
      <c r="AA745" s="48"/>
      <c r="AB745" s="58" t="str">
        <f ca="1">IF(Tableau1[[#This Row],[Date rév.]]&lt;&gt;"", DAYS360(Tableau1[[#This Row],[Date rév.]],TODAY()),"")</f>
        <v/>
      </c>
      <c r="AC745" s="47" t="str">
        <f>IFERROR(INDEX(Chemin_accès!$B$11:$C$22,MATCH(Tableau1[[#This Row],[Type]],Chemin_accès!$C$11:$C$22,0),1),Chemin_accès!$B$11)</f>
        <v>\\stjn.local\trimet\Btechnique\Commun\BT Maint SCELLEMENT\205 - Préventifs\Modèles préventif\GammeDMS_7.MSCT.xlsm</v>
      </c>
      <c r="AD745" s="47" t="str">
        <f>Chemin_accès!$B$8&amp;Tableau1[[#This Row],[Localisation / Classement]]&amp;"\"&amp;Tableau1[[#This Row],[Poste technique]]&amp;"_"&amp;Tableau1[[#This Row],[Plan Entretien]]&amp;".xlsm"</f>
        <v>\\stjn.local\trimet\Btechnique\Commun\BT Maint SCELLEMENT\205 - Préventifs\Gammes 7.MSCT PE Tool\\_.xlsm</v>
      </c>
    </row>
    <row r="746" spans="1:30" x14ac:dyDescent="0.3">
      <c r="A746" s="44" t="str">
        <f t="shared" ca="1" si="11"/>
        <v>7.MSCT</v>
      </c>
      <c r="B7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6" s="46"/>
      <c r="D746" s="44"/>
      <c r="E746" s="44"/>
      <c r="F746" s="47"/>
      <c r="G746" s="47"/>
      <c r="H746" s="50"/>
      <c r="I746" s="50"/>
      <c r="J746" s="50"/>
      <c r="K746" s="50"/>
      <c r="L746" s="46"/>
      <c r="M746" s="47"/>
      <c r="N746" s="46"/>
      <c r="O746" s="46"/>
      <c r="P746" s="47"/>
      <c r="Q746" s="46"/>
      <c r="R746" s="46"/>
      <c r="S746" s="48"/>
      <c r="T746" s="61" t="str">
        <f>IF(Tableau1[[#This Row],[DMS_SAP]]="","",HYPERLINK(Tableau1[[#This Row],[Chemin fichier source]],"X"))</f>
        <v/>
      </c>
      <c r="U746" s="61" t="str">
        <f>IF(Tableau1[[#This Row],[Date rév.]]="","",HYPERLINK(Tableau1[[#This Row],[Lien document]],"X"))</f>
        <v/>
      </c>
      <c r="V746" s="47"/>
      <c r="W746" s="49" t="str">
        <f ca="1">Chemin_accès!$B$2&amp;Tableau1[[#This Row],[Poste Responsable]]&amp;"\"&amp;Tableau1[[#This Row],[Localisation / Classement]]&amp;"\"&amp;Tableau1[[#This Row],[Poste technique]]&amp;"_"&amp;Tableau1[[#This Row],[Plan Entretien]]&amp;".pdf"</f>
        <v>\\stjn.local\trimet\Donnees_Projets\Dms Sap\Maintenance\PlanEntretien\7.MSCT\\_.pdf</v>
      </c>
      <c r="X746" s="47"/>
      <c r="Y746" s="47"/>
      <c r="Z746" s="44" t="str">
        <f ca="1">IF(AND(Tableau1[[#This Row],[Charge]]&lt;&gt;0, Tableau1[[#This Row],[Nombre intervenants]]&lt;&gt;0,Tableau1[[#This Row],[Lien document]]&lt;&gt;0,Tableau1[[#This Row],[DMS_SAP]]&lt;&gt;0)=TRUE,"MIS A JOUR","")</f>
        <v/>
      </c>
      <c r="AA746" s="48"/>
      <c r="AB746" s="58" t="str">
        <f ca="1">IF(Tableau1[[#This Row],[Date rév.]]&lt;&gt;"", DAYS360(Tableau1[[#This Row],[Date rév.]],TODAY()),"")</f>
        <v/>
      </c>
      <c r="AC746" s="47" t="str">
        <f>IFERROR(INDEX(Chemin_accès!$B$11:$C$22,MATCH(Tableau1[[#This Row],[Type]],Chemin_accès!$C$11:$C$22,0),1),Chemin_accès!$B$11)</f>
        <v>\\stjn.local\trimet\Btechnique\Commun\BT Maint SCELLEMENT\205 - Préventifs\Modèles préventif\GammeDMS_7.MSCT.xlsm</v>
      </c>
      <c r="AD746" s="47" t="str">
        <f>Chemin_accès!$B$8&amp;Tableau1[[#This Row],[Localisation / Classement]]&amp;"\"&amp;Tableau1[[#This Row],[Poste technique]]&amp;"_"&amp;Tableau1[[#This Row],[Plan Entretien]]&amp;".xlsm"</f>
        <v>\\stjn.local\trimet\Btechnique\Commun\BT Maint SCELLEMENT\205 - Préventifs\Gammes 7.MSCT PE Tool\\_.xlsm</v>
      </c>
    </row>
    <row r="747" spans="1:30" x14ac:dyDescent="0.3">
      <c r="A747" s="44" t="str">
        <f t="shared" ca="1" si="11"/>
        <v>7.MSCT</v>
      </c>
      <c r="B7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7" s="46"/>
      <c r="D747" s="44"/>
      <c r="E747" s="44"/>
      <c r="F747" s="47"/>
      <c r="G747" s="47"/>
      <c r="H747" s="50"/>
      <c r="I747" s="50"/>
      <c r="J747" s="50"/>
      <c r="K747" s="50"/>
      <c r="L747" s="46"/>
      <c r="M747" s="47"/>
      <c r="N747" s="46"/>
      <c r="O747" s="46"/>
      <c r="P747" s="47"/>
      <c r="Q747" s="46"/>
      <c r="R747" s="46"/>
      <c r="S747" s="48"/>
      <c r="T747" s="61" t="str">
        <f>IF(Tableau1[[#This Row],[DMS_SAP]]="","",HYPERLINK(Tableau1[[#This Row],[Chemin fichier source]],"X"))</f>
        <v/>
      </c>
      <c r="U747" s="61" t="str">
        <f>IF(Tableau1[[#This Row],[Date rév.]]="","",HYPERLINK(Tableau1[[#This Row],[Lien document]],"X"))</f>
        <v/>
      </c>
      <c r="V747" s="47"/>
      <c r="W747" s="49" t="str">
        <f ca="1">Chemin_accès!$B$2&amp;Tableau1[[#This Row],[Poste Responsable]]&amp;"\"&amp;Tableau1[[#This Row],[Localisation / Classement]]&amp;"\"&amp;Tableau1[[#This Row],[Poste technique]]&amp;"_"&amp;Tableau1[[#This Row],[Plan Entretien]]&amp;".pdf"</f>
        <v>\\stjn.local\trimet\Donnees_Projets\Dms Sap\Maintenance\PlanEntretien\7.MSCT\\_.pdf</v>
      </c>
      <c r="X747" s="47"/>
      <c r="Y747" s="47"/>
      <c r="Z747" s="44" t="str">
        <f ca="1">IF(AND(Tableau1[[#This Row],[Charge]]&lt;&gt;0, Tableau1[[#This Row],[Nombre intervenants]]&lt;&gt;0,Tableau1[[#This Row],[Lien document]]&lt;&gt;0,Tableau1[[#This Row],[DMS_SAP]]&lt;&gt;0)=TRUE,"MIS A JOUR","")</f>
        <v/>
      </c>
      <c r="AA747" s="48"/>
      <c r="AB747" s="58" t="str">
        <f ca="1">IF(Tableau1[[#This Row],[Date rév.]]&lt;&gt;"", DAYS360(Tableau1[[#This Row],[Date rév.]],TODAY()),"")</f>
        <v/>
      </c>
      <c r="AC747" s="47" t="str">
        <f>IFERROR(INDEX(Chemin_accès!$B$11:$C$22,MATCH(Tableau1[[#This Row],[Type]],Chemin_accès!$C$11:$C$22,0),1),Chemin_accès!$B$11)</f>
        <v>\\stjn.local\trimet\Btechnique\Commun\BT Maint SCELLEMENT\205 - Préventifs\Modèles préventif\GammeDMS_7.MSCT.xlsm</v>
      </c>
      <c r="AD747" s="47" t="str">
        <f>Chemin_accès!$B$8&amp;Tableau1[[#This Row],[Localisation / Classement]]&amp;"\"&amp;Tableau1[[#This Row],[Poste technique]]&amp;"_"&amp;Tableau1[[#This Row],[Plan Entretien]]&amp;".xlsm"</f>
        <v>\\stjn.local\trimet\Btechnique\Commun\BT Maint SCELLEMENT\205 - Préventifs\Gammes 7.MSCT PE Tool\\_.xlsm</v>
      </c>
    </row>
    <row r="748" spans="1:30" x14ac:dyDescent="0.3">
      <c r="A748" s="44" t="str">
        <f t="shared" ca="1" si="11"/>
        <v>7.MSCT</v>
      </c>
      <c r="B7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8" s="46"/>
      <c r="D748" s="44"/>
      <c r="E748" s="44"/>
      <c r="F748" s="47"/>
      <c r="G748" s="47"/>
      <c r="H748" s="50"/>
      <c r="I748" s="50"/>
      <c r="J748" s="50"/>
      <c r="K748" s="50"/>
      <c r="L748" s="46"/>
      <c r="M748" s="47"/>
      <c r="N748" s="46"/>
      <c r="O748" s="46"/>
      <c r="P748" s="47"/>
      <c r="Q748" s="46"/>
      <c r="R748" s="46"/>
      <c r="S748" s="48"/>
      <c r="T748" s="61" t="str">
        <f>IF(Tableau1[[#This Row],[DMS_SAP]]="","",HYPERLINK(Tableau1[[#This Row],[Chemin fichier source]],"X"))</f>
        <v/>
      </c>
      <c r="U748" s="61" t="str">
        <f>IF(Tableau1[[#This Row],[Date rév.]]="","",HYPERLINK(Tableau1[[#This Row],[Lien document]],"X"))</f>
        <v/>
      </c>
      <c r="V748" s="47"/>
      <c r="W748" s="49" t="str">
        <f ca="1">Chemin_accès!$B$2&amp;Tableau1[[#This Row],[Poste Responsable]]&amp;"\"&amp;Tableau1[[#This Row],[Localisation / Classement]]&amp;"\"&amp;Tableau1[[#This Row],[Poste technique]]&amp;"_"&amp;Tableau1[[#This Row],[Plan Entretien]]&amp;".pdf"</f>
        <v>\\stjn.local\trimet\Donnees_Projets\Dms Sap\Maintenance\PlanEntretien\7.MSCT\\_.pdf</v>
      </c>
      <c r="X748" s="47"/>
      <c r="Y748" s="47"/>
      <c r="Z748" s="44" t="str">
        <f ca="1">IF(AND(Tableau1[[#This Row],[Charge]]&lt;&gt;0, Tableau1[[#This Row],[Nombre intervenants]]&lt;&gt;0,Tableau1[[#This Row],[Lien document]]&lt;&gt;0,Tableau1[[#This Row],[DMS_SAP]]&lt;&gt;0)=TRUE,"MIS A JOUR","")</f>
        <v/>
      </c>
      <c r="AA748" s="48"/>
      <c r="AB748" s="58" t="str">
        <f ca="1">IF(Tableau1[[#This Row],[Date rév.]]&lt;&gt;"", DAYS360(Tableau1[[#This Row],[Date rév.]],TODAY()),"")</f>
        <v/>
      </c>
      <c r="AC748" s="47" t="str">
        <f>IFERROR(INDEX(Chemin_accès!$B$11:$C$22,MATCH(Tableau1[[#This Row],[Type]],Chemin_accès!$C$11:$C$22,0),1),Chemin_accès!$B$11)</f>
        <v>\\stjn.local\trimet\Btechnique\Commun\BT Maint SCELLEMENT\205 - Préventifs\Modèles préventif\GammeDMS_7.MSCT.xlsm</v>
      </c>
      <c r="AD748" s="47" t="str">
        <f>Chemin_accès!$B$8&amp;Tableau1[[#This Row],[Localisation / Classement]]&amp;"\"&amp;Tableau1[[#This Row],[Poste technique]]&amp;"_"&amp;Tableau1[[#This Row],[Plan Entretien]]&amp;".xlsm"</f>
        <v>\\stjn.local\trimet\Btechnique\Commun\BT Maint SCELLEMENT\205 - Préventifs\Gammes 7.MSCT PE Tool\\_.xlsm</v>
      </c>
    </row>
    <row r="749" spans="1:30" x14ac:dyDescent="0.3">
      <c r="A749" s="44" t="str">
        <f t="shared" ca="1" si="11"/>
        <v>7.MSCT</v>
      </c>
      <c r="B7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9" s="46"/>
      <c r="D749" s="44"/>
      <c r="E749" s="44"/>
      <c r="F749" s="47"/>
      <c r="G749" s="47"/>
      <c r="H749" s="50"/>
      <c r="I749" s="50"/>
      <c r="J749" s="50"/>
      <c r="K749" s="50"/>
      <c r="L749" s="46"/>
      <c r="M749" s="47"/>
      <c r="N749" s="46"/>
      <c r="O749" s="46"/>
      <c r="P749" s="47"/>
      <c r="Q749" s="46"/>
      <c r="R749" s="46"/>
      <c r="S749" s="48"/>
      <c r="T749" s="61" t="str">
        <f>IF(Tableau1[[#This Row],[DMS_SAP]]="","",HYPERLINK(Tableau1[[#This Row],[Chemin fichier source]],"X"))</f>
        <v/>
      </c>
      <c r="U749" s="61" t="str">
        <f>IF(Tableau1[[#This Row],[Date rév.]]="","",HYPERLINK(Tableau1[[#This Row],[Lien document]],"X"))</f>
        <v/>
      </c>
      <c r="V749" s="47"/>
      <c r="W749" s="49" t="str">
        <f ca="1">Chemin_accès!$B$2&amp;Tableau1[[#This Row],[Poste Responsable]]&amp;"\"&amp;Tableau1[[#This Row],[Localisation / Classement]]&amp;"\"&amp;Tableau1[[#This Row],[Poste technique]]&amp;"_"&amp;Tableau1[[#This Row],[Plan Entretien]]&amp;".pdf"</f>
        <v>\\stjn.local\trimet\Donnees_Projets\Dms Sap\Maintenance\PlanEntretien\7.MSCT\\_.pdf</v>
      </c>
      <c r="X749" s="47"/>
      <c r="Y749" s="47"/>
      <c r="Z749" s="44" t="str">
        <f ca="1">IF(AND(Tableau1[[#This Row],[Charge]]&lt;&gt;0, Tableau1[[#This Row],[Nombre intervenants]]&lt;&gt;0,Tableau1[[#This Row],[Lien document]]&lt;&gt;0,Tableau1[[#This Row],[DMS_SAP]]&lt;&gt;0)=TRUE,"MIS A JOUR","")</f>
        <v/>
      </c>
      <c r="AA749" s="48"/>
      <c r="AB749" s="58" t="str">
        <f ca="1">IF(Tableau1[[#This Row],[Date rév.]]&lt;&gt;"", DAYS360(Tableau1[[#This Row],[Date rév.]],TODAY()),"")</f>
        <v/>
      </c>
      <c r="AC749" s="47" t="str">
        <f>IFERROR(INDEX(Chemin_accès!$B$11:$C$22,MATCH(Tableau1[[#This Row],[Type]],Chemin_accès!$C$11:$C$22,0),1),Chemin_accès!$B$11)</f>
        <v>\\stjn.local\trimet\Btechnique\Commun\BT Maint SCELLEMENT\205 - Préventifs\Modèles préventif\GammeDMS_7.MSCT.xlsm</v>
      </c>
      <c r="AD749" s="47" t="str">
        <f>Chemin_accès!$B$8&amp;Tableau1[[#This Row],[Localisation / Classement]]&amp;"\"&amp;Tableau1[[#This Row],[Poste technique]]&amp;"_"&amp;Tableau1[[#This Row],[Plan Entretien]]&amp;".xlsm"</f>
        <v>\\stjn.local\trimet\Btechnique\Commun\BT Maint SCELLEMENT\205 - Préventifs\Gammes 7.MSCT PE Tool\\_.xlsm</v>
      </c>
    </row>
    <row r="750" spans="1:30" x14ac:dyDescent="0.3">
      <c r="A750" s="44" t="str">
        <f t="shared" ca="1" si="11"/>
        <v>7.MSCT</v>
      </c>
      <c r="B7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0" s="46"/>
      <c r="D750" s="44"/>
      <c r="E750" s="44"/>
      <c r="F750" s="47"/>
      <c r="G750" s="47"/>
      <c r="H750" s="50"/>
      <c r="I750" s="50"/>
      <c r="J750" s="50"/>
      <c r="K750" s="50"/>
      <c r="L750" s="46"/>
      <c r="M750" s="47"/>
      <c r="N750" s="46"/>
      <c r="O750" s="46"/>
      <c r="P750" s="47"/>
      <c r="Q750" s="46"/>
      <c r="R750" s="46"/>
      <c r="S750" s="48"/>
      <c r="T750" s="61" t="str">
        <f>IF(Tableau1[[#This Row],[DMS_SAP]]="","",HYPERLINK(Tableau1[[#This Row],[Chemin fichier source]],"X"))</f>
        <v/>
      </c>
      <c r="U750" s="61" t="str">
        <f>IF(Tableau1[[#This Row],[Date rév.]]="","",HYPERLINK(Tableau1[[#This Row],[Lien document]],"X"))</f>
        <v/>
      </c>
      <c r="V750" s="47"/>
      <c r="W750" s="49" t="str">
        <f ca="1">Chemin_accès!$B$2&amp;Tableau1[[#This Row],[Poste Responsable]]&amp;"\"&amp;Tableau1[[#This Row],[Localisation / Classement]]&amp;"\"&amp;Tableau1[[#This Row],[Poste technique]]&amp;"_"&amp;Tableau1[[#This Row],[Plan Entretien]]&amp;".pdf"</f>
        <v>\\stjn.local\trimet\Donnees_Projets\Dms Sap\Maintenance\PlanEntretien\7.MSCT\\_.pdf</v>
      </c>
      <c r="X750" s="47"/>
      <c r="Y750" s="47"/>
      <c r="Z750" s="44" t="str">
        <f ca="1">IF(AND(Tableau1[[#This Row],[Charge]]&lt;&gt;0, Tableau1[[#This Row],[Nombre intervenants]]&lt;&gt;0,Tableau1[[#This Row],[Lien document]]&lt;&gt;0,Tableau1[[#This Row],[DMS_SAP]]&lt;&gt;0)=TRUE,"MIS A JOUR","")</f>
        <v/>
      </c>
      <c r="AA750" s="48"/>
      <c r="AB750" s="58" t="str">
        <f ca="1">IF(Tableau1[[#This Row],[Date rév.]]&lt;&gt;"", DAYS360(Tableau1[[#This Row],[Date rév.]],TODAY()),"")</f>
        <v/>
      </c>
      <c r="AC750" s="47" t="str">
        <f>IFERROR(INDEX(Chemin_accès!$B$11:$C$22,MATCH(Tableau1[[#This Row],[Type]],Chemin_accès!$C$11:$C$22,0),1),Chemin_accès!$B$11)</f>
        <v>\\stjn.local\trimet\Btechnique\Commun\BT Maint SCELLEMENT\205 - Préventifs\Modèles préventif\GammeDMS_7.MSCT.xlsm</v>
      </c>
      <c r="AD750" s="47" t="str">
        <f>Chemin_accès!$B$8&amp;Tableau1[[#This Row],[Localisation / Classement]]&amp;"\"&amp;Tableau1[[#This Row],[Poste technique]]&amp;"_"&amp;Tableau1[[#This Row],[Plan Entretien]]&amp;".xlsm"</f>
        <v>\\stjn.local\trimet\Btechnique\Commun\BT Maint SCELLEMENT\205 - Préventifs\Gammes 7.MSCT PE Tool\\_.xlsm</v>
      </c>
    </row>
    <row r="751" spans="1:30" x14ac:dyDescent="0.3">
      <c r="A751" s="44" t="str">
        <f t="shared" ca="1" si="11"/>
        <v>7.MSCT</v>
      </c>
      <c r="B7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1" s="46"/>
      <c r="D751" s="44"/>
      <c r="E751" s="44"/>
      <c r="F751" s="47"/>
      <c r="G751" s="47"/>
      <c r="H751" s="50"/>
      <c r="I751" s="50"/>
      <c r="J751" s="50"/>
      <c r="K751" s="50"/>
      <c r="L751" s="46"/>
      <c r="M751" s="47"/>
      <c r="N751" s="46"/>
      <c r="O751" s="46"/>
      <c r="P751" s="47"/>
      <c r="Q751" s="46"/>
      <c r="R751" s="46"/>
      <c r="S751" s="48"/>
      <c r="T751" s="61" t="str">
        <f>IF(Tableau1[[#This Row],[DMS_SAP]]="","",HYPERLINK(Tableau1[[#This Row],[Chemin fichier source]],"X"))</f>
        <v/>
      </c>
      <c r="U751" s="61" t="str">
        <f>IF(Tableau1[[#This Row],[Date rév.]]="","",HYPERLINK(Tableau1[[#This Row],[Lien document]],"X"))</f>
        <v/>
      </c>
      <c r="V751" s="47"/>
      <c r="W751" s="49" t="str">
        <f ca="1">Chemin_accès!$B$2&amp;Tableau1[[#This Row],[Poste Responsable]]&amp;"\"&amp;Tableau1[[#This Row],[Localisation / Classement]]&amp;"\"&amp;Tableau1[[#This Row],[Poste technique]]&amp;"_"&amp;Tableau1[[#This Row],[Plan Entretien]]&amp;".pdf"</f>
        <v>\\stjn.local\trimet\Donnees_Projets\Dms Sap\Maintenance\PlanEntretien\7.MSCT\\_.pdf</v>
      </c>
      <c r="X751" s="47"/>
      <c r="Y751" s="47"/>
      <c r="Z751" s="44" t="str">
        <f ca="1">IF(AND(Tableau1[[#This Row],[Charge]]&lt;&gt;0, Tableau1[[#This Row],[Nombre intervenants]]&lt;&gt;0,Tableau1[[#This Row],[Lien document]]&lt;&gt;0,Tableau1[[#This Row],[DMS_SAP]]&lt;&gt;0)=TRUE,"MIS A JOUR","")</f>
        <v/>
      </c>
      <c r="AA751" s="48"/>
      <c r="AB751" s="58" t="str">
        <f ca="1">IF(Tableau1[[#This Row],[Date rév.]]&lt;&gt;"", DAYS360(Tableau1[[#This Row],[Date rév.]],TODAY()),"")</f>
        <v/>
      </c>
      <c r="AC751" s="47" t="str">
        <f>IFERROR(INDEX(Chemin_accès!$B$11:$C$22,MATCH(Tableau1[[#This Row],[Type]],Chemin_accès!$C$11:$C$22,0),1),Chemin_accès!$B$11)</f>
        <v>\\stjn.local\trimet\Btechnique\Commun\BT Maint SCELLEMENT\205 - Préventifs\Modèles préventif\GammeDMS_7.MSCT.xlsm</v>
      </c>
      <c r="AD751" s="47" t="str">
        <f>Chemin_accès!$B$8&amp;Tableau1[[#This Row],[Localisation / Classement]]&amp;"\"&amp;Tableau1[[#This Row],[Poste technique]]&amp;"_"&amp;Tableau1[[#This Row],[Plan Entretien]]&amp;".xlsm"</f>
        <v>\\stjn.local\trimet\Btechnique\Commun\BT Maint SCELLEMENT\205 - Préventifs\Gammes 7.MSCT PE Tool\\_.xlsm</v>
      </c>
    </row>
    <row r="752" spans="1:30" x14ac:dyDescent="0.3">
      <c r="A752" s="44" t="str">
        <f t="shared" ca="1" si="11"/>
        <v>7.MSCT</v>
      </c>
      <c r="B7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2" s="46"/>
      <c r="D752" s="44"/>
      <c r="E752" s="44"/>
      <c r="F752" s="47"/>
      <c r="G752" s="47"/>
      <c r="H752" s="50"/>
      <c r="I752" s="50"/>
      <c r="J752" s="50"/>
      <c r="K752" s="50"/>
      <c r="L752" s="46"/>
      <c r="M752" s="47"/>
      <c r="N752" s="46"/>
      <c r="O752" s="46"/>
      <c r="P752" s="47"/>
      <c r="Q752" s="46"/>
      <c r="R752" s="46"/>
      <c r="S752" s="48"/>
      <c r="T752" s="61" t="str">
        <f>IF(Tableau1[[#This Row],[DMS_SAP]]="","",HYPERLINK(Tableau1[[#This Row],[Chemin fichier source]],"X"))</f>
        <v/>
      </c>
      <c r="U752" s="61" t="str">
        <f>IF(Tableau1[[#This Row],[Date rév.]]="","",HYPERLINK(Tableau1[[#This Row],[Lien document]],"X"))</f>
        <v/>
      </c>
      <c r="V752" s="47"/>
      <c r="W752" s="49" t="str">
        <f ca="1">Chemin_accès!$B$2&amp;Tableau1[[#This Row],[Poste Responsable]]&amp;"\"&amp;Tableau1[[#This Row],[Localisation / Classement]]&amp;"\"&amp;Tableau1[[#This Row],[Poste technique]]&amp;"_"&amp;Tableau1[[#This Row],[Plan Entretien]]&amp;".pdf"</f>
        <v>\\stjn.local\trimet\Donnees_Projets\Dms Sap\Maintenance\PlanEntretien\7.MSCT\\_.pdf</v>
      </c>
      <c r="X752" s="47"/>
      <c r="Y752" s="47"/>
      <c r="Z752" s="44" t="str">
        <f ca="1">IF(AND(Tableau1[[#This Row],[Charge]]&lt;&gt;0, Tableau1[[#This Row],[Nombre intervenants]]&lt;&gt;0,Tableau1[[#This Row],[Lien document]]&lt;&gt;0,Tableau1[[#This Row],[DMS_SAP]]&lt;&gt;0)=TRUE,"MIS A JOUR","")</f>
        <v/>
      </c>
      <c r="AA752" s="48"/>
      <c r="AB752" s="58" t="str">
        <f ca="1">IF(Tableau1[[#This Row],[Date rév.]]&lt;&gt;"", DAYS360(Tableau1[[#This Row],[Date rév.]],TODAY()),"")</f>
        <v/>
      </c>
      <c r="AC752" s="47" t="str">
        <f>IFERROR(INDEX(Chemin_accès!$B$11:$C$22,MATCH(Tableau1[[#This Row],[Type]],Chemin_accès!$C$11:$C$22,0),1),Chemin_accès!$B$11)</f>
        <v>\\stjn.local\trimet\Btechnique\Commun\BT Maint SCELLEMENT\205 - Préventifs\Modèles préventif\GammeDMS_7.MSCT.xlsm</v>
      </c>
      <c r="AD752" s="47" t="str">
        <f>Chemin_accès!$B$8&amp;Tableau1[[#This Row],[Localisation / Classement]]&amp;"\"&amp;Tableau1[[#This Row],[Poste technique]]&amp;"_"&amp;Tableau1[[#This Row],[Plan Entretien]]&amp;".xlsm"</f>
        <v>\\stjn.local\trimet\Btechnique\Commun\BT Maint SCELLEMENT\205 - Préventifs\Gammes 7.MSCT PE Tool\\_.xlsm</v>
      </c>
    </row>
    <row r="753" spans="1:30" x14ac:dyDescent="0.3">
      <c r="A753" s="44" t="str">
        <f t="shared" ca="1" si="11"/>
        <v>7.MSCT</v>
      </c>
      <c r="B7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3" s="46"/>
      <c r="D753" s="44"/>
      <c r="E753" s="44"/>
      <c r="F753" s="47"/>
      <c r="G753" s="47"/>
      <c r="H753" s="50"/>
      <c r="I753" s="50"/>
      <c r="J753" s="50"/>
      <c r="K753" s="50"/>
      <c r="L753" s="46"/>
      <c r="M753" s="47"/>
      <c r="N753" s="46"/>
      <c r="O753" s="46"/>
      <c r="P753" s="47"/>
      <c r="Q753" s="46"/>
      <c r="R753" s="46"/>
      <c r="S753" s="48"/>
      <c r="T753" s="61" t="str">
        <f>IF(Tableau1[[#This Row],[DMS_SAP]]="","",HYPERLINK(Tableau1[[#This Row],[Chemin fichier source]],"X"))</f>
        <v/>
      </c>
      <c r="U753" s="61" t="str">
        <f>IF(Tableau1[[#This Row],[Date rév.]]="","",HYPERLINK(Tableau1[[#This Row],[Lien document]],"X"))</f>
        <v/>
      </c>
      <c r="V753" s="47"/>
      <c r="W753" s="49" t="str">
        <f ca="1">Chemin_accès!$B$2&amp;Tableau1[[#This Row],[Poste Responsable]]&amp;"\"&amp;Tableau1[[#This Row],[Localisation / Classement]]&amp;"\"&amp;Tableau1[[#This Row],[Poste technique]]&amp;"_"&amp;Tableau1[[#This Row],[Plan Entretien]]&amp;".pdf"</f>
        <v>\\stjn.local\trimet\Donnees_Projets\Dms Sap\Maintenance\PlanEntretien\7.MSCT\\_.pdf</v>
      </c>
      <c r="X753" s="47"/>
      <c r="Y753" s="47"/>
      <c r="Z753" s="44" t="str">
        <f ca="1">IF(AND(Tableau1[[#This Row],[Charge]]&lt;&gt;0, Tableau1[[#This Row],[Nombre intervenants]]&lt;&gt;0,Tableau1[[#This Row],[Lien document]]&lt;&gt;0,Tableau1[[#This Row],[DMS_SAP]]&lt;&gt;0)=TRUE,"MIS A JOUR","")</f>
        <v/>
      </c>
      <c r="AA753" s="48"/>
      <c r="AB753" s="58" t="str">
        <f ca="1">IF(Tableau1[[#This Row],[Date rév.]]&lt;&gt;"", DAYS360(Tableau1[[#This Row],[Date rév.]],TODAY()),"")</f>
        <v/>
      </c>
      <c r="AC753" s="47" t="str">
        <f>IFERROR(INDEX(Chemin_accès!$B$11:$C$22,MATCH(Tableau1[[#This Row],[Type]],Chemin_accès!$C$11:$C$22,0),1),Chemin_accès!$B$11)</f>
        <v>\\stjn.local\trimet\Btechnique\Commun\BT Maint SCELLEMENT\205 - Préventifs\Modèles préventif\GammeDMS_7.MSCT.xlsm</v>
      </c>
      <c r="AD753" s="47" t="str">
        <f>Chemin_accès!$B$8&amp;Tableau1[[#This Row],[Localisation / Classement]]&amp;"\"&amp;Tableau1[[#This Row],[Poste technique]]&amp;"_"&amp;Tableau1[[#This Row],[Plan Entretien]]&amp;".xlsm"</f>
        <v>\\stjn.local\trimet\Btechnique\Commun\BT Maint SCELLEMENT\205 - Préventifs\Gammes 7.MSCT PE Tool\\_.xlsm</v>
      </c>
    </row>
    <row r="754" spans="1:30" x14ac:dyDescent="0.3">
      <c r="A754" s="44" t="str">
        <f t="shared" ca="1" si="11"/>
        <v>7.MSCT</v>
      </c>
      <c r="B7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4" s="46"/>
      <c r="D754" s="44"/>
      <c r="E754" s="44"/>
      <c r="F754" s="47"/>
      <c r="G754" s="47"/>
      <c r="H754" s="50"/>
      <c r="I754" s="50"/>
      <c r="J754" s="50"/>
      <c r="K754" s="50"/>
      <c r="L754" s="46"/>
      <c r="M754" s="47"/>
      <c r="N754" s="46"/>
      <c r="O754" s="46"/>
      <c r="P754" s="47"/>
      <c r="Q754" s="46"/>
      <c r="R754" s="46"/>
      <c r="S754" s="48"/>
      <c r="T754" s="61" t="str">
        <f>IF(Tableau1[[#This Row],[DMS_SAP]]="","",HYPERLINK(Tableau1[[#This Row],[Chemin fichier source]],"X"))</f>
        <v/>
      </c>
      <c r="U754" s="61" t="str">
        <f>IF(Tableau1[[#This Row],[Date rév.]]="","",HYPERLINK(Tableau1[[#This Row],[Lien document]],"X"))</f>
        <v/>
      </c>
      <c r="V754" s="47"/>
      <c r="W754" s="49" t="str">
        <f ca="1">Chemin_accès!$B$2&amp;Tableau1[[#This Row],[Poste Responsable]]&amp;"\"&amp;Tableau1[[#This Row],[Localisation / Classement]]&amp;"\"&amp;Tableau1[[#This Row],[Poste technique]]&amp;"_"&amp;Tableau1[[#This Row],[Plan Entretien]]&amp;".pdf"</f>
        <v>\\stjn.local\trimet\Donnees_Projets\Dms Sap\Maintenance\PlanEntretien\7.MSCT\\_.pdf</v>
      </c>
      <c r="X754" s="47"/>
      <c r="Y754" s="47"/>
      <c r="Z754" s="44" t="str">
        <f ca="1">IF(AND(Tableau1[[#This Row],[Charge]]&lt;&gt;0, Tableau1[[#This Row],[Nombre intervenants]]&lt;&gt;0,Tableau1[[#This Row],[Lien document]]&lt;&gt;0,Tableau1[[#This Row],[DMS_SAP]]&lt;&gt;0)=TRUE,"MIS A JOUR","")</f>
        <v/>
      </c>
      <c r="AA754" s="48"/>
      <c r="AB754" s="58" t="str">
        <f ca="1">IF(Tableau1[[#This Row],[Date rév.]]&lt;&gt;"", DAYS360(Tableau1[[#This Row],[Date rév.]],TODAY()),"")</f>
        <v/>
      </c>
      <c r="AC754" s="47" t="str">
        <f>IFERROR(INDEX(Chemin_accès!$B$11:$C$22,MATCH(Tableau1[[#This Row],[Type]],Chemin_accès!$C$11:$C$22,0),1),Chemin_accès!$B$11)</f>
        <v>\\stjn.local\trimet\Btechnique\Commun\BT Maint SCELLEMENT\205 - Préventifs\Modèles préventif\GammeDMS_7.MSCT.xlsm</v>
      </c>
      <c r="AD754" s="47" t="str">
        <f>Chemin_accès!$B$8&amp;Tableau1[[#This Row],[Localisation / Classement]]&amp;"\"&amp;Tableau1[[#This Row],[Poste technique]]&amp;"_"&amp;Tableau1[[#This Row],[Plan Entretien]]&amp;".xlsm"</f>
        <v>\\stjn.local\trimet\Btechnique\Commun\BT Maint SCELLEMENT\205 - Préventifs\Gammes 7.MSCT PE Tool\\_.xlsm</v>
      </c>
    </row>
    <row r="755" spans="1:30" x14ac:dyDescent="0.3">
      <c r="A755" s="44" t="str">
        <f t="shared" ca="1" si="11"/>
        <v>7.MSCT</v>
      </c>
      <c r="B7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5" s="46"/>
      <c r="D755" s="44"/>
      <c r="E755" s="44"/>
      <c r="F755" s="47"/>
      <c r="G755" s="47"/>
      <c r="H755" s="50"/>
      <c r="I755" s="50"/>
      <c r="J755" s="50"/>
      <c r="K755" s="50"/>
      <c r="L755" s="46"/>
      <c r="M755" s="47"/>
      <c r="N755" s="46"/>
      <c r="O755" s="46"/>
      <c r="P755" s="47"/>
      <c r="Q755" s="46"/>
      <c r="R755" s="46"/>
      <c r="S755" s="48"/>
      <c r="T755" s="61" t="str">
        <f>IF(Tableau1[[#This Row],[DMS_SAP]]="","",HYPERLINK(Tableau1[[#This Row],[Chemin fichier source]],"X"))</f>
        <v/>
      </c>
      <c r="U755" s="61" t="str">
        <f>IF(Tableau1[[#This Row],[Date rév.]]="","",HYPERLINK(Tableau1[[#This Row],[Lien document]],"X"))</f>
        <v/>
      </c>
      <c r="V755" s="47"/>
      <c r="W755" s="49" t="str">
        <f ca="1">Chemin_accès!$B$2&amp;Tableau1[[#This Row],[Poste Responsable]]&amp;"\"&amp;Tableau1[[#This Row],[Localisation / Classement]]&amp;"\"&amp;Tableau1[[#This Row],[Poste technique]]&amp;"_"&amp;Tableau1[[#This Row],[Plan Entretien]]&amp;".pdf"</f>
        <v>\\stjn.local\trimet\Donnees_Projets\Dms Sap\Maintenance\PlanEntretien\7.MSCT\\_.pdf</v>
      </c>
      <c r="X755" s="47"/>
      <c r="Y755" s="47"/>
      <c r="Z755" s="44" t="str">
        <f ca="1">IF(AND(Tableau1[[#This Row],[Charge]]&lt;&gt;0, Tableau1[[#This Row],[Nombre intervenants]]&lt;&gt;0,Tableau1[[#This Row],[Lien document]]&lt;&gt;0,Tableau1[[#This Row],[DMS_SAP]]&lt;&gt;0)=TRUE,"MIS A JOUR","")</f>
        <v/>
      </c>
      <c r="AA755" s="48"/>
      <c r="AB755" s="58" t="str">
        <f ca="1">IF(Tableau1[[#This Row],[Date rév.]]&lt;&gt;"", DAYS360(Tableau1[[#This Row],[Date rév.]],TODAY()),"")</f>
        <v/>
      </c>
      <c r="AC755" s="47" t="str">
        <f>IFERROR(INDEX(Chemin_accès!$B$11:$C$22,MATCH(Tableau1[[#This Row],[Type]],Chemin_accès!$C$11:$C$22,0),1),Chemin_accès!$B$11)</f>
        <v>\\stjn.local\trimet\Btechnique\Commun\BT Maint SCELLEMENT\205 - Préventifs\Modèles préventif\GammeDMS_7.MSCT.xlsm</v>
      </c>
      <c r="AD755" s="47" t="str">
        <f>Chemin_accès!$B$8&amp;Tableau1[[#This Row],[Localisation / Classement]]&amp;"\"&amp;Tableau1[[#This Row],[Poste technique]]&amp;"_"&amp;Tableau1[[#This Row],[Plan Entretien]]&amp;".xlsm"</f>
        <v>\\stjn.local\trimet\Btechnique\Commun\BT Maint SCELLEMENT\205 - Préventifs\Gammes 7.MSCT PE Tool\\_.xlsm</v>
      </c>
    </row>
    <row r="756" spans="1:30" x14ac:dyDescent="0.3">
      <c r="A756" s="44" t="str">
        <f t="shared" ca="1" si="11"/>
        <v>7.MSCT</v>
      </c>
      <c r="B7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6" s="46"/>
      <c r="D756" s="44"/>
      <c r="E756" s="44"/>
      <c r="F756" s="47"/>
      <c r="G756" s="47"/>
      <c r="H756" s="50"/>
      <c r="I756" s="50"/>
      <c r="J756" s="50"/>
      <c r="K756" s="50"/>
      <c r="L756" s="46"/>
      <c r="M756" s="47"/>
      <c r="N756" s="46"/>
      <c r="O756" s="46"/>
      <c r="P756" s="47"/>
      <c r="Q756" s="46"/>
      <c r="R756" s="46"/>
      <c r="S756" s="48"/>
      <c r="T756" s="61" t="str">
        <f>IF(Tableau1[[#This Row],[DMS_SAP]]="","",HYPERLINK(Tableau1[[#This Row],[Chemin fichier source]],"X"))</f>
        <v/>
      </c>
      <c r="U756" s="61" t="str">
        <f>IF(Tableau1[[#This Row],[Date rév.]]="","",HYPERLINK(Tableau1[[#This Row],[Lien document]],"X"))</f>
        <v/>
      </c>
      <c r="V756" s="47"/>
      <c r="W756" s="49" t="str">
        <f ca="1">Chemin_accès!$B$2&amp;Tableau1[[#This Row],[Poste Responsable]]&amp;"\"&amp;Tableau1[[#This Row],[Localisation / Classement]]&amp;"\"&amp;Tableau1[[#This Row],[Poste technique]]&amp;"_"&amp;Tableau1[[#This Row],[Plan Entretien]]&amp;".pdf"</f>
        <v>\\stjn.local\trimet\Donnees_Projets\Dms Sap\Maintenance\PlanEntretien\7.MSCT\\_.pdf</v>
      </c>
      <c r="X756" s="47"/>
      <c r="Y756" s="47"/>
      <c r="Z756" s="44" t="str">
        <f ca="1">IF(AND(Tableau1[[#This Row],[Charge]]&lt;&gt;0, Tableau1[[#This Row],[Nombre intervenants]]&lt;&gt;0,Tableau1[[#This Row],[Lien document]]&lt;&gt;0,Tableau1[[#This Row],[DMS_SAP]]&lt;&gt;0)=TRUE,"MIS A JOUR","")</f>
        <v/>
      </c>
      <c r="AA756" s="48"/>
      <c r="AB756" s="58" t="str">
        <f ca="1">IF(Tableau1[[#This Row],[Date rév.]]&lt;&gt;"", DAYS360(Tableau1[[#This Row],[Date rév.]],TODAY()),"")</f>
        <v/>
      </c>
      <c r="AC756" s="47" t="str">
        <f>IFERROR(INDEX(Chemin_accès!$B$11:$C$22,MATCH(Tableau1[[#This Row],[Type]],Chemin_accès!$C$11:$C$22,0),1),Chemin_accès!$B$11)</f>
        <v>\\stjn.local\trimet\Btechnique\Commun\BT Maint SCELLEMENT\205 - Préventifs\Modèles préventif\GammeDMS_7.MSCT.xlsm</v>
      </c>
      <c r="AD756" s="47" t="str">
        <f>Chemin_accès!$B$8&amp;Tableau1[[#This Row],[Localisation / Classement]]&amp;"\"&amp;Tableau1[[#This Row],[Poste technique]]&amp;"_"&amp;Tableau1[[#This Row],[Plan Entretien]]&amp;".xlsm"</f>
        <v>\\stjn.local\trimet\Btechnique\Commun\BT Maint SCELLEMENT\205 - Préventifs\Gammes 7.MSCT PE Tool\\_.xlsm</v>
      </c>
    </row>
    <row r="757" spans="1:30" x14ac:dyDescent="0.3">
      <c r="A757" s="44" t="str">
        <f t="shared" ca="1" si="11"/>
        <v>7.MSCT</v>
      </c>
      <c r="B7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7" s="46"/>
      <c r="D757" s="44"/>
      <c r="E757" s="44"/>
      <c r="F757" s="47"/>
      <c r="G757" s="47"/>
      <c r="H757" s="50"/>
      <c r="I757" s="50"/>
      <c r="J757" s="50"/>
      <c r="K757" s="50"/>
      <c r="L757" s="46"/>
      <c r="M757" s="47"/>
      <c r="N757" s="46"/>
      <c r="O757" s="46"/>
      <c r="P757" s="47"/>
      <c r="Q757" s="46"/>
      <c r="R757" s="46"/>
      <c r="S757" s="48"/>
      <c r="T757" s="61" t="str">
        <f>IF(Tableau1[[#This Row],[DMS_SAP]]="","",HYPERLINK(Tableau1[[#This Row],[Chemin fichier source]],"X"))</f>
        <v/>
      </c>
      <c r="U757" s="61" t="str">
        <f>IF(Tableau1[[#This Row],[Date rév.]]="","",HYPERLINK(Tableau1[[#This Row],[Lien document]],"X"))</f>
        <v/>
      </c>
      <c r="V757" s="47"/>
      <c r="W757" s="49" t="str">
        <f ca="1">Chemin_accès!$B$2&amp;Tableau1[[#This Row],[Poste Responsable]]&amp;"\"&amp;Tableau1[[#This Row],[Localisation / Classement]]&amp;"\"&amp;Tableau1[[#This Row],[Poste technique]]&amp;"_"&amp;Tableau1[[#This Row],[Plan Entretien]]&amp;".pdf"</f>
        <v>\\stjn.local\trimet\Donnees_Projets\Dms Sap\Maintenance\PlanEntretien\7.MSCT\\_.pdf</v>
      </c>
      <c r="X757" s="47"/>
      <c r="Y757" s="47"/>
      <c r="Z757" s="44" t="str">
        <f ca="1">IF(AND(Tableau1[[#This Row],[Charge]]&lt;&gt;0, Tableau1[[#This Row],[Nombre intervenants]]&lt;&gt;0,Tableau1[[#This Row],[Lien document]]&lt;&gt;0,Tableau1[[#This Row],[DMS_SAP]]&lt;&gt;0)=TRUE,"MIS A JOUR","")</f>
        <v/>
      </c>
      <c r="AA757" s="48"/>
      <c r="AB757" s="58" t="str">
        <f ca="1">IF(Tableau1[[#This Row],[Date rév.]]&lt;&gt;"", DAYS360(Tableau1[[#This Row],[Date rév.]],TODAY()),"")</f>
        <v/>
      </c>
      <c r="AC757" s="47" t="str">
        <f>IFERROR(INDEX(Chemin_accès!$B$11:$C$22,MATCH(Tableau1[[#This Row],[Type]],Chemin_accès!$C$11:$C$22,0),1),Chemin_accès!$B$11)</f>
        <v>\\stjn.local\trimet\Btechnique\Commun\BT Maint SCELLEMENT\205 - Préventifs\Modèles préventif\GammeDMS_7.MSCT.xlsm</v>
      </c>
      <c r="AD757" s="47" t="str">
        <f>Chemin_accès!$B$8&amp;Tableau1[[#This Row],[Localisation / Classement]]&amp;"\"&amp;Tableau1[[#This Row],[Poste technique]]&amp;"_"&amp;Tableau1[[#This Row],[Plan Entretien]]&amp;".xlsm"</f>
        <v>\\stjn.local\trimet\Btechnique\Commun\BT Maint SCELLEMENT\205 - Préventifs\Gammes 7.MSCT PE Tool\\_.xlsm</v>
      </c>
    </row>
    <row r="758" spans="1:30" x14ac:dyDescent="0.3">
      <c r="A758" s="44" t="str">
        <f t="shared" ca="1" si="11"/>
        <v>7.MSCT</v>
      </c>
      <c r="B7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8" s="46"/>
      <c r="D758" s="44"/>
      <c r="E758" s="44"/>
      <c r="F758" s="47"/>
      <c r="G758" s="47"/>
      <c r="H758" s="50"/>
      <c r="I758" s="50"/>
      <c r="J758" s="50"/>
      <c r="K758" s="50"/>
      <c r="L758" s="46"/>
      <c r="M758" s="47"/>
      <c r="N758" s="46"/>
      <c r="O758" s="46"/>
      <c r="P758" s="47"/>
      <c r="Q758" s="46"/>
      <c r="R758" s="46"/>
      <c r="S758" s="48"/>
      <c r="T758" s="61" t="str">
        <f>IF(Tableau1[[#This Row],[DMS_SAP]]="","",HYPERLINK(Tableau1[[#This Row],[Chemin fichier source]],"X"))</f>
        <v/>
      </c>
      <c r="U758" s="61" t="str">
        <f>IF(Tableau1[[#This Row],[Date rév.]]="","",HYPERLINK(Tableau1[[#This Row],[Lien document]],"X"))</f>
        <v/>
      </c>
      <c r="V758" s="47"/>
      <c r="W758" s="49" t="str">
        <f ca="1">Chemin_accès!$B$2&amp;Tableau1[[#This Row],[Poste Responsable]]&amp;"\"&amp;Tableau1[[#This Row],[Localisation / Classement]]&amp;"\"&amp;Tableau1[[#This Row],[Poste technique]]&amp;"_"&amp;Tableau1[[#This Row],[Plan Entretien]]&amp;".pdf"</f>
        <v>\\stjn.local\trimet\Donnees_Projets\Dms Sap\Maintenance\PlanEntretien\7.MSCT\\_.pdf</v>
      </c>
      <c r="X758" s="47"/>
      <c r="Y758" s="47"/>
      <c r="Z758" s="44" t="str">
        <f ca="1">IF(AND(Tableau1[[#This Row],[Charge]]&lt;&gt;0, Tableau1[[#This Row],[Nombre intervenants]]&lt;&gt;0,Tableau1[[#This Row],[Lien document]]&lt;&gt;0,Tableau1[[#This Row],[DMS_SAP]]&lt;&gt;0)=TRUE,"MIS A JOUR","")</f>
        <v/>
      </c>
      <c r="AA758" s="48"/>
      <c r="AB758" s="58" t="str">
        <f ca="1">IF(Tableau1[[#This Row],[Date rév.]]&lt;&gt;"", DAYS360(Tableau1[[#This Row],[Date rév.]],TODAY()),"")</f>
        <v/>
      </c>
      <c r="AC758" s="47" t="str">
        <f>IFERROR(INDEX(Chemin_accès!$B$11:$C$22,MATCH(Tableau1[[#This Row],[Type]],Chemin_accès!$C$11:$C$22,0),1),Chemin_accès!$B$11)</f>
        <v>\\stjn.local\trimet\Btechnique\Commun\BT Maint SCELLEMENT\205 - Préventifs\Modèles préventif\GammeDMS_7.MSCT.xlsm</v>
      </c>
      <c r="AD758" s="47" t="str">
        <f>Chemin_accès!$B$8&amp;Tableau1[[#This Row],[Localisation / Classement]]&amp;"\"&amp;Tableau1[[#This Row],[Poste technique]]&amp;"_"&amp;Tableau1[[#This Row],[Plan Entretien]]&amp;".xlsm"</f>
        <v>\\stjn.local\trimet\Btechnique\Commun\BT Maint SCELLEMENT\205 - Préventifs\Gammes 7.MSCT PE Tool\\_.xlsm</v>
      </c>
    </row>
    <row r="759" spans="1:30" x14ac:dyDescent="0.3">
      <c r="A759" s="44" t="str">
        <f t="shared" ca="1" si="11"/>
        <v>7.MSCT</v>
      </c>
      <c r="B7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9" s="46"/>
      <c r="D759" s="44"/>
      <c r="E759" s="44"/>
      <c r="F759" s="47"/>
      <c r="G759" s="47"/>
      <c r="H759" s="50"/>
      <c r="I759" s="50"/>
      <c r="J759" s="50"/>
      <c r="K759" s="50"/>
      <c r="L759" s="46"/>
      <c r="M759" s="47"/>
      <c r="N759" s="46"/>
      <c r="O759" s="46"/>
      <c r="P759" s="47"/>
      <c r="Q759" s="46"/>
      <c r="R759" s="46"/>
      <c r="S759" s="48"/>
      <c r="T759" s="61" t="str">
        <f>IF(Tableau1[[#This Row],[DMS_SAP]]="","",HYPERLINK(Tableau1[[#This Row],[Chemin fichier source]],"X"))</f>
        <v/>
      </c>
      <c r="U759" s="61" t="str">
        <f>IF(Tableau1[[#This Row],[Date rév.]]="","",HYPERLINK(Tableau1[[#This Row],[Lien document]],"X"))</f>
        <v/>
      </c>
      <c r="V759" s="47"/>
      <c r="W759" s="49" t="str">
        <f ca="1">Chemin_accès!$B$2&amp;Tableau1[[#This Row],[Poste Responsable]]&amp;"\"&amp;Tableau1[[#This Row],[Localisation / Classement]]&amp;"\"&amp;Tableau1[[#This Row],[Poste technique]]&amp;"_"&amp;Tableau1[[#This Row],[Plan Entretien]]&amp;".pdf"</f>
        <v>\\stjn.local\trimet\Donnees_Projets\Dms Sap\Maintenance\PlanEntretien\7.MSCT\\_.pdf</v>
      </c>
      <c r="X759" s="47"/>
      <c r="Y759" s="47"/>
      <c r="Z759" s="44" t="str">
        <f ca="1">IF(AND(Tableau1[[#This Row],[Charge]]&lt;&gt;0, Tableau1[[#This Row],[Nombre intervenants]]&lt;&gt;0,Tableau1[[#This Row],[Lien document]]&lt;&gt;0,Tableau1[[#This Row],[DMS_SAP]]&lt;&gt;0)=TRUE,"MIS A JOUR","")</f>
        <v/>
      </c>
      <c r="AA759" s="48"/>
      <c r="AB759" s="58" t="str">
        <f ca="1">IF(Tableau1[[#This Row],[Date rév.]]&lt;&gt;"", DAYS360(Tableau1[[#This Row],[Date rév.]],TODAY()),"")</f>
        <v/>
      </c>
      <c r="AC759" s="47" t="str">
        <f>IFERROR(INDEX(Chemin_accès!$B$11:$C$22,MATCH(Tableau1[[#This Row],[Type]],Chemin_accès!$C$11:$C$22,0),1),Chemin_accès!$B$11)</f>
        <v>\\stjn.local\trimet\Btechnique\Commun\BT Maint SCELLEMENT\205 - Préventifs\Modèles préventif\GammeDMS_7.MSCT.xlsm</v>
      </c>
      <c r="AD759" s="47" t="str">
        <f>Chemin_accès!$B$8&amp;Tableau1[[#This Row],[Localisation / Classement]]&amp;"\"&amp;Tableau1[[#This Row],[Poste technique]]&amp;"_"&amp;Tableau1[[#This Row],[Plan Entretien]]&amp;".xlsm"</f>
        <v>\\stjn.local\trimet\Btechnique\Commun\BT Maint SCELLEMENT\205 - Préventifs\Gammes 7.MSCT PE Tool\\_.xlsm</v>
      </c>
    </row>
    <row r="760" spans="1:30" x14ac:dyDescent="0.3">
      <c r="A760" s="44" t="str">
        <f t="shared" ca="1" si="11"/>
        <v>7.MSCT</v>
      </c>
      <c r="B7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0" s="46"/>
      <c r="D760" s="44"/>
      <c r="E760" s="44"/>
      <c r="F760" s="47"/>
      <c r="G760" s="47"/>
      <c r="H760" s="50"/>
      <c r="I760" s="50"/>
      <c r="J760" s="50"/>
      <c r="K760" s="50"/>
      <c r="L760" s="46"/>
      <c r="M760" s="47"/>
      <c r="N760" s="46"/>
      <c r="O760" s="46"/>
      <c r="P760" s="47"/>
      <c r="Q760" s="46"/>
      <c r="R760" s="46"/>
      <c r="S760" s="48"/>
      <c r="T760" s="61" t="str">
        <f>IF(Tableau1[[#This Row],[DMS_SAP]]="","",HYPERLINK(Tableau1[[#This Row],[Chemin fichier source]],"X"))</f>
        <v/>
      </c>
      <c r="U760" s="61" t="str">
        <f>IF(Tableau1[[#This Row],[Date rév.]]="","",HYPERLINK(Tableau1[[#This Row],[Lien document]],"X"))</f>
        <v/>
      </c>
      <c r="V760" s="47"/>
      <c r="W760" s="49" t="str">
        <f ca="1">Chemin_accès!$B$2&amp;Tableau1[[#This Row],[Poste Responsable]]&amp;"\"&amp;Tableau1[[#This Row],[Localisation / Classement]]&amp;"\"&amp;Tableau1[[#This Row],[Poste technique]]&amp;"_"&amp;Tableau1[[#This Row],[Plan Entretien]]&amp;".pdf"</f>
        <v>\\stjn.local\trimet\Donnees_Projets\Dms Sap\Maintenance\PlanEntretien\7.MSCT\\_.pdf</v>
      </c>
      <c r="X760" s="47"/>
      <c r="Y760" s="47"/>
      <c r="Z760" s="44" t="str">
        <f ca="1">IF(AND(Tableau1[[#This Row],[Charge]]&lt;&gt;0, Tableau1[[#This Row],[Nombre intervenants]]&lt;&gt;0,Tableau1[[#This Row],[Lien document]]&lt;&gt;0,Tableau1[[#This Row],[DMS_SAP]]&lt;&gt;0)=TRUE,"MIS A JOUR","")</f>
        <v/>
      </c>
      <c r="AA760" s="48"/>
      <c r="AB760" s="58" t="str">
        <f ca="1">IF(Tableau1[[#This Row],[Date rév.]]&lt;&gt;"", DAYS360(Tableau1[[#This Row],[Date rév.]],TODAY()),"")</f>
        <v/>
      </c>
      <c r="AC760" s="47" t="str">
        <f>IFERROR(INDEX(Chemin_accès!$B$11:$C$22,MATCH(Tableau1[[#This Row],[Type]],Chemin_accès!$C$11:$C$22,0),1),Chemin_accès!$B$11)</f>
        <v>\\stjn.local\trimet\Btechnique\Commun\BT Maint SCELLEMENT\205 - Préventifs\Modèles préventif\GammeDMS_7.MSCT.xlsm</v>
      </c>
      <c r="AD760" s="47" t="str">
        <f>Chemin_accès!$B$8&amp;Tableau1[[#This Row],[Localisation / Classement]]&amp;"\"&amp;Tableau1[[#This Row],[Poste technique]]&amp;"_"&amp;Tableau1[[#This Row],[Plan Entretien]]&amp;".xlsm"</f>
        <v>\\stjn.local\trimet\Btechnique\Commun\BT Maint SCELLEMENT\205 - Préventifs\Gammes 7.MSCT PE Tool\\_.xlsm</v>
      </c>
    </row>
    <row r="761" spans="1:30" x14ac:dyDescent="0.3">
      <c r="A761" s="44" t="str">
        <f t="shared" ca="1" si="11"/>
        <v>7.MSCT</v>
      </c>
      <c r="B7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1" s="46"/>
      <c r="D761" s="44"/>
      <c r="E761" s="44"/>
      <c r="F761" s="47"/>
      <c r="G761" s="47"/>
      <c r="H761" s="50"/>
      <c r="I761" s="50"/>
      <c r="J761" s="50"/>
      <c r="K761" s="50"/>
      <c r="L761" s="46"/>
      <c r="M761" s="47"/>
      <c r="N761" s="46"/>
      <c r="O761" s="46"/>
      <c r="P761" s="47"/>
      <c r="Q761" s="46"/>
      <c r="R761" s="46"/>
      <c r="S761" s="48"/>
      <c r="T761" s="61" t="str">
        <f>IF(Tableau1[[#This Row],[DMS_SAP]]="","",HYPERLINK(Tableau1[[#This Row],[Chemin fichier source]],"X"))</f>
        <v/>
      </c>
      <c r="U761" s="61" t="str">
        <f>IF(Tableau1[[#This Row],[Date rév.]]="","",HYPERLINK(Tableau1[[#This Row],[Lien document]],"X"))</f>
        <v/>
      </c>
      <c r="V761" s="47"/>
      <c r="W761" s="49" t="str">
        <f ca="1">Chemin_accès!$B$2&amp;Tableau1[[#This Row],[Poste Responsable]]&amp;"\"&amp;Tableau1[[#This Row],[Localisation / Classement]]&amp;"\"&amp;Tableau1[[#This Row],[Poste technique]]&amp;"_"&amp;Tableau1[[#This Row],[Plan Entretien]]&amp;".pdf"</f>
        <v>\\stjn.local\trimet\Donnees_Projets\Dms Sap\Maintenance\PlanEntretien\7.MSCT\\_.pdf</v>
      </c>
      <c r="X761" s="47"/>
      <c r="Y761" s="47"/>
      <c r="Z761" s="44" t="str">
        <f ca="1">IF(AND(Tableau1[[#This Row],[Charge]]&lt;&gt;0, Tableau1[[#This Row],[Nombre intervenants]]&lt;&gt;0,Tableau1[[#This Row],[Lien document]]&lt;&gt;0,Tableau1[[#This Row],[DMS_SAP]]&lt;&gt;0)=TRUE,"MIS A JOUR","")</f>
        <v/>
      </c>
      <c r="AA761" s="48"/>
      <c r="AB761" s="58" t="str">
        <f ca="1">IF(Tableau1[[#This Row],[Date rév.]]&lt;&gt;"", DAYS360(Tableau1[[#This Row],[Date rév.]],TODAY()),"")</f>
        <v/>
      </c>
      <c r="AC761" s="47" t="str">
        <f>IFERROR(INDEX(Chemin_accès!$B$11:$C$22,MATCH(Tableau1[[#This Row],[Type]],Chemin_accès!$C$11:$C$22,0),1),Chemin_accès!$B$11)</f>
        <v>\\stjn.local\trimet\Btechnique\Commun\BT Maint SCELLEMENT\205 - Préventifs\Modèles préventif\GammeDMS_7.MSCT.xlsm</v>
      </c>
      <c r="AD761" s="47" t="str">
        <f>Chemin_accès!$B$8&amp;Tableau1[[#This Row],[Localisation / Classement]]&amp;"\"&amp;Tableau1[[#This Row],[Poste technique]]&amp;"_"&amp;Tableau1[[#This Row],[Plan Entretien]]&amp;".xlsm"</f>
        <v>\\stjn.local\trimet\Btechnique\Commun\BT Maint SCELLEMENT\205 - Préventifs\Gammes 7.MSCT PE Tool\\_.xlsm</v>
      </c>
    </row>
    <row r="762" spans="1:30" x14ac:dyDescent="0.3">
      <c r="A762" s="44" t="str">
        <f t="shared" ca="1" si="11"/>
        <v>7.MSCT</v>
      </c>
      <c r="B7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2" s="46"/>
      <c r="D762" s="44"/>
      <c r="E762" s="44"/>
      <c r="F762" s="47"/>
      <c r="G762" s="47"/>
      <c r="H762" s="50"/>
      <c r="I762" s="50"/>
      <c r="J762" s="50"/>
      <c r="K762" s="50"/>
      <c r="L762" s="46"/>
      <c r="M762" s="47"/>
      <c r="N762" s="46"/>
      <c r="O762" s="46"/>
      <c r="P762" s="47"/>
      <c r="Q762" s="46"/>
      <c r="R762" s="46"/>
      <c r="S762" s="48"/>
      <c r="T762" s="61" t="str">
        <f>IF(Tableau1[[#This Row],[DMS_SAP]]="","",HYPERLINK(Tableau1[[#This Row],[Chemin fichier source]],"X"))</f>
        <v/>
      </c>
      <c r="U762" s="61" t="str">
        <f>IF(Tableau1[[#This Row],[Date rév.]]="","",HYPERLINK(Tableau1[[#This Row],[Lien document]],"X"))</f>
        <v/>
      </c>
      <c r="V762" s="47"/>
      <c r="W762" s="49" t="str">
        <f ca="1">Chemin_accès!$B$2&amp;Tableau1[[#This Row],[Poste Responsable]]&amp;"\"&amp;Tableau1[[#This Row],[Localisation / Classement]]&amp;"\"&amp;Tableau1[[#This Row],[Poste technique]]&amp;"_"&amp;Tableau1[[#This Row],[Plan Entretien]]&amp;".pdf"</f>
        <v>\\stjn.local\trimet\Donnees_Projets\Dms Sap\Maintenance\PlanEntretien\7.MSCT\\_.pdf</v>
      </c>
      <c r="X762" s="47"/>
      <c r="Y762" s="47"/>
      <c r="Z762" s="44" t="str">
        <f ca="1">IF(AND(Tableau1[[#This Row],[Charge]]&lt;&gt;0, Tableau1[[#This Row],[Nombre intervenants]]&lt;&gt;0,Tableau1[[#This Row],[Lien document]]&lt;&gt;0,Tableau1[[#This Row],[DMS_SAP]]&lt;&gt;0)=TRUE,"MIS A JOUR","")</f>
        <v/>
      </c>
      <c r="AA762" s="48"/>
      <c r="AB762" s="58" t="str">
        <f ca="1">IF(Tableau1[[#This Row],[Date rév.]]&lt;&gt;"", DAYS360(Tableau1[[#This Row],[Date rév.]],TODAY()),"")</f>
        <v/>
      </c>
      <c r="AC762" s="47" t="str">
        <f>IFERROR(INDEX(Chemin_accès!$B$11:$C$22,MATCH(Tableau1[[#This Row],[Type]],Chemin_accès!$C$11:$C$22,0),1),Chemin_accès!$B$11)</f>
        <v>\\stjn.local\trimet\Btechnique\Commun\BT Maint SCELLEMENT\205 - Préventifs\Modèles préventif\GammeDMS_7.MSCT.xlsm</v>
      </c>
      <c r="AD762" s="47" t="str">
        <f>Chemin_accès!$B$8&amp;Tableau1[[#This Row],[Localisation / Classement]]&amp;"\"&amp;Tableau1[[#This Row],[Poste technique]]&amp;"_"&amp;Tableau1[[#This Row],[Plan Entretien]]&amp;".xlsm"</f>
        <v>\\stjn.local\trimet\Btechnique\Commun\BT Maint SCELLEMENT\205 - Préventifs\Gammes 7.MSCT PE Tool\\_.xlsm</v>
      </c>
    </row>
    <row r="763" spans="1:30" x14ac:dyDescent="0.3">
      <c r="A763" s="44" t="str">
        <f t="shared" ca="1" si="11"/>
        <v>7.MSCT</v>
      </c>
      <c r="B7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3" s="46"/>
      <c r="D763" s="44"/>
      <c r="E763" s="44"/>
      <c r="F763" s="47"/>
      <c r="G763" s="47"/>
      <c r="H763" s="50"/>
      <c r="I763" s="50"/>
      <c r="J763" s="50"/>
      <c r="K763" s="50"/>
      <c r="L763" s="46"/>
      <c r="M763" s="47"/>
      <c r="N763" s="46"/>
      <c r="O763" s="46"/>
      <c r="P763" s="47"/>
      <c r="Q763" s="46"/>
      <c r="R763" s="46"/>
      <c r="S763" s="48"/>
      <c r="T763" s="61" t="str">
        <f>IF(Tableau1[[#This Row],[DMS_SAP]]="","",HYPERLINK(Tableau1[[#This Row],[Chemin fichier source]],"X"))</f>
        <v/>
      </c>
      <c r="U763" s="61" t="str">
        <f>IF(Tableau1[[#This Row],[Date rév.]]="","",HYPERLINK(Tableau1[[#This Row],[Lien document]],"X"))</f>
        <v/>
      </c>
      <c r="V763" s="47"/>
      <c r="W763" s="49" t="str">
        <f ca="1">Chemin_accès!$B$2&amp;Tableau1[[#This Row],[Poste Responsable]]&amp;"\"&amp;Tableau1[[#This Row],[Localisation / Classement]]&amp;"\"&amp;Tableau1[[#This Row],[Poste technique]]&amp;"_"&amp;Tableau1[[#This Row],[Plan Entretien]]&amp;".pdf"</f>
        <v>\\stjn.local\trimet\Donnees_Projets\Dms Sap\Maintenance\PlanEntretien\7.MSCT\\_.pdf</v>
      </c>
      <c r="X763" s="47"/>
      <c r="Y763" s="47"/>
      <c r="Z763" s="44" t="str">
        <f ca="1">IF(AND(Tableau1[[#This Row],[Charge]]&lt;&gt;0, Tableau1[[#This Row],[Nombre intervenants]]&lt;&gt;0,Tableau1[[#This Row],[Lien document]]&lt;&gt;0,Tableau1[[#This Row],[DMS_SAP]]&lt;&gt;0)=TRUE,"MIS A JOUR","")</f>
        <v/>
      </c>
      <c r="AA763" s="48"/>
      <c r="AB763" s="58" t="str">
        <f ca="1">IF(Tableau1[[#This Row],[Date rév.]]&lt;&gt;"", DAYS360(Tableau1[[#This Row],[Date rév.]],TODAY()),"")</f>
        <v/>
      </c>
      <c r="AC763" s="47" t="str">
        <f>IFERROR(INDEX(Chemin_accès!$B$11:$C$22,MATCH(Tableau1[[#This Row],[Type]],Chemin_accès!$C$11:$C$22,0),1),Chemin_accès!$B$11)</f>
        <v>\\stjn.local\trimet\Btechnique\Commun\BT Maint SCELLEMENT\205 - Préventifs\Modèles préventif\GammeDMS_7.MSCT.xlsm</v>
      </c>
      <c r="AD763" s="47" t="str">
        <f>Chemin_accès!$B$8&amp;Tableau1[[#This Row],[Localisation / Classement]]&amp;"\"&amp;Tableau1[[#This Row],[Poste technique]]&amp;"_"&amp;Tableau1[[#This Row],[Plan Entretien]]&amp;".xlsm"</f>
        <v>\\stjn.local\trimet\Btechnique\Commun\BT Maint SCELLEMENT\205 - Préventifs\Gammes 7.MSCT PE Tool\\_.xlsm</v>
      </c>
    </row>
    <row r="764" spans="1:30" x14ac:dyDescent="0.3">
      <c r="A764" s="44" t="str">
        <f t="shared" ca="1" si="11"/>
        <v>7.MSCT</v>
      </c>
      <c r="B7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4" s="46"/>
      <c r="D764" s="44"/>
      <c r="E764" s="44"/>
      <c r="F764" s="47"/>
      <c r="G764" s="47"/>
      <c r="H764" s="50"/>
      <c r="I764" s="50"/>
      <c r="J764" s="50"/>
      <c r="K764" s="50"/>
      <c r="L764" s="46"/>
      <c r="M764" s="47"/>
      <c r="N764" s="46"/>
      <c r="O764" s="46"/>
      <c r="P764" s="47"/>
      <c r="Q764" s="46"/>
      <c r="R764" s="46"/>
      <c r="S764" s="48"/>
      <c r="T764" s="61" t="str">
        <f>IF(Tableau1[[#This Row],[DMS_SAP]]="","",HYPERLINK(Tableau1[[#This Row],[Chemin fichier source]],"X"))</f>
        <v/>
      </c>
      <c r="U764" s="61" t="str">
        <f>IF(Tableau1[[#This Row],[Date rév.]]="","",HYPERLINK(Tableau1[[#This Row],[Lien document]],"X"))</f>
        <v/>
      </c>
      <c r="V764" s="47"/>
      <c r="W764" s="49" t="str">
        <f ca="1">Chemin_accès!$B$2&amp;Tableau1[[#This Row],[Poste Responsable]]&amp;"\"&amp;Tableau1[[#This Row],[Localisation / Classement]]&amp;"\"&amp;Tableau1[[#This Row],[Poste technique]]&amp;"_"&amp;Tableau1[[#This Row],[Plan Entretien]]&amp;".pdf"</f>
        <v>\\stjn.local\trimet\Donnees_Projets\Dms Sap\Maintenance\PlanEntretien\7.MSCT\\_.pdf</v>
      </c>
      <c r="X764" s="47"/>
      <c r="Y764" s="47"/>
      <c r="Z764" s="44" t="str">
        <f ca="1">IF(AND(Tableau1[[#This Row],[Charge]]&lt;&gt;0, Tableau1[[#This Row],[Nombre intervenants]]&lt;&gt;0,Tableau1[[#This Row],[Lien document]]&lt;&gt;0,Tableau1[[#This Row],[DMS_SAP]]&lt;&gt;0)=TRUE,"MIS A JOUR","")</f>
        <v/>
      </c>
      <c r="AA764" s="48"/>
      <c r="AB764" s="58" t="str">
        <f ca="1">IF(Tableau1[[#This Row],[Date rév.]]&lt;&gt;"", DAYS360(Tableau1[[#This Row],[Date rév.]],TODAY()),"")</f>
        <v/>
      </c>
      <c r="AC764" s="47" t="str">
        <f>IFERROR(INDEX(Chemin_accès!$B$11:$C$22,MATCH(Tableau1[[#This Row],[Type]],Chemin_accès!$C$11:$C$22,0),1),Chemin_accès!$B$11)</f>
        <v>\\stjn.local\trimet\Btechnique\Commun\BT Maint SCELLEMENT\205 - Préventifs\Modèles préventif\GammeDMS_7.MSCT.xlsm</v>
      </c>
      <c r="AD764" s="47" t="str">
        <f>Chemin_accès!$B$8&amp;Tableau1[[#This Row],[Localisation / Classement]]&amp;"\"&amp;Tableau1[[#This Row],[Poste technique]]&amp;"_"&amp;Tableau1[[#This Row],[Plan Entretien]]&amp;".xlsm"</f>
        <v>\\stjn.local\trimet\Btechnique\Commun\BT Maint SCELLEMENT\205 - Préventifs\Gammes 7.MSCT PE Tool\\_.xlsm</v>
      </c>
    </row>
    <row r="765" spans="1:30" x14ac:dyDescent="0.3">
      <c r="A765" s="44" t="str">
        <f t="shared" ca="1" si="11"/>
        <v>7.MSCT</v>
      </c>
      <c r="B7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5" s="46"/>
      <c r="D765" s="44"/>
      <c r="E765" s="44"/>
      <c r="F765" s="47"/>
      <c r="G765" s="47"/>
      <c r="H765" s="50"/>
      <c r="I765" s="50"/>
      <c r="J765" s="50"/>
      <c r="K765" s="50"/>
      <c r="L765" s="46"/>
      <c r="M765" s="47"/>
      <c r="N765" s="46"/>
      <c r="O765" s="46"/>
      <c r="P765" s="47"/>
      <c r="Q765" s="46"/>
      <c r="R765" s="46"/>
      <c r="S765" s="48"/>
      <c r="T765" s="61" t="str">
        <f>IF(Tableau1[[#This Row],[DMS_SAP]]="","",HYPERLINK(Tableau1[[#This Row],[Chemin fichier source]],"X"))</f>
        <v/>
      </c>
      <c r="U765" s="61" t="str">
        <f>IF(Tableau1[[#This Row],[Date rév.]]="","",HYPERLINK(Tableau1[[#This Row],[Lien document]],"X"))</f>
        <v/>
      </c>
      <c r="V765" s="47"/>
      <c r="W765" s="49" t="str">
        <f ca="1">Chemin_accès!$B$2&amp;Tableau1[[#This Row],[Poste Responsable]]&amp;"\"&amp;Tableau1[[#This Row],[Localisation / Classement]]&amp;"\"&amp;Tableau1[[#This Row],[Poste technique]]&amp;"_"&amp;Tableau1[[#This Row],[Plan Entretien]]&amp;".pdf"</f>
        <v>\\stjn.local\trimet\Donnees_Projets\Dms Sap\Maintenance\PlanEntretien\7.MSCT\\_.pdf</v>
      </c>
      <c r="X765" s="47"/>
      <c r="Y765" s="47"/>
      <c r="Z765" s="44" t="str">
        <f ca="1">IF(AND(Tableau1[[#This Row],[Charge]]&lt;&gt;0, Tableau1[[#This Row],[Nombre intervenants]]&lt;&gt;0,Tableau1[[#This Row],[Lien document]]&lt;&gt;0,Tableau1[[#This Row],[DMS_SAP]]&lt;&gt;0)=TRUE,"MIS A JOUR","")</f>
        <v/>
      </c>
      <c r="AA765" s="48"/>
      <c r="AB765" s="58" t="str">
        <f ca="1">IF(Tableau1[[#This Row],[Date rév.]]&lt;&gt;"", DAYS360(Tableau1[[#This Row],[Date rév.]],TODAY()),"")</f>
        <v/>
      </c>
      <c r="AC765" s="47" t="str">
        <f>IFERROR(INDEX(Chemin_accès!$B$11:$C$22,MATCH(Tableau1[[#This Row],[Type]],Chemin_accès!$C$11:$C$22,0),1),Chemin_accès!$B$11)</f>
        <v>\\stjn.local\trimet\Btechnique\Commun\BT Maint SCELLEMENT\205 - Préventifs\Modèles préventif\GammeDMS_7.MSCT.xlsm</v>
      </c>
      <c r="AD765" s="47" t="str">
        <f>Chemin_accès!$B$8&amp;Tableau1[[#This Row],[Localisation / Classement]]&amp;"\"&amp;Tableau1[[#This Row],[Poste technique]]&amp;"_"&amp;Tableau1[[#This Row],[Plan Entretien]]&amp;".xlsm"</f>
        <v>\\stjn.local\trimet\Btechnique\Commun\BT Maint SCELLEMENT\205 - Préventifs\Gammes 7.MSCT PE Tool\\_.xlsm</v>
      </c>
    </row>
    <row r="766" spans="1:30" x14ac:dyDescent="0.3">
      <c r="A766" s="44" t="str">
        <f t="shared" ca="1" si="11"/>
        <v>7.MSCT</v>
      </c>
      <c r="B7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6" s="46"/>
      <c r="D766" s="44"/>
      <c r="E766" s="44"/>
      <c r="F766" s="47"/>
      <c r="G766" s="47"/>
      <c r="H766" s="50"/>
      <c r="I766" s="50"/>
      <c r="J766" s="50"/>
      <c r="K766" s="50"/>
      <c r="L766" s="46"/>
      <c r="M766" s="47"/>
      <c r="N766" s="46"/>
      <c r="O766" s="46"/>
      <c r="P766" s="47"/>
      <c r="Q766" s="46"/>
      <c r="R766" s="46"/>
      <c r="S766" s="48"/>
      <c r="T766" s="61" t="str">
        <f>IF(Tableau1[[#This Row],[DMS_SAP]]="","",HYPERLINK(Tableau1[[#This Row],[Chemin fichier source]],"X"))</f>
        <v/>
      </c>
      <c r="U766" s="61" t="str">
        <f>IF(Tableau1[[#This Row],[Date rév.]]="","",HYPERLINK(Tableau1[[#This Row],[Lien document]],"X"))</f>
        <v/>
      </c>
      <c r="V766" s="47"/>
      <c r="W766" s="49" t="str">
        <f ca="1">Chemin_accès!$B$2&amp;Tableau1[[#This Row],[Poste Responsable]]&amp;"\"&amp;Tableau1[[#This Row],[Localisation / Classement]]&amp;"\"&amp;Tableau1[[#This Row],[Poste technique]]&amp;"_"&amp;Tableau1[[#This Row],[Plan Entretien]]&amp;".pdf"</f>
        <v>\\stjn.local\trimet\Donnees_Projets\Dms Sap\Maintenance\PlanEntretien\7.MSCT\\_.pdf</v>
      </c>
      <c r="X766" s="47"/>
      <c r="Y766" s="47"/>
      <c r="Z766" s="44" t="str">
        <f ca="1">IF(AND(Tableau1[[#This Row],[Charge]]&lt;&gt;0, Tableau1[[#This Row],[Nombre intervenants]]&lt;&gt;0,Tableau1[[#This Row],[Lien document]]&lt;&gt;0,Tableau1[[#This Row],[DMS_SAP]]&lt;&gt;0)=TRUE,"MIS A JOUR","")</f>
        <v/>
      </c>
      <c r="AA766" s="48"/>
      <c r="AB766" s="58" t="str">
        <f ca="1">IF(Tableau1[[#This Row],[Date rév.]]&lt;&gt;"", DAYS360(Tableau1[[#This Row],[Date rév.]],TODAY()),"")</f>
        <v/>
      </c>
      <c r="AC766" s="47" t="str">
        <f>IFERROR(INDEX(Chemin_accès!$B$11:$C$22,MATCH(Tableau1[[#This Row],[Type]],Chemin_accès!$C$11:$C$22,0),1),Chemin_accès!$B$11)</f>
        <v>\\stjn.local\trimet\Btechnique\Commun\BT Maint SCELLEMENT\205 - Préventifs\Modèles préventif\GammeDMS_7.MSCT.xlsm</v>
      </c>
      <c r="AD766" s="47" t="str">
        <f>Chemin_accès!$B$8&amp;Tableau1[[#This Row],[Localisation / Classement]]&amp;"\"&amp;Tableau1[[#This Row],[Poste technique]]&amp;"_"&amp;Tableau1[[#This Row],[Plan Entretien]]&amp;".xlsm"</f>
        <v>\\stjn.local\trimet\Btechnique\Commun\BT Maint SCELLEMENT\205 - Préventifs\Gammes 7.MSCT PE Tool\\_.xlsm</v>
      </c>
    </row>
    <row r="767" spans="1:30" x14ac:dyDescent="0.3">
      <c r="A767" s="44" t="str">
        <f t="shared" ca="1" si="11"/>
        <v>7.MSCT</v>
      </c>
      <c r="B7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7" s="46"/>
      <c r="D767" s="44"/>
      <c r="E767" s="44"/>
      <c r="F767" s="47"/>
      <c r="G767" s="47"/>
      <c r="H767" s="50"/>
      <c r="I767" s="50"/>
      <c r="J767" s="50"/>
      <c r="K767" s="50"/>
      <c r="L767" s="46"/>
      <c r="M767" s="47"/>
      <c r="N767" s="46"/>
      <c r="O767" s="46"/>
      <c r="P767" s="47"/>
      <c r="Q767" s="46"/>
      <c r="R767" s="46"/>
      <c r="S767" s="48"/>
      <c r="T767" s="61" t="str">
        <f>IF(Tableau1[[#This Row],[DMS_SAP]]="","",HYPERLINK(Tableau1[[#This Row],[Chemin fichier source]],"X"))</f>
        <v/>
      </c>
      <c r="U767" s="61" t="str">
        <f>IF(Tableau1[[#This Row],[Date rév.]]="","",HYPERLINK(Tableau1[[#This Row],[Lien document]],"X"))</f>
        <v/>
      </c>
      <c r="V767" s="47"/>
      <c r="W767" s="49" t="str">
        <f ca="1">Chemin_accès!$B$2&amp;Tableau1[[#This Row],[Poste Responsable]]&amp;"\"&amp;Tableau1[[#This Row],[Localisation / Classement]]&amp;"\"&amp;Tableau1[[#This Row],[Poste technique]]&amp;"_"&amp;Tableau1[[#This Row],[Plan Entretien]]&amp;".pdf"</f>
        <v>\\stjn.local\trimet\Donnees_Projets\Dms Sap\Maintenance\PlanEntretien\7.MSCT\\_.pdf</v>
      </c>
      <c r="X767" s="47"/>
      <c r="Y767" s="47"/>
      <c r="Z767" s="44" t="str">
        <f ca="1">IF(AND(Tableau1[[#This Row],[Charge]]&lt;&gt;0, Tableau1[[#This Row],[Nombre intervenants]]&lt;&gt;0,Tableau1[[#This Row],[Lien document]]&lt;&gt;0,Tableau1[[#This Row],[DMS_SAP]]&lt;&gt;0)=TRUE,"MIS A JOUR","")</f>
        <v/>
      </c>
      <c r="AA767" s="48"/>
      <c r="AB767" s="58" t="str">
        <f ca="1">IF(Tableau1[[#This Row],[Date rév.]]&lt;&gt;"", DAYS360(Tableau1[[#This Row],[Date rév.]],TODAY()),"")</f>
        <v/>
      </c>
      <c r="AC767" s="47" t="str">
        <f>IFERROR(INDEX(Chemin_accès!$B$11:$C$22,MATCH(Tableau1[[#This Row],[Type]],Chemin_accès!$C$11:$C$22,0),1),Chemin_accès!$B$11)</f>
        <v>\\stjn.local\trimet\Btechnique\Commun\BT Maint SCELLEMENT\205 - Préventifs\Modèles préventif\GammeDMS_7.MSCT.xlsm</v>
      </c>
      <c r="AD767" s="47" t="str">
        <f>Chemin_accès!$B$8&amp;Tableau1[[#This Row],[Localisation / Classement]]&amp;"\"&amp;Tableau1[[#This Row],[Poste technique]]&amp;"_"&amp;Tableau1[[#This Row],[Plan Entretien]]&amp;".xlsm"</f>
        <v>\\stjn.local\trimet\Btechnique\Commun\BT Maint SCELLEMENT\205 - Préventifs\Gammes 7.MSCT PE Tool\\_.xlsm</v>
      </c>
    </row>
    <row r="768" spans="1:30" x14ac:dyDescent="0.3">
      <c r="A768" s="44" t="str">
        <f t="shared" ca="1" si="11"/>
        <v>7.MSCT</v>
      </c>
      <c r="B7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8" s="46"/>
      <c r="D768" s="44"/>
      <c r="E768" s="44"/>
      <c r="F768" s="47"/>
      <c r="G768" s="47"/>
      <c r="H768" s="50"/>
      <c r="I768" s="50"/>
      <c r="J768" s="50"/>
      <c r="K768" s="50"/>
      <c r="L768" s="46"/>
      <c r="M768" s="47"/>
      <c r="N768" s="46"/>
      <c r="O768" s="46"/>
      <c r="P768" s="47"/>
      <c r="Q768" s="46"/>
      <c r="R768" s="46"/>
      <c r="S768" s="48"/>
      <c r="T768" s="61" t="str">
        <f>IF(Tableau1[[#This Row],[DMS_SAP]]="","",HYPERLINK(Tableau1[[#This Row],[Chemin fichier source]],"X"))</f>
        <v/>
      </c>
      <c r="U768" s="61" t="str">
        <f>IF(Tableau1[[#This Row],[Date rév.]]="","",HYPERLINK(Tableau1[[#This Row],[Lien document]],"X"))</f>
        <v/>
      </c>
      <c r="V768" s="47"/>
      <c r="W768" s="49" t="str">
        <f ca="1">Chemin_accès!$B$2&amp;Tableau1[[#This Row],[Poste Responsable]]&amp;"\"&amp;Tableau1[[#This Row],[Localisation / Classement]]&amp;"\"&amp;Tableau1[[#This Row],[Poste technique]]&amp;"_"&amp;Tableau1[[#This Row],[Plan Entretien]]&amp;".pdf"</f>
        <v>\\stjn.local\trimet\Donnees_Projets\Dms Sap\Maintenance\PlanEntretien\7.MSCT\\_.pdf</v>
      </c>
      <c r="X768" s="47"/>
      <c r="Y768" s="47"/>
      <c r="Z768" s="44" t="str">
        <f ca="1">IF(AND(Tableau1[[#This Row],[Charge]]&lt;&gt;0, Tableau1[[#This Row],[Nombre intervenants]]&lt;&gt;0,Tableau1[[#This Row],[Lien document]]&lt;&gt;0,Tableau1[[#This Row],[DMS_SAP]]&lt;&gt;0)=TRUE,"MIS A JOUR","")</f>
        <v/>
      </c>
      <c r="AA768" s="48"/>
      <c r="AB768" s="58" t="str">
        <f ca="1">IF(Tableau1[[#This Row],[Date rév.]]&lt;&gt;"", DAYS360(Tableau1[[#This Row],[Date rév.]],TODAY()),"")</f>
        <v/>
      </c>
      <c r="AC768" s="47" t="str">
        <f>IFERROR(INDEX(Chemin_accès!$B$11:$C$22,MATCH(Tableau1[[#This Row],[Type]],Chemin_accès!$C$11:$C$22,0),1),Chemin_accès!$B$11)</f>
        <v>\\stjn.local\trimet\Btechnique\Commun\BT Maint SCELLEMENT\205 - Préventifs\Modèles préventif\GammeDMS_7.MSCT.xlsm</v>
      </c>
      <c r="AD768" s="47" t="str">
        <f>Chemin_accès!$B$8&amp;Tableau1[[#This Row],[Localisation / Classement]]&amp;"\"&amp;Tableau1[[#This Row],[Poste technique]]&amp;"_"&amp;Tableau1[[#This Row],[Plan Entretien]]&amp;".xlsm"</f>
        <v>\\stjn.local\trimet\Btechnique\Commun\BT Maint SCELLEMENT\205 - Préventifs\Gammes 7.MSCT PE Tool\\_.xlsm</v>
      </c>
    </row>
    <row r="769" spans="1:30" x14ac:dyDescent="0.3">
      <c r="A769" s="44" t="str">
        <f t="shared" ca="1" si="11"/>
        <v>7.MSCT</v>
      </c>
      <c r="B7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9" s="46"/>
      <c r="D769" s="44"/>
      <c r="E769" s="44"/>
      <c r="F769" s="47"/>
      <c r="G769" s="47"/>
      <c r="H769" s="50"/>
      <c r="I769" s="50"/>
      <c r="J769" s="50"/>
      <c r="K769" s="50"/>
      <c r="L769" s="46"/>
      <c r="M769" s="47"/>
      <c r="N769" s="46"/>
      <c r="O769" s="46"/>
      <c r="P769" s="47"/>
      <c r="Q769" s="46"/>
      <c r="R769" s="46"/>
      <c r="S769" s="48"/>
      <c r="T769" s="61" t="str">
        <f>IF(Tableau1[[#This Row],[DMS_SAP]]="","",HYPERLINK(Tableau1[[#This Row],[Chemin fichier source]],"X"))</f>
        <v/>
      </c>
      <c r="U769" s="61" t="str">
        <f>IF(Tableau1[[#This Row],[Date rév.]]="","",HYPERLINK(Tableau1[[#This Row],[Lien document]],"X"))</f>
        <v/>
      </c>
      <c r="V769" s="47"/>
      <c r="W769" s="49" t="str">
        <f ca="1">Chemin_accès!$B$2&amp;Tableau1[[#This Row],[Poste Responsable]]&amp;"\"&amp;Tableau1[[#This Row],[Localisation / Classement]]&amp;"\"&amp;Tableau1[[#This Row],[Poste technique]]&amp;"_"&amp;Tableau1[[#This Row],[Plan Entretien]]&amp;".pdf"</f>
        <v>\\stjn.local\trimet\Donnees_Projets\Dms Sap\Maintenance\PlanEntretien\7.MSCT\\_.pdf</v>
      </c>
      <c r="X769" s="47"/>
      <c r="Y769" s="47"/>
      <c r="Z769" s="44" t="str">
        <f ca="1">IF(AND(Tableau1[[#This Row],[Charge]]&lt;&gt;0, Tableau1[[#This Row],[Nombre intervenants]]&lt;&gt;0,Tableau1[[#This Row],[Lien document]]&lt;&gt;0,Tableau1[[#This Row],[DMS_SAP]]&lt;&gt;0)=TRUE,"MIS A JOUR","")</f>
        <v/>
      </c>
      <c r="AA769" s="48"/>
      <c r="AB769" s="58" t="str">
        <f ca="1">IF(Tableau1[[#This Row],[Date rév.]]&lt;&gt;"", DAYS360(Tableau1[[#This Row],[Date rév.]],TODAY()),"")</f>
        <v/>
      </c>
      <c r="AC769" s="47" t="str">
        <f>IFERROR(INDEX(Chemin_accès!$B$11:$C$22,MATCH(Tableau1[[#This Row],[Type]],Chemin_accès!$C$11:$C$22,0),1),Chemin_accès!$B$11)</f>
        <v>\\stjn.local\trimet\Btechnique\Commun\BT Maint SCELLEMENT\205 - Préventifs\Modèles préventif\GammeDMS_7.MSCT.xlsm</v>
      </c>
      <c r="AD769" s="47" t="str">
        <f>Chemin_accès!$B$8&amp;Tableau1[[#This Row],[Localisation / Classement]]&amp;"\"&amp;Tableau1[[#This Row],[Poste technique]]&amp;"_"&amp;Tableau1[[#This Row],[Plan Entretien]]&amp;".xlsm"</f>
        <v>\\stjn.local\trimet\Btechnique\Commun\BT Maint SCELLEMENT\205 - Préventifs\Gammes 7.MSCT PE Tool\\_.xlsm</v>
      </c>
    </row>
    <row r="770" spans="1:30" x14ac:dyDescent="0.3">
      <c r="A770" s="44" t="str">
        <f t="shared" ref="A770:A833" ca="1" si="12">MID(CELL("filename",$A$1),FIND("]",CELL("filename",$A$1))+1,32)</f>
        <v>7.MSCT</v>
      </c>
      <c r="B7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0" s="46"/>
      <c r="D770" s="44"/>
      <c r="E770" s="44"/>
      <c r="F770" s="47"/>
      <c r="G770" s="47"/>
      <c r="H770" s="50"/>
      <c r="I770" s="50"/>
      <c r="J770" s="50"/>
      <c r="K770" s="50"/>
      <c r="L770" s="46"/>
      <c r="M770" s="47"/>
      <c r="N770" s="46"/>
      <c r="O770" s="46"/>
      <c r="P770" s="47"/>
      <c r="Q770" s="46"/>
      <c r="R770" s="46"/>
      <c r="S770" s="48"/>
      <c r="T770" s="61" t="str">
        <f>IF(Tableau1[[#This Row],[DMS_SAP]]="","",HYPERLINK(Tableau1[[#This Row],[Chemin fichier source]],"X"))</f>
        <v/>
      </c>
      <c r="U770" s="61" t="str">
        <f>IF(Tableau1[[#This Row],[Date rév.]]="","",HYPERLINK(Tableau1[[#This Row],[Lien document]],"X"))</f>
        <v/>
      </c>
      <c r="V770" s="47"/>
      <c r="W770" s="49" t="str">
        <f ca="1">Chemin_accès!$B$2&amp;Tableau1[[#This Row],[Poste Responsable]]&amp;"\"&amp;Tableau1[[#This Row],[Localisation / Classement]]&amp;"\"&amp;Tableau1[[#This Row],[Poste technique]]&amp;"_"&amp;Tableau1[[#This Row],[Plan Entretien]]&amp;".pdf"</f>
        <v>\\stjn.local\trimet\Donnees_Projets\Dms Sap\Maintenance\PlanEntretien\7.MSCT\\_.pdf</v>
      </c>
      <c r="X770" s="47"/>
      <c r="Y770" s="47"/>
      <c r="Z770" s="44" t="str">
        <f ca="1">IF(AND(Tableau1[[#This Row],[Charge]]&lt;&gt;0, Tableau1[[#This Row],[Nombre intervenants]]&lt;&gt;0,Tableau1[[#This Row],[Lien document]]&lt;&gt;0,Tableau1[[#This Row],[DMS_SAP]]&lt;&gt;0)=TRUE,"MIS A JOUR","")</f>
        <v/>
      </c>
      <c r="AA770" s="48"/>
      <c r="AB770" s="58" t="str">
        <f ca="1">IF(Tableau1[[#This Row],[Date rév.]]&lt;&gt;"", DAYS360(Tableau1[[#This Row],[Date rév.]],TODAY()),"")</f>
        <v/>
      </c>
      <c r="AC770" s="47" t="str">
        <f>IFERROR(INDEX(Chemin_accès!$B$11:$C$22,MATCH(Tableau1[[#This Row],[Type]],Chemin_accès!$C$11:$C$22,0),1),Chemin_accès!$B$11)</f>
        <v>\\stjn.local\trimet\Btechnique\Commun\BT Maint SCELLEMENT\205 - Préventifs\Modèles préventif\GammeDMS_7.MSCT.xlsm</v>
      </c>
      <c r="AD770" s="47" t="str">
        <f>Chemin_accès!$B$8&amp;Tableau1[[#This Row],[Localisation / Classement]]&amp;"\"&amp;Tableau1[[#This Row],[Poste technique]]&amp;"_"&amp;Tableau1[[#This Row],[Plan Entretien]]&amp;".xlsm"</f>
        <v>\\stjn.local\trimet\Btechnique\Commun\BT Maint SCELLEMENT\205 - Préventifs\Gammes 7.MSCT PE Tool\\_.xlsm</v>
      </c>
    </row>
    <row r="771" spans="1:30" x14ac:dyDescent="0.3">
      <c r="A771" s="44" t="str">
        <f t="shared" ca="1" si="12"/>
        <v>7.MSCT</v>
      </c>
      <c r="B7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1" s="46"/>
      <c r="D771" s="44"/>
      <c r="E771" s="44"/>
      <c r="F771" s="47"/>
      <c r="G771" s="47"/>
      <c r="H771" s="50"/>
      <c r="I771" s="50"/>
      <c r="J771" s="50"/>
      <c r="K771" s="50"/>
      <c r="L771" s="46"/>
      <c r="M771" s="47"/>
      <c r="N771" s="46"/>
      <c r="O771" s="46"/>
      <c r="P771" s="47"/>
      <c r="Q771" s="46"/>
      <c r="R771" s="46"/>
      <c r="S771" s="48"/>
      <c r="T771" s="61" t="str">
        <f>IF(Tableau1[[#This Row],[DMS_SAP]]="","",HYPERLINK(Tableau1[[#This Row],[Chemin fichier source]],"X"))</f>
        <v/>
      </c>
      <c r="U771" s="61" t="str">
        <f>IF(Tableau1[[#This Row],[Date rév.]]="","",HYPERLINK(Tableau1[[#This Row],[Lien document]],"X"))</f>
        <v/>
      </c>
      <c r="V771" s="47"/>
      <c r="W771" s="49" t="str">
        <f ca="1">Chemin_accès!$B$2&amp;Tableau1[[#This Row],[Poste Responsable]]&amp;"\"&amp;Tableau1[[#This Row],[Localisation / Classement]]&amp;"\"&amp;Tableau1[[#This Row],[Poste technique]]&amp;"_"&amp;Tableau1[[#This Row],[Plan Entretien]]&amp;".pdf"</f>
        <v>\\stjn.local\trimet\Donnees_Projets\Dms Sap\Maintenance\PlanEntretien\7.MSCT\\_.pdf</v>
      </c>
      <c r="X771" s="47"/>
      <c r="Y771" s="47"/>
      <c r="Z771" s="44" t="str">
        <f ca="1">IF(AND(Tableau1[[#This Row],[Charge]]&lt;&gt;0, Tableau1[[#This Row],[Nombre intervenants]]&lt;&gt;0,Tableau1[[#This Row],[Lien document]]&lt;&gt;0,Tableau1[[#This Row],[DMS_SAP]]&lt;&gt;0)=TRUE,"MIS A JOUR","")</f>
        <v/>
      </c>
      <c r="AA771" s="48"/>
      <c r="AB771" s="58" t="str">
        <f ca="1">IF(Tableau1[[#This Row],[Date rév.]]&lt;&gt;"", DAYS360(Tableau1[[#This Row],[Date rév.]],TODAY()),"")</f>
        <v/>
      </c>
      <c r="AC771" s="47" t="str">
        <f>IFERROR(INDEX(Chemin_accès!$B$11:$C$22,MATCH(Tableau1[[#This Row],[Type]],Chemin_accès!$C$11:$C$22,0),1),Chemin_accès!$B$11)</f>
        <v>\\stjn.local\trimet\Btechnique\Commun\BT Maint SCELLEMENT\205 - Préventifs\Modèles préventif\GammeDMS_7.MSCT.xlsm</v>
      </c>
      <c r="AD771" s="47" t="str">
        <f>Chemin_accès!$B$8&amp;Tableau1[[#This Row],[Localisation / Classement]]&amp;"\"&amp;Tableau1[[#This Row],[Poste technique]]&amp;"_"&amp;Tableau1[[#This Row],[Plan Entretien]]&amp;".xlsm"</f>
        <v>\\stjn.local\trimet\Btechnique\Commun\BT Maint SCELLEMENT\205 - Préventifs\Gammes 7.MSCT PE Tool\\_.xlsm</v>
      </c>
    </row>
    <row r="772" spans="1:30" x14ac:dyDescent="0.3">
      <c r="A772" s="44" t="str">
        <f t="shared" ca="1" si="12"/>
        <v>7.MSCT</v>
      </c>
      <c r="B7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2" s="46"/>
      <c r="D772" s="44"/>
      <c r="E772" s="44"/>
      <c r="F772" s="47"/>
      <c r="G772" s="47"/>
      <c r="H772" s="50"/>
      <c r="I772" s="50"/>
      <c r="J772" s="50"/>
      <c r="K772" s="50"/>
      <c r="L772" s="46"/>
      <c r="M772" s="47"/>
      <c r="N772" s="46"/>
      <c r="O772" s="46"/>
      <c r="P772" s="47"/>
      <c r="Q772" s="46"/>
      <c r="R772" s="46"/>
      <c r="S772" s="48"/>
      <c r="T772" s="61" t="str">
        <f>IF(Tableau1[[#This Row],[DMS_SAP]]="","",HYPERLINK(Tableau1[[#This Row],[Chemin fichier source]],"X"))</f>
        <v/>
      </c>
      <c r="U772" s="61" t="str">
        <f>IF(Tableau1[[#This Row],[Date rév.]]="","",HYPERLINK(Tableau1[[#This Row],[Lien document]],"X"))</f>
        <v/>
      </c>
      <c r="V772" s="47"/>
      <c r="W772" s="49" t="str">
        <f ca="1">Chemin_accès!$B$2&amp;Tableau1[[#This Row],[Poste Responsable]]&amp;"\"&amp;Tableau1[[#This Row],[Localisation / Classement]]&amp;"\"&amp;Tableau1[[#This Row],[Poste technique]]&amp;"_"&amp;Tableau1[[#This Row],[Plan Entretien]]&amp;".pdf"</f>
        <v>\\stjn.local\trimet\Donnees_Projets\Dms Sap\Maintenance\PlanEntretien\7.MSCT\\_.pdf</v>
      </c>
      <c r="X772" s="47"/>
      <c r="Y772" s="47"/>
      <c r="Z772" s="44" t="str">
        <f ca="1">IF(AND(Tableau1[[#This Row],[Charge]]&lt;&gt;0, Tableau1[[#This Row],[Nombre intervenants]]&lt;&gt;0,Tableau1[[#This Row],[Lien document]]&lt;&gt;0,Tableau1[[#This Row],[DMS_SAP]]&lt;&gt;0)=TRUE,"MIS A JOUR","")</f>
        <v/>
      </c>
      <c r="AA772" s="48"/>
      <c r="AB772" s="58" t="str">
        <f ca="1">IF(Tableau1[[#This Row],[Date rév.]]&lt;&gt;"", DAYS360(Tableau1[[#This Row],[Date rév.]],TODAY()),"")</f>
        <v/>
      </c>
      <c r="AC772" s="47" t="str">
        <f>IFERROR(INDEX(Chemin_accès!$B$11:$C$22,MATCH(Tableau1[[#This Row],[Type]],Chemin_accès!$C$11:$C$22,0),1),Chemin_accès!$B$11)</f>
        <v>\\stjn.local\trimet\Btechnique\Commun\BT Maint SCELLEMENT\205 - Préventifs\Modèles préventif\GammeDMS_7.MSCT.xlsm</v>
      </c>
      <c r="AD772" s="47" t="str">
        <f>Chemin_accès!$B$8&amp;Tableau1[[#This Row],[Localisation / Classement]]&amp;"\"&amp;Tableau1[[#This Row],[Poste technique]]&amp;"_"&amp;Tableau1[[#This Row],[Plan Entretien]]&amp;".xlsm"</f>
        <v>\\stjn.local\trimet\Btechnique\Commun\BT Maint SCELLEMENT\205 - Préventifs\Gammes 7.MSCT PE Tool\\_.xlsm</v>
      </c>
    </row>
    <row r="773" spans="1:30" x14ac:dyDescent="0.3">
      <c r="A773" s="44" t="str">
        <f t="shared" ca="1" si="12"/>
        <v>7.MSCT</v>
      </c>
      <c r="B7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3" s="46"/>
      <c r="D773" s="44"/>
      <c r="E773" s="44"/>
      <c r="F773" s="47"/>
      <c r="G773" s="47"/>
      <c r="H773" s="50"/>
      <c r="I773" s="50"/>
      <c r="J773" s="50"/>
      <c r="K773" s="50"/>
      <c r="L773" s="46"/>
      <c r="M773" s="47"/>
      <c r="N773" s="46"/>
      <c r="O773" s="46"/>
      <c r="P773" s="47"/>
      <c r="Q773" s="46"/>
      <c r="R773" s="46"/>
      <c r="S773" s="48"/>
      <c r="T773" s="61" t="str">
        <f>IF(Tableau1[[#This Row],[DMS_SAP]]="","",HYPERLINK(Tableau1[[#This Row],[Chemin fichier source]],"X"))</f>
        <v/>
      </c>
      <c r="U773" s="61" t="str">
        <f>IF(Tableau1[[#This Row],[Date rév.]]="","",HYPERLINK(Tableau1[[#This Row],[Lien document]],"X"))</f>
        <v/>
      </c>
      <c r="V773" s="47"/>
      <c r="W773" s="49" t="str">
        <f ca="1">Chemin_accès!$B$2&amp;Tableau1[[#This Row],[Poste Responsable]]&amp;"\"&amp;Tableau1[[#This Row],[Localisation / Classement]]&amp;"\"&amp;Tableau1[[#This Row],[Poste technique]]&amp;"_"&amp;Tableau1[[#This Row],[Plan Entretien]]&amp;".pdf"</f>
        <v>\\stjn.local\trimet\Donnees_Projets\Dms Sap\Maintenance\PlanEntretien\7.MSCT\\_.pdf</v>
      </c>
      <c r="X773" s="47"/>
      <c r="Y773" s="47"/>
      <c r="Z773" s="44" t="str">
        <f ca="1">IF(AND(Tableau1[[#This Row],[Charge]]&lt;&gt;0, Tableau1[[#This Row],[Nombre intervenants]]&lt;&gt;0,Tableau1[[#This Row],[Lien document]]&lt;&gt;0,Tableau1[[#This Row],[DMS_SAP]]&lt;&gt;0)=TRUE,"MIS A JOUR","")</f>
        <v/>
      </c>
      <c r="AA773" s="48"/>
      <c r="AB773" s="58" t="str">
        <f ca="1">IF(Tableau1[[#This Row],[Date rév.]]&lt;&gt;"", DAYS360(Tableau1[[#This Row],[Date rév.]],TODAY()),"")</f>
        <v/>
      </c>
      <c r="AC773" s="47" t="str">
        <f>IFERROR(INDEX(Chemin_accès!$B$11:$C$22,MATCH(Tableau1[[#This Row],[Type]],Chemin_accès!$C$11:$C$22,0),1),Chemin_accès!$B$11)</f>
        <v>\\stjn.local\trimet\Btechnique\Commun\BT Maint SCELLEMENT\205 - Préventifs\Modèles préventif\GammeDMS_7.MSCT.xlsm</v>
      </c>
      <c r="AD773" s="47" t="str">
        <f>Chemin_accès!$B$8&amp;Tableau1[[#This Row],[Localisation / Classement]]&amp;"\"&amp;Tableau1[[#This Row],[Poste technique]]&amp;"_"&amp;Tableau1[[#This Row],[Plan Entretien]]&amp;".xlsm"</f>
        <v>\\stjn.local\trimet\Btechnique\Commun\BT Maint SCELLEMENT\205 - Préventifs\Gammes 7.MSCT PE Tool\\_.xlsm</v>
      </c>
    </row>
    <row r="774" spans="1:30" x14ac:dyDescent="0.3">
      <c r="A774" s="44" t="str">
        <f t="shared" ca="1" si="12"/>
        <v>7.MSCT</v>
      </c>
      <c r="B7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4" s="46"/>
      <c r="D774" s="44"/>
      <c r="E774" s="44"/>
      <c r="F774" s="47"/>
      <c r="G774" s="47"/>
      <c r="H774" s="50"/>
      <c r="I774" s="50"/>
      <c r="J774" s="50"/>
      <c r="K774" s="50"/>
      <c r="L774" s="46"/>
      <c r="M774" s="47"/>
      <c r="N774" s="46"/>
      <c r="O774" s="46"/>
      <c r="P774" s="47"/>
      <c r="Q774" s="46"/>
      <c r="R774" s="46"/>
      <c r="S774" s="48"/>
      <c r="T774" s="61" t="str">
        <f>IF(Tableau1[[#This Row],[DMS_SAP]]="","",HYPERLINK(Tableau1[[#This Row],[Chemin fichier source]],"X"))</f>
        <v/>
      </c>
      <c r="U774" s="61" t="str">
        <f>IF(Tableau1[[#This Row],[Date rév.]]="","",HYPERLINK(Tableau1[[#This Row],[Lien document]],"X"))</f>
        <v/>
      </c>
      <c r="V774" s="47"/>
      <c r="W774" s="49" t="str">
        <f ca="1">Chemin_accès!$B$2&amp;Tableau1[[#This Row],[Poste Responsable]]&amp;"\"&amp;Tableau1[[#This Row],[Localisation / Classement]]&amp;"\"&amp;Tableau1[[#This Row],[Poste technique]]&amp;"_"&amp;Tableau1[[#This Row],[Plan Entretien]]&amp;".pdf"</f>
        <v>\\stjn.local\trimet\Donnees_Projets\Dms Sap\Maintenance\PlanEntretien\7.MSCT\\_.pdf</v>
      </c>
      <c r="X774" s="47"/>
      <c r="Y774" s="47"/>
      <c r="Z774" s="44" t="str">
        <f ca="1">IF(AND(Tableau1[[#This Row],[Charge]]&lt;&gt;0, Tableau1[[#This Row],[Nombre intervenants]]&lt;&gt;0,Tableau1[[#This Row],[Lien document]]&lt;&gt;0,Tableau1[[#This Row],[DMS_SAP]]&lt;&gt;0)=TRUE,"MIS A JOUR","")</f>
        <v/>
      </c>
      <c r="AA774" s="48"/>
      <c r="AB774" s="58" t="str">
        <f ca="1">IF(Tableau1[[#This Row],[Date rév.]]&lt;&gt;"", DAYS360(Tableau1[[#This Row],[Date rév.]],TODAY()),"")</f>
        <v/>
      </c>
      <c r="AC774" s="47" t="str">
        <f>IFERROR(INDEX(Chemin_accès!$B$11:$C$22,MATCH(Tableau1[[#This Row],[Type]],Chemin_accès!$C$11:$C$22,0),1),Chemin_accès!$B$11)</f>
        <v>\\stjn.local\trimet\Btechnique\Commun\BT Maint SCELLEMENT\205 - Préventifs\Modèles préventif\GammeDMS_7.MSCT.xlsm</v>
      </c>
      <c r="AD774" s="47" t="str">
        <f>Chemin_accès!$B$8&amp;Tableau1[[#This Row],[Localisation / Classement]]&amp;"\"&amp;Tableau1[[#This Row],[Poste technique]]&amp;"_"&amp;Tableau1[[#This Row],[Plan Entretien]]&amp;".xlsm"</f>
        <v>\\stjn.local\trimet\Btechnique\Commun\BT Maint SCELLEMENT\205 - Préventifs\Gammes 7.MSCT PE Tool\\_.xlsm</v>
      </c>
    </row>
    <row r="775" spans="1:30" x14ac:dyDescent="0.3">
      <c r="A775" s="44" t="str">
        <f t="shared" ca="1" si="12"/>
        <v>7.MSCT</v>
      </c>
      <c r="B7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5" s="46"/>
      <c r="D775" s="44"/>
      <c r="E775" s="44"/>
      <c r="F775" s="47"/>
      <c r="G775" s="47"/>
      <c r="H775" s="50"/>
      <c r="I775" s="50"/>
      <c r="J775" s="50"/>
      <c r="K775" s="50"/>
      <c r="L775" s="46"/>
      <c r="M775" s="47"/>
      <c r="N775" s="46"/>
      <c r="O775" s="46"/>
      <c r="P775" s="47"/>
      <c r="Q775" s="46"/>
      <c r="R775" s="46"/>
      <c r="S775" s="48"/>
      <c r="T775" s="61" t="str">
        <f>IF(Tableau1[[#This Row],[DMS_SAP]]="","",HYPERLINK(Tableau1[[#This Row],[Chemin fichier source]],"X"))</f>
        <v/>
      </c>
      <c r="U775" s="61" t="str">
        <f>IF(Tableau1[[#This Row],[Date rév.]]="","",HYPERLINK(Tableau1[[#This Row],[Lien document]],"X"))</f>
        <v/>
      </c>
      <c r="V775" s="47"/>
      <c r="W775" s="49" t="str">
        <f ca="1">Chemin_accès!$B$2&amp;Tableau1[[#This Row],[Poste Responsable]]&amp;"\"&amp;Tableau1[[#This Row],[Localisation / Classement]]&amp;"\"&amp;Tableau1[[#This Row],[Poste technique]]&amp;"_"&amp;Tableau1[[#This Row],[Plan Entretien]]&amp;".pdf"</f>
        <v>\\stjn.local\trimet\Donnees_Projets\Dms Sap\Maintenance\PlanEntretien\7.MSCT\\_.pdf</v>
      </c>
      <c r="X775" s="47"/>
      <c r="Y775" s="47"/>
      <c r="Z775" s="44" t="str">
        <f ca="1">IF(AND(Tableau1[[#This Row],[Charge]]&lt;&gt;0, Tableau1[[#This Row],[Nombre intervenants]]&lt;&gt;0,Tableau1[[#This Row],[Lien document]]&lt;&gt;0,Tableau1[[#This Row],[DMS_SAP]]&lt;&gt;0)=TRUE,"MIS A JOUR","")</f>
        <v/>
      </c>
      <c r="AA775" s="48"/>
      <c r="AB775" s="58" t="str">
        <f ca="1">IF(Tableau1[[#This Row],[Date rév.]]&lt;&gt;"", DAYS360(Tableau1[[#This Row],[Date rév.]],TODAY()),"")</f>
        <v/>
      </c>
      <c r="AC775" s="47" t="str">
        <f>IFERROR(INDEX(Chemin_accès!$B$11:$C$22,MATCH(Tableau1[[#This Row],[Type]],Chemin_accès!$C$11:$C$22,0),1),Chemin_accès!$B$11)</f>
        <v>\\stjn.local\trimet\Btechnique\Commun\BT Maint SCELLEMENT\205 - Préventifs\Modèles préventif\GammeDMS_7.MSCT.xlsm</v>
      </c>
      <c r="AD775" s="47" t="str">
        <f>Chemin_accès!$B$8&amp;Tableau1[[#This Row],[Localisation / Classement]]&amp;"\"&amp;Tableau1[[#This Row],[Poste technique]]&amp;"_"&amp;Tableau1[[#This Row],[Plan Entretien]]&amp;".xlsm"</f>
        <v>\\stjn.local\trimet\Btechnique\Commun\BT Maint SCELLEMENT\205 - Préventifs\Gammes 7.MSCT PE Tool\\_.xlsm</v>
      </c>
    </row>
    <row r="776" spans="1:30" x14ac:dyDescent="0.3">
      <c r="A776" s="44" t="str">
        <f t="shared" ca="1" si="12"/>
        <v>7.MSCT</v>
      </c>
      <c r="B7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6" s="46"/>
      <c r="D776" s="44"/>
      <c r="E776" s="44"/>
      <c r="F776" s="47"/>
      <c r="G776" s="47"/>
      <c r="H776" s="50"/>
      <c r="I776" s="50"/>
      <c r="J776" s="50"/>
      <c r="K776" s="50"/>
      <c r="L776" s="46"/>
      <c r="M776" s="47"/>
      <c r="N776" s="46"/>
      <c r="O776" s="46"/>
      <c r="P776" s="47"/>
      <c r="Q776" s="46"/>
      <c r="R776" s="46"/>
      <c r="S776" s="48"/>
      <c r="T776" s="61" t="str">
        <f>IF(Tableau1[[#This Row],[DMS_SAP]]="","",HYPERLINK(Tableau1[[#This Row],[Chemin fichier source]],"X"))</f>
        <v/>
      </c>
      <c r="U776" s="61" t="str">
        <f>IF(Tableau1[[#This Row],[Date rév.]]="","",HYPERLINK(Tableau1[[#This Row],[Lien document]],"X"))</f>
        <v/>
      </c>
      <c r="V776" s="47"/>
      <c r="W776" s="49" t="str">
        <f ca="1">Chemin_accès!$B$2&amp;Tableau1[[#This Row],[Poste Responsable]]&amp;"\"&amp;Tableau1[[#This Row],[Localisation / Classement]]&amp;"\"&amp;Tableau1[[#This Row],[Poste technique]]&amp;"_"&amp;Tableau1[[#This Row],[Plan Entretien]]&amp;".pdf"</f>
        <v>\\stjn.local\trimet\Donnees_Projets\Dms Sap\Maintenance\PlanEntretien\7.MSCT\\_.pdf</v>
      </c>
      <c r="X776" s="47"/>
      <c r="Y776" s="47"/>
      <c r="Z776" s="44" t="str">
        <f ca="1">IF(AND(Tableau1[[#This Row],[Charge]]&lt;&gt;0, Tableau1[[#This Row],[Nombre intervenants]]&lt;&gt;0,Tableau1[[#This Row],[Lien document]]&lt;&gt;0,Tableau1[[#This Row],[DMS_SAP]]&lt;&gt;0)=TRUE,"MIS A JOUR","")</f>
        <v/>
      </c>
      <c r="AA776" s="48"/>
      <c r="AB776" s="58" t="str">
        <f ca="1">IF(Tableau1[[#This Row],[Date rév.]]&lt;&gt;"", DAYS360(Tableau1[[#This Row],[Date rév.]],TODAY()),"")</f>
        <v/>
      </c>
      <c r="AC776" s="47" t="str">
        <f>IFERROR(INDEX(Chemin_accès!$B$11:$C$22,MATCH(Tableau1[[#This Row],[Type]],Chemin_accès!$C$11:$C$22,0),1),Chemin_accès!$B$11)</f>
        <v>\\stjn.local\trimet\Btechnique\Commun\BT Maint SCELLEMENT\205 - Préventifs\Modèles préventif\GammeDMS_7.MSCT.xlsm</v>
      </c>
      <c r="AD776" s="47" t="str">
        <f>Chemin_accès!$B$8&amp;Tableau1[[#This Row],[Localisation / Classement]]&amp;"\"&amp;Tableau1[[#This Row],[Poste technique]]&amp;"_"&amp;Tableau1[[#This Row],[Plan Entretien]]&amp;".xlsm"</f>
        <v>\\stjn.local\trimet\Btechnique\Commun\BT Maint SCELLEMENT\205 - Préventifs\Gammes 7.MSCT PE Tool\\_.xlsm</v>
      </c>
    </row>
    <row r="777" spans="1:30" x14ac:dyDescent="0.3">
      <c r="A777" s="44" t="str">
        <f t="shared" ca="1" si="12"/>
        <v>7.MSCT</v>
      </c>
      <c r="B7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7" s="46"/>
      <c r="D777" s="44"/>
      <c r="E777" s="44"/>
      <c r="F777" s="47"/>
      <c r="G777" s="47"/>
      <c r="H777" s="50"/>
      <c r="I777" s="50"/>
      <c r="J777" s="50"/>
      <c r="K777" s="50"/>
      <c r="L777" s="46"/>
      <c r="M777" s="47"/>
      <c r="N777" s="46"/>
      <c r="O777" s="46"/>
      <c r="P777" s="47"/>
      <c r="Q777" s="46"/>
      <c r="R777" s="46"/>
      <c r="S777" s="48"/>
      <c r="T777" s="61" t="str">
        <f>IF(Tableau1[[#This Row],[DMS_SAP]]="","",HYPERLINK(Tableau1[[#This Row],[Chemin fichier source]],"X"))</f>
        <v/>
      </c>
      <c r="U777" s="61" t="str">
        <f>IF(Tableau1[[#This Row],[Date rév.]]="","",HYPERLINK(Tableau1[[#This Row],[Lien document]],"X"))</f>
        <v/>
      </c>
      <c r="V777" s="47"/>
      <c r="W777" s="49" t="str">
        <f ca="1">Chemin_accès!$B$2&amp;Tableau1[[#This Row],[Poste Responsable]]&amp;"\"&amp;Tableau1[[#This Row],[Localisation / Classement]]&amp;"\"&amp;Tableau1[[#This Row],[Poste technique]]&amp;"_"&amp;Tableau1[[#This Row],[Plan Entretien]]&amp;".pdf"</f>
        <v>\\stjn.local\trimet\Donnees_Projets\Dms Sap\Maintenance\PlanEntretien\7.MSCT\\_.pdf</v>
      </c>
      <c r="X777" s="47"/>
      <c r="Y777" s="47"/>
      <c r="Z777" s="44" t="str">
        <f ca="1">IF(AND(Tableau1[[#This Row],[Charge]]&lt;&gt;0, Tableau1[[#This Row],[Nombre intervenants]]&lt;&gt;0,Tableau1[[#This Row],[Lien document]]&lt;&gt;0,Tableau1[[#This Row],[DMS_SAP]]&lt;&gt;0)=TRUE,"MIS A JOUR","")</f>
        <v/>
      </c>
      <c r="AA777" s="48"/>
      <c r="AB777" s="58" t="str">
        <f ca="1">IF(Tableau1[[#This Row],[Date rév.]]&lt;&gt;"", DAYS360(Tableau1[[#This Row],[Date rév.]],TODAY()),"")</f>
        <v/>
      </c>
      <c r="AC777" s="47" t="str">
        <f>IFERROR(INDEX(Chemin_accès!$B$11:$C$22,MATCH(Tableau1[[#This Row],[Type]],Chemin_accès!$C$11:$C$22,0),1),Chemin_accès!$B$11)</f>
        <v>\\stjn.local\trimet\Btechnique\Commun\BT Maint SCELLEMENT\205 - Préventifs\Modèles préventif\GammeDMS_7.MSCT.xlsm</v>
      </c>
      <c r="AD777" s="47" t="str">
        <f>Chemin_accès!$B$8&amp;Tableau1[[#This Row],[Localisation / Classement]]&amp;"\"&amp;Tableau1[[#This Row],[Poste technique]]&amp;"_"&amp;Tableau1[[#This Row],[Plan Entretien]]&amp;".xlsm"</f>
        <v>\\stjn.local\trimet\Btechnique\Commun\BT Maint SCELLEMENT\205 - Préventifs\Gammes 7.MSCT PE Tool\\_.xlsm</v>
      </c>
    </row>
    <row r="778" spans="1:30" x14ac:dyDescent="0.3">
      <c r="A778" s="44" t="str">
        <f t="shared" ca="1" si="12"/>
        <v>7.MSCT</v>
      </c>
      <c r="B7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8" s="46"/>
      <c r="D778" s="44"/>
      <c r="E778" s="44"/>
      <c r="F778" s="47"/>
      <c r="G778" s="47"/>
      <c r="H778" s="50"/>
      <c r="I778" s="50"/>
      <c r="J778" s="50"/>
      <c r="K778" s="50"/>
      <c r="L778" s="46"/>
      <c r="M778" s="47"/>
      <c r="N778" s="46"/>
      <c r="O778" s="46"/>
      <c r="P778" s="47"/>
      <c r="Q778" s="46"/>
      <c r="R778" s="46"/>
      <c r="S778" s="48"/>
      <c r="T778" s="61" t="str">
        <f>IF(Tableau1[[#This Row],[DMS_SAP]]="","",HYPERLINK(Tableau1[[#This Row],[Chemin fichier source]],"X"))</f>
        <v/>
      </c>
      <c r="U778" s="61" t="str">
        <f>IF(Tableau1[[#This Row],[Date rév.]]="","",HYPERLINK(Tableau1[[#This Row],[Lien document]],"X"))</f>
        <v/>
      </c>
      <c r="V778" s="47"/>
      <c r="W778" s="49" t="str">
        <f ca="1">Chemin_accès!$B$2&amp;Tableau1[[#This Row],[Poste Responsable]]&amp;"\"&amp;Tableau1[[#This Row],[Localisation / Classement]]&amp;"\"&amp;Tableau1[[#This Row],[Poste technique]]&amp;"_"&amp;Tableau1[[#This Row],[Plan Entretien]]&amp;".pdf"</f>
        <v>\\stjn.local\trimet\Donnees_Projets\Dms Sap\Maintenance\PlanEntretien\7.MSCT\\_.pdf</v>
      </c>
      <c r="X778" s="47"/>
      <c r="Y778" s="47"/>
      <c r="Z778" s="44" t="str">
        <f ca="1">IF(AND(Tableau1[[#This Row],[Charge]]&lt;&gt;0, Tableau1[[#This Row],[Nombre intervenants]]&lt;&gt;0,Tableau1[[#This Row],[Lien document]]&lt;&gt;0,Tableau1[[#This Row],[DMS_SAP]]&lt;&gt;0)=TRUE,"MIS A JOUR","")</f>
        <v/>
      </c>
      <c r="AA778" s="48"/>
      <c r="AB778" s="58" t="str">
        <f ca="1">IF(Tableau1[[#This Row],[Date rév.]]&lt;&gt;"", DAYS360(Tableau1[[#This Row],[Date rév.]],TODAY()),"")</f>
        <v/>
      </c>
      <c r="AC778" s="47" t="str">
        <f>IFERROR(INDEX(Chemin_accès!$B$11:$C$22,MATCH(Tableau1[[#This Row],[Type]],Chemin_accès!$C$11:$C$22,0),1),Chemin_accès!$B$11)</f>
        <v>\\stjn.local\trimet\Btechnique\Commun\BT Maint SCELLEMENT\205 - Préventifs\Modèles préventif\GammeDMS_7.MSCT.xlsm</v>
      </c>
      <c r="AD778" s="47" t="str">
        <f>Chemin_accès!$B$8&amp;Tableau1[[#This Row],[Localisation / Classement]]&amp;"\"&amp;Tableau1[[#This Row],[Poste technique]]&amp;"_"&amp;Tableau1[[#This Row],[Plan Entretien]]&amp;".xlsm"</f>
        <v>\\stjn.local\trimet\Btechnique\Commun\BT Maint SCELLEMENT\205 - Préventifs\Gammes 7.MSCT PE Tool\\_.xlsm</v>
      </c>
    </row>
    <row r="779" spans="1:30" x14ac:dyDescent="0.3">
      <c r="A779" s="44" t="str">
        <f t="shared" ca="1" si="12"/>
        <v>7.MSCT</v>
      </c>
      <c r="B7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9" s="46"/>
      <c r="D779" s="44"/>
      <c r="E779" s="44"/>
      <c r="F779" s="47"/>
      <c r="G779" s="47"/>
      <c r="H779" s="50"/>
      <c r="I779" s="50"/>
      <c r="J779" s="50"/>
      <c r="K779" s="50"/>
      <c r="L779" s="46"/>
      <c r="M779" s="47"/>
      <c r="N779" s="46"/>
      <c r="O779" s="46"/>
      <c r="P779" s="47"/>
      <c r="Q779" s="46"/>
      <c r="R779" s="46"/>
      <c r="S779" s="48"/>
      <c r="T779" s="61" t="str">
        <f>IF(Tableau1[[#This Row],[DMS_SAP]]="","",HYPERLINK(Tableau1[[#This Row],[Chemin fichier source]],"X"))</f>
        <v/>
      </c>
      <c r="U779" s="61" t="str">
        <f>IF(Tableau1[[#This Row],[Date rév.]]="","",HYPERLINK(Tableau1[[#This Row],[Lien document]],"X"))</f>
        <v/>
      </c>
      <c r="V779" s="47"/>
      <c r="W779" s="49" t="str">
        <f ca="1">Chemin_accès!$B$2&amp;Tableau1[[#This Row],[Poste Responsable]]&amp;"\"&amp;Tableau1[[#This Row],[Localisation / Classement]]&amp;"\"&amp;Tableau1[[#This Row],[Poste technique]]&amp;"_"&amp;Tableau1[[#This Row],[Plan Entretien]]&amp;".pdf"</f>
        <v>\\stjn.local\trimet\Donnees_Projets\Dms Sap\Maintenance\PlanEntretien\7.MSCT\\_.pdf</v>
      </c>
      <c r="X779" s="47"/>
      <c r="Y779" s="47"/>
      <c r="Z779" s="44" t="str">
        <f ca="1">IF(AND(Tableau1[[#This Row],[Charge]]&lt;&gt;0, Tableau1[[#This Row],[Nombre intervenants]]&lt;&gt;0,Tableau1[[#This Row],[Lien document]]&lt;&gt;0,Tableau1[[#This Row],[DMS_SAP]]&lt;&gt;0)=TRUE,"MIS A JOUR","")</f>
        <v/>
      </c>
      <c r="AA779" s="48"/>
      <c r="AB779" s="58" t="str">
        <f ca="1">IF(Tableau1[[#This Row],[Date rév.]]&lt;&gt;"", DAYS360(Tableau1[[#This Row],[Date rév.]],TODAY()),"")</f>
        <v/>
      </c>
      <c r="AC779" s="47" t="str">
        <f>IFERROR(INDEX(Chemin_accès!$B$11:$C$22,MATCH(Tableau1[[#This Row],[Type]],Chemin_accès!$C$11:$C$22,0),1),Chemin_accès!$B$11)</f>
        <v>\\stjn.local\trimet\Btechnique\Commun\BT Maint SCELLEMENT\205 - Préventifs\Modèles préventif\GammeDMS_7.MSCT.xlsm</v>
      </c>
      <c r="AD779" s="47" t="str">
        <f>Chemin_accès!$B$8&amp;Tableau1[[#This Row],[Localisation / Classement]]&amp;"\"&amp;Tableau1[[#This Row],[Poste technique]]&amp;"_"&amp;Tableau1[[#This Row],[Plan Entretien]]&amp;".xlsm"</f>
        <v>\\stjn.local\trimet\Btechnique\Commun\BT Maint SCELLEMENT\205 - Préventifs\Gammes 7.MSCT PE Tool\\_.xlsm</v>
      </c>
    </row>
    <row r="780" spans="1:30" x14ac:dyDescent="0.3">
      <c r="A780" s="44" t="str">
        <f t="shared" ca="1" si="12"/>
        <v>7.MSCT</v>
      </c>
      <c r="B7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0" s="46"/>
      <c r="D780" s="44"/>
      <c r="E780" s="44"/>
      <c r="F780" s="47"/>
      <c r="G780" s="47"/>
      <c r="H780" s="50"/>
      <c r="I780" s="50"/>
      <c r="J780" s="50"/>
      <c r="K780" s="50"/>
      <c r="L780" s="46"/>
      <c r="M780" s="47"/>
      <c r="N780" s="46"/>
      <c r="O780" s="46"/>
      <c r="P780" s="47"/>
      <c r="Q780" s="46"/>
      <c r="R780" s="46"/>
      <c r="S780" s="48"/>
      <c r="T780" s="61" t="str">
        <f>IF(Tableau1[[#This Row],[DMS_SAP]]="","",HYPERLINK(Tableau1[[#This Row],[Chemin fichier source]],"X"))</f>
        <v/>
      </c>
      <c r="U780" s="61" t="str">
        <f>IF(Tableau1[[#This Row],[Date rév.]]="","",HYPERLINK(Tableau1[[#This Row],[Lien document]],"X"))</f>
        <v/>
      </c>
      <c r="V780" s="47"/>
      <c r="W780" s="49" t="str">
        <f ca="1">Chemin_accès!$B$2&amp;Tableau1[[#This Row],[Poste Responsable]]&amp;"\"&amp;Tableau1[[#This Row],[Localisation / Classement]]&amp;"\"&amp;Tableau1[[#This Row],[Poste technique]]&amp;"_"&amp;Tableau1[[#This Row],[Plan Entretien]]&amp;".pdf"</f>
        <v>\\stjn.local\trimet\Donnees_Projets\Dms Sap\Maintenance\PlanEntretien\7.MSCT\\_.pdf</v>
      </c>
      <c r="X780" s="47"/>
      <c r="Y780" s="47"/>
      <c r="Z780" s="44" t="str">
        <f ca="1">IF(AND(Tableau1[[#This Row],[Charge]]&lt;&gt;0, Tableau1[[#This Row],[Nombre intervenants]]&lt;&gt;0,Tableau1[[#This Row],[Lien document]]&lt;&gt;0,Tableau1[[#This Row],[DMS_SAP]]&lt;&gt;0)=TRUE,"MIS A JOUR","")</f>
        <v/>
      </c>
      <c r="AA780" s="48"/>
      <c r="AB780" s="58" t="str">
        <f ca="1">IF(Tableau1[[#This Row],[Date rév.]]&lt;&gt;"", DAYS360(Tableau1[[#This Row],[Date rév.]],TODAY()),"")</f>
        <v/>
      </c>
      <c r="AC780" s="47" t="str">
        <f>IFERROR(INDEX(Chemin_accès!$B$11:$C$22,MATCH(Tableau1[[#This Row],[Type]],Chemin_accès!$C$11:$C$22,0),1),Chemin_accès!$B$11)</f>
        <v>\\stjn.local\trimet\Btechnique\Commun\BT Maint SCELLEMENT\205 - Préventifs\Modèles préventif\GammeDMS_7.MSCT.xlsm</v>
      </c>
      <c r="AD780" s="47" t="str">
        <f>Chemin_accès!$B$8&amp;Tableau1[[#This Row],[Localisation / Classement]]&amp;"\"&amp;Tableau1[[#This Row],[Poste technique]]&amp;"_"&amp;Tableau1[[#This Row],[Plan Entretien]]&amp;".xlsm"</f>
        <v>\\stjn.local\trimet\Btechnique\Commun\BT Maint SCELLEMENT\205 - Préventifs\Gammes 7.MSCT PE Tool\\_.xlsm</v>
      </c>
    </row>
    <row r="781" spans="1:30" x14ac:dyDescent="0.3">
      <c r="A781" s="44" t="str">
        <f t="shared" ca="1" si="12"/>
        <v>7.MSCT</v>
      </c>
      <c r="B7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1" s="46"/>
      <c r="D781" s="44"/>
      <c r="E781" s="44"/>
      <c r="F781" s="47"/>
      <c r="G781" s="47"/>
      <c r="H781" s="50"/>
      <c r="I781" s="50"/>
      <c r="J781" s="50"/>
      <c r="K781" s="50"/>
      <c r="L781" s="46"/>
      <c r="M781" s="47"/>
      <c r="N781" s="46"/>
      <c r="O781" s="46"/>
      <c r="P781" s="47"/>
      <c r="Q781" s="46"/>
      <c r="R781" s="46"/>
      <c r="S781" s="48"/>
      <c r="T781" s="61" t="str">
        <f>IF(Tableau1[[#This Row],[DMS_SAP]]="","",HYPERLINK(Tableau1[[#This Row],[Chemin fichier source]],"X"))</f>
        <v/>
      </c>
      <c r="U781" s="61" t="str">
        <f>IF(Tableau1[[#This Row],[Date rév.]]="","",HYPERLINK(Tableau1[[#This Row],[Lien document]],"X"))</f>
        <v/>
      </c>
      <c r="V781" s="47"/>
      <c r="W781" s="49" t="str">
        <f ca="1">Chemin_accès!$B$2&amp;Tableau1[[#This Row],[Poste Responsable]]&amp;"\"&amp;Tableau1[[#This Row],[Localisation / Classement]]&amp;"\"&amp;Tableau1[[#This Row],[Poste technique]]&amp;"_"&amp;Tableau1[[#This Row],[Plan Entretien]]&amp;".pdf"</f>
        <v>\\stjn.local\trimet\Donnees_Projets\Dms Sap\Maintenance\PlanEntretien\7.MSCT\\_.pdf</v>
      </c>
      <c r="X781" s="47"/>
      <c r="Y781" s="47"/>
      <c r="Z781" s="44" t="str">
        <f ca="1">IF(AND(Tableau1[[#This Row],[Charge]]&lt;&gt;0, Tableau1[[#This Row],[Nombre intervenants]]&lt;&gt;0,Tableau1[[#This Row],[Lien document]]&lt;&gt;0,Tableau1[[#This Row],[DMS_SAP]]&lt;&gt;0)=TRUE,"MIS A JOUR","")</f>
        <v/>
      </c>
      <c r="AA781" s="48"/>
      <c r="AB781" s="58" t="str">
        <f ca="1">IF(Tableau1[[#This Row],[Date rév.]]&lt;&gt;"", DAYS360(Tableau1[[#This Row],[Date rév.]],TODAY()),"")</f>
        <v/>
      </c>
      <c r="AC781" s="47" t="str">
        <f>IFERROR(INDEX(Chemin_accès!$B$11:$C$22,MATCH(Tableau1[[#This Row],[Type]],Chemin_accès!$C$11:$C$22,0),1),Chemin_accès!$B$11)</f>
        <v>\\stjn.local\trimet\Btechnique\Commun\BT Maint SCELLEMENT\205 - Préventifs\Modèles préventif\GammeDMS_7.MSCT.xlsm</v>
      </c>
      <c r="AD781" s="47" t="str">
        <f>Chemin_accès!$B$8&amp;Tableau1[[#This Row],[Localisation / Classement]]&amp;"\"&amp;Tableau1[[#This Row],[Poste technique]]&amp;"_"&amp;Tableau1[[#This Row],[Plan Entretien]]&amp;".xlsm"</f>
        <v>\\stjn.local\trimet\Btechnique\Commun\BT Maint SCELLEMENT\205 - Préventifs\Gammes 7.MSCT PE Tool\\_.xlsm</v>
      </c>
    </row>
    <row r="782" spans="1:30" x14ac:dyDescent="0.3">
      <c r="A782" s="44" t="str">
        <f t="shared" ca="1" si="12"/>
        <v>7.MSCT</v>
      </c>
      <c r="B7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2" s="46"/>
      <c r="D782" s="44"/>
      <c r="E782" s="44"/>
      <c r="F782" s="47"/>
      <c r="G782" s="47"/>
      <c r="H782" s="50"/>
      <c r="I782" s="50"/>
      <c r="J782" s="50"/>
      <c r="K782" s="50"/>
      <c r="L782" s="46"/>
      <c r="M782" s="47"/>
      <c r="N782" s="46"/>
      <c r="O782" s="46"/>
      <c r="P782" s="47"/>
      <c r="Q782" s="46"/>
      <c r="R782" s="46"/>
      <c r="S782" s="48"/>
      <c r="T782" s="61" t="str">
        <f>IF(Tableau1[[#This Row],[DMS_SAP]]="","",HYPERLINK(Tableau1[[#This Row],[Chemin fichier source]],"X"))</f>
        <v/>
      </c>
      <c r="U782" s="61" t="str">
        <f>IF(Tableau1[[#This Row],[Date rév.]]="","",HYPERLINK(Tableau1[[#This Row],[Lien document]],"X"))</f>
        <v/>
      </c>
      <c r="V782" s="47"/>
      <c r="W782" s="49" t="str">
        <f ca="1">Chemin_accès!$B$2&amp;Tableau1[[#This Row],[Poste Responsable]]&amp;"\"&amp;Tableau1[[#This Row],[Localisation / Classement]]&amp;"\"&amp;Tableau1[[#This Row],[Poste technique]]&amp;"_"&amp;Tableau1[[#This Row],[Plan Entretien]]&amp;".pdf"</f>
        <v>\\stjn.local\trimet\Donnees_Projets\Dms Sap\Maintenance\PlanEntretien\7.MSCT\\_.pdf</v>
      </c>
      <c r="X782" s="47"/>
      <c r="Y782" s="47"/>
      <c r="Z782" s="44" t="str">
        <f ca="1">IF(AND(Tableau1[[#This Row],[Charge]]&lt;&gt;0, Tableau1[[#This Row],[Nombre intervenants]]&lt;&gt;0,Tableau1[[#This Row],[Lien document]]&lt;&gt;0,Tableau1[[#This Row],[DMS_SAP]]&lt;&gt;0)=TRUE,"MIS A JOUR","")</f>
        <v/>
      </c>
      <c r="AA782" s="48"/>
      <c r="AB782" s="58" t="str">
        <f ca="1">IF(Tableau1[[#This Row],[Date rév.]]&lt;&gt;"", DAYS360(Tableau1[[#This Row],[Date rév.]],TODAY()),"")</f>
        <v/>
      </c>
      <c r="AC782" s="47" t="str">
        <f>IFERROR(INDEX(Chemin_accès!$B$11:$C$22,MATCH(Tableau1[[#This Row],[Type]],Chemin_accès!$C$11:$C$22,0),1),Chemin_accès!$B$11)</f>
        <v>\\stjn.local\trimet\Btechnique\Commun\BT Maint SCELLEMENT\205 - Préventifs\Modèles préventif\GammeDMS_7.MSCT.xlsm</v>
      </c>
      <c r="AD782" s="47" t="str">
        <f>Chemin_accès!$B$8&amp;Tableau1[[#This Row],[Localisation / Classement]]&amp;"\"&amp;Tableau1[[#This Row],[Poste technique]]&amp;"_"&amp;Tableau1[[#This Row],[Plan Entretien]]&amp;".xlsm"</f>
        <v>\\stjn.local\trimet\Btechnique\Commun\BT Maint SCELLEMENT\205 - Préventifs\Gammes 7.MSCT PE Tool\\_.xlsm</v>
      </c>
    </row>
    <row r="783" spans="1:30" x14ac:dyDescent="0.3">
      <c r="A783" s="44" t="str">
        <f t="shared" ca="1" si="12"/>
        <v>7.MSCT</v>
      </c>
      <c r="B7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3" s="46"/>
      <c r="D783" s="44"/>
      <c r="E783" s="44"/>
      <c r="F783" s="47"/>
      <c r="G783" s="47"/>
      <c r="H783" s="50"/>
      <c r="I783" s="50"/>
      <c r="J783" s="50"/>
      <c r="K783" s="50"/>
      <c r="L783" s="46"/>
      <c r="M783" s="47"/>
      <c r="N783" s="46"/>
      <c r="O783" s="46"/>
      <c r="P783" s="47"/>
      <c r="Q783" s="46"/>
      <c r="R783" s="46"/>
      <c r="S783" s="48"/>
      <c r="T783" s="61" t="str">
        <f>IF(Tableau1[[#This Row],[DMS_SAP]]="","",HYPERLINK(Tableau1[[#This Row],[Chemin fichier source]],"X"))</f>
        <v/>
      </c>
      <c r="U783" s="61" t="str">
        <f>IF(Tableau1[[#This Row],[Date rév.]]="","",HYPERLINK(Tableau1[[#This Row],[Lien document]],"X"))</f>
        <v/>
      </c>
      <c r="V783" s="47"/>
      <c r="W783" s="49" t="str">
        <f ca="1">Chemin_accès!$B$2&amp;Tableau1[[#This Row],[Poste Responsable]]&amp;"\"&amp;Tableau1[[#This Row],[Localisation / Classement]]&amp;"\"&amp;Tableau1[[#This Row],[Poste technique]]&amp;"_"&amp;Tableau1[[#This Row],[Plan Entretien]]&amp;".pdf"</f>
        <v>\\stjn.local\trimet\Donnees_Projets\Dms Sap\Maintenance\PlanEntretien\7.MSCT\\_.pdf</v>
      </c>
      <c r="X783" s="47"/>
      <c r="Y783" s="47"/>
      <c r="Z783" s="44" t="str">
        <f ca="1">IF(AND(Tableau1[[#This Row],[Charge]]&lt;&gt;0, Tableau1[[#This Row],[Nombre intervenants]]&lt;&gt;0,Tableau1[[#This Row],[Lien document]]&lt;&gt;0,Tableau1[[#This Row],[DMS_SAP]]&lt;&gt;0)=TRUE,"MIS A JOUR","")</f>
        <v/>
      </c>
      <c r="AA783" s="48"/>
      <c r="AB783" s="58" t="str">
        <f ca="1">IF(Tableau1[[#This Row],[Date rév.]]&lt;&gt;"", DAYS360(Tableau1[[#This Row],[Date rév.]],TODAY()),"")</f>
        <v/>
      </c>
      <c r="AC783" s="47" t="str">
        <f>IFERROR(INDEX(Chemin_accès!$B$11:$C$22,MATCH(Tableau1[[#This Row],[Type]],Chemin_accès!$C$11:$C$22,0),1),Chemin_accès!$B$11)</f>
        <v>\\stjn.local\trimet\Btechnique\Commun\BT Maint SCELLEMENT\205 - Préventifs\Modèles préventif\GammeDMS_7.MSCT.xlsm</v>
      </c>
      <c r="AD783" s="47" t="str">
        <f>Chemin_accès!$B$8&amp;Tableau1[[#This Row],[Localisation / Classement]]&amp;"\"&amp;Tableau1[[#This Row],[Poste technique]]&amp;"_"&amp;Tableau1[[#This Row],[Plan Entretien]]&amp;".xlsm"</f>
        <v>\\stjn.local\trimet\Btechnique\Commun\BT Maint SCELLEMENT\205 - Préventifs\Gammes 7.MSCT PE Tool\\_.xlsm</v>
      </c>
    </row>
    <row r="784" spans="1:30" x14ac:dyDescent="0.3">
      <c r="A784" s="44" t="str">
        <f t="shared" ca="1" si="12"/>
        <v>7.MSCT</v>
      </c>
      <c r="B7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4" s="46"/>
      <c r="D784" s="44"/>
      <c r="E784" s="44"/>
      <c r="F784" s="47"/>
      <c r="G784" s="47"/>
      <c r="H784" s="50"/>
      <c r="I784" s="50"/>
      <c r="J784" s="50"/>
      <c r="K784" s="50"/>
      <c r="L784" s="46"/>
      <c r="M784" s="47"/>
      <c r="N784" s="46"/>
      <c r="O784" s="46"/>
      <c r="P784" s="47"/>
      <c r="Q784" s="46"/>
      <c r="R784" s="46"/>
      <c r="S784" s="48"/>
      <c r="T784" s="61" t="str">
        <f>IF(Tableau1[[#This Row],[DMS_SAP]]="","",HYPERLINK(Tableau1[[#This Row],[Chemin fichier source]],"X"))</f>
        <v/>
      </c>
      <c r="U784" s="61" t="str">
        <f>IF(Tableau1[[#This Row],[Date rév.]]="","",HYPERLINK(Tableau1[[#This Row],[Lien document]],"X"))</f>
        <v/>
      </c>
      <c r="V784" s="47"/>
      <c r="W784" s="49" t="str">
        <f ca="1">Chemin_accès!$B$2&amp;Tableau1[[#This Row],[Poste Responsable]]&amp;"\"&amp;Tableau1[[#This Row],[Localisation / Classement]]&amp;"\"&amp;Tableau1[[#This Row],[Poste technique]]&amp;"_"&amp;Tableau1[[#This Row],[Plan Entretien]]&amp;".pdf"</f>
        <v>\\stjn.local\trimet\Donnees_Projets\Dms Sap\Maintenance\PlanEntretien\7.MSCT\\_.pdf</v>
      </c>
      <c r="X784" s="47"/>
      <c r="Y784" s="47"/>
      <c r="Z784" s="44" t="str">
        <f ca="1">IF(AND(Tableau1[[#This Row],[Charge]]&lt;&gt;0, Tableau1[[#This Row],[Nombre intervenants]]&lt;&gt;0,Tableau1[[#This Row],[Lien document]]&lt;&gt;0,Tableau1[[#This Row],[DMS_SAP]]&lt;&gt;0)=TRUE,"MIS A JOUR","")</f>
        <v/>
      </c>
      <c r="AA784" s="48"/>
      <c r="AB784" s="58" t="str">
        <f ca="1">IF(Tableau1[[#This Row],[Date rév.]]&lt;&gt;"", DAYS360(Tableau1[[#This Row],[Date rév.]],TODAY()),"")</f>
        <v/>
      </c>
      <c r="AC784" s="47" t="str">
        <f>IFERROR(INDEX(Chemin_accès!$B$11:$C$22,MATCH(Tableau1[[#This Row],[Type]],Chemin_accès!$C$11:$C$22,0),1),Chemin_accès!$B$11)</f>
        <v>\\stjn.local\trimet\Btechnique\Commun\BT Maint SCELLEMENT\205 - Préventifs\Modèles préventif\GammeDMS_7.MSCT.xlsm</v>
      </c>
      <c r="AD784" s="47" t="str">
        <f>Chemin_accès!$B$8&amp;Tableau1[[#This Row],[Localisation / Classement]]&amp;"\"&amp;Tableau1[[#This Row],[Poste technique]]&amp;"_"&amp;Tableau1[[#This Row],[Plan Entretien]]&amp;".xlsm"</f>
        <v>\\stjn.local\trimet\Btechnique\Commun\BT Maint SCELLEMENT\205 - Préventifs\Gammes 7.MSCT PE Tool\\_.xlsm</v>
      </c>
    </row>
    <row r="785" spans="1:30" x14ac:dyDescent="0.3">
      <c r="A785" s="44" t="str">
        <f t="shared" ca="1" si="12"/>
        <v>7.MSCT</v>
      </c>
      <c r="B7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5" s="46"/>
      <c r="D785" s="44"/>
      <c r="E785" s="44"/>
      <c r="F785" s="47"/>
      <c r="G785" s="47"/>
      <c r="H785" s="50"/>
      <c r="I785" s="50"/>
      <c r="J785" s="50"/>
      <c r="K785" s="50"/>
      <c r="L785" s="46"/>
      <c r="M785" s="47"/>
      <c r="N785" s="46"/>
      <c r="O785" s="46"/>
      <c r="P785" s="47"/>
      <c r="Q785" s="46"/>
      <c r="R785" s="46"/>
      <c r="S785" s="48"/>
      <c r="T785" s="61" t="str">
        <f>IF(Tableau1[[#This Row],[DMS_SAP]]="","",HYPERLINK(Tableau1[[#This Row],[Chemin fichier source]],"X"))</f>
        <v/>
      </c>
      <c r="U785" s="61" t="str">
        <f>IF(Tableau1[[#This Row],[Date rév.]]="","",HYPERLINK(Tableau1[[#This Row],[Lien document]],"X"))</f>
        <v/>
      </c>
      <c r="V785" s="47"/>
      <c r="W785" s="49" t="str">
        <f ca="1">Chemin_accès!$B$2&amp;Tableau1[[#This Row],[Poste Responsable]]&amp;"\"&amp;Tableau1[[#This Row],[Localisation / Classement]]&amp;"\"&amp;Tableau1[[#This Row],[Poste technique]]&amp;"_"&amp;Tableau1[[#This Row],[Plan Entretien]]&amp;".pdf"</f>
        <v>\\stjn.local\trimet\Donnees_Projets\Dms Sap\Maintenance\PlanEntretien\7.MSCT\\_.pdf</v>
      </c>
      <c r="X785" s="47"/>
      <c r="Y785" s="47"/>
      <c r="Z785" s="44" t="str">
        <f ca="1">IF(AND(Tableau1[[#This Row],[Charge]]&lt;&gt;0, Tableau1[[#This Row],[Nombre intervenants]]&lt;&gt;0,Tableau1[[#This Row],[Lien document]]&lt;&gt;0,Tableau1[[#This Row],[DMS_SAP]]&lt;&gt;0)=TRUE,"MIS A JOUR","")</f>
        <v/>
      </c>
      <c r="AA785" s="48"/>
      <c r="AB785" s="58" t="str">
        <f ca="1">IF(Tableau1[[#This Row],[Date rév.]]&lt;&gt;"", DAYS360(Tableau1[[#This Row],[Date rév.]],TODAY()),"")</f>
        <v/>
      </c>
      <c r="AC785" s="47" t="str">
        <f>IFERROR(INDEX(Chemin_accès!$B$11:$C$22,MATCH(Tableau1[[#This Row],[Type]],Chemin_accès!$C$11:$C$22,0),1),Chemin_accès!$B$11)</f>
        <v>\\stjn.local\trimet\Btechnique\Commun\BT Maint SCELLEMENT\205 - Préventifs\Modèles préventif\GammeDMS_7.MSCT.xlsm</v>
      </c>
      <c r="AD785" s="47" t="str">
        <f>Chemin_accès!$B$8&amp;Tableau1[[#This Row],[Localisation / Classement]]&amp;"\"&amp;Tableau1[[#This Row],[Poste technique]]&amp;"_"&amp;Tableau1[[#This Row],[Plan Entretien]]&amp;".xlsm"</f>
        <v>\\stjn.local\trimet\Btechnique\Commun\BT Maint SCELLEMENT\205 - Préventifs\Gammes 7.MSCT PE Tool\\_.xlsm</v>
      </c>
    </row>
    <row r="786" spans="1:30" x14ac:dyDescent="0.3">
      <c r="A786" s="44" t="str">
        <f t="shared" ca="1" si="12"/>
        <v>7.MSCT</v>
      </c>
      <c r="B7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6" s="46"/>
      <c r="D786" s="44"/>
      <c r="E786" s="44"/>
      <c r="F786" s="47"/>
      <c r="G786" s="47"/>
      <c r="H786" s="50"/>
      <c r="I786" s="50"/>
      <c r="J786" s="50"/>
      <c r="K786" s="50"/>
      <c r="L786" s="46"/>
      <c r="M786" s="47"/>
      <c r="N786" s="46"/>
      <c r="O786" s="46"/>
      <c r="P786" s="47"/>
      <c r="Q786" s="46"/>
      <c r="R786" s="46"/>
      <c r="S786" s="48"/>
      <c r="T786" s="61" t="str">
        <f>IF(Tableau1[[#This Row],[DMS_SAP]]="","",HYPERLINK(Tableau1[[#This Row],[Chemin fichier source]],"X"))</f>
        <v/>
      </c>
      <c r="U786" s="61" t="str">
        <f>IF(Tableau1[[#This Row],[Date rév.]]="","",HYPERLINK(Tableau1[[#This Row],[Lien document]],"X"))</f>
        <v/>
      </c>
      <c r="V786" s="47"/>
      <c r="W786" s="49" t="str">
        <f ca="1">Chemin_accès!$B$2&amp;Tableau1[[#This Row],[Poste Responsable]]&amp;"\"&amp;Tableau1[[#This Row],[Localisation / Classement]]&amp;"\"&amp;Tableau1[[#This Row],[Poste technique]]&amp;"_"&amp;Tableau1[[#This Row],[Plan Entretien]]&amp;".pdf"</f>
        <v>\\stjn.local\trimet\Donnees_Projets\Dms Sap\Maintenance\PlanEntretien\7.MSCT\\_.pdf</v>
      </c>
      <c r="X786" s="47"/>
      <c r="Y786" s="47"/>
      <c r="Z786" s="44" t="str">
        <f ca="1">IF(AND(Tableau1[[#This Row],[Charge]]&lt;&gt;0, Tableau1[[#This Row],[Nombre intervenants]]&lt;&gt;0,Tableau1[[#This Row],[Lien document]]&lt;&gt;0,Tableau1[[#This Row],[DMS_SAP]]&lt;&gt;0)=TRUE,"MIS A JOUR","")</f>
        <v/>
      </c>
      <c r="AA786" s="48"/>
      <c r="AB786" s="58" t="str">
        <f ca="1">IF(Tableau1[[#This Row],[Date rév.]]&lt;&gt;"", DAYS360(Tableau1[[#This Row],[Date rév.]],TODAY()),"")</f>
        <v/>
      </c>
      <c r="AC786" s="47" t="str">
        <f>IFERROR(INDEX(Chemin_accès!$B$11:$C$22,MATCH(Tableau1[[#This Row],[Type]],Chemin_accès!$C$11:$C$22,0),1),Chemin_accès!$B$11)</f>
        <v>\\stjn.local\trimet\Btechnique\Commun\BT Maint SCELLEMENT\205 - Préventifs\Modèles préventif\GammeDMS_7.MSCT.xlsm</v>
      </c>
      <c r="AD786" s="47" t="str">
        <f>Chemin_accès!$B$8&amp;Tableau1[[#This Row],[Localisation / Classement]]&amp;"\"&amp;Tableau1[[#This Row],[Poste technique]]&amp;"_"&amp;Tableau1[[#This Row],[Plan Entretien]]&amp;".xlsm"</f>
        <v>\\stjn.local\trimet\Btechnique\Commun\BT Maint SCELLEMENT\205 - Préventifs\Gammes 7.MSCT PE Tool\\_.xlsm</v>
      </c>
    </row>
    <row r="787" spans="1:30" x14ac:dyDescent="0.3">
      <c r="A787" s="44" t="str">
        <f t="shared" ca="1" si="12"/>
        <v>7.MSCT</v>
      </c>
      <c r="B7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7" s="46"/>
      <c r="D787" s="44"/>
      <c r="E787" s="44"/>
      <c r="F787" s="47"/>
      <c r="G787" s="47"/>
      <c r="H787" s="50"/>
      <c r="I787" s="50"/>
      <c r="J787" s="50"/>
      <c r="K787" s="50"/>
      <c r="L787" s="46"/>
      <c r="M787" s="47"/>
      <c r="N787" s="46"/>
      <c r="O787" s="46"/>
      <c r="P787" s="47"/>
      <c r="Q787" s="46"/>
      <c r="R787" s="46"/>
      <c r="S787" s="48"/>
      <c r="T787" s="61" t="str">
        <f>IF(Tableau1[[#This Row],[DMS_SAP]]="","",HYPERLINK(Tableau1[[#This Row],[Chemin fichier source]],"X"))</f>
        <v/>
      </c>
      <c r="U787" s="61" t="str">
        <f>IF(Tableau1[[#This Row],[Date rév.]]="","",HYPERLINK(Tableau1[[#This Row],[Lien document]],"X"))</f>
        <v/>
      </c>
      <c r="V787" s="47"/>
      <c r="W787" s="49" t="str">
        <f ca="1">Chemin_accès!$B$2&amp;Tableau1[[#This Row],[Poste Responsable]]&amp;"\"&amp;Tableau1[[#This Row],[Localisation / Classement]]&amp;"\"&amp;Tableau1[[#This Row],[Poste technique]]&amp;"_"&amp;Tableau1[[#This Row],[Plan Entretien]]&amp;".pdf"</f>
        <v>\\stjn.local\trimet\Donnees_Projets\Dms Sap\Maintenance\PlanEntretien\7.MSCT\\_.pdf</v>
      </c>
      <c r="X787" s="47"/>
      <c r="Y787" s="47"/>
      <c r="Z787" s="44" t="str">
        <f ca="1">IF(AND(Tableau1[[#This Row],[Charge]]&lt;&gt;0, Tableau1[[#This Row],[Nombre intervenants]]&lt;&gt;0,Tableau1[[#This Row],[Lien document]]&lt;&gt;0,Tableau1[[#This Row],[DMS_SAP]]&lt;&gt;0)=TRUE,"MIS A JOUR","")</f>
        <v/>
      </c>
      <c r="AA787" s="48"/>
      <c r="AB787" s="58" t="str">
        <f ca="1">IF(Tableau1[[#This Row],[Date rév.]]&lt;&gt;"", DAYS360(Tableau1[[#This Row],[Date rév.]],TODAY()),"")</f>
        <v/>
      </c>
      <c r="AC787" s="47" t="str">
        <f>IFERROR(INDEX(Chemin_accès!$B$11:$C$22,MATCH(Tableau1[[#This Row],[Type]],Chemin_accès!$C$11:$C$22,0),1),Chemin_accès!$B$11)</f>
        <v>\\stjn.local\trimet\Btechnique\Commun\BT Maint SCELLEMENT\205 - Préventifs\Modèles préventif\GammeDMS_7.MSCT.xlsm</v>
      </c>
      <c r="AD787" s="47" t="str">
        <f>Chemin_accès!$B$8&amp;Tableau1[[#This Row],[Localisation / Classement]]&amp;"\"&amp;Tableau1[[#This Row],[Poste technique]]&amp;"_"&amp;Tableau1[[#This Row],[Plan Entretien]]&amp;".xlsm"</f>
        <v>\\stjn.local\trimet\Btechnique\Commun\BT Maint SCELLEMENT\205 - Préventifs\Gammes 7.MSCT PE Tool\\_.xlsm</v>
      </c>
    </row>
    <row r="788" spans="1:30" x14ac:dyDescent="0.3">
      <c r="A788" s="44" t="str">
        <f t="shared" ca="1" si="12"/>
        <v>7.MSCT</v>
      </c>
      <c r="B7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8" s="46"/>
      <c r="D788" s="44"/>
      <c r="E788" s="44"/>
      <c r="F788" s="47"/>
      <c r="G788" s="47"/>
      <c r="H788" s="50"/>
      <c r="I788" s="50"/>
      <c r="J788" s="50"/>
      <c r="K788" s="50"/>
      <c r="L788" s="46"/>
      <c r="M788" s="47"/>
      <c r="N788" s="46"/>
      <c r="O788" s="46"/>
      <c r="P788" s="47"/>
      <c r="Q788" s="46"/>
      <c r="R788" s="46"/>
      <c r="S788" s="48"/>
      <c r="T788" s="61" t="str">
        <f>IF(Tableau1[[#This Row],[DMS_SAP]]="","",HYPERLINK(Tableau1[[#This Row],[Chemin fichier source]],"X"))</f>
        <v/>
      </c>
      <c r="U788" s="61" t="str">
        <f>IF(Tableau1[[#This Row],[Date rév.]]="","",HYPERLINK(Tableau1[[#This Row],[Lien document]],"X"))</f>
        <v/>
      </c>
      <c r="V788" s="47"/>
      <c r="W788" s="49" t="str">
        <f ca="1">Chemin_accès!$B$2&amp;Tableau1[[#This Row],[Poste Responsable]]&amp;"\"&amp;Tableau1[[#This Row],[Localisation / Classement]]&amp;"\"&amp;Tableau1[[#This Row],[Poste technique]]&amp;"_"&amp;Tableau1[[#This Row],[Plan Entretien]]&amp;".pdf"</f>
        <v>\\stjn.local\trimet\Donnees_Projets\Dms Sap\Maintenance\PlanEntretien\7.MSCT\\_.pdf</v>
      </c>
      <c r="X788" s="47"/>
      <c r="Y788" s="47"/>
      <c r="Z788" s="44" t="str">
        <f ca="1">IF(AND(Tableau1[[#This Row],[Charge]]&lt;&gt;0, Tableau1[[#This Row],[Nombre intervenants]]&lt;&gt;0,Tableau1[[#This Row],[Lien document]]&lt;&gt;0,Tableau1[[#This Row],[DMS_SAP]]&lt;&gt;0)=TRUE,"MIS A JOUR","")</f>
        <v/>
      </c>
      <c r="AA788" s="48"/>
      <c r="AB788" s="58" t="str">
        <f ca="1">IF(Tableau1[[#This Row],[Date rév.]]&lt;&gt;"", DAYS360(Tableau1[[#This Row],[Date rév.]],TODAY()),"")</f>
        <v/>
      </c>
      <c r="AC788" s="47" t="str">
        <f>IFERROR(INDEX(Chemin_accès!$B$11:$C$22,MATCH(Tableau1[[#This Row],[Type]],Chemin_accès!$C$11:$C$22,0),1),Chemin_accès!$B$11)</f>
        <v>\\stjn.local\trimet\Btechnique\Commun\BT Maint SCELLEMENT\205 - Préventifs\Modèles préventif\GammeDMS_7.MSCT.xlsm</v>
      </c>
      <c r="AD788" s="47" t="str">
        <f>Chemin_accès!$B$8&amp;Tableau1[[#This Row],[Localisation / Classement]]&amp;"\"&amp;Tableau1[[#This Row],[Poste technique]]&amp;"_"&amp;Tableau1[[#This Row],[Plan Entretien]]&amp;".xlsm"</f>
        <v>\\stjn.local\trimet\Btechnique\Commun\BT Maint SCELLEMENT\205 - Préventifs\Gammes 7.MSCT PE Tool\\_.xlsm</v>
      </c>
    </row>
    <row r="789" spans="1:30" x14ac:dyDescent="0.3">
      <c r="A789" s="44" t="str">
        <f t="shared" ca="1" si="12"/>
        <v>7.MSCT</v>
      </c>
      <c r="B7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9" s="46"/>
      <c r="D789" s="44"/>
      <c r="E789" s="44"/>
      <c r="F789" s="47"/>
      <c r="G789" s="47"/>
      <c r="H789" s="50"/>
      <c r="I789" s="50"/>
      <c r="J789" s="50"/>
      <c r="K789" s="50"/>
      <c r="L789" s="46"/>
      <c r="M789" s="47"/>
      <c r="N789" s="46"/>
      <c r="O789" s="46"/>
      <c r="P789" s="47"/>
      <c r="Q789" s="46"/>
      <c r="R789" s="46"/>
      <c r="S789" s="48"/>
      <c r="T789" s="61" t="str">
        <f>IF(Tableau1[[#This Row],[DMS_SAP]]="","",HYPERLINK(Tableau1[[#This Row],[Chemin fichier source]],"X"))</f>
        <v/>
      </c>
      <c r="U789" s="61" t="str">
        <f>IF(Tableau1[[#This Row],[Date rév.]]="","",HYPERLINK(Tableau1[[#This Row],[Lien document]],"X"))</f>
        <v/>
      </c>
      <c r="V789" s="47"/>
      <c r="W789" s="49" t="str">
        <f ca="1">Chemin_accès!$B$2&amp;Tableau1[[#This Row],[Poste Responsable]]&amp;"\"&amp;Tableau1[[#This Row],[Localisation / Classement]]&amp;"\"&amp;Tableau1[[#This Row],[Poste technique]]&amp;"_"&amp;Tableau1[[#This Row],[Plan Entretien]]&amp;".pdf"</f>
        <v>\\stjn.local\trimet\Donnees_Projets\Dms Sap\Maintenance\PlanEntretien\7.MSCT\\_.pdf</v>
      </c>
      <c r="X789" s="47"/>
      <c r="Y789" s="47"/>
      <c r="Z789" s="44" t="str">
        <f ca="1">IF(AND(Tableau1[[#This Row],[Charge]]&lt;&gt;0, Tableau1[[#This Row],[Nombre intervenants]]&lt;&gt;0,Tableau1[[#This Row],[Lien document]]&lt;&gt;0,Tableau1[[#This Row],[DMS_SAP]]&lt;&gt;0)=TRUE,"MIS A JOUR","")</f>
        <v/>
      </c>
      <c r="AA789" s="48"/>
      <c r="AB789" s="58" t="str">
        <f ca="1">IF(Tableau1[[#This Row],[Date rév.]]&lt;&gt;"", DAYS360(Tableau1[[#This Row],[Date rév.]],TODAY()),"")</f>
        <v/>
      </c>
      <c r="AC789" s="47" t="str">
        <f>IFERROR(INDEX(Chemin_accès!$B$11:$C$22,MATCH(Tableau1[[#This Row],[Type]],Chemin_accès!$C$11:$C$22,0),1),Chemin_accès!$B$11)</f>
        <v>\\stjn.local\trimet\Btechnique\Commun\BT Maint SCELLEMENT\205 - Préventifs\Modèles préventif\GammeDMS_7.MSCT.xlsm</v>
      </c>
      <c r="AD789" s="47" t="str">
        <f>Chemin_accès!$B$8&amp;Tableau1[[#This Row],[Localisation / Classement]]&amp;"\"&amp;Tableau1[[#This Row],[Poste technique]]&amp;"_"&amp;Tableau1[[#This Row],[Plan Entretien]]&amp;".xlsm"</f>
        <v>\\stjn.local\trimet\Btechnique\Commun\BT Maint SCELLEMENT\205 - Préventifs\Gammes 7.MSCT PE Tool\\_.xlsm</v>
      </c>
    </row>
    <row r="790" spans="1:30" x14ac:dyDescent="0.3">
      <c r="A790" s="44" t="str">
        <f t="shared" ca="1" si="12"/>
        <v>7.MSCT</v>
      </c>
      <c r="B7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0" s="46"/>
      <c r="D790" s="44"/>
      <c r="E790" s="44"/>
      <c r="F790" s="47"/>
      <c r="G790" s="47"/>
      <c r="H790" s="50"/>
      <c r="I790" s="50"/>
      <c r="J790" s="50"/>
      <c r="K790" s="50"/>
      <c r="L790" s="46"/>
      <c r="M790" s="47"/>
      <c r="N790" s="46"/>
      <c r="O790" s="46"/>
      <c r="P790" s="47"/>
      <c r="Q790" s="46"/>
      <c r="R790" s="46"/>
      <c r="S790" s="48"/>
      <c r="T790" s="61" t="str">
        <f>IF(Tableau1[[#This Row],[DMS_SAP]]="","",HYPERLINK(Tableau1[[#This Row],[Chemin fichier source]],"X"))</f>
        <v/>
      </c>
      <c r="U790" s="61" t="str">
        <f>IF(Tableau1[[#This Row],[Date rév.]]="","",HYPERLINK(Tableau1[[#This Row],[Lien document]],"X"))</f>
        <v/>
      </c>
      <c r="V790" s="47"/>
      <c r="W790" s="49" t="str">
        <f ca="1">Chemin_accès!$B$2&amp;Tableau1[[#This Row],[Poste Responsable]]&amp;"\"&amp;Tableau1[[#This Row],[Localisation / Classement]]&amp;"\"&amp;Tableau1[[#This Row],[Poste technique]]&amp;"_"&amp;Tableau1[[#This Row],[Plan Entretien]]&amp;".pdf"</f>
        <v>\\stjn.local\trimet\Donnees_Projets\Dms Sap\Maintenance\PlanEntretien\7.MSCT\\_.pdf</v>
      </c>
      <c r="X790" s="47"/>
      <c r="Y790" s="47"/>
      <c r="Z790" s="44" t="str">
        <f ca="1">IF(AND(Tableau1[[#This Row],[Charge]]&lt;&gt;0, Tableau1[[#This Row],[Nombre intervenants]]&lt;&gt;0,Tableau1[[#This Row],[Lien document]]&lt;&gt;0,Tableau1[[#This Row],[DMS_SAP]]&lt;&gt;0)=TRUE,"MIS A JOUR","")</f>
        <v/>
      </c>
      <c r="AA790" s="48"/>
      <c r="AB790" s="58" t="str">
        <f ca="1">IF(Tableau1[[#This Row],[Date rév.]]&lt;&gt;"", DAYS360(Tableau1[[#This Row],[Date rév.]],TODAY()),"")</f>
        <v/>
      </c>
      <c r="AC790" s="47" t="str">
        <f>IFERROR(INDEX(Chemin_accès!$B$11:$C$22,MATCH(Tableau1[[#This Row],[Type]],Chemin_accès!$C$11:$C$22,0),1),Chemin_accès!$B$11)</f>
        <v>\\stjn.local\trimet\Btechnique\Commun\BT Maint SCELLEMENT\205 - Préventifs\Modèles préventif\GammeDMS_7.MSCT.xlsm</v>
      </c>
      <c r="AD790" s="47" t="str">
        <f>Chemin_accès!$B$8&amp;Tableau1[[#This Row],[Localisation / Classement]]&amp;"\"&amp;Tableau1[[#This Row],[Poste technique]]&amp;"_"&amp;Tableau1[[#This Row],[Plan Entretien]]&amp;".xlsm"</f>
        <v>\\stjn.local\trimet\Btechnique\Commun\BT Maint SCELLEMENT\205 - Préventifs\Gammes 7.MSCT PE Tool\\_.xlsm</v>
      </c>
    </row>
    <row r="791" spans="1:30" x14ac:dyDescent="0.3">
      <c r="A791" s="44" t="str">
        <f t="shared" ca="1" si="12"/>
        <v>7.MSCT</v>
      </c>
      <c r="B7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1" s="46"/>
      <c r="D791" s="44"/>
      <c r="E791" s="44"/>
      <c r="F791" s="47"/>
      <c r="G791" s="47"/>
      <c r="H791" s="50"/>
      <c r="I791" s="50"/>
      <c r="J791" s="50"/>
      <c r="K791" s="50"/>
      <c r="L791" s="46"/>
      <c r="M791" s="47"/>
      <c r="N791" s="46"/>
      <c r="O791" s="46"/>
      <c r="P791" s="47"/>
      <c r="Q791" s="46"/>
      <c r="R791" s="46"/>
      <c r="S791" s="48"/>
      <c r="T791" s="61" t="str">
        <f>IF(Tableau1[[#This Row],[DMS_SAP]]="","",HYPERLINK(Tableau1[[#This Row],[Chemin fichier source]],"X"))</f>
        <v/>
      </c>
      <c r="U791" s="61" t="str">
        <f>IF(Tableau1[[#This Row],[Date rév.]]="","",HYPERLINK(Tableau1[[#This Row],[Lien document]],"X"))</f>
        <v/>
      </c>
      <c r="V791" s="47"/>
      <c r="W791" s="49" t="str">
        <f ca="1">Chemin_accès!$B$2&amp;Tableau1[[#This Row],[Poste Responsable]]&amp;"\"&amp;Tableau1[[#This Row],[Localisation / Classement]]&amp;"\"&amp;Tableau1[[#This Row],[Poste technique]]&amp;"_"&amp;Tableau1[[#This Row],[Plan Entretien]]&amp;".pdf"</f>
        <v>\\stjn.local\trimet\Donnees_Projets\Dms Sap\Maintenance\PlanEntretien\7.MSCT\\_.pdf</v>
      </c>
      <c r="X791" s="47"/>
      <c r="Y791" s="47"/>
      <c r="Z791" s="44" t="str">
        <f ca="1">IF(AND(Tableau1[[#This Row],[Charge]]&lt;&gt;0, Tableau1[[#This Row],[Nombre intervenants]]&lt;&gt;0,Tableau1[[#This Row],[Lien document]]&lt;&gt;0,Tableau1[[#This Row],[DMS_SAP]]&lt;&gt;0)=TRUE,"MIS A JOUR","")</f>
        <v/>
      </c>
      <c r="AA791" s="48"/>
      <c r="AB791" s="58" t="str">
        <f ca="1">IF(Tableau1[[#This Row],[Date rév.]]&lt;&gt;"", DAYS360(Tableau1[[#This Row],[Date rév.]],TODAY()),"")</f>
        <v/>
      </c>
      <c r="AC791" s="47" t="str">
        <f>IFERROR(INDEX(Chemin_accès!$B$11:$C$22,MATCH(Tableau1[[#This Row],[Type]],Chemin_accès!$C$11:$C$22,0),1),Chemin_accès!$B$11)</f>
        <v>\\stjn.local\trimet\Btechnique\Commun\BT Maint SCELLEMENT\205 - Préventifs\Modèles préventif\GammeDMS_7.MSCT.xlsm</v>
      </c>
      <c r="AD791" s="47" t="str">
        <f>Chemin_accès!$B$8&amp;Tableau1[[#This Row],[Localisation / Classement]]&amp;"\"&amp;Tableau1[[#This Row],[Poste technique]]&amp;"_"&amp;Tableau1[[#This Row],[Plan Entretien]]&amp;".xlsm"</f>
        <v>\\stjn.local\trimet\Btechnique\Commun\BT Maint SCELLEMENT\205 - Préventifs\Gammes 7.MSCT PE Tool\\_.xlsm</v>
      </c>
    </row>
    <row r="792" spans="1:30" x14ac:dyDescent="0.3">
      <c r="A792" s="44" t="str">
        <f t="shared" ca="1" si="12"/>
        <v>7.MSCT</v>
      </c>
      <c r="B7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2" s="46"/>
      <c r="D792" s="44"/>
      <c r="E792" s="44"/>
      <c r="F792" s="47"/>
      <c r="G792" s="47"/>
      <c r="H792" s="50"/>
      <c r="I792" s="50"/>
      <c r="J792" s="50"/>
      <c r="K792" s="50"/>
      <c r="L792" s="46"/>
      <c r="M792" s="47"/>
      <c r="N792" s="46"/>
      <c r="O792" s="46"/>
      <c r="P792" s="47"/>
      <c r="Q792" s="46"/>
      <c r="R792" s="46"/>
      <c r="S792" s="48"/>
      <c r="T792" s="61" t="str">
        <f>IF(Tableau1[[#This Row],[DMS_SAP]]="","",HYPERLINK(Tableau1[[#This Row],[Chemin fichier source]],"X"))</f>
        <v/>
      </c>
      <c r="U792" s="61" t="str">
        <f>IF(Tableau1[[#This Row],[Date rév.]]="","",HYPERLINK(Tableau1[[#This Row],[Lien document]],"X"))</f>
        <v/>
      </c>
      <c r="V792" s="47"/>
      <c r="W792" s="49" t="str">
        <f ca="1">Chemin_accès!$B$2&amp;Tableau1[[#This Row],[Poste Responsable]]&amp;"\"&amp;Tableau1[[#This Row],[Localisation / Classement]]&amp;"\"&amp;Tableau1[[#This Row],[Poste technique]]&amp;"_"&amp;Tableau1[[#This Row],[Plan Entretien]]&amp;".pdf"</f>
        <v>\\stjn.local\trimet\Donnees_Projets\Dms Sap\Maintenance\PlanEntretien\7.MSCT\\_.pdf</v>
      </c>
      <c r="X792" s="47"/>
      <c r="Y792" s="47"/>
      <c r="Z792" s="44" t="str">
        <f ca="1">IF(AND(Tableau1[[#This Row],[Charge]]&lt;&gt;0, Tableau1[[#This Row],[Nombre intervenants]]&lt;&gt;0,Tableau1[[#This Row],[Lien document]]&lt;&gt;0,Tableau1[[#This Row],[DMS_SAP]]&lt;&gt;0)=TRUE,"MIS A JOUR","")</f>
        <v/>
      </c>
      <c r="AA792" s="48"/>
      <c r="AB792" s="58" t="str">
        <f ca="1">IF(Tableau1[[#This Row],[Date rév.]]&lt;&gt;"", DAYS360(Tableau1[[#This Row],[Date rév.]],TODAY()),"")</f>
        <v/>
      </c>
      <c r="AC792" s="47" t="str">
        <f>IFERROR(INDEX(Chemin_accès!$B$11:$C$22,MATCH(Tableau1[[#This Row],[Type]],Chemin_accès!$C$11:$C$22,0),1),Chemin_accès!$B$11)</f>
        <v>\\stjn.local\trimet\Btechnique\Commun\BT Maint SCELLEMENT\205 - Préventifs\Modèles préventif\GammeDMS_7.MSCT.xlsm</v>
      </c>
      <c r="AD792" s="47" t="str">
        <f>Chemin_accès!$B$8&amp;Tableau1[[#This Row],[Localisation / Classement]]&amp;"\"&amp;Tableau1[[#This Row],[Poste technique]]&amp;"_"&amp;Tableau1[[#This Row],[Plan Entretien]]&amp;".xlsm"</f>
        <v>\\stjn.local\trimet\Btechnique\Commun\BT Maint SCELLEMENT\205 - Préventifs\Gammes 7.MSCT PE Tool\\_.xlsm</v>
      </c>
    </row>
    <row r="793" spans="1:30" x14ac:dyDescent="0.3">
      <c r="A793" s="44" t="str">
        <f t="shared" ca="1" si="12"/>
        <v>7.MSCT</v>
      </c>
      <c r="B7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3" s="46"/>
      <c r="D793" s="44"/>
      <c r="E793" s="44"/>
      <c r="F793" s="47"/>
      <c r="G793" s="47"/>
      <c r="H793" s="50"/>
      <c r="I793" s="50"/>
      <c r="J793" s="50"/>
      <c r="K793" s="50"/>
      <c r="L793" s="46"/>
      <c r="M793" s="47"/>
      <c r="N793" s="46"/>
      <c r="O793" s="46"/>
      <c r="P793" s="47"/>
      <c r="Q793" s="46"/>
      <c r="R793" s="46"/>
      <c r="S793" s="48"/>
      <c r="T793" s="61" t="str">
        <f>IF(Tableau1[[#This Row],[DMS_SAP]]="","",HYPERLINK(Tableau1[[#This Row],[Chemin fichier source]],"X"))</f>
        <v/>
      </c>
      <c r="U793" s="61" t="str">
        <f>IF(Tableau1[[#This Row],[Date rév.]]="","",HYPERLINK(Tableau1[[#This Row],[Lien document]],"X"))</f>
        <v/>
      </c>
      <c r="V793" s="47"/>
      <c r="W793" s="49" t="str">
        <f ca="1">Chemin_accès!$B$2&amp;Tableau1[[#This Row],[Poste Responsable]]&amp;"\"&amp;Tableau1[[#This Row],[Localisation / Classement]]&amp;"\"&amp;Tableau1[[#This Row],[Poste technique]]&amp;"_"&amp;Tableau1[[#This Row],[Plan Entretien]]&amp;".pdf"</f>
        <v>\\stjn.local\trimet\Donnees_Projets\Dms Sap\Maintenance\PlanEntretien\7.MSCT\\_.pdf</v>
      </c>
      <c r="X793" s="47"/>
      <c r="Y793" s="47"/>
      <c r="Z793" s="44" t="str">
        <f ca="1">IF(AND(Tableau1[[#This Row],[Charge]]&lt;&gt;0, Tableau1[[#This Row],[Nombre intervenants]]&lt;&gt;0,Tableau1[[#This Row],[Lien document]]&lt;&gt;0,Tableau1[[#This Row],[DMS_SAP]]&lt;&gt;0)=TRUE,"MIS A JOUR","")</f>
        <v/>
      </c>
      <c r="AA793" s="48"/>
      <c r="AB793" s="58" t="str">
        <f ca="1">IF(Tableau1[[#This Row],[Date rév.]]&lt;&gt;"", DAYS360(Tableau1[[#This Row],[Date rév.]],TODAY()),"")</f>
        <v/>
      </c>
      <c r="AC793" s="47" t="str">
        <f>IFERROR(INDEX(Chemin_accès!$B$11:$C$22,MATCH(Tableau1[[#This Row],[Type]],Chemin_accès!$C$11:$C$22,0),1),Chemin_accès!$B$11)</f>
        <v>\\stjn.local\trimet\Btechnique\Commun\BT Maint SCELLEMENT\205 - Préventifs\Modèles préventif\GammeDMS_7.MSCT.xlsm</v>
      </c>
      <c r="AD793" s="47" t="str">
        <f>Chemin_accès!$B$8&amp;Tableau1[[#This Row],[Localisation / Classement]]&amp;"\"&amp;Tableau1[[#This Row],[Poste technique]]&amp;"_"&amp;Tableau1[[#This Row],[Plan Entretien]]&amp;".xlsm"</f>
        <v>\\stjn.local\trimet\Btechnique\Commun\BT Maint SCELLEMENT\205 - Préventifs\Gammes 7.MSCT PE Tool\\_.xlsm</v>
      </c>
    </row>
    <row r="794" spans="1:30" x14ac:dyDescent="0.3">
      <c r="A794" s="44" t="str">
        <f t="shared" ca="1" si="12"/>
        <v>7.MSCT</v>
      </c>
      <c r="B7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4" s="46"/>
      <c r="D794" s="44"/>
      <c r="E794" s="44"/>
      <c r="F794" s="47"/>
      <c r="G794" s="47"/>
      <c r="H794" s="50"/>
      <c r="I794" s="50"/>
      <c r="J794" s="50"/>
      <c r="K794" s="50"/>
      <c r="L794" s="46"/>
      <c r="M794" s="47"/>
      <c r="N794" s="46"/>
      <c r="O794" s="46"/>
      <c r="P794" s="47"/>
      <c r="Q794" s="46"/>
      <c r="R794" s="46"/>
      <c r="S794" s="48"/>
      <c r="T794" s="61" t="str">
        <f>IF(Tableau1[[#This Row],[DMS_SAP]]="","",HYPERLINK(Tableau1[[#This Row],[Chemin fichier source]],"X"))</f>
        <v/>
      </c>
      <c r="U794" s="61" t="str">
        <f>IF(Tableau1[[#This Row],[Date rév.]]="","",HYPERLINK(Tableau1[[#This Row],[Lien document]],"X"))</f>
        <v/>
      </c>
      <c r="V794" s="47"/>
      <c r="W794" s="49" t="str">
        <f ca="1">Chemin_accès!$B$2&amp;Tableau1[[#This Row],[Poste Responsable]]&amp;"\"&amp;Tableau1[[#This Row],[Localisation / Classement]]&amp;"\"&amp;Tableau1[[#This Row],[Poste technique]]&amp;"_"&amp;Tableau1[[#This Row],[Plan Entretien]]&amp;".pdf"</f>
        <v>\\stjn.local\trimet\Donnees_Projets\Dms Sap\Maintenance\PlanEntretien\7.MSCT\\_.pdf</v>
      </c>
      <c r="X794" s="47"/>
      <c r="Y794" s="47"/>
      <c r="Z794" s="44" t="str">
        <f ca="1">IF(AND(Tableau1[[#This Row],[Charge]]&lt;&gt;0, Tableau1[[#This Row],[Nombre intervenants]]&lt;&gt;0,Tableau1[[#This Row],[Lien document]]&lt;&gt;0,Tableau1[[#This Row],[DMS_SAP]]&lt;&gt;0)=TRUE,"MIS A JOUR","")</f>
        <v/>
      </c>
      <c r="AA794" s="48"/>
      <c r="AB794" s="58" t="str">
        <f ca="1">IF(Tableau1[[#This Row],[Date rév.]]&lt;&gt;"", DAYS360(Tableau1[[#This Row],[Date rév.]],TODAY()),"")</f>
        <v/>
      </c>
      <c r="AC794" s="47" t="str">
        <f>IFERROR(INDEX(Chemin_accès!$B$11:$C$22,MATCH(Tableau1[[#This Row],[Type]],Chemin_accès!$C$11:$C$22,0),1),Chemin_accès!$B$11)</f>
        <v>\\stjn.local\trimet\Btechnique\Commun\BT Maint SCELLEMENT\205 - Préventifs\Modèles préventif\GammeDMS_7.MSCT.xlsm</v>
      </c>
      <c r="AD794" s="47" t="str">
        <f>Chemin_accès!$B$8&amp;Tableau1[[#This Row],[Localisation / Classement]]&amp;"\"&amp;Tableau1[[#This Row],[Poste technique]]&amp;"_"&amp;Tableau1[[#This Row],[Plan Entretien]]&amp;".xlsm"</f>
        <v>\\stjn.local\trimet\Btechnique\Commun\BT Maint SCELLEMENT\205 - Préventifs\Gammes 7.MSCT PE Tool\\_.xlsm</v>
      </c>
    </row>
    <row r="795" spans="1:30" x14ac:dyDescent="0.3">
      <c r="A795" s="44" t="str">
        <f t="shared" ca="1" si="12"/>
        <v>7.MSCT</v>
      </c>
      <c r="B7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5" s="46"/>
      <c r="D795" s="44"/>
      <c r="E795" s="44"/>
      <c r="F795" s="47"/>
      <c r="G795" s="47"/>
      <c r="H795" s="50"/>
      <c r="I795" s="50"/>
      <c r="J795" s="50"/>
      <c r="K795" s="50"/>
      <c r="L795" s="46"/>
      <c r="M795" s="47"/>
      <c r="N795" s="46"/>
      <c r="O795" s="46"/>
      <c r="P795" s="47"/>
      <c r="Q795" s="46"/>
      <c r="R795" s="46"/>
      <c r="S795" s="48"/>
      <c r="T795" s="61" t="str">
        <f>IF(Tableau1[[#This Row],[DMS_SAP]]="","",HYPERLINK(Tableau1[[#This Row],[Chemin fichier source]],"X"))</f>
        <v/>
      </c>
      <c r="U795" s="61" t="str">
        <f>IF(Tableau1[[#This Row],[Date rév.]]="","",HYPERLINK(Tableau1[[#This Row],[Lien document]],"X"))</f>
        <v/>
      </c>
      <c r="V795" s="47"/>
      <c r="W795" s="49" t="str">
        <f ca="1">Chemin_accès!$B$2&amp;Tableau1[[#This Row],[Poste Responsable]]&amp;"\"&amp;Tableau1[[#This Row],[Localisation / Classement]]&amp;"\"&amp;Tableau1[[#This Row],[Poste technique]]&amp;"_"&amp;Tableau1[[#This Row],[Plan Entretien]]&amp;".pdf"</f>
        <v>\\stjn.local\trimet\Donnees_Projets\Dms Sap\Maintenance\PlanEntretien\7.MSCT\\_.pdf</v>
      </c>
      <c r="X795" s="47"/>
      <c r="Y795" s="47"/>
      <c r="Z795" s="44" t="str">
        <f ca="1">IF(AND(Tableau1[[#This Row],[Charge]]&lt;&gt;0, Tableau1[[#This Row],[Nombre intervenants]]&lt;&gt;0,Tableau1[[#This Row],[Lien document]]&lt;&gt;0,Tableau1[[#This Row],[DMS_SAP]]&lt;&gt;0)=TRUE,"MIS A JOUR","")</f>
        <v/>
      </c>
      <c r="AA795" s="48"/>
      <c r="AB795" s="58" t="str">
        <f ca="1">IF(Tableau1[[#This Row],[Date rév.]]&lt;&gt;"", DAYS360(Tableau1[[#This Row],[Date rév.]],TODAY()),"")</f>
        <v/>
      </c>
      <c r="AC795" s="47" t="str">
        <f>IFERROR(INDEX(Chemin_accès!$B$11:$C$22,MATCH(Tableau1[[#This Row],[Type]],Chemin_accès!$C$11:$C$22,0),1),Chemin_accès!$B$11)</f>
        <v>\\stjn.local\trimet\Btechnique\Commun\BT Maint SCELLEMENT\205 - Préventifs\Modèles préventif\GammeDMS_7.MSCT.xlsm</v>
      </c>
      <c r="AD795" s="47" t="str">
        <f>Chemin_accès!$B$8&amp;Tableau1[[#This Row],[Localisation / Classement]]&amp;"\"&amp;Tableau1[[#This Row],[Poste technique]]&amp;"_"&amp;Tableau1[[#This Row],[Plan Entretien]]&amp;".xlsm"</f>
        <v>\\stjn.local\trimet\Btechnique\Commun\BT Maint SCELLEMENT\205 - Préventifs\Gammes 7.MSCT PE Tool\\_.xlsm</v>
      </c>
    </row>
    <row r="796" spans="1:30" x14ac:dyDescent="0.3">
      <c r="A796" s="44" t="str">
        <f t="shared" ca="1" si="12"/>
        <v>7.MSCT</v>
      </c>
      <c r="B7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6" s="46"/>
      <c r="D796" s="44"/>
      <c r="E796" s="44"/>
      <c r="F796" s="47"/>
      <c r="G796" s="47"/>
      <c r="H796" s="50"/>
      <c r="I796" s="50"/>
      <c r="J796" s="50"/>
      <c r="K796" s="50"/>
      <c r="L796" s="46"/>
      <c r="M796" s="47"/>
      <c r="N796" s="46"/>
      <c r="O796" s="46"/>
      <c r="P796" s="47"/>
      <c r="Q796" s="46"/>
      <c r="R796" s="46"/>
      <c r="S796" s="48"/>
      <c r="T796" s="61" t="str">
        <f>IF(Tableau1[[#This Row],[DMS_SAP]]="","",HYPERLINK(Tableau1[[#This Row],[Chemin fichier source]],"X"))</f>
        <v/>
      </c>
      <c r="U796" s="61" t="str">
        <f>IF(Tableau1[[#This Row],[Date rév.]]="","",HYPERLINK(Tableau1[[#This Row],[Lien document]],"X"))</f>
        <v/>
      </c>
      <c r="V796" s="47"/>
      <c r="W796" s="49" t="str">
        <f ca="1">Chemin_accès!$B$2&amp;Tableau1[[#This Row],[Poste Responsable]]&amp;"\"&amp;Tableau1[[#This Row],[Localisation / Classement]]&amp;"\"&amp;Tableau1[[#This Row],[Poste technique]]&amp;"_"&amp;Tableau1[[#This Row],[Plan Entretien]]&amp;".pdf"</f>
        <v>\\stjn.local\trimet\Donnees_Projets\Dms Sap\Maintenance\PlanEntretien\7.MSCT\\_.pdf</v>
      </c>
      <c r="X796" s="47"/>
      <c r="Y796" s="47"/>
      <c r="Z796" s="44" t="str">
        <f ca="1">IF(AND(Tableau1[[#This Row],[Charge]]&lt;&gt;0, Tableau1[[#This Row],[Nombre intervenants]]&lt;&gt;0,Tableau1[[#This Row],[Lien document]]&lt;&gt;0,Tableau1[[#This Row],[DMS_SAP]]&lt;&gt;0)=TRUE,"MIS A JOUR","")</f>
        <v/>
      </c>
      <c r="AA796" s="48"/>
      <c r="AB796" s="58" t="str">
        <f ca="1">IF(Tableau1[[#This Row],[Date rév.]]&lt;&gt;"", DAYS360(Tableau1[[#This Row],[Date rév.]],TODAY()),"")</f>
        <v/>
      </c>
      <c r="AC796" s="47" t="str">
        <f>IFERROR(INDEX(Chemin_accès!$B$11:$C$22,MATCH(Tableau1[[#This Row],[Type]],Chemin_accès!$C$11:$C$22,0),1),Chemin_accès!$B$11)</f>
        <v>\\stjn.local\trimet\Btechnique\Commun\BT Maint SCELLEMENT\205 - Préventifs\Modèles préventif\GammeDMS_7.MSCT.xlsm</v>
      </c>
      <c r="AD796" s="47" t="str">
        <f>Chemin_accès!$B$8&amp;Tableau1[[#This Row],[Localisation / Classement]]&amp;"\"&amp;Tableau1[[#This Row],[Poste technique]]&amp;"_"&amp;Tableau1[[#This Row],[Plan Entretien]]&amp;".xlsm"</f>
        <v>\\stjn.local\trimet\Btechnique\Commun\BT Maint SCELLEMENT\205 - Préventifs\Gammes 7.MSCT PE Tool\\_.xlsm</v>
      </c>
    </row>
    <row r="797" spans="1:30" x14ac:dyDescent="0.3">
      <c r="A797" s="44" t="str">
        <f t="shared" ca="1" si="12"/>
        <v>7.MSCT</v>
      </c>
      <c r="B7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7" s="46"/>
      <c r="D797" s="44"/>
      <c r="E797" s="44"/>
      <c r="F797" s="47"/>
      <c r="G797" s="47"/>
      <c r="H797" s="50"/>
      <c r="I797" s="50"/>
      <c r="J797" s="50"/>
      <c r="K797" s="50"/>
      <c r="L797" s="46"/>
      <c r="M797" s="47"/>
      <c r="N797" s="46"/>
      <c r="O797" s="46"/>
      <c r="P797" s="47"/>
      <c r="Q797" s="46"/>
      <c r="R797" s="46"/>
      <c r="S797" s="48"/>
      <c r="T797" s="61" t="str">
        <f>IF(Tableau1[[#This Row],[DMS_SAP]]="","",HYPERLINK(Tableau1[[#This Row],[Chemin fichier source]],"X"))</f>
        <v/>
      </c>
      <c r="U797" s="61" t="str">
        <f>IF(Tableau1[[#This Row],[Date rév.]]="","",HYPERLINK(Tableau1[[#This Row],[Lien document]],"X"))</f>
        <v/>
      </c>
      <c r="V797" s="47"/>
      <c r="W797" s="49" t="str">
        <f ca="1">Chemin_accès!$B$2&amp;Tableau1[[#This Row],[Poste Responsable]]&amp;"\"&amp;Tableau1[[#This Row],[Localisation / Classement]]&amp;"\"&amp;Tableau1[[#This Row],[Poste technique]]&amp;"_"&amp;Tableau1[[#This Row],[Plan Entretien]]&amp;".pdf"</f>
        <v>\\stjn.local\trimet\Donnees_Projets\Dms Sap\Maintenance\PlanEntretien\7.MSCT\\_.pdf</v>
      </c>
      <c r="X797" s="47"/>
      <c r="Y797" s="47"/>
      <c r="Z797" s="44" t="str">
        <f ca="1">IF(AND(Tableau1[[#This Row],[Charge]]&lt;&gt;0, Tableau1[[#This Row],[Nombre intervenants]]&lt;&gt;0,Tableau1[[#This Row],[Lien document]]&lt;&gt;0,Tableau1[[#This Row],[DMS_SAP]]&lt;&gt;0)=TRUE,"MIS A JOUR","")</f>
        <v/>
      </c>
      <c r="AA797" s="48"/>
      <c r="AB797" s="58" t="str">
        <f ca="1">IF(Tableau1[[#This Row],[Date rév.]]&lt;&gt;"", DAYS360(Tableau1[[#This Row],[Date rév.]],TODAY()),"")</f>
        <v/>
      </c>
      <c r="AC797" s="47" t="str">
        <f>IFERROR(INDEX(Chemin_accès!$B$11:$C$22,MATCH(Tableau1[[#This Row],[Type]],Chemin_accès!$C$11:$C$22,0),1),Chemin_accès!$B$11)</f>
        <v>\\stjn.local\trimet\Btechnique\Commun\BT Maint SCELLEMENT\205 - Préventifs\Modèles préventif\GammeDMS_7.MSCT.xlsm</v>
      </c>
      <c r="AD797" s="47" t="str">
        <f>Chemin_accès!$B$8&amp;Tableau1[[#This Row],[Localisation / Classement]]&amp;"\"&amp;Tableau1[[#This Row],[Poste technique]]&amp;"_"&amp;Tableau1[[#This Row],[Plan Entretien]]&amp;".xlsm"</f>
        <v>\\stjn.local\trimet\Btechnique\Commun\BT Maint SCELLEMENT\205 - Préventifs\Gammes 7.MSCT PE Tool\\_.xlsm</v>
      </c>
    </row>
    <row r="798" spans="1:30" x14ac:dyDescent="0.3">
      <c r="A798" s="44" t="str">
        <f t="shared" ca="1" si="12"/>
        <v>7.MSCT</v>
      </c>
      <c r="B7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8" s="46"/>
      <c r="D798" s="44"/>
      <c r="E798" s="44"/>
      <c r="F798" s="47"/>
      <c r="G798" s="47"/>
      <c r="H798" s="50"/>
      <c r="I798" s="50"/>
      <c r="J798" s="50"/>
      <c r="K798" s="50"/>
      <c r="L798" s="46"/>
      <c r="M798" s="47"/>
      <c r="N798" s="46"/>
      <c r="O798" s="46"/>
      <c r="P798" s="47"/>
      <c r="Q798" s="46"/>
      <c r="R798" s="46"/>
      <c r="S798" s="48"/>
      <c r="T798" s="61" t="str">
        <f>IF(Tableau1[[#This Row],[DMS_SAP]]="","",HYPERLINK(Tableau1[[#This Row],[Chemin fichier source]],"X"))</f>
        <v/>
      </c>
      <c r="U798" s="61" t="str">
        <f>IF(Tableau1[[#This Row],[Date rév.]]="","",HYPERLINK(Tableau1[[#This Row],[Lien document]],"X"))</f>
        <v/>
      </c>
      <c r="V798" s="47"/>
      <c r="W798" s="49" t="str">
        <f ca="1">Chemin_accès!$B$2&amp;Tableau1[[#This Row],[Poste Responsable]]&amp;"\"&amp;Tableau1[[#This Row],[Localisation / Classement]]&amp;"\"&amp;Tableau1[[#This Row],[Poste technique]]&amp;"_"&amp;Tableau1[[#This Row],[Plan Entretien]]&amp;".pdf"</f>
        <v>\\stjn.local\trimet\Donnees_Projets\Dms Sap\Maintenance\PlanEntretien\7.MSCT\\_.pdf</v>
      </c>
      <c r="X798" s="47"/>
      <c r="Y798" s="47"/>
      <c r="Z798" s="44" t="str">
        <f ca="1">IF(AND(Tableau1[[#This Row],[Charge]]&lt;&gt;0, Tableau1[[#This Row],[Nombre intervenants]]&lt;&gt;0,Tableau1[[#This Row],[Lien document]]&lt;&gt;0,Tableau1[[#This Row],[DMS_SAP]]&lt;&gt;0)=TRUE,"MIS A JOUR","")</f>
        <v/>
      </c>
      <c r="AA798" s="48"/>
      <c r="AB798" s="58" t="str">
        <f ca="1">IF(Tableau1[[#This Row],[Date rév.]]&lt;&gt;"", DAYS360(Tableau1[[#This Row],[Date rév.]],TODAY()),"")</f>
        <v/>
      </c>
      <c r="AC798" s="47" t="str">
        <f>IFERROR(INDEX(Chemin_accès!$B$11:$C$22,MATCH(Tableau1[[#This Row],[Type]],Chemin_accès!$C$11:$C$22,0),1),Chemin_accès!$B$11)</f>
        <v>\\stjn.local\trimet\Btechnique\Commun\BT Maint SCELLEMENT\205 - Préventifs\Modèles préventif\GammeDMS_7.MSCT.xlsm</v>
      </c>
      <c r="AD798" s="47" t="str">
        <f>Chemin_accès!$B$8&amp;Tableau1[[#This Row],[Localisation / Classement]]&amp;"\"&amp;Tableau1[[#This Row],[Poste technique]]&amp;"_"&amp;Tableau1[[#This Row],[Plan Entretien]]&amp;".xlsm"</f>
        <v>\\stjn.local\trimet\Btechnique\Commun\BT Maint SCELLEMENT\205 - Préventifs\Gammes 7.MSCT PE Tool\\_.xlsm</v>
      </c>
    </row>
    <row r="799" spans="1:30" x14ac:dyDescent="0.3">
      <c r="A799" s="44" t="str">
        <f t="shared" ca="1" si="12"/>
        <v>7.MSCT</v>
      </c>
      <c r="B7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9" s="46"/>
      <c r="D799" s="44"/>
      <c r="E799" s="44"/>
      <c r="F799" s="47"/>
      <c r="G799" s="47"/>
      <c r="H799" s="50"/>
      <c r="I799" s="50"/>
      <c r="J799" s="50"/>
      <c r="K799" s="50"/>
      <c r="L799" s="46"/>
      <c r="M799" s="47"/>
      <c r="N799" s="46"/>
      <c r="O799" s="46"/>
      <c r="P799" s="47"/>
      <c r="Q799" s="46"/>
      <c r="R799" s="46"/>
      <c r="S799" s="48"/>
      <c r="T799" s="61" t="str">
        <f>IF(Tableau1[[#This Row],[DMS_SAP]]="","",HYPERLINK(Tableau1[[#This Row],[Chemin fichier source]],"X"))</f>
        <v/>
      </c>
      <c r="U799" s="61" t="str">
        <f>IF(Tableau1[[#This Row],[Date rév.]]="","",HYPERLINK(Tableau1[[#This Row],[Lien document]],"X"))</f>
        <v/>
      </c>
      <c r="V799" s="47"/>
      <c r="W799" s="49" t="str">
        <f ca="1">Chemin_accès!$B$2&amp;Tableau1[[#This Row],[Poste Responsable]]&amp;"\"&amp;Tableau1[[#This Row],[Localisation / Classement]]&amp;"\"&amp;Tableau1[[#This Row],[Poste technique]]&amp;"_"&amp;Tableau1[[#This Row],[Plan Entretien]]&amp;".pdf"</f>
        <v>\\stjn.local\trimet\Donnees_Projets\Dms Sap\Maintenance\PlanEntretien\7.MSCT\\_.pdf</v>
      </c>
      <c r="X799" s="47"/>
      <c r="Y799" s="47"/>
      <c r="Z799" s="44" t="str">
        <f ca="1">IF(AND(Tableau1[[#This Row],[Charge]]&lt;&gt;0, Tableau1[[#This Row],[Nombre intervenants]]&lt;&gt;0,Tableau1[[#This Row],[Lien document]]&lt;&gt;0,Tableau1[[#This Row],[DMS_SAP]]&lt;&gt;0)=TRUE,"MIS A JOUR","")</f>
        <v/>
      </c>
      <c r="AA799" s="48"/>
      <c r="AB799" s="58" t="str">
        <f ca="1">IF(Tableau1[[#This Row],[Date rév.]]&lt;&gt;"", DAYS360(Tableau1[[#This Row],[Date rév.]],TODAY()),"")</f>
        <v/>
      </c>
      <c r="AC799" s="47" t="str">
        <f>IFERROR(INDEX(Chemin_accès!$B$11:$C$22,MATCH(Tableau1[[#This Row],[Type]],Chemin_accès!$C$11:$C$22,0),1),Chemin_accès!$B$11)</f>
        <v>\\stjn.local\trimet\Btechnique\Commun\BT Maint SCELLEMENT\205 - Préventifs\Modèles préventif\GammeDMS_7.MSCT.xlsm</v>
      </c>
      <c r="AD799" s="47" t="str">
        <f>Chemin_accès!$B$8&amp;Tableau1[[#This Row],[Localisation / Classement]]&amp;"\"&amp;Tableau1[[#This Row],[Poste technique]]&amp;"_"&amp;Tableau1[[#This Row],[Plan Entretien]]&amp;".xlsm"</f>
        <v>\\stjn.local\trimet\Btechnique\Commun\BT Maint SCELLEMENT\205 - Préventifs\Gammes 7.MSCT PE Tool\\_.xlsm</v>
      </c>
    </row>
    <row r="800" spans="1:30" x14ac:dyDescent="0.3">
      <c r="A800" s="44" t="str">
        <f t="shared" ca="1" si="12"/>
        <v>7.MSCT</v>
      </c>
      <c r="B8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0" s="46"/>
      <c r="D800" s="44"/>
      <c r="E800" s="44"/>
      <c r="F800" s="47"/>
      <c r="G800" s="47"/>
      <c r="H800" s="50"/>
      <c r="I800" s="50"/>
      <c r="J800" s="50"/>
      <c r="K800" s="50"/>
      <c r="L800" s="46"/>
      <c r="M800" s="47"/>
      <c r="N800" s="46"/>
      <c r="O800" s="46"/>
      <c r="P800" s="47"/>
      <c r="Q800" s="46"/>
      <c r="R800" s="46"/>
      <c r="S800" s="48"/>
      <c r="T800" s="61" t="str">
        <f>IF(Tableau1[[#This Row],[DMS_SAP]]="","",HYPERLINK(Tableau1[[#This Row],[Chemin fichier source]],"X"))</f>
        <v/>
      </c>
      <c r="U800" s="61" t="str">
        <f>IF(Tableau1[[#This Row],[Date rév.]]="","",HYPERLINK(Tableau1[[#This Row],[Lien document]],"X"))</f>
        <v/>
      </c>
      <c r="V800" s="47"/>
      <c r="W800" s="49" t="str">
        <f ca="1">Chemin_accès!$B$2&amp;Tableau1[[#This Row],[Poste Responsable]]&amp;"\"&amp;Tableau1[[#This Row],[Localisation / Classement]]&amp;"\"&amp;Tableau1[[#This Row],[Poste technique]]&amp;"_"&amp;Tableau1[[#This Row],[Plan Entretien]]&amp;".pdf"</f>
        <v>\\stjn.local\trimet\Donnees_Projets\Dms Sap\Maintenance\PlanEntretien\7.MSCT\\_.pdf</v>
      </c>
      <c r="X800" s="47"/>
      <c r="Y800" s="47"/>
      <c r="Z800" s="44" t="str">
        <f ca="1">IF(AND(Tableau1[[#This Row],[Charge]]&lt;&gt;0, Tableau1[[#This Row],[Nombre intervenants]]&lt;&gt;0,Tableau1[[#This Row],[Lien document]]&lt;&gt;0,Tableau1[[#This Row],[DMS_SAP]]&lt;&gt;0)=TRUE,"MIS A JOUR","")</f>
        <v/>
      </c>
      <c r="AA800" s="48"/>
      <c r="AB800" s="58" t="str">
        <f ca="1">IF(Tableau1[[#This Row],[Date rév.]]&lt;&gt;"", DAYS360(Tableau1[[#This Row],[Date rév.]],TODAY()),"")</f>
        <v/>
      </c>
      <c r="AC800" s="47" t="str">
        <f>IFERROR(INDEX(Chemin_accès!$B$11:$C$22,MATCH(Tableau1[[#This Row],[Type]],Chemin_accès!$C$11:$C$22,0),1),Chemin_accès!$B$11)</f>
        <v>\\stjn.local\trimet\Btechnique\Commun\BT Maint SCELLEMENT\205 - Préventifs\Modèles préventif\GammeDMS_7.MSCT.xlsm</v>
      </c>
      <c r="AD800" s="47" t="str">
        <f>Chemin_accès!$B$8&amp;Tableau1[[#This Row],[Localisation / Classement]]&amp;"\"&amp;Tableau1[[#This Row],[Poste technique]]&amp;"_"&amp;Tableau1[[#This Row],[Plan Entretien]]&amp;".xlsm"</f>
        <v>\\stjn.local\trimet\Btechnique\Commun\BT Maint SCELLEMENT\205 - Préventifs\Gammes 7.MSCT PE Tool\\_.xlsm</v>
      </c>
    </row>
    <row r="801" spans="1:30" x14ac:dyDescent="0.3">
      <c r="A801" s="44" t="str">
        <f t="shared" ca="1" si="12"/>
        <v>7.MSCT</v>
      </c>
      <c r="B8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1" s="46"/>
      <c r="D801" s="44"/>
      <c r="E801" s="44"/>
      <c r="F801" s="47"/>
      <c r="G801" s="47"/>
      <c r="H801" s="50"/>
      <c r="I801" s="50"/>
      <c r="J801" s="50"/>
      <c r="K801" s="50"/>
      <c r="L801" s="46"/>
      <c r="M801" s="47"/>
      <c r="N801" s="46"/>
      <c r="O801" s="46"/>
      <c r="P801" s="47"/>
      <c r="Q801" s="46"/>
      <c r="R801" s="46"/>
      <c r="S801" s="48"/>
      <c r="T801" s="61" t="str">
        <f>IF(Tableau1[[#This Row],[DMS_SAP]]="","",HYPERLINK(Tableau1[[#This Row],[Chemin fichier source]],"X"))</f>
        <v/>
      </c>
      <c r="U801" s="61" t="str">
        <f>IF(Tableau1[[#This Row],[Date rév.]]="","",HYPERLINK(Tableau1[[#This Row],[Lien document]],"X"))</f>
        <v/>
      </c>
      <c r="V801" s="47"/>
      <c r="W801" s="49" t="str">
        <f ca="1">Chemin_accès!$B$2&amp;Tableau1[[#This Row],[Poste Responsable]]&amp;"\"&amp;Tableau1[[#This Row],[Localisation / Classement]]&amp;"\"&amp;Tableau1[[#This Row],[Poste technique]]&amp;"_"&amp;Tableau1[[#This Row],[Plan Entretien]]&amp;".pdf"</f>
        <v>\\stjn.local\trimet\Donnees_Projets\Dms Sap\Maintenance\PlanEntretien\7.MSCT\\_.pdf</v>
      </c>
      <c r="X801" s="47"/>
      <c r="Y801" s="47"/>
      <c r="Z801" s="44" t="str">
        <f ca="1">IF(AND(Tableau1[[#This Row],[Charge]]&lt;&gt;0, Tableau1[[#This Row],[Nombre intervenants]]&lt;&gt;0,Tableau1[[#This Row],[Lien document]]&lt;&gt;0,Tableau1[[#This Row],[DMS_SAP]]&lt;&gt;0)=TRUE,"MIS A JOUR","")</f>
        <v/>
      </c>
      <c r="AA801" s="48"/>
      <c r="AB801" s="58" t="str">
        <f ca="1">IF(Tableau1[[#This Row],[Date rév.]]&lt;&gt;"", DAYS360(Tableau1[[#This Row],[Date rév.]],TODAY()),"")</f>
        <v/>
      </c>
      <c r="AC801" s="47" t="str">
        <f>IFERROR(INDEX(Chemin_accès!$B$11:$C$22,MATCH(Tableau1[[#This Row],[Type]],Chemin_accès!$C$11:$C$22,0),1),Chemin_accès!$B$11)</f>
        <v>\\stjn.local\trimet\Btechnique\Commun\BT Maint SCELLEMENT\205 - Préventifs\Modèles préventif\GammeDMS_7.MSCT.xlsm</v>
      </c>
      <c r="AD801" s="47" t="str">
        <f>Chemin_accès!$B$8&amp;Tableau1[[#This Row],[Localisation / Classement]]&amp;"\"&amp;Tableau1[[#This Row],[Poste technique]]&amp;"_"&amp;Tableau1[[#This Row],[Plan Entretien]]&amp;".xlsm"</f>
        <v>\\stjn.local\trimet\Btechnique\Commun\BT Maint SCELLEMENT\205 - Préventifs\Gammes 7.MSCT PE Tool\\_.xlsm</v>
      </c>
    </row>
    <row r="802" spans="1:30" x14ac:dyDescent="0.3">
      <c r="A802" s="44" t="str">
        <f t="shared" ca="1" si="12"/>
        <v>7.MSCT</v>
      </c>
      <c r="B8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2" s="46"/>
      <c r="D802" s="44"/>
      <c r="E802" s="44"/>
      <c r="F802" s="47"/>
      <c r="G802" s="47"/>
      <c r="H802" s="50"/>
      <c r="I802" s="50"/>
      <c r="J802" s="50"/>
      <c r="K802" s="50"/>
      <c r="L802" s="46"/>
      <c r="M802" s="47"/>
      <c r="N802" s="46"/>
      <c r="O802" s="46"/>
      <c r="P802" s="47"/>
      <c r="Q802" s="46"/>
      <c r="R802" s="46"/>
      <c r="S802" s="48"/>
      <c r="T802" s="61" t="str">
        <f>IF(Tableau1[[#This Row],[DMS_SAP]]="","",HYPERLINK(Tableau1[[#This Row],[Chemin fichier source]],"X"))</f>
        <v/>
      </c>
      <c r="U802" s="61" t="str">
        <f>IF(Tableau1[[#This Row],[Date rév.]]="","",HYPERLINK(Tableau1[[#This Row],[Lien document]],"X"))</f>
        <v/>
      </c>
      <c r="V802" s="47"/>
      <c r="W802" s="49" t="str">
        <f ca="1">Chemin_accès!$B$2&amp;Tableau1[[#This Row],[Poste Responsable]]&amp;"\"&amp;Tableau1[[#This Row],[Localisation / Classement]]&amp;"\"&amp;Tableau1[[#This Row],[Poste technique]]&amp;"_"&amp;Tableau1[[#This Row],[Plan Entretien]]&amp;".pdf"</f>
        <v>\\stjn.local\trimet\Donnees_Projets\Dms Sap\Maintenance\PlanEntretien\7.MSCT\\_.pdf</v>
      </c>
      <c r="X802" s="47"/>
      <c r="Y802" s="47"/>
      <c r="Z802" s="44" t="str">
        <f ca="1">IF(AND(Tableau1[[#This Row],[Charge]]&lt;&gt;0, Tableau1[[#This Row],[Nombre intervenants]]&lt;&gt;0,Tableau1[[#This Row],[Lien document]]&lt;&gt;0,Tableau1[[#This Row],[DMS_SAP]]&lt;&gt;0)=TRUE,"MIS A JOUR","")</f>
        <v/>
      </c>
      <c r="AA802" s="48"/>
      <c r="AB802" s="58" t="str">
        <f ca="1">IF(Tableau1[[#This Row],[Date rév.]]&lt;&gt;"", DAYS360(Tableau1[[#This Row],[Date rév.]],TODAY()),"")</f>
        <v/>
      </c>
      <c r="AC802" s="47" t="str">
        <f>IFERROR(INDEX(Chemin_accès!$B$11:$C$22,MATCH(Tableau1[[#This Row],[Type]],Chemin_accès!$C$11:$C$22,0),1),Chemin_accès!$B$11)</f>
        <v>\\stjn.local\trimet\Btechnique\Commun\BT Maint SCELLEMENT\205 - Préventifs\Modèles préventif\GammeDMS_7.MSCT.xlsm</v>
      </c>
      <c r="AD802" s="47" t="str">
        <f>Chemin_accès!$B$8&amp;Tableau1[[#This Row],[Localisation / Classement]]&amp;"\"&amp;Tableau1[[#This Row],[Poste technique]]&amp;"_"&amp;Tableau1[[#This Row],[Plan Entretien]]&amp;".xlsm"</f>
        <v>\\stjn.local\trimet\Btechnique\Commun\BT Maint SCELLEMENT\205 - Préventifs\Gammes 7.MSCT PE Tool\\_.xlsm</v>
      </c>
    </row>
    <row r="803" spans="1:30" x14ac:dyDescent="0.3">
      <c r="A803" s="44" t="str">
        <f t="shared" ca="1" si="12"/>
        <v>7.MSCT</v>
      </c>
      <c r="B8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3" s="46"/>
      <c r="D803" s="44"/>
      <c r="E803" s="44"/>
      <c r="F803" s="47"/>
      <c r="G803" s="47"/>
      <c r="H803" s="50"/>
      <c r="I803" s="50"/>
      <c r="J803" s="50"/>
      <c r="K803" s="50"/>
      <c r="L803" s="46"/>
      <c r="M803" s="47"/>
      <c r="N803" s="46"/>
      <c r="O803" s="46"/>
      <c r="P803" s="47"/>
      <c r="Q803" s="46"/>
      <c r="R803" s="46"/>
      <c r="S803" s="48"/>
      <c r="T803" s="61" t="str">
        <f>IF(Tableau1[[#This Row],[DMS_SAP]]="","",HYPERLINK(Tableau1[[#This Row],[Chemin fichier source]],"X"))</f>
        <v/>
      </c>
      <c r="U803" s="61" t="str">
        <f>IF(Tableau1[[#This Row],[Date rév.]]="","",HYPERLINK(Tableau1[[#This Row],[Lien document]],"X"))</f>
        <v/>
      </c>
      <c r="V803" s="47"/>
      <c r="W803" s="49" t="str">
        <f ca="1">Chemin_accès!$B$2&amp;Tableau1[[#This Row],[Poste Responsable]]&amp;"\"&amp;Tableau1[[#This Row],[Localisation / Classement]]&amp;"\"&amp;Tableau1[[#This Row],[Poste technique]]&amp;"_"&amp;Tableau1[[#This Row],[Plan Entretien]]&amp;".pdf"</f>
        <v>\\stjn.local\trimet\Donnees_Projets\Dms Sap\Maintenance\PlanEntretien\7.MSCT\\_.pdf</v>
      </c>
      <c r="X803" s="47"/>
      <c r="Y803" s="47"/>
      <c r="Z803" s="44" t="str">
        <f ca="1">IF(AND(Tableau1[[#This Row],[Charge]]&lt;&gt;0, Tableau1[[#This Row],[Nombre intervenants]]&lt;&gt;0,Tableau1[[#This Row],[Lien document]]&lt;&gt;0,Tableau1[[#This Row],[DMS_SAP]]&lt;&gt;0)=TRUE,"MIS A JOUR","")</f>
        <v/>
      </c>
      <c r="AA803" s="48"/>
      <c r="AB803" s="58" t="str">
        <f ca="1">IF(Tableau1[[#This Row],[Date rév.]]&lt;&gt;"", DAYS360(Tableau1[[#This Row],[Date rév.]],TODAY()),"")</f>
        <v/>
      </c>
      <c r="AC803" s="47" t="str">
        <f>IFERROR(INDEX(Chemin_accès!$B$11:$C$22,MATCH(Tableau1[[#This Row],[Type]],Chemin_accès!$C$11:$C$22,0),1),Chemin_accès!$B$11)</f>
        <v>\\stjn.local\trimet\Btechnique\Commun\BT Maint SCELLEMENT\205 - Préventifs\Modèles préventif\GammeDMS_7.MSCT.xlsm</v>
      </c>
      <c r="AD803" s="47" t="str">
        <f>Chemin_accès!$B$8&amp;Tableau1[[#This Row],[Localisation / Classement]]&amp;"\"&amp;Tableau1[[#This Row],[Poste technique]]&amp;"_"&amp;Tableau1[[#This Row],[Plan Entretien]]&amp;".xlsm"</f>
        <v>\\stjn.local\trimet\Btechnique\Commun\BT Maint SCELLEMENT\205 - Préventifs\Gammes 7.MSCT PE Tool\\_.xlsm</v>
      </c>
    </row>
    <row r="804" spans="1:30" x14ac:dyDescent="0.3">
      <c r="A804" s="44" t="str">
        <f t="shared" ca="1" si="12"/>
        <v>7.MSCT</v>
      </c>
      <c r="B8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4" s="46"/>
      <c r="D804" s="44"/>
      <c r="E804" s="44"/>
      <c r="F804" s="47"/>
      <c r="G804" s="47"/>
      <c r="H804" s="50"/>
      <c r="I804" s="50"/>
      <c r="J804" s="50"/>
      <c r="K804" s="50"/>
      <c r="L804" s="46"/>
      <c r="M804" s="47"/>
      <c r="N804" s="46"/>
      <c r="O804" s="46"/>
      <c r="P804" s="47"/>
      <c r="Q804" s="46"/>
      <c r="R804" s="46"/>
      <c r="S804" s="48"/>
      <c r="T804" s="61" t="str">
        <f>IF(Tableau1[[#This Row],[DMS_SAP]]="","",HYPERLINK(Tableau1[[#This Row],[Chemin fichier source]],"X"))</f>
        <v/>
      </c>
      <c r="U804" s="61" t="str">
        <f>IF(Tableau1[[#This Row],[Date rév.]]="","",HYPERLINK(Tableau1[[#This Row],[Lien document]],"X"))</f>
        <v/>
      </c>
      <c r="V804" s="47"/>
      <c r="W804" s="49" t="str">
        <f ca="1">Chemin_accès!$B$2&amp;Tableau1[[#This Row],[Poste Responsable]]&amp;"\"&amp;Tableau1[[#This Row],[Localisation / Classement]]&amp;"\"&amp;Tableau1[[#This Row],[Poste technique]]&amp;"_"&amp;Tableau1[[#This Row],[Plan Entretien]]&amp;".pdf"</f>
        <v>\\stjn.local\trimet\Donnees_Projets\Dms Sap\Maintenance\PlanEntretien\7.MSCT\\_.pdf</v>
      </c>
      <c r="X804" s="47"/>
      <c r="Y804" s="47"/>
      <c r="Z804" s="44" t="str">
        <f ca="1">IF(AND(Tableau1[[#This Row],[Charge]]&lt;&gt;0, Tableau1[[#This Row],[Nombre intervenants]]&lt;&gt;0,Tableau1[[#This Row],[Lien document]]&lt;&gt;0,Tableau1[[#This Row],[DMS_SAP]]&lt;&gt;0)=TRUE,"MIS A JOUR","")</f>
        <v/>
      </c>
      <c r="AA804" s="48"/>
      <c r="AB804" s="58" t="str">
        <f ca="1">IF(Tableau1[[#This Row],[Date rév.]]&lt;&gt;"", DAYS360(Tableau1[[#This Row],[Date rév.]],TODAY()),"")</f>
        <v/>
      </c>
      <c r="AC804" s="47" t="str">
        <f>IFERROR(INDEX(Chemin_accès!$B$11:$C$22,MATCH(Tableau1[[#This Row],[Type]],Chemin_accès!$C$11:$C$22,0),1),Chemin_accès!$B$11)</f>
        <v>\\stjn.local\trimet\Btechnique\Commun\BT Maint SCELLEMENT\205 - Préventifs\Modèles préventif\GammeDMS_7.MSCT.xlsm</v>
      </c>
      <c r="AD804" s="47" t="str">
        <f>Chemin_accès!$B$8&amp;Tableau1[[#This Row],[Localisation / Classement]]&amp;"\"&amp;Tableau1[[#This Row],[Poste technique]]&amp;"_"&amp;Tableau1[[#This Row],[Plan Entretien]]&amp;".xlsm"</f>
        <v>\\stjn.local\trimet\Btechnique\Commun\BT Maint SCELLEMENT\205 - Préventifs\Gammes 7.MSCT PE Tool\\_.xlsm</v>
      </c>
    </row>
    <row r="805" spans="1:30" x14ac:dyDescent="0.3">
      <c r="A805" s="44" t="str">
        <f t="shared" ca="1" si="12"/>
        <v>7.MSCT</v>
      </c>
      <c r="B8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5" s="46"/>
      <c r="D805" s="44"/>
      <c r="E805" s="44"/>
      <c r="F805" s="47"/>
      <c r="G805" s="47"/>
      <c r="H805" s="50"/>
      <c r="I805" s="50"/>
      <c r="J805" s="50"/>
      <c r="K805" s="50"/>
      <c r="L805" s="46"/>
      <c r="M805" s="47"/>
      <c r="N805" s="46"/>
      <c r="O805" s="46"/>
      <c r="P805" s="47"/>
      <c r="Q805" s="46"/>
      <c r="R805" s="46"/>
      <c r="S805" s="48"/>
      <c r="T805" s="61" t="str">
        <f>IF(Tableau1[[#This Row],[DMS_SAP]]="","",HYPERLINK(Tableau1[[#This Row],[Chemin fichier source]],"X"))</f>
        <v/>
      </c>
      <c r="U805" s="61" t="str">
        <f>IF(Tableau1[[#This Row],[Date rév.]]="","",HYPERLINK(Tableau1[[#This Row],[Lien document]],"X"))</f>
        <v/>
      </c>
      <c r="V805" s="47"/>
      <c r="W805" s="49" t="str">
        <f ca="1">Chemin_accès!$B$2&amp;Tableau1[[#This Row],[Poste Responsable]]&amp;"\"&amp;Tableau1[[#This Row],[Localisation / Classement]]&amp;"\"&amp;Tableau1[[#This Row],[Poste technique]]&amp;"_"&amp;Tableau1[[#This Row],[Plan Entretien]]&amp;".pdf"</f>
        <v>\\stjn.local\trimet\Donnees_Projets\Dms Sap\Maintenance\PlanEntretien\7.MSCT\\_.pdf</v>
      </c>
      <c r="X805" s="47"/>
      <c r="Y805" s="47"/>
      <c r="Z805" s="44" t="str">
        <f ca="1">IF(AND(Tableau1[[#This Row],[Charge]]&lt;&gt;0, Tableau1[[#This Row],[Nombre intervenants]]&lt;&gt;0,Tableau1[[#This Row],[Lien document]]&lt;&gt;0,Tableau1[[#This Row],[DMS_SAP]]&lt;&gt;0)=TRUE,"MIS A JOUR","")</f>
        <v/>
      </c>
      <c r="AA805" s="48"/>
      <c r="AB805" s="58" t="str">
        <f ca="1">IF(Tableau1[[#This Row],[Date rév.]]&lt;&gt;"", DAYS360(Tableau1[[#This Row],[Date rév.]],TODAY()),"")</f>
        <v/>
      </c>
      <c r="AC805" s="47" t="str">
        <f>IFERROR(INDEX(Chemin_accès!$B$11:$C$22,MATCH(Tableau1[[#This Row],[Type]],Chemin_accès!$C$11:$C$22,0),1),Chemin_accès!$B$11)</f>
        <v>\\stjn.local\trimet\Btechnique\Commun\BT Maint SCELLEMENT\205 - Préventifs\Modèles préventif\GammeDMS_7.MSCT.xlsm</v>
      </c>
      <c r="AD805" s="47" t="str">
        <f>Chemin_accès!$B$8&amp;Tableau1[[#This Row],[Localisation / Classement]]&amp;"\"&amp;Tableau1[[#This Row],[Poste technique]]&amp;"_"&amp;Tableau1[[#This Row],[Plan Entretien]]&amp;".xlsm"</f>
        <v>\\stjn.local\trimet\Btechnique\Commun\BT Maint SCELLEMENT\205 - Préventifs\Gammes 7.MSCT PE Tool\\_.xlsm</v>
      </c>
    </row>
    <row r="806" spans="1:30" x14ac:dyDescent="0.3">
      <c r="A806" s="44" t="str">
        <f t="shared" ca="1" si="12"/>
        <v>7.MSCT</v>
      </c>
      <c r="B8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6" s="46"/>
      <c r="D806" s="44"/>
      <c r="E806" s="44"/>
      <c r="F806" s="47"/>
      <c r="G806" s="47"/>
      <c r="H806" s="50"/>
      <c r="I806" s="50"/>
      <c r="J806" s="50"/>
      <c r="K806" s="50"/>
      <c r="L806" s="46"/>
      <c r="M806" s="47"/>
      <c r="N806" s="46"/>
      <c r="O806" s="46"/>
      <c r="P806" s="47"/>
      <c r="Q806" s="46"/>
      <c r="R806" s="46"/>
      <c r="S806" s="48"/>
      <c r="T806" s="61" t="str">
        <f>IF(Tableau1[[#This Row],[DMS_SAP]]="","",HYPERLINK(Tableau1[[#This Row],[Chemin fichier source]],"X"))</f>
        <v/>
      </c>
      <c r="U806" s="61" t="str">
        <f>IF(Tableau1[[#This Row],[Date rév.]]="","",HYPERLINK(Tableau1[[#This Row],[Lien document]],"X"))</f>
        <v/>
      </c>
      <c r="V806" s="47"/>
      <c r="W806" s="49" t="str">
        <f ca="1">Chemin_accès!$B$2&amp;Tableau1[[#This Row],[Poste Responsable]]&amp;"\"&amp;Tableau1[[#This Row],[Localisation / Classement]]&amp;"\"&amp;Tableau1[[#This Row],[Poste technique]]&amp;"_"&amp;Tableau1[[#This Row],[Plan Entretien]]&amp;".pdf"</f>
        <v>\\stjn.local\trimet\Donnees_Projets\Dms Sap\Maintenance\PlanEntretien\7.MSCT\\_.pdf</v>
      </c>
      <c r="X806" s="47"/>
      <c r="Y806" s="47"/>
      <c r="Z806" s="44" t="str">
        <f ca="1">IF(AND(Tableau1[[#This Row],[Charge]]&lt;&gt;0, Tableau1[[#This Row],[Nombre intervenants]]&lt;&gt;0,Tableau1[[#This Row],[Lien document]]&lt;&gt;0,Tableau1[[#This Row],[DMS_SAP]]&lt;&gt;0)=TRUE,"MIS A JOUR","")</f>
        <v/>
      </c>
      <c r="AA806" s="48"/>
      <c r="AB806" s="58" t="str">
        <f ca="1">IF(Tableau1[[#This Row],[Date rév.]]&lt;&gt;"", DAYS360(Tableau1[[#This Row],[Date rév.]],TODAY()),"")</f>
        <v/>
      </c>
      <c r="AC806" s="47" t="str">
        <f>IFERROR(INDEX(Chemin_accès!$B$11:$C$22,MATCH(Tableau1[[#This Row],[Type]],Chemin_accès!$C$11:$C$22,0),1),Chemin_accès!$B$11)</f>
        <v>\\stjn.local\trimet\Btechnique\Commun\BT Maint SCELLEMENT\205 - Préventifs\Modèles préventif\GammeDMS_7.MSCT.xlsm</v>
      </c>
      <c r="AD806" s="47" t="str">
        <f>Chemin_accès!$B$8&amp;Tableau1[[#This Row],[Localisation / Classement]]&amp;"\"&amp;Tableau1[[#This Row],[Poste technique]]&amp;"_"&amp;Tableau1[[#This Row],[Plan Entretien]]&amp;".xlsm"</f>
        <v>\\stjn.local\trimet\Btechnique\Commun\BT Maint SCELLEMENT\205 - Préventifs\Gammes 7.MSCT PE Tool\\_.xlsm</v>
      </c>
    </row>
    <row r="807" spans="1:30" x14ac:dyDescent="0.3">
      <c r="A807" s="44" t="str">
        <f t="shared" ca="1" si="12"/>
        <v>7.MSCT</v>
      </c>
      <c r="B8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7" s="46"/>
      <c r="D807" s="44"/>
      <c r="E807" s="44"/>
      <c r="F807" s="47"/>
      <c r="G807" s="47"/>
      <c r="H807" s="50"/>
      <c r="I807" s="50"/>
      <c r="J807" s="50"/>
      <c r="K807" s="50"/>
      <c r="L807" s="46"/>
      <c r="M807" s="47"/>
      <c r="N807" s="46"/>
      <c r="O807" s="46"/>
      <c r="P807" s="47"/>
      <c r="Q807" s="46"/>
      <c r="R807" s="46"/>
      <c r="S807" s="48"/>
      <c r="T807" s="61" t="str">
        <f>IF(Tableau1[[#This Row],[DMS_SAP]]="","",HYPERLINK(Tableau1[[#This Row],[Chemin fichier source]],"X"))</f>
        <v/>
      </c>
      <c r="U807" s="61" t="str">
        <f>IF(Tableau1[[#This Row],[Date rév.]]="","",HYPERLINK(Tableau1[[#This Row],[Lien document]],"X"))</f>
        <v/>
      </c>
      <c r="V807" s="47"/>
      <c r="W807" s="49" t="str">
        <f ca="1">Chemin_accès!$B$2&amp;Tableau1[[#This Row],[Poste Responsable]]&amp;"\"&amp;Tableau1[[#This Row],[Localisation / Classement]]&amp;"\"&amp;Tableau1[[#This Row],[Poste technique]]&amp;"_"&amp;Tableau1[[#This Row],[Plan Entretien]]&amp;".pdf"</f>
        <v>\\stjn.local\trimet\Donnees_Projets\Dms Sap\Maintenance\PlanEntretien\7.MSCT\\_.pdf</v>
      </c>
      <c r="X807" s="47"/>
      <c r="Y807" s="47"/>
      <c r="Z807" s="44" t="str">
        <f ca="1">IF(AND(Tableau1[[#This Row],[Charge]]&lt;&gt;0, Tableau1[[#This Row],[Nombre intervenants]]&lt;&gt;0,Tableau1[[#This Row],[Lien document]]&lt;&gt;0,Tableau1[[#This Row],[DMS_SAP]]&lt;&gt;0)=TRUE,"MIS A JOUR","")</f>
        <v/>
      </c>
      <c r="AA807" s="48"/>
      <c r="AB807" s="58" t="str">
        <f ca="1">IF(Tableau1[[#This Row],[Date rév.]]&lt;&gt;"", DAYS360(Tableau1[[#This Row],[Date rév.]],TODAY()),"")</f>
        <v/>
      </c>
      <c r="AC807" s="47" t="str">
        <f>IFERROR(INDEX(Chemin_accès!$B$11:$C$22,MATCH(Tableau1[[#This Row],[Type]],Chemin_accès!$C$11:$C$22,0),1),Chemin_accès!$B$11)</f>
        <v>\\stjn.local\trimet\Btechnique\Commun\BT Maint SCELLEMENT\205 - Préventifs\Modèles préventif\GammeDMS_7.MSCT.xlsm</v>
      </c>
      <c r="AD807" s="47" t="str">
        <f>Chemin_accès!$B$8&amp;Tableau1[[#This Row],[Localisation / Classement]]&amp;"\"&amp;Tableau1[[#This Row],[Poste technique]]&amp;"_"&amp;Tableau1[[#This Row],[Plan Entretien]]&amp;".xlsm"</f>
        <v>\\stjn.local\trimet\Btechnique\Commun\BT Maint SCELLEMENT\205 - Préventifs\Gammes 7.MSCT PE Tool\\_.xlsm</v>
      </c>
    </row>
    <row r="808" spans="1:30" x14ac:dyDescent="0.3">
      <c r="A808" s="44" t="str">
        <f t="shared" ca="1" si="12"/>
        <v>7.MSCT</v>
      </c>
      <c r="B8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8" s="46"/>
      <c r="D808" s="44"/>
      <c r="E808" s="44"/>
      <c r="F808" s="47"/>
      <c r="G808" s="47"/>
      <c r="H808" s="50"/>
      <c r="I808" s="50"/>
      <c r="J808" s="50"/>
      <c r="K808" s="50"/>
      <c r="L808" s="46"/>
      <c r="M808" s="47"/>
      <c r="N808" s="46"/>
      <c r="O808" s="46"/>
      <c r="P808" s="47"/>
      <c r="Q808" s="46"/>
      <c r="R808" s="46"/>
      <c r="S808" s="48"/>
      <c r="T808" s="61" t="str">
        <f>IF(Tableau1[[#This Row],[DMS_SAP]]="","",HYPERLINK(Tableau1[[#This Row],[Chemin fichier source]],"X"))</f>
        <v/>
      </c>
      <c r="U808" s="61" t="str">
        <f>IF(Tableau1[[#This Row],[Date rév.]]="","",HYPERLINK(Tableau1[[#This Row],[Lien document]],"X"))</f>
        <v/>
      </c>
      <c r="V808" s="47"/>
      <c r="W808" s="49" t="str">
        <f ca="1">Chemin_accès!$B$2&amp;Tableau1[[#This Row],[Poste Responsable]]&amp;"\"&amp;Tableau1[[#This Row],[Localisation / Classement]]&amp;"\"&amp;Tableau1[[#This Row],[Poste technique]]&amp;"_"&amp;Tableau1[[#This Row],[Plan Entretien]]&amp;".pdf"</f>
        <v>\\stjn.local\trimet\Donnees_Projets\Dms Sap\Maintenance\PlanEntretien\7.MSCT\\_.pdf</v>
      </c>
      <c r="X808" s="47"/>
      <c r="Y808" s="47"/>
      <c r="Z808" s="44" t="str">
        <f ca="1">IF(AND(Tableau1[[#This Row],[Charge]]&lt;&gt;0, Tableau1[[#This Row],[Nombre intervenants]]&lt;&gt;0,Tableau1[[#This Row],[Lien document]]&lt;&gt;0,Tableau1[[#This Row],[DMS_SAP]]&lt;&gt;0)=TRUE,"MIS A JOUR","")</f>
        <v/>
      </c>
      <c r="AA808" s="48"/>
      <c r="AB808" s="58" t="str">
        <f ca="1">IF(Tableau1[[#This Row],[Date rév.]]&lt;&gt;"", DAYS360(Tableau1[[#This Row],[Date rév.]],TODAY()),"")</f>
        <v/>
      </c>
      <c r="AC808" s="47" t="str">
        <f>IFERROR(INDEX(Chemin_accès!$B$11:$C$22,MATCH(Tableau1[[#This Row],[Type]],Chemin_accès!$C$11:$C$22,0),1),Chemin_accès!$B$11)</f>
        <v>\\stjn.local\trimet\Btechnique\Commun\BT Maint SCELLEMENT\205 - Préventifs\Modèles préventif\GammeDMS_7.MSCT.xlsm</v>
      </c>
      <c r="AD808" s="47" t="str">
        <f>Chemin_accès!$B$8&amp;Tableau1[[#This Row],[Localisation / Classement]]&amp;"\"&amp;Tableau1[[#This Row],[Poste technique]]&amp;"_"&amp;Tableau1[[#This Row],[Plan Entretien]]&amp;".xlsm"</f>
        <v>\\stjn.local\trimet\Btechnique\Commun\BT Maint SCELLEMENT\205 - Préventifs\Gammes 7.MSCT PE Tool\\_.xlsm</v>
      </c>
    </row>
    <row r="809" spans="1:30" x14ac:dyDescent="0.3">
      <c r="A809" s="44" t="str">
        <f t="shared" ca="1" si="12"/>
        <v>7.MSCT</v>
      </c>
      <c r="B8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9" s="46"/>
      <c r="D809" s="44"/>
      <c r="E809" s="44"/>
      <c r="F809" s="47"/>
      <c r="G809" s="47"/>
      <c r="H809" s="50"/>
      <c r="I809" s="50"/>
      <c r="J809" s="50"/>
      <c r="K809" s="50"/>
      <c r="L809" s="46"/>
      <c r="M809" s="47"/>
      <c r="N809" s="46"/>
      <c r="O809" s="46"/>
      <c r="P809" s="47"/>
      <c r="Q809" s="46"/>
      <c r="R809" s="46"/>
      <c r="S809" s="48"/>
      <c r="T809" s="61" t="str">
        <f>IF(Tableau1[[#This Row],[DMS_SAP]]="","",HYPERLINK(Tableau1[[#This Row],[Chemin fichier source]],"X"))</f>
        <v/>
      </c>
      <c r="U809" s="61" t="str">
        <f>IF(Tableau1[[#This Row],[Date rév.]]="","",HYPERLINK(Tableau1[[#This Row],[Lien document]],"X"))</f>
        <v/>
      </c>
      <c r="V809" s="47"/>
      <c r="W809" s="49" t="str">
        <f ca="1">Chemin_accès!$B$2&amp;Tableau1[[#This Row],[Poste Responsable]]&amp;"\"&amp;Tableau1[[#This Row],[Localisation / Classement]]&amp;"\"&amp;Tableau1[[#This Row],[Poste technique]]&amp;"_"&amp;Tableau1[[#This Row],[Plan Entretien]]&amp;".pdf"</f>
        <v>\\stjn.local\trimet\Donnees_Projets\Dms Sap\Maintenance\PlanEntretien\7.MSCT\\_.pdf</v>
      </c>
      <c r="X809" s="47"/>
      <c r="Y809" s="47"/>
      <c r="Z809" s="44" t="str">
        <f ca="1">IF(AND(Tableau1[[#This Row],[Charge]]&lt;&gt;0, Tableau1[[#This Row],[Nombre intervenants]]&lt;&gt;0,Tableau1[[#This Row],[Lien document]]&lt;&gt;0,Tableau1[[#This Row],[DMS_SAP]]&lt;&gt;0)=TRUE,"MIS A JOUR","")</f>
        <v/>
      </c>
      <c r="AA809" s="48"/>
      <c r="AB809" s="58" t="str">
        <f ca="1">IF(Tableau1[[#This Row],[Date rév.]]&lt;&gt;"", DAYS360(Tableau1[[#This Row],[Date rév.]],TODAY()),"")</f>
        <v/>
      </c>
      <c r="AC809" s="47" t="str">
        <f>IFERROR(INDEX(Chemin_accès!$B$11:$C$22,MATCH(Tableau1[[#This Row],[Type]],Chemin_accès!$C$11:$C$22,0),1),Chemin_accès!$B$11)</f>
        <v>\\stjn.local\trimet\Btechnique\Commun\BT Maint SCELLEMENT\205 - Préventifs\Modèles préventif\GammeDMS_7.MSCT.xlsm</v>
      </c>
      <c r="AD809" s="47" t="str">
        <f>Chemin_accès!$B$8&amp;Tableau1[[#This Row],[Localisation / Classement]]&amp;"\"&amp;Tableau1[[#This Row],[Poste technique]]&amp;"_"&amp;Tableau1[[#This Row],[Plan Entretien]]&amp;".xlsm"</f>
        <v>\\stjn.local\trimet\Btechnique\Commun\BT Maint SCELLEMENT\205 - Préventifs\Gammes 7.MSCT PE Tool\\_.xlsm</v>
      </c>
    </row>
    <row r="810" spans="1:30" x14ac:dyDescent="0.3">
      <c r="A810" s="44" t="str">
        <f t="shared" ca="1" si="12"/>
        <v>7.MSCT</v>
      </c>
      <c r="B8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0" s="46"/>
      <c r="D810" s="44"/>
      <c r="E810" s="44"/>
      <c r="F810" s="47"/>
      <c r="G810" s="47"/>
      <c r="H810" s="50"/>
      <c r="I810" s="50"/>
      <c r="J810" s="50"/>
      <c r="K810" s="50"/>
      <c r="L810" s="46"/>
      <c r="M810" s="47"/>
      <c r="N810" s="46"/>
      <c r="O810" s="46"/>
      <c r="P810" s="47"/>
      <c r="Q810" s="46"/>
      <c r="R810" s="46"/>
      <c r="S810" s="48"/>
      <c r="T810" s="61" t="str">
        <f>IF(Tableau1[[#This Row],[DMS_SAP]]="","",HYPERLINK(Tableau1[[#This Row],[Chemin fichier source]],"X"))</f>
        <v/>
      </c>
      <c r="U810" s="61" t="str">
        <f>IF(Tableau1[[#This Row],[Date rév.]]="","",HYPERLINK(Tableau1[[#This Row],[Lien document]],"X"))</f>
        <v/>
      </c>
      <c r="V810" s="47"/>
      <c r="W810" s="49" t="str">
        <f ca="1">Chemin_accès!$B$2&amp;Tableau1[[#This Row],[Poste Responsable]]&amp;"\"&amp;Tableau1[[#This Row],[Localisation / Classement]]&amp;"\"&amp;Tableau1[[#This Row],[Poste technique]]&amp;"_"&amp;Tableau1[[#This Row],[Plan Entretien]]&amp;".pdf"</f>
        <v>\\stjn.local\trimet\Donnees_Projets\Dms Sap\Maintenance\PlanEntretien\7.MSCT\\_.pdf</v>
      </c>
      <c r="X810" s="47"/>
      <c r="Y810" s="47"/>
      <c r="Z810" s="44" t="str">
        <f ca="1">IF(AND(Tableau1[[#This Row],[Charge]]&lt;&gt;0, Tableau1[[#This Row],[Nombre intervenants]]&lt;&gt;0,Tableau1[[#This Row],[Lien document]]&lt;&gt;0,Tableau1[[#This Row],[DMS_SAP]]&lt;&gt;0)=TRUE,"MIS A JOUR","")</f>
        <v/>
      </c>
      <c r="AA810" s="48"/>
      <c r="AB810" s="58" t="str">
        <f ca="1">IF(Tableau1[[#This Row],[Date rév.]]&lt;&gt;"", DAYS360(Tableau1[[#This Row],[Date rév.]],TODAY()),"")</f>
        <v/>
      </c>
      <c r="AC810" s="47" t="str">
        <f>IFERROR(INDEX(Chemin_accès!$B$11:$C$22,MATCH(Tableau1[[#This Row],[Type]],Chemin_accès!$C$11:$C$22,0),1),Chemin_accès!$B$11)</f>
        <v>\\stjn.local\trimet\Btechnique\Commun\BT Maint SCELLEMENT\205 - Préventifs\Modèles préventif\GammeDMS_7.MSCT.xlsm</v>
      </c>
      <c r="AD810" s="47" t="str">
        <f>Chemin_accès!$B$8&amp;Tableau1[[#This Row],[Localisation / Classement]]&amp;"\"&amp;Tableau1[[#This Row],[Poste technique]]&amp;"_"&amp;Tableau1[[#This Row],[Plan Entretien]]&amp;".xlsm"</f>
        <v>\\stjn.local\trimet\Btechnique\Commun\BT Maint SCELLEMENT\205 - Préventifs\Gammes 7.MSCT PE Tool\\_.xlsm</v>
      </c>
    </row>
    <row r="811" spans="1:30" x14ac:dyDescent="0.3">
      <c r="A811" s="44" t="str">
        <f t="shared" ca="1" si="12"/>
        <v>7.MSCT</v>
      </c>
      <c r="B8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1" s="46"/>
      <c r="D811" s="44"/>
      <c r="E811" s="44"/>
      <c r="F811" s="47"/>
      <c r="G811" s="47"/>
      <c r="H811" s="50"/>
      <c r="I811" s="50"/>
      <c r="J811" s="50"/>
      <c r="K811" s="50"/>
      <c r="L811" s="46"/>
      <c r="M811" s="47"/>
      <c r="N811" s="46"/>
      <c r="O811" s="46"/>
      <c r="P811" s="47"/>
      <c r="Q811" s="46"/>
      <c r="R811" s="46"/>
      <c r="S811" s="48"/>
      <c r="T811" s="61" t="str">
        <f>IF(Tableau1[[#This Row],[DMS_SAP]]="","",HYPERLINK(Tableau1[[#This Row],[Chemin fichier source]],"X"))</f>
        <v/>
      </c>
      <c r="U811" s="61" t="str">
        <f>IF(Tableau1[[#This Row],[Date rév.]]="","",HYPERLINK(Tableau1[[#This Row],[Lien document]],"X"))</f>
        <v/>
      </c>
      <c r="V811" s="47"/>
      <c r="W811" s="49" t="str">
        <f ca="1">Chemin_accès!$B$2&amp;Tableau1[[#This Row],[Poste Responsable]]&amp;"\"&amp;Tableau1[[#This Row],[Localisation / Classement]]&amp;"\"&amp;Tableau1[[#This Row],[Poste technique]]&amp;"_"&amp;Tableau1[[#This Row],[Plan Entretien]]&amp;".pdf"</f>
        <v>\\stjn.local\trimet\Donnees_Projets\Dms Sap\Maintenance\PlanEntretien\7.MSCT\\_.pdf</v>
      </c>
      <c r="X811" s="47"/>
      <c r="Y811" s="47"/>
      <c r="Z811" s="44" t="str">
        <f ca="1">IF(AND(Tableau1[[#This Row],[Charge]]&lt;&gt;0, Tableau1[[#This Row],[Nombre intervenants]]&lt;&gt;0,Tableau1[[#This Row],[Lien document]]&lt;&gt;0,Tableau1[[#This Row],[DMS_SAP]]&lt;&gt;0)=TRUE,"MIS A JOUR","")</f>
        <v/>
      </c>
      <c r="AA811" s="48"/>
      <c r="AB811" s="58" t="str">
        <f ca="1">IF(Tableau1[[#This Row],[Date rév.]]&lt;&gt;"", DAYS360(Tableau1[[#This Row],[Date rév.]],TODAY()),"")</f>
        <v/>
      </c>
      <c r="AC811" s="47" t="str">
        <f>IFERROR(INDEX(Chemin_accès!$B$11:$C$22,MATCH(Tableau1[[#This Row],[Type]],Chemin_accès!$C$11:$C$22,0),1),Chemin_accès!$B$11)</f>
        <v>\\stjn.local\trimet\Btechnique\Commun\BT Maint SCELLEMENT\205 - Préventifs\Modèles préventif\GammeDMS_7.MSCT.xlsm</v>
      </c>
      <c r="AD811" s="47" t="str">
        <f>Chemin_accès!$B$8&amp;Tableau1[[#This Row],[Localisation / Classement]]&amp;"\"&amp;Tableau1[[#This Row],[Poste technique]]&amp;"_"&amp;Tableau1[[#This Row],[Plan Entretien]]&amp;".xlsm"</f>
        <v>\\stjn.local\trimet\Btechnique\Commun\BT Maint SCELLEMENT\205 - Préventifs\Gammes 7.MSCT PE Tool\\_.xlsm</v>
      </c>
    </row>
    <row r="812" spans="1:30" x14ac:dyDescent="0.3">
      <c r="A812" s="44" t="str">
        <f t="shared" ca="1" si="12"/>
        <v>7.MSCT</v>
      </c>
      <c r="B8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2" s="46"/>
      <c r="D812" s="44"/>
      <c r="E812" s="44"/>
      <c r="F812" s="47"/>
      <c r="G812" s="47"/>
      <c r="H812" s="50"/>
      <c r="I812" s="50"/>
      <c r="J812" s="50"/>
      <c r="K812" s="50"/>
      <c r="L812" s="46"/>
      <c r="M812" s="47"/>
      <c r="N812" s="46"/>
      <c r="O812" s="46"/>
      <c r="P812" s="47"/>
      <c r="Q812" s="46"/>
      <c r="R812" s="46"/>
      <c r="S812" s="48"/>
      <c r="T812" s="61" t="str">
        <f>IF(Tableau1[[#This Row],[DMS_SAP]]="","",HYPERLINK(Tableau1[[#This Row],[Chemin fichier source]],"X"))</f>
        <v/>
      </c>
      <c r="U812" s="61" t="str">
        <f>IF(Tableau1[[#This Row],[Date rév.]]="","",HYPERLINK(Tableau1[[#This Row],[Lien document]],"X"))</f>
        <v/>
      </c>
      <c r="V812" s="47"/>
      <c r="W812" s="49" t="str">
        <f ca="1">Chemin_accès!$B$2&amp;Tableau1[[#This Row],[Poste Responsable]]&amp;"\"&amp;Tableau1[[#This Row],[Localisation / Classement]]&amp;"\"&amp;Tableau1[[#This Row],[Poste technique]]&amp;"_"&amp;Tableau1[[#This Row],[Plan Entretien]]&amp;".pdf"</f>
        <v>\\stjn.local\trimet\Donnees_Projets\Dms Sap\Maintenance\PlanEntretien\7.MSCT\\_.pdf</v>
      </c>
      <c r="X812" s="47"/>
      <c r="Y812" s="47"/>
      <c r="Z812" s="44" t="str">
        <f ca="1">IF(AND(Tableau1[[#This Row],[Charge]]&lt;&gt;0, Tableau1[[#This Row],[Nombre intervenants]]&lt;&gt;0,Tableau1[[#This Row],[Lien document]]&lt;&gt;0,Tableau1[[#This Row],[DMS_SAP]]&lt;&gt;0)=TRUE,"MIS A JOUR","")</f>
        <v/>
      </c>
      <c r="AA812" s="48"/>
      <c r="AB812" s="58" t="str">
        <f ca="1">IF(Tableau1[[#This Row],[Date rév.]]&lt;&gt;"", DAYS360(Tableau1[[#This Row],[Date rév.]],TODAY()),"")</f>
        <v/>
      </c>
      <c r="AC812" s="47" t="str">
        <f>IFERROR(INDEX(Chemin_accès!$B$11:$C$22,MATCH(Tableau1[[#This Row],[Type]],Chemin_accès!$C$11:$C$22,0),1),Chemin_accès!$B$11)</f>
        <v>\\stjn.local\trimet\Btechnique\Commun\BT Maint SCELLEMENT\205 - Préventifs\Modèles préventif\GammeDMS_7.MSCT.xlsm</v>
      </c>
      <c r="AD812" s="47" t="str">
        <f>Chemin_accès!$B$8&amp;Tableau1[[#This Row],[Localisation / Classement]]&amp;"\"&amp;Tableau1[[#This Row],[Poste technique]]&amp;"_"&amp;Tableau1[[#This Row],[Plan Entretien]]&amp;".xlsm"</f>
        <v>\\stjn.local\trimet\Btechnique\Commun\BT Maint SCELLEMENT\205 - Préventifs\Gammes 7.MSCT PE Tool\\_.xlsm</v>
      </c>
    </row>
    <row r="813" spans="1:30" x14ac:dyDescent="0.3">
      <c r="A813" s="44" t="str">
        <f t="shared" ca="1" si="12"/>
        <v>7.MSCT</v>
      </c>
      <c r="B8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3" s="46"/>
      <c r="D813" s="44"/>
      <c r="E813" s="44"/>
      <c r="F813" s="47"/>
      <c r="G813" s="47"/>
      <c r="H813" s="50"/>
      <c r="I813" s="50"/>
      <c r="J813" s="50"/>
      <c r="K813" s="50"/>
      <c r="L813" s="46"/>
      <c r="M813" s="47"/>
      <c r="N813" s="46"/>
      <c r="O813" s="46"/>
      <c r="P813" s="47"/>
      <c r="Q813" s="46"/>
      <c r="R813" s="46"/>
      <c r="S813" s="48"/>
      <c r="T813" s="61" t="str">
        <f>IF(Tableau1[[#This Row],[DMS_SAP]]="","",HYPERLINK(Tableau1[[#This Row],[Chemin fichier source]],"X"))</f>
        <v/>
      </c>
      <c r="U813" s="61" t="str">
        <f>IF(Tableau1[[#This Row],[Date rév.]]="","",HYPERLINK(Tableau1[[#This Row],[Lien document]],"X"))</f>
        <v/>
      </c>
      <c r="V813" s="47"/>
      <c r="W813" s="49" t="str">
        <f ca="1">Chemin_accès!$B$2&amp;Tableau1[[#This Row],[Poste Responsable]]&amp;"\"&amp;Tableau1[[#This Row],[Localisation / Classement]]&amp;"\"&amp;Tableau1[[#This Row],[Poste technique]]&amp;"_"&amp;Tableau1[[#This Row],[Plan Entretien]]&amp;".pdf"</f>
        <v>\\stjn.local\trimet\Donnees_Projets\Dms Sap\Maintenance\PlanEntretien\7.MSCT\\_.pdf</v>
      </c>
      <c r="X813" s="47"/>
      <c r="Y813" s="47"/>
      <c r="Z813" s="44" t="str">
        <f ca="1">IF(AND(Tableau1[[#This Row],[Charge]]&lt;&gt;0, Tableau1[[#This Row],[Nombre intervenants]]&lt;&gt;0,Tableau1[[#This Row],[Lien document]]&lt;&gt;0,Tableau1[[#This Row],[DMS_SAP]]&lt;&gt;0)=TRUE,"MIS A JOUR","")</f>
        <v/>
      </c>
      <c r="AA813" s="48"/>
      <c r="AB813" s="58" t="str">
        <f ca="1">IF(Tableau1[[#This Row],[Date rév.]]&lt;&gt;"", DAYS360(Tableau1[[#This Row],[Date rév.]],TODAY()),"")</f>
        <v/>
      </c>
      <c r="AC813" s="47" t="str">
        <f>IFERROR(INDEX(Chemin_accès!$B$11:$C$22,MATCH(Tableau1[[#This Row],[Type]],Chemin_accès!$C$11:$C$22,0),1),Chemin_accès!$B$11)</f>
        <v>\\stjn.local\trimet\Btechnique\Commun\BT Maint SCELLEMENT\205 - Préventifs\Modèles préventif\GammeDMS_7.MSCT.xlsm</v>
      </c>
      <c r="AD813" s="47" t="str">
        <f>Chemin_accès!$B$8&amp;Tableau1[[#This Row],[Localisation / Classement]]&amp;"\"&amp;Tableau1[[#This Row],[Poste technique]]&amp;"_"&amp;Tableau1[[#This Row],[Plan Entretien]]&amp;".xlsm"</f>
        <v>\\stjn.local\trimet\Btechnique\Commun\BT Maint SCELLEMENT\205 - Préventifs\Gammes 7.MSCT PE Tool\\_.xlsm</v>
      </c>
    </row>
    <row r="814" spans="1:30" x14ac:dyDescent="0.3">
      <c r="A814" s="44" t="str">
        <f t="shared" ca="1" si="12"/>
        <v>7.MSCT</v>
      </c>
      <c r="B8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4" s="46"/>
      <c r="D814" s="44"/>
      <c r="E814" s="44"/>
      <c r="F814" s="47"/>
      <c r="G814" s="47"/>
      <c r="H814" s="50"/>
      <c r="I814" s="50"/>
      <c r="J814" s="50"/>
      <c r="K814" s="50"/>
      <c r="L814" s="46"/>
      <c r="M814" s="47"/>
      <c r="N814" s="46"/>
      <c r="O814" s="46"/>
      <c r="P814" s="47"/>
      <c r="Q814" s="46"/>
      <c r="R814" s="46"/>
      <c r="S814" s="48"/>
      <c r="T814" s="61" t="str">
        <f>IF(Tableau1[[#This Row],[DMS_SAP]]="","",HYPERLINK(Tableau1[[#This Row],[Chemin fichier source]],"X"))</f>
        <v/>
      </c>
      <c r="U814" s="61" t="str">
        <f>IF(Tableau1[[#This Row],[Date rév.]]="","",HYPERLINK(Tableau1[[#This Row],[Lien document]],"X"))</f>
        <v/>
      </c>
      <c r="V814" s="47"/>
      <c r="W814" s="49" t="str">
        <f ca="1">Chemin_accès!$B$2&amp;Tableau1[[#This Row],[Poste Responsable]]&amp;"\"&amp;Tableau1[[#This Row],[Localisation / Classement]]&amp;"\"&amp;Tableau1[[#This Row],[Poste technique]]&amp;"_"&amp;Tableau1[[#This Row],[Plan Entretien]]&amp;".pdf"</f>
        <v>\\stjn.local\trimet\Donnees_Projets\Dms Sap\Maintenance\PlanEntretien\7.MSCT\\_.pdf</v>
      </c>
      <c r="X814" s="47"/>
      <c r="Y814" s="47"/>
      <c r="Z814" s="44" t="str">
        <f ca="1">IF(AND(Tableau1[[#This Row],[Charge]]&lt;&gt;0, Tableau1[[#This Row],[Nombre intervenants]]&lt;&gt;0,Tableau1[[#This Row],[Lien document]]&lt;&gt;0,Tableau1[[#This Row],[DMS_SAP]]&lt;&gt;0)=TRUE,"MIS A JOUR","")</f>
        <v/>
      </c>
      <c r="AA814" s="48"/>
      <c r="AB814" s="58" t="str">
        <f ca="1">IF(Tableau1[[#This Row],[Date rév.]]&lt;&gt;"", DAYS360(Tableau1[[#This Row],[Date rév.]],TODAY()),"")</f>
        <v/>
      </c>
      <c r="AC814" s="47" t="str">
        <f>IFERROR(INDEX(Chemin_accès!$B$11:$C$22,MATCH(Tableau1[[#This Row],[Type]],Chemin_accès!$C$11:$C$22,0),1),Chemin_accès!$B$11)</f>
        <v>\\stjn.local\trimet\Btechnique\Commun\BT Maint SCELLEMENT\205 - Préventifs\Modèles préventif\GammeDMS_7.MSCT.xlsm</v>
      </c>
      <c r="AD814" s="47" t="str">
        <f>Chemin_accès!$B$8&amp;Tableau1[[#This Row],[Localisation / Classement]]&amp;"\"&amp;Tableau1[[#This Row],[Poste technique]]&amp;"_"&amp;Tableau1[[#This Row],[Plan Entretien]]&amp;".xlsm"</f>
        <v>\\stjn.local\trimet\Btechnique\Commun\BT Maint SCELLEMENT\205 - Préventifs\Gammes 7.MSCT PE Tool\\_.xlsm</v>
      </c>
    </row>
    <row r="815" spans="1:30" x14ac:dyDescent="0.3">
      <c r="A815" s="44" t="str">
        <f t="shared" ca="1" si="12"/>
        <v>7.MSCT</v>
      </c>
      <c r="B8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5" s="46"/>
      <c r="D815" s="44"/>
      <c r="E815" s="44"/>
      <c r="F815" s="47"/>
      <c r="G815" s="47"/>
      <c r="H815" s="50"/>
      <c r="I815" s="50"/>
      <c r="J815" s="50"/>
      <c r="K815" s="50"/>
      <c r="L815" s="46"/>
      <c r="M815" s="47"/>
      <c r="N815" s="46"/>
      <c r="O815" s="46"/>
      <c r="P815" s="47"/>
      <c r="Q815" s="46"/>
      <c r="R815" s="46"/>
      <c r="S815" s="48"/>
      <c r="T815" s="61" t="str">
        <f>IF(Tableau1[[#This Row],[DMS_SAP]]="","",HYPERLINK(Tableau1[[#This Row],[Chemin fichier source]],"X"))</f>
        <v/>
      </c>
      <c r="U815" s="61" t="str">
        <f>IF(Tableau1[[#This Row],[Date rév.]]="","",HYPERLINK(Tableau1[[#This Row],[Lien document]],"X"))</f>
        <v/>
      </c>
      <c r="V815" s="47"/>
      <c r="W815" s="49" t="str">
        <f ca="1">Chemin_accès!$B$2&amp;Tableau1[[#This Row],[Poste Responsable]]&amp;"\"&amp;Tableau1[[#This Row],[Localisation / Classement]]&amp;"\"&amp;Tableau1[[#This Row],[Poste technique]]&amp;"_"&amp;Tableau1[[#This Row],[Plan Entretien]]&amp;".pdf"</f>
        <v>\\stjn.local\trimet\Donnees_Projets\Dms Sap\Maintenance\PlanEntretien\7.MSCT\\_.pdf</v>
      </c>
      <c r="X815" s="47"/>
      <c r="Y815" s="47"/>
      <c r="Z815" s="44" t="str">
        <f ca="1">IF(AND(Tableau1[[#This Row],[Charge]]&lt;&gt;0, Tableau1[[#This Row],[Nombre intervenants]]&lt;&gt;0,Tableau1[[#This Row],[Lien document]]&lt;&gt;0,Tableau1[[#This Row],[DMS_SAP]]&lt;&gt;0)=TRUE,"MIS A JOUR","")</f>
        <v/>
      </c>
      <c r="AA815" s="48"/>
      <c r="AB815" s="58" t="str">
        <f ca="1">IF(Tableau1[[#This Row],[Date rév.]]&lt;&gt;"", DAYS360(Tableau1[[#This Row],[Date rév.]],TODAY()),"")</f>
        <v/>
      </c>
      <c r="AC815" s="47" t="str">
        <f>IFERROR(INDEX(Chemin_accès!$B$11:$C$22,MATCH(Tableau1[[#This Row],[Type]],Chemin_accès!$C$11:$C$22,0),1),Chemin_accès!$B$11)</f>
        <v>\\stjn.local\trimet\Btechnique\Commun\BT Maint SCELLEMENT\205 - Préventifs\Modèles préventif\GammeDMS_7.MSCT.xlsm</v>
      </c>
      <c r="AD815" s="47" t="str">
        <f>Chemin_accès!$B$8&amp;Tableau1[[#This Row],[Localisation / Classement]]&amp;"\"&amp;Tableau1[[#This Row],[Poste technique]]&amp;"_"&amp;Tableau1[[#This Row],[Plan Entretien]]&amp;".xlsm"</f>
        <v>\\stjn.local\trimet\Btechnique\Commun\BT Maint SCELLEMENT\205 - Préventifs\Gammes 7.MSCT PE Tool\\_.xlsm</v>
      </c>
    </row>
    <row r="816" spans="1:30" x14ac:dyDescent="0.3">
      <c r="A816" s="44" t="str">
        <f t="shared" ca="1" si="12"/>
        <v>7.MSCT</v>
      </c>
      <c r="B8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6" s="46"/>
      <c r="D816" s="44"/>
      <c r="E816" s="44"/>
      <c r="F816" s="47"/>
      <c r="G816" s="47"/>
      <c r="H816" s="50"/>
      <c r="I816" s="50"/>
      <c r="J816" s="50"/>
      <c r="K816" s="50"/>
      <c r="L816" s="46"/>
      <c r="M816" s="47"/>
      <c r="N816" s="46"/>
      <c r="O816" s="46"/>
      <c r="P816" s="47"/>
      <c r="Q816" s="46"/>
      <c r="R816" s="46"/>
      <c r="S816" s="48"/>
      <c r="T816" s="61" t="str">
        <f>IF(Tableau1[[#This Row],[DMS_SAP]]="","",HYPERLINK(Tableau1[[#This Row],[Chemin fichier source]],"X"))</f>
        <v/>
      </c>
      <c r="U816" s="61" t="str">
        <f>IF(Tableau1[[#This Row],[Date rév.]]="","",HYPERLINK(Tableau1[[#This Row],[Lien document]],"X"))</f>
        <v/>
      </c>
      <c r="V816" s="47"/>
      <c r="W816" s="49" t="str">
        <f ca="1">Chemin_accès!$B$2&amp;Tableau1[[#This Row],[Poste Responsable]]&amp;"\"&amp;Tableau1[[#This Row],[Localisation / Classement]]&amp;"\"&amp;Tableau1[[#This Row],[Poste technique]]&amp;"_"&amp;Tableau1[[#This Row],[Plan Entretien]]&amp;".pdf"</f>
        <v>\\stjn.local\trimet\Donnees_Projets\Dms Sap\Maintenance\PlanEntretien\7.MSCT\\_.pdf</v>
      </c>
      <c r="X816" s="47"/>
      <c r="Y816" s="47"/>
      <c r="Z816" s="44" t="str">
        <f ca="1">IF(AND(Tableau1[[#This Row],[Charge]]&lt;&gt;0, Tableau1[[#This Row],[Nombre intervenants]]&lt;&gt;0,Tableau1[[#This Row],[Lien document]]&lt;&gt;0,Tableau1[[#This Row],[DMS_SAP]]&lt;&gt;0)=TRUE,"MIS A JOUR","")</f>
        <v/>
      </c>
      <c r="AA816" s="48"/>
      <c r="AB816" s="58" t="str">
        <f ca="1">IF(Tableau1[[#This Row],[Date rév.]]&lt;&gt;"", DAYS360(Tableau1[[#This Row],[Date rév.]],TODAY()),"")</f>
        <v/>
      </c>
      <c r="AC816" s="47" t="str">
        <f>IFERROR(INDEX(Chemin_accès!$B$11:$C$22,MATCH(Tableau1[[#This Row],[Type]],Chemin_accès!$C$11:$C$22,0),1),Chemin_accès!$B$11)</f>
        <v>\\stjn.local\trimet\Btechnique\Commun\BT Maint SCELLEMENT\205 - Préventifs\Modèles préventif\GammeDMS_7.MSCT.xlsm</v>
      </c>
      <c r="AD816" s="47" t="str">
        <f>Chemin_accès!$B$8&amp;Tableau1[[#This Row],[Localisation / Classement]]&amp;"\"&amp;Tableau1[[#This Row],[Poste technique]]&amp;"_"&amp;Tableau1[[#This Row],[Plan Entretien]]&amp;".xlsm"</f>
        <v>\\stjn.local\trimet\Btechnique\Commun\BT Maint SCELLEMENT\205 - Préventifs\Gammes 7.MSCT PE Tool\\_.xlsm</v>
      </c>
    </row>
    <row r="817" spans="1:30" x14ac:dyDescent="0.3">
      <c r="A817" s="44" t="str">
        <f t="shared" ca="1" si="12"/>
        <v>7.MSCT</v>
      </c>
      <c r="B8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7" s="46"/>
      <c r="D817" s="44"/>
      <c r="E817" s="44"/>
      <c r="F817" s="47"/>
      <c r="G817" s="47"/>
      <c r="H817" s="50"/>
      <c r="I817" s="50"/>
      <c r="J817" s="50"/>
      <c r="K817" s="50"/>
      <c r="L817" s="46"/>
      <c r="M817" s="47"/>
      <c r="N817" s="46"/>
      <c r="O817" s="46"/>
      <c r="P817" s="47"/>
      <c r="Q817" s="46"/>
      <c r="R817" s="46"/>
      <c r="S817" s="48"/>
      <c r="T817" s="61" t="str">
        <f>IF(Tableau1[[#This Row],[DMS_SAP]]="","",HYPERLINK(Tableau1[[#This Row],[Chemin fichier source]],"X"))</f>
        <v/>
      </c>
      <c r="U817" s="61" t="str">
        <f>IF(Tableau1[[#This Row],[Date rév.]]="","",HYPERLINK(Tableau1[[#This Row],[Lien document]],"X"))</f>
        <v/>
      </c>
      <c r="V817" s="47"/>
      <c r="W817" s="49" t="str">
        <f ca="1">Chemin_accès!$B$2&amp;Tableau1[[#This Row],[Poste Responsable]]&amp;"\"&amp;Tableau1[[#This Row],[Localisation / Classement]]&amp;"\"&amp;Tableau1[[#This Row],[Poste technique]]&amp;"_"&amp;Tableau1[[#This Row],[Plan Entretien]]&amp;".pdf"</f>
        <v>\\stjn.local\trimet\Donnees_Projets\Dms Sap\Maintenance\PlanEntretien\7.MSCT\\_.pdf</v>
      </c>
      <c r="X817" s="47"/>
      <c r="Y817" s="47"/>
      <c r="Z817" s="44" t="str">
        <f ca="1">IF(AND(Tableau1[[#This Row],[Charge]]&lt;&gt;0, Tableau1[[#This Row],[Nombre intervenants]]&lt;&gt;0,Tableau1[[#This Row],[Lien document]]&lt;&gt;0,Tableau1[[#This Row],[DMS_SAP]]&lt;&gt;0)=TRUE,"MIS A JOUR","")</f>
        <v/>
      </c>
      <c r="AA817" s="48"/>
      <c r="AB817" s="58" t="str">
        <f ca="1">IF(Tableau1[[#This Row],[Date rév.]]&lt;&gt;"", DAYS360(Tableau1[[#This Row],[Date rév.]],TODAY()),"")</f>
        <v/>
      </c>
      <c r="AC817" s="47" t="str">
        <f>IFERROR(INDEX(Chemin_accès!$B$11:$C$22,MATCH(Tableau1[[#This Row],[Type]],Chemin_accès!$C$11:$C$22,0),1),Chemin_accès!$B$11)</f>
        <v>\\stjn.local\trimet\Btechnique\Commun\BT Maint SCELLEMENT\205 - Préventifs\Modèles préventif\GammeDMS_7.MSCT.xlsm</v>
      </c>
      <c r="AD817" s="47" t="str">
        <f>Chemin_accès!$B$8&amp;Tableau1[[#This Row],[Localisation / Classement]]&amp;"\"&amp;Tableau1[[#This Row],[Poste technique]]&amp;"_"&amp;Tableau1[[#This Row],[Plan Entretien]]&amp;".xlsm"</f>
        <v>\\stjn.local\trimet\Btechnique\Commun\BT Maint SCELLEMENT\205 - Préventifs\Gammes 7.MSCT PE Tool\\_.xlsm</v>
      </c>
    </row>
    <row r="818" spans="1:30" x14ac:dyDescent="0.3">
      <c r="A818" s="44" t="str">
        <f t="shared" ca="1" si="12"/>
        <v>7.MSCT</v>
      </c>
      <c r="B8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8" s="46"/>
      <c r="D818" s="44"/>
      <c r="E818" s="44"/>
      <c r="F818" s="47"/>
      <c r="G818" s="47"/>
      <c r="H818" s="50"/>
      <c r="I818" s="50"/>
      <c r="J818" s="50"/>
      <c r="K818" s="50"/>
      <c r="L818" s="46"/>
      <c r="M818" s="47"/>
      <c r="N818" s="46"/>
      <c r="O818" s="46"/>
      <c r="P818" s="47"/>
      <c r="Q818" s="46"/>
      <c r="R818" s="46"/>
      <c r="S818" s="48"/>
      <c r="T818" s="61" t="str">
        <f>IF(Tableau1[[#This Row],[DMS_SAP]]="","",HYPERLINK(Tableau1[[#This Row],[Chemin fichier source]],"X"))</f>
        <v/>
      </c>
      <c r="U818" s="61" t="str">
        <f>IF(Tableau1[[#This Row],[Date rév.]]="","",HYPERLINK(Tableau1[[#This Row],[Lien document]],"X"))</f>
        <v/>
      </c>
      <c r="V818" s="47"/>
      <c r="W818" s="49" t="str">
        <f ca="1">Chemin_accès!$B$2&amp;Tableau1[[#This Row],[Poste Responsable]]&amp;"\"&amp;Tableau1[[#This Row],[Localisation / Classement]]&amp;"\"&amp;Tableau1[[#This Row],[Poste technique]]&amp;"_"&amp;Tableau1[[#This Row],[Plan Entretien]]&amp;".pdf"</f>
        <v>\\stjn.local\trimet\Donnees_Projets\Dms Sap\Maintenance\PlanEntretien\7.MSCT\\_.pdf</v>
      </c>
      <c r="X818" s="47"/>
      <c r="Y818" s="47"/>
      <c r="Z818" s="44" t="str">
        <f ca="1">IF(AND(Tableau1[[#This Row],[Charge]]&lt;&gt;0, Tableau1[[#This Row],[Nombre intervenants]]&lt;&gt;0,Tableau1[[#This Row],[Lien document]]&lt;&gt;0,Tableau1[[#This Row],[DMS_SAP]]&lt;&gt;0)=TRUE,"MIS A JOUR","")</f>
        <v/>
      </c>
      <c r="AA818" s="48"/>
      <c r="AB818" s="58" t="str">
        <f ca="1">IF(Tableau1[[#This Row],[Date rév.]]&lt;&gt;"", DAYS360(Tableau1[[#This Row],[Date rév.]],TODAY()),"")</f>
        <v/>
      </c>
      <c r="AC818" s="47" t="str">
        <f>IFERROR(INDEX(Chemin_accès!$B$11:$C$22,MATCH(Tableau1[[#This Row],[Type]],Chemin_accès!$C$11:$C$22,0),1),Chemin_accès!$B$11)</f>
        <v>\\stjn.local\trimet\Btechnique\Commun\BT Maint SCELLEMENT\205 - Préventifs\Modèles préventif\GammeDMS_7.MSCT.xlsm</v>
      </c>
      <c r="AD818" s="47" t="str">
        <f>Chemin_accès!$B$8&amp;Tableau1[[#This Row],[Localisation / Classement]]&amp;"\"&amp;Tableau1[[#This Row],[Poste technique]]&amp;"_"&amp;Tableau1[[#This Row],[Plan Entretien]]&amp;".xlsm"</f>
        <v>\\stjn.local\trimet\Btechnique\Commun\BT Maint SCELLEMENT\205 - Préventifs\Gammes 7.MSCT PE Tool\\_.xlsm</v>
      </c>
    </row>
    <row r="819" spans="1:30" x14ac:dyDescent="0.3">
      <c r="A819" s="44" t="str">
        <f t="shared" ca="1" si="12"/>
        <v>7.MSCT</v>
      </c>
      <c r="B8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9" s="46"/>
      <c r="D819" s="44"/>
      <c r="E819" s="44"/>
      <c r="F819" s="47"/>
      <c r="G819" s="47"/>
      <c r="H819" s="50"/>
      <c r="I819" s="50"/>
      <c r="J819" s="50"/>
      <c r="K819" s="50"/>
      <c r="L819" s="46"/>
      <c r="M819" s="47"/>
      <c r="N819" s="46"/>
      <c r="O819" s="46"/>
      <c r="P819" s="47"/>
      <c r="Q819" s="46"/>
      <c r="R819" s="46"/>
      <c r="S819" s="48"/>
      <c r="T819" s="61" t="str">
        <f>IF(Tableau1[[#This Row],[DMS_SAP]]="","",HYPERLINK(Tableau1[[#This Row],[Chemin fichier source]],"X"))</f>
        <v/>
      </c>
      <c r="U819" s="61" t="str">
        <f>IF(Tableau1[[#This Row],[Date rév.]]="","",HYPERLINK(Tableau1[[#This Row],[Lien document]],"X"))</f>
        <v/>
      </c>
      <c r="V819" s="47"/>
      <c r="W819" s="49" t="str">
        <f ca="1">Chemin_accès!$B$2&amp;Tableau1[[#This Row],[Poste Responsable]]&amp;"\"&amp;Tableau1[[#This Row],[Localisation / Classement]]&amp;"\"&amp;Tableau1[[#This Row],[Poste technique]]&amp;"_"&amp;Tableau1[[#This Row],[Plan Entretien]]&amp;".pdf"</f>
        <v>\\stjn.local\trimet\Donnees_Projets\Dms Sap\Maintenance\PlanEntretien\7.MSCT\\_.pdf</v>
      </c>
      <c r="X819" s="47"/>
      <c r="Y819" s="47"/>
      <c r="Z819" s="44" t="str">
        <f ca="1">IF(AND(Tableau1[[#This Row],[Charge]]&lt;&gt;0, Tableau1[[#This Row],[Nombre intervenants]]&lt;&gt;0,Tableau1[[#This Row],[Lien document]]&lt;&gt;0,Tableau1[[#This Row],[DMS_SAP]]&lt;&gt;0)=TRUE,"MIS A JOUR","")</f>
        <v/>
      </c>
      <c r="AA819" s="48"/>
      <c r="AB819" s="58" t="str">
        <f ca="1">IF(Tableau1[[#This Row],[Date rév.]]&lt;&gt;"", DAYS360(Tableau1[[#This Row],[Date rév.]],TODAY()),"")</f>
        <v/>
      </c>
      <c r="AC819" s="47" t="str">
        <f>IFERROR(INDEX(Chemin_accès!$B$11:$C$22,MATCH(Tableau1[[#This Row],[Type]],Chemin_accès!$C$11:$C$22,0),1),Chemin_accès!$B$11)</f>
        <v>\\stjn.local\trimet\Btechnique\Commun\BT Maint SCELLEMENT\205 - Préventifs\Modèles préventif\GammeDMS_7.MSCT.xlsm</v>
      </c>
      <c r="AD819" s="47" t="str">
        <f>Chemin_accès!$B$8&amp;Tableau1[[#This Row],[Localisation / Classement]]&amp;"\"&amp;Tableau1[[#This Row],[Poste technique]]&amp;"_"&amp;Tableau1[[#This Row],[Plan Entretien]]&amp;".xlsm"</f>
        <v>\\stjn.local\trimet\Btechnique\Commun\BT Maint SCELLEMENT\205 - Préventifs\Gammes 7.MSCT PE Tool\\_.xlsm</v>
      </c>
    </row>
    <row r="820" spans="1:30" x14ac:dyDescent="0.3">
      <c r="A820" s="44" t="str">
        <f t="shared" ca="1" si="12"/>
        <v>7.MSCT</v>
      </c>
      <c r="B8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0" s="46"/>
      <c r="D820" s="44"/>
      <c r="E820" s="44"/>
      <c r="F820" s="47"/>
      <c r="G820" s="47"/>
      <c r="H820" s="50"/>
      <c r="I820" s="50"/>
      <c r="J820" s="50"/>
      <c r="K820" s="50"/>
      <c r="L820" s="46"/>
      <c r="M820" s="47"/>
      <c r="N820" s="46"/>
      <c r="O820" s="46"/>
      <c r="P820" s="47"/>
      <c r="Q820" s="46"/>
      <c r="R820" s="46"/>
      <c r="S820" s="48"/>
      <c r="T820" s="61" t="str">
        <f>IF(Tableau1[[#This Row],[DMS_SAP]]="","",HYPERLINK(Tableau1[[#This Row],[Chemin fichier source]],"X"))</f>
        <v/>
      </c>
      <c r="U820" s="61" t="str">
        <f>IF(Tableau1[[#This Row],[Date rév.]]="","",HYPERLINK(Tableau1[[#This Row],[Lien document]],"X"))</f>
        <v/>
      </c>
      <c r="V820" s="47"/>
      <c r="W820" s="49" t="str">
        <f ca="1">Chemin_accès!$B$2&amp;Tableau1[[#This Row],[Poste Responsable]]&amp;"\"&amp;Tableau1[[#This Row],[Localisation / Classement]]&amp;"\"&amp;Tableau1[[#This Row],[Poste technique]]&amp;"_"&amp;Tableau1[[#This Row],[Plan Entretien]]&amp;".pdf"</f>
        <v>\\stjn.local\trimet\Donnees_Projets\Dms Sap\Maintenance\PlanEntretien\7.MSCT\\_.pdf</v>
      </c>
      <c r="X820" s="47"/>
      <c r="Y820" s="47"/>
      <c r="Z820" s="44" t="str">
        <f ca="1">IF(AND(Tableau1[[#This Row],[Charge]]&lt;&gt;0, Tableau1[[#This Row],[Nombre intervenants]]&lt;&gt;0,Tableau1[[#This Row],[Lien document]]&lt;&gt;0,Tableau1[[#This Row],[DMS_SAP]]&lt;&gt;0)=TRUE,"MIS A JOUR","")</f>
        <v/>
      </c>
      <c r="AA820" s="48"/>
      <c r="AB820" s="58" t="str">
        <f ca="1">IF(Tableau1[[#This Row],[Date rév.]]&lt;&gt;"", DAYS360(Tableau1[[#This Row],[Date rév.]],TODAY()),"")</f>
        <v/>
      </c>
      <c r="AC820" s="47" t="str">
        <f>IFERROR(INDEX(Chemin_accès!$B$11:$C$22,MATCH(Tableau1[[#This Row],[Type]],Chemin_accès!$C$11:$C$22,0),1),Chemin_accès!$B$11)</f>
        <v>\\stjn.local\trimet\Btechnique\Commun\BT Maint SCELLEMENT\205 - Préventifs\Modèles préventif\GammeDMS_7.MSCT.xlsm</v>
      </c>
      <c r="AD820" s="47" t="str">
        <f>Chemin_accès!$B$8&amp;Tableau1[[#This Row],[Localisation / Classement]]&amp;"\"&amp;Tableau1[[#This Row],[Poste technique]]&amp;"_"&amp;Tableau1[[#This Row],[Plan Entretien]]&amp;".xlsm"</f>
        <v>\\stjn.local\trimet\Btechnique\Commun\BT Maint SCELLEMENT\205 - Préventifs\Gammes 7.MSCT PE Tool\\_.xlsm</v>
      </c>
    </row>
    <row r="821" spans="1:30" x14ac:dyDescent="0.3">
      <c r="A821" s="44" t="str">
        <f t="shared" ca="1" si="12"/>
        <v>7.MSCT</v>
      </c>
      <c r="B8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1" s="46"/>
      <c r="D821" s="44"/>
      <c r="E821" s="44"/>
      <c r="F821" s="47"/>
      <c r="G821" s="47"/>
      <c r="H821" s="50"/>
      <c r="I821" s="50"/>
      <c r="J821" s="50"/>
      <c r="K821" s="50"/>
      <c r="L821" s="46"/>
      <c r="M821" s="47"/>
      <c r="N821" s="46"/>
      <c r="O821" s="46"/>
      <c r="P821" s="47"/>
      <c r="Q821" s="46"/>
      <c r="R821" s="46"/>
      <c r="S821" s="48"/>
      <c r="T821" s="61" t="str">
        <f>IF(Tableau1[[#This Row],[DMS_SAP]]="","",HYPERLINK(Tableau1[[#This Row],[Chemin fichier source]],"X"))</f>
        <v/>
      </c>
      <c r="U821" s="61" t="str">
        <f>IF(Tableau1[[#This Row],[Date rév.]]="","",HYPERLINK(Tableau1[[#This Row],[Lien document]],"X"))</f>
        <v/>
      </c>
      <c r="V821" s="47"/>
      <c r="W821" s="49" t="str">
        <f ca="1">Chemin_accès!$B$2&amp;Tableau1[[#This Row],[Poste Responsable]]&amp;"\"&amp;Tableau1[[#This Row],[Localisation / Classement]]&amp;"\"&amp;Tableau1[[#This Row],[Poste technique]]&amp;"_"&amp;Tableau1[[#This Row],[Plan Entretien]]&amp;".pdf"</f>
        <v>\\stjn.local\trimet\Donnees_Projets\Dms Sap\Maintenance\PlanEntretien\7.MSCT\\_.pdf</v>
      </c>
      <c r="X821" s="47"/>
      <c r="Y821" s="47"/>
      <c r="Z821" s="44" t="str">
        <f ca="1">IF(AND(Tableau1[[#This Row],[Charge]]&lt;&gt;0, Tableau1[[#This Row],[Nombre intervenants]]&lt;&gt;0,Tableau1[[#This Row],[Lien document]]&lt;&gt;0,Tableau1[[#This Row],[DMS_SAP]]&lt;&gt;0)=TRUE,"MIS A JOUR","")</f>
        <v/>
      </c>
      <c r="AA821" s="48"/>
      <c r="AB821" s="58" t="str">
        <f ca="1">IF(Tableau1[[#This Row],[Date rév.]]&lt;&gt;"", DAYS360(Tableau1[[#This Row],[Date rév.]],TODAY()),"")</f>
        <v/>
      </c>
      <c r="AC821" s="47" t="str">
        <f>IFERROR(INDEX(Chemin_accès!$B$11:$C$22,MATCH(Tableau1[[#This Row],[Type]],Chemin_accès!$C$11:$C$22,0),1),Chemin_accès!$B$11)</f>
        <v>\\stjn.local\trimet\Btechnique\Commun\BT Maint SCELLEMENT\205 - Préventifs\Modèles préventif\GammeDMS_7.MSCT.xlsm</v>
      </c>
      <c r="AD821" s="47" t="str">
        <f>Chemin_accès!$B$8&amp;Tableau1[[#This Row],[Localisation / Classement]]&amp;"\"&amp;Tableau1[[#This Row],[Poste technique]]&amp;"_"&amp;Tableau1[[#This Row],[Plan Entretien]]&amp;".xlsm"</f>
        <v>\\stjn.local\trimet\Btechnique\Commun\BT Maint SCELLEMENT\205 - Préventifs\Gammes 7.MSCT PE Tool\\_.xlsm</v>
      </c>
    </row>
    <row r="822" spans="1:30" x14ac:dyDescent="0.3">
      <c r="A822" s="44" t="str">
        <f t="shared" ca="1" si="12"/>
        <v>7.MSCT</v>
      </c>
      <c r="B8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2" s="46"/>
      <c r="D822" s="44"/>
      <c r="E822" s="44"/>
      <c r="F822" s="47"/>
      <c r="G822" s="47"/>
      <c r="H822" s="50"/>
      <c r="I822" s="50"/>
      <c r="J822" s="50"/>
      <c r="K822" s="50"/>
      <c r="L822" s="46"/>
      <c r="M822" s="47"/>
      <c r="N822" s="46"/>
      <c r="O822" s="46"/>
      <c r="P822" s="47"/>
      <c r="Q822" s="46"/>
      <c r="R822" s="46"/>
      <c r="S822" s="48"/>
      <c r="T822" s="61" t="str">
        <f>IF(Tableau1[[#This Row],[DMS_SAP]]="","",HYPERLINK(Tableau1[[#This Row],[Chemin fichier source]],"X"))</f>
        <v/>
      </c>
      <c r="U822" s="61" t="str">
        <f>IF(Tableau1[[#This Row],[Date rév.]]="","",HYPERLINK(Tableau1[[#This Row],[Lien document]],"X"))</f>
        <v/>
      </c>
      <c r="V822" s="47"/>
      <c r="W822" s="49" t="str">
        <f ca="1">Chemin_accès!$B$2&amp;Tableau1[[#This Row],[Poste Responsable]]&amp;"\"&amp;Tableau1[[#This Row],[Localisation / Classement]]&amp;"\"&amp;Tableau1[[#This Row],[Poste technique]]&amp;"_"&amp;Tableau1[[#This Row],[Plan Entretien]]&amp;".pdf"</f>
        <v>\\stjn.local\trimet\Donnees_Projets\Dms Sap\Maintenance\PlanEntretien\7.MSCT\\_.pdf</v>
      </c>
      <c r="X822" s="47"/>
      <c r="Y822" s="47"/>
      <c r="Z822" s="44" t="str">
        <f ca="1">IF(AND(Tableau1[[#This Row],[Charge]]&lt;&gt;0, Tableau1[[#This Row],[Nombre intervenants]]&lt;&gt;0,Tableau1[[#This Row],[Lien document]]&lt;&gt;0,Tableau1[[#This Row],[DMS_SAP]]&lt;&gt;0)=TRUE,"MIS A JOUR","")</f>
        <v/>
      </c>
      <c r="AA822" s="48"/>
      <c r="AB822" s="58" t="str">
        <f ca="1">IF(Tableau1[[#This Row],[Date rév.]]&lt;&gt;"", DAYS360(Tableau1[[#This Row],[Date rév.]],TODAY()),"")</f>
        <v/>
      </c>
      <c r="AC822" s="47" t="str">
        <f>IFERROR(INDEX(Chemin_accès!$B$11:$C$22,MATCH(Tableau1[[#This Row],[Type]],Chemin_accès!$C$11:$C$22,0),1),Chemin_accès!$B$11)</f>
        <v>\\stjn.local\trimet\Btechnique\Commun\BT Maint SCELLEMENT\205 - Préventifs\Modèles préventif\GammeDMS_7.MSCT.xlsm</v>
      </c>
      <c r="AD822" s="47" t="str">
        <f>Chemin_accès!$B$8&amp;Tableau1[[#This Row],[Localisation / Classement]]&amp;"\"&amp;Tableau1[[#This Row],[Poste technique]]&amp;"_"&amp;Tableau1[[#This Row],[Plan Entretien]]&amp;".xlsm"</f>
        <v>\\stjn.local\trimet\Btechnique\Commun\BT Maint SCELLEMENT\205 - Préventifs\Gammes 7.MSCT PE Tool\\_.xlsm</v>
      </c>
    </row>
    <row r="823" spans="1:30" x14ac:dyDescent="0.3">
      <c r="A823" s="44" t="str">
        <f t="shared" ca="1" si="12"/>
        <v>7.MSCT</v>
      </c>
      <c r="B8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3" s="46"/>
      <c r="D823" s="44"/>
      <c r="E823" s="44"/>
      <c r="F823" s="47"/>
      <c r="G823" s="47"/>
      <c r="H823" s="50"/>
      <c r="I823" s="50"/>
      <c r="J823" s="50"/>
      <c r="K823" s="50"/>
      <c r="L823" s="46"/>
      <c r="M823" s="47"/>
      <c r="N823" s="46"/>
      <c r="O823" s="46"/>
      <c r="P823" s="47"/>
      <c r="Q823" s="46"/>
      <c r="R823" s="46"/>
      <c r="S823" s="48"/>
      <c r="T823" s="61" t="str">
        <f>IF(Tableau1[[#This Row],[DMS_SAP]]="","",HYPERLINK(Tableau1[[#This Row],[Chemin fichier source]],"X"))</f>
        <v/>
      </c>
      <c r="U823" s="61" t="str">
        <f>IF(Tableau1[[#This Row],[Date rév.]]="","",HYPERLINK(Tableau1[[#This Row],[Lien document]],"X"))</f>
        <v/>
      </c>
      <c r="V823" s="47"/>
      <c r="W823" s="49" t="str">
        <f ca="1">Chemin_accès!$B$2&amp;Tableau1[[#This Row],[Poste Responsable]]&amp;"\"&amp;Tableau1[[#This Row],[Localisation / Classement]]&amp;"\"&amp;Tableau1[[#This Row],[Poste technique]]&amp;"_"&amp;Tableau1[[#This Row],[Plan Entretien]]&amp;".pdf"</f>
        <v>\\stjn.local\trimet\Donnees_Projets\Dms Sap\Maintenance\PlanEntretien\7.MSCT\\_.pdf</v>
      </c>
      <c r="X823" s="47"/>
      <c r="Y823" s="47"/>
      <c r="Z823" s="44" t="str">
        <f ca="1">IF(AND(Tableau1[[#This Row],[Charge]]&lt;&gt;0, Tableau1[[#This Row],[Nombre intervenants]]&lt;&gt;0,Tableau1[[#This Row],[Lien document]]&lt;&gt;0,Tableau1[[#This Row],[DMS_SAP]]&lt;&gt;0)=TRUE,"MIS A JOUR","")</f>
        <v/>
      </c>
      <c r="AA823" s="48"/>
      <c r="AB823" s="58" t="str">
        <f ca="1">IF(Tableau1[[#This Row],[Date rév.]]&lt;&gt;"", DAYS360(Tableau1[[#This Row],[Date rév.]],TODAY()),"")</f>
        <v/>
      </c>
      <c r="AC823" s="47" t="str">
        <f>IFERROR(INDEX(Chemin_accès!$B$11:$C$22,MATCH(Tableau1[[#This Row],[Type]],Chemin_accès!$C$11:$C$22,0),1),Chemin_accès!$B$11)</f>
        <v>\\stjn.local\trimet\Btechnique\Commun\BT Maint SCELLEMENT\205 - Préventifs\Modèles préventif\GammeDMS_7.MSCT.xlsm</v>
      </c>
      <c r="AD823" s="47" t="str">
        <f>Chemin_accès!$B$8&amp;Tableau1[[#This Row],[Localisation / Classement]]&amp;"\"&amp;Tableau1[[#This Row],[Poste technique]]&amp;"_"&amp;Tableau1[[#This Row],[Plan Entretien]]&amp;".xlsm"</f>
        <v>\\stjn.local\trimet\Btechnique\Commun\BT Maint SCELLEMENT\205 - Préventifs\Gammes 7.MSCT PE Tool\\_.xlsm</v>
      </c>
    </row>
    <row r="824" spans="1:30" x14ac:dyDescent="0.3">
      <c r="A824" s="44" t="str">
        <f t="shared" ca="1" si="12"/>
        <v>7.MSCT</v>
      </c>
      <c r="B8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4" s="46"/>
      <c r="D824" s="44"/>
      <c r="E824" s="44"/>
      <c r="F824" s="47"/>
      <c r="G824" s="47"/>
      <c r="H824" s="50"/>
      <c r="I824" s="50"/>
      <c r="J824" s="50"/>
      <c r="K824" s="50"/>
      <c r="L824" s="46"/>
      <c r="M824" s="47"/>
      <c r="N824" s="46"/>
      <c r="O824" s="46"/>
      <c r="P824" s="47"/>
      <c r="Q824" s="46"/>
      <c r="R824" s="46"/>
      <c r="S824" s="48"/>
      <c r="T824" s="61" t="str">
        <f>IF(Tableau1[[#This Row],[DMS_SAP]]="","",HYPERLINK(Tableau1[[#This Row],[Chemin fichier source]],"X"))</f>
        <v/>
      </c>
      <c r="U824" s="61" t="str">
        <f>IF(Tableau1[[#This Row],[Date rév.]]="","",HYPERLINK(Tableau1[[#This Row],[Lien document]],"X"))</f>
        <v/>
      </c>
      <c r="V824" s="47"/>
      <c r="W824" s="49" t="str">
        <f ca="1">Chemin_accès!$B$2&amp;Tableau1[[#This Row],[Poste Responsable]]&amp;"\"&amp;Tableau1[[#This Row],[Localisation / Classement]]&amp;"\"&amp;Tableau1[[#This Row],[Poste technique]]&amp;"_"&amp;Tableau1[[#This Row],[Plan Entretien]]&amp;".pdf"</f>
        <v>\\stjn.local\trimet\Donnees_Projets\Dms Sap\Maintenance\PlanEntretien\7.MSCT\\_.pdf</v>
      </c>
      <c r="X824" s="47"/>
      <c r="Y824" s="47"/>
      <c r="Z824" s="44" t="str">
        <f ca="1">IF(AND(Tableau1[[#This Row],[Charge]]&lt;&gt;0, Tableau1[[#This Row],[Nombre intervenants]]&lt;&gt;0,Tableau1[[#This Row],[Lien document]]&lt;&gt;0,Tableau1[[#This Row],[DMS_SAP]]&lt;&gt;0)=TRUE,"MIS A JOUR","")</f>
        <v/>
      </c>
      <c r="AA824" s="48"/>
      <c r="AB824" s="58" t="str">
        <f ca="1">IF(Tableau1[[#This Row],[Date rév.]]&lt;&gt;"", DAYS360(Tableau1[[#This Row],[Date rév.]],TODAY()),"")</f>
        <v/>
      </c>
      <c r="AC824" s="47" t="str">
        <f>IFERROR(INDEX(Chemin_accès!$B$11:$C$22,MATCH(Tableau1[[#This Row],[Type]],Chemin_accès!$C$11:$C$22,0),1),Chemin_accès!$B$11)</f>
        <v>\\stjn.local\trimet\Btechnique\Commun\BT Maint SCELLEMENT\205 - Préventifs\Modèles préventif\GammeDMS_7.MSCT.xlsm</v>
      </c>
      <c r="AD824" s="47" t="str">
        <f>Chemin_accès!$B$8&amp;Tableau1[[#This Row],[Localisation / Classement]]&amp;"\"&amp;Tableau1[[#This Row],[Poste technique]]&amp;"_"&amp;Tableau1[[#This Row],[Plan Entretien]]&amp;".xlsm"</f>
        <v>\\stjn.local\trimet\Btechnique\Commun\BT Maint SCELLEMENT\205 - Préventifs\Gammes 7.MSCT PE Tool\\_.xlsm</v>
      </c>
    </row>
    <row r="825" spans="1:30" x14ac:dyDescent="0.3">
      <c r="A825" s="44" t="str">
        <f t="shared" ca="1" si="12"/>
        <v>7.MSCT</v>
      </c>
      <c r="B8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5" s="46"/>
      <c r="D825" s="44"/>
      <c r="E825" s="44"/>
      <c r="F825" s="47"/>
      <c r="G825" s="47"/>
      <c r="H825" s="50"/>
      <c r="I825" s="50"/>
      <c r="J825" s="50"/>
      <c r="K825" s="50"/>
      <c r="L825" s="46"/>
      <c r="M825" s="47"/>
      <c r="N825" s="46"/>
      <c r="O825" s="46"/>
      <c r="P825" s="47"/>
      <c r="Q825" s="46"/>
      <c r="R825" s="46"/>
      <c r="S825" s="48"/>
      <c r="T825" s="61" t="str">
        <f>IF(Tableau1[[#This Row],[DMS_SAP]]="","",HYPERLINK(Tableau1[[#This Row],[Chemin fichier source]],"X"))</f>
        <v/>
      </c>
      <c r="U825" s="61" t="str">
        <f>IF(Tableau1[[#This Row],[Date rév.]]="","",HYPERLINK(Tableau1[[#This Row],[Lien document]],"X"))</f>
        <v/>
      </c>
      <c r="V825" s="47"/>
      <c r="W825" s="49" t="str">
        <f ca="1">Chemin_accès!$B$2&amp;Tableau1[[#This Row],[Poste Responsable]]&amp;"\"&amp;Tableau1[[#This Row],[Localisation / Classement]]&amp;"\"&amp;Tableau1[[#This Row],[Poste technique]]&amp;"_"&amp;Tableau1[[#This Row],[Plan Entretien]]&amp;".pdf"</f>
        <v>\\stjn.local\trimet\Donnees_Projets\Dms Sap\Maintenance\PlanEntretien\7.MSCT\\_.pdf</v>
      </c>
      <c r="X825" s="47"/>
      <c r="Y825" s="47"/>
      <c r="Z825" s="44" t="str">
        <f ca="1">IF(AND(Tableau1[[#This Row],[Charge]]&lt;&gt;0, Tableau1[[#This Row],[Nombre intervenants]]&lt;&gt;0,Tableau1[[#This Row],[Lien document]]&lt;&gt;0,Tableau1[[#This Row],[DMS_SAP]]&lt;&gt;0)=TRUE,"MIS A JOUR","")</f>
        <v/>
      </c>
      <c r="AA825" s="48"/>
      <c r="AB825" s="58" t="str">
        <f ca="1">IF(Tableau1[[#This Row],[Date rév.]]&lt;&gt;"", DAYS360(Tableau1[[#This Row],[Date rév.]],TODAY()),"")</f>
        <v/>
      </c>
      <c r="AC825" s="47" t="str">
        <f>IFERROR(INDEX(Chemin_accès!$B$11:$C$22,MATCH(Tableau1[[#This Row],[Type]],Chemin_accès!$C$11:$C$22,0),1),Chemin_accès!$B$11)</f>
        <v>\\stjn.local\trimet\Btechnique\Commun\BT Maint SCELLEMENT\205 - Préventifs\Modèles préventif\GammeDMS_7.MSCT.xlsm</v>
      </c>
      <c r="AD825" s="47" t="str">
        <f>Chemin_accès!$B$8&amp;Tableau1[[#This Row],[Localisation / Classement]]&amp;"\"&amp;Tableau1[[#This Row],[Poste technique]]&amp;"_"&amp;Tableau1[[#This Row],[Plan Entretien]]&amp;".xlsm"</f>
        <v>\\stjn.local\trimet\Btechnique\Commun\BT Maint SCELLEMENT\205 - Préventifs\Gammes 7.MSCT PE Tool\\_.xlsm</v>
      </c>
    </row>
    <row r="826" spans="1:30" x14ac:dyDescent="0.3">
      <c r="A826" s="44" t="str">
        <f t="shared" ca="1" si="12"/>
        <v>7.MSCT</v>
      </c>
      <c r="B8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6" s="46"/>
      <c r="D826" s="44"/>
      <c r="E826" s="44"/>
      <c r="F826" s="47"/>
      <c r="G826" s="47"/>
      <c r="H826" s="50"/>
      <c r="I826" s="50"/>
      <c r="J826" s="50"/>
      <c r="K826" s="50"/>
      <c r="L826" s="46"/>
      <c r="M826" s="47"/>
      <c r="N826" s="46"/>
      <c r="O826" s="46"/>
      <c r="P826" s="47"/>
      <c r="Q826" s="46"/>
      <c r="R826" s="46"/>
      <c r="S826" s="48"/>
      <c r="T826" s="61" t="str">
        <f>IF(Tableau1[[#This Row],[DMS_SAP]]="","",HYPERLINK(Tableau1[[#This Row],[Chemin fichier source]],"X"))</f>
        <v/>
      </c>
      <c r="U826" s="61" t="str">
        <f>IF(Tableau1[[#This Row],[Date rév.]]="","",HYPERLINK(Tableau1[[#This Row],[Lien document]],"X"))</f>
        <v/>
      </c>
      <c r="V826" s="47"/>
      <c r="W826" s="49" t="str">
        <f ca="1">Chemin_accès!$B$2&amp;Tableau1[[#This Row],[Poste Responsable]]&amp;"\"&amp;Tableau1[[#This Row],[Localisation / Classement]]&amp;"\"&amp;Tableau1[[#This Row],[Poste technique]]&amp;"_"&amp;Tableau1[[#This Row],[Plan Entretien]]&amp;".pdf"</f>
        <v>\\stjn.local\trimet\Donnees_Projets\Dms Sap\Maintenance\PlanEntretien\7.MSCT\\_.pdf</v>
      </c>
      <c r="X826" s="47"/>
      <c r="Y826" s="47"/>
      <c r="Z826" s="44" t="str">
        <f ca="1">IF(AND(Tableau1[[#This Row],[Charge]]&lt;&gt;0, Tableau1[[#This Row],[Nombre intervenants]]&lt;&gt;0,Tableau1[[#This Row],[Lien document]]&lt;&gt;0,Tableau1[[#This Row],[DMS_SAP]]&lt;&gt;0)=TRUE,"MIS A JOUR","")</f>
        <v/>
      </c>
      <c r="AA826" s="48"/>
      <c r="AB826" s="58" t="str">
        <f ca="1">IF(Tableau1[[#This Row],[Date rév.]]&lt;&gt;"", DAYS360(Tableau1[[#This Row],[Date rév.]],TODAY()),"")</f>
        <v/>
      </c>
      <c r="AC826" s="47" t="str">
        <f>IFERROR(INDEX(Chemin_accès!$B$11:$C$22,MATCH(Tableau1[[#This Row],[Type]],Chemin_accès!$C$11:$C$22,0),1),Chemin_accès!$B$11)</f>
        <v>\\stjn.local\trimet\Btechnique\Commun\BT Maint SCELLEMENT\205 - Préventifs\Modèles préventif\GammeDMS_7.MSCT.xlsm</v>
      </c>
      <c r="AD826" s="47" t="str">
        <f>Chemin_accès!$B$8&amp;Tableau1[[#This Row],[Localisation / Classement]]&amp;"\"&amp;Tableau1[[#This Row],[Poste technique]]&amp;"_"&amp;Tableau1[[#This Row],[Plan Entretien]]&amp;".xlsm"</f>
        <v>\\stjn.local\trimet\Btechnique\Commun\BT Maint SCELLEMENT\205 - Préventifs\Gammes 7.MSCT PE Tool\\_.xlsm</v>
      </c>
    </row>
    <row r="827" spans="1:30" x14ac:dyDescent="0.3">
      <c r="A827" s="44" t="str">
        <f t="shared" ca="1" si="12"/>
        <v>7.MSCT</v>
      </c>
      <c r="B8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7" s="46"/>
      <c r="D827" s="44"/>
      <c r="E827" s="44"/>
      <c r="F827" s="47"/>
      <c r="G827" s="47"/>
      <c r="H827" s="50"/>
      <c r="I827" s="50"/>
      <c r="J827" s="50"/>
      <c r="K827" s="50"/>
      <c r="L827" s="46"/>
      <c r="M827" s="47"/>
      <c r="N827" s="46"/>
      <c r="O827" s="46"/>
      <c r="P827" s="47"/>
      <c r="Q827" s="46"/>
      <c r="R827" s="46"/>
      <c r="S827" s="48"/>
      <c r="T827" s="61" t="str">
        <f>IF(Tableau1[[#This Row],[DMS_SAP]]="","",HYPERLINK(Tableau1[[#This Row],[Chemin fichier source]],"X"))</f>
        <v/>
      </c>
      <c r="U827" s="61" t="str">
        <f>IF(Tableau1[[#This Row],[Date rév.]]="","",HYPERLINK(Tableau1[[#This Row],[Lien document]],"X"))</f>
        <v/>
      </c>
      <c r="V827" s="47"/>
      <c r="W827" s="49" t="str">
        <f ca="1">Chemin_accès!$B$2&amp;Tableau1[[#This Row],[Poste Responsable]]&amp;"\"&amp;Tableau1[[#This Row],[Localisation / Classement]]&amp;"\"&amp;Tableau1[[#This Row],[Poste technique]]&amp;"_"&amp;Tableau1[[#This Row],[Plan Entretien]]&amp;".pdf"</f>
        <v>\\stjn.local\trimet\Donnees_Projets\Dms Sap\Maintenance\PlanEntretien\7.MSCT\\_.pdf</v>
      </c>
      <c r="X827" s="47"/>
      <c r="Y827" s="47"/>
      <c r="Z827" s="44" t="str">
        <f ca="1">IF(AND(Tableau1[[#This Row],[Charge]]&lt;&gt;0, Tableau1[[#This Row],[Nombre intervenants]]&lt;&gt;0,Tableau1[[#This Row],[Lien document]]&lt;&gt;0,Tableau1[[#This Row],[DMS_SAP]]&lt;&gt;0)=TRUE,"MIS A JOUR","")</f>
        <v/>
      </c>
      <c r="AA827" s="48"/>
      <c r="AB827" s="58" t="str">
        <f ca="1">IF(Tableau1[[#This Row],[Date rév.]]&lt;&gt;"", DAYS360(Tableau1[[#This Row],[Date rév.]],TODAY()),"")</f>
        <v/>
      </c>
      <c r="AC827" s="47" t="str">
        <f>IFERROR(INDEX(Chemin_accès!$B$11:$C$22,MATCH(Tableau1[[#This Row],[Type]],Chemin_accès!$C$11:$C$22,0),1),Chemin_accès!$B$11)</f>
        <v>\\stjn.local\trimet\Btechnique\Commun\BT Maint SCELLEMENT\205 - Préventifs\Modèles préventif\GammeDMS_7.MSCT.xlsm</v>
      </c>
      <c r="AD827" s="47" t="str">
        <f>Chemin_accès!$B$8&amp;Tableau1[[#This Row],[Localisation / Classement]]&amp;"\"&amp;Tableau1[[#This Row],[Poste technique]]&amp;"_"&amp;Tableau1[[#This Row],[Plan Entretien]]&amp;".xlsm"</f>
        <v>\\stjn.local\trimet\Btechnique\Commun\BT Maint SCELLEMENT\205 - Préventifs\Gammes 7.MSCT PE Tool\\_.xlsm</v>
      </c>
    </row>
    <row r="828" spans="1:30" x14ac:dyDescent="0.3">
      <c r="A828" s="44" t="str">
        <f t="shared" ca="1" si="12"/>
        <v>7.MSCT</v>
      </c>
      <c r="B8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8" s="46"/>
      <c r="D828" s="44"/>
      <c r="E828" s="44"/>
      <c r="F828" s="47"/>
      <c r="G828" s="47"/>
      <c r="H828" s="50"/>
      <c r="I828" s="50"/>
      <c r="J828" s="50"/>
      <c r="K828" s="50"/>
      <c r="L828" s="46"/>
      <c r="M828" s="47"/>
      <c r="N828" s="46"/>
      <c r="O828" s="46"/>
      <c r="P828" s="47"/>
      <c r="Q828" s="46"/>
      <c r="R828" s="46"/>
      <c r="S828" s="48"/>
      <c r="T828" s="61" t="str">
        <f>IF(Tableau1[[#This Row],[DMS_SAP]]="","",HYPERLINK(Tableau1[[#This Row],[Chemin fichier source]],"X"))</f>
        <v/>
      </c>
      <c r="U828" s="61" t="str">
        <f>IF(Tableau1[[#This Row],[Date rév.]]="","",HYPERLINK(Tableau1[[#This Row],[Lien document]],"X"))</f>
        <v/>
      </c>
      <c r="V828" s="47"/>
      <c r="W828" s="49" t="str">
        <f ca="1">Chemin_accès!$B$2&amp;Tableau1[[#This Row],[Poste Responsable]]&amp;"\"&amp;Tableau1[[#This Row],[Localisation / Classement]]&amp;"\"&amp;Tableau1[[#This Row],[Poste technique]]&amp;"_"&amp;Tableau1[[#This Row],[Plan Entretien]]&amp;".pdf"</f>
        <v>\\stjn.local\trimet\Donnees_Projets\Dms Sap\Maintenance\PlanEntretien\7.MSCT\\_.pdf</v>
      </c>
      <c r="X828" s="47"/>
      <c r="Y828" s="47"/>
      <c r="Z828" s="44" t="str">
        <f ca="1">IF(AND(Tableau1[[#This Row],[Charge]]&lt;&gt;0, Tableau1[[#This Row],[Nombre intervenants]]&lt;&gt;0,Tableau1[[#This Row],[Lien document]]&lt;&gt;0,Tableau1[[#This Row],[DMS_SAP]]&lt;&gt;0)=TRUE,"MIS A JOUR","")</f>
        <v/>
      </c>
      <c r="AA828" s="48"/>
      <c r="AB828" s="58" t="str">
        <f ca="1">IF(Tableau1[[#This Row],[Date rév.]]&lt;&gt;"", DAYS360(Tableau1[[#This Row],[Date rév.]],TODAY()),"")</f>
        <v/>
      </c>
      <c r="AC828" s="47" t="str">
        <f>IFERROR(INDEX(Chemin_accès!$B$11:$C$22,MATCH(Tableau1[[#This Row],[Type]],Chemin_accès!$C$11:$C$22,0),1),Chemin_accès!$B$11)</f>
        <v>\\stjn.local\trimet\Btechnique\Commun\BT Maint SCELLEMENT\205 - Préventifs\Modèles préventif\GammeDMS_7.MSCT.xlsm</v>
      </c>
      <c r="AD828" s="47" t="str">
        <f>Chemin_accès!$B$8&amp;Tableau1[[#This Row],[Localisation / Classement]]&amp;"\"&amp;Tableau1[[#This Row],[Poste technique]]&amp;"_"&amp;Tableau1[[#This Row],[Plan Entretien]]&amp;".xlsm"</f>
        <v>\\stjn.local\trimet\Btechnique\Commun\BT Maint SCELLEMENT\205 - Préventifs\Gammes 7.MSCT PE Tool\\_.xlsm</v>
      </c>
    </row>
    <row r="829" spans="1:30" x14ac:dyDescent="0.3">
      <c r="A829" s="44" t="str">
        <f t="shared" ca="1" si="12"/>
        <v>7.MSCT</v>
      </c>
      <c r="B8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9" s="46"/>
      <c r="D829" s="44"/>
      <c r="E829" s="44"/>
      <c r="F829" s="47"/>
      <c r="G829" s="47"/>
      <c r="H829" s="50"/>
      <c r="I829" s="50"/>
      <c r="J829" s="50"/>
      <c r="K829" s="50"/>
      <c r="L829" s="46"/>
      <c r="M829" s="47"/>
      <c r="N829" s="46"/>
      <c r="O829" s="46"/>
      <c r="P829" s="47"/>
      <c r="Q829" s="46"/>
      <c r="R829" s="46"/>
      <c r="S829" s="48"/>
      <c r="T829" s="61" t="str">
        <f>IF(Tableau1[[#This Row],[DMS_SAP]]="","",HYPERLINK(Tableau1[[#This Row],[Chemin fichier source]],"X"))</f>
        <v/>
      </c>
      <c r="U829" s="61" t="str">
        <f>IF(Tableau1[[#This Row],[Date rév.]]="","",HYPERLINK(Tableau1[[#This Row],[Lien document]],"X"))</f>
        <v/>
      </c>
      <c r="V829" s="47"/>
      <c r="W829" s="49" t="str">
        <f ca="1">Chemin_accès!$B$2&amp;Tableau1[[#This Row],[Poste Responsable]]&amp;"\"&amp;Tableau1[[#This Row],[Localisation / Classement]]&amp;"\"&amp;Tableau1[[#This Row],[Poste technique]]&amp;"_"&amp;Tableau1[[#This Row],[Plan Entretien]]&amp;".pdf"</f>
        <v>\\stjn.local\trimet\Donnees_Projets\Dms Sap\Maintenance\PlanEntretien\7.MSCT\\_.pdf</v>
      </c>
      <c r="X829" s="47"/>
      <c r="Y829" s="47"/>
      <c r="Z829" s="44" t="str">
        <f ca="1">IF(AND(Tableau1[[#This Row],[Charge]]&lt;&gt;0, Tableau1[[#This Row],[Nombre intervenants]]&lt;&gt;0,Tableau1[[#This Row],[Lien document]]&lt;&gt;0,Tableau1[[#This Row],[DMS_SAP]]&lt;&gt;0)=TRUE,"MIS A JOUR","")</f>
        <v/>
      </c>
      <c r="AA829" s="48"/>
      <c r="AB829" s="58" t="str">
        <f ca="1">IF(Tableau1[[#This Row],[Date rév.]]&lt;&gt;"", DAYS360(Tableau1[[#This Row],[Date rév.]],TODAY()),"")</f>
        <v/>
      </c>
      <c r="AC829" s="47" t="str">
        <f>IFERROR(INDEX(Chemin_accès!$B$11:$C$22,MATCH(Tableau1[[#This Row],[Type]],Chemin_accès!$C$11:$C$22,0),1),Chemin_accès!$B$11)</f>
        <v>\\stjn.local\trimet\Btechnique\Commun\BT Maint SCELLEMENT\205 - Préventifs\Modèles préventif\GammeDMS_7.MSCT.xlsm</v>
      </c>
      <c r="AD829" s="47" t="str">
        <f>Chemin_accès!$B$8&amp;Tableau1[[#This Row],[Localisation / Classement]]&amp;"\"&amp;Tableau1[[#This Row],[Poste technique]]&amp;"_"&amp;Tableau1[[#This Row],[Plan Entretien]]&amp;".xlsm"</f>
        <v>\\stjn.local\trimet\Btechnique\Commun\BT Maint SCELLEMENT\205 - Préventifs\Gammes 7.MSCT PE Tool\\_.xlsm</v>
      </c>
    </row>
    <row r="830" spans="1:30" x14ac:dyDescent="0.3">
      <c r="A830" s="44" t="str">
        <f t="shared" ca="1" si="12"/>
        <v>7.MSCT</v>
      </c>
      <c r="B8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0" s="46"/>
      <c r="D830" s="44"/>
      <c r="E830" s="44"/>
      <c r="F830" s="47"/>
      <c r="G830" s="47"/>
      <c r="H830" s="50"/>
      <c r="I830" s="50"/>
      <c r="J830" s="50"/>
      <c r="K830" s="50"/>
      <c r="L830" s="46"/>
      <c r="M830" s="47"/>
      <c r="N830" s="46"/>
      <c r="O830" s="46"/>
      <c r="P830" s="47"/>
      <c r="Q830" s="46"/>
      <c r="R830" s="46"/>
      <c r="S830" s="48"/>
      <c r="T830" s="61" t="str">
        <f>IF(Tableau1[[#This Row],[DMS_SAP]]="","",HYPERLINK(Tableau1[[#This Row],[Chemin fichier source]],"X"))</f>
        <v/>
      </c>
      <c r="U830" s="61" t="str">
        <f>IF(Tableau1[[#This Row],[Date rév.]]="","",HYPERLINK(Tableau1[[#This Row],[Lien document]],"X"))</f>
        <v/>
      </c>
      <c r="V830" s="47"/>
      <c r="W830" s="49" t="str">
        <f ca="1">Chemin_accès!$B$2&amp;Tableau1[[#This Row],[Poste Responsable]]&amp;"\"&amp;Tableau1[[#This Row],[Localisation / Classement]]&amp;"\"&amp;Tableau1[[#This Row],[Poste technique]]&amp;"_"&amp;Tableau1[[#This Row],[Plan Entretien]]&amp;".pdf"</f>
        <v>\\stjn.local\trimet\Donnees_Projets\Dms Sap\Maintenance\PlanEntretien\7.MSCT\\_.pdf</v>
      </c>
      <c r="X830" s="47"/>
      <c r="Y830" s="47"/>
      <c r="Z830" s="44" t="str">
        <f ca="1">IF(AND(Tableau1[[#This Row],[Charge]]&lt;&gt;0, Tableau1[[#This Row],[Nombre intervenants]]&lt;&gt;0,Tableau1[[#This Row],[Lien document]]&lt;&gt;0,Tableau1[[#This Row],[DMS_SAP]]&lt;&gt;0)=TRUE,"MIS A JOUR","")</f>
        <v/>
      </c>
      <c r="AA830" s="48"/>
      <c r="AB830" s="58" t="str">
        <f ca="1">IF(Tableau1[[#This Row],[Date rév.]]&lt;&gt;"", DAYS360(Tableau1[[#This Row],[Date rév.]],TODAY()),"")</f>
        <v/>
      </c>
      <c r="AC830" s="47" t="str">
        <f>IFERROR(INDEX(Chemin_accès!$B$11:$C$22,MATCH(Tableau1[[#This Row],[Type]],Chemin_accès!$C$11:$C$22,0),1),Chemin_accès!$B$11)</f>
        <v>\\stjn.local\trimet\Btechnique\Commun\BT Maint SCELLEMENT\205 - Préventifs\Modèles préventif\GammeDMS_7.MSCT.xlsm</v>
      </c>
      <c r="AD830" s="47" t="str">
        <f>Chemin_accès!$B$8&amp;Tableau1[[#This Row],[Localisation / Classement]]&amp;"\"&amp;Tableau1[[#This Row],[Poste technique]]&amp;"_"&amp;Tableau1[[#This Row],[Plan Entretien]]&amp;".xlsm"</f>
        <v>\\stjn.local\trimet\Btechnique\Commun\BT Maint SCELLEMENT\205 - Préventifs\Gammes 7.MSCT PE Tool\\_.xlsm</v>
      </c>
    </row>
    <row r="831" spans="1:30" x14ac:dyDescent="0.3">
      <c r="A831" s="44" t="str">
        <f t="shared" ca="1" si="12"/>
        <v>7.MSCT</v>
      </c>
      <c r="B8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1" s="46"/>
      <c r="D831" s="44"/>
      <c r="E831" s="44"/>
      <c r="F831" s="47"/>
      <c r="G831" s="47"/>
      <c r="H831" s="50"/>
      <c r="I831" s="50"/>
      <c r="J831" s="50"/>
      <c r="K831" s="50"/>
      <c r="L831" s="46"/>
      <c r="M831" s="47"/>
      <c r="N831" s="46"/>
      <c r="O831" s="46"/>
      <c r="P831" s="47"/>
      <c r="Q831" s="46"/>
      <c r="R831" s="46"/>
      <c r="S831" s="48"/>
      <c r="T831" s="61" t="str">
        <f>IF(Tableau1[[#This Row],[DMS_SAP]]="","",HYPERLINK(Tableau1[[#This Row],[Chemin fichier source]],"X"))</f>
        <v/>
      </c>
      <c r="U831" s="61" t="str">
        <f>IF(Tableau1[[#This Row],[Date rév.]]="","",HYPERLINK(Tableau1[[#This Row],[Lien document]],"X"))</f>
        <v/>
      </c>
      <c r="V831" s="47"/>
      <c r="W831" s="49" t="str">
        <f ca="1">Chemin_accès!$B$2&amp;Tableau1[[#This Row],[Poste Responsable]]&amp;"\"&amp;Tableau1[[#This Row],[Localisation / Classement]]&amp;"\"&amp;Tableau1[[#This Row],[Poste technique]]&amp;"_"&amp;Tableau1[[#This Row],[Plan Entretien]]&amp;".pdf"</f>
        <v>\\stjn.local\trimet\Donnees_Projets\Dms Sap\Maintenance\PlanEntretien\7.MSCT\\_.pdf</v>
      </c>
      <c r="X831" s="47"/>
      <c r="Y831" s="47"/>
      <c r="Z831" s="44" t="str">
        <f ca="1">IF(AND(Tableau1[[#This Row],[Charge]]&lt;&gt;0, Tableau1[[#This Row],[Nombre intervenants]]&lt;&gt;0,Tableau1[[#This Row],[Lien document]]&lt;&gt;0,Tableau1[[#This Row],[DMS_SAP]]&lt;&gt;0)=TRUE,"MIS A JOUR","")</f>
        <v/>
      </c>
      <c r="AA831" s="48"/>
      <c r="AB831" s="58" t="str">
        <f ca="1">IF(Tableau1[[#This Row],[Date rév.]]&lt;&gt;"", DAYS360(Tableau1[[#This Row],[Date rév.]],TODAY()),"")</f>
        <v/>
      </c>
      <c r="AC831" s="47" t="str">
        <f>IFERROR(INDEX(Chemin_accès!$B$11:$C$22,MATCH(Tableau1[[#This Row],[Type]],Chemin_accès!$C$11:$C$22,0),1),Chemin_accès!$B$11)</f>
        <v>\\stjn.local\trimet\Btechnique\Commun\BT Maint SCELLEMENT\205 - Préventifs\Modèles préventif\GammeDMS_7.MSCT.xlsm</v>
      </c>
      <c r="AD831" s="47" t="str">
        <f>Chemin_accès!$B$8&amp;Tableau1[[#This Row],[Localisation / Classement]]&amp;"\"&amp;Tableau1[[#This Row],[Poste technique]]&amp;"_"&amp;Tableau1[[#This Row],[Plan Entretien]]&amp;".xlsm"</f>
        <v>\\stjn.local\trimet\Btechnique\Commun\BT Maint SCELLEMENT\205 - Préventifs\Gammes 7.MSCT PE Tool\\_.xlsm</v>
      </c>
    </row>
    <row r="832" spans="1:30" x14ac:dyDescent="0.3">
      <c r="A832" s="44" t="str">
        <f t="shared" ca="1" si="12"/>
        <v>7.MSCT</v>
      </c>
      <c r="B8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2" s="46"/>
      <c r="D832" s="44"/>
      <c r="E832" s="44"/>
      <c r="F832" s="47"/>
      <c r="G832" s="47"/>
      <c r="H832" s="50"/>
      <c r="I832" s="50"/>
      <c r="J832" s="50"/>
      <c r="K832" s="50"/>
      <c r="L832" s="46"/>
      <c r="M832" s="47"/>
      <c r="N832" s="46"/>
      <c r="O832" s="46"/>
      <c r="P832" s="47"/>
      <c r="Q832" s="46"/>
      <c r="R832" s="46"/>
      <c r="S832" s="48"/>
      <c r="T832" s="61" t="str">
        <f>IF(Tableau1[[#This Row],[DMS_SAP]]="","",HYPERLINK(Tableau1[[#This Row],[Chemin fichier source]],"X"))</f>
        <v/>
      </c>
      <c r="U832" s="61" t="str">
        <f>IF(Tableau1[[#This Row],[Date rév.]]="","",HYPERLINK(Tableau1[[#This Row],[Lien document]],"X"))</f>
        <v/>
      </c>
      <c r="V832" s="47"/>
      <c r="W832" s="49" t="str">
        <f ca="1">Chemin_accès!$B$2&amp;Tableau1[[#This Row],[Poste Responsable]]&amp;"\"&amp;Tableau1[[#This Row],[Localisation / Classement]]&amp;"\"&amp;Tableau1[[#This Row],[Poste technique]]&amp;"_"&amp;Tableau1[[#This Row],[Plan Entretien]]&amp;".pdf"</f>
        <v>\\stjn.local\trimet\Donnees_Projets\Dms Sap\Maintenance\PlanEntretien\7.MSCT\\_.pdf</v>
      </c>
      <c r="X832" s="47"/>
      <c r="Y832" s="47"/>
      <c r="Z832" s="44" t="str">
        <f ca="1">IF(AND(Tableau1[[#This Row],[Charge]]&lt;&gt;0, Tableau1[[#This Row],[Nombre intervenants]]&lt;&gt;0,Tableau1[[#This Row],[Lien document]]&lt;&gt;0,Tableau1[[#This Row],[DMS_SAP]]&lt;&gt;0)=TRUE,"MIS A JOUR","")</f>
        <v/>
      </c>
      <c r="AA832" s="48"/>
      <c r="AB832" s="58" t="str">
        <f ca="1">IF(Tableau1[[#This Row],[Date rév.]]&lt;&gt;"", DAYS360(Tableau1[[#This Row],[Date rév.]],TODAY()),"")</f>
        <v/>
      </c>
      <c r="AC832" s="47" t="str">
        <f>IFERROR(INDEX(Chemin_accès!$B$11:$C$22,MATCH(Tableau1[[#This Row],[Type]],Chemin_accès!$C$11:$C$22,0),1),Chemin_accès!$B$11)</f>
        <v>\\stjn.local\trimet\Btechnique\Commun\BT Maint SCELLEMENT\205 - Préventifs\Modèles préventif\GammeDMS_7.MSCT.xlsm</v>
      </c>
      <c r="AD832" s="47" t="str">
        <f>Chemin_accès!$B$8&amp;Tableau1[[#This Row],[Localisation / Classement]]&amp;"\"&amp;Tableau1[[#This Row],[Poste technique]]&amp;"_"&amp;Tableau1[[#This Row],[Plan Entretien]]&amp;".xlsm"</f>
        <v>\\stjn.local\trimet\Btechnique\Commun\BT Maint SCELLEMENT\205 - Préventifs\Gammes 7.MSCT PE Tool\\_.xlsm</v>
      </c>
    </row>
    <row r="833" spans="1:30" x14ac:dyDescent="0.3">
      <c r="A833" s="44" t="str">
        <f t="shared" ca="1" si="12"/>
        <v>7.MSCT</v>
      </c>
      <c r="B8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3" s="46"/>
      <c r="D833" s="44"/>
      <c r="E833" s="44"/>
      <c r="F833" s="47"/>
      <c r="G833" s="47"/>
      <c r="H833" s="50"/>
      <c r="I833" s="50"/>
      <c r="J833" s="50"/>
      <c r="K833" s="50"/>
      <c r="L833" s="46"/>
      <c r="M833" s="47"/>
      <c r="N833" s="46"/>
      <c r="O833" s="46"/>
      <c r="P833" s="47"/>
      <c r="Q833" s="46"/>
      <c r="R833" s="46"/>
      <c r="S833" s="48"/>
      <c r="T833" s="61" t="str">
        <f>IF(Tableau1[[#This Row],[DMS_SAP]]="","",HYPERLINK(Tableau1[[#This Row],[Chemin fichier source]],"X"))</f>
        <v/>
      </c>
      <c r="U833" s="61" t="str">
        <f>IF(Tableau1[[#This Row],[Date rév.]]="","",HYPERLINK(Tableau1[[#This Row],[Lien document]],"X"))</f>
        <v/>
      </c>
      <c r="V833" s="47"/>
      <c r="W833" s="49" t="str">
        <f ca="1">Chemin_accès!$B$2&amp;Tableau1[[#This Row],[Poste Responsable]]&amp;"\"&amp;Tableau1[[#This Row],[Localisation / Classement]]&amp;"\"&amp;Tableau1[[#This Row],[Poste technique]]&amp;"_"&amp;Tableau1[[#This Row],[Plan Entretien]]&amp;".pdf"</f>
        <v>\\stjn.local\trimet\Donnees_Projets\Dms Sap\Maintenance\PlanEntretien\7.MSCT\\_.pdf</v>
      </c>
      <c r="X833" s="47"/>
      <c r="Y833" s="47"/>
      <c r="Z833" s="44" t="str">
        <f ca="1">IF(AND(Tableau1[[#This Row],[Charge]]&lt;&gt;0, Tableau1[[#This Row],[Nombre intervenants]]&lt;&gt;0,Tableau1[[#This Row],[Lien document]]&lt;&gt;0,Tableau1[[#This Row],[DMS_SAP]]&lt;&gt;0)=TRUE,"MIS A JOUR","")</f>
        <v/>
      </c>
      <c r="AA833" s="48"/>
      <c r="AB833" s="58" t="str">
        <f ca="1">IF(Tableau1[[#This Row],[Date rév.]]&lt;&gt;"", DAYS360(Tableau1[[#This Row],[Date rév.]],TODAY()),"")</f>
        <v/>
      </c>
      <c r="AC833" s="47" t="str">
        <f>IFERROR(INDEX(Chemin_accès!$B$11:$C$22,MATCH(Tableau1[[#This Row],[Type]],Chemin_accès!$C$11:$C$22,0),1),Chemin_accès!$B$11)</f>
        <v>\\stjn.local\trimet\Btechnique\Commun\BT Maint SCELLEMENT\205 - Préventifs\Modèles préventif\GammeDMS_7.MSCT.xlsm</v>
      </c>
      <c r="AD833" s="47" t="str">
        <f>Chemin_accès!$B$8&amp;Tableau1[[#This Row],[Localisation / Classement]]&amp;"\"&amp;Tableau1[[#This Row],[Poste technique]]&amp;"_"&amp;Tableau1[[#This Row],[Plan Entretien]]&amp;".xlsm"</f>
        <v>\\stjn.local\trimet\Btechnique\Commun\BT Maint SCELLEMENT\205 - Préventifs\Gammes 7.MSCT PE Tool\\_.xlsm</v>
      </c>
    </row>
    <row r="834" spans="1:30" x14ac:dyDescent="0.3">
      <c r="A834" s="44" t="str">
        <f t="shared" ref="A834:A897" ca="1" si="13">MID(CELL("filename",$A$1),FIND("]",CELL("filename",$A$1))+1,32)</f>
        <v>7.MSCT</v>
      </c>
      <c r="B8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4" s="46"/>
      <c r="D834" s="44"/>
      <c r="E834" s="44"/>
      <c r="F834" s="47"/>
      <c r="G834" s="47"/>
      <c r="H834" s="50"/>
      <c r="I834" s="50"/>
      <c r="J834" s="50"/>
      <c r="K834" s="50"/>
      <c r="L834" s="46"/>
      <c r="M834" s="47"/>
      <c r="N834" s="46"/>
      <c r="O834" s="46"/>
      <c r="P834" s="47"/>
      <c r="Q834" s="46"/>
      <c r="R834" s="46"/>
      <c r="S834" s="48"/>
      <c r="T834" s="61" t="str">
        <f>IF(Tableau1[[#This Row],[DMS_SAP]]="","",HYPERLINK(Tableau1[[#This Row],[Chemin fichier source]],"X"))</f>
        <v/>
      </c>
      <c r="U834" s="61" t="str">
        <f>IF(Tableau1[[#This Row],[Date rév.]]="","",HYPERLINK(Tableau1[[#This Row],[Lien document]],"X"))</f>
        <v/>
      </c>
      <c r="V834" s="47"/>
      <c r="W834" s="49" t="str">
        <f ca="1">Chemin_accès!$B$2&amp;Tableau1[[#This Row],[Poste Responsable]]&amp;"\"&amp;Tableau1[[#This Row],[Localisation / Classement]]&amp;"\"&amp;Tableau1[[#This Row],[Poste technique]]&amp;"_"&amp;Tableau1[[#This Row],[Plan Entretien]]&amp;".pdf"</f>
        <v>\\stjn.local\trimet\Donnees_Projets\Dms Sap\Maintenance\PlanEntretien\7.MSCT\\_.pdf</v>
      </c>
      <c r="X834" s="47"/>
      <c r="Y834" s="47"/>
      <c r="Z834" s="44" t="str">
        <f ca="1">IF(AND(Tableau1[[#This Row],[Charge]]&lt;&gt;0, Tableau1[[#This Row],[Nombre intervenants]]&lt;&gt;0,Tableau1[[#This Row],[Lien document]]&lt;&gt;0,Tableau1[[#This Row],[DMS_SAP]]&lt;&gt;0)=TRUE,"MIS A JOUR","")</f>
        <v/>
      </c>
      <c r="AA834" s="48"/>
      <c r="AB834" s="58" t="str">
        <f ca="1">IF(Tableau1[[#This Row],[Date rév.]]&lt;&gt;"", DAYS360(Tableau1[[#This Row],[Date rév.]],TODAY()),"")</f>
        <v/>
      </c>
      <c r="AC834" s="47" t="str">
        <f>IFERROR(INDEX(Chemin_accès!$B$11:$C$22,MATCH(Tableau1[[#This Row],[Type]],Chemin_accès!$C$11:$C$22,0),1),Chemin_accès!$B$11)</f>
        <v>\\stjn.local\trimet\Btechnique\Commun\BT Maint SCELLEMENT\205 - Préventifs\Modèles préventif\GammeDMS_7.MSCT.xlsm</v>
      </c>
      <c r="AD834" s="47" t="str">
        <f>Chemin_accès!$B$8&amp;Tableau1[[#This Row],[Localisation / Classement]]&amp;"\"&amp;Tableau1[[#This Row],[Poste technique]]&amp;"_"&amp;Tableau1[[#This Row],[Plan Entretien]]&amp;".xlsm"</f>
        <v>\\stjn.local\trimet\Btechnique\Commun\BT Maint SCELLEMENT\205 - Préventifs\Gammes 7.MSCT PE Tool\\_.xlsm</v>
      </c>
    </row>
    <row r="835" spans="1:30" x14ac:dyDescent="0.3">
      <c r="A835" s="44" t="str">
        <f t="shared" ca="1" si="13"/>
        <v>7.MSCT</v>
      </c>
      <c r="B8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5" s="46"/>
      <c r="D835" s="44"/>
      <c r="E835" s="44"/>
      <c r="F835" s="47"/>
      <c r="G835" s="47"/>
      <c r="H835" s="50"/>
      <c r="I835" s="50"/>
      <c r="J835" s="50"/>
      <c r="K835" s="50"/>
      <c r="L835" s="46"/>
      <c r="M835" s="47"/>
      <c r="N835" s="46"/>
      <c r="O835" s="46"/>
      <c r="P835" s="47"/>
      <c r="Q835" s="46"/>
      <c r="R835" s="46"/>
      <c r="S835" s="48"/>
      <c r="T835" s="61" t="str">
        <f>IF(Tableau1[[#This Row],[DMS_SAP]]="","",HYPERLINK(Tableau1[[#This Row],[Chemin fichier source]],"X"))</f>
        <v/>
      </c>
      <c r="U835" s="61" t="str">
        <f>IF(Tableau1[[#This Row],[Date rév.]]="","",HYPERLINK(Tableau1[[#This Row],[Lien document]],"X"))</f>
        <v/>
      </c>
      <c r="V835" s="47"/>
      <c r="W835" s="49" t="str">
        <f ca="1">Chemin_accès!$B$2&amp;Tableau1[[#This Row],[Poste Responsable]]&amp;"\"&amp;Tableau1[[#This Row],[Localisation / Classement]]&amp;"\"&amp;Tableau1[[#This Row],[Poste technique]]&amp;"_"&amp;Tableau1[[#This Row],[Plan Entretien]]&amp;".pdf"</f>
        <v>\\stjn.local\trimet\Donnees_Projets\Dms Sap\Maintenance\PlanEntretien\7.MSCT\\_.pdf</v>
      </c>
      <c r="X835" s="47"/>
      <c r="Y835" s="47"/>
      <c r="Z835" s="44" t="str">
        <f ca="1">IF(AND(Tableau1[[#This Row],[Charge]]&lt;&gt;0, Tableau1[[#This Row],[Nombre intervenants]]&lt;&gt;0,Tableau1[[#This Row],[Lien document]]&lt;&gt;0,Tableau1[[#This Row],[DMS_SAP]]&lt;&gt;0)=TRUE,"MIS A JOUR","")</f>
        <v/>
      </c>
      <c r="AA835" s="48"/>
      <c r="AB835" s="58" t="str">
        <f ca="1">IF(Tableau1[[#This Row],[Date rév.]]&lt;&gt;"", DAYS360(Tableau1[[#This Row],[Date rév.]],TODAY()),"")</f>
        <v/>
      </c>
      <c r="AC835" s="47" t="str">
        <f>IFERROR(INDEX(Chemin_accès!$B$11:$C$22,MATCH(Tableau1[[#This Row],[Type]],Chemin_accès!$C$11:$C$22,0),1),Chemin_accès!$B$11)</f>
        <v>\\stjn.local\trimet\Btechnique\Commun\BT Maint SCELLEMENT\205 - Préventifs\Modèles préventif\GammeDMS_7.MSCT.xlsm</v>
      </c>
      <c r="AD835" s="47" t="str">
        <f>Chemin_accès!$B$8&amp;Tableau1[[#This Row],[Localisation / Classement]]&amp;"\"&amp;Tableau1[[#This Row],[Poste technique]]&amp;"_"&amp;Tableau1[[#This Row],[Plan Entretien]]&amp;".xlsm"</f>
        <v>\\stjn.local\trimet\Btechnique\Commun\BT Maint SCELLEMENT\205 - Préventifs\Gammes 7.MSCT PE Tool\\_.xlsm</v>
      </c>
    </row>
    <row r="836" spans="1:30" x14ac:dyDescent="0.3">
      <c r="A836" s="44" t="str">
        <f t="shared" ca="1" si="13"/>
        <v>7.MSCT</v>
      </c>
      <c r="B8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6" s="46"/>
      <c r="D836" s="44"/>
      <c r="E836" s="44"/>
      <c r="F836" s="47"/>
      <c r="G836" s="47"/>
      <c r="H836" s="50"/>
      <c r="I836" s="50"/>
      <c r="J836" s="50"/>
      <c r="K836" s="50"/>
      <c r="L836" s="46"/>
      <c r="M836" s="47"/>
      <c r="N836" s="46"/>
      <c r="O836" s="46"/>
      <c r="P836" s="47"/>
      <c r="Q836" s="46"/>
      <c r="R836" s="46"/>
      <c r="S836" s="48"/>
      <c r="T836" s="61" t="str">
        <f>IF(Tableau1[[#This Row],[DMS_SAP]]="","",HYPERLINK(Tableau1[[#This Row],[Chemin fichier source]],"X"))</f>
        <v/>
      </c>
      <c r="U836" s="61" t="str">
        <f>IF(Tableau1[[#This Row],[Date rév.]]="","",HYPERLINK(Tableau1[[#This Row],[Lien document]],"X"))</f>
        <v/>
      </c>
      <c r="V836" s="47"/>
      <c r="W836" s="49" t="str">
        <f ca="1">Chemin_accès!$B$2&amp;Tableau1[[#This Row],[Poste Responsable]]&amp;"\"&amp;Tableau1[[#This Row],[Localisation / Classement]]&amp;"\"&amp;Tableau1[[#This Row],[Poste technique]]&amp;"_"&amp;Tableau1[[#This Row],[Plan Entretien]]&amp;".pdf"</f>
        <v>\\stjn.local\trimet\Donnees_Projets\Dms Sap\Maintenance\PlanEntretien\7.MSCT\\_.pdf</v>
      </c>
      <c r="X836" s="47"/>
      <c r="Y836" s="47"/>
      <c r="Z836" s="44" t="str">
        <f ca="1">IF(AND(Tableau1[[#This Row],[Charge]]&lt;&gt;0, Tableau1[[#This Row],[Nombre intervenants]]&lt;&gt;0,Tableau1[[#This Row],[Lien document]]&lt;&gt;0,Tableau1[[#This Row],[DMS_SAP]]&lt;&gt;0)=TRUE,"MIS A JOUR","")</f>
        <v/>
      </c>
      <c r="AA836" s="48"/>
      <c r="AB836" s="58" t="str">
        <f ca="1">IF(Tableau1[[#This Row],[Date rév.]]&lt;&gt;"", DAYS360(Tableau1[[#This Row],[Date rév.]],TODAY()),"")</f>
        <v/>
      </c>
      <c r="AC836" s="47" t="str">
        <f>IFERROR(INDEX(Chemin_accès!$B$11:$C$22,MATCH(Tableau1[[#This Row],[Type]],Chemin_accès!$C$11:$C$22,0),1),Chemin_accès!$B$11)</f>
        <v>\\stjn.local\trimet\Btechnique\Commun\BT Maint SCELLEMENT\205 - Préventifs\Modèles préventif\GammeDMS_7.MSCT.xlsm</v>
      </c>
      <c r="AD836" s="47" t="str">
        <f>Chemin_accès!$B$8&amp;Tableau1[[#This Row],[Localisation / Classement]]&amp;"\"&amp;Tableau1[[#This Row],[Poste technique]]&amp;"_"&amp;Tableau1[[#This Row],[Plan Entretien]]&amp;".xlsm"</f>
        <v>\\stjn.local\trimet\Btechnique\Commun\BT Maint SCELLEMENT\205 - Préventifs\Gammes 7.MSCT PE Tool\\_.xlsm</v>
      </c>
    </row>
    <row r="837" spans="1:30" x14ac:dyDescent="0.3">
      <c r="A837" s="44" t="str">
        <f t="shared" ca="1" si="13"/>
        <v>7.MSCT</v>
      </c>
      <c r="B8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7" s="46"/>
      <c r="D837" s="44"/>
      <c r="E837" s="44"/>
      <c r="F837" s="47"/>
      <c r="G837" s="47"/>
      <c r="H837" s="50"/>
      <c r="I837" s="50"/>
      <c r="J837" s="50"/>
      <c r="K837" s="50"/>
      <c r="L837" s="46"/>
      <c r="M837" s="47"/>
      <c r="N837" s="46"/>
      <c r="O837" s="46"/>
      <c r="P837" s="47"/>
      <c r="Q837" s="46"/>
      <c r="R837" s="46"/>
      <c r="S837" s="48"/>
      <c r="T837" s="61" t="str">
        <f>IF(Tableau1[[#This Row],[DMS_SAP]]="","",HYPERLINK(Tableau1[[#This Row],[Chemin fichier source]],"X"))</f>
        <v/>
      </c>
      <c r="U837" s="61" t="str">
        <f>IF(Tableau1[[#This Row],[Date rév.]]="","",HYPERLINK(Tableau1[[#This Row],[Lien document]],"X"))</f>
        <v/>
      </c>
      <c r="V837" s="47"/>
      <c r="W837" s="49" t="str">
        <f ca="1">Chemin_accès!$B$2&amp;Tableau1[[#This Row],[Poste Responsable]]&amp;"\"&amp;Tableau1[[#This Row],[Localisation / Classement]]&amp;"\"&amp;Tableau1[[#This Row],[Poste technique]]&amp;"_"&amp;Tableau1[[#This Row],[Plan Entretien]]&amp;".pdf"</f>
        <v>\\stjn.local\trimet\Donnees_Projets\Dms Sap\Maintenance\PlanEntretien\7.MSCT\\_.pdf</v>
      </c>
      <c r="X837" s="47"/>
      <c r="Y837" s="47"/>
      <c r="Z837" s="44" t="str">
        <f ca="1">IF(AND(Tableau1[[#This Row],[Charge]]&lt;&gt;0, Tableau1[[#This Row],[Nombre intervenants]]&lt;&gt;0,Tableau1[[#This Row],[Lien document]]&lt;&gt;0,Tableau1[[#This Row],[DMS_SAP]]&lt;&gt;0)=TRUE,"MIS A JOUR","")</f>
        <v/>
      </c>
      <c r="AA837" s="48"/>
      <c r="AB837" s="58" t="str">
        <f ca="1">IF(Tableau1[[#This Row],[Date rév.]]&lt;&gt;"", DAYS360(Tableau1[[#This Row],[Date rév.]],TODAY()),"")</f>
        <v/>
      </c>
      <c r="AC837" s="47" t="str">
        <f>IFERROR(INDEX(Chemin_accès!$B$11:$C$22,MATCH(Tableau1[[#This Row],[Type]],Chemin_accès!$C$11:$C$22,0),1),Chemin_accès!$B$11)</f>
        <v>\\stjn.local\trimet\Btechnique\Commun\BT Maint SCELLEMENT\205 - Préventifs\Modèles préventif\GammeDMS_7.MSCT.xlsm</v>
      </c>
      <c r="AD837" s="47" t="str">
        <f>Chemin_accès!$B$8&amp;Tableau1[[#This Row],[Localisation / Classement]]&amp;"\"&amp;Tableau1[[#This Row],[Poste technique]]&amp;"_"&amp;Tableau1[[#This Row],[Plan Entretien]]&amp;".xlsm"</f>
        <v>\\stjn.local\trimet\Btechnique\Commun\BT Maint SCELLEMENT\205 - Préventifs\Gammes 7.MSCT PE Tool\\_.xlsm</v>
      </c>
    </row>
    <row r="838" spans="1:30" x14ac:dyDescent="0.3">
      <c r="A838" s="44" t="str">
        <f t="shared" ca="1" si="13"/>
        <v>7.MSCT</v>
      </c>
      <c r="B8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8" s="46"/>
      <c r="D838" s="44"/>
      <c r="E838" s="44"/>
      <c r="F838" s="47"/>
      <c r="G838" s="47"/>
      <c r="H838" s="50"/>
      <c r="I838" s="50"/>
      <c r="J838" s="50"/>
      <c r="K838" s="50"/>
      <c r="L838" s="46"/>
      <c r="M838" s="47"/>
      <c r="N838" s="46"/>
      <c r="O838" s="46"/>
      <c r="P838" s="47"/>
      <c r="Q838" s="46"/>
      <c r="R838" s="46"/>
      <c r="S838" s="48"/>
      <c r="T838" s="61" t="str">
        <f>IF(Tableau1[[#This Row],[DMS_SAP]]="","",HYPERLINK(Tableau1[[#This Row],[Chemin fichier source]],"X"))</f>
        <v/>
      </c>
      <c r="U838" s="61" t="str">
        <f>IF(Tableau1[[#This Row],[Date rév.]]="","",HYPERLINK(Tableau1[[#This Row],[Lien document]],"X"))</f>
        <v/>
      </c>
      <c r="V838" s="47"/>
      <c r="W838" s="49" t="str">
        <f ca="1">Chemin_accès!$B$2&amp;Tableau1[[#This Row],[Poste Responsable]]&amp;"\"&amp;Tableau1[[#This Row],[Localisation / Classement]]&amp;"\"&amp;Tableau1[[#This Row],[Poste technique]]&amp;"_"&amp;Tableau1[[#This Row],[Plan Entretien]]&amp;".pdf"</f>
        <v>\\stjn.local\trimet\Donnees_Projets\Dms Sap\Maintenance\PlanEntretien\7.MSCT\\_.pdf</v>
      </c>
      <c r="X838" s="47"/>
      <c r="Y838" s="47"/>
      <c r="Z838" s="44" t="str">
        <f ca="1">IF(AND(Tableau1[[#This Row],[Charge]]&lt;&gt;0, Tableau1[[#This Row],[Nombre intervenants]]&lt;&gt;0,Tableau1[[#This Row],[Lien document]]&lt;&gt;0,Tableau1[[#This Row],[DMS_SAP]]&lt;&gt;0)=TRUE,"MIS A JOUR","")</f>
        <v/>
      </c>
      <c r="AA838" s="48"/>
      <c r="AB838" s="58" t="str">
        <f ca="1">IF(Tableau1[[#This Row],[Date rév.]]&lt;&gt;"", DAYS360(Tableau1[[#This Row],[Date rév.]],TODAY()),"")</f>
        <v/>
      </c>
      <c r="AC838" s="47" t="str">
        <f>IFERROR(INDEX(Chemin_accès!$B$11:$C$22,MATCH(Tableau1[[#This Row],[Type]],Chemin_accès!$C$11:$C$22,0),1),Chemin_accès!$B$11)</f>
        <v>\\stjn.local\trimet\Btechnique\Commun\BT Maint SCELLEMENT\205 - Préventifs\Modèles préventif\GammeDMS_7.MSCT.xlsm</v>
      </c>
      <c r="AD838" s="47" t="str">
        <f>Chemin_accès!$B$8&amp;Tableau1[[#This Row],[Localisation / Classement]]&amp;"\"&amp;Tableau1[[#This Row],[Poste technique]]&amp;"_"&amp;Tableau1[[#This Row],[Plan Entretien]]&amp;".xlsm"</f>
        <v>\\stjn.local\trimet\Btechnique\Commun\BT Maint SCELLEMENT\205 - Préventifs\Gammes 7.MSCT PE Tool\\_.xlsm</v>
      </c>
    </row>
    <row r="839" spans="1:30" x14ac:dyDescent="0.3">
      <c r="A839" s="44" t="str">
        <f t="shared" ca="1" si="13"/>
        <v>7.MSCT</v>
      </c>
      <c r="B8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9" s="46"/>
      <c r="D839" s="44"/>
      <c r="E839" s="44"/>
      <c r="F839" s="47"/>
      <c r="G839" s="47"/>
      <c r="H839" s="50"/>
      <c r="I839" s="50"/>
      <c r="J839" s="50"/>
      <c r="K839" s="50"/>
      <c r="L839" s="46"/>
      <c r="M839" s="47"/>
      <c r="N839" s="46"/>
      <c r="O839" s="46"/>
      <c r="P839" s="47"/>
      <c r="Q839" s="46"/>
      <c r="R839" s="46"/>
      <c r="S839" s="48"/>
      <c r="T839" s="61" t="str">
        <f>IF(Tableau1[[#This Row],[DMS_SAP]]="","",HYPERLINK(Tableau1[[#This Row],[Chemin fichier source]],"X"))</f>
        <v/>
      </c>
      <c r="U839" s="61" t="str">
        <f>IF(Tableau1[[#This Row],[Date rév.]]="","",HYPERLINK(Tableau1[[#This Row],[Lien document]],"X"))</f>
        <v/>
      </c>
      <c r="V839" s="47"/>
      <c r="W839" s="49" t="str">
        <f ca="1">Chemin_accès!$B$2&amp;Tableau1[[#This Row],[Poste Responsable]]&amp;"\"&amp;Tableau1[[#This Row],[Localisation / Classement]]&amp;"\"&amp;Tableau1[[#This Row],[Poste technique]]&amp;"_"&amp;Tableau1[[#This Row],[Plan Entretien]]&amp;".pdf"</f>
        <v>\\stjn.local\trimet\Donnees_Projets\Dms Sap\Maintenance\PlanEntretien\7.MSCT\\_.pdf</v>
      </c>
      <c r="X839" s="47"/>
      <c r="Y839" s="47"/>
      <c r="Z839" s="44" t="str">
        <f ca="1">IF(AND(Tableau1[[#This Row],[Charge]]&lt;&gt;0, Tableau1[[#This Row],[Nombre intervenants]]&lt;&gt;0,Tableau1[[#This Row],[Lien document]]&lt;&gt;0,Tableau1[[#This Row],[DMS_SAP]]&lt;&gt;0)=TRUE,"MIS A JOUR","")</f>
        <v/>
      </c>
      <c r="AA839" s="48"/>
      <c r="AB839" s="58" t="str">
        <f ca="1">IF(Tableau1[[#This Row],[Date rév.]]&lt;&gt;"", DAYS360(Tableau1[[#This Row],[Date rév.]],TODAY()),"")</f>
        <v/>
      </c>
      <c r="AC839" s="47" t="str">
        <f>IFERROR(INDEX(Chemin_accès!$B$11:$C$22,MATCH(Tableau1[[#This Row],[Type]],Chemin_accès!$C$11:$C$22,0),1),Chemin_accès!$B$11)</f>
        <v>\\stjn.local\trimet\Btechnique\Commun\BT Maint SCELLEMENT\205 - Préventifs\Modèles préventif\GammeDMS_7.MSCT.xlsm</v>
      </c>
      <c r="AD839" s="47" t="str">
        <f>Chemin_accès!$B$8&amp;Tableau1[[#This Row],[Localisation / Classement]]&amp;"\"&amp;Tableau1[[#This Row],[Poste technique]]&amp;"_"&amp;Tableau1[[#This Row],[Plan Entretien]]&amp;".xlsm"</f>
        <v>\\stjn.local\trimet\Btechnique\Commun\BT Maint SCELLEMENT\205 - Préventifs\Gammes 7.MSCT PE Tool\\_.xlsm</v>
      </c>
    </row>
    <row r="840" spans="1:30" x14ac:dyDescent="0.3">
      <c r="A840" s="44" t="str">
        <f t="shared" ca="1" si="13"/>
        <v>7.MSCT</v>
      </c>
      <c r="B8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0" s="46"/>
      <c r="D840" s="44"/>
      <c r="E840" s="44"/>
      <c r="F840" s="47"/>
      <c r="G840" s="47"/>
      <c r="H840" s="50"/>
      <c r="I840" s="50"/>
      <c r="J840" s="50"/>
      <c r="K840" s="50"/>
      <c r="L840" s="46"/>
      <c r="M840" s="47"/>
      <c r="N840" s="46"/>
      <c r="O840" s="46"/>
      <c r="P840" s="47"/>
      <c r="Q840" s="46"/>
      <c r="R840" s="46"/>
      <c r="S840" s="48"/>
      <c r="T840" s="61" t="str">
        <f>IF(Tableau1[[#This Row],[DMS_SAP]]="","",HYPERLINK(Tableau1[[#This Row],[Chemin fichier source]],"X"))</f>
        <v/>
      </c>
      <c r="U840" s="61" t="str">
        <f>IF(Tableau1[[#This Row],[Date rév.]]="","",HYPERLINK(Tableau1[[#This Row],[Lien document]],"X"))</f>
        <v/>
      </c>
      <c r="V840" s="47"/>
      <c r="W840" s="49" t="str">
        <f ca="1">Chemin_accès!$B$2&amp;Tableau1[[#This Row],[Poste Responsable]]&amp;"\"&amp;Tableau1[[#This Row],[Localisation / Classement]]&amp;"\"&amp;Tableau1[[#This Row],[Poste technique]]&amp;"_"&amp;Tableau1[[#This Row],[Plan Entretien]]&amp;".pdf"</f>
        <v>\\stjn.local\trimet\Donnees_Projets\Dms Sap\Maintenance\PlanEntretien\7.MSCT\\_.pdf</v>
      </c>
      <c r="X840" s="47"/>
      <c r="Y840" s="47"/>
      <c r="Z840" s="44" t="str">
        <f ca="1">IF(AND(Tableau1[[#This Row],[Charge]]&lt;&gt;0, Tableau1[[#This Row],[Nombre intervenants]]&lt;&gt;0,Tableau1[[#This Row],[Lien document]]&lt;&gt;0,Tableau1[[#This Row],[DMS_SAP]]&lt;&gt;0)=TRUE,"MIS A JOUR","")</f>
        <v/>
      </c>
      <c r="AA840" s="48"/>
      <c r="AB840" s="58" t="str">
        <f ca="1">IF(Tableau1[[#This Row],[Date rév.]]&lt;&gt;"", DAYS360(Tableau1[[#This Row],[Date rév.]],TODAY()),"")</f>
        <v/>
      </c>
      <c r="AC840" s="47" t="str">
        <f>IFERROR(INDEX(Chemin_accès!$B$11:$C$22,MATCH(Tableau1[[#This Row],[Type]],Chemin_accès!$C$11:$C$22,0),1),Chemin_accès!$B$11)</f>
        <v>\\stjn.local\trimet\Btechnique\Commun\BT Maint SCELLEMENT\205 - Préventifs\Modèles préventif\GammeDMS_7.MSCT.xlsm</v>
      </c>
      <c r="AD840" s="47" t="str">
        <f>Chemin_accès!$B$8&amp;Tableau1[[#This Row],[Localisation / Classement]]&amp;"\"&amp;Tableau1[[#This Row],[Poste technique]]&amp;"_"&amp;Tableau1[[#This Row],[Plan Entretien]]&amp;".xlsm"</f>
        <v>\\stjn.local\trimet\Btechnique\Commun\BT Maint SCELLEMENT\205 - Préventifs\Gammes 7.MSCT PE Tool\\_.xlsm</v>
      </c>
    </row>
    <row r="841" spans="1:30" x14ac:dyDescent="0.3">
      <c r="A841" s="44" t="str">
        <f t="shared" ca="1" si="13"/>
        <v>7.MSCT</v>
      </c>
      <c r="B8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1" s="46"/>
      <c r="D841" s="44"/>
      <c r="E841" s="44"/>
      <c r="F841" s="47"/>
      <c r="G841" s="47"/>
      <c r="H841" s="50"/>
      <c r="I841" s="50"/>
      <c r="J841" s="50"/>
      <c r="K841" s="50"/>
      <c r="L841" s="46"/>
      <c r="M841" s="47"/>
      <c r="N841" s="46"/>
      <c r="O841" s="46"/>
      <c r="P841" s="47"/>
      <c r="Q841" s="46"/>
      <c r="R841" s="46"/>
      <c r="S841" s="48"/>
      <c r="T841" s="61" t="str">
        <f>IF(Tableau1[[#This Row],[DMS_SAP]]="","",HYPERLINK(Tableau1[[#This Row],[Chemin fichier source]],"X"))</f>
        <v/>
      </c>
      <c r="U841" s="61" t="str">
        <f>IF(Tableau1[[#This Row],[Date rév.]]="","",HYPERLINK(Tableau1[[#This Row],[Lien document]],"X"))</f>
        <v/>
      </c>
      <c r="V841" s="47"/>
      <c r="W841" s="49" t="str">
        <f ca="1">Chemin_accès!$B$2&amp;Tableau1[[#This Row],[Poste Responsable]]&amp;"\"&amp;Tableau1[[#This Row],[Localisation / Classement]]&amp;"\"&amp;Tableau1[[#This Row],[Poste technique]]&amp;"_"&amp;Tableau1[[#This Row],[Plan Entretien]]&amp;".pdf"</f>
        <v>\\stjn.local\trimet\Donnees_Projets\Dms Sap\Maintenance\PlanEntretien\7.MSCT\\_.pdf</v>
      </c>
      <c r="X841" s="47"/>
      <c r="Y841" s="47"/>
      <c r="Z841" s="44" t="str">
        <f ca="1">IF(AND(Tableau1[[#This Row],[Charge]]&lt;&gt;0, Tableau1[[#This Row],[Nombre intervenants]]&lt;&gt;0,Tableau1[[#This Row],[Lien document]]&lt;&gt;0,Tableau1[[#This Row],[DMS_SAP]]&lt;&gt;0)=TRUE,"MIS A JOUR","")</f>
        <v/>
      </c>
      <c r="AA841" s="48"/>
      <c r="AB841" s="58" t="str">
        <f ca="1">IF(Tableau1[[#This Row],[Date rév.]]&lt;&gt;"", DAYS360(Tableau1[[#This Row],[Date rév.]],TODAY()),"")</f>
        <v/>
      </c>
      <c r="AC841" s="47" t="str">
        <f>IFERROR(INDEX(Chemin_accès!$B$11:$C$22,MATCH(Tableau1[[#This Row],[Type]],Chemin_accès!$C$11:$C$22,0),1),Chemin_accès!$B$11)</f>
        <v>\\stjn.local\trimet\Btechnique\Commun\BT Maint SCELLEMENT\205 - Préventifs\Modèles préventif\GammeDMS_7.MSCT.xlsm</v>
      </c>
      <c r="AD841" s="47" t="str">
        <f>Chemin_accès!$B$8&amp;Tableau1[[#This Row],[Localisation / Classement]]&amp;"\"&amp;Tableau1[[#This Row],[Poste technique]]&amp;"_"&amp;Tableau1[[#This Row],[Plan Entretien]]&amp;".xlsm"</f>
        <v>\\stjn.local\trimet\Btechnique\Commun\BT Maint SCELLEMENT\205 - Préventifs\Gammes 7.MSCT PE Tool\\_.xlsm</v>
      </c>
    </row>
    <row r="842" spans="1:30" x14ac:dyDescent="0.3">
      <c r="A842" s="44" t="str">
        <f t="shared" ca="1" si="13"/>
        <v>7.MSCT</v>
      </c>
      <c r="B8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2" s="46"/>
      <c r="D842" s="44"/>
      <c r="E842" s="44"/>
      <c r="F842" s="47"/>
      <c r="G842" s="47"/>
      <c r="H842" s="50"/>
      <c r="I842" s="50"/>
      <c r="J842" s="50"/>
      <c r="K842" s="50"/>
      <c r="L842" s="46"/>
      <c r="M842" s="47"/>
      <c r="N842" s="46"/>
      <c r="O842" s="46"/>
      <c r="P842" s="47"/>
      <c r="Q842" s="46"/>
      <c r="R842" s="46"/>
      <c r="S842" s="48"/>
      <c r="T842" s="61" t="str">
        <f>IF(Tableau1[[#This Row],[DMS_SAP]]="","",HYPERLINK(Tableau1[[#This Row],[Chemin fichier source]],"X"))</f>
        <v/>
      </c>
      <c r="U842" s="61" t="str">
        <f>IF(Tableau1[[#This Row],[Date rév.]]="","",HYPERLINK(Tableau1[[#This Row],[Lien document]],"X"))</f>
        <v/>
      </c>
      <c r="V842" s="47"/>
      <c r="W842" s="49" t="str">
        <f ca="1">Chemin_accès!$B$2&amp;Tableau1[[#This Row],[Poste Responsable]]&amp;"\"&amp;Tableau1[[#This Row],[Localisation / Classement]]&amp;"\"&amp;Tableau1[[#This Row],[Poste technique]]&amp;"_"&amp;Tableau1[[#This Row],[Plan Entretien]]&amp;".pdf"</f>
        <v>\\stjn.local\trimet\Donnees_Projets\Dms Sap\Maintenance\PlanEntretien\7.MSCT\\_.pdf</v>
      </c>
      <c r="X842" s="47"/>
      <c r="Y842" s="47"/>
      <c r="Z842" s="44" t="str">
        <f ca="1">IF(AND(Tableau1[[#This Row],[Charge]]&lt;&gt;0, Tableau1[[#This Row],[Nombre intervenants]]&lt;&gt;0,Tableau1[[#This Row],[Lien document]]&lt;&gt;0,Tableau1[[#This Row],[DMS_SAP]]&lt;&gt;0)=TRUE,"MIS A JOUR","")</f>
        <v/>
      </c>
      <c r="AA842" s="48"/>
      <c r="AB842" s="58" t="str">
        <f ca="1">IF(Tableau1[[#This Row],[Date rév.]]&lt;&gt;"", DAYS360(Tableau1[[#This Row],[Date rév.]],TODAY()),"")</f>
        <v/>
      </c>
      <c r="AC842" s="47" t="str">
        <f>IFERROR(INDEX(Chemin_accès!$B$11:$C$22,MATCH(Tableau1[[#This Row],[Type]],Chemin_accès!$C$11:$C$22,0),1),Chemin_accès!$B$11)</f>
        <v>\\stjn.local\trimet\Btechnique\Commun\BT Maint SCELLEMENT\205 - Préventifs\Modèles préventif\GammeDMS_7.MSCT.xlsm</v>
      </c>
      <c r="AD842" s="47" t="str">
        <f>Chemin_accès!$B$8&amp;Tableau1[[#This Row],[Localisation / Classement]]&amp;"\"&amp;Tableau1[[#This Row],[Poste technique]]&amp;"_"&amp;Tableau1[[#This Row],[Plan Entretien]]&amp;".xlsm"</f>
        <v>\\stjn.local\trimet\Btechnique\Commun\BT Maint SCELLEMENT\205 - Préventifs\Gammes 7.MSCT PE Tool\\_.xlsm</v>
      </c>
    </row>
    <row r="843" spans="1:30" x14ac:dyDescent="0.3">
      <c r="A843" s="44" t="str">
        <f t="shared" ca="1" si="13"/>
        <v>7.MSCT</v>
      </c>
      <c r="B8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3" s="46"/>
      <c r="D843" s="44"/>
      <c r="E843" s="44"/>
      <c r="F843" s="47"/>
      <c r="G843" s="47"/>
      <c r="H843" s="50"/>
      <c r="I843" s="50"/>
      <c r="J843" s="50"/>
      <c r="K843" s="50"/>
      <c r="L843" s="46"/>
      <c r="M843" s="47"/>
      <c r="N843" s="46"/>
      <c r="O843" s="46"/>
      <c r="P843" s="47"/>
      <c r="Q843" s="46"/>
      <c r="R843" s="46"/>
      <c r="S843" s="48"/>
      <c r="T843" s="61" t="str">
        <f>IF(Tableau1[[#This Row],[DMS_SAP]]="","",HYPERLINK(Tableau1[[#This Row],[Chemin fichier source]],"X"))</f>
        <v/>
      </c>
      <c r="U843" s="61" t="str">
        <f>IF(Tableau1[[#This Row],[Date rév.]]="","",HYPERLINK(Tableau1[[#This Row],[Lien document]],"X"))</f>
        <v/>
      </c>
      <c r="V843" s="47"/>
      <c r="W843" s="49" t="str">
        <f ca="1">Chemin_accès!$B$2&amp;Tableau1[[#This Row],[Poste Responsable]]&amp;"\"&amp;Tableau1[[#This Row],[Localisation / Classement]]&amp;"\"&amp;Tableau1[[#This Row],[Poste technique]]&amp;"_"&amp;Tableau1[[#This Row],[Plan Entretien]]&amp;".pdf"</f>
        <v>\\stjn.local\trimet\Donnees_Projets\Dms Sap\Maintenance\PlanEntretien\7.MSCT\\_.pdf</v>
      </c>
      <c r="X843" s="47"/>
      <c r="Y843" s="47"/>
      <c r="Z843" s="44" t="str">
        <f ca="1">IF(AND(Tableau1[[#This Row],[Charge]]&lt;&gt;0, Tableau1[[#This Row],[Nombre intervenants]]&lt;&gt;0,Tableau1[[#This Row],[Lien document]]&lt;&gt;0,Tableau1[[#This Row],[DMS_SAP]]&lt;&gt;0)=TRUE,"MIS A JOUR","")</f>
        <v/>
      </c>
      <c r="AA843" s="48"/>
      <c r="AB843" s="58" t="str">
        <f ca="1">IF(Tableau1[[#This Row],[Date rév.]]&lt;&gt;"", DAYS360(Tableau1[[#This Row],[Date rév.]],TODAY()),"")</f>
        <v/>
      </c>
      <c r="AC843" s="47" t="str">
        <f>IFERROR(INDEX(Chemin_accès!$B$11:$C$22,MATCH(Tableau1[[#This Row],[Type]],Chemin_accès!$C$11:$C$22,0),1),Chemin_accès!$B$11)</f>
        <v>\\stjn.local\trimet\Btechnique\Commun\BT Maint SCELLEMENT\205 - Préventifs\Modèles préventif\GammeDMS_7.MSCT.xlsm</v>
      </c>
      <c r="AD843" s="47" t="str">
        <f>Chemin_accès!$B$8&amp;Tableau1[[#This Row],[Localisation / Classement]]&amp;"\"&amp;Tableau1[[#This Row],[Poste technique]]&amp;"_"&amp;Tableau1[[#This Row],[Plan Entretien]]&amp;".xlsm"</f>
        <v>\\stjn.local\trimet\Btechnique\Commun\BT Maint SCELLEMENT\205 - Préventifs\Gammes 7.MSCT PE Tool\\_.xlsm</v>
      </c>
    </row>
    <row r="844" spans="1:30" x14ac:dyDescent="0.3">
      <c r="A844" s="44" t="str">
        <f t="shared" ca="1" si="13"/>
        <v>7.MSCT</v>
      </c>
      <c r="B8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4" s="46"/>
      <c r="D844" s="44"/>
      <c r="E844" s="44"/>
      <c r="F844" s="47"/>
      <c r="G844" s="47"/>
      <c r="H844" s="50"/>
      <c r="I844" s="50"/>
      <c r="J844" s="50"/>
      <c r="K844" s="50"/>
      <c r="L844" s="46"/>
      <c r="M844" s="47"/>
      <c r="N844" s="46"/>
      <c r="O844" s="46"/>
      <c r="P844" s="47"/>
      <c r="Q844" s="46"/>
      <c r="R844" s="46"/>
      <c r="S844" s="48"/>
      <c r="T844" s="61" t="str">
        <f>IF(Tableau1[[#This Row],[DMS_SAP]]="","",HYPERLINK(Tableau1[[#This Row],[Chemin fichier source]],"X"))</f>
        <v/>
      </c>
      <c r="U844" s="61" t="str">
        <f>IF(Tableau1[[#This Row],[Date rév.]]="","",HYPERLINK(Tableau1[[#This Row],[Lien document]],"X"))</f>
        <v/>
      </c>
      <c r="V844" s="47"/>
      <c r="W844" s="49" t="str">
        <f ca="1">Chemin_accès!$B$2&amp;Tableau1[[#This Row],[Poste Responsable]]&amp;"\"&amp;Tableau1[[#This Row],[Localisation / Classement]]&amp;"\"&amp;Tableau1[[#This Row],[Poste technique]]&amp;"_"&amp;Tableau1[[#This Row],[Plan Entretien]]&amp;".pdf"</f>
        <v>\\stjn.local\trimet\Donnees_Projets\Dms Sap\Maintenance\PlanEntretien\7.MSCT\\_.pdf</v>
      </c>
      <c r="X844" s="47"/>
      <c r="Y844" s="47"/>
      <c r="Z844" s="44" t="str">
        <f ca="1">IF(AND(Tableau1[[#This Row],[Charge]]&lt;&gt;0, Tableau1[[#This Row],[Nombre intervenants]]&lt;&gt;0,Tableau1[[#This Row],[Lien document]]&lt;&gt;0,Tableau1[[#This Row],[DMS_SAP]]&lt;&gt;0)=TRUE,"MIS A JOUR","")</f>
        <v/>
      </c>
      <c r="AA844" s="48"/>
      <c r="AB844" s="58" t="str">
        <f ca="1">IF(Tableau1[[#This Row],[Date rév.]]&lt;&gt;"", DAYS360(Tableau1[[#This Row],[Date rév.]],TODAY()),"")</f>
        <v/>
      </c>
      <c r="AC844" s="47" t="str">
        <f>IFERROR(INDEX(Chemin_accès!$B$11:$C$22,MATCH(Tableau1[[#This Row],[Type]],Chemin_accès!$C$11:$C$22,0),1),Chemin_accès!$B$11)</f>
        <v>\\stjn.local\trimet\Btechnique\Commun\BT Maint SCELLEMENT\205 - Préventifs\Modèles préventif\GammeDMS_7.MSCT.xlsm</v>
      </c>
      <c r="AD844" s="47" t="str">
        <f>Chemin_accès!$B$8&amp;Tableau1[[#This Row],[Localisation / Classement]]&amp;"\"&amp;Tableau1[[#This Row],[Poste technique]]&amp;"_"&amp;Tableau1[[#This Row],[Plan Entretien]]&amp;".xlsm"</f>
        <v>\\stjn.local\trimet\Btechnique\Commun\BT Maint SCELLEMENT\205 - Préventifs\Gammes 7.MSCT PE Tool\\_.xlsm</v>
      </c>
    </row>
    <row r="845" spans="1:30" x14ac:dyDescent="0.3">
      <c r="A845" s="44" t="str">
        <f t="shared" ca="1" si="13"/>
        <v>7.MSCT</v>
      </c>
      <c r="B8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5" s="46"/>
      <c r="D845" s="44"/>
      <c r="E845" s="44"/>
      <c r="F845" s="47"/>
      <c r="G845" s="47"/>
      <c r="H845" s="50"/>
      <c r="I845" s="50"/>
      <c r="J845" s="50"/>
      <c r="K845" s="50"/>
      <c r="L845" s="46"/>
      <c r="M845" s="47"/>
      <c r="N845" s="46"/>
      <c r="O845" s="46"/>
      <c r="P845" s="47"/>
      <c r="Q845" s="46"/>
      <c r="R845" s="46"/>
      <c r="S845" s="48"/>
      <c r="T845" s="61" t="str">
        <f>IF(Tableau1[[#This Row],[DMS_SAP]]="","",HYPERLINK(Tableau1[[#This Row],[Chemin fichier source]],"X"))</f>
        <v/>
      </c>
      <c r="U845" s="61" t="str">
        <f>IF(Tableau1[[#This Row],[Date rév.]]="","",HYPERLINK(Tableau1[[#This Row],[Lien document]],"X"))</f>
        <v/>
      </c>
      <c r="V845" s="47"/>
      <c r="W845" s="49" t="str">
        <f ca="1">Chemin_accès!$B$2&amp;Tableau1[[#This Row],[Poste Responsable]]&amp;"\"&amp;Tableau1[[#This Row],[Localisation / Classement]]&amp;"\"&amp;Tableau1[[#This Row],[Poste technique]]&amp;"_"&amp;Tableau1[[#This Row],[Plan Entretien]]&amp;".pdf"</f>
        <v>\\stjn.local\trimet\Donnees_Projets\Dms Sap\Maintenance\PlanEntretien\7.MSCT\\_.pdf</v>
      </c>
      <c r="X845" s="47"/>
      <c r="Y845" s="47"/>
      <c r="Z845" s="44" t="str">
        <f ca="1">IF(AND(Tableau1[[#This Row],[Charge]]&lt;&gt;0, Tableau1[[#This Row],[Nombre intervenants]]&lt;&gt;0,Tableau1[[#This Row],[Lien document]]&lt;&gt;0,Tableau1[[#This Row],[DMS_SAP]]&lt;&gt;0)=TRUE,"MIS A JOUR","")</f>
        <v/>
      </c>
      <c r="AA845" s="48"/>
      <c r="AB845" s="58" t="str">
        <f ca="1">IF(Tableau1[[#This Row],[Date rév.]]&lt;&gt;"", DAYS360(Tableau1[[#This Row],[Date rév.]],TODAY()),"")</f>
        <v/>
      </c>
      <c r="AC845" s="47" t="str">
        <f>IFERROR(INDEX(Chemin_accès!$B$11:$C$22,MATCH(Tableau1[[#This Row],[Type]],Chemin_accès!$C$11:$C$22,0),1),Chemin_accès!$B$11)</f>
        <v>\\stjn.local\trimet\Btechnique\Commun\BT Maint SCELLEMENT\205 - Préventifs\Modèles préventif\GammeDMS_7.MSCT.xlsm</v>
      </c>
      <c r="AD845" s="47" t="str">
        <f>Chemin_accès!$B$8&amp;Tableau1[[#This Row],[Localisation / Classement]]&amp;"\"&amp;Tableau1[[#This Row],[Poste technique]]&amp;"_"&amp;Tableau1[[#This Row],[Plan Entretien]]&amp;".xlsm"</f>
        <v>\\stjn.local\trimet\Btechnique\Commun\BT Maint SCELLEMENT\205 - Préventifs\Gammes 7.MSCT PE Tool\\_.xlsm</v>
      </c>
    </row>
    <row r="846" spans="1:30" x14ac:dyDescent="0.3">
      <c r="A846" s="44" t="str">
        <f t="shared" ca="1" si="13"/>
        <v>7.MSCT</v>
      </c>
      <c r="B8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6" s="46"/>
      <c r="D846" s="44"/>
      <c r="E846" s="44"/>
      <c r="F846" s="47"/>
      <c r="G846" s="47"/>
      <c r="H846" s="50"/>
      <c r="I846" s="50"/>
      <c r="J846" s="50"/>
      <c r="K846" s="50"/>
      <c r="L846" s="46"/>
      <c r="M846" s="47"/>
      <c r="N846" s="46"/>
      <c r="O846" s="46"/>
      <c r="P846" s="47"/>
      <c r="Q846" s="46"/>
      <c r="R846" s="46"/>
      <c r="S846" s="48"/>
      <c r="T846" s="61" t="str">
        <f>IF(Tableau1[[#This Row],[DMS_SAP]]="","",HYPERLINK(Tableau1[[#This Row],[Chemin fichier source]],"X"))</f>
        <v/>
      </c>
      <c r="U846" s="61" t="str">
        <f>IF(Tableau1[[#This Row],[Date rév.]]="","",HYPERLINK(Tableau1[[#This Row],[Lien document]],"X"))</f>
        <v/>
      </c>
      <c r="V846" s="47"/>
      <c r="W846" s="49" t="str">
        <f ca="1">Chemin_accès!$B$2&amp;Tableau1[[#This Row],[Poste Responsable]]&amp;"\"&amp;Tableau1[[#This Row],[Localisation / Classement]]&amp;"\"&amp;Tableau1[[#This Row],[Poste technique]]&amp;"_"&amp;Tableau1[[#This Row],[Plan Entretien]]&amp;".pdf"</f>
        <v>\\stjn.local\trimet\Donnees_Projets\Dms Sap\Maintenance\PlanEntretien\7.MSCT\\_.pdf</v>
      </c>
      <c r="X846" s="47"/>
      <c r="Y846" s="47"/>
      <c r="Z846" s="44" t="str">
        <f ca="1">IF(AND(Tableau1[[#This Row],[Charge]]&lt;&gt;0, Tableau1[[#This Row],[Nombre intervenants]]&lt;&gt;0,Tableau1[[#This Row],[Lien document]]&lt;&gt;0,Tableau1[[#This Row],[DMS_SAP]]&lt;&gt;0)=TRUE,"MIS A JOUR","")</f>
        <v/>
      </c>
      <c r="AA846" s="48"/>
      <c r="AB846" s="58" t="str">
        <f ca="1">IF(Tableau1[[#This Row],[Date rév.]]&lt;&gt;"", DAYS360(Tableau1[[#This Row],[Date rév.]],TODAY()),"")</f>
        <v/>
      </c>
      <c r="AC846" s="47" t="str">
        <f>IFERROR(INDEX(Chemin_accès!$B$11:$C$22,MATCH(Tableau1[[#This Row],[Type]],Chemin_accès!$C$11:$C$22,0),1),Chemin_accès!$B$11)</f>
        <v>\\stjn.local\trimet\Btechnique\Commun\BT Maint SCELLEMENT\205 - Préventifs\Modèles préventif\GammeDMS_7.MSCT.xlsm</v>
      </c>
      <c r="AD846" s="47" t="str">
        <f>Chemin_accès!$B$8&amp;Tableau1[[#This Row],[Localisation / Classement]]&amp;"\"&amp;Tableau1[[#This Row],[Poste technique]]&amp;"_"&amp;Tableau1[[#This Row],[Plan Entretien]]&amp;".xlsm"</f>
        <v>\\stjn.local\trimet\Btechnique\Commun\BT Maint SCELLEMENT\205 - Préventifs\Gammes 7.MSCT PE Tool\\_.xlsm</v>
      </c>
    </row>
    <row r="847" spans="1:30" x14ac:dyDescent="0.3">
      <c r="A847" s="44" t="str">
        <f t="shared" ca="1" si="13"/>
        <v>7.MSCT</v>
      </c>
      <c r="B8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7" s="46"/>
      <c r="D847" s="44"/>
      <c r="E847" s="44"/>
      <c r="F847" s="47"/>
      <c r="G847" s="47"/>
      <c r="H847" s="50"/>
      <c r="I847" s="50"/>
      <c r="J847" s="50"/>
      <c r="K847" s="50"/>
      <c r="L847" s="46"/>
      <c r="M847" s="47"/>
      <c r="N847" s="46"/>
      <c r="O847" s="46"/>
      <c r="P847" s="47"/>
      <c r="Q847" s="46"/>
      <c r="R847" s="46"/>
      <c r="S847" s="48"/>
      <c r="T847" s="61" t="str">
        <f>IF(Tableau1[[#This Row],[DMS_SAP]]="","",HYPERLINK(Tableau1[[#This Row],[Chemin fichier source]],"X"))</f>
        <v/>
      </c>
      <c r="U847" s="61" t="str">
        <f>IF(Tableau1[[#This Row],[Date rév.]]="","",HYPERLINK(Tableau1[[#This Row],[Lien document]],"X"))</f>
        <v/>
      </c>
      <c r="V847" s="47"/>
      <c r="W847" s="49" t="str">
        <f ca="1">Chemin_accès!$B$2&amp;Tableau1[[#This Row],[Poste Responsable]]&amp;"\"&amp;Tableau1[[#This Row],[Localisation / Classement]]&amp;"\"&amp;Tableau1[[#This Row],[Poste technique]]&amp;"_"&amp;Tableau1[[#This Row],[Plan Entretien]]&amp;".pdf"</f>
        <v>\\stjn.local\trimet\Donnees_Projets\Dms Sap\Maintenance\PlanEntretien\7.MSCT\\_.pdf</v>
      </c>
      <c r="X847" s="47"/>
      <c r="Y847" s="47"/>
      <c r="Z847" s="44" t="str">
        <f ca="1">IF(AND(Tableau1[[#This Row],[Charge]]&lt;&gt;0, Tableau1[[#This Row],[Nombre intervenants]]&lt;&gt;0,Tableau1[[#This Row],[Lien document]]&lt;&gt;0,Tableau1[[#This Row],[DMS_SAP]]&lt;&gt;0)=TRUE,"MIS A JOUR","")</f>
        <v/>
      </c>
      <c r="AA847" s="48"/>
      <c r="AB847" s="58" t="str">
        <f ca="1">IF(Tableau1[[#This Row],[Date rév.]]&lt;&gt;"", DAYS360(Tableau1[[#This Row],[Date rév.]],TODAY()),"")</f>
        <v/>
      </c>
      <c r="AC847" s="47" t="str">
        <f>IFERROR(INDEX(Chemin_accès!$B$11:$C$22,MATCH(Tableau1[[#This Row],[Type]],Chemin_accès!$C$11:$C$22,0),1),Chemin_accès!$B$11)</f>
        <v>\\stjn.local\trimet\Btechnique\Commun\BT Maint SCELLEMENT\205 - Préventifs\Modèles préventif\GammeDMS_7.MSCT.xlsm</v>
      </c>
      <c r="AD847" s="47" t="str">
        <f>Chemin_accès!$B$8&amp;Tableau1[[#This Row],[Localisation / Classement]]&amp;"\"&amp;Tableau1[[#This Row],[Poste technique]]&amp;"_"&amp;Tableau1[[#This Row],[Plan Entretien]]&amp;".xlsm"</f>
        <v>\\stjn.local\trimet\Btechnique\Commun\BT Maint SCELLEMENT\205 - Préventifs\Gammes 7.MSCT PE Tool\\_.xlsm</v>
      </c>
    </row>
    <row r="848" spans="1:30" x14ac:dyDescent="0.3">
      <c r="A848" s="44" t="str">
        <f t="shared" ca="1" si="13"/>
        <v>7.MSCT</v>
      </c>
      <c r="B8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8" s="46"/>
      <c r="D848" s="44"/>
      <c r="E848" s="44"/>
      <c r="F848" s="47"/>
      <c r="G848" s="47"/>
      <c r="H848" s="50"/>
      <c r="I848" s="50"/>
      <c r="J848" s="50"/>
      <c r="K848" s="50"/>
      <c r="L848" s="46"/>
      <c r="M848" s="47"/>
      <c r="N848" s="46"/>
      <c r="O848" s="46"/>
      <c r="P848" s="47"/>
      <c r="Q848" s="46"/>
      <c r="R848" s="46"/>
      <c r="S848" s="48"/>
      <c r="T848" s="61" t="str">
        <f>IF(Tableau1[[#This Row],[DMS_SAP]]="","",HYPERLINK(Tableau1[[#This Row],[Chemin fichier source]],"X"))</f>
        <v/>
      </c>
      <c r="U848" s="61" t="str">
        <f>IF(Tableau1[[#This Row],[Date rév.]]="","",HYPERLINK(Tableau1[[#This Row],[Lien document]],"X"))</f>
        <v/>
      </c>
      <c r="V848" s="47"/>
      <c r="W848" s="49" t="str">
        <f ca="1">Chemin_accès!$B$2&amp;Tableau1[[#This Row],[Poste Responsable]]&amp;"\"&amp;Tableau1[[#This Row],[Localisation / Classement]]&amp;"\"&amp;Tableau1[[#This Row],[Poste technique]]&amp;"_"&amp;Tableau1[[#This Row],[Plan Entretien]]&amp;".pdf"</f>
        <v>\\stjn.local\trimet\Donnees_Projets\Dms Sap\Maintenance\PlanEntretien\7.MSCT\\_.pdf</v>
      </c>
      <c r="X848" s="47"/>
      <c r="Y848" s="47"/>
      <c r="Z848" s="44" t="str">
        <f ca="1">IF(AND(Tableau1[[#This Row],[Charge]]&lt;&gt;0, Tableau1[[#This Row],[Nombre intervenants]]&lt;&gt;0,Tableau1[[#This Row],[Lien document]]&lt;&gt;0,Tableau1[[#This Row],[DMS_SAP]]&lt;&gt;0)=TRUE,"MIS A JOUR","")</f>
        <v/>
      </c>
      <c r="AA848" s="48"/>
      <c r="AB848" s="58" t="str">
        <f ca="1">IF(Tableau1[[#This Row],[Date rév.]]&lt;&gt;"", DAYS360(Tableau1[[#This Row],[Date rév.]],TODAY()),"")</f>
        <v/>
      </c>
      <c r="AC848" s="47" t="str">
        <f>IFERROR(INDEX(Chemin_accès!$B$11:$C$22,MATCH(Tableau1[[#This Row],[Type]],Chemin_accès!$C$11:$C$22,0),1),Chemin_accès!$B$11)</f>
        <v>\\stjn.local\trimet\Btechnique\Commun\BT Maint SCELLEMENT\205 - Préventifs\Modèles préventif\GammeDMS_7.MSCT.xlsm</v>
      </c>
      <c r="AD848" s="47" t="str">
        <f>Chemin_accès!$B$8&amp;Tableau1[[#This Row],[Localisation / Classement]]&amp;"\"&amp;Tableau1[[#This Row],[Poste technique]]&amp;"_"&amp;Tableau1[[#This Row],[Plan Entretien]]&amp;".xlsm"</f>
        <v>\\stjn.local\trimet\Btechnique\Commun\BT Maint SCELLEMENT\205 - Préventifs\Gammes 7.MSCT PE Tool\\_.xlsm</v>
      </c>
    </row>
    <row r="849" spans="1:30" x14ac:dyDescent="0.3">
      <c r="A849" s="44" t="str">
        <f t="shared" ca="1" si="13"/>
        <v>7.MSCT</v>
      </c>
      <c r="B8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9" s="46"/>
      <c r="D849" s="44"/>
      <c r="E849" s="44"/>
      <c r="F849" s="47"/>
      <c r="G849" s="47"/>
      <c r="H849" s="50"/>
      <c r="I849" s="50"/>
      <c r="J849" s="50"/>
      <c r="K849" s="50"/>
      <c r="L849" s="46"/>
      <c r="M849" s="47"/>
      <c r="N849" s="46"/>
      <c r="O849" s="46"/>
      <c r="P849" s="47"/>
      <c r="Q849" s="46"/>
      <c r="R849" s="46"/>
      <c r="S849" s="48"/>
      <c r="T849" s="61" t="str">
        <f>IF(Tableau1[[#This Row],[DMS_SAP]]="","",HYPERLINK(Tableau1[[#This Row],[Chemin fichier source]],"X"))</f>
        <v/>
      </c>
      <c r="U849" s="61" t="str">
        <f>IF(Tableau1[[#This Row],[Date rév.]]="","",HYPERLINK(Tableau1[[#This Row],[Lien document]],"X"))</f>
        <v/>
      </c>
      <c r="V849" s="47"/>
      <c r="W849" s="49" t="str">
        <f ca="1">Chemin_accès!$B$2&amp;Tableau1[[#This Row],[Poste Responsable]]&amp;"\"&amp;Tableau1[[#This Row],[Localisation / Classement]]&amp;"\"&amp;Tableau1[[#This Row],[Poste technique]]&amp;"_"&amp;Tableau1[[#This Row],[Plan Entretien]]&amp;".pdf"</f>
        <v>\\stjn.local\trimet\Donnees_Projets\Dms Sap\Maintenance\PlanEntretien\7.MSCT\\_.pdf</v>
      </c>
      <c r="X849" s="47"/>
      <c r="Y849" s="47"/>
      <c r="Z849" s="44" t="str">
        <f ca="1">IF(AND(Tableau1[[#This Row],[Charge]]&lt;&gt;0, Tableau1[[#This Row],[Nombre intervenants]]&lt;&gt;0,Tableau1[[#This Row],[Lien document]]&lt;&gt;0,Tableau1[[#This Row],[DMS_SAP]]&lt;&gt;0)=TRUE,"MIS A JOUR","")</f>
        <v/>
      </c>
      <c r="AA849" s="48"/>
      <c r="AB849" s="58" t="str">
        <f ca="1">IF(Tableau1[[#This Row],[Date rév.]]&lt;&gt;"", DAYS360(Tableau1[[#This Row],[Date rév.]],TODAY()),"")</f>
        <v/>
      </c>
      <c r="AC849" s="47" t="str">
        <f>IFERROR(INDEX(Chemin_accès!$B$11:$C$22,MATCH(Tableau1[[#This Row],[Type]],Chemin_accès!$C$11:$C$22,0),1),Chemin_accès!$B$11)</f>
        <v>\\stjn.local\trimet\Btechnique\Commun\BT Maint SCELLEMENT\205 - Préventifs\Modèles préventif\GammeDMS_7.MSCT.xlsm</v>
      </c>
      <c r="AD849" s="47" t="str">
        <f>Chemin_accès!$B$8&amp;Tableau1[[#This Row],[Localisation / Classement]]&amp;"\"&amp;Tableau1[[#This Row],[Poste technique]]&amp;"_"&amp;Tableau1[[#This Row],[Plan Entretien]]&amp;".xlsm"</f>
        <v>\\stjn.local\trimet\Btechnique\Commun\BT Maint SCELLEMENT\205 - Préventifs\Gammes 7.MSCT PE Tool\\_.xlsm</v>
      </c>
    </row>
    <row r="850" spans="1:30" x14ac:dyDescent="0.3">
      <c r="A850" s="44" t="str">
        <f t="shared" ca="1" si="13"/>
        <v>7.MSCT</v>
      </c>
      <c r="B8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0" s="46"/>
      <c r="D850" s="44"/>
      <c r="E850" s="44"/>
      <c r="F850" s="47"/>
      <c r="G850" s="47"/>
      <c r="H850" s="50"/>
      <c r="I850" s="50"/>
      <c r="J850" s="50"/>
      <c r="K850" s="50"/>
      <c r="L850" s="46"/>
      <c r="M850" s="47"/>
      <c r="N850" s="46"/>
      <c r="O850" s="46"/>
      <c r="P850" s="47"/>
      <c r="Q850" s="46"/>
      <c r="R850" s="46"/>
      <c r="S850" s="48"/>
      <c r="T850" s="61" t="str">
        <f>IF(Tableau1[[#This Row],[DMS_SAP]]="","",HYPERLINK(Tableau1[[#This Row],[Chemin fichier source]],"X"))</f>
        <v/>
      </c>
      <c r="U850" s="61" t="str">
        <f>IF(Tableau1[[#This Row],[Date rév.]]="","",HYPERLINK(Tableau1[[#This Row],[Lien document]],"X"))</f>
        <v/>
      </c>
      <c r="V850" s="47"/>
      <c r="W850" s="49" t="str">
        <f ca="1">Chemin_accès!$B$2&amp;Tableau1[[#This Row],[Poste Responsable]]&amp;"\"&amp;Tableau1[[#This Row],[Localisation / Classement]]&amp;"\"&amp;Tableau1[[#This Row],[Poste technique]]&amp;"_"&amp;Tableau1[[#This Row],[Plan Entretien]]&amp;".pdf"</f>
        <v>\\stjn.local\trimet\Donnees_Projets\Dms Sap\Maintenance\PlanEntretien\7.MSCT\\_.pdf</v>
      </c>
      <c r="X850" s="47"/>
      <c r="Y850" s="47"/>
      <c r="Z850" s="44" t="str">
        <f ca="1">IF(AND(Tableau1[[#This Row],[Charge]]&lt;&gt;0, Tableau1[[#This Row],[Nombre intervenants]]&lt;&gt;0,Tableau1[[#This Row],[Lien document]]&lt;&gt;0,Tableau1[[#This Row],[DMS_SAP]]&lt;&gt;0)=TRUE,"MIS A JOUR","")</f>
        <v/>
      </c>
      <c r="AA850" s="48"/>
      <c r="AB850" s="58" t="str">
        <f ca="1">IF(Tableau1[[#This Row],[Date rév.]]&lt;&gt;"", DAYS360(Tableau1[[#This Row],[Date rév.]],TODAY()),"")</f>
        <v/>
      </c>
      <c r="AC850" s="47" t="str">
        <f>IFERROR(INDEX(Chemin_accès!$B$11:$C$22,MATCH(Tableau1[[#This Row],[Type]],Chemin_accès!$C$11:$C$22,0),1),Chemin_accès!$B$11)</f>
        <v>\\stjn.local\trimet\Btechnique\Commun\BT Maint SCELLEMENT\205 - Préventifs\Modèles préventif\GammeDMS_7.MSCT.xlsm</v>
      </c>
      <c r="AD850" s="47" t="str">
        <f>Chemin_accès!$B$8&amp;Tableau1[[#This Row],[Localisation / Classement]]&amp;"\"&amp;Tableau1[[#This Row],[Poste technique]]&amp;"_"&amp;Tableau1[[#This Row],[Plan Entretien]]&amp;".xlsm"</f>
        <v>\\stjn.local\trimet\Btechnique\Commun\BT Maint SCELLEMENT\205 - Préventifs\Gammes 7.MSCT PE Tool\\_.xlsm</v>
      </c>
    </row>
    <row r="851" spans="1:30" x14ac:dyDescent="0.3">
      <c r="A851" s="44" t="str">
        <f t="shared" ca="1" si="13"/>
        <v>7.MSCT</v>
      </c>
      <c r="B8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1" s="46"/>
      <c r="D851" s="44"/>
      <c r="E851" s="44"/>
      <c r="F851" s="47"/>
      <c r="G851" s="47"/>
      <c r="H851" s="50"/>
      <c r="I851" s="50"/>
      <c r="J851" s="50"/>
      <c r="K851" s="50"/>
      <c r="L851" s="46"/>
      <c r="M851" s="47"/>
      <c r="N851" s="46"/>
      <c r="O851" s="46"/>
      <c r="P851" s="47"/>
      <c r="Q851" s="46"/>
      <c r="R851" s="46"/>
      <c r="S851" s="48"/>
      <c r="T851" s="61" t="str">
        <f>IF(Tableau1[[#This Row],[DMS_SAP]]="","",HYPERLINK(Tableau1[[#This Row],[Chemin fichier source]],"X"))</f>
        <v/>
      </c>
      <c r="U851" s="61" t="str">
        <f>IF(Tableau1[[#This Row],[Date rév.]]="","",HYPERLINK(Tableau1[[#This Row],[Lien document]],"X"))</f>
        <v/>
      </c>
      <c r="V851" s="47"/>
      <c r="W851" s="49" t="str">
        <f ca="1">Chemin_accès!$B$2&amp;Tableau1[[#This Row],[Poste Responsable]]&amp;"\"&amp;Tableau1[[#This Row],[Localisation / Classement]]&amp;"\"&amp;Tableau1[[#This Row],[Poste technique]]&amp;"_"&amp;Tableau1[[#This Row],[Plan Entretien]]&amp;".pdf"</f>
        <v>\\stjn.local\trimet\Donnees_Projets\Dms Sap\Maintenance\PlanEntretien\7.MSCT\\_.pdf</v>
      </c>
      <c r="X851" s="47"/>
      <c r="Y851" s="47"/>
      <c r="Z851" s="44" t="str">
        <f ca="1">IF(AND(Tableau1[[#This Row],[Charge]]&lt;&gt;0, Tableau1[[#This Row],[Nombre intervenants]]&lt;&gt;0,Tableau1[[#This Row],[Lien document]]&lt;&gt;0,Tableau1[[#This Row],[DMS_SAP]]&lt;&gt;0)=TRUE,"MIS A JOUR","")</f>
        <v/>
      </c>
      <c r="AA851" s="48"/>
      <c r="AB851" s="58" t="str">
        <f ca="1">IF(Tableau1[[#This Row],[Date rév.]]&lt;&gt;"", DAYS360(Tableau1[[#This Row],[Date rév.]],TODAY()),"")</f>
        <v/>
      </c>
      <c r="AC851" s="47" t="str">
        <f>IFERROR(INDEX(Chemin_accès!$B$11:$C$22,MATCH(Tableau1[[#This Row],[Type]],Chemin_accès!$C$11:$C$22,0),1),Chemin_accès!$B$11)</f>
        <v>\\stjn.local\trimet\Btechnique\Commun\BT Maint SCELLEMENT\205 - Préventifs\Modèles préventif\GammeDMS_7.MSCT.xlsm</v>
      </c>
      <c r="AD851" s="47" t="str">
        <f>Chemin_accès!$B$8&amp;Tableau1[[#This Row],[Localisation / Classement]]&amp;"\"&amp;Tableau1[[#This Row],[Poste technique]]&amp;"_"&amp;Tableau1[[#This Row],[Plan Entretien]]&amp;".xlsm"</f>
        <v>\\stjn.local\trimet\Btechnique\Commun\BT Maint SCELLEMENT\205 - Préventifs\Gammes 7.MSCT PE Tool\\_.xlsm</v>
      </c>
    </row>
    <row r="852" spans="1:30" x14ac:dyDescent="0.3">
      <c r="A852" s="44" t="str">
        <f t="shared" ca="1" si="13"/>
        <v>7.MSCT</v>
      </c>
      <c r="B8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2" s="46"/>
      <c r="D852" s="44"/>
      <c r="E852" s="44"/>
      <c r="F852" s="47"/>
      <c r="G852" s="47"/>
      <c r="H852" s="50"/>
      <c r="I852" s="50"/>
      <c r="J852" s="50"/>
      <c r="K852" s="50"/>
      <c r="L852" s="46"/>
      <c r="M852" s="47"/>
      <c r="N852" s="46"/>
      <c r="O852" s="46"/>
      <c r="P852" s="47"/>
      <c r="Q852" s="46"/>
      <c r="R852" s="46"/>
      <c r="S852" s="48"/>
      <c r="T852" s="61" t="str">
        <f>IF(Tableau1[[#This Row],[DMS_SAP]]="","",HYPERLINK(Tableau1[[#This Row],[Chemin fichier source]],"X"))</f>
        <v/>
      </c>
      <c r="U852" s="61" t="str">
        <f>IF(Tableau1[[#This Row],[Date rév.]]="","",HYPERLINK(Tableau1[[#This Row],[Lien document]],"X"))</f>
        <v/>
      </c>
      <c r="V852" s="47"/>
      <c r="W852" s="49" t="str">
        <f ca="1">Chemin_accès!$B$2&amp;Tableau1[[#This Row],[Poste Responsable]]&amp;"\"&amp;Tableau1[[#This Row],[Localisation / Classement]]&amp;"\"&amp;Tableau1[[#This Row],[Poste technique]]&amp;"_"&amp;Tableau1[[#This Row],[Plan Entretien]]&amp;".pdf"</f>
        <v>\\stjn.local\trimet\Donnees_Projets\Dms Sap\Maintenance\PlanEntretien\7.MSCT\\_.pdf</v>
      </c>
      <c r="X852" s="47"/>
      <c r="Y852" s="47"/>
      <c r="Z852" s="44" t="str">
        <f ca="1">IF(AND(Tableau1[[#This Row],[Charge]]&lt;&gt;0, Tableau1[[#This Row],[Nombre intervenants]]&lt;&gt;0,Tableau1[[#This Row],[Lien document]]&lt;&gt;0,Tableau1[[#This Row],[DMS_SAP]]&lt;&gt;0)=TRUE,"MIS A JOUR","")</f>
        <v/>
      </c>
      <c r="AA852" s="48"/>
      <c r="AB852" s="58" t="str">
        <f ca="1">IF(Tableau1[[#This Row],[Date rév.]]&lt;&gt;"", DAYS360(Tableau1[[#This Row],[Date rév.]],TODAY()),"")</f>
        <v/>
      </c>
      <c r="AC852" s="47" t="str">
        <f>IFERROR(INDEX(Chemin_accès!$B$11:$C$22,MATCH(Tableau1[[#This Row],[Type]],Chemin_accès!$C$11:$C$22,0),1),Chemin_accès!$B$11)</f>
        <v>\\stjn.local\trimet\Btechnique\Commun\BT Maint SCELLEMENT\205 - Préventifs\Modèles préventif\GammeDMS_7.MSCT.xlsm</v>
      </c>
      <c r="AD852" s="47" t="str">
        <f>Chemin_accès!$B$8&amp;Tableau1[[#This Row],[Localisation / Classement]]&amp;"\"&amp;Tableau1[[#This Row],[Poste technique]]&amp;"_"&amp;Tableau1[[#This Row],[Plan Entretien]]&amp;".xlsm"</f>
        <v>\\stjn.local\trimet\Btechnique\Commun\BT Maint SCELLEMENT\205 - Préventifs\Gammes 7.MSCT PE Tool\\_.xlsm</v>
      </c>
    </row>
    <row r="853" spans="1:30" x14ac:dyDescent="0.3">
      <c r="A853" s="44" t="str">
        <f t="shared" ca="1" si="13"/>
        <v>7.MSCT</v>
      </c>
      <c r="B8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3" s="46"/>
      <c r="D853" s="44"/>
      <c r="E853" s="44"/>
      <c r="F853" s="47"/>
      <c r="G853" s="47"/>
      <c r="H853" s="50"/>
      <c r="I853" s="50"/>
      <c r="J853" s="50"/>
      <c r="K853" s="50"/>
      <c r="L853" s="46"/>
      <c r="M853" s="47"/>
      <c r="N853" s="46"/>
      <c r="O853" s="46"/>
      <c r="P853" s="47"/>
      <c r="Q853" s="46"/>
      <c r="R853" s="46"/>
      <c r="S853" s="48"/>
      <c r="T853" s="61" t="str">
        <f>IF(Tableau1[[#This Row],[DMS_SAP]]="","",HYPERLINK(Tableau1[[#This Row],[Chemin fichier source]],"X"))</f>
        <v/>
      </c>
      <c r="U853" s="61" t="str">
        <f>IF(Tableau1[[#This Row],[Date rév.]]="","",HYPERLINK(Tableau1[[#This Row],[Lien document]],"X"))</f>
        <v/>
      </c>
      <c r="V853" s="47"/>
      <c r="W853" s="49" t="str">
        <f ca="1">Chemin_accès!$B$2&amp;Tableau1[[#This Row],[Poste Responsable]]&amp;"\"&amp;Tableau1[[#This Row],[Localisation / Classement]]&amp;"\"&amp;Tableau1[[#This Row],[Poste technique]]&amp;"_"&amp;Tableau1[[#This Row],[Plan Entretien]]&amp;".pdf"</f>
        <v>\\stjn.local\trimet\Donnees_Projets\Dms Sap\Maintenance\PlanEntretien\7.MSCT\\_.pdf</v>
      </c>
      <c r="X853" s="47"/>
      <c r="Y853" s="47"/>
      <c r="Z853" s="44" t="str">
        <f ca="1">IF(AND(Tableau1[[#This Row],[Charge]]&lt;&gt;0, Tableau1[[#This Row],[Nombre intervenants]]&lt;&gt;0,Tableau1[[#This Row],[Lien document]]&lt;&gt;0,Tableau1[[#This Row],[DMS_SAP]]&lt;&gt;0)=TRUE,"MIS A JOUR","")</f>
        <v/>
      </c>
      <c r="AA853" s="48"/>
      <c r="AB853" s="58" t="str">
        <f ca="1">IF(Tableau1[[#This Row],[Date rév.]]&lt;&gt;"", DAYS360(Tableau1[[#This Row],[Date rév.]],TODAY()),"")</f>
        <v/>
      </c>
      <c r="AC853" s="47" t="str">
        <f>IFERROR(INDEX(Chemin_accès!$B$11:$C$22,MATCH(Tableau1[[#This Row],[Type]],Chemin_accès!$C$11:$C$22,0),1),Chemin_accès!$B$11)</f>
        <v>\\stjn.local\trimet\Btechnique\Commun\BT Maint SCELLEMENT\205 - Préventifs\Modèles préventif\GammeDMS_7.MSCT.xlsm</v>
      </c>
      <c r="AD853" s="47" t="str">
        <f>Chemin_accès!$B$8&amp;Tableau1[[#This Row],[Localisation / Classement]]&amp;"\"&amp;Tableau1[[#This Row],[Poste technique]]&amp;"_"&amp;Tableau1[[#This Row],[Plan Entretien]]&amp;".xlsm"</f>
        <v>\\stjn.local\trimet\Btechnique\Commun\BT Maint SCELLEMENT\205 - Préventifs\Gammes 7.MSCT PE Tool\\_.xlsm</v>
      </c>
    </row>
    <row r="854" spans="1:30" x14ac:dyDescent="0.3">
      <c r="A854" s="44" t="str">
        <f t="shared" ca="1" si="13"/>
        <v>7.MSCT</v>
      </c>
      <c r="B8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4" s="46"/>
      <c r="D854" s="44"/>
      <c r="E854" s="44"/>
      <c r="F854" s="47"/>
      <c r="G854" s="47"/>
      <c r="H854" s="50"/>
      <c r="I854" s="50"/>
      <c r="J854" s="50"/>
      <c r="K854" s="50"/>
      <c r="L854" s="46"/>
      <c r="M854" s="47"/>
      <c r="N854" s="46"/>
      <c r="O854" s="46"/>
      <c r="P854" s="47"/>
      <c r="Q854" s="46"/>
      <c r="R854" s="46"/>
      <c r="S854" s="48"/>
      <c r="T854" s="61" t="str">
        <f>IF(Tableau1[[#This Row],[DMS_SAP]]="","",HYPERLINK(Tableau1[[#This Row],[Chemin fichier source]],"X"))</f>
        <v/>
      </c>
      <c r="U854" s="61" t="str">
        <f>IF(Tableau1[[#This Row],[Date rév.]]="","",HYPERLINK(Tableau1[[#This Row],[Lien document]],"X"))</f>
        <v/>
      </c>
      <c r="V854" s="47"/>
      <c r="W854" s="49" t="str">
        <f ca="1">Chemin_accès!$B$2&amp;Tableau1[[#This Row],[Poste Responsable]]&amp;"\"&amp;Tableau1[[#This Row],[Localisation / Classement]]&amp;"\"&amp;Tableau1[[#This Row],[Poste technique]]&amp;"_"&amp;Tableau1[[#This Row],[Plan Entretien]]&amp;".pdf"</f>
        <v>\\stjn.local\trimet\Donnees_Projets\Dms Sap\Maintenance\PlanEntretien\7.MSCT\\_.pdf</v>
      </c>
      <c r="X854" s="47"/>
      <c r="Y854" s="47"/>
      <c r="Z854" s="44" t="str">
        <f ca="1">IF(AND(Tableau1[[#This Row],[Charge]]&lt;&gt;0, Tableau1[[#This Row],[Nombre intervenants]]&lt;&gt;0,Tableau1[[#This Row],[Lien document]]&lt;&gt;0,Tableau1[[#This Row],[DMS_SAP]]&lt;&gt;0)=TRUE,"MIS A JOUR","")</f>
        <v/>
      </c>
      <c r="AA854" s="48"/>
      <c r="AB854" s="58" t="str">
        <f ca="1">IF(Tableau1[[#This Row],[Date rév.]]&lt;&gt;"", DAYS360(Tableau1[[#This Row],[Date rév.]],TODAY()),"")</f>
        <v/>
      </c>
      <c r="AC854" s="47" t="str">
        <f>IFERROR(INDEX(Chemin_accès!$B$11:$C$22,MATCH(Tableau1[[#This Row],[Type]],Chemin_accès!$C$11:$C$22,0),1),Chemin_accès!$B$11)</f>
        <v>\\stjn.local\trimet\Btechnique\Commun\BT Maint SCELLEMENT\205 - Préventifs\Modèles préventif\GammeDMS_7.MSCT.xlsm</v>
      </c>
      <c r="AD854" s="47" t="str">
        <f>Chemin_accès!$B$8&amp;Tableau1[[#This Row],[Localisation / Classement]]&amp;"\"&amp;Tableau1[[#This Row],[Poste technique]]&amp;"_"&amp;Tableau1[[#This Row],[Plan Entretien]]&amp;".xlsm"</f>
        <v>\\stjn.local\trimet\Btechnique\Commun\BT Maint SCELLEMENT\205 - Préventifs\Gammes 7.MSCT PE Tool\\_.xlsm</v>
      </c>
    </row>
    <row r="855" spans="1:30" x14ac:dyDescent="0.3">
      <c r="A855" s="44" t="str">
        <f t="shared" ca="1" si="13"/>
        <v>7.MSCT</v>
      </c>
      <c r="B8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5" s="46"/>
      <c r="D855" s="44"/>
      <c r="E855" s="44"/>
      <c r="F855" s="47"/>
      <c r="G855" s="47"/>
      <c r="H855" s="50"/>
      <c r="I855" s="50"/>
      <c r="J855" s="50"/>
      <c r="K855" s="50"/>
      <c r="L855" s="46"/>
      <c r="M855" s="47"/>
      <c r="N855" s="46"/>
      <c r="O855" s="46"/>
      <c r="P855" s="47"/>
      <c r="Q855" s="46"/>
      <c r="R855" s="46"/>
      <c r="S855" s="48"/>
      <c r="T855" s="61" t="str">
        <f>IF(Tableau1[[#This Row],[DMS_SAP]]="","",HYPERLINK(Tableau1[[#This Row],[Chemin fichier source]],"X"))</f>
        <v/>
      </c>
      <c r="U855" s="61" t="str">
        <f>IF(Tableau1[[#This Row],[Date rév.]]="","",HYPERLINK(Tableau1[[#This Row],[Lien document]],"X"))</f>
        <v/>
      </c>
      <c r="V855" s="47"/>
      <c r="W855" s="49" t="str">
        <f ca="1">Chemin_accès!$B$2&amp;Tableau1[[#This Row],[Poste Responsable]]&amp;"\"&amp;Tableau1[[#This Row],[Localisation / Classement]]&amp;"\"&amp;Tableau1[[#This Row],[Poste technique]]&amp;"_"&amp;Tableau1[[#This Row],[Plan Entretien]]&amp;".pdf"</f>
        <v>\\stjn.local\trimet\Donnees_Projets\Dms Sap\Maintenance\PlanEntretien\7.MSCT\\_.pdf</v>
      </c>
      <c r="X855" s="47"/>
      <c r="Y855" s="47"/>
      <c r="Z855" s="44" t="str">
        <f ca="1">IF(AND(Tableau1[[#This Row],[Charge]]&lt;&gt;0, Tableau1[[#This Row],[Nombre intervenants]]&lt;&gt;0,Tableau1[[#This Row],[Lien document]]&lt;&gt;0,Tableau1[[#This Row],[DMS_SAP]]&lt;&gt;0)=TRUE,"MIS A JOUR","")</f>
        <v/>
      </c>
      <c r="AA855" s="48"/>
      <c r="AB855" s="58" t="str">
        <f ca="1">IF(Tableau1[[#This Row],[Date rév.]]&lt;&gt;"", DAYS360(Tableau1[[#This Row],[Date rév.]],TODAY()),"")</f>
        <v/>
      </c>
      <c r="AC855" s="47" t="str">
        <f>IFERROR(INDEX(Chemin_accès!$B$11:$C$22,MATCH(Tableau1[[#This Row],[Type]],Chemin_accès!$C$11:$C$22,0),1),Chemin_accès!$B$11)</f>
        <v>\\stjn.local\trimet\Btechnique\Commun\BT Maint SCELLEMENT\205 - Préventifs\Modèles préventif\GammeDMS_7.MSCT.xlsm</v>
      </c>
      <c r="AD855" s="47" t="str">
        <f>Chemin_accès!$B$8&amp;Tableau1[[#This Row],[Localisation / Classement]]&amp;"\"&amp;Tableau1[[#This Row],[Poste technique]]&amp;"_"&amp;Tableau1[[#This Row],[Plan Entretien]]&amp;".xlsm"</f>
        <v>\\stjn.local\trimet\Btechnique\Commun\BT Maint SCELLEMENT\205 - Préventifs\Gammes 7.MSCT PE Tool\\_.xlsm</v>
      </c>
    </row>
    <row r="856" spans="1:30" x14ac:dyDescent="0.3">
      <c r="A856" s="44" t="str">
        <f t="shared" ca="1" si="13"/>
        <v>7.MSCT</v>
      </c>
      <c r="B8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6" s="46"/>
      <c r="D856" s="44"/>
      <c r="E856" s="44"/>
      <c r="F856" s="47"/>
      <c r="G856" s="47"/>
      <c r="H856" s="50"/>
      <c r="I856" s="50"/>
      <c r="J856" s="50"/>
      <c r="K856" s="50"/>
      <c r="L856" s="46"/>
      <c r="M856" s="47"/>
      <c r="N856" s="46"/>
      <c r="O856" s="46"/>
      <c r="P856" s="47"/>
      <c r="Q856" s="46"/>
      <c r="R856" s="46"/>
      <c r="S856" s="48"/>
      <c r="T856" s="61" t="str">
        <f>IF(Tableau1[[#This Row],[DMS_SAP]]="","",HYPERLINK(Tableau1[[#This Row],[Chemin fichier source]],"X"))</f>
        <v/>
      </c>
      <c r="U856" s="61" t="str">
        <f>IF(Tableau1[[#This Row],[Date rév.]]="","",HYPERLINK(Tableau1[[#This Row],[Lien document]],"X"))</f>
        <v/>
      </c>
      <c r="V856" s="47"/>
      <c r="W856" s="49" t="str">
        <f ca="1">Chemin_accès!$B$2&amp;Tableau1[[#This Row],[Poste Responsable]]&amp;"\"&amp;Tableau1[[#This Row],[Localisation / Classement]]&amp;"\"&amp;Tableau1[[#This Row],[Poste technique]]&amp;"_"&amp;Tableau1[[#This Row],[Plan Entretien]]&amp;".pdf"</f>
        <v>\\stjn.local\trimet\Donnees_Projets\Dms Sap\Maintenance\PlanEntretien\7.MSCT\\_.pdf</v>
      </c>
      <c r="X856" s="47"/>
      <c r="Y856" s="47"/>
      <c r="Z856" s="44" t="str">
        <f ca="1">IF(AND(Tableau1[[#This Row],[Charge]]&lt;&gt;0, Tableau1[[#This Row],[Nombre intervenants]]&lt;&gt;0,Tableau1[[#This Row],[Lien document]]&lt;&gt;0,Tableau1[[#This Row],[DMS_SAP]]&lt;&gt;0)=TRUE,"MIS A JOUR","")</f>
        <v/>
      </c>
      <c r="AA856" s="48"/>
      <c r="AB856" s="58" t="str">
        <f ca="1">IF(Tableau1[[#This Row],[Date rév.]]&lt;&gt;"", DAYS360(Tableau1[[#This Row],[Date rév.]],TODAY()),"")</f>
        <v/>
      </c>
      <c r="AC856" s="47" t="str">
        <f>IFERROR(INDEX(Chemin_accès!$B$11:$C$22,MATCH(Tableau1[[#This Row],[Type]],Chemin_accès!$C$11:$C$22,0),1),Chemin_accès!$B$11)</f>
        <v>\\stjn.local\trimet\Btechnique\Commun\BT Maint SCELLEMENT\205 - Préventifs\Modèles préventif\GammeDMS_7.MSCT.xlsm</v>
      </c>
      <c r="AD856" s="47" t="str">
        <f>Chemin_accès!$B$8&amp;Tableau1[[#This Row],[Localisation / Classement]]&amp;"\"&amp;Tableau1[[#This Row],[Poste technique]]&amp;"_"&amp;Tableau1[[#This Row],[Plan Entretien]]&amp;".xlsm"</f>
        <v>\\stjn.local\trimet\Btechnique\Commun\BT Maint SCELLEMENT\205 - Préventifs\Gammes 7.MSCT PE Tool\\_.xlsm</v>
      </c>
    </row>
    <row r="857" spans="1:30" x14ac:dyDescent="0.3">
      <c r="A857" s="44" t="str">
        <f t="shared" ca="1" si="13"/>
        <v>7.MSCT</v>
      </c>
      <c r="B8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7" s="46"/>
      <c r="D857" s="44"/>
      <c r="E857" s="44"/>
      <c r="F857" s="47"/>
      <c r="G857" s="47"/>
      <c r="H857" s="50"/>
      <c r="I857" s="50"/>
      <c r="J857" s="50"/>
      <c r="K857" s="50"/>
      <c r="L857" s="46"/>
      <c r="M857" s="47"/>
      <c r="N857" s="46"/>
      <c r="O857" s="46"/>
      <c r="P857" s="47"/>
      <c r="Q857" s="46"/>
      <c r="R857" s="46"/>
      <c r="S857" s="48"/>
      <c r="T857" s="61" t="str">
        <f>IF(Tableau1[[#This Row],[DMS_SAP]]="","",HYPERLINK(Tableau1[[#This Row],[Chemin fichier source]],"X"))</f>
        <v/>
      </c>
      <c r="U857" s="61" t="str">
        <f>IF(Tableau1[[#This Row],[Date rév.]]="","",HYPERLINK(Tableau1[[#This Row],[Lien document]],"X"))</f>
        <v/>
      </c>
      <c r="V857" s="47"/>
      <c r="W857" s="49" t="str">
        <f ca="1">Chemin_accès!$B$2&amp;Tableau1[[#This Row],[Poste Responsable]]&amp;"\"&amp;Tableau1[[#This Row],[Localisation / Classement]]&amp;"\"&amp;Tableau1[[#This Row],[Poste technique]]&amp;"_"&amp;Tableau1[[#This Row],[Plan Entretien]]&amp;".pdf"</f>
        <v>\\stjn.local\trimet\Donnees_Projets\Dms Sap\Maintenance\PlanEntretien\7.MSCT\\_.pdf</v>
      </c>
      <c r="X857" s="47"/>
      <c r="Y857" s="47"/>
      <c r="Z857" s="44" t="str">
        <f ca="1">IF(AND(Tableau1[[#This Row],[Charge]]&lt;&gt;0, Tableau1[[#This Row],[Nombre intervenants]]&lt;&gt;0,Tableau1[[#This Row],[Lien document]]&lt;&gt;0,Tableau1[[#This Row],[DMS_SAP]]&lt;&gt;0)=TRUE,"MIS A JOUR","")</f>
        <v/>
      </c>
      <c r="AA857" s="48"/>
      <c r="AB857" s="58" t="str">
        <f ca="1">IF(Tableau1[[#This Row],[Date rév.]]&lt;&gt;"", DAYS360(Tableau1[[#This Row],[Date rév.]],TODAY()),"")</f>
        <v/>
      </c>
      <c r="AC857" s="47" t="str">
        <f>IFERROR(INDEX(Chemin_accès!$B$11:$C$22,MATCH(Tableau1[[#This Row],[Type]],Chemin_accès!$C$11:$C$22,0),1),Chemin_accès!$B$11)</f>
        <v>\\stjn.local\trimet\Btechnique\Commun\BT Maint SCELLEMENT\205 - Préventifs\Modèles préventif\GammeDMS_7.MSCT.xlsm</v>
      </c>
      <c r="AD857" s="47" t="str">
        <f>Chemin_accès!$B$8&amp;Tableau1[[#This Row],[Localisation / Classement]]&amp;"\"&amp;Tableau1[[#This Row],[Poste technique]]&amp;"_"&amp;Tableau1[[#This Row],[Plan Entretien]]&amp;".xlsm"</f>
        <v>\\stjn.local\trimet\Btechnique\Commun\BT Maint SCELLEMENT\205 - Préventifs\Gammes 7.MSCT PE Tool\\_.xlsm</v>
      </c>
    </row>
    <row r="858" spans="1:30" x14ac:dyDescent="0.3">
      <c r="A858" s="44" t="str">
        <f t="shared" ca="1" si="13"/>
        <v>7.MSCT</v>
      </c>
      <c r="B8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8" s="46"/>
      <c r="D858" s="44"/>
      <c r="E858" s="44"/>
      <c r="F858" s="47"/>
      <c r="G858" s="47"/>
      <c r="H858" s="50"/>
      <c r="I858" s="50"/>
      <c r="J858" s="50"/>
      <c r="K858" s="50"/>
      <c r="L858" s="46"/>
      <c r="M858" s="47"/>
      <c r="N858" s="46"/>
      <c r="O858" s="46"/>
      <c r="P858" s="47"/>
      <c r="Q858" s="46"/>
      <c r="R858" s="46"/>
      <c r="S858" s="48"/>
      <c r="T858" s="61" t="str">
        <f>IF(Tableau1[[#This Row],[DMS_SAP]]="","",HYPERLINK(Tableau1[[#This Row],[Chemin fichier source]],"X"))</f>
        <v/>
      </c>
      <c r="U858" s="61" t="str">
        <f>IF(Tableau1[[#This Row],[Date rév.]]="","",HYPERLINK(Tableau1[[#This Row],[Lien document]],"X"))</f>
        <v/>
      </c>
      <c r="V858" s="47"/>
      <c r="W858" s="49" t="str">
        <f ca="1">Chemin_accès!$B$2&amp;Tableau1[[#This Row],[Poste Responsable]]&amp;"\"&amp;Tableau1[[#This Row],[Localisation / Classement]]&amp;"\"&amp;Tableau1[[#This Row],[Poste technique]]&amp;"_"&amp;Tableau1[[#This Row],[Plan Entretien]]&amp;".pdf"</f>
        <v>\\stjn.local\trimet\Donnees_Projets\Dms Sap\Maintenance\PlanEntretien\7.MSCT\\_.pdf</v>
      </c>
      <c r="X858" s="47"/>
      <c r="Y858" s="47"/>
      <c r="Z858" s="44" t="str">
        <f ca="1">IF(AND(Tableau1[[#This Row],[Charge]]&lt;&gt;0, Tableau1[[#This Row],[Nombre intervenants]]&lt;&gt;0,Tableau1[[#This Row],[Lien document]]&lt;&gt;0,Tableau1[[#This Row],[DMS_SAP]]&lt;&gt;0)=TRUE,"MIS A JOUR","")</f>
        <v/>
      </c>
      <c r="AA858" s="48"/>
      <c r="AB858" s="58" t="str">
        <f ca="1">IF(Tableau1[[#This Row],[Date rév.]]&lt;&gt;"", DAYS360(Tableau1[[#This Row],[Date rév.]],TODAY()),"")</f>
        <v/>
      </c>
      <c r="AC858" s="47" t="str">
        <f>IFERROR(INDEX(Chemin_accès!$B$11:$C$22,MATCH(Tableau1[[#This Row],[Type]],Chemin_accès!$C$11:$C$22,0),1),Chemin_accès!$B$11)</f>
        <v>\\stjn.local\trimet\Btechnique\Commun\BT Maint SCELLEMENT\205 - Préventifs\Modèles préventif\GammeDMS_7.MSCT.xlsm</v>
      </c>
      <c r="AD858" s="47" t="str">
        <f>Chemin_accès!$B$8&amp;Tableau1[[#This Row],[Localisation / Classement]]&amp;"\"&amp;Tableau1[[#This Row],[Poste technique]]&amp;"_"&amp;Tableau1[[#This Row],[Plan Entretien]]&amp;".xlsm"</f>
        <v>\\stjn.local\trimet\Btechnique\Commun\BT Maint SCELLEMENT\205 - Préventifs\Gammes 7.MSCT PE Tool\\_.xlsm</v>
      </c>
    </row>
    <row r="859" spans="1:30" x14ac:dyDescent="0.3">
      <c r="A859" s="44" t="str">
        <f t="shared" ca="1" si="13"/>
        <v>7.MSCT</v>
      </c>
      <c r="B8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9" s="46"/>
      <c r="D859" s="44"/>
      <c r="E859" s="44"/>
      <c r="F859" s="47"/>
      <c r="G859" s="47"/>
      <c r="H859" s="50"/>
      <c r="I859" s="50"/>
      <c r="J859" s="50"/>
      <c r="K859" s="50"/>
      <c r="L859" s="46"/>
      <c r="M859" s="47"/>
      <c r="N859" s="46"/>
      <c r="O859" s="46"/>
      <c r="P859" s="47"/>
      <c r="Q859" s="46"/>
      <c r="R859" s="46"/>
      <c r="S859" s="48"/>
      <c r="T859" s="61" t="str">
        <f>IF(Tableau1[[#This Row],[DMS_SAP]]="","",HYPERLINK(Tableau1[[#This Row],[Chemin fichier source]],"X"))</f>
        <v/>
      </c>
      <c r="U859" s="61" t="str">
        <f>IF(Tableau1[[#This Row],[Date rév.]]="","",HYPERLINK(Tableau1[[#This Row],[Lien document]],"X"))</f>
        <v/>
      </c>
      <c r="V859" s="47"/>
      <c r="W859" s="49" t="str">
        <f ca="1">Chemin_accès!$B$2&amp;Tableau1[[#This Row],[Poste Responsable]]&amp;"\"&amp;Tableau1[[#This Row],[Localisation / Classement]]&amp;"\"&amp;Tableau1[[#This Row],[Poste technique]]&amp;"_"&amp;Tableau1[[#This Row],[Plan Entretien]]&amp;".pdf"</f>
        <v>\\stjn.local\trimet\Donnees_Projets\Dms Sap\Maintenance\PlanEntretien\7.MSCT\\_.pdf</v>
      </c>
      <c r="X859" s="47"/>
      <c r="Y859" s="47"/>
      <c r="Z859" s="44" t="str">
        <f ca="1">IF(AND(Tableau1[[#This Row],[Charge]]&lt;&gt;0, Tableau1[[#This Row],[Nombre intervenants]]&lt;&gt;0,Tableau1[[#This Row],[Lien document]]&lt;&gt;0,Tableau1[[#This Row],[DMS_SAP]]&lt;&gt;0)=TRUE,"MIS A JOUR","")</f>
        <v/>
      </c>
      <c r="AA859" s="48"/>
      <c r="AB859" s="58" t="str">
        <f ca="1">IF(Tableau1[[#This Row],[Date rév.]]&lt;&gt;"", DAYS360(Tableau1[[#This Row],[Date rév.]],TODAY()),"")</f>
        <v/>
      </c>
      <c r="AC859" s="47" t="str">
        <f>IFERROR(INDEX(Chemin_accès!$B$11:$C$22,MATCH(Tableau1[[#This Row],[Type]],Chemin_accès!$C$11:$C$22,0),1),Chemin_accès!$B$11)</f>
        <v>\\stjn.local\trimet\Btechnique\Commun\BT Maint SCELLEMENT\205 - Préventifs\Modèles préventif\GammeDMS_7.MSCT.xlsm</v>
      </c>
      <c r="AD859" s="47" t="str">
        <f>Chemin_accès!$B$8&amp;Tableau1[[#This Row],[Localisation / Classement]]&amp;"\"&amp;Tableau1[[#This Row],[Poste technique]]&amp;"_"&amp;Tableau1[[#This Row],[Plan Entretien]]&amp;".xlsm"</f>
        <v>\\stjn.local\trimet\Btechnique\Commun\BT Maint SCELLEMENT\205 - Préventifs\Gammes 7.MSCT PE Tool\\_.xlsm</v>
      </c>
    </row>
    <row r="860" spans="1:30" x14ac:dyDescent="0.3">
      <c r="A860" s="44" t="str">
        <f t="shared" ca="1" si="13"/>
        <v>7.MSCT</v>
      </c>
      <c r="B8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0" s="46"/>
      <c r="D860" s="44"/>
      <c r="E860" s="44"/>
      <c r="F860" s="47"/>
      <c r="G860" s="47"/>
      <c r="H860" s="50"/>
      <c r="I860" s="50"/>
      <c r="J860" s="50"/>
      <c r="K860" s="50"/>
      <c r="L860" s="46"/>
      <c r="M860" s="47"/>
      <c r="N860" s="46"/>
      <c r="O860" s="46"/>
      <c r="P860" s="47"/>
      <c r="Q860" s="46"/>
      <c r="R860" s="46"/>
      <c r="S860" s="48"/>
      <c r="T860" s="61" t="str">
        <f>IF(Tableau1[[#This Row],[DMS_SAP]]="","",HYPERLINK(Tableau1[[#This Row],[Chemin fichier source]],"X"))</f>
        <v/>
      </c>
      <c r="U860" s="61" t="str">
        <f>IF(Tableau1[[#This Row],[Date rév.]]="","",HYPERLINK(Tableau1[[#This Row],[Lien document]],"X"))</f>
        <v/>
      </c>
      <c r="V860" s="47"/>
      <c r="W860" s="49" t="str">
        <f ca="1">Chemin_accès!$B$2&amp;Tableau1[[#This Row],[Poste Responsable]]&amp;"\"&amp;Tableau1[[#This Row],[Localisation / Classement]]&amp;"\"&amp;Tableau1[[#This Row],[Poste technique]]&amp;"_"&amp;Tableau1[[#This Row],[Plan Entretien]]&amp;".pdf"</f>
        <v>\\stjn.local\trimet\Donnees_Projets\Dms Sap\Maintenance\PlanEntretien\7.MSCT\\_.pdf</v>
      </c>
      <c r="X860" s="47"/>
      <c r="Y860" s="47"/>
      <c r="Z860" s="44" t="str">
        <f ca="1">IF(AND(Tableau1[[#This Row],[Charge]]&lt;&gt;0, Tableau1[[#This Row],[Nombre intervenants]]&lt;&gt;0,Tableau1[[#This Row],[Lien document]]&lt;&gt;0,Tableau1[[#This Row],[DMS_SAP]]&lt;&gt;0)=TRUE,"MIS A JOUR","")</f>
        <v/>
      </c>
      <c r="AA860" s="48"/>
      <c r="AB860" s="58" t="str">
        <f ca="1">IF(Tableau1[[#This Row],[Date rév.]]&lt;&gt;"", DAYS360(Tableau1[[#This Row],[Date rév.]],TODAY()),"")</f>
        <v/>
      </c>
      <c r="AC860" s="47" t="str">
        <f>IFERROR(INDEX(Chemin_accès!$B$11:$C$22,MATCH(Tableau1[[#This Row],[Type]],Chemin_accès!$C$11:$C$22,0),1),Chemin_accès!$B$11)</f>
        <v>\\stjn.local\trimet\Btechnique\Commun\BT Maint SCELLEMENT\205 - Préventifs\Modèles préventif\GammeDMS_7.MSCT.xlsm</v>
      </c>
      <c r="AD860" s="47" t="str">
        <f>Chemin_accès!$B$8&amp;Tableau1[[#This Row],[Localisation / Classement]]&amp;"\"&amp;Tableau1[[#This Row],[Poste technique]]&amp;"_"&amp;Tableau1[[#This Row],[Plan Entretien]]&amp;".xlsm"</f>
        <v>\\stjn.local\trimet\Btechnique\Commun\BT Maint SCELLEMENT\205 - Préventifs\Gammes 7.MSCT PE Tool\\_.xlsm</v>
      </c>
    </row>
    <row r="861" spans="1:30" x14ac:dyDescent="0.3">
      <c r="A861" s="44" t="str">
        <f t="shared" ca="1" si="13"/>
        <v>7.MSCT</v>
      </c>
      <c r="B8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1" s="46"/>
      <c r="D861" s="44"/>
      <c r="E861" s="44"/>
      <c r="F861" s="47"/>
      <c r="G861" s="47"/>
      <c r="H861" s="50"/>
      <c r="I861" s="50"/>
      <c r="J861" s="50"/>
      <c r="K861" s="50"/>
      <c r="L861" s="46"/>
      <c r="M861" s="47"/>
      <c r="N861" s="46"/>
      <c r="O861" s="46"/>
      <c r="P861" s="47"/>
      <c r="Q861" s="46"/>
      <c r="R861" s="46"/>
      <c r="S861" s="48"/>
      <c r="T861" s="61" t="str">
        <f>IF(Tableau1[[#This Row],[DMS_SAP]]="","",HYPERLINK(Tableau1[[#This Row],[Chemin fichier source]],"X"))</f>
        <v/>
      </c>
      <c r="U861" s="61" t="str">
        <f>IF(Tableau1[[#This Row],[Date rév.]]="","",HYPERLINK(Tableau1[[#This Row],[Lien document]],"X"))</f>
        <v/>
      </c>
      <c r="V861" s="47"/>
      <c r="W861" s="49" t="str">
        <f ca="1">Chemin_accès!$B$2&amp;Tableau1[[#This Row],[Poste Responsable]]&amp;"\"&amp;Tableau1[[#This Row],[Localisation / Classement]]&amp;"\"&amp;Tableau1[[#This Row],[Poste technique]]&amp;"_"&amp;Tableau1[[#This Row],[Plan Entretien]]&amp;".pdf"</f>
        <v>\\stjn.local\trimet\Donnees_Projets\Dms Sap\Maintenance\PlanEntretien\7.MSCT\\_.pdf</v>
      </c>
      <c r="X861" s="47"/>
      <c r="Y861" s="47"/>
      <c r="Z861" s="44" t="str">
        <f ca="1">IF(AND(Tableau1[[#This Row],[Charge]]&lt;&gt;0, Tableau1[[#This Row],[Nombre intervenants]]&lt;&gt;0,Tableau1[[#This Row],[Lien document]]&lt;&gt;0,Tableau1[[#This Row],[DMS_SAP]]&lt;&gt;0)=TRUE,"MIS A JOUR","")</f>
        <v/>
      </c>
      <c r="AA861" s="48"/>
      <c r="AB861" s="58" t="str">
        <f ca="1">IF(Tableau1[[#This Row],[Date rév.]]&lt;&gt;"", DAYS360(Tableau1[[#This Row],[Date rév.]],TODAY()),"")</f>
        <v/>
      </c>
      <c r="AC861" s="47" t="str">
        <f>IFERROR(INDEX(Chemin_accès!$B$11:$C$22,MATCH(Tableau1[[#This Row],[Type]],Chemin_accès!$C$11:$C$22,0),1),Chemin_accès!$B$11)</f>
        <v>\\stjn.local\trimet\Btechnique\Commun\BT Maint SCELLEMENT\205 - Préventifs\Modèles préventif\GammeDMS_7.MSCT.xlsm</v>
      </c>
      <c r="AD861" s="47" t="str">
        <f>Chemin_accès!$B$8&amp;Tableau1[[#This Row],[Localisation / Classement]]&amp;"\"&amp;Tableau1[[#This Row],[Poste technique]]&amp;"_"&amp;Tableau1[[#This Row],[Plan Entretien]]&amp;".xlsm"</f>
        <v>\\stjn.local\trimet\Btechnique\Commun\BT Maint SCELLEMENT\205 - Préventifs\Gammes 7.MSCT PE Tool\\_.xlsm</v>
      </c>
    </row>
    <row r="862" spans="1:30" x14ac:dyDescent="0.3">
      <c r="A862" s="44" t="str">
        <f t="shared" ca="1" si="13"/>
        <v>7.MSCT</v>
      </c>
      <c r="B8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2" s="46"/>
      <c r="D862" s="44"/>
      <c r="E862" s="44"/>
      <c r="F862" s="47"/>
      <c r="G862" s="47"/>
      <c r="H862" s="50"/>
      <c r="I862" s="50"/>
      <c r="J862" s="50"/>
      <c r="K862" s="50"/>
      <c r="L862" s="46"/>
      <c r="M862" s="47"/>
      <c r="N862" s="46"/>
      <c r="O862" s="46"/>
      <c r="P862" s="47"/>
      <c r="Q862" s="46"/>
      <c r="R862" s="46"/>
      <c r="S862" s="48"/>
      <c r="T862" s="61" t="str">
        <f>IF(Tableau1[[#This Row],[DMS_SAP]]="","",HYPERLINK(Tableau1[[#This Row],[Chemin fichier source]],"X"))</f>
        <v/>
      </c>
      <c r="U862" s="61" t="str">
        <f>IF(Tableau1[[#This Row],[Date rév.]]="","",HYPERLINK(Tableau1[[#This Row],[Lien document]],"X"))</f>
        <v/>
      </c>
      <c r="V862" s="47"/>
      <c r="W862" s="49" t="str">
        <f ca="1">Chemin_accès!$B$2&amp;Tableau1[[#This Row],[Poste Responsable]]&amp;"\"&amp;Tableau1[[#This Row],[Localisation / Classement]]&amp;"\"&amp;Tableau1[[#This Row],[Poste technique]]&amp;"_"&amp;Tableau1[[#This Row],[Plan Entretien]]&amp;".pdf"</f>
        <v>\\stjn.local\trimet\Donnees_Projets\Dms Sap\Maintenance\PlanEntretien\7.MSCT\\_.pdf</v>
      </c>
      <c r="X862" s="47"/>
      <c r="Y862" s="47"/>
      <c r="Z862" s="44" t="str">
        <f ca="1">IF(AND(Tableau1[[#This Row],[Charge]]&lt;&gt;0, Tableau1[[#This Row],[Nombre intervenants]]&lt;&gt;0,Tableau1[[#This Row],[Lien document]]&lt;&gt;0,Tableau1[[#This Row],[DMS_SAP]]&lt;&gt;0)=TRUE,"MIS A JOUR","")</f>
        <v/>
      </c>
      <c r="AA862" s="48"/>
      <c r="AB862" s="58" t="str">
        <f ca="1">IF(Tableau1[[#This Row],[Date rév.]]&lt;&gt;"", DAYS360(Tableau1[[#This Row],[Date rév.]],TODAY()),"")</f>
        <v/>
      </c>
      <c r="AC862" s="47" t="str">
        <f>IFERROR(INDEX(Chemin_accès!$B$11:$C$22,MATCH(Tableau1[[#This Row],[Type]],Chemin_accès!$C$11:$C$22,0),1),Chemin_accès!$B$11)</f>
        <v>\\stjn.local\trimet\Btechnique\Commun\BT Maint SCELLEMENT\205 - Préventifs\Modèles préventif\GammeDMS_7.MSCT.xlsm</v>
      </c>
      <c r="AD862" s="47" t="str">
        <f>Chemin_accès!$B$8&amp;Tableau1[[#This Row],[Localisation / Classement]]&amp;"\"&amp;Tableau1[[#This Row],[Poste technique]]&amp;"_"&amp;Tableau1[[#This Row],[Plan Entretien]]&amp;".xlsm"</f>
        <v>\\stjn.local\trimet\Btechnique\Commun\BT Maint SCELLEMENT\205 - Préventifs\Gammes 7.MSCT PE Tool\\_.xlsm</v>
      </c>
    </row>
    <row r="863" spans="1:30" x14ac:dyDescent="0.3">
      <c r="A863" s="44" t="str">
        <f t="shared" ca="1" si="13"/>
        <v>7.MSCT</v>
      </c>
      <c r="B8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3" s="46"/>
      <c r="D863" s="44"/>
      <c r="E863" s="44"/>
      <c r="F863" s="47"/>
      <c r="G863" s="47"/>
      <c r="H863" s="50"/>
      <c r="I863" s="50"/>
      <c r="J863" s="50"/>
      <c r="K863" s="50"/>
      <c r="L863" s="46"/>
      <c r="M863" s="47"/>
      <c r="N863" s="46"/>
      <c r="O863" s="46"/>
      <c r="P863" s="47"/>
      <c r="Q863" s="46"/>
      <c r="R863" s="46"/>
      <c r="S863" s="48"/>
      <c r="T863" s="61" t="str">
        <f>IF(Tableau1[[#This Row],[DMS_SAP]]="","",HYPERLINK(Tableau1[[#This Row],[Chemin fichier source]],"X"))</f>
        <v/>
      </c>
      <c r="U863" s="61" t="str">
        <f>IF(Tableau1[[#This Row],[Date rév.]]="","",HYPERLINK(Tableau1[[#This Row],[Lien document]],"X"))</f>
        <v/>
      </c>
      <c r="V863" s="47"/>
      <c r="W863" s="49" t="str">
        <f ca="1">Chemin_accès!$B$2&amp;Tableau1[[#This Row],[Poste Responsable]]&amp;"\"&amp;Tableau1[[#This Row],[Localisation / Classement]]&amp;"\"&amp;Tableau1[[#This Row],[Poste technique]]&amp;"_"&amp;Tableau1[[#This Row],[Plan Entretien]]&amp;".pdf"</f>
        <v>\\stjn.local\trimet\Donnees_Projets\Dms Sap\Maintenance\PlanEntretien\7.MSCT\\_.pdf</v>
      </c>
      <c r="X863" s="47"/>
      <c r="Y863" s="47"/>
      <c r="Z863" s="44" t="str">
        <f ca="1">IF(AND(Tableau1[[#This Row],[Charge]]&lt;&gt;0, Tableau1[[#This Row],[Nombre intervenants]]&lt;&gt;0,Tableau1[[#This Row],[Lien document]]&lt;&gt;0,Tableau1[[#This Row],[DMS_SAP]]&lt;&gt;0)=TRUE,"MIS A JOUR","")</f>
        <v/>
      </c>
      <c r="AA863" s="48"/>
      <c r="AB863" s="58" t="str">
        <f ca="1">IF(Tableau1[[#This Row],[Date rév.]]&lt;&gt;"", DAYS360(Tableau1[[#This Row],[Date rév.]],TODAY()),"")</f>
        <v/>
      </c>
      <c r="AC863" s="47" t="str">
        <f>IFERROR(INDEX(Chemin_accès!$B$11:$C$22,MATCH(Tableau1[[#This Row],[Type]],Chemin_accès!$C$11:$C$22,0),1),Chemin_accès!$B$11)</f>
        <v>\\stjn.local\trimet\Btechnique\Commun\BT Maint SCELLEMENT\205 - Préventifs\Modèles préventif\GammeDMS_7.MSCT.xlsm</v>
      </c>
      <c r="AD863" s="47" t="str">
        <f>Chemin_accès!$B$8&amp;Tableau1[[#This Row],[Localisation / Classement]]&amp;"\"&amp;Tableau1[[#This Row],[Poste technique]]&amp;"_"&amp;Tableau1[[#This Row],[Plan Entretien]]&amp;".xlsm"</f>
        <v>\\stjn.local\trimet\Btechnique\Commun\BT Maint SCELLEMENT\205 - Préventifs\Gammes 7.MSCT PE Tool\\_.xlsm</v>
      </c>
    </row>
    <row r="864" spans="1:30" x14ac:dyDescent="0.3">
      <c r="A864" s="44" t="str">
        <f t="shared" ca="1" si="13"/>
        <v>7.MSCT</v>
      </c>
      <c r="B8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4" s="46"/>
      <c r="D864" s="44"/>
      <c r="E864" s="44"/>
      <c r="F864" s="47"/>
      <c r="G864" s="47"/>
      <c r="H864" s="50"/>
      <c r="I864" s="50"/>
      <c r="J864" s="50"/>
      <c r="K864" s="50"/>
      <c r="L864" s="46"/>
      <c r="M864" s="47"/>
      <c r="N864" s="46"/>
      <c r="O864" s="46"/>
      <c r="P864" s="47"/>
      <c r="Q864" s="46"/>
      <c r="R864" s="46"/>
      <c r="S864" s="48"/>
      <c r="T864" s="61" t="str">
        <f>IF(Tableau1[[#This Row],[DMS_SAP]]="","",HYPERLINK(Tableau1[[#This Row],[Chemin fichier source]],"X"))</f>
        <v/>
      </c>
      <c r="U864" s="61" t="str">
        <f>IF(Tableau1[[#This Row],[Date rév.]]="","",HYPERLINK(Tableau1[[#This Row],[Lien document]],"X"))</f>
        <v/>
      </c>
      <c r="V864" s="47"/>
      <c r="W864" s="49" t="str">
        <f ca="1">Chemin_accès!$B$2&amp;Tableau1[[#This Row],[Poste Responsable]]&amp;"\"&amp;Tableau1[[#This Row],[Localisation / Classement]]&amp;"\"&amp;Tableau1[[#This Row],[Poste technique]]&amp;"_"&amp;Tableau1[[#This Row],[Plan Entretien]]&amp;".pdf"</f>
        <v>\\stjn.local\trimet\Donnees_Projets\Dms Sap\Maintenance\PlanEntretien\7.MSCT\\_.pdf</v>
      </c>
      <c r="X864" s="47"/>
      <c r="Y864" s="47"/>
      <c r="Z864" s="44" t="str">
        <f ca="1">IF(AND(Tableau1[[#This Row],[Charge]]&lt;&gt;0, Tableau1[[#This Row],[Nombre intervenants]]&lt;&gt;0,Tableau1[[#This Row],[Lien document]]&lt;&gt;0,Tableau1[[#This Row],[DMS_SAP]]&lt;&gt;0)=TRUE,"MIS A JOUR","")</f>
        <v/>
      </c>
      <c r="AA864" s="48"/>
      <c r="AB864" s="58" t="str">
        <f ca="1">IF(Tableau1[[#This Row],[Date rév.]]&lt;&gt;"", DAYS360(Tableau1[[#This Row],[Date rév.]],TODAY()),"")</f>
        <v/>
      </c>
      <c r="AC864" s="47" t="str">
        <f>IFERROR(INDEX(Chemin_accès!$B$11:$C$22,MATCH(Tableau1[[#This Row],[Type]],Chemin_accès!$C$11:$C$22,0),1),Chemin_accès!$B$11)</f>
        <v>\\stjn.local\trimet\Btechnique\Commun\BT Maint SCELLEMENT\205 - Préventifs\Modèles préventif\GammeDMS_7.MSCT.xlsm</v>
      </c>
      <c r="AD864" s="47" t="str">
        <f>Chemin_accès!$B$8&amp;Tableau1[[#This Row],[Localisation / Classement]]&amp;"\"&amp;Tableau1[[#This Row],[Poste technique]]&amp;"_"&amp;Tableau1[[#This Row],[Plan Entretien]]&amp;".xlsm"</f>
        <v>\\stjn.local\trimet\Btechnique\Commun\BT Maint SCELLEMENT\205 - Préventifs\Gammes 7.MSCT PE Tool\\_.xlsm</v>
      </c>
    </row>
    <row r="865" spans="1:30" x14ac:dyDescent="0.3">
      <c r="A865" s="44" t="str">
        <f t="shared" ca="1" si="13"/>
        <v>7.MSCT</v>
      </c>
      <c r="B8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5" s="46"/>
      <c r="D865" s="44"/>
      <c r="E865" s="44"/>
      <c r="F865" s="47"/>
      <c r="G865" s="47"/>
      <c r="H865" s="50"/>
      <c r="I865" s="50"/>
      <c r="J865" s="50"/>
      <c r="K865" s="50"/>
      <c r="L865" s="46"/>
      <c r="M865" s="47"/>
      <c r="N865" s="46"/>
      <c r="O865" s="46"/>
      <c r="P865" s="47"/>
      <c r="Q865" s="46"/>
      <c r="R865" s="46"/>
      <c r="S865" s="48"/>
      <c r="T865" s="61" t="str">
        <f>IF(Tableau1[[#This Row],[DMS_SAP]]="","",HYPERLINK(Tableau1[[#This Row],[Chemin fichier source]],"X"))</f>
        <v/>
      </c>
      <c r="U865" s="61" t="str">
        <f>IF(Tableau1[[#This Row],[Date rév.]]="","",HYPERLINK(Tableau1[[#This Row],[Lien document]],"X"))</f>
        <v/>
      </c>
      <c r="V865" s="47"/>
      <c r="W865" s="49" t="str">
        <f ca="1">Chemin_accès!$B$2&amp;Tableau1[[#This Row],[Poste Responsable]]&amp;"\"&amp;Tableau1[[#This Row],[Localisation / Classement]]&amp;"\"&amp;Tableau1[[#This Row],[Poste technique]]&amp;"_"&amp;Tableau1[[#This Row],[Plan Entretien]]&amp;".pdf"</f>
        <v>\\stjn.local\trimet\Donnees_Projets\Dms Sap\Maintenance\PlanEntretien\7.MSCT\\_.pdf</v>
      </c>
      <c r="X865" s="47"/>
      <c r="Y865" s="47"/>
      <c r="Z865" s="44" t="str">
        <f ca="1">IF(AND(Tableau1[[#This Row],[Charge]]&lt;&gt;0, Tableau1[[#This Row],[Nombre intervenants]]&lt;&gt;0,Tableau1[[#This Row],[Lien document]]&lt;&gt;0,Tableau1[[#This Row],[DMS_SAP]]&lt;&gt;0)=TRUE,"MIS A JOUR","")</f>
        <v/>
      </c>
      <c r="AA865" s="48"/>
      <c r="AB865" s="58" t="str">
        <f ca="1">IF(Tableau1[[#This Row],[Date rév.]]&lt;&gt;"", DAYS360(Tableau1[[#This Row],[Date rév.]],TODAY()),"")</f>
        <v/>
      </c>
      <c r="AC865" s="47" t="str">
        <f>IFERROR(INDEX(Chemin_accès!$B$11:$C$22,MATCH(Tableau1[[#This Row],[Type]],Chemin_accès!$C$11:$C$22,0),1),Chemin_accès!$B$11)</f>
        <v>\\stjn.local\trimet\Btechnique\Commun\BT Maint SCELLEMENT\205 - Préventifs\Modèles préventif\GammeDMS_7.MSCT.xlsm</v>
      </c>
      <c r="AD865" s="47" t="str">
        <f>Chemin_accès!$B$8&amp;Tableau1[[#This Row],[Localisation / Classement]]&amp;"\"&amp;Tableau1[[#This Row],[Poste technique]]&amp;"_"&amp;Tableau1[[#This Row],[Plan Entretien]]&amp;".xlsm"</f>
        <v>\\stjn.local\trimet\Btechnique\Commun\BT Maint SCELLEMENT\205 - Préventifs\Gammes 7.MSCT PE Tool\\_.xlsm</v>
      </c>
    </row>
    <row r="866" spans="1:30" x14ac:dyDescent="0.3">
      <c r="A866" s="44" t="str">
        <f t="shared" ca="1" si="13"/>
        <v>7.MSCT</v>
      </c>
      <c r="B8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6" s="46"/>
      <c r="D866" s="44"/>
      <c r="E866" s="44"/>
      <c r="F866" s="47"/>
      <c r="G866" s="47"/>
      <c r="H866" s="50"/>
      <c r="I866" s="50"/>
      <c r="J866" s="50"/>
      <c r="K866" s="50"/>
      <c r="L866" s="46"/>
      <c r="M866" s="47"/>
      <c r="N866" s="46"/>
      <c r="O866" s="46"/>
      <c r="P866" s="47"/>
      <c r="Q866" s="46"/>
      <c r="R866" s="46"/>
      <c r="S866" s="48"/>
      <c r="T866" s="61" t="str">
        <f>IF(Tableau1[[#This Row],[DMS_SAP]]="","",HYPERLINK(Tableau1[[#This Row],[Chemin fichier source]],"X"))</f>
        <v/>
      </c>
      <c r="U866" s="61" t="str">
        <f>IF(Tableau1[[#This Row],[Date rév.]]="","",HYPERLINK(Tableau1[[#This Row],[Lien document]],"X"))</f>
        <v/>
      </c>
      <c r="V866" s="47"/>
      <c r="W866" s="49" t="str">
        <f ca="1">Chemin_accès!$B$2&amp;Tableau1[[#This Row],[Poste Responsable]]&amp;"\"&amp;Tableau1[[#This Row],[Localisation / Classement]]&amp;"\"&amp;Tableau1[[#This Row],[Poste technique]]&amp;"_"&amp;Tableau1[[#This Row],[Plan Entretien]]&amp;".pdf"</f>
        <v>\\stjn.local\trimet\Donnees_Projets\Dms Sap\Maintenance\PlanEntretien\7.MSCT\\_.pdf</v>
      </c>
      <c r="X866" s="47"/>
      <c r="Y866" s="47"/>
      <c r="Z866" s="44" t="str">
        <f ca="1">IF(AND(Tableau1[[#This Row],[Charge]]&lt;&gt;0, Tableau1[[#This Row],[Nombre intervenants]]&lt;&gt;0,Tableau1[[#This Row],[Lien document]]&lt;&gt;0,Tableau1[[#This Row],[DMS_SAP]]&lt;&gt;0)=TRUE,"MIS A JOUR","")</f>
        <v/>
      </c>
      <c r="AA866" s="48"/>
      <c r="AB866" s="58" t="str">
        <f ca="1">IF(Tableau1[[#This Row],[Date rév.]]&lt;&gt;"", DAYS360(Tableau1[[#This Row],[Date rév.]],TODAY()),"")</f>
        <v/>
      </c>
      <c r="AC866" s="47" t="str">
        <f>IFERROR(INDEX(Chemin_accès!$B$11:$C$22,MATCH(Tableau1[[#This Row],[Type]],Chemin_accès!$C$11:$C$22,0),1),Chemin_accès!$B$11)</f>
        <v>\\stjn.local\trimet\Btechnique\Commun\BT Maint SCELLEMENT\205 - Préventifs\Modèles préventif\GammeDMS_7.MSCT.xlsm</v>
      </c>
      <c r="AD866" s="47" t="str">
        <f>Chemin_accès!$B$8&amp;Tableau1[[#This Row],[Localisation / Classement]]&amp;"\"&amp;Tableau1[[#This Row],[Poste technique]]&amp;"_"&amp;Tableau1[[#This Row],[Plan Entretien]]&amp;".xlsm"</f>
        <v>\\stjn.local\trimet\Btechnique\Commun\BT Maint SCELLEMENT\205 - Préventifs\Gammes 7.MSCT PE Tool\\_.xlsm</v>
      </c>
    </row>
    <row r="867" spans="1:30" x14ac:dyDescent="0.3">
      <c r="A867" s="44" t="str">
        <f t="shared" ca="1" si="13"/>
        <v>7.MSCT</v>
      </c>
      <c r="B8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7" s="46"/>
      <c r="D867" s="44"/>
      <c r="E867" s="44"/>
      <c r="F867" s="47"/>
      <c r="G867" s="47"/>
      <c r="H867" s="50"/>
      <c r="I867" s="50"/>
      <c r="J867" s="50"/>
      <c r="K867" s="50"/>
      <c r="L867" s="46"/>
      <c r="M867" s="47"/>
      <c r="N867" s="46"/>
      <c r="O867" s="46"/>
      <c r="P867" s="47"/>
      <c r="Q867" s="46"/>
      <c r="R867" s="46"/>
      <c r="S867" s="48"/>
      <c r="T867" s="61" t="str">
        <f>IF(Tableau1[[#This Row],[DMS_SAP]]="","",HYPERLINK(Tableau1[[#This Row],[Chemin fichier source]],"X"))</f>
        <v/>
      </c>
      <c r="U867" s="61" t="str">
        <f>IF(Tableau1[[#This Row],[Date rév.]]="","",HYPERLINK(Tableau1[[#This Row],[Lien document]],"X"))</f>
        <v/>
      </c>
      <c r="V867" s="47"/>
      <c r="W867" s="49" t="str">
        <f ca="1">Chemin_accès!$B$2&amp;Tableau1[[#This Row],[Poste Responsable]]&amp;"\"&amp;Tableau1[[#This Row],[Localisation / Classement]]&amp;"\"&amp;Tableau1[[#This Row],[Poste technique]]&amp;"_"&amp;Tableau1[[#This Row],[Plan Entretien]]&amp;".pdf"</f>
        <v>\\stjn.local\trimet\Donnees_Projets\Dms Sap\Maintenance\PlanEntretien\7.MSCT\\_.pdf</v>
      </c>
      <c r="X867" s="47"/>
      <c r="Y867" s="47"/>
      <c r="Z867" s="44" t="str">
        <f ca="1">IF(AND(Tableau1[[#This Row],[Charge]]&lt;&gt;0, Tableau1[[#This Row],[Nombre intervenants]]&lt;&gt;0,Tableau1[[#This Row],[Lien document]]&lt;&gt;0,Tableau1[[#This Row],[DMS_SAP]]&lt;&gt;0)=TRUE,"MIS A JOUR","")</f>
        <v/>
      </c>
      <c r="AA867" s="48"/>
      <c r="AB867" s="58" t="str">
        <f ca="1">IF(Tableau1[[#This Row],[Date rév.]]&lt;&gt;"", DAYS360(Tableau1[[#This Row],[Date rév.]],TODAY()),"")</f>
        <v/>
      </c>
      <c r="AC867" s="47" t="str">
        <f>IFERROR(INDEX(Chemin_accès!$B$11:$C$22,MATCH(Tableau1[[#This Row],[Type]],Chemin_accès!$C$11:$C$22,0),1),Chemin_accès!$B$11)</f>
        <v>\\stjn.local\trimet\Btechnique\Commun\BT Maint SCELLEMENT\205 - Préventifs\Modèles préventif\GammeDMS_7.MSCT.xlsm</v>
      </c>
      <c r="AD867" s="47" t="str">
        <f>Chemin_accès!$B$8&amp;Tableau1[[#This Row],[Localisation / Classement]]&amp;"\"&amp;Tableau1[[#This Row],[Poste technique]]&amp;"_"&amp;Tableau1[[#This Row],[Plan Entretien]]&amp;".xlsm"</f>
        <v>\\stjn.local\trimet\Btechnique\Commun\BT Maint SCELLEMENT\205 - Préventifs\Gammes 7.MSCT PE Tool\\_.xlsm</v>
      </c>
    </row>
    <row r="868" spans="1:30" x14ac:dyDescent="0.3">
      <c r="A868" s="44" t="str">
        <f t="shared" ca="1" si="13"/>
        <v>7.MSCT</v>
      </c>
      <c r="B8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8" s="46"/>
      <c r="D868" s="44"/>
      <c r="E868" s="44"/>
      <c r="F868" s="47"/>
      <c r="G868" s="47"/>
      <c r="H868" s="50"/>
      <c r="I868" s="50"/>
      <c r="J868" s="50"/>
      <c r="K868" s="50"/>
      <c r="L868" s="46"/>
      <c r="M868" s="47"/>
      <c r="N868" s="46"/>
      <c r="O868" s="46"/>
      <c r="P868" s="47"/>
      <c r="Q868" s="46"/>
      <c r="R868" s="46"/>
      <c r="S868" s="48"/>
      <c r="T868" s="61" t="str">
        <f>IF(Tableau1[[#This Row],[DMS_SAP]]="","",HYPERLINK(Tableau1[[#This Row],[Chemin fichier source]],"X"))</f>
        <v/>
      </c>
      <c r="U868" s="61" t="str">
        <f>IF(Tableau1[[#This Row],[Date rév.]]="","",HYPERLINK(Tableau1[[#This Row],[Lien document]],"X"))</f>
        <v/>
      </c>
      <c r="V868" s="47"/>
      <c r="W868" s="49" t="str">
        <f ca="1">Chemin_accès!$B$2&amp;Tableau1[[#This Row],[Poste Responsable]]&amp;"\"&amp;Tableau1[[#This Row],[Localisation / Classement]]&amp;"\"&amp;Tableau1[[#This Row],[Poste technique]]&amp;"_"&amp;Tableau1[[#This Row],[Plan Entretien]]&amp;".pdf"</f>
        <v>\\stjn.local\trimet\Donnees_Projets\Dms Sap\Maintenance\PlanEntretien\7.MSCT\\_.pdf</v>
      </c>
      <c r="X868" s="47"/>
      <c r="Y868" s="47"/>
      <c r="Z868" s="44" t="str">
        <f ca="1">IF(AND(Tableau1[[#This Row],[Charge]]&lt;&gt;0, Tableau1[[#This Row],[Nombre intervenants]]&lt;&gt;0,Tableau1[[#This Row],[Lien document]]&lt;&gt;0,Tableau1[[#This Row],[DMS_SAP]]&lt;&gt;0)=TRUE,"MIS A JOUR","")</f>
        <v/>
      </c>
      <c r="AA868" s="48"/>
      <c r="AB868" s="58" t="str">
        <f ca="1">IF(Tableau1[[#This Row],[Date rév.]]&lt;&gt;"", DAYS360(Tableau1[[#This Row],[Date rév.]],TODAY()),"")</f>
        <v/>
      </c>
      <c r="AC868" s="47" t="str">
        <f>IFERROR(INDEX(Chemin_accès!$B$11:$C$22,MATCH(Tableau1[[#This Row],[Type]],Chemin_accès!$C$11:$C$22,0),1),Chemin_accès!$B$11)</f>
        <v>\\stjn.local\trimet\Btechnique\Commun\BT Maint SCELLEMENT\205 - Préventifs\Modèles préventif\GammeDMS_7.MSCT.xlsm</v>
      </c>
      <c r="AD868" s="47" t="str">
        <f>Chemin_accès!$B$8&amp;Tableau1[[#This Row],[Localisation / Classement]]&amp;"\"&amp;Tableau1[[#This Row],[Poste technique]]&amp;"_"&amp;Tableau1[[#This Row],[Plan Entretien]]&amp;".xlsm"</f>
        <v>\\stjn.local\trimet\Btechnique\Commun\BT Maint SCELLEMENT\205 - Préventifs\Gammes 7.MSCT PE Tool\\_.xlsm</v>
      </c>
    </row>
    <row r="869" spans="1:30" x14ac:dyDescent="0.3">
      <c r="A869" s="44" t="str">
        <f t="shared" ca="1" si="13"/>
        <v>7.MSCT</v>
      </c>
      <c r="B8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9" s="46"/>
      <c r="D869" s="44"/>
      <c r="E869" s="44"/>
      <c r="F869" s="47"/>
      <c r="G869" s="47"/>
      <c r="H869" s="50"/>
      <c r="I869" s="50"/>
      <c r="J869" s="50"/>
      <c r="K869" s="50"/>
      <c r="L869" s="46"/>
      <c r="M869" s="47"/>
      <c r="N869" s="46"/>
      <c r="O869" s="46"/>
      <c r="P869" s="47"/>
      <c r="Q869" s="46"/>
      <c r="R869" s="46"/>
      <c r="S869" s="48"/>
      <c r="T869" s="61" t="str">
        <f>IF(Tableau1[[#This Row],[DMS_SAP]]="","",HYPERLINK(Tableau1[[#This Row],[Chemin fichier source]],"X"))</f>
        <v/>
      </c>
      <c r="U869" s="61" t="str">
        <f>IF(Tableau1[[#This Row],[Date rév.]]="","",HYPERLINK(Tableau1[[#This Row],[Lien document]],"X"))</f>
        <v/>
      </c>
      <c r="V869" s="47"/>
      <c r="W869" s="49" t="str">
        <f ca="1">Chemin_accès!$B$2&amp;Tableau1[[#This Row],[Poste Responsable]]&amp;"\"&amp;Tableau1[[#This Row],[Localisation / Classement]]&amp;"\"&amp;Tableau1[[#This Row],[Poste technique]]&amp;"_"&amp;Tableau1[[#This Row],[Plan Entretien]]&amp;".pdf"</f>
        <v>\\stjn.local\trimet\Donnees_Projets\Dms Sap\Maintenance\PlanEntretien\7.MSCT\\_.pdf</v>
      </c>
      <c r="X869" s="47"/>
      <c r="Y869" s="47"/>
      <c r="Z869" s="44" t="str">
        <f ca="1">IF(AND(Tableau1[[#This Row],[Charge]]&lt;&gt;0, Tableau1[[#This Row],[Nombre intervenants]]&lt;&gt;0,Tableau1[[#This Row],[Lien document]]&lt;&gt;0,Tableau1[[#This Row],[DMS_SAP]]&lt;&gt;0)=TRUE,"MIS A JOUR","")</f>
        <v/>
      </c>
      <c r="AA869" s="48"/>
      <c r="AB869" s="58" t="str">
        <f ca="1">IF(Tableau1[[#This Row],[Date rév.]]&lt;&gt;"", DAYS360(Tableau1[[#This Row],[Date rév.]],TODAY()),"")</f>
        <v/>
      </c>
      <c r="AC869" s="47" t="str">
        <f>IFERROR(INDEX(Chemin_accès!$B$11:$C$22,MATCH(Tableau1[[#This Row],[Type]],Chemin_accès!$C$11:$C$22,0),1),Chemin_accès!$B$11)</f>
        <v>\\stjn.local\trimet\Btechnique\Commun\BT Maint SCELLEMENT\205 - Préventifs\Modèles préventif\GammeDMS_7.MSCT.xlsm</v>
      </c>
      <c r="AD869" s="47" t="str">
        <f>Chemin_accès!$B$8&amp;Tableau1[[#This Row],[Localisation / Classement]]&amp;"\"&amp;Tableau1[[#This Row],[Poste technique]]&amp;"_"&amp;Tableau1[[#This Row],[Plan Entretien]]&amp;".xlsm"</f>
        <v>\\stjn.local\trimet\Btechnique\Commun\BT Maint SCELLEMENT\205 - Préventifs\Gammes 7.MSCT PE Tool\\_.xlsm</v>
      </c>
    </row>
    <row r="870" spans="1:30" x14ac:dyDescent="0.3">
      <c r="A870" s="44" t="str">
        <f t="shared" ca="1" si="13"/>
        <v>7.MSCT</v>
      </c>
      <c r="B8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0" s="46"/>
      <c r="D870" s="44"/>
      <c r="E870" s="44"/>
      <c r="F870" s="47"/>
      <c r="G870" s="47"/>
      <c r="H870" s="50"/>
      <c r="I870" s="50"/>
      <c r="J870" s="50"/>
      <c r="K870" s="50"/>
      <c r="L870" s="46"/>
      <c r="M870" s="47"/>
      <c r="N870" s="46"/>
      <c r="O870" s="46"/>
      <c r="P870" s="47"/>
      <c r="Q870" s="46"/>
      <c r="R870" s="46"/>
      <c r="S870" s="48"/>
      <c r="T870" s="61" t="str">
        <f>IF(Tableau1[[#This Row],[DMS_SAP]]="","",HYPERLINK(Tableau1[[#This Row],[Chemin fichier source]],"X"))</f>
        <v/>
      </c>
      <c r="U870" s="61" t="str">
        <f>IF(Tableau1[[#This Row],[Date rév.]]="","",HYPERLINK(Tableau1[[#This Row],[Lien document]],"X"))</f>
        <v/>
      </c>
      <c r="V870" s="47"/>
      <c r="W870" s="49" t="str">
        <f ca="1">Chemin_accès!$B$2&amp;Tableau1[[#This Row],[Poste Responsable]]&amp;"\"&amp;Tableau1[[#This Row],[Localisation / Classement]]&amp;"\"&amp;Tableau1[[#This Row],[Poste technique]]&amp;"_"&amp;Tableau1[[#This Row],[Plan Entretien]]&amp;".pdf"</f>
        <v>\\stjn.local\trimet\Donnees_Projets\Dms Sap\Maintenance\PlanEntretien\7.MSCT\\_.pdf</v>
      </c>
      <c r="X870" s="47"/>
      <c r="Y870" s="47"/>
      <c r="Z870" s="44" t="str">
        <f ca="1">IF(AND(Tableau1[[#This Row],[Charge]]&lt;&gt;0, Tableau1[[#This Row],[Nombre intervenants]]&lt;&gt;0,Tableau1[[#This Row],[Lien document]]&lt;&gt;0,Tableau1[[#This Row],[DMS_SAP]]&lt;&gt;0)=TRUE,"MIS A JOUR","")</f>
        <v/>
      </c>
      <c r="AA870" s="48"/>
      <c r="AB870" s="58" t="str">
        <f ca="1">IF(Tableau1[[#This Row],[Date rév.]]&lt;&gt;"", DAYS360(Tableau1[[#This Row],[Date rév.]],TODAY()),"")</f>
        <v/>
      </c>
      <c r="AC870" s="47" t="str">
        <f>IFERROR(INDEX(Chemin_accès!$B$11:$C$22,MATCH(Tableau1[[#This Row],[Type]],Chemin_accès!$C$11:$C$22,0),1),Chemin_accès!$B$11)</f>
        <v>\\stjn.local\trimet\Btechnique\Commun\BT Maint SCELLEMENT\205 - Préventifs\Modèles préventif\GammeDMS_7.MSCT.xlsm</v>
      </c>
      <c r="AD870" s="47" t="str">
        <f>Chemin_accès!$B$8&amp;Tableau1[[#This Row],[Localisation / Classement]]&amp;"\"&amp;Tableau1[[#This Row],[Poste technique]]&amp;"_"&amp;Tableau1[[#This Row],[Plan Entretien]]&amp;".xlsm"</f>
        <v>\\stjn.local\trimet\Btechnique\Commun\BT Maint SCELLEMENT\205 - Préventifs\Gammes 7.MSCT PE Tool\\_.xlsm</v>
      </c>
    </row>
    <row r="871" spans="1:30" x14ac:dyDescent="0.3">
      <c r="A871" s="44" t="str">
        <f t="shared" ca="1" si="13"/>
        <v>7.MSCT</v>
      </c>
      <c r="B8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1" s="46"/>
      <c r="D871" s="44"/>
      <c r="E871" s="44"/>
      <c r="F871" s="47"/>
      <c r="G871" s="47"/>
      <c r="H871" s="50"/>
      <c r="I871" s="50"/>
      <c r="J871" s="50"/>
      <c r="K871" s="50"/>
      <c r="L871" s="46"/>
      <c r="M871" s="47"/>
      <c r="N871" s="46"/>
      <c r="O871" s="46"/>
      <c r="P871" s="47"/>
      <c r="Q871" s="46"/>
      <c r="R871" s="46"/>
      <c r="S871" s="48"/>
      <c r="T871" s="61" t="str">
        <f>IF(Tableau1[[#This Row],[DMS_SAP]]="","",HYPERLINK(Tableau1[[#This Row],[Chemin fichier source]],"X"))</f>
        <v/>
      </c>
      <c r="U871" s="61" t="str">
        <f>IF(Tableau1[[#This Row],[Date rév.]]="","",HYPERLINK(Tableau1[[#This Row],[Lien document]],"X"))</f>
        <v/>
      </c>
      <c r="V871" s="47"/>
      <c r="W871" s="49" t="str">
        <f ca="1">Chemin_accès!$B$2&amp;Tableau1[[#This Row],[Poste Responsable]]&amp;"\"&amp;Tableau1[[#This Row],[Localisation / Classement]]&amp;"\"&amp;Tableau1[[#This Row],[Poste technique]]&amp;"_"&amp;Tableau1[[#This Row],[Plan Entretien]]&amp;".pdf"</f>
        <v>\\stjn.local\trimet\Donnees_Projets\Dms Sap\Maintenance\PlanEntretien\7.MSCT\\_.pdf</v>
      </c>
      <c r="X871" s="47"/>
      <c r="Y871" s="47"/>
      <c r="Z871" s="44" t="str">
        <f ca="1">IF(AND(Tableau1[[#This Row],[Charge]]&lt;&gt;0, Tableau1[[#This Row],[Nombre intervenants]]&lt;&gt;0,Tableau1[[#This Row],[Lien document]]&lt;&gt;0,Tableau1[[#This Row],[DMS_SAP]]&lt;&gt;0)=TRUE,"MIS A JOUR","")</f>
        <v/>
      </c>
      <c r="AA871" s="48"/>
      <c r="AB871" s="58" t="str">
        <f ca="1">IF(Tableau1[[#This Row],[Date rév.]]&lt;&gt;"", DAYS360(Tableau1[[#This Row],[Date rév.]],TODAY()),"")</f>
        <v/>
      </c>
      <c r="AC871" s="47" t="str">
        <f>IFERROR(INDEX(Chemin_accès!$B$11:$C$22,MATCH(Tableau1[[#This Row],[Type]],Chemin_accès!$C$11:$C$22,0),1),Chemin_accès!$B$11)</f>
        <v>\\stjn.local\trimet\Btechnique\Commun\BT Maint SCELLEMENT\205 - Préventifs\Modèles préventif\GammeDMS_7.MSCT.xlsm</v>
      </c>
      <c r="AD871" s="47" t="str">
        <f>Chemin_accès!$B$8&amp;Tableau1[[#This Row],[Localisation / Classement]]&amp;"\"&amp;Tableau1[[#This Row],[Poste technique]]&amp;"_"&amp;Tableau1[[#This Row],[Plan Entretien]]&amp;".xlsm"</f>
        <v>\\stjn.local\trimet\Btechnique\Commun\BT Maint SCELLEMENT\205 - Préventifs\Gammes 7.MSCT PE Tool\\_.xlsm</v>
      </c>
    </row>
    <row r="872" spans="1:30" x14ac:dyDescent="0.3">
      <c r="A872" s="44" t="str">
        <f t="shared" ca="1" si="13"/>
        <v>7.MSCT</v>
      </c>
      <c r="B8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2" s="46"/>
      <c r="D872" s="44"/>
      <c r="E872" s="44"/>
      <c r="F872" s="47"/>
      <c r="G872" s="47"/>
      <c r="H872" s="50"/>
      <c r="I872" s="50"/>
      <c r="J872" s="50"/>
      <c r="K872" s="50"/>
      <c r="L872" s="46"/>
      <c r="M872" s="47"/>
      <c r="N872" s="46"/>
      <c r="O872" s="46"/>
      <c r="P872" s="47"/>
      <c r="Q872" s="46"/>
      <c r="R872" s="46"/>
      <c r="S872" s="48"/>
      <c r="T872" s="61" t="str">
        <f>IF(Tableau1[[#This Row],[DMS_SAP]]="","",HYPERLINK(Tableau1[[#This Row],[Chemin fichier source]],"X"))</f>
        <v/>
      </c>
      <c r="U872" s="61" t="str">
        <f>IF(Tableau1[[#This Row],[Date rév.]]="","",HYPERLINK(Tableau1[[#This Row],[Lien document]],"X"))</f>
        <v/>
      </c>
      <c r="V872" s="47"/>
      <c r="W872" s="49" t="str">
        <f ca="1">Chemin_accès!$B$2&amp;Tableau1[[#This Row],[Poste Responsable]]&amp;"\"&amp;Tableau1[[#This Row],[Localisation / Classement]]&amp;"\"&amp;Tableau1[[#This Row],[Poste technique]]&amp;"_"&amp;Tableau1[[#This Row],[Plan Entretien]]&amp;".pdf"</f>
        <v>\\stjn.local\trimet\Donnees_Projets\Dms Sap\Maintenance\PlanEntretien\7.MSCT\\_.pdf</v>
      </c>
      <c r="X872" s="47"/>
      <c r="Y872" s="47"/>
      <c r="Z872" s="44" t="str">
        <f ca="1">IF(AND(Tableau1[[#This Row],[Charge]]&lt;&gt;0, Tableau1[[#This Row],[Nombre intervenants]]&lt;&gt;0,Tableau1[[#This Row],[Lien document]]&lt;&gt;0,Tableau1[[#This Row],[DMS_SAP]]&lt;&gt;0)=TRUE,"MIS A JOUR","")</f>
        <v/>
      </c>
      <c r="AA872" s="48"/>
      <c r="AB872" s="58" t="str">
        <f ca="1">IF(Tableau1[[#This Row],[Date rév.]]&lt;&gt;"", DAYS360(Tableau1[[#This Row],[Date rév.]],TODAY()),"")</f>
        <v/>
      </c>
      <c r="AC872" s="47" t="str">
        <f>IFERROR(INDEX(Chemin_accès!$B$11:$C$22,MATCH(Tableau1[[#This Row],[Type]],Chemin_accès!$C$11:$C$22,0),1),Chemin_accès!$B$11)</f>
        <v>\\stjn.local\trimet\Btechnique\Commun\BT Maint SCELLEMENT\205 - Préventifs\Modèles préventif\GammeDMS_7.MSCT.xlsm</v>
      </c>
      <c r="AD872" s="47" t="str">
        <f>Chemin_accès!$B$8&amp;Tableau1[[#This Row],[Localisation / Classement]]&amp;"\"&amp;Tableau1[[#This Row],[Poste technique]]&amp;"_"&amp;Tableau1[[#This Row],[Plan Entretien]]&amp;".xlsm"</f>
        <v>\\stjn.local\trimet\Btechnique\Commun\BT Maint SCELLEMENT\205 - Préventifs\Gammes 7.MSCT PE Tool\\_.xlsm</v>
      </c>
    </row>
    <row r="873" spans="1:30" x14ac:dyDescent="0.3">
      <c r="A873" s="44" t="str">
        <f t="shared" ca="1" si="13"/>
        <v>7.MSCT</v>
      </c>
      <c r="B8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3" s="46"/>
      <c r="D873" s="44"/>
      <c r="E873" s="44"/>
      <c r="F873" s="47"/>
      <c r="G873" s="47"/>
      <c r="H873" s="50"/>
      <c r="I873" s="50"/>
      <c r="J873" s="50"/>
      <c r="K873" s="50"/>
      <c r="L873" s="46"/>
      <c r="M873" s="47"/>
      <c r="N873" s="46"/>
      <c r="O873" s="46"/>
      <c r="P873" s="47"/>
      <c r="Q873" s="46"/>
      <c r="R873" s="46"/>
      <c r="S873" s="48"/>
      <c r="T873" s="61" t="str">
        <f>IF(Tableau1[[#This Row],[DMS_SAP]]="","",HYPERLINK(Tableau1[[#This Row],[Chemin fichier source]],"X"))</f>
        <v/>
      </c>
      <c r="U873" s="61" t="str">
        <f>IF(Tableau1[[#This Row],[Date rév.]]="","",HYPERLINK(Tableau1[[#This Row],[Lien document]],"X"))</f>
        <v/>
      </c>
      <c r="V873" s="47"/>
      <c r="W873" s="49" t="str">
        <f ca="1">Chemin_accès!$B$2&amp;Tableau1[[#This Row],[Poste Responsable]]&amp;"\"&amp;Tableau1[[#This Row],[Localisation / Classement]]&amp;"\"&amp;Tableau1[[#This Row],[Poste technique]]&amp;"_"&amp;Tableau1[[#This Row],[Plan Entretien]]&amp;".pdf"</f>
        <v>\\stjn.local\trimet\Donnees_Projets\Dms Sap\Maintenance\PlanEntretien\7.MSCT\\_.pdf</v>
      </c>
      <c r="X873" s="47"/>
      <c r="Y873" s="47"/>
      <c r="Z873" s="44" t="str">
        <f ca="1">IF(AND(Tableau1[[#This Row],[Charge]]&lt;&gt;0, Tableau1[[#This Row],[Nombre intervenants]]&lt;&gt;0,Tableau1[[#This Row],[Lien document]]&lt;&gt;0,Tableau1[[#This Row],[DMS_SAP]]&lt;&gt;0)=TRUE,"MIS A JOUR","")</f>
        <v/>
      </c>
      <c r="AA873" s="48"/>
      <c r="AB873" s="58" t="str">
        <f ca="1">IF(Tableau1[[#This Row],[Date rév.]]&lt;&gt;"", DAYS360(Tableau1[[#This Row],[Date rév.]],TODAY()),"")</f>
        <v/>
      </c>
      <c r="AC873" s="47" t="str">
        <f>IFERROR(INDEX(Chemin_accès!$B$11:$C$22,MATCH(Tableau1[[#This Row],[Type]],Chemin_accès!$C$11:$C$22,0),1),Chemin_accès!$B$11)</f>
        <v>\\stjn.local\trimet\Btechnique\Commun\BT Maint SCELLEMENT\205 - Préventifs\Modèles préventif\GammeDMS_7.MSCT.xlsm</v>
      </c>
      <c r="AD873" s="47" t="str">
        <f>Chemin_accès!$B$8&amp;Tableau1[[#This Row],[Localisation / Classement]]&amp;"\"&amp;Tableau1[[#This Row],[Poste technique]]&amp;"_"&amp;Tableau1[[#This Row],[Plan Entretien]]&amp;".xlsm"</f>
        <v>\\stjn.local\trimet\Btechnique\Commun\BT Maint SCELLEMENT\205 - Préventifs\Gammes 7.MSCT PE Tool\\_.xlsm</v>
      </c>
    </row>
    <row r="874" spans="1:30" x14ac:dyDescent="0.3">
      <c r="A874" s="44" t="str">
        <f t="shared" ca="1" si="13"/>
        <v>7.MSCT</v>
      </c>
      <c r="B8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4" s="46"/>
      <c r="D874" s="44"/>
      <c r="E874" s="44"/>
      <c r="F874" s="47"/>
      <c r="G874" s="47"/>
      <c r="H874" s="50"/>
      <c r="I874" s="50"/>
      <c r="J874" s="50"/>
      <c r="K874" s="50"/>
      <c r="L874" s="46"/>
      <c r="M874" s="47"/>
      <c r="N874" s="46"/>
      <c r="O874" s="46"/>
      <c r="P874" s="47"/>
      <c r="Q874" s="46"/>
      <c r="R874" s="46"/>
      <c r="S874" s="48"/>
      <c r="T874" s="61" t="str">
        <f>IF(Tableau1[[#This Row],[DMS_SAP]]="","",HYPERLINK(Tableau1[[#This Row],[Chemin fichier source]],"X"))</f>
        <v/>
      </c>
      <c r="U874" s="61" t="str">
        <f>IF(Tableau1[[#This Row],[Date rév.]]="","",HYPERLINK(Tableau1[[#This Row],[Lien document]],"X"))</f>
        <v/>
      </c>
      <c r="V874" s="47"/>
      <c r="W874" s="49" t="str">
        <f ca="1">Chemin_accès!$B$2&amp;Tableau1[[#This Row],[Poste Responsable]]&amp;"\"&amp;Tableau1[[#This Row],[Localisation / Classement]]&amp;"\"&amp;Tableau1[[#This Row],[Poste technique]]&amp;"_"&amp;Tableau1[[#This Row],[Plan Entretien]]&amp;".pdf"</f>
        <v>\\stjn.local\trimet\Donnees_Projets\Dms Sap\Maintenance\PlanEntretien\7.MSCT\\_.pdf</v>
      </c>
      <c r="X874" s="47"/>
      <c r="Y874" s="47"/>
      <c r="Z874" s="44" t="str">
        <f ca="1">IF(AND(Tableau1[[#This Row],[Charge]]&lt;&gt;0, Tableau1[[#This Row],[Nombre intervenants]]&lt;&gt;0,Tableau1[[#This Row],[Lien document]]&lt;&gt;0,Tableau1[[#This Row],[DMS_SAP]]&lt;&gt;0)=TRUE,"MIS A JOUR","")</f>
        <v/>
      </c>
      <c r="AA874" s="48"/>
      <c r="AB874" s="58" t="str">
        <f ca="1">IF(Tableau1[[#This Row],[Date rév.]]&lt;&gt;"", DAYS360(Tableau1[[#This Row],[Date rév.]],TODAY()),"")</f>
        <v/>
      </c>
      <c r="AC874" s="47" t="str">
        <f>IFERROR(INDEX(Chemin_accès!$B$11:$C$22,MATCH(Tableau1[[#This Row],[Type]],Chemin_accès!$C$11:$C$22,0),1),Chemin_accès!$B$11)</f>
        <v>\\stjn.local\trimet\Btechnique\Commun\BT Maint SCELLEMENT\205 - Préventifs\Modèles préventif\GammeDMS_7.MSCT.xlsm</v>
      </c>
      <c r="AD874" s="47" t="str">
        <f>Chemin_accès!$B$8&amp;Tableau1[[#This Row],[Localisation / Classement]]&amp;"\"&amp;Tableau1[[#This Row],[Poste technique]]&amp;"_"&amp;Tableau1[[#This Row],[Plan Entretien]]&amp;".xlsm"</f>
        <v>\\stjn.local\trimet\Btechnique\Commun\BT Maint SCELLEMENT\205 - Préventifs\Gammes 7.MSCT PE Tool\\_.xlsm</v>
      </c>
    </row>
    <row r="875" spans="1:30" x14ac:dyDescent="0.3">
      <c r="A875" s="44" t="str">
        <f t="shared" ca="1" si="13"/>
        <v>7.MSCT</v>
      </c>
      <c r="B8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5" s="46"/>
      <c r="D875" s="44"/>
      <c r="E875" s="44"/>
      <c r="F875" s="47"/>
      <c r="G875" s="47"/>
      <c r="H875" s="50"/>
      <c r="I875" s="50"/>
      <c r="J875" s="50"/>
      <c r="K875" s="50"/>
      <c r="L875" s="46"/>
      <c r="M875" s="47"/>
      <c r="N875" s="46"/>
      <c r="O875" s="46"/>
      <c r="P875" s="47"/>
      <c r="Q875" s="46"/>
      <c r="R875" s="46"/>
      <c r="S875" s="48"/>
      <c r="T875" s="61" t="str">
        <f>IF(Tableau1[[#This Row],[DMS_SAP]]="","",HYPERLINK(Tableau1[[#This Row],[Chemin fichier source]],"X"))</f>
        <v/>
      </c>
      <c r="U875" s="61" t="str">
        <f>IF(Tableau1[[#This Row],[Date rév.]]="","",HYPERLINK(Tableau1[[#This Row],[Lien document]],"X"))</f>
        <v/>
      </c>
      <c r="V875" s="47"/>
      <c r="W875" s="49" t="str">
        <f ca="1">Chemin_accès!$B$2&amp;Tableau1[[#This Row],[Poste Responsable]]&amp;"\"&amp;Tableau1[[#This Row],[Localisation / Classement]]&amp;"\"&amp;Tableau1[[#This Row],[Poste technique]]&amp;"_"&amp;Tableau1[[#This Row],[Plan Entretien]]&amp;".pdf"</f>
        <v>\\stjn.local\trimet\Donnees_Projets\Dms Sap\Maintenance\PlanEntretien\7.MSCT\\_.pdf</v>
      </c>
      <c r="X875" s="47"/>
      <c r="Y875" s="47"/>
      <c r="Z875" s="44" t="str">
        <f ca="1">IF(AND(Tableau1[[#This Row],[Charge]]&lt;&gt;0, Tableau1[[#This Row],[Nombre intervenants]]&lt;&gt;0,Tableau1[[#This Row],[Lien document]]&lt;&gt;0,Tableau1[[#This Row],[DMS_SAP]]&lt;&gt;0)=TRUE,"MIS A JOUR","")</f>
        <v/>
      </c>
      <c r="AA875" s="48"/>
      <c r="AB875" s="58" t="str">
        <f ca="1">IF(Tableau1[[#This Row],[Date rév.]]&lt;&gt;"", DAYS360(Tableau1[[#This Row],[Date rév.]],TODAY()),"")</f>
        <v/>
      </c>
      <c r="AC875" s="47" t="str">
        <f>IFERROR(INDEX(Chemin_accès!$B$11:$C$22,MATCH(Tableau1[[#This Row],[Type]],Chemin_accès!$C$11:$C$22,0),1),Chemin_accès!$B$11)</f>
        <v>\\stjn.local\trimet\Btechnique\Commun\BT Maint SCELLEMENT\205 - Préventifs\Modèles préventif\GammeDMS_7.MSCT.xlsm</v>
      </c>
      <c r="AD875" s="47" t="str">
        <f>Chemin_accès!$B$8&amp;Tableau1[[#This Row],[Localisation / Classement]]&amp;"\"&amp;Tableau1[[#This Row],[Poste technique]]&amp;"_"&amp;Tableau1[[#This Row],[Plan Entretien]]&amp;".xlsm"</f>
        <v>\\stjn.local\trimet\Btechnique\Commun\BT Maint SCELLEMENT\205 - Préventifs\Gammes 7.MSCT PE Tool\\_.xlsm</v>
      </c>
    </row>
    <row r="876" spans="1:30" x14ac:dyDescent="0.3">
      <c r="A876" s="44" t="str">
        <f t="shared" ca="1" si="13"/>
        <v>7.MSCT</v>
      </c>
      <c r="B8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6" s="46"/>
      <c r="D876" s="44"/>
      <c r="E876" s="44"/>
      <c r="F876" s="47"/>
      <c r="G876" s="47"/>
      <c r="H876" s="50"/>
      <c r="I876" s="50"/>
      <c r="J876" s="50"/>
      <c r="K876" s="50"/>
      <c r="L876" s="46"/>
      <c r="M876" s="47"/>
      <c r="N876" s="46"/>
      <c r="O876" s="46"/>
      <c r="P876" s="47"/>
      <c r="Q876" s="46"/>
      <c r="R876" s="46"/>
      <c r="S876" s="48"/>
      <c r="T876" s="61" t="str">
        <f>IF(Tableau1[[#This Row],[DMS_SAP]]="","",HYPERLINK(Tableau1[[#This Row],[Chemin fichier source]],"X"))</f>
        <v/>
      </c>
      <c r="U876" s="61" t="str">
        <f>IF(Tableau1[[#This Row],[Date rév.]]="","",HYPERLINK(Tableau1[[#This Row],[Lien document]],"X"))</f>
        <v/>
      </c>
      <c r="V876" s="47"/>
      <c r="W876" s="49" t="str">
        <f ca="1">Chemin_accès!$B$2&amp;Tableau1[[#This Row],[Poste Responsable]]&amp;"\"&amp;Tableau1[[#This Row],[Localisation / Classement]]&amp;"\"&amp;Tableau1[[#This Row],[Poste technique]]&amp;"_"&amp;Tableau1[[#This Row],[Plan Entretien]]&amp;".pdf"</f>
        <v>\\stjn.local\trimet\Donnees_Projets\Dms Sap\Maintenance\PlanEntretien\7.MSCT\\_.pdf</v>
      </c>
      <c r="X876" s="47"/>
      <c r="Y876" s="47"/>
      <c r="Z876" s="44" t="str">
        <f ca="1">IF(AND(Tableau1[[#This Row],[Charge]]&lt;&gt;0, Tableau1[[#This Row],[Nombre intervenants]]&lt;&gt;0,Tableau1[[#This Row],[Lien document]]&lt;&gt;0,Tableau1[[#This Row],[DMS_SAP]]&lt;&gt;0)=TRUE,"MIS A JOUR","")</f>
        <v/>
      </c>
      <c r="AA876" s="48"/>
      <c r="AB876" s="58" t="str">
        <f ca="1">IF(Tableau1[[#This Row],[Date rév.]]&lt;&gt;"", DAYS360(Tableau1[[#This Row],[Date rév.]],TODAY()),"")</f>
        <v/>
      </c>
      <c r="AC876" s="47" t="str">
        <f>IFERROR(INDEX(Chemin_accès!$B$11:$C$22,MATCH(Tableau1[[#This Row],[Type]],Chemin_accès!$C$11:$C$22,0),1),Chemin_accès!$B$11)</f>
        <v>\\stjn.local\trimet\Btechnique\Commun\BT Maint SCELLEMENT\205 - Préventifs\Modèles préventif\GammeDMS_7.MSCT.xlsm</v>
      </c>
      <c r="AD876" s="47" t="str">
        <f>Chemin_accès!$B$8&amp;Tableau1[[#This Row],[Localisation / Classement]]&amp;"\"&amp;Tableau1[[#This Row],[Poste technique]]&amp;"_"&amp;Tableau1[[#This Row],[Plan Entretien]]&amp;".xlsm"</f>
        <v>\\stjn.local\trimet\Btechnique\Commun\BT Maint SCELLEMENT\205 - Préventifs\Gammes 7.MSCT PE Tool\\_.xlsm</v>
      </c>
    </row>
    <row r="877" spans="1:30" x14ac:dyDescent="0.3">
      <c r="A877" s="44" t="str">
        <f t="shared" ca="1" si="13"/>
        <v>7.MSCT</v>
      </c>
      <c r="B8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7" s="46"/>
      <c r="D877" s="44"/>
      <c r="E877" s="44"/>
      <c r="F877" s="47"/>
      <c r="G877" s="47"/>
      <c r="H877" s="50"/>
      <c r="I877" s="50"/>
      <c r="J877" s="50"/>
      <c r="K877" s="50"/>
      <c r="L877" s="46"/>
      <c r="M877" s="47"/>
      <c r="N877" s="46"/>
      <c r="O877" s="46"/>
      <c r="P877" s="47"/>
      <c r="Q877" s="46"/>
      <c r="R877" s="46"/>
      <c r="S877" s="48"/>
      <c r="T877" s="61" t="str">
        <f>IF(Tableau1[[#This Row],[DMS_SAP]]="","",HYPERLINK(Tableau1[[#This Row],[Chemin fichier source]],"X"))</f>
        <v/>
      </c>
      <c r="U877" s="61" t="str">
        <f>IF(Tableau1[[#This Row],[Date rév.]]="","",HYPERLINK(Tableau1[[#This Row],[Lien document]],"X"))</f>
        <v/>
      </c>
      <c r="V877" s="47"/>
      <c r="W877" s="49" t="str">
        <f ca="1">Chemin_accès!$B$2&amp;Tableau1[[#This Row],[Poste Responsable]]&amp;"\"&amp;Tableau1[[#This Row],[Localisation / Classement]]&amp;"\"&amp;Tableau1[[#This Row],[Poste technique]]&amp;"_"&amp;Tableau1[[#This Row],[Plan Entretien]]&amp;".pdf"</f>
        <v>\\stjn.local\trimet\Donnees_Projets\Dms Sap\Maintenance\PlanEntretien\7.MSCT\\_.pdf</v>
      </c>
      <c r="X877" s="47"/>
      <c r="Y877" s="47"/>
      <c r="Z877" s="44" t="str">
        <f ca="1">IF(AND(Tableau1[[#This Row],[Charge]]&lt;&gt;0, Tableau1[[#This Row],[Nombre intervenants]]&lt;&gt;0,Tableau1[[#This Row],[Lien document]]&lt;&gt;0,Tableau1[[#This Row],[DMS_SAP]]&lt;&gt;0)=TRUE,"MIS A JOUR","")</f>
        <v/>
      </c>
      <c r="AA877" s="48"/>
      <c r="AB877" s="58" t="str">
        <f ca="1">IF(Tableau1[[#This Row],[Date rév.]]&lt;&gt;"", DAYS360(Tableau1[[#This Row],[Date rév.]],TODAY()),"")</f>
        <v/>
      </c>
      <c r="AC877" s="47" t="str">
        <f>IFERROR(INDEX(Chemin_accès!$B$11:$C$22,MATCH(Tableau1[[#This Row],[Type]],Chemin_accès!$C$11:$C$22,0),1),Chemin_accès!$B$11)</f>
        <v>\\stjn.local\trimet\Btechnique\Commun\BT Maint SCELLEMENT\205 - Préventifs\Modèles préventif\GammeDMS_7.MSCT.xlsm</v>
      </c>
      <c r="AD877" s="47" t="str">
        <f>Chemin_accès!$B$8&amp;Tableau1[[#This Row],[Localisation / Classement]]&amp;"\"&amp;Tableau1[[#This Row],[Poste technique]]&amp;"_"&amp;Tableau1[[#This Row],[Plan Entretien]]&amp;".xlsm"</f>
        <v>\\stjn.local\trimet\Btechnique\Commun\BT Maint SCELLEMENT\205 - Préventifs\Gammes 7.MSCT PE Tool\\_.xlsm</v>
      </c>
    </row>
    <row r="878" spans="1:30" x14ac:dyDescent="0.3">
      <c r="A878" s="44" t="str">
        <f t="shared" ca="1" si="13"/>
        <v>7.MSCT</v>
      </c>
      <c r="B8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8" s="46"/>
      <c r="D878" s="44"/>
      <c r="E878" s="44"/>
      <c r="F878" s="47"/>
      <c r="G878" s="47"/>
      <c r="H878" s="50"/>
      <c r="I878" s="50"/>
      <c r="J878" s="50"/>
      <c r="K878" s="50"/>
      <c r="L878" s="46"/>
      <c r="M878" s="47"/>
      <c r="N878" s="46"/>
      <c r="O878" s="46"/>
      <c r="P878" s="47"/>
      <c r="Q878" s="46"/>
      <c r="R878" s="46"/>
      <c r="S878" s="48"/>
      <c r="T878" s="61" t="str">
        <f>IF(Tableau1[[#This Row],[DMS_SAP]]="","",HYPERLINK(Tableau1[[#This Row],[Chemin fichier source]],"X"))</f>
        <v/>
      </c>
      <c r="U878" s="61" t="str">
        <f>IF(Tableau1[[#This Row],[Date rév.]]="","",HYPERLINK(Tableau1[[#This Row],[Lien document]],"X"))</f>
        <v/>
      </c>
      <c r="V878" s="47"/>
      <c r="W878" s="49" t="str">
        <f ca="1">Chemin_accès!$B$2&amp;Tableau1[[#This Row],[Poste Responsable]]&amp;"\"&amp;Tableau1[[#This Row],[Localisation / Classement]]&amp;"\"&amp;Tableau1[[#This Row],[Poste technique]]&amp;"_"&amp;Tableau1[[#This Row],[Plan Entretien]]&amp;".pdf"</f>
        <v>\\stjn.local\trimet\Donnees_Projets\Dms Sap\Maintenance\PlanEntretien\7.MSCT\\_.pdf</v>
      </c>
      <c r="X878" s="47"/>
      <c r="Y878" s="47"/>
      <c r="Z878" s="44" t="str">
        <f ca="1">IF(AND(Tableau1[[#This Row],[Charge]]&lt;&gt;0, Tableau1[[#This Row],[Nombre intervenants]]&lt;&gt;0,Tableau1[[#This Row],[Lien document]]&lt;&gt;0,Tableau1[[#This Row],[DMS_SAP]]&lt;&gt;0)=TRUE,"MIS A JOUR","")</f>
        <v/>
      </c>
      <c r="AA878" s="48"/>
      <c r="AB878" s="58" t="str">
        <f ca="1">IF(Tableau1[[#This Row],[Date rév.]]&lt;&gt;"", DAYS360(Tableau1[[#This Row],[Date rév.]],TODAY()),"")</f>
        <v/>
      </c>
      <c r="AC878" s="47" t="str">
        <f>IFERROR(INDEX(Chemin_accès!$B$11:$C$22,MATCH(Tableau1[[#This Row],[Type]],Chemin_accès!$C$11:$C$22,0),1),Chemin_accès!$B$11)</f>
        <v>\\stjn.local\trimet\Btechnique\Commun\BT Maint SCELLEMENT\205 - Préventifs\Modèles préventif\GammeDMS_7.MSCT.xlsm</v>
      </c>
      <c r="AD878" s="47" t="str">
        <f>Chemin_accès!$B$8&amp;Tableau1[[#This Row],[Localisation / Classement]]&amp;"\"&amp;Tableau1[[#This Row],[Poste technique]]&amp;"_"&amp;Tableau1[[#This Row],[Plan Entretien]]&amp;".xlsm"</f>
        <v>\\stjn.local\trimet\Btechnique\Commun\BT Maint SCELLEMENT\205 - Préventifs\Gammes 7.MSCT PE Tool\\_.xlsm</v>
      </c>
    </row>
    <row r="879" spans="1:30" x14ac:dyDescent="0.3">
      <c r="A879" s="44" t="str">
        <f t="shared" ca="1" si="13"/>
        <v>7.MSCT</v>
      </c>
      <c r="B8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9" s="46"/>
      <c r="D879" s="44"/>
      <c r="E879" s="44"/>
      <c r="F879" s="47"/>
      <c r="G879" s="47"/>
      <c r="H879" s="50"/>
      <c r="I879" s="50"/>
      <c r="J879" s="50"/>
      <c r="K879" s="50"/>
      <c r="L879" s="46"/>
      <c r="M879" s="47"/>
      <c r="N879" s="46"/>
      <c r="O879" s="46"/>
      <c r="P879" s="47"/>
      <c r="Q879" s="46"/>
      <c r="R879" s="46"/>
      <c r="S879" s="48"/>
      <c r="T879" s="61" t="str">
        <f>IF(Tableau1[[#This Row],[DMS_SAP]]="","",HYPERLINK(Tableau1[[#This Row],[Chemin fichier source]],"X"))</f>
        <v/>
      </c>
      <c r="U879" s="61" t="str">
        <f>IF(Tableau1[[#This Row],[Date rév.]]="","",HYPERLINK(Tableau1[[#This Row],[Lien document]],"X"))</f>
        <v/>
      </c>
      <c r="V879" s="47"/>
      <c r="W879" s="49" t="str">
        <f ca="1">Chemin_accès!$B$2&amp;Tableau1[[#This Row],[Poste Responsable]]&amp;"\"&amp;Tableau1[[#This Row],[Localisation / Classement]]&amp;"\"&amp;Tableau1[[#This Row],[Poste technique]]&amp;"_"&amp;Tableau1[[#This Row],[Plan Entretien]]&amp;".pdf"</f>
        <v>\\stjn.local\trimet\Donnees_Projets\Dms Sap\Maintenance\PlanEntretien\7.MSCT\\_.pdf</v>
      </c>
      <c r="X879" s="47"/>
      <c r="Y879" s="47"/>
      <c r="Z879" s="44" t="str">
        <f ca="1">IF(AND(Tableau1[[#This Row],[Charge]]&lt;&gt;0, Tableau1[[#This Row],[Nombre intervenants]]&lt;&gt;0,Tableau1[[#This Row],[Lien document]]&lt;&gt;0,Tableau1[[#This Row],[DMS_SAP]]&lt;&gt;0)=TRUE,"MIS A JOUR","")</f>
        <v/>
      </c>
      <c r="AA879" s="48"/>
      <c r="AB879" s="58" t="str">
        <f ca="1">IF(Tableau1[[#This Row],[Date rév.]]&lt;&gt;"", DAYS360(Tableau1[[#This Row],[Date rév.]],TODAY()),"")</f>
        <v/>
      </c>
      <c r="AC879" s="47" t="str">
        <f>IFERROR(INDEX(Chemin_accès!$B$11:$C$22,MATCH(Tableau1[[#This Row],[Type]],Chemin_accès!$C$11:$C$22,0),1),Chemin_accès!$B$11)</f>
        <v>\\stjn.local\trimet\Btechnique\Commun\BT Maint SCELLEMENT\205 - Préventifs\Modèles préventif\GammeDMS_7.MSCT.xlsm</v>
      </c>
      <c r="AD879" s="47" t="str">
        <f>Chemin_accès!$B$8&amp;Tableau1[[#This Row],[Localisation / Classement]]&amp;"\"&amp;Tableau1[[#This Row],[Poste technique]]&amp;"_"&amp;Tableau1[[#This Row],[Plan Entretien]]&amp;".xlsm"</f>
        <v>\\stjn.local\trimet\Btechnique\Commun\BT Maint SCELLEMENT\205 - Préventifs\Gammes 7.MSCT PE Tool\\_.xlsm</v>
      </c>
    </row>
    <row r="880" spans="1:30" x14ac:dyDescent="0.3">
      <c r="A880" s="44" t="str">
        <f t="shared" ca="1" si="13"/>
        <v>7.MSCT</v>
      </c>
      <c r="B8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0" s="46"/>
      <c r="D880" s="44"/>
      <c r="E880" s="44"/>
      <c r="F880" s="47"/>
      <c r="G880" s="47"/>
      <c r="H880" s="50"/>
      <c r="I880" s="50"/>
      <c r="J880" s="50"/>
      <c r="K880" s="50"/>
      <c r="L880" s="46"/>
      <c r="M880" s="47"/>
      <c r="N880" s="46"/>
      <c r="O880" s="46"/>
      <c r="P880" s="47"/>
      <c r="Q880" s="46"/>
      <c r="R880" s="46"/>
      <c r="S880" s="48"/>
      <c r="T880" s="61" t="str">
        <f>IF(Tableau1[[#This Row],[DMS_SAP]]="","",HYPERLINK(Tableau1[[#This Row],[Chemin fichier source]],"X"))</f>
        <v/>
      </c>
      <c r="U880" s="61" t="str">
        <f>IF(Tableau1[[#This Row],[Date rév.]]="","",HYPERLINK(Tableau1[[#This Row],[Lien document]],"X"))</f>
        <v/>
      </c>
      <c r="V880" s="47"/>
      <c r="W880" s="49" t="str">
        <f ca="1">Chemin_accès!$B$2&amp;Tableau1[[#This Row],[Poste Responsable]]&amp;"\"&amp;Tableau1[[#This Row],[Localisation / Classement]]&amp;"\"&amp;Tableau1[[#This Row],[Poste technique]]&amp;"_"&amp;Tableau1[[#This Row],[Plan Entretien]]&amp;".pdf"</f>
        <v>\\stjn.local\trimet\Donnees_Projets\Dms Sap\Maintenance\PlanEntretien\7.MSCT\\_.pdf</v>
      </c>
      <c r="X880" s="47"/>
      <c r="Y880" s="47"/>
      <c r="Z880" s="44" t="str">
        <f ca="1">IF(AND(Tableau1[[#This Row],[Charge]]&lt;&gt;0, Tableau1[[#This Row],[Nombre intervenants]]&lt;&gt;0,Tableau1[[#This Row],[Lien document]]&lt;&gt;0,Tableau1[[#This Row],[DMS_SAP]]&lt;&gt;0)=TRUE,"MIS A JOUR","")</f>
        <v/>
      </c>
      <c r="AA880" s="48"/>
      <c r="AB880" s="58" t="str">
        <f ca="1">IF(Tableau1[[#This Row],[Date rév.]]&lt;&gt;"", DAYS360(Tableau1[[#This Row],[Date rév.]],TODAY()),"")</f>
        <v/>
      </c>
      <c r="AC880" s="47" t="str">
        <f>IFERROR(INDEX(Chemin_accès!$B$11:$C$22,MATCH(Tableau1[[#This Row],[Type]],Chemin_accès!$C$11:$C$22,0),1),Chemin_accès!$B$11)</f>
        <v>\\stjn.local\trimet\Btechnique\Commun\BT Maint SCELLEMENT\205 - Préventifs\Modèles préventif\GammeDMS_7.MSCT.xlsm</v>
      </c>
      <c r="AD880" s="47" t="str">
        <f>Chemin_accès!$B$8&amp;Tableau1[[#This Row],[Localisation / Classement]]&amp;"\"&amp;Tableau1[[#This Row],[Poste technique]]&amp;"_"&amp;Tableau1[[#This Row],[Plan Entretien]]&amp;".xlsm"</f>
        <v>\\stjn.local\trimet\Btechnique\Commun\BT Maint SCELLEMENT\205 - Préventifs\Gammes 7.MSCT PE Tool\\_.xlsm</v>
      </c>
    </row>
    <row r="881" spans="1:30" x14ac:dyDescent="0.3">
      <c r="A881" s="44" t="str">
        <f t="shared" ca="1" si="13"/>
        <v>7.MSCT</v>
      </c>
      <c r="B8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1" s="46"/>
      <c r="D881" s="44"/>
      <c r="E881" s="44"/>
      <c r="F881" s="47"/>
      <c r="G881" s="47"/>
      <c r="H881" s="50"/>
      <c r="I881" s="50"/>
      <c r="J881" s="50"/>
      <c r="K881" s="50"/>
      <c r="L881" s="46"/>
      <c r="M881" s="47"/>
      <c r="N881" s="46"/>
      <c r="O881" s="46"/>
      <c r="P881" s="47"/>
      <c r="Q881" s="46"/>
      <c r="R881" s="46"/>
      <c r="S881" s="48"/>
      <c r="T881" s="61" t="str">
        <f>IF(Tableau1[[#This Row],[DMS_SAP]]="","",HYPERLINK(Tableau1[[#This Row],[Chemin fichier source]],"X"))</f>
        <v/>
      </c>
      <c r="U881" s="61" t="str">
        <f>IF(Tableau1[[#This Row],[Date rév.]]="","",HYPERLINK(Tableau1[[#This Row],[Lien document]],"X"))</f>
        <v/>
      </c>
      <c r="V881" s="47"/>
      <c r="W881" s="49" t="str">
        <f ca="1">Chemin_accès!$B$2&amp;Tableau1[[#This Row],[Poste Responsable]]&amp;"\"&amp;Tableau1[[#This Row],[Localisation / Classement]]&amp;"\"&amp;Tableau1[[#This Row],[Poste technique]]&amp;"_"&amp;Tableau1[[#This Row],[Plan Entretien]]&amp;".pdf"</f>
        <v>\\stjn.local\trimet\Donnees_Projets\Dms Sap\Maintenance\PlanEntretien\7.MSCT\\_.pdf</v>
      </c>
      <c r="X881" s="47"/>
      <c r="Y881" s="47"/>
      <c r="Z881" s="44" t="str">
        <f ca="1">IF(AND(Tableau1[[#This Row],[Charge]]&lt;&gt;0, Tableau1[[#This Row],[Nombre intervenants]]&lt;&gt;0,Tableau1[[#This Row],[Lien document]]&lt;&gt;0,Tableau1[[#This Row],[DMS_SAP]]&lt;&gt;0)=TRUE,"MIS A JOUR","")</f>
        <v/>
      </c>
      <c r="AA881" s="48"/>
      <c r="AB881" s="58" t="str">
        <f ca="1">IF(Tableau1[[#This Row],[Date rév.]]&lt;&gt;"", DAYS360(Tableau1[[#This Row],[Date rév.]],TODAY()),"")</f>
        <v/>
      </c>
      <c r="AC881" s="47" t="str">
        <f>IFERROR(INDEX(Chemin_accès!$B$11:$C$22,MATCH(Tableau1[[#This Row],[Type]],Chemin_accès!$C$11:$C$22,0),1),Chemin_accès!$B$11)</f>
        <v>\\stjn.local\trimet\Btechnique\Commun\BT Maint SCELLEMENT\205 - Préventifs\Modèles préventif\GammeDMS_7.MSCT.xlsm</v>
      </c>
      <c r="AD881" s="47" t="str">
        <f>Chemin_accès!$B$8&amp;Tableau1[[#This Row],[Localisation / Classement]]&amp;"\"&amp;Tableau1[[#This Row],[Poste technique]]&amp;"_"&amp;Tableau1[[#This Row],[Plan Entretien]]&amp;".xlsm"</f>
        <v>\\stjn.local\trimet\Btechnique\Commun\BT Maint SCELLEMENT\205 - Préventifs\Gammes 7.MSCT PE Tool\\_.xlsm</v>
      </c>
    </row>
    <row r="882" spans="1:30" x14ac:dyDescent="0.3">
      <c r="A882" s="44" t="str">
        <f t="shared" ca="1" si="13"/>
        <v>7.MSCT</v>
      </c>
      <c r="B8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2" s="46"/>
      <c r="D882" s="44"/>
      <c r="E882" s="44"/>
      <c r="F882" s="47"/>
      <c r="G882" s="47"/>
      <c r="H882" s="50"/>
      <c r="I882" s="50"/>
      <c r="J882" s="50"/>
      <c r="K882" s="50"/>
      <c r="L882" s="46"/>
      <c r="M882" s="47"/>
      <c r="N882" s="46"/>
      <c r="O882" s="46"/>
      <c r="P882" s="47"/>
      <c r="Q882" s="46"/>
      <c r="R882" s="46"/>
      <c r="S882" s="48"/>
      <c r="T882" s="61" t="str">
        <f>IF(Tableau1[[#This Row],[DMS_SAP]]="","",HYPERLINK(Tableau1[[#This Row],[Chemin fichier source]],"X"))</f>
        <v/>
      </c>
      <c r="U882" s="61" t="str">
        <f>IF(Tableau1[[#This Row],[Date rév.]]="","",HYPERLINK(Tableau1[[#This Row],[Lien document]],"X"))</f>
        <v/>
      </c>
      <c r="V882" s="47"/>
      <c r="W882" s="49" t="str">
        <f ca="1">Chemin_accès!$B$2&amp;Tableau1[[#This Row],[Poste Responsable]]&amp;"\"&amp;Tableau1[[#This Row],[Localisation / Classement]]&amp;"\"&amp;Tableau1[[#This Row],[Poste technique]]&amp;"_"&amp;Tableau1[[#This Row],[Plan Entretien]]&amp;".pdf"</f>
        <v>\\stjn.local\trimet\Donnees_Projets\Dms Sap\Maintenance\PlanEntretien\7.MSCT\\_.pdf</v>
      </c>
      <c r="X882" s="47"/>
      <c r="Y882" s="47"/>
      <c r="Z882" s="44" t="str">
        <f ca="1">IF(AND(Tableau1[[#This Row],[Charge]]&lt;&gt;0, Tableau1[[#This Row],[Nombre intervenants]]&lt;&gt;0,Tableau1[[#This Row],[Lien document]]&lt;&gt;0,Tableau1[[#This Row],[DMS_SAP]]&lt;&gt;0)=TRUE,"MIS A JOUR","")</f>
        <v/>
      </c>
      <c r="AA882" s="48"/>
      <c r="AB882" s="58" t="str">
        <f ca="1">IF(Tableau1[[#This Row],[Date rév.]]&lt;&gt;"", DAYS360(Tableau1[[#This Row],[Date rév.]],TODAY()),"")</f>
        <v/>
      </c>
      <c r="AC882" s="47" t="str">
        <f>IFERROR(INDEX(Chemin_accès!$B$11:$C$22,MATCH(Tableau1[[#This Row],[Type]],Chemin_accès!$C$11:$C$22,0),1),Chemin_accès!$B$11)</f>
        <v>\\stjn.local\trimet\Btechnique\Commun\BT Maint SCELLEMENT\205 - Préventifs\Modèles préventif\GammeDMS_7.MSCT.xlsm</v>
      </c>
      <c r="AD882" s="47" t="str">
        <f>Chemin_accès!$B$8&amp;Tableau1[[#This Row],[Localisation / Classement]]&amp;"\"&amp;Tableau1[[#This Row],[Poste technique]]&amp;"_"&amp;Tableau1[[#This Row],[Plan Entretien]]&amp;".xlsm"</f>
        <v>\\stjn.local\trimet\Btechnique\Commun\BT Maint SCELLEMENT\205 - Préventifs\Gammes 7.MSCT PE Tool\\_.xlsm</v>
      </c>
    </row>
    <row r="883" spans="1:30" x14ac:dyDescent="0.3">
      <c r="A883" s="44" t="str">
        <f t="shared" ca="1" si="13"/>
        <v>7.MSCT</v>
      </c>
      <c r="B8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3" s="46"/>
      <c r="D883" s="44"/>
      <c r="E883" s="44"/>
      <c r="F883" s="47"/>
      <c r="G883" s="47"/>
      <c r="H883" s="50"/>
      <c r="I883" s="50"/>
      <c r="J883" s="50"/>
      <c r="K883" s="50"/>
      <c r="L883" s="46"/>
      <c r="M883" s="47"/>
      <c r="N883" s="46"/>
      <c r="O883" s="46"/>
      <c r="P883" s="47"/>
      <c r="Q883" s="46"/>
      <c r="R883" s="46"/>
      <c r="S883" s="48"/>
      <c r="T883" s="61" t="str">
        <f>IF(Tableau1[[#This Row],[DMS_SAP]]="","",HYPERLINK(Tableau1[[#This Row],[Chemin fichier source]],"X"))</f>
        <v/>
      </c>
      <c r="U883" s="61" t="str">
        <f>IF(Tableau1[[#This Row],[Date rév.]]="","",HYPERLINK(Tableau1[[#This Row],[Lien document]],"X"))</f>
        <v/>
      </c>
      <c r="V883" s="47"/>
      <c r="W883" s="49" t="str">
        <f ca="1">Chemin_accès!$B$2&amp;Tableau1[[#This Row],[Poste Responsable]]&amp;"\"&amp;Tableau1[[#This Row],[Localisation / Classement]]&amp;"\"&amp;Tableau1[[#This Row],[Poste technique]]&amp;"_"&amp;Tableau1[[#This Row],[Plan Entretien]]&amp;".pdf"</f>
        <v>\\stjn.local\trimet\Donnees_Projets\Dms Sap\Maintenance\PlanEntretien\7.MSCT\\_.pdf</v>
      </c>
      <c r="X883" s="47"/>
      <c r="Y883" s="47"/>
      <c r="Z883" s="44" t="str">
        <f ca="1">IF(AND(Tableau1[[#This Row],[Charge]]&lt;&gt;0, Tableau1[[#This Row],[Nombre intervenants]]&lt;&gt;0,Tableau1[[#This Row],[Lien document]]&lt;&gt;0,Tableau1[[#This Row],[DMS_SAP]]&lt;&gt;0)=TRUE,"MIS A JOUR","")</f>
        <v/>
      </c>
      <c r="AA883" s="48"/>
      <c r="AB883" s="58" t="str">
        <f ca="1">IF(Tableau1[[#This Row],[Date rév.]]&lt;&gt;"", DAYS360(Tableau1[[#This Row],[Date rév.]],TODAY()),"")</f>
        <v/>
      </c>
      <c r="AC883" s="47" t="str">
        <f>IFERROR(INDEX(Chemin_accès!$B$11:$C$22,MATCH(Tableau1[[#This Row],[Type]],Chemin_accès!$C$11:$C$22,0),1),Chemin_accès!$B$11)</f>
        <v>\\stjn.local\trimet\Btechnique\Commun\BT Maint SCELLEMENT\205 - Préventifs\Modèles préventif\GammeDMS_7.MSCT.xlsm</v>
      </c>
      <c r="AD883" s="47" t="str">
        <f>Chemin_accès!$B$8&amp;Tableau1[[#This Row],[Localisation / Classement]]&amp;"\"&amp;Tableau1[[#This Row],[Poste technique]]&amp;"_"&amp;Tableau1[[#This Row],[Plan Entretien]]&amp;".xlsm"</f>
        <v>\\stjn.local\trimet\Btechnique\Commun\BT Maint SCELLEMENT\205 - Préventifs\Gammes 7.MSCT PE Tool\\_.xlsm</v>
      </c>
    </row>
    <row r="884" spans="1:30" x14ac:dyDescent="0.3">
      <c r="A884" s="44" t="str">
        <f t="shared" ca="1" si="13"/>
        <v>7.MSCT</v>
      </c>
      <c r="B8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4" s="46"/>
      <c r="D884" s="44"/>
      <c r="E884" s="44"/>
      <c r="F884" s="47"/>
      <c r="G884" s="47"/>
      <c r="H884" s="50"/>
      <c r="I884" s="50"/>
      <c r="J884" s="50"/>
      <c r="K884" s="50"/>
      <c r="L884" s="46"/>
      <c r="M884" s="47"/>
      <c r="N884" s="46"/>
      <c r="O884" s="46"/>
      <c r="P884" s="47"/>
      <c r="Q884" s="46"/>
      <c r="R884" s="46"/>
      <c r="S884" s="48"/>
      <c r="T884" s="61" t="str">
        <f>IF(Tableau1[[#This Row],[DMS_SAP]]="","",HYPERLINK(Tableau1[[#This Row],[Chemin fichier source]],"X"))</f>
        <v/>
      </c>
      <c r="U884" s="61" t="str">
        <f>IF(Tableau1[[#This Row],[Date rév.]]="","",HYPERLINK(Tableau1[[#This Row],[Lien document]],"X"))</f>
        <v/>
      </c>
      <c r="V884" s="47"/>
      <c r="W884" s="49" t="str">
        <f ca="1">Chemin_accès!$B$2&amp;Tableau1[[#This Row],[Poste Responsable]]&amp;"\"&amp;Tableau1[[#This Row],[Localisation / Classement]]&amp;"\"&amp;Tableau1[[#This Row],[Poste technique]]&amp;"_"&amp;Tableau1[[#This Row],[Plan Entretien]]&amp;".pdf"</f>
        <v>\\stjn.local\trimet\Donnees_Projets\Dms Sap\Maintenance\PlanEntretien\7.MSCT\\_.pdf</v>
      </c>
      <c r="X884" s="47"/>
      <c r="Y884" s="47"/>
      <c r="Z884" s="44" t="str">
        <f ca="1">IF(AND(Tableau1[[#This Row],[Charge]]&lt;&gt;0, Tableau1[[#This Row],[Nombre intervenants]]&lt;&gt;0,Tableau1[[#This Row],[Lien document]]&lt;&gt;0,Tableau1[[#This Row],[DMS_SAP]]&lt;&gt;0)=TRUE,"MIS A JOUR","")</f>
        <v/>
      </c>
      <c r="AA884" s="48"/>
      <c r="AB884" s="58" t="str">
        <f ca="1">IF(Tableau1[[#This Row],[Date rév.]]&lt;&gt;"", DAYS360(Tableau1[[#This Row],[Date rév.]],TODAY()),"")</f>
        <v/>
      </c>
      <c r="AC884" s="47" t="str">
        <f>IFERROR(INDEX(Chemin_accès!$B$11:$C$22,MATCH(Tableau1[[#This Row],[Type]],Chemin_accès!$C$11:$C$22,0),1),Chemin_accès!$B$11)</f>
        <v>\\stjn.local\trimet\Btechnique\Commun\BT Maint SCELLEMENT\205 - Préventifs\Modèles préventif\GammeDMS_7.MSCT.xlsm</v>
      </c>
      <c r="AD884" s="47" t="str">
        <f>Chemin_accès!$B$8&amp;Tableau1[[#This Row],[Localisation / Classement]]&amp;"\"&amp;Tableau1[[#This Row],[Poste technique]]&amp;"_"&amp;Tableau1[[#This Row],[Plan Entretien]]&amp;".xlsm"</f>
        <v>\\stjn.local\trimet\Btechnique\Commun\BT Maint SCELLEMENT\205 - Préventifs\Gammes 7.MSCT PE Tool\\_.xlsm</v>
      </c>
    </row>
    <row r="885" spans="1:30" x14ac:dyDescent="0.3">
      <c r="A885" s="44" t="str">
        <f t="shared" ca="1" si="13"/>
        <v>7.MSCT</v>
      </c>
      <c r="B8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5" s="46"/>
      <c r="D885" s="44"/>
      <c r="E885" s="44"/>
      <c r="F885" s="47"/>
      <c r="G885" s="47"/>
      <c r="H885" s="50"/>
      <c r="I885" s="50"/>
      <c r="J885" s="50"/>
      <c r="K885" s="50"/>
      <c r="L885" s="46"/>
      <c r="M885" s="47"/>
      <c r="N885" s="46"/>
      <c r="O885" s="46"/>
      <c r="P885" s="47"/>
      <c r="Q885" s="46"/>
      <c r="R885" s="46"/>
      <c r="S885" s="48"/>
      <c r="T885" s="61" t="str">
        <f>IF(Tableau1[[#This Row],[DMS_SAP]]="","",HYPERLINK(Tableau1[[#This Row],[Chemin fichier source]],"X"))</f>
        <v/>
      </c>
      <c r="U885" s="61" t="str">
        <f>IF(Tableau1[[#This Row],[Date rév.]]="","",HYPERLINK(Tableau1[[#This Row],[Lien document]],"X"))</f>
        <v/>
      </c>
      <c r="V885" s="47"/>
      <c r="W885" s="49" t="str">
        <f ca="1">Chemin_accès!$B$2&amp;Tableau1[[#This Row],[Poste Responsable]]&amp;"\"&amp;Tableau1[[#This Row],[Localisation / Classement]]&amp;"\"&amp;Tableau1[[#This Row],[Poste technique]]&amp;"_"&amp;Tableau1[[#This Row],[Plan Entretien]]&amp;".pdf"</f>
        <v>\\stjn.local\trimet\Donnees_Projets\Dms Sap\Maintenance\PlanEntretien\7.MSCT\\_.pdf</v>
      </c>
      <c r="X885" s="47"/>
      <c r="Y885" s="47"/>
      <c r="Z885" s="44" t="str">
        <f ca="1">IF(AND(Tableau1[[#This Row],[Charge]]&lt;&gt;0, Tableau1[[#This Row],[Nombre intervenants]]&lt;&gt;0,Tableau1[[#This Row],[Lien document]]&lt;&gt;0,Tableau1[[#This Row],[DMS_SAP]]&lt;&gt;0)=TRUE,"MIS A JOUR","")</f>
        <v/>
      </c>
      <c r="AA885" s="48"/>
      <c r="AB885" s="58" t="str">
        <f ca="1">IF(Tableau1[[#This Row],[Date rév.]]&lt;&gt;"", DAYS360(Tableau1[[#This Row],[Date rév.]],TODAY()),"")</f>
        <v/>
      </c>
      <c r="AC885" s="47" t="str">
        <f>IFERROR(INDEX(Chemin_accès!$B$11:$C$22,MATCH(Tableau1[[#This Row],[Type]],Chemin_accès!$C$11:$C$22,0),1),Chemin_accès!$B$11)</f>
        <v>\\stjn.local\trimet\Btechnique\Commun\BT Maint SCELLEMENT\205 - Préventifs\Modèles préventif\GammeDMS_7.MSCT.xlsm</v>
      </c>
      <c r="AD885" s="47" t="str">
        <f>Chemin_accès!$B$8&amp;Tableau1[[#This Row],[Localisation / Classement]]&amp;"\"&amp;Tableau1[[#This Row],[Poste technique]]&amp;"_"&amp;Tableau1[[#This Row],[Plan Entretien]]&amp;".xlsm"</f>
        <v>\\stjn.local\trimet\Btechnique\Commun\BT Maint SCELLEMENT\205 - Préventifs\Gammes 7.MSCT PE Tool\\_.xlsm</v>
      </c>
    </row>
    <row r="886" spans="1:30" x14ac:dyDescent="0.3">
      <c r="A886" s="44" t="str">
        <f t="shared" ca="1" si="13"/>
        <v>7.MSCT</v>
      </c>
      <c r="B8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6" s="46"/>
      <c r="D886" s="44"/>
      <c r="E886" s="44"/>
      <c r="F886" s="47"/>
      <c r="G886" s="47"/>
      <c r="H886" s="50"/>
      <c r="I886" s="50"/>
      <c r="J886" s="50"/>
      <c r="K886" s="50"/>
      <c r="L886" s="46"/>
      <c r="M886" s="47"/>
      <c r="N886" s="46"/>
      <c r="O886" s="46"/>
      <c r="P886" s="47"/>
      <c r="Q886" s="46"/>
      <c r="R886" s="46"/>
      <c r="S886" s="48"/>
      <c r="T886" s="61" t="str">
        <f>IF(Tableau1[[#This Row],[DMS_SAP]]="","",HYPERLINK(Tableau1[[#This Row],[Chemin fichier source]],"X"))</f>
        <v/>
      </c>
      <c r="U886" s="61" t="str">
        <f>IF(Tableau1[[#This Row],[Date rév.]]="","",HYPERLINK(Tableau1[[#This Row],[Lien document]],"X"))</f>
        <v/>
      </c>
      <c r="V886" s="47"/>
      <c r="W886" s="49" t="str">
        <f ca="1">Chemin_accès!$B$2&amp;Tableau1[[#This Row],[Poste Responsable]]&amp;"\"&amp;Tableau1[[#This Row],[Localisation / Classement]]&amp;"\"&amp;Tableau1[[#This Row],[Poste technique]]&amp;"_"&amp;Tableau1[[#This Row],[Plan Entretien]]&amp;".pdf"</f>
        <v>\\stjn.local\trimet\Donnees_Projets\Dms Sap\Maintenance\PlanEntretien\7.MSCT\\_.pdf</v>
      </c>
      <c r="X886" s="47"/>
      <c r="Y886" s="47"/>
      <c r="Z886" s="44" t="str">
        <f ca="1">IF(AND(Tableau1[[#This Row],[Charge]]&lt;&gt;0, Tableau1[[#This Row],[Nombre intervenants]]&lt;&gt;0,Tableau1[[#This Row],[Lien document]]&lt;&gt;0,Tableau1[[#This Row],[DMS_SAP]]&lt;&gt;0)=TRUE,"MIS A JOUR","")</f>
        <v/>
      </c>
      <c r="AA886" s="48"/>
      <c r="AB886" s="58" t="str">
        <f ca="1">IF(Tableau1[[#This Row],[Date rév.]]&lt;&gt;"", DAYS360(Tableau1[[#This Row],[Date rév.]],TODAY()),"")</f>
        <v/>
      </c>
      <c r="AC886" s="47" t="str">
        <f>IFERROR(INDEX(Chemin_accès!$B$11:$C$22,MATCH(Tableau1[[#This Row],[Type]],Chemin_accès!$C$11:$C$22,0),1),Chemin_accès!$B$11)</f>
        <v>\\stjn.local\trimet\Btechnique\Commun\BT Maint SCELLEMENT\205 - Préventifs\Modèles préventif\GammeDMS_7.MSCT.xlsm</v>
      </c>
      <c r="AD886" s="47" t="str">
        <f>Chemin_accès!$B$8&amp;Tableau1[[#This Row],[Localisation / Classement]]&amp;"\"&amp;Tableau1[[#This Row],[Poste technique]]&amp;"_"&amp;Tableau1[[#This Row],[Plan Entretien]]&amp;".xlsm"</f>
        <v>\\stjn.local\trimet\Btechnique\Commun\BT Maint SCELLEMENT\205 - Préventifs\Gammes 7.MSCT PE Tool\\_.xlsm</v>
      </c>
    </row>
    <row r="887" spans="1:30" x14ac:dyDescent="0.3">
      <c r="A887" s="44" t="str">
        <f t="shared" ca="1" si="13"/>
        <v>7.MSCT</v>
      </c>
      <c r="B8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7" s="46"/>
      <c r="D887" s="44"/>
      <c r="E887" s="44"/>
      <c r="F887" s="47"/>
      <c r="G887" s="47"/>
      <c r="H887" s="50"/>
      <c r="I887" s="50"/>
      <c r="J887" s="50"/>
      <c r="K887" s="50"/>
      <c r="L887" s="46"/>
      <c r="M887" s="47"/>
      <c r="N887" s="46"/>
      <c r="O887" s="46"/>
      <c r="P887" s="47"/>
      <c r="Q887" s="46"/>
      <c r="R887" s="46"/>
      <c r="S887" s="48"/>
      <c r="T887" s="61" t="str">
        <f>IF(Tableau1[[#This Row],[DMS_SAP]]="","",HYPERLINK(Tableau1[[#This Row],[Chemin fichier source]],"X"))</f>
        <v/>
      </c>
      <c r="U887" s="61" t="str">
        <f>IF(Tableau1[[#This Row],[Date rév.]]="","",HYPERLINK(Tableau1[[#This Row],[Lien document]],"X"))</f>
        <v/>
      </c>
      <c r="V887" s="47"/>
      <c r="W887" s="49" t="str">
        <f ca="1">Chemin_accès!$B$2&amp;Tableau1[[#This Row],[Poste Responsable]]&amp;"\"&amp;Tableau1[[#This Row],[Localisation / Classement]]&amp;"\"&amp;Tableau1[[#This Row],[Poste technique]]&amp;"_"&amp;Tableau1[[#This Row],[Plan Entretien]]&amp;".pdf"</f>
        <v>\\stjn.local\trimet\Donnees_Projets\Dms Sap\Maintenance\PlanEntretien\7.MSCT\\_.pdf</v>
      </c>
      <c r="X887" s="47"/>
      <c r="Y887" s="47"/>
      <c r="Z887" s="44" t="str">
        <f ca="1">IF(AND(Tableau1[[#This Row],[Charge]]&lt;&gt;0, Tableau1[[#This Row],[Nombre intervenants]]&lt;&gt;0,Tableau1[[#This Row],[Lien document]]&lt;&gt;0,Tableau1[[#This Row],[DMS_SAP]]&lt;&gt;0)=TRUE,"MIS A JOUR","")</f>
        <v/>
      </c>
      <c r="AA887" s="48"/>
      <c r="AB887" s="58" t="str">
        <f ca="1">IF(Tableau1[[#This Row],[Date rév.]]&lt;&gt;"", DAYS360(Tableau1[[#This Row],[Date rév.]],TODAY()),"")</f>
        <v/>
      </c>
      <c r="AC887" s="47" t="str">
        <f>IFERROR(INDEX(Chemin_accès!$B$11:$C$22,MATCH(Tableau1[[#This Row],[Type]],Chemin_accès!$C$11:$C$22,0),1),Chemin_accès!$B$11)</f>
        <v>\\stjn.local\trimet\Btechnique\Commun\BT Maint SCELLEMENT\205 - Préventifs\Modèles préventif\GammeDMS_7.MSCT.xlsm</v>
      </c>
      <c r="AD887" s="47" t="str">
        <f>Chemin_accès!$B$8&amp;Tableau1[[#This Row],[Localisation / Classement]]&amp;"\"&amp;Tableau1[[#This Row],[Poste technique]]&amp;"_"&amp;Tableau1[[#This Row],[Plan Entretien]]&amp;".xlsm"</f>
        <v>\\stjn.local\trimet\Btechnique\Commun\BT Maint SCELLEMENT\205 - Préventifs\Gammes 7.MSCT PE Tool\\_.xlsm</v>
      </c>
    </row>
    <row r="888" spans="1:30" x14ac:dyDescent="0.3">
      <c r="A888" s="44" t="str">
        <f t="shared" ca="1" si="13"/>
        <v>7.MSCT</v>
      </c>
      <c r="B8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8" s="46"/>
      <c r="D888" s="44"/>
      <c r="E888" s="44"/>
      <c r="F888" s="47"/>
      <c r="G888" s="47"/>
      <c r="H888" s="50"/>
      <c r="I888" s="50"/>
      <c r="J888" s="50"/>
      <c r="K888" s="50"/>
      <c r="L888" s="46"/>
      <c r="M888" s="47"/>
      <c r="N888" s="46"/>
      <c r="O888" s="46"/>
      <c r="P888" s="47"/>
      <c r="Q888" s="46"/>
      <c r="R888" s="46"/>
      <c r="S888" s="48"/>
      <c r="T888" s="61" t="str">
        <f>IF(Tableau1[[#This Row],[DMS_SAP]]="","",HYPERLINK(Tableau1[[#This Row],[Chemin fichier source]],"X"))</f>
        <v/>
      </c>
      <c r="U888" s="61" t="str">
        <f>IF(Tableau1[[#This Row],[Date rév.]]="","",HYPERLINK(Tableau1[[#This Row],[Lien document]],"X"))</f>
        <v/>
      </c>
      <c r="V888" s="47"/>
      <c r="W888" s="49" t="str">
        <f ca="1">Chemin_accès!$B$2&amp;Tableau1[[#This Row],[Poste Responsable]]&amp;"\"&amp;Tableau1[[#This Row],[Localisation / Classement]]&amp;"\"&amp;Tableau1[[#This Row],[Poste technique]]&amp;"_"&amp;Tableau1[[#This Row],[Plan Entretien]]&amp;".pdf"</f>
        <v>\\stjn.local\trimet\Donnees_Projets\Dms Sap\Maintenance\PlanEntretien\7.MSCT\\_.pdf</v>
      </c>
      <c r="X888" s="47"/>
      <c r="Y888" s="47"/>
      <c r="Z888" s="44" t="str">
        <f ca="1">IF(AND(Tableau1[[#This Row],[Charge]]&lt;&gt;0, Tableau1[[#This Row],[Nombre intervenants]]&lt;&gt;0,Tableau1[[#This Row],[Lien document]]&lt;&gt;0,Tableau1[[#This Row],[DMS_SAP]]&lt;&gt;0)=TRUE,"MIS A JOUR","")</f>
        <v/>
      </c>
      <c r="AA888" s="48"/>
      <c r="AB888" s="58" t="str">
        <f ca="1">IF(Tableau1[[#This Row],[Date rév.]]&lt;&gt;"", DAYS360(Tableau1[[#This Row],[Date rév.]],TODAY()),"")</f>
        <v/>
      </c>
      <c r="AC888" s="47" t="str">
        <f>IFERROR(INDEX(Chemin_accès!$B$11:$C$22,MATCH(Tableau1[[#This Row],[Type]],Chemin_accès!$C$11:$C$22,0),1),Chemin_accès!$B$11)</f>
        <v>\\stjn.local\trimet\Btechnique\Commun\BT Maint SCELLEMENT\205 - Préventifs\Modèles préventif\GammeDMS_7.MSCT.xlsm</v>
      </c>
      <c r="AD888" s="47" t="str">
        <f>Chemin_accès!$B$8&amp;Tableau1[[#This Row],[Localisation / Classement]]&amp;"\"&amp;Tableau1[[#This Row],[Poste technique]]&amp;"_"&amp;Tableau1[[#This Row],[Plan Entretien]]&amp;".xlsm"</f>
        <v>\\stjn.local\trimet\Btechnique\Commun\BT Maint SCELLEMENT\205 - Préventifs\Gammes 7.MSCT PE Tool\\_.xlsm</v>
      </c>
    </row>
    <row r="889" spans="1:30" x14ac:dyDescent="0.3">
      <c r="A889" s="44" t="str">
        <f t="shared" ca="1" si="13"/>
        <v>7.MSCT</v>
      </c>
      <c r="B8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9" s="46"/>
      <c r="D889" s="44"/>
      <c r="E889" s="44"/>
      <c r="F889" s="47"/>
      <c r="G889" s="47"/>
      <c r="H889" s="50"/>
      <c r="I889" s="50"/>
      <c r="J889" s="50"/>
      <c r="K889" s="50"/>
      <c r="L889" s="46"/>
      <c r="M889" s="47"/>
      <c r="N889" s="46"/>
      <c r="O889" s="46"/>
      <c r="P889" s="47"/>
      <c r="Q889" s="46"/>
      <c r="R889" s="46"/>
      <c r="S889" s="48"/>
      <c r="T889" s="61" t="str">
        <f>IF(Tableau1[[#This Row],[DMS_SAP]]="","",HYPERLINK(Tableau1[[#This Row],[Chemin fichier source]],"X"))</f>
        <v/>
      </c>
      <c r="U889" s="61" t="str">
        <f>IF(Tableau1[[#This Row],[Date rév.]]="","",HYPERLINK(Tableau1[[#This Row],[Lien document]],"X"))</f>
        <v/>
      </c>
      <c r="V889" s="47"/>
      <c r="W889" s="49" t="str">
        <f ca="1">Chemin_accès!$B$2&amp;Tableau1[[#This Row],[Poste Responsable]]&amp;"\"&amp;Tableau1[[#This Row],[Localisation / Classement]]&amp;"\"&amp;Tableau1[[#This Row],[Poste technique]]&amp;"_"&amp;Tableau1[[#This Row],[Plan Entretien]]&amp;".pdf"</f>
        <v>\\stjn.local\trimet\Donnees_Projets\Dms Sap\Maintenance\PlanEntretien\7.MSCT\\_.pdf</v>
      </c>
      <c r="X889" s="47"/>
      <c r="Y889" s="47"/>
      <c r="Z889" s="44" t="str">
        <f ca="1">IF(AND(Tableau1[[#This Row],[Charge]]&lt;&gt;0, Tableau1[[#This Row],[Nombre intervenants]]&lt;&gt;0,Tableau1[[#This Row],[Lien document]]&lt;&gt;0,Tableau1[[#This Row],[DMS_SAP]]&lt;&gt;0)=TRUE,"MIS A JOUR","")</f>
        <v/>
      </c>
      <c r="AA889" s="48"/>
      <c r="AB889" s="58" t="str">
        <f ca="1">IF(Tableau1[[#This Row],[Date rév.]]&lt;&gt;"", DAYS360(Tableau1[[#This Row],[Date rév.]],TODAY()),"")</f>
        <v/>
      </c>
      <c r="AC889" s="47" t="str">
        <f>IFERROR(INDEX(Chemin_accès!$B$11:$C$22,MATCH(Tableau1[[#This Row],[Type]],Chemin_accès!$C$11:$C$22,0),1),Chemin_accès!$B$11)</f>
        <v>\\stjn.local\trimet\Btechnique\Commun\BT Maint SCELLEMENT\205 - Préventifs\Modèles préventif\GammeDMS_7.MSCT.xlsm</v>
      </c>
      <c r="AD889" s="47" t="str">
        <f>Chemin_accès!$B$8&amp;Tableau1[[#This Row],[Localisation / Classement]]&amp;"\"&amp;Tableau1[[#This Row],[Poste technique]]&amp;"_"&amp;Tableau1[[#This Row],[Plan Entretien]]&amp;".xlsm"</f>
        <v>\\stjn.local\trimet\Btechnique\Commun\BT Maint SCELLEMENT\205 - Préventifs\Gammes 7.MSCT PE Tool\\_.xlsm</v>
      </c>
    </row>
    <row r="890" spans="1:30" x14ac:dyDescent="0.3">
      <c r="A890" s="44" t="str">
        <f t="shared" ca="1" si="13"/>
        <v>7.MSCT</v>
      </c>
      <c r="B8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0" s="46"/>
      <c r="D890" s="44"/>
      <c r="E890" s="44"/>
      <c r="F890" s="47"/>
      <c r="G890" s="47"/>
      <c r="H890" s="50"/>
      <c r="I890" s="50"/>
      <c r="J890" s="50"/>
      <c r="K890" s="50"/>
      <c r="L890" s="46"/>
      <c r="M890" s="47"/>
      <c r="N890" s="46"/>
      <c r="O890" s="46"/>
      <c r="P890" s="47"/>
      <c r="Q890" s="46"/>
      <c r="R890" s="46"/>
      <c r="S890" s="48"/>
      <c r="T890" s="61" t="str">
        <f>IF(Tableau1[[#This Row],[DMS_SAP]]="","",HYPERLINK(Tableau1[[#This Row],[Chemin fichier source]],"X"))</f>
        <v/>
      </c>
      <c r="U890" s="61" t="str">
        <f>IF(Tableau1[[#This Row],[Date rév.]]="","",HYPERLINK(Tableau1[[#This Row],[Lien document]],"X"))</f>
        <v/>
      </c>
      <c r="V890" s="47"/>
      <c r="W890" s="49" t="str">
        <f ca="1">Chemin_accès!$B$2&amp;Tableau1[[#This Row],[Poste Responsable]]&amp;"\"&amp;Tableau1[[#This Row],[Localisation / Classement]]&amp;"\"&amp;Tableau1[[#This Row],[Poste technique]]&amp;"_"&amp;Tableau1[[#This Row],[Plan Entretien]]&amp;".pdf"</f>
        <v>\\stjn.local\trimet\Donnees_Projets\Dms Sap\Maintenance\PlanEntretien\7.MSCT\\_.pdf</v>
      </c>
      <c r="X890" s="47"/>
      <c r="Y890" s="47"/>
      <c r="Z890" s="44" t="str">
        <f ca="1">IF(AND(Tableau1[[#This Row],[Charge]]&lt;&gt;0, Tableau1[[#This Row],[Nombre intervenants]]&lt;&gt;0,Tableau1[[#This Row],[Lien document]]&lt;&gt;0,Tableau1[[#This Row],[DMS_SAP]]&lt;&gt;0)=TRUE,"MIS A JOUR","")</f>
        <v/>
      </c>
      <c r="AA890" s="48"/>
      <c r="AB890" s="58" t="str">
        <f ca="1">IF(Tableau1[[#This Row],[Date rév.]]&lt;&gt;"", DAYS360(Tableau1[[#This Row],[Date rév.]],TODAY()),"")</f>
        <v/>
      </c>
      <c r="AC890" s="47" t="str">
        <f>IFERROR(INDEX(Chemin_accès!$B$11:$C$22,MATCH(Tableau1[[#This Row],[Type]],Chemin_accès!$C$11:$C$22,0),1),Chemin_accès!$B$11)</f>
        <v>\\stjn.local\trimet\Btechnique\Commun\BT Maint SCELLEMENT\205 - Préventifs\Modèles préventif\GammeDMS_7.MSCT.xlsm</v>
      </c>
      <c r="AD890" s="47" t="str">
        <f>Chemin_accès!$B$8&amp;Tableau1[[#This Row],[Localisation / Classement]]&amp;"\"&amp;Tableau1[[#This Row],[Poste technique]]&amp;"_"&amp;Tableau1[[#This Row],[Plan Entretien]]&amp;".xlsm"</f>
        <v>\\stjn.local\trimet\Btechnique\Commun\BT Maint SCELLEMENT\205 - Préventifs\Gammes 7.MSCT PE Tool\\_.xlsm</v>
      </c>
    </row>
    <row r="891" spans="1:30" x14ac:dyDescent="0.3">
      <c r="A891" s="44" t="str">
        <f t="shared" ca="1" si="13"/>
        <v>7.MSCT</v>
      </c>
      <c r="B8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1" s="46"/>
      <c r="D891" s="44"/>
      <c r="E891" s="44"/>
      <c r="F891" s="47"/>
      <c r="G891" s="47"/>
      <c r="H891" s="50"/>
      <c r="I891" s="50"/>
      <c r="J891" s="50"/>
      <c r="K891" s="50"/>
      <c r="L891" s="46"/>
      <c r="M891" s="47"/>
      <c r="N891" s="46"/>
      <c r="O891" s="46"/>
      <c r="P891" s="47"/>
      <c r="Q891" s="46"/>
      <c r="R891" s="46"/>
      <c r="S891" s="48"/>
      <c r="T891" s="61" t="str">
        <f>IF(Tableau1[[#This Row],[DMS_SAP]]="","",HYPERLINK(Tableau1[[#This Row],[Chemin fichier source]],"X"))</f>
        <v/>
      </c>
      <c r="U891" s="61" t="str">
        <f>IF(Tableau1[[#This Row],[Date rév.]]="","",HYPERLINK(Tableau1[[#This Row],[Lien document]],"X"))</f>
        <v/>
      </c>
      <c r="V891" s="47"/>
      <c r="W891" s="49" t="str">
        <f ca="1">Chemin_accès!$B$2&amp;Tableau1[[#This Row],[Poste Responsable]]&amp;"\"&amp;Tableau1[[#This Row],[Localisation / Classement]]&amp;"\"&amp;Tableau1[[#This Row],[Poste technique]]&amp;"_"&amp;Tableau1[[#This Row],[Plan Entretien]]&amp;".pdf"</f>
        <v>\\stjn.local\trimet\Donnees_Projets\Dms Sap\Maintenance\PlanEntretien\7.MSCT\\_.pdf</v>
      </c>
      <c r="X891" s="47"/>
      <c r="Y891" s="47"/>
      <c r="Z891" s="44" t="str">
        <f ca="1">IF(AND(Tableau1[[#This Row],[Charge]]&lt;&gt;0, Tableau1[[#This Row],[Nombre intervenants]]&lt;&gt;0,Tableau1[[#This Row],[Lien document]]&lt;&gt;0,Tableau1[[#This Row],[DMS_SAP]]&lt;&gt;0)=TRUE,"MIS A JOUR","")</f>
        <v/>
      </c>
      <c r="AA891" s="48"/>
      <c r="AB891" s="58" t="str">
        <f ca="1">IF(Tableau1[[#This Row],[Date rév.]]&lt;&gt;"", DAYS360(Tableau1[[#This Row],[Date rév.]],TODAY()),"")</f>
        <v/>
      </c>
      <c r="AC891" s="47" t="str">
        <f>IFERROR(INDEX(Chemin_accès!$B$11:$C$22,MATCH(Tableau1[[#This Row],[Type]],Chemin_accès!$C$11:$C$22,0),1),Chemin_accès!$B$11)</f>
        <v>\\stjn.local\trimet\Btechnique\Commun\BT Maint SCELLEMENT\205 - Préventifs\Modèles préventif\GammeDMS_7.MSCT.xlsm</v>
      </c>
      <c r="AD891" s="47" t="str">
        <f>Chemin_accès!$B$8&amp;Tableau1[[#This Row],[Localisation / Classement]]&amp;"\"&amp;Tableau1[[#This Row],[Poste technique]]&amp;"_"&amp;Tableau1[[#This Row],[Plan Entretien]]&amp;".xlsm"</f>
        <v>\\stjn.local\trimet\Btechnique\Commun\BT Maint SCELLEMENT\205 - Préventifs\Gammes 7.MSCT PE Tool\\_.xlsm</v>
      </c>
    </row>
    <row r="892" spans="1:30" x14ac:dyDescent="0.3">
      <c r="A892" s="44" t="str">
        <f t="shared" ca="1" si="13"/>
        <v>7.MSCT</v>
      </c>
      <c r="B8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2" s="46"/>
      <c r="D892" s="44"/>
      <c r="E892" s="44"/>
      <c r="F892" s="47"/>
      <c r="G892" s="47"/>
      <c r="H892" s="50"/>
      <c r="I892" s="50"/>
      <c r="J892" s="50"/>
      <c r="K892" s="50"/>
      <c r="L892" s="46"/>
      <c r="M892" s="47"/>
      <c r="N892" s="46"/>
      <c r="O892" s="46"/>
      <c r="P892" s="47"/>
      <c r="Q892" s="46"/>
      <c r="R892" s="46"/>
      <c r="S892" s="48"/>
      <c r="T892" s="61" t="str">
        <f>IF(Tableau1[[#This Row],[DMS_SAP]]="","",HYPERLINK(Tableau1[[#This Row],[Chemin fichier source]],"X"))</f>
        <v/>
      </c>
      <c r="U892" s="61" t="str">
        <f>IF(Tableau1[[#This Row],[Date rév.]]="","",HYPERLINK(Tableau1[[#This Row],[Lien document]],"X"))</f>
        <v/>
      </c>
      <c r="V892" s="47"/>
      <c r="W892" s="49" t="str">
        <f ca="1">Chemin_accès!$B$2&amp;Tableau1[[#This Row],[Poste Responsable]]&amp;"\"&amp;Tableau1[[#This Row],[Localisation / Classement]]&amp;"\"&amp;Tableau1[[#This Row],[Poste technique]]&amp;"_"&amp;Tableau1[[#This Row],[Plan Entretien]]&amp;".pdf"</f>
        <v>\\stjn.local\trimet\Donnees_Projets\Dms Sap\Maintenance\PlanEntretien\7.MSCT\\_.pdf</v>
      </c>
      <c r="X892" s="47"/>
      <c r="Y892" s="47"/>
      <c r="Z892" s="44" t="str">
        <f ca="1">IF(AND(Tableau1[[#This Row],[Charge]]&lt;&gt;0, Tableau1[[#This Row],[Nombre intervenants]]&lt;&gt;0,Tableau1[[#This Row],[Lien document]]&lt;&gt;0,Tableau1[[#This Row],[DMS_SAP]]&lt;&gt;0)=TRUE,"MIS A JOUR","")</f>
        <v/>
      </c>
      <c r="AA892" s="48"/>
      <c r="AB892" s="58" t="str">
        <f ca="1">IF(Tableau1[[#This Row],[Date rév.]]&lt;&gt;"", DAYS360(Tableau1[[#This Row],[Date rév.]],TODAY()),"")</f>
        <v/>
      </c>
      <c r="AC892" s="47" t="str">
        <f>IFERROR(INDEX(Chemin_accès!$B$11:$C$22,MATCH(Tableau1[[#This Row],[Type]],Chemin_accès!$C$11:$C$22,0),1),Chemin_accès!$B$11)</f>
        <v>\\stjn.local\trimet\Btechnique\Commun\BT Maint SCELLEMENT\205 - Préventifs\Modèles préventif\GammeDMS_7.MSCT.xlsm</v>
      </c>
      <c r="AD892" s="47" t="str">
        <f>Chemin_accès!$B$8&amp;Tableau1[[#This Row],[Localisation / Classement]]&amp;"\"&amp;Tableau1[[#This Row],[Poste technique]]&amp;"_"&amp;Tableau1[[#This Row],[Plan Entretien]]&amp;".xlsm"</f>
        <v>\\stjn.local\trimet\Btechnique\Commun\BT Maint SCELLEMENT\205 - Préventifs\Gammes 7.MSCT PE Tool\\_.xlsm</v>
      </c>
    </row>
    <row r="893" spans="1:30" x14ac:dyDescent="0.3">
      <c r="A893" s="44" t="str">
        <f t="shared" ca="1" si="13"/>
        <v>7.MSCT</v>
      </c>
      <c r="B8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3" s="46"/>
      <c r="D893" s="44"/>
      <c r="E893" s="44"/>
      <c r="F893" s="47"/>
      <c r="G893" s="47"/>
      <c r="H893" s="50"/>
      <c r="I893" s="50"/>
      <c r="J893" s="50"/>
      <c r="K893" s="50"/>
      <c r="L893" s="46"/>
      <c r="M893" s="47"/>
      <c r="N893" s="46"/>
      <c r="O893" s="46"/>
      <c r="P893" s="47"/>
      <c r="Q893" s="46"/>
      <c r="R893" s="46"/>
      <c r="S893" s="48"/>
      <c r="T893" s="61" t="str">
        <f>IF(Tableau1[[#This Row],[DMS_SAP]]="","",HYPERLINK(Tableau1[[#This Row],[Chemin fichier source]],"X"))</f>
        <v/>
      </c>
      <c r="U893" s="61" t="str">
        <f>IF(Tableau1[[#This Row],[Date rév.]]="","",HYPERLINK(Tableau1[[#This Row],[Lien document]],"X"))</f>
        <v/>
      </c>
      <c r="V893" s="47"/>
      <c r="W893" s="49" t="str">
        <f ca="1">Chemin_accès!$B$2&amp;Tableau1[[#This Row],[Poste Responsable]]&amp;"\"&amp;Tableau1[[#This Row],[Localisation / Classement]]&amp;"\"&amp;Tableau1[[#This Row],[Poste technique]]&amp;"_"&amp;Tableau1[[#This Row],[Plan Entretien]]&amp;".pdf"</f>
        <v>\\stjn.local\trimet\Donnees_Projets\Dms Sap\Maintenance\PlanEntretien\7.MSCT\\_.pdf</v>
      </c>
      <c r="X893" s="47"/>
      <c r="Y893" s="47"/>
      <c r="Z893" s="44" t="str">
        <f ca="1">IF(AND(Tableau1[[#This Row],[Charge]]&lt;&gt;0, Tableau1[[#This Row],[Nombre intervenants]]&lt;&gt;0,Tableau1[[#This Row],[Lien document]]&lt;&gt;0,Tableau1[[#This Row],[DMS_SAP]]&lt;&gt;0)=TRUE,"MIS A JOUR","")</f>
        <v/>
      </c>
      <c r="AA893" s="48"/>
      <c r="AB893" s="58" t="str">
        <f ca="1">IF(Tableau1[[#This Row],[Date rév.]]&lt;&gt;"", DAYS360(Tableau1[[#This Row],[Date rév.]],TODAY()),"")</f>
        <v/>
      </c>
      <c r="AC893" s="47" t="str">
        <f>IFERROR(INDEX(Chemin_accès!$B$11:$C$22,MATCH(Tableau1[[#This Row],[Type]],Chemin_accès!$C$11:$C$22,0),1),Chemin_accès!$B$11)</f>
        <v>\\stjn.local\trimet\Btechnique\Commun\BT Maint SCELLEMENT\205 - Préventifs\Modèles préventif\GammeDMS_7.MSCT.xlsm</v>
      </c>
      <c r="AD893" s="47" t="str">
        <f>Chemin_accès!$B$8&amp;Tableau1[[#This Row],[Localisation / Classement]]&amp;"\"&amp;Tableau1[[#This Row],[Poste technique]]&amp;"_"&amp;Tableau1[[#This Row],[Plan Entretien]]&amp;".xlsm"</f>
        <v>\\stjn.local\trimet\Btechnique\Commun\BT Maint SCELLEMENT\205 - Préventifs\Gammes 7.MSCT PE Tool\\_.xlsm</v>
      </c>
    </row>
    <row r="894" spans="1:30" x14ac:dyDescent="0.3">
      <c r="A894" s="44" t="str">
        <f t="shared" ca="1" si="13"/>
        <v>7.MSCT</v>
      </c>
      <c r="B8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4" s="46"/>
      <c r="D894" s="44"/>
      <c r="E894" s="44"/>
      <c r="F894" s="47"/>
      <c r="G894" s="47"/>
      <c r="H894" s="50"/>
      <c r="I894" s="50"/>
      <c r="J894" s="50"/>
      <c r="K894" s="50"/>
      <c r="L894" s="46"/>
      <c r="M894" s="47"/>
      <c r="N894" s="46"/>
      <c r="O894" s="46"/>
      <c r="P894" s="47"/>
      <c r="Q894" s="46"/>
      <c r="R894" s="46"/>
      <c r="S894" s="48"/>
      <c r="T894" s="61" t="str">
        <f>IF(Tableau1[[#This Row],[DMS_SAP]]="","",HYPERLINK(Tableau1[[#This Row],[Chemin fichier source]],"X"))</f>
        <v/>
      </c>
      <c r="U894" s="61" t="str">
        <f>IF(Tableau1[[#This Row],[Date rév.]]="","",HYPERLINK(Tableau1[[#This Row],[Lien document]],"X"))</f>
        <v/>
      </c>
      <c r="V894" s="47"/>
      <c r="W894" s="49" t="str">
        <f ca="1">Chemin_accès!$B$2&amp;Tableau1[[#This Row],[Poste Responsable]]&amp;"\"&amp;Tableau1[[#This Row],[Localisation / Classement]]&amp;"\"&amp;Tableau1[[#This Row],[Poste technique]]&amp;"_"&amp;Tableau1[[#This Row],[Plan Entretien]]&amp;".pdf"</f>
        <v>\\stjn.local\trimet\Donnees_Projets\Dms Sap\Maintenance\PlanEntretien\7.MSCT\\_.pdf</v>
      </c>
      <c r="X894" s="47"/>
      <c r="Y894" s="47"/>
      <c r="Z894" s="44" t="str">
        <f ca="1">IF(AND(Tableau1[[#This Row],[Charge]]&lt;&gt;0, Tableau1[[#This Row],[Nombre intervenants]]&lt;&gt;0,Tableau1[[#This Row],[Lien document]]&lt;&gt;0,Tableau1[[#This Row],[DMS_SAP]]&lt;&gt;0)=TRUE,"MIS A JOUR","")</f>
        <v/>
      </c>
      <c r="AA894" s="48"/>
      <c r="AB894" s="58" t="str">
        <f ca="1">IF(Tableau1[[#This Row],[Date rév.]]&lt;&gt;"", DAYS360(Tableau1[[#This Row],[Date rév.]],TODAY()),"")</f>
        <v/>
      </c>
      <c r="AC894" s="47" t="str">
        <f>IFERROR(INDEX(Chemin_accès!$B$11:$C$22,MATCH(Tableau1[[#This Row],[Type]],Chemin_accès!$C$11:$C$22,0),1),Chemin_accès!$B$11)</f>
        <v>\\stjn.local\trimet\Btechnique\Commun\BT Maint SCELLEMENT\205 - Préventifs\Modèles préventif\GammeDMS_7.MSCT.xlsm</v>
      </c>
      <c r="AD894" s="47" t="str">
        <f>Chemin_accès!$B$8&amp;Tableau1[[#This Row],[Localisation / Classement]]&amp;"\"&amp;Tableau1[[#This Row],[Poste technique]]&amp;"_"&amp;Tableau1[[#This Row],[Plan Entretien]]&amp;".xlsm"</f>
        <v>\\stjn.local\trimet\Btechnique\Commun\BT Maint SCELLEMENT\205 - Préventifs\Gammes 7.MSCT PE Tool\\_.xlsm</v>
      </c>
    </row>
    <row r="895" spans="1:30" x14ac:dyDescent="0.3">
      <c r="A895" s="44" t="str">
        <f t="shared" ca="1" si="13"/>
        <v>7.MSCT</v>
      </c>
      <c r="B8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5" s="46"/>
      <c r="D895" s="44"/>
      <c r="E895" s="44"/>
      <c r="F895" s="47"/>
      <c r="G895" s="47"/>
      <c r="H895" s="50"/>
      <c r="I895" s="50"/>
      <c r="J895" s="50"/>
      <c r="K895" s="50"/>
      <c r="L895" s="46"/>
      <c r="M895" s="47"/>
      <c r="N895" s="46"/>
      <c r="O895" s="46"/>
      <c r="P895" s="47"/>
      <c r="Q895" s="46"/>
      <c r="R895" s="46"/>
      <c r="S895" s="48"/>
      <c r="T895" s="61" t="str">
        <f>IF(Tableau1[[#This Row],[DMS_SAP]]="","",HYPERLINK(Tableau1[[#This Row],[Chemin fichier source]],"X"))</f>
        <v/>
      </c>
      <c r="U895" s="61" t="str">
        <f>IF(Tableau1[[#This Row],[Date rév.]]="","",HYPERLINK(Tableau1[[#This Row],[Lien document]],"X"))</f>
        <v/>
      </c>
      <c r="V895" s="47"/>
      <c r="W895" s="49" t="str">
        <f ca="1">Chemin_accès!$B$2&amp;Tableau1[[#This Row],[Poste Responsable]]&amp;"\"&amp;Tableau1[[#This Row],[Localisation / Classement]]&amp;"\"&amp;Tableau1[[#This Row],[Poste technique]]&amp;"_"&amp;Tableau1[[#This Row],[Plan Entretien]]&amp;".pdf"</f>
        <v>\\stjn.local\trimet\Donnees_Projets\Dms Sap\Maintenance\PlanEntretien\7.MSCT\\_.pdf</v>
      </c>
      <c r="X895" s="47"/>
      <c r="Y895" s="47"/>
      <c r="Z895" s="44" t="str">
        <f ca="1">IF(AND(Tableau1[[#This Row],[Charge]]&lt;&gt;0, Tableau1[[#This Row],[Nombre intervenants]]&lt;&gt;0,Tableau1[[#This Row],[Lien document]]&lt;&gt;0,Tableau1[[#This Row],[DMS_SAP]]&lt;&gt;0)=TRUE,"MIS A JOUR","")</f>
        <v/>
      </c>
      <c r="AA895" s="48"/>
      <c r="AB895" s="58" t="str">
        <f ca="1">IF(Tableau1[[#This Row],[Date rév.]]&lt;&gt;"", DAYS360(Tableau1[[#This Row],[Date rév.]],TODAY()),"")</f>
        <v/>
      </c>
      <c r="AC895" s="47" t="str">
        <f>IFERROR(INDEX(Chemin_accès!$B$11:$C$22,MATCH(Tableau1[[#This Row],[Type]],Chemin_accès!$C$11:$C$22,0),1),Chemin_accès!$B$11)</f>
        <v>\\stjn.local\trimet\Btechnique\Commun\BT Maint SCELLEMENT\205 - Préventifs\Modèles préventif\GammeDMS_7.MSCT.xlsm</v>
      </c>
      <c r="AD895" s="47" t="str">
        <f>Chemin_accès!$B$8&amp;Tableau1[[#This Row],[Localisation / Classement]]&amp;"\"&amp;Tableau1[[#This Row],[Poste technique]]&amp;"_"&amp;Tableau1[[#This Row],[Plan Entretien]]&amp;".xlsm"</f>
        <v>\\stjn.local\trimet\Btechnique\Commun\BT Maint SCELLEMENT\205 - Préventifs\Gammes 7.MSCT PE Tool\\_.xlsm</v>
      </c>
    </row>
    <row r="896" spans="1:30" x14ac:dyDescent="0.3">
      <c r="A896" s="44" t="str">
        <f t="shared" ca="1" si="13"/>
        <v>7.MSCT</v>
      </c>
      <c r="B8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6" s="46"/>
      <c r="D896" s="44"/>
      <c r="E896" s="44"/>
      <c r="F896" s="47"/>
      <c r="G896" s="47"/>
      <c r="H896" s="50"/>
      <c r="I896" s="50"/>
      <c r="J896" s="50"/>
      <c r="K896" s="50"/>
      <c r="L896" s="46"/>
      <c r="M896" s="47"/>
      <c r="N896" s="46"/>
      <c r="O896" s="46"/>
      <c r="P896" s="47"/>
      <c r="Q896" s="46"/>
      <c r="R896" s="46"/>
      <c r="S896" s="48"/>
      <c r="T896" s="61" t="str">
        <f>IF(Tableau1[[#This Row],[DMS_SAP]]="","",HYPERLINK(Tableau1[[#This Row],[Chemin fichier source]],"X"))</f>
        <v/>
      </c>
      <c r="U896" s="61" t="str">
        <f>IF(Tableau1[[#This Row],[Date rév.]]="","",HYPERLINK(Tableau1[[#This Row],[Lien document]],"X"))</f>
        <v/>
      </c>
      <c r="V896" s="47"/>
      <c r="W896" s="49" t="str">
        <f ca="1">Chemin_accès!$B$2&amp;Tableau1[[#This Row],[Poste Responsable]]&amp;"\"&amp;Tableau1[[#This Row],[Localisation / Classement]]&amp;"\"&amp;Tableau1[[#This Row],[Poste technique]]&amp;"_"&amp;Tableau1[[#This Row],[Plan Entretien]]&amp;".pdf"</f>
        <v>\\stjn.local\trimet\Donnees_Projets\Dms Sap\Maintenance\PlanEntretien\7.MSCT\\_.pdf</v>
      </c>
      <c r="X896" s="47"/>
      <c r="Y896" s="47"/>
      <c r="Z896" s="44" t="str">
        <f ca="1">IF(AND(Tableau1[[#This Row],[Charge]]&lt;&gt;0, Tableau1[[#This Row],[Nombre intervenants]]&lt;&gt;0,Tableau1[[#This Row],[Lien document]]&lt;&gt;0,Tableau1[[#This Row],[DMS_SAP]]&lt;&gt;0)=TRUE,"MIS A JOUR","")</f>
        <v/>
      </c>
      <c r="AA896" s="48"/>
      <c r="AB896" s="58" t="str">
        <f ca="1">IF(Tableau1[[#This Row],[Date rév.]]&lt;&gt;"", DAYS360(Tableau1[[#This Row],[Date rév.]],TODAY()),"")</f>
        <v/>
      </c>
      <c r="AC896" s="47" t="str">
        <f>IFERROR(INDEX(Chemin_accès!$B$11:$C$22,MATCH(Tableau1[[#This Row],[Type]],Chemin_accès!$C$11:$C$22,0),1),Chemin_accès!$B$11)</f>
        <v>\\stjn.local\trimet\Btechnique\Commun\BT Maint SCELLEMENT\205 - Préventifs\Modèles préventif\GammeDMS_7.MSCT.xlsm</v>
      </c>
      <c r="AD896" s="47" t="str">
        <f>Chemin_accès!$B$8&amp;Tableau1[[#This Row],[Localisation / Classement]]&amp;"\"&amp;Tableau1[[#This Row],[Poste technique]]&amp;"_"&amp;Tableau1[[#This Row],[Plan Entretien]]&amp;".xlsm"</f>
        <v>\\stjn.local\trimet\Btechnique\Commun\BT Maint SCELLEMENT\205 - Préventifs\Gammes 7.MSCT PE Tool\\_.xlsm</v>
      </c>
    </row>
    <row r="897" spans="1:30" x14ac:dyDescent="0.3">
      <c r="A897" s="44" t="str">
        <f t="shared" ca="1" si="13"/>
        <v>7.MSCT</v>
      </c>
      <c r="B8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7" s="46"/>
      <c r="D897" s="44"/>
      <c r="E897" s="44"/>
      <c r="F897" s="47"/>
      <c r="G897" s="47"/>
      <c r="H897" s="50"/>
      <c r="I897" s="50"/>
      <c r="J897" s="50"/>
      <c r="K897" s="50"/>
      <c r="L897" s="46"/>
      <c r="M897" s="47"/>
      <c r="N897" s="46"/>
      <c r="O897" s="46"/>
      <c r="P897" s="47"/>
      <c r="Q897" s="46"/>
      <c r="R897" s="46"/>
      <c r="S897" s="48"/>
      <c r="T897" s="61" t="str">
        <f>IF(Tableau1[[#This Row],[DMS_SAP]]="","",HYPERLINK(Tableau1[[#This Row],[Chemin fichier source]],"X"))</f>
        <v/>
      </c>
      <c r="U897" s="61" t="str">
        <f>IF(Tableau1[[#This Row],[Date rév.]]="","",HYPERLINK(Tableau1[[#This Row],[Lien document]],"X"))</f>
        <v/>
      </c>
      <c r="V897" s="47"/>
      <c r="W897" s="49" t="str">
        <f ca="1">Chemin_accès!$B$2&amp;Tableau1[[#This Row],[Poste Responsable]]&amp;"\"&amp;Tableau1[[#This Row],[Localisation / Classement]]&amp;"\"&amp;Tableau1[[#This Row],[Poste technique]]&amp;"_"&amp;Tableau1[[#This Row],[Plan Entretien]]&amp;".pdf"</f>
        <v>\\stjn.local\trimet\Donnees_Projets\Dms Sap\Maintenance\PlanEntretien\7.MSCT\\_.pdf</v>
      </c>
      <c r="X897" s="47"/>
      <c r="Y897" s="47"/>
      <c r="Z897" s="44" t="str">
        <f ca="1">IF(AND(Tableau1[[#This Row],[Charge]]&lt;&gt;0, Tableau1[[#This Row],[Nombre intervenants]]&lt;&gt;0,Tableau1[[#This Row],[Lien document]]&lt;&gt;0,Tableau1[[#This Row],[DMS_SAP]]&lt;&gt;0)=TRUE,"MIS A JOUR","")</f>
        <v/>
      </c>
      <c r="AA897" s="48"/>
      <c r="AB897" s="58" t="str">
        <f ca="1">IF(Tableau1[[#This Row],[Date rév.]]&lt;&gt;"", DAYS360(Tableau1[[#This Row],[Date rév.]],TODAY()),"")</f>
        <v/>
      </c>
      <c r="AC897" s="47" t="str">
        <f>IFERROR(INDEX(Chemin_accès!$B$11:$C$22,MATCH(Tableau1[[#This Row],[Type]],Chemin_accès!$C$11:$C$22,0),1),Chemin_accès!$B$11)</f>
        <v>\\stjn.local\trimet\Btechnique\Commun\BT Maint SCELLEMENT\205 - Préventifs\Modèles préventif\GammeDMS_7.MSCT.xlsm</v>
      </c>
      <c r="AD897" s="47" t="str">
        <f>Chemin_accès!$B$8&amp;Tableau1[[#This Row],[Localisation / Classement]]&amp;"\"&amp;Tableau1[[#This Row],[Poste technique]]&amp;"_"&amp;Tableau1[[#This Row],[Plan Entretien]]&amp;".xlsm"</f>
        <v>\\stjn.local\trimet\Btechnique\Commun\BT Maint SCELLEMENT\205 - Préventifs\Gammes 7.MSCT PE Tool\\_.xlsm</v>
      </c>
    </row>
    <row r="898" spans="1:30" x14ac:dyDescent="0.3">
      <c r="A898" s="44" t="str">
        <f t="shared" ref="A898:A961" ca="1" si="14">MID(CELL("filename",$A$1),FIND("]",CELL("filename",$A$1))+1,32)</f>
        <v>7.MSCT</v>
      </c>
      <c r="B8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8" s="46"/>
      <c r="D898" s="44"/>
      <c r="E898" s="44"/>
      <c r="F898" s="47"/>
      <c r="G898" s="47"/>
      <c r="H898" s="50"/>
      <c r="I898" s="50"/>
      <c r="J898" s="50"/>
      <c r="K898" s="50"/>
      <c r="L898" s="46"/>
      <c r="M898" s="47"/>
      <c r="N898" s="46"/>
      <c r="O898" s="46"/>
      <c r="P898" s="47"/>
      <c r="Q898" s="46"/>
      <c r="R898" s="46"/>
      <c r="S898" s="48"/>
      <c r="T898" s="61" t="str">
        <f>IF(Tableau1[[#This Row],[DMS_SAP]]="","",HYPERLINK(Tableau1[[#This Row],[Chemin fichier source]],"X"))</f>
        <v/>
      </c>
      <c r="U898" s="61" t="str">
        <f>IF(Tableau1[[#This Row],[Date rév.]]="","",HYPERLINK(Tableau1[[#This Row],[Lien document]],"X"))</f>
        <v/>
      </c>
      <c r="V898" s="47"/>
      <c r="W898" s="49" t="str">
        <f ca="1">Chemin_accès!$B$2&amp;Tableau1[[#This Row],[Poste Responsable]]&amp;"\"&amp;Tableau1[[#This Row],[Localisation / Classement]]&amp;"\"&amp;Tableau1[[#This Row],[Poste technique]]&amp;"_"&amp;Tableau1[[#This Row],[Plan Entretien]]&amp;".pdf"</f>
        <v>\\stjn.local\trimet\Donnees_Projets\Dms Sap\Maintenance\PlanEntretien\7.MSCT\\_.pdf</v>
      </c>
      <c r="X898" s="47"/>
      <c r="Y898" s="47"/>
      <c r="Z898" s="44" t="str">
        <f ca="1">IF(AND(Tableau1[[#This Row],[Charge]]&lt;&gt;0, Tableau1[[#This Row],[Nombre intervenants]]&lt;&gt;0,Tableau1[[#This Row],[Lien document]]&lt;&gt;0,Tableau1[[#This Row],[DMS_SAP]]&lt;&gt;0)=TRUE,"MIS A JOUR","")</f>
        <v/>
      </c>
      <c r="AA898" s="48"/>
      <c r="AB898" s="58" t="str">
        <f ca="1">IF(Tableau1[[#This Row],[Date rév.]]&lt;&gt;"", DAYS360(Tableau1[[#This Row],[Date rév.]],TODAY()),"")</f>
        <v/>
      </c>
      <c r="AC898" s="47" t="str">
        <f>IFERROR(INDEX(Chemin_accès!$B$11:$C$22,MATCH(Tableau1[[#This Row],[Type]],Chemin_accès!$C$11:$C$22,0),1),Chemin_accès!$B$11)</f>
        <v>\\stjn.local\trimet\Btechnique\Commun\BT Maint SCELLEMENT\205 - Préventifs\Modèles préventif\GammeDMS_7.MSCT.xlsm</v>
      </c>
      <c r="AD898" s="47" t="str">
        <f>Chemin_accès!$B$8&amp;Tableau1[[#This Row],[Localisation / Classement]]&amp;"\"&amp;Tableau1[[#This Row],[Poste technique]]&amp;"_"&amp;Tableau1[[#This Row],[Plan Entretien]]&amp;".xlsm"</f>
        <v>\\stjn.local\trimet\Btechnique\Commun\BT Maint SCELLEMENT\205 - Préventifs\Gammes 7.MSCT PE Tool\\_.xlsm</v>
      </c>
    </row>
    <row r="899" spans="1:30" x14ac:dyDescent="0.3">
      <c r="A899" s="44" t="str">
        <f t="shared" ca="1" si="14"/>
        <v>7.MSCT</v>
      </c>
      <c r="B8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9" s="46"/>
      <c r="D899" s="44"/>
      <c r="E899" s="44"/>
      <c r="F899" s="47"/>
      <c r="G899" s="47"/>
      <c r="H899" s="50"/>
      <c r="I899" s="50"/>
      <c r="J899" s="50"/>
      <c r="K899" s="50"/>
      <c r="L899" s="46"/>
      <c r="M899" s="47"/>
      <c r="N899" s="46"/>
      <c r="O899" s="46"/>
      <c r="P899" s="47"/>
      <c r="Q899" s="46"/>
      <c r="R899" s="46"/>
      <c r="S899" s="48"/>
      <c r="T899" s="61" t="str">
        <f>IF(Tableau1[[#This Row],[DMS_SAP]]="","",HYPERLINK(Tableau1[[#This Row],[Chemin fichier source]],"X"))</f>
        <v/>
      </c>
      <c r="U899" s="61" t="str">
        <f>IF(Tableau1[[#This Row],[Date rév.]]="","",HYPERLINK(Tableau1[[#This Row],[Lien document]],"X"))</f>
        <v/>
      </c>
      <c r="V899" s="47"/>
      <c r="W899" s="49" t="str">
        <f ca="1">Chemin_accès!$B$2&amp;Tableau1[[#This Row],[Poste Responsable]]&amp;"\"&amp;Tableau1[[#This Row],[Localisation / Classement]]&amp;"\"&amp;Tableau1[[#This Row],[Poste technique]]&amp;"_"&amp;Tableau1[[#This Row],[Plan Entretien]]&amp;".pdf"</f>
        <v>\\stjn.local\trimet\Donnees_Projets\Dms Sap\Maintenance\PlanEntretien\7.MSCT\\_.pdf</v>
      </c>
      <c r="X899" s="47"/>
      <c r="Y899" s="47"/>
      <c r="Z899" s="44" t="str">
        <f ca="1">IF(AND(Tableau1[[#This Row],[Charge]]&lt;&gt;0, Tableau1[[#This Row],[Nombre intervenants]]&lt;&gt;0,Tableau1[[#This Row],[Lien document]]&lt;&gt;0,Tableau1[[#This Row],[DMS_SAP]]&lt;&gt;0)=TRUE,"MIS A JOUR","")</f>
        <v/>
      </c>
      <c r="AA899" s="48"/>
      <c r="AB899" s="58" t="str">
        <f ca="1">IF(Tableau1[[#This Row],[Date rév.]]&lt;&gt;"", DAYS360(Tableau1[[#This Row],[Date rév.]],TODAY()),"")</f>
        <v/>
      </c>
      <c r="AC899" s="47" t="str">
        <f>IFERROR(INDEX(Chemin_accès!$B$11:$C$22,MATCH(Tableau1[[#This Row],[Type]],Chemin_accès!$C$11:$C$22,0),1),Chemin_accès!$B$11)</f>
        <v>\\stjn.local\trimet\Btechnique\Commun\BT Maint SCELLEMENT\205 - Préventifs\Modèles préventif\GammeDMS_7.MSCT.xlsm</v>
      </c>
      <c r="AD899" s="47" t="str">
        <f>Chemin_accès!$B$8&amp;Tableau1[[#This Row],[Localisation / Classement]]&amp;"\"&amp;Tableau1[[#This Row],[Poste technique]]&amp;"_"&amp;Tableau1[[#This Row],[Plan Entretien]]&amp;".xlsm"</f>
        <v>\\stjn.local\trimet\Btechnique\Commun\BT Maint SCELLEMENT\205 - Préventifs\Gammes 7.MSCT PE Tool\\_.xlsm</v>
      </c>
    </row>
    <row r="900" spans="1:30" x14ac:dyDescent="0.3">
      <c r="A900" s="44" t="str">
        <f t="shared" ca="1" si="14"/>
        <v>7.MSCT</v>
      </c>
      <c r="B9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0" s="46"/>
      <c r="D900" s="44"/>
      <c r="E900" s="44"/>
      <c r="F900" s="47"/>
      <c r="G900" s="47"/>
      <c r="H900" s="50"/>
      <c r="I900" s="50"/>
      <c r="J900" s="50"/>
      <c r="K900" s="50"/>
      <c r="L900" s="46"/>
      <c r="M900" s="47"/>
      <c r="N900" s="46"/>
      <c r="O900" s="46"/>
      <c r="P900" s="47"/>
      <c r="Q900" s="46"/>
      <c r="R900" s="46"/>
      <c r="S900" s="48"/>
      <c r="T900" s="61" t="str">
        <f>IF(Tableau1[[#This Row],[DMS_SAP]]="","",HYPERLINK(Tableau1[[#This Row],[Chemin fichier source]],"X"))</f>
        <v/>
      </c>
      <c r="U900" s="61" t="str">
        <f>IF(Tableau1[[#This Row],[Date rév.]]="","",HYPERLINK(Tableau1[[#This Row],[Lien document]],"X"))</f>
        <v/>
      </c>
      <c r="V900" s="47"/>
      <c r="W900" s="49" t="str">
        <f ca="1">Chemin_accès!$B$2&amp;Tableau1[[#This Row],[Poste Responsable]]&amp;"\"&amp;Tableau1[[#This Row],[Localisation / Classement]]&amp;"\"&amp;Tableau1[[#This Row],[Poste technique]]&amp;"_"&amp;Tableau1[[#This Row],[Plan Entretien]]&amp;".pdf"</f>
        <v>\\stjn.local\trimet\Donnees_Projets\Dms Sap\Maintenance\PlanEntretien\7.MSCT\\_.pdf</v>
      </c>
      <c r="X900" s="47"/>
      <c r="Y900" s="47"/>
      <c r="Z900" s="44" t="str">
        <f ca="1">IF(AND(Tableau1[[#This Row],[Charge]]&lt;&gt;0, Tableau1[[#This Row],[Nombre intervenants]]&lt;&gt;0,Tableau1[[#This Row],[Lien document]]&lt;&gt;0,Tableau1[[#This Row],[DMS_SAP]]&lt;&gt;0)=TRUE,"MIS A JOUR","")</f>
        <v/>
      </c>
      <c r="AA900" s="48"/>
      <c r="AB900" s="58" t="str">
        <f ca="1">IF(Tableau1[[#This Row],[Date rév.]]&lt;&gt;"", DAYS360(Tableau1[[#This Row],[Date rév.]],TODAY()),"")</f>
        <v/>
      </c>
      <c r="AC900" s="47" t="str">
        <f>IFERROR(INDEX(Chemin_accès!$B$11:$C$22,MATCH(Tableau1[[#This Row],[Type]],Chemin_accès!$C$11:$C$22,0),1),Chemin_accès!$B$11)</f>
        <v>\\stjn.local\trimet\Btechnique\Commun\BT Maint SCELLEMENT\205 - Préventifs\Modèles préventif\GammeDMS_7.MSCT.xlsm</v>
      </c>
      <c r="AD900" s="47" t="str">
        <f>Chemin_accès!$B$8&amp;Tableau1[[#This Row],[Localisation / Classement]]&amp;"\"&amp;Tableau1[[#This Row],[Poste technique]]&amp;"_"&amp;Tableau1[[#This Row],[Plan Entretien]]&amp;".xlsm"</f>
        <v>\\stjn.local\trimet\Btechnique\Commun\BT Maint SCELLEMENT\205 - Préventifs\Gammes 7.MSCT PE Tool\\_.xlsm</v>
      </c>
    </row>
    <row r="901" spans="1:30" x14ac:dyDescent="0.3">
      <c r="A901" s="44" t="str">
        <f t="shared" ca="1" si="14"/>
        <v>7.MSCT</v>
      </c>
      <c r="B90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1" s="46"/>
      <c r="D901" s="44"/>
      <c r="E901" s="44"/>
      <c r="F901" s="47"/>
      <c r="G901" s="47"/>
      <c r="H901" s="50"/>
      <c r="I901" s="50"/>
      <c r="J901" s="50"/>
      <c r="K901" s="50"/>
      <c r="L901" s="46"/>
      <c r="M901" s="47"/>
      <c r="N901" s="46"/>
      <c r="O901" s="46"/>
      <c r="P901" s="47"/>
      <c r="Q901" s="46"/>
      <c r="R901" s="46"/>
      <c r="S901" s="48"/>
      <c r="T901" s="61" t="str">
        <f>IF(Tableau1[[#This Row],[DMS_SAP]]="","",HYPERLINK(Tableau1[[#This Row],[Chemin fichier source]],"X"))</f>
        <v/>
      </c>
      <c r="U901" s="61" t="str">
        <f>IF(Tableau1[[#This Row],[Date rév.]]="","",HYPERLINK(Tableau1[[#This Row],[Lien document]],"X"))</f>
        <v/>
      </c>
      <c r="V901" s="47"/>
      <c r="W901" s="49" t="str">
        <f ca="1">Chemin_accès!$B$2&amp;Tableau1[[#This Row],[Poste Responsable]]&amp;"\"&amp;Tableau1[[#This Row],[Localisation / Classement]]&amp;"\"&amp;Tableau1[[#This Row],[Poste technique]]&amp;"_"&amp;Tableau1[[#This Row],[Plan Entretien]]&amp;".pdf"</f>
        <v>\\stjn.local\trimet\Donnees_Projets\Dms Sap\Maintenance\PlanEntretien\7.MSCT\\_.pdf</v>
      </c>
      <c r="X901" s="47"/>
      <c r="Y901" s="47"/>
      <c r="Z901" s="44" t="str">
        <f ca="1">IF(AND(Tableau1[[#This Row],[Charge]]&lt;&gt;0, Tableau1[[#This Row],[Nombre intervenants]]&lt;&gt;0,Tableau1[[#This Row],[Lien document]]&lt;&gt;0,Tableau1[[#This Row],[DMS_SAP]]&lt;&gt;0)=TRUE,"MIS A JOUR","")</f>
        <v/>
      </c>
      <c r="AA901" s="48"/>
      <c r="AB901" s="58" t="str">
        <f ca="1">IF(Tableau1[[#This Row],[Date rév.]]&lt;&gt;"", DAYS360(Tableau1[[#This Row],[Date rév.]],TODAY()),"")</f>
        <v/>
      </c>
      <c r="AC901" s="47" t="str">
        <f>IFERROR(INDEX(Chemin_accès!$B$11:$C$22,MATCH(Tableau1[[#This Row],[Type]],Chemin_accès!$C$11:$C$22,0),1),Chemin_accès!$B$11)</f>
        <v>\\stjn.local\trimet\Btechnique\Commun\BT Maint SCELLEMENT\205 - Préventifs\Modèles préventif\GammeDMS_7.MSCT.xlsm</v>
      </c>
      <c r="AD901" s="47" t="str">
        <f>Chemin_accès!$B$8&amp;Tableau1[[#This Row],[Localisation / Classement]]&amp;"\"&amp;Tableau1[[#This Row],[Poste technique]]&amp;"_"&amp;Tableau1[[#This Row],[Plan Entretien]]&amp;".xlsm"</f>
        <v>\\stjn.local\trimet\Btechnique\Commun\BT Maint SCELLEMENT\205 - Préventifs\Gammes 7.MSCT PE Tool\\_.xlsm</v>
      </c>
    </row>
    <row r="902" spans="1:30" x14ac:dyDescent="0.3">
      <c r="A902" s="44" t="str">
        <f t="shared" ca="1" si="14"/>
        <v>7.MSCT</v>
      </c>
      <c r="B90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2" s="46"/>
      <c r="D902" s="44"/>
      <c r="E902" s="44"/>
      <c r="F902" s="47"/>
      <c r="G902" s="47"/>
      <c r="H902" s="50"/>
      <c r="I902" s="50"/>
      <c r="J902" s="50"/>
      <c r="K902" s="50"/>
      <c r="L902" s="46"/>
      <c r="M902" s="47"/>
      <c r="N902" s="46"/>
      <c r="O902" s="46"/>
      <c r="P902" s="47"/>
      <c r="Q902" s="46"/>
      <c r="R902" s="46"/>
      <c r="S902" s="48"/>
      <c r="T902" s="61" t="str">
        <f>IF(Tableau1[[#This Row],[DMS_SAP]]="","",HYPERLINK(Tableau1[[#This Row],[Chemin fichier source]],"X"))</f>
        <v/>
      </c>
      <c r="U902" s="61" t="str">
        <f>IF(Tableau1[[#This Row],[Date rév.]]="","",HYPERLINK(Tableau1[[#This Row],[Lien document]],"X"))</f>
        <v/>
      </c>
      <c r="V902" s="47"/>
      <c r="W902" s="49" t="str">
        <f ca="1">Chemin_accès!$B$2&amp;Tableau1[[#This Row],[Poste Responsable]]&amp;"\"&amp;Tableau1[[#This Row],[Localisation / Classement]]&amp;"\"&amp;Tableau1[[#This Row],[Poste technique]]&amp;"_"&amp;Tableau1[[#This Row],[Plan Entretien]]&amp;".pdf"</f>
        <v>\\stjn.local\trimet\Donnees_Projets\Dms Sap\Maintenance\PlanEntretien\7.MSCT\\_.pdf</v>
      </c>
      <c r="X902" s="47"/>
      <c r="Y902" s="47"/>
      <c r="Z902" s="44" t="str">
        <f ca="1">IF(AND(Tableau1[[#This Row],[Charge]]&lt;&gt;0, Tableau1[[#This Row],[Nombre intervenants]]&lt;&gt;0,Tableau1[[#This Row],[Lien document]]&lt;&gt;0,Tableau1[[#This Row],[DMS_SAP]]&lt;&gt;0)=TRUE,"MIS A JOUR","")</f>
        <v/>
      </c>
      <c r="AA902" s="48"/>
      <c r="AB902" s="58" t="str">
        <f ca="1">IF(Tableau1[[#This Row],[Date rév.]]&lt;&gt;"", DAYS360(Tableau1[[#This Row],[Date rév.]],TODAY()),"")</f>
        <v/>
      </c>
      <c r="AC902" s="47" t="str">
        <f>IFERROR(INDEX(Chemin_accès!$B$11:$C$22,MATCH(Tableau1[[#This Row],[Type]],Chemin_accès!$C$11:$C$22,0),1),Chemin_accès!$B$11)</f>
        <v>\\stjn.local\trimet\Btechnique\Commun\BT Maint SCELLEMENT\205 - Préventifs\Modèles préventif\GammeDMS_7.MSCT.xlsm</v>
      </c>
      <c r="AD902" s="47" t="str">
        <f>Chemin_accès!$B$8&amp;Tableau1[[#This Row],[Localisation / Classement]]&amp;"\"&amp;Tableau1[[#This Row],[Poste technique]]&amp;"_"&amp;Tableau1[[#This Row],[Plan Entretien]]&amp;".xlsm"</f>
        <v>\\stjn.local\trimet\Btechnique\Commun\BT Maint SCELLEMENT\205 - Préventifs\Gammes 7.MSCT PE Tool\\_.xlsm</v>
      </c>
    </row>
    <row r="903" spans="1:30" x14ac:dyDescent="0.3">
      <c r="A903" s="44" t="str">
        <f t="shared" ca="1" si="14"/>
        <v>7.MSCT</v>
      </c>
      <c r="B90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3" s="46"/>
      <c r="D903" s="44"/>
      <c r="E903" s="44"/>
      <c r="F903" s="47"/>
      <c r="G903" s="47"/>
      <c r="H903" s="50"/>
      <c r="I903" s="50"/>
      <c r="J903" s="50"/>
      <c r="K903" s="50"/>
      <c r="L903" s="46"/>
      <c r="M903" s="47"/>
      <c r="N903" s="46"/>
      <c r="O903" s="46"/>
      <c r="P903" s="47"/>
      <c r="Q903" s="46"/>
      <c r="R903" s="46"/>
      <c r="S903" s="48"/>
      <c r="T903" s="61" t="str">
        <f>IF(Tableau1[[#This Row],[DMS_SAP]]="","",HYPERLINK(Tableau1[[#This Row],[Chemin fichier source]],"X"))</f>
        <v/>
      </c>
      <c r="U903" s="61" t="str">
        <f>IF(Tableau1[[#This Row],[Date rév.]]="","",HYPERLINK(Tableau1[[#This Row],[Lien document]],"X"))</f>
        <v/>
      </c>
      <c r="V903" s="47"/>
      <c r="W903" s="49" t="str">
        <f ca="1">Chemin_accès!$B$2&amp;Tableau1[[#This Row],[Poste Responsable]]&amp;"\"&amp;Tableau1[[#This Row],[Localisation / Classement]]&amp;"\"&amp;Tableau1[[#This Row],[Poste technique]]&amp;"_"&amp;Tableau1[[#This Row],[Plan Entretien]]&amp;".pdf"</f>
        <v>\\stjn.local\trimet\Donnees_Projets\Dms Sap\Maintenance\PlanEntretien\7.MSCT\\_.pdf</v>
      </c>
      <c r="X903" s="47"/>
      <c r="Y903" s="47"/>
      <c r="Z903" s="44" t="str">
        <f ca="1">IF(AND(Tableau1[[#This Row],[Charge]]&lt;&gt;0, Tableau1[[#This Row],[Nombre intervenants]]&lt;&gt;0,Tableau1[[#This Row],[Lien document]]&lt;&gt;0,Tableau1[[#This Row],[DMS_SAP]]&lt;&gt;0)=TRUE,"MIS A JOUR","")</f>
        <v/>
      </c>
      <c r="AA903" s="48"/>
      <c r="AB903" s="58" t="str">
        <f ca="1">IF(Tableau1[[#This Row],[Date rév.]]&lt;&gt;"", DAYS360(Tableau1[[#This Row],[Date rév.]],TODAY()),"")</f>
        <v/>
      </c>
      <c r="AC903" s="47" t="str">
        <f>IFERROR(INDEX(Chemin_accès!$B$11:$C$22,MATCH(Tableau1[[#This Row],[Type]],Chemin_accès!$C$11:$C$22,0),1),Chemin_accès!$B$11)</f>
        <v>\\stjn.local\trimet\Btechnique\Commun\BT Maint SCELLEMENT\205 - Préventifs\Modèles préventif\GammeDMS_7.MSCT.xlsm</v>
      </c>
      <c r="AD903" s="47" t="str">
        <f>Chemin_accès!$B$8&amp;Tableau1[[#This Row],[Localisation / Classement]]&amp;"\"&amp;Tableau1[[#This Row],[Poste technique]]&amp;"_"&amp;Tableau1[[#This Row],[Plan Entretien]]&amp;".xlsm"</f>
        <v>\\stjn.local\trimet\Btechnique\Commun\BT Maint SCELLEMENT\205 - Préventifs\Gammes 7.MSCT PE Tool\\_.xlsm</v>
      </c>
    </row>
    <row r="904" spans="1:30" x14ac:dyDescent="0.3">
      <c r="A904" s="44" t="str">
        <f t="shared" ca="1" si="14"/>
        <v>7.MSCT</v>
      </c>
      <c r="B90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4" s="46"/>
      <c r="D904" s="44"/>
      <c r="E904" s="44"/>
      <c r="F904" s="47"/>
      <c r="G904" s="47"/>
      <c r="H904" s="50"/>
      <c r="I904" s="50"/>
      <c r="J904" s="50"/>
      <c r="K904" s="50"/>
      <c r="L904" s="46"/>
      <c r="M904" s="47"/>
      <c r="N904" s="46"/>
      <c r="O904" s="46"/>
      <c r="P904" s="47"/>
      <c r="Q904" s="46"/>
      <c r="R904" s="46"/>
      <c r="S904" s="48"/>
      <c r="T904" s="61" t="str">
        <f>IF(Tableau1[[#This Row],[DMS_SAP]]="","",HYPERLINK(Tableau1[[#This Row],[Chemin fichier source]],"X"))</f>
        <v/>
      </c>
      <c r="U904" s="61" t="str">
        <f>IF(Tableau1[[#This Row],[Date rév.]]="","",HYPERLINK(Tableau1[[#This Row],[Lien document]],"X"))</f>
        <v/>
      </c>
      <c r="V904" s="47"/>
      <c r="W904" s="49" t="str">
        <f ca="1">Chemin_accès!$B$2&amp;Tableau1[[#This Row],[Poste Responsable]]&amp;"\"&amp;Tableau1[[#This Row],[Localisation / Classement]]&amp;"\"&amp;Tableau1[[#This Row],[Poste technique]]&amp;"_"&amp;Tableau1[[#This Row],[Plan Entretien]]&amp;".pdf"</f>
        <v>\\stjn.local\trimet\Donnees_Projets\Dms Sap\Maintenance\PlanEntretien\7.MSCT\\_.pdf</v>
      </c>
      <c r="X904" s="47"/>
      <c r="Y904" s="47"/>
      <c r="Z904" s="44" t="str">
        <f ca="1">IF(AND(Tableau1[[#This Row],[Charge]]&lt;&gt;0, Tableau1[[#This Row],[Nombre intervenants]]&lt;&gt;0,Tableau1[[#This Row],[Lien document]]&lt;&gt;0,Tableau1[[#This Row],[DMS_SAP]]&lt;&gt;0)=TRUE,"MIS A JOUR","")</f>
        <v/>
      </c>
      <c r="AA904" s="48"/>
      <c r="AB904" s="58" t="str">
        <f ca="1">IF(Tableau1[[#This Row],[Date rév.]]&lt;&gt;"", DAYS360(Tableau1[[#This Row],[Date rév.]],TODAY()),"")</f>
        <v/>
      </c>
      <c r="AC904" s="47" t="str">
        <f>IFERROR(INDEX(Chemin_accès!$B$11:$C$22,MATCH(Tableau1[[#This Row],[Type]],Chemin_accès!$C$11:$C$22,0),1),Chemin_accès!$B$11)</f>
        <v>\\stjn.local\trimet\Btechnique\Commun\BT Maint SCELLEMENT\205 - Préventifs\Modèles préventif\GammeDMS_7.MSCT.xlsm</v>
      </c>
      <c r="AD904" s="47" t="str">
        <f>Chemin_accès!$B$8&amp;Tableau1[[#This Row],[Localisation / Classement]]&amp;"\"&amp;Tableau1[[#This Row],[Poste technique]]&amp;"_"&amp;Tableau1[[#This Row],[Plan Entretien]]&amp;".xlsm"</f>
        <v>\\stjn.local\trimet\Btechnique\Commun\BT Maint SCELLEMENT\205 - Préventifs\Gammes 7.MSCT PE Tool\\_.xlsm</v>
      </c>
    </row>
    <row r="905" spans="1:30" x14ac:dyDescent="0.3">
      <c r="A905" s="44" t="str">
        <f t="shared" ca="1" si="14"/>
        <v>7.MSCT</v>
      </c>
      <c r="B90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5" s="46"/>
      <c r="D905" s="44"/>
      <c r="E905" s="44"/>
      <c r="F905" s="47"/>
      <c r="G905" s="47"/>
      <c r="H905" s="50"/>
      <c r="I905" s="50"/>
      <c r="J905" s="50"/>
      <c r="K905" s="50"/>
      <c r="L905" s="46"/>
      <c r="M905" s="47"/>
      <c r="N905" s="46"/>
      <c r="O905" s="46"/>
      <c r="P905" s="47"/>
      <c r="Q905" s="46"/>
      <c r="R905" s="46"/>
      <c r="S905" s="48"/>
      <c r="T905" s="61" t="str">
        <f>IF(Tableau1[[#This Row],[DMS_SAP]]="","",HYPERLINK(Tableau1[[#This Row],[Chemin fichier source]],"X"))</f>
        <v/>
      </c>
      <c r="U905" s="61" t="str">
        <f>IF(Tableau1[[#This Row],[Date rév.]]="","",HYPERLINK(Tableau1[[#This Row],[Lien document]],"X"))</f>
        <v/>
      </c>
      <c r="V905" s="47"/>
      <c r="W905" s="49" t="str">
        <f ca="1">Chemin_accès!$B$2&amp;Tableau1[[#This Row],[Poste Responsable]]&amp;"\"&amp;Tableau1[[#This Row],[Localisation / Classement]]&amp;"\"&amp;Tableau1[[#This Row],[Poste technique]]&amp;"_"&amp;Tableau1[[#This Row],[Plan Entretien]]&amp;".pdf"</f>
        <v>\\stjn.local\trimet\Donnees_Projets\Dms Sap\Maintenance\PlanEntretien\7.MSCT\\_.pdf</v>
      </c>
      <c r="X905" s="47"/>
      <c r="Y905" s="47"/>
      <c r="Z905" s="44" t="str">
        <f ca="1">IF(AND(Tableau1[[#This Row],[Charge]]&lt;&gt;0, Tableau1[[#This Row],[Nombre intervenants]]&lt;&gt;0,Tableau1[[#This Row],[Lien document]]&lt;&gt;0,Tableau1[[#This Row],[DMS_SAP]]&lt;&gt;0)=TRUE,"MIS A JOUR","")</f>
        <v/>
      </c>
      <c r="AA905" s="48"/>
      <c r="AB905" s="58" t="str">
        <f ca="1">IF(Tableau1[[#This Row],[Date rév.]]&lt;&gt;"", DAYS360(Tableau1[[#This Row],[Date rév.]],TODAY()),"")</f>
        <v/>
      </c>
      <c r="AC905" s="47" t="str">
        <f>IFERROR(INDEX(Chemin_accès!$B$11:$C$22,MATCH(Tableau1[[#This Row],[Type]],Chemin_accès!$C$11:$C$22,0),1),Chemin_accès!$B$11)</f>
        <v>\\stjn.local\trimet\Btechnique\Commun\BT Maint SCELLEMENT\205 - Préventifs\Modèles préventif\GammeDMS_7.MSCT.xlsm</v>
      </c>
      <c r="AD905" s="47" t="str">
        <f>Chemin_accès!$B$8&amp;Tableau1[[#This Row],[Localisation / Classement]]&amp;"\"&amp;Tableau1[[#This Row],[Poste technique]]&amp;"_"&amp;Tableau1[[#This Row],[Plan Entretien]]&amp;".xlsm"</f>
        <v>\\stjn.local\trimet\Btechnique\Commun\BT Maint SCELLEMENT\205 - Préventifs\Gammes 7.MSCT PE Tool\\_.xlsm</v>
      </c>
    </row>
    <row r="906" spans="1:30" x14ac:dyDescent="0.3">
      <c r="A906" s="44" t="str">
        <f t="shared" ca="1" si="14"/>
        <v>7.MSCT</v>
      </c>
      <c r="B90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6" s="46"/>
      <c r="D906" s="44"/>
      <c r="E906" s="44"/>
      <c r="F906" s="47"/>
      <c r="G906" s="47"/>
      <c r="H906" s="50"/>
      <c r="I906" s="50"/>
      <c r="J906" s="50"/>
      <c r="K906" s="50"/>
      <c r="L906" s="46"/>
      <c r="M906" s="47"/>
      <c r="N906" s="46"/>
      <c r="O906" s="46"/>
      <c r="P906" s="47"/>
      <c r="Q906" s="46"/>
      <c r="R906" s="46"/>
      <c r="S906" s="48"/>
      <c r="T906" s="61" t="str">
        <f>IF(Tableau1[[#This Row],[DMS_SAP]]="","",HYPERLINK(Tableau1[[#This Row],[Chemin fichier source]],"X"))</f>
        <v/>
      </c>
      <c r="U906" s="61" t="str">
        <f>IF(Tableau1[[#This Row],[Date rév.]]="","",HYPERLINK(Tableau1[[#This Row],[Lien document]],"X"))</f>
        <v/>
      </c>
      <c r="V906" s="47"/>
      <c r="W906" s="49" t="str">
        <f ca="1">Chemin_accès!$B$2&amp;Tableau1[[#This Row],[Poste Responsable]]&amp;"\"&amp;Tableau1[[#This Row],[Localisation / Classement]]&amp;"\"&amp;Tableau1[[#This Row],[Poste technique]]&amp;"_"&amp;Tableau1[[#This Row],[Plan Entretien]]&amp;".pdf"</f>
        <v>\\stjn.local\trimet\Donnees_Projets\Dms Sap\Maintenance\PlanEntretien\7.MSCT\\_.pdf</v>
      </c>
      <c r="X906" s="47"/>
      <c r="Y906" s="47"/>
      <c r="Z906" s="44" t="str">
        <f ca="1">IF(AND(Tableau1[[#This Row],[Charge]]&lt;&gt;0, Tableau1[[#This Row],[Nombre intervenants]]&lt;&gt;0,Tableau1[[#This Row],[Lien document]]&lt;&gt;0,Tableau1[[#This Row],[DMS_SAP]]&lt;&gt;0)=TRUE,"MIS A JOUR","")</f>
        <v/>
      </c>
      <c r="AA906" s="48"/>
      <c r="AB906" s="58" t="str">
        <f ca="1">IF(Tableau1[[#This Row],[Date rév.]]&lt;&gt;"", DAYS360(Tableau1[[#This Row],[Date rév.]],TODAY()),"")</f>
        <v/>
      </c>
      <c r="AC906" s="47" t="str">
        <f>IFERROR(INDEX(Chemin_accès!$B$11:$C$22,MATCH(Tableau1[[#This Row],[Type]],Chemin_accès!$C$11:$C$22,0),1),Chemin_accès!$B$11)</f>
        <v>\\stjn.local\trimet\Btechnique\Commun\BT Maint SCELLEMENT\205 - Préventifs\Modèles préventif\GammeDMS_7.MSCT.xlsm</v>
      </c>
      <c r="AD906" s="47" t="str">
        <f>Chemin_accès!$B$8&amp;Tableau1[[#This Row],[Localisation / Classement]]&amp;"\"&amp;Tableau1[[#This Row],[Poste technique]]&amp;"_"&amp;Tableau1[[#This Row],[Plan Entretien]]&amp;".xlsm"</f>
        <v>\\stjn.local\trimet\Btechnique\Commun\BT Maint SCELLEMENT\205 - Préventifs\Gammes 7.MSCT PE Tool\\_.xlsm</v>
      </c>
    </row>
    <row r="907" spans="1:30" x14ac:dyDescent="0.3">
      <c r="A907" s="44" t="str">
        <f t="shared" ca="1" si="14"/>
        <v>7.MSCT</v>
      </c>
      <c r="B90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7" s="46"/>
      <c r="D907" s="44"/>
      <c r="E907" s="44"/>
      <c r="F907" s="47"/>
      <c r="G907" s="47"/>
      <c r="H907" s="50"/>
      <c r="I907" s="50"/>
      <c r="J907" s="50"/>
      <c r="K907" s="50"/>
      <c r="L907" s="46"/>
      <c r="M907" s="47"/>
      <c r="N907" s="46"/>
      <c r="O907" s="46"/>
      <c r="P907" s="47"/>
      <c r="Q907" s="46"/>
      <c r="R907" s="46"/>
      <c r="S907" s="48"/>
      <c r="T907" s="61" t="str">
        <f>IF(Tableau1[[#This Row],[DMS_SAP]]="","",HYPERLINK(Tableau1[[#This Row],[Chemin fichier source]],"X"))</f>
        <v/>
      </c>
      <c r="U907" s="61" t="str">
        <f>IF(Tableau1[[#This Row],[Date rév.]]="","",HYPERLINK(Tableau1[[#This Row],[Lien document]],"X"))</f>
        <v/>
      </c>
      <c r="V907" s="47"/>
      <c r="W907" s="49" t="str">
        <f ca="1">Chemin_accès!$B$2&amp;Tableau1[[#This Row],[Poste Responsable]]&amp;"\"&amp;Tableau1[[#This Row],[Localisation / Classement]]&amp;"\"&amp;Tableau1[[#This Row],[Poste technique]]&amp;"_"&amp;Tableau1[[#This Row],[Plan Entretien]]&amp;".pdf"</f>
        <v>\\stjn.local\trimet\Donnees_Projets\Dms Sap\Maintenance\PlanEntretien\7.MSCT\\_.pdf</v>
      </c>
      <c r="X907" s="47"/>
      <c r="Y907" s="47"/>
      <c r="Z907" s="44" t="str">
        <f ca="1">IF(AND(Tableau1[[#This Row],[Charge]]&lt;&gt;0, Tableau1[[#This Row],[Nombre intervenants]]&lt;&gt;0,Tableau1[[#This Row],[Lien document]]&lt;&gt;0,Tableau1[[#This Row],[DMS_SAP]]&lt;&gt;0)=TRUE,"MIS A JOUR","")</f>
        <v/>
      </c>
      <c r="AA907" s="48"/>
      <c r="AB907" s="58" t="str">
        <f ca="1">IF(Tableau1[[#This Row],[Date rév.]]&lt;&gt;"", DAYS360(Tableau1[[#This Row],[Date rév.]],TODAY()),"")</f>
        <v/>
      </c>
      <c r="AC907" s="47" t="str">
        <f>IFERROR(INDEX(Chemin_accès!$B$11:$C$22,MATCH(Tableau1[[#This Row],[Type]],Chemin_accès!$C$11:$C$22,0),1),Chemin_accès!$B$11)</f>
        <v>\\stjn.local\trimet\Btechnique\Commun\BT Maint SCELLEMENT\205 - Préventifs\Modèles préventif\GammeDMS_7.MSCT.xlsm</v>
      </c>
      <c r="AD907" s="47" t="str">
        <f>Chemin_accès!$B$8&amp;Tableau1[[#This Row],[Localisation / Classement]]&amp;"\"&amp;Tableau1[[#This Row],[Poste technique]]&amp;"_"&amp;Tableau1[[#This Row],[Plan Entretien]]&amp;".xlsm"</f>
        <v>\\stjn.local\trimet\Btechnique\Commun\BT Maint SCELLEMENT\205 - Préventifs\Gammes 7.MSCT PE Tool\\_.xlsm</v>
      </c>
    </row>
    <row r="908" spans="1:30" x14ac:dyDescent="0.3">
      <c r="A908" s="44" t="str">
        <f t="shared" ca="1" si="14"/>
        <v>7.MSCT</v>
      </c>
      <c r="B90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8" s="46"/>
      <c r="D908" s="44"/>
      <c r="E908" s="44"/>
      <c r="F908" s="47"/>
      <c r="G908" s="47"/>
      <c r="H908" s="50"/>
      <c r="I908" s="50"/>
      <c r="J908" s="50"/>
      <c r="K908" s="50"/>
      <c r="L908" s="46"/>
      <c r="M908" s="47"/>
      <c r="N908" s="46"/>
      <c r="O908" s="46"/>
      <c r="P908" s="47"/>
      <c r="Q908" s="46"/>
      <c r="R908" s="46"/>
      <c r="S908" s="48"/>
      <c r="T908" s="61" t="str">
        <f>IF(Tableau1[[#This Row],[DMS_SAP]]="","",HYPERLINK(Tableau1[[#This Row],[Chemin fichier source]],"X"))</f>
        <v/>
      </c>
      <c r="U908" s="61" t="str">
        <f>IF(Tableau1[[#This Row],[Date rév.]]="","",HYPERLINK(Tableau1[[#This Row],[Lien document]],"X"))</f>
        <v/>
      </c>
      <c r="V908" s="47"/>
      <c r="W908" s="49" t="str">
        <f ca="1">Chemin_accès!$B$2&amp;Tableau1[[#This Row],[Poste Responsable]]&amp;"\"&amp;Tableau1[[#This Row],[Localisation / Classement]]&amp;"\"&amp;Tableau1[[#This Row],[Poste technique]]&amp;"_"&amp;Tableau1[[#This Row],[Plan Entretien]]&amp;".pdf"</f>
        <v>\\stjn.local\trimet\Donnees_Projets\Dms Sap\Maintenance\PlanEntretien\7.MSCT\\_.pdf</v>
      </c>
      <c r="X908" s="47"/>
      <c r="Y908" s="47"/>
      <c r="Z908" s="44" t="str">
        <f ca="1">IF(AND(Tableau1[[#This Row],[Charge]]&lt;&gt;0, Tableau1[[#This Row],[Nombre intervenants]]&lt;&gt;0,Tableau1[[#This Row],[Lien document]]&lt;&gt;0,Tableau1[[#This Row],[DMS_SAP]]&lt;&gt;0)=TRUE,"MIS A JOUR","")</f>
        <v/>
      </c>
      <c r="AA908" s="48"/>
      <c r="AB908" s="58" t="str">
        <f ca="1">IF(Tableau1[[#This Row],[Date rév.]]&lt;&gt;"", DAYS360(Tableau1[[#This Row],[Date rév.]],TODAY()),"")</f>
        <v/>
      </c>
      <c r="AC908" s="47" t="str">
        <f>IFERROR(INDEX(Chemin_accès!$B$11:$C$22,MATCH(Tableau1[[#This Row],[Type]],Chemin_accès!$C$11:$C$22,0),1),Chemin_accès!$B$11)</f>
        <v>\\stjn.local\trimet\Btechnique\Commun\BT Maint SCELLEMENT\205 - Préventifs\Modèles préventif\GammeDMS_7.MSCT.xlsm</v>
      </c>
      <c r="AD908" s="47" t="str">
        <f>Chemin_accès!$B$8&amp;Tableau1[[#This Row],[Localisation / Classement]]&amp;"\"&amp;Tableau1[[#This Row],[Poste technique]]&amp;"_"&amp;Tableau1[[#This Row],[Plan Entretien]]&amp;".xlsm"</f>
        <v>\\stjn.local\trimet\Btechnique\Commun\BT Maint SCELLEMENT\205 - Préventifs\Gammes 7.MSCT PE Tool\\_.xlsm</v>
      </c>
    </row>
    <row r="909" spans="1:30" x14ac:dyDescent="0.3">
      <c r="A909" s="44" t="str">
        <f t="shared" ca="1" si="14"/>
        <v>7.MSCT</v>
      </c>
      <c r="B90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9" s="46"/>
      <c r="D909" s="44"/>
      <c r="E909" s="44"/>
      <c r="F909" s="47"/>
      <c r="G909" s="47"/>
      <c r="H909" s="50"/>
      <c r="I909" s="50"/>
      <c r="J909" s="50"/>
      <c r="K909" s="50"/>
      <c r="L909" s="46"/>
      <c r="M909" s="47"/>
      <c r="N909" s="46"/>
      <c r="O909" s="46"/>
      <c r="P909" s="47"/>
      <c r="Q909" s="46"/>
      <c r="R909" s="46"/>
      <c r="S909" s="48"/>
      <c r="T909" s="61" t="str">
        <f>IF(Tableau1[[#This Row],[DMS_SAP]]="","",HYPERLINK(Tableau1[[#This Row],[Chemin fichier source]],"X"))</f>
        <v/>
      </c>
      <c r="U909" s="61" t="str">
        <f>IF(Tableau1[[#This Row],[Date rév.]]="","",HYPERLINK(Tableau1[[#This Row],[Lien document]],"X"))</f>
        <v/>
      </c>
      <c r="V909" s="47"/>
      <c r="W909" s="49" t="str">
        <f ca="1">Chemin_accès!$B$2&amp;Tableau1[[#This Row],[Poste Responsable]]&amp;"\"&amp;Tableau1[[#This Row],[Localisation / Classement]]&amp;"\"&amp;Tableau1[[#This Row],[Poste technique]]&amp;"_"&amp;Tableau1[[#This Row],[Plan Entretien]]&amp;".pdf"</f>
        <v>\\stjn.local\trimet\Donnees_Projets\Dms Sap\Maintenance\PlanEntretien\7.MSCT\\_.pdf</v>
      </c>
      <c r="X909" s="47"/>
      <c r="Y909" s="47"/>
      <c r="Z909" s="44" t="str">
        <f ca="1">IF(AND(Tableau1[[#This Row],[Charge]]&lt;&gt;0, Tableau1[[#This Row],[Nombre intervenants]]&lt;&gt;0,Tableau1[[#This Row],[Lien document]]&lt;&gt;0,Tableau1[[#This Row],[DMS_SAP]]&lt;&gt;0)=TRUE,"MIS A JOUR","")</f>
        <v/>
      </c>
      <c r="AA909" s="48"/>
      <c r="AB909" s="58" t="str">
        <f ca="1">IF(Tableau1[[#This Row],[Date rév.]]&lt;&gt;"", DAYS360(Tableau1[[#This Row],[Date rév.]],TODAY()),"")</f>
        <v/>
      </c>
      <c r="AC909" s="47" t="str">
        <f>IFERROR(INDEX(Chemin_accès!$B$11:$C$22,MATCH(Tableau1[[#This Row],[Type]],Chemin_accès!$C$11:$C$22,0),1),Chemin_accès!$B$11)</f>
        <v>\\stjn.local\trimet\Btechnique\Commun\BT Maint SCELLEMENT\205 - Préventifs\Modèles préventif\GammeDMS_7.MSCT.xlsm</v>
      </c>
      <c r="AD909" s="47" t="str">
        <f>Chemin_accès!$B$8&amp;Tableau1[[#This Row],[Localisation / Classement]]&amp;"\"&amp;Tableau1[[#This Row],[Poste technique]]&amp;"_"&amp;Tableau1[[#This Row],[Plan Entretien]]&amp;".xlsm"</f>
        <v>\\stjn.local\trimet\Btechnique\Commun\BT Maint SCELLEMENT\205 - Préventifs\Gammes 7.MSCT PE Tool\\_.xlsm</v>
      </c>
    </row>
    <row r="910" spans="1:30" x14ac:dyDescent="0.3">
      <c r="A910" s="44" t="str">
        <f t="shared" ca="1" si="14"/>
        <v>7.MSCT</v>
      </c>
      <c r="B91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0" s="46"/>
      <c r="D910" s="44"/>
      <c r="E910" s="44"/>
      <c r="F910" s="47"/>
      <c r="G910" s="47"/>
      <c r="H910" s="50"/>
      <c r="I910" s="50"/>
      <c r="J910" s="50"/>
      <c r="K910" s="50"/>
      <c r="L910" s="46"/>
      <c r="M910" s="47"/>
      <c r="N910" s="46"/>
      <c r="O910" s="46"/>
      <c r="P910" s="47"/>
      <c r="Q910" s="46"/>
      <c r="R910" s="46"/>
      <c r="S910" s="48"/>
      <c r="T910" s="61" t="str">
        <f>IF(Tableau1[[#This Row],[DMS_SAP]]="","",HYPERLINK(Tableau1[[#This Row],[Chemin fichier source]],"X"))</f>
        <v/>
      </c>
      <c r="U910" s="61" t="str">
        <f>IF(Tableau1[[#This Row],[Date rév.]]="","",HYPERLINK(Tableau1[[#This Row],[Lien document]],"X"))</f>
        <v/>
      </c>
      <c r="V910" s="47"/>
      <c r="W910" s="49" t="str">
        <f ca="1">Chemin_accès!$B$2&amp;Tableau1[[#This Row],[Poste Responsable]]&amp;"\"&amp;Tableau1[[#This Row],[Localisation / Classement]]&amp;"\"&amp;Tableau1[[#This Row],[Poste technique]]&amp;"_"&amp;Tableau1[[#This Row],[Plan Entretien]]&amp;".pdf"</f>
        <v>\\stjn.local\trimet\Donnees_Projets\Dms Sap\Maintenance\PlanEntretien\7.MSCT\\_.pdf</v>
      </c>
      <c r="X910" s="47"/>
      <c r="Y910" s="47"/>
      <c r="Z910" s="44" t="str">
        <f ca="1">IF(AND(Tableau1[[#This Row],[Charge]]&lt;&gt;0, Tableau1[[#This Row],[Nombre intervenants]]&lt;&gt;0,Tableau1[[#This Row],[Lien document]]&lt;&gt;0,Tableau1[[#This Row],[DMS_SAP]]&lt;&gt;0)=TRUE,"MIS A JOUR","")</f>
        <v/>
      </c>
      <c r="AA910" s="48"/>
      <c r="AB910" s="58" t="str">
        <f ca="1">IF(Tableau1[[#This Row],[Date rév.]]&lt;&gt;"", DAYS360(Tableau1[[#This Row],[Date rév.]],TODAY()),"")</f>
        <v/>
      </c>
      <c r="AC910" s="47" t="str">
        <f>IFERROR(INDEX(Chemin_accès!$B$11:$C$22,MATCH(Tableau1[[#This Row],[Type]],Chemin_accès!$C$11:$C$22,0),1),Chemin_accès!$B$11)</f>
        <v>\\stjn.local\trimet\Btechnique\Commun\BT Maint SCELLEMENT\205 - Préventifs\Modèles préventif\GammeDMS_7.MSCT.xlsm</v>
      </c>
      <c r="AD910" s="47" t="str">
        <f>Chemin_accès!$B$8&amp;Tableau1[[#This Row],[Localisation / Classement]]&amp;"\"&amp;Tableau1[[#This Row],[Poste technique]]&amp;"_"&amp;Tableau1[[#This Row],[Plan Entretien]]&amp;".xlsm"</f>
        <v>\\stjn.local\trimet\Btechnique\Commun\BT Maint SCELLEMENT\205 - Préventifs\Gammes 7.MSCT PE Tool\\_.xlsm</v>
      </c>
    </row>
    <row r="911" spans="1:30" x14ac:dyDescent="0.3">
      <c r="A911" s="44" t="str">
        <f t="shared" ca="1" si="14"/>
        <v>7.MSCT</v>
      </c>
      <c r="B91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1" s="46"/>
      <c r="D911" s="44"/>
      <c r="E911" s="44"/>
      <c r="F911" s="47"/>
      <c r="G911" s="47"/>
      <c r="H911" s="50"/>
      <c r="I911" s="50"/>
      <c r="J911" s="50"/>
      <c r="K911" s="50"/>
      <c r="L911" s="46"/>
      <c r="M911" s="47"/>
      <c r="N911" s="46"/>
      <c r="O911" s="46"/>
      <c r="P911" s="47"/>
      <c r="Q911" s="46"/>
      <c r="R911" s="46"/>
      <c r="S911" s="48"/>
      <c r="T911" s="61" t="str">
        <f>IF(Tableau1[[#This Row],[DMS_SAP]]="","",HYPERLINK(Tableau1[[#This Row],[Chemin fichier source]],"X"))</f>
        <v/>
      </c>
      <c r="U911" s="61" t="str">
        <f>IF(Tableau1[[#This Row],[Date rév.]]="","",HYPERLINK(Tableau1[[#This Row],[Lien document]],"X"))</f>
        <v/>
      </c>
      <c r="V911" s="47"/>
      <c r="W911" s="49" t="str">
        <f ca="1">Chemin_accès!$B$2&amp;Tableau1[[#This Row],[Poste Responsable]]&amp;"\"&amp;Tableau1[[#This Row],[Localisation / Classement]]&amp;"\"&amp;Tableau1[[#This Row],[Poste technique]]&amp;"_"&amp;Tableau1[[#This Row],[Plan Entretien]]&amp;".pdf"</f>
        <v>\\stjn.local\trimet\Donnees_Projets\Dms Sap\Maintenance\PlanEntretien\7.MSCT\\_.pdf</v>
      </c>
      <c r="X911" s="47"/>
      <c r="Y911" s="47"/>
      <c r="Z911" s="44" t="str">
        <f ca="1">IF(AND(Tableau1[[#This Row],[Charge]]&lt;&gt;0, Tableau1[[#This Row],[Nombre intervenants]]&lt;&gt;0,Tableau1[[#This Row],[Lien document]]&lt;&gt;0,Tableau1[[#This Row],[DMS_SAP]]&lt;&gt;0)=TRUE,"MIS A JOUR","")</f>
        <v/>
      </c>
      <c r="AA911" s="48"/>
      <c r="AB911" s="58" t="str">
        <f ca="1">IF(Tableau1[[#This Row],[Date rév.]]&lt;&gt;"", DAYS360(Tableau1[[#This Row],[Date rév.]],TODAY()),"")</f>
        <v/>
      </c>
      <c r="AC911" s="47" t="str">
        <f>IFERROR(INDEX(Chemin_accès!$B$11:$C$22,MATCH(Tableau1[[#This Row],[Type]],Chemin_accès!$C$11:$C$22,0),1),Chemin_accès!$B$11)</f>
        <v>\\stjn.local\trimet\Btechnique\Commun\BT Maint SCELLEMENT\205 - Préventifs\Modèles préventif\GammeDMS_7.MSCT.xlsm</v>
      </c>
      <c r="AD911" s="47" t="str">
        <f>Chemin_accès!$B$8&amp;Tableau1[[#This Row],[Localisation / Classement]]&amp;"\"&amp;Tableau1[[#This Row],[Poste technique]]&amp;"_"&amp;Tableau1[[#This Row],[Plan Entretien]]&amp;".xlsm"</f>
        <v>\\stjn.local\trimet\Btechnique\Commun\BT Maint SCELLEMENT\205 - Préventifs\Gammes 7.MSCT PE Tool\\_.xlsm</v>
      </c>
    </row>
    <row r="912" spans="1:30" x14ac:dyDescent="0.3">
      <c r="A912" s="44" t="str">
        <f t="shared" ca="1" si="14"/>
        <v>7.MSCT</v>
      </c>
      <c r="B91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2" s="46"/>
      <c r="D912" s="44"/>
      <c r="E912" s="44"/>
      <c r="F912" s="47"/>
      <c r="G912" s="47"/>
      <c r="H912" s="50"/>
      <c r="I912" s="50"/>
      <c r="J912" s="50"/>
      <c r="K912" s="50"/>
      <c r="L912" s="46"/>
      <c r="M912" s="47"/>
      <c r="N912" s="46"/>
      <c r="O912" s="46"/>
      <c r="P912" s="47"/>
      <c r="Q912" s="46"/>
      <c r="R912" s="46"/>
      <c r="S912" s="48"/>
      <c r="T912" s="61" t="str">
        <f>IF(Tableau1[[#This Row],[DMS_SAP]]="","",HYPERLINK(Tableau1[[#This Row],[Chemin fichier source]],"X"))</f>
        <v/>
      </c>
      <c r="U912" s="61" t="str">
        <f>IF(Tableau1[[#This Row],[Date rév.]]="","",HYPERLINK(Tableau1[[#This Row],[Lien document]],"X"))</f>
        <v/>
      </c>
      <c r="V912" s="47"/>
      <c r="W912" s="49" t="str">
        <f ca="1">Chemin_accès!$B$2&amp;Tableau1[[#This Row],[Poste Responsable]]&amp;"\"&amp;Tableau1[[#This Row],[Localisation / Classement]]&amp;"\"&amp;Tableau1[[#This Row],[Poste technique]]&amp;"_"&amp;Tableau1[[#This Row],[Plan Entretien]]&amp;".pdf"</f>
        <v>\\stjn.local\trimet\Donnees_Projets\Dms Sap\Maintenance\PlanEntretien\7.MSCT\\_.pdf</v>
      </c>
      <c r="X912" s="47"/>
      <c r="Y912" s="47"/>
      <c r="Z912" s="44" t="str">
        <f ca="1">IF(AND(Tableau1[[#This Row],[Charge]]&lt;&gt;0, Tableau1[[#This Row],[Nombre intervenants]]&lt;&gt;0,Tableau1[[#This Row],[Lien document]]&lt;&gt;0,Tableau1[[#This Row],[DMS_SAP]]&lt;&gt;0)=TRUE,"MIS A JOUR","")</f>
        <v/>
      </c>
      <c r="AA912" s="48"/>
      <c r="AB912" s="58" t="str">
        <f ca="1">IF(Tableau1[[#This Row],[Date rév.]]&lt;&gt;"", DAYS360(Tableau1[[#This Row],[Date rév.]],TODAY()),"")</f>
        <v/>
      </c>
      <c r="AC912" s="47" t="str">
        <f>IFERROR(INDEX(Chemin_accès!$B$11:$C$22,MATCH(Tableau1[[#This Row],[Type]],Chemin_accès!$C$11:$C$22,0),1),Chemin_accès!$B$11)</f>
        <v>\\stjn.local\trimet\Btechnique\Commun\BT Maint SCELLEMENT\205 - Préventifs\Modèles préventif\GammeDMS_7.MSCT.xlsm</v>
      </c>
      <c r="AD912" s="47" t="str">
        <f>Chemin_accès!$B$8&amp;Tableau1[[#This Row],[Localisation / Classement]]&amp;"\"&amp;Tableau1[[#This Row],[Poste technique]]&amp;"_"&amp;Tableau1[[#This Row],[Plan Entretien]]&amp;".xlsm"</f>
        <v>\\stjn.local\trimet\Btechnique\Commun\BT Maint SCELLEMENT\205 - Préventifs\Gammes 7.MSCT PE Tool\\_.xlsm</v>
      </c>
    </row>
    <row r="913" spans="1:30" x14ac:dyDescent="0.3">
      <c r="A913" s="44" t="str">
        <f t="shared" ca="1" si="14"/>
        <v>7.MSCT</v>
      </c>
      <c r="B91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3" s="46"/>
      <c r="D913" s="44"/>
      <c r="E913" s="44"/>
      <c r="F913" s="47"/>
      <c r="G913" s="47"/>
      <c r="H913" s="50"/>
      <c r="I913" s="50"/>
      <c r="J913" s="50"/>
      <c r="K913" s="50"/>
      <c r="L913" s="46"/>
      <c r="M913" s="47"/>
      <c r="N913" s="46"/>
      <c r="O913" s="46"/>
      <c r="P913" s="47"/>
      <c r="Q913" s="46"/>
      <c r="R913" s="46"/>
      <c r="S913" s="48"/>
      <c r="T913" s="61" t="str">
        <f>IF(Tableau1[[#This Row],[DMS_SAP]]="","",HYPERLINK(Tableau1[[#This Row],[Chemin fichier source]],"X"))</f>
        <v/>
      </c>
      <c r="U913" s="61" t="str">
        <f>IF(Tableau1[[#This Row],[Date rév.]]="","",HYPERLINK(Tableau1[[#This Row],[Lien document]],"X"))</f>
        <v/>
      </c>
      <c r="V913" s="47"/>
      <c r="W913" s="49" t="str">
        <f ca="1">Chemin_accès!$B$2&amp;Tableau1[[#This Row],[Poste Responsable]]&amp;"\"&amp;Tableau1[[#This Row],[Localisation / Classement]]&amp;"\"&amp;Tableau1[[#This Row],[Poste technique]]&amp;"_"&amp;Tableau1[[#This Row],[Plan Entretien]]&amp;".pdf"</f>
        <v>\\stjn.local\trimet\Donnees_Projets\Dms Sap\Maintenance\PlanEntretien\7.MSCT\\_.pdf</v>
      </c>
      <c r="X913" s="47"/>
      <c r="Y913" s="47"/>
      <c r="Z913" s="44" t="str">
        <f ca="1">IF(AND(Tableau1[[#This Row],[Charge]]&lt;&gt;0, Tableau1[[#This Row],[Nombre intervenants]]&lt;&gt;0,Tableau1[[#This Row],[Lien document]]&lt;&gt;0,Tableau1[[#This Row],[DMS_SAP]]&lt;&gt;0)=TRUE,"MIS A JOUR","")</f>
        <v/>
      </c>
      <c r="AA913" s="48"/>
      <c r="AB913" s="58" t="str">
        <f ca="1">IF(Tableau1[[#This Row],[Date rév.]]&lt;&gt;"", DAYS360(Tableau1[[#This Row],[Date rév.]],TODAY()),"")</f>
        <v/>
      </c>
      <c r="AC913" s="47" t="str">
        <f>IFERROR(INDEX(Chemin_accès!$B$11:$C$22,MATCH(Tableau1[[#This Row],[Type]],Chemin_accès!$C$11:$C$22,0),1),Chemin_accès!$B$11)</f>
        <v>\\stjn.local\trimet\Btechnique\Commun\BT Maint SCELLEMENT\205 - Préventifs\Modèles préventif\GammeDMS_7.MSCT.xlsm</v>
      </c>
      <c r="AD913" s="47" t="str">
        <f>Chemin_accès!$B$8&amp;Tableau1[[#This Row],[Localisation / Classement]]&amp;"\"&amp;Tableau1[[#This Row],[Poste technique]]&amp;"_"&amp;Tableau1[[#This Row],[Plan Entretien]]&amp;".xlsm"</f>
        <v>\\stjn.local\trimet\Btechnique\Commun\BT Maint SCELLEMENT\205 - Préventifs\Gammes 7.MSCT PE Tool\\_.xlsm</v>
      </c>
    </row>
    <row r="914" spans="1:30" x14ac:dyDescent="0.3">
      <c r="A914" s="44" t="str">
        <f t="shared" ca="1" si="14"/>
        <v>7.MSCT</v>
      </c>
      <c r="B91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4" s="46"/>
      <c r="D914" s="44"/>
      <c r="E914" s="44"/>
      <c r="F914" s="47"/>
      <c r="G914" s="47"/>
      <c r="H914" s="50"/>
      <c r="I914" s="50"/>
      <c r="J914" s="50"/>
      <c r="K914" s="50"/>
      <c r="L914" s="46"/>
      <c r="M914" s="47"/>
      <c r="N914" s="46"/>
      <c r="O914" s="46"/>
      <c r="P914" s="47"/>
      <c r="Q914" s="46"/>
      <c r="R914" s="46"/>
      <c r="S914" s="48"/>
      <c r="T914" s="61" t="str">
        <f>IF(Tableau1[[#This Row],[DMS_SAP]]="","",HYPERLINK(Tableau1[[#This Row],[Chemin fichier source]],"X"))</f>
        <v/>
      </c>
      <c r="U914" s="61" t="str">
        <f>IF(Tableau1[[#This Row],[Date rév.]]="","",HYPERLINK(Tableau1[[#This Row],[Lien document]],"X"))</f>
        <v/>
      </c>
      <c r="V914" s="47"/>
      <c r="W914" s="49" t="str">
        <f ca="1">Chemin_accès!$B$2&amp;Tableau1[[#This Row],[Poste Responsable]]&amp;"\"&amp;Tableau1[[#This Row],[Localisation / Classement]]&amp;"\"&amp;Tableau1[[#This Row],[Poste technique]]&amp;"_"&amp;Tableau1[[#This Row],[Plan Entretien]]&amp;".pdf"</f>
        <v>\\stjn.local\trimet\Donnees_Projets\Dms Sap\Maintenance\PlanEntretien\7.MSCT\\_.pdf</v>
      </c>
      <c r="X914" s="47"/>
      <c r="Y914" s="47"/>
      <c r="Z914" s="44" t="str">
        <f ca="1">IF(AND(Tableau1[[#This Row],[Charge]]&lt;&gt;0, Tableau1[[#This Row],[Nombre intervenants]]&lt;&gt;0,Tableau1[[#This Row],[Lien document]]&lt;&gt;0,Tableau1[[#This Row],[DMS_SAP]]&lt;&gt;0)=TRUE,"MIS A JOUR","")</f>
        <v/>
      </c>
      <c r="AA914" s="48"/>
      <c r="AB914" s="58" t="str">
        <f ca="1">IF(Tableau1[[#This Row],[Date rév.]]&lt;&gt;"", DAYS360(Tableau1[[#This Row],[Date rév.]],TODAY()),"")</f>
        <v/>
      </c>
      <c r="AC914" s="47" t="str">
        <f>IFERROR(INDEX(Chemin_accès!$B$11:$C$22,MATCH(Tableau1[[#This Row],[Type]],Chemin_accès!$C$11:$C$22,0),1),Chemin_accès!$B$11)</f>
        <v>\\stjn.local\trimet\Btechnique\Commun\BT Maint SCELLEMENT\205 - Préventifs\Modèles préventif\GammeDMS_7.MSCT.xlsm</v>
      </c>
      <c r="AD914" s="47" t="str">
        <f>Chemin_accès!$B$8&amp;Tableau1[[#This Row],[Localisation / Classement]]&amp;"\"&amp;Tableau1[[#This Row],[Poste technique]]&amp;"_"&amp;Tableau1[[#This Row],[Plan Entretien]]&amp;".xlsm"</f>
        <v>\\stjn.local\trimet\Btechnique\Commun\BT Maint SCELLEMENT\205 - Préventifs\Gammes 7.MSCT PE Tool\\_.xlsm</v>
      </c>
    </row>
    <row r="915" spans="1:30" x14ac:dyDescent="0.3">
      <c r="A915" s="44" t="str">
        <f t="shared" ca="1" si="14"/>
        <v>7.MSCT</v>
      </c>
      <c r="B91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5" s="46"/>
      <c r="D915" s="44"/>
      <c r="E915" s="44"/>
      <c r="F915" s="47"/>
      <c r="G915" s="47"/>
      <c r="H915" s="50"/>
      <c r="I915" s="50"/>
      <c r="J915" s="50"/>
      <c r="K915" s="50"/>
      <c r="L915" s="46"/>
      <c r="M915" s="47"/>
      <c r="N915" s="46"/>
      <c r="O915" s="46"/>
      <c r="P915" s="47"/>
      <c r="Q915" s="46"/>
      <c r="R915" s="46"/>
      <c r="S915" s="48"/>
      <c r="T915" s="61" t="str">
        <f>IF(Tableau1[[#This Row],[DMS_SAP]]="","",HYPERLINK(Tableau1[[#This Row],[Chemin fichier source]],"X"))</f>
        <v/>
      </c>
      <c r="U915" s="61" t="str">
        <f>IF(Tableau1[[#This Row],[Date rév.]]="","",HYPERLINK(Tableau1[[#This Row],[Lien document]],"X"))</f>
        <v/>
      </c>
      <c r="V915" s="47"/>
      <c r="W915" s="49" t="str">
        <f ca="1">Chemin_accès!$B$2&amp;Tableau1[[#This Row],[Poste Responsable]]&amp;"\"&amp;Tableau1[[#This Row],[Localisation / Classement]]&amp;"\"&amp;Tableau1[[#This Row],[Poste technique]]&amp;"_"&amp;Tableau1[[#This Row],[Plan Entretien]]&amp;".pdf"</f>
        <v>\\stjn.local\trimet\Donnees_Projets\Dms Sap\Maintenance\PlanEntretien\7.MSCT\\_.pdf</v>
      </c>
      <c r="X915" s="47"/>
      <c r="Y915" s="47"/>
      <c r="Z915" s="44" t="str">
        <f ca="1">IF(AND(Tableau1[[#This Row],[Charge]]&lt;&gt;0, Tableau1[[#This Row],[Nombre intervenants]]&lt;&gt;0,Tableau1[[#This Row],[Lien document]]&lt;&gt;0,Tableau1[[#This Row],[DMS_SAP]]&lt;&gt;0)=TRUE,"MIS A JOUR","")</f>
        <v/>
      </c>
      <c r="AA915" s="48"/>
      <c r="AB915" s="58" t="str">
        <f ca="1">IF(Tableau1[[#This Row],[Date rév.]]&lt;&gt;"", DAYS360(Tableau1[[#This Row],[Date rév.]],TODAY()),"")</f>
        <v/>
      </c>
      <c r="AC915" s="47" t="str">
        <f>IFERROR(INDEX(Chemin_accès!$B$11:$C$22,MATCH(Tableau1[[#This Row],[Type]],Chemin_accès!$C$11:$C$22,0),1),Chemin_accès!$B$11)</f>
        <v>\\stjn.local\trimet\Btechnique\Commun\BT Maint SCELLEMENT\205 - Préventifs\Modèles préventif\GammeDMS_7.MSCT.xlsm</v>
      </c>
      <c r="AD915" s="47" t="str">
        <f>Chemin_accès!$B$8&amp;Tableau1[[#This Row],[Localisation / Classement]]&amp;"\"&amp;Tableau1[[#This Row],[Poste technique]]&amp;"_"&amp;Tableau1[[#This Row],[Plan Entretien]]&amp;".xlsm"</f>
        <v>\\stjn.local\trimet\Btechnique\Commun\BT Maint SCELLEMENT\205 - Préventifs\Gammes 7.MSCT PE Tool\\_.xlsm</v>
      </c>
    </row>
    <row r="916" spans="1:30" x14ac:dyDescent="0.3">
      <c r="A916" s="44" t="str">
        <f t="shared" ca="1" si="14"/>
        <v>7.MSCT</v>
      </c>
      <c r="B91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6" s="46"/>
      <c r="D916" s="44"/>
      <c r="E916" s="44"/>
      <c r="F916" s="47"/>
      <c r="G916" s="47"/>
      <c r="H916" s="50"/>
      <c r="I916" s="50"/>
      <c r="J916" s="50"/>
      <c r="K916" s="50"/>
      <c r="L916" s="46"/>
      <c r="M916" s="47"/>
      <c r="N916" s="46"/>
      <c r="O916" s="46"/>
      <c r="P916" s="47"/>
      <c r="Q916" s="46"/>
      <c r="R916" s="46"/>
      <c r="S916" s="48"/>
      <c r="T916" s="61" t="str">
        <f>IF(Tableau1[[#This Row],[DMS_SAP]]="","",HYPERLINK(Tableau1[[#This Row],[Chemin fichier source]],"X"))</f>
        <v/>
      </c>
      <c r="U916" s="61" t="str">
        <f>IF(Tableau1[[#This Row],[Date rév.]]="","",HYPERLINK(Tableau1[[#This Row],[Lien document]],"X"))</f>
        <v/>
      </c>
      <c r="V916" s="47"/>
      <c r="W916" s="49" t="str">
        <f ca="1">Chemin_accès!$B$2&amp;Tableau1[[#This Row],[Poste Responsable]]&amp;"\"&amp;Tableau1[[#This Row],[Localisation / Classement]]&amp;"\"&amp;Tableau1[[#This Row],[Poste technique]]&amp;"_"&amp;Tableau1[[#This Row],[Plan Entretien]]&amp;".pdf"</f>
        <v>\\stjn.local\trimet\Donnees_Projets\Dms Sap\Maintenance\PlanEntretien\7.MSCT\\_.pdf</v>
      </c>
      <c r="X916" s="47"/>
      <c r="Y916" s="47"/>
      <c r="Z916" s="44" t="str">
        <f ca="1">IF(AND(Tableau1[[#This Row],[Charge]]&lt;&gt;0, Tableau1[[#This Row],[Nombre intervenants]]&lt;&gt;0,Tableau1[[#This Row],[Lien document]]&lt;&gt;0,Tableau1[[#This Row],[DMS_SAP]]&lt;&gt;0)=TRUE,"MIS A JOUR","")</f>
        <v/>
      </c>
      <c r="AA916" s="48"/>
      <c r="AB916" s="58" t="str">
        <f ca="1">IF(Tableau1[[#This Row],[Date rév.]]&lt;&gt;"", DAYS360(Tableau1[[#This Row],[Date rév.]],TODAY()),"")</f>
        <v/>
      </c>
      <c r="AC916" s="47" t="str">
        <f>IFERROR(INDEX(Chemin_accès!$B$11:$C$22,MATCH(Tableau1[[#This Row],[Type]],Chemin_accès!$C$11:$C$22,0),1),Chemin_accès!$B$11)</f>
        <v>\\stjn.local\trimet\Btechnique\Commun\BT Maint SCELLEMENT\205 - Préventifs\Modèles préventif\GammeDMS_7.MSCT.xlsm</v>
      </c>
      <c r="AD916" s="47" t="str">
        <f>Chemin_accès!$B$8&amp;Tableau1[[#This Row],[Localisation / Classement]]&amp;"\"&amp;Tableau1[[#This Row],[Poste technique]]&amp;"_"&amp;Tableau1[[#This Row],[Plan Entretien]]&amp;".xlsm"</f>
        <v>\\stjn.local\trimet\Btechnique\Commun\BT Maint SCELLEMENT\205 - Préventifs\Gammes 7.MSCT PE Tool\\_.xlsm</v>
      </c>
    </row>
    <row r="917" spans="1:30" x14ac:dyDescent="0.3">
      <c r="A917" s="44" t="str">
        <f t="shared" ca="1" si="14"/>
        <v>7.MSCT</v>
      </c>
      <c r="B91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7" s="46"/>
      <c r="D917" s="44"/>
      <c r="E917" s="44"/>
      <c r="F917" s="47"/>
      <c r="G917" s="47"/>
      <c r="H917" s="50"/>
      <c r="I917" s="50"/>
      <c r="J917" s="50"/>
      <c r="K917" s="50"/>
      <c r="L917" s="46"/>
      <c r="M917" s="47"/>
      <c r="N917" s="46"/>
      <c r="O917" s="46"/>
      <c r="P917" s="47"/>
      <c r="Q917" s="46"/>
      <c r="R917" s="46"/>
      <c r="S917" s="48"/>
      <c r="T917" s="61" t="str">
        <f>IF(Tableau1[[#This Row],[DMS_SAP]]="","",HYPERLINK(Tableau1[[#This Row],[Chemin fichier source]],"X"))</f>
        <v/>
      </c>
      <c r="U917" s="61" t="str">
        <f>IF(Tableau1[[#This Row],[Date rév.]]="","",HYPERLINK(Tableau1[[#This Row],[Lien document]],"X"))</f>
        <v/>
      </c>
      <c r="V917" s="47"/>
      <c r="W917" s="49" t="str">
        <f ca="1">Chemin_accès!$B$2&amp;Tableau1[[#This Row],[Poste Responsable]]&amp;"\"&amp;Tableau1[[#This Row],[Localisation / Classement]]&amp;"\"&amp;Tableau1[[#This Row],[Poste technique]]&amp;"_"&amp;Tableau1[[#This Row],[Plan Entretien]]&amp;".pdf"</f>
        <v>\\stjn.local\trimet\Donnees_Projets\Dms Sap\Maintenance\PlanEntretien\7.MSCT\\_.pdf</v>
      </c>
      <c r="X917" s="47"/>
      <c r="Y917" s="47"/>
      <c r="Z917" s="44" t="str">
        <f ca="1">IF(AND(Tableau1[[#This Row],[Charge]]&lt;&gt;0, Tableau1[[#This Row],[Nombre intervenants]]&lt;&gt;0,Tableau1[[#This Row],[Lien document]]&lt;&gt;0,Tableau1[[#This Row],[DMS_SAP]]&lt;&gt;0)=TRUE,"MIS A JOUR","")</f>
        <v/>
      </c>
      <c r="AA917" s="48"/>
      <c r="AB917" s="58" t="str">
        <f ca="1">IF(Tableau1[[#This Row],[Date rév.]]&lt;&gt;"", DAYS360(Tableau1[[#This Row],[Date rév.]],TODAY()),"")</f>
        <v/>
      </c>
      <c r="AC917" s="47" t="str">
        <f>IFERROR(INDEX(Chemin_accès!$B$11:$C$22,MATCH(Tableau1[[#This Row],[Type]],Chemin_accès!$C$11:$C$22,0),1),Chemin_accès!$B$11)</f>
        <v>\\stjn.local\trimet\Btechnique\Commun\BT Maint SCELLEMENT\205 - Préventifs\Modèles préventif\GammeDMS_7.MSCT.xlsm</v>
      </c>
      <c r="AD917" s="47" t="str">
        <f>Chemin_accès!$B$8&amp;Tableau1[[#This Row],[Localisation / Classement]]&amp;"\"&amp;Tableau1[[#This Row],[Poste technique]]&amp;"_"&amp;Tableau1[[#This Row],[Plan Entretien]]&amp;".xlsm"</f>
        <v>\\stjn.local\trimet\Btechnique\Commun\BT Maint SCELLEMENT\205 - Préventifs\Gammes 7.MSCT PE Tool\\_.xlsm</v>
      </c>
    </row>
    <row r="918" spans="1:30" x14ac:dyDescent="0.3">
      <c r="A918" s="44" t="str">
        <f t="shared" ca="1" si="14"/>
        <v>7.MSCT</v>
      </c>
      <c r="B91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8" s="46"/>
      <c r="D918" s="44"/>
      <c r="E918" s="44"/>
      <c r="F918" s="47"/>
      <c r="G918" s="47"/>
      <c r="H918" s="50"/>
      <c r="I918" s="50"/>
      <c r="J918" s="50"/>
      <c r="K918" s="50"/>
      <c r="L918" s="46"/>
      <c r="M918" s="47"/>
      <c r="N918" s="46"/>
      <c r="O918" s="46"/>
      <c r="P918" s="47"/>
      <c r="Q918" s="46"/>
      <c r="R918" s="46"/>
      <c r="S918" s="48"/>
      <c r="T918" s="61" t="str">
        <f>IF(Tableau1[[#This Row],[DMS_SAP]]="","",HYPERLINK(Tableau1[[#This Row],[Chemin fichier source]],"X"))</f>
        <v/>
      </c>
      <c r="U918" s="61" t="str">
        <f>IF(Tableau1[[#This Row],[Date rév.]]="","",HYPERLINK(Tableau1[[#This Row],[Lien document]],"X"))</f>
        <v/>
      </c>
      <c r="V918" s="47"/>
      <c r="W918" s="49" t="str">
        <f ca="1">Chemin_accès!$B$2&amp;Tableau1[[#This Row],[Poste Responsable]]&amp;"\"&amp;Tableau1[[#This Row],[Localisation / Classement]]&amp;"\"&amp;Tableau1[[#This Row],[Poste technique]]&amp;"_"&amp;Tableau1[[#This Row],[Plan Entretien]]&amp;".pdf"</f>
        <v>\\stjn.local\trimet\Donnees_Projets\Dms Sap\Maintenance\PlanEntretien\7.MSCT\\_.pdf</v>
      </c>
      <c r="X918" s="47"/>
      <c r="Y918" s="47"/>
      <c r="Z918" s="44" t="str">
        <f ca="1">IF(AND(Tableau1[[#This Row],[Charge]]&lt;&gt;0, Tableau1[[#This Row],[Nombre intervenants]]&lt;&gt;0,Tableau1[[#This Row],[Lien document]]&lt;&gt;0,Tableau1[[#This Row],[DMS_SAP]]&lt;&gt;0)=TRUE,"MIS A JOUR","")</f>
        <v/>
      </c>
      <c r="AA918" s="48"/>
      <c r="AB918" s="58" t="str">
        <f ca="1">IF(Tableau1[[#This Row],[Date rév.]]&lt;&gt;"", DAYS360(Tableau1[[#This Row],[Date rév.]],TODAY()),"")</f>
        <v/>
      </c>
      <c r="AC918" s="47" t="str">
        <f>IFERROR(INDEX(Chemin_accès!$B$11:$C$22,MATCH(Tableau1[[#This Row],[Type]],Chemin_accès!$C$11:$C$22,0),1),Chemin_accès!$B$11)</f>
        <v>\\stjn.local\trimet\Btechnique\Commun\BT Maint SCELLEMENT\205 - Préventifs\Modèles préventif\GammeDMS_7.MSCT.xlsm</v>
      </c>
      <c r="AD918" s="47" t="str">
        <f>Chemin_accès!$B$8&amp;Tableau1[[#This Row],[Localisation / Classement]]&amp;"\"&amp;Tableau1[[#This Row],[Poste technique]]&amp;"_"&amp;Tableau1[[#This Row],[Plan Entretien]]&amp;".xlsm"</f>
        <v>\\stjn.local\trimet\Btechnique\Commun\BT Maint SCELLEMENT\205 - Préventifs\Gammes 7.MSCT PE Tool\\_.xlsm</v>
      </c>
    </row>
    <row r="919" spans="1:30" x14ac:dyDescent="0.3">
      <c r="A919" s="44" t="str">
        <f t="shared" ca="1" si="14"/>
        <v>7.MSCT</v>
      </c>
      <c r="B91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9" s="46"/>
      <c r="D919" s="44"/>
      <c r="E919" s="44"/>
      <c r="F919" s="47"/>
      <c r="G919" s="47"/>
      <c r="H919" s="50"/>
      <c r="I919" s="50"/>
      <c r="J919" s="50"/>
      <c r="K919" s="50"/>
      <c r="L919" s="46"/>
      <c r="M919" s="47"/>
      <c r="N919" s="46"/>
      <c r="O919" s="46"/>
      <c r="P919" s="47"/>
      <c r="Q919" s="46"/>
      <c r="R919" s="46"/>
      <c r="S919" s="48"/>
      <c r="T919" s="61" t="str">
        <f>IF(Tableau1[[#This Row],[DMS_SAP]]="","",HYPERLINK(Tableau1[[#This Row],[Chemin fichier source]],"X"))</f>
        <v/>
      </c>
      <c r="U919" s="61" t="str">
        <f>IF(Tableau1[[#This Row],[Date rév.]]="","",HYPERLINK(Tableau1[[#This Row],[Lien document]],"X"))</f>
        <v/>
      </c>
      <c r="V919" s="47"/>
      <c r="W919" s="49" t="str">
        <f ca="1">Chemin_accès!$B$2&amp;Tableau1[[#This Row],[Poste Responsable]]&amp;"\"&amp;Tableau1[[#This Row],[Localisation / Classement]]&amp;"\"&amp;Tableau1[[#This Row],[Poste technique]]&amp;"_"&amp;Tableau1[[#This Row],[Plan Entretien]]&amp;".pdf"</f>
        <v>\\stjn.local\trimet\Donnees_Projets\Dms Sap\Maintenance\PlanEntretien\7.MSCT\\_.pdf</v>
      </c>
      <c r="X919" s="47"/>
      <c r="Y919" s="47"/>
      <c r="Z919" s="44" t="str">
        <f ca="1">IF(AND(Tableau1[[#This Row],[Charge]]&lt;&gt;0, Tableau1[[#This Row],[Nombre intervenants]]&lt;&gt;0,Tableau1[[#This Row],[Lien document]]&lt;&gt;0,Tableau1[[#This Row],[DMS_SAP]]&lt;&gt;0)=TRUE,"MIS A JOUR","")</f>
        <v/>
      </c>
      <c r="AA919" s="48"/>
      <c r="AB919" s="58" t="str">
        <f ca="1">IF(Tableau1[[#This Row],[Date rév.]]&lt;&gt;"", DAYS360(Tableau1[[#This Row],[Date rév.]],TODAY()),"")</f>
        <v/>
      </c>
      <c r="AC919" s="47" t="str">
        <f>IFERROR(INDEX(Chemin_accès!$B$11:$C$22,MATCH(Tableau1[[#This Row],[Type]],Chemin_accès!$C$11:$C$22,0),1),Chemin_accès!$B$11)</f>
        <v>\\stjn.local\trimet\Btechnique\Commun\BT Maint SCELLEMENT\205 - Préventifs\Modèles préventif\GammeDMS_7.MSCT.xlsm</v>
      </c>
      <c r="AD919" s="47" t="str">
        <f>Chemin_accès!$B$8&amp;Tableau1[[#This Row],[Localisation / Classement]]&amp;"\"&amp;Tableau1[[#This Row],[Poste technique]]&amp;"_"&amp;Tableau1[[#This Row],[Plan Entretien]]&amp;".xlsm"</f>
        <v>\\stjn.local\trimet\Btechnique\Commun\BT Maint SCELLEMENT\205 - Préventifs\Gammes 7.MSCT PE Tool\\_.xlsm</v>
      </c>
    </row>
    <row r="920" spans="1:30" x14ac:dyDescent="0.3">
      <c r="A920" s="44" t="str">
        <f t="shared" ca="1" si="14"/>
        <v>7.MSCT</v>
      </c>
      <c r="B92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0" s="46"/>
      <c r="D920" s="44"/>
      <c r="E920" s="44"/>
      <c r="F920" s="47"/>
      <c r="G920" s="47"/>
      <c r="H920" s="50"/>
      <c r="I920" s="50"/>
      <c r="J920" s="50"/>
      <c r="K920" s="50"/>
      <c r="L920" s="46"/>
      <c r="M920" s="47"/>
      <c r="N920" s="46"/>
      <c r="O920" s="46"/>
      <c r="P920" s="47"/>
      <c r="Q920" s="46"/>
      <c r="R920" s="46"/>
      <c r="S920" s="48"/>
      <c r="T920" s="61" t="str">
        <f>IF(Tableau1[[#This Row],[DMS_SAP]]="","",HYPERLINK(Tableau1[[#This Row],[Chemin fichier source]],"X"))</f>
        <v/>
      </c>
      <c r="U920" s="61" t="str">
        <f>IF(Tableau1[[#This Row],[Date rév.]]="","",HYPERLINK(Tableau1[[#This Row],[Lien document]],"X"))</f>
        <v/>
      </c>
      <c r="V920" s="47"/>
      <c r="W920" s="49" t="str">
        <f ca="1">Chemin_accès!$B$2&amp;Tableau1[[#This Row],[Poste Responsable]]&amp;"\"&amp;Tableau1[[#This Row],[Localisation / Classement]]&amp;"\"&amp;Tableau1[[#This Row],[Poste technique]]&amp;"_"&amp;Tableau1[[#This Row],[Plan Entretien]]&amp;".pdf"</f>
        <v>\\stjn.local\trimet\Donnees_Projets\Dms Sap\Maintenance\PlanEntretien\7.MSCT\\_.pdf</v>
      </c>
      <c r="X920" s="47"/>
      <c r="Y920" s="47"/>
      <c r="Z920" s="44" t="str">
        <f ca="1">IF(AND(Tableau1[[#This Row],[Charge]]&lt;&gt;0, Tableau1[[#This Row],[Nombre intervenants]]&lt;&gt;0,Tableau1[[#This Row],[Lien document]]&lt;&gt;0,Tableau1[[#This Row],[DMS_SAP]]&lt;&gt;0)=TRUE,"MIS A JOUR","")</f>
        <v/>
      </c>
      <c r="AA920" s="48"/>
      <c r="AB920" s="58" t="str">
        <f ca="1">IF(Tableau1[[#This Row],[Date rév.]]&lt;&gt;"", DAYS360(Tableau1[[#This Row],[Date rév.]],TODAY()),"")</f>
        <v/>
      </c>
      <c r="AC920" s="47" t="str">
        <f>IFERROR(INDEX(Chemin_accès!$B$11:$C$22,MATCH(Tableau1[[#This Row],[Type]],Chemin_accès!$C$11:$C$22,0),1),Chemin_accès!$B$11)</f>
        <v>\\stjn.local\trimet\Btechnique\Commun\BT Maint SCELLEMENT\205 - Préventifs\Modèles préventif\GammeDMS_7.MSCT.xlsm</v>
      </c>
      <c r="AD920" s="47" t="str">
        <f>Chemin_accès!$B$8&amp;Tableau1[[#This Row],[Localisation / Classement]]&amp;"\"&amp;Tableau1[[#This Row],[Poste technique]]&amp;"_"&amp;Tableau1[[#This Row],[Plan Entretien]]&amp;".xlsm"</f>
        <v>\\stjn.local\trimet\Btechnique\Commun\BT Maint SCELLEMENT\205 - Préventifs\Gammes 7.MSCT PE Tool\\_.xlsm</v>
      </c>
    </row>
    <row r="921" spans="1:30" x14ac:dyDescent="0.3">
      <c r="A921" s="44" t="str">
        <f t="shared" ca="1" si="14"/>
        <v>7.MSCT</v>
      </c>
      <c r="B92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1" s="46"/>
      <c r="D921" s="44"/>
      <c r="E921" s="44"/>
      <c r="F921" s="47"/>
      <c r="G921" s="47"/>
      <c r="H921" s="50"/>
      <c r="I921" s="50"/>
      <c r="J921" s="50"/>
      <c r="K921" s="50"/>
      <c r="L921" s="46"/>
      <c r="M921" s="47"/>
      <c r="N921" s="46"/>
      <c r="O921" s="46"/>
      <c r="P921" s="47"/>
      <c r="Q921" s="46"/>
      <c r="R921" s="46"/>
      <c r="S921" s="48"/>
      <c r="T921" s="61" t="str">
        <f>IF(Tableau1[[#This Row],[DMS_SAP]]="","",HYPERLINK(Tableau1[[#This Row],[Chemin fichier source]],"X"))</f>
        <v/>
      </c>
      <c r="U921" s="61" t="str">
        <f>IF(Tableau1[[#This Row],[Date rév.]]="","",HYPERLINK(Tableau1[[#This Row],[Lien document]],"X"))</f>
        <v/>
      </c>
      <c r="V921" s="47"/>
      <c r="W921" s="49" t="str">
        <f ca="1">Chemin_accès!$B$2&amp;Tableau1[[#This Row],[Poste Responsable]]&amp;"\"&amp;Tableau1[[#This Row],[Localisation / Classement]]&amp;"\"&amp;Tableau1[[#This Row],[Poste technique]]&amp;"_"&amp;Tableau1[[#This Row],[Plan Entretien]]&amp;".pdf"</f>
        <v>\\stjn.local\trimet\Donnees_Projets\Dms Sap\Maintenance\PlanEntretien\7.MSCT\\_.pdf</v>
      </c>
      <c r="X921" s="47"/>
      <c r="Y921" s="47"/>
      <c r="Z921" s="44" t="str">
        <f ca="1">IF(AND(Tableau1[[#This Row],[Charge]]&lt;&gt;0, Tableau1[[#This Row],[Nombre intervenants]]&lt;&gt;0,Tableau1[[#This Row],[Lien document]]&lt;&gt;0,Tableau1[[#This Row],[DMS_SAP]]&lt;&gt;0)=TRUE,"MIS A JOUR","")</f>
        <v/>
      </c>
      <c r="AA921" s="48"/>
      <c r="AB921" s="58" t="str">
        <f ca="1">IF(Tableau1[[#This Row],[Date rév.]]&lt;&gt;"", DAYS360(Tableau1[[#This Row],[Date rév.]],TODAY()),"")</f>
        <v/>
      </c>
      <c r="AC921" s="47" t="str">
        <f>IFERROR(INDEX(Chemin_accès!$B$11:$C$22,MATCH(Tableau1[[#This Row],[Type]],Chemin_accès!$C$11:$C$22,0),1),Chemin_accès!$B$11)</f>
        <v>\\stjn.local\trimet\Btechnique\Commun\BT Maint SCELLEMENT\205 - Préventifs\Modèles préventif\GammeDMS_7.MSCT.xlsm</v>
      </c>
      <c r="AD921" s="47" t="str">
        <f>Chemin_accès!$B$8&amp;Tableau1[[#This Row],[Localisation / Classement]]&amp;"\"&amp;Tableau1[[#This Row],[Poste technique]]&amp;"_"&amp;Tableau1[[#This Row],[Plan Entretien]]&amp;".xlsm"</f>
        <v>\\stjn.local\trimet\Btechnique\Commun\BT Maint SCELLEMENT\205 - Préventifs\Gammes 7.MSCT PE Tool\\_.xlsm</v>
      </c>
    </row>
    <row r="922" spans="1:30" x14ac:dyDescent="0.3">
      <c r="A922" s="44" t="str">
        <f t="shared" ca="1" si="14"/>
        <v>7.MSCT</v>
      </c>
      <c r="B92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2" s="46"/>
      <c r="D922" s="44"/>
      <c r="E922" s="44"/>
      <c r="F922" s="47"/>
      <c r="G922" s="47"/>
      <c r="H922" s="50"/>
      <c r="I922" s="50"/>
      <c r="J922" s="50"/>
      <c r="K922" s="50"/>
      <c r="L922" s="46"/>
      <c r="M922" s="47"/>
      <c r="N922" s="46"/>
      <c r="O922" s="46"/>
      <c r="P922" s="47"/>
      <c r="Q922" s="46"/>
      <c r="R922" s="46"/>
      <c r="S922" s="48"/>
      <c r="T922" s="61" t="str">
        <f>IF(Tableau1[[#This Row],[DMS_SAP]]="","",HYPERLINK(Tableau1[[#This Row],[Chemin fichier source]],"X"))</f>
        <v/>
      </c>
      <c r="U922" s="61" t="str">
        <f>IF(Tableau1[[#This Row],[Date rév.]]="","",HYPERLINK(Tableau1[[#This Row],[Lien document]],"X"))</f>
        <v/>
      </c>
      <c r="V922" s="47"/>
      <c r="W922" s="49" t="str">
        <f ca="1">Chemin_accès!$B$2&amp;Tableau1[[#This Row],[Poste Responsable]]&amp;"\"&amp;Tableau1[[#This Row],[Localisation / Classement]]&amp;"\"&amp;Tableau1[[#This Row],[Poste technique]]&amp;"_"&amp;Tableau1[[#This Row],[Plan Entretien]]&amp;".pdf"</f>
        <v>\\stjn.local\trimet\Donnees_Projets\Dms Sap\Maintenance\PlanEntretien\7.MSCT\\_.pdf</v>
      </c>
      <c r="X922" s="47"/>
      <c r="Y922" s="47"/>
      <c r="Z922" s="44" t="str">
        <f ca="1">IF(AND(Tableau1[[#This Row],[Charge]]&lt;&gt;0, Tableau1[[#This Row],[Nombre intervenants]]&lt;&gt;0,Tableau1[[#This Row],[Lien document]]&lt;&gt;0,Tableau1[[#This Row],[DMS_SAP]]&lt;&gt;0)=TRUE,"MIS A JOUR","")</f>
        <v/>
      </c>
      <c r="AA922" s="48"/>
      <c r="AB922" s="58" t="str">
        <f ca="1">IF(Tableau1[[#This Row],[Date rév.]]&lt;&gt;"", DAYS360(Tableau1[[#This Row],[Date rév.]],TODAY()),"")</f>
        <v/>
      </c>
      <c r="AC922" s="47" t="str">
        <f>IFERROR(INDEX(Chemin_accès!$B$11:$C$22,MATCH(Tableau1[[#This Row],[Type]],Chemin_accès!$C$11:$C$22,0),1),Chemin_accès!$B$11)</f>
        <v>\\stjn.local\trimet\Btechnique\Commun\BT Maint SCELLEMENT\205 - Préventifs\Modèles préventif\GammeDMS_7.MSCT.xlsm</v>
      </c>
      <c r="AD922" s="47" t="str">
        <f>Chemin_accès!$B$8&amp;Tableau1[[#This Row],[Localisation / Classement]]&amp;"\"&amp;Tableau1[[#This Row],[Poste technique]]&amp;"_"&amp;Tableau1[[#This Row],[Plan Entretien]]&amp;".xlsm"</f>
        <v>\\stjn.local\trimet\Btechnique\Commun\BT Maint SCELLEMENT\205 - Préventifs\Gammes 7.MSCT PE Tool\\_.xlsm</v>
      </c>
    </row>
    <row r="923" spans="1:30" x14ac:dyDescent="0.3">
      <c r="A923" s="44" t="str">
        <f t="shared" ca="1" si="14"/>
        <v>7.MSCT</v>
      </c>
      <c r="B92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3" s="46"/>
      <c r="D923" s="44"/>
      <c r="E923" s="44"/>
      <c r="F923" s="47"/>
      <c r="G923" s="47"/>
      <c r="H923" s="50"/>
      <c r="I923" s="50"/>
      <c r="J923" s="50"/>
      <c r="K923" s="50"/>
      <c r="L923" s="46"/>
      <c r="M923" s="47"/>
      <c r="N923" s="46"/>
      <c r="O923" s="46"/>
      <c r="P923" s="47"/>
      <c r="Q923" s="46"/>
      <c r="R923" s="46"/>
      <c r="S923" s="48"/>
      <c r="T923" s="61" t="str">
        <f>IF(Tableau1[[#This Row],[DMS_SAP]]="","",HYPERLINK(Tableau1[[#This Row],[Chemin fichier source]],"X"))</f>
        <v/>
      </c>
      <c r="U923" s="61" t="str">
        <f>IF(Tableau1[[#This Row],[Date rév.]]="","",HYPERLINK(Tableau1[[#This Row],[Lien document]],"X"))</f>
        <v/>
      </c>
      <c r="V923" s="47"/>
      <c r="W923" s="49" t="str">
        <f ca="1">Chemin_accès!$B$2&amp;Tableau1[[#This Row],[Poste Responsable]]&amp;"\"&amp;Tableau1[[#This Row],[Localisation / Classement]]&amp;"\"&amp;Tableau1[[#This Row],[Poste technique]]&amp;"_"&amp;Tableau1[[#This Row],[Plan Entretien]]&amp;".pdf"</f>
        <v>\\stjn.local\trimet\Donnees_Projets\Dms Sap\Maintenance\PlanEntretien\7.MSCT\\_.pdf</v>
      </c>
      <c r="X923" s="47"/>
      <c r="Y923" s="47"/>
      <c r="Z923" s="44" t="str">
        <f ca="1">IF(AND(Tableau1[[#This Row],[Charge]]&lt;&gt;0, Tableau1[[#This Row],[Nombre intervenants]]&lt;&gt;0,Tableau1[[#This Row],[Lien document]]&lt;&gt;0,Tableau1[[#This Row],[DMS_SAP]]&lt;&gt;0)=TRUE,"MIS A JOUR","")</f>
        <v/>
      </c>
      <c r="AA923" s="48"/>
      <c r="AB923" s="58" t="str">
        <f ca="1">IF(Tableau1[[#This Row],[Date rév.]]&lt;&gt;"", DAYS360(Tableau1[[#This Row],[Date rév.]],TODAY()),"")</f>
        <v/>
      </c>
      <c r="AC923" s="47" t="str">
        <f>IFERROR(INDEX(Chemin_accès!$B$11:$C$22,MATCH(Tableau1[[#This Row],[Type]],Chemin_accès!$C$11:$C$22,0),1),Chemin_accès!$B$11)</f>
        <v>\\stjn.local\trimet\Btechnique\Commun\BT Maint SCELLEMENT\205 - Préventifs\Modèles préventif\GammeDMS_7.MSCT.xlsm</v>
      </c>
      <c r="AD923" s="47" t="str">
        <f>Chemin_accès!$B$8&amp;Tableau1[[#This Row],[Localisation / Classement]]&amp;"\"&amp;Tableau1[[#This Row],[Poste technique]]&amp;"_"&amp;Tableau1[[#This Row],[Plan Entretien]]&amp;".xlsm"</f>
        <v>\\stjn.local\trimet\Btechnique\Commun\BT Maint SCELLEMENT\205 - Préventifs\Gammes 7.MSCT PE Tool\\_.xlsm</v>
      </c>
    </row>
    <row r="924" spans="1:30" x14ac:dyDescent="0.3">
      <c r="A924" s="44" t="str">
        <f t="shared" ca="1" si="14"/>
        <v>7.MSCT</v>
      </c>
      <c r="B92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4" s="46"/>
      <c r="D924" s="44"/>
      <c r="E924" s="44"/>
      <c r="F924" s="47"/>
      <c r="G924" s="47"/>
      <c r="H924" s="50"/>
      <c r="I924" s="50"/>
      <c r="J924" s="50"/>
      <c r="K924" s="50"/>
      <c r="L924" s="46"/>
      <c r="M924" s="47"/>
      <c r="N924" s="46"/>
      <c r="O924" s="46"/>
      <c r="P924" s="47"/>
      <c r="Q924" s="46"/>
      <c r="R924" s="46"/>
      <c r="S924" s="48"/>
      <c r="T924" s="61" t="str">
        <f>IF(Tableau1[[#This Row],[DMS_SAP]]="","",HYPERLINK(Tableau1[[#This Row],[Chemin fichier source]],"X"))</f>
        <v/>
      </c>
      <c r="U924" s="61" t="str">
        <f>IF(Tableau1[[#This Row],[Date rév.]]="","",HYPERLINK(Tableau1[[#This Row],[Lien document]],"X"))</f>
        <v/>
      </c>
      <c r="V924" s="47"/>
      <c r="W924" s="49" t="str">
        <f ca="1">Chemin_accès!$B$2&amp;Tableau1[[#This Row],[Poste Responsable]]&amp;"\"&amp;Tableau1[[#This Row],[Localisation / Classement]]&amp;"\"&amp;Tableau1[[#This Row],[Poste technique]]&amp;"_"&amp;Tableau1[[#This Row],[Plan Entretien]]&amp;".pdf"</f>
        <v>\\stjn.local\trimet\Donnees_Projets\Dms Sap\Maintenance\PlanEntretien\7.MSCT\\_.pdf</v>
      </c>
      <c r="X924" s="47"/>
      <c r="Y924" s="47"/>
      <c r="Z924" s="44" t="str">
        <f ca="1">IF(AND(Tableau1[[#This Row],[Charge]]&lt;&gt;0, Tableau1[[#This Row],[Nombre intervenants]]&lt;&gt;0,Tableau1[[#This Row],[Lien document]]&lt;&gt;0,Tableau1[[#This Row],[DMS_SAP]]&lt;&gt;0)=TRUE,"MIS A JOUR","")</f>
        <v/>
      </c>
      <c r="AA924" s="48"/>
      <c r="AB924" s="58" t="str">
        <f ca="1">IF(Tableau1[[#This Row],[Date rév.]]&lt;&gt;"", DAYS360(Tableau1[[#This Row],[Date rév.]],TODAY()),"")</f>
        <v/>
      </c>
      <c r="AC924" s="47" t="str">
        <f>IFERROR(INDEX(Chemin_accès!$B$11:$C$22,MATCH(Tableau1[[#This Row],[Type]],Chemin_accès!$C$11:$C$22,0),1),Chemin_accès!$B$11)</f>
        <v>\\stjn.local\trimet\Btechnique\Commun\BT Maint SCELLEMENT\205 - Préventifs\Modèles préventif\GammeDMS_7.MSCT.xlsm</v>
      </c>
      <c r="AD924" s="47" t="str">
        <f>Chemin_accès!$B$8&amp;Tableau1[[#This Row],[Localisation / Classement]]&amp;"\"&amp;Tableau1[[#This Row],[Poste technique]]&amp;"_"&amp;Tableau1[[#This Row],[Plan Entretien]]&amp;".xlsm"</f>
        <v>\\stjn.local\trimet\Btechnique\Commun\BT Maint SCELLEMENT\205 - Préventifs\Gammes 7.MSCT PE Tool\\_.xlsm</v>
      </c>
    </row>
    <row r="925" spans="1:30" x14ac:dyDescent="0.3">
      <c r="A925" s="44" t="str">
        <f t="shared" ca="1" si="14"/>
        <v>7.MSCT</v>
      </c>
      <c r="B92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5" s="46"/>
      <c r="D925" s="44"/>
      <c r="E925" s="44"/>
      <c r="F925" s="47"/>
      <c r="G925" s="47"/>
      <c r="H925" s="50"/>
      <c r="I925" s="50"/>
      <c r="J925" s="50"/>
      <c r="K925" s="50"/>
      <c r="L925" s="46"/>
      <c r="M925" s="47"/>
      <c r="N925" s="46"/>
      <c r="O925" s="46"/>
      <c r="P925" s="47"/>
      <c r="Q925" s="46"/>
      <c r="R925" s="46"/>
      <c r="S925" s="48"/>
      <c r="T925" s="61" t="str">
        <f>IF(Tableau1[[#This Row],[DMS_SAP]]="","",HYPERLINK(Tableau1[[#This Row],[Chemin fichier source]],"X"))</f>
        <v/>
      </c>
      <c r="U925" s="61" t="str">
        <f>IF(Tableau1[[#This Row],[Date rév.]]="","",HYPERLINK(Tableau1[[#This Row],[Lien document]],"X"))</f>
        <v/>
      </c>
      <c r="V925" s="47"/>
      <c r="W925" s="49" t="str">
        <f ca="1">Chemin_accès!$B$2&amp;Tableau1[[#This Row],[Poste Responsable]]&amp;"\"&amp;Tableau1[[#This Row],[Localisation / Classement]]&amp;"\"&amp;Tableau1[[#This Row],[Poste technique]]&amp;"_"&amp;Tableau1[[#This Row],[Plan Entretien]]&amp;".pdf"</f>
        <v>\\stjn.local\trimet\Donnees_Projets\Dms Sap\Maintenance\PlanEntretien\7.MSCT\\_.pdf</v>
      </c>
      <c r="X925" s="47"/>
      <c r="Y925" s="47"/>
      <c r="Z925" s="44" t="str">
        <f ca="1">IF(AND(Tableau1[[#This Row],[Charge]]&lt;&gt;0, Tableau1[[#This Row],[Nombre intervenants]]&lt;&gt;0,Tableau1[[#This Row],[Lien document]]&lt;&gt;0,Tableau1[[#This Row],[DMS_SAP]]&lt;&gt;0)=TRUE,"MIS A JOUR","")</f>
        <v/>
      </c>
      <c r="AA925" s="48"/>
      <c r="AB925" s="58" t="str">
        <f ca="1">IF(Tableau1[[#This Row],[Date rév.]]&lt;&gt;"", DAYS360(Tableau1[[#This Row],[Date rév.]],TODAY()),"")</f>
        <v/>
      </c>
      <c r="AC925" s="47" t="str">
        <f>IFERROR(INDEX(Chemin_accès!$B$11:$C$22,MATCH(Tableau1[[#This Row],[Type]],Chemin_accès!$C$11:$C$22,0),1),Chemin_accès!$B$11)</f>
        <v>\\stjn.local\trimet\Btechnique\Commun\BT Maint SCELLEMENT\205 - Préventifs\Modèles préventif\GammeDMS_7.MSCT.xlsm</v>
      </c>
      <c r="AD925" s="47" t="str">
        <f>Chemin_accès!$B$8&amp;Tableau1[[#This Row],[Localisation / Classement]]&amp;"\"&amp;Tableau1[[#This Row],[Poste technique]]&amp;"_"&amp;Tableau1[[#This Row],[Plan Entretien]]&amp;".xlsm"</f>
        <v>\\stjn.local\trimet\Btechnique\Commun\BT Maint SCELLEMENT\205 - Préventifs\Gammes 7.MSCT PE Tool\\_.xlsm</v>
      </c>
    </row>
    <row r="926" spans="1:30" x14ac:dyDescent="0.3">
      <c r="A926" s="44" t="str">
        <f t="shared" ca="1" si="14"/>
        <v>7.MSCT</v>
      </c>
      <c r="B92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6" s="46"/>
      <c r="D926" s="44"/>
      <c r="E926" s="44"/>
      <c r="F926" s="47"/>
      <c r="G926" s="47"/>
      <c r="H926" s="50"/>
      <c r="I926" s="50"/>
      <c r="J926" s="50"/>
      <c r="K926" s="50"/>
      <c r="L926" s="46"/>
      <c r="M926" s="47"/>
      <c r="N926" s="46"/>
      <c r="O926" s="46"/>
      <c r="P926" s="47"/>
      <c r="Q926" s="46"/>
      <c r="R926" s="46"/>
      <c r="S926" s="48"/>
      <c r="T926" s="61" t="str">
        <f>IF(Tableau1[[#This Row],[DMS_SAP]]="","",HYPERLINK(Tableau1[[#This Row],[Chemin fichier source]],"X"))</f>
        <v/>
      </c>
      <c r="U926" s="61" t="str">
        <f>IF(Tableau1[[#This Row],[Date rév.]]="","",HYPERLINK(Tableau1[[#This Row],[Lien document]],"X"))</f>
        <v/>
      </c>
      <c r="V926" s="47"/>
      <c r="W926" s="49" t="str">
        <f ca="1">Chemin_accès!$B$2&amp;Tableau1[[#This Row],[Poste Responsable]]&amp;"\"&amp;Tableau1[[#This Row],[Localisation / Classement]]&amp;"\"&amp;Tableau1[[#This Row],[Poste technique]]&amp;"_"&amp;Tableau1[[#This Row],[Plan Entretien]]&amp;".pdf"</f>
        <v>\\stjn.local\trimet\Donnees_Projets\Dms Sap\Maintenance\PlanEntretien\7.MSCT\\_.pdf</v>
      </c>
      <c r="X926" s="47"/>
      <c r="Y926" s="47"/>
      <c r="Z926" s="44" t="str">
        <f ca="1">IF(AND(Tableau1[[#This Row],[Charge]]&lt;&gt;0, Tableau1[[#This Row],[Nombre intervenants]]&lt;&gt;0,Tableau1[[#This Row],[Lien document]]&lt;&gt;0,Tableau1[[#This Row],[DMS_SAP]]&lt;&gt;0)=TRUE,"MIS A JOUR","")</f>
        <v/>
      </c>
      <c r="AA926" s="48"/>
      <c r="AB926" s="58" t="str">
        <f ca="1">IF(Tableau1[[#This Row],[Date rév.]]&lt;&gt;"", DAYS360(Tableau1[[#This Row],[Date rév.]],TODAY()),"")</f>
        <v/>
      </c>
      <c r="AC926" s="47" t="str">
        <f>IFERROR(INDEX(Chemin_accès!$B$11:$C$22,MATCH(Tableau1[[#This Row],[Type]],Chemin_accès!$C$11:$C$22,0),1),Chemin_accès!$B$11)</f>
        <v>\\stjn.local\trimet\Btechnique\Commun\BT Maint SCELLEMENT\205 - Préventifs\Modèles préventif\GammeDMS_7.MSCT.xlsm</v>
      </c>
      <c r="AD926" s="47" t="str">
        <f>Chemin_accès!$B$8&amp;Tableau1[[#This Row],[Localisation / Classement]]&amp;"\"&amp;Tableau1[[#This Row],[Poste technique]]&amp;"_"&amp;Tableau1[[#This Row],[Plan Entretien]]&amp;".xlsm"</f>
        <v>\\stjn.local\trimet\Btechnique\Commun\BT Maint SCELLEMENT\205 - Préventifs\Gammes 7.MSCT PE Tool\\_.xlsm</v>
      </c>
    </row>
    <row r="927" spans="1:30" x14ac:dyDescent="0.3">
      <c r="A927" s="44" t="str">
        <f t="shared" ca="1" si="14"/>
        <v>7.MSCT</v>
      </c>
      <c r="B92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7" s="46"/>
      <c r="D927" s="44"/>
      <c r="E927" s="44"/>
      <c r="F927" s="47"/>
      <c r="G927" s="47"/>
      <c r="H927" s="50"/>
      <c r="I927" s="50"/>
      <c r="J927" s="50"/>
      <c r="K927" s="50"/>
      <c r="L927" s="46"/>
      <c r="M927" s="47"/>
      <c r="N927" s="46"/>
      <c r="O927" s="46"/>
      <c r="P927" s="47"/>
      <c r="Q927" s="46"/>
      <c r="R927" s="46"/>
      <c r="S927" s="48"/>
      <c r="T927" s="61" t="str">
        <f>IF(Tableau1[[#This Row],[DMS_SAP]]="","",HYPERLINK(Tableau1[[#This Row],[Chemin fichier source]],"X"))</f>
        <v/>
      </c>
      <c r="U927" s="61" t="str">
        <f>IF(Tableau1[[#This Row],[Date rév.]]="","",HYPERLINK(Tableau1[[#This Row],[Lien document]],"X"))</f>
        <v/>
      </c>
      <c r="V927" s="47"/>
      <c r="W927" s="49" t="str">
        <f ca="1">Chemin_accès!$B$2&amp;Tableau1[[#This Row],[Poste Responsable]]&amp;"\"&amp;Tableau1[[#This Row],[Localisation / Classement]]&amp;"\"&amp;Tableau1[[#This Row],[Poste technique]]&amp;"_"&amp;Tableau1[[#This Row],[Plan Entretien]]&amp;".pdf"</f>
        <v>\\stjn.local\trimet\Donnees_Projets\Dms Sap\Maintenance\PlanEntretien\7.MSCT\\_.pdf</v>
      </c>
      <c r="X927" s="47"/>
      <c r="Y927" s="47"/>
      <c r="Z927" s="44" t="str">
        <f ca="1">IF(AND(Tableau1[[#This Row],[Charge]]&lt;&gt;0, Tableau1[[#This Row],[Nombre intervenants]]&lt;&gt;0,Tableau1[[#This Row],[Lien document]]&lt;&gt;0,Tableau1[[#This Row],[DMS_SAP]]&lt;&gt;0)=TRUE,"MIS A JOUR","")</f>
        <v/>
      </c>
      <c r="AA927" s="48"/>
      <c r="AB927" s="58" t="str">
        <f ca="1">IF(Tableau1[[#This Row],[Date rév.]]&lt;&gt;"", DAYS360(Tableau1[[#This Row],[Date rév.]],TODAY()),"")</f>
        <v/>
      </c>
      <c r="AC927" s="47" t="str">
        <f>IFERROR(INDEX(Chemin_accès!$B$11:$C$22,MATCH(Tableau1[[#This Row],[Type]],Chemin_accès!$C$11:$C$22,0),1),Chemin_accès!$B$11)</f>
        <v>\\stjn.local\trimet\Btechnique\Commun\BT Maint SCELLEMENT\205 - Préventifs\Modèles préventif\GammeDMS_7.MSCT.xlsm</v>
      </c>
      <c r="AD927" s="47" t="str">
        <f>Chemin_accès!$B$8&amp;Tableau1[[#This Row],[Localisation / Classement]]&amp;"\"&amp;Tableau1[[#This Row],[Poste technique]]&amp;"_"&amp;Tableau1[[#This Row],[Plan Entretien]]&amp;".xlsm"</f>
        <v>\\stjn.local\trimet\Btechnique\Commun\BT Maint SCELLEMENT\205 - Préventifs\Gammes 7.MSCT PE Tool\\_.xlsm</v>
      </c>
    </row>
    <row r="928" spans="1:30" x14ac:dyDescent="0.3">
      <c r="A928" s="44" t="str">
        <f t="shared" ca="1" si="14"/>
        <v>7.MSCT</v>
      </c>
      <c r="B92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8" s="46"/>
      <c r="D928" s="44"/>
      <c r="E928" s="44"/>
      <c r="F928" s="47"/>
      <c r="G928" s="47"/>
      <c r="H928" s="50"/>
      <c r="I928" s="50"/>
      <c r="J928" s="50"/>
      <c r="K928" s="50"/>
      <c r="L928" s="46"/>
      <c r="M928" s="47"/>
      <c r="N928" s="46"/>
      <c r="O928" s="46"/>
      <c r="P928" s="47"/>
      <c r="Q928" s="46"/>
      <c r="R928" s="46"/>
      <c r="S928" s="48"/>
      <c r="T928" s="61" t="str">
        <f>IF(Tableau1[[#This Row],[DMS_SAP]]="","",HYPERLINK(Tableau1[[#This Row],[Chemin fichier source]],"X"))</f>
        <v/>
      </c>
      <c r="U928" s="61" t="str">
        <f>IF(Tableau1[[#This Row],[Date rév.]]="","",HYPERLINK(Tableau1[[#This Row],[Lien document]],"X"))</f>
        <v/>
      </c>
      <c r="V928" s="47"/>
      <c r="W928" s="49" t="str">
        <f ca="1">Chemin_accès!$B$2&amp;Tableau1[[#This Row],[Poste Responsable]]&amp;"\"&amp;Tableau1[[#This Row],[Localisation / Classement]]&amp;"\"&amp;Tableau1[[#This Row],[Poste technique]]&amp;"_"&amp;Tableau1[[#This Row],[Plan Entretien]]&amp;".pdf"</f>
        <v>\\stjn.local\trimet\Donnees_Projets\Dms Sap\Maintenance\PlanEntretien\7.MSCT\\_.pdf</v>
      </c>
      <c r="X928" s="47"/>
      <c r="Y928" s="47"/>
      <c r="Z928" s="44" t="str">
        <f ca="1">IF(AND(Tableau1[[#This Row],[Charge]]&lt;&gt;0, Tableau1[[#This Row],[Nombre intervenants]]&lt;&gt;0,Tableau1[[#This Row],[Lien document]]&lt;&gt;0,Tableau1[[#This Row],[DMS_SAP]]&lt;&gt;0)=TRUE,"MIS A JOUR","")</f>
        <v/>
      </c>
      <c r="AA928" s="48"/>
      <c r="AB928" s="58" t="str">
        <f ca="1">IF(Tableau1[[#This Row],[Date rév.]]&lt;&gt;"", DAYS360(Tableau1[[#This Row],[Date rév.]],TODAY()),"")</f>
        <v/>
      </c>
      <c r="AC928" s="47" t="str">
        <f>IFERROR(INDEX(Chemin_accès!$B$11:$C$22,MATCH(Tableau1[[#This Row],[Type]],Chemin_accès!$C$11:$C$22,0),1),Chemin_accès!$B$11)</f>
        <v>\\stjn.local\trimet\Btechnique\Commun\BT Maint SCELLEMENT\205 - Préventifs\Modèles préventif\GammeDMS_7.MSCT.xlsm</v>
      </c>
      <c r="AD928" s="47" t="str">
        <f>Chemin_accès!$B$8&amp;Tableau1[[#This Row],[Localisation / Classement]]&amp;"\"&amp;Tableau1[[#This Row],[Poste technique]]&amp;"_"&amp;Tableau1[[#This Row],[Plan Entretien]]&amp;".xlsm"</f>
        <v>\\stjn.local\trimet\Btechnique\Commun\BT Maint SCELLEMENT\205 - Préventifs\Gammes 7.MSCT PE Tool\\_.xlsm</v>
      </c>
    </row>
    <row r="929" spans="1:30" x14ac:dyDescent="0.3">
      <c r="A929" s="44" t="str">
        <f t="shared" ca="1" si="14"/>
        <v>7.MSCT</v>
      </c>
      <c r="B92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9" s="46"/>
      <c r="D929" s="44"/>
      <c r="E929" s="44"/>
      <c r="F929" s="47"/>
      <c r="G929" s="47"/>
      <c r="H929" s="50"/>
      <c r="I929" s="50"/>
      <c r="J929" s="50"/>
      <c r="K929" s="50"/>
      <c r="L929" s="46"/>
      <c r="M929" s="47"/>
      <c r="N929" s="46"/>
      <c r="O929" s="46"/>
      <c r="P929" s="47"/>
      <c r="Q929" s="46"/>
      <c r="R929" s="46"/>
      <c r="S929" s="48"/>
      <c r="T929" s="61" t="str">
        <f>IF(Tableau1[[#This Row],[DMS_SAP]]="","",HYPERLINK(Tableau1[[#This Row],[Chemin fichier source]],"X"))</f>
        <v/>
      </c>
      <c r="U929" s="61" t="str">
        <f>IF(Tableau1[[#This Row],[Date rév.]]="","",HYPERLINK(Tableau1[[#This Row],[Lien document]],"X"))</f>
        <v/>
      </c>
      <c r="V929" s="47"/>
      <c r="W929" s="49" t="str">
        <f ca="1">Chemin_accès!$B$2&amp;Tableau1[[#This Row],[Poste Responsable]]&amp;"\"&amp;Tableau1[[#This Row],[Localisation / Classement]]&amp;"\"&amp;Tableau1[[#This Row],[Poste technique]]&amp;"_"&amp;Tableau1[[#This Row],[Plan Entretien]]&amp;".pdf"</f>
        <v>\\stjn.local\trimet\Donnees_Projets\Dms Sap\Maintenance\PlanEntretien\7.MSCT\\_.pdf</v>
      </c>
      <c r="X929" s="47"/>
      <c r="Y929" s="47"/>
      <c r="Z929" s="44" t="str">
        <f ca="1">IF(AND(Tableau1[[#This Row],[Charge]]&lt;&gt;0, Tableau1[[#This Row],[Nombre intervenants]]&lt;&gt;0,Tableau1[[#This Row],[Lien document]]&lt;&gt;0,Tableau1[[#This Row],[DMS_SAP]]&lt;&gt;0)=TRUE,"MIS A JOUR","")</f>
        <v/>
      </c>
      <c r="AA929" s="48"/>
      <c r="AB929" s="58" t="str">
        <f ca="1">IF(Tableau1[[#This Row],[Date rév.]]&lt;&gt;"", DAYS360(Tableau1[[#This Row],[Date rév.]],TODAY()),"")</f>
        <v/>
      </c>
      <c r="AC929" s="47" t="str">
        <f>IFERROR(INDEX(Chemin_accès!$B$11:$C$22,MATCH(Tableau1[[#This Row],[Type]],Chemin_accès!$C$11:$C$22,0),1),Chemin_accès!$B$11)</f>
        <v>\\stjn.local\trimet\Btechnique\Commun\BT Maint SCELLEMENT\205 - Préventifs\Modèles préventif\GammeDMS_7.MSCT.xlsm</v>
      </c>
      <c r="AD929" s="47" t="str">
        <f>Chemin_accès!$B$8&amp;Tableau1[[#This Row],[Localisation / Classement]]&amp;"\"&amp;Tableau1[[#This Row],[Poste technique]]&amp;"_"&amp;Tableau1[[#This Row],[Plan Entretien]]&amp;".xlsm"</f>
        <v>\\stjn.local\trimet\Btechnique\Commun\BT Maint SCELLEMENT\205 - Préventifs\Gammes 7.MSCT PE Tool\\_.xlsm</v>
      </c>
    </row>
    <row r="930" spans="1:30" x14ac:dyDescent="0.3">
      <c r="A930" s="44" t="str">
        <f t="shared" ca="1" si="14"/>
        <v>7.MSCT</v>
      </c>
      <c r="B93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0" s="46"/>
      <c r="D930" s="44"/>
      <c r="E930" s="44"/>
      <c r="F930" s="47"/>
      <c r="G930" s="47"/>
      <c r="H930" s="50"/>
      <c r="I930" s="50"/>
      <c r="J930" s="50"/>
      <c r="K930" s="50"/>
      <c r="L930" s="46"/>
      <c r="M930" s="47"/>
      <c r="N930" s="46"/>
      <c r="O930" s="46"/>
      <c r="P930" s="47"/>
      <c r="Q930" s="46"/>
      <c r="R930" s="46"/>
      <c r="S930" s="48"/>
      <c r="T930" s="61" t="str">
        <f>IF(Tableau1[[#This Row],[DMS_SAP]]="","",HYPERLINK(Tableau1[[#This Row],[Chemin fichier source]],"X"))</f>
        <v/>
      </c>
      <c r="U930" s="61" t="str">
        <f>IF(Tableau1[[#This Row],[Date rév.]]="","",HYPERLINK(Tableau1[[#This Row],[Lien document]],"X"))</f>
        <v/>
      </c>
      <c r="V930" s="47"/>
      <c r="W930" s="49" t="str">
        <f ca="1">Chemin_accès!$B$2&amp;Tableau1[[#This Row],[Poste Responsable]]&amp;"\"&amp;Tableau1[[#This Row],[Localisation / Classement]]&amp;"\"&amp;Tableau1[[#This Row],[Poste technique]]&amp;"_"&amp;Tableau1[[#This Row],[Plan Entretien]]&amp;".pdf"</f>
        <v>\\stjn.local\trimet\Donnees_Projets\Dms Sap\Maintenance\PlanEntretien\7.MSCT\\_.pdf</v>
      </c>
      <c r="X930" s="47"/>
      <c r="Y930" s="47"/>
      <c r="Z930" s="44" t="str">
        <f ca="1">IF(AND(Tableau1[[#This Row],[Charge]]&lt;&gt;0, Tableau1[[#This Row],[Nombre intervenants]]&lt;&gt;0,Tableau1[[#This Row],[Lien document]]&lt;&gt;0,Tableau1[[#This Row],[DMS_SAP]]&lt;&gt;0)=TRUE,"MIS A JOUR","")</f>
        <v/>
      </c>
      <c r="AA930" s="48"/>
      <c r="AB930" s="58" t="str">
        <f ca="1">IF(Tableau1[[#This Row],[Date rév.]]&lt;&gt;"", DAYS360(Tableau1[[#This Row],[Date rév.]],TODAY()),"")</f>
        <v/>
      </c>
      <c r="AC930" s="47" t="str">
        <f>IFERROR(INDEX(Chemin_accès!$B$11:$C$22,MATCH(Tableau1[[#This Row],[Type]],Chemin_accès!$C$11:$C$22,0),1),Chemin_accès!$B$11)</f>
        <v>\\stjn.local\trimet\Btechnique\Commun\BT Maint SCELLEMENT\205 - Préventifs\Modèles préventif\GammeDMS_7.MSCT.xlsm</v>
      </c>
      <c r="AD930" s="47" t="str">
        <f>Chemin_accès!$B$8&amp;Tableau1[[#This Row],[Localisation / Classement]]&amp;"\"&amp;Tableau1[[#This Row],[Poste technique]]&amp;"_"&amp;Tableau1[[#This Row],[Plan Entretien]]&amp;".xlsm"</f>
        <v>\\stjn.local\trimet\Btechnique\Commun\BT Maint SCELLEMENT\205 - Préventifs\Gammes 7.MSCT PE Tool\\_.xlsm</v>
      </c>
    </row>
    <row r="931" spans="1:30" x14ac:dyDescent="0.3">
      <c r="A931" s="44" t="str">
        <f t="shared" ca="1" si="14"/>
        <v>7.MSCT</v>
      </c>
      <c r="B93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1" s="46"/>
      <c r="D931" s="44"/>
      <c r="E931" s="44"/>
      <c r="F931" s="47"/>
      <c r="G931" s="47"/>
      <c r="H931" s="50"/>
      <c r="I931" s="50"/>
      <c r="J931" s="50"/>
      <c r="K931" s="50"/>
      <c r="L931" s="46"/>
      <c r="M931" s="47"/>
      <c r="N931" s="46"/>
      <c r="O931" s="46"/>
      <c r="P931" s="47"/>
      <c r="Q931" s="46"/>
      <c r="R931" s="46"/>
      <c r="S931" s="48"/>
      <c r="T931" s="61" t="str">
        <f>IF(Tableau1[[#This Row],[DMS_SAP]]="","",HYPERLINK(Tableau1[[#This Row],[Chemin fichier source]],"X"))</f>
        <v/>
      </c>
      <c r="U931" s="61" t="str">
        <f>IF(Tableau1[[#This Row],[Date rév.]]="","",HYPERLINK(Tableau1[[#This Row],[Lien document]],"X"))</f>
        <v/>
      </c>
      <c r="V931" s="47"/>
      <c r="W931" s="49" t="str">
        <f ca="1">Chemin_accès!$B$2&amp;Tableau1[[#This Row],[Poste Responsable]]&amp;"\"&amp;Tableau1[[#This Row],[Localisation / Classement]]&amp;"\"&amp;Tableau1[[#This Row],[Poste technique]]&amp;"_"&amp;Tableau1[[#This Row],[Plan Entretien]]&amp;".pdf"</f>
        <v>\\stjn.local\trimet\Donnees_Projets\Dms Sap\Maintenance\PlanEntretien\7.MSCT\\_.pdf</v>
      </c>
      <c r="X931" s="47"/>
      <c r="Y931" s="47"/>
      <c r="Z931" s="44" t="str">
        <f ca="1">IF(AND(Tableau1[[#This Row],[Charge]]&lt;&gt;0, Tableau1[[#This Row],[Nombre intervenants]]&lt;&gt;0,Tableau1[[#This Row],[Lien document]]&lt;&gt;0,Tableau1[[#This Row],[DMS_SAP]]&lt;&gt;0)=TRUE,"MIS A JOUR","")</f>
        <v/>
      </c>
      <c r="AA931" s="48"/>
      <c r="AB931" s="58" t="str">
        <f ca="1">IF(Tableau1[[#This Row],[Date rév.]]&lt;&gt;"", DAYS360(Tableau1[[#This Row],[Date rév.]],TODAY()),"")</f>
        <v/>
      </c>
      <c r="AC931" s="47" t="str">
        <f>IFERROR(INDEX(Chemin_accès!$B$11:$C$22,MATCH(Tableau1[[#This Row],[Type]],Chemin_accès!$C$11:$C$22,0),1),Chemin_accès!$B$11)</f>
        <v>\\stjn.local\trimet\Btechnique\Commun\BT Maint SCELLEMENT\205 - Préventifs\Modèles préventif\GammeDMS_7.MSCT.xlsm</v>
      </c>
      <c r="AD931" s="47" t="str">
        <f>Chemin_accès!$B$8&amp;Tableau1[[#This Row],[Localisation / Classement]]&amp;"\"&amp;Tableau1[[#This Row],[Poste technique]]&amp;"_"&amp;Tableau1[[#This Row],[Plan Entretien]]&amp;".xlsm"</f>
        <v>\\stjn.local\trimet\Btechnique\Commun\BT Maint SCELLEMENT\205 - Préventifs\Gammes 7.MSCT PE Tool\\_.xlsm</v>
      </c>
    </row>
    <row r="932" spans="1:30" x14ac:dyDescent="0.3">
      <c r="A932" s="44" t="str">
        <f t="shared" ca="1" si="14"/>
        <v>7.MSCT</v>
      </c>
      <c r="B93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2" s="46"/>
      <c r="D932" s="44"/>
      <c r="E932" s="44"/>
      <c r="F932" s="47"/>
      <c r="G932" s="47"/>
      <c r="H932" s="50"/>
      <c r="I932" s="50"/>
      <c r="J932" s="50"/>
      <c r="K932" s="50"/>
      <c r="L932" s="46"/>
      <c r="M932" s="47"/>
      <c r="N932" s="46"/>
      <c r="O932" s="46"/>
      <c r="P932" s="47"/>
      <c r="Q932" s="46"/>
      <c r="R932" s="46"/>
      <c r="S932" s="48"/>
      <c r="T932" s="61" t="str">
        <f>IF(Tableau1[[#This Row],[DMS_SAP]]="","",HYPERLINK(Tableau1[[#This Row],[Chemin fichier source]],"X"))</f>
        <v/>
      </c>
      <c r="U932" s="61" t="str">
        <f>IF(Tableau1[[#This Row],[Date rév.]]="","",HYPERLINK(Tableau1[[#This Row],[Lien document]],"X"))</f>
        <v/>
      </c>
      <c r="V932" s="47"/>
      <c r="W932" s="49" t="str">
        <f ca="1">Chemin_accès!$B$2&amp;Tableau1[[#This Row],[Poste Responsable]]&amp;"\"&amp;Tableau1[[#This Row],[Localisation / Classement]]&amp;"\"&amp;Tableau1[[#This Row],[Poste technique]]&amp;"_"&amp;Tableau1[[#This Row],[Plan Entretien]]&amp;".pdf"</f>
        <v>\\stjn.local\trimet\Donnees_Projets\Dms Sap\Maintenance\PlanEntretien\7.MSCT\\_.pdf</v>
      </c>
      <c r="X932" s="47"/>
      <c r="Y932" s="47"/>
      <c r="Z932" s="44" t="str">
        <f ca="1">IF(AND(Tableau1[[#This Row],[Charge]]&lt;&gt;0, Tableau1[[#This Row],[Nombre intervenants]]&lt;&gt;0,Tableau1[[#This Row],[Lien document]]&lt;&gt;0,Tableau1[[#This Row],[DMS_SAP]]&lt;&gt;0)=TRUE,"MIS A JOUR","")</f>
        <v/>
      </c>
      <c r="AA932" s="48"/>
      <c r="AB932" s="58" t="str">
        <f ca="1">IF(Tableau1[[#This Row],[Date rév.]]&lt;&gt;"", DAYS360(Tableau1[[#This Row],[Date rév.]],TODAY()),"")</f>
        <v/>
      </c>
      <c r="AC932" s="47" t="str">
        <f>IFERROR(INDEX(Chemin_accès!$B$11:$C$22,MATCH(Tableau1[[#This Row],[Type]],Chemin_accès!$C$11:$C$22,0),1),Chemin_accès!$B$11)</f>
        <v>\\stjn.local\trimet\Btechnique\Commun\BT Maint SCELLEMENT\205 - Préventifs\Modèles préventif\GammeDMS_7.MSCT.xlsm</v>
      </c>
      <c r="AD932" s="47" t="str">
        <f>Chemin_accès!$B$8&amp;Tableau1[[#This Row],[Localisation / Classement]]&amp;"\"&amp;Tableau1[[#This Row],[Poste technique]]&amp;"_"&amp;Tableau1[[#This Row],[Plan Entretien]]&amp;".xlsm"</f>
        <v>\\stjn.local\trimet\Btechnique\Commun\BT Maint SCELLEMENT\205 - Préventifs\Gammes 7.MSCT PE Tool\\_.xlsm</v>
      </c>
    </row>
    <row r="933" spans="1:30" x14ac:dyDescent="0.3">
      <c r="A933" s="44" t="str">
        <f t="shared" ca="1" si="14"/>
        <v>7.MSCT</v>
      </c>
      <c r="B93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3" s="46"/>
      <c r="D933" s="44"/>
      <c r="E933" s="44"/>
      <c r="F933" s="47"/>
      <c r="G933" s="47"/>
      <c r="H933" s="50"/>
      <c r="I933" s="50"/>
      <c r="J933" s="50"/>
      <c r="K933" s="50"/>
      <c r="L933" s="46"/>
      <c r="M933" s="47"/>
      <c r="N933" s="46"/>
      <c r="O933" s="46"/>
      <c r="P933" s="47"/>
      <c r="Q933" s="46"/>
      <c r="R933" s="46"/>
      <c r="S933" s="48"/>
      <c r="T933" s="61" t="str">
        <f>IF(Tableau1[[#This Row],[DMS_SAP]]="","",HYPERLINK(Tableau1[[#This Row],[Chemin fichier source]],"X"))</f>
        <v/>
      </c>
      <c r="U933" s="61" t="str">
        <f>IF(Tableau1[[#This Row],[Date rév.]]="","",HYPERLINK(Tableau1[[#This Row],[Lien document]],"X"))</f>
        <v/>
      </c>
      <c r="V933" s="47"/>
      <c r="W933" s="49" t="str">
        <f ca="1">Chemin_accès!$B$2&amp;Tableau1[[#This Row],[Poste Responsable]]&amp;"\"&amp;Tableau1[[#This Row],[Localisation / Classement]]&amp;"\"&amp;Tableau1[[#This Row],[Poste technique]]&amp;"_"&amp;Tableau1[[#This Row],[Plan Entretien]]&amp;".pdf"</f>
        <v>\\stjn.local\trimet\Donnees_Projets\Dms Sap\Maintenance\PlanEntretien\7.MSCT\\_.pdf</v>
      </c>
      <c r="X933" s="47"/>
      <c r="Y933" s="47"/>
      <c r="Z933" s="44" t="str">
        <f ca="1">IF(AND(Tableau1[[#This Row],[Charge]]&lt;&gt;0, Tableau1[[#This Row],[Nombre intervenants]]&lt;&gt;0,Tableau1[[#This Row],[Lien document]]&lt;&gt;0,Tableau1[[#This Row],[DMS_SAP]]&lt;&gt;0)=TRUE,"MIS A JOUR","")</f>
        <v/>
      </c>
      <c r="AA933" s="48"/>
      <c r="AB933" s="58" t="str">
        <f ca="1">IF(Tableau1[[#This Row],[Date rév.]]&lt;&gt;"", DAYS360(Tableau1[[#This Row],[Date rév.]],TODAY()),"")</f>
        <v/>
      </c>
      <c r="AC933" s="47" t="str">
        <f>IFERROR(INDEX(Chemin_accès!$B$11:$C$22,MATCH(Tableau1[[#This Row],[Type]],Chemin_accès!$C$11:$C$22,0),1),Chemin_accès!$B$11)</f>
        <v>\\stjn.local\trimet\Btechnique\Commun\BT Maint SCELLEMENT\205 - Préventifs\Modèles préventif\GammeDMS_7.MSCT.xlsm</v>
      </c>
      <c r="AD933" s="47" t="str">
        <f>Chemin_accès!$B$8&amp;Tableau1[[#This Row],[Localisation / Classement]]&amp;"\"&amp;Tableau1[[#This Row],[Poste technique]]&amp;"_"&amp;Tableau1[[#This Row],[Plan Entretien]]&amp;".xlsm"</f>
        <v>\\stjn.local\trimet\Btechnique\Commun\BT Maint SCELLEMENT\205 - Préventifs\Gammes 7.MSCT PE Tool\\_.xlsm</v>
      </c>
    </row>
    <row r="934" spans="1:30" x14ac:dyDescent="0.3">
      <c r="A934" s="44" t="str">
        <f t="shared" ca="1" si="14"/>
        <v>7.MSCT</v>
      </c>
      <c r="B93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4" s="46"/>
      <c r="D934" s="44"/>
      <c r="E934" s="44"/>
      <c r="F934" s="47"/>
      <c r="G934" s="47"/>
      <c r="H934" s="50"/>
      <c r="I934" s="50"/>
      <c r="J934" s="50"/>
      <c r="K934" s="50"/>
      <c r="L934" s="46"/>
      <c r="M934" s="47"/>
      <c r="N934" s="46"/>
      <c r="O934" s="46"/>
      <c r="P934" s="47"/>
      <c r="Q934" s="46"/>
      <c r="R934" s="46"/>
      <c r="S934" s="48"/>
      <c r="T934" s="61" t="str">
        <f>IF(Tableau1[[#This Row],[DMS_SAP]]="","",HYPERLINK(Tableau1[[#This Row],[Chemin fichier source]],"X"))</f>
        <v/>
      </c>
      <c r="U934" s="61" t="str">
        <f>IF(Tableau1[[#This Row],[Date rév.]]="","",HYPERLINK(Tableau1[[#This Row],[Lien document]],"X"))</f>
        <v/>
      </c>
      <c r="V934" s="47"/>
      <c r="W934" s="49" t="str">
        <f ca="1">Chemin_accès!$B$2&amp;Tableau1[[#This Row],[Poste Responsable]]&amp;"\"&amp;Tableau1[[#This Row],[Localisation / Classement]]&amp;"\"&amp;Tableau1[[#This Row],[Poste technique]]&amp;"_"&amp;Tableau1[[#This Row],[Plan Entretien]]&amp;".pdf"</f>
        <v>\\stjn.local\trimet\Donnees_Projets\Dms Sap\Maintenance\PlanEntretien\7.MSCT\\_.pdf</v>
      </c>
      <c r="X934" s="47"/>
      <c r="Y934" s="47"/>
      <c r="Z934" s="44" t="str">
        <f ca="1">IF(AND(Tableau1[[#This Row],[Charge]]&lt;&gt;0, Tableau1[[#This Row],[Nombre intervenants]]&lt;&gt;0,Tableau1[[#This Row],[Lien document]]&lt;&gt;0,Tableau1[[#This Row],[DMS_SAP]]&lt;&gt;0)=TRUE,"MIS A JOUR","")</f>
        <v/>
      </c>
      <c r="AA934" s="48"/>
      <c r="AB934" s="58" t="str">
        <f ca="1">IF(Tableau1[[#This Row],[Date rév.]]&lt;&gt;"", DAYS360(Tableau1[[#This Row],[Date rév.]],TODAY()),"")</f>
        <v/>
      </c>
      <c r="AC934" s="47" t="str">
        <f>IFERROR(INDEX(Chemin_accès!$B$11:$C$22,MATCH(Tableau1[[#This Row],[Type]],Chemin_accès!$C$11:$C$22,0),1),Chemin_accès!$B$11)</f>
        <v>\\stjn.local\trimet\Btechnique\Commun\BT Maint SCELLEMENT\205 - Préventifs\Modèles préventif\GammeDMS_7.MSCT.xlsm</v>
      </c>
      <c r="AD934" s="47" t="str">
        <f>Chemin_accès!$B$8&amp;Tableau1[[#This Row],[Localisation / Classement]]&amp;"\"&amp;Tableau1[[#This Row],[Poste technique]]&amp;"_"&amp;Tableau1[[#This Row],[Plan Entretien]]&amp;".xlsm"</f>
        <v>\\stjn.local\trimet\Btechnique\Commun\BT Maint SCELLEMENT\205 - Préventifs\Gammes 7.MSCT PE Tool\\_.xlsm</v>
      </c>
    </row>
    <row r="935" spans="1:30" x14ac:dyDescent="0.3">
      <c r="A935" s="44" t="str">
        <f t="shared" ca="1" si="14"/>
        <v>7.MSCT</v>
      </c>
      <c r="B93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5" s="46"/>
      <c r="D935" s="44"/>
      <c r="E935" s="44"/>
      <c r="F935" s="47"/>
      <c r="G935" s="47"/>
      <c r="H935" s="50"/>
      <c r="I935" s="50"/>
      <c r="J935" s="50"/>
      <c r="K935" s="50"/>
      <c r="L935" s="46"/>
      <c r="M935" s="47"/>
      <c r="N935" s="46"/>
      <c r="O935" s="46"/>
      <c r="P935" s="47"/>
      <c r="Q935" s="46"/>
      <c r="R935" s="46"/>
      <c r="S935" s="48"/>
      <c r="T935" s="61" t="str">
        <f>IF(Tableau1[[#This Row],[DMS_SAP]]="","",HYPERLINK(Tableau1[[#This Row],[Chemin fichier source]],"X"))</f>
        <v/>
      </c>
      <c r="U935" s="61" t="str">
        <f>IF(Tableau1[[#This Row],[Date rév.]]="","",HYPERLINK(Tableau1[[#This Row],[Lien document]],"X"))</f>
        <v/>
      </c>
      <c r="V935" s="47"/>
      <c r="W935" s="49" t="str">
        <f ca="1">Chemin_accès!$B$2&amp;Tableau1[[#This Row],[Poste Responsable]]&amp;"\"&amp;Tableau1[[#This Row],[Localisation / Classement]]&amp;"\"&amp;Tableau1[[#This Row],[Poste technique]]&amp;"_"&amp;Tableau1[[#This Row],[Plan Entretien]]&amp;".pdf"</f>
        <v>\\stjn.local\trimet\Donnees_Projets\Dms Sap\Maintenance\PlanEntretien\7.MSCT\\_.pdf</v>
      </c>
      <c r="X935" s="47"/>
      <c r="Y935" s="47"/>
      <c r="Z935" s="44" t="str">
        <f ca="1">IF(AND(Tableau1[[#This Row],[Charge]]&lt;&gt;0, Tableau1[[#This Row],[Nombre intervenants]]&lt;&gt;0,Tableau1[[#This Row],[Lien document]]&lt;&gt;0,Tableau1[[#This Row],[DMS_SAP]]&lt;&gt;0)=TRUE,"MIS A JOUR","")</f>
        <v/>
      </c>
      <c r="AA935" s="48"/>
      <c r="AB935" s="58" t="str">
        <f ca="1">IF(Tableau1[[#This Row],[Date rév.]]&lt;&gt;"", DAYS360(Tableau1[[#This Row],[Date rév.]],TODAY()),"")</f>
        <v/>
      </c>
      <c r="AC935" s="47" t="str">
        <f>IFERROR(INDEX(Chemin_accès!$B$11:$C$22,MATCH(Tableau1[[#This Row],[Type]],Chemin_accès!$C$11:$C$22,0),1),Chemin_accès!$B$11)</f>
        <v>\\stjn.local\trimet\Btechnique\Commun\BT Maint SCELLEMENT\205 - Préventifs\Modèles préventif\GammeDMS_7.MSCT.xlsm</v>
      </c>
      <c r="AD935" s="47" t="str">
        <f>Chemin_accès!$B$8&amp;Tableau1[[#This Row],[Localisation / Classement]]&amp;"\"&amp;Tableau1[[#This Row],[Poste technique]]&amp;"_"&amp;Tableau1[[#This Row],[Plan Entretien]]&amp;".xlsm"</f>
        <v>\\stjn.local\trimet\Btechnique\Commun\BT Maint SCELLEMENT\205 - Préventifs\Gammes 7.MSCT PE Tool\\_.xlsm</v>
      </c>
    </row>
    <row r="936" spans="1:30" x14ac:dyDescent="0.3">
      <c r="A936" s="44" t="str">
        <f t="shared" ca="1" si="14"/>
        <v>7.MSCT</v>
      </c>
      <c r="B93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6" s="46"/>
      <c r="D936" s="44"/>
      <c r="E936" s="44"/>
      <c r="F936" s="47"/>
      <c r="G936" s="47"/>
      <c r="H936" s="50"/>
      <c r="I936" s="50"/>
      <c r="J936" s="50"/>
      <c r="K936" s="50"/>
      <c r="L936" s="46"/>
      <c r="M936" s="47"/>
      <c r="N936" s="46"/>
      <c r="O936" s="46"/>
      <c r="P936" s="47"/>
      <c r="Q936" s="46"/>
      <c r="R936" s="46"/>
      <c r="S936" s="48"/>
      <c r="T936" s="61" t="str">
        <f>IF(Tableau1[[#This Row],[DMS_SAP]]="","",HYPERLINK(Tableau1[[#This Row],[Chemin fichier source]],"X"))</f>
        <v/>
      </c>
      <c r="U936" s="61" t="str">
        <f>IF(Tableau1[[#This Row],[Date rév.]]="","",HYPERLINK(Tableau1[[#This Row],[Lien document]],"X"))</f>
        <v/>
      </c>
      <c r="V936" s="47"/>
      <c r="W936" s="49" t="str">
        <f ca="1">Chemin_accès!$B$2&amp;Tableau1[[#This Row],[Poste Responsable]]&amp;"\"&amp;Tableau1[[#This Row],[Localisation / Classement]]&amp;"\"&amp;Tableau1[[#This Row],[Poste technique]]&amp;"_"&amp;Tableau1[[#This Row],[Plan Entretien]]&amp;".pdf"</f>
        <v>\\stjn.local\trimet\Donnees_Projets\Dms Sap\Maintenance\PlanEntretien\7.MSCT\\_.pdf</v>
      </c>
      <c r="X936" s="47"/>
      <c r="Y936" s="47"/>
      <c r="Z936" s="44" t="str">
        <f ca="1">IF(AND(Tableau1[[#This Row],[Charge]]&lt;&gt;0, Tableau1[[#This Row],[Nombre intervenants]]&lt;&gt;0,Tableau1[[#This Row],[Lien document]]&lt;&gt;0,Tableau1[[#This Row],[DMS_SAP]]&lt;&gt;0)=TRUE,"MIS A JOUR","")</f>
        <v/>
      </c>
      <c r="AA936" s="48"/>
      <c r="AB936" s="58" t="str">
        <f ca="1">IF(Tableau1[[#This Row],[Date rév.]]&lt;&gt;"", DAYS360(Tableau1[[#This Row],[Date rév.]],TODAY()),"")</f>
        <v/>
      </c>
      <c r="AC936" s="47" t="str">
        <f>IFERROR(INDEX(Chemin_accès!$B$11:$C$22,MATCH(Tableau1[[#This Row],[Type]],Chemin_accès!$C$11:$C$22,0),1),Chemin_accès!$B$11)</f>
        <v>\\stjn.local\trimet\Btechnique\Commun\BT Maint SCELLEMENT\205 - Préventifs\Modèles préventif\GammeDMS_7.MSCT.xlsm</v>
      </c>
      <c r="AD936" s="47" t="str">
        <f>Chemin_accès!$B$8&amp;Tableau1[[#This Row],[Localisation / Classement]]&amp;"\"&amp;Tableau1[[#This Row],[Poste technique]]&amp;"_"&amp;Tableau1[[#This Row],[Plan Entretien]]&amp;".xlsm"</f>
        <v>\\stjn.local\trimet\Btechnique\Commun\BT Maint SCELLEMENT\205 - Préventifs\Gammes 7.MSCT PE Tool\\_.xlsm</v>
      </c>
    </row>
    <row r="937" spans="1:30" x14ac:dyDescent="0.3">
      <c r="A937" s="44" t="str">
        <f t="shared" ca="1" si="14"/>
        <v>7.MSCT</v>
      </c>
      <c r="B93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7" s="46"/>
      <c r="D937" s="44"/>
      <c r="E937" s="44"/>
      <c r="F937" s="47"/>
      <c r="G937" s="47"/>
      <c r="H937" s="50"/>
      <c r="I937" s="50"/>
      <c r="J937" s="50"/>
      <c r="K937" s="50"/>
      <c r="L937" s="46"/>
      <c r="M937" s="47"/>
      <c r="N937" s="46"/>
      <c r="O937" s="46"/>
      <c r="P937" s="47"/>
      <c r="Q937" s="46"/>
      <c r="R937" s="46"/>
      <c r="S937" s="48"/>
      <c r="T937" s="61" t="str">
        <f>IF(Tableau1[[#This Row],[DMS_SAP]]="","",HYPERLINK(Tableau1[[#This Row],[Chemin fichier source]],"X"))</f>
        <v/>
      </c>
      <c r="U937" s="61" t="str">
        <f>IF(Tableau1[[#This Row],[Date rév.]]="","",HYPERLINK(Tableau1[[#This Row],[Lien document]],"X"))</f>
        <v/>
      </c>
      <c r="V937" s="47"/>
      <c r="W937" s="49" t="str">
        <f ca="1">Chemin_accès!$B$2&amp;Tableau1[[#This Row],[Poste Responsable]]&amp;"\"&amp;Tableau1[[#This Row],[Localisation / Classement]]&amp;"\"&amp;Tableau1[[#This Row],[Poste technique]]&amp;"_"&amp;Tableau1[[#This Row],[Plan Entretien]]&amp;".pdf"</f>
        <v>\\stjn.local\trimet\Donnees_Projets\Dms Sap\Maintenance\PlanEntretien\7.MSCT\\_.pdf</v>
      </c>
      <c r="X937" s="47"/>
      <c r="Y937" s="47"/>
      <c r="Z937" s="44" t="str">
        <f ca="1">IF(AND(Tableau1[[#This Row],[Charge]]&lt;&gt;0, Tableau1[[#This Row],[Nombre intervenants]]&lt;&gt;0,Tableau1[[#This Row],[Lien document]]&lt;&gt;0,Tableau1[[#This Row],[DMS_SAP]]&lt;&gt;0)=TRUE,"MIS A JOUR","")</f>
        <v/>
      </c>
      <c r="AA937" s="48"/>
      <c r="AB937" s="58" t="str">
        <f ca="1">IF(Tableau1[[#This Row],[Date rév.]]&lt;&gt;"", DAYS360(Tableau1[[#This Row],[Date rév.]],TODAY()),"")</f>
        <v/>
      </c>
      <c r="AC937" s="47" t="str">
        <f>IFERROR(INDEX(Chemin_accès!$B$11:$C$22,MATCH(Tableau1[[#This Row],[Type]],Chemin_accès!$C$11:$C$22,0),1),Chemin_accès!$B$11)</f>
        <v>\\stjn.local\trimet\Btechnique\Commun\BT Maint SCELLEMENT\205 - Préventifs\Modèles préventif\GammeDMS_7.MSCT.xlsm</v>
      </c>
      <c r="AD937" s="47" t="str">
        <f>Chemin_accès!$B$8&amp;Tableau1[[#This Row],[Localisation / Classement]]&amp;"\"&amp;Tableau1[[#This Row],[Poste technique]]&amp;"_"&amp;Tableau1[[#This Row],[Plan Entretien]]&amp;".xlsm"</f>
        <v>\\stjn.local\trimet\Btechnique\Commun\BT Maint SCELLEMENT\205 - Préventifs\Gammes 7.MSCT PE Tool\\_.xlsm</v>
      </c>
    </row>
    <row r="938" spans="1:30" x14ac:dyDescent="0.3">
      <c r="A938" s="44" t="str">
        <f t="shared" ca="1" si="14"/>
        <v>7.MSCT</v>
      </c>
      <c r="B93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8" s="46"/>
      <c r="D938" s="44"/>
      <c r="E938" s="44"/>
      <c r="F938" s="47"/>
      <c r="G938" s="47"/>
      <c r="H938" s="50"/>
      <c r="I938" s="50"/>
      <c r="J938" s="50"/>
      <c r="K938" s="50"/>
      <c r="L938" s="46"/>
      <c r="M938" s="47"/>
      <c r="N938" s="46"/>
      <c r="O938" s="46"/>
      <c r="P938" s="47"/>
      <c r="Q938" s="46"/>
      <c r="R938" s="46"/>
      <c r="S938" s="48"/>
      <c r="T938" s="61" t="str">
        <f>IF(Tableau1[[#This Row],[DMS_SAP]]="","",HYPERLINK(Tableau1[[#This Row],[Chemin fichier source]],"X"))</f>
        <v/>
      </c>
      <c r="U938" s="61" t="str">
        <f>IF(Tableau1[[#This Row],[Date rév.]]="","",HYPERLINK(Tableau1[[#This Row],[Lien document]],"X"))</f>
        <v/>
      </c>
      <c r="V938" s="47"/>
      <c r="W938" s="49" t="str">
        <f ca="1">Chemin_accès!$B$2&amp;Tableau1[[#This Row],[Poste Responsable]]&amp;"\"&amp;Tableau1[[#This Row],[Localisation / Classement]]&amp;"\"&amp;Tableau1[[#This Row],[Poste technique]]&amp;"_"&amp;Tableau1[[#This Row],[Plan Entretien]]&amp;".pdf"</f>
        <v>\\stjn.local\trimet\Donnees_Projets\Dms Sap\Maintenance\PlanEntretien\7.MSCT\\_.pdf</v>
      </c>
      <c r="X938" s="47"/>
      <c r="Y938" s="47"/>
      <c r="Z938" s="44" t="str">
        <f ca="1">IF(AND(Tableau1[[#This Row],[Charge]]&lt;&gt;0, Tableau1[[#This Row],[Nombre intervenants]]&lt;&gt;0,Tableau1[[#This Row],[Lien document]]&lt;&gt;0,Tableau1[[#This Row],[DMS_SAP]]&lt;&gt;0)=TRUE,"MIS A JOUR","")</f>
        <v/>
      </c>
      <c r="AA938" s="48"/>
      <c r="AB938" s="58" t="str">
        <f ca="1">IF(Tableau1[[#This Row],[Date rév.]]&lt;&gt;"", DAYS360(Tableau1[[#This Row],[Date rév.]],TODAY()),"")</f>
        <v/>
      </c>
      <c r="AC938" s="47" t="str">
        <f>IFERROR(INDEX(Chemin_accès!$B$11:$C$22,MATCH(Tableau1[[#This Row],[Type]],Chemin_accès!$C$11:$C$22,0),1),Chemin_accès!$B$11)</f>
        <v>\\stjn.local\trimet\Btechnique\Commun\BT Maint SCELLEMENT\205 - Préventifs\Modèles préventif\GammeDMS_7.MSCT.xlsm</v>
      </c>
      <c r="AD938" s="47" t="str">
        <f>Chemin_accès!$B$8&amp;Tableau1[[#This Row],[Localisation / Classement]]&amp;"\"&amp;Tableau1[[#This Row],[Poste technique]]&amp;"_"&amp;Tableau1[[#This Row],[Plan Entretien]]&amp;".xlsm"</f>
        <v>\\stjn.local\trimet\Btechnique\Commun\BT Maint SCELLEMENT\205 - Préventifs\Gammes 7.MSCT PE Tool\\_.xlsm</v>
      </c>
    </row>
    <row r="939" spans="1:30" x14ac:dyDescent="0.3">
      <c r="A939" s="44" t="str">
        <f t="shared" ca="1" si="14"/>
        <v>7.MSCT</v>
      </c>
      <c r="B93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9" s="46"/>
      <c r="D939" s="44"/>
      <c r="E939" s="44"/>
      <c r="F939" s="47"/>
      <c r="G939" s="47"/>
      <c r="H939" s="50"/>
      <c r="I939" s="50"/>
      <c r="J939" s="50"/>
      <c r="K939" s="50"/>
      <c r="L939" s="46"/>
      <c r="M939" s="47"/>
      <c r="N939" s="46"/>
      <c r="O939" s="46"/>
      <c r="P939" s="47"/>
      <c r="Q939" s="46"/>
      <c r="R939" s="46"/>
      <c r="S939" s="48"/>
      <c r="T939" s="61" t="str">
        <f>IF(Tableau1[[#This Row],[DMS_SAP]]="","",HYPERLINK(Tableau1[[#This Row],[Chemin fichier source]],"X"))</f>
        <v/>
      </c>
      <c r="U939" s="61" t="str">
        <f>IF(Tableau1[[#This Row],[Date rév.]]="","",HYPERLINK(Tableau1[[#This Row],[Lien document]],"X"))</f>
        <v/>
      </c>
      <c r="V939" s="47"/>
      <c r="W939" s="49" t="str">
        <f ca="1">Chemin_accès!$B$2&amp;Tableau1[[#This Row],[Poste Responsable]]&amp;"\"&amp;Tableau1[[#This Row],[Localisation / Classement]]&amp;"\"&amp;Tableau1[[#This Row],[Poste technique]]&amp;"_"&amp;Tableau1[[#This Row],[Plan Entretien]]&amp;".pdf"</f>
        <v>\\stjn.local\trimet\Donnees_Projets\Dms Sap\Maintenance\PlanEntretien\7.MSCT\\_.pdf</v>
      </c>
      <c r="X939" s="47"/>
      <c r="Y939" s="47"/>
      <c r="Z939" s="44" t="str">
        <f ca="1">IF(AND(Tableau1[[#This Row],[Charge]]&lt;&gt;0, Tableau1[[#This Row],[Nombre intervenants]]&lt;&gt;0,Tableau1[[#This Row],[Lien document]]&lt;&gt;0,Tableau1[[#This Row],[DMS_SAP]]&lt;&gt;0)=TRUE,"MIS A JOUR","")</f>
        <v/>
      </c>
      <c r="AA939" s="48"/>
      <c r="AB939" s="58" t="str">
        <f ca="1">IF(Tableau1[[#This Row],[Date rév.]]&lt;&gt;"", DAYS360(Tableau1[[#This Row],[Date rév.]],TODAY()),"")</f>
        <v/>
      </c>
      <c r="AC939" s="47" t="str">
        <f>IFERROR(INDEX(Chemin_accès!$B$11:$C$22,MATCH(Tableau1[[#This Row],[Type]],Chemin_accès!$C$11:$C$22,0),1),Chemin_accès!$B$11)</f>
        <v>\\stjn.local\trimet\Btechnique\Commun\BT Maint SCELLEMENT\205 - Préventifs\Modèles préventif\GammeDMS_7.MSCT.xlsm</v>
      </c>
      <c r="AD939" s="47" t="str">
        <f>Chemin_accès!$B$8&amp;Tableau1[[#This Row],[Localisation / Classement]]&amp;"\"&amp;Tableau1[[#This Row],[Poste technique]]&amp;"_"&amp;Tableau1[[#This Row],[Plan Entretien]]&amp;".xlsm"</f>
        <v>\\stjn.local\trimet\Btechnique\Commun\BT Maint SCELLEMENT\205 - Préventifs\Gammes 7.MSCT PE Tool\\_.xlsm</v>
      </c>
    </row>
    <row r="940" spans="1:30" x14ac:dyDescent="0.3">
      <c r="A940" s="44" t="str">
        <f t="shared" ca="1" si="14"/>
        <v>7.MSCT</v>
      </c>
      <c r="B94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0" s="46"/>
      <c r="D940" s="44"/>
      <c r="E940" s="44"/>
      <c r="F940" s="47"/>
      <c r="G940" s="47"/>
      <c r="H940" s="50"/>
      <c r="I940" s="50"/>
      <c r="J940" s="50"/>
      <c r="K940" s="50"/>
      <c r="L940" s="46"/>
      <c r="M940" s="47"/>
      <c r="N940" s="46"/>
      <c r="O940" s="46"/>
      <c r="P940" s="47"/>
      <c r="Q940" s="46"/>
      <c r="R940" s="46"/>
      <c r="S940" s="48"/>
      <c r="T940" s="61" t="str">
        <f>IF(Tableau1[[#This Row],[DMS_SAP]]="","",HYPERLINK(Tableau1[[#This Row],[Chemin fichier source]],"X"))</f>
        <v/>
      </c>
      <c r="U940" s="61" t="str">
        <f>IF(Tableau1[[#This Row],[Date rév.]]="","",HYPERLINK(Tableau1[[#This Row],[Lien document]],"X"))</f>
        <v/>
      </c>
      <c r="V940" s="47"/>
      <c r="W940" s="49" t="str">
        <f ca="1">Chemin_accès!$B$2&amp;Tableau1[[#This Row],[Poste Responsable]]&amp;"\"&amp;Tableau1[[#This Row],[Localisation / Classement]]&amp;"\"&amp;Tableau1[[#This Row],[Poste technique]]&amp;"_"&amp;Tableau1[[#This Row],[Plan Entretien]]&amp;".pdf"</f>
        <v>\\stjn.local\trimet\Donnees_Projets\Dms Sap\Maintenance\PlanEntretien\7.MSCT\\_.pdf</v>
      </c>
      <c r="X940" s="47"/>
      <c r="Y940" s="47"/>
      <c r="Z940" s="44" t="str">
        <f ca="1">IF(AND(Tableau1[[#This Row],[Charge]]&lt;&gt;0, Tableau1[[#This Row],[Nombre intervenants]]&lt;&gt;0,Tableau1[[#This Row],[Lien document]]&lt;&gt;0,Tableau1[[#This Row],[DMS_SAP]]&lt;&gt;0)=TRUE,"MIS A JOUR","")</f>
        <v/>
      </c>
      <c r="AA940" s="48"/>
      <c r="AB940" s="58" t="str">
        <f ca="1">IF(Tableau1[[#This Row],[Date rév.]]&lt;&gt;"", DAYS360(Tableau1[[#This Row],[Date rév.]],TODAY()),"")</f>
        <v/>
      </c>
      <c r="AC940" s="47" t="str">
        <f>IFERROR(INDEX(Chemin_accès!$B$11:$C$22,MATCH(Tableau1[[#This Row],[Type]],Chemin_accès!$C$11:$C$22,0),1),Chemin_accès!$B$11)</f>
        <v>\\stjn.local\trimet\Btechnique\Commun\BT Maint SCELLEMENT\205 - Préventifs\Modèles préventif\GammeDMS_7.MSCT.xlsm</v>
      </c>
      <c r="AD940" s="47" t="str">
        <f>Chemin_accès!$B$8&amp;Tableau1[[#This Row],[Localisation / Classement]]&amp;"\"&amp;Tableau1[[#This Row],[Poste technique]]&amp;"_"&amp;Tableau1[[#This Row],[Plan Entretien]]&amp;".xlsm"</f>
        <v>\\stjn.local\trimet\Btechnique\Commun\BT Maint SCELLEMENT\205 - Préventifs\Gammes 7.MSCT PE Tool\\_.xlsm</v>
      </c>
    </row>
    <row r="941" spans="1:30" x14ac:dyDescent="0.3">
      <c r="A941" s="44" t="str">
        <f t="shared" ca="1" si="14"/>
        <v>7.MSCT</v>
      </c>
      <c r="B94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1" s="46"/>
      <c r="D941" s="44"/>
      <c r="E941" s="44"/>
      <c r="F941" s="47"/>
      <c r="G941" s="47"/>
      <c r="H941" s="50"/>
      <c r="I941" s="50"/>
      <c r="J941" s="50"/>
      <c r="K941" s="50"/>
      <c r="L941" s="46"/>
      <c r="M941" s="47"/>
      <c r="N941" s="46"/>
      <c r="O941" s="46"/>
      <c r="P941" s="47"/>
      <c r="Q941" s="46"/>
      <c r="R941" s="46"/>
      <c r="S941" s="48"/>
      <c r="T941" s="61" t="str">
        <f>IF(Tableau1[[#This Row],[DMS_SAP]]="","",HYPERLINK(Tableau1[[#This Row],[Chemin fichier source]],"X"))</f>
        <v/>
      </c>
      <c r="U941" s="61" t="str">
        <f>IF(Tableau1[[#This Row],[Date rév.]]="","",HYPERLINK(Tableau1[[#This Row],[Lien document]],"X"))</f>
        <v/>
      </c>
      <c r="V941" s="47"/>
      <c r="W941" s="49" t="str">
        <f ca="1">Chemin_accès!$B$2&amp;Tableau1[[#This Row],[Poste Responsable]]&amp;"\"&amp;Tableau1[[#This Row],[Localisation / Classement]]&amp;"\"&amp;Tableau1[[#This Row],[Poste technique]]&amp;"_"&amp;Tableau1[[#This Row],[Plan Entretien]]&amp;".pdf"</f>
        <v>\\stjn.local\trimet\Donnees_Projets\Dms Sap\Maintenance\PlanEntretien\7.MSCT\\_.pdf</v>
      </c>
      <c r="X941" s="47"/>
      <c r="Y941" s="47"/>
      <c r="Z941" s="44" t="str">
        <f ca="1">IF(AND(Tableau1[[#This Row],[Charge]]&lt;&gt;0, Tableau1[[#This Row],[Nombre intervenants]]&lt;&gt;0,Tableau1[[#This Row],[Lien document]]&lt;&gt;0,Tableau1[[#This Row],[DMS_SAP]]&lt;&gt;0)=TRUE,"MIS A JOUR","")</f>
        <v/>
      </c>
      <c r="AA941" s="48"/>
      <c r="AB941" s="58" t="str">
        <f ca="1">IF(Tableau1[[#This Row],[Date rév.]]&lt;&gt;"", DAYS360(Tableau1[[#This Row],[Date rév.]],TODAY()),"")</f>
        <v/>
      </c>
      <c r="AC941" s="47" t="str">
        <f>IFERROR(INDEX(Chemin_accès!$B$11:$C$22,MATCH(Tableau1[[#This Row],[Type]],Chemin_accès!$C$11:$C$22,0),1),Chemin_accès!$B$11)</f>
        <v>\\stjn.local\trimet\Btechnique\Commun\BT Maint SCELLEMENT\205 - Préventifs\Modèles préventif\GammeDMS_7.MSCT.xlsm</v>
      </c>
      <c r="AD941" s="47" t="str">
        <f>Chemin_accès!$B$8&amp;Tableau1[[#This Row],[Localisation / Classement]]&amp;"\"&amp;Tableau1[[#This Row],[Poste technique]]&amp;"_"&amp;Tableau1[[#This Row],[Plan Entretien]]&amp;".xlsm"</f>
        <v>\\stjn.local\trimet\Btechnique\Commun\BT Maint SCELLEMENT\205 - Préventifs\Gammes 7.MSCT PE Tool\\_.xlsm</v>
      </c>
    </row>
    <row r="942" spans="1:30" x14ac:dyDescent="0.3">
      <c r="A942" s="44" t="str">
        <f t="shared" ca="1" si="14"/>
        <v>7.MSCT</v>
      </c>
      <c r="B94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2" s="46"/>
      <c r="D942" s="44"/>
      <c r="E942" s="44"/>
      <c r="F942" s="47"/>
      <c r="G942" s="47"/>
      <c r="H942" s="50"/>
      <c r="I942" s="50"/>
      <c r="J942" s="50"/>
      <c r="K942" s="50"/>
      <c r="L942" s="46"/>
      <c r="M942" s="47"/>
      <c r="N942" s="46"/>
      <c r="O942" s="46"/>
      <c r="P942" s="47"/>
      <c r="Q942" s="46"/>
      <c r="R942" s="46"/>
      <c r="S942" s="48"/>
      <c r="T942" s="61" t="str">
        <f>IF(Tableau1[[#This Row],[DMS_SAP]]="","",HYPERLINK(Tableau1[[#This Row],[Chemin fichier source]],"X"))</f>
        <v/>
      </c>
      <c r="U942" s="61" t="str">
        <f>IF(Tableau1[[#This Row],[Date rév.]]="","",HYPERLINK(Tableau1[[#This Row],[Lien document]],"X"))</f>
        <v/>
      </c>
      <c r="V942" s="47"/>
      <c r="W942" s="49" t="str">
        <f ca="1">Chemin_accès!$B$2&amp;Tableau1[[#This Row],[Poste Responsable]]&amp;"\"&amp;Tableau1[[#This Row],[Localisation / Classement]]&amp;"\"&amp;Tableau1[[#This Row],[Poste technique]]&amp;"_"&amp;Tableau1[[#This Row],[Plan Entretien]]&amp;".pdf"</f>
        <v>\\stjn.local\trimet\Donnees_Projets\Dms Sap\Maintenance\PlanEntretien\7.MSCT\\_.pdf</v>
      </c>
      <c r="X942" s="47"/>
      <c r="Y942" s="47"/>
      <c r="Z942" s="44" t="str">
        <f ca="1">IF(AND(Tableau1[[#This Row],[Charge]]&lt;&gt;0, Tableau1[[#This Row],[Nombre intervenants]]&lt;&gt;0,Tableau1[[#This Row],[Lien document]]&lt;&gt;0,Tableau1[[#This Row],[DMS_SAP]]&lt;&gt;0)=TRUE,"MIS A JOUR","")</f>
        <v/>
      </c>
      <c r="AA942" s="48"/>
      <c r="AB942" s="58" t="str">
        <f ca="1">IF(Tableau1[[#This Row],[Date rév.]]&lt;&gt;"", DAYS360(Tableau1[[#This Row],[Date rév.]],TODAY()),"")</f>
        <v/>
      </c>
      <c r="AC942" s="47" t="str">
        <f>IFERROR(INDEX(Chemin_accès!$B$11:$C$22,MATCH(Tableau1[[#This Row],[Type]],Chemin_accès!$C$11:$C$22,0),1),Chemin_accès!$B$11)</f>
        <v>\\stjn.local\trimet\Btechnique\Commun\BT Maint SCELLEMENT\205 - Préventifs\Modèles préventif\GammeDMS_7.MSCT.xlsm</v>
      </c>
      <c r="AD942" s="47" t="str">
        <f>Chemin_accès!$B$8&amp;Tableau1[[#This Row],[Localisation / Classement]]&amp;"\"&amp;Tableau1[[#This Row],[Poste technique]]&amp;"_"&amp;Tableau1[[#This Row],[Plan Entretien]]&amp;".xlsm"</f>
        <v>\\stjn.local\trimet\Btechnique\Commun\BT Maint SCELLEMENT\205 - Préventifs\Gammes 7.MSCT PE Tool\\_.xlsm</v>
      </c>
    </row>
    <row r="943" spans="1:30" x14ac:dyDescent="0.3">
      <c r="A943" s="44" t="str">
        <f t="shared" ca="1" si="14"/>
        <v>7.MSCT</v>
      </c>
      <c r="B94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3" s="46"/>
      <c r="D943" s="44"/>
      <c r="E943" s="44"/>
      <c r="F943" s="47"/>
      <c r="G943" s="47"/>
      <c r="H943" s="50"/>
      <c r="I943" s="50"/>
      <c r="J943" s="50"/>
      <c r="K943" s="50"/>
      <c r="L943" s="46"/>
      <c r="M943" s="47"/>
      <c r="N943" s="46"/>
      <c r="O943" s="46"/>
      <c r="P943" s="47"/>
      <c r="Q943" s="46"/>
      <c r="R943" s="46"/>
      <c r="S943" s="48"/>
      <c r="T943" s="61" t="str">
        <f>IF(Tableau1[[#This Row],[DMS_SAP]]="","",HYPERLINK(Tableau1[[#This Row],[Chemin fichier source]],"X"))</f>
        <v/>
      </c>
      <c r="U943" s="61" t="str">
        <f>IF(Tableau1[[#This Row],[Date rév.]]="","",HYPERLINK(Tableau1[[#This Row],[Lien document]],"X"))</f>
        <v/>
      </c>
      <c r="V943" s="47"/>
      <c r="W943" s="49" t="str">
        <f ca="1">Chemin_accès!$B$2&amp;Tableau1[[#This Row],[Poste Responsable]]&amp;"\"&amp;Tableau1[[#This Row],[Localisation / Classement]]&amp;"\"&amp;Tableau1[[#This Row],[Poste technique]]&amp;"_"&amp;Tableau1[[#This Row],[Plan Entretien]]&amp;".pdf"</f>
        <v>\\stjn.local\trimet\Donnees_Projets\Dms Sap\Maintenance\PlanEntretien\7.MSCT\\_.pdf</v>
      </c>
      <c r="X943" s="47"/>
      <c r="Y943" s="47"/>
      <c r="Z943" s="44" t="str">
        <f ca="1">IF(AND(Tableau1[[#This Row],[Charge]]&lt;&gt;0, Tableau1[[#This Row],[Nombre intervenants]]&lt;&gt;0,Tableau1[[#This Row],[Lien document]]&lt;&gt;0,Tableau1[[#This Row],[DMS_SAP]]&lt;&gt;0)=TRUE,"MIS A JOUR","")</f>
        <v/>
      </c>
      <c r="AA943" s="48"/>
      <c r="AB943" s="58" t="str">
        <f ca="1">IF(Tableau1[[#This Row],[Date rév.]]&lt;&gt;"", DAYS360(Tableau1[[#This Row],[Date rév.]],TODAY()),"")</f>
        <v/>
      </c>
      <c r="AC943" s="47" t="str">
        <f>IFERROR(INDEX(Chemin_accès!$B$11:$C$22,MATCH(Tableau1[[#This Row],[Type]],Chemin_accès!$C$11:$C$22,0),1),Chemin_accès!$B$11)</f>
        <v>\\stjn.local\trimet\Btechnique\Commun\BT Maint SCELLEMENT\205 - Préventifs\Modèles préventif\GammeDMS_7.MSCT.xlsm</v>
      </c>
      <c r="AD943" s="47" t="str">
        <f>Chemin_accès!$B$8&amp;Tableau1[[#This Row],[Localisation / Classement]]&amp;"\"&amp;Tableau1[[#This Row],[Poste technique]]&amp;"_"&amp;Tableau1[[#This Row],[Plan Entretien]]&amp;".xlsm"</f>
        <v>\\stjn.local\trimet\Btechnique\Commun\BT Maint SCELLEMENT\205 - Préventifs\Gammes 7.MSCT PE Tool\\_.xlsm</v>
      </c>
    </row>
    <row r="944" spans="1:30" x14ac:dyDescent="0.3">
      <c r="A944" s="44" t="str">
        <f t="shared" ca="1" si="14"/>
        <v>7.MSCT</v>
      </c>
      <c r="B94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4" s="46"/>
      <c r="D944" s="44"/>
      <c r="E944" s="44"/>
      <c r="F944" s="47"/>
      <c r="G944" s="47"/>
      <c r="H944" s="50"/>
      <c r="I944" s="50"/>
      <c r="J944" s="50"/>
      <c r="K944" s="50"/>
      <c r="L944" s="46"/>
      <c r="M944" s="47"/>
      <c r="N944" s="46"/>
      <c r="O944" s="46"/>
      <c r="P944" s="47"/>
      <c r="Q944" s="46"/>
      <c r="R944" s="46"/>
      <c r="S944" s="48"/>
      <c r="T944" s="61" t="str">
        <f>IF(Tableau1[[#This Row],[DMS_SAP]]="","",HYPERLINK(Tableau1[[#This Row],[Chemin fichier source]],"X"))</f>
        <v/>
      </c>
      <c r="U944" s="61" t="str">
        <f>IF(Tableau1[[#This Row],[Date rév.]]="","",HYPERLINK(Tableau1[[#This Row],[Lien document]],"X"))</f>
        <v/>
      </c>
      <c r="V944" s="47"/>
      <c r="W944" s="49" t="str">
        <f ca="1">Chemin_accès!$B$2&amp;Tableau1[[#This Row],[Poste Responsable]]&amp;"\"&amp;Tableau1[[#This Row],[Localisation / Classement]]&amp;"\"&amp;Tableau1[[#This Row],[Poste technique]]&amp;"_"&amp;Tableau1[[#This Row],[Plan Entretien]]&amp;".pdf"</f>
        <v>\\stjn.local\trimet\Donnees_Projets\Dms Sap\Maintenance\PlanEntretien\7.MSCT\\_.pdf</v>
      </c>
      <c r="X944" s="47"/>
      <c r="Y944" s="47"/>
      <c r="Z944" s="44" t="str">
        <f ca="1">IF(AND(Tableau1[[#This Row],[Charge]]&lt;&gt;0, Tableau1[[#This Row],[Nombre intervenants]]&lt;&gt;0,Tableau1[[#This Row],[Lien document]]&lt;&gt;0,Tableau1[[#This Row],[DMS_SAP]]&lt;&gt;0)=TRUE,"MIS A JOUR","")</f>
        <v/>
      </c>
      <c r="AA944" s="48"/>
      <c r="AB944" s="58" t="str">
        <f ca="1">IF(Tableau1[[#This Row],[Date rév.]]&lt;&gt;"", DAYS360(Tableau1[[#This Row],[Date rév.]],TODAY()),"")</f>
        <v/>
      </c>
      <c r="AC944" s="47" t="str">
        <f>IFERROR(INDEX(Chemin_accès!$B$11:$C$22,MATCH(Tableau1[[#This Row],[Type]],Chemin_accès!$C$11:$C$22,0),1),Chemin_accès!$B$11)</f>
        <v>\\stjn.local\trimet\Btechnique\Commun\BT Maint SCELLEMENT\205 - Préventifs\Modèles préventif\GammeDMS_7.MSCT.xlsm</v>
      </c>
      <c r="AD944" s="47" t="str">
        <f>Chemin_accès!$B$8&amp;Tableau1[[#This Row],[Localisation / Classement]]&amp;"\"&amp;Tableau1[[#This Row],[Poste technique]]&amp;"_"&amp;Tableau1[[#This Row],[Plan Entretien]]&amp;".xlsm"</f>
        <v>\\stjn.local\trimet\Btechnique\Commun\BT Maint SCELLEMENT\205 - Préventifs\Gammes 7.MSCT PE Tool\\_.xlsm</v>
      </c>
    </row>
    <row r="945" spans="1:30" x14ac:dyDescent="0.3">
      <c r="A945" s="44" t="str">
        <f t="shared" ca="1" si="14"/>
        <v>7.MSCT</v>
      </c>
      <c r="B94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5" s="46"/>
      <c r="D945" s="44"/>
      <c r="E945" s="44"/>
      <c r="F945" s="47"/>
      <c r="G945" s="47"/>
      <c r="H945" s="50"/>
      <c r="I945" s="50"/>
      <c r="J945" s="50"/>
      <c r="K945" s="50"/>
      <c r="L945" s="46"/>
      <c r="M945" s="47"/>
      <c r="N945" s="46"/>
      <c r="O945" s="46"/>
      <c r="P945" s="47"/>
      <c r="Q945" s="46"/>
      <c r="R945" s="46"/>
      <c r="S945" s="48"/>
      <c r="T945" s="61" t="str">
        <f>IF(Tableau1[[#This Row],[DMS_SAP]]="","",HYPERLINK(Tableau1[[#This Row],[Chemin fichier source]],"X"))</f>
        <v/>
      </c>
      <c r="U945" s="61" t="str">
        <f>IF(Tableau1[[#This Row],[Date rév.]]="","",HYPERLINK(Tableau1[[#This Row],[Lien document]],"X"))</f>
        <v/>
      </c>
      <c r="V945" s="47"/>
      <c r="W945" s="49" t="str">
        <f ca="1">Chemin_accès!$B$2&amp;Tableau1[[#This Row],[Poste Responsable]]&amp;"\"&amp;Tableau1[[#This Row],[Localisation / Classement]]&amp;"\"&amp;Tableau1[[#This Row],[Poste technique]]&amp;"_"&amp;Tableau1[[#This Row],[Plan Entretien]]&amp;".pdf"</f>
        <v>\\stjn.local\trimet\Donnees_Projets\Dms Sap\Maintenance\PlanEntretien\7.MSCT\\_.pdf</v>
      </c>
      <c r="X945" s="47"/>
      <c r="Y945" s="47"/>
      <c r="Z945" s="44" t="str">
        <f ca="1">IF(AND(Tableau1[[#This Row],[Charge]]&lt;&gt;0, Tableau1[[#This Row],[Nombre intervenants]]&lt;&gt;0,Tableau1[[#This Row],[Lien document]]&lt;&gt;0,Tableau1[[#This Row],[DMS_SAP]]&lt;&gt;0)=TRUE,"MIS A JOUR","")</f>
        <v/>
      </c>
      <c r="AA945" s="48"/>
      <c r="AB945" s="58" t="str">
        <f ca="1">IF(Tableau1[[#This Row],[Date rév.]]&lt;&gt;"", DAYS360(Tableau1[[#This Row],[Date rév.]],TODAY()),"")</f>
        <v/>
      </c>
      <c r="AC945" s="47" t="str">
        <f>IFERROR(INDEX(Chemin_accès!$B$11:$C$22,MATCH(Tableau1[[#This Row],[Type]],Chemin_accès!$C$11:$C$22,0),1),Chemin_accès!$B$11)</f>
        <v>\\stjn.local\trimet\Btechnique\Commun\BT Maint SCELLEMENT\205 - Préventifs\Modèles préventif\GammeDMS_7.MSCT.xlsm</v>
      </c>
      <c r="AD945" s="47" t="str">
        <f>Chemin_accès!$B$8&amp;Tableau1[[#This Row],[Localisation / Classement]]&amp;"\"&amp;Tableau1[[#This Row],[Poste technique]]&amp;"_"&amp;Tableau1[[#This Row],[Plan Entretien]]&amp;".xlsm"</f>
        <v>\\stjn.local\trimet\Btechnique\Commun\BT Maint SCELLEMENT\205 - Préventifs\Gammes 7.MSCT PE Tool\\_.xlsm</v>
      </c>
    </row>
    <row r="946" spans="1:30" x14ac:dyDescent="0.3">
      <c r="A946" s="44" t="str">
        <f t="shared" ca="1" si="14"/>
        <v>7.MSCT</v>
      </c>
      <c r="B94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6" s="46"/>
      <c r="D946" s="44"/>
      <c r="E946" s="44"/>
      <c r="F946" s="47"/>
      <c r="G946" s="47"/>
      <c r="H946" s="50"/>
      <c r="I946" s="50"/>
      <c r="J946" s="50"/>
      <c r="K946" s="50"/>
      <c r="L946" s="46"/>
      <c r="M946" s="47"/>
      <c r="N946" s="46"/>
      <c r="O946" s="46"/>
      <c r="P946" s="47"/>
      <c r="Q946" s="46"/>
      <c r="R946" s="46"/>
      <c r="S946" s="48"/>
      <c r="T946" s="61" t="str">
        <f>IF(Tableau1[[#This Row],[DMS_SAP]]="","",HYPERLINK(Tableau1[[#This Row],[Chemin fichier source]],"X"))</f>
        <v/>
      </c>
      <c r="U946" s="61" t="str">
        <f>IF(Tableau1[[#This Row],[Date rév.]]="","",HYPERLINK(Tableau1[[#This Row],[Lien document]],"X"))</f>
        <v/>
      </c>
      <c r="V946" s="47"/>
      <c r="W946" s="49" t="str">
        <f ca="1">Chemin_accès!$B$2&amp;Tableau1[[#This Row],[Poste Responsable]]&amp;"\"&amp;Tableau1[[#This Row],[Localisation / Classement]]&amp;"\"&amp;Tableau1[[#This Row],[Poste technique]]&amp;"_"&amp;Tableau1[[#This Row],[Plan Entretien]]&amp;".pdf"</f>
        <v>\\stjn.local\trimet\Donnees_Projets\Dms Sap\Maintenance\PlanEntretien\7.MSCT\\_.pdf</v>
      </c>
      <c r="X946" s="47"/>
      <c r="Y946" s="47"/>
      <c r="Z946" s="44" t="str">
        <f ca="1">IF(AND(Tableau1[[#This Row],[Charge]]&lt;&gt;0, Tableau1[[#This Row],[Nombre intervenants]]&lt;&gt;0,Tableau1[[#This Row],[Lien document]]&lt;&gt;0,Tableau1[[#This Row],[DMS_SAP]]&lt;&gt;0)=TRUE,"MIS A JOUR","")</f>
        <v/>
      </c>
      <c r="AA946" s="48"/>
      <c r="AB946" s="58" t="str">
        <f ca="1">IF(Tableau1[[#This Row],[Date rév.]]&lt;&gt;"", DAYS360(Tableau1[[#This Row],[Date rév.]],TODAY()),"")</f>
        <v/>
      </c>
      <c r="AC946" s="47" t="str">
        <f>IFERROR(INDEX(Chemin_accès!$B$11:$C$22,MATCH(Tableau1[[#This Row],[Type]],Chemin_accès!$C$11:$C$22,0),1),Chemin_accès!$B$11)</f>
        <v>\\stjn.local\trimet\Btechnique\Commun\BT Maint SCELLEMENT\205 - Préventifs\Modèles préventif\GammeDMS_7.MSCT.xlsm</v>
      </c>
      <c r="AD946" s="47" t="str">
        <f>Chemin_accès!$B$8&amp;Tableau1[[#This Row],[Localisation / Classement]]&amp;"\"&amp;Tableau1[[#This Row],[Poste technique]]&amp;"_"&amp;Tableau1[[#This Row],[Plan Entretien]]&amp;".xlsm"</f>
        <v>\\stjn.local\trimet\Btechnique\Commun\BT Maint SCELLEMENT\205 - Préventifs\Gammes 7.MSCT PE Tool\\_.xlsm</v>
      </c>
    </row>
    <row r="947" spans="1:30" x14ac:dyDescent="0.3">
      <c r="A947" s="44" t="str">
        <f t="shared" ca="1" si="14"/>
        <v>7.MSCT</v>
      </c>
      <c r="B94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7" s="46"/>
      <c r="D947" s="44"/>
      <c r="E947" s="44"/>
      <c r="F947" s="47"/>
      <c r="G947" s="47"/>
      <c r="H947" s="50"/>
      <c r="I947" s="50"/>
      <c r="J947" s="50"/>
      <c r="K947" s="50"/>
      <c r="L947" s="46"/>
      <c r="M947" s="47"/>
      <c r="N947" s="46"/>
      <c r="O947" s="46"/>
      <c r="P947" s="47"/>
      <c r="Q947" s="46"/>
      <c r="R947" s="46"/>
      <c r="S947" s="48"/>
      <c r="T947" s="61" t="str">
        <f>IF(Tableau1[[#This Row],[DMS_SAP]]="","",HYPERLINK(Tableau1[[#This Row],[Chemin fichier source]],"X"))</f>
        <v/>
      </c>
      <c r="U947" s="61" t="str">
        <f>IF(Tableau1[[#This Row],[Date rév.]]="","",HYPERLINK(Tableau1[[#This Row],[Lien document]],"X"))</f>
        <v/>
      </c>
      <c r="V947" s="47"/>
      <c r="W947" s="49" t="str">
        <f ca="1">Chemin_accès!$B$2&amp;Tableau1[[#This Row],[Poste Responsable]]&amp;"\"&amp;Tableau1[[#This Row],[Localisation / Classement]]&amp;"\"&amp;Tableau1[[#This Row],[Poste technique]]&amp;"_"&amp;Tableau1[[#This Row],[Plan Entretien]]&amp;".pdf"</f>
        <v>\\stjn.local\trimet\Donnees_Projets\Dms Sap\Maintenance\PlanEntretien\7.MSCT\\_.pdf</v>
      </c>
      <c r="X947" s="47"/>
      <c r="Y947" s="47"/>
      <c r="Z947" s="44" t="str">
        <f ca="1">IF(AND(Tableau1[[#This Row],[Charge]]&lt;&gt;0, Tableau1[[#This Row],[Nombre intervenants]]&lt;&gt;0,Tableau1[[#This Row],[Lien document]]&lt;&gt;0,Tableau1[[#This Row],[DMS_SAP]]&lt;&gt;0)=TRUE,"MIS A JOUR","")</f>
        <v/>
      </c>
      <c r="AA947" s="48"/>
      <c r="AB947" s="58" t="str">
        <f ca="1">IF(Tableau1[[#This Row],[Date rév.]]&lt;&gt;"", DAYS360(Tableau1[[#This Row],[Date rév.]],TODAY()),"")</f>
        <v/>
      </c>
      <c r="AC947" s="47" t="str">
        <f>IFERROR(INDEX(Chemin_accès!$B$11:$C$22,MATCH(Tableau1[[#This Row],[Type]],Chemin_accès!$C$11:$C$22,0),1),Chemin_accès!$B$11)</f>
        <v>\\stjn.local\trimet\Btechnique\Commun\BT Maint SCELLEMENT\205 - Préventifs\Modèles préventif\GammeDMS_7.MSCT.xlsm</v>
      </c>
      <c r="AD947" s="47" t="str">
        <f>Chemin_accès!$B$8&amp;Tableau1[[#This Row],[Localisation / Classement]]&amp;"\"&amp;Tableau1[[#This Row],[Poste technique]]&amp;"_"&amp;Tableau1[[#This Row],[Plan Entretien]]&amp;".xlsm"</f>
        <v>\\stjn.local\trimet\Btechnique\Commun\BT Maint SCELLEMENT\205 - Préventifs\Gammes 7.MSCT PE Tool\\_.xlsm</v>
      </c>
    </row>
    <row r="948" spans="1:30" x14ac:dyDescent="0.3">
      <c r="A948" s="44" t="str">
        <f t="shared" ca="1" si="14"/>
        <v>7.MSCT</v>
      </c>
      <c r="B94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8" s="46"/>
      <c r="D948" s="44"/>
      <c r="E948" s="44"/>
      <c r="F948" s="47"/>
      <c r="G948" s="47"/>
      <c r="H948" s="50"/>
      <c r="I948" s="50"/>
      <c r="J948" s="50"/>
      <c r="K948" s="50"/>
      <c r="L948" s="46"/>
      <c r="M948" s="47"/>
      <c r="N948" s="46"/>
      <c r="O948" s="46"/>
      <c r="P948" s="47"/>
      <c r="Q948" s="46"/>
      <c r="R948" s="46"/>
      <c r="S948" s="48"/>
      <c r="T948" s="61" t="str">
        <f>IF(Tableau1[[#This Row],[DMS_SAP]]="","",HYPERLINK(Tableau1[[#This Row],[Chemin fichier source]],"X"))</f>
        <v/>
      </c>
      <c r="U948" s="61" t="str">
        <f>IF(Tableau1[[#This Row],[Date rév.]]="","",HYPERLINK(Tableau1[[#This Row],[Lien document]],"X"))</f>
        <v/>
      </c>
      <c r="V948" s="47"/>
      <c r="W948" s="49" t="str">
        <f ca="1">Chemin_accès!$B$2&amp;Tableau1[[#This Row],[Poste Responsable]]&amp;"\"&amp;Tableau1[[#This Row],[Localisation / Classement]]&amp;"\"&amp;Tableau1[[#This Row],[Poste technique]]&amp;"_"&amp;Tableau1[[#This Row],[Plan Entretien]]&amp;".pdf"</f>
        <v>\\stjn.local\trimet\Donnees_Projets\Dms Sap\Maintenance\PlanEntretien\7.MSCT\\_.pdf</v>
      </c>
      <c r="X948" s="47"/>
      <c r="Y948" s="47"/>
      <c r="Z948" s="44" t="str">
        <f ca="1">IF(AND(Tableau1[[#This Row],[Charge]]&lt;&gt;0, Tableau1[[#This Row],[Nombre intervenants]]&lt;&gt;0,Tableau1[[#This Row],[Lien document]]&lt;&gt;0,Tableau1[[#This Row],[DMS_SAP]]&lt;&gt;0)=TRUE,"MIS A JOUR","")</f>
        <v/>
      </c>
      <c r="AA948" s="48"/>
      <c r="AB948" s="58" t="str">
        <f ca="1">IF(Tableau1[[#This Row],[Date rév.]]&lt;&gt;"", DAYS360(Tableau1[[#This Row],[Date rév.]],TODAY()),"")</f>
        <v/>
      </c>
      <c r="AC948" s="47" t="str">
        <f>IFERROR(INDEX(Chemin_accès!$B$11:$C$22,MATCH(Tableau1[[#This Row],[Type]],Chemin_accès!$C$11:$C$22,0),1),Chemin_accès!$B$11)</f>
        <v>\\stjn.local\trimet\Btechnique\Commun\BT Maint SCELLEMENT\205 - Préventifs\Modèles préventif\GammeDMS_7.MSCT.xlsm</v>
      </c>
      <c r="AD948" s="47" t="str">
        <f>Chemin_accès!$B$8&amp;Tableau1[[#This Row],[Localisation / Classement]]&amp;"\"&amp;Tableau1[[#This Row],[Poste technique]]&amp;"_"&amp;Tableau1[[#This Row],[Plan Entretien]]&amp;".xlsm"</f>
        <v>\\stjn.local\trimet\Btechnique\Commun\BT Maint SCELLEMENT\205 - Préventifs\Gammes 7.MSCT PE Tool\\_.xlsm</v>
      </c>
    </row>
    <row r="949" spans="1:30" x14ac:dyDescent="0.3">
      <c r="A949" s="44" t="str">
        <f t="shared" ca="1" si="14"/>
        <v>7.MSCT</v>
      </c>
      <c r="B94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9" s="46"/>
      <c r="D949" s="44"/>
      <c r="E949" s="44"/>
      <c r="F949" s="47"/>
      <c r="G949" s="47"/>
      <c r="H949" s="50"/>
      <c r="I949" s="50"/>
      <c r="J949" s="50"/>
      <c r="K949" s="50"/>
      <c r="L949" s="46"/>
      <c r="M949" s="47"/>
      <c r="N949" s="46"/>
      <c r="O949" s="46"/>
      <c r="P949" s="47"/>
      <c r="Q949" s="46"/>
      <c r="R949" s="46"/>
      <c r="S949" s="48"/>
      <c r="T949" s="61" t="str">
        <f>IF(Tableau1[[#This Row],[DMS_SAP]]="","",HYPERLINK(Tableau1[[#This Row],[Chemin fichier source]],"X"))</f>
        <v/>
      </c>
      <c r="U949" s="61" t="str">
        <f>IF(Tableau1[[#This Row],[Date rév.]]="","",HYPERLINK(Tableau1[[#This Row],[Lien document]],"X"))</f>
        <v/>
      </c>
      <c r="V949" s="47"/>
      <c r="W949" s="49" t="str">
        <f ca="1">Chemin_accès!$B$2&amp;Tableau1[[#This Row],[Poste Responsable]]&amp;"\"&amp;Tableau1[[#This Row],[Localisation / Classement]]&amp;"\"&amp;Tableau1[[#This Row],[Poste technique]]&amp;"_"&amp;Tableau1[[#This Row],[Plan Entretien]]&amp;".pdf"</f>
        <v>\\stjn.local\trimet\Donnees_Projets\Dms Sap\Maintenance\PlanEntretien\7.MSCT\\_.pdf</v>
      </c>
      <c r="X949" s="47"/>
      <c r="Y949" s="47"/>
      <c r="Z949" s="44" t="str">
        <f ca="1">IF(AND(Tableau1[[#This Row],[Charge]]&lt;&gt;0, Tableau1[[#This Row],[Nombre intervenants]]&lt;&gt;0,Tableau1[[#This Row],[Lien document]]&lt;&gt;0,Tableau1[[#This Row],[DMS_SAP]]&lt;&gt;0)=TRUE,"MIS A JOUR","")</f>
        <v/>
      </c>
      <c r="AA949" s="48"/>
      <c r="AB949" s="58" t="str">
        <f ca="1">IF(Tableau1[[#This Row],[Date rév.]]&lt;&gt;"", DAYS360(Tableau1[[#This Row],[Date rév.]],TODAY()),"")</f>
        <v/>
      </c>
      <c r="AC949" s="47" t="str">
        <f>IFERROR(INDEX(Chemin_accès!$B$11:$C$22,MATCH(Tableau1[[#This Row],[Type]],Chemin_accès!$C$11:$C$22,0),1),Chemin_accès!$B$11)</f>
        <v>\\stjn.local\trimet\Btechnique\Commun\BT Maint SCELLEMENT\205 - Préventifs\Modèles préventif\GammeDMS_7.MSCT.xlsm</v>
      </c>
      <c r="AD949" s="47" t="str">
        <f>Chemin_accès!$B$8&amp;Tableau1[[#This Row],[Localisation / Classement]]&amp;"\"&amp;Tableau1[[#This Row],[Poste technique]]&amp;"_"&amp;Tableau1[[#This Row],[Plan Entretien]]&amp;".xlsm"</f>
        <v>\\stjn.local\trimet\Btechnique\Commun\BT Maint SCELLEMENT\205 - Préventifs\Gammes 7.MSCT PE Tool\\_.xlsm</v>
      </c>
    </row>
    <row r="950" spans="1:30" x14ac:dyDescent="0.3">
      <c r="A950" s="44" t="str">
        <f t="shared" ca="1" si="14"/>
        <v>7.MSCT</v>
      </c>
      <c r="B95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0" s="46"/>
      <c r="D950" s="44"/>
      <c r="E950" s="44"/>
      <c r="F950" s="47"/>
      <c r="G950" s="47"/>
      <c r="H950" s="50"/>
      <c r="I950" s="50"/>
      <c r="J950" s="50"/>
      <c r="K950" s="50"/>
      <c r="L950" s="46"/>
      <c r="M950" s="47"/>
      <c r="N950" s="46"/>
      <c r="O950" s="46"/>
      <c r="P950" s="47"/>
      <c r="Q950" s="46"/>
      <c r="R950" s="46"/>
      <c r="S950" s="48"/>
      <c r="T950" s="61" t="str">
        <f>IF(Tableau1[[#This Row],[DMS_SAP]]="","",HYPERLINK(Tableau1[[#This Row],[Chemin fichier source]],"X"))</f>
        <v/>
      </c>
      <c r="U950" s="61" t="str">
        <f>IF(Tableau1[[#This Row],[Date rév.]]="","",HYPERLINK(Tableau1[[#This Row],[Lien document]],"X"))</f>
        <v/>
      </c>
      <c r="V950" s="47"/>
      <c r="W950" s="49" t="str">
        <f ca="1">Chemin_accès!$B$2&amp;Tableau1[[#This Row],[Poste Responsable]]&amp;"\"&amp;Tableau1[[#This Row],[Localisation / Classement]]&amp;"\"&amp;Tableau1[[#This Row],[Poste technique]]&amp;"_"&amp;Tableau1[[#This Row],[Plan Entretien]]&amp;".pdf"</f>
        <v>\\stjn.local\trimet\Donnees_Projets\Dms Sap\Maintenance\PlanEntretien\7.MSCT\\_.pdf</v>
      </c>
      <c r="X950" s="47"/>
      <c r="Y950" s="47"/>
      <c r="Z950" s="44" t="str">
        <f ca="1">IF(AND(Tableau1[[#This Row],[Charge]]&lt;&gt;0, Tableau1[[#This Row],[Nombre intervenants]]&lt;&gt;0,Tableau1[[#This Row],[Lien document]]&lt;&gt;0,Tableau1[[#This Row],[DMS_SAP]]&lt;&gt;0)=TRUE,"MIS A JOUR","")</f>
        <v/>
      </c>
      <c r="AA950" s="48"/>
      <c r="AB950" s="58" t="str">
        <f ca="1">IF(Tableau1[[#This Row],[Date rév.]]&lt;&gt;"", DAYS360(Tableau1[[#This Row],[Date rév.]],TODAY()),"")</f>
        <v/>
      </c>
      <c r="AC950" s="47" t="str">
        <f>IFERROR(INDEX(Chemin_accès!$B$11:$C$22,MATCH(Tableau1[[#This Row],[Type]],Chemin_accès!$C$11:$C$22,0),1),Chemin_accès!$B$11)</f>
        <v>\\stjn.local\trimet\Btechnique\Commun\BT Maint SCELLEMENT\205 - Préventifs\Modèles préventif\GammeDMS_7.MSCT.xlsm</v>
      </c>
      <c r="AD950" s="47" t="str">
        <f>Chemin_accès!$B$8&amp;Tableau1[[#This Row],[Localisation / Classement]]&amp;"\"&amp;Tableau1[[#This Row],[Poste technique]]&amp;"_"&amp;Tableau1[[#This Row],[Plan Entretien]]&amp;".xlsm"</f>
        <v>\\stjn.local\trimet\Btechnique\Commun\BT Maint SCELLEMENT\205 - Préventifs\Gammes 7.MSCT PE Tool\\_.xlsm</v>
      </c>
    </row>
    <row r="951" spans="1:30" x14ac:dyDescent="0.3">
      <c r="A951" s="44" t="str">
        <f t="shared" ca="1" si="14"/>
        <v>7.MSCT</v>
      </c>
      <c r="B95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1" s="46"/>
      <c r="D951" s="44"/>
      <c r="E951" s="44"/>
      <c r="F951" s="47"/>
      <c r="G951" s="47"/>
      <c r="H951" s="50"/>
      <c r="I951" s="50"/>
      <c r="J951" s="50"/>
      <c r="K951" s="50"/>
      <c r="L951" s="46"/>
      <c r="M951" s="47"/>
      <c r="N951" s="46"/>
      <c r="O951" s="46"/>
      <c r="P951" s="47"/>
      <c r="Q951" s="46"/>
      <c r="R951" s="46"/>
      <c r="S951" s="48"/>
      <c r="T951" s="61" t="str">
        <f>IF(Tableau1[[#This Row],[DMS_SAP]]="","",HYPERLINK(Tableau1[[#This Row],[Chemin fichier source]],"X"))</f>
        <v/>
      </c>
      <c r="U951" s="61" t="str">
        <f>IF(Tableau1[[#This Row],[Date rév.]]="","",HYPERLINK(Tableau1[[#This Row],[Lien document]],"X"))</f>
        <v/>
      </c>
      <c r="V951" s="47"/>
      <c r="W951" s="49" t="str">
        <f ca="1">Chemin_accès!$B$2&amp;Tableau1[[#This Row],[Poste Responsable]]&amp;"\"&amp;Tableau1[[#This Row],[Localisation / Classement]]&amp;"\"&amp;Tableau1[[#This Row],[Poste technique]]&amp;"_"&amp;Tableau1[[#This Row],[Plan Entretien]]&amp;".pdf"</f>
        <v>\\stjn.local\trimet\Donnees_Projets\Dms Sap\Maintenance\PlanEntretien\7.MSCT\\_.pdf</v>
      </c>
      <c r="X951" s="47"/>
      <c r="Y951" s="47"/>
      <c r="Z951" s="44" t="str">
        <f ca="1">IF(AND(Tableau1[[#This Row],[Charge]]&lt;&gt;0, Tableau1[[#This Row],[Nombre intervenants]]&lt;&gt;0,Tableau1[[#This Row],[Lien document]]&lt;&gt;0,Tableau1[[#This Row],[DMS_SAP]]&lt;&gt;0)=TRUE,"MIS A JOUR","")</f>
        <v/>
      </c>
      <c r="AA951" s="48"/>
      <c r="AB951" s="58" t="str">
        <f ca="1">IF(Tableau1[[#This Row],[Date rév.]]&lt;&gt;"", DAYS360(Tableau1[[#This Row],[Date rév.]],TODAY()),"")</f>
        <v/>
      </c>
      <c r="AC951" s="47" t="str">
        <f>IFERROR(INDEX(Chemin_accès!$B$11:$C$22,MATCH(Tableau1[[#This Row],[Type]],Chemin_accès!$C$11:$C$22,0),1),Chemin_accès!$B$11)</f>
        <v>\\stjn.local\trimet\Btechnique\Commun\BT Maint SCELLEMENT\205 - Préventifs\Modèles préventif\GammeDMS_7.MSCT.xlsm</v>
      </c>
      <c r="AD951" s="47" t="str">
        <f>Chemin_accès!$B$8&amp;Tableau1[[#This Row],[Localisation / Classement]]&amp;"\"&amp;Tableau1[[#This Row],[Poste technique]]&amp;"_"&amp;Tableau1[[#This Row],[Plan Entretien]]&amp;".xlsm"</f>
        <v>\\stjn.local\trimet\Btechnique\Commun\BT Maint SCELLEMENT\205 - Préventifs\Gammes 7.MSCT PE Tool\\_.xlsm</v>
      </c>
    </row>
    <row r="952" spans="1:30" x14ac:dyDescent="0.3">
      <c r="A952" s="44" t="str">
        <f t="shared" ca="1" si="14"/>
        <v>7.MSCT</v>
      </c>
      <c r="B95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2" s="46"/>
      <c r="D952" s="44"/>
      <c r="E952" s="44"/>
      <c r="F952" s="47"/>
      <c r="G952" s="47"/>
      <c r="H952" s="50"/>
      <c r="I952" s="50"/>
      <c r="J952" s="50"/>
      <c r="K952" s="50"/>
      <c r="L952" s="46"/>
      <c r="M952" s="47"/>
      <c r="N952" s="46"/>
      <c r="O952" s="46"/>
      <c r="P952" s="47"/>
      <c r="Q952" s="46"/>
      <c r="R952" s="46"/>
      <c r="S952" s="48"/>
      <c r="T952" s="61" t="str">
        <f>IF(Tableau1[[#This Row],[DMS_SAP]]="","",HYPERLINK(Tableau1[[#This Row],[Chemin fichier source]],"X"))</f>
        <v/>
      </c>
      <c r="U952" s="61" t="str">
        <f>IF(Tableau1[[#This Row],[Date rév.]]="","",HYPERLINK(Tableau1[[#This Row],[Lien document]],"X"))</f>
        <v/>
      </c>
      <c r="V952" s="47"/>
      <c r="W952" s="49" t="str">
        <f ca="1">Chemin_accès!$B$2&amp;Tableau1[[#This Row],[Poste Responsable]]&amp;"\"&amp;Tableau1[[#This Row],[Localisation / Classement]]&amp;"\"&amp;Tableau1[[#This Row],[Poste technique]]&amp;"_"&amp;Tableau1[[#This Row],[Plan Entretien]]&amp;".pdf"</f>
        <v>\\stjn.local\trimet\Donnees_Projets\Dms Sap\Maintenance\PlanEntretien\7.MSCT\\_.pdf</v>
      </c>
      <c r="X952" s="47"/>
      <c r="Y952" s="47"/>
      <c r="Z952" s="44" t="str">
        <f ca="1">IF(AND(Tableau1[[#This Row],[Charge]]&lt;&gt;0, Tableau1[[#This Row],[Nombre intervenants]]&lt;&gt;0,Tableau1[[#This Row],[Lien document]]&lt;&gt;0,Tableau1[[#This Row],[DMS_SAP]]&lt;&gt;0)=TRUE,"MIS A JOUR","")</f>
        <v/>
      </c>
      <c r="AA952" s="48"/>
      <c r="AB952" s="58" t="str">
        <f ca="1">IF(Tableau1[[#This Row],[Date rév.]]&lt;&gt;"", DAYS360(Tableau1[[#This Row],[Date rév.]],TODAY()),"")</f>
        <v/>
      </c>
      <c r="AC952" s="47" t="str">
        <f>IFERROR(INDEX(Chemin_accès!$B$11:$C$22,MATCH(Tableau1[[#This Row],[Type]],Chemin_accès!$C$11:$C$22,0),1),Chemin_accès!$B$11)</f>
        <v>\\stjn.local\trimet\Btechnique\Commun\BT Maint SCELLEMENT\205 - Préventifs\Modèles préventif\GammeDMS_7.MSCT.xlsm</v>
      </c>
      <c r="AD952" s="47" t="str">
        <f>Chemin_accès!$B$8&amp;Tableau1[[#This Row],[Localisation / Classement]]&amp;"\"&amp;Tableau1[[#This Row],[Poste technique]]&amp;"_"&amp;Tableau1[[#This Row],[Plan Entretien]]&amp;".xlsm"</f>
        <v>\\stjn.local\trimet\Btechnique\Commun\BT Maint SCELLEMENT\205 - Préventifs\Gammes 7.MSCT PE Tool\\_.xlsm</v>
      </c>
    </row>
    <row r="953" spans="1:30" x14ac:dyDescent="0.3">
      <c r="A953" s="44" t="str">
        <f t="shared" ca="1" si="14"/>
        <v>7.MSCT</v>
      </c>
      <c r="B95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3" s="46"/>
      <c r="D953" s="44"/>
      <c r="E953" s="44"/>
      <c r="F953" s="47"/>
      <c r="G953" s="47"/>
      <c r="H953" s="50"/>
      <c r="I953" s="50"/>
      <c r="J953" s="50"/>
      <c r="K953" s="50"/>
      <c r="L953" s="46"/>
      <c r="M953" s="47"/>
      <c r="N953" s="46"/>
      <c r="O953" s="46"/>
      <c r="P953" s="47"/>
      <c r="Q953" s="46"/>
      <c r="R953" s="46"/>
      <c r="S953" s="48"/>
      <c r="T953" s="61" t="str">
        <f>IF(Tableau1[[#This Row],[DMS_SAP]]="","",HYPERLINK(Tableau1[[#This Row],[Chemin fichier source]],"X"))</f>
        <v/>
      </c>
      <c r="U953" s="61" t="str">
        <f>IF(Tableau1[[#This Row],[Date rév.]]="","",HYPERLINK(Tableau1[[#This Row],[Lien document]],"X"))</f>
        <v/>
      </c>
      <c r="V953" s="47"/>
      <c r="W953" s="49" t="str">
        <f ca="1">Chemin_accès!$B$2&amp;Tableau1[[#This Row],[Poste Responsable]]&amp;"\"&amp;Tableau1[[#This Row],[Localisation / Classement]]&amp;"\"&amp;Tableau1[[#This Row],[Poste technique]]&amp;"_"&amp;Tableau1[[#This Row],[Plan Entretien]]&amp;".pdf"</f>
        <v>\\stjn.local\trimet\Donnees_Projets\Dms Sap\Maintenance\PlanEntretien\7.MSCT\\_.pdf</v>
      </c>
      <c r="X953" s="47"/>
      <c r="Y953" s="47"/>
      <c r="Z953" s="44" t="str">
        <f ca="1">IF(AND(Tableau1[[#This Row],[Charge]]&lt;&gt;0, Tableau1[[#This Row],[Nombre intervenants]]&lt;&gt;0,Tableau1[[#This Row],[Lien document]]&lt;&gt;0,Tableau1[[#This Row],[DMS_SAP]]&lt;&gt;0)=TRUE,"MIS A JOUR","")</f>
        <v/>
      </c>
      <c r="AA953" s="48"/>
      <c r="AB953" s="58" t="str">
        <f ca="1">IF(Tableau1[[#This Row],[Date rév.]]&lt;&gt;"", DAYS360(Tableau1[[#This Row],[Date rév.]],TODAY()),"")</f>
        <v/>
      </c>
      <c r="AC953" s="47" t="str">
        <f>IFERROR(INDEX(Chemin_accès!$B$11:$C$22,MATCH(Tableau1[[#This Row],[Type]],Chemin_accès!$C$11:$C$22,0),1),Chemin_accès!$B$11)</f>
        <v>\\stjn.local\trimet\Btechnique\Commun\BT Maint SCELLEMENT\205 - Préventifs\Modèles préventif\GammeDMS_7.MSCT.xlsm</v>
      </c>
      <c r="AD953" s="47" t="str">
        <f>Chemin_accès!$B$8&amp;Tableau1[[#This Row],[Localisation / Classement]]&amp;"\"&amp;Tableau1[[#This Row],[Poste technique]]&amp;"_"&amp;Tableau1[[#This Row],[Plan Entretien]]&amp;".xlsm"</f>
        <v>\\stjn.local\trimet\Btechnique\Commun\BT Maint SCELLEMENT\205 - Préventifs\Gammes 7.MSCT PE Tool\\_.xlsm</v>
      </c>
    </row>
    <row r="954" spans="1:30" x14ac:dyDescent="0.3">
      <c r="A954" s="44" t="str">
        <f t="shared" ca="1" si="14"/>
        <v>7.MSCT</v>
      </c>
      <c r="B95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4" s="46"/>
      <c r="D954" s="44"/>
      <c r="E954" s="44"/>
      <c r="F954" s="47"/>
      <c r="G954" s="47"/>
      <c r="H954" s="50"/>
      <c r="I954" s="50"/>
      <c r="J954" s="50"/>
      <c r="K954" s="50"/>
      <c r="L954" s="46"/>
      <c r="M954" s="47"/>
      <c r="N954" s="46"/>
      <c r="O954" s="46"/>
      <c r="P954" s="47"/>
      <c r="Q954" s="46"/>
      <c r="R954" s="46"/>
      <c r="S954" s="48"/>
      <c r="T954" s="61" t="str">
        <f>IF(Tableau1[[#This Row],[DMS_SAP]]="","",HYPERLINK(Tableau1[[#This Row],[Chemin fichier source]],"X"))</f>
        <v/>
      </c>
      <c r="U954" s="61" t="str">
        <f>IF(Tableau1[[#This Row],[Date rév.]]="","",HYPERLINK(Tableau1[[#This Row],[Lien document]],"X"))</f>
        <v/>
      </c>
      <c r="V954" s="47"/>
      <c r="W954" s="49" t="str">
        <f ca="1">Chemin_accès!$B$2&amp;Tableau1[[#This Row],[Poste Responsable]]&amp;"\"&amp;Tableau1[[#This Row],[Localisation / Classement]]&amp;"\"&amp;Tableau1[[#This Row],[Poste technique]]&amp;"_"&amp;Tableau1[[#This Row],[Plan Entretien]]&amp;".pdf"</f>
        <v>\\stjn.local\trimet\Donnees_Projets\Dms Sap\Maintenance\PlanEntretien\7.MSCT\\_.pdf</v>
      </c>
      <c r="X954" s="47"/>
      <c r="Y954" s="47"/>
      <c r="Z954" s="44" t="str">
        <f ca="1">IF(AND(Tableau1[[#This Row],[Charge]]&lt;&gt;0, Tableau1[[#This Row],[Nombre intervenants]]&lt;&gt;0,Tableau1[[#This Row],[Lien document]]&lt;&gt;0,Tableau1[[#This Row],[DMS_SAP]]&lt;&gt;0)=TRUE,"MIS A JOUR","")</f>
        <v/>
      </c>
      <c r="AA954" s="48"/>
      <c r="AB954" s="58" t="str">
        <f ca="1">IF(Tableau1[[#This Row],[Date rév.]]&lt;&gt;"", DAYS360(Tableau1[[#This Row],[Date rév.]],TODAY()),"")</f>
        <v/>
      </c>
      <c r="AC954" s="47" t="str">
        <f>IFERROR(INDEX(Chemin_accès!$B$11:$C$22,MATCH(Tableau1[[#This Row],[Type]],Chemin_accès!$C$11:$C$22,0),1),Chemin_accès!$B$11)</f>
        <v>\\stjn.local\trimet\Btechnique\Commun\BT Maint SCELLEMENT\205 - Préventifs\Modèles préventif\GammeDMS_7.MSCT.xlsm</v>
      </c>
      <c r="AD954" s="47" t="str">
        <f>Chemin_accès!$B$8&amp;Tableau1[[#This Row],[Localisation / Classement]]&amp;"\"&amp;Tableau1[[#This Row],[Poste technique]]&amp;"_"&amp;Tableau1[[#This Row],[Plan Entretien]]&amp;".xlsm"</f>
        <v>\\stjn.local\trimet\Btechnique\Commun\BT Maint SCELLEMENT\205 - Préventifs\Gammes 7.MSCT PE Tool\\_.xlsm</v>
      </c>
    </row>
    <row r="955" spans="1:30" x14ac:dyDescent="0.3">
      <c r="A955" s="44" t="str">
        <f t="shared" ca="1" si="14"/>
        <v>7.MSCT</v>
      </c>
      <c r="B95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5" s="46"/>
      <c r="D955" s="44"/>
      <c r="E955" s="44"/>
      <c r="F955" s="47"/>
      <c r="G955" s="47"/>
      <c r="H955" s="50"/>
      <c r="I955" s="50"/>
      <c r="J955" s="50"/>
      <c r="K955" s="50"/>
      <c r="L955" s="46"/>
      <c r="M955" s="47"/>
      <c r="N955" s="46"/>
      <c r="O955" s="46"/>
      <c r="P955" s="47"/>
      <c r="Q955" s="46"/>
      <c r="R955" s="46"/>
      <c r="S955" s="48"/>
      <c r="T955" s="61" t="str">
        <f>IF(Tableau1[[#This Row],[DMS_SAP]]="","",HYPERLINK(Tableau1[[#This Row],[Chemin fichier source]],"X"))</f>
        <v/>
      </c>
      <c r="U955" s="61" t="str">
        <f>IF(Tableau1[[#This Row],[Date rév.]]="","",HYPERLINK(Tableau1[[#This Row],[Lien document]],"X"))</f>
        <v/>
      </c>
      <c r="V955" s="47"/>
      <c r="W955" s="49" t="str">
        <f ca="1">Chemin_accès!$B$2&amp;Tableau1[[#This Row],[Poste Responsable]]&amp;"\"&amp;Tableau1[[#This Row],[Localisation / Classement]]&amp;"\"&amp;Tableau1[[#This Row],[Poste technique]]&amp;"_"&amp;Tableau1[[#This Row],[Plan Entretien]]&amp;".pdf"</f>
        <v>\\stjn.local\trimet\Donnees_Projets\Dms Sap\Maintenance\PlanEntretien\7.MSCT\\_.pdf</v>
      </c>
      <c r="X955" s="47"/>
      <c r="Y955" s="47"/>
      <c r="Z955" s="44" t="str">
        <f ca="1">IF(AND(Tableau1[[#This Row],[Charge]]&lt;&gt;0, Tableau1[[#This Row],[Nombre intervenants]]&lt;&gt;0,Tableau1[[#This Row],[Lien document]]&lt;&gt;0,Tableau1[[#This Row],[DMS_SAP]]&lt;&gt;0)=TRUE,"MIS A JOUR","")</f>
        <v/>
      </c>
      <c r="AA955" s="48"/>
      <c r="AB955" s="58" t="str">
        <f ca="1">IF(Tableau1[[#This Row],[Date rév.]]&lt;&gt;"", DAYS360(Tableau1[[#This Row],[Date rév.]],TODAY()),"")</f>
        <v/>
      </c>
      <c r="AC955" s="47" t="str">
        <f>IFERROR(INDEX(Chemin_accès!$B$11:$C$22,MATCH(Tableau1[[#This Row],[Type]],Chemin_accès!$C$11:$C$22,0),1),Chemin_accès!$B$11)</f>
        <v>\\stjn.local\trimet\Btechnique\Commun\BT Maint SCELLEMENT\205 - Préventifs\Modèles préventif\GammeDMS_7.MSCT.xlsm</v>
      </c>
      <c r="AD955" s="47" t="str">
        <f>Chemin_accès!$B$8&amp;Tableau1[[#This Row],[Localisation / Classement]]&amp;"\"&amp;Tableau1[[#This Row],[Poste technique]]&amp;"_"&amp;Tableau1[[#This Row],[Plan Entretien]]&amp;".xlsm"</f>
        <v>\\stjn.local\trimet\Btechnique\Commun\BT Maint SCELLEMENT\205 - Préventifs\Gammes 7.MSCT PE Tool\\_.xlsm</v>
      </c>
    </row>
    <row r="956" spans="1:30" x14ac:dyDescent="0.3">
      <c r="A956" s="44" t="str">
        <f t="shared" ca="1" si="14"/>
        <v>7.MSCT</v>
      </c>
      <c r="B95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6" s="46"/>
      <c r="D956" s="44"/>
      <c r="E956" s="44"/>
      <c r="F956" s="47"/>
      <c r="G956" s="47"/>
      <c r="H956" s="50"/>
      <c r="I956" s="50"/>
      <c r="J956" s="50"/>
      <c r="K956" s="50"/>
      <c r="L956" s="46"/>
      <c r="M956" s="47"/>
      <c r="N956" s="46"/>
      <c r="O956" s="46"/>
      <c r="P956" s="47"/>
      <c r="Q956" s="46"/>
      <c r="R956" s="46"/>
      <c r="S956" s="48"/>
      <c r="T956" s="61" t="str">
        <f>IF(Tableau1[[#This Row],[DMS_SAP]]="","",HYPERLINK(Tableau1[[#This Row],[Chemin fichier source]],"X"))</f>
        <v/>
      </c>
      <c r="U956" s="61" t="str">
        <f>IF(Tableau1[[#This Row],[Date rév.]]="","",HYPERLINK(Tableau1[[#This Row],[Lien document]],"X"))</f>
        <v/>
      </c>
      <c r="V956" s="47"/>
      <c r="W956" s="49" t="str">
        <f ca="1">Chemin_accès!$B$2&amp;Tableau1[[#This Row],[Poste Responsable]]&amp;"\"&amp;Tableau1[[#This Row],[Localisation / Classement]]&amp;"\"&amp;Tableau1[[#This Row],[Poste technique]]&amp;"_"&amp;Tableau1[[#This Row],[Plan Entretien]]&amp;".pdf"</f>
        <v>\\stjn.local\trimet\Donnees_Projets\Dms Sap\Maintenance\PlanEntretien\7.MSCT\\_.pdf</v>
      </c>
      <c r="X956" s="47"/>
      <c r="Y956" s="47"/>
      <c r="Z956" s="44" t="str">
        <f ca="1">IF(AND(Tableau1[[#This Row],[Charge]]&lt;&gt;0, Tableau1[[#This Row],[Nombre intervenants]]&lt;&gt;0,Tableau1[[#This Row],[Lien document]]&lt;&gt;0,Tableau1[[#This Row],[DMS_SAP]]&lt;&gt;0)=TRUE,"MIS A JOUR","")</f>
        <v/>
      </c>
      <c r="AA956" s="48"/>
      <c r="AB956" s="58" t="str">
        <f ca="1">IF(Tableau1[[#This Row],[Date rév.]]&lt;&gt;"", DAYS360(Tableau1[[#This Row],[Date rév.]],TODAY()),"")</f>
        <v/>
      </c>
      <c r="AC956" s="47" t="str">
        <f>IFERROR(INDEX(Chemin_accès!$B$11:$C$22,MATCH(Tableau1[[#This Row],[Type]],Chemin_accès!$C$11:$C$22,0),1),Chemin_accès!$B$11)</f>
        <v>\\stjn.local\trimet\Btechnique\Commun\BT Maint SCELLEMENT\205 - Préventifs\Modèles préventif\GammeDMS_7.MSCT.xlsm</v>
      </c>
      <c r="AD956" s="47" t="str">
        <f>Chemin_accès!$B$8&amp;Tableau1[[#This Row],[Localisation / Classement]]&amp;"\"&amp;Tableau1[[#This Row],[Poste technique]]&amp;"_"&amp;Tableau1[[#This Row],[Plan Entretien]]&amp;".xlsm"</f>
        <v>\\stjn.local\trimet\Btechnique\Commun\BT Maint SCELLEMENT\205 - Préventifs\Gammes 7.MSCT PE Tool\\_.xlsm</v>
      </c>
    </row>
    <row r="957" spans="1:30" x14ac:dyDescent="0.3">
      <c r="A957" s="44" t="str">
        <f t="shared" ca="1" si="14"/>
        <v>7.MSCT</v>
      </c>
      <c r="B95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7" s="46"/>
      <c r="D957" s="44"/>
      <c r="E957" s="44"/>
      <c r="F957" s="47"/>
      <c r="G957" s="47"/>
      <c r="H957" s="50"/>
      <c r="I957" s="50"/>
      <c r="J957" s="50"/>
      <c r="K957" s="50"/>
      <c r="L957" s="46"/>
      <c r="M957" s="47"/>
      <c r="N957" s="46"/>
      <c r="O957" s="46"/>
      <c r="P957" s="47"/>
      <c r="Q957" s="46"/>
      <c r="R957" s="46"/>
      <c r="S957" s="48"/>
      <c r="T957" s="61" t="str">
        <f>IF(Tableau1[[#This Row],[DMS_SAP]]="","",HYPERLINK(Tableau1[[#This Row],[Chemin fichier source]],"X"))</f>
        <v/>
      </c>
      <c r="U957" s="61" t="str">
        <f>IF(Tableau1[[#This Row],[Date rév.]]="","",HYPERLINK(Tableau1[[#This Row],[Lien document]],"X"))</f>
        <v/>
      </c>
      <c r="V957" s="47"/>
      <c r="W957" s="49" t="str">
        <f ca="1">Chemin_accès!$B$2&amp;Tableau1[[#This Row],[Poste Responsable]]&amp;"\"&amp;Tableau1[[#This Row],[Localisation / Classement]]&amp;"\"&amp;Tableau1[[#This Row],[Poste technique]]&amp;"_"&amp;Tableau1[[#This Row],[Plan Entretien]]&amp;".pdf"</f>
        <v>\\stjn.local\trimet\Donnees_Projets\Dms Sap\Maintenance\PlanEntretien\7.MSCT\\_.pdf</v>
      </c>
      <c r="X957" s="47"/>
      <c r="Y957" s="47"/>
      <c r="Z957" s="44" t="str">
        <f ca="1">IF(AND(Tableau1[[#This Row],[Charge]]&lt;&gt;0, Tableau1[[#This Row],[Nombre intervenants]]&lt;&gt;0,Tableau1[[#This Row],[Lien document]]&lt;&gt;0,Tableau1[[#This Row],[DMS_SAP]]&lt;&gt;0)=TRUE,"MIS A JOUR","")</f>
        <v/>
      </c>
      <c r="AA957" s="48"/>
      <c r="AB957" s="58" t="str">
        <f ca="1">IF(Tableau1[[#This Row],[Date rév.]]&lt;&gt;"", DAYS360(Tableau1[[#This Row],[Date rév.]],TODAY()),"")</f>
        <v/>
      </c>
      <c r="AC957" s="47" t="str">
        <f>IFERROR(INDEX(Chemin_accès!$B$11:$C$22,MATCH(Tableau1[[#This Row],[Type]],Chemin_accès!$C$11:$C$22,0),1),Chemin_accès!$B$11)</f>
        <v>\\stjn.local\trimet\Btechnique\Commun\BT Maint SCELLEMENT\205 - Préventifs\Modèles préventif\GammeDMS_7.MSCT.xlsm</v>
      </c>
      <c r="AD957" s="47" t="str">
        <f>Chemin_accès!$B$8&amp;Tableau1[[#This Row],[Localisation / Classement]]&amp;"\"&amp;Tableau1[[#This Row],[Poste technique]]&amp;"_"&amp;Tableau1[[#This Row],[Plan Entretien]]&amp;".xlsm"</f>
        <v>\\stjn.local\trimet\Btechnique\Commun\BT Maint SCELLEMENT\205 - Préventifs\Gammes 7.MSCT PE Tool\\_.xlsm</v>
      </c>
    </row>
    <row r="958" spans="1:30" x14ac:dyDescent="0.3">
      <c r="A958" s="44" t="str">
        <f t="shared" ca="1" si="14"/>
        <v>7.MSCT</v>
      </c>
      <c r="B95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8" s="46"/>
      <c r="D958" s="44"/>
      <c r="E958" s="44"/>
      <c r="F958" s="47"/>
      <c r="G958" s="47"/>
      <c r="H958" s="50"/>
      <c r="I958" s="50"/>
      <c r="J958" s="50"/>
      <c r="K958" s="50"/>
      <c r="L958" s="46"/>
      <c r="M958" s="47"/>
      <c r="N958" s="46"/>
      <c r="O958" s="46"/>
      <c r="P958" s="47"/>
      <c r="Q958" s="46"/>
      <c r="R958" s="46"/>
      <c r="S958" s="48"/>
      <c r="T958" s="61" t="str">
        <f>IF(Tableau1[[#This Row],[DMS_SAP]]="","",HYPERLINK(Tableau1[[#This Row],[Chemin fichier source]],"X"))</f>
        <v/>
      </c>
      <c r="U958" s="61" t="str">
        <f>IF(Tableau1[[#This Row],[Date rév.]]="","",HYPERLINK(Tableau1[[#This Row],[Lien document]],"X"))</f>
        <v/>
      </c>
      <c r="V958" s="47"/>
      <c r="W958" s="49" t="str">
        <f ca="1">Chemin_accès!$B$2&amp;Tableau1[[#This Row],[Poste Responsable]]&amp;"\"&amp;Tableau1[[#This Row],[Localisation / Classement]]&amp;"\"&amp;Tableau1[[#This Row],[Poste technique]]&amp;"_"&amp;Tableau1[[#This Row],[Plan Entretien]]&amp;".pdf"</f>
        <v>\\stjn.local\trimet\Donnees_Projets\Dms Sap\Maintenance\PlanEntretien\7.MSCT\\_.pdf</v>
      </c>
      <c r="X958" s="47"/>
      <c r="Y958" s="47"/>
      <c r="Z958" s="44" t="str">
        <f ca="1">IF(AND(Tableau1[[#This Row],[Charge]]&lt;&gt;0, Tableau1[[#This Row],[Nombre intervenants]]&lt;&gt;0,Tableau1[[#This Row],[Lien document]]&lt;&gt;0,Tableau1[[#This Row],[DMS_SAP]]&lt;&gt;0)=TRUE,"MIS A JOUR","")</f>
        <v/>
      </c>
      <c r="AA958" s="48"/>
      <c r="AB958" s="58" t="str">
        <f ca="1">IF(Tableau1[[#This Row],[Date rév.]]&lt;&gt;"", DAYS360(Tableau1[[#This Row],[Date rév.]],TODAY()),"")</f>
        <v/>
      </c>
      <c r="AC958" s="47" t="str">
        <f>IFERROR(INDEX(Chemin_accès!$B$11:$C$22,MATCH(Tableau1[[#This Row],[Type]],Chemin_accès!$C$11:$C$22,0),1),Chemin_accès!$B$11)</f>
        <v>\\stjn.local\trimet\Btechnique\Commun\BT Maint SCELLEMENT\205 - Préventifs\Modèles préventif\GammeDMS_7.MSCT.xlsm</v>
      </c>
      <c r="AD958" s="47" t="str">
        <f>Chemin_accès!$B$8&amp;Tableau1[[#This Row],[Localisation / Classement]]&amp;"\"&amp;Tableau1[[#This Row],[Poste technique]]&amp;"_"&amp;Tableau1[[#This Row],[Plan Entretien]]&amp;".xlsm"</f>
        <v>\\stjn.local\trimet\Btechnique\Commun\BT Maint SCELLEMENT\205 - Préventifs\Gammes 7.MSCT PE Tool\\_.xlsm</v>
      </c>
    </row>
    <row r="959" spans="1:30" x14ac:dyDescent="0.3">
      <c r="A959" s="44" t="str">
        <f t="shared" ca="1" si="14"/>
        <v>7.MSCT</v>
      </c>
      <c r="B95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9" s="46"/>
      <c r="D959" s="44"/>
      <c r="E959" s="44"/>
      <c r="F959" s="47"/>
      <c r="G959" s="47"/>
      <c r="H959" s="50"/>
      <c r="I959" s="50"/>
      <c r="J959" s="50"/>
      <c r="K959" s="50"/>
      <c r="L959" s="46"/>
      <c r="M959" s="47"/>
      <c r="N959" s="46"/>
      <c r="O959" s="46"/>
      <c r="P959" s="47"/>
      <c r="Q959" s="46"/>
      <c r="R959" s="46"/>
      <c r="S959" s="48"/>
      <c r="T959" s="61" t="str">
        <f>IF(Tableau1[[#This Row],[DMS_SAP]]="","",HYPERLINK(Tableau1[[#This Row],[Chemin fichier source]],"X"))</f>
        <v/>
      </c>
      <c r="U959" s="61" t="str">
        <f>IF(Tableau1[[#This Row],[Date rév.]]="","",HYPERLINK(Tableau1[[#This Row],[Lien document]],"X"))</f>
        <v/>
      </c>
      <c r="V959" s="47"/>
      <c r="W959" s="49" t="str">
        <f ca="1">Chemin_accès!$B$2&amp;Tableau1[[#This Row],[Poste Responsable]]&amp;"\"&amp;Tableau1[[#This Row],[Localisation / Classement]]&amp;"\"&amp;Tableau1[[#This Row],[Poste technique]]&amp;"_"&amp;Tableau1[[#This Row],[Plan Entretien]]&amp;".pdf"</f>
        <v>\\stjn.local\trimet\Donnees_Projets\Dms Sap\Maintenance\PlanEntretien\7.MSCT\\_.pdf</v>
      </c>
      <c r="X959" s="47"/>
      <c r="Y959" s="47"/>
      <c r="Z959" s="44" t="str">
        <f ca="1">IF(AND(Tableau1[[#This Row],[Charge]]&lt;&gt;0, Tableau1[[#This Row],[Nombre intervenants]]&lt;&gt;0,Tableau1[[#This Row],[Lien document]]&lt;&gt;0,Tableau1[[#This Row],[DMS_SAP]]&lt;&gt;0)=TRUE,"MIS A JOUR","")</f>
        <v/>
      </c>
      <c r="AA959" s="48"/>
      <c r="AB959" s="58" t="str">
        <f ca="1">IF(Tableau1[[#This Row],[Date rév.]]&lt;&gt;"", DAYS360(Tableau1[[#This Row],[Date rév.]],TODAY()),"")</f>
        <v/>
      </c>
      <c r="AC959" s="47" t="str">
        <f>IFERROR(INDEX(Chemin_accès!$B$11:$C$22,MATCH(Tableau1[[#This Row],[Type]],Chemin_accès!$C$11:$C$22,0),1),Chemin_accès!$B$11)</f>
        <v>\\stjn.local\trimet\Btechnique\Commun\BT Maint SCELLEMENT\205 - Préventifs\Modèles préventif\GammeDMS_7.MSCT.xlsm</v>
      </c>
      <c r="AD959" s="47" t="str">
        <f>Chemin_accès!$B$8&amp;Tableau1[[#This Row],[Localisation / Classement]]&amp;"\"&amp;Tableau1[[#This Row],[Poste technique]]&amp;"_"&amp;Tableau1[[#This Row],[Plan Entretien]]&amp;".xlsm"</f>
        <v>\\stjn.local\trimet\Btechnique\Commun\BT Maint SCELLEMENT\205 - Préventifs\Gammes 7.MSCT PE Tool\\_.xlsm</v>
      </c>
    </row>
    <row r="960" spans="1:30" x14ac:dyDescent="0.3">
      <c r="A960" s="44" t="str">
        <f t="shared" ca="1" si="14"/>
        <v>7.MSCT</v>
      </c>
      <c r="B96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0" s="46"/>
      <c r="D960" s="44"/>
      <c r="E960" s="44"/>
      <c r="F960" s="47"/>
      <c r="G960" s="47"/>
      <c r="H960" s="50"/>
      <c r="I960" s="50"/>
      <c r="J960" s="50"/>
      <c r="K960" s="50"/>
      <c r="L960" s="46"/>
      <c r="M960" s="47"/>
      <c r="N960" s="46"/>
      <c r="O960" s="46"/>
      <c r="P960" s="47"/>
      <c r="Q960" s="46"/>
      <c r="R960" s="46"/>
      <c r="S960" s="48"/>
      <c r="T960" s="61" t="str">
        <f>IF(Tableau1[[#This Row],[DMS_SAP]]="","",HYPERLINK(Tableau1[[#This Row],[Chemin fichier source]],"X"))</f>
        <v/>
      </c>
      <c r="U960" s="61" t="str">
        <f>IF(Tableau1[[#This Row],[Date rév.]]="","",HYPERLINK(Tableau1[[#This Row],[Lien document]],"X"))</f>
        <v/>
      </c>
      <c r="V960" s="47"/>
      <c r="W960" s="49" t="str">
        <f ca="1">Chemin_accès!$B$2&amp;Tableau1[[#This Row],[Poste Responsable]]&amp;"\"&amp;Tableau1[[#This Row],[Localisation / Classement]]&amp;"\"&amp;Tableau1[[#This Row],[Poste technique]]&amp;"_"&amp;Tableau1[[#This Row],[Plan Entretien]]&amp;".pdf"</f>
        <v>\\stjn.local\trimet\Donnees_Projets\Dms Sap\Maintenance\PlanEntretien\7.MSCT\\_.pdf</v>
      </c>
      <c r="X960" s="47"/>
      <c r="Y960" s="47"/>
      <c r="Z960" s="44" t="str">
        <f ca="1">IF(AND(Tableau1[[#This Row],[Charge]]&lt;&gt;0, Tableau1[[#This Row],[Nombre intervenants]]&lt;&gt;0,Tableau1[[#This Row],[Lien document]]&lt;&gt;0,Tableau1[[#This Row],[DMS_SAP]]&lt;&gt;0)=TRUE,"MIS A JOUR","")</f>
        <v/>
      </c>
      <c r="AA960" s="48"/>
      <c r="AB960" s="58" t="str">
        <f ca="1">IF(Tableau1[[#This Row],[Date rév.]]&lt;&gt;"", DAYS360(Tableau1[[#This Row],[Date rév.]],TODAY()),"")</f>
        <v/>
      </c>
      <c r="AC960" s="47" t="str">
        <f>IFERROR(INDEX(Chemin_accès!$B$11:$C$22,MATCH(Tableau1[[#This Row],[Type]],Chemin_accès!$C$11:$C$22,0),1),Chemin_accès!$B$11)</f>
        <v>\\stjn.local\trimet\Btechnique\Commun\BT Maint SCELLEMENT\205 - Préventifs\Modèles préventif\GammeDMS_7.MSCT.xlsm</v>
      </c>
      <c r="AD960" s="47" t="str">
        <f>Chemin_accès!$B$8&amp;Tableau1[[#This Row],[Localisation / Classement]]&amp;"\"&amp;Tableau1[[#This Row],[Poste technique]]&amp;"_"&amp;Tableau1[[#This Row],[Plan Entretien]]&amp;".xlsm"</f>
        <v>\\stjn.local\trimet\Btechnique\Commun\BT Maint SCELLEMENT\205 - Préventifs\Gammes 7.MSCT PE Tool\\_.xlsm</v>
      </c>
    </row>
    <row r="961" spans="1:30" x14ac:dyDescent="0.3">
      <c r="A961" s="44" t="str">
        <f t="shared" ca="1" si="14"/>
        <v>7.MSCT</v>
      </c>
      <c r="B96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1" s="46"/>
      <c r="D961" s="44"/>
      <c r="E961" s="44"/>
      <c r="F961" s="47"/>
      <c r="G961" s="47"/>
      <c r="H961" s="50"/>
      <c r="I961" s="50"/>
      <c r="J961" s="50"/>
      <c r="K961" s="50"/>
      <c r="L961" s="46"/>
      <c r="M961" s="47"/>
      <c r="N961" s="46"/>
      <c r="O961" s="46"/>
      <c r="P961" s="47"/>
      <c r="Q961" s="46"/>
      <c r="R961" s="46"/>
      <c r="S961" s="48"/>
      <c r="T961" s="61" t="str">
        <f>IF(Tableau1[[#This Row],[DMS_SAP]]="","",HYPERLINK(Tableau1[[#This Row],[Chemin fichier source]],"X"))</f>
        <v/>
      </c>
      <c r="U961" s="61" t="str">
        <f>IF(Tableau1[[#This Row],[Date rév.]]="","",HYPERLINK(Tableau1[[#This Row],[Lien document]],"X"))</f>
        <v/>
      </c>
      <c r="V961" s="47"/>
      <c r="W961" s="49" t="str">
        <f ca="1">Chemin_accès!$B$2&amp;Tableau1[[#This Row],[Poste Responsable]]&amp;"\"&amp;Tableau1[[#This Row],[Localisation / Classement]]&amp;"\"&amp;Tableau1[[#This Row],[Poste technique]]&amp;"_"&amp;Tableau1[[#This Row],[Plan Entretien]]&amp;".pdf"</f>
        <v>\\stjn.local\trimet\Donnees_Projets\Dms Sap\Maintenance\PlanEntretien\7.MSCT\\_.pdf</v>
      </c>
      <c r="X961" s="47"/>
      <c r="Y961" s="47"/>
      <c r="Z961" s="44" t="str">
        <f ca="1">IF(AND(Tableau1[[#This Row],[Charge]]&lt;&gt;0, Tableau1[[#This Row],[Nombre intervenants]]&lt;&gt;0,Tableau1[[#This Row],[Lien document]]&lt;&gt;0,Tableau1[[#This Row],[DMS_SAP]]&lt;&gt;0)=TRUE,"MIS A JOUR","")</f>
        <v/>
      </c>
      <c r="AA961" s="48"/>
      <c r="AB961" s="58" t="str">
        <f ca="1">IF(Tableau1[[#This Row],[Date rév.]]&lt;&gt;"", DAYS360(Tableau1[[#This Row],[Date rév.]],TODAY()),"")</f>
        <v/>
      </c>
      <c r="AC961" s="47" t="str">
        <f>IFERROR(INDEX(Chemin_accès!$B$11:$C$22,MATCH(Tableau1[[#This Row],[Type]],Chemin_accès!$C$11:$C$22,0),1),Chemin_accès!$B$11)</f>
        <v>\\stjn.local\trimet\Btechnique\Commun\BT Maint SCELLEMENT\205 - Préventifs\Modèles préventif\GammeDMS_7.MSCT.xlsm</v>
      </c>
      <c r="AD961" s="47" t="str">
        <f>Chemin_accès!$B$8&amp;Tableau1[[#This Row],[Localisation / Classement]]&amp;"\"&amp;Tableau1[[#This Row],[Poste technique]]&amp;"_"&amp;Tableau1[[#This Row],[Plan Entretien]]&amp;".xlsm"</f>
        <v>\\stjn.local\trimet\Btechnique\Commun\BT Maint SCELLEMENT\205 - Préventifs\Gammes 7.MSCT PE Tool\\_.xlsm</v>
      </c>
    </row>
    <row r="962" spans="1:30" x14ac:dyDescent="0.3">
      <c r="A962" s="44" t="str">
        <f t="shared" ref="A962:A1000" ca="1" si="15">MID(CELL("filename",$A$1),FIND("]",CELL("filename",$A$1))+1,32)</f>
        <v>7.MSCT</v>
      </c>
      <c r="B96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2" s="46"/>
      <c r="D962" s="44"/>
      <c r="E962" s="44"/>
      <c r="F962" s="47"/>
      <c r="G962" s="47"/>
      <c r="H962" s="50"/>
      <c r="I962" s="50"/>
      <c r="J962" s="50"/>
      <c r="K962" s="50"/>
      <c r="L962" s="46"/>
      <c r="M962" s="47"/>
      <c r="N962" s="46"/>
      <c r="O962" s="46"/>
      <c r="P962" s="47"/>
      <c r="Q962" s="46"/>
      <c r="R962" s="46"/>
      <c r="S962" s="48"/>
      <c r="T962" s="61" t="str">
        <f>IF(Tableau1[[#This Row],[DMS_SAP]]="","",HYPERLINK(Tableau1[[#This Row],[Chemin fichier source]],"X"))</f>
        <v/>
      </c>
      <c r="U962" s="61" t="str">
        <f>IF(Tableau1[[#This Row],[Date rév.]]="","",HYPERLINK(Tableau1[[#This Row],[Lien document]],"X"))</f>
        <v/>
      </c>
      <c r="V962" s="47"/>
      <c r="W962" s="49" t="str">
        <f ca="1">Chemin_accès!$B$2&amp;Tableau1[[#This Row],[Poste Responsable]]&amp;"\"&amp;Tableau1[[#This Row],[Localisation / Classement]]&amp;"\"&amp;Tableau1[[#This Row],[Poste technique]]&amp;"_"&amp;Tableau1[[#This Row],[Plan Entretien]]&amp;".pdf"</f>
        <v>\\stjn.local\trimet\Donnees_Projets\Dms Sap\Maintenance\PlanEntretien\7.MSCT\\_.pdf</v>
      </c>
      <c r="X962" s="47"/>
      <c r="Y962" s="47"/>
      <c r="Z962" s="44" t="str">
        <f ca="1">IF(AND(Tableau1[[#This Row],[Charge]]&lt;&gt;0, Tableau1[[#This Row],[Nombre intervenants]]&lt;&gt;0,Tableau1[[#This Row],[Lien document]]&lt;&gt;0,Tableau1[[#This Row],[DMS_SAP]]&lt;&gt;0)=TRUE,"MIS A JOUR","")</f>
        <v/>
      </c>
      <c r="AA962" s="48"/>
      <c r="AB962" s="58" t="str">
        <f ca="1">IF(Tableau1[[#This Row],[Date rév.]]&lt;&gt;"", DAYS360(Tableau1[[#This Row],[Date rév.]],TODAY()),"")</f>
        <v/>
      </c>
      <c r="AC962" s="47" t="str">
        <f>IFERROR(INDEX(Chemin_accès!$B$11:$C$22,MATCH(Tableau1[[#This Row],[Type]],Chemin_accès!$C$11:$C$22,0),1),Chemin_accès!$B$11)</f>
        <v>\\stjn.local\trimet\Btechnique\Commun\BT Maint SCELLEMENT\205 - Préventifs\Modèles préventif\GammeDMS_7.MSCT.xlsm</v>
      </c>
      <c r="AD962" s="47" t="str">
        <f>Chemin_accès!$B$8&amp;Tableau1[[#This Row],[Localisation / Classement]]&amp;"\"&amp;Tableau1[[#This Row],[Poste technique]]&amp;"_"&amp;Tableau1[[#This Row],[Plan Entretien]]&amp;".xlsm"</f>
        <v>\\stjn.local\trimet\Btechnique\Commun\BT Maint SCELLEMENT\205 - Préventifs\Gammes 7.MSCT PE Tool\\_.xlsm</v>
      </c>
    </row>
    <row r="963" spans="1:30" x14ac:dyDescent="0.3">
      <c r="A963" s="44" t="str">
        <f t="shared" ca="1" si="15"/>
        <v>7.MSCT</v>
      </c>
      <c r="B96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3" s="46"/>
      <c r="D963" s="44"/>
      <c r="E963" s="44"/>
      <c r="F963" s="47"/>
      <c r="G963" s="47"/>
      <c r="H963" s="50"/>
      <c r="I963" s="50"/>
      <c r="J963" s="50"/>
      <c r="K963" s="50"/>
      <c r="L963" s="46"/>
      <c r="M963" s="47"/>
      <c r="N963" s="46"/>
      <c r="O963" s="46"/>
      <c r="P963" s="47"/>
      <c r="Q963" s="46"/>
      <c r="R963" s="46"/>
      <c r="S963" s="48"/>
      <c r="T963" s="61" t="str">
        <f>IF(Tableau1[[#This Row],[DMS_SAP]]="","",HYPERLINK(Tableau1[[#This Row],[Chemin fichier source]],"X"))</f>
        <v/>
      </c>
      <c r="U963" s="61" t="str">
        <f>IF(Tableau1[[#This Row],[Date rév.]]="","",HYPERLINK(Tableau1[[#This Row],[Lien document]],"X"))</f>
        <v/>
      </c>
      <c r="V963" s="47"/>
      <c r="W963" s="49" t="str">
        <f ca="1">Chemin_accès!$B$2&amp;Tableau1[[#This Row],[Poste Responsable]]&amp;"\"&amp;Tableau1[[#This Row],[Localisation / Classement]]&amp;"\"&amp;Tableau1[[#This Row],[Poste technique]]&amp;"_"&amp;Tableau1[[#This Row],[Plan Entretien]]&amp;".pdf"</f>
        <v>\\stjn.local\trimet\Donnees_Projets\Dms Sap\Maintenance\PlanEntretien\7.MSCT\\_.pdf</v>
      </c>
      <c r="X963" s="47"/>
      <c r="Y963" s="47"/>
      <c r="Z963" s="44" t="str">
        <f ca="1">IF(AND(Tableau1[[#This Row],[Charge]]&lt;&gt;0, Tableau1[[#This Row],[Nombre intervenants]]&lt;&gt;0,Tableau1[[#This Row],[Lien document]]&lt;&gt;0,Tableau1[[#This Row],[DMS_SAP]]&lt;&gt;0)=TRUE,"MIS A JOUR","")</f>
        <v/>
      </c>
      <c r="AA963" s="48"/>
      <c r="AB963" s="58" t="str">
        <f ca="1">IF(Tableau1[[#This Row],[Date rév.]]&lt;&gt;"", DAYS360(Tableau1[[#This Row],[Date rév.]],TODAY()),"")</f>
        <v/>
      </c>
      <c r="AC963" s="47" t="str">
        <f>IFERROR(INDEX(Chemin_accès!$B$11:$C$22,MATCH(Tableau1[[#This Row],[Type]],Chemin_accès!$C$11:$C$22,0),1),Chemin_accès!$B$11)</f>
        <v>\\stjn.local\trimet\Btechnique\Commun\BT Maint SCELLEMENT\205 - Préventifs\Modèles préventif\GammeDMS_7.MSCT.xlsm</v>
      </c>
      <c r="AD963" s="47" t="str">
        <f>Chemin_accès!$B$8&amp;Tableau1[[#This Row],[Localisation / Classement]]&amp;"\"&amp;Tableau1[[#This Row],[Poste technique]]&amp;"_"&amp;Tableau1[[#This Row],[Plan Entretien]]&amp;".xlsm"</f>
        <v>\\stjn.local\trimet\Btechnique\Commun\BT Maint SCELLEMENT\205 - Préventifs\Gammes 7.MSCT PE Tool\\_.xlsm</v>
      </c>
    </row>
    <row r="964" spans="1:30" x14ac:dyDescent="0.3">
      <c r="A964" s="44" t="str">
        <f t="shared" ca="1" si="15"/>
        <v>7.MSCT</v>
      </c>
      <c r="B96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4" s="46"/>
      <c r="D964" s="44"/>
      <c r="E964" s="44"/>
      <c r="F964" s="47"/>
      <c r="G964" s="47"/>
      <c r="H964" s="50"/>
      <c r="I964" s="50"/>
      <c r="J964" s="50"/>
      <c r="K964" s="50"/>
      <c r="L964" s="46"/>
      <c r="M964" s="47"/>
      <c r="N964" s="46"/>
      <c r="O964" s="46"/>
      <c r="P964" s="47"/>
      <c r="Q964" s="46"/>
      <c r="R964" s="46"/>
      <c r="S964" s="48"/>
      <c r="T964" s="61" t="str">
        <f>IF(Tableau1[[#This Row],[DMS_SAP]]="","",HYPERLINK(Tableau1[[#This Row],[Chemin fichier source]],"X"))</f>
        <v/>
      </c>
      <c r="U964" s="61" t="str">
        <f>IF(Tableau1[[#This Row],[Date rév.]]="","",HYPERLINK(Tableau1[[#This Row],[Lien document]],"X"))</f>
        <v/>
      </c>
      <c r="V964" s="47"/>
      <c r="W964" s="49" t="str">
        <f ca="1">Chemin_accès!$B$2&amp;Tableau1[[#This Row],[Poste Responsable]]&amp;"\"&amp;Tableau1[[#This Row],[Localisation / Classement]]&amp;"\"&amp;Tableau1[[#This Row],[Poste technique]]&amp;"_"&amp;Tableau1[[#This Row],[Plan Entretien]]&amp;".pdf"</f>
        <v>\\stjn.local\trimet\Donnees_Projets\Dms Sap\Maintenance\PlanEntretien\7.MSCT\\_.pdf</v>
      </c>
      <c r="X964" s="47"/>
      <c r="Y964" s="47"/>
      <c r="Z964" s="44" t="str">
        <f ca="1">IF(AND(Tableau1[[#This Row],[Charge]]&lt;&gt;0, Tableau1[[#This Row],[Nombre intervenants]]&lt;&gt;0,Tableau1[[#This Row],[Lien document]]&lt;&gt;0,Tableau1[[#This Row],[DMS_SAP]]&lt;&gt;0)=TRUE,"MIS A JOUR","")</f>
        <v/>
      </c>
      <c r="AA964" s="48"/>
      <c r="AB964" s="58" t="str">
        <f ca="1">IF(Tableau1[[#This Row],[Date rév.]]&lt;&gt;"", DAYS360(Tableau1[[#This Row],[Date rév.]],TODAY()),"")</f>
        <v/>
      </c>
      <c r="AC964" s="47" t="str">
        <f>IFERROR(INDEX(Chemin_accès!$B$11:$C$22,MATCH(Tableau1[[#This Row],[Type]],Chemin_accès!$C$11:$C$22,0),1),Chemin_accès!$B$11)</f>
        <v>\\stjn.local\trimet\Btechnique\Commun\BT Maint SCELLEMENT\205 - Préventifs\Modèles préventif\GammeDMS_7.MSCT.xlsm</v>
      </c>
      <c r="AD964" s="47" t="str">
        <f>Chemin_accès!$B$8&amp;Tableau1[[#This Row],[Localisation / Classement]]&amp;"\"&amp;Tableau1[[#This Row],[Poste technique]]&amp;"_"&amp;Tableau1[[#This Row],[Plan Entretien]]&amp;".xlsm"</f>
        <v>\\stjn.local\trimet\Btechnique\Commun\BT Maint SCELLEMENT\205 - Préventifs\Gammes 7.MSCT PE Tool\\_.xlsm</v>
      </c>
    </row>
    <row r="965" spans="1:30" x14ac:dyDescent="0.3">
      <c r="A965" s="44" t="str">
        <f t="shared" ca="1" si="15"/>
        <v>7.MSCT</v>
      </c>
      <c r="B96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5" s="46"/>
      <c r="D965" s="44"/>
      <c r="E965" s="44"/>
      <c r="F965" s="47"/>
      <c r="G965" s="47"/>
      <c r="H965" s="50"/>
      <c r="I965" s="50"/>
      <c r="J965" s="50"/>
      <c r="K965" s="50"/>
      <c r="L965" s="46"/>
      <c r="M965" s="47"/>
      <c r="N965" s="46"/>
      <c r="O965" s="46"/>
      <c r="P965" s="47"/>
      <c r="Q965" s="46"/>
      <c r="R965" s="46"/>
      <c r="S965" s="48"/>
      <c r="T965" s="61" t="str">
        <f>IF(Tableau1[[#This Row],[DMS_SAP]]="","",HYPERLINK(Tableau1[[#This Row],[Chemin fichier source]],"X"))</f>
        <v/>
      </c>
      <c r="U965" s="61" t="str">
        <f>IF(Tableau1[[#This Row],[Date rév.]]="","",HYPERLINK(Tableau1[[#This Row],[Lien document]],"X"))</f>
        <v/>
      </c>
      <c r="V965" s="47"/>
      <c r="W965" s="49" t="str">
        <f ca="1">Chemin_accès!$B$2&amp;Tableau1[[#This Row],[Poste Responsable]]&amp;"\"&amp;Tableau1[[#This Row],[Localisation / Classement]]&amp;"\"&amp;Tableau1[[#This Row],[Poste technique]]&amp;"_"&amp;Tableau1[[#This Row],[Plan Entretien]]&amp;".pdf"</f>
        <v>\\stjn.local\trimet\Donnees_Projets\Dms Sap\Maintenance\PlanEntretien\7.MSCT\\_.pdf</v>
      </c>
      <c r="X965" s="47"/>
      <c r="Y965" s="47"/>
      <c r="Z965" s="44" t="str">
        <f ca="1">IF(AND(Tableau1[[#This Row],[Charge]]&lt;&gt;0, Tableau1[[#This Row],[Nombre intervenants]]&lt;&gt;0,Tableau1[[#This Row],[Lien document]]&lt;&gt;0,Tableau1[[#This Row],[DMS_SAP]]&lt;&gt;0)=TRUE,"MIS A JOUR","")</f>
        <v/>
      </c>
      <c r="AA965" s="48"/>
      <c r="AB965" s="58" t="str">
        <f ca="1">IF(Tableau1[[#This Row],[Date rév.]]&lt;&gt;"", DAYS360(Tableau1[[#This Row],[Date rév.]],TODAY()),"")</f>
        <v/>
      </c>
      <c r="AC965" s="47" t="str">
        <f>IFERROR(INDEX(Chemin_accès!$B$11:$C$22,MATCH(Tableau1[[#This Row],[Type]],Chemin_accès!$C$11:$C$22,0),1),Chemin_accès!$B$11)</f>
        <v>\\stjn.local\trimet\Btechnique\Commun\BT Maint SCELLEMENT\205 - Préventifs\Modèles préventif\GammeDMS_7.MSCT.xlsm</v>
      </c>
      <c r="AD965" s="47" t="str">
        <f>Chemin_accès!$B$8&amp;Tableau1[[#This Row],[Localisation / Classement]]&amp;"\"&amp;Tableau1[[#This Row],[Poste technique]]&amp;"_"&amp;Tableau1[[#This Row],[Plan Entretien]]&amp;".xlsm"</f>
        <v>\\stjn.local\trimet\Btechnique\Commun\BT Maint SCELLEMENT\205 - Préventifs\Gammes 7.MSCT PE Tool\\_.xlsm</v>
      </c>
    </row>
    <row r="966" spans="1:30" x14ac:dyDescent="0.3">
      <c r="A966" s="44" t="str">
        <f t="shared" ca="1" si="15"/>
        <v>7.MSCT</v>
      </c>
      <c r="B96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6" s="46"/>
      <c r="D966" s="44"/>
      <c r="E966" s="44"/>
      <c r="F966" s="47"/>
      <c r="G966" s="47"/>
      <c r="H966" s="50"/>
      <c r="I966" s="50"/>
      <c r="J966" s="50"/>
      <c r="K966" s="50"/>
      <c r="L966" s="46"/>
      <c r="M966" s="47"/>
      <c r="N966" s="46"/>
      <c r="O966" s="46"/>
      <c r="P966" s="47"/>
      <c r="Q966" s="46"/>
      <c r="R966" s="46"/>
      <c r="S966" s="48"/>
      <c r="T966" s="61" t="str">
        <f>IF(Tableau1[[#This Row],[DMS_SAP]]="","",HYPERLINK(Tableau1[[#This Row],[Chemin fichier source]],"X"))</f>
        <v/>
      </c>
      <c r="U966" s="61" t="str">
        <f>IF(Tableau1[[#This Row],[Date rév.]]="","",HYPERLINK(Tableau1[[#This Row],[Lien document]],"X"))</f>
        <v/>
      </c>
      <c r="V966" s="47"/>
      <c r="W966" s="49" t="str">
        <f ca="1">Chemin_accès!$B$2&amp;Tableau1[[#This Row],[Poste Responsable]]&amp;"\"&amp;Tableau1[[#This Row],[Localisation / Classement]]&amp;"\"&amp;Tableau1[[#This Row],[Poste technique]]&amp;"_"&amp;Tableau1[[#This Row],[Plan Entretien]]&amp;".pdf"</f>
        <v>\\stjn.local\trimet\Donnees_Projets\Dms Sap\Maintenance\PlanEntretien\7.MSCT\\_.pdf</v>
      </c>
      <c r="X966" s="47"/>
      <c r="Y966" s="47"/>
      <c r="Z966" s="44" t="str">
        <f ca="1">IF(AND(Tableau1[[#This Row],[Charge]]&lt;&gt;0, Tableau1[[#This Row],[Nombre intervenants]]&lt;&gt;0,Tableau1[[#This Row],[Lien document]]&lt;&gt;0,Tableau1[[#This Row],[DMS_SAP]]&lt;&gt;0)=TRUE,"MIS A JOUR","")</f>
        <v/>
      </c>
      <c r="AA966" s="48"/>
      <c r="AB966" s="58" t="str">
        <f ca="1">IF(Tableau1[[#This Row],[Date rév.]]&lt;&gt;"", DAYS360(Tableau1[[#This Row],[Date rév.]],TODAY()),"")</f>
        <v/>
      </c>
      <c r="AC966" s="47" t="str">
        <f>IFERROR(INDEX(Chemin_accès!$B$11:$C$22,MATCH(Tableau1[[#This Row],[Type]],Chemin_accès!$C$11:$C$22,0),1),Chemin_accès!$B$11)</f>
        <v>\\stjn.local\trimet\Btechnique\Commun\BT Maint SCELLEMENT\205 - Préventifs\Modèles préventif\GammeDMS_7.MSCT.xlsm</v>
      </c>
      <c r="AD966" s="47" t="str">
        <f>Chemin_accès!$B$8&amp;Tableau1[[#This Row],[Localisation / Classement]]&amp;"\"&amp;Tableau1[[#This Row],[Poste technique]]&amp;"_"&amp;Tableau1[[#This Row],[Plan Entretien]]&amp;".xlsm"</f>
        <v>\\stjn.local\trimet\Btechnique\Commun\BT Maint SCELLEMENT\205 - Préventifs\Gammes 7.MSCT PE Tool\\_.xlsm</v>
      </c>
    </row>
    <row r="967" spans="1:30" x14ac:dyDescent="0.3">
      <c r="A967" s="44" t="str">
        <f t="shared" ca="1" si="15"/>
        <v>7.MSCT</v>
      </c>
      <c r="B96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7" s="46"/>
      <c r="D967" s="44"/>
      <c r="E967" s="44"/>
      <c r="F967" s="47"/>
      <c r="G967" s="47"/>
      <c r="H967" s="50"/>
      <c r="I967" s="50"/>
      <c r="J967" s="50"/>
      <c r="K967" s="50"/>
      <c r="L967" s="46"/>
      <c r="M967" s="47"/>
      <c r="N967" s="46"/>
      <c r="O967" s="46"/>
      <c r="P967" s="47"/>
      <c r="Q967" s="46"/>
      <c r="R967" s="46"/>
      <c r="S967" s="48"/>
      <c r="T967" s="61" t="str">
        <f>IF(Tableau1[[#This Row],[DMS_SAP]]="","",HYPERLINK(Tableau1[[#This Row],[Chemin fichier source]],"X"))</f>
        <v/>
      </c>
      <c r="U967" s="61" t="str">
        <f>IF(Tableau1[[#This Row],[Date rév.]]="","",HYPERLINK(Tableau1[[#This Row],[Lien document]],"X"))</f>
        <v/>
      </c>
      <c r="V967" s="47"/>
      <c r="W967" s="49" t="str">
        <f ca="1">Chemin_accès!$B$2&amp;Tableau1[[#This Row],[Poste Responsable]]&amp;"\"&amp;Tableau1[[#This Row],[Localisation / Classement]]&amp;"\"&amp;Tableau1[[#This Row],[Poste technique]]&amp;"_"&amp;Tableau1[[#This Row],[Plan Entretien]]&amp;".pdf"</f>
        <v>\\stjn.local\trimet\Donnees_Projets\Dms Sap\Maintenance\PlanEntretien\7.MSCT\\_.pdf</v>
      </c>
      <c r="X967" s="47"/>
      <c r="Y967" s="47"/>
      <c r="Z967" s="44" t="str">
        <f ca="1">IF(AND(Tableau1[[#This Row],[Charge]]&lt;&gt;0, Tableau1[[#This Row],[Nombre intervenants]]&lt;&gt;0,Tableau1[[#This Row],[Lien document]]&lt;&gt;0,Tableau1[[#This Row],[DMS_SAP]]&lt;&gt;0)=TRUE,"MIS A JOUR","")</f>
        <v/>
      </c>
      <c r="AA967" s="48"/>
      <c r="AB967" s="58" t="str">
        <f ca="1">IF(Tableau1[[#This Row],[Date rév.]]&lt;&gt;"", DAYS360(Tableau1[[#This Row],[Date rév.]],TODAY()),"")</f>
        <v/>
      </c>
      <c r="AC967" s="47" t="str">
        <f>IFERROR(INDEX(Chemin_accès!$B$11:$C$22,MATCH(Tableau1[[#This Row],[Type]],Chemin_accès!$C$11:$C$22,0),1),Chemin_accès!$B$11)</f>
        <v>\\stjn.local\trimet\Btechnique\Commun\BT Maint SCELLEMENT\205 - Préventifs\Modèles préventif\GammeDMS_7.MSCT.xlsm</v>
      </c>
      <c r="AD967" s="47" t="str">
        <f>Chemin_accès!$B$8&amp;Tableau1[[#This Row],[Localisation / Classement]]&amp;"\"&amp;Tableau1[[#This Row],[Poste technique]]&amp;"_"&amp;Tableau1[[#This Row],[Plan Entretien]]&amp;".xlsm"</f>
        <v>\\stjn.local\trimet\Btechnique\Commun\BT Maint SCELLEMENT\205 - Préventifs\Gammes 7.MSCT PE Tool\\_.xlsm</v>
      </c>
    </row>
    <row r="968" spans="1:30" x14ac:dyDescent="0.3">
      <c r="A968" s="44" t="str">
        <f t="shared" ca="1" si="15"/>
        <v>7.MSCT</v>
      </c>
      <c r="B96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8" s="46"/>
      <c r="D968" s="44"/>
      <c r="E968" s="44"/>
      <c r="F968" s="47"/>
      <c r="G968" s="47"/>
      <c r="H968" s="50"/>
      <c r="I968" s="50"/>
      <c r="J968" s="50"/>
      <c r="K968" s="50"/>
      <c r="L968" s="46"/>
      <c r="M968" s="47"/>
      <c r="N968" s="46"/>
      <c r="O968" s="46"/>
      <c r="P968" s="47"/>
      <c r="Q968" s="46"/>
      <c r="R968" s="46"/>
      <c r="S968" s="48"/>
      <c r="T968" s="61" t="str">
        <f>IF(Tableau1[[#This Row],[DMS_SAP]]="","",HYPERLINK(Tableau1[[#This Row],[Chemin fichier source]],"X"))</f>
        <v/>
      </c>
      <c r="U968" s="61" t="str">
        <f>IF(Tableau1[[#This Row],[Date rév.]]="","",HYPERLINK(Tableau1[[#This Row],[Lien document]],"X"))</f>
        <v/>
      </c>
      <c r="V968" s="47"/>
      <c r="W968" s="49" t="str">
        <f ca="1">Chemin_accès!$B$2&amp;Tableau1[[#This Row],[Poste Responsable]]&amp;"\"&amp;Tableau1[[#This Row],[Localisation / Classement]]&amp;"\"&amp;Tableau1[[#This Row],[Poste technique]]&amp;"_"&amp;Tableau1[[#This Row],[Plan Entretien]]&amp;".pdf"</f>
        <v>\\stjn.local\trimet\Donnees_Projets\Dms Sap\Maintenance\PlanEntretien\7.MSCT\\_.pdf</v>
      </c>
      <c r="X968" s="47"/>
      <c r="Y968" s="47"/>
      <c r="Z968" s="44" t="str">
        <f ca="1">IF(AND(Tableau1[[#This Row],[Charge]]&lt;&gt;0, Tableau1[[#This Row],[Nombre intervenants]]&lt;&gt;0,Tableau1[[#This Row],[Lien document]]&lt;&gt;0,Tableau1[[#This Row],[DMS_SAP]]&lt;&gt;0)=TRUE,"MIS A JOUR","")</f>
        <v/>
      </c>
      <c r="AA968" s="48"/>
      <c r="AB968" s="58" t="str">
        <f ca="1">IF(Tableau1[[#This Row],[Date rév.]]&lt;&gt;"", DAYS360(Tableau1[[#This Row],[Date rév.]],TODAY()),"")</f>
        <v/>
      </c>
      <c r="AC968" s="47" t="str">
        <f>IFERROR(INDEX(Chemin_accès!$B$11:$C$22,MATCH(Tableau1[[#This Row],[Type]],Chemin_accès!$C$11:$C$22,0),1),Chemin_accès!$B$11)</f>
        <v>\\stjn.local\trimet\Btechnique\Commun\BT Maint SCELLEMENT\205 - Préventifs\Modèles préventif\GammeDMS_7.MSCT.xlsm</v>
      </c>
      <c r="AD968" s="47" t="str">
        <f>Chemin_accès!$B$8&amp;Tableau1[[#This Row],[Localisation / Classement]]&amp;"\"&amp;Tableau1[[#This Row],[Poste technique]]&amp;"_"&amp;Tableau1[[#This Row],[Plan Entretien]]&amp;".xlsm"</f>
        <v>\\stjn.local\trimet\Btechnique\Commun\BT Maint SCELLEMENT\205 - Préventifs\Gammes 7.MSCT PE Tool\\_.xlsm</v>
      </c>
    </row>
    <row r="969" spans="1:30" x14ac:dyDescent="0.3">
      <c r="A969" s="44" t="str">
        <f t="shared" ca="1" si="15"/>
        <v>7.MSCT</v>
      </c>
      <c r="B96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9" s="46"/>
      <c r="D969" s="44"/>
      <c r="E969" s="44"/>
      <c r="F969" s="47"/>
      <c r="G969" s="47"/>
      <c r="H969" s="50"/>
      <c r="I969" s="50"/>
      <c r="J969" s="50"/>
      <c r="K969" s="50"/>
      <c r="L969" s="46"/>
      <c r="M969" s="47"/>
      <c r="N969" s="46"/>
      <c r="O969" s="46"/>
      <c r="P969" s="47"/>
      <c r="Q969" s="46"/>
      <c r="R969" s="46"/>
      <c r="S969" s="48"/>
      <c r="T969" s="61" t="str">
        <f>IF(Tableau1[[#This Row],[DMS_SAP]]="","",HYPERLINK(Tableau1[[#This Row],[Chemin fichier source]],"X"))</f>
        <v/>
      </c>
      <c r="U969" s="61" t="str">
        <f>IF(Tableau1[[#This Row],[Date rév.]]="","",HYPERLINK(Tableau1[[#This Row],[Lien document]],"X"))</f>
        <v/>
      </c>
      <c r="V969" s="47"/>
      <c r="W969" s="49" t="str">
        <f ca="1">Chemin_accès!$B$2&amp;Tableau1[[#This Row],[Poste Responsable]]&amp;"\"&amp;Tableau1[[#This Row],[Localisation / Classement]]&amp;"\"&amp;Tableau1[[#This Row],[Poste technique]]&amp;"_"&amp;Tableau1[[#This Row],[Plan Entretien]]&amp;".pdf"</f>
        <v>\\stjn.local\trimet\Donnees_Projets\Dms Sap\Maintenance\PlanEntretien\7.MSCT\\_.pdf</v>
      </c>
      <c r="X969" s="47"/>
      <c r="Y969" s="47"/>
      <c r="Z969" s="44" t="str">
        <f ca="1">IF(AND(Tableau1[[#This Row],[Charge]]&lt;&gt;0, Tableau1[[#This Row],[Nombre intervenants]]&lt;&gt;0,Tableau1[[#This Row],[Lien document]]&lt;&gt;0,Tableau1[[#This Row],[DMS_SAP]]&lt;&gt;0)=TRUE,"MIS A JOUR","")</f>
        <v/>
      </c>
      <c r="AA969" s="48"/>
      <c r="AB969" s="58" t="str">
        <f ca="1">IF(Tableau1[[#This Row],[Date rév.]]&lt;&gt;"", DAYS360(Tableau1[[#This Row],[Date rév.]],TODAY()),"")</f>
        <v/>
      </c>
      <c r="AC969" s="47" t="str">
        <f>IFERROR(INDEX(Chemin_accès!$B$11:$C$22,MATCH(Tableau1[[#This Row],[Type]],Chemin_accès!$C$11:$C$22,0),1),Chemin_accès!$B$11)</f>
        <v>\\stjn.local\trimet\Btechnique\Commun\BT Maint SCELLEMENT\205 - Préventifs\Modèles préventif\GammeDMS_7.MSCT.xlsm</v>
      </c>
      <c r="AD969" s="47" t="str">
        <f>Chemin_accès!$B$8&amp;Tableau1[[#This Row],[Localisation / Classement]]&amp;"\"&amp;Tableau1[[#This Row],[Poste technique]]&amp;"_"&amp;Tableau1[[#This Row],[Plan Entretien]]&amp;".xlsm"</f>
        <v>\\stjn.local\trimet\Btechnique\Commun\BT Maint SCELLEMENT\205 - Préventifs\Gammes 7.MSCT PE Tool\\_.xlsm</v>
      </c>
    </row>
    <row r="970" spans="1:30" x14ac:dyDescent="0.3">
      <c r="A970" s="44" t="str">
        <f t="shared" ca="1" si="15"/>
        <v>7.MSCT</v>
      </c>
      <c r="B97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0" s="46"/>
      <c r="D970" s="44"/>
      <c r="E970" s="44"/>
      <c r="F970" s="47"/>
      <c r="G970" s="47"/>
      <c r="H970" s="50"/>
      <c r="I970" s="50"/>
      <c r="J970" s="50"/>
      <c r="K970" s="50"/>
      <c r="L970" s="46"/>
      <c r="M970" s="47"/>
      <c r="N970" s="46"/>
      <c r="O970" s="46"/>
      <c r="P970" s="47"/>
      <c r="Q970" s="46"/>
      <c r="R970" s="46"/>
      <c r="S970" s="48"/>
      <c r="T970" s="61" t="str">
        <f>IF(Tableau1[[#This Row],[DMS_SAP]]="","",HYPERLINK(Tableau1[[#This Row],[Chemin fichier source]],"X"))</f>
        <v/>
      </c>
      <c r="U970" s="61" t="str">
        <f>IF(Tableau1[[#This Row],[Date rév.]]="","",HYPERLINK(Tableau1[[#This Row],[Lien document]],"X"))</f>
        <v/>
      </c>
      <c r="V970" s="47"/>
      <c r="W970" s="49" t="str">
        <f ca="1">Chemin_accès!$B$2&amp;Tableau1[[#This Row],[Poste Responsable]]&amp;"\"&amp;Tableau1[[#This Row],[Localisation / Classement]]&amp;"\"&amp;Tableau1[[#This Row],[Poste technique]]&amp;"_"&amp;Tableau1[[#This Row],[Plan Entretien]]&amp;".pdf"</f>
        <v>\\stjn.local\trimet\Donnees_Projets\Dms Sap\Maintenance\PlanEntretien\7.MSCT\\_.pdf</v>
      </c>
      <c r="X970" s="47"/>
      <c r="Y970" s="47"/>
      <c r="Z970" s="44" t="str">
        <f ca="1">IF(AND(Tableau1[[#This Row],[Charge]]&lt;&gt;0, Tableau1[[#This Row],[Nombre intervenants]]&lt;&gt;0,Tableau1[[#This Row],[Lien document]]&lt;&gt;0,Tableau1[[#This Row],[DMS_SAP]]&lt;&gt;0)=TRUE,"MIS A JOUR","")</f>
        <v/>
      </c>
      <c r="AA970" s="48"/>
      <c r="AB970" s="58" t="str">
        <f ca="1">IF(Tableau1[[#This Row],[Date rév.]]&lt;&gt;"", DAYS360(Tableau1[[#This Row],[Date rév.]],TODAY()),"")</f>
        <v/>
      </c>
      <c r="AC970" s="47" t="str">
        <f>IFERROR(INDEX(Chemin_accès!$B$11:$C$22,MATCH(Tableau1[[#This Row],[Type]],Chemin_accès!$C$11:$C$22,0),1),Chemin_accès!$B$11)</f>
        <v>\\stjn.local\trimet\Btechnique\Commun\BT Maint SCELLEMENT\205 - Préventifs\Modèles préventif\GammeDMS_7.MSCT.xlsm</v>
      </c>
      <c r="AD970" s="47" t="str">
        <f>Chemin_accès!$B$8&amp;Tableau1[[#This Row],[Localisation / Classement]]&amp;"\"&amp;Tableau1[[#This Row],[Poste technique]]&amp;"_"&amp;Tableau1[[#This Row],[Plan Entretien]]&amp;".xlsm"</f>
        <v>\\stjn.local\trimet\Btechnique\Commun\BT Maint SCELLEMENT\205 - Préventifs\Gammes 7.MSCT PE Tool\\_.xlsm</v>
      </c>
    </row>
    <row r="971" spans="1:30" x14ac:dyDescent="0.3">
      <c r="A971" s="44" t="str">
        <f t="shared" ca="1" si="15"/>
        <v>7.MSCT</v>
      </c>
      <c r="B97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1" s="46"/>
      <c r="D971" s="44"/>
      <c r="E971" s="44"/>
      <c r="F971" s="47"/>
      <c r="G971" s="47"/>
      <c r="H971" s="50"/>
      <c r="I971" s="50"/>
      <c r="J971" s="50"/>
      <c r="K971" s="50"/>
      <c r="L971" s="46"/>
      <c r="M971" s="47"/>
      <c r="N971" s="46"/>
      <c r="O971" s="46"/>
      <c r="P971" s="47"/>
      <c r="Q971" s="46"/>
      <c r="R971" s="46"/>
      <c r="S971" s="48"/>
      <c r="T971" s="61" t="str">
        <f>IF(Tableau1[[#This Row],[DMS_SAP]]="","",HYPERLINK(Tableau1[[#This Row],[Chemin fichier source]],"X"))</f>
        <v/>
      </c>
      <c r="U971" s="61" t="str">
        <f>IF(Tableau1[[#This Row],[Date rév.]]="","",HYPERLINK(Tableau1[[#This Row],[Lien document]],"X"))</f>
        <v/>
      </c>
      <c r="V971" s="47"/>
      <c r="W971" s="49" t="str">
        <f ca="1">Chemin_accès!$B$2&amp;Tableau1[[#This Row],[Poste Responsable]]&amp;"\"&amp;Tableau1[[#This Row],[Localisation / Classement]]&amp;"\"&amp;Tableau1[[#This Row],[Poste technique]]&amp;"_"&amp;Tableau1[[#This Row],[Plan Entretien]]&amp;".pdf"</f>
        <v>\\stjn.local\trimet\Donnees_Projets\Dms Sap\Maintenance\PlanEntretien\7.MSCT\\_.pdf</v>
      </c>
      <c r="X971" s="47"/>
      <c r="Y971" s="47"/>
      <c r="Z971" s="44" t="str">
        <f ca="1">IF(AND(Tableau1[[#This Row],[Charge]]&lt;&gt;0, Tableau1[[#This Row],[Nombre intervenants]]&lt;&gt;0,Tableau1[[#This Row],[Lien document]]&lt;&gt;0,Tableau1[[#This Row],[DMS_SAP]]&lt;&gt;0)=TRUE,"MIS A JOUR","")</f>
        <v/>
      </c>
      <c r="AA971" s="48"/>
      <c r="AB971" s="58" t="str">
        <f ca="1">IF(Tableau1[[#This Row],[Date rév.]]&lt;&gt;"", DAYS360(Tableau1[[#This Row],[Date rév.]],TODAY()),"")</f>
        <v/>
      </c>
      <c r="AC971" s="47" t="str">
        <f>IFERROR(INDEX(Chemin_accès!$B$11:$C$22,MATCH(Tableau1[[#This Row],[Type]],Chemin_accès!$C$11:$C$22,0),1),Chemin_accès!$B$11)</f>
        <v>\\stjn.local\trimet\Btechnique\Commun\BT Maint SCELLEMENT\205 - Préventifs\Modèles préventif\GammeDMS_7.MSCT.xlsm</v>
      </c>
      <c r="AD971" s="47" t="str">
        <f>Chemin_accès!$B$8&amp;Tableau1[[#This Row],[Localisation / Classement]]&amp;"\"&amp;Tableau1[[#This Row],[Poste technique]]&amp;"_"&amp;Tableau1[[#This Row],[Plan Entretien]]&amp;".xlsm"</f>
        <v>\\stjn.local\trimet\Btechnique\Commun\BT Maint SCELLEMENT\205 - Préventifs\Gammes 7.MSCT PE Tool\\_.xlsm</v>
      </c>
    </row>
    <row r="972" spans="1:30" x14ac:dyDescent="0.3">
      <c r="A972" s="44" t="str">
        <f t="shared" ca="1" si="15"/>
        <v>7.MSCT</v>
      </c>
      <c r="B97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2" s="46"/>
      <c r="D972" s="44"/>
      <c r="E972" s="44"/>
      <c r="F972" s="47"/>
      <c r="G972" s="47"/>
      <c r="H972" s="50"/>
      <c r="I972" s="50"/>
      <c r="J972" s="50"/>
      <c r="K972" s="50"/>
      <c r="L972" s="46"/>
      <c r="M972" s="47"/>
      <c r="N972" s="46"/>
      <c r="O972" s="46"/>
      <c r="P972" s="47"/>
      <c r="Q972" s="46"/>
      <c r="R972" s="46"/>
      <c r="S972" s="48"/>
      <c r="T972" s="61" t="str">
        <f>IF(Tableau1[[#This Row],[DMS_SAP]]="","",HYPERLINK(Tableau1[[#This Row],[Chemin fichier source]],"X"))</f>
        <v/>
      </c>
      <c r="U972" s="61" t="str">
        <f>IF(Tableau1[[#This Row],[Date rév.]]="","",HYPERLINK(Tableau1[[#This Row],[Lien document]],"X"))</f>
        <v/>
      </c>
      <c r="V972" s="47"/>
      <c r="W972" s="49" t="str">
        <f ca="1">Chemin_accès!$B$2&amp;Tableau1[[#This Row],[Poste Responsable]]&amp;"\"&amp;Tableau1[[#This Row],[Localisation / Classement]]&amp;"\"&amp;Tableau1[[#This Row],[Poste technique]]&amp;"_"&amp;Tableau1[[#This Row],[Plan Entretien]]&amp;".pdf"</f>
        <v>\\stjn.local\trimet\Donnees_Projets\Dms Sap\Maintenance\PlanEntretien\7.MSCT\\_.pdf</v>
      </c>
      <c r="X972" s="47"/>
      <c r="Y972" s="47"/>
      <c r="Z972" s="44" t="str">
        <f ca="1">IF(AND(Tableau1[[#This Row],[Charge]]&lt;&gt;0, Tableau1[[#This Row],[Nombre intervenants]]&lt;&gt;0,Tableau1[[#This Row],[Lien document]]&lt;&gt;0,Tableau1[[#This Row],[DMS_SAP]]&lt;&gt;0)=TRUE,"MIS A JOUR","")</f>
        <v/>
      </c>
      <c r="AA972" s="48"/>
      <c r="AB972" s="58" t="str">
        <f ca="1">IF(Tableau1[[#This Row],[Date rév.]]&lt;&gt;"", DAYS360(Tableau1[[#This Row],[Date rév.]],TODAY()),"")</f>
        <v/>
      </c>
      <c r="AC972" s="47" t="str">
        <f>IFERROR(INDEX(Chemin_accès!$B$11:$C$22,MATCH(Tableau1[[#This Row],[Type]],Chemin_accès!$C$11:$C$22,0),1),Chemin_accès!$B$11)</f>
        <v>\\stjn.local\trimet\Btechnique\Commun\BT Maint SCELLEMENT\205 - Préventifs\Modèles préventif\GammeDMS_7.MSCT.xlsm</v>
      </c>
      <c r="AD972" s="47" t="str">
        <f>Chemin_accès!$B$8&amp;Tableau1[[#This Row],[Localisation / Classement]]&amp;"\"&amp;Tableau1[[#This Row],[Poste technique]]&amp;"_"&amp;Tableau1[[#This Row],[Plan Entretien]]&amp;".xlsm"</f>
        <v>\\stjn.local\trimet\Btechnique\Commun\BT Maint SCELLEMENT\205 - Préventifs\Gammes 7.MSCT PE Tool\\_.xlsm</v>
      </c>
    </row>
    <row r="973" spans="1:30" x14ac:dyDescent="0.3">
      <c r="A973" s="44" t="str">
        <f t="shared" ca="1" si="15"/>
        <v>7.MSCT</v>
      </c>
      <c r="B97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3" s="46"/>
      <c r="D973" s="44"/>
      <c r="E973" s="44"/>
      <c r="F973" s="47"/>
      <c r="G973" s="47"/>
      <c r="H973" s="50"/>
      <c r="I973" s="50"/>
      <c r="J973" s="50"/>
      <c r="K973" s="50"/>
      <c r="L973" s="46"/>
      <c r="M973" s="47"/>
      <c r="N973" s="46"/>
      <c r="O973" s="46"/>
      <c r="P973" s="47"/>
      <c r="Q973" s="46"/>
      <c r="R973" s="46"/>
      <c r="S973" s="48"/>
      <c r="T973" s="61" t="str">
        <f>IF(Tableau1[[#This Row],[DMS_SAP]]="","",HYPERLINK(Tableau1[[#This Row],[Chemin fichier source]],"X"))</f>
        <v/>
      </c>
      <c r="U973" s="61" t="str">
        <f>IF(Tableau1[[#This Row],[Date rév.]]="","",HYPERLINK(Tableau1[[#This Row],[Lien document]],"X"))</f>
        <v/>
      </c>
      <c r="V973" s="47"/>
      <c r="W973" s="49" t="str">
        <f ca="1">Chemin_accès!$B$2&amp;Tableau1[[#This Row],[Poste Responsable]]&amp;"\"&amp;Tableau1[[#This Row],[Localisation / Classement]]&amp;"\"&amp;Tableau1[[#This Row],[Poste technique]]&amp;"_"&amp;Tableau1[[#This Row],[Plan Entretien]]&amp;".pdf"</f>
        <v>\\stjn.local\trimet\Donnees_Projets\Dms Sap\Maintenance\PlanEntretien\7.MSCT\\_.pdf</v>
      </c>
      <c r="X973" s="47"/>
      <c r="Y973" s="47"/>
      <c r="Z973" s="44" t="str">
        <f ca="1">IF(AND(Tableau1[[#This Row],[Charge]]&lt;&gt;0, Tableau1[[#This Row],[Nombre intervenants]]&lt;&gt;0,Tableau1[[#This Row],[Lien document]]&lt;&gt;0,Tableau1[[#This Row],[DMS_SAP]]&lt;&gt;0)=TRUE,"MIS A JOUR","")</f>
        <v/>
      </c>
      <c r="AA973" s="48"/>
      <c r="AB973" s="58" t="str">
        <f ca="1">IF(Tableau1[[#This Row],[Date rév.]]&lt;&gt;"", DAYS360(Tableau1[[#This Row],[Date rév.]],TODAY()),"")</f>
        <v/>
      </c>
      <c r="AC973" s="47" t="str">
        <f>IFERROR(INDEX(Chemin_accès!$B$11:$C$22,MATCH(Tableau1[[#This Row],[Type]],Chemin_accès!$C$11:$C$22,0),1),Chemin_accès!$B$11)</f>
        <v>\\stjn.local\trimet\Btechnique\Commun\BT Maint SCELLEMENT\205 - Préventifs\Modèles préventif\GammeDMS_7.MSCT.xlsm</v>
      </c>
      <c r="AD973" s="47" t="str">
        <f>Chemin_accès!$B$8&amp;Tableau1[[#This Row],[Localisation / Classement]]&amp;"\"&amp;Tableau1[[#This Row],[Poste technique]]&amp;"_"&amp;Tableau1[[#This Row],[Plan Entretien]]&amp;".xlsm"</f>
        <v>\\stjn.local\trimet\Btechnique\Commun\BT Maint SCELLEMENT\205 - Préventifs\Gammes 7.MSCT PE Tool\\_.xlsm</v>
      </c>
    </row>
    <row r="974" spans="1:30" x14ac:dyDescent="0.3">
      <c r="A974" s="44" t="str">
        <f t="shared" ca="1" si="15"/>
        <v>7.MSCT</v>
      </c>
      <c r="B97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4" s="46"/>
      <c r="D974" s="44"/>
      <c r="E974" s="44"/>
      <c r="F974" s="47"/>
      <c r="G974" s="47"/>
      <c r="H974" s="50"/>
      <c r="I974" s="50"/>
      <c r="J974" s="50"/>
      <c r="K974" s="50"/>
      <c r="L974" s="46"/>
      <c r="M974" s="47"/>
      <c r="N974" s="46"/>
      <c r="O974" s="46"/>
      <c r="P974" s="47"/>
      <c r="Q974" s="46"/>
      <c r="R974" s="46"/>
      <c r="S974" s="48"/>
      <c r="T974" s="61" t="str">
        <f>IF(Tableau1[[#This Row],[DMS_SAP]]="","",HYPERLINK(Tableau1[[#This Row],[Chemin fichier source]],"X"))</f>
        <v/>
      </c>
      <c r="U974" s="61" t="str">
        <f>IF(Tableau1[[#This Row],[Date rév.]]="","",HYPERLINK(Tableau1[[#This Row],[Lien document]],"X"))</f>
        <v/>
      </c>
      <c r="V974" s="47"/>
      <c r="W974" s="49" t="str">
        <f ca="1">Chemin_accès!$B$2&amp;Tableau1[[#This Row],[Poste Responsable]]&amp;"\"&amp;Tableau1[[#This Row],[Localisation / Classement]]&amp;"\"&amp;Tableau1[[#This Row],[Poste technique]]&amp;"_"&amp;Tableau1[[#This Row],[Plan Entretien]]&amp;".pdf"</f>
        <v>\\stjn.local\trimet\Donnees_Projets\Dms Sap\Maintenance\PlanEntretien\7.MSCT\\_.pdf</v>
      </c>
      <c r="X974" s="47"/>
      <c r="Y974" s="47"/>
      <c r="Z974" s="44" t="str">
        <f ca="1">IF(AND(Tableau1[[#This Row],[Charge]]&lt;&gt;0, Tableau1[[#This Row],[Nombre intervenants]]&lt;&gt;0,Tableau1[[#This Row],[Lien document]]&lt;&gt;0,Tableau1[[#This Row],[DMS_SAP]]&lt;&gt;0)=TRUE,"MIS A JOUR","")</f>
        <v/>
      </c>
      <c r="AA974" s="48"/>
      <c r="AB974" s="58" t="str">
        <f ca="1">IF(Tableau1[[#This Row],[Date rév.]]&lt;&gt;"", DAYS360(Tableau1[[#This Row],[Date rév.]],TODAY()),"")</f>
        <v/>
      </c>
      <c r="AC974" s="47" t="str">
        <f>IFERROR(INDEX(Chemin_accès!$B$11:$C$22,MATCH(Tableau1[[#This Row],[Type]],Chemin_accès!$C$11:$C$22,0),1),Chemin_accès!$B$11)</f>
        <v>\\stjn.local\trimet\Btechnique\Commun\BT Maint SCELLEMENT\205 - Préventifs\Modèles préventif\GammeDMS_7.MSCT.xlsm</v>
      </c>
      <c r="AD974" s="47" t="str">
        <f>Chemin_accès!$B$8&amp;Tableau1[[#This Row],[Localisation / Classement]]&amp;"\"&amp;Tableau1[[#This Row],[Poste technique]]&amp;"_"&amp;Tableau1[[#This Row],[Plan Entretien]]&amp;".xlsm"</f>
        <v>\\stjn.local\trimet\Btechnique\Commun\BT Maint SCELLEMENT\205 - Préventifs\Gammes 7.MSCT PE Tool\\_.xlsm</v>
      </c>
    </row>
    <row r="975" spans="1:30" x14ac:dyDescent="0.3">
      <c r="A975" s="44" t="str">
        <f t="shared" ca="1" si="15"/>
        <v>7.MSCT</v>
      </c>
      <c r="B97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5" s="46"/>
      <c r="D975" s="44"/>
      <c r="E975" s="44"/>
      <c r="F975" s="47"/>
      <c r="G975" s="47"/>
      <c r="H975" s="50"/>
      <c r="I975" s="50"/>
      <c r="J975" s="50"/>
      <c r="K975" s="50"/>
      <c r="L975" s="46"/>
      <c r="M975" s="47"/>
      <c r="N975" s="46"/>
      <c r="O975" s="46"/>
      <c r="P975" s="47"/>
      <c r="Q975" s="46"/>
      <c r="R975" s="46"/>
      <c r="S975" s="48"/>
      <c r="T975" s="61" t="str">
        <f>IF(Tableau1[[#This Row],[DMS_SAP]]="","",HYPERLINK(Tableau1[[#This Row],[Chemin fichier source]],"X"))</f>
        <v/>
      </c>
      <c r="U975" s="61" t="str">
        <f>IF(Tableau1[[#This Row],[Date rév.]]="","",HYPERLINK(Tableau1[[#This Row],[Lien document]],"X"))</f>
        <v/>
      </c>
      <c r="V975" s="47"/>
      <c r="W975" s="49" t="str">
        <f ca="1">Chemin_accès!$B$2&amp;Tableau1[[#This Row],[Poste Responsable]]&amp;"\"&amp;Tableau1[[#This Row],[Localisation / Classement]]&amp;"\"&amp;Tableau1[[#This Row],[Poste technique]]&amp;"_"&amp;Tableau1[[#This Row],[Plan Entretien]]&amp;".pdf"</f>
        <v>\\stjn.local\trimet\Donnees_Projets\Dms Sap\Maintenance\PlanEntretien\7.MSCT\\_.pdf</v>
      </c>
      <c r="X975" s="47"/>
      <c r="Y975" s="47"/>
      <c r="Z975" s="44" t="str">
        <f ca="1">IF(AND(Tableau1[[#This Row],[Charge]]&lt;&gt;0, Tableau1[[#This Row],[Nombre intervenants]]&lt;&gt;0,Tableau1[[#This Row],[Lien document]]&lt;&gt;0,Tableau1[[#This Row],[DMS_SAP]]&lt;&gt;0)=TRUE,"MIS A JOUR","")</f>
        <v/>
      </c>
      <c r="AA975" s="48"/>
      <c r="AB975" s="58" t="str">
        <f ca="1">IF(Tableau1[[#This Row],[Date rév.]]&lt;&gt;"", DAYS360(Tableau1[[#This Row],[Date rév.]],TODAY()),"")</f>
        <v/>
      </c>
      <c r="AC975" s="47" t="str">
        <f>IFERROR(INDEX(Chemin_accès!$B$11:$C$22,MATCH(Tableau1[[#This Row],[Type]],Chemin_accès!$C$11:$C$22,0),1),Chemin_accès!$B$11)</f>
        <v>\\stjn.local\trimet\Btechnique\Commun\BT Maint SCELLEMENT\205 - Préventifs\Modèles préventif\GammeDMS_7.MSCT.xlsm</v>
      </c>
      <c r="AD975" s="47" t="str">
        <f>Chemin_accès!$B$8&amp;Tableau1[[#This Row],[Localisation / Classement]]&amp;"\"&amp;Tableau1[[#This Row],[Poste technique]]&amp;"_"&amp;Tableau1[[#This Row],[Plan Entretien]]&amp;".xlsm"</f>
        <v>\\stjn.local\trimet\Btechnique\Commun\BT Maint SCELLEMENT\205 - Préventifs\Gammes 7.MSCT PE Tool\\_.xlsm</v>
      </c>
    </row>
    <row r="976" spans="1:30" x14ac:dyDescent="0.3">
      <c r="A976" s="44" t="str">
        <f t="shared" ca="1" si="15"/>
        <v>7.MSCT</v>
      </c>
      <c r="B97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6" s="46"/>
      <c r="D976" s="44"/>
      <c r="E976" s="44"/>
      <c r="F976" s="47"/>
      <c r="G976" s="47"/>
      <c r="H976" s="50"/>
      <c r="I976" s="50"/>
      <c r="J976" s="50"/>
      <c r="K976" s="50"/>
      <c r="L976" s="46"/>
      <c r="M976" s="47"/>
      <c r="N976" s="46"/>
      <c r="O976" s="46"/>
      <c r="P976" s="47"/>
      <c r="Q976" s="46"/>
      <c r="R976" s="46"/>
      <c r="S976" s="48"/>
      <c r="T976" s="61" t="str">
        <f>IF(Tableau1[[#This Row],[DMS_SAP]]="","",HYPERLINK(Tableau1[[#This Row],[Chemin fichier source]],"X"))</f>
        <v/>
      </c>
      <c r="U976" s="61" t="str">
        <f>IF(Tableau1[[#This Row],[Date rév.]]="","",HYPERLINK(Tableau1[[#This Row],[Lien document]],"X"))</f>
        <v/>
      </c>
      <c r="V976" s="47"/>
      <c r="W976" s="49" t="str">
        <f ca="1">Chemin_accès!$B$2&amp;Tableau1[[#This Row],[Poste Responsable]]&amp;"\"&amp;Tableau1[[#This Row],[Localisation / Classement]]&amp;"\"&amp;Tableau1[[#This Row],[Poste technique]]&amp;"_"&amp;Tableau1[[#This Row],[Plan Entretien]]&amp;".pdf"</f>
        <v>\\stjn.local\trimet\Donnees_Projets\Dms Sap\Maintenance\PlanEntretien\7.MSCT\\_.pdf</v>
      </c>
      <c r="X976" s="47"/>
      <c r="Y976" s="47"/>
      <c r="Z976" s="44" t="str">
        <f ca="1">IF(AND(Tableau1[[#This Row],[Charge]]&lt;&gt;0, Tableau1[[#This Row],[Nombre intervenants]]&lt;&gt;0,Tableau1[[#This Row],[Lien document]]&lt;&gt;0,Tableau1[[#This Row],[DMS_SAP]]&lt;&gt;0)=TRUE,"MIS A JOUR","")</f>
        <v/>
      </c>
      <c r="AA976" s="48"/>
      <c r="AB976" s="58" t="str">
        <f ca="1">IF(Tableau1[[#This Row],[Date rév.]]&lt;&gt;"", DAYS360(Tableau1[[#This Row],[Date rév.]],TODAY()),"")</f>
        <v/>
      </c>
      <c r="AC976" s="47" t="str">
        <f>IFERROR(INDEX(Chemin_accès!$B$11:$C$22,MATCH(Tableau1[[#This Row],[Type]],Chemin_accès!$C$11:$C$22,0),1),Chemin_accès!$B$11)</f>
        <v>\\stjn.local\trimet\Btechnique\Commun\BT Maint SCELLEMENT\205 - Préventifs\Modèles préventif\GammeDMS_7.MSCT.xlsm</v>
      </c>
      <c r="AD976" s="47" t="str">
        <f>Chemin_accès!$B$8&amp;Tableau1[[#This Row],[Localisation / Classement]]&amp;"\"&amp;Tableau1[[#This Row],[Poste technique]]&amp;"_"&amp;Tableau1[[#This Row],[Plan Entretien]]&amp;".xlsm"</f>
        <v>\\stjn.local\trimet\Btechnique\Commun\BT Maint SCELLEMENT\205 - Préventifs\Gammes 7.MSCT PE Tool\\_.xlsm</v>
      </c>
    </row>
    <row r="977" spans="1:30" x14ac:dyDescent="0.3">
      <c r="A977" s="44" t="str">
        <f t="shared" ca="1" si="15"/>
        <v>7.MSCT</v>
      </c>
      <c r="B97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7" s="46"/>
      <c r="D977" s="44"/>
      <c r="E977" s="44"/>
      <c r="F977" s="47"/>
      <c r="G977" s="47"/>
      <c r="H977" s="50"/>
      <c r="I977" s="50"/>
      <c r="J977" s="50"/>
      <c r="K977" s="50"/>
      <c r="L977" s="46"/>
      <c r="M977" s="47"/>
      <c r="N977" s="46"/>
      <c r="O977" s="46"/>
      <c r="P977" s="47"/>
      <c r="Q977" s="46"/>
      <c r="R977" s="46"/>
      <c r="S977" s="48"/>
      <c r="T977" s="61" t="str">
        <f>IF(Tableau1[[#This Row],[DMS_SAP]]="","",HYPERLINK(Tableau1[[#This Row],[Chemin fichier source]],"X"))</f>
        <v/>
      </c>
      <c r="U977" s="61" t="str">
        <f>IF(Tableau1[[#This Row],[Date rév.]]="","",HYPERLINK(Tableau1[[#This Row],[Lien document]],"X"))</f>
        <v/>
      </c>
      <c r="V977" s="47"/>
      <c r="W977" s="49" t="str">
        <f ca="1">Chemin_accès!$B$2&amp;Tableau1[[#This Row],[Poste Responsable]]&amp;"\"&amp;Tableau1[[#This Row],[Localisation / Classement]]&amp;"\"&amp;Tableau1[[#This Row],[Poste technique]]&amp;"_"&amp;Tableau1[[#This Row],[Plan Entretien]]&amp;".pdf"</f>
        <v>\\stjn.local\trimet\Donnees_Projets\Dms Sap\Maintenance\PlanEntretien\7.MSCT\\_.pdf</v>
      </c>
      <c r="X977" s="47"/>
      <c r="Y977" s="47"/>
      <c r="Z977" s="44" t="str">
        <f ca="1">IF(AND(Tableau1[[#This Row],[Charge]]&lt;&gt;0, Tableau1[[#This Row],[Nombre intervenants]]&lt;&gt;0,Tableau1[[#This Row],[Lien document]]&lt;&gt;0,Tableau1[[#This Row],[DMS_SAP]]&lt;&gt;0)=TRUE,"MIS A JOUR","")</f>
        <v/>
      </c>
      <c r="AA977" s="48"/>
      <c r="AB977" s="58" t="str">
        <f ca="1">IF(Tableau1[[#This Row],[Date rév.]]&lt;&gt;"", DAYS360(Tableau1[[#This Row],[Date rév.]],TODAY()),"")</f>
        <v/>
      </c>
      <c r="AC977" s="47" t="str">
        <f>IFERROR(INDEX(Chemin_accès!$B$11:$C$22,MATCH(Tableau1[[#This Row],[Type]],Chemin_accès!$C$11:$C$22,0),1),Chemin_accès!$B$11)</f>
        <v>\\stjn.local\trimet\Btechnique\Commun\BT Maint SCELLEMENT\205 - Préventifs\Modèles préventif\GammeDMS_7.MSCT.xlsm</v>
      </c>
      <c r="AD977" s="47" t="str">
        <f>Chemin_accès!$B$8&amp;Tableau1[[#This Row],[Localisation / Classement]]&amp;"\"&amp;Tableau1[[#This Row],[Poste technique]]&amp;"_"&amp;Tableau1[[#This Row],[Plan Entretien]]&amp;".xlsm"</f>
        <v>\\stjn.local\trimet\Btechnique\Commun\BT Maint SCELLEMENT\205 - Préventifs\Gammes 7.MSCT PE Tool\\_.xlsm</v>
      </c>
    </row>
    <row r="978" spans="1:30" x14ac:dyDescent="0.3">
      <c r="A978" s="44" t="str">
        <f t="shared" ca="1" si="15"/>
        <v>7.MSCT</v>
      </c>
      <c r="B97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8" s="46"/>
      <c r="D978" s="44"/>
      <c r="E978" s="44"/>
      <c r="F978" s="47"/>
      <c r="G978" s="47"/>
      <c r="H978" s="50"/>
      <c r="I978" s="50"/>
      <c r="J978" s="50"/>
      <c r="K978" s="50"/>
      <c r="L978" s="46"/>
      <c r="M978" s="47"/>
      <c r="N978" s="46"/>
      <c r="O978" s="46"/>
      <c r="P978" s="47"/>
      <c r="Q978" s="46"/>
      <c r="R978" s="46"/>
      <c r="S978" s="48"/>
      <c r="T978" s="61" t="str">
        <f>IF(Tableau1[[#This Row],[DMS_SAP]]="","",HYPERLINK(Tableau1[[#This Row],[Chemin fichier source]],"X"))</f>
        <v/>
      </c>
      <c r="U978" s="61" t="str">
        <f>IF(Tableau1[[#This Row],[Date rév.]]="","",HYPERLINK(Tableau1[[#This Row],[Lien document]],"X"))</f>
        <v/>
      </c>
      <c r="V978" s="47"/>
      <c r="W978" s="49" t="str">
        <f ca="1">Chemin_accès!$B$2&amp;Tableau1[[#This Row],[Poste Responsable]]&amp;"\"&amp;Tableau1[[#This Row],[Localisation / Classement]]&amp;"\"&amp;Tableau1[[#This Row],[Poste technique]]&amp;"_"&amp;Tableau1[[#This Row],[Plan Entretien]]&amp;".pdf"</f>
        <v>\\stjn.local\trimet\Donnees_Projets\Dms Sap\Maintenance\PlanEntretien\7.MSCT\\_.pdf</v>
      </c>
      <c r="X978" s="47"/>
      <c r="Y978" s="47"/>
      <c r="Z978" s="44" t="str">
        <f ca="1">IF(AND(Tableau1[[#This Row],[Charge]]&lt;&gt;0, Tableau1[[#This Row],[Nombre intervenants]]&lt;&gt;0,Tableau1[[#This Row],[Lien document]]&lt;&gt;0,Tableau1[[#This Row],[DMS_SAP]]&lt;&gt;0)=TRUE,"MIS A JOUR","")</f>
        <v/>
      </c>
      <c r="AA978" s="48"/>
      <c r="AB978" s="58" t="str">
        <f ca="1">IF(Tableau1[[#This Row],[Date rév.]]&lt;&gt;"", DAYS360(Tableau1[[#This Row],[Date rév.]],TODAY()),"")</f>
        <v/>
      </c>
      <c r="AC978" s="47" t="str">
        <f>IFERROR(INDEX(Chemin_accès!$B$11:$C$22,MATCH(Tableau1[[#This Row],[Type]],Chemin_accès!$C$11:$C$22,0),1),Chemin_accès!$B$11)</f>
        <v>\\stjn.local\trimet\Btechnique\Commun\BT Maint SCELLEMENT\205 - Préventifs\Modèles préventif\GammeDMS_7.MSCT.xlsm</v>
      </c>
      <c r="AD978" s="47" t="str">
        <f>Chemin_accès!$B$8&amp;Tableau1[[#This Row],[Localisation / Classement]]&amp;"\"&amp;Tableau1[[#This Row],[Poste technique]]&amp;"_"&amp;Tableau1[[#This Row],[Plan Entretien]]&amp;".xlsm"</f>
        <v>\\stjn.local\trimet\Btechnique\Commun\BT Maint SCELLEMENT\205 - Préventifs\Gammes 7.MSCT PE Tool\\_.xlsm</v>
      </c>
    </row>
    <row r="979" spans="1:30" x14ac:dyDescent="0.3">
      <c r="A979" s="44" t="str">
        <f t="shared" ca="1" si="15"/>
        <v>7.MSCT</v>
      </c>
      <c r="B97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9" s="46"/>
      <c r="D979" s="44"/>
      <c r="E979" s="44"/>
      <c r="F979" s="47"/>
      <c r="G979" s="47"/>
      <c r="H979" s="50"/>
      <c r="I979" s="50"/>
      <c r="J979" s="50"/>
      <c r="K979" s="50"/>
      <c r="L979" s="46"/>
      <c r="M979" s="47"/>
      <c r="N979" s="46"/>
      <c r="O979" s="46"/>
      <c r="P979" s="47"/>
      <c r="Q979" s="46"/>
      <c r="R979" s="46"/>
      <c r="S979" s="48"/>
      <c r="T979" s="61" t="str">
        <f>IF(Tableau1[[#This Row],[DMS_SAP]]="","",HYPERLINK(Tableau1[[#This Row],[Chemin fichier source]],"X"))</f>
        <v/>
      </c>
      <c r="U979" s="61" t="str">
        <f>IF(Tableau1[[#This Row],[Date rév.]]="","",HYPERLINK(Tableau1[[#This Row],[Lien document]],"X"))</f>
        <v/>
      </c>
      <c r="V979" s="47"/>
      <c r="W979" s="49" t="str">
        <f ca="1">Chemin_accès!$B$2&amp;Tableau1[[#This Row],[Poste Responsable]]&amp;"\"&amp;Tableau1[[#This Row],[Localisation / Classement]]&amp;"\"&amp;Tableau1[[#This Row],[Poste technique]]&amp;"_"&amp;Tableau1[[#This Row],[Plan Entretien]]&amp;".pdf"</f>
        <v>\\stjn.local\trimet\Donnees_Projets\Dms Sap\Maintenance\PlanEntretien\7.MSCT\\_.pdf</v>
      </c>
      <c r="X979" s="47"/>
      <c r="Y979" s="47"/>
      <c r="Z979" s="44" t="str">
        <f ca="1">IF(AND(Tableau1[[#This Row],[Charge]]&lt;&gt;0, Tableau1[[#This Row],[Nombre intervenants]]&lt;&gt;0,Tableau1[[#This Row],[Lien document]]&lt;&gt;0,Tableau1[[#This Row],[DMS_SAP]]&lt;&gt;0)=TRUE,"MIS A JOUR","")</f>
        <v/>
      </c>
      <c r="AA979" s="48"/>
      <c r="AB979" s="58" t="str">
        <f ca="1">IF(Tableau1[[#This Row],[Date rév.]]&lt;&gt;"", DAYS360(Tableau1[[#This Row],[Date rév.]],TODAY()),"")</f>
        <v/>
      </c>
      <c r="AC979" s="47" t="str">
        <f>IFERROR(INDEX(Chemin_accès!$B$11:$C$22,MATCH(Tableau1[[#This Row],[Type]],Chemin_accès!$C$11:$C$22,0),1),Chemin_accès!$B$11)</f>
        <v>\\stjn.local\trimet\Btechnique\Commun\BT Maint SCELLEMENT\205 - Préventifs\Modèles préventif\GammeDMS_7.MSCT.xlsm</v>
      </c>
      <c r="AD979" s="47" t="str">
        <f>Chemin_accès!$B$8&amp;Tableau1[[#This Row],[Localisation / Classement]]&amp;"\"&amp;Tableau1[[#This Row],[Poste technique]]&amp;"_"&amp;Tableau1[[#This Row],[Plan Entretien]]&amp;".xlsm"</f>
        <v>\\stjn.local\trimet\Btechnique\Commun\BT Maint SCELLEMENT\205 - Préventifs\Gammes 7.MSCT PE Tool\\_.xlsm</v>
      </c>
    </row>
    <row r="980" spans="1:30" x14ac:dyDescent="0.3">
      <c r="A980" s="44" t="str">
        <f t="shared" ca="1" si="15"/>
        <v>7.MSCT</v>
      </c>
      <c r="B98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0" s="46"/>
      <c r="D980" s="44"/>
      <c r="E980" s="44"/>
      <c r="F980" s="47"/>
      <c r="G980" s="47"/>
      <c r="H980" s="50"/>
      <c r="I980" s="50"/>
      <c r="J980" s="50"/>
      <c r="K980" s="50"/>
      <c r="L980" s="46"/>
      <c r="M980" s="47"/>
      <c r="N980" s="46"/>
      <c r="O980" s="46"/>
      <c r="P980" s="47"/>
      <c r="Q980" s="46"/>
      <c r="R980" s="46"/>
      <c r="S980" s="48"/>
      <c r="T980" s="61" t="str">
        <f>IF(Tableau1[[#This Row],[DMS_SAP]]="","",HYPERLINK(Tableau1[[#This Row],[Chemin fichier source]],"X"))</f>
        <v/>
      </c>
      <c r="U980" s="61" t="str">
        <f>IF(Tableau1[[#This Row],[Date rév.]]="","",HYPERLINK(Tableau1[[#This Row],[Lien document]],"X"))</f>
        <v/>
      </c>
      <c r="V980" s="47"/>
      <c r="W980" s="49" t="str">
        <f ca="1">Chemin_accès!$B$2&amp;Tableau1[[#This Row],[Poste Responsable]]&amp;"\"&amp;Tableau1[[#This Row],[Localisation / Classement]]&amp;"\"&amp;Tableau1[[#This Row],[Poste technique]]&amp;"_"&amp;Tableau1[[#This Row],[Plan Entretien]]&amp;".pdf"</f>
        <v>\\stjn.local\trimet\Donnees_Projets\Dms Sap\Maintenance\PlanEntretien\7.MSCT\\_.pdf</v>
      </c>
      <c r="X980" s="47"/>
      <c r="Y980" s="47"/>
      <c r="Z980" s="44" t="str">
        <f ca="1">IF(AND(Tableau1[[#This Row],[Charge]]&lt;&gt;0, Tableau1[[#This Row],[Nombre intervenants]]&lt;&gt;0,Tableau1[[#This Row],[Lien document]]&lt;&gt;0,Tableau1[[#This Row],[DMS_SAP]]&lt;&gt;0)=TRUE,"MIS A JOUR","")</f>
        <v/>
      </c>
      <c r="AA980" s="48"/>
      <c r="AB980" s="58" t="str">
        <f ca="1">IF(Tableau1[[#This Row],[Date rév.]]&lt;&gt;"", DAYS360(Tableau1[[#This Row],[Date rév.]],TODAY()),"")</f>
        <v/>
      </c>
      <c r="AC980" s="47" t="str">
        <f>IFERROR(INDEX(Chemin_accès!$B$11:$C$22,MATCH(Tableau1[[#This Row],[Type]],Chemin_accès!$C$11:$C$22,0),1),Chemin_accès!$B$11)</f>
        <v>\\stjn.local\trimet\Btechnique\Commun\BT Maint SCELLEMENT\205 - Préventifs\Modèles préventif\GammeDMS_7.MSCT.xlsm</v>
      </c>
      <c r="AD980" s="47" t="str">
        <f>Chemin_accès!$B$8&amp;Tableau1[[#This Row],[Localisation / Classement]]&amp;"\"&amp;Tableau1[[#This Row],[Poste technique]]&amp;"_"&amp;Tableau1[[#This Row],[Plan Entretien]]&amp;".xlsm"</f>
        <v>\\stjn.local\trimet\Btechnique\Commun\BT Maint SCELLEMENT\205 - Préventifs\Gammes 7.MSCT PE Tool\\_.xlsm</v>
      </c>
    </row>
    <row r="981" spans="1:30" x14ac:dyDescent="0.3">
      <c r="A981" s="44" t="str">
        <f t="shared" ca="1" si="15"/>
        <v>7.MSCT</v>
      </c>
      <c r="B98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1" s="46"/>
      <c r="D981" s="44"/>
      <c r="E981" s="44"/>
      <c r="F981" s="47"/>
      <c r="G981" s="47"/>
      <c r="H981" s="50"/>
      <c r="I981" s="50"/>
      <c r="J981" s="50"/>
      <c r="K981" s="50"/>
      <c r="L981" s="46"/>
      <c r="M981" s="47"/>
      <c r="N981" s="46"/>
      <c r="O981" s="46"/>
      <c r="P981" s="47"/>
      <c r="Q981" s="46"/>
      <c r="R981" s="46"/>
      <c r="S981" s="48"/>
      <c r="T981" s="61" t="str">
        <f>IF(Tableau1[[#This Row],[DMS_SAP]]="","",HYPERLINK(Tableau1[[#This Row],[Chemin fichier source]],"X"))</f>
        <v/>
      </c>
      <c r="U981" s="61" t="str">
        <f>IF(Tableau1[[#This Row],[Date rév.]]="","",HYPERLINK(Tableau1[[#This Row],[Lien document]],"X"))</f>
        <v/>
      </c>
      <c r="V981" s="47"/>
      <c r="W981" s="49" t="str">
        <f ca="1">Chemin_accès!$B$2&amp;Tableau1[[#This Row],[Poste Responsable]]&amp;"\"&amp;Tableau1[[#This Row],[Localisation / Classement]]&amp;"\"&amp;Tableau1[[#This Row],[Poste technique]]&amp;"_"&amp;Tableau1[[#This Row],[Plan Entretien]]&amp;".pdf"</f>
        <v>\\stjn.local\trimet\Donnees_Projets\Dms Sap\Maintenance\PlanEntretien\7.MSCT\\_.pdf</v>
      </c>
      <c r="X981" s="47"/>
      <c r="Y981" s="47"/>
      <c r="Z981" s="44" t="str">
        <f ca="1">IF(AND(Tableau1[[#This Row],[Charge]]&lt;&gt;0, Tableau1[[#This Row],[Nombre intervenants]]&lt;&gt;0,Tableau1[[#This Row],[Lien document]]&lt;&gt;0,Tableau1[[#This Row],[DMS_SAP]]&lt;&gt;0)=TRUE,"MIS A JOUR","")</f>
        <v/>
      </c>
      <c r="AA981" s="48"/>
      <c r="AB981" s="58" t="str">
        <f ca="1">IF(Tableau1[[#This Row],[Date rév.]]&lt;&gt;"", DAYS360(Tableau1[[#This Row],[Date rév.]],TODAY()),"")</f>
        <v/>
      </c>
      <c r="AC981" s="47" t="str">
        <f>IFERROR(INDEX(Chemin_accès!$B$11:$C$22,MATCH(Tableau1[[#This Row],[Type]],Chemin_accès!$C$11:$C$22,0),1),Chemin_accès!$B$11)</f>
        <v>\\stjn.local\trimet\Btechnique\Commun\BT Maint SCELLEMENT\205 - Préventifs\Modèles préventif\GammeDMS_7.MSCT.xlsm</v>
      </c>
      <c r="AD981" s="47" t="str">
        <f>Chemin_accès!$B$8&amp;Tableau1[[#This Row],[Localisation / Classement]]&amp;"\"&amp;Tableau1[[#This Row],[Poste technique]]&amp;"_"&amp;Tableau1[[#This Row],[Plan Entretien]]&amp;".xlsm"</f>
        <v>\\stjn.local\trimet\Btechnique\Commun\BT Maint SCELLEMENT\205 - Préventifs\Gammes 7.MSCT PE Tool\\_.xlsm</v>
      </c>
    </row>
    <row r="982" spans="1:30" x14ac:dyDescent="0.3">
      <c r="A982" s="44" t="str">
        <f t="shared" ca="1" si="15"/>
        <v>7.MSCT</v>
      </c>
      <c r="B98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2" s="46"/>
      <c r="D982" s="44"/>
      <c r="E982" s="44"/>
      <c r="F982" s="47"/>
      <c r="G982" s="47"/>
      <c r="H982" s="50"/>
      <c r="I982" s="50"/>
      <c r="J982" s="50"/>
      <c r="K982" s="50"/>
      <c r="L982" s="46"/>
      <c r="M982" s="47"/>
      <c r="N982" s="46"/>
      <c r="O982" s="46"/>
      <c r="P982" s="47"/>
      <c r="Q982" s="46"/>
      <c r="R982" s="46"/>
      <c r="S982" s="48"/>
      <c r="T982" s="61" t="str">
        <f>IF(Tableau1[[#This Row],[DMS_SAP]]="","",HYPERLINK(Tableau1[[#This Row],[Chemin fichier source]],"X"))</f>
        <v/>
      </c>
      <c r="U982" s="61" t="str">
        <f>IF(Tableau1[[#This Row],[Date rév.]]="","",HYPERLINK(Tableau1[[#This Row],[Lien document]],"X"))</f>
        <v/>
      </c>
      <c r="V982" s="47"/>
      <c r="W982" s="49" t="str">
        <f ca="1">Chemin_accès!$B$2&amp;Tableau1[[#This Row],[Poste Responsable]]&amp;"\"&amp;Tableau1[[#This Row],[Localisation / Classement]]&amp;"\"&amp;Tableau1[[#This Row],[Poste technique]]&amp;"_"&amp;Tableau1[[#This Row],[Plan Entretien]]&amp;".pdf"</f>
        <v>\\stjn.local\trimet\Donnees_Projets\Dms Sap\Maintenance\PlanEntretien\7.MSCT\\_.pdf</v>
      </c>
      <c r="X982" s="47"/>
      <c r="Y982" s="47"/>
      <c r="Z982" s="44" t="str">
        <f ca="1">IF(AND(Tableau1[[#This Row],[Charge]]&lt;&gt;0, Tableau1[[#This Row],[Nombre intervenants]]&lt;&gt;0,Tableau1[[#This Row],[Lien document]]&lt;&gt;0,Tableau1[[#This Row],[DMS_SAP]]&lt;&gt;0)=TRUE,"MIS A JOUR","")</f>
        <v/>
      </c>
      <c r="AA982" s="48"/>
      <c r="AB982" s="58" t="str">
        <f ca="1">IF(Tableau1[[#This Row],[Date rév.]]&lt;&gt;"", DAYS360(Tableau1[[#This Row],[Date rév.]],TODAY()),"")</f>
        <v/>
      </c>
      <c r="AC982" s="47" t="str">
        <f>IFERROR(INDEX(Chemin_accès!$B$11:$C$22,MATCH(Tableau1[[#This Row],[Type]],Chemin_accès!$C$11:$C$22,0),1),Chemin_accès!$B$11)</f>
        <v>\\stjn.local\trimet\Btechnique\Commun\BT Maint SCELLEMENT\205 - Préventifs\Modèles préventif\GammeDMS_7.MSCT.xlsm</v>
      </c>
      <c r="AD982" s="47" t="str">
        <f>Chemin_accès!$B$8&amp;Tableau1[[#This Row],[Localisation / Classement]]&amp;"\"&amp;Tableau1[[#This Row],[Poste technique]]&amp;"_"&amp;Tableau1[[#This Row],[Plan Entretien]]&amp;".xlsm"</f>
        <v>\\stjn.local\trimet\Btechnique\Commun\BT Maint SCELLEMENT\205 - Préventifs\Gammes 7.MSCT PE Tool\\_.xlsm</v>
      </c>
    </row>
    <row r="983" spans="1:30" x14ac:dyDescent="0.3">
      <c r="A983" s="44" t="str">
        <f t="shared" ca="1" si="15"/>
        <v>7.MSCT</v>
      </c>
      <c r="B98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3" s="46"/>
      <c r="D983" s="44"/>
      <c r="E983" s="44"/>
      <c r="F983" s="47"/>
      <c r="G983" s="47"/>
      <c r="H983" s="50"/>
      <c r="I983" s="50"/>
      <c r="J983" s="50"/>
      <c r="K983" s="50"/>
      <c r="L983" s="46"/>
      <c r="M983" s="47"/>
      <c r="N983" s="46"/>
      <c r="O983" s="46"/>
      <c r="P983" s="47"/>
      <c r="Q983" s="46"/>
      <c r="R983" s="46"/>
      <c r="S983" s="48"/>
      <c r="T983" s="61" t="str">
        <f>IF(Tableau1[[#This Row],[DMS_SAP]]="","",HYPERLINK(Tableau1[[#This Row],[Chemin fichier source]],"X"))</f>
        <v/>
      </c>
      <c r="U983" s="61" t="str">
        <f>IF(Tableau1[[#This Row],[Date rév.]]="","",HYPERLINK(Tableau1[[#This Row],[Lien document]],"X"))</f>
        <v/>
      </c>
      <c r="V983" s="47"/>
      <c r="W983" s="49" t="str">
        <f ca="1">Chemin_accès!$B$2&amp;Tableau1[[#This Row],[Poste Responsable]]&amp;"\"&amp;Tableau1[[#This Row],[Localisation / Classement]]&amp;"\"&amp;Tableau1[[#This Row],[Poste technique]]&amp;"_"&amp;Tableau1[[#This Row],[Plan Entretien]]&amp;".pdf"</f>
        <v>\\stjn.local\trimet\Donnees_Projets\Dms Sap\Maintenance\PlanEntretien\7.MSCT\\_.pdf</v>
      </c>
      <c r="X983" s="47"/>
      <c r="Y983" s="47"/>
      <c r="Z983" s="44" t="str">
        <f ca="1">IF(AND(Tableau1[[#This Row],[Charge]]&lt;&gt;0, Tableau1[[#This Row],[Nombre intervenants]]&lt;&gt;0,Tableau1[[#This Row],[Lien document]]&lt;&gt;0,Tableau1[[#This Row],[DMS_SAP]]&lt;&gt;0)=TRUE,"MIS A JOUR","")</f>
        <v/>
      </c>
      <c r="AA983" s="48"/>
      <c r="AB983" s="58" t="str">
        <f ca="1">IF(Tableau1[[#This Row],[Date rév.]]&lt;&gt;"", DAYS360(Tableau1[[#This Row],[Date rév.]],TODAY()),"")</f>
        <v/>
      </c>
      <c r="AC983" s="47" t="str">
        <f>IFERROR(INDEX(Chemin_accès!$B$11:$C$22,MATCH(Tableau1[[#This Row],[Type]],Chemin_accès!$C$11:$C$22,0),1),Chemin_accès!$B$11)</f>
        <v>\\stjn.local\trimet\Btechnique\Commun\BT Maint SCELLEMENT\205 - Préventifs\Modèles préventif\GammeDMS_7.MSCT.xlsm</v>
      </c>
      <c r="AD983" s="47" t="str">
        <f>Chemin_accès!$B$8&amp;Tableau1[[#This Row],[Localisation / Classement]]&amp;"\"&amp;Tableau1[[#This Row],[Poste technique]]&amp;"_"&amp;Tableau1[[#This Row],[Plan Entretien]]&amp;".xlsm"</f>
        <v>\\stjn.local\trimet\Btechnique\Commun\BT Maint SCELLEMENT\205 - Préventifs\Gammes 7.MSCT PE Tool\\_.xlsm</v>
      </c>
    </row>
    <row r="984" spans="1:30" x14ac:dyDescent="0.3">
      <c r="A984" s="44" t="str">
        <f t="shared" ca="1" si="15"/>
        <v>7.MSCT</v>
      </c>
      <c r="B98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4" s="46"/>
      <c r="D984" s="44"/>
      <c r="E984" s="44"/>
      <c r="F984" s="47"/>
      <c r="G984" s="47"/>
      <c r="H984" s="50"/>
      <c r="I984" s="50"/>
      <c r="J984" s="50"/>
      <c r="K984" s="50"/>
      <c r="L984" s="46"/>
      <c r="M984" s="47"/>
      <c r="N984" s="46"/>
      <c r="O984" s="46"/>
      <c r="P984" s="47"/>
      <c r="Q984" s="46"/>
      <c r="R984" s="46"/>
      <c r="S984" s="48"/>
      <c r="T984" s="61" t="str">
        <f>IF(Tableau1[[#This Row],[DMS_SAP]]="","",HYPERLINK(Tableau1[[#This Row],[Chemin fichier source]],"X"))</f>
        <v/>
      </c>
      <c r="U984" s="61" t="str">
        <f>IF(Tableau1[[#This Row],[Date rév.]]="","",HYPERLINK(Tableau1[[#This Row],[Lien document]],"X"))</f>
        <v/>
      </c>
      <c r="V984" s="47"/>
      <c r="W984" s="49" t="str">
        <f ca="1">Chemin_accès!$B$2&amp;Tableau1[[#This Row],[Poste Responsable]]&amp;"\"&amp;Tableau1[[#This Row],[Localisation / Classement]]&amp;"\"&amp;Tableau1[[#This Row],[Poste technique]]&amp;"_"&amp;Tableau1[[#This Row],[Plan Entretien]]&amp;".pdf"</f>
        <v>\\stjn.local\trimet\Donnees_Projets\Dms Sap\Maintenance\PlanEntretien\7.MSCT\\_.pdf</v>
      </c>
      <c r="X984" s="47"/>
      <c r="Y984" s="47"/>
      <c r="Z984" s="44" t="str">
        <f ca="1">IF(AND(Tableau1[[#This Row],[Charge]]&lt;&gt;0, Tableau1[[#This Row],[Nombre intervenants]]&lt;&gt;0,Tableau1[[#This Row],[Lien document]]&lt;&gt;0,Tableau1[[#This Row],[DMS_SAP]]&lt;&gt;0)=TRUE,"MIS A JOUR","")</f>
        <v/>
      </c>
      <c r="AA984" s="48"/>
      <c r="AB984" s="58" t="str">
        <f ca="1">IF(Tableau1[[#This Row],[Date rév.]]&lt;&gt;"", DAYS360(Tableau1[[#This Row],[Date rév.]],TODAY()),"")</f>
        <v/>
      </c>
      <c r="AC984" s="47" t="str">
        <f>IFERROR(INDEX(Chemin_accès!$B$11:$C$22,MATCH(Tableau1[[#This Row],[Type]],Chemin_accès!$C$11:$C$22,0),1),Chemin_accès!$B$11)</f>
        <v>\\stjn.local\trimet\Btechnique\Commun\BT Maint SCELLEMENT\205 - Préventifs\Modèles préventif\GammeDMS_7.MSCT.xlsm</v>
      </c>
      <c r="AD984" s="47" t="str">
        <f>Chemin_accès!$B$8&amp;Tableau1[[#This Row],[Localisation / Classement]]&amp;"\"&amp;Tableau1[[#This Row],[Poste technique]]&amp;"_"&amp;Tableau1[[#This Row],[Plan Entretien]]&amp;".xlsm"</f>
        <v>\\stjn.local\trimet\Btechnique\Commun\BT Maint SCELLEMENT\205 - Préventifs\Gammes 7.MSCT PE Tool\\_.xlsm</v>
      </c>
    </row>
    <row r="985" spans="1:30" x14ac:dyDescent="0.3">
      <c r="A985" s="44" t="str">
        <f t="shared" ca="1" si="15"/>
        <v>7.MSCT</v>
      </c>
      <c r="B98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5" s="46"/>
      <c r="D985" s="44"/>
      <c r="E985" s="44"/>
      <c r="F985" s="47"/>
      <c r="G985" s="47"/>
      <c r="H985" s="50"/>
      <c r="I985" s="50"/>
      <c r="J985" s="50"/>
      <c r="K985" s="50"/>
      <c r="L985" s="46"/>
      <c r="M985" s="47"/>
      <c r="N985" s="46"/>
      <c r="O985" s="46"/>
      <c r="P985" s="47"/>
      <c r="Q985" s="46"/>
      <c r="R985" s="46"/>
      <c r="S985" s="48"/>
      <c r="T985" s="61" t="str">
        <f>IF(Tableau1[[#This Row],[DMS_SAP]]="","",HYPERLINK(Tableau1[[#This Row],[Chemin fichier source]],"X"))</f>
        <v/>
      </c>
      <c r="U985" s="61" t="str">
        <f>IF(Tableau1[[#This Row],[Date rév.]]="","",HYPERLINK(Tableau1[[#This Row],[Lien document]],"X"))</f>
        <v/>
      </c>
      <c r="V985" s="47"/>
      <c r="W985" s="49" t="str">
        <f ca="1">Chemin_accès!$B$2&amp;Tableau1[[#This Row],[Poste Responsable]]&amp;"\"&amp;Tableau1[[#This Row],[Localisation / Classement]]&amp;"\"&amp;Tableau1[[#This Row],[Poste technique]]&amp;"_"&amp;Tableau1[[#This Row],[Plan Entretien]]&amp;".pdf"</f>
        <v>\\stjn.local\trimet\Donnees_Projets\Dms Sap\Maintenance\PlanEntretien\7.MSCT\\_.pdf</v>
      </c>
      <c r="X985" s="47"/>
      <c r="Y985" s="47"/>
      <c r="Z985" s="44" t="str">
        <f ca="1">IF(AND(Tableau1[[#This Row],[Charge]]&lt;&gt;0, Tableau1[[#This Row],[Nombre intervenants]]&lt;&gt;0,Tableau1[[#This Row],[Lien document]]&lt;&gt;0,Tableau1[[#This Row],[DMS_SAP]]&lt;&gt;0)=TRUE,"MIS A JOUR","")</f>
        <v/>
      </c>
      <c r="AA985" s="48"/>
      <c r="AB985" s="58" t="str">
        <f ca="1">IF(Tableau1[[#This Row],[Date rév.]]&lt;&gt;"", DAYS360(Tableau1[[#This Row],[Date rév.]],TODAY()),"")</f>
        <v/>
      </c>
      <c r="AC985" s="47" t="str">
        <f>IFERROR(INDEX(Chemin_accès!$B$11:$C$22,MATCH(Tableau1[[#This Row],[Type]],Chemin_accès!$C$11:$C$22,0),1),Chemin_accès!$B$11)</f>
        <v>\\stjn.local\trimet\Btechnique\Commun\BT Maint SCELLEMENT\205 - Préventifs\Modèles préventif\GammeDMS_7.MSCT.xlsm</v>
      </c>
      <c r="AD985" s="47" t="str">
        <f>Chemin_accès!$B$8&amp;Tableau1[[#This Row],[Localisation / Classement]]&amp;"\"&amp;Tableau1[[#This Row],[Poste technique]]&amp;"_"&amp;Tableau1[[#This Row],[Plan Entretien]]&amp;".xlsm"</f>
        <v>\\stjn.local\trimet\Btechnique\Commun\BT Maint SCELLEMENT\205 - Préventifs\Gammes 7.MSCT PE Tool\\_.xlsm</v>
      </c>
    </row>
    <row r="986" spans="1:30" x14ac:dyDescent="0.3">
      <c r="A986" s="44" t="str">
        <f t="shared" ca="1" si="15"/>
        <v>7.MSCT</v>
      </c>
      <c r="B98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6" s="46"/>
      <c r="D986" s="44"/>
      <c r="E986" s="44"/>
      <c r="F986" s="47"/>
      <c r="G986" s="47"/>
      <c r="H986" s="50"/>
      <c r="I986" s="50"/>
      <c r="J986" s="50"/>
      <c r="K986" s="50"/>
      <c r="L986" s="46"/>
      <c r="M986" s="47"/>
      <c r="N986" s="46"/>
      <c r="O986" s="46"/>
      <c r="P986" s="47"/>
      <c r="Q986" s="46"/>
      <c r="R986" s="46"/>
      <c r="S986" s="48"/>
      <c r="T986" s="61" t="str">
        <f>IF(Tableau1[[#This Row],[DMS_SAP]]="","",HYPERLINK(Tableau1[[#This Row],[Chemin fichier source]],"X"))</f>
        <v/>
      </c>
      <c r="U986" s="61" t="str">
        <f>IF(Tableau1[[#This Row],[Date rév.]]="","",HYPERLINK(Tableau1[[#This Row],[Lien document]],"X"))</f>
        <v/>
      </c>
      <c r="V986" s="47"/>
      <c r="W986" s="49" t="str">
        <f ca="1">Chemin_accès!$B$2&amp;Tableau1[[#This Row],[Poste Responsable]]&amp;"\"&amp;Tableau1[[#This Row],[Localisation / Classement]]&amp;"\"&amp;Tableau1[[#This Row],[Poste technique]]&amp;"_"&amp;Tableau1[[#This Row],[Plan Entretien]]&amp;".pdf"</f>
        <v>\\stjn.local\trimet\Donnees_Projets\Dms Sap\Maintenance\PlanEntretien\7.MSCT\\_.pdf</v>
      </c>
      <c r="X986" s="47"/>
      <c r="Y986" s="47"/>
      <c r="Z986" s="44" t="str">
        <f ca="1">IF(AND(Tableau1[[#This Row],[Charge]]&lt;&gt;0, Tableau1[[#This Row],[Nombre intervenants]]&lt;&gt;0,Tableau1[[#This Row],[Lien document]]&lt;&gt;0,Tableau1[[#This Row],[DMS_SAP]]&lt;&gt;0)=TRUE,"MIS A JOUR","")</f>
        <v/>
      </c>
      <c r="AA986" s="48"/>
      <c r="AB986" s="58" t="str">
        <f ca="1">IF(Tableau1[[#This Row],[Date rév.]]&lt;&gt;"", DAYS360(Tableau1[[#This Row],[Date rév.]],TODAY()),"")</f>
        <v/>
      </c>
      <c r="AC986" s="47" t="str">
        <f>IFERROR(INDEX(Chemin_accès!$B$11:$C$22,MATCH(Tableau1[[#This Row],[Type]],Chemin_accès!$C$11:$C$22,0),1),Chemin_accès!$B$11)</f>
        <v>\\stjn.local\trimet\Btechnique\Commun\BT Maint SCELLEMENT\205 - Préventifs\Modèles préventif\GammeDMS_7.MSCT.xlsm</v>
      </c>
      <c r="AD986" s="47" t="str">
        <f>Chemin_accès!$B$8&amp;Tableau1[[#This Row],[Localisation / Classement]]&amp;"\"&amp;Tableau1[[#This Row],[Poste technique]]&amp;"_"&amp;Tableau1[[#This Row],[Plan Entretien]]&amp;".xlsm"</f>
        <v>\\stjn.local\trimet\Btechnique\Commun\BT Maint SCELLEMENT\205 - Préventifs\Gammes 7.MSCT PE Tool\\_.xlsm</v>
      </c>
    </row>
    <row r="987" spans="1:30" x14ac:dyDescent="0.3">
      <c r="A987" s="44" t="str">
        <f t="shared" ca="1" si="15"/>
        <v>7.MSCT</v>
      </c>
      <c r="B98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7" s="46"/>
      <c r="D987" s="44"/>
      <c r="E987" s="44"/>
      <c r="F987" s="47"/>
      <c r="G987" s="47"/>
      <c r="H987" s="50"/>
      <c r="I987" s="50"/>
      <c r="J987" s="50"/>
      <c r="K987" s="50"/>
      <c r="L987" s="46"/>
      <c r="M987" s="47"/>
      <c r="N987" s="46"/>
      <c r="O987" s="46"/>
      <c r="P987" s="47"/>
      <c r="Q987" s="46"/>
      <c r="R987" s="46"/>
      <c r="S987" s="48"/>
      <c r="T987" s="61" t="str">
        <f>IF(Tableau1[[#This Row],[DMS_SAP]]="","",HYPERLINK(Tableau1[[#This Row],[Chemin fichier source]],"X"))</f>
        <v/>
      </c>
      <c r="U987" s="61" t="str">
        <f>IF(Tableau1[[#This Row],[Date rév.]]="","",HYPERLINK(Tableau1[[#This Row],[Lien document]],"X"))</f>
        <v/>
      </c>
      <c r="V987" s="47"/>
      <c r="W987" s="49" t="str">
        <f ca="1">Chemin_accès!$B$2&amp;Tableau1[[#This Row],[Poste Responsable]]&amp;"\"&amp;Tableau1[[#This Row],[Localisation / Classement]]&amp;"\"&amp;Tableau1[[#This Row],[Poste technique]]&amp;"_"&amp;Tableau1[[#This Row],[Plan Entretien]]&amp;".pdf"</f>
        <v>\\stjn.local\trimet\Donnees_Projets\Dms Sap\Maintenance\PlanEntretien\7.MSCT\\_.pdf</v>
      </c>
      <c r="X987" s="47"/>
      <c r="Y987" s="47"/>
      <c r="Z987" s="44" t="str">
        <f ca="1">IF(AND(Tableau1[[#This Row],[Charge]]&lt;&gt;0, Tableau1[[#This Row],[Nombre intervenants]]&lt;&gt;0,Tableau1[[#This Row],[Lien document]]&lt;&gt;0,Tableau1[[#This Row],[DMS_SAP]]&lt;&gt;0)=TRUE,"MIS A JOUR","")</f>
        <v/>
      </c>
      <c r="AA987" s="48"/>
      <c r="AB987" s="58" t="str">
        <f ca="1">IF(Tableau1[[#This Row],[Date rév.]]&lt;&gt;"", DAYS360(Tableau1[[#This Row],[Date rév.]],TODAY()),"")</f>
        <v/>
      </c>
      <c r="AC987" s="47" t="str">
        <f>IFERROR(INDEX(Chemin_accès!$B$11:$C$22,MATCH(Tableau1[[#This Row],[Type]],Chemin_accès!$C$11:$C$22,0),1),Chemin_accès!$B$11)</f>
        <v>\\stjn.local\trimet\Btechnique\Commun\BT Maint SCELLEMENT\205 - Préventifs\Modèles préventif\GammeDMS_7.MSCT.xlsm</v>
      </c>
      <c r="AD987" s="47" t="str">
        <f>Chemin_accès!$B$8&amp;Tableau1[[#This Row],[Localisation / Classement]]&amp;"\"&amp;Tableau1[[#This Row],[Poste technique]]&amp;"_"&amp;Tableau1[[#This Row],[Plan Entretien]]&amp;".xlsm"</f>
        <v>\\stjn.local\trimet\Btechnique\Commun\BT Maint SCELLEMENT\205 - Préventifs\Gammes 7.MSCT PE Tool\\_.xlsm</v>
      </c>
    </row>
    <row r="988" spans="1:30" x14ac:dyDescent="0.3">
      <c r="A988" s="44" t="str">
        <f t="shared" ca="1" si="15"/>
        <v>7.MSCT</v>
      </c>
      <c r="B98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8" s="46"/>
      <c r="D988" s="44"/>
      <c r="E988" s="44"/>
      <c r="F988" s="47"/>
      <c r="G988" s="47"/>
      <c r="H988" s="50"/>
      <c r="I988" s="50"/>
      <c r="J988" s="50"/>
      <c r="K988" s="50"/>
      <c r="L988" s="46"/>
      <c r="M988" s="47"/>
      <c r="N988" s="46"/>
      <c r="O988" s="46"/>
      <c r="P988" s="47"/>
      <c r="Q988" s="46"/>
      <c r="R988" s="46"/>
      <c r="S988" s="48"/>
      <c r="T988" s="61" t="str">
        <f>IF(Tableau1[[#This Row],[DMS_SAP]]="","",HYPERLINK(Tableau1[[#This Row],[Chemin fichier source]],"X"))</f>
        <v/>
      </c>
      <c r="U988" s="61" t="str">
        <f>IF(Tableau1[[#This Row],[Date rév.]]="","",HYPERLINK(Tableau1[[#This Row],[Lien document]],"X"))</f>
        <v/>
      </c>
      <c r="V988" s="47"/>
      <c r="W988" s="49" t="str">
        <f ca="1">Chemin_accès!$B$2&amp;Tableau1[[#This Row],[Poste Responsable]]&amp;"\"&amp;Tableau1[[#This Row],[Localisation / Classement]]&amp;"\"&amp;Tableau1[[#This Row],[Poste technique]]&amp;"_"&amp;Tableau1[[#This Row],[Plan Entretien]]&amp;".pdf"</f>
        <v>\\stjn.local\trimet\Donnees_Projets\Dms Sap\Maintenance\PlanEntretien\7.MSCT\\_.pdf</v>
      </c>
      <c r="X988" s="47"/>
      <c r="Y988" s="47"/>
      <c r="Z988" s="44" t="str">
        <f ca="1">IF(AND(Tableau1[[#This Row],[Charge]]&lt;&gt;0, Tableau1[[#This Row],[Nombre intervenants]]&lt;&gt;0,Tableau1[[#This Row],[Lien document]]&lt;&gt;0,Tableau1[[#This Row],[DMS_SAP]]&lt;&gt;0)=TRUE,"MIS A JOUR","")</f>
        <v/>
      </c>
      <c r="AA988" s="48"/>
      <c r="AB988" s="58" t="str">
        <f ca="1">IF(Tableau1[[#This Row],[Date rév.]]&lt;&gt;"", DAYS360(Tableau1[[#This Row],[Date rév.]],TODAY()),"")</f>
        <v/>
      </c>
      <c r="AC988" s="47" t="str">
        <f>IFERROR(INDEX(Chemin_accès!$B$11:$C$22,MATCH(Tableau1[[#This Row],[Type]],Chemin_accès!$C$11:$C$22,0),1),Chemin_accès!$B$11)</f>
        <v>\\stjn.local\trimet\Btechnique\Commun\BT Maint SCELLEMENT\205 - Préventifs\Modèles préventif\GammeDMS_7.MSCT.xlsm</v>
      </c>
      <c r="AD988" s="47" t="str">
        <f>Chemin_accès!$B$8&amp;Tableau1[[#This Row],[Localisation / Classement]]&amp;"\"&amp;Tableau1[[#This Row],[Poste technique]]&amp;"_"&amp;Tableau1[[#This Row],[Plan Entretien]]&amp;".xlsm"</f>
        <v>\\stjn.local\trimet\Btechnique\Commun\BT Maint SCELLEMENT\205 - Préventifs\Gammes 7.MSCT PE Tool\\_.xlsm</v>
      </c>
    </row>
    <row r="989" spans="1:30" x14ac:dyDescent="0.3">
      <c r="A989" s="44" t="str">
        <f t="shared" ca="1" si="15"/>
        <v>7.MSCT</v>
      </c>
      <c r="B98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9" s="46"/>
      <c r="D989" s="44"/>
      <c r="E989" s="44"/>
      <c r="F989" s="47"/>
      <c r="G989" s="47"/>
      <c r="H989" s="50"/>
      <c r="I989" s="50"/>
      <c r="J989" s="50"/>
      <c r="K989" s="50"/>
      <c r="L989" s="46"/>
      <c r="M989" s="47"/>
      <c r="N989" s="46"/>
      <c r="O989" s="46"/>
      <c r="P989" s="47"/>
      <c r="Q989" s="46"/>
      <c r="R989" s="46"/>
      <c r="S989" s="48"/>
      <c r="T989" s="61" t="str">
        <f>IF(Tableau1[[#This Row],[DMS_SAP]]="","",HYPERLINK(Tableau1[[#This Row],[Chemin fichier source]],"X"))</f>
        <v/>
      </c>
      <c r="U989" s="61" t="str">
        <f>IF(Tableau1[[#This Row],[Date rév.]]="","",HYPERLINK(Tableau1[[#This Row],[Lien document]],"X"))</f>
        <v/>
      </c>
      <c r="V989" s="47"/>
      <c r="W989" s="49" t="str">
        <f ca="1">Chemin_accès!$B$2&amp;Tableau1[[#This Row],[Poste Responsable]]&amp;"\"&amp;Tableau1[[#This Row],[Localisation / Classement]]&amp;"\"&amp;Tableau1[[#This Row],[Poste technique]]&amp;"_"&amp;Tableau1[[#This Row],[Plan Entretien]]&amp;".pdf"</f>
        <v>\\stjn.local\trimet\Donnees_Projets\Dms Sap\Maintenance\PlanEntretien\7.MSCT\\_.pdf</v>
      </c>
      <c r="X989" s="47"/>
      <c r="Y989" s="47"/>
      <c r="Z989" s="44" t="str">
        <f ca="1">IF(AND(Tableau1[[#This Row],[Charge]]&lt;&gt;0, Tableau1[[#This Row],[Nombre intervenants]]&lt;&gt;0,Tableau1[[#This Row],[Lien document]]&lt;&gt;0,Tableau1[[#This Row],[DMS_SAP]]&lt;&gt;0)=TRUE,"MIS A JOUR","")</f>
        <v/>
      </c>
      <c r="AA989" s="48"/>
      <c r="AB989" s="58" t="str">
        <f ca="1">IF(Tableau1[[#This Row],[Date rév.]]&lt;&gt;"", DAYS360(Tableau1[[#This Row],[Date rév.]],TODAY()),"")</f>
        <v/>
      </c>
      <c r="AC989" s="47" t="str">
        <f>IFERROR(INDEX(Chemin_accès!$B$11:$C$22,MATCH(Tableau1[[#This Row],[Type]],Chemin_accès!$C$11:$C$22,0),1),Chemin_accès!$B$11)</f>
        <v>\\stjn.local\trimet\Btechnique\Commun\BT Maint SCELLEMENT\205 - Préventifs\Modèles préventif\GammeDMS_7.MSCT.xlsm</v>
      </c>
      <c r="AD989" s="47" t="str">
        <f>Chemin_accès!$B$8&amp;Tableau1[[#This Row],[Localisation / Classement]]&amp;"\"&amp;Tableau1[[#This Row],[Poste technique]]&amp;"_"&amp;Tableau1[[#This Row],[Plan Entretien]]&amp;".xlsm"</f>
        <v>\\stjn.local\trimet\Btechnique\Commun\BT Maint SCELLEMENT\205 - Préventifs\Gammes 7.MSCT PE Tool\\_.xlsm</v>
      </c>
    </row>
    <row r="990" spans="1:30" x14ac:dyDescent="0.3">
      <c r="A990" s="44" t="str">
        <f t="shared" ca="1" si="15"/>
        <v>7.MSCT</v>
      </c>
      <c r="B99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0" s="46"/>
      <c r="D990" s="44"/>
      <c r="E990" s="44"/>
      <c r="F990" s="47"/>
      <c r="G990" s="47"/>
      <c r="H990" s="50"/>
      <c r="I990" s="50"/>
      <c r="J990" s="50"/>
      <c r="K990" s="50"/>
      <c r="L990" s="46"/>
      <c r="M990" s="47"/>
      <c r="N990" s="46"/>
      <c r="O990" s="46"/>
      <c r="P990" s="47"/>
      <c r="Q990" s="46"/>
      <c r="R990" s="46"/>
      <c r="S990" s="48"/>
      <c r="T990" s="61" t="str">
        <f>IF(Tableau1[[#This Row],[DMS_SAP]]="","",HYPERLINK(Tableau1[[#This Row],[Chemin fichier source]],"X"))</f>
        <v/>
      </c>
      <c r="U990" s="61" t="str">
        <f>IF(Tableau1[[#This Row],[Date rév.]]="","",HYPERLINK(Tableau1[[#This Row],[Lien document]],"X"))</f>
        <v/>
      </c>
      <c r="V990" s="47"/>
      <c r="W990" s="49" t="str">
        <f ca="1">Chemin_accès!$B$2&amp;Tableau1[[#This Row],[Poste Responsable]]&amp;"\"&amp;Tableau1[[#This Row],[Localisation / Classement]]&amp;"\"&amp;Tableau1[[#This Row],[Poste technique]]&amp;"_"&amp;Tableau1[[#This Row],[Plan Entretien]]&amp;".pdf"</f>
        <v>\\stjn.local\trimet\Donnees_Projets\Dms Sap\Maintenance\PlanEntretien\7.MSCT\\_.pdf</v>
      </c>
      <c r="X990" s="47"/>
      <c r="Y990" s="47"/>
      <c r="Z990" s="44" t="str">
        <f ca="1">IF(AND(Tableau1[[#This Row],[Charge]]&lt;&gt;0, Tableau1[[#This Row],[Nombre intervenants]]&lt;&gt;0,Tableau1[[#This Row],[Lien document]]&lt;&gt;0,Tableau1[[#This Row],[DMS_SAP]]&lt;&gt;0)=TRUE,"MIS A JOUR","")</f>
        <v/>
      </c>
      <c r="AA990" s="48"/>
      <c r="AB990" s="58" t="str">
        <f ca="1">IF(Tableau1[[#This Row],[Date rév.]]&lt;&gt;"", DAYS360(Tableau1[[#This Row],[Date rév.]],TODAY()),"")</f>
        <v/>
      </c>
      <c r="AC990" s="47" t="str">
        <f>IFERROR(INDEX(Chemin_accès!$B$11:$C$22,MATCH(Tableau1[[#This Row],[Type]],Chemin_accès!$C$11:$C$22,0),1),Chemin_accès!$B$11)</f>
        <v>\\stjn.local\trimet\Btechnique\Commun\BT Maint SCELLEMENT\205 - Préventifs\Modèles préventif\GammeDMS_7.MSCT.xlsm</v>
      </c>
      <c r="AD990" s="47" t="str">
        <f>Chemin_accès!$B$8&amp;Tableau1[[#This Row],[Localisation / Classement]]&amp;"\"&amp;Tableau1[[#This Row],[Poste technique]]&amp;"_"&amp;Tableau1[[#This Row],[Plan Entretien]]&amp;".xlsm"</f>
        <v>\\stjn.local\trimet\Btechnique\Commun\BT Maint SCELLEMENT\205 - Préventifs\Gammes 7.MSCT PE Tool\\_.xlsm</v>
      </c>
    </row>
    <row r="991" spans="1:30" x14ac:dyDescent="0.3">
      <c r="A991" s="44" t="str">
        <f t="shared" ca="1" si="15"/>
        <v>7.MSCT</v>
      </c>
      <c r="B991"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1" s="46"/>
      <c r="D991" s="44"/>
      <c r="E991" s="44"/>
      <c r="F991" s="47"/>
      <c r="G991" s="47"/>
      <c r="H991" s="50"/>
      <c r="I991" s="50"/>
      <c r="J991" s="50"/>
      <c r="K991" s="50"/>
      <c r="L991" s="46"/>
      <c r="M991" s="47"/>
      <c r="N991" s="46"/>
      <c r="O991" s="46"/>
      <c r="P991" s="47"/>
      <c r="Q991" s="46"/>
      <c r="R991" s="46"/>
      <c r="S991" s="48"/>
      <c r="T991" s="61" t="str">
        <f>IF(Tableau1[[#This Row],[DMS_SAP]]="","",HYPERLINK(Tableau1[[#This Row],[Chemin fichier source]],"X"))</f>
        <v/>
      </c>
      <c r="U991" s="61" t="str">
        <f>IF(Tableau1[[#This Row],[Date rév.]]="","",HYPERLINK(Tableau1[[#This Row],[Lien document]],"X"))</f>
        <v/>
      </c>
      <c r="V991" s="47"/>
      <c r="W991" s="49" t="str">
        <f ca="1">Chemin_accès!$B$2&amp;Tableau1[[#This Row],[Poste Responsable]]&amp;"\"&amp;Tableau1[[#This Row],[Localisation / Classement]]&amp;"\"&amp;Tableau1[[#This Row],[Poste technique]]&amp;"_"&amp;Tableau1[[#This Row],[Plan Entretien]]&amp;".pdf"</f>
        <v>\\stjn.local\trimet\Donnees_Projets\Dms Sap\Maintenance\PlanEntretien\7.MSCT\\_.pdf</v>
      </c>
      <c r="X991" s="47"/>
      <c r="Y991" s="47"/>
      <c r="Z991" s="44" t="str">
        <f ca="1">IF(AND(Tableau1[[#This Row],[Charge]]&lt;&gt;0, Tableau1[[#This Row],[Nombre intervenants]]&lt;&gt;0,Tableau1[[#This Row],[Lien document]]&lt;&gt;0,Tableau1[[#This Row],[DMS_SAP]]&lt;&gt;0)=TRUE,"MIS A JOUR","")</f>
        <v/>
      </c>
      <c r="AA991" s="48"/>
      <c r="AB991" s="58" t="str">
        <f ca="1">IF(Tableau1[[#This Row],[Date rév.]]&lt;&gt;"", DAYS360(Tableau1[[#This Row],[Date rév.]],TODAY()),"")</f>
        <v/>
      </c>
      <c r="AC991" s="47" t="str">
        <f>IFERROR(INDEX(Chemin_accès!$B$11:$C$22,MATCH(Tableau1[[#This Row],[Type]],Chemin_accès!$C$11:$C$22,0),1),Chemin_accès!$B$11)</f>
        <v>\\stjn.local\trimet\Btechnique\Commun\BT Maint SCELLEMENT\205 - Préventifs\Modèles préventif\GammeDMS_7.MSCT.xlsm</v>
      </c>
      <c r="AD991" s="47" t="str">
        <f>Chemin_accès!$B$8&amp;Tableau1[[#This Row],[Localisation / Classement]]&amp;"\"&amp;Tableau1[[#This Row],[Poste technique]]&amp;"_"&amp;Tableau1[[#This Row],[Plan Entretien]]&amp;".xlsm"</f>
        <v>\\stjn.local\trimet\Btechnique\Commun\BT Maint SCELLEMENT\205 - Préventifs\Gammes 7.MSCT PE Tool\\_.xlsm</v>
      </c>
    </row>
    <row r="992" spans="1:30" x14ac:dyDescent="0.3">
      <c r="A992" s="44" t="str">
        <f t="shared" ca="1" si="15"/>
        <v>7.MSCT</v>
      </c>
      <c r="B992"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2" s="46"/>
      <c r="D992" s="44"/>
      <c r="E992" s="44"/>
      <c r="F992" s="47"/>
      <c r="G992" s="47"/>
      <c r="H992" s="50"/>
      <c r="I992" s="50"/>
      <c r="J992" s="50"/>
      <c r="K992" s="50"/>
      <c r="L992" s="46"/>
      <c r="M992" s="47"/>
      <c r="N992" s="46"/>
      <c r="O992" s="46"/>
      <c r="P992" s="47"/>
      <c r="Q992" s="46"/>
      <c r="R992" s="46"/>
      <c r="S992" s="48"/>
      <c r="T992" s="61" t="str">
        <f>IF(Tableau1[[#This Row],[DMS_SAP]]="","",HYPERLINK(Tableau1[[#This Row],[Chemin fichier source]],"X"))</f>
        <v/>
      </c>
      <c r="U992" s="61" t="str">
        <f>IF(Tableau1[[#This Row],[Date rév.]]="","",HYPERLINK(Tableau1[[#This Row],[Lien document]],"X"))</f>
        <v/>
      </c>
      <c r="V992" s="47"/>
      <c r="W992" s="49" t="str">
        <f ca="1">Chemin_accès!$B$2&amp;Tableau1[[#This Row],[Poste Responsable]]&amp;"\"&amp;Tableau1[[#This Row],[Localisation / Classement]]&amp;"\"&amp;Tableau1[[#This Row],[Poste technique]]&amp;"_"&amp;Tableau1[[#This Row],[Plan Entretien]]&amp;".pdf"</f>
        <v>\\stjn.local\trimet\Donnees_Projets\Dms Sap\Maintenance\PlanEntretien\7.MSCT\\_.pdf</v>
      </c>
      <c r="X992" s="47"/>
      <c r="Y992" s="47"/>
      <c r="Z992" s="44" t="str">
        <f ca="1">IF(AND(Tableau1[[#This Row],[Charge]]&lt;&gt;0, Tableau1[[#This Row],[Nombre intervenants]]&lt;&gt;0,Tableau1[[#This Row],[Lien document]]&lt;&gt;0,Tableau1[[#This Row],[DMS_SAP]]&lt;&gt;0)=TRUE,"MIS A JOUR","")</f>
        <v/>
      </c>
      <c r="AA992" s="48"/>
      <c r="AB992" s="58" t="str">
        <f ca="1">IF(Tableau1[[#This Row],[Date rév.]]&lt;&gt;"", DAYS360(Tableau1[[#This Row],[Date rév.]],TODAY()),"")</f>
        <v/>
      </c>
      <c r="AC992" s="47" t="str">
        <f>IFERROR(INDEX(Chemin_accès!$B$11:$C$22,MATCH(Tableau1[[#This Row],[Type]],Chemin_accès!$C$11:$C$22,0),1),Chemin_accès!$B$11)</f>
        <v>\\stjn.local\trimet\Btechnique\Commun\BT Maint SCELLEMENT\205 - Préventifs\Modèles préventif\GammeDMS_7.MSCT.xlsm</v>
      </c>
      <c r="AD992" s="47" t="str">
        <f>Chemin_accès!$B$8&amp;Tableau1[[#This Row],[Localisation / Classement]]&amp;"\"&amp;Tableau1[[#This Row],[Poste technique]]&amp;"_"&amp;Tableau1[[#This Row],[Plan Entretien]]&amp;".xlsm"</f>
        <v>\\stjn.local\trimet\Btechnique\Commun\BT Maint SCELLEMENT\205 - Préventifs\Gammes 7.MSCT PE Tool\\_.xlsm</v>
      </c>
    </row>
    <row r="993" spans="1:30" x14ac:dyDescent="0.3">
      <c r="A993" s="44" t="str">
        <f t="shared" ca="1" si="15"/>
        <v>7.MSCT</v>
      </c>
      <c r="B993"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3" s="46"/>
      <c r="D993" s="44"/>
      <c r="E993" s="44"/>
      <c r="F993" s="47"/>
      <c r="G993" s="47"/>
      <c r="H993" s="50"/>
      <c r="I993" s="50"/>
      <c r="J993" s="50"/>
      <c r="K993" s="50"/>
      <c r="L993" s="46"/>
      <c r="M993" s="47"/>
      <c r="N993" s="46"/>
      <c r="O993" s="46"/>
      <c r="P993" s="47"/>
      <c r="Q993" s="46"/>
      <c r="R993" s="46"/>
      <c r="S993" s="48"/>
      <c r="T993" s="61" t="str">
        <f>IF(Tableau1[[#This Row],[DMS_SAP]]="","",HYPERLINK(Tableau1[[#This Row],[Chemin fichier source]],"X"))</f>
        <v/>
      </c>
      <c r="U993" s="61" t="str">
        <f>IF(Tableau1[[#This Row],[Date rév.]]="","",HYPERLINK(Tableau1[[#This Row],[Lien document]],"X"))</f>
        <v/>
      </c>
      <c r="V993" s="47"/>
      <c r="W993" s="49" t="str">
        <f ca="1">Chemin_accès!$B$2&amp;Tableau1[[#This Row],[Poste Responsable]]&amp;"\"&amp;Tableau1[[#This Row],[Localisation / Classement]]&amp;"\"&amp;Tableau1[[#This Row],[Poste technique]]&amp;"_"&amp;Tableau1[[#This Row],[Plan Entretien]]&amp;".pdf"</f>
        <v>\\stjn.local\trimet\Donnees_Projets\Dms Sap\Maintenance\PlanEntretien\7.MSCT\\_.pdf</v>
      </c>
      <c r="X993" s="47"/>
      <c r="Y993" s="47"/>
      <c r="Z993" s="44" t="str">
        <f ca="1">IF(AND(Tableau1[[#This Row],[Charge]]&lt;&gt;0, Tableau1[[#This Row],[Nombre intervenants]]&lt;&gt;0,Tableau1[[#This Row],[Lien document]]&lt;&gt;0,Tableau1[[#This Row],[DMS_SAP]]&lt;&gt;0)=TRUE,"MIS A JOUR","")</f>
        <v/>
      </c>
      <c r="AA993" s="48"/>
      <c r="AB993" s="58" t="str">
        <f ca="1">IF(Tableau1[[#This Row],[Date rév.]]&lt;&gt;"", DAYS360(Tableau1[[#This Row],[Date rév.]],TODAY()),"")</f>
        <v/>
      </c>
      <c r="AC993" s="47" t="str">
        <f>IFERROR(INDEX(Chemin_accès!$B$11:$C$22,MATCH(Tableau1[[#This Row],[Type]],Chemin_accès!$C$11:$C$22,0),1),Chemin_accès!$B$11)</f>
        <v>\\stjn.local\trimet\Btechnique\Commun\BT Maint SCELLEMENT\205 - Préventifs\Modèles préventif\GammeDMS_7.MSCT.xlsm</v>
      </c>
      <c r="AD993" s="47" t="str">
        <f>Chemin_accès!$B$8&amp;Tableau1[[#This Row],[Localisation / Classement]]&amp;"\"&amp;Tableau1[[#This Row],[Poste technique]]&amp;"_"&amp;Tableau1[[#This Row],[Plan Entretien]]&amp;".xlsm"</f>
        <v>\\stjn.local\trimet\Btechnique\Commun\BT Maint SCELLEMENT\205 - Préventifs\Gammes 7.MSCT PE Tool\\_.xlsm</v>
      </c>
    </row>
    <row r="994" spans="1:30" x14ac:dyDescent="0.3">
      <c r="A994" s="44" t="str">
        <f t="shared" ca="1" si="15"/>
        <v>7.MSCT</v>
      </c>
      <c r="B994"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4" s="46"/>
      <c r="D994" s="44"/>
      <c r="E994" s="44"/>
      <c r="F994" s="47"/>
      <c r="G994" s="47"/>
      <c r="H994" s="50"/>
      <c r="I994" s="50"/>
      <c r="J994" s="50"/>
      <c r="K994" s="50"/>
      <c r="L994" s="46"/>
      <c r="M994" s="47"/>
      <c r="N994" s="46"/>
      <c r="O994" s="46"/>
      <c r="P994" s="47"/>
      <c r="Q994" s="46"/>
      <c r="R994" s="46"/>
      <c r="S994" s="48"/>
      <c r="T994" s="61" t="str">
        <f>IF(Tableau1[[#This Row],[DMS_SAP]]="","",HYPERLINK(Tableau1[[#This Row],[Chemin fichier source]],"X"))</f>
        <v/>
      </c>
      <c r="U994" s="61" t="str">
        <f>IF(Tableau1[[#This Row],[Date rév.]]="","",HYPERLINK(Tableau1[[#This Row],[Lien document]],"X"))</f>
        <v/>
      </c>
      <c r="V994" s="47"/>
      <c r="W994" s="49" t="str">
        <f ca="1">Chemin_accès!$B$2&amp;Tableau1[[#This Row],[Poste Responsable]]&amp;"\"&amp;Tableau1[[#This Row],[Localisation / Classement]]&amp;"\"&amp;Tableau1[[#This Row],[Poste technique]]&amp;"_"&amp;Tableau1[[#This Row],[Plan Entretien]]&amp;".pdf"</f>
        <v>\\stjn.local\trimet\Donnees_Projets\Dms Sap\Maintenance\PlanEntretien\7.MSCT\\_.pdf</v>
      </c>
      <c r="X994" s="47"/>
      <c r="Y994" s="47"/>
      <c r="Z994" s="44" t="str">
        <f ca="1">IF(AND(Tableau1[[#This Row],[Charge]]&lt;&gt;0, Tableau1[[#This Row],[Nombre intervenants]]&lt;&gt;0,Tableau1[[#This Row],[Lien document]]&lt;&gt;0,Tableau1[[#This Row],[DMS_SAP]]&lt;&gt;0)=TRUE,"MIS A JOUR","")</f>
        <v/>
      </c>
      <c r="AA994" s="48"/>
      <c r="AB994" s="58" t="str">
        <f ca="1">IF(Tableau1[[#This Row],[Date rév.]]&lt;&gt;"", DAYS360(Tableau1[[#This Row],[Date rév.]],TODAY()),"")</f>
        <v/>
      </c>
      <c r="AC994" s="47" t="str">
        <f>IFERROR(INDEX(Chemin_accès!$B$11:$C$22,MATCH(Tableau1[[#This Row],[Type]],Chemin_accès!$C$11:$C$22,0),1),Chemin_accès!$B$11)</f>
        <v>\\stjn.local\trimet\Btechnique\Commun\BT Maint SCELLEMENT\205 - Préventifs\Modèles préventif\GammeDMS_7.MSCT.xlsm</v>
      </c>
      <c r="AD994" s="47" t="str">
        <f>Chemin_accès!$B$8&amp;Tableau1[[#This Row],[Localisation / Classement]]&amp;"\"&amp;Tableau1[[#This Row],[Poste technique]]&amp;"_"&amp;Tableau1[[#This Row],[Plan Entretien]]&amp;".xlsm"</f>
        <v>\\stjn.local\trimet\Btechnique\Commun\BT Maint SCELLEMENT\205 - Préventifs\Gammes 7.MSCT PE Tool\\_.xlsm</v>
      </c>
    </row>
    <row r="995" spans="1:30" x14ac:dyDescent="0.3">
      <c r="A995" s="44" t="str">
        <f t="shared" ca="1" si="15"/>
        <v>7.MSCT</v>
      </c>
      <c r="B995"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5" s="46"/>
      <c r="D995" s="44"/>
      <c r="E995" s="44"/>
      <c r="F995" s="47"/>
      <c r="G995" s="47"/>
      <c r="H995" s="50"/>
      <c r="I995" s="50"/>
      <c r="J995" s="50"/>
      <c r="K995" s="50"/>
      <c r="L995" s="46"/>
      <c r="M995" s="47"/>
      <c r="N995" s="46"/>
      <c r="O995" s="46"/>
      <c r="P995" s="47"/>
      <c r="Q995" s="46"/>
      <c r="R995" s="46"/>
      <c r="S995" s="48"/>
      <c r="T995" s="61" t="str">
        <f>IF(Tableau1[[#This Row],[DMS_SAP]]="","",HYPERLINK(Tableau1[[#This Row],[Chemin fichier source]],"X"))</f>
        <v/>
      </c>
      <c r="U995" s="61" t="str">
        <f>IF(Tableau1[[#This Row],[Date rév.]]="","",HYPERLINK(Tableau1[[#This Row],[Lien document]],"X"))</f>
        <v/>
      </c>
      <c r="V995" s="47"/>
      <c r="W995" s="49" t="str">
        <f ca="1">Chemin_accès!$B$2&amp;Tableau1[[#This Row],[Poste Responsable]]&amp;"\"&amp;Tableau1[[#This Row],[Localisation / Classement]]&amp;"\"&amp;Tableau1[[#This Row],[Poste technique]]&amp;"_"&amp;Tableau1[[#This Row],[Plan Entretien]]&amp;".pdf"</f>
        <v>\\stjn.local\trimet\Donnees_Projets\Dms Sap\Maintenance\PlanEntretien\7.MSCT\\_.pdf</v>
      </c>
      <c r="X995" s="47"/>
      <c r="Y995" s="47"/>
      <c r="Z995" s="44" t="str">
        <f ca="1">IF(AND(Tableau1[[#This Row],[Charge]]&lt;&gt;0, Tableau1[[#This Row],[Nombre intervenants]]&lt;&gt;0,Tableau1[[#This Row],[Lien document]]&lt;&gt;0,Tableau1[[#This Row],[DMS_SAP]]&lt;&gt;0)=TRUE,"MIS A JOUR","")</f>
        <v/>
      </c>
      <c r="AA995" s="48"/>
      <c r="AB995" s="58" t="str">
        <f ca="1">IF(Tableau1[[#This Row],[Date rév.]]&lt;&gt;"", DAYS360(Tableau1[[#This Row],[Date rév.]],TODAY()),"")</f>
        <v/>
      </c>
      <c r="AC995" s="47" t="str">
        <f>IFERROR(INDEX(Chemin_accès!$B$11:$C$22,MATCH(Tableau1[[#This Row],[Type]],Chemin_accès!$C$11:$C$22,0),1),Chemin_accès!$B$11)</f>
        <v>\\stjn.local\trimet\Btechnique\Commun\BT Maint SCELLEMENT\205 - Préventifs\Modèles préventif\GammeDMS_7.MSCT.xlsm</v>
      </c>
      <c r="AD995" s="47" t="str">
        <f>Chemin_accès!$B$8&amp;Tableau1[[#This Row],[Localisation / Classement]]&amp;"\"&amp;Tableau1[[#This Row],[Poste technique]]&amp;"_"&amp;Tableau1[[#This Row],[Plan Entretien]]&amp;".xlsm"</f>
        <v>\\stjn.local\trimet\Btechnique\Commun\BT Maint SCELLEMENT\205 - Préventifs\Gammes 7.MSCT PE Tool\\_.xlsm</v>
      </c>
    </row>
    <row r="996" spans="1:30" x14ac:dyDescent="0.3">
      <c r="A996" s="44" t="str">
        <f t="shared" ca="1" si="15"/>
        <v>7.MSCT</v>
      </c>
      <c r="B996"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6" s="46"/>
      <c r="D996" s="44"/>
      <c r="E996" s="44"/>
      <c r="F996" s="47"/>
      <c r="G996" s="47"/>
      <c r="H996" s="50"/>
      <c r="I996" s="50"/>
      <c r="J996" s="50"/>
      <c r="K996" s="50"/>
      <c r="L996" s="46"/>
      <c r="M996" s="47"/>
      <c r="N996" s="46"/>
      <c r="O996" s="46"/>
      <c r="P996" s="47"/>
      <c r="Q996" s="46"/>
      <c r="R996" s="46"/>
      <c r="S996" s="48"/>
      <c r="T996" s="61" t="str">
        <f>IF(Tableau1[[#This Row],[DMS_SAP]]="","",HYPERLINK(Tableau1[[#This Row],[Chemin fichier source]],"X"))</f>
        <v/>
      </c>
      <c r="U996" s="61" t="str">
        <f>IF(Tableau1[[#This Row],[Date rév.]]="","",HYPERLINK(Tableau1[[#This Row],[Lien document]],"X"))</f>
        <v/>
      </c>
      <c r="V996" s="47"/>
      <c r="W996" s="49" t="str">
        <f ca="1">Chemin_accès!$B$2&amp;Tableau1[[#This Row],[Poste Responsable]]&amp;"\"&amp;Tableau1[[#This Row],[Localisation / Classement]]&amp;"\"&amp;Tableau1[[#This Row],[Poste technique]]&amp;"_"&amp;Tableau1[[#This Row],[Plan Entretien]]&amp;".pdf"</f>
        <v>\\stjn.local\trimet\Donnees_Projets\Dms Sap\Maintenance\PlanEntretien\7.MSCT\\_.pdf</v>
      </c>
      <c r="X996" s="47"/>
      <c r="Y996" s="47"/>
      <c r="Z996" s="44" t="str">
        <f ca="1">IF(AND(Tableau1[[#This Row],[Charge]]&lt;&gt;0, Tableau1[[#This Row],[Nombre intervenants]]&lt;&gt;0,Tableau1[[#This Row],[Lien document]]&lt;&gt;0,Tableau1[[#This Row],[DMS_SAP]]&lt;&gt;0)=TRUE,"MIS A JOUR","")</f>
        <v/>
      </c>
      <c r="AA996" s="48"/>
      <c r="AB996" s="58" t="str">
        <f ca="1">IF(Tableau1[[#This Row],[Date rév.]]&lt;&gt;"", DAYS360(Tableau1[[#This Row],[Date rév.]],TODAY()),"")</f>
        <v/>
      </c>
      <c r="AC996" s="47" t="str">
        <f>IFERROR(INDEX(Chemin_accès!$B$11:$C$22,MATCH(Tableau1[[#This Row],[Type]],Chemin_accès!$C$11:$C$22,0),1),Chemin_accès!$B$11)</f>
        <v>\\stjn.local\trimet\Btechnique\Commun\BT Maint SCELLEMENT\205 - Préventifs\Modèles préventif\GammeDMS_7.MSCT.xlsm</v>
      </c>
      <c r="AD996" s="47" t="str">
        <f>Chemin_accès!$B$8&amp;Tableau1[[#This Row],[Localisation / Classement]]&amp;"\"&amp;Tableau1[[#This Row],[Poste technique]]&amp;"_"&amp;Tableau1[[#This Row],[Plan Entretien]]&amp;".xlsm"</f>
        <v>\\stjn.local\trimet\Btechnique\Commun\BT Maint SCELLEMENT\205 - Préventifs\Gammes 7.MSCT PE Tool\\_.xlsm</v>
      </c>
    </row>
    <row r="997" spans="1:30" x14ac:dyDescent="0.3">
      <c r="A997" s="44" t="str">
        <f t="shared" ca="1" si="15"/>
        <v>7.MSCT</v>
      </c>
      <c r="B997"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7" s="46"/>
      <c r="D997" s="44"/>
      <c r="E997" s="44"/>
      <c r="F997" s="47"/>
      <c r="G997" s="47"/>
      <c r="H997" s="50"/>
      <c r="I997" s="50"/>
      <c r="J997" s="50"/>
      <c r="K997" s="50"/>
      <c r="L997" s="46"/>
      <c r="M997" s="47"/>
      <c r="N997" s="46"/>
      <c r="O997" s="46"/>
      <c r="P997" s="47"/>
      <c r="Q997" s="46"/>
      <c r="R997" s="46"/>
      <c r="S997" s="48"/>
      <c r="T997" s="61" t="str">
        <f>IF(Tableau1[[#This Row],[DMS_SAP]]="","",HYPERLINK(Tableau1[[#This Row],[Chemin fichier source]],"X"))</f>
        <v/>
      </c>
      <c r="U997" s="61" t="str">
        <f>IF(Tableau1[[#This Row],[Date rév.]]="","",HYPERLINK(Tableau1[[#This Row],[Lien document]],"X"))</f>
        <v/>
      </c>
      <c r="V997" s="47"/>
      <c r="W997" s="49" t="str">
        <f ca="1">Chemin_accès!$B$2&amp;Tableau1[[#This Row],[Poste Responsable]]&amp;"\"&amp;Tableau1[[#This Row],[Localisation / Classement]]&amp;"\"&amp;Tableau1[[#This Row],[Poste technique]]&amp;"_"&amp;Tableau1[[#This Row],[Plan Entretien]]&amp;".pdf"</f>
        <v>\\stjn.local\trimet\Donnees_Projets\Dms Sap\Maintenance\PlanEntretien\7.MSCT\\_.pdf</v>
      </c>
      <c r="X997" s="47"/>
      <c r="Y997" s="47"/>
      <c r="Z997" s="44" t="str">
        <f ca="1">IF(AND(Tableau1[[#This Row],[Charge]]&lt;&gt;0, Tableau1[[#This Row],[Nombre intervenants]]&lt;&gt;0,Tableau1[[#This Row],[Lien document]]&lt;&gt;0,Tableau1[[#This Row],[DMS_SAP]]&lt;&gt;0)=TRUE,"MIS A JOUR","")</f>
        <v/>
      </c>
      <c r="AA997" s="48"/>
      <c r="AB997" s="58" t="str">
        <f ca="1">IF(Tableau1[[#This Row],[Date rév.]]&lt;&gt;"", DAYS360(Tableau1[[#This Row],[Date rév.]],TODAY()),"")</f>
        <v/>
      </c>
      <c r="AC997" s="47" t="str">
        <f>IFERROR(INDEX(Chemin_accès!$B$11:$C$22,MATCH(Tableau1[[#This Row],[Type]],Chemin_accès!$C$11:$C$22,0),1),Chemin_accès!$B$11)</f>
        <v>\\stjn.local\trimet\Btechnique\Commun\BT Maint SCELLEMENT\205 - Préventifs\Modèles préventif\GammeDMS_7.MSCT.xlsm</v>
      </c>
      <c r="AD997" s="47" t="str">
        <f>Chemin_accès!$B$8&amp;Tableau1[[#This Row],[Localisation / Classement]]&amp;"\"&amp;Tableau1[[#This Row],[Poste technique]]&amp;"_"&amp;Tableau1[[#This Row],[Plan Entretien]]&amp;".xlsm"</f>
        <v>\\stjn.local\trimet\Btechnique\Commun\BT Maint SCELLEMENT\205 - Préventifs\Gammes 7.MSCT PE Tool\\_.xlsm</v>
      </c>
    </row>
    <row r="998" spans="1:30" x14ac:dyDescent="0.3">
      <c r="A998" s="44" t="str">
        <f t="shared" ca="1" si="15"/>
        <v>7.MSCT</v>
      </c>
      <c r="B998"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8" s="46"/>
      <c r="D998" s="44"/>
      <c r="E998" s="44"/>
      <c r="F998" s="47"/>
      <c r="G998" s="47"/>
      <c r="H998" s="50"/>
      <c r="I998" s="50"/>
      <c r="J998" s="50"/>
      <c r="K998" s="50"/>
      <c r="L998" s="46"/>
      <c r="M998" s="47"/>
      <c r="N998" s="46"/>
      <c r="O998" s="46"/>
      <c r="P998" s="47"/>
      <c r="Q998" s="46"/>
      <c r="R998" s="46"/>
      <c r="S998" s="48"/>
      <c r="T998" s="61" t="str">
        <f>IF(Tableau1[[#This Row],[DMS_SAP]]="","",HYPERLINK(Tableau1[[#This Row],[Chemin fichier source]],"X"))</f>
        <v/>
      </c>
      <c r="U998" s="61" t="str">
        <f>IF(Tableau1[[#This Row],[Date rév.]]="","",HYPERLINK(Tableau1[[#This Row],[Lien document]],"X"))</f>
        <v/>
      </c>
      <c r="V998" s="47"/>
      <c r="W998" s="49" t="str">
        <f ca="1">Chemin_accès!$B$2&amp;Tableau1[[#This Row],[Poste Responsable]]&amp;"\"&amp;Tableau1[[#This Row],[Localisation / Classement]]&amp;"\"&amp;Tableau1[[#This Row],[Poste technique]]&amp;"_"&amp;Tableau1[[#This Row],[Plan Entretien]]&amp;".pdf"</f>
        <v>\\stjn.local\trimet\Donnees_Projets\Dms Sap\Maintenance\PlanEntretien\7.MSCT\\_.pdf</v>
      </c>
      <c r="X998" s="47"/>
      <c r="Y998" s="47"/>
      <c r="Z998" s="44" t="str">
        <f ca="1">IF(AND(Tableau1[[#This Row],[Charge]]&lt;&gt;0, Tableau1[[#This Row],[Nombre intervenants]]&lt;&gt;0,Tableau1[[#This Row],[Lien document]]&lt;&gt;0,Tableau1[[#This Row],[DMS_SAP]]&lt;&gt;0)=TRUE,"MIS A JOUR","")</f>
        <v/>
      </c>
      <c r="AA998" s="48"/>
      <c r="AB998" s="58" t="str">
        <f ca="1">IF(Tableau1[[#This Row],[Date rév.]]&lt;&gt;"", DAYS360(Tableau1[[#This Row],[Date rév.]],TODAY()),"")</f>
        <v/>
      </c>
      <c r="AC998" s="47" t="str">
        <f>IFERROR(INDEX(Chemin_accès!$B$11:$C$22,MATCH(Tableau1[[#This Row],[Type]],Chemin_accès!$C$11:$C$22,0),1),Chemin_accès!$B$11)</f>
        <v>\\stjn.local\trimet\Btechnique\Commun\BT Maint SCELLEMENT\205 - Préventifs\Modèles préventif\GammeDMS_7.MSCT.xlsm</v>
      </c>
      <c r="AD998" s="47" t="str">
        <f>Chemin_accès!$B$8&amp;Tableau1[[#This Row],[Localisation / Classement]]&amp;"\"&amp;Tableau1[[#This Row],[Poste technique]]&amp;"_"&amp;Tableau1[[#This Row],[Plan Entretien]]&amp;".xlsm"</f>
        <v>\\stjn.local\trimet\Btechnique\Commun\BT Maint SCELLEMENT\205 - Préventifs\Gammes 7.MSCT PE Tool\\_.xlsm</v>
      </c>
    </row>
    <row r="999" spans="1:30" x14ac:dyDescent="0.3">
      <c r="A999" s="44" t="str">
        <f t="shared" ca="1" si="15"/>
        <v>7.MSCT</v>
      </c>
      <c r="B999"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99" s="46"/>
      <c r="D999" s="44"/>
      <c r="E999" s="44"/>
      <c r="F999" s="47"/>
      <c r="G999" s="47"/>
      <c r="H999" s="50"/>
      <c r="I999" s="50"/>
      <c r="J999" s="50"/>
      <c r="K999" s="50"/>
      <c r="L999" s="46"/>
      <c r="M999" s="47"/>
      <c r="N999" s="46"/>
      <c r="O999" s="46"/>
      <c r="P999" s="47"/>
      <c r="Q999" s="46"/>
      <c r="R999" s="46"/>
      <c r="S999" s="48"/>
      <c r="T999" s="61" t="str">
        <f>IF(Tableau1[[#This Row],[DMS_SAP]]="","",HYPERLINK(Tableau1[[#This Row],[Chemin fichier source]],"X"))</f>
        <v/>
      </c>
      <c r="U999" s="61" t="str">
        <f>IF(Tableau1[[#This Row],[Date rév.]]="","",HYPERLINK(Tableau1[[#This Row],[Lien document]],"X"))</f>
        <v/>
      </c>
      <c r="V999" s="47"/>
      <c r="W999" s="49" t="str">
        <f ca="1">Chemin_accès!$B$2&amp;Tableau1[[#This Row],[Poste Responsable]]&amp;"\"&amp;Tableau1[[#This Row],[Localisation / Classement]]&amp;"\"&amp;Tableau1[[#This Row],[Poste technique]]&amp;"_"&amp;Tableau1[[#This Row],[Plan Entretien]]&amp;".pdf"</f>
        <v>\\stjn.local\trimet\Donnees_Projets\Dms Sap\Maintenance\PlanEntretien\7.MSCT\\_.pdf</v>
      </c>
      <c r="X999" s="47"/>
      <c r="Y999" s="47"/>
      <c r="Z999" s="44" t="str">
        <f ca="1">IF(AND(Tableau1[[#This Row],[Charge]]&lt;&gt;0, Tableau1[[#This Row],[Nombre intervenants]]&lt;&gt;0,Tableau1[[#This Row],[Lien document]]&lt;&gt;0,Tableau1[[#This Row],[DMS_SAP]]&lt;&gt;0)=TRUE,"MIS A JOUR","")</f>
        <v/>
      </c>
      <c r="AA999" s="48"/>
      <c r="AB999" s="58" t="str">
        <f ca="1">IF(Tableau1[[#This Row],[Date rév.]]&lt;&gt;"", DAYS360(Tableau1[[#This Row],[Date rév.]],TODAY()),"")</f>
        <v/>
      </c>
      <c r="AC999" s="47" t="str">
        <f>IFERROR(INDEX(Chemin_accès!$B$11:$C$22,MATCH(Tableau1[[#This Row],[Type]],Chemin_accès!$C$11:$C$22,0),1),Chemin_accès!$B$11)</f>
        <v>\\stjn.local\trimet\Btechnique\Commun\BT Maint SCELLEMENT\205 - Préventifs\Modèles préventif\GammeDMS_7.MSCT.xlsm</v>
      </c>
      <c r="AD999" s="47" t="str">
        <f>Chemin_accès!$B$8&amp;Tableau1[[#This Row],[Localisation / Classement]]&amp;"\"&amp;Tableau1[[#This Row],[Poste technique]]&amp;"_"&amp;Tableau1[[#This Row],[Plan Entretien]]&amp;".xlsm"</f>
        <v>\\stjn.local\trimet\Btechnique\Commun\BT Maint SCELLEMENT\205 - Préventifs\Gammes 7.MSCT PE Tool\\_.xlsm</v>
      </c>
    </row>
    <row r="1000" spans="1:30" x14ac:dyDescent="0.3">
      <c r="A1000" s="44" t="str">
        <f t="shared" ca="1" si="15"/>
        <v>7.MSCT</v>
      </c>
      <c r="B1000" s="45"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000" s="46"/>
      <c r="D1000" s="44"/>
      <c r="E1000" s="44"/>
      <c r="F1000" s="47"/>
      <c r="G1000" s="47"/>
      <c r="H1000" s="50"/>
      <c r="I1000" s="50"/>
      <c r="J1000" s="50"/>
      <c r="K1000" s="50"/>
      <c r="L1000" s="46"/>
      <c r="M1000" s="47"/>
      <c r="N1000" s="46"/>
      <c r="O1000" s="46"/>
      <c r="P1000" s="47"/>
      <c r="Q1000" s="46"/>
      <c r="R1000" s="46"/>
      <c r="S1000" s="48"/>
      <c r="T1000" s="61" t="str">
        <f>IF(Tableau1[[#This Row],[DMS_SAP]]="","",HYPERLINK(Tableau1[[#This Row],[Chemin fichier source]],"X"))</f>
        <v/>
      </c>
      <c r="U1000" s="61" t="str">
        <f>IF(Tableau1[[#This Row],[Date rév.]]="","",HYPERLINK(Tableau1[[#This Row],[Lien document]],"X"))</f>
        <v/>
      </c>
      <c r="V1000" s="47"/>
      <c r="W1000" s="49" t="str">
        <f ca="1">Chemin_accès!$B$2&amp;Tableau1[[#This Row],[Poste Responsable]]&amp;"\"&amp;Tableau1[[#This Row],[Localisation / Classement]]&amp;"\"&amp;Tableau1[[#This Row],[Poste technique]]&amp;"_"&amp;Tableau1[[#This Row],[Plan Entretien]]&amp;".pdf"</f>
        <v>\\stjn.local\trimet\Donnees_Projets\Dms Sap\Maintenance\PlanEntretien\7.MSCT\\_.pdf</v>
      </c>
      <c r="X1000" s="47"/>
      <c r="Y1000" s="47"/>
      <c r="Z1000" s="44" t="str">
        <f ca="1">IF(AND(Tableau1[[#This Row],[Charge]]&lt;&gt;0, Tableau1[[#This Row],[Nombre intervenants]]&lt;&gt;0,Tableau1[[#This Row],[Lien document]]&lt;&gt;0,Tableau1[[#This Row],[DMS_SAP]]&lt;&gt;0)=TRUE,"MIS A JOUR","")</f>
        <v/>
      </c>
      <c r="AA1000" s="48"/>
      <c r="AB1000" s="58" t="str">
        <f ca="1">IF(Tableau1[[#This Row],[Date rév.]]&lt;&gt;"", DAYS360(Tableau1[[#This Row],[Date rév.]],TODAY()),"")</f>
        <v/>
      </c>
      <c r="AC1000" s="47" t="str">
        <f>IFERROR(INDEX(Chemin_accès!$B$11:$C$22,MATCH(Tableau1[[#This Row],[Type]],Chemin_accès!$C$11:$C$22,0),1),Chemin_accès!$B$11)</f>
        <v>\\stjn.local\trimet\Btechnique\Commun\BT Maint SCELLEMENT\205 - Préventifs\Modèles préventif\GammeDMS_7.MSCT.xlsm</v>
      </c>
      <c r="AD1000" s="47" t="str">
        <f>Chemin_accès!$B$8&amp;Tableau1[[#This Row],[Localisation / Classement]]&amp;"\"&amp;Tableau1[[#This Row],[Poste technique]]&amp;"_"&amp;Tableau1[[#This Row],[Plan Entretien]]&amp;".xlsm"</f>
        <v>\\stjn.local\trimet\Btechnique\Commun\BT Maint SCELLEMENT\205 - Préventifs\Gammes 7.MSCT PE Tool\\_.xlsm</v>
      </c>
    </row>
  </sheetData>
  <sheetProtection algorithmName="SHA-512" hashValue="3ZNURCOOWKhlZrSR3a8GkTaft5jGaNR7A4moJTVXK4sRUODRAeks9pJVgIwj0kGvzrRADNnqwQjQlGJ8r97m3w==" saltValue="LC/zW18Snu5txgiG3BSUFw==" spinCount="100000" sheet="1" objects="1" scenarios="1" autoFilter="0"/>
  <protectedRanges>
    <protectedRange sqref="A3:AD1000" name="Plage1"/>
  </protectedRanges>
  <customSheetViews>
    <customSheetView guid="{0EF03FB2-E8B1-47F2-9208-E204933E1F15}" showAutoFilter="1">
      <selection activeCell="B4" sqref="B4"/>
      <pageMargins left="0.7" right="0.7" top="0.75" bottom="0.75" header="0.3" footer="0.3"/>
      <pageSetup paperSize="8" orientation="portrait" r:id="rId1"/>
      <autoFilter ref="A2:S2" xr:uid="{385FB935-5871-4D4B-8C0B-8013546CBED9}"/>
    </customSheetView>
    <customSheetView guid="{41F7FD2A-BA5B-4731-A557-2BD58F51B02E}" showAutoFilter="1">
      <selection activeCell="I19" sqref="I19"/>
      <pageMargins left="0.7" right="0.7" top="0.75" bottom="0.75" header="0.3" footer="0.3"/>
      <pageSetup paperSize="8" orientation="portrait" r:id="rId2"/>
      <autoFilter ref="A2:S2" xr:uid="{71602A8D-D961-484E-98D5-11C5168BE88D}"/>
    </customSheetView>
    <customSheetView guid="{850E940B-2428-4553-BF71-40EDCB2E1D07}" printArea="1" showAutoFilter="1">
      <selection activeCell="F5" sqref="F5"/>
      <pageMargins left="0.7" right="0.7" top="0.75" bottom="0.75" header="0.3" footer="0.3"/>
      <pageSetup paperSize="8" orientation="portrait" r:id="rId3"/>
      <autoFilter ref="A2:S2" xr:uid="{341808FC-6155-46D6-9E1D-BF97AF7E91D9}"/>
    </customSheetView>
    <customSheetView guid="{CF0A3741-DD40-423F-97D7-0C00E4DC3A32}" printArea="1" showAutoFilter="1">
      <selection activeCell="D19" sqref="D19"/>
      <pageMargins left="0.7" right="0.7" top="0.75" bottom="0.75" header="0.3" footer="0.3"/>
      <pageSetup paperSize="8" orientation="portrait" r:id="rId4"/>
      <autoFilter ref="A2:S2" xr:uid="{ED14626A-1239-45B8-A091-4C1F65027225}"/>
    </customSheetView>
  </customSheetViews>
  <mergeCells count="2">
    <mergeCell ref="U1:Z1"/>
    <mergeCell ref="AA1:AB1"/>
  </mergeCells>
  <conditionalFormatting sqref="J3:M1000">
    <cfRule type="expression" dxfId="60" priority="9">
      <formula xml:space="preserve"> AND($J3 &lt;&gt; "",$K3 &lt;&gt; "")</formula>
    </cfRule>
  </conditionalFormatting>
  <conditionalFormatting sqref="N3:N1000">
    <cfRule type="cellIs" dxfId="59" priority="27" operator="equal">
      <formula>"CHANG MEC"</formula>
    </cfRule>
    <cfRule type="cellIs" dxfId="58" priority="1054" operator="equal">
      <formula>"TOUR"</formula>
    </cfRule>
    <cfRule type="cellIs" dxfId="57" priority="1055" operator="equal">
      <formula>"REGL ELEC"</formula>
    </cfRule>
    <cfRule type="cellIs" dxfId="56" priority="1056" operator="equal">
      <formula>"REGL MEC"</formula>
    </cfRule>
    <cfRule type="cellIs" dxfId="55" priority="1057" operator="equal">
      <formula>"PROD"</formula>
    </cfRule>
    <cfRule type="cellIs" dxfId="54" priority="1058" operator="equal">
      <formula>"GR"</formula>
    </cfRule>
    <cfRule type="cellIs" dxfId="53" priority="1103" operator="equal">
      <formula>"CTRL ELEC"</formula>
    </cfRule>
    <cfRule type="cellIs" dxfId="52" priority="1104" operator="equal">
      <formula>"CTRL MEC"</formula>
    </cfRule>
  </conditionalFormatting>
  <conditionalFormatting sqref="A3:AD1000">
    <cfRule type="expression" dxfId="51" priority="10">
      <formula xml:space="preserve"> $C3 = "C"</formula>
    </cfRule>
    <cfRule type="expression" dxfId="50" priority="11">
      <formula xml:space="preserve"> $C3 = "S"</formula>
    </cfRule>
    <cfRule type="expression" dxfId="49" priority="12">
      <formula xml:space="preserve"> $C3 = ""</formula>
    </cfRule>
  </conditionalFormatting>
  <conditionalFormatting sqref="M63:M66">
    <cfRule type="duplicateValues" dxfId="48" priority="1"/>
  </conditionalFormatting>
  <conditionalFormatting sqref="I3:I1000">
    <cfRule type="duplicateValues" dxfId="47" priority="1135"/>
  </conditionalFormatting>
  <conditionalFormatting sqref="H3:H1000">
    <cfRule type="duplicateValues" dxfId="46" priority="1137"/>
  </conditionalFormatting>
  <dataValidations count="1">
    <dataValidation type="list" allowBlank="1" showInputMessage="1" showErrorMessage="1" sqref="E3:E1000" xr:uid="{00000000-0002-0000-0500-000000000000}">
      <formula1>"OUI,NON"</formula1>
    </dataValidation>
  </dataValidations>
  <pageMargins left="0.25" right="0.25" top="0.75" bottom="0.75" header="0.3" footer="0.3"/>
  <pageSetup paperSize="9" scale="43" fitToHeight="0"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1297" r:id="rId8" name="Button 33">
              <controlPr defaultSize="0" print="0" autoFill="0" autoPict="0" macro="[0]!Bouton_crea_modif">
                <anchor moveWithCells="1" sizeWithCells="1">
                  <from>
                    <xdr:col>3</xdr:col>
                    <xdr:colOff>45720</xdr:colOff>
                    <xdr:row>0</xdr:row>
                    <xdr:rowOff>30480</xdr:rowOff>
                  </from>
                  <to>
                    <xdr:col>4</xdr:col>
                    <xdr:colOff>152400</xdr:colOff>
                    <xdr:row>0</xdr:row>
                    <xdr:rowOff>487680</xdr:rowOff>
                  </to>
                </anchor>
              </controlPr>
            </control>
          </mc:Choice>
        </mc:AlternateContent>
        <mc:AlternateContent xmlns:mc="http://schemas.openxmlformats.org/markup-compatibility/2006">
          <mc:Choice Requires="x14">
            <control shapeId="11307" r:id="rId9" name="Button 43">
              <controlPr defaultSize="0" print="0" autoFill="0" autoPict="0" macro="[0]!DMS_SAP">
                <anchor moveWithCells="1" sizeWithCells="1">
                  <from>
                    <xdr:col>6</xdr:col>
                    <xdr:colOff>426720</xdr:colOff>
                    <xdr:row>0</xdr:row>
                    <xdr:rowOff>30480</xdr:rowOff>
                  </from>
                  <to>
                    <xdr:col>6</xdr:col>
                    <xdr:colOff>1859280</xdr:colOff>
                    <xdr:row>0</xdr:row>
                    <xdr:rowOff>487680</xdr:rowOff>
                  </to>
                </anchor>
              </controlPr>
            </control>
          </mc:Choice>
        </mc:AlternateContent>
        <mc:AlternateContent xmlns:mc="http://schemas.openxmlformats.org/markup-compatibility/2006">
          <mc:Choice Requires="x14">
            <control shapeId="11338" r:id="rId10" name="Button 74">
              <controlPr defaultSize="0" print="0" autoFill="0" autoPict="0" macro="[0]!Bouton_mode_avancé">
                <anchor moveWithCells="1" sizeWithCells="1">
                  <from>
                    <xdr:col>6</xdr:col>
                    <xdr:colOff>2232660</xdr:colOff>
                    <xdr:row>0</xdr:row>
                    <xdr:rowOff>30480</xdr:rowOff>
                  </from>
                  <to>
                    <xdr:col>7</xdr:col>
                    <xdr:colOff>236220</xdr:colOff>
                    <xdr:row>0</xdr:row>
                    <xdr:rowOff>487680</xdr:rowOff>
                  </to>
                </anchor>
              </controlPr>
            </control>
          </mc:Choice>
        </mc:AlternateContent>
        <mc:AlternateContent xmlns:mc="http://schemas.openxmlformats.org/markup-compatibility/2006">
          <mc:Choice Requires="x14">
            <control shapeId="11369" r:id="rId11" name="Button 105">
              <controlPr defaultSize="0" print="0" autoFill="0" autoPict="0" macro="[0]!Mode_normal">
                <anchor moveWithCells="1" sizeWithCells="1">
                  <from>
                    <xdr:col>0</xdr:col>
                    <xdr:colOff>45720</xdr:colOff>
                    <xdr:row>0</xdr:row>
                    <xdr:rowOff>30480</xdr:rowOff>
                  </from>
                  <to>
                    <xdr:col>1</xdr:col>
                    <xdr:colOff>236220</xdr:colOff>
                    <xdr:row>0</xdr:row>
                    <xdr:rowOff>487680</xdr:rowOff>
                  </to>
                </anchor>
              </controlPr>
            </control>
          </mc:Choice>
        </mc:AlternateContent>
        <mc:AlternateContent xmlns:mc="http://schemas.openxmlformats.org/markup-compatibility/2006">
          <mc:Choice Requires="x14">
            <control shapeId="11377" r:id="rId12" name="Button 113">
              <controlPr defaultSize="0" print="0" autoFill="0" autoPict="0" macro="[0]!Bouton_suppression">
                <anchor moveWithCells="1" sizeWithCells="1">
                  <from>
                    <xdr:col>4</xdr:col>
                    <xdr:colOff>220980</xdr:colOff>
                    <xdr:row>0</xdr:row>
                    <xdr:rowOff>38100</xdr:rowOff>
                  </from>
                  <to>
                    <xdr:col>6</xdr:col>
                    <xdr:colOff>365760</xdr:colOff>
                    <xdr:row>0</xdr:row>
                    <xdr:rowOff>487680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1000000}">
          <x14:formula1>
            <xm:f>list!$C$3:$C$6</xm:f>
          </x14:formula1>
          <xm:sqref>O3:O1000</xm:sqref>
        </x14:dataValidation>
        <x14:dataValidation type="list" allowBlank="1" showInputMessage="1" showErrorMessage="1" xr:uid="{00000000-0002-0000-0500-000002000000}">
          <x14:formula1>
            <xm:f>list!$D$3:$D$5</xm:f>
          </x14:formula1>
          <xm:sqref>P3:P1000</xm:sqref>
        </x14:dataValidation>
        <x14:dataValidation type="list" allowBlank="1" showInputMessage="1" showErrorMessage="1" xr:uid="{00000000-0002-0000-0500-000003000000}">
          <x14:formula1>
            <xm:f>list!$E$3:$E$10</xm:f>
          </x14:formula1>
          <xm:sqref>Q3:Q1000</xm:sqref>
        </x14:dataValidation>
        <x14:dataValidation type="list" allowBlank="1" showInputMessage="1" showErrorMessage="1" xr:uid="{00000000-0002-0000-0500-000004000000}">
          <x14:formula1>
            <xm:f>list!$F$3:$F$5</xm:f>
          </x14:formula1>
          <xm:sqref>R3:R1000</xm:sqref>
        </x14:dataValidation>
        <x14:dataValidation type="list" allowBlank="1" showInputMessage="1" showErrorMessage="1" xr:uid="{00000000-0002-0000-0500-000005000000}">
          <x14:formula1>
            <xm:f>list!$B$3:$B$11</xm:f>
          </x14:formula1>
          <xm:sqref>N3:N1000</xm:sqref>
        </x14:dataValidation>
        <x14:dataValidation type="list" allowBlank="1" showInputMessage="1" showErrorMessage="1" xr:uid="{00000000-0002-0000-0500-000006000000}">
          <x14:formula1>
            <xm:f>list!$A$3:$A$27</xm:f>
          </x14:formula1>
          <xm:sqref>L3:L1000</xm:sqref>
        </x14:dataValidation>
        <x14:dataValidation type="list" allowBlank="1" showInputMessage="1" showErrorMessage="1" xr:uid="{00000000-0002-0000-0500-000007000000}">
          <x14:formula1>
            <xm:f>list!$I$3:$I$37</xm:f>
          </x14:formula1>
          <xm:sqref>D3:D1000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tabColor rgb="FFFFC000"/>
  </sheetPr>
  <dimension ref="B3:BQ45"/>
  <sheetViews>
    <sheetView showGridLines="0" zoomScaleNormal="100" workbookViewId="0">
      <selection activeCell="K6" sqref="K6:N6"/>
    </sheetView>
  </sheetViews>
  <sheetFormatPr baseColWidth="10" defaultRowHeight="14.4" x14ac:dyDescent="0.3"/>
  <cols>
    <col min="1" max="30" width="2.6640625" customWidth="1"/>
    <col min="32" max="42" width="0" hidden="1" customWidth="1"/>
  </cols>
  <sheetData>
    <row r="3" spans="2:60" ht="15" thickBot="1" x14ac:dyDescent="0.35"/>
    <row r="4" spans="2:60" ht="15" thickBot="1" x14ac:dyDescent="0.35">
      <c r="B4" s="83" t="str">
        <f ca="1">'7.MSCT'!A3</f>
        <v>7.MSCT</v>
      </c>
      <c r="C4" s="84"/>
      <c r="D4" s="84"/>
      <c r="E4" s="84"/>
      <c r="F4" s="85"/>
      <c r="G4" s="1"/>
      <c r="H4" s="1"/>
      <c r="I4" s="1"/>
      <c r="J4" s="1"/>
      <c r="K4" s="1"/>
      <c r="L4" s="1"/>
      <c r="M4" s="1"/>
      <c r="N4" s="1"/>
      <c r="O4" s="1"/>
      <c r="P4" s="1"/>
      <c r="Q4" s="1"/>
      <c r="R4" s="1"/>
      <c r="S4" s="1"/>
      <c r="T4" s="1"/>
      <c r="U4" s="1"/>
      <c r="V4" s="1"/>
      <c r="W4" s="1"/>
      <c r="X4" s="8"/>
      <c r="Y4" s="80">
        <f ca="1">TODAY()</f>
        <v>46289</v>
      </c>
      <c r="Z4" s="81"/>
      <c r="AA4" s="81"/>
      <c r="AB4" s="81"/>
      <c r="AC4" s="82"/>
      <c r="AQ4" s="19"/>
      <c r="AR4" s="19"/>
      <c r="AS4" s="19"/>
      <c r="AT4" s="19"/>
      <c r="AU4" s="19"/>
      <c r="AV4" s="19"/>
    </row>
    <row r="5" spans="2:60" x14ac:dyDescent="0.3">
      <c r="B5" s="3"/>
      <c r="AC5" s="4"/>
    </row>
    <row r="6" spans="2:60" x14ac:dyDescent="0.3">
      <c r="B6" s="3"/>
      <c r="C6" s="89" t="s">
        <v>9</v>
      </c>
      <c r="D6" s="90"/>
      <c r="E6" s="90"/>
      <c r="F6" s="90"/>
      <c r="G6" s="90"/>
      <c r="H6" s="90"/>
      <c r="I6" s="90"/>
      <c r="J6" s="91"/>
      <c r="K6" s="86">
        <f>COUNTIFS('7.MSCT'!M3:M1000, "&gt;&lt;", '7.MSCT'!C3:C1000, "&lt;&gt;S")</f>
        <v>159</v>
      </c>
      <c r="L6" s="87"/>
      <c r="M6" s="87"/>
      <c r="N6" s="88"/>
      <c r="Q6" s="79" t="s">
        <v>54</v>
      </c>
      <c r="R6" s="79"/>
      <c r="S6" s="79"/>
      <c r="T6" s="79"/>
      <c r="U6" s="79"/>
      <c r="V6" s="79"/>
      <c r="W6" s="79"/>
      <c r="X6" s="79"/>
      <c r="Y6" s="86">
        <f>COUNTA('7.MSCT'!S3:S1000)</f>
        <v>164</v>
      </c>
      <c r="Z6" s="87"/>
      <c r="AA6" s="87" t="str">
        <f>"/" &amp; K6</f>
        <v>/159</v>
      </c>
      <c r="AB6" s="88"/>
      <c r="AC6" s="4"/>
      <c r="AP6" s="20"/>
      <c r="AQ6" s="20"/>
      <c r="AR6" s="20"/>
      <c r="AS6" s="20"/>
      <c r="AT6" s="20"/>
      <c r="AU6" s="20"/>
      <c r="AV6" s="20"/>
      <c r="AW6" s="20"/>
      <c r="AX6" s="20"/>
      <c r="AY6" s="20"/>
      <c r="AZ6" s="20"/>
      <c r="BA6" s="20"/>
      <c r="BB6" s="20"/>
      <c r="BC6" s="20"/>
      <c r="BD6" s="20"/>
      <c r="BE6" s="20"/>
      <c r="BF6" s="20"/>
      <c r="BG6" s="20"/>
      <c r="BH6" s="20"/>
    </row>
    <row r="7" spans="2:60" x14ac:dyDescent="0.3">
      <c r="B7" s="3"/>
      <c r="C7" s="79" t="s">
        <v>55</v>
      </c>
      <c r="D7" s="79"/>
      <c r="E7" s="79"/>
      <c r="F7" s="79"/>
      <c r="G7" s="79"/>
      <c r="H7" s="79"/>
      <c r="I7" s="79"/>
      <c r="J7" s="79"/>
      <c r="K7" s="86">
        <f>SUM('7.MSCT'!X3:X1000)</f>
        <v>521.20000000000005</v>
      </c>
      <c r="L7" s="93"/>
      <c r="M7" s="94"/>
      <c r="N7" s="9" t="s">
        <v>78</v>
      </c>
      <c r="Q7" s="79" t="s">
        <v>77</v>
      </c>
      <c r="R7" s="79"/>
      <c r="S7" s="79"/>
      <c r="T7" s="79"/>
      <c r="U7" s="79"/>
      <c r="V7" s="79"/>
      <c r="W7" s="79"/>
      <c r="X7" s="79"/>
      <c r="Y7" s="92">
        <f ca="1">COUNTIF('7.MSCT'!Z3:Z1000,"MIS A JOUR")</f>
        <v>146</v>
      </c>
      <c r="Z7" s="92"/>
      <c r="AA7" s="92"/>
      <c r="AB7" s="92"/>
      <c r="AC7" s="4"/>
      <c r="AK7" s="70"/>
      <c r="AL7" s="70"/>
      <c r="AM7" s="70"/>
      <c r="AN7" s="70"/>
      <c r="AO7" s="70"/>
      <c r="AP7" s="70"/>
      <c r="AQ7" s="70"/>
      <c r="AR7" s="70"/>
      <c r="AS7" s="70"/>
      <c r="AT7" s="70"/>
      <c r="AU7" s="70"/>
      <c r="AV7" s="70"/>
      <c r="AW7" s="70"/>
      <c r="AX7" s="70"/>
      <c r="AY7" s="70"/>
      <c r="AZ7" s="70"/>
      <c r="BA7" s="70"/>
      <c r="BB7" s="20"/>
      <c r="BC7" s="20"/>
      <c r="BD7" s="20"/>
      <c r="BE7" s="20"/>
      <c r="BF7" s="20"/>
      <c r="BG7" s="20"/>
      <c r="BH7" s="20"/>
    </row>
    <row r="8" spans="2:60" x14ac:dyDescent="0.3">
      <c r="B8" s="3"/>
      <c r="AC8" s="4"/>
      <c r="AK8" s="70"/>
      <c r="AL8" s="70"/>
      <c r="AM8" s="70"/>
      <c r="AN8" s="70"/>
      <c r="AO8" s="70"/>
      <c r="AP8" s="70"/>
      <c r="AQ8" s="70"/>
      <c r="AR8" s="70"/>
      <c r="AS8" s="70"/>
      <c r="AT8" s="70"/>
      <c r="AU8" s="70"/>
      <c r="AV8" s="70"/>
      <c r="AW8" s="70"/>
      <c r="AX8" s="70"/>
      <c r="AY8" s="70"/>
      <c r="AZ8" s="70"/>
      <c r="BA8" s="70"/>
      <c r="BB8" s="20"/>
      <c r="BC8" s="20"/>
      <c r="BD8" s="20"/>
      <c r="BE8" s="20"/>
      <c r="BF8" s="20"/>
      <c r="BG8" s="20"/>
      <c r="BH8" s="20"/>
    </row>
    <row r="9" spans="2:60" x14ac:dyDescent="0.3">
      <c r="B9" s="3"/>
      <c r="AC9" s="4"/>
      <c r="AK9" s="70"/>
      <c r="AL9" s="70"/>
      <c r="AM9" s="70"/>
      <c r="AN9" s="70"/>
      <c r="AO9" s="70"/>
      <c r="AP9" s="70"/>
      <c r="AQ9" s="70" t="s">
        <v>22</v>
      </c>
      <c r="AR9" s="70">
        <v>70</v>
      </c>
      <c r="AS9" s="70" t="s">
        <v>17</v>
      </c>
      <c r="AT9" s="70">
        <f>IFERROR(ROUNDUP(Y6*100/K6,1), 0)</f>
        <v>103.19999999999999</v>
      </c>
      <c r="AU9" s="70" t="s">
        <v>18</v>
      </c>
      <c r="AV9" s="70"/>
      <c r="AW9" s="70"/>
      <c r="AX9" s="70"/>
      <c r="AY9" s="70"/>
      <c r="AZ9" s="70"/>
      <c r="BA9" s="70"/>
      <c r="BB9" s="20"/>
      <c r="BC9" s="20"/>
      <c r="BD9" s="20"/>
      <c r="BE9" s="20"/>
      <c r="BF9" s="20"/>
      <c r="BG9" s="20"/>
      <c r="BH9" s="20"/>
    </row>
    <row r="10" spans="2:60" x14ac:dyDescent="0.3">
      <c r="B10" s="3"/>
      <c r="AC10" s="4"/>
      <c r="AK10" s="70"/>
      <c r="AL10" s="70"/>
      <c r="AM10" s="70"/>
      <c r="AN10" s="70"/>
      <c r="AO10" s="70"/>
      <c r="AP10" s="70"/>
      <c r="AQ10" s="70" t="s">
        <v>19</v>
      </c>
      <c r="AR10" s="70">
        <v>20</v>
      </c>
      <c r="AS10" s="70" t="s">
        <v>20</v>
      </c>
      <c r="AT10" s="70">
        <v>1</v>
      </c>
      <c r="AU10" s="70" t="s">
        <v>21</v>
      </c>
      <c r="AV10" s="70" t="str">
        <f>AT9&amp;"%"</f>
        <v>103,2%</v>
      </c>
      <c r="AW10" s="70"/>
      <c r="AX10" s="70"/>
      <c r="AY10" s="70"/>
      <c r="AZ10" s="70"/>
      <c r="BA10" s="70"/>
      <c r="BB10" s="20"/>
      <c r="BC10" s="20"/>
      <c r="BD10" s="20"/>
      <c r="BE10" s="20"/>
      <c r="BF10" s="20"/>
      <c r="BG10" s="20"/>
      <c r="BH10" s="20"/>
    </row>
    <row r="11" spans="2:60" x14ac:dyDescent="0.3">
      <c r="B11" s="3"/>
      <c r="AC11" s="4"/>
      <c r="AK11" s="70"/>
      <c r="AL11" s="70"/>
      <c r="AM11" s="70"/>
      <c r="AN11" s="70"/>
      <c r="AO11" s="70"/>
      <c r="AP11" s="70"/>
      <c r="AQ11" s="70" t="s">
        <v>16</v>
      </c>
      <c r="AR11" s="70">
        <v>10</v>
      </c>
      <c r="AS11" s="70" t="s">
        <v>23</v>
      </c>
      <c r="AT11" s="70">
        <f>SUM(AR9:AR12)-(AT9+AT10)</f>
        <v>95.800000000000011</v>
      </c>
      <c r="AU11" s="70" t="s">
        <v>18</v>
      </c>
      <c r="AV11" s="70"/>
      <c r="AW11" s="70"/>
      <c r="AX11" s="70"/>
      <c r="AY11" s="70"/>
      <c r="AZ11" s="70"/>
      <c r="BA11" s="70"/>
      <c r="BB11" s="20"/>
      <c r="BC11" s="20"/>
      <c r="BD11" s="20"/>
      <c r="BE11" s="20"/>
      <c r="BF11" s="20"/>
      <c r="BG11" s="20"/>
      <c r="BH11" s="20"/>
    </row>
    <row r="12" spans="2:60" x14ac:dyDescent="0.3">
      <c r="B12" s="3"/>
      <c r="AC12" s="4"/>
      <c r="AK12" s="70"/>
      <c r="AL12" s="70"/>
      <c r="AM12" s="70"/>
      <c r="AN12" s="70"/>
      <c r="AO12" s="70"/>
      <c r="AP12" s="70"/>
      <c r="AQ12" s="70" t="s">
        <v>23</v>
      </c>
      <c r="AR12" s="70">
        <f>SUM(AR9:AR11)</f>
        <v>100</v>
      </c>
      <c r="AS12" s="70"/>
      <c r="AT12" s="70"/>
      <c r="AU12" s="70"/>
      <c r="AV12" s="70"/>
      <c r="AW12" s="70"/>
      <c r="AX12" s="70"/>
      <c r="AY12" s="70"/>
      <c r="AZ12" s="70"/>
      <c r="BA12" s="70"/>
      <c r="BB12" s="20"/>
      <c r="BC12" s="20"/>
      <c r="BD12" s="20"/>
      <c r="BE12" s="20"/>
      <c r="BF12" s="20"/>
      <c r="BG12" s="20"/>
      <c r="BH12" s="20"/>
    </row>
    <row r="13" spans="2:60" x14ac:dyDescent="0.3">
      <c r="B13" s="3"/>
      <c r="AC13" s="4"/>
      <c r="AK13" s="70"/>
      <c r="AL13" s="70"/>
      <c r="AM13" s="70"/>
      <c r="AN13" s="70"/>
      <c r="AO13" s="70"/>
      <c r="AP13" s="70"/>
      <c r="AQ13" s="70"/>
      <c r="AR13" s="70"/>
      <c r="AS13" s="70"/>
      <c r="AT13" s="70"/>
      <c r="AU13" s="70"/>
      <c r="AV13" s="70"/>
      <c r="AW13" s="70"/>
      <c r="AX13" s="70"/>
      <c r="AY13" s="70"/>
      <c r="AZ13" s="70"/>
      <c r="BA13" s="70"/>
      <c r="BB13" s="20"/>
      <c r="BC13" s="20"/>
      <c r="BD13" s="20"/>
      <c r="BE13" s="20"/>
      <c r="BF13" s="20"/>
      <c r="BG13" s="20"/>
      <c r="BH13" s="20"/>
    </row>
    <row r="14" spans="2:60" x14ac:dyDescent="0.3">
      <c r="B14" s="3"/>
      <c r="AC14" s="4"/>
      <c r="AK14" s="70"/>
      <c r="AL14" s="70"/>
      <c r="AM14" s="70"/>
      <c r="AN14" s="70"/>
      <c r="AO14" s="70"/>
      <c r="AP14" s="70"/>
      <c r="AQ14" s="70" t="s">
        <v>22</v>
      </c>
      <c r="AR14" s="70">
        <v>70</v>
      </c>
      <c r="AS14" s="70" t="s">
        <v>17</v>
      </c>
      <c r="AT14" s="70">
        <f ca="1">IFERROR(ROUNDUP(COUNTIF('7.MSCT'!Z3:Z1000,"MIS A JOUR")*100/Y6,1), 0)</f>
        <v>89.1</v>
      </c>
      <c r="AU14" s="70" t="s">
        <v>18</v>
      </c>
      <c r="AV14" s="70"/>
      <c r="AW14" s="70"/>
      <c r="AX14" s="70"/>
      <c r="AY14" s="70"/>
      <c r="AZ14" s="70"/>
      <c r="BA14" s="70"/>
      <c r="BB14" s="20"/>
      <c r="BC14" s="20"/>
      <c r="BD14" s="20"/>
      <c r="BE14" s="20"/>
      <c r="BF14" s="20"/>
      <c r="BG14" s="20"/>
      <c r="BH14" s="20"/>
    </row>
    <row r="15" spans="2:60" x14ac:dyDescent="0.3">
      <c r="B15" s="3"/>
      <c r="AC15" s="4"/>
      <c r="AK15" s="70"/>
      <c r="AL15" s="70"/>
      <c r="AM15" s="70"/>
      <c r="AN15" s="70"/>
      <c r="AO15" s="70"/>
      <c r="AP15" s="70"/>
      <c r="AQ15" s="70" t="s">
        <v>19</v>
      </c>
      <c r="AR15" s="70">
        <v>20</v>
      </c>
      <c r="AS15" s="70" t="s">
        <v>20</v>
      </c>
      <c r="AT15" s="70">
        <v>1</v>
      </c>
      <c r="AU15" s="70" t="s">
        <v>21</v>
      </c>
      <c r="AV15" s="70" t="str">
        <f ca="1">AT14&amp;"%"</f>
        <v>89,1%</v>
      </c>
      <c r="AW15" s="70"/>
      <c r="AX15" s="70"/>
      <c r="AY15" s="70"/>
      <c r="AZ15" s="70"/>
      <c r="BA15" s="70"/>
      <c r="BB15" s="20"/>
      <c r="BC15" s="20"/>
      <c r="BD15" s="20"/>
      <c r="BE15" s="20"/>
      <c r="BF15" s="20"/>
      <c r="BG15" s="20"/>
      <c r="BH15" s="20"/>
    </row>
    <row r="16" spans="2:60" x14ac:dyDescent="0.3">
      <c r="B16" s="3"/>
      <c r="AC16" s="4"/>
      <c r="AK16" s="70"/>
      <c r="AL16" s="70"/>
      <c r="AM16" s="70"/>
      <c r="AN16" s="70"/>
      <c r="AO16" s="70"/>
      <c r="AP16" s="70"/>
      <c r="AQ16" s="70" t="s">
        <v>16</v>
      </c>
      <c r="AR16" s="70">
        <v>10</v>
      </c>
      <c r="AS16" s="70" t="s">
        <v>23</v>
      </c>
      <c r="AT16" s="70">
        <f ca="1">SUM(AR14:AR17)-(AT14+AT15)</f>
        <v>109.9</v>
      </c>
      <c r="AU16" s="70" t="s">
        <v>18</v>
      </c>
      <c r="AV16" s="70"/>
      <c r="AW16" s="70"/>
      <c r="AX16" s="70"/>
      <c r="AY16" s="70"/>
      <c r="AZ16" s="70"/>
      <c r="BA16" s="70"/>
      <c r="BB16" s="20"/>
      <c r="BC16" s="20"/>
      <c r="BD16" s="20"/>
      <c r="BE16" s="20"/>
      <c r="BF16" s="20"/>
      <c r="BG16" s="20"/>
      <c r="BH16" s="20"/>
    </row>
    <row r="17" spans="2:69" x14ac:dyDescent="0.3">
      <c r="B17" s="3"/>
      <c r="AC17" s="4"/>
      <c r="AK17" s="70"/>
      <c r="AL17" s="70"/>
      <c r="AM17" s="70"/>
      <c r="AN17" s="70"/>
      <c r="AO17" s="70"/>
      <c r="AP17" s="70"/>
      <c r="AQ17" s="70" t="s">
        <v>23</v>
      </c>
      <c r="AR17" s="70">
        <f>SUM(AR14:AR16)</f>
        <v>100</v>
      </c>
      <c r="AS17" s="70"/>
      <c r="AT17" s="70"/>
      <c r="AU17" s="70"/>
      <c r="AV17" s="70"/>
      <c r="AW17" s="70"/>
      <c r="AX17" s="70"/>
      <c r="AY17" s="70"/>
      <c r="AZ17" s="70"/>
      <c r="BA17" s="70"/>
      <c r="BB17" s="20"/>
      <c r="BC17" s="20"/>
      <c r="BD17" s="20"/>
      <c r="BE17" s="20"/>
      <c r="BF17" s="20"/>
      <c r="BG17" s="20"/>
      <c r="BH17" s="20"/>
    </row>
    <row r="18" spans="2:69" x14ac:dyDescent="0.3">
      <c r="B18" s="3"/>
      <c r="AC18" s="4"/>
      <c r="AK18" s="70"/>
      <c r="AL18" s="70"/>
      <c r="AM18" s="70"/>
      <c r="AN18" s="70"/>
      <c r="AO18" s="70"/>
      <c r="AP18" s="70"/>
      <c r="AQ18" s="70"/>
      <c r="AR18" s="70"/>
      <c r="AS18" s="70"/>
      <c r="AT18" s="70"/>
      <c r="AU18" s="70"/>
      <c r="AV18" s="70"/>
      <c r="AW18" s="70"/>
      <c r="AX18" s="70"/>
      <c r="AY18" s="70"/>
      <c r="AZ18" s="70"/>
      <c r="BA18" s="70"/>
      <c r="BB18" s="20"/>
      <c r="BC18" s="20"/>
      <c r="BD18" s="20"/>
      <c r="BE18" s="20"/>
      <c r="BF18" s="20"/>
      <c r="BG18" s="20"/>
      <c r="BH18" s="20"/>
    </row>
    <row r="19" spans="2:69" x14ac:dyDescent="0.3">
      <c r="B19" s="3"/>
      <c r="AC19" s="4"/>
      <c r="AK19" s="70"/>
      <c r="AL19" s="70"/>
      <c r="AM19" s="70"/>
      <c r="AN19" s="70"/>
      <c r="AO19" s="70"/>
      <c r="AP19" s="70"/>
      <c r="AQ19" s="71">
        <v>44470</v>
      </c>
      <c r="AR19" s="71">
        <v>44501</v>
      </c>
      <c r="AS19" s="71">
        <v>44531</v>
      </c>
      <c r="AT19" s="71">
        <v>44562</v>
      </c>
      <c r="AU19" s="71">
        <v>44593</v>
      </c>
      <c r="AV19" s="71">
        <v>44621</v>
      </c>
      <c r="AW19" s="71">
        <v>44652</v>
      </c>
      <c r="AX19" s="71">
        <v>44682</v>
      </c>
      <c r="AY19" s="71">
        <v>44713</v>
      </c>
      <c r="AZ19" s="71">
        <v>44743</v>
      </c>
      <c r="BA19" s="71">
        <v>44774</v>
      </c>
      <c r="BB19" s="71">
        <v>44805</v>
      </c>
      <c r="BC19" s="71">
        <v>44835</v>
      </c>
      <c r="BD19" s="71">
        <v>44866</v>
      </c>
      <c r="BE19" s="71">
        <v>44896</v>
      </c>
      <c r="BF19" s="71">
        <v>44927</v>
      </c>
      <c r="BG19" s="71">
        <v>44958</v>
      </c>
      <c r="BH19" s="71">
        <v>44986</v>
      </c>
      <c r="BI19" s="71">
        <v>45017</v>
      </c>
      <c r="BJ19" s="71">
        <v>45047</v>
      </c>
      <c r="BK19" s="71">
        <v>45078</v>
      </c>
      <c r="BL19" s="71">
        <v>45108</v>
      </c>
      <c r="BM19" s="71">
        <v>45139</v>
      </c>
      <c r="BN19" s="71">
        <v>45170</v>
      </c>
      <c r="BO19" s="71">
        <v>45200</v>
      </c>
      <c r="BP19" s="71">
        <v>45231</v>
      </c>
      <c r="BQ19" s="71">
        <v>45261</v>
      </c>
    </row>
    <row r="20" spans="2:69" x14ac:dyDescent="0.3">
      <c r="B20" s="3"/>
      <c r="AC20" s="4"/>
      <c r="AK20" s="70"/>
      <c r="AL20" s="70"/>
      <c r="AM20" s="70"/>
      <c r="AN20" s="70"/>
      <c r="AO20" s="70"/>
      <c r="AP20" s="70"/>
      <c r="AQ20" s="70">
        <f>COUNTIFS('7.MSCT'!$S$3:$S$1000,"&gt;"&amp;AQ19,'7.MSCT'!$S$3:$S$1000,"&lt;"&amp;EOMONTH(AQ19,0))</f>
        <v>0</v>
      </c>
      <c r="AR20" s="70">
        <f>COUNTIFS('7.MSCT'!$S$3:$S$1000,"&gt;"&amp;AR19,'7.MSCT'!$S$3:$S$1000,"&lt;"&amp;EOMONTH(AR19,0))</f>
        <v>120</v>
      </c>
      <c r="AS20" s="70">
        <f>COUNTIFS('7.MSCT'!$S$3:$S$1000,"&gt;"&amp;AS19,'7.MSCT'!$S$3:$S$1000,"&lt;"&amp;EOMONTH(AS19,0))</f>
        <v>0</v>
      </c>
      <c r="AT20" s="70">
        <f>COUNTIFS('7.MSCT'!$S$3:$S$1000,"&gt;"&amp;AT19,'7.MSCT'!$S$3:$S$1000,"&lt;"&amp;EOMONTH(AT19,0))</f>
        <v>0</v>
      </c>
      <c r="AU20" s="70">
        <f>COUNTIFS('7.MSCT'!$S$3:$S$1000,"&gt;"&amp;AU19,'7.MSCT'!$S$3:$S$1000,"&lt;"&amp;EOMONTH(AU19,0))</f>
        <v>0</v>
      </c>
      <c r="AV20" s="70">
        <f>COUNTIFS('7.MSCT'!$S$3:$S$1000,"&gt;"&amp;AV19,'7.MSCT'!$S$3:$S$1000,"&lt;"&amp;EOMONTH(AV19,0))</f>
        <v>10</v>
      </c>
      <c r="AW20" s="70">
        <f>COUNTIFS('7.MSCT'!$S$3:$S$1000,"&gt;"&amp;AW19,'7.MSCT'!$S$3:$S$1000,"&lt;"&amp;EOMONTH(AW19,0))</f>
        <v>0</v>
      </c>
      <c r="AX20" s="70">
        <f>COUNTIFS('7.MSCT'!$S$3:$S$1000,"&gt;"&amp;AX19,'7.MSCT'!$S$3:$S$1000,"&lt;"&amp;EOMONTH(AX19,0))</f>
        <v>0</v>
      </c>
      <c r="AY20" s="70">
        <f>COUNTIFS('7.MSCT'!$S$3:$S$1000,"&gt;"&amp;AY19,'7.MSCT'!$S$3:$S$1000,"&lt;"&amp;EOMONTH(AY19,0))</f>
        <v>0</v>
      </c>
      <c r="AZ20" s="70">
        <f>COUNTIFS('7.MSCT'!$S$3:$S$1000,"&gt;"&amp;AZ19,'7.MSCT'!$S$3:$S$1000,"&lt;"&amp;EOMONTH(AZ19,0))</f>
        <v>21</v>
      </c>
      <c r="BA20" s="70">
        <f>COUNTIFS('7.MSCT'!$S$3:$S$1000,"&gt;"&amp;BA19,'7.MSCT'!$S$3:$S$1000,"&lt;"&amp;EOMONTH(BA19,0))</f>
        <v>0</v>
      </c>
      <c r="BB20" s="70">
        <f>COUNTIFS('7.MSCT'!$S$3:$S$1000,"&gt;"&amp;BB19,'7.MSCT'!$S$3:$S$1000,"&lt;"&amp;EOMONTH(BB19,0))</f>
        <v>0</v>
      </c>
      <c r="BC20" s="70">
        <f>COUNTIFS('7.MSCT'!$S$3:$S$1000,"&gt;"&amp;BC19,'7.MSCT'!$S$3:$S$1000,"&lt;"&amp;EOMONTH(BC19,0))</f>
        <v>0</v>
      </c>
      <c r="BD20" s="70">
        <f>COUNTIFS('7.MSCT'!$S$3:$S$1000,"&gt;"&amp;BD19,'7.MSCT'!$S$3:$S$1000,"&lt;"&amp;EOMONTH(BD19,0))</f>
        <v>0</v>
      </c>
      <c r="BE20" s="70">
        <f>COUNTIFS('7.MSCT'!$S$3:$S$1000,"&gt;"&amp;BE19,'7.MSCT'!$S$3:$S$1000,"&lt;"&amp;EOMONTH(BE19,0))</f>
        <v>0</v>
      </c>
      <c r="BF20" s="70">
        <f>COUNTIFS('7.MSCT'!$S$3:$S$1000,"&gt;"&amp;BF19,'7.MSCT'!$S$3:$S$1000,"&lt;"&amp;EOMONTH(BF19,0))</f>
        <v>0</v>
      </c>
      <c r="BG20" s="70">
        <f>COUNTIFS('7.MSCT'!$S$3:$S$1000,"&gt;"&amp;BG19,'7.MSCT'!$S$3:$S$1000,"&lt;"&amp;EOMONTH(BG19,0))</f>
        <v>0</v>
      </c>
      <c r="BH20" s="70">
        <f>COUNTIFS('7.MSCT'!$S$3:$S$1000,"&gt;"&amp;BH19,'7.MSCT'!$S$3:$S$1000,"&lt;"&amp;EOMONTH(BH19,0))</f>
        <v>0</v>
      </c>
      <c r="BI20" s="70">
        <f>COUNTIFS('7.MSCT'!$S$3:$S$1000,"&gt;"&amp;BI19,'7.MSCT'!$S$3:$S$1000,"&lt;"&amp;EOMONTH(BI19,0))</f>
        <v>0</v>
      </c>
      <c r="BJ20" s="70">
        <f>COUNTIFS('7.MSCT'!$S$3:$S$1000,"&gt;"&amp;BJ19,'7.MSCT'!$S$3:$S$1000,"&lt;"&amp;EOMONTH(BJ19,0))</f>
        <v>0</v>
      </c>
      <c r="BK20" s="70">
        <f>COUNTIFS('7.MSCT'!$S$3:$S$1000,"&gt;"&amp;BK19,'7.MSCT'!$S$3:$S$1000,"&lt;"&amp;EOMONTH(BK19,0))</f>
        <v>0</v>
      </c>
      <c r="BL20" s="70">
        <f>COUNTIFS('7.MSCT'!$S$3:$S$1000,"&gt;"&amp;BL19,'7.MSCT'!$S$3:$S$1000,"&lt;"&amp;EOMONTH(BL19,0))</f>
        <v>2</v>
      </c>
      <c r="BM20" s="70">
        <f>COUNTIFS('7.MSCT'!$S$3:$S$1000,"&gt;"&amp;BM19,'7.MSCT'!$S$3:$S$1000,"&lt;"&amp;EOMONTH(BM19,0))</f>
        <v>0</v>
      </c>
      <c r="BN20" s="70">
        <f>COUNTIFS('7.MSCT'!$S$3:$S$1000,"&gt;"&amp;BN19,'7.MSCT'!$S$3:$S$1000,"&lt;"&amp;EOMONTH(BN19,0))</f>
        <v>0</v>
      </c>
      <c r="BO20" s="70">
        <f>COUNTIFS('7.MSCT'!$S$3:$S$1000,"&gt;"&amp;BO19,'7.MSCT'!$S$3:$S$1000,"&lt;"&amp;EOMONTH(BO19,0))</f>
        <v>0</v>
      </c>
      <c r="BP20" s="70">
        <f>COUNTIFS('7.MSCT'!$S$3:$S$1000,"&gt;"&amp;BP19,'7.MSCT'!$S$3:$S$1000,"&lt;"&amp;EOMONTH(BP19,0))</f>
        <v>0</v>
      </c>
      <c r="BQ20" s="70">
        <f>COUNTIFS('7.MSCT'!$S$3:$S$1000,"&gt;"&amp;BQ19,'7.MSCT'!$S$3:$S$1000,"&lt;"&amp;EOMONTH(BQ19,0))</f>
        <v>0</v>
      </c>
    </row>
    <row r="21" spans="2:69" x14ac:dyDescent="0.3">
      <c r="B21" s="3"/>
      <c r="AC21" s="4"/>
      <c r="AK21" s="70"/>
      <c r="AL21" s="70"/>
      <c r="AM21" s="70"/>
      <c r="AN21" s="70"/>
      <c r="AO21" s="70"/>
      <c r="AP21" s="70"/>
      <c r="AQ21" s="70">
        <f>COUNTIFS('7.MSCT'!$AA$3:$AA$1000,"&gt;"&amp;AQ19,'7.MSCT'!$AA$3:$AA$1000,"&lt;"&amp;EOMONTH(AQ19,0))</f>
        <v>0</v>
      </c>
      <c r="AR21" s="70">
        <f>COUNTIFS('7.MSCT'!$AA$3:$AA$1000,"&gt;"&amp;AR19,'7.MSCT'!$AA$3:$AA$1000,"&lt;"&amp;EOMONTH(AR19,0))</f>
        <v>0</v>
      </c>
      <c r="AS21" s="70">
        <f>COUNTIFS('7.MSCT'!$AA$3:$AA$1000,"&gt;"&amp;AS19,'7.MSCT'!$AA$3:$AA$1000,"&lt;"&amp;EOMONTH(AS19,0))</f>
        <v>0</v>
      </c>
      <c r="AT21" s="70">
        <f>COUNTIFS('7.MSCT'!$AA$3:$AA$1000,"&gt;"&amp;AT19,'7.MSCT'!$AA$3:$AA$1000,"&lt;"&amp;EOMONTH(AT19,0))</f>
        <v>0</v>
      </c>
      <c r="AU21" s="70">
        <f>COUNTIFS('7.MSCT'!$AA$3:$AA$1000,"&gt;"&amp;AU19,'7.MSCT'!$AA$3:$AA$1000,"&lt;"&amp;EOMONTH(AU19,0))</f>
        <v>0</v>
      </c>
      <c r="AV21" s="70">
        <f>COUNTIFS('7.MSCT'!$AA$3:$AA$1000,"&gt;"&amp;AV19,'7.MSCT'!$AA$3:$AA$1000,"&lt;"&amp;EOMONTH(AV19,0))</f>
        <v>0</v>
      </c>
      <c r="AW21" s="70">
        <f>COUNTIFS('7.MSCT'!$AA$3:$AA$1000,"&gt;"&amp;AW19,'7.MSCT'!$AA$3:$AA$1000,"&lt;"&amp;EOMONTH(AW19,0))</f>
        <v>3</v>
      </c>
      <c r="AX21" s="70">
        <f>COUNTIFS('7.MSCT'!$AA$3:$AA$1000,"&gt;"&amp;AX19,'7.MSCT'!$AA$3:$AA$1000,"&lt;"&amp;EOMONTH(AX19,0))</f>
        <v>0</v>
      </c>
      <c r="AY21" s="70">
        <f>COUNTIFS('7.MSCT'!$AA$3:$AA$1000,"&gt;"&amp;AY19,'7.MSCT'!$AA$3:$AA$1000,"&lt;"&amp;EOMONTH(AY19,0))</f>
        <v>35</v>
      </c>
      <c r="AZ21" s="70">
        <f>COUNTIFS('7.MSCT'!$AA$3:$AA$1000,"&gt;"&amp;AZ19,'7.MSCT'!$AA$3:$AA$1000,"&lt;"&amp;EOMONTH(AZ19,0))</f>
        <v>5</v>
      </c>
      <c r="BA21" s="70">
        <f>COUNTIFS('7.MSCT'!$AA$3:$AA$1000,"&gt;"&amp;BA19,'7.MSCT'!$AA$3:$AA$1000,"&lt;"&amp;EOMONTH(BA19,0))</f>
        <v>3</v>
      </c>
      <c r="BB21" s="70">
        <f>COUNTIFS('7.MSCT'!$AA$3:$AA$1000,"&gt;"&amp;BB19,'7.MSCT'!$AA$3:$AA$1000,"&lt;"&amp;EOMONTH(BB19,0))</f>
        <v>4</v>
      </c>
      <c r="BC21" s="70">
        <f>COUNTIFS('7.MSCT'!$AA$3:$AA$1000,"&gt;"&amp;BC19,'7.MSCT'!$AA$3:$AA$1000,"&lt;"&amp;EOMONTH(BC19,0))</f>
        <v>2</v>
      </c>
      <c r="BD21" s="70">
        <f>COUNTIFS('7.MSCT'!$AA$3:$AA$1000,"&gt;"&amp;BD19,'7.MSCT'!$AA$3:$AA$1000,"&lt;"&amp;EOMONTH(BD19,0))</f>
        <v>2</v>
      </c>
      <c r="BE21" s="70">
        <f>COUNTIFS('7.MSCT'!$AA$3:$AA$1000,"&gt;"&amp;BE19,'7.MSCT'!$AA$3:$AA$1000,"&lt;"&amp;EOMONTH(BE19,0))</f>
        <v>0</v>
      </c>
      <c r="BF21" s="70">
        <f>COUNTIFS('7.MSCT'!$AA$3:$AA$1000,"&gt;"&amp;BF19,'7.MSCT'!$AA$3:$AA$1000,"&lt;"&amp;EOMONTH(BF19,0))</f>
        <v>1</v>
      </c>
      <c r="BG21" s="70">
        <f>COUNTIFS('7.MSCT'!$AA$3:$AA$1000,"&gt;"&amp;BG19,'7.MSCT'!$AA$3:$AA$1000,"&lt;"&amp;EOMONTH(BG19,0))</f>
        <v>1</v>
      </c>
      <c r="BH21" s="70">
        <f>COUNTIFS('7.MSCT'!$AA$3:$AA$1000,"&gt;"&amp;BH19,'7.MSCT'!$AA$3:$AA$1000,"&lt;"&amp;EOMONTH(BH19,0))</f>
        <v>2</v>
      </c>
      <c r="BI21" s="70">
        <f>COUNTIFS('7.MSCT'!$AA$3:$AA$1000,"&gt;"&amp;BI19,'7.MSCT'!$AA$3:$AA$1000,"&lt;"&amp;EOMONTH(BI19,0))</f>
        <v>2</v>
      </c>
      <c r="BJ21" s="70">
        <f>COUNTIFS('7.MSCT'!$AA$3:$AA$1000,"&gt;"&amp;BJ19,'7.MSCT'!$AA$3:$AA$1000,"&lt;"&amp;EOMONTH(BJ19,0))</f>
        <v>0</v>
      </c>
      <c r="BK21" s="70">
        <f>COUNTIFS('7.MSCT'!$AA$3:$AA$1000,"&gt;"&amp;BK19,'7.MSCT'!$AA$3:$AA$1000,"&lt;"&amp;EOMONTH(BK19,0))</f>
        <v>0</v>
      </c>
      <c r="BL21" s="70">
        <f>COUNTIFS('7.MSCT'!$AA$3:$AA$1000,"&gt;"&amp;BL19,'7.MSCT'!$AA$3:$AA$1000,"&lt;"&amp;EOMONTH(BL19,0))</f>
        <v>7</v>
      </c>
      <c r="BM21" s="70">
        <f>COUNTIFS('7.MSCT'!$AA$3:$AA$1000,"&gt;"&amp;BM19,'7.MSCT'!$AA$3:$AA$1000,"&lt;"&amp;EOMONTH(BM19,0))</f>
        <v>1</v>
      </c>
      <c r="BN21" s="70">
        <f>COUNTIFS('7.MSCT'!$AA$3:$AA$1000,"&gt;"&amp;BN19,'7.MSCT'!$AA$3:$AA$1000,"&lt;"&amp;EOMONTH(BN19,0))</f>
        <v>1</v>
      </c>
      <c r="BO21" s="70">
        <f>COUNTIFS('7.MSCT'!$AA$3:$AA$1000,"&gt;"&amp;BO19,'7.MSCT'!$AA$3:$AA$1000,"&lt;"&amp;EOMONTH(BO19,0))</f>
        <v>0</v>
      </c>
      <c r="BP21" s="70">
        <f>COUNTIFS('7.MSCT'!$AA$3:$AA$1000,"&gt;"&amp;BP19,'7.MSCT'!$AA$3:$AA$1000,"&lt;"&amp;EOMONTH(BP19,0))</f>
        <v>0</v>
      </c>
      <c r="BQ21" s="70">
        <f>COUNTIFS('7.MSCT'!$AA$3:$AA$1000,"&gt;"&amp;BQ19,'7.MSCT'!$AA$3:$AA$1000,"&lt;"&amp;EOMONTH(BQ19,0))</f>
        <v>2</v>
      </c>
    </row>
    <row r="22" spans="2:69" x14ac:dyDescent="0.3">
      <c r="B22" s="3"/>
      <c r="AC22" s="4"/>
      <c r="AK22" s="70"/>
      <c r="AL22" s="70"/>
      <c r="AM22" s="70"/>
      <c r="AN22" s="70"/>
      <c r="AO22" s="70"/>
      <c r="AP22" s="70"/>
      <c r="AQ22" s="70"/>
      <c r="AR22" s="70"/>
      <c r="AS22" s="70"/>
      <c r="AT22" s="70"/>
      <c r="AU22" s="70"/>
      <c r="AV22" s="70"/>
      <c r="AW22" s="70"/>
      <c r="AX22" s="70"/>
      <c r="AY22" s="70"/>
      <c r="AZ22" s="70"/>
      <c r="BA22" s="70"/>
      <c r="BB22" s="20"/>
      <c r="BC22" s="20"/>
      <c r="BD22" s="20"/>
      <c r="BE22" s="20"/>
      <c r="BF22" s="20"/>
      <c r="BG22" s="20"/>
      <c r="BH22" s="20"/>
    </row>
    <row r="23" spans="2:69" x14ac:dyDescent="0.3">
      <c r="B23" s="3"/>
      <c r="AC23" s="4"/>
      <c r="AK23" s="70"/>
      <c r="AL23" s="70"/>
      <c r="AM23" s="70"/>
      <c r="AN23" s="70"/>
      <c r="AO23" s="70"/>
      <c r="AP23" s="70"/>
      <c r="AQ23" s="70"/>
      <c r="AR23" s="70"/>
      <c r="AS23" s="70"/>
      <c r="AT23" s="70"/>
      <c r="AU23" s="70"/>
      <c r="AV23" s="70"/>
      <c r="AW23" s="70"/>
      <c r="AX23" s="70"/>
      <c r="AY23" s="70"/>
      <c r="AZ23" s="70"/>
      <c r="BA23" s="70"/>
      <c r="BB23" s="20"/>
      <c r="BC23" s="20"/>
      <c r="BD23" s="20"/>
      <c r="BE23" s="20"/>
      <c r="BF23" s="20"/>
      <c r="BG23" s="20"/>
      <c r="BH23" s="20"/>
    </row>
    <row r="24" spans="2:69" x14ac:dyDescent="0.3">
      <c r="B24" s="3"/>
      <c r="AC24" s="4"/>
      <c r="AK24" s="70"/>
      <c r="AL24" s="70"/>
      <c r="AM24" s="70"/>
      <c r="AN24" s="70"/>
      <c r="AO24" s="70"/>
      <c r="AP24" s="70"/>
      <c r="AQ24" s="72"/>
      <c r="AR24" s="70"/>
      <c r="AS24" s="70"/>
      <c r="AT24" s="70"/>
      <c r="AU24" s="70"/>
      <c r="AV24" s="70"/>
      <c r="AW24" s="70"/>
      <c r="AX24" s="70"/>
      <c r="AY24" s="70"/>
      <c r="AZ24" s="70"/>
      <c r="BA24" s="70"/>
      <c r="BB24" s="20"/>
      <c r="BC24" s="20"/>
      <c r="BD24" s="20"/>
      <c r="BE24" s="20"/>
      <c r="BF24" s="20"/>
      <c r="BG24" s="20"/>
      <c r="BH24" s="20"/>
    </row>
    <row r="25" spans="2:69" x14ac:dyDescent="0.3">
      <c r="B25" s="3"/>
      <c r="AC25" s="4"/>
      <c r="AK25" s="70"/>
      <c r="AL25" s="70"/>
      <c r="AM25" s="70"/>
      <c r="AN25" s="70"/>
      <c r="AO25" s="70"/>
      <c r="AP25" s="70"/>
      <c r="AQ25" s="70"/>
      <c r="AR25" s="70"/>
      <c r="AS25" s="70"/>
      <c r="AT25" s="70"/>
      <c r="AU25" s="70"/>
      <c r="AV25" s="70"/>
      <c r="AW25" s="70"/>
      <c r="AX25" s="70"/>
      <c r="AY25" s="70"/>
      <c r="AZ25" s="70"/>
      <c r="BA25" s="70"/>
      <c r="BB25" s="20"/>
      <c r="BC25" s="20"/>
      <c r="BD25" s="20"/>
      <c r="BE25" s="20"/>
      <c r="BF25" s="20"/>
      <c r="BG25" s="20"/>
      <c r="BH25" s="20"/>
    </row>
    <row r="26" spans="2:69" x14ac:dyDescent="0.3">
      <c r="B26" s="3"/>
      <c r="AC26" s="4"/>
      <c r="AK26" s="70"/>
      <c r="AL26" s="70"/>
      <c r="AM26" s="70"/>
      <c r="AN26" s="70"/>
      <c r="AO26" s="70"/>
      <c r="AP26" s="70"/>
      <c r="AQ26" s="70"/>
      <c r="AR26" s="70"/>
      <c r="AS26" s="70"/>
      <c r="AT26" s="70"/>
      <c r="AU26" s="70"/>
      <c r="AV26" s="70"/>
      <c r="AW26" s="70"/>
      <c r="AX26" s="70"/>
      <c r="AY26" s="70"/>
      <c r="AZ26" s="70"/>
      <c r="BA26" s="70"/>
      <c r="BB26" s="20"/>
      <c r="BC26" s="20"/>
      <c r="BD26" s="20"/>
      <c r="BE26" s="20"/>
      <c r="BF26" s="20"/>
      <c r="BG26" s="20"/>
      <c r="BH26" s="20"/>
    </row>
    <row r="27" spans="2:69" x14ac:dyDescent="0.3">
      <c r="B27" s="3"/>
      <c r="AC27" s="4"/>
      <c r="AK27" s="70"/>
      <c r="AL27" s="70"/>
      <c r="AM27" s="70"/>
      <c r="AN27" s="70"/>
      <c r="AO27" s="70"/>
      <c r="AP27" s="70"/>
      <c r="AQ27" s="70"/>
      <c r="AR27" s="70"/>
      <c r="AS27" s="70"/>
      <c r="AT27" s="70"/>
      <c r="AU27" s="70"/>
      <c r="AV27" s="70"/>
      <c r="AW27" s="70"/>
      <c r="AX27" s="70"/>
      <c r="AY27" s="70"/>
      <c r="AZ27" s="70"/>
      <c r="BA27" s="70"/>
    </row>
    <row r="28" spans="2:69" x14ac:dyDescent="0.3">
      <c r="B28" s="3"/>
      <c r="C28" s="16"/>
      <c r="D28" s="16"/>
      <c r="E28" s="16"/>
      <c r="F28" s="16"/>
      <c r="AC28" s="4"/>
      <c r="AK28" s="70"/>
      <c r="AL28" s="70"/>
      <c r="AM28" s="70"/>
      <c r="AN28" s="70"/>
      <c r="AO28" s="70"/>
      <c r="AP28" s="70"/>
      <c r="AQ28" s="70"/>
      <c r="AR28" s="70"/>
      <c r="AS28" s="70"/>
      <c r="AT28" s="70"/>
      <c r="AU28" s="70"/>
      <c r="AV28" s="70"/>
      <c r="AW28" s="70"/>
      <c r="AX28" s="70"/>
      <c r="AY28" s="70"/>
      <c r="AZ28" s="70"/>
      <c r="BA28" s="70"/>
    </row>
    <row r="29" spans="2:69" x14ac:dyDescent="0.3">
      <c r="B29" s="3"/>
      <c r="AC29" s="4"/>
      <c r="AK29" s="70"/>
      <c r="AL29" s="70"/>
      <c r="AM29" s="70"/>
      <c r="AN29" s="70"/>
      <c r="AO29" s="70"/>
      <c r="AP29" s="70"/>
      <c r="AQ29" s="70"/>
      <c r="AR29" s="70"/>
      <c r="AS29" s="70"/>
      <c r="AT29" s="70"/>
      <c r="AU29" s="70"/>
      <c r="AV29" s="70"/>
      <c r="AW29" s="70"/>
      <c r="AX29" s="70"/>
      <c r="AY29" s="70"/>
      <c r="AZ29" s="70"/>
      <c r="BA29" s="70"/>
    </row>
    <row r="30" spans="2:69" x14ac:dyDescent="0.3">
      <c r="B30" s="3"/>
      <c r="AC30" s="4"/>
      <c r="AK30" s="70"/>
      <c r="AL30" s="70"/>
      <c r="AM30" s="70"/>
      <c r="AN30" s="70"/>
      <c r="AO30" s="70"/>
      <c r="AP30" s="70"/>
      <c r="AQ30" s="70"/>
      <c r="AR30" s="70"/>
      <c r="AS30" s="70"/>
      <c r="AT30" s="70"/>
      <c r="AU30" s="70"/>
      <c r="AV30" s="70"/>
      <c r="AW30" s="70"/>
      <c r="AX30" s="70"/>
      <c r="AY30" s="70"/>
      <c r="AZ30" s="70"/>
      <c r="BA30" s="70"/>
    </row>
    <row r="31" spans="2:69" x14ac:dyDescent="0.3">
      <c r="B31" s="3"/>
      <c r="AC31" s="4"/>
      <c r="AK31" s="70"/>
      <c r="AL31" s="70"/>
      <c r="AM31" s="70"/>
      <c r="AN31" s="70"/>
      <c r="AO31" s="70"/>
      <c r="AP31" s="70"/>
      <c r="AQ31" s="70"/>
      <c r="AR31" s="70"/>
      <c r="AS31" s="70"/>
      <c r="AT31" s="70"/>
      <c r="AU31" s="70"/>
      <c r="AV31" s="70"/>
      <c r="AW31" s="70"/>
      <c r="AX31" s="70"/>
      <c r="AY31" s="70"/>
      <c r="AZ31" s="70"/>
      <c r="BA31" s="70"/>
    </row>
    <row r="32" spans="2:69" x14ac:dyDescent="0.3">
      <c r="B32" s="3"/>
      <c r="AC32" s="4"/>
      <c r="AK32" s="70"/>
      <c r="AL32" s="70"/>
      <c r="AM32" s="70"/>
      <c r="AN32" s="70"/>
      <c r="AO32" s="70"/>
      <c r="AP32" s="70"/>
      <c r="AQ32" s="70"/>
      <c r="AR32" s="70"/>
      <c r="AS32" s="70"/>
      <c r="AT32" s="70"/>
      <c r="AU32" s="70"/>
      <c r="AV32" s="70"/>
      <c r="AW32" s="70"/>
      <c r="AX32" s="70"/>
      <c r="AY32" s="70"/>
      <c r="AZ32" s="70"/>
      <c r="BA32" s="70"/>
    </row>
    <row r="33" spans="2:53" x14ac:dyDescent="0.3">
      <c r="B33" s="3"/>
      <c r="AC33" s="4"/>
      <c r="AK33" s="70"/>
      <c r="AL33" s="70"/>
      <c r="AM33" s="70"/>
      <c r="AN33" s="70"/>
      <c r="AO33" s="70"/>
      <c r="AP33" s="70"/>
      <c r="AQ33" s="70"/>
      <c r="AR33" s="70"/>
      <c r="AS33" s="70"/>
      <c r="AT33" s="70"/>
      <c r="AU33" s="70"/>
      <c r="AV33" s="70"/>
      <c r="AW33" s="70"/>
      <c r="AX33" s="70"/>
      <c r="AY33" s="70"/>
      <c r="AZ33" s="70"/>
      <c r="BA33" s="70"/>
    </row>
    <row r="34" spans="2:53" x14ac:dyDescent="0.3">
      <c r="B34" s="3"/>
      <c r="AC34" s="4"/>
      <c r="AK34" s="70"/>
      <c r="AL34" s="70"/>
      <c r="AM34" s="70"/>
      <c r="AN34" s="70"/>
      <c r="AO34" s="70"/>
      <c r="AP34" s="70"/>
      <c r="AQ34" s="70"/>
      <c r="AR34" s="70"/>
      <c r="AS34" s="70"/>
      <c r="AT34" s="70"/>
      <c r="AU34" s="70"/>
      <c r="AV34" s="70"/>
      <c r="AW34" s="70"/>
      <c r="AX34" s="70"/>
      <c r="AY34" s="70"/>
      <c r="AZ34" s="70"/>
      <c r="BA34" s="70"/>
    </row>
    <row r="35" spans="2:53" x14ac:dyDescent="0.3">
      <c r="B35" s="3"/>
      <c r="AC35" s="4"/>
      <c r="AK35" s="70"/>
      <c r="AL35" s="70"/>
      <c r="AM35" s="70"/>
      <c r="AN35" s="70"/>
      <c r="AO35" s="70"/>
      <c r="AP35" s="70"/>
      <c r="AQ35" s="70"/>
      <c r="AR35" s="70"/>
      <c r="AS35" s="70"/>
      <c r="AT35" s="70"/>
      <c r="AU35" s="70"/>
      <c r="AV35" s="70"/>
      <c r="AW35" s="70"/>
      <c r="AX35" s="70"/>
      <c r="AY35" s="70"/>
      <c r="AZ35" s="70"/>
      <c r="BA35" s="70"/>
    </row>
    <row r="36" spans="2:53" x14ac:dyDescent="0.3">
      <c r="B36" s="3"/>
      <c r="AC36" s="4"/>
      <c r="AK36" s="70"/>
      <c r="AL36" s="70"/>
      <c r="AM36" s="70"/>
      <c r="AN36" s="70"/>
      <c r="AO36" s="70"/>
      <c r="AP36" s="70"/>
      <c r="AQ36" s="70"/>
      <c r="AR36" s="70"/>
      <c r="AS36" s="70"/>
      <c r="AT36" s="70"/>
      <c r="AU36" s="70"/>
      <c r="AV36" s="70"/>
      <c r="AW36" s="70"/>
      <c r="AX36" s="70"/>
      <c r="AY36" s="70"/>
      <c r="AZ36" s="70"/>
      <c r="BA36" s="70"/>
    </row>
    <row r="37" spans="2:53" x14ac:dyDescent="0.3">
      <c r="B37" s="3"/>
      <c r="AC37" s="4"/>
      <c r="AK37" s="70"/>
      <c r="AL37" s="70"/>
      <c r="AM37" s="70"/>
      <c r="AN37" s="70"/>
      <c r="AO37" s="70"/>
      <c r="AP37" s="70"/>
      <c r="AQ37" s="70"/>
      <c r="AR37" s="70"/>
      <c r="AS37" s="70"/>
      <c r="AT37" s="70"/>
      <c r="AU37" s="70"/>
      <c r="AV37" s="70"/>
      <c r="AW37" s="70"/>
      <c r="AX37" s="70"/>
      <c r="AY37" s="70"/>
      <c r="AZ37" s="70"/>
      <c r="BA37" s="70"/>
    </row>
    <row r="38" spans="2:53" ht="15" thickBot="1" x14ac:dyDescent="0.35">
      <c r="B38" s="3"/>
      <c r="AC38" s="4"/>
      <c r="AK38" s="70"/>
      <c r="AL38" s="70"/>
      <c r="AM38" s="70"/>
      <c r="AN38" s="70"/>
      <c r="AO38" s="70"/>
      <c r="AP38" s="70"/>
      <c r="AQ38" s="70"/>
      <c r="AR38" s="70"/>
      <c r="AS38" s="70"/>
      <c r="AT38" s="70"/>
      <c r="AU38" s="70"/>
      <c r="AV38" s="70"/>
      <c r="AW38" s="70"/>
      <c r="AX38" s="70"/>
      <c r="AY38" s="70"/>
      <c r="AZ38" s="70"/>
      <c r="BA38" s="70"/>
    </row>
    <row r="39" spans="2:53" ht="15" thickBot="1" x14ac:dyDescent="0.35">
      <c r="B39" s="13" t="s">
        <v>15</v>
      </c>
      <c r="C39" s="17"/>
      <c r="D39" s="17"/>
      <c r="E39" s="17"/>
      <c r="F39" s="18"/>
      <c r="G39" s="1"/>
      <c r="H39" s="1"/>
      <c r="I39" s="1"/>
      <c r="J39" s="1"/>
      <c r="K39" s="1"/>
      <c r="L39" s="1"/>
      <c r="M39" s="1"/>
      <c r="N39" s="1"/>
      <c r="O39" s="1"/>
      <c r="P39" s="1"/>
      <c r="Q39" s="1"/>
      <c r="R39" s="1"/>
      <c r="S39" s="1"/>
      <c r="T39" s="1"/>
      <c r="U39" s="1"/>
      <c r="V39" s="1"/>
      <c r="W39" s="1"/>
      <c r="X39" s="1"/>
      <c r="Y39" s="1"/>
      <c r="Z39" s="1"/>
      <c r="AA39" s="1"/>
      <c r="AB39" s="1"/>
      <c r="AC39" s="2"/>
      <c r="AK39" s="70"/>
      <c r="AL39" s="70"/>
      <c r="AM39" s="70"/>
      <c r="AN39" s="70"/>
      <c r="AO39" s="70"/>
      <c r="AP39" s="70"/>
      <c r="AQ39" s="70"/>
      <c r="AR39" s="70"/>
      <c r="AS39" s="70"/>
      <c r="AT39" s="70"/>
      <c r="AU39" s="70"/>
      <c r="AV39" s="70"/>
      <c r="AW39" s="70"/>
      <c r="AX39" s="70"/>
      <c r="AY39" s="70"/>
      <c r="AZ39" s="70"/>
      <c r="BA39" s="70"/>
    </row>
    <row r="40" spans="2:53" x14ac:dyDescent="0.3">
      <c r="B40" s="3"/>
      <c r="AC40" s="4"/>
      <c r="AK40" s="70"/>
      <c r="AL40" s="70"/>
      <c r="AM40" s="70"/>
      <c r="AN40" s="70"/>
      <c r="AO40" s="70"/>
      <c r="AP40" s="70"/>
      <c r="AQ40" s="70"/>
      <c r="AR40" s="70"/>
      <c r="AS40" s="70"/>
      <c r="AT40" s="70"/>
      <c r="AU40" s="70"/>
      <c r="AV40" s="70"/>
      <c r="AW40" s="70"/>
      <c r="AX40" s="70"/>
      <c r="AY40" s="70"/>
      <c r="AZ40" s="70"/>
      <c r="BA40" s="70"/>
    </row>
    <row r="41" spans="2:53" x14ac:dyDescent="0.3">
      <c r="B41" s="3"/>
      <c r="AC41" s="4"/>
      <c r="AK41" s="70"/>
      <c r="AL41" s="70"/>
      <c r="AM41" s="70"/>
      <c r="AN41" s="70"/>
      <c r="AO41" s="70"/>
      <c r="AP41" s="70"/>
      <c r="AQ41" s="70"/>
      <c r="AR41" s="70"/>
      <c r="AS41" s="70"/>
      <c r="AT41" s="70"/>
      <c r="AU41" s="70"/>
      <c r="AV41" s="70"/>
      <c r="AW41" s="70"/>
      <c r="AX41" s="70"/>
      <c r="AY41" s="70"/>
      <c r="AZ41" s="70"/>
      <c r="BA41" s="70"/>
    </row>
    <row r="42" spans="2:53" x14ac:dyDescent="0.3">
      <c r="B42" s="3"/>
      <c r="AC42" s="4"/>
      <c r="AK42" s="70"/>
      <c r="AL42" s="70"/>
      <c r="AM42" s="70"/>
      <c r="AN42" s="70"/>
      <c r="AO42" s="70"/>
      <c r="AP42" s="70"/>
      <c r="AQ42" s="70"/>
      <c r="AR42" s="70"/>
      <c r="AS42" s="70"/>
      <c r="AT42" s="70"/>
      <c r="AU42" s="70"/>
      <c r="AV42" s="70"/>
      <c r="AW42" s="70"/>
      <c r="AX42" s="70"/>
      <c r="AY42" s="70"/>
      <c r="AZ42" s="70"/>
      <c r="BA42" s="70"/>
    </row>
    <row r="43" spans="2:53" x14ac:dyDescent="0.3">
      <c r="B43" s="3"/>
      <c r="AC43" s="4"/>
      <c r="AK43" s="70"/>
      <c r="AL43" s="70"/>
      <c r="AM43" s="70"/>
      <c r="AN43" s="70"/>
      <c r="AO43" s="70"/>
      <c r="AP43" s="70"/>
      <c r="AQ43" s="70"/>
      <c r="AR43" s="70"/>
      <c r="AS43" s="70"/>
      <c r="AT43" s="70"/>
      <c r="AU43" s="70"/>
      <c r="AV43" s="70"/>
      <c r="AW43" s="70"/>
      <c r="AX43" s="70"/>
      <c r="AY43" s="70"/>
      <c r="AZ43" s="70"/>
      <c r="BA43" s="70"/>
    </row>
    <row r="44" spans="2:53" x14ac:dyDescent="0.3">
      <c r="B44" s="3"/>
      <c r="AC44" s="4"/>
    </row>
    <row r="45" spans="2:53" ht="15" thickBot="1" x14ac:dyDescent="0.35">
      <c r="B45" s="5"/>
      <c r="C45" s="6"/>
      <c r="D45" s="6"/>
      <c r="E45" s="6"/>
      <c r="F45" s="6"/>
      <c r="G45" s="6"/>
      <c r="H45" s="6"/>
      <c r="I45" s="6"/>
      <c r="J45" s="6"/>
      <c r="K45" s="6"/>
      <c r="L45" s="6"/>
      <c r="M45" s="6"/>
      <c r="N45" s="6"/>
      <c r="O45" s="6"/>
      <c r="P45" s="6"/>
      <c r="Q45" s="6"/>
      <c r="R45" s="6"/>
      <c r="S45" s="6"/>
      <c r="T45" s="6"/>
      <c r="U45" s="6"/>
      <c r="V45" s="6"/>
      <c r="W45" s="6"/>
      <c r="X45" s="6"/>
      <c r="Y45" s="6"/>
      <c r="Z45" s="6"/>
      <c r="AA45" s="6"/>
      <c r="AB45" s="6"/>
      <c r="AC45" s="7"/>
    </row>
  </sheetData>
  <customSheetViews>
    <customSheetView guid="{0EF03FB2-E8B1-47F2-9208-E204933E1F15}" showGridLines="0">
      <pageMargins left="0.7" right="0.7" top="0.75" bottom="0.75" header="0.3" footer="0.3"/>
      <pageSetup orientation="portrait" r:id="rId1"/>
    </customSheetView>
    <customSheetView guid="{41F7FD2A-BA5B-4731-A557-2BD58F51B02E}" showGridLines="0">
      <pageMargins left="0.7" right="0.7" top="0.75" bottom="0.75" header="0.3" footer="0.3"/>
      <pageSetup orientation="portrait" r:id="rId2"/>
    </customSheetView>
    <customSheetView guid="{850E940B-2428-4553-BF71-40EDCB2E1D07}" showGridLines="0">
      <pageMargins left="0.7" right="0.7" top="0.75" bottom="0.75" header="0.3" footer="0.3"/>
      <pageSetup orientation="portrait" r:id="rId3"/>
    </customSheetView>
    <customSheetView guid="{CF0A3741-DD40-423F-97D7-0C00E4DC3A32}" showGridLines="0">
      <pageMargins left="0.7" right="0.7" top="0.75" bottom="0.75" header="0.3" footer="0.3"/>
      <pageSetup orientation="portrait" r:id="rId4"/>
    </customSheetView>
  </customSheetViews>
  <mergeCells count="11">
    <mergeCell ref="C7:J7"/>
    <mergeCell ref="Q6:X6"/>
    <mergeCell ref="Y4:AC4"/>
    <mergeCell ref="B4:F4"/>
    <mergeCell ref="K6:N6"/>
    <mergeCell ref="C6:J6"/>
    <mergeCell ref="Q7:X7"/>
    <mergeCell ref="Y7:AB7"/>
    <mergeCell ref="K7:M7"/>
    <mergeCell ref="AA6:AB6"/>
    <mergeCell ref="Y6:Z6"/>
  </mergeCells>
  <pageMargins left="0.7" right="0.7" top="0.75" bottom="0.7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vt:i4>
      </vt:variant>
    </vt:vector>
  </HeadingPairs>
  <TitlesOfParts>
    <vt:vector size="8" baseType="lpstr">
      <vt:lpstr>DMS_SAP</vt:lpstr>
      <vt:lpstr>Aide</vt:lpstr>
      <vt:lpstr>creationSap</vt:lpstr>
      <vt:lpstr>Chemin_accès</vt:lpstr>
      <vt:lpstr>list</vt:lpstr>
      <vt:lpstr>7.MSCT</vt:lpstr>
      <vt:lpstr>KPI</vt:lpstr>
      <vt:lpstr>'7.MSCT'!Zone_d_impression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Chaix, Florian</dc:creator>
  <cp:lastModifiedBy>Marquenet, Nilane</cp:lastModifiedBy>
  <cp:lastPrinted>2024-07-08T09:43:52Z</cp:lastPrinted>
  <dcterms:created xsi:type="dcterms:W3CDTF">2006-09-16T00:00:00Z</dcterms:created>
  <dcterms:modified xsi:type="dcterms:W3CDTF">2026-09-24T15:35:18Z</dcterms:modified>
</cp:coreProperties>
</file>